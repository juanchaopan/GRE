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deuser\Documents\queens\english\"/>
    </mc:Choice>
  </mc:AlternateContent>
  <xr:revisionPtr revIDLastSave="0" documentId="13_ncr:1_{BEF2A358-435E-48B0-B12E-E0535432291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ading" sheetId="8" r:id="rId1"/>
    <sheet name="Sheet1" sheetId="9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52" i="8" l="1"/>
  <c r="B709" i="8"/>
  <c r="B3" i="9"/>
  <c r="C3" i="9" s="1"/>
  <c r="B4" i="9"/>
  <c r="C4" i="9" s="1"/>
  <c r="B5" i="9"/>
  <c r="C5" i="9" s="1"/>
  <c r="B6" i="9"/>
  <c r="C6" i="9" s="1"/>
  <c r="B7" i="9"/>
  <c r="C7" i="9" s="1"/>
  <c r="B8" i="9"/>
  <c r="C8" i="9" s="1"/>
  <c r="B9" i="9"/>
  <c r="C9" i="9" s="1"/>
  <c r="B10" i="9"/>
  <c r="C10" i="9" s="1"/>
  <c r="B11" i="9"/>
  <c r="C11" i="9" s="1"/>
  <c r="B12" i="9"/>
  <c r="C12" i="9" s="1"/>
  <c r="B13" i="9"/>
  <c r="C13" i="9" s="1"/>
  <c r="B14" i="9"/>
  <c r="C14" i="9" s="1"/>
  <c r="B15" i="9"/>
  <c r="C15" i="9" s="1"/>
  <c r="B16" i="9"/>
  <c r="C16" i="9" s="1"/>
  <c r="B17" i="9"/>
  <c r="C17" i="9" s="1"/>
  <c r="B18" i="9"/>
  <c r="C18" i="9" s="1"/>
  <c r="B19" i="9"/>
  <c r="C19" i="9" s="1"/>
  <c r="B20" i="9"/>
  <c r="C20" i="9" s="1"/>
  <c r="B21" i="9"/>
  <c r="C21" i="9" s="1"/>
  <c r="B22" i="9"/>
  <c r="C22" i="9" s="1"/>
  <c r="B23" i="9"/>
  <c r="C23" i="9" s="1"/>
  <c r="B24" i="9"/>
  <c r="C24" i="9" s="1"/>
  <c r="B25" i="9"/>
  <c r="C25" i="9" s="1"/>
  <c r="B26" i="9"/>
  <c r="C26" i="9" s="1"/>
  <c r="B27" i="9"/>
  <c r="C27" i="9" s="1"/>
  <c r="B28" i="9"/>
  <c r="C28" i="9" s="1"/>
  <c r="B29" i="9"/>
  <c r="C29" i="9" s="1"/>
  <c r="B30" i="9"/>
  <c r="C30" i="9" s="1"/>
  <c r="B31" i="9"/>
  <c r="C31" i="9" s="1"/>
  <c r="B32" i="9"/>
  <c r="C32" i="9" s="1"/>
  <c r="B2" i="9"/>
  <c r="C2" i="9" s="1"/>
  <c r="B2118" i="8"/>
  <c r="AG1072" i="8"/>
  <c r="AG1811" i="8"/>
  <c r="AG1975" i="8"/>
  <c r="AG2042" i="8"/>
  <c r="AG2000" i="8"/>
  <c r="AG247" i="8"/>
  <c r="AG2200" i="8"/>
  <c r="AG892" i="8"/>
  <c r="AG2209" i="8"/>
  <c r="AG2841" i="8"/>
  <c r="AG13" i="8"/>
  <c r="AG14" i="8"/>
  <c r="AG454" i="8"/>
  <c r="AG16" i="8"/>
  <c r="AG17" i="8"/>
  <c r="AG18" i="8"/>
  <c r="AG790" i="8"/>
  <c r="AG2653" i="8"/>
  <c r="AG21" i="8"/>
  <c r="AG1720" i="8"/>
  <c r="AG23" i="8"/>
  <c r="AG972" i="8"/>
  <c r="AG25" i="8"/>
  <c r="AG946" i="8"/>
  <c r="AG1523" i="8"/>
  <c r="AG357" i="8"/>
  <c r="AG1956" i="8"/>
  <c r="AG30" i="8"/>
  <c r="AG31" i="8"/>
  <c r="AG79" i="8"/>
  <c r="AG916" i="8"/>
  <c r="AG2215" i="8"/>
  <c r="AG35" i="8"/>
  <c r="AG511" i="8"/>
  <c r="AG1326" i="8"/>
  <c r="AG2454" i="8"/>
  <c r="AG39" i="8"/>
  <c r="AG1457" i="8"/>
  <c r="AG434" i="8"/>
  <c r="AG42" i="8"/>
  <c r="AG2815" i="8"/>
  <c r="AG44" i="8"/>
  <c r="AG3033" i="8"/>
  <c r="AG1028" i="8"/>
  <c r="AG47" i="8"/>
  <c r="AG48" i="8"/>
  <c r="AG2491" i="8"/>
  <c r="AG1266" i="8"/>
  <c r="AG51" i="8"/>
  <c r="AG1006" i="8"/>
  <c r="AG334" i="8"/>
  <c r="AG54" i="8"/>
  <c r="AG635" i="8"/>
  <c r="AG879" i="8"/>
  <c r="AG56" i="8"/>
  <c r="AG58" i="8"/>
  <c r="AG59" i="8"/>
  <c r="AG105" i="8"/>
  <c r="AG61" i="8"/>
  <c r="AG464" i="8"/>
  <c r="AG63" i="8"/>
  <c r="AG64" i="8"/>
  <c r="AG1134" i="8"/>
  <c r="AG221" i="8"/>
  <c r="AG303" i="8"/>
  <c r="AG68" i="8"/>
  <c r="AG1314" i="8"/>
  <c r="AG1132" i="8"/>
  <c r="AG1144" i="8"/>
  <c r="AG478" i="8"/>
  <c r="AG73" i="8"/>
  <c r="AG2973" i="8"/>
  <c r="AG948" i="8"/>
  <c r="AG415" i="8"/>
  <c r="AG77" i="8"/>
  <c r="AG78" i="8"/>
  <c r="AG1295" i="8"/>
  <c r="AG2169" i="8"/>
  <c r="AG2462" i="8"/>
  <c r="AG97" i="8"/>
  <c r="AG83" i="8"/>
  <c r="AG84" i="8"/>
  <c r="AG85" i="8"/>
  <c r="AG289" i="8"/>
  <c r="AG407" i="8"/>
  <c r="AG88" i="8"/>
  <c r="AG1572" i="8"/>
  <c r="AG2067" i="8"/>
  <c r="AG304" i="8"/>
  <c r="AG518" i="8"/>
  <c r="AG1543" i="8"/>
  <c r="AG319" i="8"/>
  <c r="AG427" i="8"/>
  <c r="AG2930" i="8"/>
  <c r="AG2727" i="8"/>
  <c r="AG2235" i="8"/>
  <c r="AG2519" i="8"/>
  <c r="AG201" i="8"/>
  <c r="AG46" i="8"/>
  <c r="AG2381" i="8"/>
  <c r="AG2003" i="8"/>
  <c r="AG2419" i="8"/>
  <c r="AG915" i="8"/>
  <c r="AG290" i="8"/>
  <c r="AG1513" i="8"/>
  <c r="AG819" i="8"/>
  <c r="AG2561" i="8"/>
  <c r="AG387" i="8"/>
  <c r="AG2741" i="8"/>
  <c r="AG92" i="8"/>
  <c r="AG3068" i="8"/>
  <c r="AG2176" i="8"/>
  <c r="AG102" i="8"/>
  <c r="AG1171" i="8"/>
  <c r="AG2206" i="8"/>
  <c r="AG1864" i="8"/>
  <c r="AG1550" i="8"/>
  <c r="AG259" i="8"/>
  <c r="AG236" i="8"/>
  <c r="AG759" i="8"/>
  <c r="AG2863" i="8"/>
  <c r="AG1546" i="8"/>
  <c r="AG399" i="8"/>
  <c r="AG106" i="8"/>
  <c r="AG24" i="8"/>
  <c r="AG988" i="8"/>
  <c r="AG627" i="8"/>
  <c r="AG881" i="8"/>
  <c r="AG101" i="8"/>
  <c r="AG2659" i="8"/>
  <c r="AG2303" i="8"/>
  <c r="AG2726" i="8"/>
  <c r="AG234" i="8"/>
  <c r="AG374" i="8"/>
  <c r="AG2429" i="8"/>
  <c r="AG736" i="8"/>
  <c r="AG2715" i="8"/>
  <c r="AG874" i="8"/>
  <c r="AG295" i="8"/>
  <c r="AG3090" i="8"/>
  <c r="AG2988" i="8"/>
  <c r="AG1405" i="8"/>
  <c r="AG1548" i="8"/>
  <c r="AG219" i="8"/>
  <c r="AG388" i="8"/>
  <c r="AG57" i="8"/>
  <c r="AG115" i="8"/>
  <c r="AG43" i="8"/>
  <c r="AG1795" i="8"/>
  <c r="AG906" i="8"/>
  <c r="AG1449" i="8"/>
  <c r="AG2257" i="8"/>
  <c r="AG1341" i="8"/>
  <c r="AG172" i="8"/>
  <c r="AG1665" i="8"/>
  <c r="AG680" i="8"/>
  <c r="AG99" i="8"/>
  <c r="AG100" i="8"/>
  <c r="AG183" i="8"/>
  <c r="AG2370" i="8"/>
  <c r="AG69" i="8"/>
  <c r="AG420" i="8"/>
  <c r="AG2448" i="8"/>
  <c r="AG2826" i="8"/>
  <c r="AG2762" i="8"/>
  <c r="AG2121" i="8"/>
  <c r="AG94" i="8"/>
  <c r="AG668" i="8"/>
  <c r="AG1019" i="8"/>
  <c r="AG2637" i="8"/>
  <c r="AG70" i="8"/>
  <c r="AG521" i="8"/>
  <c r="AG2969" i="8"/>
  <c r="AG198" i="8"/>
  <c r="AG786" i="8"/>
  <c r="AG2895" i="8"/>
  <c r="AG1181" i="8"/>
  <c r="AG1438" i="8"/>
  <c r="AG180" i="8"/>
  <c r="AG128" i="8"/>
  <c r="AG254" i="8"/>
  <c r="AG233" i="8"/>
  <c r="AG118" i="8"/>
  <c r="AG113" i="8"/>
  <c r="AG337" i="8"/>
  <c r="AG104" i="8"/>
  <c r="AG2229" i="8"/>
  <c r="AG299" i="8"/>
  <c r="AG151" i="8"/>
  <c r="AG381" i="8"/>
  <c r="AG2365" i="8"/>
  <c r="AG132" i="8"/>
  <c r="AG458" i="8"/>
  <c r="AG421" i="8"/>
  <c r="AG1847" i="8"/>
  <c r="AG1473" i="8"/>
  <c r="AG136" i="8"/>
  <c r="AG2224" i="8"/>
  <c r="AG595" i="8"/>
  <c r="AG209" i="8"/>
  <c r="AG211" i="8"/>
  <c r="AG470" i="8"/>
  <c r="AG843" i="8"/>
  <c r="AG413" i="8"/>
  <c r="AG327" i="8"/>
  <c r="AG242" i="8"/>
  <c r="AG127" i="8"/>
  <c r="AG493" i="8"/>
  <c r="AG131" i="8"/>
  <c r="AG174" i="8"/>
  <c r="AG692" i="8"/>
  <c r="AG210" i="8"/>
  <c r="AG1837" i="8"/>
  <c r="AG550" i="8"/>
  <c r="AG147" i="8"/>
  <c r="AG409" i="8"/>
  <c r="AG158" i="8"/>
  <c r="AG176" i="8"/>
  <c r="AG1289" i="8"/>
  <c r="AG1195" i="8"/>
  <c r="AG880" i="8"/>
  <c r="AG2656" i="8"/>
  <c r="AG153" i="8"/>
  <c r="AG203" i="8"/>
  <c r="AG36" i="8"/>
  <c r="AG410" i="8"/>
  <c r="AG2708" i="8"/>
  <c r="AG1946" i="8"/>
  <c r="AG119" i="8"/>
  <c r="AG215" i="8"/>
  <c r="AG87" i="8"/>
  <c r="AG970" i="8"/>
  <c r="AG317" i="8"/>
  <c r="AG2972" i="8"/>
  <c r="AG252" i="8"/>
  <c r="AG579" i="8"/>
  <c r="AG1125" i="8"/>
  <c r="AG123" i="8"/>
  <c r="AG9" i="8"/>
  <c r="AG3084" i="8"/>
  <c r="AG2163" i="8"/>
  <c r="AG418" i="8"/>
  <c r="AG1133" i="8"/>
  <c r="AG2400" i="8"/>
  <c r="AG447" i="8"/>
  <c r="AG173" i="8"/>
  <c r="AG150" i="8"/>
  <c r="AG537" i="8"/>
  <c r="AG773" i="8"/>
  <c r="AG207" i="8"/>
  <c r="AG1493" i="8"/>
  <c r="AG314" i="8"/>
  <c r="AG2005" i="8"/>
  <c r="AG654" i="8"/>
  <c r="AG1974" i="8"/>
  <c r="AG494" i="8"/>
  <c r="AG149" i="8"/>
  <c r="AG1435" i="8"/>
  <c r="AG139" i="8"/>
  <c r="AG142" i="8"/>
  <c r="AG487" i="8"/>
  <c r="AG72" i="8"/>
  <c r="AG197" i="8"/>
  <c r="AG212" i="8"/>
  <c r="AG217" i="8"/>
  <c r="AG2182" i="8"/>
  <c r="AG2390" i="8"/>
  <c r="AG2999" i="8"/>
  <c r="AG2527" i="8"/>
  <c r="AG352" i="8"/>
  <c r="AG681" i="8"/>
  <c r="AG414" i="8"/>
  <c r="AG137" i="8"/>
  <c r="AG613" i="8"/>
  <c r="AG674" i="8"/>
  <c r="AG2242" i="8"/>
  <c r="AG1012" i="8"/>
  <c r="AG907" i="8"/>
  <c r="AG1129" i="8"/>
  <c r="AG1079" i="8"/>
  <c r="AG11" i="8"/>
  <c r="AG1254" i="8"/>
  <c r="AG762" i="8"/>
  <c r="AG1981" i="8"/>
  <c r="AG2292" i="8"/>
  <c r="AG1746" i="8"/>
  <c r="AG817" i="8"/>
  <c r="AG2912" i="8"/>
  <c r="AG192" i="8"/>
  <c r="AG1190" i="8"/>
  <c r="AG182" i="8"/>
  <c r="AG114" i="8"/>
  <c r="AG1873" i="8"/>
  <c r="AG2651" i="8"/>
  <c r="AG160" i="8"/>
  <c r="AG2427" i="8"/>
  <c r="AG1096" i="8"/>
  <c r="AG2312" i="8"/>
  <c r="AG2625" i="8"/>
  <c r="AG876" i="8"/>
  <c r="AG392" i="8"/>
  <c r="AG2088" i="8"/>
  <c r="AG1911" i="8"/>
  <c r="AG2090" i="8"/>
  <c r="AG76" i="8"/>
  <c r="AG1001" i="8"/>
  <c r="AG80" i="8"/>
  <c r="AG3" i="8"/>
  <c r="AG2545" i="8"/>
  <c r="AG170" i="8"/>
  <c r="AG1927" i="8"/>
  <c r="AG1866" i="8"/>
  <c r="AG553" i="8"/>
  <c r="AG1968" i="8"/>
  <c r="AG2584" i="8"/>
  <c r="AG2580" i="8"/>
  <c r="AG1372" i="8"/>
  <c r="AG1888" i="8"/>
  <c r="AG2205" i="8"/>
  <c r="AG275" i="8"/>
  <c r="AG2378" i="8"/>
  <c r="AG1923" i="8"/>
  <c r="AG354" i="8"/>
  <c r="AG1340" i="8"/>
  <c r="AG2376" i="8"/>
  <c r="AG67" i="8"/>
  <c r="AG812" i="8"/>
  <c r="AG562" i="8"/>
  <c r="AG2247" i="8"/>
  <c r="AG1924" i="8"/>
  <c r="AG261" i="8"/>
  <c r="AG963" i="8"/>
  <c r="AG638" i="8"/>
  <c r="AG2585" i="8"/>
  <c r="AG364" i="8"/>
  <c r="AG1092" i="8"/>
  <c r="AG272" i="8"/>
  <c r="AG2324" i="8"/>
  <c r="AG942" i="8"/>
  <c r="AG1755" i="8"/>
  <c r="AG3073" i="8"/>
  <c r="AG2948" i="8"/>
  <c r="AG329" i="8"/>
  <c r="AG2356" i="8"/>
  <c r="AG431" i="8"/>
  <c r="AG2483" i="8"/>
  <c r="AG981" i="8"/>
  <c r="AG187" i="8"/>
  <c r="AG2787" i="8"/>
  <c r="AG307" i="8"/>
  <c r="AG312" i="8"/>
  <c r="AG1522" i="8"/>
  <c r="AG1331" i="8"/>
  <c r="AG2232" i="8"/>
  <c r="AG117" i="8"/>
  <c r="AG74" i="8"/>
  <c r="AG442" i="8"/>
  <c r="AG1977" i="8"/>
  <c r="AG194" i="8"/>
  <c r="AG397" i="8"/>
  <c r="AG2702" i="8"/>
  <c r="AG10" i="8"/>
  <c r="AG437" i="8"/>
  <c r="AG2920" i="8"/>
  <c r="AG545" i="8"/>
  <c r="AG964" i="8"/>
  <c r="AG2781" i="8"/>
  <c r="AG28" i="8"/>
  <c r="AG711" i="8"/>
  <c r="AG15" i="8"/>
  <c r="AG163" i="8"/>
  <c r="AG140" i="8"/>
  <c r="AG365" i="8"/>
  <c r="AG898" i="8"/>
  <c r="AG416" i="8"/>
  <c r="AG2144" i="8"/>
  <c r="AG297" i="8"/>
  <c r="AG1163" i="8"/>
  <c r="AG287" i="8"/>
  <c r="AG165" i="8"/>
  <c r="AG224" i="8"/>
  <c r="AG20" i="8"/>
  <c r="AG98" i="8"/>
  <c r="AG715" i="8"/>
  <c r="AG2607" i="8"/>
  <c r="AG53" i="8"/>
  <c r="AG569" i="8"/>
  <c r="AG2298" i="8"/>
  <c r="AG369" i="8"/>
  <c r="AG1399" i="8"/>
  <c r="AG2857" i="8"/>
  <c r="AG2819" i="8"/>
  <c r="AG805" i="8"/>
  <c r="AG313" i="8"/>
  <c r="AG950" i="8"/>
  <c r="AG1039" i="8"/>
  <c r="AG168" i="8"/>
  <c r="AG813" i="8"/>
  <c r="AG1834" i="8"/>
  <c r="AG214" i="8"/>
  <c r="AG396" i="8"/>
  <c r="AG1486" i="8"/>
  <c r="AG1530" i="8"/>
  <c r="AG2941" i="8"/>
  <c r="AG975" i="8"/>
  <c r="AG911" i="8"/>
  <c r="AG888" i="8"/>
  <c r="AG380" i="8"/>
  <c r="AG1296" i="8"/>
  <c r="AG472" i="8"/>
  <c r="AG1826" i="8"/>
  <c r="AG1540" i="8"/>
  <c r="AG202" i="8"/>
  <c r="AG1043" i="8"/>
  <c r="AG377" i="8"/>
  <c r="AG2490" i="8"/>
  <c r="AG3062" i="8"/>
  <c r="AG363" i="8"/>
  <c r="AG1323" i="8"/>
  <c r="AG2470" i="8"/>
  <c r="AG2004" i="8"/>
  <c r="AG664" i="8"/>
  <c r="AG1725" i="8"/>
  <c r="AG406" i="8"/>
  <c r="AG402" i="8"/>
  <c r="AG2380" i="8"/>
  <c r="AG1421" i="8"/>
  <c r="AG2168" i="8"/>
  <c r="AG155" i="8"/>
  <c r="AG753" i="8"/>
  <c r="AG1247" i="8"/>
  <c r="AG436" i="8"/>
  <c r="AG2955" i="8"/>
  <c r="AG559" i="8"/>
  <c r="AG2524" i="8"/>
  <c r="AG133" i="8"/>
  <c r="AG2022" i="8"/>
  <c r="AG2907" i="8"/>
  <c r="AG883" i="8"/>
  <c r="AG1961" i="8"/>
  <c r="AG169" i="8"/>
  <c r="AG1894" i="8"/>
  <c r="AG455" i="8"/>
  <c r="AG2218" i="8"/>
  <c r="AG1108" i="8"/>
  <c r="AG2570" i="8"/>
  <c r="AG185" i="8"/>
  <c r="AG2729" i="8"/>
  <c r="AG282" i="8"/>
  <c r="AG372" i="8"/>
  <c r="AG1095" i="8"/>
  <c r="AG1103" i="8"/>
  <c r="AG789" i="8"/>
  <c r="AG2475" i="8"/>
  <c r="AG305" i="8"/>
  <c r="AG555" i="8"/>
  <c r="AG2591" i="8"/>
  <c r="AG745" i="8"/>
  <c r="AG1364" i="8"/>
  <c r="AG411" i="8"/>
  <c r="AG684" i="8"/>
  <c r="AG293" i="8"/>
  <c r="AG1143" i="8"/>
  <c r="AG3010" i="8"/>
  <c r="AG3008" i="8"/>
  <c r="AG979" i="8"/>
  <c r="AG206" i="8"/>
  <c r="AG1318" i="8"/>
  <c r="AG500" i="8"/>
  <c r="AG861" i="8"/>
  <c r="AG1649" i="8"/>
  <c r="AG2240" i="8"/>
  <c r="AG467" i="8"/>
  <c r="AG82" i="8"/>
  <c r="AG1503" i="8"/>
  <c r="AG2663" i="8"/>
  <c r="AG2674" i="8"/>
  <c r="AG820" i="8"/>
  <c r="AG253" i="8"/>
  <c r="AG1252" i="8"/>
  <c r="AG2757" i="8"/>
  <c r="AG2551" i="8"/>
  <c r="AG1612" i="8"/>
  <c r="AG1723" i="8"/>
  <c r="AG2274" i="8"/>
  <c r="AG2601" i="8"/>
  <c r="AG2617" i="8"/>
  <c r="AG2724" i="8"/>
  <c r="AG2858" i="8"/>
  <c r="AG384" i="8"/>
  <c r="AG2602" i="8"/>
  <c r="AG440" i="8"/>
  <c r="AG953" i="8"/>
  <c r="AG628" i="8"/>
  <c r="AG1689" i="8"/>
  <c r="AG2185" i="8"/>
  <c r="AG1902" i="8"/>
  <c r="AG445" i="8"/>
  <c r="AG2875" i="8"/>
  <c r="AG2225" i="8"/>
  <c r="AG1048" i="8"/>
  <c r="AG1584" i="8"/>
  <c r="AG112" i="8"/>
  <c r="AG306" i="8"/>
  <c r="AG978" i="8"/>
  <c r="AG777" i="8"/>
  <c r="AG1058" i="8"/>
  <c r="AG2834" i="8"/>
  <c r="AG355" i="8"/>
  <c r="AG468" i="8"/>
  <c r="AG311" i="8"/>
  <c r="AG2467" i="8"/>
  <c r="AG144" i="8"/>
  <c r="AG2867" i="8"/>
  <c r="AG1622" i="8"/>
  <c r="AG507" i="8"/>
  <c r="AG1651" i="8"/>
  <c r="AG529" i="8"/>
  <c r="AG2357" i="8"/>
  <c r="AG1206" i="8"/>
  <c r="AG718" i="8"/>
  <c r="AG2658" i="8"/>
  <c r="AG1468" i="8"/>
  <c r="AG2694" i="8"/>
  <c r="AG71" i="8"/>
  <c r="AG2963" i="8"/>
  <c r="AG2393" i="8"/>
  <c r="AG489" i="8"/>
  <c r="AG1685" i="8"/>
  <c r="AG171" i="8"/>
  <c r="AG154" i="8"/>
  <c r="AG621" i="8"/>
  <c r="AG370" i="8"/>
  <c r="AG41" i="8"/>
  <c r="AG200" i="8"/>
  <c r="AG784" i="8"/>
  <c r="AG1098" i="8"/>
  <c r="AG2007" i="8"/>
  <c r="AG1551" i="8"/>
  <c r="AG40" i="8"/>
  <c r="AG512" i="8"/>
  <c r="AG2308" i="8"/>
  <c r="AG2830" i="8"/>
  <c r="AG1916" i="8"/>
  <c r="AG175" i="8"/>
  <c r="AG294" i="8"/>
  <c r="AG1467" i="8"/>
  <c r="AG1475" i="8"/>
  <c r="AG520" i="8"/>
  <c r="AG2437" i="8"/>
  <c r="AG940" i="8"/>
  <c r="AG716" i="8"/>
  <c r="AG1920" i="8"/>
  <c r="AG89" i="8"/>
  <c r="AG1417" i="8"/>
  <c r="AG626" i="8"/>
  <c r="AG432" i="8"/>
  <c r="AG558" i="8"/>
  <c r="AG1907" i="8"/>
  <c r="AG1017" i="8"/>
  <c r="AG283" i="8"/>
  <c r="AG439" i="8"/>
  <c r="AG1299" i="8"/>
  <c r="AG2770" i="8"/>
  <c r="AG2336" i="8"/>
  <c r="AG379" i="8"/>
  <c r="AG2305" i="8"/>
  <c r="AG707" i="8"/>
  <c r="AG1781" i="8"/>
  <c r="AG130" i="8"/>
  <c r="AG401" i="8"/>
  <c r="AG1824" i="8"/>
  <c r="AG3035" i="8"/>
  <c r="AG129" i="8"/>
  <c r="AG288" i="8"/>
  <c r="AG26" i="8"/>
  <c r="AG2154" i="8"/>
  <c r="AG265" i="8"/>
  <c r="AG825" i="8"/>
  <c r="AG107" i="8"/>
  <c r="AG1933" i="8"/>
  <c r="AG1009" i="8"/>
  <c r="AG248" i="8"/>
  <c r="AG1539" i="8"/>
  <c r="AG693" i="8"/>
  <c r="AG218" i="8"/>
  <c r="AG246" i="8"/>
  <c r="AG383" i="8"/>
  <c r="AG121" i="8"/>
  <c r="AG1520" i="8"/>
  <c r="AG466" i="8"/>
  <c r="AG1742" i="8"/>
  <c r="AG1233" i="8"/>
  <c r="AG611" i="8"/>
  <c r="AG34" i="8"/>
  <c r="AG766" i="8"/>
  <c r="AG1101" i="8"/>
  <c r="AG556" i="8"/>
  <c r="AG2098" i="8"/>
  <c r="AG188" i="8"/>
  <c r="AG1598" i="8"/>
  <c r="AG924" i="8"/>
  <c r="AG471" i="8"/>
  <c r="AG1496" i="8"/>
  <c r="AG2709" i="8"/>
  <c r="AG190" i="8"/>
  <c r="AG596" i="8"/>
  <c r="AG731" i="8"/>
  <c r="AG1115" i="8"/>
  <c r="AG453" i="8"/>
  <c r="AG477" i="8"/>
  <c r="AG2807" i="8"/>
  <c r="AG910" i="8"/>
  <c r="AG33" i="8"/>
  <c r="AG1641" i="8"/>
  <c r="AG1065" i="8"/>
  <c r="AG423" i="8"/>
  <c r="AG204" i="8"/>
  <c r="AG65" i="8"/>
  <c r="AG251" i="8"/>
  <c r="AG1494" i="8"/>
  <c r="AG1721" i="8"/>
  <c r="AG109" i="8"/>
  <c r="AG1964" i="8"/>
  <c r="AG816" i="8"/>
  <c r="AG484" i="8"/>
  <c r="AG1124" i="8"/>
  <c r="AG1428" i="8"/>
  <c r="AG632" i="8"/>
  <c r="AG138" i="8"/>
  <c r="AG2765" i="8"/>
  <c r="AG850" i="8"/>
  <c r="AG1437" i="8"/>
  <c r="AG2588" i="8"/>
  <c r="AG162" i="8"/>
  <c r="AG747" i="8"/>
  <c r="AG977" i="8"/>
  <c r="AG552" i="8"/>
  <c r="AG75" i="8"/>
  <c r="AG1785" i="8"/>
  <c r="AG2874" i="8"/>
  <c r="AG2755" i="8"/>
  <c r="AG687" i="8"/>
  <c r="AG237" i="8"/>
  <c r="AG2959" i="8"/>
  <c r="AG662" i="8"/>
  <c r="AG634" i="8"/>
  <c r="AG920" i="8"/>
  <c r="AG2131" i="8"/>
  <c r="AG755" i="8"/>
  <c r="AG661" i="8"/>
  <c r="AG2654" i="8"/>
  <c r="AG1814" i="8"/>
  <c r="AG564" i="8"/>
  <c r="AG839" i="8"/>
  <c r="AG6" i="8"/>
  <c r="AG659" i="8"/>
  <c r="AG81" i="8"/>
  <c r="AG2024" i="8"/>
  <c r="AG737" i="8"/>
  <c r="AG1621" i="8"/>
  <c r="AG2927" i="8"/>
  <c r="AG278" i="8"/>
  <c r="AG1361" i="8"/>
  <c r="AG60" i="8"/>
  <c r="AG865" i="8"/>
  <c r="AG608" i="8"/>
  <c r="AG670" i="8"/>
  <c r="AG1376" i="8"/>
  <c r="AG1037" i="8"/>
  <c r="AG229" i="8"/>
  <c r="AG1286" i="8"/>
  <c r="AG3036" i="8"/>
  <c r="AG1708" i="8"/>
  <c r="AG677" i="8"/>
  <c r="AG1802" i="8"/>
  <c r="AG184" i="8"/>
  <c r="AG557" i="8"/>
  <c r="AG912" i="8"/>
  <c r="AG2885" i="8"/>
  <c r="AG332" i="8"/>
  <c r="AG2956" i="8"/>
  <c r="AG1234" i="8"/>
  <c r="AG159" i="8"/>
  <c r="AG1024" i="8"/>
  <c r="AG1626" i="8"/>
  <c r="AG934" i="8"/>
  <c r="AG1823" i="8"/>
  <c r="AG2353" i="8"/>
  <c r="AG189" i="8"/>
  <c r="AG1601" i="8"/>
  <c r="AG345" i="8"/>
  <c r="AG954" i="8"/>
  <c r="AG2474" i="8"/>
  <c r="AG408" i="8"/>
  <c r="AG908" i="8"/>
  <c r="AG699" i="8"/>
  <c r="AG700" i="8"/>
  <c r="AG1631" i="8"/>
  <c r="AG702" i="8"/>
  <c r="AG124" i="8"/>
  <c r="AG1191" i="8"/>
  <c r="AG2575" i="8"/>
  <c r="AG2164" i="8"/>
  <c r="AG947" i="8"/>
  <c r="AG918" i="8"/>
  <c r="AG2836" i="8"/>
  <c r="AG1362" i="8"/>
  <c r="AG2174" i="8"/>
  <c r="AG1241" i="8"/>
  <c r="AG1015" i="8"/>
  <c r="AG714" i="8"/>
  <c r="AG398" i="8"/>
  <c r="AG480" i="8"/>
  <c r="AG2587" i="8"/>
  <c r="AG2759" i="8"/>
  <c r="AG719" i="8"/>
  <c r="AG720" i="8"/>
  <c r="AG412" i="8"/>
  <c r="AG997" i="8"/>
  <c r="AG723" i="8"/>
  <c r="AG2404" i="8"/>
  <c r="AG2535" i="8"/>
  <c r="AG726" i="8"/>
  <c r="AG673" i="8"/>
  <c r="AG1792" i="8"/>
  <c r="AG729" i="8"/>
  <c r="AG66" i="8"/>
  <c r="AG603" i="8"/>
  <c r="AG256" i="8"/>
  <c r="AG733" i="8"/>
  <c r="AG588" i="8"/>
  <c r="AG1487" i="8"/>
  <c r="AG29" i="8"/>
  <c r="AG1762" i="8"/>
  <c r="AG738" i="8"/>
  <c r="AG1589" i="8"/>
  <c r="AG199" i="8"/>
  <c r="AG679" i="8"/>
  <c r="AG179" i="8"/>
  <c r="AG743" i="8"/>
  <c r="AG238" i="8"/>
  <c r="AG1497" i="8"/>
  <c r="AG2989" i="8"/>
  <c r="AG476" i="8"/>
  <c r="AG111" i="8"/>
  <c r="AG1057" i="8"/>
  <c r="AG750" i="8"/>
  <c r="AG751" i="8"/>
  <c r="AG446" i="8"/>
  <c r="AG690" i="8"/>
  <c r="AG110" i="8"/>
  <c r="AG177" i="8"/>
  <c r="AG22" i="8"/>
  <c r="AG757" i="8"/>
  <c r="AG232" i="8"/>
  <c r="AG870" i="8"/>
  <c r="AG435" i="8"/>
  <c r="AG178" i="8"/>
  <c r="AG310" i="8"/>
  <c r="AG945" i="8"/>
  <c r="AG971" i="8"/>
  <c r="AG765" i="8"/>
  <c r="AG2267" i="8"/>
  <c r="AG193" i="8"/>
  <c r="AG62" i="8"/>
  <c r="AG2197" i="8"/>
  <c r="AG782" i="8"/>
  <c r="AG2080" i="8"/>
  <c r="AG525" i="8"/>
  <c r="AG1843" i="8"/>
  <c r="AG2046" i="8"/>
  <c r="AG326" i="8"/>
  <c r="AG2947" i="8"/>
  <c r="AG2511" i="8"/>
  <c r="AG778" i="8"/>
  <c r="AG330" i="8"/>
  <c r="AG1508" i="8"/>
  <c r="AG2401" i="8"/>
  <c r="AG2711" i="8"/>
  <c r="AG570" i="8"/>
  <c r="AG1733" i="8"/>
  <c r="AG785" i="8"/>
  <c r="AG2124" i="8"/>
  <c r="AG1913" i="8"/>
  <c r="AG797" i="8"/>
  <c r="AG652" i="8"/>
  <c r="AG582" i="8"/>
  <c r="AG791" i="8"/>
  <c r="AG792" i="8"/>
  <c r="AG1365" i="8"/>
  <c r="AG591" i="8"/>
  <c r="AG795" i="8"/>
  <c r="AG932" i="8"/>
  <c r="AG2290" i="8"/>
  <c r="AG308" i="8"/>
  <c r="AG143" i="8"/>
  <c r="AG800" i="8"/>
  <c r="AG801" i="8"/>
  <c r="AG802" i="8"/>
  <c r="AG1877" i="8"/>
  <c r="AG2790" i="8"/>
  <c r="AG1516" i="8"/>
  <c r="AG806" i="8"/>
  <c r="AG2971" i="8"/>
  <c r="AG808" i="8"/>
  <c r="AG2314" i="8"/>
  <c r="AG810" i="8"/>
  <c r="AG1000" i="8"/>
  <c r="AG3023" i="8"/>
  <c r="AG2748" i="8"/>
  <c r="AG2016" i="8"/>
  <c r="AG328" i="8"/>
  <c r="AG196" i="8"/>
  <c r="AG526" i="8"/>
  <c r="AG2208" i="8"/>
  <c r="AG2700" i="8"/>
  <c r="AG667" i="8"/>
  <c r="AG205" i="8"/>
  <c r="AG2983" i="8"/>
  <c r="AG823" i="8"/>
  <c r="AG824" i="8"/>
  <c r="AG1917" i="8"/>
  <c r="AG1084" i="8"/>
  <c r="AG827" i="8"/>
  <c r="AG1921" i="8"/>
  <c r="AG829" i="8"/>
  <c r="AG462" i="8"/>
  <c r="AG831" i="8"/>
  <c r="AG2810" i="8"/>
  <c r="AG1287" i="8"/>
  <c r="AG1007" i="8"/>
  <c r="AG1882" i="8"/>
  <c r="AG836" i="8"/>
  <c r="AG457" i="8"/>
  <c r="AG838" i="8"/>
  <c r="AG2118" i="8"/>
  <c r="AG2923" i="8"/>
  <c r="AG841" i="8"/>
  <c r="AG996" i="8"/>
  <c r="AG449" i="8"/>
  <c r="AG497" i="8"/>
  <c r="AG845" i="8"/>
  <c r="AG235" i="8"/>
  <c r="AG847" i="8"/>
  <c r="AG1624" i="8"/>
  <c r="AG1707" i="8"/>
  <c r="AG348" i="8"/>
  <c r="AG1353" i="8"/>
  <c r="AG1139" i="8"/>
  <c r="AG853" i="8"/>
  <c r="AG208" i="8"/>
  <c r="AG301" i="8"/>
  <c r="AG2426" i="8"/>
  <c r="AG857" i="8"/>
  <c r="AG1112" i="8"/>
  <c r="AG2627" i="8"/>
  <c r="AG956" i="8"/>
  <c r="AG164" i="8"/>
  <c r="AG1016" i="8"/>
  <c r="AG732" i="8"/>
  <c r="AG1407" i="8"/>
  <c r="AG937" i="8"/>
  <c r="AG2096" i="8"/>
  <c r="AG371" i="8"/>
  <c r="AG868" i="8"/>
  <c r="AG2360" i="8"/>
  <c r="AG902" i="8"/>
  <c r="AG245" i="8"/>
  <c r="AG3032" i="8"/>
  <c r="AG227" i="8"/>
  <c r="AG592" i="8"/>
  <c r="AG548" i="8"/>
  <c r="AG167" i="8"/>
  <c r="AG1269" i="8"/>
  <c r="AG2844" i="8"/>
  <c r="AG2510" i="8"/>
  <c r="AG1702" i="8"/>
  <c r="AG1002" i="8"/>
  <c r="AG2840" i="8"/>
  <c r="AG2318" i="8"/>
  <c r="AG602" i="8"/>
  <c r="AG2054" i="8"/>
  <c r="AG225" i="8"/>
  <c r="AG887" i="8"/>
  <c r="AG2905" i="8"/>
  <c r="AG1141" i="8"/>
  <c r="AG722" i="8"/>
  <c r="AG704" i="8"/>
  <c r="AG37" i="8"/>
  <c r="AG2079" i="8"/>
  <c r="AG1760" i="8"/>
  <c r="AG451" i="8"/>
  <c r="AG896" i="8"/>
  <c r="AG3016" i="8"/>
  <c r="AG2301" i="8"/>
  <c r="AG1868" i="8"/>
  <c r="AG2195" i="8"/>
  <c r="AG901" i="8"/>
  <c r="AG2372" i="8"/>
  <c r="AG903" i="8"/>
  <c r="AG852" i="8"/>
  <c r="AG905" i="8"/>
  <c r="AG830" i="8"/>
  <c r="AG2486" i="8"/>
  <c r="AG983" i="8"/>
  <c r="AG909" i="8"/>
  <c r="AG721" i="8"/>
  <c r="AG216" i="8"/>
  <c r="AG2207" i="8"/>
  <c r="AG913" i="8"/>
  <c r="AG629" i="8"/>
  <c r="AG560" i="8"/>
  <c r="AG532" i="8"/>
  <c r="AG534" i="8"/>
  <c r="AG2981" i="8"/>
  <c r="AG660" i="8"/>
  <c r="AG1839" i="8"/>
  <c r="AG1127" i="8"/>
  <c r="AG389" i="8"/>
  <c r="AG1821" i="8"/>
  <c r="AG3055" i="8"/>
  <c r="AG2410" i="8"/>
  <c r="AG498" i="8"/>
  <c r="AG927" i="8"/>
  <c r="AG1471" i="8"/>
  <c r="AG2405" i="8"/>
  <c r="AG461" i="8"/>
  <c r="AG3034" i="8"/>
  <c r="AG241" i="8"/>
  <c r="AG1107" i="8"/>
  <c r="AG917" i="8"/>
  <c r="AG655" i="8"/>
  <c r="AG2180" i="8"/>
  <c r="AG1613" i="8"/>
  <c r="AG258" i="8"/>
  <c r="AG1105" i="8"/>
  <c r="AG2349" i="8"/>
  <c r="AG2147" i="8"/>
  <c r="AG656" i="8"/>
  <c r="AG2559" i="8"/>
  <c r="AG469" i="8"/>
  <c r="AG730" i="8"/>
  <c r="AG2394" i="8"/>
  <c r="AG351" i="8"/>
  <c r="AG598" i="8"/>
  <c r="AG2043" i="8"/>
  <c r="AG263" i="8"/>
  <c r="AG45" i="8"/>
  <c r="AG1111" i="8"/>
  <c r="AG336" i="8"/>
  <c r="AG281" i="8"/>
  <c r="AG955" i="8"/>
  <c r="AG854" i="8"/>
  <c r="AG522" i="8"/>
  <c r="AG2452" i="8"/>
  <c r="AG834" i="8"/>
  <c r="AG309" i="8"/>
  <c r="AG2280" i="8"/>
  <c r="AG2595" i="8"/>
  <c r="AG1998" i="8"/>
  <c r="AG991" i="8"/>
  <c r="AG2986" i="8"/>
  <c r="AG980" i="8"/>
  <c r="AG2496" i="8"/>
  <c r="AG1718" i="8"/>
  <c r="AG969" i="8"/>
  <c r="AG2231" i="8"/>
  <c r="AG2855" i="8"/>
  <c r="AG120" i="8"/>
  <c r="AG1088" i="8"/>
  <c r="AG1797" i="8"/>
  <c r="AG612" i="8"/>
  <c r="AG1700" i="8"/>
  <c r="AG2422" i="8"/>
  <c r="AG2421" i="8"/>
  <c r="AG589" i="8"/>
  <c r="AG2495" i="8"/>
  <c r="AG292" i="8"/>
  <c r="AG1654" i="8"/>
  <c r="AG2984" i="8"/>
  <c r="AG1281" i="8"/>
  <c r="AG1679" i="8"/>
  <c r="AG986" i="8"/>
  <c r="AG929" i="8"/>
  <c r="AG928" i="8"/>
  <c r="AG2127" i="8"/>
  <c r="AG2581" i="8"/>
  <c r="AG1852" i="8"/>
  <c r="AG2758" i="8"/>
  <c r="AG425" i="8"/>
  <c r="AG2481" i="8"/>
  <c r="AG989" i="8"/>
  <c r="AG998" i="8"/>
  <c r="AG403" i="8"/>
  <c r="AG1525" i="8"/>
  <c r="AG1093" i="8"/>
  <c r="AG2166" i="8"/>
  <c r="AG2006" i="8"/>
  <c r="AG1427" i="8"/>
  <c r="AG528" i="8"/>
  <c r="AG1426" i="8"/>
  <c r="AG1726" i="8"/>
  <c r="AG943" i="8"/>
  <c r="AG1698" i="8"/>
  <c r="AG3049" i="8"/>
  <c r="AG866" i="8"/>
  <c r="AG2146" i="8"/>
  <c r="AG1253" i="8"/>
  <c r="AG890" i="8"/>
  <c r="AG2358" i="8"/>
  <c r="AG1310" i="8"/>
  <c r="AG1893" i="8"/>
  <c r="AG239" i="8"/>
  <c r="AG828" i="8"/>
  <c r="AG949" i="8"/>
  <c r="AG2756" i="8"/>
  <c r="AG2670" i="8"/>
  <c r="AG2540" i="8"/>
  <c r="AG2295" i="8"/>
  <c r="AG243" i="8"/>
  <c r="AG580" i="8"/>
  <c r="AG166" i="8"/>
  <c r="AG1026" i="8"/>
  <c r="AG1027" i="8"/>
  <c r="AG1635" i="8"/>
  <c r="AG818" i="8"/>
  <c r="AG2029" i="8"/>
  <c r="AG331" i="8"/>
  <c r="AG1929" i="8"/>
  <c r="AG181" i="8"/>
  <c r="AG2563" i="8"/>
  <c r="AG2897" i="8"/>
  <c r="AG1036" i="8"/>
  <c r="AG1381" i="8"/>
  <c r="AG2676" i="8"/>
  <c r="AG620" i="8"/>
  <c r="AG3053" i="8"/>
  <c r="AG619" i="8"/>
  <c r="AG2049" i="8"/>
  <c r="AG390" i="8"/>
  <c r="AG1858" i="8"/>
  <c r="AG438" i="8"/>
  <c r="AG2539" i="8"/>
  <c r="AG1047" i="8"/>
  <c r="AG577" i="8"/>
  <c r="AG546" i="8"/>
  <c r="AG222" i="8"/>
  <c r="AG1731" i="8"/>
  <c r="AG931" i="8"/>
  <c r="AG2638" i="8"/>
  <c r="AG213" i="8"/>
  <c r="AG1055" i="8"/>
  <c r="AG2352" i="8"/>
  <c r="AG1439" i="8"/>
  <c r="AG368" i="8"/>
  <c r="AG590" i="8"/>
  <c r="AG1441" i="8"/>
  <c r="AG315" i="8"/>
  <c r="AG1784" i="8"/>
  <c r="AG360" i="8"/>
  <c r="AG1333" i="8"/>
  <c r="AG1528" i="8"/>
  <c r="AG1885" i="8"/>
  <c r="AG7" i="8"/>
  <c r="AG244" i="8"/>
  <c r="AG300" i="8"/>
  <c r="AG1577" i="8"/>
  <c r="AG417" i="8"/>
  <c r="AG1395" i="8"/>
  <c r="AG2115" i="8"/>
  <c r="AG1117" i="8"/>
  <c r="AG134" i="8"/>
  <c r="AG1076" i="8"/>
  <c r="AG735" i="8"/>
  <c r="AG1078" i="8"/>
  <c r="AG666" i="8"/>
  <c r="AG503" i="8"/>
  <c r="AG441" i="8"/>
  <c r="AG1025" i="8"/>
  <c r="AG2716" i="8"/>
  <c r="AG1347" i="8"/>
  <c r="AG1029" i="8"/>
  <c r="AG2150" i="8"/>
  <c r="AG1915" i="8"/>
  <c r="AG378" i="8"/>
  <c r="AG703" i="8"/>
  <c r="AG1104" i="8"/>
  <c r="AG1091" i="8"/>
  <c r="AG837" i="8"/>
  <c r="AG1854" i="8"/>
  <c r="AG2721" i="8"/>
  <c r="AG240" i="8"/>
  <c r="AG2672" i="8"/>
  <c r="AG1097" i="8"/>
  <c r="AG1640" i="8"/>
  <c r="AG1099" i="8"/>
  <c r="AG3087" i="8"/>
  <c r="AG599" i="8"/>
  <c r="AG376" i="8"/>
  <c r="AG993" i="8"/>
  <c r="AG460" i="8"/>
  <c r="AG900" i="8"/>
  <c r="AG473" i="8"/>
  <c r="AG744" i="8"/>
  <c r="AG1237" i="8"/>
  <c r="AG1939" i="8"/>
  <c r="AG803" i="8"/>
  <c r="AG646" i="8"/>
  <c r="AG266" i="8"/>
  <c r="AG356" i="8"/>
  <c r="AG2996" i="8"/>
  <c r="AG1782" i="8"/>
  <c r="AG268" i="8"/>
  <c r="AG2458" i="8"/>
  <c r="AG2355" i="8"/>
  <c r="AG1552" i="8"/>
  <c r="AG2019" i="8"/>
  <c r="AG1242" i="8"/>
  <c r="AG1122" i="8"/>
  <c r="AG2328" i="8"/>
  <c r="AG533" i="8"/>
  <c r="AG544" i="8"/>
  <c r="AG2642" i="8"/>
  <c r="AG1783" i="8"/>
  <c r="AG424" i="8"/>
  <c r="AG686" i="8"/>
  <c r="AG2822" i="8"/>
  <c r="AG1131" i="8"/>
  <c r="AG32" i="8"/>
  <c r="AG1650" i="8"/>
  <c r="AG1120" i="8"/>
  <c r="AG617" i="8"/>
  <c r="AG340" i="8"/>
  <c r="AG1137" i="8"/>
  <c r="AG1436" i="8"/>
  <c r="AG1542" i="8"/>
  <c r="AG262" i="8"/>
  <c r="AG1534" i="8"/>
  <c r="AG195" i="8"/>
  <c r="AG1052" i="8"/>
  <c r="AG2119" i="8"/>
  <c r="AG1145" i="8"/>
  <c r="AG2998" i="8"/>
  <c r="AG1573" i="8"/>
  <c r="AG2279" i="8"/>
  <c r="AG936" i="8"/>
  <c r="AG1150" i="8"/>
  <c r="AG2753" i="8"/>
  <c r="AG783" i="8"/>
  <c r="AG284" i="8"/>
  <c r="AG2340" i="8"/>
  <c r="AG769" i="8"/>
  <c r="AG1265" i="8"/>
  <c r="AG1157" i="8"/>
  <c r="AG1158" i="8"/>
  <c r="AG688" i="8"/>
  <c r="AG788" i="8"/>
  <c r="AG2734" i="8"/>
  <c r="AG1080" i="8"/>
  <c r="AG230" i="8"/>
  <c r="AG3081" i="8"/>
  <c r="AG2027" i="8"/>
  <c r="AG1166" i="8"/>
  <c r="AG772" i="8"/>
  <c r="AG146" i="8"/>
  <c r="AG1637" i="8"/>
  <c r="AG1054" i="8"/>
  <c r="AG3052" i="8"/>
  <c r="AG1358" i="8"/>
  <c r="AG231" i="8"/>
  <c r="AG1174" i="8"/>
  <c r="AG349" i="8"/>
  <c r="AG2776" i="8"/>
  <c r="AG1791" i="8"/>
  <c r="AG1178" i="8"/>
  <c r="AG1561" i="8"/>
  <c r="AG516" i="8"/>
  <c r="AG624" i="8"/>
  <c r="AG1738" i="8"/>
  <c r="AG1865" i="8"/>
  <c r="AG535" i="8"/>
  <c r="AG2633" i="8"/>
  <c r="AG1710" i="8"/>
  <c r="AG1459" i="8"/>
  <c r="AG2304" i="8"/>
  <c r="AG1189" i="8"/>
  <c r="AG2245" i="8"/>
  <c r="AG482" i="8"/>
  <c r="AG433" i="8"/>
  <c r="AG1432" i="8"/>
  <c r="AG705" i="8"/>
  <c r="AG563" i="8"/>
  <c r="AG2775" i="8"/>
  <c r="AG524" i="8"/>
  <c r="AG270" i="8"/>
  <c r="AG3042" i="8"/>
  <c r="AG1393" i="8"/>
  <c r="AG2531" i="8"/>
  <c r="AG701" i="8"/>
  <c r="AG1203" i="8"/>
  <c r="AG223" i="8"/>
  <c r="AG2461" i="8"/>
  <c r="AG2779" i="8"/>
  <c r="AG1207" i="8"/>
  <c r="AG395" i="8"/>
  <c r="AG1209" i="8"/>
  <c r="AG2803" i="8"/>
  <c r="AG1211" i="8"/>
  <c r="AG4" i="8"/>
  <c r="AG444" i="8"/>
  <c r="AG604" i="8"/>
  <c r="AG2300" i="8"/>
  <c r="AG273" i="8"/>
  <c r="AG2403" i="8"/>
  <c r="AG1119" i="8"/>
  <c r="AG1320" i="8"/>
  <c r="AG2116" i="8"/>
  <c r="AG1221" i="8"/>
  <c r="AG2795" i="8"/>
  <c r="AG2123" i="8"/>
  <c r="AG1224" i="8"/>
  <c r="AG1557" i="8"/>
  <c r="AG623" i="8"/>
  <c r="AG2262" i="8"/>
  <c r="AG394" i="8"/>
  <c r="AG1763" i="8"/>
  <c r="AG1692" i="8"/>
  <c r="AG510" i="8"/>
  <c r="AG1232" i="8"/>
  <c r="AG1215" i="8"/>
  <c r="AG335" i="8"/>
  <c r="AG1194" i="8"/>
  <c r="AG228" i="8"/>
  <c r="AG430" i="8"/>
  <c r="AG391" i="8"/>
  <c r="AG2322" i="8"/>
  <c r="AG320" i="8"/>
  <c r="AG675" i="8"/>
  <c r="AG1695" i="8"/>
  <c r="AG1243" i="8"/>
  <c r="AG567" i="8"/>
  <c r="AG1245" i="8"/>
  <c r="AG2528" i="8"/>
  <c r="AG637" i="8"/>
  <c r="AG485" i="8"/>
  <c r="AG1433" i="8"/>
  <c r="AG754" i="8"/>
  <c r="AG640" i="8"/>
  <c r="AG2058" i="8"/>
  <c r="AG1363" i="8"/>
  <c r="AG799" i="8"/>
  <c r="AG1219" i="8"/>
  <c r="AG3001" i="8"/>
  <c r="AG508" i="8"/>
  <c r="AG2789" i="8"/>
  <c r="AG904" i="8"/>
  <c r="AG717" i="8"/>
  <c r="AG1419" i="8"/>
  <c r="AG1172" i="8"/>
  <c r="AG1928" i="8"/>
  <c r="AG2679" i="8"/>
  <c r="AG3005" i="8"/>
  <c r="AG1160" i="8"/>
  <c r="AG1069" i="8"/>
  <c r="AG1732" i="8"/>
  <c r="AG55" i="8"/>
  <c r="AG653" i="8"/>
  <c r="AG2862" i="8"/>
  <c r="AG1272" i="8"/>
  <c r="AG734" i="8"/>
  <c r="AG2800" i="8"/>
  <c r="AG1829" i="8"/>
  <c r="AG1276" i="8"/>
  <c r="AG2017" i="8"/>
  <c r="AG2310" i="8"/>
  <c r="AG1820" i="8"/>
  <c r="AG1355" i="8"/>
  <c r="AG1815" i="8"/>
  <c r="AG614" i="8"/>
  <c r="AG1283" i="8"/>
  <c r="AG1284" i="8"/>
  <c r="AG1285" i="8"/>
  <c r="AG2408" i="8"/>
  <c r="AG1848" i="8"/>
  <c r="AG302" i="8"/>
  <c r="AG2925" i="8"/>
  <c r="AG1290" i="8"/>
  <c r="AG1863" i="8"/>
  <c r="AG2424" i="8"/>
  <c r="AG2890" i="8"/>
  <c r="AG126" i="8"/>
  <c r="AG338" i="8"/>
  <c r="AG1451" i="8"/>
  <c r="AG1750" i="8"/>
  <c r="AG1298" i="8"/>
  <c r="AG1531" i="8"/>
  <c r="AG2387" i="8"/>
  <c r="AG1966" i="8"/>
  <c r="AG1558" i="8"/>
  <c r="AG663" i="8"/>
  <c r="AG3046" i="8"/>
  <c r="AG450" i="8"/>
  <c r="AG1368" i="8"/>
  <c r="AG2626" i="8"/>
  <c r="AG1308" i="8"/>
  <c r="AG935" i="8"/>
  <c r="AG50" i="8"/>
  <c r="AG1311" i="8"/>
  <c r="AG1536" i="8"/>
  <c r="AG2645" i="8"/>
  <c r="AG2783" i="8"/>
  <c r="AG2860" i="8"/>
  <c r="AG657" i="8"/>
  <c r="AG1553" i="8"/>
  <c r="AG844" i="8"/>
  <c r="AG343" i="8"/>
  <c r="AG3085" i="8"/>
  <c r="AG1410" i="8"/>
  <c r="AG1835" i="8"/>
  <c r="AG264" i="8"/>
  <c r="AG1010" i="8"/>
  <c r="AG873" i="8"/>
  <c r="AG2952" i="8"/>
  <c r="AG517" i="8"/>
  <c r="AG885" i="8"/>
  <c r="AG1312" i="8"/>
  <c r="AG1050" i="8"/>
  <c r="AG1610" i="8"/>
  <c r="AG554" i="8"/>
  <c r="AG1325" i="8"/>
  <c r="AG1574" i="8"/>
  <c r="AG2829" i="8"/>
  <c r="AG2745" i="8"/>
  <c r="AG2444" i="8"/>
  <c r="AG1908" i="8"/>
  <c r="AG706" i="8"/>
  <c r="AG2018" i="8"/>
  <c r="AG2871" i="8"/>
  <c r="AG2282" i="8"/>
  <c r="AG1515" i="8"/>
  <c r="AG452" i="8"/>
  <c r="AG2406" i="8"/>
  <c r="AG161" i="8"/>
  <c r="AG1851" i="8"/>
  <c r="AG1348" i="8"/>
  <c r="AG671" i="8"/>
  <c r="AG1423" i="8"/>
  <c r="AG2395" i="8"/>
  <c r="AG1248" i="8"/>
  <c r="AG456" i="8"/>
  <c r="AG2704" i="8"/>
  <c r="AG767" i="8"/>
  <c r="AG1659" i="8"/>
  <c r="AG1142" i="8"/>
  <c r="AG1031" i="8"/>
  <c r="AG527" i="8"/>
  <c r="AG835" i="8"/>
  <c r="AG1941" i="8"/>
  <c r="AG2597" i="8"/>
  <c r="AG1462" i="8"/>
  <c r="AG571" i="8"/>
  <c r="AG2843" i="8"/>
  <c r="AG2125" i="8"/>
  <c r="AG809" i="8"/>
  <c r="AG1061" i="8"/>
  <c r="AG2051" i="8"/>
  <c r="AG1370" i="8"/>
  <c r="AG1371" i="8"/>
  <c r="AG2139" i="8"/>
  <c r="AG1969" i="8"/>
  <c r="AG2534" i="8"/>
  <c r="AG1294" i="8"/>
  <c r="AG5" i="8"/>
  <c r="AG291" i="8"/>
  <c r="AG742" i="8"/>
  <c r="AG1213" i="8"/>
  <c r="AG1683" i="8"/>
  <c r="AG1375" i="8"/>
  <c r="AG2820" i="8"/>
  <c r="AG1565" i="8"/>
  <c r="AG2644" i="8"/>
  <c r="AG877" i="8"/>
  <c r="AG780" i="8"/>
  <c r="AG1387" i="8"/>
  <c r="AG1388" i="8"/>
  <c r="AG3021" i="8"/>
  <c r="AG475" i="8"/>
  <c r="AG2192" i="8"/>
  <c r="AG1184" i="8"/>
  <c r="AG2568" i="8"/>
  <c r="AG2165" i="8"/>
  <c r="AG2891" i="8"/>
  <c r="AG2237" i="8"/>
  <c r="AG2616" i="8"/>
  <c r="AG1398" i="8"/>
  <c r="AG894" i="8"/>
  <c r="AG2181" i="8"/>
  <c r="AG2848" i="8"/>
  <c r="AG1756" i="8"/>
  <c r="AG2465" i="8"/>
  <c r="AG2636" i="8"/>
  <c r="AG2060" i="8"/>
  <c r="AG2186" i="8"/>
  <c r="AG593" i="8"/>
  <c r="AG1899" i="8"/>
  <c r="AG2442" i="8"/>
  <c r="AG1226" i="8"/>
  <c r="AG1013" i="8"/>
  <c r="AG1608" i="8"/>
  <c r="AG1413" i="8"/>
  <c r="AG1414" i="8"/>
  <c r="AG538" i="8"/>
  <c r="AG386" i="8"/>
  <c r="AG855" i="8"/>
  <c r="AG1262" i="8"/>
  <c r="AG689" i="8"/>
  <c r="AG267" i="8"/>
  <c r="AG878" i="8"/>
  <c r="AG2784" i="8"/>
  <c r="AG1349" i="8"/>
  <c r="AG576" i="8"/>
  <c r="AG257" i="8"/>
  <c r="AG1541" i="8"/>
  <c r="AG1576" i="8"/>
  <c r="AG2056" i="8"/>
  <c r="AG1935" i="8"/>
  <c r="AG1332" i="8"/>
  <c r="AG2904" i="8"/>
  <c r="AG2034" i="8"/>
  <c r="AG2523" i="8"/>
  <c r="AG1244" i="8"/>
  <c r="AG2086" i="8"/>
  <c r="AG1812" i="8"/>
  <c r="AG1972" i="8"/>
  <c r="AG1736" i="8"/>
  <c r="AG2137" i="8"/>
  <c r="AG597" i="8"/>
  <c r="AG145" i="8"/>
  <c r="AG346" i="8"/>
  <c r="AG1443" i="8"/>
  <c r="AG2230" i="8"/>
  <c r="AG2821" i="8"/>
  <c r="AG1634" i="8"/>
  <c r="AG1447" i="8"/>
  <c r="AG2761" i="8"/>
  <c r="AG2833" i="8"/>
  <c r="AG2808" i="8"/>
  <c r="AG2982" i="8"/>
  <c r="AG1955" i="8"/>
  <c r="AG1453" i="8"/>
  <c r="AG1813" i="8"/>
  <c r="AG2223" i="8"/>
  <c r="AG486" i="8"/>
  <c r="AG1282" i="8"/>
  <c r="AG499" i="8"/>
  <c r="AG990" i="8"/>
  <c r="AG1730" i="8"/>
  <c r="AG2664" i="8"/>
  <c r="AG2110" i="8"/>
  <c r="AG367" i="8"/>
  <c r="AG1722" i="8"/>
  <c r="AG923" i="8"/>
  <c r="AG1646" i="8"/>
  <c r="AG833" i="8"/>
  <c r="AG1643" i="8"/>
  <c r="AG2935" i="8"/>
  <c r="AG1022" i="8"/>
  <c r="AG157" i="8"/>
  <c r="AG1472" i="8"/>
  <c r="AG2918" i="8"/>
  <c r="AG594" i="8"/>
  <c r="AG506" i="8"/>
  <c r="AG1315" i="8"/>
  <c r="AG1967" i="8"/>
  <c r="AG373" i="8"/>
  <c r="AG1053" i="8"/>
  <c r="AG1590" i="8"/>
  <c r="AG2346" i="8"/>
  <c r="AG513" i="8"/>
  <c r="AG429" i="8"/>
  <c r="AG1495" i="8"/>
  <c r="AG869" i="8"/>
  <c r="AG333" i="8"/>
  <c r="AG1521" i="8"/>
  <c r="AG2091" i="8"/>
  <c r="AG1681" i="8"/>
  <c r="AG1990" i="8"/>
  <c r="AG3026" i="8"/>
  <c r="AG1492" i="8"/>
  <c r="AG1100" i="8"/>
  <c r="AG922" i="8"/>
  <c r="AG323" i="8"/>
  <c r="AG2309" i="8"/>
  <c r="AG1422" i="8"/>
  <c r="AG741" i="8"/>
  <c r="AG1499" i="8"/>
  <c r="AG1729" i="8"/>
  <c r="AG1501" i="8"/>
  <c r="AG3076" i="8"/>
  <c r="AG1118" i="8"/>
  <c r="AG1806" i="8"/>
  <c r="AG2791" i="8"/>
  <c r="AG1532" i="8"/>
  <c r="AG1448" i="8"/>
  <c r="AG2103" i="8"/>
  <c r="AG1690" i="8"/>
  <c r="AG1831" i="8"/>
  <c r="AG1246" i="8"/>
  <c r="AG2954" i="8"/>
  <c r="AG551" i="8"/>
  <c r="AG2254" i="8"/>
  <c r="AG353" i="8"/>
  <c r="AG1179" i="8"/>
  <c r="AG760" i="8"/>
  <c r="AG2311" i="8"/>
  <c r="AG944" i="8"/>
  <c r="AG994" i="8"/>
  <c r="AG1881" i="8"/>
  <c r="AG286" i="8"/>
  <c r="AG2924" i="8"/>
  <c r="AG1278" i="8"/>
  <c r="AG966" i="8"/>
  <c r="AG1595" i="8"/>
  <c r="AG886" i="8"/>
  <c r="AG347" i="8"/>
  <c r="AG2556" i="8"/>
  <c r="AG957" i="8"/>
  <c r="AG2538" i="8"/>
  <c r="AG2620" i="8"/>
  <c r="AG648" i="8"/>
  <c r="AG973" i="8"/>
  <c r="AG811" i="8"/>
  <c r="AG965" i="8"/>
  <c r="AG1537" i="8"/>
  <c r="AG650" i="8"/>
  <c r="AG1239" i="8"/>
  <c r="AG1938" i="8"/>
  <c r="AG3054" i="8"/>
  <c r="AG191" i="8"/>
  <c r="AG1456" i="8"/>
  <c r="AG361" i="8"/>
  <c r="AG859" i="8"/>
  <c r="AG1030" i="8"/>
  <c r="AG2687" i="8"/>
  <c r="AG1392" i="8"/>
  <c r="AG1196" i="8"/>
  <c r="AG3015" i="8"/>
  <c r="AG2278" i="8"/>
  <c r="AG2650" i="8"/>
  <c r="AG1758" i="8"/>
  <c r="AG531" i="8"/>
  <c r="AG1822" i="8"/>
  <c r="AG1556" i="8"/>
  <c r="AG2417" i="8"/>
  <c r="AG794" i="8"/>
  <c r="AG1559" i="8"/>
  <c r="AG536" i="8"/>
  <c r="AG1418" i="8"/>
  <c r="AG1591" i="8"/>
  <c r="AG2149" i="8"/>
  <c r="AG1790" i="8"/>
  <c r="AG1600" i="8"/>
  <c r="AG186" i="8"/>
  <c r="AG1445" i="8"/>
  <c r="AG1344" i="8"/>
  <c r="AG426" i="8"/>
  <c r="AG1570" i="8"/>
  <c r="AG952" i="8"/>
  <c r="AG481" i="8"/>
  <c r="AG1904" i="8"/>
  <c r="AG756" i="8"/>
  <c r="AG116" i="8"/>
  <c r="AG633" i="8"/>
  <c r="AG463" i="8"/>
  <c r="AG2269" i="8"/>
  <c r="AG984" i="8"/>
  <c r="AG1978" i="8"/>
  <c r="AG2958" i="8"/>
  <c r="AG2105" i="8"/>
  <c r="AG842" i="8"/>
  <c r="AG2055" i="8"/>
  <c r="AG708" i="8"/>
  <c r="AG1883" i="8"/>
  <c r="AG999" i="8"/>
  <c r="AG2669" i="8"/>
  <c r="AG103" i="8"/>
  <c r="AG2087" i="8"/>
  <c r="AG959" i="8"/>
  <c r="AG565" i="8"/>
  <c r="AG925" i="8"/>
  <c r="AG1594" i="8"/>
  <c r="AG2777" i="8"/>
  <c r="AG641" i="8"/>
  <c r="AG1597" i="8"/>
  <c r="AG2752" i="8"/>
  <c r="AG1506" i="8"/>
  <c r="AG2038" i="8"/>
  <c r="AG764" i="8"/>
  <c r="AG1008" i="8"/>
  <c r="AG1484" i="8"/>
  <c r="AG325" i="8"/>
  <c r="AG2746" i="8"/>
  <c r="AG2264" i="8"/>
  <c r="AG804" i="8"/>
  <c r="AG2589" i="8"/>
  <c r="AG2327" i="8"/>
  <c r="AG2220" i="8"/>
  <c r="AG1611" i="8"/>
  <c r="AG2552" i="8"/>
  <c r="AG815" i="8"/>
  <c r="AG1535" i="8"/>
  <c r="AG1671" i="8"/>
  <c r="AG1616" i="8"/>
  <c r="AG1562" i="8"/>
  <c r="AG1818" i="8"/>
  <c r="AG2847" i="8"/>
  <c r="AG1214" i="8"/>
  <c r="AG712" i="8"/>
  <c r="AG2234" i="8"/>
  <c r="AG600" i="8"/>
  <c r="AG141" i="8"/>
  <c r="AG1321" i="8"/>
  <c r="AG274" i="8"/>
  <c r="AG698" i="8"/>
  <c r="AG249" i="8"/>
  <c r="AG2578" i="8"/>
  <c r="AG543" i="8"/>
  <c r="AG2065" i="8"/>
  <c r="AG2433" i="8"/>
  <c r="AG651" i="8"/>
  <c r="AG422" i="8"/>
  <c r="AG3022" i="8"/>
  <c r="AG540" i="8"/>
  <c r="AG93" i="8"/>
  <c r="AG2500" i="8"/>
  <c r="AG2083" i="8"/>
  <c r="AG697" i="8"/>
  <c r="AG2275" i="8"/>
  <c r="AG1639" i="8"/>
  <c r="AG2420" i="8"/>
  <c r="AG2084" i="8"/>
  <c r="AG52" i="8"/>
  <c r="AG889" i="8"/>
  <c r="AG1647" i="8"/>
  <c r="AG2572" i="8"/>
  <c r="AG1711" i="8"/>
  <c r="AG2167" i="8"/>
  <c r="AG1149" i="8"/>
  <c r="AG832" i="8"/>
  <c r="AG781" i="8"/>
  <c r="AG2849" i="8"/>
  <c r="AG2488" i="8"/>
  <c r="AG2786" i="8"/>
  <c r="AG2812" i="8"/>
  <c r="AG961" i="8"/>
  <c r="AG669" i="8"/>
  <c r="AG2435" i="8"/>
  <c r="AG2747" i="8"/>
  <c r="AG566" i="8"/>
  <c r="AG1842" i="8"/>
  <c r="AG1945" i="8"/>
  <c r="AG1519" i="8"/>
  <c r="AG636" i="8"/>
  <c r="AG358" i="8"/>
  <c r="AG271" i="8"/>
  <c r="AG321" i="8"/>
  <c r="AG1638" i="8"/>
  <c r="AG1334" i="8"/>
  <c r="AG862" i="8"/>
  <c r="AG1359" i="8"/>
  <c r="AG1642" i="8"/>
  <c r="AG1603" i="8"/>
  <c r="AG1167" i="8"/>
  <c r="AG1148" i="8"/>
  <c r="AG1678" i="8"/>
  <c r="AG727" i="8"/>
  <c r="AG926" i="8"/>
  <c r="AG2706" i="8"/>
  <c r="AG2842" i="8"/>
  <c r="AG2512" i="8"/>
  <c r="AG2066" i="8"/>
  <c r="AG95" i="8"/>
  <c r="AG2564" i="8"/>
  <c r="AG2854" i="8"/>
  <c r="AG895" i="8"/>
  <c r="AG1984" i="8"/>
  <c r="AG2048" i="8"/>
  <c r="AG1691" i="8"/>
  <c r="AG1210" i="8"/>
  <c r="AG1914" i="8"/>
  <c r="AG108" i="8"/>
  <c r="AG601" i="8"/>
  <c r="AG1377" i="8"/>
  <c r="AG2272" i="8"/>
  <c r="AG941" i="8"/>
  <c r="AG279" i="8"/>
  <c r="AG2434" i="8"/>
  <c r="AG298" i="8"/>
  <c r="AG3065" i="8"/>
  <c r="AG2188" i="8"/>
  <c r="AG3050" i="8"/>
  <c r="AG96" i="8"/>
  <c r="AG968" i="8"/>
  <c r="AG490" i="8"/>
  <c r="AG1569" i="8"/>
  <c r="AG1709" i="8"/>
  <c r="AG2751" i="8"/>
  <c r="AG1406" i="8"/>
  <c r="AG2479" i="8"/>
  <c r="AG768" i="8"/>
  <c r="AG1165" i="8"/>
  <c r="AG2409" i="8"/>
  <c r="AG1716" i="8"/>
  <c r="AG2342" i="8"/>
  <c r="AG3043" i="8"/>
  <c r="AG893" i="8"/>
  <c r="AG1033" i="8"/>
  <c r="AG276" i="8"/>
  <c r="AG864" i="8"/>
  <c r="AG2725" i="8"/>
  <c r="AG404" i="8"/>
  <c r="AG740" i="8"/>
  <c r="AG2449" i="8"/>
  <c r="AG672" i="8"/>
  <c r="AG504" i="8"/>
  <c r="AG1607" i="8"/>
  <c r="AG2270" i="8"/>
  <c r="AG428" i="8"/>
  <c r="AG3074" i="8"/>
  <c r="AG1593" i="8"/>
  <c r="AG1734" i="8"/>
  <c r="AG1567" i="8"/>
  <c r="AG840" i="8"/>
  <c r="AG849" i="8"/>
  <c r="AG775" i="8"/>
  <c r="AG2593" i="8"/>
  <c r="AG639" i="8"/>
  <c r="AG1274" i="8"/>
  <c r="AG1345" i="8"/>
  <c r="AG1547" i="8"/>
  <c r="AG359" i="8"/>
  <c r="AG2469" i="8"/>
  <c r="AG581" i="8"/>
  <c r="AG2772" i="8"/>
  <c r="AG1382" i="8"/>
  <c r="AG1373" i="8"/>
  <c r="AG1627" i="8"/>
  <c r="AG3072" i="8"/>
  <c r="AG1227" i="8"/>
  <c r="AG1666" i="8"/>
  <c r="AG2411" i="8"/>
  <c r="AG1094" i="8"/>
  <c r="AG542" i="8"/>
  <c r="AG1757" i="8"/>
  <c r="AG419" i="8"/>
  <c r="AG342" i="8"/>
  <c r="AG1238" i="8"/>
  <c r="AG2418" i="8"/>
  <c r="AG2583" i="8"/>
  <c r="AG2100" i="8"/>
  <c r="AG255" i="8"/>
  <c r="AG2818" i="8"/>
  <c r="AG1766" i="8"/>
  <c r="AG2362" i="8"/>
  <c r="AG2624" i="8"/>
  <c r="AG1841" i="8"/>
  <c r="AG1235" i="8"/>
  <c r="AG1771" i="8"/>
  <c r="AG1136" i="8"/>
  <c r="AG1775" i="8"/>
  <c r="AG1465" i="8"/>
  <c r="AG1045" i="8"/>
  <c r="AG448" i="8"/>
  <c r="AG863" i="8"/>
  <c r="AG1538" i="8"/>
  <c r="AG851" i="8"/>
  <c r="AG479" i="8"/>
  <c r="AG2031" i="8"/>
  <c r="AG992" i="8"/>
  <c r="AG1130" i="8"/>
  <c r="AG1198" i="8"/>
  <c r="AG1580" i="8"/>
  <c r="AG1697" i="8"/>
  <c r="AG752" i="8"/>
  <c r="AG642" i="8"/>
  <c r="AG1789" i="8"/>
  <c r="AG1953" i="8"/>
  <c r="AG899" i="8"/>
  <c r="AG2975" i="8"/>
  <c r="AG914" i="8"/>
  <c r="AG2852" i="8"/>
  <c r="AG2769" i="8"/>
  <c r="AG2256" i="8"/>
  <c r="AG1862" i="8"/>
  <c r="AG793" i="8"/>
  <c r="AG1249" i="8"/>
  <c r="AG1800" i="8"/>
  <c r="AG728" i="8"/>
  <c r="AG1479" i="8"/>
  <c r="AG2718" i="8"/>
  <c r="AG122" i="8"/>
  <c r="AG1764" i="8"/>
  <c r="AG1874" i="8"/>
  <c r="AG976" i="8"/>
  <c r="AG1808" i="8"/>
  <c r="AG2851" i="8"/>
  <c r="AG1869" i="8"/>
  <c r="AG2271" i="8"/>
  <c r="AG1138" i="8"/>
  <c r="AG1971" i="8"/>
  <c r="AG1075" i="8"/>
  <c r="AG2399" i="8"/>
  <c r="AG1474" i="8"/>
  <c r="AG3066" i="8"/>
  <c r="AG796" i="8"/>
  <c r="AG1109" i="8"/>
  <c r="AG2735" i="8"/>
  <c r="AG1932" i="8"/>
  <c r="AG2619" i="8"/>
  <c r="AG1470" i="8"/>
  <c r="AG683" i="8"/>
  <c r="AG685" i="8"/>
  <c r="AG1675" i="8"/>
  <c r="AG1693" i="8"/>
  <c r="AG1123" i="8"/>
  <c r="AG2335" i="8"/>
  <c r="AG2172" i="8"/>
  <c r="AG2876" i="8"/>
  <c r="AG2635" i="8"/>
  <c r="AG90" i="8"/>
  <c r="AG2548" i="8"/>
  <c r="AG2297" i="8"/>
  <c r="AG1455" i="8"/>
  <c r="AG2293" i="8"/>
  <c r="AG2739" i="8"/>
  <c r="AG1657" i="8"/>
  <c r="AG2809" i="8"/>
  <c r="AG495" i="8"/>
  <c r="AG2076" i="8"/>
  <c r="AG2730" i="8"/>
  <c r="AG1187" i="8"/>
  <c r="AG1819" i="8"/>
  <c r="AG1846" i="8"/>
  <c r="AG2631" i="8"/>
  <c r="AG2152" i="8"/>
  <c r="AG2388" i="8"/>
  <c r="AG2518" i="8"/>
  <c r="AG2425" i="8"/>
  <c r="AG2668" i="8"/>
  <c r="AG2487" i="8"/>
  <c r="AG3069" i="8"/>
  <c r="AG2402" i="8"/>
  <c r="AG2767" i="8"/>
  <c r="AG1176" i="8"/>
  <c r="AG3025" i="8"/>
  <c r="AG2553" i="8"/>
  <c r="AG1860" i="8"/>
  <c r="AG492" i="8"/>
  <c r="AG1703" i="8"/>
  <c r="AG2141" i="8"/>
  <c r="AG821" i="8"/>
  <c r="AG2665" i="8"/>
  <c r="AG2459" i="8"/>
  <c r="AG2428" i="8"/>
  <c r="AG1940" i="8"/>
  <c r="AG2911" i="8"/>
  <c r="AG2939" i="8"/>
  <c r="AG1871" i="8"/>
  <c r="AG2015" i="8"/>
  <c r="AG2705" i="8"/>
  <c r="AG739" i="8"/>
  <c r="AG2120" i="8"/>
  <c r="AG1046" i="8"/>
  <c r="AG709" i="8"/>
  <c r="AG1878" i="8"/>
  <c r="AG958" i="8"/>
  <c r="AG1880" i="8"/>
  <c r="AG1257" i="8"/>
  <c r="AG1617" i="8"/>
  <c r="AG1346" i="8"/>
  <c r="AG1301" i="8"/>
  <c r="AG1273" i="8"/>
  <c r="AG2343" i="8"/>
  <c r="AG858" i="8"/>
  <c r="AG385" i="8"/>
  <c r="AG12" i="8"/>
  <c r="AG2473" i="8"/>
  <c r="AG1890" i="8"/>
  <c r="AG2894" i="8"/>
  <c r="AG1884" i="8"/>
  <c r="AG2689" i="8"/>
  <c r="AG1810" i="8"/>
  <c r="AG2227" i="8"/>
  <c r="AG1126" i="8"/>
  <c r="AG2485" i="8"/>
  <c r="AG586" i="8"/>
  <c r="AG1402" i="8"/>
  <c r="AG1605" i="8"/>
  <c r="AG1706" i="8"/>
  <c r="AG2722" i="8"/>
  <c r="AG1809" i="8"/>
  <c r="AG2703" i="8"/>
  <c r="AG822" i="8"/>
  <c r="AG2816" i="8"/>
  <c r="AG1434" i="8"/>
  <c r="AG583" i="8"/>
  <c r="AG2962" i="8"/>
  <c r="AG584" i="8"/>
  <c r="AG1581" i="8"/>
  <c r="AG1356" i="8"/>
  <c r="AG2432" i="8"/>
  <c r="AG1288" i="8"/>
  <c r="AG2733" i="8"/>
  <c r="AG2239" i="8"/>
  <c r="AG587" i="8"/>
  <c r="AG3030" i="8"/>
  <c r="AG1704" i="8"/>
  <c r="AG1859" i="8"/>
  <c r="AG2766" i="8"/>
  <c r="AG2630" i="8"/>
  <c r="AG2397" i="8"/>
  <c r="AG1765" i="8"/>
  <c r="AG2097" i="8"/>
  <c r="AG1997" i="8"/>
  <c r="AG1306" i="8"/>
  <c r="AG86" i="8"/>
  <c r="AG3061" i="8"/>
  <c r="AG1931" i="8"/>
  <c r="AG572" i="8"/>
  <c r="AG2610" i="8"/>
  <c r="AG2877" i="8"/>
  <c r="AG2386" i="8"/>
  <c r="AG1458" i="8"/>
  <c r="AG1446" i="8"/>
  <c r="AG2529" i="8"/>
  <c r="AG491" i="8"/>
  <c r="AG2184" i="8"/>
  <c r="AG573" i="8"/>
  <c r="AG1918" i="8"/>
  <c r="AG260" i="8"/>
  <c r="AG1186" i="8"/>
  <c r="AG1263" i="8"/>
  <c r="AG2537" i="8"/>
  <c r="AG3018" i="8"/>
  <c r="AG2574" i="8"/>
  <c r="AG2153" i="8"/>
  <c r="AG2750" i="8"/>
  <c r="AG1696" i="8"/>
  <c r="AG2106" i="8"/>
  <c r="AG2547" i="8"/>
  <c r="AG1954" i="8"/>
  <c r="AG1840" i="8"/>
  <c r="AG867" i="8"/>
  <c r="AG1297" i="8"/>
  <c r="AG2216" i="8"/>
  <c r="AG1715" i="8"/>
  <c r="AG2463" i="8"/>
  <c r="AG2316" i="8"/>
  <c r="AG2586" i="8"/>
  <c r="AG1505" i="8"/>
  <c r="AG1982" i="8"/>
  <c r="AG2565" i="8"/>
  <c r="AG1833" i="8"/>
  <c r="AG1180" i="8"/>
  <c r="AG2109" i="8"/>
  <c r="AG2013" i="8"/>
  <c r="AG1970" i="8"/>
  <c r="AG2662" i="8"/>
  <c r="AG2373" i="8"/>
  <c r="AG2690" i="8"/>
  <c r="AG1086" i="8"/>
  <c r="AG1038" i="8"/>
  <c r="AG982" i="8"/>
  <c r="AG2329" i="8"/>
  <c r="AG561" i="8"/>
  <c r="AG1378" i="8"/>
  <c r="AG1005" i="8"/>
  <c r="AG2929" i="8"/>
  <c r="AG856" i="8"/>
  <c r="AG1983" i="8"/>
  <c r="AG2915" i="8"/>
  <c r="AG1628" i="8"/>
  <c r="AG1986" i="8"/>
  <c r="AG1987" i="8"/>
  <c r="AG1988" i="8"/>
  <c r="AG2695" i="8"/>
  <c r="AG1958" i="8"/>
  <c r="AG1991" i="8"/>
  <c r="AG1745" i="8"/>
  <c r="AG2246" i="8"/>
  <c r="AG1751" i="8"/>
  <c r="AG1568" i="8"/>
  <c r="AG501" i="8"/>
  <c r="AG2811" i="8"/>
  <c r="AG2594" i="8"/>
  <c r="AG1420" i="8"/>
  <c r="AG1256" i="8"/>
  <c r="AG2892" i="8"/>
  <c r="AG2951" i="8"/>
  <c r="AG1089" i="8"/>
  <c r="AG2869" i="8"/>
  <c r="AG1668" i="8"/>
  <c r="AG2621" i="8"/>
  <c r="AG2898" i="8"/>
  <c r="AG2383" i="8"/>
  <c r="AG2009" i="8"/>
  <c r="AG2010" i="8"/>
  <c r="AG2011" i="8"/>
  <c r="AG2457" i="8"/>
  <c r="AG1175" i="8"/>
  <c r="AG1957" i="8"/>
  <c r="AG2194" i="8"/>
  <c r="AG748" i="8"/>
  <c r="AG1855" i="8"/>
  <c r="AG2780" i="8"/>
  <c r="AG2412" i="8"/>
  <c r="AG1330" i="8"/>
  <c r="AG2628" i="8"/>
  <c r="AG2396" i="8"/>
  <c r="AG2023" i="8"/>
  <c r="AG366" i="8"/>
  <c r="AG1261" i="8"/>
  <c r="AG1827" i="8"/>
  <c r="AG1477" i="8"/>
  <c r="AG1255" i="8"/>
  <c r="AG502" i="8"/>
  <c r="AG2684" i="8"/>
  <c r="AG2934" i="8"/>
  <c r="AG2414" i="8"/>
  <c r="AG2413" i="8"/>
  <c r="AG1489" i="8"/>
  <c r="AG2035" i="8"/>
  <c r="AG2032" i="8"/>
  <c r="AG2037" i="8"/>
  <c r="AG3019" i="8"/>
  <c r="AG1744" i="8"/>
  <c r="AG400" i="8"/>
  <c r="AG1583" i="8"/>
  <c r="AG2145" i="8"/>
  <c r="AG547" i="8"/>
  <c r="AG2061" i="8"/>
  <c r="AG2850" i="8"/>
  <c r="AG2211" i="8"/>
  <c r="AG1042" i="8"/>
  <c r="AG2797" i="8"/>
  <c r="AG1083" i="8"/>
  <c r="AG1102" i="8"/>
  <c r="AG2622" i="8"/>
  <c r="AG2052" i="8"/>
  <c r="AG2423" i="8"/>
  <c r="AG606" i="8"/>
  <c r="AG2814" i="8"/>
  <c r="AG2861" i="8"/>
  <c r="AG1313" i="8"/>
  <c r="AG1425" i="8"/>
  <c r="AG3017" i="8"/>
  <c r="AG2291" i="8"/>
  <c r="AG382" i="8"/>
  <c r="AG2926" i="8"/>
  <c r="AG2095" i="8"/>
  <c r="AG1705" i="8"/>
  <c r="AG2615" i="8"/>
  <c r="AG645" i="8"/>
  <c r="AG2788" i="8"/>
  <c r="AG2068" i="8"/>
  <c r="AG530" i="8"/>
  <c r="AG3044" i="8"/>
  <c r="AG2806" i="8"/>
  <c r="AG1773" i="8"/>
  <c r="AG1930" i="8"/>
  <c r="AG2074" i="8"/>
  <c r="AG746" i="8"/>
  <c r="AG1380" i="8"/>
  <c r="AG2385" i="8"/>
  <c r="AG2078" i="8"/>
  <c r="AG2057" i="8"/>
  <c r="AG2853" i="8"/>
  <c r="AG2598" i="8"/>
  <c r="AG2824" i="8"/>
  <c r="AG1452" i="8"/>
  <c r="AG2883" i="8"/>
  <c r="AG1599" i="8"/>
  <c r="AG2913" i="8"/>
  <c r="AG1663" i="8"/>
  <c r="AG1018" i="8"/>
  <c r="AG1614" i="8"/>
  <c r="AG2296" i="8"/>
  <c r="AG1739" i="8"/>
  <c r="AG2050" i="8"/>
  <c r="AG1461" i="8"/>
  <c r="AG1892" i="8"/>
  <c r="AG1563" i="8"/>
  <c r="AG2886" i="8"/>
  <c r="AG2101" i="8"/>
  <c r="AG2682" i="8"/>
  <c r="AG2099" i="8"/>
  <c r="AG1564" i="8"/>
  <c r="AG1309" i="8"/>
  <c r="AG1440" i="8"/>
  <c r="AG578" i="8"/>
  <c r="AG2288" i="8"/>
  <c r="AG1793" i="8"/>
  <c r="AG2508" i="8"/>
  <c r="AG2107" i="8"/>
  <c r="AG2108" i="8"/>
  <c r="AG1401" i="8"/>
  <c r="AG1680" i="8"/>
  <c r="AG148" i="8"/>
  <c r="AG574" i="8"/>
  <c r="AG2113" i="8"/>
  <c r="AG2317" i="8"/>
  <c r="AG2558" i="8"/>
  <c r="AG2577" i="8"/>
  <c r="AG1270" i="8"/>
  <c r="AG2732" i="8"/>
  <c r="AG1989" i="8"/>
  <c r="AG2613" i="8"/>
  <c r="AG1796" i="8"/>
  <c r="AG1656" i="8"/>
  <c r="AG568" i="8"/>
  <c r="AG2135" i="8"/>
  <c r="AG1153" i="8"/>
  <c r="AG682" i="8"/>
  <c r="AG2190" i="8"/>
  <c r="AG2675" i="8"/>
  <c r="AG3075" i="8"/>
  <c r="AG523" i="8"/>
  <c r="AG2544" i="8"/>
  <c r="AG2132" i="8"/>
  <c r="AG2606" i="8"/>
  <c r="AG1980" i="8"/>
  <c r="AG1342" i="8"/>
  <c r="AG2002" i="8"/>
  <c r="AG2219" i="8"/>
  <c r="AG616" i="8"/>
  <c r="AG2957" i="8"/>
  <c r="AG2456" i="8"/>
  <c r="AG1450" i="8"/>
  <c r="AG2599" i="8"/>
  <c r="AG826" i="8"/>
  <c r="AG1578" i="8"/>
  <c r="AG1735" i="8"/>
  <c r="AG1674" i="8"/>
  <c r="AG1951" i="8"/>
  <c r="AG1329" i="8"/>
  <c r="AG962" i="8"/>
  <c r="AG350" i="8"/>
  <c r="AG1712" i="8"/>
  <c r="AG1803" i="8"/>
  <c r="AG1063" i="8"/>
  <c r="AG2045" i="8"/>
  <c r="AG2873" i="8"/>
  <c r="AG1193" i="8"/>
  <c r="AG2157" i="8"/>
  <c r="AG2950" i="8"/>
  <c r="AG1857" i="8"/>
  <c r="AG1517" i="8"/>
  <c r="AG647" i="8"/>
  <c r="AG2945" i="8"/>
  <c r="AG1327" i="8"/>
  <c r="AG3057" i="8"/>
  <c r="AG1338" i="8"/>
  <c r="AG2001" i="8"/>
  <c r="AG1228" i="8"/>
  <c r="AG2881" i="8"/>
  <c r="AG1645" i="8"/>
  <c r="AG1044" i="8"/>
  <c r="AG2171" i="8"/>
  <c r="AG2618" i="8"/>
  <c r="AG2238" i="8"/>
  <c r="AG2059" i="8"/>
  <c r="AG2104" i="8"/>
  <c r="AG2129" i="8"/>
  <c r="AG1218" i="8"/>
  <c r="AG1216" i="8"/>
  <c r="AG897" i="8"/>
  <c r="AG1073" i="8"/>
  <c r="AG2117" i="8"/>
  <c r="AG2069" i="8"/>
  <c r="AG1511" i="8"/>
  <c r="AG2379" i="8"/>
  <c r="AG2968" i="8"/>
  <c r="AG1317" i="8"/>
  <c r="AG2696" i="8"/>
  <c r="AG2025" i="8"/>
  <c r="AG2159" i="8"/>
  <c r="AG1500" i="8"/>
  <c r="AG2331" i="8"/>
  <c r="AG1636" i="8"/>
  <c r="AG2740" i="8"/>
  <c r="AG1416" i="8"/>
  <c r="AG1794" i="8"/>
  <c r="AG2720" i="8"/>
  <c r="AG2688" i="8"/>
  <c r="AG3003" i="8"/>
  <c r="AG1912" i="8"/>
  <c r="AG3059" i="8"/>
  <c r="AG1687" i="8"/>
  <c r="AG1328" i="8"/>
  <c r="AG2203" i="8"/>
  <c r="AG2460" i="8"/>
  <c r="AG3013" i="8"/>
  <c r="AG2965" i="8"/>
  <c r="AG1478" i="8"/>
  <c r="AG1205" i="8"/>
  <c r="AG2641" i="8"/>
  <c r="AG1777" i="8"/>
  <c r="AG1879" i="8"/>
  <c r="AG2977" i="8"/>
  <c r="AG1275" i="8"/>
  <c r="AG1154" i="8"/>
  <c r="AG2763" i="8"/>
  <c r="AG1996" i="8"/>
  <c r="AG1713" i="8"/>
  <c r="AG2992" i="8"/>
  <c r="AG1192" i="8"/>
  <c r="AG1408" i="8"/>
  <c r="AG919" i="8"/>
  <c r="AG2364" i="8"/>
  <c r="AG1208" i="8"/>
  <c r="AG2281" i="8"/>
  <c r="AG2943" i="8"/>
  <c r="AG2226" i="8"/>
  <c r="AG2492" i="8"/>
  <c r="AG3037" i="8"/>
  <c r="AG2439" i="8"/>
  <c r="AG2151" i="8"/>
  <c r="AG2719" i="8"/>
  <c r="AG2828" i="8"/>
  <c r="AG2233" i="8"/>
  <c r="AG665" i="8"/>
  <c r="AG2338" i="8"/>
  <c r="AG1385" i="8"/>
  <c r="AG1648" i="8"/>
  <c r="AG2415" i="8"/>
  <c r="AG1910" i="8"/>
  <c r="AG1200" i="8"/>
  <c r="AG2979" i="8"/>
  <c r="AG1872" i="8"/>
  <c r="AG710" i="8"/>
  <c r="AG1106" i="8"/>
  <c r="AG324" i="8"/>
  <c r="AG1324" i="8"/>
  <c r="AG1059" i="8"/>
  <c r="AG19" i="8"/>
  <c r="AG2249" i="8"/>
  <c r="AG2782" i="8"/>
  <c r="AG2138" i="8"/>
  <c r="AG2148" i="8"/>
  <c r="AG269" i="8"/>
  <c r="AG2667" i="8"/>
  <c r="AG1836" i="8"/>
  <c r="AG2699" i="8"/>
  <c r="AG2517" i="8"/>
  <c r="AG2350" i="8"/>
  <c r="AG2213" i="8"/>
  <c r="AG2260" i="8"/>
  <c r="AG2837" i="8"/>
  <c r="AG2323" i="8"/>
  <c r="AG2909" i="8"/>
  <c r="AG2764" i="8"/>
  <c r="AG1240" i="8"/>
  <c r="AG2266" i="8"/>
  <c r="AG1778" i="8"/>
  <c r="AG2932" i="8"/>
  <c r="AG1339" i="8"/>
  <c r="AG3007" i="8"/>
  <c r="AG776" i="8"/>
  <c r="AG2868" i="8"/>
  <c r="AG2647" i="8"/>
  <c r="AG1728" i="8"/>
  <c r="AG1682" i="8"/>
  <c r="AG2493" i="8"/>
  <c r="AG2445" i="8"/>
  <c r="AG2914" i="8"/>
  <c r="AG1798" i="8"/>
  <c r="AG483" i="8"/>
  <c r="AG1366" i="8"/>
  <c r="AG2162" i="8"/>
  <c r="AG2070" i="8"/>
  <c r="AG1202" i="8"/>
  <c r="AG2285" i="8"/>
  <c r="AG1279" i="8"/>
  <c r="AG2976" i="8"/>
  <c r="AG1384" i="8"/>
  <c r="AG2248" i="8"/>
  <c r="AG1672" i="8"/>
  <c r="AG1304" i="8"/>
  <c r="AG2354" i="8"/>
  <c r="AG2252" i="8"/>
  <c r="AG3024" i="8"/>
  <c r="AG2064" i="8"/>
  <c r="AG2967" i="8"/>
  <c r="AG1662" i="8"/>
  <c r="AG2398" i="8"/>
  <c r="AG1350" i="8"/>
  <c r="AG2337" i="8"/>
  <c r="AG1442" i="8"/>
  <c r="AG2302" i="8"/>
  <c r="AG2937" i="8"/>
  <c r="AG725" i="8"/>
  <c r="AG1719" i="8"/>
  <c r="AG1606" i="8"/>
  <c r="AG2569" i="8"/>
  <c r="AG2773" i="8"/>
  <c r="AG758" i="8"/>
  <c r="AG2294" i="8"/>
  <c r="AG220" i="8"/>
  <c r="AG1633" i="8"/>
  <c r="AG1549" i="8"/>
  <c r="AG1110" i="8"/>
  <c r="AG2533" i="8"/>
  <c r="AG618" i="8"/>
  <c r="AG2020" i="8"/>
  <c r="AG459" i="8"/>
  <c r="AG226" i="8"/>
  <c r="AG3067" i="8"/>
  <c r="AG2825" i="8"/>
  <c r="AG1673" i="8"/>
  <c r="AG2183" i="8"/>
  <c r="AG2794" i="8"/>
  <c r="AG1305" i="8"/>
  <c r="AG539" i="8"/>
  <c r="AG1164" i="8"/>
  <c r="AG2344" i="8"/>
  <c r="AG1397" i="8"/>
  <c r="AG1322" i="8"/>
  <c r="AG1737" i="8"/>
  <c r="AG787" i="8"/>
  <c r="AG1116" i="8"/>
  <c r="AG2692" i="8"/>
  <c r="AG1335" i="8"/>
  <c r="AG1901" i="8"/>
  <c r="AG1151" i="8"/>
  <c r="AG2217" i="8"/>
  <c r="AG465" i="8"/>
  <c r="AG1293" i="8"/>
  <c r="AG2289" i="8"/>
  <c r="AG2320" i="8"/>
  <c r="AG2077" i="8"/>
  <c r="AG1849" i="8"/>
  <c r="AG3082" i="8"/>
  <c r="AG2382" i="8"/>
  <c r="AG1034" i="8"/>
  <c r="AG2348" i="8"/>
  <c r="AG2014" i="8"/>
  <c r="AG1336" i="8"/>
  <c r="AG1488" i="8"/>
  <c r="AG1481" i="8"/>
  <c r="AG2666" i="8"/>
  <c r="AG1575" i="8"/>
  <c r="AG1258" i="8"/>
  <c r="AG1064" i="8"/>
  <c r="AG1396" i="8"/>
  <c r="AG807" i="8"/>
  <c r="AG2712" i="8"/>
  <c r="AG3070" i="8"/>
  <c r="AG1170" i="8"/>
  <c r="AG1259" i="8"/>
  <c r="AG1204" i="8"/>
  <c r="AG2122" i="8"/>
  <c r="AG1040" i="8"/>
  <c r="AG1303" i="8"/>
  <c r="AG2367" i="8"/>
  <c r="AG1077" i="8"/>
  <c r="AG2938" i="8"/>
  <c r="AG1780" i="8"/>
  <c r="AG1415" i="8"/>
  <c r="AG2431" i="8"/>
  <c r="AG1832" i="8"/>
  <c r="AG2062" i="8"/>
  <c r="AG277" i="8"/>
  <c r="AG2170" i="8"/>
  <c r="AG296" i="8"/>
  <c r="AG2640" i="8"/>
  <c r="AG2156" i="8"/>
  <c r="AG1545" i="8"/>
  <c r="AG1748" i="8"/>
  <c r="AG1619" i="8"/>
  <c r="AG1021" i="8"/>
  <c r="AG609" i="8"/>
  <c r="AG1159" i="8"/>
  <c r="AG2036" i="8"/>
  <c r="AG1817" i="8"/>
  <c r="AG1973" i="8"/>
  <c r="AG1404" i="8"/>
  <c r="AG1936" i="8"/>
  <c r="AG1512" i="8"/>
  <c r="AG1212" i="8"/>
  <c r="AG2785" i="8"/>
  <c r="AG2910" i="8"/>
  <c r="AG1699" i="8"/>
  <c r="AG2253" i="8"/>
  <c r="AG1596" i="8"/>
  <c r="AG1476" i="8"/>
  <c r="AG3056" i="8"/>
  <c r="AG1229" i="8"/>
  <c r="AG2501" i="8"/>
  <c r="AG2112" i="8"/>
  <c r="AG519" i="8"/>
  <c r="AG1825" i="8"/>
  <c r="AG1630" i="8"/>
  <c r="AG2392" i="8"/>
  <c r="AG1875" i="8"/>
  <c r="AG1856" i="8"/>
  <c r="AG1049" i="8"/>
  <c r="AG1300" i="8"/>
  <c r="AG1527" i="8"/>
  <c r="AG2671" i="8"/>
  <c r="AG2731" i="8"/>
  <c r="AG1743" i="8"/>
  <c r="AG1658" i="8"/>
  <c r="AG1717" i="8"/>
  <c r="AG622" i="8"/>
  <c r="AG1919" i="8"/>
  <c r="AG891" i="8"/>
  <c r="AG2361" i="8"/>
  <c r="AG280" i="8"/>
  <c r="AG1367" i="8"/>
  <c r="AG798" i="8"/>
  <c r="AG2236" i="8"/>
  <c r="AG1661" i="8"/>
  <c r="AG2987" i="8"/>
  <c r="AG1895" i="8"/>
  <c r="AG2102" i="8"/>
  <c r="AG774" i="8"/>
  <c r="AG960" i="8"/>
  <c r="AG2347" i="8"/>
  <c r="AG1937" i="8"/>
  <c r="AG1772" i="8"/>
  <c r="AG1942" i="8"/>
  <c r="AG1943" i="8"/>
  <c r="AG2201" i="8"/>
  <c r="AG2455" i="8"/>
  <c r="AG1085" i="8"/>
  <c r="AG1903" i="8"/>
  <c r="AG1071" i="8"/>
  <c r="AG1660" i="8"/>
  <c r="AG1220" i="8"/>
  <c r="AG2040" i="8"/>
  <c r="AG1625" i="8"/>
  <c r="AG1463" i="8"/>
  <c r="AG1507" i="8"/>
  <c r="AG1615" i="8"/>
  <c r="AG2931" i="8"/>
  <c r="AG27" i="8"/>
  <c r="AG2450" i="8"/>
  <c r="AG322" i="8"/>
  <c r="AG2251" i="8"/>
  <c r="AG2550" i="8"/>
  <c r="AG1587" i="8"/>
  <c r="AG2250" i="8"/>
  <c r="AG1585" i="8"/>
  <c r="AG2579" i="8"/>
  <c r="AG2546" i="8"/>
  <c r="AG3029" i="8"/>
  <c r="AG1504" i="8"/>
  <c r="AG1152" i="8"/>
  <c r="AG1223" i="8"/>
  <c r="AG1774" i="8"/>
  <c r="AG2464" i="8"/>
  <c r="AG2697" i="8"/>
  <c r="AG2936" i="8"/>
  <c r="AG1128" i="8"/>
  <c r="AG2030" i="8"/>
  <c r="AG2879" i="8"/>
  <c r="AG1644" i="8"/>
  <c r="AG2846" i="8"/>
  <c r="AG1694" i="8"/>
  <c r="AG2472" i="8"/>
  <c r="AG761" i="8"/>
  <c r="AG1655" i="8"/>
  <c r="AG2774" i="8"/>
  <c r="AG1799" i="8"/>
  <c r="AG643" i="8"/>
  <c r="AG3086" i="8"/>
  <c r="AG2319" i="8"/>
  <c r="AG1231" i="8"/>
  <c r="AG2482" i="8"/>
  <c r="AG1250" i="8"/>
  <c r="AG2391" i="8"/>
  <c r="AG2652" i="8"/>
  <c r="AG882" i="8"/>
  <c r="AG1960" i="8"/>
  <c r="AG2484" i="8"/>
  <c r="AG2639" i="8"/>
  <c r="AG496" i="8"/>
  <c r="AG405" i="8"/>
  <c r="AG1412" i="8"/>
  <c r="AG2241" i="8"/>
  <c r="AG2228" i="8"/>
  <c r="AG1068" i="8"/>
  <c r="AG1962" i="8"/>
  <c r="AG1197" i="8"/>
  <c r="AG696" i="8"/>
  <c r="AG2499" i="8"/>
  <c r="AG1264" i="8"/>
  <c r="AG575" i="8"/>
  <c r="AG2502" i="8"/>
  <c r="AG1444" i="8"/>
  <c r="AG1360" i="8"/>
  <c r="AG987" i="8"/>
  <c r="AG2430" i="8"/>
  <c r="AG2507" i="8"/>
  <c r="AG3071" i="8"/>
  <c r="AG3000" i="8"/>
  <c r="AG2917" i="8"/>
  <c r="AG2685" i="8"/>
  <c r="AG1114" i="8"/>
  <c r="AG2513" i="8"/>
  <c r="AG694" i="8"/>
  <c r="AG2128" i="8"/>
  <c r="AG939" i="8"/>
  <c r="AG2693" i="8"/>
  <c r="AG2902" i="8"/>
  <c r="AG2880" i="8"/>
  <c r="AG1753" i="8"/>
  <c r="AG2966" i="8"/>
  <c r="AG1411" i="8"/>
  <c r="AG3040" i="8"/>
  <c r="AG2451" i="8"/>
  <c r="AG1870" i="8"/>
  <c r="AG2276" i="8"/>
  <c r="AG1830" i="8"/>
  <c r="AG2092" i="8"/>
  <c r="AG2133" i="8"/>
  <c r="AG2530" i="8"/>
  <c r="AG1787" i="8"/>
  <c r="AG1041" i="8"/>
  <c r="AG2995" i="8"/>
  <c r="AG2026" i="8"/>
  <c r="AG1752" i="8"/>
  <c r="AG2515" i="8"/>
  <c r="AG2557" i="8"/>
  <c r="AG1727" i="8"/>
  <c r="AG2903" i="8"/>
  <c r="AG2489" i="8"/>
  <c r="AG2900" i="8"/>
  <c r="AG2089" i="8"/>
  <c r="AG2277" i="8"/>
  <c r="AG2990" i="8"/>
  <c r="AG630" i="8"/>
  <c r="AG2562" i="8"/>
  <c r="AG1307" i="8"/>
  <c r="AG2332" i="8"/>
  <c r="AG2549" i="8"/>
  <c r="AG2872" i="8"/>
  <c r="AG2632" i="8"/>
  <c r="AG2142" i="8"/>
  <c r="AG1524" i="8"/>
  <c r="AG1629" i="8"/>
  <c r="AG1140" i="8"/>
  <c r="AG1566" i="8"/>
  <c r="AG2389" i="8"/>
  <c r="AG1667" i="8"/>
  <c r="AG2330" i="8"/>
  <c r="AG316" i="8"/>
  <c r="AG1701" i="8"/>
  <c r="AG2498" i="8"/>
  <c r="AG1409" i="8"/>
  <c r="AG615" i="8"/>
  <c r="AG2366" i="8"/>
  <c r="AG1533" i="8"/>
  <c r="AG1669" i="8"/>
  <c r="AG1905" i="8"/>
  <c r="AG2094" i="8"/>
  <c r="AG2503" i="8"/>
  <c r="AG2571" i="8"/>
  <c r="AG2202" i="8"/>
  <c r="AG2899" i="8"/>
  <c r="AG1889" i="8"/>
  <c r="AG1357" i="8"/>
  <c r="AG1994" i="8"/>
  <c r="AG2315" i="8"/>
  <c r="AG1555" i="8"/>
  <c r="AG2509" i="8"/>
  <c r="AG2994" i="8"/>
  <c r="AG1121" i="8"/>
  <c r="AG2582" i="8"/>
  <c r="AG1177" i="8"/>
  <c r="AG2155" i="8"/>
  <c r="AG1992" i="8"/>
  <c r="AG2526" i="8"/>
  <c r="AG2114" i="8"/>
  <c r="AG1896" i="8"/>
  <c r="AG2268" i="8"/>
  <c r="AG2590" i="8"/>
  <c r="AG2657" i="8"/>
  <c r="AG2592" i="8"/>
  <c r="AG1891" i="8"/>
  <c r="AG2134" i="8"/>
  <c r="AG695" i="8"/>
  <c r="AG1769" i="8"/>
  <c r="AG1156" i="8"/>
  <c r="AG2199" i="8"/>
  <c r="AG2158" i="8"/>
  <c r="AG2600" i="8"/>
  <c r="AG607" i="8"/>
  <c r="AG2980" i="8"/>
  <c r="AG2265" i="8"/>
  <c r="AG2053" i="8"/>
  <c r="AG2605" i="8"/>
  <c r="AG1604" i="8"/>
  <c r="AG3060" i="8"/>
  <c r="AG2608" i="8"/>
  <c r="AG2864" i="8"/>
  <c r="AG375" i="8"/>
  <c r="AG2560" i="8"/>
  <c r="AG1686" i="8"/>
  <c r="AG1185" i="8"/>
  <c r="AG951" i="8"/>
  <c r="AG2799" i="8"/>
  <c r="AG1861" i="8"/>
  <c r="AG2085" i="8"/>
  <c r="AG2384" i="8"/>
  <c r="AG649" i="8"/>
  <c r="AG2345" i="8"/>
  <c r="AG1620" i="8"/>
  <c r="AG1169" i="8"/>
  <c r="AG1510" i="8"/>
  <c r="AG1676" i="8"/>
  <c r="AG2341" i="8"/>
  <c r="AG2870" i="8"/>
  <c r="AG3051" i="8"/>
  <c r="AG156" i="8"/>
  <c r="AG2299" i="8"/>
  <c r="AG1182" i="8"/>
  <c r="AG1135" i="8"/>
  <c r="AG3078" i="8"/>
  <c r="AG1062" i="8"/>
  <c r="AG2634" i="8"/>
  <c r="AG1801" i="8"/>
  <c r="AG2991" i="8"/>
  <c r="AG2691" i="8"/>
  <c r="AG2921" i="8"/>
  <c r="AG2532" i="8"/>
  <c r="AG1379" i="8"/>
  <c r="AG135" i="8"/>
  <c r="AG1979" i="8"/>
  <c r="AG1948" i="8"/>
  <c r="AG2859" i="8"/>
  <c r="AG2306" i="8"/>
  <c r="AG2922" i="8"/>
  <c r="AG2494" i="8"/>
  <c r="AG1454" i="8"/>
  <c r="AG2649" i="8"/>
  <c r="AG2436" i="8"/>
  <c r="AG1146" i="8"/>
  <c r="AG1430" i="8"/>
  <c r="AG2760" i="8"/>
  <c r="AG3048" i="8"/>
  <c r="AG1280" i="8"/>
  <c r="AG2497" i="8"/>
  <c r="AG1652" i="8"/>
  <c r="AG2506" i="8"/>
  <c r="AG2646" i="8"/>
  <c r="AG2660" i="8"/>
  <c r="AG2661" i="8"/>
  <c r="AG2258" i="8"/>
  <c r="AG2221" i="8"/>
  <c r="AG1950" i="8"/>
  <c r="AG2447" i="8"/>
  <c r="AG1400" i="8"/>
  <c r="AG1291" i="8"/>
  <c r="AG2677" i="8"/>
  <c r="AG1369" i="8"/>
  <c r="AG2307" i="8"/>
  <c r="AG2737" i="8"/>
  <c r="AG1906" i="8"/>
  <c r="AG2416" i="8"/>
  <c r="AG2063" i="8"/>
  <c r="AG2541" i="8"/>
  <c r="AG2906" i="8"/>
  <c r="AG3077" i="8"/>
  <c r="AG2554" i="8"/>
  <c r="AG1514" i="8"/>
  <c r="AG2680" i="8"/>
  <c r="AG2681" i="8"/>
  <c r="AG3038" i="8"/>
  <c r="AG49" i="8"/>
  <c r="AG2210" i="8"/>
  <c r="AG2286" i="8"/>
  <c r="AG2468" i="8"/>
  <c r="AG3012" i="8"/>
  <c r="AG2701" i="8"/>
  <c r="AG1838" i="8"/>
  <c r="AG1066" i="8"/>
  <c r="AG1183" i="8"/>
  <c r="AG2596" i="8"/>
  <c r="AG605" i="8"/>
  <c r="AG2334" i="8"/>
  <c r="AG2160" i="8"/>
  <c r="AG2075" i="8"/>
  <c r="AG1403" i="8"/>
  <c r="AG1067" i="8"/>
  <c r="AG2978" i="8"/>
  <c r="AG779" i="8"/>
  <c r="AG2243" i="8"/>
  <c r="AG2522" i="8"/>
  <c r="AG1805" i="8"/>
  <c r="AG1684" i="8"/>
  <c r="AG2028" i="8"/>
  <c r="AG2611" i="8"/>
  <c r="AG2707" i="8"/>
  <c r="AG1155" i="8"/>
  <c r="AG2082" i="8"/>
  <c r="AG2710" i="8"/>
  <c r="AG2887" i="8"/>
  <c r="AG1319" i="8"/>
  <c r="AG2713" i="8"/>
  <c r="AG2714" i="8"/>
  <c r="AG2717" i="8"/>
  <c r="AG1632" i="8"/>
  <c r="AG871" i="8"/>
  <c r="AG1909" i="8"/>
  <c r="AG2438" i="8"/>
  <c r="AG2953" i="8"/>
  <c r="AG2567" i="8"/>
  <c r="AG1222" i="8"/>
  <c r="AG1060" i="8"/>
  <c r="AG884" i="8"/>
  <c r="AG2525" i="8"/>
  <c r="AG2471" i="8"/>
  <c r="AG2838" i="8"/>
  <c r="AG1747" i="8"/>
  <c r="AG1485" i="8"/>
  <c r="AG749" i="8"/>
  <c r="AG1897" i="8"/>
  <c r="AG2778" i="8"/>
  <c r="AG2889" i="8"/>
  <c r="AG967" i="8"/>
  <c r="AG846" i="8"/>
  <c r="AG2736" i="8"/>
  <c r="AG2466" i="8"/>
  <c r="AG2738" i="8"/>
  <c r="AG2698" i="8"/>
  <c r="AG1900" i="8"/>
  <c r="AG2244" i="8"/>
  <c r="AG921" i="8"/>
  <c r="AG2743" i="8"/>
  <c r="AG2744" i="8"/>
  <c r="AG2655" i="8"/>
  <c r="AG1518" i="8"/>
  <c r="AG2371" i="8"/>
  <c r="AG2813" i="8"/>
  <c r="AG2749" i="8"/>
  <c r="AG1749" i="8"/>
  <c r="AG1020" i="8"/>
  <c r="AG1623" i="8"/>
  <c r="AG2514" i="8"/>
  <c r="AG2754" i="8"/>
  <c r="AG1271" i="8"/>
  <c r="AG1431" i="8"/>
  <c r="AG2198" i="8"/>
  <c r="AG676" i="8"/>
  <c r="AG3063" i="8"/>
  <c r="AG1260" i="8"/>
  <c r="AG3079" i="8"/>
  <c r="AG1161" i="8"/>
  <c r="AG2985" i="8"/>
  <c r="AG1035" i="8"/>
  <c r="AG2363" i="8"/>
  <c r="AG2136" i="8"/>
  <c r="AG3039" i="8"/>
  <c r="AG2768" i="8"/>
  <c r="AG1959" i="8"/>
  <c r="AG1993" i="8"/>
  <c r="AG2771" i="8"/>
  <c r="AG1898" i="8"/>
  <c r="AG610" i="8"/>
  <c r="AG1267" i="8"/>
  <c r="AG1502" i="8"/>
  <c r="AG2476" i="8"/>
  <c r="AG1003" i="8"/>
  <c r="AG2477" i="8"/>
  <c r="AG1947" i="8"/>
  <c r="AG2856" i="8"/>
  <c r="AG2480" i="8"/>
  <c r="AG1602" i="8"/>
  <c r="AG3011" i="8"/>
  <c r="AG2504" i="8"/>
  <c r="AG362" i="8"/>
  <c r="AG631" i="8"/>
  <c r="AG1779" i="8"/>
  <c r="AG2093" i="8"/>
  <c r="AG2827" i="8"/>
  <c r="AG91" i="8"/>
  <c r="AG1251" i="8"/>
  <c r="AG1560" i="8"/>
  <c r="AG1087" i="8"/>
  <c r="AG1768" i="8"/>
  <c r="AG770" i="8"/>
  <c r="AG2796" i="8"/>
  <c r="AG872" i="8"/>
  <c r="AG1147" i="8"/>
  <c r="AG1670" i="8"/>
  <c r="AG2629" i="8"/>
  <c r="AG2801" i="8"/>
  <c r="AG2648" i="8"/>
  <c r="AG1844" i="8"/>
  <c r="AG2375" i="8"/>
  <c r="AG1509" i="8"/>
  <c r="AG1853" i="8"/>
  <c r="AG2178" i="8"/>
  <c r="AG2542" i="8"/>
  <c r="AG1429" i="8"/>
  <c r="AG3006" i="8"/>
  <c r="AG1985" i="8"/>
  <c r="AG1934" i="8"/>
  <c r="AG875" i="8"/>
  <c r="AG1168" i="8"/>
  <c r="AG2212" i="8"/>
  <c r="AG1609" i="8"/>
  <c r="AG2187" i="8"/>
  <c r="AG1925" i="8"/>
  <c r="AG1390" i="8"/>
  <c r="AG1498" i="8"/>
  <c r="AG1491" i="8"/>
  <c r="AG2012" i="8"/>
  <c r="AG2823" i="8"/>
  <c r="AG443" i="8"/>
  <c r="AG1074" i="8"/>
  <c r="AG1740" i="8"/>
  <c r="AG2555" i="8"/>
  <c r="AG1926" i="8"/>
  <c r="AG474" i="8"/>
  <c r="AG1469" i="8"/>
  <c r="AG1995" i="8"/>
  <c r="AG2832" i="8"/>
  <c r="AG1845" i="8"/>
  <c r="AG1464" i="8"/>
  <c r="AG2612" i="8"/>
  <c r="AG1965" i="8"/>
  <c r="AG1876" i="8"/>
  <c r="AG1316" i="8"/>
  <c r="AG2866" i="8"/>
  <c r="AG1724" i="8"/>
  <c r="AG1887" i="8"/>
  <c r="AG1786" i="8"/>
  <c r="AG860" i="8"/>
  <c r="AG2263" i="8"/>
  <c r="AG2845" i="8"/>
  <c r="AG1391" i="8"/>
  <c r="AG549" i="8"/>
  <c r="AG814" i="8"/>
  <c r="AG3091" i="8"/>
  <c r="AG1976" i="8"/>
  <c r="AG2839" i="8"/>
  <c r="AG1741" i="8"/>
  <c r="AG2742" i="8"/>
  <c r="AG2673" i="8"/>
  <c r="AG2441" i="8"/>
  <c r="AG1354" i="8"/>
  <c r="AG2623" i="8"/>
  <c r="AG2071" i="8"/>
  <c r="AG2407" i="8"/>
  <c r="AG1963" i="8"/>
  <c r="AG1302" i="8"/>
  <c r="AG2111" i="8"/>
  <c r="AG2683" i="8"/>
  <c r="AG995" i="8"/>
  <c r="AG1554" i="8"/>
  <c r="AG1188" i="8"/>
  <c r="AG3083" i="8"/>
  <c r="AG1688" i="8"/>
  <c r="AG2222" i="8"/>
  <c r="AG1460" i="8"/>
  <c r="AG1952" i="8"/>
  <c r="AG1759" i="8"/>
  <c r="AG1217" i="8"/>
  <c r="AG3088" i="8"/>
  <c r="AG2960" i="8"/>
  <c r="AG1051" i="8"/>
  <c r="AG2261" i="8"/>
  <c r="AG1343" i="8"/>
  <c r="AG2478" i="8"/>
  <c r="AG2505" i="8"/>
  <c r="AG2964" i="8"/>
  <c r="AG2204" i="8"/>
  <c r="AG1277" i="8"/>
  <c r="AG1337" i="8"/>
  <c r="AG1922" i="8"/>
  <c r="AG2446" i="8"/>
  <c r="AG2884" i="8"/>
  <c r="AG2888" i="8"/>
  <c r="AG1588" i="8"/>
  <c r="AG3027" i="8"/>
  <c r="AG2273" i="8"/>
  <c r="AG38" i="8"/>
  <c r="AG514" i="8"/>
  <c r="AG1056" i="8"/>
  <c r="AG152" i="8"/>
  <c r="AG2896" i="8"/>
  <c r="AG1529" i="8"/>
  <c r="AG2259" i="8"/>
  <c r="AG1653" i="8"/>
  <c r="AG1761" i="8"/>
  <c r="AG2901" i="8"/>
  <c r="AG2520" i="8"/>
  <c r="AG2831" i="8"/>
  <c r="AG2283" i="8"/>
  <c r="AG2728" i="8"/>
  <c r="AG2179" i="8"/>
  <c r="AG1582" i="8"/>
  <c r="AG2173" i="8"/>
  <c r="AG3058" i="8"/>
  <c r="AG2321" i="8"/>
  <c r="AG1090" i="8"/>
  <c r="AG3041" i="8"/>
  <c r="AG2942" i="8"/>
  <c r="AG2359" i="8"/>
  <c r="AG1201" i="8"/>
  <c r="AG125" i="8"/>
  <c r="AG1199" i="8"/>
  <c r="AG1351" i="8"/>
  <c r="AG2919" i="8"/>
  <c r="AG1162" i="8"/>
  <c r="AG250" i="8"/>
  <c r="AG1949" i="8"/>
  <c r="AG1113" i="8"/>
  <c r="AG1389" i="8"/>
  <c r="AG2974" i="8"/>
  <c r="AG2255" i="8"/>
  <c r="AG2603" i="8"/>
  <c r="AG2196" i="8"/>
  <c r="AG2189" i="8"/>
  <c r="AG1070" i="8"/>
  <c r="AG2686" i="8"/>
  <c r="AG2805" i="8"/>
  <c r="AG2933" i="8"/>
  <c r="AG2882" i="8"/>
  <c r="AG2339" i="8"/>
  <c r="AG1023" i="8"/>
  <c r="AG974" i="8"/>
  <c r="AG509" i="8"/>
  <c r="AG1374" i="8"/>
  <c r="AG2940" i="8"/>
  <c r="AG2191" i="8"/>
  <c r="AG2377" i="8"/>
  <c r="AG1788" i="8"/>
  <c r="AG2369" i="8"/>
  <c r="AG2798" i="8"/>
  <c r="AG2817" i="8"/>
  <c r="AG2047" i="8"/>
  <c r="AG2325" i="8"/>
  <c r="AG2949" i="8"/>
  <c r="AG2609" i="8"/>
  <c r="AG1770" i="8"/>
  <c r="AG678" i="8"/>
  <c r="AG2643" i="8"/>
  <c r="AG1032" i="8"/>
  <c r="AG1586" i="8"/>
  <c r="AG1776" i="8"/>
  <c r="AG3045" i="8"/>
  <c r="AG285" i="8"/>
  <c r="AG2944" i="8"/>
  <c r="AG2140" i="8"/>
  <c r="AG1386" i="8"/>
  <c r="AG1807" i="8"/>
  <c r="AG724" i="8"/>
  <c r="AG1483" i="8"/>
  <c r="AG930" i="8"/>
  <c r="AG3047" i="8"/>
  <c r="AG2287" i="8"/>
  <c r="AG2081" i="8"/>
  <c r="AG2865" i="8"/>
  <c r="AG2970" i="8"/>
  <c r="AG1886" i="8"/>
  <c r="AG691" i="8"/>
  <c r="AG1081" i="8"/>
  <c r="AG3089" i="8"/>
  <c r="AG1225" i="8"/>
  <c r="AG658" i="8"/>
  <c r="AG848" i="8"/>
  <c r="AG2021" i="8"/>
  <c r="AG2175" i="8"/>
  <c r="AG2374" i="8"/>
  <c r="AG2041" i="8"/>
  <c r="AG1999" i="8"/>
  <c r="AG341" i="8"/>
  <c r="AG2792" i="8"/>
  <c r="AG644" i="8"/>
  <c r="AG1571" i="8"/>
  <c r="AG1173" i="8"/>
  <c r="AG1944" i="8"/>
  <c r="AG2521" i="8"/>
  <c r="AG1867" i="8"/>
  <c r="AG2368" i="8"/>
  <c r="AG2604" i="8"/>
  <c r="AG1352" i="8"/>
  <c r="AG1482" i="8"/>
  <c r="AG2893" i="8"/>
  <c r="AG2126" i="8"/>
  <c r="AG2997" i="8"/>
  <c r="AG1383" i="8"/>
  <c r="AG2008" i="8"/>
  <c r="AG585" i="8"/>
  <c r="AG2130" i="8"/>
  <c r="AG2916" i="8"/>
  <c r="AG2946" i="8"/>
  <c r="AG3004" i="8"/>
  <c r="AG3002" i="8"/>
  <c r="AG2143" i="8"/>
  <c r="AG3014" i="8"/>
  <c r="AG2961" i="8"/>
  <c r="AG3080" i="8"/>
  <c r="AG2928" i="8"/>
  <c r="AG1677" i="8"/>
  <c r="AG3009" i="8"/>
  <c r="AG1268" i="8"/>
  <c r="AG2443" i="8"/>
  <c r="AG1816" i="8"/>
  <c r="AG2072" i="8"/>
  <c r="AG2804" i="8"/>
  <c r="AG2033" i="8"/>
  <c r="AG1082" i="8"/>
  <c r="AG3020" i="8"/>
  <c r="AG2161" i="8"/>
  <c r="AG1011" i="8"/>
  <c r="AG1004" i="8"/>
  <c r="AG2802" i="8"/>
  <c r="AG2536" i="8"/>
  <c r="AG488" i="8"/>
  <c r="AG2566" i="8"/>
  <c r="AG3028" i="8"/>
  <c r="AG339" i="8"/>
  <c r="AG1014" i="8"/>
  <c r="AG3031" i="8"/>
  <c r="AG2039" i="8"/>
  <c r="AG771" i="8"/>
  <c r="AG713" i="8"/>
  <c r="AG2214" i="8"/>
  <c r="AG344" i="8"/>
  <c r="AG2543" i="8"/>
  <c r="AG1236" i="8"/>
  <c r="AG2516" i="8"/>
  <c r="AG2284" i="8"/>
  <c r="AG1804" i="8"/>
  <c r="AG625" i="8"/>
  <c r="AG1544" i="8"/>
  <c r="AG2313" i="8"/>
  <c r="AG1466" i="8"/>
  <c r="AG505" i="8"/>
  <c r="AG1592" i="8"/>
  <c r="AG2878" i="8"/>
  <c r="AG393" i="8"/>
  <c r="AG2993" i="8"/>
  <c r="AG1394" i="8"/>
  <c r="AG1292" i="8"/>
  <c r="AG515" i="8"/>
  <c r="AG318" i="8"/>
  <c r="AG1618" i="8"/>
  <c r="AG2453" i="8"/>
  <c r="AG8" i="8"/>
  <c r="AG1230" i="8"/>
  <c r="AG2193" i="8"/>
  <c r="AG2723" i="8"/>
  <c r="AG2073" i="8"/>
  <c r="AG2333" i="8"/>
  <c r="AG985" i="8"/>
  <c r="AG3064" i="8"/>
  <c r="AG1664" i="8"/>
  <c r="AG2678" i="8"/>
  <c r="AG938" i="8"/>
  <c r="AG1579" i="8"/>
  <c r="AG2326" i="8"/>
  <c r="AG1526" i="8"/>
  <c r="AG1828" i="8"/>
  <c r="AG2908" i="8"/>
  <c r="AG2573" i="8"/>
  <c r="AG2576" i="8"/>
  <c r="AG2793" i="8"/>
  <c r="AG1767" i="8"/>
  <c r="AG763" i="8"/>
  <c r="AG2440" i="8"/>
  <c r="AG2044" i="8"/>
  <c r="AG2614" i="8"/>
  <c r="AG933" i="8"/>
  <c r="AG1424" i="8"/>
  <c r="AG2177" i="8"/>
  <c r="AG2835" i="8"/>
  <c r="AG1850" i="8"/>
  <c r="AG1490" i="8"/>
  <c r="AG1714" i="8"/>
  <c r="AG1480" i="8"/>
  <c r="AG1754" i="8"/>
  <c r="AG2351" i="8"/>
  <c r="AG541" i="8"/>
  <c r="V88" i="8"/>
  <c r="V1746" i="8"/>
  <c r="V85" i="8"/>
  <c r="V84" i="8"/>
  <c r="V83" i="8"/>
  <c r="V434" i="8"/>
  <c r="V2948" i="8"/>
  <c r="V357" i="8"/>
  <c r="V2815" i="8"/>
  <c r="V1132" i="8"/>
  <c r="V2625" i="8"/>
  <c r="V1923" i="8"/>
  <c r="V2312" i="8"/>
  <c r="V2483" i="8"/>
  <c r="V2973" i="8"/>
  <c r="V13" i="8"/>
  <c r="V14" i="8"/>
  <c r="V2912" i="8"/>
  <c r="V16" i="8"/>
  <c r="V17" i="8"/>
  <c r="V18" i="8"/>
  <c r="V1340" i="8"/>
  <c r="V137" i="8"/>
  <c r="V21" i="8"/>
  <c r="V970" i="8"/>
  <c r="V23" i="8"/>
  <c r="V36" i="8"/>
  <c r="V25" i="8"/>
  <c r="V1720" i="8"/>
  <c r="V1144" i="8"/>
  <c r="V427" i="8"/>
  <c r="V287" i="8"/>
  <c r="V30" i="8"/>
  <c r="V31" i="8"/>
  <c r="V2144" i="8"/>
  <c r="V289" i="8"/>
  <c r="V364" i="8"/>
  <c r="V35" i="8"/>
  <c r="V2653" i="8"/>
  <c r="V2580" i="8"/>
  <c r="V170" i="8"/>
  <c r="V39" i="8"/>
  <c r="V160" i="8"/>
  <c r="V946" i="8"/>
  <c r="V42" i="8"/>
  <c r="V1924" i="8"/>
  <c r="V44" i="8"/>
  <c r="V2324" i="8"/>
  <c r="V2427" i="8"/>
  <c r="V47" i="8"/>
  <c r="V48" i="8"/>
  <c r="V892" i="8"/>
  <c r="V70" i="8"/>
  <c r="V51" i="8"/>
  <c r="V2088" i="8"/>
  <c r="V98" i="8"/>
  <c r="V54" i="8"/>
  <c r="V2708" i="8"/>
  <c r="V329" i="8"/>
  <c r="V1254" i="8"/>
  <c r="V58" i="8"/>
  <c r="V59" i="8"/>
  <c r="V773" i="8"/>
  <c r="V61" i="8"/>
  <c r="V203" i="8"/>
  <c r="V63" i="8"/>
  <c r="V64" i="8"/>
  <c r="V236" i="8"/>
  <c r="V879" i="8"/>
  <c r="V406" i="8"/>
  <c r="V68" i="8"/>
  <c r="V2999" i="8"/>
  <c r="V380" i="8"/>
  <c r="V981" i="8"/>
  <c r="V94" i="8"/>
  <c r="V73" i="8"/>
  <c r="V2462" i="8"/>
  <c r="V10" i="8"/>
  <c r="V819" i="8"/>
  <c r="V77" i="8"/>
  <c r="V78" i="8"/>
  <c r="V1888" i="8"/>
  <c r="V881" i="8"/>
  <c r="V128" i="8"/>
  <c r="V172" i="8"/>
  <c r="V2209" i="8"/>
  <c r="V194" i="8"/>
  <c r="V1523" i="8"/>
  <c r="V1092" i="8"/>
  <c r="V2390" i="8"/>
  <c r="V1873" i="8"/>
  <c r="V1314" i="8"/>
  <c r="V472" i="8"/>
  <c r="V202" i="8"/>
  <c r="V906" i="8"/>
  <c r="V2895" i="8"/>
  <c r="V1435" i="8"/>
  <c r="V299" i="8"/>
  <c r="V101" i="8"/>
  <c r="V102" i="8"/>
  <c r="V2206" i="8"/>
  <c r="V104" i="8"/>
  <c r="V2303" i="8"/>
  <c r="V106" i="8"/>
  <c r="V2205" i="8"/>
  <c r="V115" i="8"/>
  <c r="V1163" i="8"/>
  <c r="V736" i="8"/>
  <c r="V2400" i="8"/>
  <c r="V297" i="8"/>
  <c r="V113" i="8"/>
  <c r="V1956" i="8"/>
  <c r="V1977" i="8"/>
  <c r="V1826" i="8"/>
  <c r="V79" i="8"/>
  <c r="V118" i="8"/>
  <c r="V119" i="8"/>
  <c r="V786" i="8"/>
  <c r="V1449" i="8"/>
  <c r="V173" i="8"/>
  <c r="V123" i="8"/>
  <c r="V69" i="8"/>
  <c r="V470" i="8"/>
  <c r="V907" i="8"/>
  <c r="V127" i="8"/>
  <c r="V415" i="8"/>
  <c r="V2659" i="8"/>
  <c r="V843" i="8"/>
  <c r="V131" i="8"/>
  <c r="V132" i="8"/>
  <c r="V1247" i="8"/>
  <c r="V2988" i="8"/>
  <c r="V1296" i="8"/>
  <c r="V136" i="8"/>
  <c r="V1266" i="8"/>
  <c r="V56" i="8"/>
  <c r="V139" i="8"/>
  <c r="V458" i="8"/>
  <c r="V2229" i="8"/>
  <c r="V142" i="8"/>
  <c r="V215" i="8"/>
  <c r="V327" i="8"/>
  <c r="V2005" i="8"/>
  <c r="V1399" i="8"/>
  <c r="V147" i="8"/>
  <c r="V2863" i="8"/>
  <c r="V149" i="8"/>
  <c r="V150" i="8"/>
  <c r="V151" i="8"/>
  <c r="V180" i="8"/>
  <c r="V153" i="8"/>
  <c r="V447" i="8"/>
  <c r="V2519" i="8"/>
  <c r="V46" i="8"/>
  <c r="V388" i="8"/>
  <c r="V3068" i="8"/>
  <c r="V1493" i="8"/>
  <c r="V1133" i="8"/>
  <c r="V53" i="8"/>
  <c r="V1946" i="8"/>
  <c r="V1289" i="8"/>
  <c r="V165" i="8"/>
  <c r="V2381" i="8"/>
  <c r="V43" i="8"/>
  <c r="V537" i="8"/>
  <c r="V1725" i="8"/>
  <c r="V2429" i="8"/>
  <c r="V381" i="8"/>
  <c r="V1405" i="8"/>
  <c r="V99" i="8"/>
  <c r="V28" i="8"/>
  <c r="V174" i="8"/>
  <c r="V100" i="8"/>
  <c r="V176" i="8"/>
  <c r="V1486" i="8"/>
  <c r="V2370" i="8"/>
  <c r="V369" i="8"/>
  <c r="V105" i="8"/>
  <c r="V158" i="8"/>
  <c r="V1323" i="8"/>
  <c r="V183" i="8"/>
  <c r="V377" i="8"/>
  <c r="V464" i="8"/>
  <c r="V2826" i="8"/>
  <c r="V975" i="8"/>
  <c r="V2637" i="8"/>
  <c r="V1181" i="8"/>
  <c r="V2419" i="8"/>
  <c r="V2235" i="8"/>
  <c r="V1190" i="8"/>
  <c r="V397" i="8"/>
  <c r="V187" i="8"/>
  <c r="V888" i="8"/>
  <c r="V80" i="8"/>
  <c r="V197" i="8"/>
  <c r="V2857" i="8"/>
  <c r="V20" i="8"/>
  <c r="V2819" i="8"/>
  <c r="V613" i="8"/>
  <c r="V2121" i="8"/>
  <c r="V1847" i="8"/>
  <c r="V2524" i="8"/>
  <c r="V2941" i="8"/>
  <c r="V402" i="8"/>
  <c r="V207" i="8"/>
  <c r="V2224" i="8"/>
  <c r="V209" i="8"/>
  <c r="V210" i="8"/>
  <c r="V211" i="8"/>
  <c r="V212" i="8"/>
  <c r="V2930" i="8"/>
  <c r="V214" i="8"/>
  <c r="V627" i="8"/>
  <c r="V3062" i="8"/>
  <c r="V217" i="8"/>
  <c r="V9" i="8"/>
  <c r="V219" i="8"/>
  <c r="V2257" i="8"/>
  <c r="V668" i="8"/>
  <c r="V1129" i="8"/>
  <c r="V692" i="8"/>
  <c r="V24" i="8"/>
  <c r="V595" i="8"/>
  <c r="V290" i="8"/>
  <c r="V337" i="8"/>
  <c r="V715" i="8"/>
  <c r="V201" i="8"/>
  <c r="V1295" i="8"/>
  <c r="V950" i="8"/>
  <c r="V1331" i="8"/>
  <c r="V233" i="8"/>
  <c r="V545" i="8"/>
  <c r="V1548" i="8"/>
  <c r="V2656" i="8"/>
  <c r="V363" i="8"/>
  <c r="V15" i="8"/>
  <c r="V442" i="8"/>
  <c r="V198" i="8"/>
  <c r="V247" i="8"/>
  <c r="V242" i="8"/>
  <c r="V2200" i="8"/>
  <c r="V1171" i="8"/>
  <c r="V1195" i="8"/>
  <c r="V550" i="8"/>
  <c r="V559" i="8"/>
  <c r="V1546" i="8"/>
  <c r="V436" i="8"/>
  <c r="V1341" i="8"/>
  <c r="V2298" i="8"/>
  <c r="V252" i="8"/>
  <c r="V2607" i="8"/>
  <c r="V254" i="8"/>
  <c r="V1522" i="8"/>
  <c r="V2561" i="8"/>
  <c r="V1009" i="8"/>
  <c r="V2305" i="8"/>
  <c r="V259" i="8"/>
  <c r="V521" i="8"/>
  <c r="V762" i="8"/>
  <c r="V421" i="8"/>
  <c r="V2741" i="8"/>
  <c r="V140" i="8"/>
  <c r="V2380" i="8"/>
  <c r="V1513" i="8"/>
  <c r="V1665" i="8"/>
  <c r="V2658" i="8"/>
  <c r="V674" i="8"/>
  <c r="V812" i="8"/>
  <c r="V2545" i="8"/>
  <c r="V218" i="8"/>
  <c r="V1543" i="8"/>
  <c r="V478" i="8"/>
  <c r="V275" i="8"/>
  <c r="V3035" i="8"/>
  <c r="V2867" i="8"/>
  <c r="V850" i="8"/>
  <c r="V2176" i="8"/>
  <c r="V664" i="8"/>
  <c r="V1685" i="8"/>
  <c r="V596" i="8"/>
  <c r="V372" i="8"/>
  <c r="V2336" i="8"/>
  <c r="V1134" i="8"/>
  <c r="V684" i="8"/>
  <c r="V261" i="8"/>
  <c r="V911" i="8"/>
  <c r="V1467" i="8"/>
  <c r="V2365" i="8"/>
  <c r="V2709" i="8"/>
  <c r="V2841" i="8"/>
  <c r="V755" i="8"/>
  <c r="V1907" i="8"/>
  <c r="V2702" i="8"/>
  <c r="V555" i="8"/>
  <c r="V1723" i="8"/>
  <c r="V117" i="8"/>
  <c r="V67" i="8"/>
  <c r="V294" i="8"/>
  <c r="V2154" i="8"/>
  <c r="V2601" i="8"/>
  <c r="V401" i="8"/>
  <c r="V2491" i="8"/>
  <c r="V2617" i="8"/>
  <c r="V1019" i="8"/>
  <c r="V307" i="8"/>
  <c r="V109" i="8"/>
  <c r="V1781" i="8"/>
  <c r="V2131" i="8"/>
  <c r="V155" i="8"/>
  <c r="V312" i="8"/>
  <c r="V628" i="8"/>
  <c r="V1933" i="8"/>
  <c r="V57" i="8"/>
  <c r="V306" i="8"/>
  <c r="V317" i="8"/>
  <c r="V2007" i="8"/>
  <c r="V319" i="8"/>
  <c r="V611" i="8"/>
  <c r="V92" i="8"/>
  <c r="V74" i="8"/>
  <c r="V40" i="8"/>
  <c r="V2232" i="8"/>
  <c r="V206" i="8"/>
  <c r="V200" i="8"/>
  <c r="V414" i="8"/>
  <c r="V304" i="8"/>
  <c r="V3008" i="8"/>
  <c r="V2969" i="8"/>
  <c r="V1641" i="8"/>
  <c r="V916" i="8"/>
  <c r="V2591" i="8"/>
  <c r="V334" i="8"/>
  <c r="V2907" i="8"/>
  <c r="V2182" i="8"/>
  <c r="V467" i="8"/>
  <c r="V1539" i="8"/>
  <c r="V634" i="8"/>
  <c r="V1927" i="8"/>
  <c r="V766" i="8"/>
  <c r="V2376" i="8"/>
  <c r="V1961" i="8"/>
  <c r="V2724" i="8"/>
  <c r="V654" i="8"/>
  <c r="V288" i="8"/>
  <c r="V1206" i="8"/>
  <c r="V2437" i="8"/>
  <c r="V2920" i="8"/>
  <c r="V1795" i="8"/>
  <c r="V453" i="8"/>
  <c r="V2218" i="8"/>
  <c r="V410" i="8"/>
  <c r="V354" i="8"/>
  <c r="V1101" i="8"/>
  <c r="V693" i="8"/>
  <c r="V2963" i="8"/>
  <c r="V579" i="8"/>
  <c r="V416" i="8"/>
  <c r="V805" i="8"/>
  <c r="V972" i="8"/>
  <c r="V396" i="8"/>
  <c r="V2972" i="8"/>
  <c r="V2781" i="8"/>
  <c r="V365" i="8"/>
  <c r="V72" i="8"/>
  <c r="V988" i="8"/>
  <c r="V2163" i="8"/>
  <c r="V114" i="8"/>
  <c r="V638" i="8"/>
  <c r="V192" i="8"/>
  <c r="V234" i="8"/>
  <c r="V898" i="8"/>
  <c r="V374" i="8"/>
  <c r="V2454" i="8"/>
  <c r="V1473" i="8"/>
  <c r="V163" i="8"/>
  <c r="V2715" i="8"/>
  <c r="V1550" i="8"/>
  <c r="V2787" i="8"/>
  <c r="V87" i="8"/>
  <c r="V942" i="8"/>
  <c r="V626" i="8"/>
  <c r="V487" i="8"/>
  <c r="V880" i="8"/>
  <c r="V2726" i="8"/>
  <c r="V387" i="8"/>
  <c r="V2003" i="8"/>
  <c r="V569" i="8"/>
  <c r="V76" i="8"/>
  <c r="V2169" i="8"/>
  <c r="V759" i="8"/>
  <c r="V295" i="8"/>
  <c r="V2727" i="8"/>
  <c r="V2004" i="8"/>
  <c r="V171" i="8"/>
  <c r="V413" i="8"/>
  <c r="V2090" i="8"/>
  <c r="V112" i="8"/>
  <c r="V1252" i="8"/>
  <c r="V681" i="8"/>
  <c r="V399" i="8"/>
  <c r="V2168" i="8"/>
  <c r="V1530" i="8"/>
  <c r="V2585" i="8"/>
  <c r="V1837" i="8"/>
  <c r="V3084" i="8"/>
  <c r="V314" i="8"/>
  <c r="V409" i="8"/>
  <c r="V1125" i="8"/>
  <c r="V1043" i="8"/>
  <c r="V1421" i="8"/>
  <c r="V2042" i="8"/>
  <c r="V1503" i="8"/>
  <c r="V2490" i="8"/>
  <c r="V2448" i="8"/>
  <c r="V1438" i="8"/>
  <c r="V418" i="8"/>
  <c r="V2470" i="8"/>
  <c r="V915" i="8"/>
  <c r="V1864" i="8"/>
  <c r="V1012" i="8"/>
  <c r="V493" i="8"/>
  <c r="V1039" i="8"/>
  <c r="V1755" i="8"/>
  <c r="V753" i="8"/>
  <c r="V420" i="8"/>
  <c r="V1981" i="8"/>
  <c r="V948" i="8"/>
  <c r="V2762" i="8"/>
  <c r="V97" i="8"/>
  <c r="V1072" i="8"/>
  <c r="V680" i="8"/>
  <c r="V3090" i="8"/>
  <c r="V874" i="8"/>
  <c r="V2955" i="8"/>
  <c r="V437" i="8"/>
  <c r="V1551" i="8"/>
  <c r="V2292" i="8"/>
  <c r="V511" i="8"/>
  <c r="V224" i="8"/>
  <c r="V1318" i="8"/>
  <c r="V558" i="8"/>
  <c r="V144" i="8"/>
  <c r="V445" i="8"/>
  <c r="V2357" i="8"/>
  <c r="V825" i="8"/>
  <c r="V455" i="8"/>
  <c r="V282" i="8"/>
  <c r="V784" i="8"/>
  <c r="V2858" i="8"/>
  <c r="V1651" i="8"/>
  <c r="V711" i="8"/>
  <c r="V454" i="8"/>
  <c r="V248" i="8"/>
  <c r="V440" i="8"/>
  <c r="V2215" i="8"/>
  <c r="V1468" i="8"/>
  <c r="V1299" i="8"/>
  <c r="V2602" i="8"/>
  <c r="V1233" i="8"/>
  <c r="V621" i="8"/>
  <c r="V204" i="8"/>
  <c r="V168" i="8"/>
  <c r="V1143" i="8"/>
  <c r="V2570" i="8"/>
  <c r="V731" i="8"/>
  <c r="V11" i="8"/>
  <c r="V272" i="8"/>
  <c r="V2757" i="8"/>
  <c r="V1028" i="8"/>
  <c r="V940" i="8"/>
  <c r="V1457" i="8"/>
  <c r="V251" i="8"/>
  <c r="V1911" i="8"/>
  <c r="V924" i="8"/>
  <c r="V1968" i="8"/>
  <c r="V190" i="8"/>
  <c r="V130" i="8"/>
  <c r="V1496" i="8"/>
  <c r="V432" i="8"/>
  <c r="V507" i="8"/>
  <c r="V662" i="8"/>
  <c r="V2651" i="8"/>
  <c r="V3" i="8"/>
  <c r="V370" i="8"/>
  <c r="V41" i="8"/>
  <c r="V553" i="8"/>
  <c r="V2959" i="8"/>
  <c r="V687" i="8"/>
  <c r="V1975" i="8"/>
  <c r="V1916" i="8"/>
  <c r="V2098" i="8"/>
  <c r="V2765" i="8"/>
  <c r="V2274" i="8"/>
  <c r="V839" i="8"/>
  <c r="V978" i="8"/>
  <c r="V2022" i="8"/>
  <c r="V1124" i="8"/>
  <c r="V500" i="8"/>
  <c r="V265" i="8"/>
  <c r="V2225" i="8"/>
  <c r="V283" i="8"/>
  <c r="V2729" i="8"/>
  <c r="V883" i="8"/>
  <c r="V716" i="8"/>
  <c r="V963" i="8"/>
  <c r="V1834" i="8"/>
  <c r="V1058" i="8"/>
  <c r="V431" i="8"/>
  <c r="V2242" i="8"/>
  <c r="V2551" i="8"/>
  <c r="V1437" i="8"/>
  <c r="V2527" i="8"/>
  <c r="V1065" i="8"/>
  <c r="V876" i="8"/>
  <c r="V1108" i="8"/>
  <c r="V2240" i="8"/>
  <c r="V920" i="8"/>
  <c r="V2875" i="8"/>
  <c r="V1811" i="8"/>
  <c r="V790" i="8"/>
  <c r="V1572" i="8"/>
  <c r="V221" i="8"/>
  <c r="V311" i="8"/>
  <c r="V423" i="8"/>
  <c r="V2067" i="8"/>
  <c r="V494" i="8"/>
  <c r="V2475" i="8"/>
  <c r="V107" i="8"/>
  <c r="V564" i="8"/>
  <c r="V910" i="8"/>
  <c r="V489" i="8"/>
  <c r="V1103" i="8"/>
  <c r="V2755" i="8"/>
  <c r="V2834" i="8"/>
  <c r="V1475" i="8"/>
  <c r="V313" i="8"/>
  <c r="V518" i="8"/>
  <c r="V2584" i="8"/>
  <c r="V777" i="8"/>
  <c r="V953" i="8"/>
  <c r="V1095" i="8"/>
  <c r="V813" i="8"/>
  <c r="V977" i="8"/>
  <c r="V1079" i="8"/>
  <c r="V2308" i="8"/>
  <c r="V1372" i="8"/>
  <c r="V747" i="8"/>
  <c r="V71" i="8"/>
  <c r="V1494" i="8"/>
  <c r="V1920" i="8"/>
  <c r="V129" i="8"/>
  <c r="V3010" i="8"/>
  <c r="V439" i="8"/>
  <c r="V121" i="8"/>
  <c r="V529" i="8"/>
  <c r="V979" i="8"/>
  <c r="V133" i="8"/>
  <c r="V407" i="8"/>
  <c r="V1364" i="8"/>
  <c r="V253" i="8"/>
  <c r="V477" i="8"/>
  <c r="V817" i="8"/>
  <c r="V661" i="8"/>
  <c r="V2874" i="8"/>
  <c r="V293" i="8"/>
  <c r="V379" i="8"/>
  <c r="V75" i="8"/>
  <c r="V707" i="8"/>
  <c r="V169" i="8"/>
  <c r="V355" i="8"/>
  <c r="V1540" i="8"/>
  <c r="V1824" i="8"/>
  <c r="V303" i="8"/>
  <c r="V2185" i="8"/>
  <c r="V2393" i="8"/>
  <c r="V26" i="8"/>
  <c r="V2000" i="8"/>
  <c r="V1096" i="8"/>
  <c r="V512" i="8"/>
  <c r="V1006" i="8"/>
  <c r="V384" i="8"/>
  <c r="V820" i="8"/>
  <c r="V1742" i="8"/>
  <c r="V3073" i="8"/>
  <c r="V82" i="8"/>
  <c r="V745" i="8"/>
  <c r="V2588" i="8"/>
  <c r="V1689" i="8"/>
  <c r="V1622" i="8"/>
  <c r="V1520" i="8"/>
  <c r="V466" i="8"/>
  <c r="V1612" i="8"/>
  <c r="V520" i="8"/>
  <c r="V246" i="8"/>
  <c r="V789" i="8"/>
  <c r="V2694" i="8"/>
  <c r="V305" i="8"/>
  <c r="V2830" i="8"/>
  <c r="V1902" i="8"/>
  <c r="V188" i="8"/>
  <c r="V1649" i="8"/>
  <c r="V89" i="8"/>
  <c r="V964" i="8"/>
  <c r="V2356" i="8"/>
  <c r="V1428" i="8"/>
  <c r="V1048" i="8"/>
  <c r="V2247" i="8"/>
  <c r="V1974" i="8"/>
  <c r="V1721" i="8"/>
  <c r="V2663" i="8"/>
  <c r="V1326" i="8"/>
  <c r="V2807" i="8"/>
  <c r="V411" i="8"/>
  <c r="V1001" i="8"/>
  <c r="V154" i="8"/>
  <c r="V562" i="8"/>
  <c r="V552" i="8"/>
  <c r="V1785" i="8"/>
  <c r="V65" i="8"/>
  <c r="V2674" i="8"/>
  <c r="V1417" i="8"/>
  <c r="V1098" i="8"/>
  <c r="V556" i="8"/>
  <c r="V1814" i="8"/>
  <c r="V816" i="8"/>
  <c r="V1598" i="8"/>
  <c r="V468" i="8"/>
  <c r="V383" i="8"/>
  <c r="V632" i="8"/>
  <c r="V138" i="8"/>
  <c r="V185" i="8"/>
  <c r="V484" i="8"/>
  <c r="V635" i="8"/>
  <c r="V1964" i="8"/>
  <c r="V162" i="8"/>
  <c r="V175" i="8"/>
  <c r="V471" i="8"/>
  <c r="V33" i="8"/>
  <c r="V34" i="8"/>
  <c r="V182" i="8"/>
  <c r="V1584" i="8"/>
  <c r="V1115" i="8"/>
  <c r="V3033" i="8"/>
  <c r="V237" i="8"/>
  <c r="V2378" i="8"/>
  <c r="V392" i="8"/>
  <c r="V2770" i="8"/>
  <c r="V1866" i="8"/>
  <c r="V1017" i="8"/>
  <c r="V352" i="8"/>
  <c r="V718" i="8"/>
  <c r="V2654" i="8"/>
  <c r="V861" i="8"/>
  <c r="V2467" i="8"/>
  <c r="V1894" i="8"/>
  <c r="V6" i="8"/>
  <c r="V659" i="8"/>
  <c r="V81" i="8"/>
  <c r="V2024" i="8"/>
  <c r="V737" i="8"/>
  <c r="V1621" i="8"/>
  <c r="V2927" i="8"/>
  <c r="V278" i="8"/>
  <c r="V1361" i="8"/>
  <c r="V60" i="8"/>
  <c r="V865" i="8"/>
  <c r="V608" i="8"/>
  <c r="V670" i="8"/>
  <c r="V1376" i="8"/>
  <c r="V1037" i="8"/>
  <c r="V229" i="8"/>
  <c r="V1286" i="8"/>
  <c r="V3036" i="8"/>
  <c r="V1708" i="8"/>
  <c r="V677" i="8"/>
  <c r="V1802" i="8"/>
  <c r="V184" i="8"/>
  <c r="V557" i="8"/>
  <c r="V912" i="8"/>
  <c r="V2885" i="8"/>
  <c r="V332" i="8"/>
  <c r="V2956" i="8"/>
  <c r="V1234" i="8"/>
  <c r="V159" i="8"/>
  <c r="V1024" i="8"/>
  <c r="V1626" i="8"/>
  <c r="V934" i="8"/>
  <c r="V1823" i="8"/>
  <c r="V2353" i="8"/>
  <c r="V189" i="8"/>
  <c r="V1601" i="8"/>
  <c r="V345" i="8"/>
  <c r="V954" i="8"/>
  <c r="V2474" i="8"/>
  <c r="V408" i="8"/>
  <c r="V908" i="8"/>
  <c r="V699" i="8"/>
  <c r="V700" i="8"/>
  <c r="V1631" i="8"/>
  <c r="V702" i="8"/>
  <c r="V124" i="8"/>
  <c r="V1191" i="8"/>
  <c r="V2575" i="8"/>
  <c r="V2164" i="8"/>
  <c r="V947" i="8"/>
  <c r="V918" i="8"/>
  <c r="V2836" i="8"/>
  <c r="V1362" i="8"/>
  <c r="V2174" i="8"/>
  <c r="V1241" i="8"/>
  <c r="V1015" i="8"/>
  <c r="V714" i="8"/>
  <c r="V398" i="8"/>
  <c r="V480" i="8"/>
  <c r="V2587" i="8"/>
  <c r="V2759" i="8"/>
  <c r="V719" i="8"/>
  <c r="V720" i="8"/>
  <c r="V412" i="8"/>
  <c r="V997" i="8"/>
  <c r="V723" i="8"/>
  <c r="V2404" i="8"/>
  <c r="V2535" i="8"/>
  <c r="V726" i="8"/>
  <c r="V673" i="8"/>
  <c r="V1792" i="8"/>
  <c r="V729" i="8"/>
  <c r="V66" i="8"/>
  <c r="V603" i="8"/>
  <c r="V256" i="8"/>
  <c r="V733" i="8"/>
  <c r="V588" i="8"/>
  <c r="V1487" i="8"/>
  <c r="V29" i="8"/>
  <c r="V1762" i="8"/>
  <c r="V738" i="8"/>
  <c r="V1589" i="8"/>
  <c r="V199" i="8"/>
  <c r="V679" i="8"/>
  <c r="V179" i="8"/>
  <c r="V743" i="8"/>
  <c r="V238" i="8"/>
  <c r="V1497" i="8"/>
  <c r="V2989" i="8"/>
  <c r="V476" i="8"/>
  <c r="V111" i="8"/>
  <c r="V1057" i="8"/>
  <c r="V750" i="8"/>
  <c r="V751" i="8"/>
  <c r="V446" i="8"/>
  <c r="V690" i="8"/>
  <c r="V110" i="8"/>
  <c r="V177" i="8"/>
  <c r="V22" i="8"/>
  <c r="V757" i="8"/>
  <c r="V232" i="8"/>
  <c r="V870" i="8"/>
  <c r="V435" i="8"/>
  <c r="V178" i="8"/>
  <c r="V310" i="8"/>
  <c r="V945" i="8"/>
  <c r="V971" i="8"/>
  <c r="V765" i="8"/>
  <c r="V2267" i="8"/>
  <c r="V193" i="8"/>
  <c r="V62" i="8"/>
  <c r="V2197" i="8"/>
  <c r="V782" i="8"/>
  <c r="V2080" i="8"/>
  <c r="V525" i="8"/>
  <c r="V1843" i="8"/>
  <c r="V2046" i="8"/>
  <c r="V326" i="8"/>
  <c r="V2947" i="8"/>
  <c r="V2511" i="8"/>
  <c r="V778" i="8"/>
  <c r="V330" i="8"/>
  <c r="V1508" i="8"/>
  <c r="V2401" i="8"/>
  <c r="V2711" i="8"/>
  <c r="V570" i="8"/>
  <c r="V1733" i="8"/>
  <c r="V785" i="8"/>
  <c r="V2124" i="8"/>
  <c r="V1913" i="8"/>
  <c r="V797" i="8"/>
  <c r="V652" i="8"/>
  <c r="V582" i="8"/>
  <c r="V791" i="8"/>
  <c r="V792" i="8"/>
  <c r="V1365" i="8"/>
  <c r="V591" i="8"/>
  <c r="V795" i="8"/>
  <c r="V932" i="8"/>
  <c r="V2290" i="8"/>
  <c r="V308" i="8"/>
  <c r="V143" i="8"/>
  <c r="V800" i="8"/>
  <c r="V801" i="8"/>
  <c r="V802" i="8"/>
  <c r="V1877" i="8"/>
  <c r="V2790" i="8"/>
  <c r="V1516" i="8"/>
  <c r="V806" i="8"/>
  <c r="V2971" i="8"/>
  <c r="V808" i="8"/>
  <c r="V2314" i="8"/>
  <c r="V810" i="8"/>
  <c r="V1000" i="8"/>
  <c r="V3023" i="8"/>
  <c r="V2748" i="8"/>
  <c r="V2016" i="8"/>
  <c r="V328" i="8"/>
  <c r="V196" i="8"/>
  <c r="V526" i="8"/>
  <c r="V2208" i="8"/>
  <c r="V2700" i="8"/>
  <c r="V667" i="8"/>
  <c r="V205" i="8"/>
  <c r="V2983" i="8"/>
  <c r="V823" i="8"/>
  <c r="V824" i="8"/>
  <c r="V1917" i="8"/>
  <c r="V1084" i="8"/>
  <c r="V827" i="8"/>
  <c r="V1921" i="8"/>
  <c r="V829" i="8"/>
  <c r="V462" i="8"/>
  <c r="V831" i="8"/>
  <c r="V2810" i="8"/>
  <c r="V1287" i="8"/>
  <c r="V1007" i="8"/>
  <c r="V1882" i="8"/>
  <c r="V836" i="8"/>
  <c r="V457" i="8"/>
  <c r="V838" i="8"/>
  <c r="V2118" i="8"/>
  <c r="V2923" i="8"/>
  <c r="V841" i="8"/>
  <c r="V996" i="8"/>
  <c r="V449" i="8"/>
  <c r="V497" i="8"/>
  <c r="V845" i="8"/>
  <c r="V235" i="8"/>
  <c r="V847" i="8"/>
  <c r="V1624" i="8"/>
  <c r="V1707" i="8"/>
  <c r="V348" i="8"/>
  <c r="V1353" i="8"/>
  <c r="V1139" i="8"/>
  <c r="V853" i="8"/>
  <c r="V208" i="8"/>
  <c r="V301" i="8"/>
  <c r="V2426" i="8"/>
  <c r="V857" i="8"/>
  <c r="V1112" i="8"/>
  <c r="V2627" i="8"/>
  <c r="V956" i="8"/>
  <c r="V164" i="8"/>
  <c r="V1016" i="8"/>
  <c r="V732" i="8"/>
  <c r="V1407" i="8"/>
  <c r="V937" i="8"/>
  <c r="V2096" i="8"/>
  <c r="V371" i="8"/>
  <c r="V868" i="8"/>
  <c r="V2360" i="8"/>
  <c r="V902" i="8"/>
  <c r="V245" i="8"/>
  <c r="V3032" i="8"/>
  <c r="V227" i="8"/>
  <c r="V592" i="8"/>
  <c r="V548" i="8"/>
  <c r="V167" i="8"/>
  <c r="V1269" i="8"/>
  <c r="V2844" i="8"/>
  <c r="V2510" i="8"/>
  <c r="V1702" i="8"/>
  <c r="V1002" i="8"/>
  <c r="V2840" i="8"/>
  <c r="V2318" i="8"/>
  <c r="V602" i="8"/>
  <c r="V2054" i="8"/>
  <c r="V225" i="8"/>
  <c r="V887" i="8"/>
  <c r="V2905" i="8"/>
  <c r="V1141" i="8"/>
  <c r="V722" i="8"/>
  <c r="V704" i="8"/>
  <c r="V37" i="8"/>
  <c r="V2079" i="8"/>
  <c r="V1760" i="8"/>
  <c r="V451" i="8"/>
  <c r="V896" i="8"/>
  <c r="V3016" i="8"/>
  <c r="V2301" i="8"/>
  <c r="V1868" i="8"/>
  <c r="V2195" i="8"/>
  <c r="V901" i="8"/>
  <c r="V2372" i="8"/>
  <c r="V903" i="8"/>
  <c r="V852" i="8"/>
  <c r="V905" i="8"/>
  <c r="V830" i="8"/>
  <c r="V2486" i="8"/>
  <c r="V983" i="8"/>
  <c r="V909" i="8"/>
  <c r="V721" i="8"/>
  <c r="V216" i="8"/>
  <c r="V2207" i="8"/>
  <c r="V913" i="8"/>
  <c r="V629" i="8"/>
  <c r="V560" i="8"/>
  <c r="V532" i="8"/>
  <c r="V534" i="8"/>
  <c r="V2981" i="8"/>
  <c r="V660" i="8"/>
  <c r="V1839" i="8"/>
  <c r="V1127" i="8"/>
  <c r="V389" i="8"/>
  <c r="V1821" i="8"/>
  <c r="V3055" i="8"/>
  <c r="V2410" i="8"/>
  <c r="V498" i="8"/>
  <c r="V927" i="8"/>
  <c r="V1471" i="8"/>
  <c r="V2405" i="8"/>
  <c r="V461" i="8"/>
  <c r="V3034" i="8"/>
  <c r="V241" i="8"/>
  <c r="V1107" i="8"/>
  <c r="V917" i="8"/>
  <c r="V655" i="8"/>
  <c r="V2180" i="8"/>
  <c r="V1613" i="8"/>
  <c r="V258" i="8"/>
  <c r="V1105" i="8"/>
  <c r="V2349" i="8"/>
  <c r="V2147" i="8"/>
  <c r="V656" i="8"/>
  <c r="V2559" i="8"/>
  <c r="V469" i="8"/>
  <c r="V730" i="8"/>
  <c r="V2394" i="8"/>
  <c r="V351" i="8"/>
  <c r="V598" i="8"/>
  <c r="V2043" i="8"/>
  <c r="V263" i="8"/>
  <c r="V45" i="8"/>
  <c r="V1111" i="8"/>
  <c r="V336" i="8"/>
  <c r="V281" i="8"/>
  <c r="V955" i="8"/>
  <c r="V854" i="8"/>
  <c r="V522" i="8"/>
  <c r="V2452" i="8"/>
  <c r="V834" i="8"/>
  <c r="V309" i="8"/>
  <c r="V2280" i="8"/>
  <c r="V2595" i="8"/>
  <c r="V1998" i="8"/>
  <c r="V991" i="8"/>
  <c r="V2986" i="8"/>
  <c r="V980" i="8"/>
  <c r="V2496" i="8"/>
  <c r="V1718" i="8"/>
  <c r="V969" i="8"/>
  <c r="V2231" i="8"/>
  <c r="V2855" i="8"/>
  <c r="V120" i="8"/>
  <c r="V1088" i="8"/>
  <c r="V1797" i="8"/>
  <c r="V612" i="8"/>
  <c r="V1700" i="8"/>
  <c r="V2422" i="8"/>
  <c r="V2421" i="8"/>
  <c r="V589" i="8"/>
  <c r="V2495" i="8"/>
  <c r="V292" i="8"/>
  <c r="V1654" i="8"/>
  <c r="V2984" i="8"/>
  <c r="V1281" i="8"/>
  <c r="V1679" i="8"/>
  <c r="V986" i="8"/>
  <c r="V929" i="8"/>
  <c r="V928" i="8"/>
  <c r="V2127" i="8"/>
  <c r="V2581" i="8"/>
  <c r="V1852" i="8"/>
  <c r="V2758" i="8"/>
  <c r="V425" i="8"/>
  <c r="V2481" i="8"/>
  <c r="V989" i="8"/>
  <c r="V998" i="8"/>
  <c r="V403" i="8"/>
  <c r="V1525" i="8"/>
  <c r="V1093" i="8"/>
  <c r="V2166" i="8"/>
  <c r="V2006" i="8"/>
  <c r="V1427" i="8"/>
  <c r="V528" i="8"/>
  <c r="V1426" i="8"/>
  <c r="V1726" i="8"/>
  <c r="V943" i="8"/>
  <c r="V1698" i="8"/>
  <c r="V3049" i="8"/>
  <c r="V866" i="8"/>
  <c r="V2146" i="8"/>
  <c r="V1253" i="8"/>
  <c r="V890" i="8"/>
  <c r="V2358" i="8"/>
  <c r="V1310" i="8"/>
  <c r="V1893" i="8"/>
  <c r="V239" i="8"/>
  <c r="V828" i="8"/>
  <c r="V949" i="8"/>
  <c r="V2756" i="8"/>
  <c r="V2670" i="8"/>
  <c r="V2540" i="8"/>
  <c r="V2295" i="8"/>
  <c r="V243" i="8"/>
  <c r="V580" i="8"/>
  <c r="V166" i="8"/>
  <c r="V1026" i="8"/>
  <c r="V1027" i="8"/>
  <c r="V1635" i="8"/>
  <c r="V818" i="8"/>
  <c r="V2029" i="8"/>
  <c r="V331" i="8"/>
  <c r="V1929" i="8"/>
  <c r="V181" i="8"/>
  <c r="V2563" i="8"/>
  <c r="V2897" i="8"/>
  <c r="V1036" i="8"/>
  <c r="V1381" i="8"/>
  <c r="V2676" i="8"/>
  <c r="V620" i="8"/>
  <c r="V3053" i="8"/>
  <c r="V619" i="8"/>
  <c r="V2049" i="8"/>
  <c r="V390" i="8"/>
  <c r="V1858" i="8"/>
  <c r="V438" i="8"/>
  <c r="V2539" i="8"/>
  <c r="V1047" i="8"/>
  <c r="V577" i="8"/>
  <c r="V546" i="8"/>
  <c r="V222" i="8"/>
  <c r="V1731" i="8"/>
  <c r="V931" i="8"/>
  <c r="V2638" i="8"/>
  <c r="V213" i="8"/>
  <c r="V1055" i="8"/>
  <c r="V2352" i="8"/>
  <c r="V1439" i="8"/>
  <c r="V368" i="8"/>
  <c r="V590" i="8"/>
  <c r="V1441" i="8"/>
  <c r="V315" i="8"/>
  <c r="V1784" i="8"/>
  <c r="V360" i="8"/>
  <c r="V1333" i="8"/>
  <c r="V1528" i="8"/>
  <c r="V1885" i="8"/>
  <c r="V7" i="8"/>
  <c r="V244" i="8"/>
  <c r="V300" i="8"/>
  <c r="V1577" i="8"/>
  <c r="V417" i="8"/>
  <c r="V1395" i="8"/>
  <c r="V2115" i="8"/>
  <c r="V1117" i="8"/>
  <c r="V134" i="8"/>
  <c r="V1076" i="8"/>
  <c r="V735" i="8"/>
  <c r="V1078" i="8"/>
  <c r="V666" i="8"/>
  <c r="V503" i="8"/>
  <c r="V441" i="8"/>
  <c r="V1025" i="8"/>
  <c r="V2716" i="8"/>
  <c r="V1347" i="8"/>
  <c r="V1029" i="8"/>
  <c r="V2150" i="8"/>
  <c r="V1915" i="8"/>
  <c r="V378" i="8"/>
  <c r="V703" i="8"/>
  <c r="V1104" i="8"/>
  <c r="V1091" i="8"/>
  <c r="V837" i="8"/>
  <c r="V1854" i="8"/>
  <c r="V2721" i="8"/>
  <c r="V240" i="8"/>
  <c r="V2672" i="8"/>
  <c r="V1097" i="8"/>
  <c r="V1640" i="8"/>
  <c r="V1099" i="8"/>
  <c r="V3087" i="8"/>
  <c r="V599" i="8"/>
  <c r="V376" i="8"/>
  <c r="V993" i="8"/>
  <c r="V460" i="8"/>
  <c r="V900" i="8"/>
  <c r="V473" i="8"/>
  <c r="V744" i="8"/>
  <c r="V1237" i="8"/>
  <c r="V1939" i="8"/>
  <c r="V803" i="8"/>
  <c r="V646" i="8"/>
  <c r="V266" i="8"/>
  <c r="V356" i="8"/>
  <c r="V2996" i="8"/>
  <c r="V1782" i="8"/>
  <c r="V268" i="8"/>
  <c r="V2458" i="8"/>
  <c r="V2355" i="8"/>
  <c r="V1552" i="8"/>
  <c r="V2019" i="8"/>
  <c r="V1242" i="8"/>
  <c r="V1122" i="8"/>
  <c r="V2328" i="8"/>
  <c r="V533" i="8"/>
  <c r="V544" i="8"/>
  <c r="V2642" i="8"/>
  <c r="V1783" i="8"/>
  <c r="V424" i="8"/>
  <c r="V686" i="8"/>
  <c r="V2822" i="8"/>
  <c r="V1131" i="8"/>
  <c r="V32" i="8"/>
  <c r="V1650" i="8"/>
  <c r="V1120" i="8"/>
  <c r="V617" i="8"/>
  <c r="V340" i="8"/>
  <c r="V1137" i="8"/>
  <c r="V1436" i="8"/>
  <c r="V1542" i="8"/>
  <c r="V262" i="8"/>
  <c r="V1534" i="8"/>
  <c r="V195" i="8"/>
  <c r="V1052" i="8"/>
  <c r="V2119" i="8"/>
  <c r="V1145" i="8"/>
  <c r="V2998" i="8"/>
  <c r="V1573" i="8"/>
  <c r="V2279" i="8"/>
  <c r="V936" i="8"/>
  <c r="V1150" i="8"/>
  <c r="V2753" i="8"/>
  <c r="V783" i="8"/>
  <c r="V284" i="8"/>
  <c r="V2340" i="8"/>
  <c r="V769" i="8"/>
  <c r="V1265" i="8"/>
  <c r="V1157" i="8"/>
  <c r="V1158" i="8"/>
  <c r="V688" i="8"/>
  <c r="V788" i="8"/>
  <c r="V2734" i="8"/>
  <c r="V1080" i="8"/>
  <c r="V230" i="8"/>
  <c r="V3081" i="8"/>
  <c r="V2027" i="8"/>
  <c r="V1166" i="8"/>
  <c r="V772" i="8"/>
  <c r="V146" i="8"/>
  <c r="V1637" i="8"/>
  <c r="V1054" i="8"/>
  <c r="V3052" i="8"/>
  <c r="V1358" i="8"/>
  <c r="V231" i="8"/>
  <c r="V1174" i="8"/>
  <c r="V349" i="8"/>
  <c r="V2776" i="8"/>
  <c r="V1791" i="8"/>
  <c r="V1178" i="8"/>
  <c r="V1561" i="8"/>
  <c r="V516" i="8"/>
  <c r="V624" i="8"/>
  <c r="V1738" i="8"/>
  <c r="V1865" i="8"/>
  <c r="V535" i="8"/>
  <c r="V2633" i="8"/>
  <c r="V1710" i="8"/>
  <c r="V1459" i="8"/>
  <c r="V2304" i="8"/>
  <c r="V1189" i="8"/>
  <c r="V2245" i="8"/>
  <c r="V482" i="8"/>
  <c r="V433" i="8"/>
  <c r="V1432" i="8"/>
  <c r="V705" i="8"/>
  <c r="V563" i="8"/>
  <c r="V2775" i="8"/>
  <c r="V524" i="8"/>
  <c r="V270" i="8"/>
  <c r="V3042" i="8"/>
  <c r="V1393" i="8"/>
  <c r="V2531" i="8"/>
  <c r="V701" i="8"/>
  <c r="V1203" i="8"/>
  <c r="V223" i="8"/>
  <c r="V2461" i="8"/>
  <c r="V2779" i="8"/>
  <c r="V1207" i="8"/>
  <c r="V395" i="8"/>
  <c r="V1209" i="8"/>
  <c r="V2803" i="8"/>
  <c r="V1211" i="8"/>
  <c r="V4" i="8"/>
  <c r="V444" i="8"/>
  <c r="V604" i="8"/>
  <c r="V2300" i="8"/>
  <c r="V273" i="8"/>
  <c r="V2403" i="8"/>
  <c r="V1119" i="8"/>
  <c r="V1320" i="8"/>
  <c r="V2116" i="8"/>
  <c r="V1221" i="8"/>
  <c r="V2795" i="8"/>
  <c r="V2123" i="8"/>
  <c r="V1224" i="8"/>
  <c r="V1557" i="8"/>
  <c r="V623" i="8"/>
  <c r="V2262" i="8"/>
  <c r="V394" i="8"/>
  <c r="V1763" i="8"/>
  <c r="V1692" i="8"/>
  <c r="V510" i="8"/>
  <c r="V1232" i="8"/>
  <c r="V1215" i="8"/>
  <c r="V335" i="8"/>
  <c r="V1194" i="8"/>
  <c r="V228" i="8"/>
  <c r="V430" i="8"/>
  <c r="V391" i="8"/>
  <c r="V2322" i="8"/>
  <c r="V320" i="8"/>
  <c r="V675" i="8"/>
  <c r="V1695" i="8"/>
  <c r="V1243" i="8"/>
  <c r="V567" i="8"/>
  <c r="V1245" i="8"/>
  <c r="V2528" i="8"/>
  <c r="V637" i="8"/>
  <c r="V485" i="8"/>
  <c r="V1433" i="8"/>
  <c r="V754" i="8"/>
  <c r="V640" i="8"/>
  <c r="V2058" i="8"/>
  <c r="V1363" i="8"/>
  <c r="V799" i="8"/>
  <c r="V1219" i="8"/>
  <c r="V3001" i="8"/>
  <c r="V508" i="8"/>
  <c r="V2789" i="8"/>
  <c r="V904" i="8"/>
  <c r="V717" i="8"/>
  <c r="V1419" i="8"/>
  <c r="V1172" i="8"/>
  <c r="V1928" i="8"/>
  <c r="V2679" i="8"/>
  <c r="V3005" i="8"/>
  <c r="V1160" i="8"/>
  <c r="V1069" i="8"/>
  <c r="V1732" i="8"/>
  <c r="V55" i="8"/>
  <c r="V653" i="8"/>
  <c r="V2862" i="8"/>
  <c r="V1272" i="8"/>
  <c r="V734" i="8"/>
  <c r="V2800" i="8"/>
  <c r="V1829" i="8"/>
  <c r="V1276" i="8"/>
  <c r="V2017" i="8"/>
  <c r="V2310" i="8"/>
  <c r="V1820" i="8"/>
  <c r="V1355" i="8"/>
  <c r="V1815" i="8"/>
  <c r="V614" i="8"/>
  <c r="V1283" i="8"/>
  <c r="V1284" i="8"/>
  <c r="V1285" i="8"/>
  <c r="V2408" i="8"/>
  <c r="V1848" i="8"/>
  <c r="V302" i="8"/>
  <c r="V2925" i="8"/>
  <c r="V1290" i="8"/>
  <c r="V1863" i="8"/>
  <c r="V2424" i="8"/>
  <c r="V2890" i="8"/>
  <c r="V126" i="8"/>
  <c r="V338" i="8"/>
  <c r="V1451" i="8"/>
  <c r="V1750" i="8"/>
  <c r="V1298" i="8"/>
  <c r="V1531" i="8"/>
  <c r="V2387" i="8"/>
  <c r="V1966" i="8"/>
  <c r="V1558" i="8"/>
  <c r="V663" i="8"/>
  <c r="V3046" i="8"/>
  <c r="V450" i="8"/>
  <c r="V1368" i="8"/>
  <c r="V2626" i="8"/>
  <c r="V1308" i="8"/>
  <c r="V935" i="8"/>
  <c r="V50" i="8"/>
  <c r="V1311" i="8"/>
  <c r="V1536" i="8"/>
  <c r="V2645" i="8"/>
  <c r="V2783" i="8"/>
  <c r="V2860" i="8"/>
  <c r="V657" i="8"/>
  <c r="V1553" i="8"/>
  <c r="V844" i="8"/>
  <c r="V343" i="8"/>
  <c r="V3085" i="8"/>
  <c r="V1410" i="8"/>
  <c r="V1835" i="8"/>
  <c r="V264" i="8"/>
  <c r="V1010" i="8"/>
  <c r="V873" i="8"/>
  <c r="V2952" i="8"/>
  <c r="V517" i="8"/>
  <c r="V885" i="8"/>
  <c r="V1312" i="8"/>
  <c r="V1050" i="8"/>
  <c r="V1610" i="8"/>
  <c r="V554" i="8"/>
  <c r="V1325" i="8"/>
  <c r="V1574" i="8"/>
  <c r="V2829" i="8"/>
  <c r="V2745" i="8"/>
  <c r="V2444" i="8"/>
  <c r="V1908" i="8"/>
  <c r="V706" i="8"/>
  <c r="V2018" i="8"/>
  <c r="V2871" i="8"/>
  <c r="V2282" i="8"/>
  <c r="V1515" i="8"/>
  <c r="V452" i="8"/>
  <c r="V2406" i="8"/>
  <c r="V161" i="8"/>
  <c r="V1851" i="8"/>
  <c r="V1348" i="8"/>
  <c r="V671" i="8"/>
  <c r="V1423" i="8"/>
  <c r="V2395" i="8"/>
  <c r="V1248" i="8"/>
  <c r="V456" i="8"/>
  <c r="V2704" i="8"/>
  <c r="V767" i="8"/>
  <c r="V1659" i="8"/>
  <c r="V1142" i="8"/>
  <c r="V1031" i="8"/>
  <c r="V527" i="8"/>
  <c r="V835" i="8"/>
  <c r="V1941" i="8"/>
  <c r="V2597" i="8"/>
  <c r="V1462" i="8"/>
  <c r="V571" i="8"/>
  <c r="V2843" i="8"/>
  <c r="V2125" i="8"/>
  <c r="V809" i="8"/>
  <c r="V1061" i="8"/>
  <c r="V2051" i="8"/>
  <c r="V1370" i="8"/>
  <c r="V1371" i="8"/>
  <c r="V2139" i="8"/>
  <c r="V1969" i="8"/>
  <c r="V2534" i="8"/>
  <c r="V1294" i="8"/>
  <c r="V5" i="8"/>
  <c r="V291" i="8"/>
  <c r="V742" i="8"/>
  <c r="V1213" i="8"/>
  <c r="V1683" i="8"/>
  <c r="V1375" i="8"/>
  <c r="V2820" i="8"/>
  <c r="V1565" i="8"/>
  <c r="V2644" i="8"/>
  <c r="V877" i="8"/>
  <c r="V780" i="8"/>
  <c r="V1387" i="8"/>
  <c r="V1388" i="8"/>
  <c r="V3021" i="8"/>
  <c r="V475" i="8"/>
  <c r="V2192" i="8"/>
  <c r="V1184" i="8"/>
  <c r="V2568" i="8"/>
  <c r="V2165" i="8"/>
  <c r="V2891" i="8"/>
  <c r="V2237" i="8"/>
  <c r="V2616" i="8"/>
  <c r="V1398" i="8"/>
  <c r="V894" i="8"/>
  <c r="V2181" i="8"/>
  <c r="V2848" i="8"/>
  <c r="V1756" i="8"/>
  <c r="V2465" i="8"/>
  <c r="V2636" i="8"/>
  <c r="V2060" i="8"/>
  <c r="V2186" i="8"/>
  <c r="V593" i="8"/>
  <c r="V1899" i="8"/>
  <c r="V2442" i="8"/>
  <c r="V1226" i="8"/>
  <c r="V1013" i="8"/>
  <c r="V1608" i="8"/>
  <c r="V1413" i="8"/>
  <c r="V1414" i="8"/>
  <c r="V538" i="8"/>
  <c r="V386" i="8"/>
  <c r="V855" i="8"/>
  <c r="V1262" i="8"/>
  <c r="V689" i="8"/>
  <c r="V267" i="8"/>
  <c r="V878" i="8"/>
  <c r="V2784" i="8"/>
  <c r="V1349" i="8"/>
  <c r="V576" i="8"/>
  <c r="V257" i="8"/>
  <c r="V1541" i="8"/>
  <c r="V1576" i="8"/>
  <c r="V2056" i="8"/>
  <c r="V1935" i="8"/>
  <c r="V1332" i="8"/>
  <c r="V2904" i="8"/>
  <c r="V2034" i="8"/>
  <c r="V2523" i="8"/>
  <c r="V1244" i="8"/>
  <c r="V2086" i="8"/>
  <c r="V1812" i="8"/>
  <c r="V1972" i="8"/>
  <c r="V1736" i="8"/>
  <c r="V2137" i="8"/>
  <c r="V597" i="8"/>
  <c r="V145" i="8"/>
  <c r="V346" i="8"/>
  <c r="V1443" i="8"/>
  <c r="V2230" i="8"/>
  <c r="V2821" i="8"/>
  <c r="V1634" i="8"/>
  <c r="V1447" i="8"/>
  <c r="V2761" i="8"/>
  <c r="V2833" i="8"/>
  <c r="V2808" i="8"/>
  <c r="V2982" i="8"/>
  <c r="V1955" i="8"/>
  <c r="V1453" i="8"/>
  <c r="V1813" i="8"/>
  <c r="V2223" i="8"/>
  <c r="V486" i="8"/>
  <c r="V1282" i="8"/>
  <c r="V499" i="8"/>
  <c r="V990" i="8"/>
  <c r="V1730" i="8"/>
  <c r="V2664" i="8"/>
  <c r="V2110" i="8"/>
  <c r="V367" i="8"/>
  <c r="V1722" i="8"/>
  <c r="V923" i="8"/>
  <c r="V1646" i="8"/>
  <c r="V833" i="8"/>
  <c r="V1643" i="8"/>
  <c r="V2935" i="8"/>
  <c r="V1022" i="8"/>
  <c r="V157" i="8"/>
  <c r="V1472" i="8"/>
  <c r="V2918" i="8"/>
  <c r="V594" i="8"/>
  <c r="V506" i="8"/>
  <c r="V1315" i="8"/>
  <c r="V1967" i="8"/>
  <c r="V373" i="8"/>
  <c r="V1053" i="8"/>
  <c r="V1590" i="8"/>
  <c r="V2346" i="8"/>
  <c r="V513" i="8"/>
  <c r="V429" i="8"/>
  <c r="V1495" i="8"/>
  <c r="V869" i="8"/>
  <c r="V333" i="8"/>
  <c r="V1521" i="8"/>
  <c r="V2091" i="8"/>
  <c r="V1681" i="8"/>
  <c r="V1990" i="8"/>
  <c r="V3026" i="8"/>
  <c r="V1492" i="8"/>
  <c r="V1100" i="8"/>
  <c r="V922" i="8"/>
  <c r="V323" i="8"/>
  <c r="V2309" i="8"/>
  <c r="V1422" i="8"/>
  <c r="V741" i="8"/>
  <c r="V1499" i="8"/>
  <c r="V1729" i="8"/>
  <c r="V1501" i="8"/>
  <c r="V3076" i="8"/>
  <c r="V1118" i="8"/>
  <c r="V1806" i="8"/>
  <c r="V2791" i="8"/>
  <c r="V1532" i="8"/>
  <c r="V1448" i="8"/>
  <c r="V2103" i="8"/>
  <c r="V1690" i="8"/>
  <c r="V1831" i="8"/>
  <c r="V1246" i="8"/>
  <c r="V2954" i="8"/>
  <c r="V551" i="8"/>
  <c r="V2254" i="8"/>
  <c r="V353" i="8"/>
  <c r="V1179" i="8"/>
  <c r="V760" i="8"/>
  <c r="V2311" i="8"/>
  <c r="V944" i="8"/>
  <c r="V994" i="8"/>
  <c r="V1881" i="8"/>
  <c r="V286" i="8"/>
  <c r="V2924" i="8"/>
  <c r="V1278" i="8"/>
  <c r="V966" i="8"/>
  <c r="V1595" i="8"/>
  <c r="V886" i="8"/>
  <c r="V347" i="8"/>
  <c r="V2556" i="8"/>
  <c r="V957" i="8"/>
  <c r="V2538" i="8"/>
  <c r="V2620" i="8"/>
  <c r="V648" i="8"/>
  <c r="V973" i="8"/>
  <c r="V811" i="8"/>
  <c r="V965" i="8"/>
  <c r="V1537" i="8"/>
  <c r="V650" i="8"/>
  <c r="V1239" i="8"/>
  <c r="V1938" i="8"/>
  <c r="V3054" i="8"/>
  <c r="V191" i="8"/>
  <c r="V1456" i="8"/>
  <c r="V361" i="8"/>
  <c r="V859" i="8"/>
  <c r="V1030" i="8"/>
  <c r="V2687" i="8"/>
  <c r="V1392" i="8"/>
  <c r="V1196" i="8"/>
  <c r="V3015" i="8"/>
  <c r="V2278" i="8"/>
  <c r="V2650" i="8"/>
  <c r="V1758" i="8"/>
  <c r="V531" i="8"/>
  <c r="V1822" i="8"/>
  <c r="V1556" i="8"/>
  <c r="V2417" i="8"/>
  <c r="V794" i="8"/>
  <c r="V1559" i="8"/>
  <c r="V536" i="8"/>
  <c r="V1418" i="8"/>
  <c r="V1591" i="8"/>
  <c r="V2149" i="8"/>
  <c r="V1790" i="8"/>
  <c r="V1600" i="8"/>
  <c r="V186" i="8"/>
  <c r="V1445" i="8"/>
  <c r="V1344" i="8"/>
  <c r="V426" i="8"/>
  <c r="V1570" i="8"/>
  <c r="V952" i="8"/>
  <c r="V481" i="8"/>
  <c r="V1904" i="8"/>
  <c r="V756" i="8"/>
  <c r="V116" i="8"/>
  <c r="V633" i="8"/>
  <c r="V463" i="8"/>
  <c r="V2269" i="8"/>
  <c r="V984" i="8"/>
  <c r="V1978" i="8"/>
  <c r="V2958" i="8"/>
  <c r="V2105" i="8"/>
  <c r="V842" i="8"/>
  <c r="V2055" i="8"/>
  <c r="V708" i="8"/>
  <c r="V1883" i="8"/>
  <c r="V999" i="8"/>
  <c r="V2669" i="8"/>
  <c r="V103" i="8"/>
  <c r="V2087" i="8"/>
  <c r="V959" i="8"/>
  <c r="V565" i="8"/>
  <c r="V925" i="8"/>
  <c r="V1594" i="8"/>
  <c r="V2777" i="8"/>
  <c r="V641" i="8"/>
  <c r="V1597" i="8"/>
  <c r="V2752" i="8"/>
  <c r="V1506" i="8"/>
  <c r="V2038" i="8"/>
  <c r="V764" i="8"/>
  <c r="V1008" i="8"/>
  <c r="V1484" i="8"/>
  <c r="V325" i="8"/>
  <c r="V2746" i="8"/>
  <c r="V2264" i="8"/>
  <c r="V804" i="8"/>
  <c r="V2589" i="8"/>
  <c r="V2327" i="8"/>
  <c r="V2220" i="8"/>
  <c r="V1611" i="8"/>
  <c r="V2552" i="8"/>
  <c r="V815" i="8"/>
  <c r="V1535" i="8"/>
  <c r="V1671" i="8"/>
  <c r="V1616" i="8"/>
  <c r="V1562" i="8"/>
  <c r="V1818" i="8"/>
  <c r="V2847" i="8"/>
  <c r="V1214" i="8"/>
  <c r="V712" i="8"/>
  <c r="V2234" i="8"/>
  <c r="V600" i="8"/>
  <c r="V141" i="8"/>
  <c r="V1321" i="8"/>
  <c r="V274" i="8"/>
  <c r="V698" i="8"/>
  <c r="V249" i="8"/>
  <c r="V2578" i="8"/>
  <c r="V543" i="8"/>
  <c r="V2065" i="8"/>
  <c r="V2433" i="8"/>
  <c r="V651" i="8"/>
  <c r="V422" i="8"/>
  <c r="V3022" i="8"/>
  <c r="V540" i="8"/>
  <c r="V93" i="8"/>
  <c r="V2500" i="8"/>
  <c r="V2083" i="8"/>
  <c r="V697" i="8"/>
  <c r="V2275" i="8"/>
  <c r="V1639" i="8"/>
  <c r="V2420" i="8"/>
  <c r="V2084" i="8"/>
  <c r="V52" i="8"/>
  <c r="V889" i="8"/>
  <c r="V1647" i="8"/>
  <c r="V2572" i="8"/>
  <c r="V1711" i="8"/>
  <c r="V2167" i="8"/>
  <c r="V1149" i="8"/>
  <c r="V832" i="8"/>
  <c r="V781" i="8"/>
  <c r="V2849" i="8"/>
  <c r="V2488" i="8"/>
  <c r="V2786" i="8"/>
  <c r="V2812" i="8"/>
  <c r="V961" i="8"/>
  <c r="V669" i="8"/>
  <c r="V2435" i="8"/>
  <c r="V2747" i="8"/>
  <c r="V566" i="8"/>
  <c r="V1842" i="8"/>
  <c r="V1945" i="8"/>
  <c r="V1519" i="8"/>
  <c r="V636" i="8"/>
  <c r="V358" i="8"/>
  <c r="V271" i="8"/>
  <c r="V321" i="8"/>
  <c r="V1638" i="8"/>
  <c r="V1334" i="8"/>
  <c r="V862" i="8"/>
  <c r="V1359" i="8"/>
  <c r="V1642" i="8"/>
  <c r="V1603" i="8"/>
  <c r="V1167" i="8"/>
  <c r="V1148" i="8"/>
  <c r="V1678" i="8"/>
  <c r="V727" i="8"/>
  <c r="V926" i="8"/>
  <c r="V2706" i="8"/>
  <c r="V2842" i="8"/>
  <c r="V2512" i="8"/>
  <c r="V2066" i="8"/>
  <c r="V95" i="8"/>
  <c r="V2564" i="8"/>
  <c r="V2854" i="8"/>
  <c r="V895" i="8"/>
  <c r="V1984" i="8"/>
  <c r="V2048" i="8"/>
  <c r="V1691" i="8"/>
  <c r="V1210" i="8"/>
  <c r="V1914" i="8"/>
  <c r="V108" i="8"/>
  <c r="V601" i="8"/>
  <c r="V1377" i="8"/>
  <c r="V2272" i="8"/>
  <c r="V941" i="8"/>
  <c r="V279" i="8"/>
  <c r="V2434" i="8"/>
  <c r="V298" i="8"/>
  <c r="V3065" i="8"/>
  <c r="V2188" i="8"/>
  <c r="V3050" i="8"/>
  <c r="V96" i="8"/>
  <c r="V968" i="8"/>
  <c r="V490" i="8"/>
  <c r="V1569" i="8"/>
  <c r="V1709" i="8"/>
  <c r="V2751" i="8"/>
  <c r="V1406" i="8"/>
  <c r="V2479" i="8"/>
  <c r="V768" i="8"/>
  <c r="V1165" i="8"/>
  <c r="V2409" i="8"/>
  <c r="V1716" i="8"/>
  <c r="V2342" i="8"/>
  <c r="V3043" i="8"/>
  <c r="V893" i="8"/>
  <c r="V1033" i="8"/>
  <c r="V276" i="8"/>
  <c r="V864" i="8"/>
  <c r="V2725" i="8"/>
  <c r="V404" i="8"/>
  <c r="V740" i="8"/>
  <c r="V2449" i="8"/>
  <c r="V672" i="8"/>
  <c r="V504" i="8"/>
  <c r="V1607" i="8"/>
  <c r="V2270" i="8"/>
  <c r="V428" i="8"/>
  <c r="V3074" i="8"/>
  <c r="V1593" i="8"/>
  <c r="V1734" i="8"/>
  <c r="V1567" i="8"/>
  <c r="V840" i="8"/>
  <c r="V849" i="8"/>
  <c r="V775" i="8"/>
  <c r="V2593" i="8"/>
  <c r="V639" i="8"/>
  <c r="V1274" i="8"/>
  <c r="V1345" i="8"/>
  <c r="V1547" i="8"/>
  <c r="V359" i="8"/>
  <c r="V2469" i="8"/>
  <c r="V581" i="8"/>
  <c r="V2772" i="8"/>
  <c r="V1382" i="8"/>
  <c r="V1373" i="8"/>
  <c r="V1627" i="8"/>
  <c r="V3072" i="8"/>
  <c r="V1227" i="8"/>
  <c r="V1666" i="8"/>
  <c r="V2411" i="8"/>
  <c r="V1094" i="8"/>
  <c r="V542" i="8"/>
  <c r="V1757" i="8"/>
  <c r="V419" i="8"/>
  <c r="V342" i="8"/>
  <c r="V1238" i="8"/>
  <c r="V2418" i="8"/>
  <c r="V2583" i="8"/>
  <c r="V2100" i="8"/>
  <c r="V255" i="8"/>
  <c r="V2818" i="8"/>
  <c r="V1766" i="8"/>
  <c r="V2362" i="8"/>
  <c r="V2624" i="8"/>
  <c r="V1841" i="8"/>
  <c r="V1235" i="8"/>
  <c r="V1771" i="8"/>
  <c r="V1136" i="8"/>
  <c r="V1775" i="8"/>
  <c r="V1465" i="8"/>
  <c r="V1045" i="8"/>
  <c r="V448" i="8"/>
  <c r="V863" i="8"/>
  <c r="V1538" i="8"/>
  <c r="V851" i="8"/>
  <c r="V479" i="8"/>
  <c r="V2031" i="8"/>
  <c r="V992" i="8"/>
  <c r="V1130" i="8"/>
  <c r="V1198" i="8"/>
  <c r="V1580" i="8"/>
  <c r="V1697" i="8"/>
  <c r="V752" i="8"/>
  <c r="V642" i="8"/>
  <c r="V1789" i="8"/>
  <c r="V1953" i="8"/>
  <c r="V899" i="8"/>
  <c r="V2975" i="8"/>
  <c r="V914" i="8"/>
  <c r="V2852" i="8"/>
  <c r="V2769" i="8"/>
  <c r="V2256" i="8"/>
  <c r="V1862" i="8"/>
  <c r="V793" i="8"/>
  <c r="V1249" i="8"/>
  <c r="V1800" i="8"/>
  <c r="V728" i="8"/>
  <c r="V1479" i="8"/>
  <c r="V2718" i="8"/>
  <c r="V122" i="8"/>
  <c r="V1764" i="8"/>
  <c r="V1874" i="8"/>
  <c r="V976" i="8"/>
  <c r="V1808" i="8"/>
  <c r="V2851" i="8"/>
  <c r="V1869" i="8"/>
  <c r="V2271" i="8"/>
  <c r="V1138" i="8"/>
  <c r="V1971" i="8"/>
  <c r="V1075" i="8"/>
  <c r="V2399" i="8"/>
  <c r="V1474" i="8"/>
  <c r="V3066" i="8"/>
  <c r="V796" i="8"/>
  <c r="V1109" i="8"/>
  <c r="V2735" i="8"/>
  <c r="V1932" i="8"/>
  <c r="V2619" i="8"/>
  <c r="V1470" i="8"/>
  <c r="V683" i="8"/>
  <c r="V685" i="8"/>
  <c r="V1675" i="8"/>
  <c r="V1693" i="8"/>
  <c r="V1123" i="8"/>
  <c r="V2335" i="8"/>
  <c r="V2172" i="8"/>
  <c r="V2876" i="8"/>
  <c r="V2635" i="8"/>
  <c r="V90" i="8"/>
  <c r="V2548" i="8"/>
  <c r="V2297" i="8"/>
  <c r="V1455" i="8"/>
  <c r="V2293" i="8"/>
  <c r="V2739" i="8"/>
  <c r="V1657" i="8"/>
  <c r="V2809" i="8"/>
  <c r="V495" i="8"/>
  <c r="V2076" i="8"/>
  <c r="V2730" i="8"/>
  <c r="V1187" i="8"/>
  <c r="V1819" i="8"/>
  <c r="V1846" i="8"/>
  <c r="V2631" i="8"/>
  <c r="V2152" i="8"/>
  <c r="V2388" i="8"/>
  <c r="V2518" i="8"/>
  <c r="V2425" i="8"/>
  <c r="V2668" i="8"/>
  <c r="V2487" i="8"/>
  <c r="V3069" i="8"/>
  <c r="V2402" i="8"/>
  <c r="V2767" i="8"/>
  <c r="V1176" i="8"/>
  <c r="V3025" i="8"/>
  <c r="V2553" i="8"/>
  <c r="V1860" i="8"/>
  <c r="V492" i="8"/>
  <c r="V1703" i="8"/>
  <c r="V2141" i="8"/>
  <c r="V821" i="8"/>
  <c r="V2665" i="8"/>
  <c r="V2459" i="8"/>
  <c r="V2428" i="8"/>
  <c r="V1940" i="8"/>
  <c r="V2911" i="8"/>
  <c r="V2939" i="8"/>
  <c r="V1871" i="8"/>
  <c r="V2015" i="8"/>
  <c r="V2705" i="8"/>
  <c r="V739" i="8"/>
  <c r="V2120" i="8"/>
  <c r="V1046" i="8"/>
  <c r="V709" i="8"/>
  <c r="V1878" i="8"/>
  <c r="V958" i="8"/>
  <c r="V1880" i="8"/>
  <c r="V1257" i="8"/>
  <c r="V1617" i="8"/>
  <c r="V1346" i="8"/>
  <c r="V1301" i="8"/>
  <c r="V1273" i="8"/>
  <c r="V2343" i="8"/>
  <c r="V858" i="8"/>
  <c r="V385" i="8"/>
  <c r="V12" i="8"/>
  <c r="V2473" i="8"/>
  <c r="V1890" i="8"/>
  <c r="V2894" i="8"/>
  <c r="V1884" i="8"/>
  <c r="V2689" i="8"/>
  <c r="V1810" i="8"/>
  <c r="V2227" i="8"/>
  <c r="V1126" i="8"/>
  <c r="V2485" i="8"/>
  <c r="V586" i="8"/>
  <c r="V1402" i="8"/>
  <c r="V1605" i="8"/>
  <c r="V1706" i="8"/>
  <c r="V2722" i="8"/>
  <c r="V1809" i="8"/>
  <c r="V2703" i="8"/>
  <c r="V822" i="8"/>
  <c r="V2816" i="8"/>
  <c r="V1434" i="8"/>
  <c r="V583" i="8"/>
  <c r="V2962" i="8"/>
  <c r="V584" i="8"/>
  <c r="V1581" i="8"/>
  <c r="V1356" i="8"/>
  <c r="V2432" i="8"/>
  <c r="V1288" i="8"/>
  <c r="V2733" i="8"/>
  <c r="V2239" i="8"/>
  <c r="V587" i="8"/>
  <c r="V3030" i="8"/>
  <c r="V1704" i="8"/>
  <c r="V1859" i="8"/>
  <c r="V2766" i="8"/>
  <c r="V2630" i="8"/>
  <c r="V2397" i="8"/>
  <c r="V1765" i="8"/>
  <c r="V2097" i="8"/>
  <c r="V1997" i="8"/>
  <c r="V1306" i="8"/>
  <c r="V86" i="8"/>
  <c r="V3061" i="8"/>
  <c r="V1931" i="8"/>
  <c r="V572" i="8"/>
  <c r="V2610" i="8"/>
  <c r="V2877" i="8"/>
  <c r="V2386" i="8"/>
  <c r="V1458" i="8"/>
  <c r="V1446" i="8"/>
  <c r="V2529" i="8"/>
  <c r="V491" i="8"/>
  <c r="V2184" i="8"/>
  <c r="V573" i="8"/>
  <c r="V1918" i="8"/>
  <c r="V260" i="8"/>
  <c r="V1186" i="8"/>
  <c r="V1263" i="8"/>
  <c r="V2537" i="8"/>
  <c r="V3018" i="8"/>
  <c r="V2574" i="8"/>
  <c r="V2153" i="8"/>
  <c r="V2750" i="8"/>
  <c r="V1696" i="8"/>
  <c r="V2106" i="8"/>
  <c r="V2547" i="8"/>
  <c r="V1954" i="8"/>
  <c r="V1840" i="8"/>
  <c r="V867" i="8"/>
  <c r="V1297" i="8"/>
  <c r="V2216" i="8"/>
  <c r="V1715" i="8"/>
  <c r="V2463" i="8"/>
  <c r="V2316" i="8"/>
  <c r="V2586" i="8"/>
  <c r="V1505" i="8"/>
  <c r="V1982" i="8"/>
  <c r="V2565" i="8"/>
  <c r="V1833" i="8"/>
  <c r="V1180" i="8"/>
  <c r="V2109" i="8"/>
  <c r="V2013" i="8"/>
  <c r="V1970" i="8"/>
  <c r="V2662" i="8"/>
  <c r="V2373" i="8"/>
  <c r="V2690" i="8"/>
  <c r="V1086" i="8"/>
  <c r="V1038" i="8"/>
  <c r="V982" i="8"/>
  <c r="V2329" i="8"/>
  <c r="V561" i="8"/>
  <c r="V1378" i="8"/>
  <c r="V1005" i="8"/>
  <c r="V2929" i="8"/>
  <c r="V856" i="8"/>
  <c r="V1983" i="8"/>
  <c r="V2915" i="8"/>
  <c r="V1628" i="8"/>
  <c r="V1986" i="8"/>
  <c r="V1987" i="8"/>
  <c r="V1988" i="8"/>
  <c r="V2695" i="8"/>
  <c r="V1958" i="8"/>
  <c r="V1991" i="8"/>
  <c r="V1745" i="8"/>
  <c r="V2246" i="8"/>
  <c r="V1751" i="8"/>
  <c r="V1568" i="8"/>
  <c r="V501" i="8"/>
  <c r="V2811" i="8"/>
  <c r="V2594" i="8"/>
  <c r="V1420" i="8"/>
  <c r="V1256" i="8"/>
  <c r="V2892" i="8"/>
  <c r="V2951" i="8"/>
  <c r="V1089" i="8"/>
  <c r="V2869" i="8"/>
  <c r="V1668" i="8"/>
  <c r="V2621" i="8"/>
  <c r="V2898" i="8"/>
  <c r="V2383" i="8"/>
  <c r="V2009" i="8"/>
  <c r="V2010" i="8"/>
  <c r="V2011" i="8"/>
  <c r="V2457" i="8"/>
  <c r="V1175" i="8"/>
  <c r="V1957" i="8"/>
  <c r="V2194" i="8"/>
  <c r="V748" i="8"/>
  <c r="V1855" i="8"/>
  <c r="V2780" i="8"/>
  <c r="V2412" i="8"/>
  <c r="V1330" i="8"/>
  <c r="V2628" i="8"/>
  <c r="V2396" i="8"/>
  <c r="V2023" i="8"/>
  <c r="V366" i="8"/>
  <c r="V1261" i="8"/>
  <c r="V1827" i="8"/>
  <c r="V1477" i="8"/>
  <c r="V1255" i="8"/>
  <c r="V502" i="8"/>
  <c r="V2684" i="8"/>
  <c r="V2934" i="8"/>
  <c r="V2414" i="8"/>
  <c r="V2413" i="8"/>
  <c r="V1489" i="8"/>
  <c r="V2035" i="8"/>
  <c r="V2032" i="8"/>
  <c r="V2037" i="8"/>
  <c r="V3019" i="8"/>
  <c r="V1744" i="8"/>
  <c r="V400" i="8"/>
  <c r="V1583" i="8"/>
  <c r="V2145" i="8"/>
  <c r="V547" i="8"/>
  <c r="V2061" i="8"/>
  <c r="V2850" i="8"/>
  <c r="V2211" i="8"/>
  <c r="V1042" i="8"/>
  <c r="V2797" i="8"/>
  <c r="V1083" i="8"/>
  <c r="V1102" i="8"/>
  <c r="V2622" i="8"/>
  <c r="V2052" i="8"/>
  <c r="V2423" i="8"/>
  <c r="V606" i="8"/>
  <c r="V2814" i="8"/>
  <c r="V2861" i="8"/>
  <c r="V1313" i="8"/>
  <c r="V1425" i="8"/>
  <c r="V3017" i="8"/>
  <c r="V2291" i="8"/>
  <c r="V382" i="8"/>
  <c r="V2926" i="8"/>
  <c r="V2095" i="8"/>
  <c r="V1705" i="8"/>
  <c r="V2615" i="8"/>
  <c r="V645" i="8"/>
  <c r="V2788" i="8"/>
  <c r="V2068" i="8"/>
  <c r="V530" i="8"/>
  <c r="V3044" i="8"/>
  <c r="V2806" i="8"/>
  <c r="V1773" i="8"/>
  <c r="V1930" i="8"/>
  <c r="V2074" i="8"/>
  <c r="V746" i="8"/>
  <c r="V1380" i="8"/>
  <c r="V2385" i="8"/>
  <c r="V2078" i="8"/>
  <c r="V2057" i="8"/>
  <c r="V2853" i="8"/>
  <c r="V2598" i="8"/>
  <c r="V2824" i="8"/>
  <c r="V1452" i="8"/>
  <c r="V2883" i="8"/>
  <c r="V1599" i="8"/>
  <c r="V2913" i="8"/>
  <c r="V1663" i="8"/>
  <c r="V1018" i="8"/>
  <c r="V1614" i="8"/>
  <c r="V2296" i="8"/>
  <c r="V1739" i="8"/>
  <c r="V2050" i="8"/>
  <c r="V1461" i="8"/>
  <c r="V1892" i="8"/>
  <c r="V1563" i="8"/>
  <c r="V2886" i="8"/>
  <c r="V2101" i="8"/>
  <c r="V2682" i="8"/>
  <c r="V2099" i="8"/>
  <c r="V1564" i="8"/>
  <c r="V1309" i="8"/>
  <c r="V1440" i="8"/>
  <c r="V578" i="8"/>
  <c r="V2288" i="8"/>
  <c r="V1793" i="8"/>
  <c r="V2508" i="8"/>
  <c r="V2107" i="8"/>
  <c r="V2108" i="8"/>
  <c r="V1401" i="8"/>
  <c r="V1680" i="8"/>
  <c r="V148" i="8"/>
  <c r="V574" i="8"/>
  <c r="V2113" i="8"/>
  <c r="V2317" i="8"/>
  <c r="V2558" i="8"/>
  <c r="V2577" i="8"/>
  <c r="V1270" i="8"/>
  <c r="V2732" i="8"/>
  <c r="V1989" i="8"/>
  <c r="V2613" i="8"/>
  <c r="V1796" i="8"/>
  <c r="V1656" i="8"/>
  <c r="V568" i="8"/>
  <c r="V2135" i="8"/>
  <c r="V1153" i="8"/>
  <c r="V682" i="8"/>
  <c r="V2190" i="8"/>
  <c r="V2675" i="8"/>
  <c r="V3075" i="8"/>
  <c r="V523" i="8"/>
  <c r="V2544" i="8"/>
  <c r="V2132" i="8"/>
  <c r="V2606" i="8"/>
  <c r="V1980" i="8"/>
  <c r="V1342" i="8"/>
  <c r="V2002" i="8"/>
  <c r="V2219" i="8"/>
  <c r="V616" i="8"/>
  <c r="V2957" i="8"/>
  <c r="V2456" i="8"/>
  <c r="V1450" i="8"/>
  <c r="V2599" i="8"/>
  <c r="V826" i="8"/>
  <c r="V1578" i="8"/>
  <c r="V1735" i="8"/>
  <c r="V1674" i="8"/>
  <c r="V1951" i="8"/>
  <c r="V1329" i="8"/>
  <c r="V962" i="8"/>
  <c r="V350" i="8"/>
  <c r="V1712" i="8"/>
  <c r="V1803" i="8"/>
  <c r="V1063" i="8"/>
  <c r="V2045" i="8"/>
  <c r="V2873" i="8"/>
  <c r="V1193" i="8"/>
  <c r="V2157" i="8"/>
  <c r="V2950" i="8"/>
  <c r="V1857" i="8"/>
  <c r="V1517" i="8"/>
  <c r="V647" i="8"/>
  <c r="V2945" i="8"/>
  <c r="V1327" i="8"/>
  <c r="V3057" i="8"/>
  <c r="V1338" i="8"/>
  <c r="V2001" i="8"/>
  <c r="V1228" i="8"/>
  <c r="V2881" i="8"/>
  <c r="V1645" i="8"/>
  <c r="V1044" i="8"/>
  <c r="V2171" i="8"/>
  <c r="V2618" i="8"/>
  <c r="V2238" i="8"/>
  <c r="V2059" i="8"/>
  <c r="V2104" i="8"/>
  <c r="V2129" i="8"/>
  <c r="V1218" i="8"/>
  <c r="V1216" i="8"/>
  <c r="V897" i="8"/>
  <c r="V1073" i="8"/>
  <c r="V2117" i="8"/>
  <c r="V2069" i="8"/>
  <c r="V1511" i="8"/>
  <c r="V2379" i="8"/>
  <c r="V2968" i="8"/>
  <c r="V1317" i="8"/>
  <c r="V2696" i="8"/>
  <c r="V2025" i="8"/>
  <c r="V2159" i="8"/>
  <c r="V1500" i="8"/>
  <c r="V2331" i="8"/>
  <c r="V1636" i="8"/>
  <c r="V2740" i="8"/>
  <c r="V1416" i="8"/>
  <c r="V1794" i="8"/>
  <c r="V2720" i="8"/>
  <c r="V2688" i="8"/>
  <c r="V3003" i="8"/>
  <c r="V1912" i="8"/>
  <c r="V3059" i="8"/>
  <c r="V1687" i="8"/>
  <c r="V1328" i="8"/>
  <c r="V2203" i="8"/>
  <c r="V2460" i="8"/>
  <c r="V3013" i="8"/>
  <c r="V2965" i="8"/>
  <c r="V1478" i="8"/>
  <c r="V1205" i="8"/>
  <c r="V2641" i="8"/>
  <c r="V1777" i="8"/>
  <c r="V1879" i="8"/>
  <c r="V2977" i="8"/>
  <c r="V1275" i="8"/>
  <c r="V1154" i="8"/>
  <c r="V2763" i="8"/>
  <c r="V1996" i="8"/>
  <c r="V1713" i="8"/>
  <c r="V2992" i="8"/>
  <c r="V1192" i="8"/>
  <c r="V1408" i="8"/>
  <c r="V919" i="8"/>
  <c r="V2364" i="8"/>
  <c r="V1208" i="8"/>
  <c r="V2281" i="8"/>
  <c r="V2943" i="8"/>
  <c r="V2226" i="8"/>
  <c r="V2492" i="8"/>
  <c r="V3037" i="8"/>
  <c r="V2439" i="8"/>
  <c r="V2151" i="8"/>
  <c r="V2719" i="8"/>
  <c r="V2828" i="8"/>
  <c r="V2233" i="8"/>
  <c r="V665" i="8"/>
  <c r="V2338" i="8"/>
  <c r="V1385" i="8"/>
  <c r="V1648" i="8"/>
  <c r="V2415" i="8"/>
  <c r="V1910" i="8"/>
  <c r="V1200" i="8"/>
  <c r="V2979" i="8"/>
  <c r="V1872" i="8"/>
  <c r="V710" i="8"/>
  <c r="V1106" i="8"/>
  <c r="V324" i="8"/>
  <c r="V1324" i="8"/>
  <c r="V1059" i="8"/>
  <c r="V19" i="8"/>
  <c r="V2249" i="8"/>
  <c r="V2782" i="8"/>
  <c r="V2138" i="8"/>
  <c r="V2148" i="8"/>
  <c r="V269" i="8"/>
  <c r="V2667" i="8"/>
  <c r="V1836" i="8"/>
  <c r="V2699" i="8"/>
  <c r="V2517" i="8"/>
  <c r="V2350" i="8"/>
  <c r="V2213" i="8"/>
  <c r="V2260" i="8"/>
  <c r="V2837" i="8"/>
  <c r="V2323" i="8"/>
  <c r="V2909" i="8"/>
  <c r="V2764" i="8"/>
  <c r="V1240" i="8"/>
  <c r="V2266" i="8"/>
  <c r="V1778" i="8"/>
  <c r="V2932" i="8"/>
  <c r="V1339" i="8"/>
  <c r="V3007" i="8"/>
  <c r="V776" i="8"/>
  <c r="V2868" i="8"/>
  <c r="V2647" i="8"/>
  <c r="V1728" i="8"/>
  <c r="V1682" i="8"/>
  <c r="V2493" i="8"/>
  <c r="V2445" i="8"/>
  <c r="V2914" i="8"/>
  <c r="V1798" i="8"/>
  <c r="V483" i="8"/>
  <c r="V1366" i="8"/>
  <c r="V2162" i="8"/>
  <c r="V2070" i="8"/>
  <c r="V1202" i="8"/>
  <c r="V2285" i="8"/>
  <c r="V1279" i="8"/>
  <c r="V2976" i="8"/>
  <c r="V1384" i="8"/>
  <c r="V2248" i="8"/>
  <c r="V1672" i="8"/>
  <c r="V1304" i="8"/>
  <c r="V2354" i="8"/>
  <c r="V2252" i="8"/>
  <c r="V3024" i="8"/>
  <c r="V2064" i="8"/>
  <c r="V2967" i="8"/>
  <c r="V1662" i="8"/>
  <c r="V2398" i="8"/>
  <c r="V1350" i="8"/>
  <c r="V2337" i="8"/>
  <c r="V1442" i="8"/>
  <c r="V2302" i="8"/>
  <c r="V2937" i="8"/>
  <c r="V725" i="8"/>
  <c r="V1719" i="8"/>
  <c r="V1606" i="8"/>
  <c r="V2569" i="8"/>
  <c r="V2773" i="8"/>
  <c r="V758" i="8"/>
  <c r="V2294" i="8"/>
  <c r="V220" i="8"/>
  <c r="V1633" i="8"/>
  <c r="V1549" i="8"/>
  <c r="V1110" i="8"/>
  <c r="V2533" i="8"/>
  <c r="V618" i="8"/>
  <c r="V2020" i="8"/>
  <c r="V459" i="8"/>
  <c r="V226" i="8"/>
  <c r="V3067" i="8"/>
  <c r="V2825" i="8"/>
  <c r="V1673" i="8"/>
  <c r="V2183" i="8"/>
  <c r="V2794" i="8"/>
  <c r="V1305" i="8"/>
  <c r="V539" i="8"/>
  <c r="V1164" i="8"/>
  <c r="V2344" i="8"/>
  <c r="V1397" i="8"/>
  <c r="V1322" i="8"/>
  <c r="V1737" i="8"/>
  <c r="V787" i="8"/>
  <c r="V1116" i="8"/>
  <c r="V2692" i="8"/>
  <c r="V1335" i="8"/>
  <c r="V1901" i="8"/>
  <c r="V1151" i="8"/>
  <c r="V2217" i="8"/>
  <c r="V465" i="8"/>
  <c r="V1293" i="8"/>
  <c r="V2289" i="8"/>
  <c r="V2320" i="8"/>
  <c r="V2077" i="8"/>
  <c r="V1849" i="8"/>
  <c r="V3082" i="8"/>
  <c r="V2382" i="8"/>
  <c r="V1034" i="8"/>
  <c r="V2348" i="8"/>
  <c r="V2014" i="8"/>
  <c r="V1336" i="8"/>
  <c r="V1488" i="8"/>
  <c r="V1481" i="8"/>
  <c r="V2666" i="8"/>
  <c r="V1575" i="8"/>
  <c r="V1258" i="8"/>
  <c r="V1064" i="8"/>
  <c r="V1396" i="8"/>
  <c r="V807" i="8"/>
  <c r="V2712" i="8"/>
  <c r="V3070" i="8"/>
  <c r="V1170" i="8"/>
  <c r="V1259" i="8"/>
  <c r="V1204" i="8"/>
  <c r="V2122" i="8"/>
  <c r="V1040" i="8"/>
  <c r="V1303" i="8"/>
  <c r="V2367" i="8"/>
  <c r="V1077" i="8"/>
  <c r="V2938" i="8"/>
  <c r="V1780" i="8"/>
  <c r="V1415" i="8"/>
  <c r="V2431" i="8"/>
  <c r="V1832" i="8"/>
  <c r="V2062" i="8"/>
  <c r="V277" i="8"/>
  <c r="V2170" i="8"/>
  <c r="V296" i="8"/>
  <c r="V2640" i="8"/>
  <c r="V2156" i="8"/>
  <c r="V1545" i="8"/>
  <c r="V1748" i="8"/>
  <c r="V1619" i="8"/>
  <c r="V1021" i="8"/>
  <c r="V609" i="8"/>
  <c r="V1159" i="8"/>
  <c r="V2036" i="8"/>
  <c r="V1817" i="8"/>
  <c r="V1973" i="8"/>
  <c r="V1404" i="8"/>
  <c r="V1936" i="8"/>
  <c r="V1512" i="8"/>
  <c r="V1212" i="8"/>
  <c r="V2785" i="8"/>
  <c r="V2910" i="8"/>
  <c r="V1699" i="8"/>
  <c r="V2253" i="8"/>
  <c r="V1596" i="8"/>
  <c r="V1476" i="8"/>
  <c r="V3056" i="8"/>
  <c r="V1229" i="8"/>
  <c r="V2501" i="8"/>
  <c r="V2112" i="8"/>
  <c r="V519" i="8"/>
  <c r="V1825" i="8"/>
  <c r="V1630" i="8"/>
  <c r="V2392" i="8"/>
  <c r="V1875" i="8"/>
  <c r="V1856" i="8"/>
  <c r="V1049" i="8"/>
  <c r="V1300" i="8"/>
  <c r="V1527" i="8"/>
  <c r="V2671" i="8"/>
  <c r="V2731" i="8"/>
  <c r="V1743" i="8"/>
  <c r="V1658" i="8"/>
  <c r="V1717" i="8"/>
  <c r="V622" i="8"/>
  <c r="V1919" i="8"/>
  <c r="V891" i="8"/>
  <c r="V2361" i="8"/>
  <c r="V280" i="8"/>
  <c r="V1367" i="8"/>
  <c r="V798" i="8"/>
  <c r="V2236" i="8"/>
  <c r="V1661" i="8"/>
  <c r="V2987" i="8"/>
  <c r="V1895" i="8"/>
  <c r="V2102" i="8"/>
  <c r="V774" i="8"/>
  <c r="V960" i="8"/>
  <c r="V2347" i="8"/>
  <c r="V1937" i="8"/>
  <c r="V1772" i="8"/>
  <c r="V1942" i="8"/>
  <c r="V1943" i="8"/>
  <c r="V2201" i="8"/>
  <c r="V2455" i="8"/>
  <c r="V1085" i="8"/>
  <c r="V1903" i="8"/>
  <c r="V1071" i="8"/>
  <c r="V1660" i="8"/>
  <c r="V1220" i="8"/>
  <c r="V2040" i="8"/>
  <c r="V1625" i="8"/>
  <c r="V1463" i="8"/>
  <c r="V1507" i="8"/>
  <c r="V1615" i="8"/>
  <c r="V2931" i="8"/>
  <c r="V27" i="8"/>
  <c r="V2450" i="8"/>
  <c r="V322" i="8"/>
  <c r="V2251" i="8"/>
  <c r="V2550" i="8"/>
  <c r="V1587" i="8"/>
  <c r="V2250" i="8"/>
  <c r="V1585" i="8"/>
  <c r="V2579" i="8"/>
  <c r="V2546" i="8"/>
  <c r="V3029" i="8"/>
  <c r="V1504" i="8"/>
  <c r="V1152" i="8"/>
  <c r="V1223" i="8"/>
  <c r="V1774" i="8"/>
  <c r="V2464" i="8"/>
  <c r="V2697" i="8"/>
  <c r="V2936" i="8"/>
  <c r="V1128" i="8"/>
  <c r="V2030" i="8"/>
  <c r="V2879" i="8"/>
  <c r="V1644" i="8"/>
  <c r="V2846" i="8"/>
  <c r="V1694" i="8"/>
  <c r="V2472" i="8"/>
  <c r="V761" i="8"/>
  <c r="V1655" i="8"/>
  <c r="V2774" i="8"/>
  <c r="V1799" i="8"/>
  <c r="V643" i="8"/>
  <c r="V3086" i="8"/>
  <c r="V2319" i="8"/>
  <c r="V1231" i="8"/>
  <c r="V2482" i="8"/>
  <c r="V1250" i="8"/>
  <c r="V2391" i="8"/>
  <c r="V2652" i="8"/>
  <c r="V882" i="8"/>
  <c r="V1960" i="8"/>
  <c r="V2484" i="8"/>
  <c r="V2639" i="8"/>
  <c r="V496" i="8"/>
  <c r="V405" i="8"/>
  <c r="V1412" i="8"/>
  <c r="V2241" i="8"/>
  <c r="V2228" i="8"/>
  <c r="V1068" i="8"/>
  <c r="V1962" i="8"/>
  <c r="V1197" i="8"/>
  <c r="V696" i="8"/>
  <c r="V2499" i="8"/>
  <c r="V1264" i="8"/>
  <c r="V575" i="8"/>
  <c r="V2502" i="8"/>
  <c r="V1444" i="8"/>
  <c r="V1360" i="8"/>
  <c r="V987" i="8"/>
  <c r="V2430" i="8"/>
  <c r="V2507" i="8"/>
  <c r="V3071" i="8"/>
  <c r="V3000" i="8"/>
  <c r="V2917" i="8"/>
  <c r="V2685" i="8"/>
  <c r="V1114" i="8"/>
  <c r="V2513" i="8"/>
  <c r="V694" i="8"/>
  <c r="V2128" i="8"/>
  <c r="V939" i="8"/>
  <c r="V2693" i="8"/>
  <c r="V2902" i="8"/>
  <c r="V2880" i="8"/>
  <c r="V1753" i="8"/>
  <c r="V2966" i="8"/>
  <c r="V1411" i="8"/>
  <c r="V3040" i="8"/>
  <c r="V2451" i="8"/>
  <c r="V1870" i="8"/>
  <c r="V2276" i="8"/>
  <c r="V1830" i="8"/>
  <c r="V2092" i="8"/>
  <c r="V2133" i="8"/>
  <c r="V2530" i="8"/>
  <c r="V1787" i="8"/>
  <c r="V1041" i="8"/>
  <c r="V2995" i="8"/>
  <c r="V2026" i="8"/>
  <c r="V1752" i="8"/>
  <c r="V2515" i="8"/>
  <c r="V2557" i="8"/>
  <c r="V1727" i="8"/>
  <c r="V2903" i="8"/>
  <c r="V2489" i="8"/>
  <c r="V2900" i="8"/>
  <c r="V2089" i="8"/>
  <c r="V2277" i="8"/>
  <c r="V2990" i="8"/>
  <c r="V630" i="8"/>
  <c r="V2562" i="8"/>
  <c r="V1307" i="8"/>
  <c r="V2332" i="8"/>
  <c r="V2549" i="8"/>
  <c r="V2872" i="8"/>
  <c r="V2632" i="8"/>
  <c r="V2142" i="8"/>
  <c r="V1524" i="8"/>
  <c r="V1629" i="8"/>
  <c r="V1140" i="8"/>
  <c r="V1566" i="8"/>
  <c r="V2389" i="8"/>
  <c r="V1667" i="8"/>
  <c r="V2330" i="8"/>
  <c r="V316" i="8"/>
  <c r="V1701" i="8"/>
  <c r="V2498" i="8"/>
  <c r="V1409" i="8"/>
  <c r="V615" i="8"/>
  <c r="V2366" i="8"/>
  <c r="V1533" i="8"/>
  <c r="V1669" i="8"/>
  <c r="V1905" i="8"/>
  <c r="V2094" i="8"/>
  <c r="V2503" i="8"/>
  <c r="V2571" i="8"/>
  <c r="V2202" i="8"/>
  <c r="V2899" i="8"/>
  <c r="V1889" i="8"/>
  <c r="V1357" i="8"/>
  <c r="V1994" i="8"/>
  <c r="V2315" i="8"/>
  <c r="V1555" i="8"/>
  <c r="V2509" i="8"/>
  <c r="V2994" i="8"/>
  <c r="V1121" i="8"/>
  <c r="V2582" i="8"/>
  <c r="V1177" i="8"/>
  <c r="V2155" i="8"/>
  <c r="V1992" i="8"/>
  <c r="V2526" i="8"/>
  <c r="V2114" i="8"/>
  <c r="V1896" i="8"/>
  <c r="V2268" i="8"/>
  <c r="V2590" i="8"/>
  <c r="V2657" i="8"/>
  <c r="V2592" i="8"/>
  <c r="V1891" i="8"/>
  <c r="V2134" i="8"/>
  <c r="V695" i="8"/>
  <c r="V1769" i="8"/>
  <c r="V1156" i="8"/>
  <c r="V2199" i="8"/>
  <c r="V2158" i="8"/>
  <c r="V2600" i="8"/>
  <c r="V607" i="8"/>
  <c r="V2980" i="8"/>
  <c r="V2265" i="8"/>
  <c r="V2053" i="8"/>
  <c r="V2605" i="8"/>
  <c r="V1604" i="8"/>
  <c r="V3060" i="8"/>
  <c r="V2608" i="8"/>
  <c r="V2864" i="8"/>
  <c r="V375" i="8"/>
  <c r="V2560" i="8"/>
  <c r="V1686" i="8"/>
  <c r="V1185" i="8"/>
  <c r="V951" i="8"/>
  <c r="V2799" i="8"/>
  <c r="V1861" i="8"/>
  <c r="V2085" i="8"/>
  <c r="V2384" i="8"/>
  <c r="V649" i="8"/>
  <c r="V2345" i="8"/>
  <c r="V1620" i="8"/>
  <c r="V1169" i="8"/>
  <c r="V1510" i="8"/>
  <c r="V1676" i="8"/>
  <c r="V2341" i="8"/>
  <c r="V2870" i="8"/>
  <c r="V3051" i="8"/>
  <c r="V156" i="8"/>
  <c r="V2299" i="8"/>
  <c r="V1182" i="8"/>
  <c r="V1135" i="8"/>
  <c r="V3078" i="8"/>
  <c r="V1062" i="8"/>
  <c r="V2634" i="8"/>
  <c r="V1801" i="8"/>
  <c r="V2991" i="8"/>
  <c r="V2691" i="8"/>
  <c r="V2921" i="8"/>
  <c r="V2532" i="8"/>
  <c r="V1379" i="8"/>
  <c r="V135" i="8"/>
  <c r="V1979" i="8"/>
  <c r="V1948" i="8"/>
  <c r="V2859" i="8"/>
  <c r="V2306" i="8"/>
  <c r="V2922" i="8"/>
  <c r="V2494" i="8"/>
  <c r="V1454" i="8"/>
  <c r="V2649" i="8"/>
  <c r="V2436" i="8"/>
  <c r="V1146" i="8"/>
  <c r="V1430" i="8"/>
  <c r="V2760" i="8"/>
  <c r="V3048" i="8"/>
  <c r="V1280" i="8"/>
  <c r="V2497" i="8"/>
  <c r="V1652" i="8"/>
  <c r="V2506" i="8"/>
  <c r="V2646" i="8"/>
  <c r="V2660" i="8"/>
  <c r="V2661" i="8"/>
  <c r="V2258" i="8"/>
  <c r="V2221" i="8"/>
  <c r="V1950" i="8"/>
  <c r="V2447" i="8"/>
  <c r="V1400" i="8"/>
  <c r="V1291" i="8"/>
  <c r="V2677" i="8"/>
  <c r="V1369" i="8"/>
  <c r="V2307" i="8"/>
  <c r="V2737" i="8"/>
  <c r="V1906" i="8"/>
  <c r="V2416" i="8"/>
  <c r="V2063" i="8"/>
  <c r="V2541" i="8"/>
  <c r="V2906" i="8"/>
  <c r="V3077" i="8"/>
  <c r="V2554" i="8"/>
  <c r="V1514" i="8"/>
  <c r="V2680" i="8"/>
  <c r="V2681" i="8"/>
  <c r="V3038" i="8"/>
  <c r="V49" i="8"/>
  <c r="V2210" i="8"/>
  <c r="V2286" i="8"/>
  <c r="V2468" i="8"/>
  <c r="V3012" i="8"/>
  <c r="V2701" i="8"/>
  <c r="V1838" i="8"/>
  <c r="V1066" i="8"/>
  <c r="V1183" i="8"/>
  <c r="V2596" i="8"/>
  <c r="V605" i="8"/>
  <c r="V2334" i="8"/>
  <c r="V2160" i="8"/>
  <c r="V2075" i="8"/>
  <c r="V1403" i="8"/>
  <c r="V1067" i="8"/>
  <c r="V2978" i="8"/>
  <c r="V779" i="8"/>
  <c r="V2243" i="8"/>
  <c r="V2522" i="8"/>
  <c r="V1805" i="8"/>
  <c r="V1684" i="8"/>
  <c r="V2028" i="8"/>
  <c r="V2611" i="8"/>
  <c r="V2707" i="8"/>
  <c r="V1155" i="8"/>
  <c r="V2082" i="8"/>
  <c r="V2710" i="8"/>
  <c r="V2887" i="8"/>
  <c r="V1319" i="8"/>
  <c r="V2713" i="8"/>
  <c r="V2714" i="8"/>
  <c r="V2717" i="8"/>
  <c r="V1632" i="8"/>
  <c r="V871" i="8"/>
  <c r="V1909" i="8"/>
  <c r="V2438" i="8"/>
  <c r="V2953" i="8"/>
  <c r="V2567" i="8"/>
  <c r="V1222" i="8"/>
  <c r="V1060" i="8"/>
  <c r="V884" i="8"/>
  <c r="V2525" i="8"/>
  <c r="V2471" i="8"/>
  <c r="V2838" i="8"/>
  <c r="V1747" i="8"/>
  <c r="V1485" i="8"/>
  <c r="V749" i="8"/>
  <c r="V1897" i="8"/>
  <c r="V2778" i="8"/>
  <c r="V2889" i="8"/>
  <c r="V967" i="8"/>
  <c r="V846" i="8"/>
  <c r="V2736" i="8"/>
  <c r="V2466" i="8"/>
  <c r="V2738" i="8"/>
  <c r="V2698" i="8"/>
  <c r="V1900" i="8"/>
  <c r="V2244" i="8"/>
  <c r="V921" i="8"/>
  <c r="V2743" i="8"/>
  <c r="V2744" i="8"/>
  <c r="V2655" i="8"/>
  <c r="V1518" i="8"/>
  <c r="V2371" i="8"/>
  <c r="V2813" i="8"/>
  <c r="V2749" i="8"/>
  <c r="V1749" i="8"/>
  <c r="V1020" i="8"/>
  <c r="V1623" i="8"/>
  <c r="V2514" i="8"/>
  <c r="V2754" i="8"/>
  <c r="V1271" i="8"/>
  <c r="V1431" i="8"/>
  <c r="V2198" i="8"/>
  <c r="V676" i="8"/>
  <c r="V3063" i="8"/>
  <c r="V1260" i="8"/>
  <c r="V3079" i="8"/>
  <c r="V1161" i="8"/>
  <c r="V2985" i="8"/>
  <c r="V1035" i="8"/>
  <c r="V2363" i="8"/>
  <c r="V2136" i="8"/>
  <c r="V3039" i="8"/>
  <c r="V2768" i="8"/>
  <c r="V1959" i="8"/>
  <c r="V1993" i="8"/>
  <c r="V2771" i="8"/>
  <c r="V1898" i="8"/>
  <c r="V610" i="8"/>
  <c r="V1267" i="8"/>
  <c r="V1502" i="8"/>
  <c r="V2476" i="8"/>
  <c r="V1003" i="8"/>
  <c r="V2477" i="8"/>
  <c r="V1947" i="8"/>
  <c r="V2856" i="8"/>
  <c r="V2480" i="8"/>
  <c r="V1602" i="8"/>
  <c r="V3011" i="8"/>
  <c r="V2504" i="8"/>
  <c r="V362" i="8"/>
  <c r="V631" i="8"/>
  <c r="V1779" i="8"/>
  <c r="V2093" i="8"/>
  <c r="V2827" i="8"/>
  <c r="V91" i="8"/>
  <c r="V1251" i="8"/>
  <c r="V1560" i="8"/>
  <c r="V1087" i="8"/>
  <c r="V1768" i="8"/>
  <c r="V770" i="8"/>
  <c r="V2796" i="8"/>
  <c r="V872" i="8"/>
  <c r="V1147" i="8"/>
  <c r="V1670" i="8"/>
  <c r="V2629" i="8"/>
  <c r="V2801" i="8"/>
  <c r="V2648" i="8"/>
  <c r="V1844" i="8"/>
  <c r="V2375" i="8"/>
  <c r="V1509" i="8"/>
  <c r="V1853" i="8"/>
  <c r="V2178" i="8"/>
  <c r="V2542" i="8"/>
  <c r="V1429" i="8"/>
  <c r="V3006" i="8"/>
  <c r="V1985" i="8"/>
  <c r="V1934" i="8"/>
  <c r="V875" i="8"/>
  <c r="V1168" i="8"/>
  <c r="V2212" i="8"/>
  <c r="V1609" i="8"/>
  <c r="V2187" i="8"/>
  <c r="V1925" i="8"/>
  <c r="V1390" i="8"/>
  <c r="V1498" i="8"/>
  <c r="V1491" i="8"/>
  <c r="V2012" i="8"/>
  <c r="V2823" i="8"/>
  <c r="V443" i="8"/>
  <c r="V1074" i="8"/>
  <c r="V1740" i="8"/>
  <c r="V2555" i="8"/>
  <c r="V1926" i="8"/>
  <c r="V474" i="8"/>
  <c r="V1469" i="8"/>
  <c r="V1995" i="8"/>
  <c r="V2832" i="8"/>
  <c r="V1845" i="8"/>
  <c r="V1464" i="8"/>
  <c r="V2612" i="8"/>
  <c r="V1965" i="8"/>
  <c r="V1876" i="8"/>
  <c r="V1316" i="8"/>
  <c r="V2866" i="8"/>
  <c r="V1724" i="8"/>
  <c r="V1887" i="8"/>
  <c r="V1786" i="8"/>
  <c r="V860" i="8"/>
  <c r="V2263" i="8"/>
  <c r="V2845" i="8"/>
  <c r="V1391" i="8"/>
  <c r="V549" i="8"/>
  <c r="V814" i="8"/>
  <c r="V3091" i="8"/>
  <c r="V1976" i="8"/>
  <c r="V2839" i="8"/>
  <c r="V1741" i="8"/>
  <c r="V2742" i="8"/>
  <c r="V2673" i="8"/>
  <c r="V2441" i="8"/>
  <c r="V1354" i="8"/>
  <c r="V2623" i="8"/>
  <c r="V2071" i="8"/>
  <c r="V2407" i="8"/>
  <c r="V1963" i="8"/>
  <c r="V1302" i="8"/>
  <c r="V2111" i="8"/>
  <c r="V2683" i="8"/>
  <c r="V995" i="8"/>
  <c r="V1554" i="8"/>
  <c r="V1188" i="8"/>
  <c r="V3083" i="8"/>
  <c r="V1688" i="8"/>
  <c r="V2222" i="8"/>
  <c r="V1460" i="8"/>
  <c r="V1952" i="8"/>
  <c r="V1759" i="8"/>
  <c r="V1217" i="8"/>
  <c r="V3088" i="8"/>
  <c r="V2960" i="8"/>
  <c r="V1051" i="8"/>
  <c r="V2261" i="8"/>
  <c r="V1343" i="8"/>
  <c r="V2478" i="8"/>
  <c r="V2505" i="8"/>
  <c r="V2964" i="8"/>
  <c r="V2204" i="8"/>
  <c r="V1277" i="8"/>
  <c r="V1337" i="8"/>
  <c r="V1922" i="8"/>
  <c r="V2446" i="8"/>
  <c r="V2884" i="8"/>
  <c r="V2888" i="8"/>
  <c r="V1588" i="8"/>
  <c r="V3027" i="8"/>
  <c r="V2273" i="8"/>
  <c r="V38" i="8"/>
  <c r="V514" i="8"/>
  <c r="V1056" i="8"/>
  <c r="V152" i="8"/>
  <c r="V2896" i="8"/>
  <c r="V1529" i="8"/>
  <c r="V2259" i="8"/>
  <c r="V1653" i="8"/>
  <c r="V1761" i="8"/>
  <c r="V2901" i="8"/>
  <c r="V2520" i="8"/>
  <c r="V2831" i="8"/>
  <c r="V2283" i="8"/>
  <c r="V2728" i="8"/>
  <c r="V2179" i="8"/>
  <c r="V1582" i="8"/>
  <c r="V2173" i="8"/>
  <c r="V3058" i="8"/>
  <c r="V2321" i="8"/>
  <c r="V1090" i="8"/>
  <c r="V3041" i="8"/>
  <c r="V2942" i="8"/>
  <c r="V2359" i="8"/>
  <c r="V1201" i="8"/>
  <c r="V125" i="8"/>
  <c r="V1199" i="8"/>
  <c r="V1351" i="8"/>
  <c r="V2919" i="8"/>
  <c r="V1162" i="8"/>
  <c r="V250" i="8"/>
  <c r="V1949" i="8"/>
  <c r="V1113" i="8"/>
  <c r="V1389" i="8"/>
  <c r="V2974" i="8"/>
  <c r="V2255" i="8"/>
  <c r="V2603" i="8"/>
  <c r="V2196" i="8"/>
  <c r="V2189" i="8"/>
  <c r="V1070" i="8"/>
  <c r="V2686" i="8"/>
  <c r="V2805" i="8"/>
  <c r="V2933" i="8"/>
  <c r="V2882" i="8"/>
  <c r="V2339" i="8"/>
  <c r="V1023" i="8"/>
  <c r="V974" i="8"/>
  <c r="V509" i="8"/>
  <c r="V1374" i="8"/>
  <c r="V2940" i="8"/>
  <c r="V2191" i="8"/>
  <c r="V2377" i="8"/>
  <c r="V1788" i="8"/>
  <c r="V2369" i="8"/>
  <c r="V2798" i="8"/>
  <c r="V2817" i="8"/>
  <c r="V2047" i="8"/>
  <c r="V2325" i="8"/>
  <c r="V2949" i="8"/>
  <c r="V2609" i="8"/>
  <c r="V1770" i="8"/>
  <c r="V678" i="8"/>
  <c r="V2643" i="8"/>
  <c r="V1032" i="8"/>
  <c r="V1586" i="8"/>
  <c r="V1776" i="8"/>
  <c r="V3045" i="8"/>
  <c r="V285" i="8"/>
  <c r="V2944" i="8"/>
  <c r="V2140" i="8"/>
  <c r="V1386" i="8"/>
  <c r="V1807" i="8"/>
  <c r="V724" i="8"/>
  <c r="V1483" i="8"/>
  <c r="V930" i="8"/>
  <c r="V3047" i="8"/>
  <c r="V2287" i="8"/>
  <c r="V2081" i="8"/>
  <c r="V2865" i="8"/>
  <c r="V2970" i="8"/>
  <c r="V1886" i="8"/>
  <c r="V691" i="8"/>
  <c r="V1081" i="8"/>
  <c r="V3089" i="8"/>
  <c r="V1225" i="8"/>
  <c r="V658" i="8"/>
  <c r="V848" i="8"/>
  <c r="V2021" i="8"/>
  <c r="V2175" i="8"/>
  <c r="V2374" i="8"/>
  <c r="V2041" i="8"/>
  <c r="V1999" i="8"/>
  <c r="V341" i="8"/>
  <c r="V2792" i="8"/>
  <c r="V644" i="8"/>
  <c r="V1571" i="8"/>
  <c r="V1173" i="8"/>
  <c r="V1944" i="8"/>
  <c r="V2521" i="8"/>
  <c r="V1867" i="8"/>
  <c r="V2368" i="8"/>
  <c r="V2604" i="8"/>
  <c r="V1352" i="8"/>
  <c r="V1482" i="8"/>
  <c r="V2893" i="8"/>
  <c r="V2126" i="8"/>
  <c r="V2997" i="8"/>
  <c r="V1383" i="8"/>
  <c r="V2008" i="8"/>
  <c r="V585" i="8"/>
  <c r="V2130" i="8"/>
  <c r="V2916" i="8"/>
  <c r="V2946" i="8"/>
  <c r="V3004" i="8"/>
  <c r="V3002" i="8"/>
  <c r="V2143" i="8"/>
  <c r="V3014" i="8"/>
  <c r="V2961" i="8"/>
  <c r="V3080" i="8"/>
  <c r="V2928" i="8"/>
  <c r="V1677" i="8"/>
  <c r="V3009" i="8"/>
  <c r="V1268" i="8"/>
  <c r="V2443" i="8"/>
  <c r="V1816" i="8"/>
  <c r="V2072" i="8"/>
  <c r="V2804" i="8"/>
  <c r="V2033" i="8"/>
  <c r="V1082" i="8"/>
  <c r="V3020" i="8"/>
  <c r="V2161" i="8"/>
  <c r="V1011" i="8"/>
  <c r="V1004" i="8"/>
  <c r="V2802" i="8"/>
  <c r="V2536" i="8"/>
  <c r="V488" i="8"/>
  <c r="V2566" i="8"/>
  <c r="V3028" i="8"/>
  <c r="V339" i="8"/>
  <c r="V1014" i="8"/>
  <c r="V3031" i="8"/>
  <c r="V2039" i="8"/>
  <c r="V771" i="8"/>
  <c r="V713" i="8"/>
  <c r="V2214" i="8"/>
  <c r="V344" i="8"/>
  <c r="V2543" i="8"/>
  <c r="V1236" i="8"/>
  <c r="V2516" i="8"/>
  <c r="V2284" i="8"/>
  <c r="V1804" i="8"/>
  <c r="V625" i="8"/>
  <c r="V1544" i="8"/>
  <c r="V2313" i="8"/>
  <c r="V1466" i="8"/>
  <c r="V505" i="8"/>
  <c r="V1592" i="8"/>
  <c r="V2878" i="8"/>
  <c r="V393" i="8"/>
  <c r="V2993" i="8"/>
  <c r="V1394" i="8"/>
  <c r="V1292" i="8"/>
  <c r="V515" i="8"/>
  <c r="V318" i="8"/>
  <c r="V1618" i="8"/>
  <c r="V2453" i="8"/>
  <c r="V8" i="8"/>
  <c r="V1230" i="8"/>
  <c r="V2193" i="8"/>
  <c r="V2723" i="8"/>
  <c r="V2073" i="8"/>
  <c r="V2333" i="8"/>
  <c r="V985" i="8"/>
  <c r="V3064" i="8"/>
  <c r="V1664" i="8"/>
  <c r="V2678" i="8"/>
  <c r="V938" i="8"/>
  <c r="V1579" i="8"/>
  <c r="V2326" i="8"/>
  <c r="V1526" i="8"/>
  <c r="V1828" i="8"/>
  <c r="V2908" i="8"/>
  <c r="V2573" i="8"/>
  <c r="V2576" i="8"/>
  <c r="V2793" i="8"/>
  <c r="V1767" i="8"/>
  <c r="V763" i="8"/>
  <c r="V2440" i="8"/>
  <c r="V2044" i="8"/>
  <c r="V2614" i="8"/>
  <c r="V933" i="8"/>
  <c r="V1424" i="8"/>
  <c r="V2177" i="8"/>
  <c r="V2835" i="8"/>
  <c r="V1850" i="8"/>
  <c r="V1490" i="8"/>
  <c r="V1714" i="8"/>
  <c r="V1480" i="8"/>
  <c r="V1754" i="8"/>
  <c r="V2351" i="8"/>
  <c r="V541" i="8"/>
  <c r="B2948" i="8"/>
  <c r="B357" i="8"/>
  <c r="B2815" i="8"/>
  <c r="B1132" i="8"/>
  <c r="B2625" i="8"/>
  <c r="B1923" i="8"/>
  <c r="B2312" i="8"/>
  <c r="B2483" i="8"/>
  <c r="B2973" i="8"/>
  <c r="B13" i="8"/>
  <c r="B14" i="8"/>
  <c r="B2912" i="8"/>
  <c r="B16" i="8"/>
  <c r="B17" i="8"/>
  <c r="B18" i="8"/>
  <c r="B1340" i="8"/>
  <c r="B137" i="8"/>
  <c r="B21" i="8"/>
  <c r="B970" i="8"/>
  <c r="B23" i="8"/>
  <c r="B36" i="8"/>
  <c r="B25" i="8"/>
  <c r="B1720" i="8"/>
  <c r="B1144" i="8"/>
  <c r="B427" i="8"/>
  <c r="B287" i="8"/>
  <c r="B30" i="8"/>
  <c r="B31" i="8"/>
  <c r="B2144" i="8"/>
  <c r="B289" i="8"/>
  <c r="B364" i="8"/>
  <c r="B35" i="8"/>
  <c r="B2653" i="8"/>
  <c r="B2580" i="8"/>
  <c r="B170" i="8"/>
  <c r="B39" i="8"/>
  <c r="B160" i="8"/>
  <c r="B946" i="8"/>
  <c r="B42" i="8"/>
  <c r="B1924" i="8"/>
  <c r="B44" i="8"/>
  <c r="B2324" i="8"/>
  <c r="B2427" i="8"/>
  <c r="B47" i="8"/>
  <c r="B48" i="8"/>
  <c r="B892" i="8"/>
  <c r="B70" i="8"/>
  <c r="B51" i="8"/>
  <c r="B2088" i="8"/>
  <c r="B98" i="8"/>
  <c r="B54" i="8"/>
  <c r="B2708" i="8"/>
  <c r="B329" i="8"/>
  <c r="B1254" i="8"/>
  <c r="B58" i="8"/>
  <c r="B59" i="8"/>
  <c r="B773" i="8"/>
  <c r="B61" i="8"/>
  <c r="B203" i="8"/>
  <c r="B63" i="8"/>
  <c r="B64" i="8"/>
  <c r="B236" i="8"/>
  <c r="B879" i="8"/>
  <c r="B406" i="8"/>
  <c r="B68" i="8"/>
  <c r="B2999" i="8"/>
  <c r="B380" i="8"/>
  <c r="B981" i="8"/>
  <c r="B94" i="8"/>
  <c r="B73" i="8"/>
  <c r="B2462" i="8"/>
  <c r="B10" i="8"/>
  <c r="B819" i="8"/>
  <c r="B77" i="8"/>
  <c r="B78" i="8"/>
  <c r="B1888" i="8"/>
  <c r="B881" i="8"/>
  <c r="B128" i="8"/>
  <c r="B172" i="8"/>
  <c r="B83" i="8"/>
  <c r="B84" i="8"/>
  <c r="B85" i="8"/>
  <c r="B2209" i="8"/>
  <c r="B1746" i="8"/>
  <c r="B88" i="8"/>
  <c r="B194" i="8"/>
  <c r="B1523" i="8"/>
  <c r="B1092" i="8"/>
  <c r="B2390" i="8"/>
  <c r="B1873" i="8"/>
  <c r="B1314" i="8"/>
  <c r="B472" i="8"/>
  <c r="B202" i="8"/>
  <c r="B906" i="8"/>
  <c r="B2895" i="8"/>
  <c r="B1435" i="8"/>
  <c r="B299" i="8"/>
  <c r="B101" i="8"/>
  <c r="B102" i="8"/>
  <c r="B2206" i="8"/>
  <c r="B104" i="8"/>
  <c r="B2303" i="8"/>
  <c r="B106" i="8"/>
  <c r="B2205" i="8"/>
  <c r="B115" i="8"/>
  <c r="B1163" i="8"/>
  <c r="B736" i="8"/>
  <c r="B2400" i="8"/>
  <c r="B297" i="8"/>
  <c r="B113" i="8"/>
  <c r="B1956" i="8"/>
  <c r="B1977" i="8"/>
  <c r="B1826" i="8"/>
  <c r="B79" i="8"/>
  <c r="B118" i="8"/>
  <c r="B119" i="8"/>
  <c r="B786" i="8"/>
  <c r="B1449" i="8"/>
  <c r="B173" i="8"/>
  <c r="B123" i="8"/>
  <c r="B69" i="8"/>
  <c r="B470" i="8"/>
  <c r="B907" i="8"/>
  <c r="B127" i="8"/>
  <c r="B415" i="8"/>
  <c r="B2659" i="8"/>
  <c r="B843" i="8"/>
  <c r="B131" i="8"/>
  <c r="B132" i="8"/>
  <c r="B1247" i="8"/>
  <c r="B2988" i="8"/>
  <c r="B1296" i="8"/>
  <c r="B136" i="8"/>
  <c r="B1266" i="8"/>
  <c r="B56" i="8"/>
  <c r="B139" i="8"/>
  <c r="B458" i="8"/>
  <c r="B2229" i="8"/>
  <c r="B142" i="8"/>
  <c r="B215" i="8"/>
  <c r="B327" i="8"/>
  <c r="B2005" i="8"/>
  <c r="B1399" i="8"/>
  <c r="B147" i="8"/>
  <c r="B2863" i="8"/>
  <c r="B149" i="8"/>
  <c r="B150" i="8"/>
  <c r="B151" i="8"/>
  <c r="B180" i="8"/>
  <c r="B153" i="8"/>
  <c r="B447" i="8"/>
  <c r="B2519" i="8"/>
  <c r="B46" i="8"/>
  <c r="B388" i="8"/>
  <c r="B3068" i="8"/>
  <c r="B1493" i="8"/>
  <c r="B1133" i="8"/>
  <c r="B53" i="8"/>
  <c r="B1946" i="8"/>
  <c r="B1289" i="8"/>
  <c r="B165" i="8"/>
  <c r="B2381" i="8"/>
  <c r="B43" i="8"/>
  <c r="B537" i="8"/>
  <c r="B1725" i="8"/>
  <c r="B2429" i="8"/>
  <c r="B381" i="8"/>
  <c r="B1405" i="8"/>
  <c r="B99" i="8"/>
  <c r="B28" i="8"/>
  <c r="B174" i="8"/>
  <c r="B100" i="8"/>
  <c r="B176" i="8"/>
  <c r="B1486" i="8"/>
  <c r="B2370" i="8"/>
  <c r="B369" i="8"/>
  <c r="B105" i="8"/>
  <c r="B158" i="8"/>
  <c r="B1323" i="8"/>
  <c r="B183" i="8"/>
  <c r="B377" i="8"/>
  <c r="B464" i="8"/>
  <c r="B2826" i="8"/>
  <c r="B975" i="8"/>
  <c r="B2637" i="8"/>
  <c r="B1181" i="8"/>
  <c r="B2419" i="8"/>
  <c r="B2235" i="8"/>
  <c r="B1190" i="8"/>
  <c r="B397" i="8"/>
  <c r="B187" i="8"/>
  <c r="B888" i="8"/>
  <c r="B80" i="8"/>
  <c r="B197" i="8"/>
  <c r="B2857" i="8"/>
  <c r="B20" i="8"/>
  <c r="B2819" i="8"/>
  <c r="B613" i="8"/>
  <c r="B2121" i="8"/>
  <c r="B1847" i="8"/>
  <c r="B2524" i="8"/>
  <c r="B2941" i="8"/>
  <c r="B402" i="8"/>
  <c r="B207" i="8"/>
  <c r="B2224" i="8"/>
  <c r="B209" i="8"/>
  <c r="B210" i="8"/>
  <c r="B211" i="8"/>
  <c r="B212" i="8"/>
  <c r="B2930" i="8"/>
  <c r="B214" i="8"/>
  <c r="B627" i="8"/>
  <c r="B3062" i="8"/>
  <c r="B217" i="8"/>
  <c r="B9" i="8"/>
  <c r="B219" i="8"/>
  <c r="B2257" i="8"/>
  <c r="B668" i="8"/>
  <c r="B1129" i="8"/>
  <c r="B692" i="8"/>
  <c r="B24" i="8"/>
  <c r="B595" i="8"/>
  <c r="B290" i="8"/>
  <c r="B337" i="8"/>
  <c r="B715" i="8"/>
  <c r="B201" i="8"/>
  <c r="B1295" i="8"/>
  <c r="B950" i="8"/>
  <c r="B1331" i="8"/>
  <c r="B233" i="8"/>
  <c r="B545" i="8"/>
  <c r="B1548" i="8"/>
  <c r="B2656" i="8"/>
  <c r="B363" i="8"/>
  <c r="B15" i="8"/>
  <c r="B442" i="8"/>
  <c r="B198" i="8"/>
  <c r="B247" i="8"/>
  <c r="B242" i="8"/>
  <c r="B2200" i="8"/>
  <c r="B1171" i="8"/>
  <c r="B1195" i="8"/>
  <c r="B550" i="8"/>
  <c r="B559" i="8"/>
  <c r="B1546" i="8"/>
  <c r="B436" i="8"/>
  <c r="B1341" i="8"/>
  <c r="B2298" i="8"/>
  <c r="B252" i="8"/>
  <c r="B2607" i="8"/>
  <c r="B254" i="8"/>
  <c r="B1522" i="8"/>
  <c r="B2561" i="8"/>
  <c r="B1009" i="8"/>
  <c r="B2305" i="8"/>
  <c r="B259" i="8"/>
  <c r="B521" i="8"/>
  <c r="B762" i="8"/>
  <c r="B421" i="8"/>
  <c r="B2741" i="8"/>
  <c r="B140" i="8"/>
  <c r="B2380" i="8"/>
  <c r="B1513" i="8"/>
  <c r="B1665" i="8"/>
  <c r="B2658" i="8"/>
  <c r="B674" i="8"/>
  <c r="B812" i="8"/>
  <c r="B2545" i="8"/>
  <c r="B218" i="8"/>
  <c r="B1543" i="8"/>
  <c r="B478" i="8"/>
  <c r="B275" i="8"/>
  <c r="B3035" i="8"/>
  <c r="B2867" i="8"/>
  <c r="B850" i="8"/>
  <c r="B2176" i="8"/>
  <c r="B664" i="8"/>
  <c r="B1685" i="8"/>
  <c r="B596" i="8"/>
  <c r="B372" i="8"/>
  <c r="B2336" i="8"/>
  <c r="B1134" i="8"/>
  <c r="B684" i="8"/>
  <c r="B261" i="8"/>
  <c r="B911" i="8"/>
  <c r="B1467" i="8"/>
  <c r="B2365" i="8"/>
  <c r="B2709" i="8"/>
  <c r="B2841" i="8"/>
  <c r="B755" i="8"/>
  <c r="B1907" i="8"/>
  <c r="B2702" i="8"/>
  <c r="B555" i="8"/>
  <c r="B1723" i="8"/>
  <c r="B117" i="8"/>
  <c r="B67" i="8"/>
  <c r="B294" i="8"/>
  <c r="B2154" i="8"/>
  <c r="B2601" i="8"/>
  <c r="B401" i="8"/>
  <c r="B2491" i="8"/>
  <c r="B2617" i="8"/>
  <c r="B1019" i="8"/>
  <c r="B307" i="8"/>
  <c r="B109" i="8"/>
  <c r="B1781" i="8"/>
  <c r="B2131" i="8"/>
  <c r="B155" i="8"/>
  <c r="B312" i="8"/>
  <c r="B628" i="8"/>
  <c r="B1933" i="8"/>
  <c r="B57" i="8"/>
  <c r="B306" i="8"/>
  <c r="B317" i="8"/>
  <c r="B2007" i="8"/>
  <c r="B319" i="8"/>
  <c r="B611" i="8"/>
  <c r="B92" i="8"/>
  <c r="B74" i="8"/>
  <c r="B40" i="8"/>
  <c r="B2232" i="8"/>
  <c r="B206" i="8"/>
  <c r="B200" i="8"/>
  <c r="B414" i="8"/>
  <c r="B304" i="8"/>
  <c r="B3008" i="8"/>
  <c r="B2969" i="8"/>
  <c r="B1641" i="8"/>
  <c r="B916" i="8"/>
  <c r="B2591" i="8"/>
  <c r="B334" i="8"/>
  <c r="B2907" i="8"/>
  <c r="B2182" i="8"/>
  <c r="B467" i="8"/>
  <c r="B1539" i="8"/>
  <c r="B634" i="8"/>
  <c r="B1927" i="8"/>
  <c r="B766" i="8"/>
  <c r="B2376" i="8"/>
  <c r="B1961" i="8"/>
  <c r="B2724" i="8"/>
  <c r="B654" i="8"/>
  <c r="B288" i="8"/>
  <c r="B1206" i="8"/>
  <c r="B2437" i="8"/>
  <c r="B2920" i="8"/>
  <c r="B1795" i="8"/>
  <c r="B453" i="8"/>
  <c r="B2218" i="8"/>
  <c r="B410" i="8"/>
  <c r="B354" i="8"/>
  <c r="B1101" i="8"/>
  <c r="B693" i="8"/>
  <c r="B2963" i="8"/>
  <c r="B579" i="8"/>
  <c r="B416" i="8"/>
  <c r="B805" i="8"/>
  <c r="B972" i="8"/>
  <c r="B396" i="8"/>
  <c r="B2972" i="8"/>
  <c r="B2781" i="8"/>
  <c r="B365" i="8"/>
  <c r="B72" i="8"/>
  <c r="B988" i="8"/>
  <c r="B2163" i="8"/>
  <c r="B114" i="8"/>
  <c r="B638" i="8"/>
  <c r="B192" i="8"/>
  <c r="B234" i="8"/>
  <c r="B898" i="8"/>
  <c r="B374" i="8"/>
  <c r="B2454" i="8"/>
  <c r="B1473" i="8"/>
  <c r="B163" i="8"/>
  <c r="B2715" i="8"/>
  <c r="B1550" i="8"/>
  <c r="B2787" i="8"/>
  <c r="B87" i="8"/>
  <c r="B942" i="8"/>
  <c r="B626" i="8"/>
  <c r="B487" i="8"/>
  <c r="B880" i="8"/>
  <c r="B2726" i="8"/>
  <c r="B387" i="8"/>
  <c r="B2003" i="8"/>
  <c r="B569" i="8"/>
  <c r="B76" i="8"/>
  <c r="B2169" i="8"/>
  <c r="B759" i="8"/>
  <c r="B295" i="8"/>
  <c r="B2727" i="8"/>
  <c r="B2004" i="8"/>
  <c r="B171" i="8"/>
  <c r="B413" i="8"/>
  <c r="B2090" i="8"/>
  <c r="B112" i="8"/>
  <c r="B1252" i="8"/>
  <c r="B681" i="8"/>
  <c r="B399" i="8"/>
  <c r="B2168" i="8"/>
  <c r="B1530" i="8"/>
  <c r="B2585" i="8"/>
  <c r="B1837" i="8"/>
  <c r="B3084" i="8"/>
  <c r="B314" i="8"/>
  <c r="B409" i="8"/>
  <c r="B1125" i="8"/>
  <c r="B1043" i="8"/>
  <c r="B1421" i="8"/>
  <c r="B2042" i="8"/>
  <c r="B1503" i="8"/>
  <c r="B2490" i="8"/>
  <c r="B2448" i="8"/>
  <c r="B1438" i="8"/>
  <c r="B418" i="8"/>
  <c r="B2470" i="8"/>
  <c r="B915" i="8"/>
  <c r="B1864" i="8"/>
  <c r="B1012" i="8"/>
  <c r="B493" i="8"/>
  <c r="B1039" i="8"/>
  <c r="B1755" i="8"/>
  <c r="B753" i="8"/>
  <c r="B420" i="8"/>
  <c r="B1981" i="8"/>
  <c r="B948" i="8"/>
  <c r="B2762" i="8"/>
  <c r="B97" i="8"/>
  <c r="B1072" i="8"/>
  <c r="B680" i="8"/>
  <c r="B3090" i="8"/>
  <c r="B874" i="8"/>
  <c r="B2955" i="8"/>
  <c r="B437" i="8"/>
  <c r="B1551" i="8"/>
  <c r="B2292" i="8"/>
  <c r="B511" i="8"/>
  <c r="B224" i="8"/>
  <c r="B1318" i="8"/>
  <c r="B558" i="8"/>
  <c r="B144" i="8"/>
  <c r="B445" i="8"/>
  <c r="B2357" i="8"/>
  <c r="B825" i="8"/>
  <c r="B455" i="8"/>
  <c r="B282" i="8"/>
  <c r="B784" i="8"/>
  <c r="B2858" i="8"/>
  <c r="B1651" i="8"/>
  <c r="B711" i="8"/>
  <c r="B454" i="8"/>
  <c r="B248" i="8"/>
  <c r="B440" i="8"/>
  <c r="B2215" i="8"/>
  <c r="B1468" i="8"/>
  <c r="B1299" i="8"/>
  <c r="B2602" i="8"/>
  <c r="B1233" i="8"/>
  <c r="B621" i="8"/>
  <c r="B204" i="8"/>
  <c r="B168" i="8"/>
  <c r="B1143" i="8"/>
  <c r="B2570" i="8"/>
  <c r="B731" i="8"/>
  <c r="B11" i="8"/>
  <c r="B272" i="8"/>
  <c r="B2757" i="8"/>
  <c r="B1028" i="8"/>
  <c r="B940" i="8"/>
  <c r="B1457" i="8"/>
  <c r="B251" i="8"/>
  <c r="B1911" i="8"/>
  <c r="B924" i="8"/>
  <c r="B1968" i="8"/>
  <c r="B190" i="8"/>
  <c r="B130" i="8"/>
  <c r="B1496" i="8"/>
  <c r="B432" i="8"/>
  <c r="B507" i="8"/>
  <c r="B662" i="8"/>
  <c r="B2651" i="8"/>
  <c r="B3" i="8"/>
  <c r="B370" i="8"/>
  <c r="B41" i="8"/>
  <c r="B553" i="8"/>
  <c r="B2959" i="8"/>
  <c r="B687" i="8"/>
  <c r="B1975" i="8"/>
  <c r="B1916" i="8"/>
  <c r="B2098" i="8"/>
  <c r="B2765" i="8"/>
  <c r="B2274" i="8"/>
  <c r="B839" i="8"/>
  <c r="B978" i="8"/>
  <c r="B2022" i="8"/>
  <c r="B1124" i="8"/>
  <c r="B500" i="8"/>
  <c r="B265" i="8"/>
  <c r="B2225" i="8"/>
  <c r="B283" i="8"/>
  <c r="B2729" i="8"/>
  <c r="B883" i="8"/>
  <c r="B716" i="8"/>
  <c r="B963" i="8"/>
  <c r="B1834" i="8"/>
  <c r="B1058" i="8"/>
  <c r="B431" i="8"/>
  <c r="B2242" i="8"/>
  <c r="B2551" i="8"/>
  <c r="B1437" i="8"/>
  <c r="B2527" i="8"/>
  <c r="B1065" i="8"/>
  <c r="B876" i="8"/>
  <c r="B1108" i="8"/>
  <c r="B2240" i="8"/>
  <c r="B920" i="8"/>
  <c r="B2875" i="8"/>
  <c r="B1811" i="8"/>
  <c r="B790" i="8"/>
  <c r="B1572" i="8"/>
  <c r="B221" i="8"/>
  <c r="B311" i="8"/>
  <c r="B423" i="8"/>
  <c r="B2067" i="8"/>
  <c r="B494" i="8"/>
  <c r="B2475" i="8"/>
  <c r="B107" i="8"/>
  <c r="B564" i="8"/>
  <c r="B910" i="8"/>
  <c r="B489" i="8"/>
  <c r="B1103" i="8"/>
  <c r="B2755" i="8"/>
  <c r="B2834" i="8"/>
  <c r="B1475" i="8"/>
  <c r="B313" i="8"/>
  <c r="B518" i="8"/>
  <c r="B2584" i="8"/>
  <c r="B777" i="8"/>
  <c r="B953" i="8"/>
  <c r="B1095" i="8"/>
  <c r="B813" i="8"/>
  <c r="B977" i="8"/>
  <c r="B1079" i="8"/>
  <c r="B2308" i="8"/>
  <c r="B1372" i="8"/>
  <c r="B747" i="8"/>
  <c r="B71" i="8"/>
  <c r="B1494" i="8"/>
  <c r="B1920" i="8"/>
  <c r="B129" i="8"/>
  <c r="B3010" i="8"/>
  <c r="B439" i="8"/>
  <c r="B121" i="8"/>
  <c r="B529" i="8"/>
  <c r="B979" i="8"/>
  <c r="B133" i="8"/>
  <c r="B407" i="8"/>
  <c r="B1364" i="8"/>
  <c r="B253" i="8"/>
  <c r="B477" i="8"/>
  <c r="B817" i="8"/>
  <c r="B661" i="8"/>
  <c r="B2874" i="8"/>
  <c r="B293" i="8"/>
  <c r="B379" i="8"/>
  <c r="B75" i="8"/>
  <c r="B707" i="8"/>
  <c r="B169" i="8"/>
  <c r="B355" i="8"/>
  <c r="B1540" i="8"/>
  <c r="B1824" i="8"/>
  <c r="B303" i="8"/>
  <c r="B2185" i="8"/>
  <c r="B2393" i="8"/>
  <c r="B26" i="8"/>
  <c r="B2000" i="8"/>
  <c r="B1096" i="8"/>
  <c r="B512" i="8"/>
  <c r="B1006" i="8"/>
  <c r="B384" i="8"/>
  <c r="B820" i="8"/>
  <c r="B1742" i="8"/>
  <c r="B3073" i="8"/>
  <c r="B82" i="8"/>
  <c r="B745" i="8"/>
  <c r="B2588" i="8"/>
  <c r="B1689" i="8"/>
  <c r="B1622" i="8"/>
  <c r="B1520" i="8"/>
  <c r="B466" i="8"/>
  <c r="B1612" i="8"/>
  <c r="B520" i="8"/>
  <c r="B246" i="8"/>
  <c r="B789" i="8"/>
  <c r="B2694" i="8"/>
  <c r="B305" i="8"/>
  <c r="B2830" i="8"/>
  <c r="B1902" i="8"/>
  <c r="B188" i="8"/>
  <c r="B1649" i="8"/>
  <c r="B89" i="8"/>
  <c r="B964" i="8"/>
  <c r="B2356" i="8"/>
  <c r="B1428" i="8"/>
  <c r="B1048" i="8"/>
  <c r="B2247" i="8"/>
  <c r="B1974" i="8"/>
  <c r="B1721" i="8"/>
  <c r="B2663" i="8"/>
  <c r="B1326" i="8"/>
  <c r="B2807" i="8"/>
  <c r="B411" i="8"/>
  <c r="B1001" i="8"/>
  <c r="B154" i="8"/>
  <c r="B562" i="8"/>
  <c r="B552" i="8"/>
  <c r="B1785" i="8"/>
  <c r="B65" i="8"/>
  <c r="B2674" i="8"/>
  <c r="B1417" i="8"/>
  <c r="B1098" i="8"/>
  <c r="B556" i="8"/>
  <c r="B1814" i="8"/>
  <c r="B816" i="8"/>
  <c r="B1598" i="8"/>
  <c r="B468" i="8"/>
  <c r="B383" i="8"/>
  <c r="B632" i="8"/>
  <c r="B138" i="8"/>
  <c r="B185" i="8"/>
  <c r="B484" i="8"/>
  <c r="B635" i="8"/>
  <c r="B1964" i="8"/>
  <c r="B162" i="8"/>
  <c r="B175" i="8"/>
  <c r="B471" i="8"/>
  <c r="B33" i="8"/>
  <c r="B34" i="8"/>
  <c r="B182" i="8"/>
  <c r="B1584" i="8"/>
  <c r="B1115" i="8"/>
  <c r="B3033" i="8"/>
  <c r="B237" i="8"/>
  <c r="B2378" i="8"/>
  <c r="B392" i="8"/>
  <c r="B2770" i="8"/>
  <c r="B1866" i="8"/>
  <c r="B1017" i="8"/>
  <c r="B352" i="8"/>
  <c r="B718" i="8"/>
  <c r="B2654" i="8"/>
  <c r="B861" i="8"/>
  <c r="B2467" i="8"/>
  <c r="B1894" i="8"/>
  <c r="B6" i="8"/>
  <c r="B659" i="8"/>
  <c r="B81" i="8"/>
  <c r="B2024" i="8"/>
  <c r="B737" i="8"/>
  <c r="B1621" i="8"/>
  <c r="B2927" i="8"/>
  <c r="B278" i="8"/>
  <c r="B1361" i="8"/>
  <c r="B60" i="8"/>
  <c r="B865" i="8"/>
  <c r="B608" i="8"/>
  <c r="B670" i="8"/>
  <c r="B1376" i="8"/>
  <c r="B1037" i="8"/>
  <c r="B229" i="8"/>
  <c r="B1286" i="8"/>
  <c r="B3036" i="8"/>
  <c r="B1708" i="8"/>
  <c r="B677" i="8"/>
  <c r="B1802" i="8"/>
  <c r="B184" i="8"/>
  <c r="B557" i="8"/>
  <c r="B912" i="8"/>
  <c r="B2885" i="8"/>
  <c r="B332" i="8"/>
  <c r="B2956" i="8"/>
  <c r="B1234" i="8"/>
  <c r="B159" i="8"/>
  <c r="B1024" i="8"/>
  <c r="B1626" i="8"/>
  <c r="B934" i="8"/>
  <c r="B1823" i="8"/>
  <c r="B2353" i="8"/>
  <c r="B189" i="8"/>
  <c r="B1601" i="8"/>
  <c r="B345" i="8"/>
  <c r="B954" i="8"/>
  <c r="B2474" i="8"/>
  <c r="B408" i="8"/>
  <c r="B908" i="8"/>
  <c r="B699" i="8"/>
  <c r="B700" i="8"/>
  <c r="B1631" i="8"/>
  <c r="B702" i="8"/>
  <c r="B124" i="8"/>
  <c r="B1191" i="8"/>
  <c r="B2575" i="8"/>
  <c r="B2164" i="8"/>
  <c r="B947" i="8"/>
  <c r="B918" i="8"/>
  <c r="B2836" i="8"/>
  <c r="B1362" i="8"/>
  <c r="B2174" i="8"/>
  <c r="B1241" i="8"/>
  <c r="B1015" i="8"/>
  <c r="B714" i="8"/>
  <c r="B398" i="8"/>
  <c r="B480" i="8"/>
  <c r="B2587" i="8"/>
  <c r="B2759" i="8"/>
  <c r="B719" i="8"/>
  <c r="B720" i="8"/>
  <c r="B412" i="8"/>
  <c r="B997" i="8"/>
  <c r="B723" i="8"/>
  <c r="B2404" i="8"/>
  <c r="B2535" i="8"/>
  <c r="B726" i="8"/>
  <c r="B673" i="8"/>
  <c r="B1792" i="8"/>
  <c r="B729" i="8"/>
  <c r="B66" i="8"/>
  <c r="B603" i="8"/>
  <c r="B256" i="8"/>
  <c r="B733" i="8"/>
  <c r="B588" i="8"/>
  <c r="B1487" i="8"/>
  <c r="B29" i="8"/>
  <c r="B1762" i="8"/>
  <c r="B738" i="8"/>
  <c r="B1589" i="8"/>
  <c r="B199" i="8"/>
  <c r="B679" i="8"/>
  <c r="B179" i="8"/>
  <c r="B743" i="8"/>
  <c r="B238" i="8"/>
  <c r="B1497" i="8"/>
  <c r="B2989" i="8"/>
  <c r="B476" i="8"/>
  <c r="B111" i="8"/>
  <c r="B1057" i="8"/>
  <c r="B750" i="8"/>
  <c r="B751" i="8"/>
  <c r="B446" i="8"/>
  <c r="B690" i="8"/>
  <c r="B110" i="8"/>
  <c r="B177" i="8"/>
  <c r="B22" i="8"/>
  <c r="B757" i="8"/>
  <c r="B232" i="8"/>
  <c r="B870" i="8"/>
  <c r="B435" i="8"/>
  <c r="B178" i="8"/>
  <c r="B310" i="8"/>
  <c r="B945" i="8"/>
  <c r="B971" i="8"/>
  <c r="B765" i="8"/>
  <c r="B2267" i="8"/>
  <c r="B193" i="8"/>
  <c r="B62" i="8"/>
  <c r="B2197" i="8"/>
  <c r="B782" i="8"/>
  <c r="B2080" i="8"/>
  <c r="B525" i="8"/>
  <c r="B1843" i="8"/>
  <c r="B2046" i="8"/>
  <c r="B326" i="8"/>
  <c r="B2947" i="8"/>
  <c r="B2511" i="8"/>
  <c r="B778" i="8"/>
  <c r="B330" i="8"/>
  <c r="B1508" i="8"/>
  <c r="B2401" i="8"/>
  <c r="B2711" i="8"/>
  <c r="B570" i="8"/>
  <c r="B1733" i="8"/>
  <c r="B785" i="8"/>
  <c r="B2124" i="8"/>
  <c r="B1913" i="8"/>
  <c r="B797" i="8"/>
  <c r="B652" i="8"/>
  <c r="B582" i="8"/>
  <c r="B791" i="8"/>
  <c r="B792" i="8"/>
  <c r="B1365" i="8"/>
  <c r="B591" i="8"/>
  <c r="B795" i="8"/>
  <c r="B932" i="8"/>
  <c r="B2290" i="8"/>
  <c r="B308" i="8"/>
  <c r="B143" i="8"/>
  <c r="B800" i="8"/>
  <c r="B801" i="8"/>
  <c r="B802" i="8"/>
  <c r="B1877" i="8"/>
  <c r="B2790" i="8"/>
  <c r="B1516" i="8"/>
  <c r="B806" i="8"/>
  <c r="B2971" i="8"/>
  <c r="B808" i="8"/>
  <c r="B2314" i="8"/>
  <c r="B810" i="8"/>
  <c r="B1000" i="8"/>
  <c r="B3023" i="8"/>
  <c r="B2748" i="8"/>
  <c r="B2016" i="8"/>
  <c r="B328" i="8"/>
  <c r="B196" i="8"/>
  <c r="B526" i="8"/>
  <c r="B2208" i="8"/>
  <c r="B2700" i="8"/>
  <c r="B667" i="8"/>
  <c r="B205" i="8"/>
  <c r="B2983" i="8"/>
  <c r="B823" i="8"/>
  <c r="B824" i="8"/>
  <c r="B1917" i="8"/>
  <c r="B1084" i="8"/>
  <c r="B827" i="8"/>
  <c r="B1921" i="8"/>
  <c r="B829" i="8"/>
  <c r="B462" i="8"/>
  <c r="B831" i="8"/>
  <c r="B2810" i="8"/>
  <c r="B1287" i="8"/>
  <c r="B1007" i="8"/>
  <c r="B1882" i="8"/>
  <c r="B836" i="8"/>
  <c r="B457" i="8"/>
  <c r="B838" i="8"/>
  <c r="B2923" i="8"/>
  <c r="B841" i="8"/>
  <c r="B996" i="8"/>
  <c r="B449" i="8"/>
  <c r="B497" i="8"/>
  <c r="B845" i="8"/>
  <c r="B235" i="8"/>
  <c r="B847" i="8"/>
  <c r="B1624" i="8"/>
  <c r="B1707" i="8"/>
  <c r="B348" i="8"/>
  <c r="B1353" i="8"/>
  <c r="B1139" i="8"/>
  <c r="B853" i="8"/>
  <c r="B208" i="8"/>
  <c r="B301" i="8"/>
  <c r="B2426" i="8"/>
  <c r="B857" i="8"/>
  <c r="B1112" i="8"/>
  <c r="B2627" i="8"/>
  <c r="B956" i="8"/>
  <c r="B164" i="8"/>
  <c r="B1016" i="8"/>
  <c r="B732" i="8"/>
  <c r="B1407" i="8"/>
  <c r="B937" i="8"/>
  <c r="B2096" i="8"/>
  <c r="B371" i="8"/>
  <c r="B868" i="8"/>
  <c r="B2360" i="8"/>
  <c r="B902" i="8"/>
  <c r="B245" i="8"/>
  <c r="B3032" i="8"/>
  <c r="B227" i="8"/>
  <c r="B592" i="8"/>
  <c r="B548" i="8"/>
  <c r="B167" i="8"/>
  <c r="B1269" i="8"/>
  <c r="B2844" i="8"/>
  <c r="B2510" i="8"/>
  <c r="B1702" i="8"/>
  <c r="B1002" i="8"/>
  <c r="B2840" i="8"/>
  <c r="B2318" i="8"/>
  <c r="B602" i="8"/>
  <c r="B2054" i="8"/>
  <c r="B225" i="8"/>
  <c r="B887" i="8"/>
  <c r="B2905" i="8"/>
  <c r="B1141" i="8"/>
  <c r="B722" i="8"/>
  <c r="B704" i="8"/>
  <c r="B37" i="8"/>
  <c r="B2079" i="8"/>
  <c r="B1760" i="8"/>
  <c r="B451" i="8"/>
  <c r="B896" i="8"/>
  <c r="B3016" i="8"/>
  <c r="B2301" i="8"/>
  <c r="B1868" i="8"/>
  <c r="B2195" i="8"/>
  <c r="B901" i="8"/>
  <c r="B2372" i="8"/>
  <c r="B903" i="8"/>
  <c r="B852" i="8"/>
  <c r="B905" i="8"/>
  <c r="B830" i="8"/>
  <c r="B2486" i="8"/>
  <c r="B983" i="8"/>
  <c r="B909" i="8"/>
  <c r="B721" i="8"/>
  <c r="B216" i="8"/>
  <c r="B2207" i="8"/>
  <c r="B913" i="8"/>
  <c r="B629" i="8"/>
  <c r="B560" i="8"/>
  <c r="B532" i="8"/>
  <c r="B534" i="8"/>
  <c r="B2981" i="8"/>
  <c r="B660" i="8"/>
  <c r="B1839" i="8"/>
  <c r="B1127" i="8"/>
  <c r="B389" i="8"/>
  <c r="B1821" i="8"/>
  <c r="B3055" i="8"/>
  <c r="B2410" i="8"/>
  <c r="B498" i="8"/>
  <c r="B927" i="8"/>
  <c r="B1471" i="8"/>
  <c r="B2405" i="8"/>
  <c r="B461" i="8"/>
  <c r="B3034" i="8"/>
  <c r="B241" i="8"/>
  <c r="B1107" i="8"/>
  <c r="B917" i="8"/>
  <c r="B655" i="8"/>
  <c r="B2180" i="8"/>
  <c r="B1613" i="8"/>
  <c r="B258" i="8"/>
  <c r="B1105" i="8"/>
  <c r="B2349" i="8"/>
  <c r="B2147" i="8"/>
  <c r="B656" i="8"/>
  <c r="B2559" i="8"/>
  <c r="B469" i="8"/>
  <c r="B730" i="8"/>
  <c r="B2394" i="8"/>
  <c r="B351" i="8"/>
  <c r="B598" i="8"/>
  <c r="B2043" i="8"/>
  <c r="B263" i="8"/>
  <c r="B45" i="8"/>
  <c r="B1111" i="8"/>
  <c r="B336" i="8"/>
  <c r="B281" i="8"/>
  <c r="B955" i="8"/>
  <c r="B854" i="8"/>
  <c r="B522" i="8"/>
  <c r="B2452" i="8"/>
  <c r="B834" i="8"/>
  <c r="B309" i="8"/>
  <c r="B2280" i="8"/>
  <c r="B2595" i="8"/>
  <c r="B1998" i="8"/>
  <c r="B991" i="8"/>
  <c r="B2986" i="8"/>
  <c r="B980" i="8"/>
  <c r="B2496" i="8"/>
  <c r="B1718" i="8"/>
  <c r="B969" i="8"/>
  <c r="B2231" i="8"/>
  <c r="B2855" i="8"/>
  <c r="B120" i="8"/>
  <c r="B1088" i="8"/>
  <c r="B1797" i="8"/>
  <c r="B612" i="8"/>
  <c r="B1700" i="8"/>
  <c r="B2422" i="8"/>
  <c r="B2421" i="8"/>
  <c r="B589" i="8"/>
  <c r="B2495" i="8"/>
  <c r="B292" i="8"/>
  <c r="B1654" i="8"/>
  <c r="B2984" i="8"/>
  <c r="B1281" i="8"/>
  <c r="B1679" i="8"/>
  <c r="B986" i="8"/>
  <c r="B929" i="8"/>
  <c r="B928" i="8"/>
  <c r="B2127" i="8"/>
  <c r="B2581" i="8"/>
  <c r="B1852" i="8"/>
  <c r="B2758" i="8"/>
  <c r="B425" i="8"/>
  <c r="B2481" i="8"/>
  <c r="B989" i="8"/>
  <c r="B998" i="8"/>
  <c r="B403" i="8"/>
  <c r="B1525" i="8"/>
  <c r="B1093" i="8"/>
  <c r="B2166" i="8"/>
  <c r="B2006" i="8"/>
  <c r="B1427" i="8"/>
  <c r="B528" i="8"/>
  <c r="B1426" i="8"/>
  <c r="B1726" i="8"/>
  <c r="B943" i="8"/>
  <c r="B1698" i="8"/>
  <c r="B3049" i="8"/>
  <c r="B866" i="8"/>
  <c r="B2146" i="8"/>
  <c r="B1253" i="8"/>
  <c r="B890" i="8"/>
  <c r="B2358" i="8"/>
  <c r="B1310" i="8"/>
  <c r="B1893" i="8"/>
  <c r="B239" i="8"/>
  <c r="B828" i="8"/>
  <c r="B949" i="8"/>
  <c r="B2756" i="8"/>
  <c r="B2670" i="8"/>
  <c r="B2540" i="8"/>
  <c r="B2295" i="8"/>
  <c r="B243" i="8"/>
  <c r="B580" i="8"/>
  <c r="B166" i="8"/>
  <c r="B1026" i="8"/>
  <c r="B1027" i="8"/>
  <c r="B1635" i="8"/>
  <c r="B818" i="8"/>
  <c r="B2029" i="8"/>
  <c r="B331" i="8"/>
  <c r="B1929" i="8"/>
  <c r="B181" i="8"/>
  <c r="B2563" i="8"/>
  <c r="B2897" i="8"/>
  <c r="B1036" i="8"/>
  <c r="B1381" i="8"/>
  <c r="B2676" i="8"/>
  <c r="B620" i="8"/>
  <c r="B3053" i="8"/>
  <c r="B619" i="8"/>
  <c r="B2049" i="8"/>
  <c r="B390" i="8"/>
  <c r="B1858" i="8"/>
  <c r="B438" i="8"/>
  <c r="B2539" i="8"/>
  <c r="B1047" i="8"/>
  <c r="B577" i="8"/>
  <c r="B546" i="8"/>
  <c r="B222" i="8"/>
  <c r="B1731" i="8"/>
  <c r="B931" i="8"/>
  <c r="B2638" i="8"/>
  <c r="B213" i="8"/>
  <c r="B1055" i="8"/>
  <c r="B1439" i="8"/>
  <c r="B368" i="8"/>
  <c r="B590" i="8"/>
  <c r="B1441" i="8"/>
  <c r="B315" i="8"/>
  <c r="B1784" i="8"/>
  <c r="B360" i="8"/>
  <c r="B1333" i="8"/>
  <c r="B1528" i="8"/>
  <c r="B1885" i="8"/>
  <c r="B7" i="8"/>
  <c r="B244" i="8"/>
  <c r="B300" i="8"/>
  <c r="B1577" i="8"/>
  <c r="B417" i="8"/>
  <c r="B1395" i="8"/>
  <c r="B2115" i="8"/>
  <c r="B1117" i="8"/>
  <c r="B134" i="8"/>
  <c r="B1076" i="8"/>
  <c r="B735" i="8"/>
  <c r="B1078" i="8"/>
  <c r="B666" i="8"/>
  <c r="B503" i="8"/>
  <c r="B441" i="8"/>
  <c r="B1025" i="8"/>
  <c r="B2716" i="8"/>
  <c r="B1347" i="8"/>
  <c r="B1029" i="8"/>
  <c r="B2150" i="8"/>
  <c r="B1915" i="8"/>
  <c r="B378" i="8"/>
  <c r="B703" i="8"/>
  <c r="B1104" i="8"/>
  <c r="B1091" i="8"/>
  <c r="B837" i="8"/>
  <c r="B1854" i="8"/>
  <c r="B2721" i="8"/>
  <c r="B240" i="8"/>
  <c r="B2672" i="8"/>
  <c r="B1097" i="8"/>
  <c r="B1640" i="8"/>
  <c r="B1099" i="8"/>
  <c r="B3087" i="8"/>
  <c r="B599" i="8"/>
  <c r="B376" i="8"/>
  <c r="B993" i="8"/>
  <c r="B460" i="8"/>
  <c r="B900" i="8"/>
  <c r="B473" i="8"/>
  <c r="B744" i="8"/>
  <c r="B1237" i="8"/>
  <c r="B1939" i="8"/>
  <c r="B803" i="8"/>
  <c r="B646" i="8"/>
  <c r="B266" i="8"/>
  <c r="B356" i="8"/>
  <c r="B2996" i="8"/>
  <c r="B1782" i="8"/>
  <c r="B268" i="8"/>
  <c r="B2458" i="8"/>
  <c r="B2355" i="8"/>
  <c r="B1552" i="8"/>
  <c r="B2019" i="8"/>
  <c r="B1242" i="8"/>
  <c r="B1122" i="8"/>
  <c r="B2328" i="8"/>
  <c r="B533" i="8"/>
  <c r="B544" i="8"/>
  <c r="B2642" i="8"/>
  <c r="B1783" i="8"/>
  <c r="B424" i="8"/>
  <c r="B686" i="8"/>
  <c r="B2822" i="8"/>
  <c r="B1131" i="8"/>
  <c r="B32" i="8"/>
  <c r="B1650" i="8"/>
  <c r="B1120" i="8"/>
  <c r="B617" i="8"/>
  <c r="B340" i="8"/>
  <c r="B1137" i="8"/>
  <c r="B1436" i="8"/>
  <c r="B1542" i="8"/>
  <c r="B262" i="8"/>
  <c r="B1534" i="8"/>
  <c r="B195" i="8"/>
  <c r="B1052" i="8"/>
  <c r="B2119" i="8"/>
  <c r="B1145" i="8"/>
  <c r="B2998" i="8"/>
  <c r="B1573" i="8"/>
  <c r="B2279" i="8"/>
  <c r="B936" i="8"/>
  <c r="B1150" i="8"/>
  <c r="B2753" i="8"/>
  <c r="B783" i="8"/>
  <c r="B284" i="8"/>
  <c r="B2340" i="8"/>
  <c r="B769" i="8"/>
  <c r="B1265" i="8"/>
  <c r="B1157" i="8"/>
  <c r="B1158" i="8"/>
  <c r="B688" i="8"/>
  <c r="B788" i="8"/>
  <c r="B2734" i="8"/>
  <c r="B1080" i="8"/>
  <c r="B230" i="8"/>
  <c r="B3081" i="8"/>
  <c r="B2027" i="8"/>
  <c r="B1166" i="8"/>
  <c r="B772" i="8"/>
  <c r="B146" i="8"/>
  <c r="B1637" i="8"/>
  <c r="B1054" i="8"/>
  <c r="B3052" i="8"/>
  <c r="B1358" i="8"/>
  <c r="B231" i="8"/>
  <c r="B1174" i="8"/>
  <c r="B349" i="8"/>
  <c r="B2776" i="8"/>
  <c r="B1791" i="8"/>
  <c r="B1178" i="8"/>
  <c r="B1561" i="8"/>
  <c r="B516" i="8"/>
  <c r="B624" i="8"/>
  <c r="B1738" i="8"/>
  <c r="B1865" i="8"/>
  <c r="B535" i="8"/>
  <c r="B2633" i="8"/>
  <c r="B1710" i="8"/>
  <c r="B1459" i="8"/>
  <c r="B2304" i="8"/>
  <c r="B1189" i="8"/>
  <c r="B2245" i="8"/>
  <c r="B482" i="8"/>
  <c r="B433" i="8"/>
  <c r="B1432" i="8"/>
  <c r="B705" i="8"/>
  <c r="B563" i="8"/>
  <c r="B2775" i="8"/>
  <c r="B524" i="8"/>
  <c r="B270" i="8"/>
  <c r="B3042" i="8"/>
  <c r="B1393" i="8"/>
  <c r="B2531" i="8"/>
  <c r="B701" i="8"/>
  <c r="B1203" i="8"/>
  <c r="B223" i="8"/>
  <c r="B2461" i="8"/>
  <c r="B2779" i="8"/>
  <c r="B1207" i="8"/>
  <c r="B395" i="8"/>
  <c r="B1209" i="8"/>
  <c r="B2803" i="8"/>
  <c r="B1211" i="8"/>
  <c r="B4" i="8"/>
  <c r="B444" i="8"/>
  <c r="B604" i="8"/>
  <c r="B2300" i="8"/>
  <c r="B273" i="8"/>
  <c r="B2403" i="8"/>
  <c r="B1119" i="8"/>
  <c r="B1320" i="8"/>
  <c r="B2116" i="8"/>
  <c r="B1221" i="8"/>
  <c r="B2795" i="8"/>
  <c r="B2123" i="8"/>
  <c r="B1224" i="8"/>
  <c r="B1557" i="8"/>
  <c r="B623" i="8"/>
  <c r="B2262" i="8"/>
  <c r="B394" i="8"/>
  <c r="B1763" i="8"/>
  <c r="B1692" i="8"/>
  <c r="B510" i="8"/>
  <c r="B1232" i="8"/>
  <c r="B1215" i="8"/>
  <c r="B335" i="8"/>
  <c r="B1194" i="8"/>
  <c r="B228" i="8"/>
  <c r="B430" i="8"/>
  <c r="B391" i="8"/>
  <c r="B2322" i="8"/>
  <c r="B320" i="8"/>
  <c r="B675" i="8"/>
  <c r="B1695" i="8"/>
  <c r="B1243" i="8"/>
  <c r="B567" i="8"/>
  <c r="B1245" i="8"/>
  <c r="B2528" i="8"/>
  <c r="B637" i="8"/>
  <c r="B485" i="8"/>
  <c r="B1433" i="8"/>
  <c r="B754" i="8"/>
  <c r="B640" i="8"/>
  <c r="B2058" i="8"/>
  <c r="B1363" i="8"/>
  <c r="B799" i="8"/>
  <c r="B1219" i="8"/>
  <c r="B3001" i="8"/>
  <c r="B508" i="8"/>
  <c r="B2789" i="8"/>
  <c r="B904" i="8"/>
  <c r="B717" i="8"/>
  <c r="B1419" i="8"/>
  <c r="B1172" i="8"/>
  <c r="B1928" i="8"/>
  <c r="B2679" i="8"/>
  <c r="B3005" i="8"/>
  <c r="B1160" i="8"/>
  <c r="B1069" i="8"/>
  <c r="B1732" i="8"/>
  <c r="B55" i="8"/>
  <c r="B653" i="8"/>
  <c r="B2862" i="8"/>
  <c r="B1272" i="8"/>
  <c r="B734" i="8"/>
  <c r="B2800" i="8"/>
  <c r="B1829" i="8"/>
  <c r="B1276" i="8"/>
  <c r="B2017" i="8"/>
  <c r="B2310" i="8"/>
  <c r="B1820" i="8"/>
  <c r="B1355" i="8"/>
  <c r="B1815" i="8"/>
  <c r="B614" i="8"/>
  <c r="B1283" i="8"/>
  <c r="B1284" i="8"/>
  <c r="B1285" i="8"/>
  <c r="B2408" i="8"/>
  <c r="B1848" i="8"/>
  <c r="B302" i="8"/>
  <c r="B2925" i="8"/>
  <c r="B1290" i="8"/>
  <c r="B1863" i="8"/>
  <c r="B2424" i="8"/>
  <c r="B2890" i="8"/>
  <c r="B126" i="8"/>
  <c r="B338" i="8"/>
  <c r="B1451" i="8"/>
  <c r="B1750" i="8"/>
  <c r="B1298" i="8"/>
  <c r="B1531" i="8"/>
  <c r="B2387" i="8"/>
  <c r="B1966" i="8"/>
  <c r="B1558" i="8"/>
  <c r="B663" i="8"/>
  <c r="B3046" i="8"/>
  <c r="B450" i="8"/>
  <c r="B1368" i="8"/>
  <c r="B2626" i="8"/>
  <c r="B1308" i="8"/>
  <c r="B935" i="8"/>
  <c r="B50" i="8"/>
  <c r="B1311" i="8"/>
  <c r="B1536" i="8"/>
  <c r="B2645" i="8"/>
  <c r="B2783" i="8"/>
  <c r="B2860" i="8"/>
  <c r="B657" i="8"/>
  <c r="B1553" i="8"/>
  <c r="B844" i="8"/>
  <c r="B343" i="8"/>
  <c r="B3085" i="8"/>
  <c r="B1410" i="8"/>
  <c r="B1835" i="8"/>
  <c r="B264" i="8"/>
  <c r="B1010" i="8"/>
  <c r="B873" i="8"/>
  <c r="B2952" i="8"/>
  <c r="B517" i="8"/>
  <c r="B885" i="8"/>
  <c r="B1312" i="8"/>
  <c r="B1050" i="8"/>
  <c r="B1610" i="8"/>
  <c r="B554" i="8"/>
  <c r="B1325" i="8"/>
  <c r="B1574" i="8"/>
  <c r="B2829" i="8"/>
  <c r="B2745" i="8"/>
  <c r="B2444" i="8"/>
  <c r="B1908" i="8"/>
  <c r="B706" i="8"/>
  <c r="B2018" i="8"/>
  <c r="B2871" i="8"/>
  <c r="B2282" i="8"/>
  <c r="B1515" i="8"/>
  <c r="B452" i="8"/>
  <c r="B2406" i="8"/>
  <c r="B161" i="8"/>
  <c r="B1851" i="8"/>
  <c r="B1348" i="8"/>
  <c r="B671" i="8"/>
  <c r="B1423" i="8"/>
  <c r="B2395" i="8"/>
  <c r="B1248" i="8"/>
  <c r="B456" i="8"/>
  <c r="B2704" i="8"/>
  <c r="B767" i="8"/>
  <c r="B1659" i="8"/>
  <c r="B1142" i="8"/>
  <c r="B1031" i="8"/>
  <c r="B527" i="8"/>
  <c r="B835" i="8"/>
  <c r="B1941" i="8"/>
  <c r="B2597" i="8"/>
  <c r="B1462" i="8"/>
  <c r="B571" i="8"/>
  <c r="B2843" i="8"/>
  <c r="B2125" i="8"/>
  <c r="B809" i="8"/>
  <c r="B1061" i="8"/>
  <c r="B2051" i="8"/>
  <c r="B1370" i="8"/>
  <c r="B1371" i="8"/>
  <c r="B2139" i="8"/>
  <c r="B1969" i="8"/>
  <c r="B2534" i="8"/>
  <c r="B1294" i="8"/>
  <c r="B5" i="8"/>
  <c r="B291" i="8"/>
  <c r="B742" i="8"/>
  <c r="B1213" i="8"/>
  <c r="B1683" i="8"/>
  <c r="B1375" i="8"/>
  <c r="B2820" i="8"/>
  <c r="B1565" i="8"/>
  <c r="B2644" i="8"/>
  <c r="B877" i="8"/>
  <c r="B780" i="8"/>
  <c r="B1387" i="8"/>
  <c r="B1388" i="8"/>
  <c r="B3021" i="8"/>
  <c r="B475" i="8"/>
  <c r="B2192" i="8"/>
  <c r="B1184" i="8"/>
  <c r="B2568" i="8"/>
  <c r="B2165" i="8"/>
  <c r="B2891" i="8"/>
  <c r="B2237" i="8"/>
  <c r="B2616" i="8"/>
  <c r="B1398" i="8"/>
  <c r="B894" i="8"/>
  <c r="B2181" i="8"/>
  <c r="B2848" i="8"/>
  <c r="B1756" i="8"/>
  <c r="B2465" i="8"/>
  <c r="B2636" i="8"/>
  <c r="B2060" i="8"/>
  <c r="B2186" i="8"/>
  <c r="B593" i="8"/>
  <c r="B1899" i="8"/>
  <c r="B2442" i="8"/>
  <c r="B1226" i="8"/>
  <c r="B1013" i="8"/>
  <c r="B1608" i="8"/>
  <c r="B1413" i="8"/>
  <c r="B1414" i="8"/>
  <c r="B538" i="8"/>
  <c r="B386" i="8"/>
  <c r="B855" i="8"/>
  <c r="B1262" i="8"/>
  <c r="B689" i="8"/>
  <c r="B267" i="8"/>
  <c r="B878" i="8"/>
  <c r="B2784" i="8"/>
  <c r="B1349" i="8"/>
  <c r="B576" i="8"/>
  <c r="B257" i="8"/>
  <c r="B1541" i="8"/>
  <c r="B1576" i="8"/>
  <c r="B2056" i="8"/>
  <c r="B1935" i="8"/>
  <c r="B1332" i="8"/>
  <c r="B2904" i="8"/>
  <c r="B2034" i="8"/>
  <c r="B2523" i="8"/>
  <c r="B1244" i="8"/>
  <c r="B2086" i="8"/>
  <c r="B1812" i="8"/>
  <c r="B1972" i="8"/>
  <c r="B1736" i="8"/>
  <c r="B2137" i="8"/>
  <c r="B597" i="8"/>
  <c r="B145" i="8"/>
  <c r="B346" i="8"/>
  <c r="B1443" i="8"/>
  <c r="B2230" i="8"/>
  <c r="B2821" i="8"/>
  <c r="B1634" i="8"/>
  <c r="B1447" i="8"/>
  <c r="B2761" i="8"/>
  <c r="B2833" i="8"/>
  <c r="B2808" i="8"/>
  <c r="B2982" i="8"/>
  <c r="B1955" i="8"/>
  <c r="B1453" i="8"/>
  <c r="B1813" i="8"/>
  <c r="B2223" i="8"/>
  <c r="B486" i="8"/>
  <c r="B1282" i="8"/>
  <c r="B499" i="8"/>
  <c r="B990" i="8"/>
  <c r="B1730" i="8"/>
  <c r="B2664" i="8"/>
  <c r="B2110" i="8"/>
  <c r="B367" i="8"/>
  <c r="B1722" i="8"/>
  <c r="B923" i="8"/>
  <c r="B1646" i="8"/>
  <c r="B833" i="8"/>
  <c r="B1643" i="8"/>
  <c r="B2935" i="8"/>
  <c r="B1022" i="8"/>
  <c r="B157" i="8"/>
  <c r="B1472" i="8"/>
  <c r="B2918" i="8"/>
  <c r="B594" i="8"/>
  <c r="B506" i="8"/>
  <c r="B1315" i="8"/>
  <c r="B1967" i="8"/>
  <c r="B373" i="8"/>
  <c r="B1053" i="8"/>
  <c r="B1590" i="8"/>
  <c r="B2346" i="8"/>
  <c r="B513" i="8"/>
  <c r="B429" i="8"/>
  <c r="B1495" i="8"/>
  <c r="B869" i="8"/>
  <c r="B333" i="8"/>
  <c r="B1521" i="8"/>
  <c r="B2091" i="8"/>
  <c r="B1681" i="8"/>
  <c r="B1990" i="8"/>
  <c r="B3026" i="8"/>
  <c r="B1492" i="8"/>
  <c r="B1100" i="8"/>
  <c r="B922" i="8"/>
  <c r="B323" i="8"/>
  <c r="B2309" i="8"/>
  <c r="B1422" i="8"/>
  <c r="B741" i="8"/>
  <c r="B1499" i="8"/>
  <c r="B1729" i="8"/>
  <c r="B1501" i="8"/>
  <c r="B3076" i="8"/>
  <c r="B1118" i="8"/>
  <c r="B1806" i="8"/>
  <c r="B2791" i="8"/>
  <c r="B1532" i="8"/>
  <c r="B1448" i="8"/>
  <c r="B2103" i="8"/>
  <c r="B1690" i="8"/>
  <c r="B1831" i="8"/>
  <c r="B1246" i="8"/>
  <c r="B2954" i="8"/>
  <c r="B551" i="8"/>
  <c r="B2254" i="8"/>
  <c r="B353" i="8"/>
  <c r="B1179" i="8"/>
  <c r="B760" i="8"/>
  <c r="B2311" i="8"/>
  <c r="B944" i="8"/>
  <c r="B994" i="8"/>
  <c r="B1881" i="8"/>
  <c r="B286" i="8"/>
  <c r="B2924" i="8"/>
  <c r="B1278" i="8"/>
  <c r="B966" i="8"/>
  <c r="B1595" i="8"/>
  <c r="B886" i="8"/>
  <c r="B347" i="8"/>
  <c r="B2556" i="8"/>
  <c r="B957" i="8"/>
  <c r="B2538" i="8"/>
  <c r="B2620" i="8"/>
  <c r="B648" i="8"/>
  <c r="B973" i="8"/>
  <c r="B811" i="8"/>
  <c r="B965" i="8"/>
  <c r="B1537" i="8"/>
  <c r="B650" i="8"/>
  <c r="B1239" i="8"/>
  <c r="B1938" i="8"/>
  <c r="B3054" i="8"/>
  <c r="B191" i="8"/>
  <c r="B1456" i="8"/>
  <c r="B361" i="8"/>
  <c r="B859" i="8"/>
  <c r="B1030" i="8"/>
  <c r="B2687" i="8"/>
  <c r="B1392" i="8"/>
  <c r="B1196" i="8"/>
  <c r="B3015" i="8"/>
  <c r="B2278" i="8"/>
  <c r="B2650" i="8"/>
  <c r="B1758" i="8"/>
  <c r="B531" i="8"/>
  <c r="B1822" i="8"/>
  <c r="B1556" i="8"/>
  <c r="B2417" i="8"/>
  <c r="B794" i="8"/>
  <c r="B1559" i="8"/>
  <c r="B536" i="8"/>
  <c r="B1418" i="8"/>
  <c r="B1591" i="8"/>
  <c r="B2149" i="8"/>
  <c r="B1790" i="8"/>
  <c r="B1600" i="8"/>
  <c r="B186" i="8"/>
  <c r="B1445" i="8"/>
  <c r="B1344" i="8"/>
  <c r="B426" i="8"/>
  <c r="B1570" i="8"/>
  <c r="B952" i="8"/>
  <c r="B481" i="8"/>
  <c r="B1904" i="8"/>
  <c r="B756" i="8"/>
  <c r="B116" i="8"/>
  <c r="B633" i="8"/>
  <c r="B463" i="8"/>
  <c r="B2269" i="8"/>
  <c r="B984" i="8"/>
  <c r="B1978" i="8"/>
  <c r="B2958" i="8"/>
  <c r="B2105" i="8"/>
  <c r="B842" i="8"/>
  <c r="B2055" i="8"/>
  <c r="B708" i="8"/>
  <c r="B1883" i="8"/>
  <c r="B999" i="8"/>
  <c r="B2669" i="8"/>
  <c r="B103" i="8"/>
  <c r="B2087" i="8"/>
  <c r="B959" i="8"/>
  <c r="B565" i="8"/>
  <c r="B925" i="8"/>
  <c r="B1594" i="8"/>
  <c r="B2777" i="8"/>
  <c r="B641" i="8"/>
  <c r="B1597" i="8"/>
  <c r="B2752" i="8"/>
  <c r="B1506" i="8"/>
  <c r="B2038" i="8"/>
  <c r="B764" i="8"/>
  <c r="B1008" i="8"/>
  <c r="B1484" i="8"/>
  <c r="B325" i="8"/>
  <c r="B2746" i="8"/>
  <c r="B2264" i="8"/>
  <c r="B804" i="8"/>
  <c r="B2589" i="8"/>
  <c r="B2327" i="8"/>
  <c r="B2220" i="8"/>
  <c r="B1611" i="8"/>
  <c r="B2552" i="8"/>
  <c r="B815" i="8"/>
  <c r="B1535" i="8"/>
  <c r="B1671" i="8"/>
  <c r="B1616" i="8"/>
  <c r="B1562" i="8"/>
  <c r="B1818" i="8"/>
  <c r="B2847" i="8"/>
  <c r="B1214" i="8"/>
  <c r="B712" i="8"/>
  <c r="B2234" i="8"/>
  <c r="B600" i="8"/>
  <c r="B141" i="8"/>
  <c r="B1321" i="8"/>
  <c r="B274" i="8"/>
  <c r="B698" i="8"/>
  <c r="B249" i="8"/>
  <c r="B2578" i="8"/>
  <c r="B543" i="8"/>
  <c r="B2065" i="8"/>
  <c r="B2433" i="8"/>
  <c r="B651" i="8"/>
  <c r="B422" i="8"/>
  <c r="B3022" i="8"/>
  <c r="B540" i="8"/>
  <c r="B93" i="8"/>
  <c r="B2500" i="8"/>
  <c r="B2083" i="8"/>
  <c r="B697" i="8"/>
  <c r="B2275" i="8"/>
  <c r="B1639" i="8"/>
  <c r="B2420" i="8"/>
  <c r="B2084" i="8"/>
  <c r="B52" i="8"/>
  <c r="B889" i="8"/>
  <c r="B1647" i="8"/>
  <c r="B2572" i="8"/>
  <c r="B1711" i="8"/>
  <c r="B2167" i="8"/>
  <c r="B1149" i="8"/>
  <c r="B832" i="8"/>
  <c r="B781" i="8"/>
  <c r="B2849" i="8"/>
  <c r="B2488" i="8"/>
  <c r="B2786" i="8"/>
  <c r="B2812" i="8"/>
  <c r="B961" i="8"/>
  <c r="B669" i="8"/>
  <c r="B2435" i="8"/>
  <c r="B2747" i="8"/>
  <c r="B566" i="8"/>
  <c r="B1842" i="8"/>
  <c r="B1945" i="8"/>
  <c r="B1519" i="8"/>
  <c r="B636" i="8"/>
  <c r="B358" i="8"/>
  <c r="B271" i="8"/>
  <c r="B321" i="8"/>
  <c r="B1638" i="8"/>
  <c r="B1334" i="8"/>
  <c r="B862" i="8"/>
  <c r="B1359" i="8"/>
  <c r="B1642" i="8"/>
  <c r="B1603" i="8"/>
  <c r="B1167" i="8"/>
  <c r="B1148" i="8"/>
  <c r="B1678" i="8"/>
  <c r="B727" i="8"/>
  <c r="B926" i="8"/>
  <c r="B2706" i="8"/>
  <c r="B2842" i="8"/>
  <c r="B2512" i="8"/>
  <c r="B2066" i="8"/>
  <c r="B95" i="8"/>
  <c r="B2564" i="8"/>
  <c r="B2854" i="8"/>
  <c r="B895" i="8"/>
  <c r="B1984" i="8"/>
  <c r="B2048" i="8"/>
  <c r="B1691" i="8"/>
  <c r="B1210" i="8"/>
  <c r="B1914" i="8"/>
  <c r="B108" i="8"/>
  <c r="B601" i="8"/>
  <c r="B1377" i="8"/>
  <c r="B2272" i="8"/>
  <c r="B941" i="8"/>
  <c r="B279" i="8"/>
  <c r="B2434" i="8"/>
  <c r="B298" i="8"/>
  <c r="B3065" i="8"/>
  <c r="B2188" i="8"/>
  <c r="B3050" i="8"/>
  <c r="B96" i="8"/>
  <c r="B968" i="8"/>
  <c r="B490" i="8"/>
  <c r="B1569" i="8"/>
  <c r="B1709" i="8"/>
  <c r="B2751" i="8"/>
  <c r="B1406" i="8"/>
  <c r="B2479" i="8"/>
  <c r="B768" i="8"/>
  <c r="B1165" i="8"/>
  <c r="B2409" i="8"/>
  <c r="B1716" i="8"/>
  <c r="B2342" i="8"/>
  <c r="B3043" i="8"/>
  <c r="B893" i="8"/>
  <c r="B1033" i="8"/>
  <c r="B276" i="8"/>
  <c r="B864" i="8"/>
  <c r="B2725" i="8"/>
  <c r="B404" i="8"/>
  <c r="B740" i="8"/>
  <c r="B2449" i="8"/>
  <c r="B672" i="8"/>
  <c r="B504" i="8"/>
  <c r="B1607" i="8"/>
  <c r="B2270" i="8"/>
  <c r="B428" i="8"/>
  <c r="B3074" i="8"/>
  <c r="B1593" i="8"/>
  <c r="B1734" i="8"/>
  <c r="B1567" i="8"/>
  <c r="B840" i="8"/>
  <c r="B849" i="8"/>
  <c r="B775" i="8"/>
  <c r="B2593" i="8"/>
  <c r="B639" i="8"/>
  <c r="B1274" i="8"/>
  <c r="B1345" i="8"/>
  <c r="B1547" i="8"/>
  <c r="B359" i="8"/>
  <c r="B2469" i="8"/>
  <c r="B581" i="8"/>
  <c r="B2772" i="8"/>
  <c r="B1382" i="8"/>
  <c r="B1373" i="8"/>
  <c r="B1627" i="8"/>
  <c r="B3072" i="8"/>
  <c r="B1227" i="8"/>
  <c r="B1666" i="8"/>
  <c r="B2411" i="8"/>
  <c r="B1094" i="8"/>
  <c r="B542" i="8"/>
  <c r="B1757" i="8"/>
  <c r="B419" i="8"/>
  <c r="B342" i="8"/>
  <c r="B1238" i="8"/>
  <c r="B2418" i="8"/>
  <c r="B2583" i="8"/>
  <c r="B2100" i="8"/>
  <c r="B255" i="8"/>
  <c r="B2818" i="8"/>
  <c r="B1766" i="8"/>
  <c r="B2362" i="8"/>
  <c r="B2624" i="8"/>
  <c r="B1841" i="8"/>
  <c r="B1235" i="8"/>
  <c r="B1771" i="8"/>
  <c r="B1136" i="8"/>
  <c r="B1775" i="8"/>
  <c r="B1465" i="8"/>
  <c r="B1045" i="8"/>
  <c r="B448" i="8"/>
  <c r="B863" i="8"/>
  <c r="B1538" i="8"/>
  <c r="B851" i="8"/>
  <c r="B479" i="8"/>
  <c r="B2031" i="8"/>
  <c r="B992" i="8"/>
  <c r="B1130" i="8"/>
  <c r="B1198" i="8"/>
  <c r="B1580" i="8"/>
  <c r="B1697" i="8"/>
  <c r="B752" i="8"/>
  <c r="B642" i="8"/>
  <c r="B1789" i="8"/>
  <c r="B1953" i="8"/>
  <c r="B899" i="8"/>
  <c r="B2975" i="8"/>
  <c r="B914" i="8"/>
  <c r="B2852" i="8"/>
  <c r="B2769" i="8"/>
  <c r="B2256" i="8"/>
  <c r="B1862" i="8"/>
  <c r="B793" i="8"/>
  <c r="B1249" i="8"/>
  <c r="B1800" i="8"/>
  <c r="B728" i="8"/>
  <c r="B1479" i="8"/>
  <c r="B2718" i="8"/>
  <c r="B122" i="8"/>
  <c r="B1764" i="8"/>
  <c r="B1874" i="8"/>
  <c r="B976" i="8"/>
  <c r="B1808" i="8"/>
  <c r="B2851" i="8"/>
  <c r="B1869" i="8"/>
  <c r="B2271" i="8"/>
  <c r="B1138" i="8"/>
  <c r="B1971" i="8"/>
  <c r="B1075" i="8"/>
  <c r="B2399" i="8"/>
  <c r="B1474" i="8"/>
  <c r="B3066" i="8"/>
  <c r="B796" i="8"/>
  <c r="B1109" i="8"/>
  <c r="B2735" i="8"/>
  <c r="B1932" i="8"/>
  <c r="B2619" i="8"/>
  <c r="B1470" i="8"/>
  <c r="B683" i="8"/>
  <c r="B685" i="8"/>
  <c r="B1675" i="8"/>
  <c r="B1693" i="8"/>
  <c r="B1123" i="8"/>
  <c r="B2335" i="8"/>
  <c r="B2172" i="8"/>
  <c r="B2876" i="8"/>
  <c r="B2635" i="8"/>
  <c r="B90" i="8"/>
  <c r="B2548" i="8"/>
  <c r="B2297" i="8"/>
  <c r="B1455" i="8"/>
  <c r="B2293" i="8"/>
  <c r="B2739" i="8"/>
  <c r="B1657" i="8"/>
  <c r="B2809" i="8"/>
  <c r="B495" i="8"/>
  <c r="B2076" i="8"/>
  <c r="B2730" i="8"/>
  <c r="B1187" i="8"/>
  <c r="B1819" i="8"/>
  <c r="B1846" i="8"/>
  <c r="B2631" i="8"/>
  <c r="B2152" i="8"/>
  <c r="B2388" i="8"/>
  <c r="B2518" i="8"/>
  <c r="B2425" i="8"/>
  <c r="B2668" i="8"/>
  <c r="B2487" i="8"/>
  <c r="B3069" i="8"/>
  <c r="B2402" i="8"/>
  <c r="B2767" i="8"/>
  <c r="B1176" i="8"/>
  <c r="B3025" i="8"/>
  <c r="B2553" i="8"/>
  <c r="B1860" i="8"/>
  <c r="B492" i="8"/>
  <c r="B1703" i="8"/>
  <c r="B2141" i="8"/>
  <c r="B821" i="8"/>
  <c r="B2665" i="8"/>
  <c r="B2459" i="8"/>
  <c r="B2428" i="8"/>
  <c r="B1940" i="8"/>
  <c r="B2911" i="8"/>
  <c r="B2939" i="8"/>
  <c r="B1871" i="8"/>
  <c r="B2015" i="8"/>
  <c r="B2705" i="8"/>
  <c r="B739" i="8"/>
  <c r="B2120" i="8"/>
  <c r="B1046" i="8"/>
  <c r="B1878" i="8"/>
  <c r="B958" i="8"/>
  <c r="B1880" i="8"/>
  <c r="B1257" i="8"/>
  <c r="B1617" i="8"/>
  <c r="B1346" i="8"/>
  <c r="B1301" i="8"/>
  <c r="B1273" i="8"/>
  <c r="B2343" i="8"/>
  <c r="B858" i="8"/>
  <c r="B385" i="8"/>
  <c r="B12" i="8"/>
  <c r="B2473" i="8"/>
  <c r="B1890" i="8"/>
  <c r="B2894" i="8"/>
  <c r="B1884" i="8"/>
  <c r="B2689" i="8"/>
  <c r="B1810" i="8"/>
  <c r="B2227" i="8"/>
  <c r="B1126" i="8"/>
  <c r="B2485" i="8"/>
  <c r="B586" i="8"/>
  <c r="B1402" i="8"/>
  <c r="B1605" i="8"/>
  <c r="B1706" i="8"/>
  <c r="B2722" i="8"/>
  <c r="B1809" i="8"/>
  <c r="B2703" i="8"/>
  <c r="B822" i="8"/>
  <c r="B2816" i="8"/>
  <c r="B1434" i="8"/>
  <c r="B583" i="8"/>
  <c r="B2962" i="8"/>
  <c r="B584" i="8"/>
  <c r="B1581" i="8"/>
  <c r="B1356" i="8"/>
  <c r="B2432" i="8"/>
  <c r="B1288" i="8"/>
  <c r="B2733" i="8"/>
  <c r="B2239" i="8"/>
  <c r="B587" i="8"/>
  <c r="B3030" i="8"/>
  <c r="B1704" i="8"/>
  <c r="B1859" i="8"/>
  <c r="B2766" i="8"/>
  <c r="B2630" i="8"/>
  <c r="B2397" i="8"/>
  <c r="B1765" i="8"/>
  <c r="B2097" i="8"/>
  <c r="B1997" i="8"/>
  <c r="B1306" i="8"/>
  <c r="B86" i="8"/>
  <c r="B3061" i="8"/>
  <c r="B1931" i="8"/>
  <c r="B572" i="8"/>
  <c r="B2610" i="8"/>
  <c r="B2877" i="8"/>
  <c r="B2386" i="8"/>
  <c r="B1458" i="8"/>
  <c r="B1446" i="8"/>
  <c r="B2529" i="8"/>
  <c r="B491" i="8"/>
  <c r="B2184" i="8"/>
  <c r="B573" i="8"/>
  <c r="B1918" i="8"/>
  <c r="B260" i="8"/>
  <c r="B1186" i="8"/>
  <c r="B1263" i="8"/>
  <c r="B2537" i="8"/>
  <c r="B3018" i="8"/>
  <c r="B2574" i="8"/>
  <c r="B2153" i="8"/>
  <c r="B2750" i="8"/>
  <c r="B1696" i="8"/>
  <c r="B2106" i="8"/>
  <c r="B2547" i="8"/>
  <c r="B1954" i="8"/>
  <c r="B1840" i="8"/>
  <c r="B867" i="8"/>
  <c r="B1297" i="8"/>
  <c r="B2216" i="8"/>
  <c r="B1715" i="8"/>
  <c r="B2463" i="8"/>
  <c r="B2316" i="8"/>
  <c r="B2586" i="8"/>
  <c r="B1505" i="8"/>
  <c r="B1982" i="8"/>
  <c r="B2565" i="8"/>
  <c r="B1833" i="8"/>
  <c r="B1180" i="8"/>
  <c r="B2109" i="8"/>
  <c r="B2013" i="8"/>
  <c r="B1970" i="8"/>
  <c r="B2662" i="8"/>
  <c r="B2373" i="8"/>
  <c r="B2690" i="8"/>
  <c r="B1086" i="8"/>
  <c r="B1038" i="8"/>
  <c r="B982" i="8"/>
  <c r="B2329" i="8"/>
  <c r="B561" i="8"/>
  <c r="B1378" i="8"/>
  <c r="B1005" i="8"/>
  <c r="B2929" i="8"/>
  <c r="B856" i="8"/>
  <c r="B1983" i="8"/>
  <c r="B2915" i="8"/>
  <c r="B1628" i="8"/>
  <c r="B1986" i="8"/>
  <c r="B1987" i="8"/>
  <c r="B1988" i="8"/>
  <c r="B2695" i="8"/>
  <c r="B1958" i="8"/>
  <c r="B1991" i="8"/>
  <c r="B1745" i="8"/>
  <c r="B2246" i="8"/>
  <c r="B1751" i="8"/>
  <c r="B1568" i="8"/>
  <c r="B501" i="8"/>
  <c r="B2811" i="8"/>
  <c r="B2594" i="8"/>
  <c r="B1420" i="8"/>
  <c r="B1256" i="8"/>
  <c r="B2892" i="8"/>
  <c r="B2951" i="8"/>
  <c r="B1089" i="8"/>
  <c r="B2869" i="8"/>
  <c r="B1668" i="8"/>
  <c r="B2621" i="8"/>
  <c r="B2898" i="8"/>
  <c r="B2383" i="8"/>
  <c r="B2009" i="8"/>
  <c r="B2010" i="8"/>
  <c r="B2011" i="8"/>
  <c r="B2457" i="8"/>
  <c r="B1175" i="8"/>
  <c r="B1957" i="8"/>
  <c r="B2194" i="8"/>
  <c r="B748" i="8"/>
  <c r="B1855" i="8"/>
  <c r="B2780" i="8"/>
  <c r="B2412" i="8"/>
  <c r="B1330" i="8"/>
  <c r="B2628" i="8"/>
  <c r="B2396" i="8"/>
  <c r="B2023" i="8"/>
  <c r="B366" i="8"/>
  <c r="B1261" i="8"/>
  <c r="B1827" i="8"/>
  <c r="B1477" i="8"/>
  <c r="B1255" i="8"/>
  <c r="B502" i="8"/>
  <c r="B2684" i="8"/>
  <c r="B2934" i="8"/>
  <c r="B2414" i="8"/>
  <c r="B2413" i="8"/>
  <c r="B1489" i="8"/>
  <c r="B2035" i="8"/>
  <c r="B2032" i="8"/>
  <c r="B2037" i="8"/>
  <c r="B3019" i="8"/>
  <c r="B1744" i="8"/>
  <c r="B400" i="8"/>
  <c r="B1583" i="8"/>
  <c r="B2145" i="8"/>
  <c r="B547" i="8"/>
  <c r="B2061" i="8"/>
  <c r="B2850" i="8"/>
  <c r="B2211" i="8"/>
  <c r="B1042" i="8"/>
  <c r="B2797" i="8"/>
  <c r="B1083" i="8"/>
  <c r="B1102" i="8"/>
  <c r="B2622" i="8"/>
  <c r="B2052" i="8"/>
  <c r="B2423" i="8"/>
  <c r="B606" i="8"/>
  <c r="B2814" i="8"/>
  <c r="B2861" i="8"/>
  <c r="B1313" i="8"/>
  <c r="B1425" i="8"/>
  <c r="B3017" i="8"/>
  <c r="B2291" i="8"/>
  <c r="B382" i="8"/>
  <c r="B2926" i="8"/>
  <c r="B2095" i="8"/>
  <c r="B1705" i="8"/>
  <c r="B2615" i="8"/>
  <c r="B645" i="8"/>
  <c r="B2788" i="8"/>
  <c r="B2068" i="8"/>
  <c r="B530" i="8"/>
  <c r="B3044" i="8"/>
  <c r="B2806" i="8"/>
  <c r="B1773" i="8"/>
  <c r="B1930" i="8"/>
  <c r="B2074" i="8"/>
  <c r="B746" i="8"/>
  <c r="B1380" i="8"/>
  <c r="B2385" i="8"/>
  <c r="B2078" i="8"/>
  <c r="B2057" i="8"/>
  <c r="B2853" i="8"/>
  <c r="B2598" i="8"/>
  <c r="B2824" i="8"/>
  <c r="B1452" i="8"/>
  <c r="B2883" i="8"/>
  <c r="B1599" i="8"/>
  <c r="B2913" i="8"/>
  <c r="B1663" i="8"/>
  <c r="B1018" i="8"/>
  <c r="B1614" i="8"/>
  <c r="B2296" i="8"/>
  <c r="B1739" i="8"/>
  <c r="B2050" i="8"/>
  <c r="B1461" i="8"/>
  <c r="B1892" i="8"/>
  <c r="B1563" i="8"/>
  <c r="B2886" i="8"/>
  <c r="B2101" i="8"/>
  <c r="B2682" i="8"/>
  <c r="B2099" i="8"/>
  <c r="B1564" i="8"/>
  <c r="B1309" i="8"/>
  <c r="B1440" i="8"/>
  <c r="B578" i="8"/>
  <c r="B2288" i="8"/>
  <c r="B1793" i="8"/>
  <c r="B2508" i="8"/>
  <c r="B2107" i="8"/>
  <c r="B2108" i="8"/>
  <c r="B1401" i="8"/>
  <c r="B1680" i="8"/>
  <c r="B148" i="8"/>
  <c r="B574" i="8"/>
  <c r="B2113" i="8"/>
  <c r="B2317" i="8"/>
  <c r="B2558" i="8"/>
  <c r="B2577" i="8"/>
  <c r="B1270" i="8"/>
  <c r="B2732" i="8"/>
  <c r="B1989" i="8"/>
  <c r="B2613" i="8"/>
  <c r="B1796" i="8"/>
  <c r="B1656" i="8"/>
  <c r="B568" i="8"/>
  <c r="B2135" i="8"/>
  <c r="B1153" i="8"/>
  <c r="B682" i="8"/>
  <c r="B2190" i="8"/>
  <c r="B2675" i="8"/>
  <c r="B3075" i="8"/>
  <c r="B523" i="8"/>
  <c r="B2544" i="8"/>
  <c r="B2132" i="8"/>
  <c r="B2606" i="8"/>
  <c r="B1980" i="8"/>
  <c r="B1342" i="8"/>
  <c r="B2002" i="8"/>
  <c r="B2219" i="8"/>
  <c r="B616" i="8"/>
  <c r="B2957" i="8"/>
  <c r="B2456" i="8"/>
  <c r="B1450" i="8"/>
  <c r="B2599" i="8"/>
  <c r="B826" i="8"/>
  <c r="B1578" i="8"/>
  <c r="B1735" i="8"/>
  <c r="B1674" i="8"/>
  <c r="B1951" i="8"/>
  <c r="B1329" i="8"/>
  <c r="B962" i="8"/>
  <c r="B350" i="8"/>
  <c r="B1712" i="8"/>
  <c r="B1803" i="8"/>
  <c r="B1063" i="8"/>
  <c r="B2045" i="8"/>
  <c r="B2873" i="8"/>
  <c r="B1193" i="8"/>
  <c r="B2157" i="8"/>
  <c r="B2950" i="8"/>
  <c r="B1857" i="8"/>
  <c r="B1517" i="8"/>
  <c r="B647" i="8"/>
  <c r="B2945" i="8"/>
  <c r="B1327" i="8"/>
  <c r="B3057" i="8"/>
  <c r="B1338" i="8"/>
  <c r="B2001" i="8"/>
  <c r="B1228" i="8"/>
  <c r="B2881" i="8"/>
  <c r="B1645" i="8"/>
  <c r="B1044" i="8"/>
  <c r="B2171" i="8"/>
  <c r="B2618" i="8"/>
  <c r="B2238" i="8"/>
  <c r="B2059" i="8"/>
  <c r="B2104" i="8"/>
  <c r="B2129" i="8"/>
  <c r="B1218" i="8"/>
  <c r="B1216" i="8"/>
  <c r="B897" i="8"/>
  <c r="B1073" i="8"/>
  <c r="B2117" i="8"/>
  <c r="B2069" i="8"/>
  <c r="B1511" i="8"/>
  <c r="B2379" i="8"/>
  <c r="B2968" i="8"/>
  <c r="B1317" i="8"/>
  <c r="B2696" i="8"/>
  <c r="B2025" i="8"/>
  <c r="B2159" i="8"/>
  <c r="B1500" i="8"/>
  <c r="B2331" i="8"/>
  <c r="B1636" i="8"/>
  <c r="B2740" i="8"/>
  <c r="B1416" i="8"/>
  <c r="B1794" i="8"/>
  <c r="B2720" i="8"/>
  <c r="B2688" i="8"/>
  <c r="B3003" i="8"/>
  <c r="B1912" i="8"/>
  <c r="B3059" i="8"/>
  <c r="B1687" i="8"/>
  <c r="B1328" i="8"/>
  <c r="B2203" i="8"/>
  <c r="B2460" i="8"/>
  <c r="B3013" i="8"/>
  <c r="B2965" i="8"/>
  <c r="B1478" i="8"/>
  <c r="B1205" i="8"/>
  <c r="B2641" i="8"/>
  <c r="B1777" i="8"/>
  <c r="B1879" i="8"/>
  <c r="B2977" i="8"/>
  <c r="B1275" i="8"/>
  <c r="B1154" i="8"/>
  <c r="B2763" i="8"/>
  <c r="B1996" i="8"/>
  <c r="B1713" i="8"/>
  <c r="B2992" i="8"/>
  <c r="B1192" i="8"/>
  <c r="B1408" i="8"/>
  <c r="B919" i="8"/>
  <c r="B2364" i="8"/>
  <c r="B1208" i="8"/>
  <c r="B2281" i="8"/>
  <c r="B2943" i="8"/>
  <c r="B2226" i="8"/>
  <c r="B2492" i="8"/>
  <c r="B3037" i="8"/>
  <c r="B2439" i="8"/>
  <c r="B2151" i="8"/>
  <c r="B2719" i="8"/>
  <c r="B2828" i="8"/>
  <c r="B2233" i="8"/>
  <c r="B665" i="8"/>
  <c r="B2338" i="8"/>
  <c r="B1385" i="8"/>
  <c r="B1648" i="8"/>
  <c r="B2415" i="8"/>
  <c r="B1910" i="8"/>
  <c r="B1200" i="8"/>
  <c r="B2979" i="8"/>
  <c r="B1872" i="8"/>
  <c r="B710" i="8"/>
  <c r="B1106" i="8"/>
  <c r="B324" i="8"/>
  <c r="B1324" i="8"/>
  <c r="B1059" i="8"/>
  <c r="B19" i="8"/>
  <c r="B2249" i="8"/>
  <c r="B2782" i="8"/>
  <c r="B2138" i="8"/>
  <c r="B2148" i="8"/>
  <c r="B269" i="8"/>
  <c r="B2667" i="8"/>
  <c r="B1836" i="8"/>
  <c r="B2699" i="8"/>
  <c r="B2517" i="8"/>
  <c r="B2350" i="8"/>
  <c r="B2213" i="8"/>
  <c r="B2260" i="8"/>
  <c r="B2837" i="8"/>
  <c r="B2323" i="8"/>
  <c r="B2909" i="8"/>
  <c r="B2764" i="8"/>
  <c r="B1240" i="8"/>
  <c r="B2266" i="8"/>
  <c r="B1778" i="8"/>
  <c r="B2932" i="8"/>
  <c r="B1339" i="8"/>
  <c r="B3007" i="8"/>
  <c r="B776" i="8"/>
  <c r="B2868" i="8"/>
  <c r="B2647" i="8"/>
  <c r="B1728" i="8"/>
  <c r="B1682" i="8"/>
  <c r="B2493" i="8"/>
  <c r="B2445" i="8"/>
  <c r="B2914" i="8"/>
  <c r="B1798" i="8"/>
  <c r="B483" i="8"/>
  <c r="B1366" i="8"/>
  <c r="B2162" i="8"/>
  <c r="B2070" i="8"/>
  <c r="B1202" i="8"/>
  <c r="B2285" i="8"/>
  <c r="B1279" i="8"/>
  <c r="B2976" i="8"/>
  <c r="B1384" i="8"/>
  <c r="B2248" i="8"/>
  <c r="B1672" i="8"/>
  <c r="B1304" i="8"/>
  <c r="B2354" i="8"/>
  <c r="B2252" i="8"/>
  <c r="B3024" i="8"/>
  <c r="B2064" i="8"/>
  <c r="B2967" i="8"/>
  <c r="B1662" i="8"/>
  <c r="B2398" i="8"/>
  <c r="B1350" i="8"/>
  <c r="B2337" i="8"/>
  <c r="B1442" i="8"/>
  <c r="B2302" i="8"/>
  <c r="B2937" i="8"/>
  <c r="B725" i="8"/>
  <c r="B1719" i="8"/>
  <c r="B1606" i="8"/>
  <c r="B2569" i="8"/>
  <c r="B2773" i="8"/>
  <c r="B758" i="8"/>
  <c r="B2294" i="8"/>
  <c r="B220" i="8"/>
  <c r="B1633" i="8"/>
  <c r="B1549" i="8"/>
  <c r="B1110" i="8"/>
  <c r="B2533" i="8"/>
  <c r="B618" i="8"/>
  <c r="B2020" i="8"/>
  <c r="B459" i="8"/>
  <c r="B226" i="8"/>
  <c r="B3067" i="8"/>
  <c r="B2825" i="8"/>
  <c r="B1673" i="8"/>
  <c r="B2183" i="8"/>
  <c r="B2794" i="8"/>
  <c r="B1305" i="8"/>
  <c r="B539" i="8"/>
  <c r="B1164" i="8"/>
  <c r="B2344" i="8"/>
  <c r="B1397" i="8"/>
  <c r="B1322" i="8"/>
  <c r="B1737" i="8"/>
  <c r="B787" i="8"/>
  <c r="B1116" i="8"/>
  <c r="B2692" i="8"/>
  <c r="B1335" i="8"/>
  <c r="B1901" i="8"/>
  <c r="B1151" i="8"/>
  <c r="B2217" i="8"/>
  <c r="B465" i="8"/>
  <c r="B1293" i="8"/>
  <c r="B2289" i="8"/>
  <c r="B2320" i="8"/>
  <c r="B2077" i="8"/>
  <c r="B1849" i="8"/>
  <c r="B3082" i="8"/>
  <c r="B2382" i="8"/>
  <c r="B1034" i="8"/>
  <c r="B2348" i="8"/>
  <c r="B2014" i="8"/>
  <c r="B1336" i="8"/>
  <c r="B1488" i="8"/>
  <c r="B1481" i="8"/>
  <c r="B2666" i="8"/>
  <c r="B1575" i="8"/>
  <c r="B1258" i="8"/>
  <c r="B1064" i="8"/>
  <c r="B1396" i="8"/>
  <c r="B807" i="8"/>
  <c r="B2712" i="8"/>
  <c r="B3070" i="8"/>
  <c r="B1170" i="8"/>
  <c r="B1259" i="8"/>
  <c r="B1204" i="8"/>
  <c r="B2122" i="8"/>
  <c r="B1040" i="8"/>
  <c r="B1303" i="8"/>
  <c r="B2367" i="8"/>
  <c r="B1077" i="8"/>
  <c r="B2938" i="8"/>
  <c r="B1780" i="8"/>
  <c r="B1415" i="8"/>
  <c r="B2431" i="8"/>
  <c r="B1832" i="8"/>
  <c r="B2062" i="8"/>
  <c r="B277" i="8"/>
  <c r="B2170" i="8"/>
  <c r="B296" i="8"/>
  <c r="B2640" i="8"/>
  <c r="B2156" i="8"/>
  <c r="B1545" i="8"/>
  <c r="B1748" i="8"/>
  <c r="B1619" i="8"/>
  <c r="B1021" i="8"/>
  <c r="B609" i="8"/>
  <c r="B1159" i="8"/>
  <c r="B2036" i="8"/>
  <c r="B1817" i="8"/>
  <c r="B1973" i="8"/>
  <c r="B1404" i="8"/>
  <c r="B1936" i="8"/>
  <c r="B1512" i="8"/>
  <c r="B1212" i="8"/>
  <c r="B2785" i="8"/>
  <c r="B2910" i="8"/>
  <c r="B1699" i="8"/>
  <c r="B2253" i="8"/>
  <c r="B1596" i="8"/>
  <c r="B1476" i="8"/>
  <c r="B3056" i="8"/>
  <c r="B1229" i="8"/>
  <c r="B2501" i="8"/>
  <c r="B2112" i="8"/>
  <c r="B519" i="8"/>
  <c r="B1825" i="8"/>
  <c r="B1630" i="8"/>
  <c r="B2392" i="8"/>
  <c r="B1875" i="8"/>
  <c r="B1856" i="8"/>
  <c r="B1049" i="8"/>
  <c r="B1300" i="8"/>
  <c r="B1527" i="8"/>
  <c r="B2671" i="8"/>
  <c r="B2731" i="8"/>
  <c r="B1743" i="8"/>
  <c r="B1658" i="8"/>
  <c r="B1717" i="8"/>
  <c r="B622" i="8"/>
  <c r="B1919" i="8"/>
  <c r="B891" i="8"/>
  <c r="B2361" i="8"/>
  <c r="B280" i="8"/>
  <c r="B1367" i="8"/>
  <c r="B798" i="8"/>
  <c r="B2236" i="8"/>
  <c r="B1661" i="8"/>
  <c r="B2987" i="8"/>
  <c r="B1895" i="8"/>
  <c r="B2102" i="8"/>
  <c r="B774" i="8"/>
  <c r="B960" i="8"/>
  <c r="B2347" i="8"/>
  <c r="B1937" i="8"/>
  <c r="B1772" i="8"/>
  <c r="B1942" i="8"/>
  <c r="B1943" i="8"/>
  <c r="B2201" i="8"/>
  <c r="B2455" i="8"/>
  <c r="B1085" i="8"/>
  <c r="B1903" i="8"/>
  <c r="B1071" i="8"/>
  <c r="B1660" i="8"/>
  <c r="B1220" i="8"/>
  <c r="B2040" i="8"/>
  <c r="B1625" i="8"/>
  <c r="B1463" i="8"/>
  <c r="B1507" i="8"/>
  <c r="B1615" i="8"/>
  <c r="B2931" i="8"/>
  <c r="B27" i="8"/>
  <c r="B2450" i="8"/>
  <c r="B322" i="8"/>
  <c r="B2251" i="8"/>
  <c r="B2550" i="8"/>
  <c r="B1587" i="8"/>
  <c r="B2250" i="8"/>
  <c r="B1585" i="8"/>
  <c r="B2579" i="8"/>
  <c r="B2546" i="8"/>
  <c r="B3029" i="8"/>
  <c r="B1504" i="8"/>
  <c r="B1152" i="8"/>
  <c r="B1223" i="8"/>
  <c r="B1774" i="8"/>
  <c r="B2464" i="8"/>
  <c r="B2697" i="8"/>
  <c r="B2936" i="8"/>
  <c r="B1128" i="8"/>
  <c r="B2030" i="8"/>
  <c r="B2879" i="8"/>
  <c r="B1644" i="8"/>
  <c r="B2846" i="8"/>
  <c r="B1694" i="8"/>
  <c r="B2472" i="8"/>
  <c r="B761" i="8"/>
  <c r="B1655" i="8"/>
  <c r="B2774" i="8"/>
  <c r="B1799" i="8"/>
  <c r="B643" i="8"/>
  <c r="B3086" i="8"/>
  <c r="B2319" i="8"/>
  <c r="B1231" i="8"/>
  <c r="B2482" i="8"/>
  <c r="B1250" i="8"/>
  <c r="B2391" i="8"/>
  <c r="B2652" i="8"/>
  <c r="B882" i="8"/>
  <c r="B1960" i="8"/>
  <c r="B2484" i="8"/>
  <c r="B2639" i="8"/>
  <c r="B496" i="8"/>
  <c r="B405" i="8"/>
  <c r="B1412" i="8"/>
  <c r="B2241" i="8"/>
  <c r="B2228" i="8"/>
  <c r="B1068" i="8"/>
  <c r="B1962" i="8"/>
  <c r="B1197" i="8"/>
  <c r="B696" i="8"/>
  <c r="B2499" i="8"/>
  <c r="B1264" i="8"/>
  <c r="B575" i="8"/>
  <c r="B2502" i="8"/>
  <c r="B1444" i="8"/>
  <c r="B1360" i="8"/>
  <c r="B987" i="8"/>
  <c r="B2430" i="8"/>
  <c r="B2507" i="8"/>
  <c r="B3071" i="8"/>
  <c r="B3000" i="8"/>
  <c r="B2917" i="8"/>
  <c r="B2685" i="8"/>
  <c r="B1114" i="8"/>
  <c r="B2513" i="8"/>
  <c r="B694" i="8"/>
  <c r="B2128" i="8"/>
  <c r="B939" i="8"/>
  <c r="B2693" i="8"/>
  <c r="B2902" i="8"/>
  <c r="B2880" i="8"/>
  <c r="B1753" i="8"/>
  <c r="B2966" i="8"/>
  <c r="B1411" i="8"/>
  <c r="B3040" i="8"/>
  <c r="B2451" i="8"/>
  <c r="B1870" i="8"/>
  <c r="B2276" i="8"/>
  <c r="B1830" i="8"/>
  <c r="B2092" i="8"/>
  <c r="B2133" i="8"/>
  <c r="B2530" i="8"/>
  <c r="B1787" i="8"/>
  <c r="B1041" i="8"/>
  <c r="B2995" i="8"/>
  <c r="B2026" i="8"/>
  <c r="B1752" i="8"/>
  <c r="B2515" i="8"/>
  <c r="B2557" i="8"/>
  <c r="B1727" i="8"/>
  <c r="B2903" i="8"/>
  <c r="B2489" i="8"/>
  <c r="B2900" i="8"/>
  <c r="B2089" i="8"/>
  <c r="B2277" i="8"/>
  <c r="B2990" i="8"/>
  <c r="B630" i="8"/>
  <c r="B2562" i="8"/>
  <c r="B1307" i="8"/>
  <c r="B2332" i="8"/>
  <c r="B2549" i="8"/>
  <c r="B2872" i="8"/>
  <c r="B2632" i="8"/>
  <c r="B2142" i="8"/>
  <c r="B1524" i="8"/>
  <c r="B1629" i="8"/>
  <c r="B1140" i="8"/>
  <c r="B1566" i="8"/>
  <c r="B2389" i="8"/>
  <c r="B1667" i="8"/>
  <c r="B2330" i="8"/>
  <c r="B316" i="8"/>
  <c r="B1701" i="8"/>
  <c r="B2498" i="8"/>
  <c r="B1409" i="8"/>
  <c r="B615" i="8"/>
  <c r="B2366" i="8"/>
  <c r="B1533" i="8"/>
  <c r="B1669" i="8"/>
  <c r="B1905" i="8"/>
  <c r="B2094" i="8"/>
  <c r="B2503" i="8"/>
  <c r="B2571" i="8"/>
  <c r="B2202" i="8"/>
  <c r="B2899" i="8"/>
  <c r="B1889" i="8"/>
  <c r="B1357" i="8"/>
  <c r="B1994" i="8"/>
  <c r="B2315" i="8"/>
  <c r="B1555" i="8"/>
  <c r="B2509" i="8"/>
  <c r="B2994" i="8"/>
  <c r="B1121" i="8"/>
  <c r="B2582" i="8"/>
  <c r="B1177" i="8"/>
  <c r="B2155" i="8"/>
  <c r="B1992" i="8"/>
  <c r="B2526" i="8"/>
  <c r="B2114" i="8"/>
  <c r="B1896" i="8"/>
  <c r="B2268" i="8"/>
  <c r="B2590" i="8"/>
  <c r="B2657" i="8"/>
  <c r="B2592" i="8"/>
  <c r="B1891" i="8"/>
  <c r="B2134" i="8"/>
  <c r="B695" i="8"/>
  <c r="B1769" i="8"/>
  <c r="B1156" i="8"/>
  <c r="B2199" i="8"/>
  <c r="B2158" i="8"/>
  <c r="B2600" i="8"/>
  <c r="B607" i="8"/>
  <c r="B2980" i="8"/>
  <c r="B2265" i="8"/>
  <c r="B2053" i="8"/>
  <c r="B2605" i="8"/>
  <c r="B1604" i="8"/>
  <c r="B3060" i="8"/>
  <c r="B2608" i="8"/>
  <c r="B2864" i="8"/>
  <c r="B375" i="8"/>
  <c r="B2560" i="8"/>
  <c r="B1686" i="8"/>
  <c r="B1185" i="8"/>
  <c r="B951" i="8"/>
  <c r="B2799" i="8"/>
  <c r="B1861" i="8"/>
  <c r="B2085" i="8"/>
  <c r="B2384" i="8"/>
  <c r="B649" i="8"/>
  <c r="B2345" i="8"/>
  <c r="B1620" i="8"/>
  <c r="B1169" i="8"/>
  <c r="B1510" i="8"/>
  <c r="B1676" i="8"/>
  <c r="B2341" i="8"/>
  <c r="B2870" i="8"/>
  <c r="B3051" i="8"/>
  <c r="B156" i="8"/>
  <c r="B2299" i="8"/>
  <c r="B1182" i="8"/>
  <c r="B1135" i="8"/>
  <c r="B3078" i="8"/>
  <c r="B1062" i="8"/>
  <c r="B2634" i="8"/>
  <c r="B1801" i="8"/>
  <c r="B2991" i="8"/>
  <c r="B2691" i="8"/>
  <c r="B2921" i="8"/>
  <c r="B2532" i="8"/>
  <c r="B1379" i="8"/>
  <c r="B135" i="8"/>
  <c r="B1979" i="8"/>
  <c r="B1948" i="8"/>
  <c r="B2859" i="8"/>
  <c r="B2306" i="8"/>
  <c r="B2922" i="8"/>
  <c r="B2494" i="8"/>
  <c r="B1454" i="8"/>
  <c r="B2649" i="8"/>
  <c r="B2436" i="8"/>
  <c r="B1146" i="8"/>
  <c r="B1430" i="8"/>
  <c r="B2760" i="8"/>
  <c r="B3048" i="8"/>
  <c r="B1280" i="8"/>
  <c r="B2497" i="8"/>
  <c r="B1652" i="8"/>
  <c r="B2506" i="8"/>
  <c r="B2646" i="8"/>
  <c r="B2660" i="8"/>
  <c r="B2661" i="8"/>
  <c r="B2258" i="8"/>
  <c r="B2221" i="8"/>
  <c r="B1950" i="8"/>
  <c r="B2447" i="8"/>
  <c r="B1400" i="8"/>
  <c r="B1291" i="8"/>
  <c r="B2677" i="8"/>
  <c r="B1369" i="8"/>
  <c r="B2307" i="8"/>
  <c r="B2737" i="8"/>
  <c r="B1906" i="8"/>
  <c r="B2416" i="8"/>
  <c r="B2063" i="8"/>
  <c r="B2541" i="8"/>
  <c r="B2906" i="8"/>
  <c r="B3077" i="8"/>
  <c r="B2554" i="8"/>
  <c r="B1514" i="8"/>
  <c r="B2680" i="8"/>
  <c r="B2681" i="8"/>
  <c r="B3038" i="8"/>
  <c r="B49" i="8"/>
  <c r="B2210" i="8"/>
  <c r="B2286" i="8"/>
  <c r="B2468" i="8"/>
  <c r="B3012" i="8"/>
  <c r="B2701" i="8"/>
  <c r="B1838" i="8"/>
  <c r="B1066" i="8"/>
  <c r="B1183" i="8"/>
  <c r="B2596" i="8"/>
  <c r="B605" i="8"/>
  <c r="B2334" i="8"/>
  <c r="B2160" i="8"/>
  <c r="B2075" i="8"/>
  <c r="B1403" i="8"/>
  <c r="B1067" i="8"/>
  <c r="B2978" i="8"/>
  <c r="B779" i="8"/>
  <c r="B2243" i="8"/>
  <c r="B2522" i="8"/>
  <c r="B1805" i="8"/>
  <c r="B1684" i="8"/>
  <c r="B2028" i="8"/>
  <c r="B2611" i="8"/>
  <c r="B2707" i="8"/>
  <c r="B1155" i="8"/>
  <c r="B2082" i="8"/>
  <c r="B2710" i="8"/>
  <c r="B2887" i="8"/>
  <c r="B1319" i="8"/>
  <c r="B2713" i="8"/>
  <c r="B2714" i="8"/>
  <c r="B2717" i="8"/>
  <c r="B1632" i="8"/>
  <c r="B871" i="8"/>
  <c r="B1909" i="8"/>
  <c r="B2438" i="8"/>
  <c r="B2953" i="8"/>
  <c r="B2567" i="8"/>
  <c r="B1222" i="8"/>
  <c r="B1060" i="8"/>
  <c r="B884" i="8"/>
  <c r="B2525" i="8"/>
  <c r="B2471" i="8"/>
  <c r="B2838" i="8"/>
  <c r="B1747" i="8"/>
  <c r="B1485" i="8"/>
  <c r="B749" i="8"/>
  <c r="B1897" i="8"/>
  <c r="B2778" i="8"/>
  <c r="B2889" i="8"/>
  <c r="B967" i="8"/>
  <c r="B846" i="8"/>
  <c r="B2736" i="8"/>
  <c r="B2466" i="8"/>
  <c r="B2738" i="8"/>
  <c r="B2698" i="8"/>
  <c r="B1900" i="8"/>
  <c r="B2244" i="8"/>
  <c r="B921" i="8"/>
  <c r="B2743" i="8"/>
  <c r="B2744" i="8"/>
  <c r="B2655" i="8"/>
  <c r="B1518" i="8"/>
  <c r="B2371" i="8"/>
  <c r="B2813" i="8"/>
  <c r="B2749" i="8"/>
  <c r="B1749" i="8"/>
  <c r="B1020" i="8"/>
  <c r="B1623" i="8"/>
  <c r="B2514" i="8"/>
  <c r="B2754" i="8"/>
  <c r="B1271" i="8"/>
  <c r="B1431" i="8"/>
  <c r="B2198" i="8"/>
  <c r="B676" i="8"/>
  <c r="B3063" i="8"/>
  <c r="B1260" i="8"/>
  <c r="B3079" i="8"/>
  <c r="B1161" i="8"/>
  <c r="B2985" i="8"/>
  <c r="B1035" i="8"/>
  <c r="B2363" i="8"/>
  <c r="B2136" i="8"/>
  <c r="B3039" i="8"/>
  <c r="B2768" i="8"/>
  <c r="B1959" i="8"/>
  <c r="B1993" i="8"/>
  <c r="B2771" i="8"/>
  <c r="B1898" i="8"/>
  <c r="B610" i="8"/>
  <c r="B1267" i="8"/>
  <c r="B1502" i="8"/>
  <c r="B2476" i="8"/>
  <c r="B1003" i="8"/>
  <c r="B2477" i="8"/>
  <c r="B1947" i="8"/>
  <c r="B2856" i="8"/>
  <c r="B2480" i="8"/>
  <c r="B1602" i="8"/>
  <c r="B3011" i="8"/>
  <c r="B2504" i="8"/>
  <c r="B362" i="8"/>
  <c r="B631" i="8"/>
  <c r="B1779" i="8"/>
  <c r="B2093" i="8"/>
  <c r="B2827" i="8"/>
  <c r="B91" i="8"/>
  <c r="B1251" i="8"/>
  <c r="B1560" i="8"/>
  <c r="B1087" i="8"/>
  <c r="B1768" i="8"/>
  <c r="B770" i="8"/>
  <c r="B2796" i="8"/>
  <c r="B872" i="8"/>
  <c r="B1147" i="8"/>
  <c r="B1670" i="8"/>
  <c r="B2629" i="8"/>
  <c r="B2801" i="8"/>
  <c r="B2648" i="8"/>
  <c r="B1844" i="8"/>
  <c r="B2375" i="8"/>
  <c r="B1509" i="8"/>
  <c r="B1853" i="8"/>
  <c r="B2178" i="8"/>
  <c r="B2542" i="8"/>
  <c r="B1429" i="8"/>
  <c r="B3006" i="8"/>
  <c r="B1985" i="8"/>
  <c r="B1934" i="8"/>
  <c r="B875" i="8"/>
  <c r="B1168" i="8"/>
  <c r="B2212" i="8"/>
  <c r="B1609" i="8"/>
  <c r="B2187" i="8"/>
  <c r="B1925" i="8"/>
  <c r="B1390" i="8"/>
  <c r="B1498" i="8"/>
  <c r="B1491" i="8"/>
  <c r="B2012" i="8"/>
  <c r="B2823" i="8"/>
  <c r="B443" i="8"/>
  <c r="B1074" i="8"/>
  <c r="B1740" i="8"/>
  <c r="B2555" i="8"/>
  <c r="B1926" i="8"/>
  <c r="B474" i="8"/>
  <c r="B1469" i="8"/>
  <c r="B1995" i="8"/>
  <c r="B2832" i="8"/>
  <c r="B1845" i="8"/>
  <c r="B1464" i="8"/>
  <c r="B2612" i="8"/>
  <c r="B1965" i="8"/>
  <c r="B1876" i="8"/>
  <c r="B1316" i="8"/>
  <c r="B2866" i="8"/>
  <c r="B1724" i="8"/>
  <c r="B1887" i="8"/>
  <c r="B1786" i="8"/>
  <c r="B860" i="8"/>
  <c r="B2263" i="8"/>
  <c r="B2845" i="8"/>
  <c r="B1391" i="8"/>
  <c r="B549" i="8"/>
  <c r="B814" i="8"/>
  <c r="B3091" i="8"/>
  <c r="B1976" i="8"/>
  <c r="B2839" i="8"/>
  <c r="B1741" i="8"/>
  <c r="B2742" i="8"/>
  <c r="B2673" i="8"/>
  <c r="B2441" i="8"/>
  <c r="B1354" i="8"/>
  <c r="B2623" i="8"/>
  <c r="B2071" i="8"/>
  <c r="B2407" i="8"/>
  <c r="B1963" i="8"/>
  <c r="B1302" i="8"/>
  <c r="B2111" i="8"/>
  <c r="B2683" i="8"/>
  <c r="B995" i="8"/>
  <c r="B1554" i="8"/>
  <c r="B1188" i="8"/>
  <c r="B3083" i="8"/>
  <c r="B1688" i="8"/>
  <c r="B2222" i="8"/>
  <c r="B1460" i="8"/>
  <c r="B1952" i="8"/>
  <c r="B1759" i="8"/>
  <c r="B1217" i="8"/>
  <c r="B3088" i="8"/>
  <c r="B2960" i="8"/>
  <c r="B1051" i="8"/>
  <c r="B2261" i="8"/>
  <c r="B1343" i="8"/>
  <c r="B2478" i="8"/>
  <c r="B2505" i="8"/>
  <c r="B2964" i="8"/>
  <c r="B2204" i="8"/>
  <c r="B1277" i="8"/>
  <c r="B1337" i="8"/>
  <c r="B1922" i="8"/>
  <c r="B2446" i="8"/>
  <c r="B2884" i="8"/>
  <c r="B2888" i="8"/>
  <c r="B1588" i="8"/>
  <c r="B3027" i="8"/>
  <c r="B2273" i="8"/>
  <c r="B38" i="8"/>
  <c r="B514" i="8"/>
  <c r="B1056" i="8"/>
  <c r="B152" i="8"/>
  <c r="B2896" i="8"/>
  <c r="B1529" i="8"/>
  <c r="B2259" i="8"/>
  <c r="B1653" i="8"/>
  <c r="B1761" i="8"/>
  <c r="B2901" i="8"/>
  <c r="B2520" i="8"/>
  <c r="B2831" i="8"/>
  <c r="B2283" i="8"/>
  <c r="B2728" i="8"/>
  <c r="B2179" i="8"/>
  <c r="B1582" i="8"/>
  <c r="B2173" i="8"/>
  <c r="B3058" i="8"/>
  <c r="B2321" i="8"/>
  <c r="B1090" i="8"/>
  <c r="B3041" i="8"/>
  <c r="B2942" i="8"/>
  <c r="B2359" i="8"/>
  <c r="B1201" i="8"/>
  <c r="B125" i="8"/>
  <c r="B1199" i="8"/>
  <c r="B1351" i="8"/>
  <c r="B2919" i="8"/>
  <c r="B1162" i="8"/>
  <c r="B250" i="8"/>
  <c r="B1949" i="8"/>
  <c r="B1113" i="8"/>
  <c r="B1389" i="8"/>
  <c r="B2974" i="8"/>
  <c r="B2255" i="8"/>
  <c r="B2603" i="8"/>
  <c r="B2196" i="8"/>
  <c r="B2189" i="8"/>
  <c r="B1070" i="8"/>
  <c r="B2686" i="8"/>
  <c r="B2805" i="8"/>
  <c r="B2933" i="8"/>
  <c r="B2882" i="8"/>
  <c r="B2339" i="8"/>
  <c r="B1023" i="8"/>
  <c r="B974" i="8"/>
  <c r="B509" i="8"/>
  <c r="B1374" i="8"/>
  <c r="B2940" i="8"/>
  <c r="B2191" i="8"/>
  <c r="B2377" i="8"/>
  <c r="B1788" i="8"/>
  <c r="B2369" i="8"/>
  <c r="B2798" i="8"/>
  <c r="B2817" i="8"/>
  <c r="B2047" i="8"/>
  <c r="B2325" i="8"/>
  <c r="B2949" i="8"/>
  <c r="B2609" i="8"/>
  <c r="B1770" i="8"/>
  <c r="B678" i="8"/>
  <c r="B2643" i="8"/>
  <c r="B1032" i="8"/>
  <c r="B1586" i="8"/>
  <c r="B1776" i="8"/>
  <c r="B3045" i="8"/>
  <c r="B285" i="8"/>
  <c r="B2944" i="8"/>
  <c r="B2140" i="8"/>
  <c r="B1386" i="8"/>
  <c r="B1807" i="8"/>
  <c r="B724" i="8"/>
  <c r="B1483" i="8"/>
  <c r="B930" i="8"/>
  <c r="B3047" i="8"/>
  <c r="B2287" i="8"/>
  <c r="B2081" i="8"/>
  <c r="B2865" i="8"/>
  <c r="B2970" i="8"/>
  <c r="B1886" i="8"/>
  <c r="B691" i="8"/>
  <c r="B1081" i="8"/>
  <c r="B3089" i="8"/>
  <c r="B1225" i="8"/>
  <c r="B658" i="8"/>
  <c r="B848" i="8"/>
  <c r="B2021" i="8"/>
  <c r="B2175" i="8"/>
  <c r="B2374" i="8"/>
  <c r="B2041" i="8"/>
  <c r="B1999" i="8"/>
  <c r="B341" i="8"/>
  <c r="B2792" i="8"/>
  <c r="B644" i="8"/>
  <c r="B1571" i="8"/>
  <c r="B1173" i="8"/>
  <c r="B1944" i="8"/>
  <c r="B2521" i="8"/>
  <c r="B1867" i="8"/>
  <c r="B2368" i="8"/>
  <c r="B2604" i="8"/>
  <c r="B1352" i="8"/>
  <c r="B1482" i="8"/>
  <c r="B2893" i="8"/>
  <c r="B2126" i="8"/>
  <c r="B2997" i="8"/>
  <c r="B1383" i="8"/>
  <c r="B2008" i="8"/>
  <c r="B585" i="8"/>
  <c r="B2130" i="8"/>
  <c r="B2916" i="8"/>
  <c r="B2946" i="8"/>
  <c r="B3004" i="8"/>
  <c r="B3002" i="8"/>
  <c r="B2143" i="8"/>
  <c r="B3014" i="8"/>
  <c r="B2961" i="8"/>
  <c r="B3080" i="8"/>
  <c r="B2928" i="8"/>
  <c r="B1677" i="8"/>
  <c r="B3009" i="8"/>
  <c r="B1268" i="8"/>
  <c r="B2443" i="8"/>
  <c r="B1816" i="8"/>
  <c r="B2072" i="8"/>
  <c r="B2804" i="8"/>
  <c r="B2033" i="8"/>
  <c r="B1082" i="8"/>
  <c r="B3020" i="8"/>
  <c r="B2161" i="8"/>
  <c r="B1011" i="8"/>
  <c r="B1004" i="8"/>
  <c r="B2802" i="8"/>
  <c r="B2536" i="8"/>
  <c r="B488" i="8"/>
  <c r="B2566" i="8"/>
  <c r="B3028" i="8"/>
  <c r="B339" i="8"/>
  <c r="B1014" i="8"/>
  <c r="B3031" i="8"/>
  <c r="B2039" i="8"/>
  <c r="B771" i="8"/>
  <c r="B713" i="8"/>
  <c r="B2214" i="8"/>
  <c r="B344" i="8"/>
  <c r="B2543" i="8"/>
  <c r="B1236" i="8"/>
  <c r="B2516" i="8"/>
  <c r="B2284" i="8"/>
  <c r="B1804" i="8"/>
  <c r="B625" i="8"/>
  <c r="B1544" i="8"/>
  <c r="B2313" i="8"/>
  <c r="B1466" i="8"/>
  <c r="B505" i="8"/>
  <c r="B1592" i="8"/>
  <c r="B2878" i="8"/>
  <c r="B393" i="8"/>
  <c r="B2993" i="8"/>
  <c r="B1394" i="8"/>
  <c r="B1292" i="8"/>
  <c r="B515" i="8"/>
  <c r="B318" i="8"/>
  <c r="B1618" i="8"/>
  <c r="B2453" i="8"/>
  <c r="B8" i="8"/>
  <c r="B1230" i="8"/>
  <c r="B2193" i="8"/>
  <c r="B2723" i="8"/>
  <c r="B2073" i="8"/>
  <c r="B2333" i="8"/>
  <c r="B985" i="8"/>
  <c r="B3064" i="8"/>
  <c r="B1664" i="8"/>
  <c r="B2678" i="8"/>
  <c r="B938" i="8"/>
  <c r="B1579" i="8"/>
  <c r="B2326" i="8"/>
  <c r="B1526" i="8"/>
  <c r="B1828" i="8"/>
  <c r="B2908" i="8"/>
  <c r="B2573" i="8"/>
  <c r="B2576" i="8"/>
  <c r="B2793" i="8"/>
  <c r="B1767" i="8"/>
  <c r="B763" i="8"/>
  <c r="B2440" i="8"/>
  <c r="B2044" i="8"/>
  <c r="B2614" i="8"/>
  <c r="B933" i="8"/>
  <c r="B1424" i="8"/>
  <c r="B2177" i="8"/>
  <c r="B2835" i="8"/>
  <c r="B1850" i="8"/>
  <c r="B1490" i="8"/>
  <c r="B1714" i="8"/>
  <c r="B1480" i="8"/>
  <c r="B1754" i="8"/>
  <c r="B2351" i="8"/>
  <c r="B541" i="8"/>
  <c r="D2948" i="8"/>
  <c r="D357" i="8"/>
  <c r="D2815" i="8"/>
  <c r="D1132" i="8"/>
  <c r="D2625" i="8"/>
  <c r="D1923" i="8"/>
  <c r="D2312" i="8"/>
  <c r="D2483" i="8"/>
  <c r="D2973" i="8"/>
  <c r="D13" i="8"/>
  <c r="D14" i="8"/>
  <c r="D2912" i="8"/>
  <c r="D16" i="8"/>
  <c r="D17" i="8"/>
  <c r="D18" i="8"/>
  <c r="D1340" i="8"/>
  <c r="D137" i="8"/>
  <c r="D21" i="8"/>
  <c r="D970" i="8"/>
  <c r="D23" i="8"/>
  <c r="D36" i="8"/>
  <c r="D25" i="8"/>
  <c r="D1720" i="8"/>
  <c r="D1144" i="8"/>
  <c r="D427" i="8"/>
  <c r="D287" i="8"/>
  <c r="D30" i="8"/>
  <c r="D31" i="8"/>
  <c r="D2144" i="8"/>
  <c r="D289" i="8"/>
  <c r="D364" i="8"/>
  <c r="D35" i="8"/>
  <c r="D2653" i="8"/>
  <c r="D2580" i="8"/>
  <c r="D170" i="8"/>
  <c r="D39" i="8"/>
  <c r="D160" i="8"/>
  <c r="D946" i="8"/>
  <c r="D42" i="8"/>
  <c r="D1924" i="8"/>
  <c r="D44" i="8"/>
  <c r="D2324" i="8"/>
  <c r="D2427" i="8"/>
  <c r="D47" i="8"/>
  <c r="D48" i="8"/>
  <c r="D892" i="8"/>
  <c r="D70" i="8"/>
  <c r="D51" i="8"/>
  <c r="D2088" i="8"/>
  <c r="D98" i="8"/>
  <c r="D54" i="8"/>
  <c r="D2708" i="8"/>
  <c r="D329" i="8"/>
  <c r="D1254" i="8"/>
  <c r="D58" i="8"/>
  <c r="D59" i="8"/>
  <c r="D773" i="8"/>
  <c r="D61" i="8"/>
  <c r="D203" i="8"/>
  <c r="D63" i="8"/>
  <c r="D64" i="8"/>
  <c r="D236" i="8"/>
  <c r="D879" i="8"/>
  <c r="D406" i="8"/>
  <c r="D68" i="8"/>
  <c r="D2999" i="8"/>
  <c r="D380" i="8"/>
  <c r="D981" i="8"/>
  <c r="D94" i="8"/>
  <c r="D73" i="8"/>
  <c r="D2462" i="8"/>
  <c r="D10" i="8"/>
  <c r="D819" i="8"/>
  <c r="D77" i="8"/>
  <c r="D78" i="8"/>
  <c r="D1888" i="8"/>
  <c r="D881" i="8"/>
  <c r="D128" i="8"/>
  <c r="D172" i="8"/>
  <c r="D83" i="8"/>
  <c r="D84" i="8"/>
  <c r="D85" i="8"/>
  <c r="D2209" i="8"/>
  <c r="D1746" i="8"/>
  <c r="D88" i="8"/>
  <c r="D194" i="8"/>
  <c r="D1523" i="8"/>
  <c r="D1092" i="8"/>
  <c r="D2390" i="8"/>
  <c r="D1873" i="8"/>
  <c r="D1314" i="8"/>
  <c r="D472" i="8"/>
  <c r="D202" i="8"/>
  <c r="D906" i="8"/>
  <c r="D2895" i="8"/>
  <c r="D1435" i="8"/>
  <c r="D299" i="8"/>
  <c r="D101" i="8"/>
  <c r="D102" i="8"/>
  <c r="D2206" i="8"/>
  <c r="D104" i="8"/>
  <c r="D2303" i="8"/>
  <c r="D106" i="8"/>
  <c r="D2205" i="8"/>
  <c r="D115" i="8"/>
  <c r="D1163" i="8"/>
  <c r="D736" i="8"/>
  <c r="D2400" i="8"/>
  <c r="D297" i="8"/>
  <c r="D113" i="8"/>
  <c r="D1956" i="8"/>
  <c r="D1977" i="8"/>
  <c r="D1826" i="8"/>
  <c r="D79" i="8"/>
  <c r="D118" i="8"/>
  <c r="D119" i="8"/>
  <c r="D786" i="8"/>
  <c r="D1449" i="8"/>
  <c r="D173" i="8"/>
  <c r="D123" i="8"/>
  <c r="D69" i="8"/>
  <c r="D470" i="8"/>
  <c r="D907" i="8"/>
  <c r="D127" i="8"/>
  <c r="D415" i="8"/>
  <c r="D2659" i="8"/>
  <c r="D843" i="8"/>
  <c r="D131" i="8"/>
  <c r="D132" i="8"/>
  <c r="D1247" i="8"/>
  <c r="D2988" i="8"/>
  <c r="D1296" i="8"/>
  <c r="D136" i="8"/>
  <c r="D1266" i="8"/>
  <c r="D56" i="8"/>
  <c r="D139" i="8"/>
  <c r="D458" i="8"/>
  <c r="D2229" i="8"/>
  <c r="D142" i="8"/>
  <c r="D215" i="8"/>
  <c r="D327" i="8"/>
  <c r="D2005" i="8"/>
  <c r="D1399" i="8"/>
  <c r="D147" i="8"/>
  <c r="D2863" i="8"/>
  <c r="D149" i="8"/>
  <c r="D150" i="8"/>
  <c r="D151" i="8"/>
  <c r="D180" i="8"/>
  <c r="D153" i="8"/>
  <c r="D447" i="8"/>
  <c r="D2519" i="8"/>
  <c r="D46" i="8"/>
  <c r="D388" i="8"/>
  <c r="D3068" i="8"/>
  <c r="D1493" i="8"/>
  <c r="D1133" i="8"/>
  <c r="D53" i="8"/>
  <c r="D1946" i="8"/>
  <c r="D1289" i="8"/>
  <c r="D165" i="8"/>
  <c r="D2381" i="8"/>
  <c r="D43" i="8"/>
  <c r="D537" i="8"/>
  <c r="D1725" i="8"/>
  <c r="D2429" i="8"/>
  <c r="D381" i="8"/>
  <c r="D1405" i="8"/>
  <c r="D99" i="8"/>
  <c r="D28" i="8"/>
  <c r="D174" i="8"/>
  <c r="D100" i="8"/>
  <c r="D176" i="8"/>
  <c r="D1486" i="8"/>
  <c r="D2370" i="8"/>
  <c r="D369" i="8"/>
  <c r="D105" i="8"/>
  <c r="D158" i="8"/>
  <c r="D1323" i="8"/>
  <c r="D183" i="8"/>
  <c r="D377" i="8"/>
  <c r="D464" i="8"/>
  <c r="D2826" i="8"/>
  <c r="D975" i="8"/>
  <c r="D2637" i="8"/>
  <c r="D1181" i="8"/>
  <c r="D2419" i="8"/>
  <c r="D2235" i="8"/>
  <c r="D1190" i="8"/>
  <c r="D397" i="8"/>
  <c r="D187" i="8"/>
  <c r="D888" i="8"/>
  <c r="D80" i="8"/>
  <c r="D197" i="8"/>
  <c r="D2857" i="8"/>
  <c r="D20" i="8"/>
  <c r="D2819" i="8"/>
  <c r="D613" i="8"/>
  <c r="D2121" i="8"/>
  <c r="D1847" i="8"/>
  <c r="D2524" i="8"/>
  <c r="D2941" i="8"/>
  <c r="D402" i="8"/>
  <c r="D207" i="8"/>
  <c r="D2224" i="8"/>
  <c r="D209" i="8"/>
  <c r="D210" i="8"/>
  <c r="D211" i="8"/>
  <c r="D212" i="8"/>
  <c r="D2930" i="8"/>
  <c r="D214" i="8"/>
  <c r="D627" i="8"/>
  <c r="D3062" i="8"/>
  <c r="D217" i="8"/>
  <c r="D9" i="8"/>
  <c r="D219" i="8"/>
  <c r="D2257" i="8"/>
  <c r="D668" i="8"/>
  <c r="D1129" i="8"/>
  <c r="D692" i="8"/>
  <c r="D24" i="8"/>
  <c r="D595" i="8"/>
  <c r="D290" i="8"/>
  <c r="D337" i="8"/>
  <c r="D715" i="8"/>
  <c r="D201" i="8"/>
  <c r="D1295" i="8"/>
  <c r="D950" i="8"/>
  <c r="D1331" i="8"/>
  <c r="D233" i="8"/>
  <c r="D545" i="8"/>
  <c r="D1548" i="8"/>
  <c r="D2656" i="8"/>
  <c r="D363" i="8"/>
  <c r="D15" i="8"/>
  <c r="D442" i="8"/>
  <c r="D198" i="8"/>
  <c r="D247" i="8"/>
  <c r="D242" i="8"/>
  <c r="D2200" i="8"/>
  <c r="D1171" i="8"/>
  <c r="D1195" i="8"/>
  <c r="D550" i="8"/>
  <c r="D559" i="8"/>
  <c r="D1546" i="8"/>
  <c r="D436" i="8"/>
  <c r="D1341" i="8"/>
  <c r="D2298" i="8"/>
  <c r="D252" i="8"/>
  <c r="D2607" i="8"/>
  <c r="D254" i="8"/>
  <c r="D1522" i="8"/>
  <c r="D2561" i="8"/>
  <c r="D1009" i="8"/>
  <c r="D2305" i="8"/>
  <c r="D259" i="8"/>
  <c r="D521" i="8"/>
  <c r="D762" i="8"/>
  <c r="D421" i="8"/>
  <c r="D2741" i="8"/>
  <c r="D140" i="8"/>
  <c r="D2380" i="8"/>
  <c r="D1513" i="8"/>
  <c r="D1665" i="8"/>
  <c r="D2658" i="8"/>
  <c r="D674" i="8"/>
  <c r="D812" i="8"/>
  <c r="D2545" i="8"/>
  <c r="D218" i="8"/>
  <c r="D1543" i="8"/>
  <c r="D478" i="8"/>
  <c r="D275" i="8"/>
  <c r="D3035" i="8"/>
  <c r="D2867" i="8"/>
  <c r="D850" i="8"/>
  <c r="D2176" i="8"/>
  <c r="D664" i="8"/>
  <c r="D1685" i="8"/>
  <c r="D596" i="8"/>
  <c r="D372" i="8"/>
  <c r="D2336" i="8"/>
  <c r="D1134" i="8"/>
  <c r="D684" i="8"/>
  <c r="D261" i="8"/>
  <c r="D911" i="8"/>
  <c r="D1467" i="8"/>
  <c r="D2365" i="8"/>
  <c r="D2709" i="8"/>
  <c r="D2841" i="8"/>
  <c r="D755" i="8"/>
  <c r="D1907" i="8"/>
  <c r="D2702" i="8"/>
  <c r="D555" i="8"/>
  <c r="D1723" i="8"/>
  <c r="D117" i="8"/>
  <c r="D67" i="8"/>
  <c r="D294" i="8"/>
  <c r="D2154" i="8"/>
  <c r="D2601" i="8"/>
  <c r="D401" i="8"/>
  <c r="D2491" i="8"/>
  <c r="D2617" i="8"/>
  <c r="D1019" i="8"/>
  <c r="D307" i="8"/>
  <c r="D109" i="8"/>
  <c r="D1781" i="8"/>
  <c r="D2131" i="8"/>
  <c r="D155" i="8"/>
  <c r="D312" i="8"/>
  <c r="D628" i="8"/>
  <c r="D1933" i="8"/>
  <c r="D57" i="8"/>
  <c r="D306" i="8"/>
  <c r="D317" i="8"/>
  <c r="D2007" i="8"/>
  <c r="D319" i="8"/>
  <c r="D611" i="8"/>
  <c r="D92" i="8"/>
  <c r="D74" i="8"/>
  <c r="D40" i="8"/>
  <c r="D2232" i="8"/>
  <c r="D206" i="8"/>
  <c r="D200" i="8"/>
  <c r="D414" i="8"/>
  <c r="D304" i="8"/>
  <c r="D3008" i="8"/>
  <c r="D2969" i="8"/>
  <c r="D1641" i="8"/>
  <c r="D916" i="8"/>
  <c r="D2591" i="8"/>
  <c r="D334" i="8"/>
  <c r="D2907" i="8"/>
  <c r="D2182" i="8"/>
  <c r="D467" i="8"/>
  <c r="D1539" i="8"/>
  <c r="D634" i="8"/>
  <c r="D1927" i="8"/>
  <c r="D766" i="8"/>
  <c r="D2376" i="8"/>
  <c r="D1961" i="8"/>
  <c r="D2724" i="8"/>
  <c r="D654" i="8"/>
  <c r="D288" i="8"/>
  <c r="D1206" i="8"/>
  <c r="D2437" i="8"/>
  <c r="D2920" i="8"/>
  <c r="D1795" i="8"/>
  <c r="D453" i="8"/>
  <c r="D2218" i="8"/>
  <c r="D410" i="8"/>
  <c r="D354" i="8"/>
  <c r="D1101" i="8"/>
  <c r="D693" i="8"/>
  <c r="D2963" i="8"/>
  <c r="D579" i="8"/>
  <c r="D416" i="8"/>
  <c r="D805" i="8"/>
  <c r="D972" i="8"/>
  <c r="D396" i="8"/>
  <c r="D2972" i="8"/>
  <c r="D2781" i="8"/>
  <c r="D365" i="8"/>
  <c r="D72" i="8"/>
  <c r="D988" i="8"/>
  <c r="D2163" i="8"/>
  <c r="D114" i="8"/>
  <c r="D638" i="8"/>
  <c r="D192" i="8"/>
  <c r="D234" i="8"/>
  <c r="D898" i="8"/>
  <c r="D374" i="8"/>
  <c r="D2454" i="8"/>
  <c r="D1473" i="8"/>
  <c r="D163" i="8"/>
  <c r="D2715" i="8"/>
  <c r="D1550" i="8"/>
  <c r="D2787" i="8"/>
  <c r="D87" i="8"/>
  <c r="D942" i="8"/>
  <c r="D626" i="8"/>
  <c r="D487" i="8"/>
  <c r="D880" i="8"/>
  <c r="D2726" i="8"/>
  <c r="D387" i="8"/>
  <c r="D2003" i="8"/>
  <c r="D569" i="8"/>
  <c r="D76" i="8"/>
  <c r="D2169" i="8"/>
  <c r="D759" i="8"/>
  <c r="D295" i="8"/>
  <c r="D2727" i="8"/>
  <c r="D2004" i="8"/>
  <c r="D171" i="8"/>
  <c r="D413" i="8"/>
  <c r="D2090" i="8"/>
  <c r="D112" i="8"/>
  <c r="D1252" i="8"/>
  <c r="D681" i="8"/>
  <c r="D399" i="8"/>
  <c r="D2168" i="8"/>
  <c r="D1530" i="8"/>
  <c r="D2585" i="8"/>
  <c r="D1837" i="8"/>
  <c r="D3084" i="8"/>
  <c r="D314" i="8"/>
  <c r="D409" i="8"/>
  <c r="D1125" i="8"/>
  <c r="D1043" i="8"/>
  <c r="D1421" i="8"/>
  <c r="D2042" i="8"/>
  <c r="D1503" i="8"/>
  <c r="D2490" i="8"/>
  <c r="D2448" i="8"/>
  <c r="D1438" i="8"/>
  <c r="D418" i="8"/>
  <c r="D2470" i="8"/>
  <c r="D915" i="8"/>
  <c r="D1864" i="8"/>
  <c r="D1012" i="8"/>
  <c r="D493" i="8"/>
  <c r="D1039" i="8"/>
  <c r="D1755" i="8"/>
  <c r="D753" i="8"/>
  <c r="D420" i="8"/>
  <c r="D1981" i="8"/>
  <c r="D948" i="8"/>
  <c r="D2762" i="8"/>
  <c r="D97" i="8"/>
  <c r="D1072" i="8"/>
  <c r="D680" i="8"/>
  <c r="D3090" i="8"/>
  <c r="D874" i="8"/>
  <c r="D2955" i="8"/>
  <c r="D437" i="8"/>
  <c r="D1551" i="8"/>
  <c r="D2292" i="8"/>
  <c r="D511" i="8"/>
  <c r="D224" i="8"/>
  <c r="D1318" i="8"/>
  <c r="D558" i="8"/>
  <c r="D144" i="8"/>
  <c r="D445" i="8"/>
  <c r="D2357" i="8"/>
  <c r="D825" i="8"/>
  <c r="D455" i="8"/>
  <c r="D282" i="8"/>
  <c r="D784" i="8"/>
  <c r="D2858" i="8"/>
  <c r="D1651" i="8"/>
  <c r="D711" i="8"/>
  <c r="D454" i="8"/>
  <c r="D248" i="8"/>
  <c r="D440" i="8"/>
  <c r="D2215" i="8"/>
  <c r="D1468" i="8"/>
  <c r="D1299" i="8"/>
  <c r="D2602" i="8"/>
  <c r="D1233" i="8"/>
  <c r="D621" i="8"/>
  <c r="D204" i="8"/>
  <c r="D168" i="8"/>
  <c r="D1143" i="8"/>
  <c r="D2570" i="8"/>
  <c r="D731" i="8"/>
  <c r="D11" i="8"/>
  <c r="D272" i="8"/>
  <c r="D2757" i="8"/>
  <c r="D1028" i="8"/>
  <c r="D940" i="8"/>
  <c r="D1457" i="8"/>
  <c r="D251" i="8"/>
  <c r="D1911" i="8"/>
  <c r="D924" i="8"/>
  <c r="D1968" i="8"/>
  <c r="D190" i="8"/>
  <c r="D130" i="8"/>
  <c r="D1496" i="8"/>
  <c r="D432" i="8"/>
  <c r="D507" i="8"/>
  <c r="D662" i="8"/>
  <c r="D2651" i="8"/>
  <c r="D3" i="8"/>
  <c r="D370" i="8"/>
  <c r="D41" i="8"/>
  <c r="D553" i="8"/>
  <c r="D2959" i="8"/>
  <c r="D687" i="8"/>
  <c r="D1975" i="8"/>
  <c r="D1916" i="8"/>
  <c r="D2098" i="8"/>
  <c r="D2765" i="8"/>
  <c r="D2274" i="8"/>
  <c r="D839" i="8"/>
  <c r="D978" i="8"/>
  <c r="D2022" i="8"/>
  <c r="D1124" i="8"/>
  <c r="D500" i="8"/>
  <c r="D265" i="8"/>
  <c r="D2225" i="8"/>
  <c r="D283" i="8"/>
  <c r="D2729" i="8"/>
  <c r="D883" i="8"/>
  <c r="D716" i="8"/>
  <c r="D963" i="8"/>
  <c r="D1834" i="8"/>
  <c r="D1058" i="8"/>
  <c r="D431" i="8"/>
  <c r="D2242" i="8"/>
  <c r="D2551" i="8"/>
  <c r="D1437" i="8"/>
  <c r="D2527" i="8"/>
  <c r="D1065" i="8"/>
  <c r="D876" i="8"/>
  <c r="D1108" i="8"/>
  <c r="D2240" i="8"/>
  <c r="D920" i="8"/>
  <c r="D2875" i="8"/>
  <c r="D1811" i="8"/>
  <c r="D790" i="8"/>
  <c r="D1572" i="8"/>
  <c r="D221" i="8"/>
  <c r="D311" i="8"/>
  <c r="D423" i="8"/>
  <c r="D2067" i="8"/>
  <c r="D494" i="8"/>
  <c r="D2475" i="8"/>
  <c r="D107" i="8"/>
  <c r="D564" i="8"/>
  <c r="D910" i="8"/>
  <c r="D489" i="8"/>
  <c r="D1103" i="8"/>
  <c r="D2755" i="8"/>
  <c r="D2834" i="8"/>
  <c r="D1475" i="8"/>
  <c r="D313" i="8"/>
  <c r="D518" i="8"/>
  <c r="D2584" i="8"/>
  <c r="D777" i="8"/>
  <c r="D953" i="8"/>
  <c r="D1095" i="8"/>
  <c r="D813" i="8"/>
  <c r="D977" i="8"/>
  <c r="D1079" i="8"/>
  <c r="D2308" i="8"/>
  <c r="D1372" i="8"/>
  <c r="D747" i="8"/>
  <c r="D71" i="8"/>
  <c r="D1494" i="8"/>
  <c r="D1920" i="8"/>
  <c r="D129" i="8"/>
  <c r="D3010" i="8"/>
  <c r="D439" i="8"/>
  <c r="D121" i="8"/>
  <c r="D529" i="8"/>
  <c r="D979" i="8"/>
  <c r="D133" i="8"/>
  <c r="D407" i="8"/>
  <c r="D1364" i="8"/>
  <c r="D253" i="8"/>
  <c r="D477" i="8"/>
  <c r="D817" i="8"/>
  <c r="D661" i="8"/>
  <c r="D2874" i="8"/>
  <c r="D293" i="8"/>
  <c r="D379" i="8"/>
  <c r="D75" i="8"/>
  <c r="D707" i="8"/>
  <c r="D169" i="8"/>
  <c r="D355" i="8"/>
  <c r="D1540" i="8"/>
  <c r="D1824" i="8"/>
  <c r="D303" i="8"/>
  <c r="D2185" i="8"/>
  <c r="D2393" i="8"/>
  <c r="D26" i="8"/>
  <c r="D2000" i="8"/>
  <c r="D1096" i="8"/>
  <c r="D512" i="8"/>
  <c r="D1006" i="8"/>
  <c r="D384" i="8"/>
  <c r="D820" i="8"/>
  <c r="D1742" i="8"/>
  <c r="D3073" i="8"/>
  <c r="D82" i="8"/>
  <c r="D745" i="8"/>
  <c r="D2588" i="8"/>
  <c r="D1689" i="8"/>
  <c r="D1622" i="8"/>
  <c r="D1520" i="8"/>
  <c r="D466" i="8"/>
  <c r="D1612" i="8"/>
  <c r="D520" i="8"/>
  <c r="D246" i="8"/>
  <c r="D789" i="8"/>
  <c r="D2694" i="8"/>
  <c r="D305" i="8"/>
  <c r="D2830" i="8"/>
  <c r="D1902" i="8"/>
  <c r="D188" i="8"/>
  <c r="D1649" i="8"/>
  <c r="D89" i="8"/>
  <c r="D964" i="8"/>
  <c r="D2356" i="8"/>
  <c r="D1428" i="8"/>
  <c r="D1048" i="8"/>
  <c r="D2247" i="8"/>
  <c r="D1974" i="8"/>
  <c r="D1721" i="8"/>
  <c r="D2663" i="8"/>
  <c r="D1326" i="8"/>
  <c r="D2807" i="8"/>
  <c r="D411" i="8"/>
  <c r="D1001" i="8"/>
  <c r="D154" i="8"/>
  <c r="D562" i="8"/>
  <c r="D552" i="8"/>
  <c r="D1785" i="8"/>
  <c r="D65" i="8"/>
  <c r="D2674" i="8"/>
  <c r="D1417" i="8"/>
  <c r="D1098" i="8"/>
  <c r="D556" i="8"/>
  <c r="D1814" i="8"/>
  <c r="D816" i="8"/>
  <c r="D1598" i="8"/>
  <c r="D468" i="8"/>
  <c r="D383" i="8"/>
  <c r="D632" i="8"/>
  <c r="D138" i="8"/>
  <c r="D185" i="8"/>
  <c r="D484" i="8"/>
  <c r="D635" i="8"/>
  <c r="D1964" i="8"/>
  <c r="D162" i="8"/>
  <c r="D175" i="8"/>
  <c r="D471" i="8"/>
  <c r="D33" i="8"/>
  <c r="D34" i="8"/>
  <c r="D182" i="8"/>
  <c r="D1584" i="8"/>
  <c r="D1115" i="8"/>
  <c r="D3033" i="8"/>
  <c r="D237" i="8"/>
  <c r="D2378" i="8"/>
  <c r="D392" i="8"/>
  <c r="D2770" i="8"/>
  <c r="D1866" i="8"/>
  <c r="D1017" i="8"/>
  <c r="D352" i="8"/>
  <c r="D718" i="8"/>
  <c r="D2654" i="8"/>
  <c r="D861" i="8"/>
  <c r="D2467" i="8"/>
  <c r="D1894" i="8"/>
  <c r="D6" i="8"/>
  <c r="D659" i="8"/>
  <c r="D81" i="8"/>
  <c r="D2024" i="8"/>
  <c r="D737" i="8"/>
  <c r="D1621" i="8"/>
  <c r="D2927" i="8"/>
  <c r="D278" i="8"/>
  <c r="D1361" i="8"/>
  <c r="D60" i="8"/>
  <c r="D865" i="8"/>
  <c r="D608" i="8"/>
  <c r="D670" i="8"/>
  <c r="D1376" i="8"/>
  <c r="D1037" i="8"/>
  <c r="D229" i="8"/>
  <c r="D1286" i="8"/>
  <c r="D3036" i="8"/>
  <c r="D1708" i="8"/>
  <c r="D677" i="8"/>
  <c r="D1802" i="8"/>
  <c r="D184" i="8"/>
  <c r="D557" i="8"/>
  <c r="D912" i="8"/>
  <c r="D2885" i="8"/>
  <c r="D332" i="8"/>
  <c r="D2956" i="8"/>
  <c r="D1234" i="8"/>
  <c r="D159" i="8"/>
  <c r="D1024" i="8"/>
  <c r="D1626" i="8"/>
  <c r="D934" i="8"/>
  <c r="D1823" i="8"/>
  <c r="D2353" i="8"/>
  <c r="D189" i="8"/>
  <c r="D1601" i="8"/>
  <c r="D345" i="8"/>
  <c r="D954" i="8"/>
  <c r="D2474" i="8"/>
  <c r="D408" i="8"/>
  <c r="D908" i="8"/>
  <c r="D699" i="8"/>
  <c r="D700" i="8"/>
  <c r="D1631" i="8"/>
  <c r="D702" i="8"/>
  <c r="D124" i="8"/>
  <c r="D1191" i="8"/>
  <c r="D2575" i="8"/>
  <c r="D2164" i="8"/>
  <c r="D947" i="8"/>
  <c r="D918" i="8"/>
  <c r="D2836" i="8"/>
  <c r="D1362" i="8"/>
  <c r="D2174" i="8"/>
  <c r="D1241" i="8"/>
  <c r="D1015" i="8"/>
  <c r="D714" i="8"/>
  <c r="D398" i="8"/>
  <c r="D480" i="8"/>
  <c r="D2587" i="8"/>
  <c r="D2759" i="8"/>
  <c r="D719" i="8"/>
  <c r="D720" i="8"/>
  <c r="D412" i="8"/>
  <c r="D997" i="8"/>
  <c r="D723" i="8"/>
  <c r="D2404" i="8"/>
  <c r="D2535" i="8"/>
  <c r="D726" i="8"/>
  <c r="D673" i="8"/>
  <c r="D1792" i="8"/>
  <c r="D729" i="8"/>
  <c r="D66" i="8"/>
  <c r="D603" i="8"/>
  <c r="D256" i="8"/>
  <c r="D733" i="8"/>
  <c r="D588" i="8"/>
  <c r="D1487" i="8"/>
  <c r="D29" i="8"/>
  <c r="D1762" i="8"/>
  <c r="D738" i="8"/>
  <c r="D1589" i="8"/>
  <c r="D199" i="8"/>
  <c r="D679" i="8"/>
  <c r="D179" i="8"/>
  <c r="D743" i="8"/>
  <c r="D238" i="8"/>
  <c r="D1497" i="8"/>
  <c r="D2989" i="8"/>
  <c r="D476" i="8"/>
  <c r="D111" i="8"/>
  <c r="D1057" i="8"/>
  <c r="D750" i="8"/>
  <c r="D751" i="8"/>
  <c r="D446" i="8"/>
  <c r="D690" i="8"/>
  <c r="D110" i="8"/>
  <c r="D177" i="8"/>
  <c r="D22" i="8"/>
  <c r="D757" i="8"/>
  <c r="D232" i="8"/>
  <c r="D870" i="8"/>
  <c r="D435" i="8"/>
  <c r="D178" i="8"/>
  <c r="D310" i="8"/>
  <c r="D945" i="8"/>
  <c r="D971" i="8"/>
  <c r="D765" i="8"/>
  <c r="D2267" i="8"/>
  <c r="D193" i="8"/>
  <c r="D62" i="8"/>
  <c r="D2197" i="8"/>
  <c r="D782" i="8"/>
  <c r="D2080" i="8"/>
  <c r="D525" i="8"/>
  <c r="D1843" i="8"/>
  <c r="D2046" i="8"/>
  <c r="D326" i="8"/>
  <c r="D2947" i="8"/>
  <c r="D2511" i="8"/>
  <c r="D778" i="8"/>
  <c r="D330" i="8"/>
  <c r="D1508" i="8"/>
  <c r="D2401" i="8"/>
  <c r="D2711" i="8"/>
  <c r="D570" i="8"/>
  <c r="D1733" i="8"/>
  <c r="D785" i="8"/>
  <c r="D2124" i="8"/>
  <c r="D1913" i="8"/>
  <c r="D797" i="8"/>
  <c r="D652" i="8"/>
  <c r="D582" i="8"/>
  <c r="D791" i="8"/>
  <c r="D792" i="8"/>
  <c r="D1365" i="8"/>
  <c r="D591" i="8"/>
  <c r="D795" i="8"/>
  <c r="D932" i="8"/>
  <c r="D2290" i="8"/>
  <c r="D308" i="8"/>
  <c r="D143" i="8"/>
  <c r="D800" i="8"/>
  <c r="D801" i="8"/>
  <c r="D802" i="8"/>
  <c r="D1877" i="8"/>
  <c r="D2790" i="8"/>
  <c r="D1516" i="8"/>
  <c r="D806" i="8"/>
  <c r="D2971" i="8"/>
  <c r="D808" i="8"/>
  <c r="D2314" i="8"/>
  <c r="D810" i="8"/>
  <c r="D1000" i="8"/>
  <c r="D3023" i="8"/>
  <c r="D2748" i="8"/>
  <c r="D2016" i="8"/>
  <c r="D328" i="8"/>
  <c r="D196" i="8"/>
  <c r="D526" i="8"/>
  <c r="D2208" i="8"/>
  <c r="D2700" i="8"/>
  <c r="D667" i="8"/>
  <c r="D205" i="8"/>
  <c r="D2983" i="8"/>
  <c r="D823" i="8"/>
  <c r="D824" i="8"/>
  <c r="D1917" i="8"/>
  <c r="D1084" i="8"/>
  <c r="D827" i="8"/>
  <c r="D1921" i="8"/>
  <c r="D829" i="8"/>
  <c r="D462" i="8"/>
  <c r="D831" i="8"/>
  <c r="D2810" i="8"/>
  <c r="D1287" i="8"/>
  <c r="D1007" i="8"/>
  <c r="D1882" i="8"/>
  <c r="D836" i="8"/>
  <c r="D457" i="8"/>
  <c r="D838" i="8"/>
  <c r="D2118" i="8"/>
  <c r="D2923" i="8"/>
  <c r="D841" i="8"/>
  <c r="D996" i="8"/>
  <c r="D449" i="8"/>
  <c r="D497" i="8"/>
  <c r="D845" i="8"/>
  <c r="D235" i="8"/>
  <c r="D847" i="8"/>
  <c r="D1624" i="8"/>
  <c r="D1707" i="8"/>
  <c r="D348" i="8"/>
  <c r="D1353" i="8"/>
  <c r="D1139" i="8"/>
  <c r="D853" i="8"/>
  <c r="D208" i="8"/>
  <c r="D301" i="8"/>
  <c r="D2426" i="8"/>
  <c r="D857" i="8"/>
  <c r="D1112" i="8"/>
  <c r="D2627" i="8"/>
  <c r="D956" i="8"/>
  <c r="D164" i="8"/>
  <c r="D1016" i="8"/>
  <c r="D732" i="8"/>
  <c r="D1407" i="8"/>
  <c r="D937" i="8"/>
  <c r="D2096" i="8"/>
  <c r="D371" i="8"/>
  <c r="D868" i="8"/>
  <c r="D2360" i="8"/>
  <c r="D902" i="8"/>
  <c r="D245" i="8"/>
  <c r="D3032" i="8"/>
  <c r="D227" i="8"/>
  <c r="D592" i="8"/>
  <c r="D548" i="8"/>
  <c r="D167" i="8"/>
  <c r="D1269" i="8"/>
  <c r="D2844" i="8"/>
  <c r="D2510" i="8"/>
  <c r="D1702" i="8"/>
  <c r="D1002" i="8"/>
  <c r="D2840" i="8"/>
  <c r="D2318" i="8"/>
  <c r="D602" i="8"/>
  <c r="D2054" i="8"/>
  <c r="D225" i="8"/>
  <c r="D887" i="8"/>
  <c r="D2905" i="8"/>
  <c r="D1141" i="8"/>
  <c r="D722" i="8"/>
  <c r="D704" i="8"/>
  <c r="D37" i="8"/>
  <c r="D2079" i="8"/>
  <c r="D1760" i="8"/>
  <c r="D451" i="8"/>
  <c r="D896" i="8"/>
  <c r="D3016" i="8"/>
  <c r="D2301" i="8"/>
  <c r="D1868" i="8"/>
  <c r="D2195" i="8"/>
  <c r="D901" i="8"/>
  <c r="D2372" i="8"/>
  <c r="D903" i="8"/>
  <c r="D852" i="8"/>
  <c r="D905" i="8"/>
  <c r="D830" i="8"/>
  <c r="D2486" i="8"/>
  <c r="D983" i="8"/>
  <c r="D909" i="8"/>
  <c r="D721" i="8"/>
  <c r="D216" i="8"/>
  <c r="D2207" i="8"/>
  <c r="D913" i="8"/>
  <c r="D629" i="8"/>
  <c r="D560" i="8"/>
  <c r="D532" i="8"/>
  <c r="D534" i="8"/>
  <c r="D2981" i="8"/>
  <c r="D660" i="8"/>
  <c r="D1839" i="8"/>
  <c r="D1127" i="8"/>
  <c r="D389" i="8"/>
  <c r="D1821" i="8"/>
  <c r="D3055" i="8"/>
  <c r="D2410" i="8"/>
  <c r="D498" i="8"/>
  <c r="D927" i="8"/>
  <c r="D1471" i="8"/>
  <c r="D2405" i="8"/>
  <c r="D461" i="8"/>
  <c r="D3034" i="8"/>
  <c r="D241" i="8"/>
  <c r="D1107" i="8"/>
  <c r="D917" i="8"/>
  <c r="D655" i="8"/>
  <c r="D2180" i="8"/>
  <c r="D1613" i="8"/>
  <c r="D258" i="8"/>
  <c r="D1105" i="8"/>
  <c r="D2349" i="8"/>
  <c r="D2147" i="8"/>
  <c r="D656" i="8"/>
  <c r="D2559" i="8"/>
  <c r="D469" i="8"/>
  <c r="D730" i="8"/>
  <c r="D2394" i="8"/>
  <c r="D351" i="8"/>
  <c r="D598" i="8"/>
  <c r="D2043" i="8"/>
  <c r="D263" i="8"/>
  <c r="D45" i="8"/>
  <c r="D1111" i="8"/>
  <c r="D336" i="8"/>
  <c r="D281" i="8"/>
  <c r="D955" i="8"/>
  <c r="D854" i="8"/>
  <c r="D522" i="8"/>
  <c r="D2452" i="8"/>
  <c r="D834" i="8"/>
  <c r="D309" i="8"/>
  <c r="D2280" i="8"/>
  <c r="D2595" i="8"/>
  <c r="D1998" i="8"/>
  <c r="D991" i="8"/>
  <c r="D2986" i="8"/>
  <c r="D980" i="8"/>
  <c r="D2496" i="8"/>
  <c r="D1718" i="8"/>
  <c r="D969" i="8"/>
  <c r="D2231" i="8"/>
  <c r="D2855" i="8"/>
  <c r="D120" i="8"/>
  <c r="D1088" i="8"/>
  <c r="D1797" i="8"/>
  <c r="D612" i="8"/>
  <c r="D1700" i="8"/>
  <c r="D2422" i="8"/>
  <c r="D2421" i="8"/>
  <c r="D589" i="8"/>
  <c r="D2495" i="8"/>
  <c r="D292" i="8"/>
  <c r="D1654" i="8"/>
  <c r="D2984" i="8"/>
  <c r="D1281" i="8"/>
  <c r="D1679" i="8"/>
  <c r="D986" i="8"/>
  <c r="D929" i="8"/>
  <c r="D928" i="8"/>
  <c r="D2127" i="8"/>
  <c r="D2581" i="8"/>
  <c r="D1852" i="8"/>
  <c r="D2758" i="8"/>
  <c r="D425" i="8"/>
  <c r="D2481" i="8"/>
  <c r="D989" i="8"/>
  <c r="D998" i="8"/>
  <c r="D403" i="8"/>
  <c r="D1525" i="8"/>
  <c r="D1093" i="8"/>
  <c r="D2166" i="8"/>
  <c r="D2006" i="8"/>
  <c r="D1427" i="8"/>
  <c r="D528" i="8"/>
  <c r="D1426" i="8"/>
  <c r="D1726" i="8"/>
  <c r="D943" i="8"/>
  <c r="D1698" i="8"/>
  <c r="D3049" i="8"/>
  <c r="D866" i="8"/>
  <c r="D2146" i="8"/>
  <c r="D1253" i="8"/>
  <c r="D890" i="8"/>
  <c r="D2358" i="8"/>
  <c r="D1310" i="8"/>
  <c r="D1893" i="8"/>
  <c r="D239" i="8"/>
  <c r="D828" i="8"/>
  <c r="D949" i="8"/>
  <c r="D2756" i="8"/>
  <c r="D2670" i="8"/>
  <c r="D2540" i="8"/>
  <c r="D2295" i="8"/>
  <c r="D243" i="8"/>
  <c r="D580" i="8"/>
  <c r="D166" i="8"/>
  <c r="D1026" i="8"/>
  <c r="D1027" i="8"/>
  <c r="D1635" i="8"/>
  <c r="D818" i="8"/>
  <c r="D2029" i="8"/>
  <c r="D331" i="8"/>
  <c r="D1929" i="8"/>
  <c r="D181" i="8"/>
  <c r="D2563" i="8"/>
  <c r="D2897" i="8"/>
  <c r="D1036" i="8"/>
  <c r="D1381" i="8"/>
  <c r="D2676" i="8"/>
  <c r="D620" i="8"/>
  <c r="D3053" i="8"/>
  <c r="D619" i="8"/>
  <c r="D2049" i="8"/>
  <c r="D390" i="8"/>
  <c r="D1858" i="8"/>
  <c r="D438" i="8"/>
  <c r="D2539" i="8"/>
  <c r="D1047" i="8"/>
  <c r="D577" i="8"/>
  <c r="D546" i="8"/>
  <c r="D222" i="8"/>
  <c r="D1731" i="8"/>
  <c r="D931" i="8"/>
  <c r="D2638" i="8"/>
  <c r="D213" i="8"/>
  <c r="D1055" i="8"/>
  <c r="D2352" i="8"/>
  <c r="D1439" i="8"/>
  <c r="D368" i="8"/>
  <c r="D590" i="8"/>
  <c r="D1441" i="8"/>
  <c r="D315" i="8"/>
  <c r="D1784" i="8"/>
  <c r="D360" i="8"/>
  <c r="D1333" i="8"/>
  <c r="D1528" i="8"/>
  <c r="D1885" i="8"/>
  <c r="D7" i="8"/>
  <c r="D244" i="8"/>
  <c r="D300" i="8"/>
  <c r="D1577" i="8"/>
  <c r="D417" i="8"/>
  <c r="D1395" i="8"/>
  <c r="D2115" i="8"/>
  <c r="D1117" i="8"/>
  <c r="D134" i="8"/>
  <c r="D1076" i="8"/>
  <c r="D735" i="8"/>
  <c r="D1078" i="8"/>
  <c r="D666" i="8"/>
  <c r="D503" i="8"/>
  <c r="D441" i="8"/>
  <c r="D1025" i="8"/>
  <c r="D2716" i="8"/>
  <c r="D1347" i="8"/>
  <c r="D1029" i="8"/>
  <c r="D2150" i="8"/>
  <c r="D1915" i="8"/>
  <c r="D378" i="8"/>
  <c r="D703" i="8"/>
  <c r="D1104" i="8"/>
  <c r="D1091" i="8"/>
  <c r="D837" i="8"/>
  <c r="D1854" i="8"/>
  <c r="D2721" i="8"/>
  <c r="D240" i="8"/>
  <c r="D2672" i="8"/>
  <c r="D1097" i="8"/>
  <c r="D1640" i="8"/>
  <c r="D1099" i="8"/>
  <c r="D3087" i="8"/>
  <c r="D599" i="8"/>
  <c r="D376" i="8"/>
  <c r="D993" i="8"/>
  <c r="D460" i="8"/>
  <c r="D900" i="8"/>
  <c r="D473" i="8"/>
  <c r="D744" i="8"/>
  <c r="D1237" i="8"/>
  <c r="D1939" i="8"/>
  <c r="D803" i="8"/>
  <c r="D646" i="8"/>
  <c r="D266" i="8"/>
  <c r="D356" i="8"/>
  <c r="D2996" i="8"/>
  <c r="D1782" i="8"/>
  <c r="D268" i="8"/>
  <c r="D2458" i="8"/>
  <c r="D2355" i="8"/>
  <c r="D1552" i="8"/>
  <c r="D2019" i="8"/>
  <c r="D1242" i="8"/>
  <c r="D1122" i="8"/>
  <c r="D2328" i="8"/>
  <c r="D533" i="8"/>
  <c r="D544" i="8"/>
  <c r="D2642" i="8"/>
  <c r="D1783" i="8"/>
  <c r="D424" i="8"/>
  <c r="D686" i="8"/>
  <c r="D2822" i="8"/>
  <c r="D1131" i="8"/>
  <c r="D32" i="8"/>
  <c r="D1650" i="8"/>
  <c r="D1120" i="8"/>
  <c r="D617" i="8"/>
  <c r="D340" i="8"/>
  <c r="D1137" i="8"/>
  <c r="D1436" i="8"/>
  <c r="D1542" i="8"/>
  <c r="D262" i="8"/>
  <c r="D1534" i="8"/>
  <c r="D195" i="8"/>
  <c r="D1052" i="8"/>
  <c r="D2119" i="8"/>
  <c r="D1145" i="8"/>
  <c r="D2998" i="8"/>
  <c r="D1573" i="8"/>
  <c r="D2279" i="8"/>
  <c r="D936" i="8"/>
  <c r="D1150" i="8"/>
  <c r="D2753" i="8"/>
  <c r="D783" i="8"/>
  <c r="D284" i="8"/>
  <c r="D2340" i="8"/>
  <c r="D769" i="8"/>
  <c r="D1265" i="8"/>
  <c r="D1157" i="8"/>
  <c r="D1158" i="8"/>
  <c r="D688" i="8"/>
  <c r="D788" i="8"/>
  <c r="D2734" i="8"/>
  <c r="D1080" i="8"/>
  <c r="D230" i="8"/>
  <c r="D3081" i="8"/>
  <c r="D2027" i="8"/>
  <c r="D1166" i="8"/>
  <c r="D772" i="8"/>
  <c r="D146" i="8"/>
  <c r="D1637" i="8"/>
  <c r="D1054" i="8"/>
  <c r="D3052" i="8"/>
  <c r="D1358" i="8"/>
  <c r="D231" i="8"/>
  <c r="D1174" i="8"/>
  <c r="D349" i="8"/>
  <c r="D2776" i="8"/>
  <c r="D1791" i="8"/>
  <c r="D1178" i="8"/>
  <c r="D1561" i="8"/>
  <c r="D516" i="8"/>
  <c r="D624" i="8"/>
  <c r="D1738" i="8"/>
  <c r="D1865" i="8"/>
  <c r="D535" i="8"/>
  <c r="D2633" i="8"/>
  <c r="D1710" i="8"/>
  <c r="D1459" i="8"/>
  <c r="D2304" i="8"/>
  <c r="D1189" i="8"/>
  <c r="D2245" i="8"/>
  <c r="D482" i="8"/>
  <c r="D433" i="8"/>
  <c r="D1432" i="8"/>
  <c r="D705" i="8"/>
  <c r="D563" i="8"/>
  <c r="D2775" i="8"/>
  <c r="D524" i="8"/>
  <c r="D270" i="8"/>
  <c r="D3042" i="8"/>
  <c r="D1393" i="8"/>
  <c r="D2531" i="8"/>
  <c r="D701" i="8"/>
  <c r="D1203" i="8"/>
  <c r="D223" i="8"/>
  <c r="D2461" i="8"/>
  <c r="D2779" i="8"/>
  <c r="D1207" i="8"/>
  <c r="D395" i="8"/>
  <c r="D1209" i="8"/>
  <c r="D2803" i="8"/>
  <c r="D1211" i="8"/>
  <c r="D4" i="8"/>
  <c r="D444" i="8"/>
  <c r="D604" i="8"/>
  <c r="D2300" i="8"/>
  <c r="D273" i="8"/>
  <c r="D2403" i="8"/>
  <c r="D1119" i="8"/>
  <c r="D1320" i="8"/>
  <c r="D2116" i="8"/>
  <c r="D1221" i="8"/>
  <c r="D2795" i="8"/>
  <c r="D2123" i="8"/>
  <c r="D1224" i="8"/>
  <c r="D1557" i="8"/>
  <c r="D623" i="8"/>
  <c r="D2262" i="8"/>
  <c r="D394" i="8"/>
  <c r="D1763" i="8"/>
  <c r="D1692" i="8"/>
  <c r="D510" i="8"/>
  <c r="D1232" i="8"/>
  <c r="D1215" i="8"/>
  <c r="D335" i="8"/>
  <c r="D1194" i="8"/>
  <c r="D228" i="8"/>
  <c r="D430" i="8"/>
  <c r="D391" i="8"/>
  <c r="D2322" i="8"/>
  <c r="D320" i="8"/>
  <c r="D675" i="8"/>
  <c r="D1695" i="8"/>
  <c r="D1243" i="8"/>
  <c r="D567" i="8"/>
  <c r="D1245" i="8"/>
  <c r="D2528" i="8"/>
  <c r="D637" i="8"/>
  <c r="D485" i="8"/>
  <c r="D1433" i="8"/>
  <c r="D754" i="8"/>
  <c r="D640" i="8"/>
  <c r="D2058" i="8"/>
  <c r="D1363" i="8"/>
  <c r="D799" i="8"/>
  <c r="D1219" i="8"/>
  <c r="D3001" i="8"/>
  <c r="D508" i="8"/>
  <c r="D2789" i="8"/>
  <c r="D904" i="8"/>
  <c r="D717" i="8"/>
  <c r="D1419" i="8"/>
  <c r="D1172" i="8"/>
  <c r="D1928" i="8"/>
  <c r="D2679" i="8"/>
  <c r="D3005" i="8"/>
  <c r="D1160" i="8"/>
  <c r="D1069" i="8"/>
  <c r="D1732" i="8"/>
  <c r="D55" i="8"/>
  <c r="D653" i="8"/>
  <c r="D2862" i="8"/>
  <c r="D1272" i="8"/>
  <c r="D734" i="8"/>
  <c r="D2800" i="8"/>
  <c r="D1829" i="8"/>
  <c r="D1276" i="8"/>
  <c r="D2017" i="8"/>
  <c r="D2310" i="8"/>
  <c r="D1820" i="8"/>
  <c r="D1355" i="8"/>
  <c r="D1815" i="8"/>
  <c r="D614" i="8"/>
  <c r="D1283" i="8"/>
  <c r="D1284" i="8"/>
  <c r="D1285" i="8"/>
  <c r="D2408" i="8"/>
  <c r="D1848" i="8"/>
  <c r="D302" i="8"/>
  <c r="D2925" i="8"/>
  <c r="D1290" i="8"/>
  <c r="D1863" i="8"/>
  <c r="D2424" i="8"/>
  <c r="D2890" i="8"/>
  <c r="D126" i="8"/>
  <c r="D338" i="8"/>
  <c r="D1451" i="8"/>
  <c r="D1750" i="8"/>
  <c r="D1298" i="8"/>
  <c r="D1531" i="8"/>
  <c r="D2387" i="8"/>
  <c r="D1966" i="8"/>
  <c r="D1558" i="8"/>
  <c r="D663" i="8"/>
  <c r="D3046" i="8"/>
  <c r="D450" i="8"/>
  <c r="D1368" i="8"/>
  <c r="D2626" i="8"/>
  <c r="D1308" i="8"/>
  <c r="D935" i="8"/>
  <c r="D50" i="8"/>
  <c r="D1311" i="8"/>
  <c r="D1536" i="8"/>
  <c r="D2645" i="8"/>
  <c r="D2783" i="8"/>
  <c r="D2860" i="8"/>
  <c r="D657" i="8"/>
  <c r="D1553" i="8"/>
  <c r="D844" i="8"/>
  <c r="D343" i="8"/>
  <c r="D3085" i="8"/>
  <c r="D1410" i="8"/>
  <c r="D1835" i="8"/>
  <c r="D264" i="8"/>
  <c r="D1010" i="8"/>
  <c r="D873" i="8"/>
  <c r="D2952" i="8"/>
  <c r="D517" i="8"/>
  <c r="D885" i="8"/>
  <c r="D1312" i="8"/>
  <c r="D1050" i="8"/>
  <c r="D1610" i="8"/>
  <c r="D554" i="8"/>
  <c r="D1325" i="8"/>
  <c r="D1574" i="8"/>
  <c r="D2829" i="8"/>
  <c r="D2745" i="8"/>
  <c r="D2444" i="8"/>
  <c r="D1908" i="8"/>
  <c r="D706" i="8"/>
  <c r="D2018" i="8"/>
  <c r="D2871" i="8"/>
  <c r="D2282" i="8"/>
  <c r="D1515" i="8"/>
  <c r="D452" i="8"/>
  <c r="D2406" i="8"/>
  <c r="D161" i="8"/>
  <c r="D1851" i="8"/>
  <c r="D1348" i="8"/>
  <c r="D671" i="8"/>
  <c r="D1423" i="8"/>
  <c r="D2395" i="8"/>
  <c r="D1248" i="8"/>
  <c r="D456" i="8"/>
  <c r="D2704" i="8"/>
  <c r="D767" i="8"/>
  <c r="D1659" i="8"/>
  <c r="D1142" i="8"/>
  <c r="D1031" i="8"/>
  <c r="D527" i="8"/>
  <c r="D835" i="8"/>
  <c r="D1941" i="8"/>
  <c r="D2597" i="8"/>
  <c r="D1462" i="8"/>
  <c r="D571" i="8"/>
  <c r="D2843" i="8"/>
  <c r="D2125" i="8"/>
  <c r="D809" i="8"/>
  <c r="D1061" i="8"/>
  <c r="D2051" i="8"/>
  <c r="D1370" i="8"/>
  <c r="D1371" i="8"/>
  <c r="D2139" i="8"/>
  <c r="D1969" i="8"/>
  <c r="D2534" i="8"/>
  <c r="D1294" i="8"/>
  <c r="D5" i="8"/>
  <c r="D291" i="8"/>
  <c r="D742" i="8"/>
  <c r="D1213" i="8"/>
  <c r="D1683" i="8"/>
  <c r="D1375" i="8"/>
  <c r="D2820" i="8"/>
  <c r="D1565" i="8"/>
  <c r="D2644" i="8"/>
  <c r="D877" i="8"/>
  <c r="D780" i="8"/>
  <c r="D1387" i="8"/>
  <c r="D1388" i="8"/>
  <c r="D3021" i="8"/>
  <c r="D475" i="8"/>
  <c r="D2192" i="8"/>
  <c r="D1184" i="8"/>
  <c r="D2568" i="8"/>
  <c r="D2165" i="8"/>
  <c r="D2891" i="8"/>
  <c r="D2237" i="8"/>
  <c r="D2616" i="8"/>
  <c r="D1398" i="8"/>
  <c r="D894" i="8"/>
  <c r="D2181" i="8"/>
  <c r="D2848" i="8"/>
  <c r="D1756" i="8"/>
  <c r="D2465" i="8"/>
  <c r="D2636" i="8"/>
  <c r="D2060" i="8"/>
  <c r="D2186" i="8"/>
  <c r="D593" i="8"/>
  <c r="D1899" i="8"/>
  <c r="D2442" i="8"/>
  <c r="D1226" i="8"/>
  <c r="D1013" i="8"/>
  <c r="D1608" i="8"/>
  <c r="D1413" i="8"/>
  <c r="D1414" i="8"/>
  <c r="D538" i="8"/>
  <c r="D386" i="8"/>
  <c r="D855" i="8"/>
  <c r="D1262" i="8"/>
  <c r="D689" i="8"/>
  <c r="D267" i="8"/>
  <c r="D878" i="8"/>
  <c r="D2784" i="8"/>
  <c r="D1349" i="8"/>
  <c r="D576" i="8"/>
  <c r="D257" i="8"/>
  <c r="D1541" i="8"/>
  <c r="D1576" i="8"/>
  <c r="D2056" i="8"/>
  <c r="D1935" i="8"/>
  <c r="D1332" i="8"/>
  <c r="D2904" i="8"/>
  <c r="D2034" i="8"/>
  <c r="D2523" i="8"/>
  <c r="D1244" i="8"/>
  <c r="D2086" i="8"/>
  <c r="D1812" i="8"/>
  <c r="D1972" i="8"/>
  <c r="D1736" i="8"/>
  <c r="D2137" i="8"/>
  <c r="D597" i="8"/>
  <c r="D145" i="8"/>
  <c r="D346" i="8"/>
  <c r="D1443" i="8"/>
  <c r="D2230" i="8"/>
  <c r="D2821" i="8"/>
  <c r="D1634" i="8"/>
  <c r="D1447" i="8"/>
  <c r="D2761" i="8"/>
  <c r="D2833" i="8"/>
  <c r="D2808" i="8"/>
  <c r="D2982" i="8"/>
  <c r="D1955" i="8"/>
  <c r="D1453" i="8"/>
  <c r="D1813" i="8"/>
  <c r="D2223" i="8"/>
  <c r="D486" i="8"/>
  <c r="D1282" i="8"/>
  <c r="D499" i="8"/>
  <c r="D990" i="8"/>
  <c r="D1730" i="8"/>
  <c r="D2664" i="8"/>
  <c r="D2110" i="8"/>
  <c r="D367" i="8"/>
  <c r="D1722" i="8"/>
  <c r="D923" i="8"/>
  <c r="D1646" i="8"/>
  <c r="D833" i="8"/>
  <c r="D1643" i="8"/>
  <c r="D2935" i="8"/>
  <c r="D1022" i="8"/>
  <c r="D157" i="8"/>
  <c r="D1472" i="8"/>
  <c r="D2918" i="8"/>
  <c r="D594" i="8"/>
  <c r="D506" i="8"/>
  <c r="D1315" i="8"/>
  <c r="D1967" i="8"/>
  <c r="D373" i="8"/>
  <c r="D1053" i="8"/>
  <c r="D1590" i="8"/>
  <c r="D2346" i="8"/>
  <c r="D513" i="8"/>
  <c r="D429" i="8"/>
  <c r="D1495" i="8"/>
  <c r="D869" i="8"/>
  <c r="D333" i="8"/>
  <c r="D1521" i="8"/>
  <c r="D2091" i="8"/>
  <c r="D1681" i="8"/>
  <c r="D1990" i="8"/>
  <c r="D3026" i="8"/>
  <c r="D1492" i="8"/>
  <c r="D1100" i="8"/>
  <c r="D922" i="8"/>
  <c r="D323" i="8"/>
  <c r="D2309" i="8"/>
  <c r="D1422" i="8"/>
  <c r="D741" i="8"/>
  <c r="D1499" i="8"/>
  <c r="D1729" i="8"/>
  <c r="D1501" i="8"/>
  <c r="D3076" i="8"/>
  <c r="D1118" i="8"/>
  <c r="D1806" i="8"/>
  <c r="D2791" i="8"/>
  <c r="D1532" i="8"/>
  <c r="D1448" i="8"/>
  <c r="D2103" i="8"/>
  <c r="D1690" i="8"/>
  <c r="D1831" i="8"/>
  <c r="D1246" i="8"/>
  <c r="D2954" i="8"/>
  <c r="D551" i="8"/>
  <c r="D2254" i="8"/>
  <c r="D353" i="8"/>
  <c r="D1179" i="8"/>
  <c r="D760" i="8"/>
  <c r="D2311" i="8"/>
  <c r="D944" i="8"/>
  <c r="D994" i="8"/>
  <c r="D1881" i="8"/>
  <c r="D286" i="8"/>
  <c r="D2924" i="8"/>
  <c r="D1278" i="8"/>
  <c r="D966" i="8"/>
  <c r="D1595" i="8"/>
  <c r="D886" i="8"/>
  <c r="D347" i="8"/>
  <c r="D2556" i="8"/>
  <c r="D957" i="8"/>
  <c r="D2538" i="8"/>
  <c r="D2620" i="8"/>
  <c r="D648" i="8"/>
  <c r="D973" i="8"/>
  <c r="D811" i="8"/>
  <c r="D965" i="8"/>
  <c r="D1537" i="8"/>
  <c r="D650" i="8"/>
  <c r="D1239" i="8"/>
  <c r="D1938" i="8"/>
  <c r="D3054" i="8"/>
  <c r="D191" i="8"/>
  <c r="D1456" i="8"/>
  <c r="D361" i="8"/>
  <c r="D859" i="8"/>
  <c r="D1030" i="8"/>
  <c r="D2687" i="8"/>
  <c r="D1392" i="8"/>
  <c r="D1196" i="8"/>
  <c r="D3015" i="8"/>
  <c r="D2278" i="8"/>
  <c r="D2650" i="8"/>
  <c r="D1758" i="8"/>
  <c r="D531" i="8"/>
  <c r="D1822" i="8"/>
  <c r="D1556" i="8"/>
  <c r="D2417" i="8"/>
  <c r="D794" i="8"/>
  <c r="D1559" i="8"/>
  <c r="D536" i="8"/>
  <c r="D1418" i="8"/>
  <c r="D1591" i="8"/>
  <c r="D2149" i="8"/>
  <c r="D1790" i="8"/>
  <c r="D1600" i="8"/>
  <c r="D186" i="8"/>
  <c r="D1445" i="8"/>
  <c r="D1344" i="8"/>
  <c r="D426" i="8"/>
  <c r="D1570" i="8"/>
  <c r="D952" i="8"/>
  <c r="D481" i="8"/>
  <c r="D1904" i="8"/>
  <c r="D756" i="8"/>
  <c r="D116" i="8"/>
  <c r="D633" i="8"/>
  <c r="D463" i="8"/>
  <c r="D2269" i="8"/>
  <c r="D984" i="8"/>
  <c r="D1978" i="8"/>
  <c r="D2958" i="8"/>
  <c r="D2105" i="8"/>
  <c r="D842" i="8"/>
  <c r="D2055" i="8"/>
  <c r="D708" i="8"/>
  <c r="D1883" i="8"/>
  <c r="D999" i="8"/>
  <c r="D2669" i="8"/>
  <c r="D103" i="8"/>
  <c r="D2087" i="8"/>
  <c r="D959" i="8"/>
  <c r="D565" i="8"/>
  <c r="D925" i="8"/>
  <c r="D1594" i="8"/>
  <c r="D2777" i="8"/>
  <c r="D641" i="8"/>
  <c r="D1597" i="8"/>
  <c r="D2752" i="8"/>
  <c r="D1506" i="8"/>
  <c r="D2038" i="8"/>
  <c r="D764" i="8"/>
  <c r="D1008" i="8"/>
  <c r="D1484" i="8"/>
  <c r="D325" i="8"/>
  <c r="D2746" i="8"/>
  <c r="D2264" i="8"/>
  <c r="D804" i="8"/>
  <c r="D2589" i="8"/>
  <c r="D2327" i="8"/>
  <c r="D2220" i="8"/>
  <c r="D1611" i="8"/>
  <c r="D2552" i="8"/>
  <c r="D815" i="8"/>
  <c r="D1535" i="8"/>
  <c r="D1671" i="8"/>
  <c r="D1616" i="8"/>
  <c r="D1562" i="8"/>
  <c r="D1818" i="8"/>
  <c r="D2847" i="8"/>
  <c r="D1214" i="8"/>
  <c r="D712" i="8"/>
  <c r="D2234" i="8"/>
  <c r="D600" i="8"/>
  <c r="D141" i="8"/>
  <c r="D1321" i="8"/>
  <c r="D274" i="8"/>
  <c r="D698" i="8"/>
  <c r="D249" i="8"/>
  <c r="D2578" i="8"/>
  <c r="D543" i="8"/>
  <c r="D2065" i="8"/>
  <c r="D2433" i="8"/>
  <c r="D651" i="8"/>
  <c r="D422" i="8"/>
  <c r="D3022" i="8"/>
  <c r="D540" i="8"/>
  <c r="D93" i="8"/>
  <c r="D2500" i="8"/>
  <c r="D2083" i="8"/>
  <c r="D697" i="8"/>
  <c r="D2275" i="8"/>
  <c r="D1639" i="8"/>
  <c r="D2420" i="8"/>
  <c r="D2084" i="8"/>
  <c r="D52" i="8"/>
  <c r="D889" i="8"/>
  <c r="D1647" i="8"/>
  <c r="D2572" i="8"/>
  <c r="D1711" i="8"/>
  <c r="D2167" i="8"/>
  <c r="D1149" i="8"/>
  <c r="D832" i="8"/>
  <c r="D781" i="8"/>
  <c r="D2849" i="8"/>
  <c r="D2488" i="8"/>
  <c r="D2786" i="8"/>
  <c r="D2812" i="8"/>
  <c r="D961" i="8"/>
  <c r="D669" i="8"/>
  <c r="D2435" i="8"/>
  <c r="D2747" i="8"/>
  <c r="D566" i="8"/>
  <c r="D1842" i="8"/>
  <c r="D1945" i="8"/>
  <c r="D1519" i="8"/>
  <c r="D636" i="8"/>
  <c r="D358" i="8"/>
  <c r="D271" i="8"/>
  <c r="D321" i="8"/>
  <c r="D1638" i="8"/>
  <c r="D1334" i="8"/>
  <c r="D862" i="8"/>
  <c r="D1359" i="8"/>
  <c r="D1642" i="8"/>
  <c r="D1603" i="8"/>
  <c r="D1167" i="8"/>
  <c r="D1148" i="8"/>
  <c r="D1678" i="8"/>
  <c r="D727" i="8"/>
  <c r="D926" i="8"/>
  <c r="D2706" i="8"/>
  <c r="D2842" i="8"/>
  <c r="D2512" i="8"/>
  <c r="D2066" i="8"/>
  <c r="D95" i="8"/>
  <c r="D2564" i="8"/>
  <c r="D2854" i="8"/>
  <c r="D895" i="8"/>
  <c r="D1984" i="8"/>
  <c r="D2048" i="8"/>
  <c r="D1691" i="8"/>
  <c r="D1210" i="8"/>
  <c r="D1914" i="8"/>
  <c r="D108" i="8"/>
  <c r="D601" i="8"/>
  <c r="D1377" i="8"/>
  <c r="D2272" i="8"/>
  <c r="D941" i="8"/>
  <c r="D279" i="8"/>
  <c r="D2434" i="8"/>
  <c r="D298" i="8"/>
  <c r="D3065" i="8"/>
  <c r="D2188" i="8"/>
  <c r="D3050" i="8"/>
  <c r="D96" i="8"/>
  <c r="D968" i="8"/>
  <c r="D490" i="8"/>
  <c r="D1569" i="8"/>
  <c r="D1709" i="8"/>
  <c r="D2751" i="8"/>
  <c r="D1406" i="8"/>
  <c r="D2479" i="8"/>
  <c r="D768" i="8"/>
  <c r="D1165" i="8"/>
  <c r="D2409" i="8"/>
  <c r="D1716" i="8"/>
  <c r="D2342" i="8"/>
  <c r="D3043" i="8"/>
  <c r="D893" i="8"/>
  <c r="D1033" i="8"/>
  <c r="D276" i="8"/>
  <c r="D864" i="8"/>
  <c r="D2725" i="8"/>
  <c r="D404" i="8"/>
  <c r="D740" i="8"/>
  <c r="D2449" i="8"/>
  <c r="D672" i="8"/>
  <c r="D504" i="8"/>
  <c r="D1607" i="8"/>
  <c r="D2270" i="8"/>
  <c r="D428" i="8"/>
  <c r="D3074" i="8"/>
  <c r="D1593" i="8"/>
  <c r="D1734" i="8"/>
  <c r="D1567" i="8"/>
  <c r="D840" i="8"/>
  <c r="D849" i="8"/>
  <c r="D775" i="8"/>
  <c r="D2593" i="8"/>
  <c r="D639" i="8"/>
  <c r="D1274" i="8"/>
  <c r="D1345" i="8"/>
  <c r="D1547" i="8"/>
  <c r="D359" i="8"/>
  <c r="D2469" i="8"/>
  <c r="D581" i="8"/>
  <c r="D2772" i="8"/>
  <c r="D1382" i="8"/>
  <c r="D1373" i="8"/>
  <c r="D1627" i="8"/>
  <c r="D3072" i="8"/>
  <c r="D1227" i="8"/>
  <c r="D1666" i="8"/>
  <c r="D2411" i="8"/>
  <c r="D1094" i="8"/>
  <c r="D542" i="8"/>
  <c r="D1757" i="8"/>
  <c r="D419" i="8"/>
  <c r="D342" i="8"/>
  <c r="D1238" i="8"/>
  <c r="D2418" i="8"/>
  <c r="D2583" i="8"/>
  <c r="D2100" i="8"/>
  <c r="D255" i="8"/>
  <c r="D2818" i="8"/>
  <c r="D1766" i="8"/>
  <c r="D2362" i="8"/>
  <c r="D2624" i="8"/>
  <c r="D1841" i="8"/>
  <c r="D1235" i="8"/>
  <c r="D1771" i="8"/>
  <c r="D1136" i="8"/>
  <c r="D1775" i="8"/>
  <c r="D1465" i="8"/>
  <c r="D1045" i="8"/>
  <c r="D448" i="8"/>
  <c r="D863" i="8"/>
  <c r="D1538" i="8"/>
  <c r="D851" i="8"/>
  <c r="D479" i="8"/>
  <c r="D2031" i="8"/>
  <c r="D992" i="8"/>
  <c r="D1130" i="8"/>
  <c r="D1198" i="8"/>
  <c r="D1580" i="8"/>
  <c r="D1697" i="8"/>
  <c r="D752" i="8"/>
  <c r="D642" i="8"/>
  <c r="D1789" i="8"/>
  <c r="D1953" i="8"/>
  <c r="D899" i="8"/>
  <c r="D2975" i="8"/>
  <c r="D914" i="8"/>
  <c r="D2852" i="8"/>
  <c r="D2769" i="8"/>
  <c r="D2256" i="8"/>
  <c r="D1862" i="8"/>
  <c r="D793" i="8"/>
  <c r="D1249" i="8"/>
  <c r="D1800" i="8"/>
  <c r="D728" i="8"/>
  <c r="D1479" i="8"/>
  <c r="D2718" i="8"/>
  <c r="D122" i="8"/>
  <c r="D1764" i="8"/>
  <c r="D1874" i="8"/>
  <c r="D976" i="8"/>
  <c r="D1808" i="8"/>
  <c r="D2851" i="8"/>
  <c r="D1869" i="8"/>
  <c r="D2271" i="8"/>
  <c r="D1138" i="8"/>
  <c r="D1971" i="8"/>
  <c r="D1075" i="8"/>
  <c r="D2399" i="8"/>
  <c r="D1474" i="8"/>
  <c r="D3066" i="8"/>
  <c r="D796" i="8"/>
  <c r="D1109" i="8"/>
  <c r="D2735" i="8"/>
  <c r="D1932" i="8"/>
  <c r="D2619" i="8"/>
  <c r="D1470" i="8"/>
  <c r="D683" i="8"/>
  <c r="D685" i="8"/>
  <c r="D1675" i="8"/>
  <c r="D1693" i="8"/>
  <c r="D1123" i="8"/>
  <c r="D2335" i="8"/>
  <c r="D2172" i="8"/>
  <c r="D2876" i="8"/>
  <c r="D2635" i="8"/>
  <c r="D90" i="8"/>
  <c r="D2548" i="8"/>
  <c r="D2297" i="8"/>
  <c r="D1455" i="8"/>
  <c r="D2293" i="8"/>
  <c r="D2739" i="8"/>
  <c r="D1657" i="8"/>
  <c r="D2809" i="8"/>
  <c r="D495" i="8"/>
  <c r="D2076" i="8"/>
  <c r="D2730" i="8"/>
  <c r="D1187" i="8"/>
  <c r="D1819" i="8"/>
  <c r="D1846" i="8"/>
  <c r="D2631" i="8"/>
  <c r="D2152" i="8"/>
  <c r="D2388" i="8"/>
  <c r="D2518" i="8"/>
  <c r="D2425" i="8"/>
  <c r="D2668" i="8"/>
  <c r="D2487" i="8"/>
  <c r="D3069" i="8"/>
  <c r="D2402" i="8"/>
  <c r="D2767" i="8"/>
  <c r="D1176" i="8"/>
  <c r="D3025" i="8"/>
  <c r="D2553" i="8"/>
  <c r="D1860" i="8"/>
  <c r="D492" i="8"/>
  <c r="D1703" i="8"/>
  <c r="D2141" i="8"/>
  <c r="D821" i="8"/>
  <c r="D2665" i="8"/>
  <c r="D2459" i="8"/>
  <c r="D2428" i="8"/>
  <c r="D1940" i="8"/>
  <c r="D2911" i="8"/>
  <c r="D2939" i="8"/>
  <c r="D1871" i="8"/>
  <c r="D2015" i="8"/>
  <c r="D2705" i="8"/>
  <c r="D739" i="8"/>
  <c r="D2120" i="8"/>
  <c r="D1046" i="8"/>
  <c r="D709" i="8"/>
  <c r="D1878" i="8"/>
  <c r="D958" i="8"/>
  <c r="D1880" i="8"/>
  <c r="D1257" i="8"/>
  <c r="D1617" i="8"/>
  <c r="D1346" i="8"/>
  <c r="D1301" i="8"/>
  <c r="D1273" i="8"/>
  <c r="D2343" i="8"/>
  <c r="D858" i="8"/>
  <c r="D385" i="8"/>
  <c r="D12" i="8"/>
  <c r="D2473" i="8"/>
  <c r="D1890" i="8"/>
  <c r="D2894" i="8"/>
  <c r="D1884" i="8"/>
  <c r="D2689" i="8"/>
  <c r="D1810" i="8"/>
  <c r="D2227" i="8"/>
  <c r="D1126" i="8"/>
  <c r="D2485" i="8"/>
  <c r="D586" i="8"/>
  <c r="D1402" i="8"/>
  <c r="D1605" i="8"/>
  <c r="D1706" i="8"/>
  <c r="D2722" i="8"/>
  <c r="D1809" i="8"/>
  <c r="D2703" i="8"/>
  <c r="D822" i="8"/>
  <c r="D2816" i="8"/>
  <c r="D1434" i="8"/>
  <c r="D583" i="8"/>
  <c r="D2962" i="8"/>
  <c r="D584" i="8"/>
  <c r="D1581" i="8"/>
  <c r="D1356" i="8"/>
  <c r="D2432" i="8"/>
  <c r="D1288" i="8"/>
  <c r="D2733" i="8"/>
  <c r="D2239" i="8"/>
  <c r="D587" i="8"/>
  <c r="D3030" i="8"/>
  <c r="D1704" i="8"/>
  <c r="D1859" i="8"/>
  <c r="D2766" i="8"/>
  <c r="D2630" i="8"/>
  <c r="D2397" i="8"/>
  <c r="D1765" i="8"/>
  <c r="D2097" i="8"/>
  <c r="D1997" i="8"/>
  <c r="D1306" i="8"/>
  <c r="D86" i="8"/>
  <c r="D3061" i="8"/>
  <c r="D1931" i="8"/>
  <c r="D572" i="8"/>
  <c r="D2610" i="8"/>
  <c r="D2877" i="8"/>
  <c r="D2386" i="8"/>
  <c r="D1458" i="8"/>
  <c r="D1446" i="8"/>
  <c r="D2529" i="8"/>
  <c r="D491" i="8"/>
  <c r="D2184" i="8"/>
  <c r="D573" i="8"/>
  <c r="D1918" i="8"/>
  <c r="D260" i="8"/>
  <c r="D1186" i="8"/>
  <c r="D1263" i="8"/>
  <c r="D2537" i="8"/>
  <c r="D3018" i="8"/>
  <c r="D2574" i="8"/>
  <c r="D2153" i="8"/>
  <c r="D2750" i="8"/>
  <c r="D1696" i="8"/>
  <c r="D2106" i="8"/>
  <c r="D2547" i="8"/>
  <c r="D1954" i="8"/>
  <c r="D1840" i="8"/>
  <c r="D867" i="8"/>
  <c r="D1297" i="8"/>
  <c r="D2216" i="8"/>
  <c r="D1715" i="8"/>
  <c r="D2463" i="8"/>
  <c r="D2316" i="8"/>
  <c r="D2586" i="8"/>
  <c r="D1505" i="8"/>
  <c r="D1982" i="8"/>
  <c r="D2565" i="8"/>
  <c r="D1833" i="8"/>
  <c r="D1180" i="8"/>
  <c r="D2109" i="8"/>
  <c r="D2013" i="8"/>
  <c r="D1970" i="8"/>
  <c r="D2662" i="8"/>
  <c r="D2373" i="8"/>
  <c r="D2690" i="8"/>
  <c r="D1086" i="8"/>
  <c r="D1038" i="8"/>
  <c r="D982" i="8"/>
  <c r="D2329" i="8"/>
  <c r="D561" i="8"/>
  <c r="D1378" i="8"/>
  <c r="D1005" i="8"/>
  <c r="D2929" i="8"/>
  <c r="D856" i="8"/>
  <c r="D1983" i="8"/>
  <c r="D2915" i="8"/>
  <c r="D1628" i="8"/>
  <c r="D1986" i="8"/>
  <c r="D1987" i="8"/>
  <c r="D1988" i="8"/>
  <c r="D2695" i="8"/>
  <c r="D1958" i="8"/>
  <c r="D1991" i="8"/>
  <c r="D1745" i="8"/>
  <c r="D2246" i="8"/>
  <c r="D1751" i="8"/>
  <c r="D1568" i="8"/>
  <c r="D501" i="8"/>
  <c r="D2811" i="8"/>
  <c r="D2594" i="8"/>
  <c r="D1420" i="8"/>
  <c r="D1256" i="8"/>
  <c r="D2892" i="8"/>
  <c r="D2951" i="8"/>
  <c r="D1089" i="8"/>
  <c r="D2869" i="8"/>
  <c r="D1668" i="8"/>
  <c r="D2621" i="8"/>
  <c r="D2898" i="8"/>
  <c r="D2383" i="8"/>
  <c r="D2009" i="8"/>
  <c r="D2010" i="8"/>
  <c r="D2011" i="8"/>
  <c r="D2457" i="8"/>
  <c r="D1175" i="8"/>
  <c r="D1957" i="8"/>
  <c r="D2194" i="8"/>
  <c r="D748" i="8"/>
  <c r="D1855" i="8"/>
  <c r="D2780" i="8"/>
  <c r="D2412" i="8"/>
  <c r="D1330" i="8"/>
  <c r="D2628" i="8"/>
  <c r="D2396" i="8"/>
  <c r="D2023" i="8"/>
  <c r="D366" i="8"/>
  <c r="D1261" i="8"/>
  <c r="D1827" i="8"/>
  <c r="D1477" i="8"/>
  <c r="D1255" i="8"/>
  <c r="D502" i="8"/>
  <c r="D2684" i="8"/>
  <c r="D2934" i="8"/>
  <c r="D2414" i="8"/>
  <c r="D2413" i="8"/>
  <c r="D1489" i="8"/>
  <c r="D2035" i="8"/>
  <c r="D2032" i="8"/>
  <c r="D2037" i="8"/>
  <c r="D3019" i="8"/>
  <c r="D1744" i="8"/>
  <c r="D400" i="8"/>
  <c r="D1583" i="8"/>
  <c r="D2145" i="8"/>
  <c r="D547" i="8"/>
  <c r="D2061" i="8"/>
  <c r="D2850" i="8"/>
  <c r="D2211" i="8"/>
  <c r="D1042" i="8"/>
  <c r="D2797" i="8"/>
  <c r="D1083" i="8"/>
  <c r="D1102" i="8"/>
  <c r="D2622" i="8"/>
  <c r="D2052" i="8"/>
  <c r="D2423" i="8"/>
  <c r="D606" i="8"/>
  <c r="D2814" i="8"/>
  <c r="D2861" i="8"/>
  <c r="D1313" i="8"/>
  <c r="D1425" i="8"/>
  <c r="D3017" i="8"/>
  <c r="D2291" i="8"/>
  <c r="D382" i="8"/>
  <c r="D2926" i="8"/>
  <c r="D2095" i="8"/>
  <c r="D1705" i="8"/>
  <c r="D2615" i="8"/>
  <c r="D645" i="8"/>
  <c r="D2788" i="8"/>
  <c r="D2068" i="8"/>
  <c r="D530" i="8"/>
  <c r="D3044" i="8"/>
  <c r="D2806" i="8"/>
  <c r="D1773" i="8"/>
  <c r="D1930" i="8"/>
  <c r="D2074" i="8"/>
  <c r="D746" i="8"/>
  <c r="D1380" i="8"/>
  <c r="D2385" i="8"/>
  <c r="D2078" i="8"/>
  <c r="D2057" i="8"/>
  <c r="D2853" i="8"/>
  <c r="D2598" i="8"/>
  <c r="D2824" i="8"/>
  <c r="D1452" i="8"/>
  <c r="D2883" i="8"/>
  <c r="D1599" i="8"/>
  <c r="D2913" i="8"/>
  <c r="D1663" i="8"/>
  <c r="D1018" i="8"/>
  <c r="D1614" i="8"/>
  <c r="D2296" i="8"/>
  <c r="D1739" i="8"/>
  <c r="D2050" i="8"/>
  <c r="D1461" i="8"/>
  <c r="D1892" i="8"/>
  <c r="D1563" i="8"/>
  <c r="D2886" i="8"/>
  <c r="D2101" i="8"/>
  <c r="D2682" i="8"/>
  <c r="D2099" i="8"/>
  <c r="D1564" i="8"/>
  <c r="D1309" i="8"/>
  <c r="D1440" i="8"/>
  <c r="D578" i="8"/>
  <c r="D2288" i="8"/>
  <c r="D1793" i="8"/>
  <c r="D2508" i="8"/>
  <c r="D2107" i="8"/>
  <c r="D2108" i="8"/>
  <c r="D1401" i="8"/>
  <c r="D1680" i="8"/>
  <c r="D148" i="8"/>
  <c r="D574" i="8"/>
  <c r="D2113" i="8"/>
  <c r="D2317" i="8"/>
  <c r="D2558" i="8"/>
  <c r="D2577" i="8"/>
  <c r="D1270" i="8"/>
  <c r="D2732" i="8"/>
  <c r="D1989" i="8"/>
  <c r="D2613" i="8"/>
  <c r="D1796" i="8"/>
  <c r="D1656" i="8"/>
  <c r="D568" i="8"/>
  <c r="D2135" i="8"/>
  <c r="D1153" i="8"/>
  <c r="D682" i="8"/>
  <c r="D2190" i="8"/>
  <c r="D2675" i="8"/>
  <c r="D3075" i="8"/>
  <c r="D523" i="8"/>
  <c r="D2544" i="8"/>
  <c r="D2132" i="8"/>
  <c r="D2606" i="8"/>
  <c r="D1980" i="8"/>
  <c r="D1342" i="8"/>
  <c r="D2002" i="8"/>
  <c r="D2219" i="8"/>
  <c r="D616" i="8"/>
  <c r="D2957" i="8"/>
  <c r="D2456" i="8"/>
  <c r="D1450" i="8"/>
  <c r="D2599" i="8"/>
  <c r="D826" i="8"/>
  <c r="D1578" i="8"/>
  <c r="D1735" i="8"/>
  <c r="D1674" i="8"/>
  <c r="D1951" i="8"/>
  <c r="D1329" i="8"/>
  <c r="D962" i="8"/>
  <c r="D350" i="8"/>
  <c r="D1712" i="8"/>
  <c r="D1803" i="8"/>
  <c r="D1063" i="8"/>
  <c r="D2045" i="8"/>
  <c r="D2873" i="8"/>
  <c r="D1193" i="8"/>
  <c r="D2157" i="8"/>
  <c r="D2950" i="8"/>
  <c r="D1857" i="8"/>
  <c r="D1517" i="8"/>
  <c r="D647" i="8"/>
  <c r="D2945" i="8"/>
  <c r="D1327" i="8"/>
  <c r="D3057" i="8"/>
  <c r="D1338" i="8"/>
  <c r="D2001" i="8"/>
  <c r="D1228" i="8"/>
  <c r="D2881" i="8"/>
  <c r="D1645" i="8"/>
  <c r="D1044" i="8"/>
  <c r="D2171" i="8"/>
  <c r="D2618" i="8"/>
  <c r="D2238" i="8"/>
  <c r="D2059" i="8"/>
  <c r="D2104" i="8"/>
  <c r="D2129" i="8"/>
  <c r="D1218" i="8"/>
  <c r="D1216" i="8"/>
  <c r="D897" i="8"/>
  <c r="D1073" i="8"/>
  <c r="D2117" i="8"/>
  <c r="D2069" i="8"/>
  <c r="D1511" i="8"/>
  <c r="D2379" i="8"/>
  <c r="D2968" i="8"/>
  <c r="D1317" i="8"/>
  <c r="D2696" i="8"/>
  <c r="D2025" i="8"/>
  <c r="D2159" i="8"/>
  <c r="D1500" i="8"/>
  <c r="D2331" i="8"/>
  <c r="D1636" i="8"/>
  <c r="D2740" i="8"/>
  <c r="D1416" i="8"/>
  <c r="D1794" i="8"/>
  <c r="D2720" i="8"/>
  <c r="D2688" i="8"/>
  <c r="D3003" i="8"/>
  <c r="D1912" i="8"/>
  <c r="D3059" i="8"/>
  <c r="D1687" i="8"/>
  <c r="D1328" i="8"/>
  <c r="D2203" i="8"/>
  <c r="D2460" i="8"/>
  <c r="D3013" i="8"/>
  <c r="D2965" i="8"/>
  <c r="D1478" i="8"/>
  <c r="D1205" i="8"/>
  <c r="D2641" i="8"/>
  <c r="D1777" i="8"/>
  <c r="D1879" i="8"/>
  <c r="D2977" i="8"/>
  <c r="D1275" i="8"/>
  <c r="D1154" i="8"/>
  <c r="D2763" i="8"/>
  <c r="D1996" i="8"/>
  <c r="D1713" i="8"/>
  <c r="D2992" i="8"/>
  <c r="D1192" i="8"/>
  <c r="D1408" i="8"/>
  <c r="D919" i="8"/>
  <c r="D2364" i="8"/>
  <c r="D1208" i="8"/>
  <c r="D2281" i="8"/>
  <c r="D2943" i="8"/>
  <c r="D2226" i="8"/>
  <c r="D2492" i="8"/>
  <c r="D3037" i="8"/>
  <c r="D2439" i="8"/>
  <c r="D2151" i="8"/>
  <c r="D2719" i="8"/>
  <c r="D2828" i="8"/>
  <c r="D2233" i="8"/>
  <c r="D665" i="8"/>
  <c r="D2338" i="8"/>
  <c r="D1385" i="8"/>
  <c r="D1648" i="8"/>
  <c r="D2415" i="8"/>
  <c r="D1910" i="8"/>
  <c r="D1200" i="8"/>
  <c r="D2979" i="8"/>
  <c r="D1872" i="8"/>
  <c r="D710" i="8"/>
  <c r="D1106" i="8"/>
  <c r="D324" i="8"/>
  <c r="D1324" i="8"/>
  <c r="D1059" i="8"/>
  <c r="D19" i="8"/>
  <c r="D2249" i="8"/>
  <c r="D2782" i="8"/>
  <c r="D2138" i="8"/>
  <c r="D2148" i="8"/>
  <c r="D269" i="8"/>
  <c r="D2667" i="8"/>
  <c r="D1836" i="8"/>
  <c r="D2699" i="8"/>
  <c r="D2517" i="8"/>
  <c r="D2350" i="8"/>
  <c r="D2213" i="8"/>
  <c r="D2260" i="8"/>
  <c r="D2837" i="8"/>
  <c r="D2323" i="8"/>
  <c r="D2909" i="8"/>
  <c r="D2764" i="8"/>
  <c r="D1240" i="8"/>
  <c r="D2266" i="8"/>
  <c r="D1778" i="8"/>
  <c r="D2932" i="8"/>
  <c r="D1339" i="8"/>
  <c r="D3007" i="8"/>
  <c r="D776" i="8"/>
  <c r="D2868" i="8"/>
  <c r="D2647" i="8"/>
  <c r="D1728" i="8"/>
  <c r="D1682" i="8"/>
  <c r="D2493" i="8"/>
  <c r="D2445" i="8"/>
  <c r="D2914" i="8"/>
  <c r="D1798" i="8"/>
  <c r="D483" i="8"/>
  <c r="D1366" i="8"/>
  <c r="D2162" i="8"/>
  <c r="D2070" i="8"/>
  <c r="D1202" i="8"/>
  <c r="D2285" i="8"/>
  <c r="D1279" i="8"/>
  <c r="D2976" i="8"/>
  <c r="D1384" i="8"/>
  <c r="D2248" i="8"/>
  <c r="D1672" i="8"/>
  <c r="D1304" i="8"/>
  <c r="D2354" i="8"/>
  <c r="D2252" i="8"/>
  <c r="D3024" i="8"/>
  <c r="D2064" i="8"/>
  <c r="D2967" i="8"/>
  <c r="D1662" i="8"/>
  <c r="D2398" i="8"/>
  <c r="D1350" i="8"/>
  <c r="D2337" i="8"/>
  <c r="D1442" i="8"/>
  <c r="D2302" i="8"/>
  <c r="D2937" i="8"/>
  <c r="D725" i="8"/>
  <c r="D1719" i="8"/>
  <c r="D1606" i="8"/>
  <c r="D2569" i="8"/>
  <c r="D2773" i="8"/>
  <c r="D758" i="8"/>
  <c r="D2294" i="8"/>
  <c r="D220" i="8"/>
  <c r="D1633" i="8"/>
  <c r="D1549" i="8"/>
  <c r="D1110" i="8"/>
  <c r="D2533" i="8"/>
  <c r="D618" i="8"/>
  <c r="D2020" i="8"/>
  <c r="D459" i="8"/>
  <c r="D226" i="8"/>
  <c r="D3067" i="8"/>
  <c r="D2825" i="8"/>
  <c r="D1673" i="8"/>
  <c r="D2183" i="8"/>
  <c r="D2794" i="8"/>
  <c r="D1305" i="8"/>
  <c r="D539" i="8"/>
  <c r="D1164" i="8"/>
  <c r="D2344" i="8"/>
  <c r="D1397" i="8"/>
  <c r="D1322" i="8"/>
  <c r="D1737" i="8"/>
  <c r="D787" i="8"/>
  <c r="D1116" i="8"/>
  <c r="D2692" i="8"/>
  <c r="D1335" i="8"/>
  <c r="D1901" i="8"/>
  <c r="D1151" i="8"/>
  <c r="D2217" i="8"/>
  <c r="D465" i="8"/>
  <c r="D1293" i="8"/>
  <c r="D2289" i="8"/>
  <c r="D2320" i="8"/>
  <c r="D2077" i="8"/>
  <c r="D1849" i="8"/>
  <c r="D3082" i="8"/>
  <c r="D2382" i="8"/>
  <c r="D1034" i="8"/>
  <c r="D2348" i="8"/>
  <c r="D2014" i="8"/>
  <c r="D1336" i="8"/>
  <c r="D1488" i="8"/>
  <c r="D1481" i="8"/>
  <c r="D2666" i="8"/>
  <c r="D1575" i="8"/>
  <c r="D1258" i="8"/>
  <c r="D1064" i="8"/>
  <c r="D1396" i="8"/>
  <c r="D807" i="8"/>
  <c r="D2712" i="8"/>
  <c r="D3070" i="8"/>
  <c r="D1170" i="8"/>
  <c r="D1259" i="8"/>
  <c r="D1204" i="8"/>
  <c r="D2122" i="8"/>
  <c r="D1040" i="8"/>
  <c r="D1303" i="8"/>
  <c r="D2367" i="8"/>
  <c r="D1077" i="8"/>
  <c r="D2938" i="8"/>
  <c r="D1780" i="8"/>
  <c r="D1415" i="8"/>
  <c r="D2431" i="8"/>
  <c r="D1832" i="8"/>
  <c r="D2062" i="8"/>
  <c r="D277" i="8"/>
  <c r="D2170" i="8"/>
  <c r="D296" i="8"/>
  <c r="D2640" i="8"/>
  <c r="D2156" i="8"/>
  <c r="D1545" i="8"/>
  <c r="D1748" i="8"/>
  <c r="D1619" i="8"/>
  <c r="D1021" i="8"/>
  <c r="D609" i="8"/>
  <c r="D1159" i="8"/>
  <c r="D2036" i="8"/>
  <c r="D1817" i="8"/>
  <c r="D1973" i="8"/>
  <c r="D1404" i="8"/>
  <c r="D1936" i="8"/>
  <c r="D1512" i="8"/>
  <c r="D1212" i="8"/>
  <c r="D2785" i="8"/>
  <c r="D2910" i="8"/>
  <c r="D1699" i="8"/>
  <c r="D2253" i="8"/>
  <c r="D1596" i="8"/>
  <c r="D1476" i="8"/>
  <c r="D3056" i="8"/>
  <c r="D1229" i="8"/>
  <c r="D2501" i="8"/>
  <c r="D2112" i="8"/>
  <c r="D519" i="8"/>
  <c r="D1825" i="8"/>
  <c r="D1630" i="8"/>
  <c r="D2392" i="8"/>
  <c r="D1875" i="8"/>
  <c r="D1856" i="8"/>
  <c r="D1049" i="8"/>
  <c r="D1300" i="8"/>
  <c r="D1527" i="8"/>
  <c r="D2671" i="8"/>
  <c r="D2731" i="8"/>
  <c r="D1743" i="8"/>
  <c r="D1658" i="8"/>
  <c r="D1717" i="8"/>
  <c r="D622" i="8"/>
  <c r="D1919" i="8"/>
  <c r="D891" i="8"/>
  <c r="D2361" i="8"/>
  <c r="D280" i="8"/>
  <c r="D1367" i="8"/>
  <c r="D798" i="8"/>
  <c r="D2236" i="8"/>
  <c r="D1661" i="8"/>
  <c r="D2987" i="8"/>
  <c r="D1895" i="8"/>
  <c r="D2102" i="8"/>
  <c r="D774" i="8"/>
  <c r="D960" i="8"/>
  <c r="D2347" i="8"/>
  <c r="D1937" i="8"/>
  <c r="D1772" i="8"/>
  <c r="D1942" i="8"/>
  <c r="D1943" i="8"/>
  <c r="D2201" i="8"/>
  <c r="D2455" i="8"/>
  <c r="D1085" i="8"/>
  <c r="D1903" i="8"/>
  <c r="D1071" i="8"/>
  <c r="D1660" i="8"/>
  <c r="D1220" i="8"/>
  <c r="D2040" i="8"/>
  <c r="D1625" i="8"/>
  <c r="D1463" i="8"/>
  <c r="D1507" i="8"/>
  <c r="D1615" i="8"/>
  <c r="D2931" i="8"/>
  <c r="D27" i="8"/>
  <c r="D2450" i="8"/>
  <c r="D322" i="8"/>
  <c r="D2251" i="8"/>
  <c r="D2550" i="8"/>
  <c r="D1587" i="8"/>
  <c r="D2250" i="8"/>
  <c r="D1585" i="8"/>
  <c r="D2579" i="8"/>
  <c r="D2546" i="8"/>
  <c r="D3029" i="8"/>
  <c r="D1504" i="8"/>
  <c r="D1152" i="8"/>
  <c r="D1223" i="8"/>
  <c r="D1774" i="8"/>
  <c r="D2464" i="8"/>
  <c r="D2697" i="8"/>
  <c r="D2936" i="8"/>
  <c r="D1128" i="8"/>
  <c r="D2030" i="8"/>
  <c r="D2879" i="8"/>
  <c r="D1644" i="8"/>
  <c r="D2846" i="8"/>
  <c r="D1694" i="8"/>
  <c r="D2472" i="8"/>
  <c r="D761" i="8"/>
  <c r="D1655" i="8"/>
  <c r="D2774" i="8"/>
  <c r="D1799" i="8"/>
  <c r="D643" i="8"/>
  <c r="D3086" i="8"/>
  <c r="D2319" i="8"/>
  <c r="D1231" i="8"/>
  <c r="D2482" i="8"/>
  <c r="D1250" i="8"/>
  <c r="D2391" i="8"/>
  <c r="D2652" i="8"/>
  <c r="D882" i="8"/>
  <c r="D1960" i="8"/>
  <c r="D2484" i="8"/>
  <c r="D2639" i="8"/>
  <c r="D496" i="8"/>
  <c r="D405" i="8"/>
  <c r="D1412" i="8"/>
  <c r="D2241" i="8"/>
  <c r="D2228" i="8"/>
  <c r="D1068" i="8"/>
  <c r="D1962" i="8"/>
  <c r="D1197" i="8"/>
  <c r="D696" i="8"/>
  <c r="D2499" i="8"/>
  <c r="D1264" i="8"/>
  <c r="D575" i="8"/>
  <c r="D2502" i="8"/>
  <c r="D1444" i="8"/>
  <c r="D1360" i="8"/>
  <c r="D987" i="8"/>
  <c r="D2430" i="8"/>
  <c r="D2507" i="8"/>
  <c r="D3071" i="8"/>
  <c r="D3000" i="8"/>
  <c r="D2917" i="8"/>
  <c r="D2685" i="8"/>
  <c r="D1114" i="8"/>
  <c r="D2513" i="8"/>
  <c r="D694" i="8"/>
  <c r="D2128" i="8"/>
  <c r="D939" i="8"/>
  <c r="D2693" i="8"/>
  <c r="D2902" i="8"/>
  <c r="D2880" i="8"/>
  <c r="D1753" i="8"/>
  <c r="D2966" i="8"/>
  <c r="D1411" i="8"/>
  <c r="D3040" i="8"/>
  <c r="D2451" i="8"/>
  <c r="D1870" i="8"/>
  <c r="D2276" i="8"/>
  <c r="D1830" i="8"/>
  <c r="D2092" i="8"/>
  <c r="D2133" i="8"/>
  <c r="D2530" i="8"/>
  <c r="D1787" i="8"/>
  <c r="D1041" i="8"/>
  <c r="D2995" i="8"/>
  <c r="D2026" i="8"/>
  <c r="D1752" i="8"/>
  <c r="D2515" i="8"/>
  <c r="D2557" i="8"/>
  <c r="D1727" i="8"/>
  <c r="D2903" i="8"/>
  <c r="D2489" i="8"/>
  <c r="D2900" i="8"/>
  <c r="D2089" i="8"/>
  <c r="D2277" i="8"/>
  <c r="D2990" i="8"/>
  <c r="D630" i="8"/>
  <c r="D2562" i="8"/>
  <c r="D1307" i="8"/>
  <c r="D2332" i="8"/>
  <c r="D2549" i="8"/>
  <c r="D2872" i="8"/>
  <c r="D2632" i="8"/>
  <c r="D2142" i="8"/>
  <c r="D1524" i="8"/>
  <c r="D1629" i="8"/>
  <c r="D1140" i="8"/>
  <c r="D1566" i="8"/>
  <c r="D2389" i="8"/>
  <c r="D1667" i="8"/>
  <c r="D2330" i="8"/>
  <c r="D316" i="8"/>
  <c r="D1701" i="8"/>
  <c r="D2498" i="8"/>
  <c r="D1409" i="8"/>
  <c r="D615" i="8"/>
  <c r="D2366" i="8"/>
  <c r="D1533" i="8"/>
  <c r="D1669" i="8"/>
  <c r="D1905" i="8"/>
  <c r="D2094" i="8"/>
  <c r="D2503" i="8"/>
  <c r="D2571" i="8"/>
  <c r="D2202" i="8"/>
  <c r="D2899" i="8"/>
  <c r="D1889" i="8"/>
  <c r="D1357" i="8"/>
  <c r="D1994" i="8"/>
  <c r="D2315" i="8"/>
  <c r="D1555" i="8"/>
  <c r="D2509" i="8"/>
  <c r="D2994" i="8"/>
  <c r="D1121" i="8"/>
  <c r="D2582" i="8"/>
  <c r="D1177" i="8"/>
  <c r="D2155" i="8"/>
  <c r="D1992" i="8"/>
  <c r="D2526" i="8"/>
  <c r="D2114" i="8"/>
  <c r="D1896" i="8"/>
  <c r="D2268" i="8"/>
  <c r="D2590" i="8"/>
  <c r="D2657" i="8"/>
  <c r="D2592" i="8"/>
  <c r="D1891" i="8"/>
  <c r="D2134" i="8"/>
  <c r="D695" i="8"/>
  <c r="D1769" i="8"/>
  <c r="D1156" i="8"/>
  <c r="D2199" i="8"/>
  <c r="D2158" i="8"/>
  <c r="D2600" i="8"/>
  <c r="D607" i="8"/>
  <c r="D2980" i="8"/>
  <c r="D2265" i="8"/>
  <c r="D2053" i="8"/>
  <c r="D2605" i="8"/>
  <c r="D1604" i="8"/>
  <c r="D3060" i="8"/>
  <c r="D2608" i="8"/>
  <c r="D2864" i="8"/>
  <c r="D375" i="8"/>
  <c r="D2560" i="8"/>
  <c r="D1686" i="8"/>
  <c r="D1185" i="8"/>
  <c r="D951" i="8"/>
  <c r="D2799" i="8"/>
  <c r="D1861" i="8"/>
  <c r="D2085" i="8"/>
  <c r="D2384" i="8"/>
  <c r="D649" i="8"/>
  <c r="D2345" i="8"/>
  <c r="D1620" i="8"/>
  <c r="D1169" i="8"/>
  <c r="D1510" i="8"/>
  <c r="D1676" i="8"/>
  <c r="D2341" i="8"/>
  <c r="D2870" i="8"/>
  <c r="D3051" i="8"/>
  <c r="D156" i="8"/>
  <c r="D2299" i="8"/>
  <c r="D1182" i="8"/>
  <c r="D1135" i="8"/>
  <c r="D3078" i="8"/>
  <c r="D1062" i="8"/>
  <c r="D2634" i="8"/>
  <c r="D1801" i="8"/>
  <c r="D2991" i="8"/>
  <c r="D2691" i="8"/>
  <c r="D2921" i="8"/>
  <c r="D2532" i="8"/>
  <c r="D1379" i="8"/>
  <c r="D135" i="8"/>
  <c r="D1979" i="8"/>
  <c r="D1948" i="8"/>
  <c r="D2859" i="8"/>
  <c r="D2306" i="8"/>
  <c r="D2922" i="8"/>
  <c r="D2494" i="8"/>
  <c r="D1454" i="8"/>
  <c r="D2649" i="8"/>
  <c r="D2436" i="8"/>
  <c r="D1146" i="8"/>
  <c r="D1430" i="8"/>
  <c r="D2760" i="8"/>
  <c r="D3048" i="8"/>
  <c r="D1280" i="8"/>
  <c r="D2497" i="8"/>
  <c r="D1652" i="8"/>
  <c r="D2506" i="8"/>
  <c r="D2646" i="8"/>
  <c r="D2660" i="8"/>
  <c r="D2661" i="8"/>
  <c r="D2258" i="8"/>
  <c r="D2221" i="8"/>
  <c r="D1950" i="8"/>
  <c r="D2447" i="8"/>
  <c r="D1400" i="8"/>
  <c r="D1291" i="8"/>
  <c r="D2677" i="8"/>
  <c r="D1369" i="8"/>
  <c r="D2307" i="8"/>
  <c r="D2737" i="8"/>
  <c r="D1906" i="8"/>
  <c r="D2416" i="8"/>
  <c r="D2063" i="8"/>
  <c r="D2541" i="8"/>
  <c r="D2906" i="8"/>
  <c r="D3077" i="8"/>
  <c r="D2554" i="8"/>
  <c r="D1514" i="8"/>
  <c r="D2680" i="8"/>
  <c r="D2681" i="8"/>
  <c r="D3038" i="8"/>
  <c r="D49" i="8"/>
  <c r="D2210" i="8"/>
  <c r="D2286" i="8"/>
  <c r="D2468" i="8"/>
  <c r="D3012" i="8"/>
  <c r="D2701" i="8"/>
  <c r="D1838" i="8"/>
  <c r="D1066" i="8"/>
  <c r="D1183" i="8"/>
  <c r="D2596" i="8"/>
  <c r="D605" i="8"/>
  <c r="D2334" i="8"/>
  <c r="D2160" i="8"/>
  <c r="D2075" i="8"/>
  <c r="D1403" i="8"/>
  <c r="D1067" i="8"/>
  <c r="D2978" i="8"/>
  <c r="D779" i="8"/>
  <c r="D2243" i="8"/>
  <c r="D2522" i="8"/>
  <c r="D1805" i="8"/>
  <c r="D1684" i="8"/>
  <c r="D2028" i="8"/>
  <c r="D2611" i="8"/>
  <c r="D2707" i="8"/>
  <c r="D1155" i="8"/>
  <c r="D2082" i="8"/>
  <c r="D2710" i="8"/>
  <c r="D2887" i="8"/>
  <c r="D1319" i="8"/>
  <c r="D2713" i="8"/>
  <c r="D2714" i="8"/>
  <c r="D2717" i="8"/>
  <c r="D1632" i="8"/>
  <c r="D871" i="8"/>
  <c r="D1909" i="8"/>
  <c r="D2438" i="8"/>
  <c r="D2953" i="8"/>
  <c r="D2567" i="8"/>
  <c r="D1222" i="8"/>
  <c r="D1060" i="8"/>
  <c r="D884" i="8"/>
  <c r="D2525" i="8"/>
  <c r="D2471" i="8"/>
  <c r="D2838" i="8"/>
  <c r="D1747" i="8"/>
  <c r="D1485" i="8"/>
  <c r="D749" i="8"/>
  <c r="D1897" i="8"/>
  <c r="D2778" i="8"/>
  <c r="D2889" i="8"/>
  <c r="D967" i="8"/>
  <c r="D846" i="8"/>
  <c r="D2736" i="8"/>
  <c r="D2466" i="8"/>
  <c r="D2738" i="8"/>
  <c r="D2698" i="8"/>
  <c r="D1900" i="8"/>
  <c r="D2244" i="8"/>
  <c r="D921" i="8"/>
  <c r="D2743" i="8"/>
  <c r="D2744" i="8"/>
  <c r="D2655" i="8"/>
  <c r="D1518" i="8"/>
  <c r="D2371" i="8"/>
  <c r="D2813" i="8"/>
  <c r="D2749" i="8"/>
  <c r="D1749" i="8"/>
  <c r="D1020" i="8"/>
  <c r="D1623" i="8"/>
  <c r="D2514" i="8"/>
  <c r="D2754" i="8"/>
  <c r="D1271" i="8"/>
  <c r="D1431" i="8"/>
  <c r="D2198" i="8"/>
  <c r="D676" i="8"/>
  <c r="D3063" i="8"/>
  <c r="D1260" i="8"/>
  <c r="D3079" i="8"/>
  <c r="D1161" i="8"/>
  <c r="D2985" i="8"/>
  <c r="D1035" i="8"/>
  <c r="D2363" i="8"/>
  <c r="D2136" i="8"/>
  <c r="D3039" i="8"/>
  <c r="D2768" i="8"/>
  <c r="D1959" i="8"/>
  <c r="D1993" i="8"/>
  <c r="D2771" i="8"/>
  <c r="D1898" i="8"/>
  <c r="D610" i="8"/>
  <c r="D1267" i="8"/>
  <c r="D1502" i="8"/>
  <c r="D2476" i="8"/>
  <c r="D1003" i="8"/>
  <c r="D2477" i="8"/>
  <c r="D1947" i="8"/>
  <c r="D2856" i="8"/>
  <c r="D2480" i="8"/>
  <c r="D1602" i="8"/>
  <c r="D3011" i="8"/>
  <c r="D2504" i="8"/>
  <c r="D362" i="8"/>
  <c r="D631" i="8"/>
  <c r="D1779" i="8"/>
  <c r="D2093" i="8"/>
  <c r="D2827" i="8"/>
  <c r="D91" i="8"/>
  <c r="D1251" i="8"/>
  <c r="D1560" i="8"/>
  <c r="D1087" i="8"/>
  <c r="D1768" i="8"/>
  <c r="D770" i="8"/>
  <c r="D2796" i="8"/>
  <c r="D872" i="8"/>
  <c r="D1147" i="8"/>
  <c r="D1670" i="8"/>
  <c r="D2629" i="8"/>
  <c r="D2801" i="8"/>
  <c r="D2648" i="8"/>
  <c r="D1844" i="8"/>
  <c r="D2375" i="8"/>
  <c r="D1509" i="8"/>
  <c r="D1853" i="8"/>
  <c r="D2178" i="8"/>
  <c r="D2542" i="8"/>
  <c r="D1429" i="8"/>
  <c r="D3006" i="8"/>
  <c r="D1985" i="8"/>
  <c r="D1934" i="8"/>
  <c r="D875" i="8"/>
  <c r="D1168" i="8"/>
  <c r="D2212" i="8"/>
  <c r="D1609" i="8"/>
  <c r="D2187" i="8"/>
  <c r="D1925" i="8"/>
  <c r="D1390" i="8"/>
  <c r="D1498" i="8"/>
  <c r="D1491" i="8"/>
  <c r="D2012" i="8"/>
  <c r="D2823" i="8"/>
  <c r="D443" i="8"/>
  <c r="D1074" i="8"/>
  <c r="D1740" i="8"/>
  <c r="D2555" i="8"/>
  <c r="D1926" i="8"/>
  <c r="D474" i="8"/>
  <c r="D1469" i="8"/>
  <c r="D1995" i="8"/>
  <c r="D2832" i="8"/>
  <c r="D1845" i="8"/>
  <c r="D1464" i="8"/>
  <c r="D2612" i="8"/>
  <c r="D1965" i="8"/>
  <c r="D1876" i="8"/>
  <c r="D1316" i="8"/>
  <c r="D2866" i="8"/>
  <c r="D1724" i="8"/>
  <c r="D1887" i="8"/>
  <c r="D1786" i="8"/>
  <c r="D860" i="8"/>
  <c r="D2263" i="8"/>
  <c r="D2845" i="8"/>
  <c r="D1391" i="8"/>
  <c r="D549" i="8"/>
  <c r="D814" i="8"/>
  <c r="D3091" i="8"/>
  <c r="D1976" i="8"/>
  <c r="D2839" i="8"/>
  <c r="D1741" i="8"/>
  <c r="D2742" i="8"/>
  <c r="D2673" i="8"/>
  <c r="D2441" i="8"/>
  <c r="D1354" i="8"/>
  <c r="D2623" i="8"/>
  <c r="D2071" i="8"/>
  <c r="D2407" i="8"/>
  <c r="D1963" i="8"/>
  <c r="D1302" i="8"/>
  <c r="D2111" i="8"/>
  <c r="D2683" i="8"/>
  <c r="D995" i="8"/>
  <c r="D1554" i="8"/>
  <c r="D1188" i="8"/>
  <c r="D3083" i="8"/>
  <c r="D1688" i="8"/>
  <c r="D2222" i="8"/>
  <c r="D1460" i="8"/>
  <c r="D1952" i="8"/>
  <c r="D1759" i="8"/>
  <c r="D1217" i="8"/>
  <c r="D3088" i="8"/>
  <c r="D2960" i="8"/>
  <c r="D1051" i="8"/>
  <c r="D2261" i="8"/>
  <c r="D1343" i="8"/>
  <c r="D2478" i="8"/>
  <c r="D2505" i="8"/>
  <c r="D2964" i="8"/>
  <c r="D2204" i="8"/>
  <c r="D1277" i="8"/>
  <c r="D1337" i="8"/>
  <c r="D1922" i="8"/>
  <c r="D2446" i="8"/>
  <c r="D2884" i="8"/>
  <c r="D2888" i="8"/>
  <c r="D1588" i="8"/>
  <c r="D3027" i="8"/>
  <c r="D2273" i="8"/>
  <c r="D38" i="8"/>
  <c r="D514" i="8"/>
  <c r="D1056" i="8"/>
  <c r="D152" i="8"/>
  <c r="D2896" i="8"/>
  <c r="D1529" i="8"/>
  <c r="D2259" i="8"/>
  <c r="D1653" i="8"/>
  <c r="D1761" i="8"/>
  <c r="D2901" i="8"/>
  <c r="D2520" i="8"/>
  <c r="D2831" i="8"/>
  <c r="D2283" i="8"/>
  <c r="D2728" i="8"/>
  <c r="D2179" i="8"/>
  <c r="D1582" i="8"/>
  <c r="D2173" i="8"/>
  <c r="D3058" i="8"/>
  <c r="D2321" i="8"/>
  <c r="D1090" i="8"/>
  <c r="D3041" i="8"/>
  <c r="D2942" i="8"/>
  <c r="D2359" i="8"/>
  <c r="D1201" i="8"/>
  <c r="D125" i="8"/>
  <c r="D1199" i="8"/>
  <c r="D1351" i="8"/>
  <c r="D2919" i="8"/>
  <c r="D1162" i="8"/>
  <c r="D250" i="8"/>
  <c r="D1949" i="8"/>
  <c r="D1113" i="8"/>
  <c r="D1389" i="8"/>
  <c r="D2974" i="8"/>
  <c r="D2255" i="8"/>
  <c r="D2603" i="8"/>
  <c r="D2196" i="8"/>
  <c r="D2189" i="8"/>
  <c r="D1070" i="8"/>
  <c r="D2686" i="8"/>
  <c r="D2805" i="8"/>
  <c r="D2933" i="8"/>
  <c r="D2882" i="8"/>
  <c r="D2339" i="8"/>
  <c r="D1023" i="8"/>
  <c r="D974" i="8"/>
  <c r="D509" i="8"/>
  <c r="D1374" i="8"/>
  <c r="D2940" i="8"/>
  <c r="D2191" i="8"/>
  <c r="D2377" i="8"/>
  <c r="D1788" i="8"/>
  <c r="D2369" i="8"/>
  <c r="D2798" i="8"/>
  <c r="D2817" i="8"/>
  <c r="D2047" i="8"/>
  <c r="D2325" i="8"/>
  <c r="D2949" i="8"/>
  <c r="D2609" i="8"/>
  <c r="D1770" i="8"/>
  <c r="D678" i="8"/>
  <c r="D2643" i="8"/>
  <c r="D1032" i="8"/>
  <c r="D1586" i="8"/>
  <c r="D1776" i="8"/>
  <c r="D3045" i="8"/>
  <c r="D285" i="8"/>
  <c r="D2944" i="8"/>
  <c r="D2140" i="8"/>
  <c r="D1386" i="8"/>
  <c r="D1807" i="8"/>
  <c r="D724" i="8"/>
  <c r="D1483" i="8"/>
  <c r="D930" i="8"/>
  <c r="D3047" i="8"/>
  <c r="D2287" i="8"/>
  <c r="D2081" i="8"/>
  <c r="D2865" i="8"/>
  <c r="D2970" i="8"/>
  <c r="D1886" i="8"/>
  <c r="D691" i="8"/>
  <c r="D1081" i="8"/>
  <c r="D3089" i="8"/>
  <c r="D1225" i="8"/>
  <c r="D658" i="8"/>
  <c r="D848" i="8"/>
  <c r="D2021" i="8"/>
  <c r="D2175" i="8"/>
  <c r="D2374" i="8"/>
  <c r="D2041" i="8"/>
  <c r="D1999" i="8"/>
  <c r="D341" i="8"/>
  <c r="D2792" i="8"/>
  <c r="D644" i="8"/>
  <c r="D1571" i="8"/>
  <c r="D1173" i="8"/>
  <c r="D1944" i="8"/>
  <c r="D2521" i="8"/>
  <c r="D1867" i="8"/>
  <c r="D2368" i="8"/>
  <c r="D2604" i="8"/>
  <c r="D1352" i="8"/>
  <c r="D1482" i="8"/>
  <c r="D2893" i="8"/>
  <c r="D2126" i="8"/>
  <c r="D2997" i="8"/>
  <c r="D1383" i="8"/>
  <c r="D2008" i="8"/>
  <c r="D585" i="8"/>
  <c r="D2130" i="8"/>
  <c r="D2916" i="8"/>
  <c r="D2946" i="8"/>
  <c r="D3004" i="8"/>
  <c r="D3002" i="8"/>
  <c r="D2143" i="8"/>
  <c r="D3014" i="8"/>
  <c r="D2961" i="8"/>
  <c r="D3080" i="8"/>
  <c r="D2928" i="8"/>
  <c r="D1677" i="8"/>
  <c r="D3009" i="8"/>
  <c r="D1268" i="8"/>
  <c r="D2443" i="8"/>
  <c r="D1816" i="8"/>
  <c r="D2072" i="8"/>
  <c r="D2804" i="8"/>
  <c r="D2033" i="8"/>
  <c r="D1082" i="8"/>
  <c r="D3020" i="8"/>
  <c r="D2161" i="8"/>
  <c r="D1011" i="8"/>
  <c r="D1004" i="8"/>
  <c r="D2802" i="8"/>
  <c r="D2536" i="8"/>
  <c r="D488" i="8"/>
  <c r="D2566" i="8"/>
  <c r="D3028" i="8"/>
  <c r="D339" i="8"/>
  <c r="D1014" i="8"/>
  <c r="D3031" i="8"/>
  <c r="D2039" i="8"/>
  <c r="D771" i="8"/>
  <c r="D713" i="8"/>
  <c r="D2214" i="8"/>
  <c r="D344" i="8"/>
  <c r="D2543" i="8"/>
  <c r="D1236" i="8"/>
  <c r="D2516" i="8"/>
  <c r="D2284" i="8"/>
  <c r="D1804" i="8"/>
  <c r="D625" i="8"/>
  <c r="D1544" i="8"/>
  <c r="D2313" i="8"/>
  <c r="D1466" i="8"/>
  <c r="D505" i="8"/>
  <c r="D1592" i="8"/>
  <c r="D2878" i="8"/>
  <c r="D393" i="8"/>
  <c r="D2993" i="8"/>
  <c r="D1394" i="8"/>
  <c r="D1292" i="8"/>
  <c r="D515" i="8"/>
  <c r="D318" i="8"/>
  <c r="D1618" i="8"/>
  <c r="D2453" i="8"/>
  <c r="D8" i="8"/>
  <c r="D1230" i="8"/>
  <c r="D2193" i="8"/>
  <c r="D2723" i="8"/>
  <c r="D2073" i="8"/>
  <c r="D2333" i="8"/>
  <c r="D985" i="8"/>
  <c r="D3064" i="8"/>
  <c r="D1664" i="8"/>
  <c r="D2678" i="8"/>
  <c r="D938" i="8"/>
  <c r="D1579" i="8"/>
  <c r="D2326" i="8"/>
  <c r="D1526" i="8"/>
  <c r="D1828" i="8"/>
  <c r="D2908" i="8"/>
  <c r="D2573" i="8"/>
  <c r="D2576" i="8"/>
  <c r="D2793" i="8"/>
  <c r="D1767" i="8"/>
  <c r="D763" i="8"/>
  <c r="D2440" i="8"/>
  <c r="D2044" i="8"/>
  <c r="D2614" i="8"/>
  <c r="D933" i="8"/>
  <c r="D1424" i="8"/>
  <c r="D2177" i="8"/>
  <c r="D2835" i="8"/>
  <c r="D1850" i="8"/>
  <c r="D1490" i="8"/>
  <c r="D1714" i="8"/>
  <c r="D1480" i="8"/>
  <c r="D1754" i="8"/>
  <c r="D2351" i="8"/>
  <c r="D541" i="8"/>
  <c r="F2948" i="8"/>
  <c r="F357" i="8"/>
  <c r="F2815" i="8"/>
  <c r="F1132" i="8"/>
  <c r="F2625" i="8"/>
  <c r="F1923" i="8"/>
  <c r="F2312" i="8"/>
  <c r="F2483" i="8"/>
  <c r="F2973" i="8"/>
  <c r="F13" i="8"/>
  <c r="F14" i="8"/>
  <c r="F2912" i="8"/>
  <c r="F16" i="8"/>
  <c r="F17" i="8"/>
  <c r="F18" i="8"/>
  <c r="F1340" i="8"/>
  <c r="F137" i="8"/>
  <c r="F21" i="8"/>
  <c r="F970" i="8"/>
  <c r="F23" i="8"/>
  <c r="F36" i="8"/>
  <c r="F25" i="8"/>
  <c r="F1720" i="8"/>
  <c r="F1144" i="8"/>
  <c r="F427" i="8"/>
  <c r="F287" i="8"/>
  <c r="F30" i="8"/>
  <c r="F31" i="8"/>
  <c r="F2144" i="8"/>
  <c r="F289" i="8"/>
  <c r="F364" i="8"/>
  <c r="F35" i="8"/>
  <c r="F2653" i="8"/>
  <c r="F2580" i="8"/>
  <c r="F170" i="8"/>
  <c r="F39" i="8"/>
  <c r="F160" i="8"/>
  <c r="F946" i="8"/>
  <c r="F42" i="8"/>
  <c r="F1924" i="8"/>
  <c r="F44" i="8"/>
  <c r="F2324" i="8"/>
  <c r="F2427" i="8"/>
  <c r="F47" i="8"/>
  <c r="F48" i="8"/>
  <c r="F892" i="8"/>
  <c r="F70" i="8"/>
  <c r="F51" i="8"/>
  <c r="F2088" i="8"/>
  <c r="F98" i="8"/>
  <c r="F54" i="8"/>
  <c r="F2708" i="8"/>
  <c r="F329" i="8"/>
  <c r="F1254" i="8"/>
  <c r="F58" i="8"/>
  <c r="F59" i="8"/>
  <c r="F773" i="8"/>
  <c r="F61" i="8"/>
  <c r="F203" i="8"/>
  <c r="F63" i="8"/>
  <c r="F64" i="8"/>
  <c r="F236" i="8"/>
  <c r="F879" i="8"/>
  <c r="F406" i="8"/>
  <c r="F68" i="8"/>
  <c r="F2999" i="8"/>
  <c r="F380" i="8"/>
  <c r="F981" i="8"/>
  <c r="F94" i="8"/>
  <c r="F73" i="8"/>
  <c r="F2462" i="8"/>
  <c r="F10" i="8"/>
  <c r="F819" i="8"/>
  <c r="F77" i="8"/>
  <c r="F78" i="8"/>
  <c r="F1888" i="8"/>
  <c r="F881" i="8"/>
  <c r="F128" i="8"/>
  <c r="F172" i="8"/>
  <c r="F83" i="8"/>
  <c r="F84" i="8"/>
  <c r="F85" i="8"/>
  <c r="F2209" i="8"/>
  <c r="F1746" i="8"/>
  <c r="F88" i="8"/>
  <c r="F194" i="8"/>
  <c r="F1523" i="8"/>
  <c r="F1092" i="8"/>
  <c r="F2390" i="8"/>
  <c r="F1873" i="8"/>
  <c r="F1314" i="8"/>
  <c r="F472" i="8"/>
  <c r="F202" i="8"/>
  <c r="F906" i="8"/>
  <c r="F2895" i="8"/>
  <c r="F1435" i="8"/>
  <c r="F299" i="8"/>
  <c r="F101" i="8"/>
  <c r="F102" i="8"/>
  <c r="F2206" i="8"/>
  <c r="F104" i="8"/>
  <c r="F2303" i="8"/>
  <c r="F106" i="8"/>
  <c r="F2205" i="8"/>
  <c r="F115" i="8"/>
  <c r="F1163" i="8"/>
  <c r="F736" i="8"/>
  <c r="F2400" i="8"/>
  <c r="F297" i="8"/>
  <c r="F113" i="8"/>
  <c r="F1956" i="8"/>
  <c r="F1977" i="8"/>
  <c r="F1826" i="8"/>
  <c r="F79" i="8"/>
  <c r="F118" i="8"/>
  <c r="F119" i="8"/>
  <c r="F786" i="8"/>
  <c r="F1449" i="8"/>
  <c r="F173" i="8"/>
  <c r="F123" i="8"/>
  <c r="F69" i="8"/>
  <c r="F470" i="8"/>
  <c r="F907" i="8"/>
  <c r="F127" i="8"/>
  <c r="F415" i="8"/>
  <c r="F2659" i="8"/>
  <c r="F843" i="8"/>
  <c r="F131" i="8"/>
  <c r="F132" i="8"/>
  <c r="F1247" i="8"/>
  <c r="F2988" i="8"/>
  <c r="F1296" i="8"/>
  <c r="F136" i="8"/>
  <c r="F1266" i="8"/>
  <c r="F56" i="8"/>
  <c r="F139" i="8"/>
  <c r="F458" i="8"/>
  <c r="F2229" i="8"/>
  <c r="F142" i="8"/>
  <c r="F215" i="8"/>
  <c r="F327" i="8"/>
  <c r="F2005" i="8"/>
  <c r="F1399" i="8"/>
  <c r="F147" i="8"/>
  <c r="F2863" i="8"/>
  <c r="F149" i="8"/>
  <c r="F150" i="8"/>
  <c r="F151" i="8"/>
  <c r="F180" i="8"/>
  <c r="F153" i="8"/>
  <c r="F447" i="8"/>
  <c r="F2519" i="8"/>
  <c r="F46" i="8"/>
  <c r="F388" i="8"/>
  <c r="F3068" i="8"/>
  <c r="F1493" i="8"/>
  <c r="F1133" i="8"/>
  <c r="F53" i="8"/>
  <c r="F1946" i="8"/>
  <c r="F1289" i="8"/>
  <c r="F165" i="8"/>
  <c r="F2381" i="8"/>
  <c r="F43" i="8"/>
  <c r="F537" i="8"/>
  <c r="F1725" i="8"/>
  <c r="F2429" i="8"/>
  <c r="F381" i="8"/>
  <c r="F1405" i="8"/>
  <c r="F99" i="8"/>
  <c r="F28" i="8"/>
  <c r="F174" i="8"/>
  <c r="F100" i="8"/>
  <c r="F176" i="8"/>
  <c r="F1486" i="8"/>
  <c r="F2370" i="8"/>
  <c r="F369" i="8"/>
  <c r="F105" i="8"/>
  <c r="F158" i="8"/>
  <c r="F1323" i="8"/>
  <c r="F183" i="8"/>
  <c r="F377" i="8"/>
  <c r="F464" i="8"/>
  <c r="F2826" i="8"/>
  <c r="F975" i="8"/>
  <c r="F2637" i="8"/>
  <c r="F1181" i="8"/>
  <c r="F2419" i="8"/>
  <c r="F2235" i="8"/>
  <c r="F1190" i="8"/>
  <c r="F397" i="8"/>
  <c r="F187" i="8"/>
  <c r="F888" i="8"/>
  <c r="F80" i="8"/>
  <c r="F197" i="8"/>
  <c r="F2857" i="8"/>
  <c r="F20" i="8"/>
  <c r="F2819" i="8"/>
  <c r="F613" i="8"/>
  <c r="F2121" i="8"/>
  <c r="F1847" i="8"/>
  <c r="F2524" i="8"/>
  <c r="F2941" i="8"/>
  <c r="F402" i="8"/>
  <c r="F207" i="8"/>
  <c r="F2224" i="8"/>
  <c r="F209" i="8"/>
  <c r="F210" i="8"/>
  <c r="F211" i="8"/>
  <c r="F212" i="8"/>
  <c r="F2930" i="8"/>
  <c r="F214" i="8"/>
  <c r="F627" i="8"/>
  <c r="F3062" i="8"/>
  <c r="F217" i="8"/>
  <c r="F9" i="8"/>
  <c r="F219" i="8"/>
  <c r="F2257" i="8"/>
  <c r="F668" i="8"/>
  <c r="F1129" i="8"/>
  <c r="F692" i="8"/>
  <c r="F24" i="8"/>
  <c r="F595" i="8"/>
  <c r="F290" i="8"/>
  <c r="F337" i="8"/>
  <c r="F715" i="8"/>
  <c r="F201" i="8"/>
  <c r="F1295" i="8"/>
  <c r="F950" i="8"/>
  <c r="F1331" i="8"/>
  <c r="F233" i="8"/>
  <c r="F545" i="8"/>
  <c r="F1548" i="8"/>
  <c r="F2656" i="8"/>
  <c r="F363" i="8"/>
  <c r="F15" i="8"/>
  <c r="F442" i="8"/>
  <c r="F198" i="8"/>
  <c r="F247" i="8"/>
  <c r="F242" i="8"/>
  <c r="F2200" i="8"/>
  <c r="F1171" i="8"/>
  <c r="F1195" i="8"/>
  <c r="F550" i="8"/>
  <c r="F559" i="8"/>
  <c r="F1546" i="8"/>
  <c r="F436" i="8"/>
  <c r="F1341" i="8"/>
  <c r="F2298" i="8"/>
  <c r="F252" i="8"/>
  <c r="F2607" i="8"/>
  <c r="F254" i="8"/>
  <c r="F1522" i="8"/>
  <c r="F2561" i="8"/>
  <c r="F1009" i="8"/>
  <c r="F2305" i="8"/>
  <c r="F259" i="8"/>
  <c r="F521" i="8"/>
  <c r="F762" i="8"/>
  <c r="F421" i="8"/>
  <c r="F2741" i="8"/>
  <c r="F140" i="8"/>
  <c r="F2380" i="8"/>
  <c r="F1513" i="8"/>
  <c r="F1665" i="8"/>
  <c r="F2658" i="8"/>
  <c r="F674" i="8"/>
  <c r="F812" i="8"/>
  <c r="F2545" i="8"/>
  <c r="F218" i="8"/>
  <c r="F1543" i="8"/>
  <c r="F478" i="8"/>
  <c r="F275" i="8"/>
  <c r="F3035" i="8"/>
  <c r="F2867" i="8"/>
  <c r="F850" i="8"/>
  <c r="F2176" i="8"/>
  <c r="F664" i="8"/>
  <c r="F1685" i="8"/>
  <c r="F596" i="8"/>
  <c r="F372" i="8"/>
  <c r="F2336" i="8"/>
  <c r="F1134" i="8"/>
  <c r="F684" i="8"/>
  <c r="F261" i="8"/>
  <c r="F911" i="8"/>
  <c r="F1467" i="8"/>
  <c r="F2365" i="8"/>
  <c r="F2709" i="8"/>
  <c r="F2841" i="8"/>
  <c r="F755" i="8"/>
  <c r="F1907" i="8"/>
  <c r="F2702" i="8"/>
  <c r="F555" i="8"/>
  <c r="F1723" i="8"/>
  <c r="F117" i="8"/>
  <c r="F67" i="8"/>
  <c r="F294" i="8"/>
  <c r="F2154" i="8"/>
  <c r="F2601" i="8"/>
  <c r="F401" i="8"/>
  <c r="F2491" i="8"/>
  <c r="F2617" i="8"/>
  <c r="F1019" i="8"/>
  <c r="F307" i="8"/>
  <c r="F109" i="8"/>
  <c r="F1781" i="8"/>
  <c r="F2131" i="8"/>
  <c r="F155" i="8"/>
  <c r="F312" i="8"/>
  <c r="F628" i="8"/>
  <c r="F1933" i="8"/>
  <c r="F57" i="8"/>
  <c r="F306" i="8"/>
  <c r="F317" i="8"/>
  <c r="F2007" i="8"/>
  <c r="F319" i="8"/>
  <c r="F611" i="8"/>
  <c r="F92" i="8"/>
  <c r="F74" i="8"/>
  <c r="F40" i="8"/>
  <c r="F2232" i="8"/>
  <c r="F206" i="8"/>
  <c r="F200" i="8"/>
  <c r="F414" i="8"/>
  <c r="F304" i="8"/>
  <c r="F3008" i="8"/>
  <c r="F2969" i="8"/>
  <c r="F1641" i="8"/>
  <c r="F916" i="8"/>
  <c r="F2591" i="8"/>
  <c r="F334" i="8"/>
  <c r="F2907" i="8"/>
  <c r="F2182" i="8"/>
  <c r="F467" i="8"/>
  <c r="F1539" i="8"/>
  <c r="F634" i="8"/>
  <c r="F1927" i="8"/>
  <c r="F766" i="8"/>
  <c r="F2376" i="8"/>
  <c r="F1961" i="8"/>
  <c r="F2724" i="8"/>
  <c r="F654" i="8"/>
  <c r="F288" i="8"/>
  <c r="F1206" i="8"/>
  <c r="F2437" i="8"/>
  <c r="F2920" i="8"/>
  <c r="F1795" i="8"/>
  <c r="F453" i="8"/>
  <c r="F2218" i="8"/>
  <c r="F410" i="8"/>
  <c r="F354" i="8"/>
  <c r="F1101" i="8"/>
  <c r="F693" i="8"/>
  <c r="F2963" i="8"/>
  <c r="F579" i="8"/>
  <c r="F416" i="8"/>
  <c r="F805" i="8"/>
  <c r="F972" i="8"/>
  <c r="F396" i="8"/>
  <c r="F2972" i="8"/>
  <c r="F2781" i="8"/>
  <c r="F365" i="8"/>
  <c r="F72" i="8"/>
  <c r="F988" i="8"/>
  <c r="F2163" i="8"/>
  <c r="F114" i="8"/>
  <c r="F638" i="8"/>
  <c r="F192" i="8"/>
  <c r="F234" i="8"/>
  <c r="F898" i="8"/>
  <c r="F374" i="8"/>
  <c r="F2454" i="8"/>
  <c r="F1473" i="8"/>
  <c r="F163" i="8"/>
  <c r="F2715" i="8"/>
  <c r="F1550" i="8"/>
  <c r="F2787" i="8"/>
  <c r="F87" i="8"/>
  <c r="F942" i="8"/>
  <c r="F626" i="8"/>
  <c r="F487" i="8"/>
  <c r="F880" i="8"/>
  <c r="F2726" i="8"/>
  <c r="F387" i="8"/>
  <c r="F2003" i="8"/>
  <c r="F569" i="8"/>
  <c r="F76" i="8"/>
  <c r="F2169" i="8"/>
  <c r="F759" i="8"/>
  <c r="F295" i="8"/>
  <c r="F2727" i="8"/>
  <c r="F2004" i="8"/>
  <c r="F171" i="8"/>
  <c r="F413" i="8"/>
  <c r="F2090" i="8"/>
  <c r="F112" i="8"/>
  <c r="F1252" i="8"/>
  <c r="F681" i="8"/>
  <c r="F399" i="8"/>
  <c r="F2168" i="8"/>
  <c r="F1530" i="8"/>
  <c r="F2585" i="8"/>
  <c r="F1837" i="8"/>
  <c r="F3084" i="8"/>
  <c r="F314" i="8"/>
  <c r="F409" i="8"/>
  <c r="F1125" i="8"/>
  <c r="F1043" i="8"/>
  <c r="F1421" i="8"/>
  <c r="F2042" i="8"/>
  <c r="F1503" i="8"/>
  <c r="F2490" i="8"/>
  <c r="F2448" i="8"/>
  <c r="F1438" i="8"/>
  <c r="F418" i="8"/>
  <c r="F2470" i="8"/>
  <c r="F915" i="8"/>
  <c r="F1864" i="8"/>
  <c r="F1012" i="8"/>
  <c r="F493" i="8"/>
  <c r="F1039" i="8"/>
  <c r="F1755" i="8"/>
  <c r="F753" i="8"/>
  <c r="F420" i="8"/>
  <c r="F1981" i="8"/>
  <c r="F948" i="8"/>
  <c r="F2762" i="8"/>
  <c r="F97" i="8"/>
  <c r="F1072" i="8"/>
  <c r="F680" i="8"/>
  <c r="F3090" i="8"/>
  <c r="F874" i="8"/>
  <c r="F2955" i="8"/>
  <c r="F437" i="8"/>
  <c r="F1551" i="8"/>
  <c r="F2292" i="8"/>
  <c r="F511" i="8"/>
  <c r="F224" i="8"/>
  <c r="F1318" i="8"/>
  <c r="F558" i="8"/>
  <c r="F144" i="8"/>
  <c r="F445" i="8"/>
  <c r="F2357" i="8"/>
  <c r="F825" i="8"/>
  <c r="F455" i="8"/>
  <c r="F282" i="8"/>
  <c r="F784" i="8"/>
  <c r="F2858" i="8"/>
  <c r="F1651" i="8"/>
  <c r="F711" i="8"/>
  <c r="F454" i="8"/>
  <c r="F248" i="8"/>
  <c r="F440" i="8"/>
  <c r="F2215" i="8"/>
  <c r="F1468" i="8"/>
  <c r="F1299" i="8"/>
  <c r="F2602" i="8"/>
  <c r="F1233" i="8"/>
  <c r="F621" i="8"/>
  <c r="F204" i="8"/>
  <c r="F168" i="8"/>
  <c r="F1143" i="8"/>
  <c r="F2570" i="8"/>
  <c r="F731" i="8"/>
  <c r="F11" i="8"/>
  <c r="F272" i="8"/>
  <c r="F2757" i="8"/>
  <c r="F1028" i="8"/>
  <c r="F940" i="8"/>
  <c r="F1457" i="8"/>
  <c r="F251" i="8"/>
  <c r="F1911" i="8"/>
  <c r="F924" i="8"/>
  <c r="F1968" i="8"/>
  <c r="F190" i="8"/>
  <c r="F130" i="8"/>
  <c r="F1496" i="8"/>
  <c r="F432" i="8"/>
  <c r="F507" i="8"/>
  <c r="F662" i="8"/>
  <c r="F2651" i="8"/>
  <c r="F3" i="8"/>
  <c r="F370" i="8"/>
  <c r="F41" i="8"/>
  <c r="F553" i="8"/>
  <c r="F2959" i="8"/>
  <c r="F687" i="8"/>
  <c r="F1975" i="8"/>
  <c r="F1916" i="8"/>
  <c r="F2098" i="8"/>
  <c r="F2765" i="8"/>
  <c r="F2274" i="8"/>
  <c r="F839" i="8"/>
  <c r="F978" i="8"/>
  <c r="F2022" i="8"/>
  <c r="F1124" i="8"/>
  <c r="F500" i="8"/>
  <c r="F265" i="8"/>
  <c r="F2225" i="8"/>
  <c r="F283" i="8"/>
  <c r="F2729" i="8"/>
  <c r="F883" i="8"/>
  <c r="F716" i="8"/>
  <c r="F963" i="8"/>
  <c r="F1834" i="8"/>
  <c r="F1058" i="8"/>
  <c r="F431" i="8"/>
  <c r="F2242" i="8"/>
  <c r="F2551" i="8"/>
  <c r="F1437" i="8"/>
  <c r="F2527" i="8"/>
  <c r="F1065" i="8"/>
  <c r="F876" i="8"/>
  <c r="F1108" i="8"/>
  <c r="F2240" i="8"/>
  <c r="F920" i="8"/>
  <c r="F2875" i="8"/>
  <c r="F1811" i="8"/>
  <c r="F790" i="8"/>
  <c r="F1572" i="8"/>
  <c r="F221" i="8"/>
  <c r="F311" i="8"/>
  <c r="F423" i="8"/>
  <c r="F2067" i="8"/>
  <c r="F494" i="8"/>
  <c r="F2475" i="8"/>
  <c r="F107" i="8"/>
  <c r="F564" i="8"/>
  <c r="F910" i="8"/>
  <c r="F489" i="8"/>
  <c r="F1103" i="8"/>
  <c r="F2755" i="8"/>
  <c r="F2834" i="8"/>
  <c r="F1475" i="8"/>
  <c r="F313" i="8"/>
  <c r="F518" i="8"/>
  <c r="F2584" i="8"/>
  <c r="F777" i="8"/>
  <c r="F953" i="8"/>
  <c r="F1095" i="8"/>
  <c r="F813" i="8"/>
  <c r="F977" i="8"/>
  <c r="F1079" i="8"/>
  <c r="F2308" i="8"/>
  <c r="F1372" i="8"/>
  <c r="F747" i="8"/>
  <c r="F71" i="8"/>
  <c r="F1494" i="8"/>
  <c r="F1920" i="8"/>
  <c r="F129" i="8"/>
  <c r="F3010" i="8"/>
  <c r="F439" i="8"/>
  <c r="F121" i="8"/>
  <c r="F529" i="8"/>
  <c r="F979" i="8"/>
  <c r="F133" i="8"/>
  <c r="F407" i="8"/>
  <c r="F1364" i="8"/>
  <c r="F253" i="8"/>
  <c r="F477" i="8"/>
  <c r="F817" i="8"/>
  <c r="F661" i="8"/>
  <c r="F2874" i="8"/>
  <c r="F293" i="8"/>
  <c r="F379" i="8"/>
  <c r="F75" i="8"/>
  <c r="F707" i="8"/>
  <c r="F169" i="8"/>
  <c r="F355" i="8"/>
  <c r="F1540" i="8"/>
  <c r="F1824" i="8"/>
  <c r="F303" i="8"/>
  <c r="F2185" i="8"/>
  <c r="F2393" i="8"/>
  <c r="F26" i="8"/>
  <c r="F2000" i="8"/>
  <c r="F1096" i="8"/>
  <c r="F512" i="8"/>
  <c r="F1006" i="8"/>
  <c r="F384" i="8"/>
  <c r="F820" i="8"/>
  <c r="F1742" i="8"/>
  <c r="F3073" i="8"/>
  <c r="F82" i="8"/>
  <c r="F745" i="8"/>
  <c r="F2588" i="8"/>
  <c r="F1689" i="8"/>
  <c r="F1622" i="8"/>
  <c r="F1520" i="8"/>
  <c r="F466" i="8"/>
  <c r="F1612" i="8"/>
  <c r="F520" i="8"/>
  <c r="F246" i="8"/>
  <c r="F789" i="8"/>
  <c r="F2694" i="8"/>
  <c r="F305" i="8"/>
  <c r="F2830" i="8"/>
  <c r="F1902" i="8"/>
  <c r="F188" i="8"/>
  <c r="F1649" i="8"/>
  <c r="F89" i="8"/>
  <c r="F964" i="8"/>
  <c r="F2356" i="8"/>
  <c r="F1428" i="8"/>
  <c r="F1048" i="8"/>
  <c r="F2247" i="8"/>
  <c r="F1974" i="8"/>
  <c r="F1721" i="8"/>
  <c r="F2663" i="8"/>
  <c r="F1326" i="8"/>
  <c r="F2807" i="8"/>
  <c r="F411" i="8"/>
  <c r="F1001" i="8"/>
  <c r="F154" i="8"/>
  <c r="F562" i="8"/>
  <c r="F552" i="8"/>
  <c r="F1785" i="8"/>
  <c r="F65" i="8"/>
  <c r="F2674" i="8"/>
  <c r="F1417" i="8"/>
  <c r="F1098" i="8"/>
  <c r="F556" i="8"/>
  <c r="F1814" i="8"/>
  <c r="F816" i="8"/>
  <c r="F1598" i="8"/>
  <c r="F468" i="8"/>
  <c r="F383" i="8"/>
  <c r="F632" i="8"/>
  <c r="F138" i="8"/>
  <c r="F185" i="8"/>
  <c r="F484" i="8"/>
  <c r="F635" i="8"/>
  <c r="F1964" i="8"/>
  <c r="F162" i="8"/>
  <c r="F175" i="8"/>
  <c r="F471" i="8"/>
  <c r="F33" i="8"/>
  <c r="F34" i="8"/>
  <c r="F182" i="8"/>
  <c r="F1584" i="8"/>
  <c r="F1115" i="8"/>
  <c r="F3033" i="8"/>
  <c r="F237" i="8"/>
  <c r="F2378" i="8"/>
  <c r="F392" i="8"/>
  <c r="F2770" i="8"/>
  <c r="F1866" i="8"/>
  <c r="F1017" i="8"/>
  <c r="F352" i="8"/>
  <c r="F718" i="8"/>
  <c r="F2654" i="8"/>
  <c r="F861" i="8"/>
  <c r="F2467" i="8"/>
  <c r="F1894" i="8"/>
  <c r="F6" i="8"/>
  <c r="F659" i="8"/>
  <c r="F81" i="8"/>
  <c r="F2024" i="8"/>
  <c r="F737" i="8"/>
  <c r="F1621" i="8"/>
  <c r="F2927" i="8"/>
  <c r="F278" i="8"/>
  <c r="F1361" i="8"/>
  <c r="F60" i="8"/>
  <c r="F865" i="8"/>
  <c r="F608" i="8"/>
  <c r="F670" i="8"/>
  <c r="F1376" i="8"/>
  <c r="F1037" i="8"/>
  <c r="F229" i="8"/>
  <c r="F1286" i="8"/>
  <c r="F3036" i="8"/>
  <c r="F1708" i="8"/>
  <c r="F677" i="8"/>
  <c r="F1802" i="8"/>
  <c r="F184" i="8"/>
  <c r="F557" i="8"/>
  <c r="F912" i="8"/>
  <c r="F2885" i="8"/>
  <c r="F332" i="8"/>
  <c r="F2956" i="8"/>
  <c r="F1234" i="8"/>
  <c r="F159" i="8"/>
  <c r="F1024" i="8"/>
  <c r="F1626" i="8"/>
  <c r="F934" i="8"/>
  <c r="F1823" i="8"/>
  <c r="F2353" i="8"/>
  <c r="F189" i="8"/>
  <c r="F1601" i="8"/>
  <c r="F345" i="8"/>
  <c r="F954" i="8"/>
  <c r="F2474" i="8"/>
  <c r="F408" i="8"/>
  <c r="F908" i="8"/>
  <c r="F699" i="8"/>
  <c r="F700" i="8"/>
  <c r="F1631" i="8"/>
  <c r="F702" i="8"/>
  <c r="F124" i="8"/>
  <c r="F1191" i="8"/>
  <c r="F2575" i="8"/>
  <c r="F2164" i="8"/>
  <c r="F947" i="8"/>
  <c r="F918" i="8"/>
  <c r="F2836" i="8"/>
  <c r="F1362" i="8"/>
  <c r="F2174" i="8"/>
  <c r="F1241" i="8"/>
  <c r="F1015" i="8"/>
  <c r="F714" i="8"/>
  <c r="F398" i="8"/>
  <c r="F480" i="8"/>
  <c r="F2587" i="8"/>
  <c r="F2759" i="8"/>
  <c r="F719" i="8"/>
  <c r="F720" i="8"/>
  <c r="F412" i="8"/>
  <c r="F997" i="8"/>
  <c r="F723" i="8"/>
  <c r="F2404" i="8"/>
  <c r="F2535" i="8"/>
  <c r="F726" i="8"/>
  <c r="F673" i="8"/>
  <c r="F1792" i="8"/>
  <c r="F729" i="8"/>
  <c r="F66" i="8"/>
  <c r="F603" i="8"/>
  <c r="F256" i="8"/>
  <c r="F733" i="8"/>
  <c r="F588" i="8"/>
  <c r="F1487" i="8"/>
  <c r="F29" i="8"/>
  <c r="F1762" i="8"/>
  <c r="F738" i="8"/>
  <c r="F1589" i="8"/>
  <c r="F199" i="8"/>
  <c r="F679" i="8"/>
  <c r="F179" i="8"/>
  <c r="F743" i="8"/>
  <c r="F238" i="8"/>
  <c r="F1497" i="8"/>
  <c r="F2989" i="8"/>
  <c r="F476" i="8"/>
  <c r="F111" i="8"/>
  <c r="F1057" i="8"/>
  <c r="F750" i="8"/>
  <c r="F751" i="8"/>
  <c r="F446" i="8"/>
  <c r="F690" i="8"/>
  <c r="F110" i="8"/>
  <c r="F177" i="8"/>
  <c r="F22" i="8"/>
  <c r="F757" i="8"/>
  <c r="F232" i="8"/>
  <c r="F870" i="8"/>
  <c r="F435" i="8"/>
  <c r="F178" i="8"/>
  <c r="F310" i="8"/>
  <c r="F945" i="8"/>
  <c r="F971" i="8"/>
  <c r="F765" i="8"/>
  <c r="F2267" i="8"/>
  <c r="F193" i="8"/>
  <c r="F62" i="8"/>
  <c r="F2197" i="8"/>
  <c r="F782" i="8"/>
  <c r="F2080" i="8"/>
  <c r="F525" i="8"/>
  <c r="F1843" i="8"/>
  <c r="F2046" i="8"/>
  <c r="F326" i="8"/>
  <c r="F2947" i="8"/>
  <c r="F2511" i="8"/>
  <c r="F778" i="8"/>
  <c r="F330" i="8"/>
  <c r="F1508" i="8"/>
  <c r="F2401" i="8"/>
  <c r="F2711" i="8"/>
  <c r="F570" i="8"/>
  <c r="F1733" i="8"/>
  <c r="F785" i="8"/>
  <c r="F2124" i="8"/>
  <c r="F1913" i="8"/>
  <c r="F797" i="8"/>
  <c r="F652" i="8"/>
  <c r="F582" i="8"/>
  <c r="F791" i="8"/>
  <c r="F792" i="8"/>
  <c r="F1365" i="8"/>
  <c r="F591" i="8"/>
  <c r="F795" i="8"/>
  <c r="F932" i="8"/>
  <c r="F2290" i="8"/>
  <c r="F308" i="8"/>
  <c r="F143" i="8"/>
  <c r="F800" i="8"/>
  <c r="F801" i="8"/>
  <c r="F802" i="8"/>
  <c r="F1877" i="8"/>
  <c r="F2790" i="8"/>
  <c r="F1516" i="8"/>
  <c r="F806" i="8"/>
  <c r="F2971" i="8"/>
  <c r="F808" i="8"/>
  <c r="F2314" i="8"/>
  <c r="F810" i="8"/>
  <c r="F1000" i="8"/>
  <c r="F3023" i="8"/>
  <c r="F2748" i="8"/>
  <c r="F2016" i="8"/>
  <c r="F328" i="8"/>
  <c r="F196" i="8"/>
  <c r="F526" i="8"/>
  <c r="F2208" i="8"/>
  <c r="F2700" i="8"/>
  <c r="F667" i="8"/>
  <c r="F205" i="8"/>
  <c r="F2983" i="8"/>
  <c r="F823" i="8"/>
  <c r="F824" i="8"/>
  <c r="F1917" i="8"/>
  <c r="F1084" i="8"/>
  <c r="F827" i="8"/>
  <c r="F1921" i="8"/>
  <c r="F829" i="8"/>
  <c r="F462" i="8"/>
  <c r="F831" i="8"/>
  <c r="F2810" i="8"/>
  <c r="F1287" i="8"/>
  <c r="F1007" i="8"/>
  <c r="F1882" i="8"/>
  <c r="F836" i="8"/>
  <c r="F457" i="8"/>
  <c r="F838" i="8"/>
  <c r="F2118" i="8"/>
  <c r="F2923" i="8"/>
  <c r="F841" i="8"/>
  <c r="F996" i="8"/>
  <c r="F449" i="8"/>
  <c r="F497" i="8"/>
  <c r="F845" i="8"/>
  <c r="F235" i="8"/>
  <c r="F847" i="8"/>
  <c r="F1624" i="8"/>
  <c r="F1707" i="8"/>
  <c r="F348" i="8"/>
  <c r="F1353" i="8"/>
  <c r="F1139" i="8"/>
  <c r="F853" i="8"/>
  <c r="F208" i="8"/>
  <c r="F301" i="8"/>
  <c r="F2426" i="8"/>
  <c r="F857" i="8"/>
  <c r="F1112" i="8"/>
  <c r="F2627" i="8"/>
  <c r="F956" i="8"/>
  <c r="F164" i="8"/>
  <c r="F1016" i="8"/>
  <c r="F732" i="8"/>
  <c r="F1407" i="8"/>
  <c r="F937" i="8"/>
  <c r="F2096" i="8"/>
  <c r="F371" i="8"/>
  <c r="F868" i="8"/>
  <c r="F2360" i="8"/>
  <c r="F902" i="8"/>
  <c r="F245" i="8"/>
  <c r="F3032" i="8"/>
  <c r="F227" i="8"/>
  <c r="F592" i="8"/>
  <c r="F548" i="8"/>
  <c r="F167" i="8"/>
  <c r="F1269" i="8"/>
  <c r="F2844" i="8"/>
  <c r="F2510" i="8"/>
  <c r="F1702" i="8"/>
  <c r="F1002" i="8"/>
  <c r="F2840" i="8"/>
  <c r="F2318" i="8"/>
  <c r="F602" i="8"/>
  <c r="F2054" i="8"/>
  <c r="F225" i="8"/>
  <c r="F887" i="8"/>
  <c r="F2905" i="8"/>
  <c r="F1141" i="8"/>
  <c r="F722" i="8"/>
  <c r="F704" i="8"/>
  <c r="F37" i="8"/>
  <c r="F2079" i="8"/>
  <c r="F1760" i="8"/>
  <c r="F451" i="8"/>
  <c r="F896" i="8"/>
  <c r="F3016" i="8"/>
  <c r="F2301" i="8"/>
  <c r="F1868" i="8"/>
  <c r="F2195" i="8"/>
  <c r="F901" i="8"/>
  <c r="F2372" i="8"/>
  <c r="F903" i="8"/>
  <c r="F852" i="8"/>
  <c r="F905" i="8"/>
  <c r="F830" i="8"/>
  <c r="F2486" i="8"/>
  <c r="F983" i="8"/>
  <c r="F909" i="8"/>
  <c r="F721" i="8"/>
  <c r="F216" i="8"/>
  <c r="F2207" i="8"/>
  <c r="F913" i="8"/>
  <c r="F629" i="8"/>
  <c r="F560" i="8"/>
  <c r="F532" i="8"/>
  <c r="F534" i="8"/>
  <c r="F2981" i="8"/>
  <c r="F660" i="8"/>
  <c r="F1839" i="8"/>
  <c r="F1127" i="8"/>
  <c r="F389" i="8"/>
  <c r="F1821" i="8"/>
  <c r="F3055" i="8"/>
  <c r="F2410" i="8"/>
  <c r="F498" i="8"/>
  <c r="F927" i="8"/>
  <c r="F1471" i="8"/>
  <c r="F2405" i="8"/>
  <c r="F461" i="8"/>
  <c r="F3034" i="8"/>
  <c r="F241" i="8"/>
  <c r="F1107" i="8"/>
  <c r="F917" i="8"/>
  <c r="F655" i="8"/>
  <c r="F2180" i="8"/>
  <c r="F1613" i="8"/>
  <c r="F258" i="8"/>
  <c r="F1105" i="8"/>
  <c r="F2349" i="8"/>
  <c r="F2147" i="8"/>
  <c r="F656" i="8"/>
  <c r="F2559" i="8"/>
  <c r="F469" i="8"/>
  <c r="F730" i="8"/>
  <c r="F2394" i="8"/>
  <c r="F351" i="8"/>
  <c r="F598" i="8"/>
  <c r="F2043" i="8"/>
  <c r="F263" i="8"/>
  <c r="F45" i="8"/>
  <c r="F1111" i="8"/>
  <c r="F336" i="8"/>
  <c r="F281" i="8"/>
  <c r="F955" i="8"/>
  <c r="F854" i="8"/>
  <c r="F522" i="8"/>
  <c r="F2452" i="8"/>
  <c r="F834" i="8"/>
  <c r="F309" i="8"/>
  <c r="F2280" i="8"/>
  <c r="F2595" i="8"/>
  <c r="F1998" i="8"/>
  <c r="F991" i="8"/>
  <c r="F2986" i="8"/>
  <c r="F980" i="8"/>
  <c r="F2496" i="8"/>
  <c r="F1718" i="8"/>
  <c r="F969" i="8"/>
  <c r="F2231" i="8"/>
  <c r="F2855" i="8"/>
  <c r="F120" i="8"/>
  <c r="F1088" i="8"/>
  <c r="F1797" i="8"/>
  <c r="F612" i="8"/>
  <c r="F1700" i="8"/>
  <c r="F2422" i="8"/>
  <c r="F2421" i="8"/>
  <c r="F589" i="8"/>
  <c r="F2495" i="8"/>
  <c r="F292" i="8"/>
  <c r="F1654" i="8"/>
  <c r="F2984" i="8"/>
  <c r="F1281" i="8"/>
  <c r="F1679" i="8"/>
  <c r="F986" i="8"/>
  <c r="F929" i="8"/>
  <c r="F928" i="8"/>
  <c r="F2127" i="8"/>
  <c r="F2581" i="8"/>
  <c r="F1852" i="8"/>
  <c r="F2758" i="8"/>
  <c r="F425" i="8"/>
  <c r="F2481" i="8"/>
  <c r="F989" i="8"/>
  <c r="F998" i="8"/>
  <c r="F403" i="8"/>
  <c r="F1525" i="8"/>
  <c r="F1093" i="8"/>
  <c r="F2166" i="8"/>
  <c r="F2006" i="8"/>
  <c r="F1427" i="8"/>
  <c r="F528" i="8"/>
  <c r="F1426" i="8"/>
  <c r="F1726" i="8"/>
  <c r="F943" i="8"/>
  <c r="F1698" i="8"/>
  <c r="F3049" i="8"/>
  <c r="F866" i="8"/>
  <c r="F2146" i="8"/>
  <c r="F1253" i="8"/>
  <c r="F890" i="8"/>
  <c r="F2358" i="8"/>
  <c r="F1310" i="8"/>
  <c r="F1893" i="8"/>
  <c r="F239" i="8"/>
  <c r="F828" i="8"/>
  <c r="F949" i="8"/>
  <c r="F2756" i="8"/>
  <c r="F2670" i="8"/>
  <c r="F2540" i="8"/>
  <c r="F2295" i="8"/>
  <c r="F243" i="8"/>
  <c r="F580" i="8"/>
  <c r="F166" i="8"/>
  <c r="F1026" i="8"/>
  <c r="F1027" i="8"/>
  <c r="F1635" i="8"/>
  <c r="F818" i="8"/>
  <c r="F2029" i="8"/>
  <c r="F331" i="8"/>
  <c r="F1929" i="8"/>
  <c r="F181" i="8"/>
  <c r="F2563" i="8"/>
  <c r="F2897" i="8"/>
  <c r="F1036" i="8"/>
  <c r="F1381" i="8"/>
  <c r="F2676" i="8"/>
  <c r="F620" i="8"/>
  <c r="F3053" i="8"/>
  <c r="F619" i="8"/>
  <c r="F2049" i="8"/>
  <c r="F390" i="8"/>
  <c r="F1858" i="8"/>
  <c r="F438" i="8"/>
  <c r="F2539" i="8"/>
  <c r="F1047" i="8"/>
  <c r="F577" i="8"/>
  <c r="F546" i="8"/>
  <c r="F222" i="8"/>
  <c r="F1731" i="8"/>
  <c r="F931" i="8"/>
  <c r="F2638" i="8"/>
  <c r="F213" i="8"/>
  <c r="F1055" i="8"/>
  <c r="F2352" i="8"/>
  <c r="F1439" i="8"/>
  <c r="F368" i="8"/>
  <c r="F590" i="8"/>
  <c r="F1441" i="8"/>
  <c r="F315" i="8"/>
  <c r="F1784" i="8"/>
  <c r="F360" i="8"/>
  <c r="F1333" i="8"/>
  <c r="F1528" i="8"/>
  <c r="F1885" i="8"/>
  <c r="F7" i="8"/>
  <c r="F244" i="8"/>
  <c r="F300" i="8"/>
  <c r="F1577" i="8"/>
  <c r="F417" i="8"/>
  <c r="F1395" i="8"/>
  <c r="F2115" i="8"/>
  <c r="F1117" i="8"/>
  <c r="F134" i="8"/>
  <c r="F1076" i="8"/>
  <c r="F735" i="8"/>
  <c r="F1078" i="8"/>
  <c r="F666" i="8"/>
  <c r="F503" i="8"/>
  <c r="F441" i="8"/>
  <c r="F1025" i="8"/>
  <c r="F2716" i="8"/>
  <c r="F1347" i="8"/>
  <c r="F1029" i="8"/>
  <c r="F2150" i="8"/>
  <c r="F1915" i="8"/>
  <c r="F378" i="8"/>
  <c r="F703" i="8"/>
  <c r="F1104" i="8"/>
  <c r="F1091" i="8"/>
  <c r="F837" i="8"/>
  <c r="F1854" i="8"/>
  <c r="F2721" i="8"/>
  <c r="F240" i="8"/>
  <c r="F2672" i="8"/>
  <c r="F1097" i="8"/>
  <c r="F1640" i="8"/>
  <c r="F1099" i="8"/>
  <c r="F3087" i="8"/>
  <c r="F599" i="8"/>
  <c r="F376" i="8"/>
  <c r="F993" i="8"/>
  <c r="F460" i="8"/>
  <c r="F900" i="8"/>
  <c r="F473" i="8"/>
  <c r="F744" i="8"/>
  <c r="F1237" i="8"/>
  <c r="F1939" i="8"/>
  <c r="F803" i="8"/>
  <c r="F646" i="8"/>
  <c r="F266" i="8"/>
  <c r="F356" i="8"/>
  <c r="F2996" i="8"/>
  <c r="F1782" i="8"/>
  <c r="F268" i="8"/>
  <c r="F2458" i="8"/>
  <c r="F2355" i="8"/>
  <c r="F1552" i="8"/>
  <c r="F2019" i="8"/>
  <c r="F1242" i="8"/>
  <c r="F1122" i="8"/>
  <c r="F2328" i="8"/>
  <c r="F533" i="8"/>
  <c r="F544" i="8"/>
  <c r="F2642" i="8"/>
  <c r="F1783" i="8"/>
  <c r="F424" i="8"/>
  <c r="F686" i="8"/>
  <c r="F2822" i="8"/>
  <c r="F1131" i="8"/>
  <c r="F32" i="8"/>
  <c r="F1650" i="8"/>
  <c r="F1120" i="8"/>
  <c r="F617" i="8"/>
  <c r="F340" i="8"/>
  <c r="F1137" i="8"/>
  <c r="F1436" i="8"/>
  <c r="F1542" i="8"/>
  <c r="F262" i="8"/>
  <c r="F1534" i="8"/>
  <c r="F195" i="8"/>
  <c r="F1052" i="8"/>
  <c r="F2119" i="8"/>
  <c r="F1145" i="8"/>
  <c r="F2998" i="8"/>
  <c r="F1573" i="8"/>
  <c r="F2279" i="8"/>
  <c r="F936" i="8"/>
  <c r="F1150" i="8"/>
  <c r="F2753" i="8"/>
  <c r="F783" i="8"/>
  <c r="F284" i="8"/>
  <c r="F2340" i="8"/>
  <c r="F769" i="8"/>
  <c r="F1265" i="8"/>
  <c r="F1157" i="8"/>
  <c r="F1158" i="8"/>
  <c r="F688" i="8"/>
  <c r="F788" i="8"/>
  <c r="F2734" i="8"/>
  <c r="F1080" i="8"/>
  <c r="F230" i="8"/>
  <c r="F3081" i="8"/>
  <c r="F2027" i="8"/>
  <c r="F1166" i="8"/>
  <c r="F772" i="8"/>
  <c r="F146" i="8"/>
  <c r="F1637" i="8"/>
  <c r="F1054" i="8"/>
  <c r="F3052" i="8"/>
  <c r="F1358" i="8"/>
  <c r="F231" i="8"/>
  <c r="F1174" i="8"/>
  <c r="F349" i="8"/>
  <c r="F2776" i="8"/>
  <c r="F1791" i="8"/>
  <c r="F1178" i="8"/>
  <c r="F1561" i="8"/>
  <c r="F516" i="8"/>
  <c r="F624" i="8"/>
  <c r="F1738" i="8"/>
  <c r="F1865" i="8"/>
  <c r="F535" i="8"/>
  <c r="F2633" i="8"/>
  <c r="F1710" i="8"/>
  <c r="F1459" i="8"/>
  <c r="F2304" i="8"/>
  <c r="F1189" i="8"/>
  <c r="F2245" i="8"/>
  <c r="F482" i="8"/>
  <c r="F433" i="8"/>
  <c r="F1432" i="8"/>
  <c r="F705" i="8"/>
  <c r="F563" i="8"/>
  <c r="F2775" i="8"/>
  <c r="F524" i="8"/>
  <c r="F270" i="8"/>
  <c r="F3042" i="8"/>
  <c r="F1393" i="8"/>
  <c r="F2531" i="8"/>
  <c r="F701" i="8"/>
  <c r="F1203" i="8"/>
  <c r="F223" i="8"/>
  <c r="F2461" i="8"/>
  <c r="F2779" i="8"/>
  <c r="F1207" i="8"/>
  <c r="F395" i="8"/>
  <c r="F1209" i="8"/>
  <c r="F2803" i="8"/>
  <c r="F1211" i="8"/>
  <c r="F4" i="8"/>
  <c r="F444" i="8"/>
  <c r="F604" i="8"/>
  <c r="F2300" i="8"/>
  <c r="F273" i="8"/>
  <c r="F2403" i="8"/>
  <c r="F1119" i="8"/>
  <c r="F1320" i="8"/>
  <c r="F2116" i="8"/>
  <c r="F1221" i="8"/>
  <c r="F2795" i="8"/>
  <c r="F2123" i="8"/>
  <c r="F1224" i="8"/>
  <c r="F1557" i="8"/>
  <c r="F623" i="8"/>
  <c r="F2262" i="8"/>
  <c r="F394" i="8"/>
  <c r="F1763" i="8"/>
  <c r="F1692" i="8"/>
  <c r="F510" i="8"/>
  <c r="F1232" i="8"/>
  <c r="F1215" i="8"/>
  <c r="F335" i="8"/>
  <c r="F1194" i="8"/>
  <c r="F228" i="8"/>
  <c r="F430" i="8"/>
  <c r="F391" i="8"/>
  <c r="F2322" i="8"/>
  <c r="F320" i="8"/>
  <c r="F675" i="8"/>
  <c r="F1695" i="8"/>
  <c r="F1243" i="8"/>
  <c r="F567" i="8"/>
  <c r="F1245" i="8"/>
  <c r="F2528" i="8"/>
  <c r="F637" i="8"/>
  <c r="F485" i="8"/>
  <c r="F1433" i="8"/>
  <c r="F754" i="8"/>
  <c r="F640" i="8"/>
  <c r="F2058" i="8"/>
  <c r="F1363" i="8"/>
  <c r="F799" i="8"/>
  <c r="F1219" i="8"/>
  <c r="F3001" i="8"/>
  <c r="F508" i="8"/>
  <c r="F2789" i="8"/>
  <c r="F904" i="8"/>
  <c r="F717" i="8"/>
  <c r="F1419" i="8"/>
  <c r="F1172" i="8"/>
  <c r="F1928" i="8"/>
  <c r="F2679" i="8"/>
  <c r="F3005" i="8"/>
  <c r="F1160" i="8"/>
  <c r="F1069" i="8"/>
  <c r="F1732" i="8"/>
  <c r="F55" i="8"/>
  <c r="F653" i="8"/>
  <c r="F2862" i="8"/>
  <c r="F1272" i="8"/>
  <c r="F734" i="8"/>
  <c r="F2800" i="8"/>
  <c r="F1829" i="8"/>
  <c r="F1276" i="8"/>
  <c r="F2017" i="8"/>
  <c r="F2310" i="8"/>
  <c r="F1820" i="8"/>
  <c r="F1355" i="8"/>
  <c r="F1815" i="8"/>
  <c r="F614" i="8"/>
  <c r="F1283" i="8"/>
  <c r="F1284" i="8"/>
  <c r="F1285" i="8"/>
  <c r="F2408" i="8"/>
  <c r="F1848" i="8"/>
  <c r="F302" i="8"/>
  <c r="F2925" i="8"/>
  <c r="F1290" i="8"/>
  <c r="F1863" i="8"/>
  <c r="F2424" i="8"/>
  <c r="F2890" i="8"/>
  <c r="F126" i="8"/>
  <c r="F338" i="8"/>
  <c r="F1451" i="8"/>
  <c r="F1750" i="8"/>
  <c r="F1298" i="8"/>
  <c r="F1531" i="8"/>
  <c r="F2387" i="8"/>
  <c r="F1966" i="8"/>
  <c r="F1558" i="8"/>
  <c r="F663" i="8"/>
  <c r="F3046" i="8"/>
  <c r="F450" i="8"/>
  <c r="F1368" i="8"/>
  <c r="F2626" i="8"/>
  <c r="F1308" i="8"/>
  <c r="F935" i="8"/>
  <c r="F50" i="8"/>
  <c r="F1311" i="8"/>
  <c r="F1536" i="8"/>
  <c r="F2645" i="8"/>
  <c r="F2783" i="8"/>
  <c r="F2860" i="8"/>
  <c r="F657" i="8"/>
  <c r="F1553" i="8"/>
  <c r="F844" i="8"/>
  <c r="F343" i="8"/>
  <c r="F3085" i="8"/>
  <c r="F1410" i="8"/>
  <c r="F1835" i="8"/>
  <c r="F264" i="8"/>
  <c r="F1010" i="8"/>
  <c r="F873" i="8"/>
  <c r="F2952" i="8"/>
  <c r="F517" i="8"/>
  <c r="F885" i="8"/>
  <c r="F1312" i="8"/>
  <c r="F1050" i="8"/>
  <c r="F1610" i="8"/>
  <c r="F554" i="8"/>
  <c r="F1325" i="8"/>
  <c r="F1574" i="8"/>
  <c r="F2829" i="8"/>
  <c r="F2745" i="8"/>
  <c r="F2444" i="8"/>
  <c r="F1908" i="8"/>
  <c r="F706" i="8"/>
  <c r="F2018" i="8"/>
  <c r="F2871" i="8"/>
  <c r="F2282" i="8"/>
  <c r="F1515" i="8"/>
  <c r="F452" i="8"/>
  <c r="F2406" i="8"/>
  <c r="F161" i="8"/>
  <c r="F1851" i="8"/>
  <c r="F1348" i="8"/>
  <c r="F671" i="8"/>
  <c r="F1423" i="8"/>
  <c r="F2395" i="8"/>
  <c r="F1248" i="8"/>
  <c r="F456" i="8"/>
  <c r="F2704" i="8"/>
  <c r="F767" i="8"/>
  <c r="F1659" i="8"/>
  <c r="F1142" i="8"/>
  <c r="F1031" i="8"/>
  <c r="F527" i="8"/>
  <c r="F835" i="8"/>
  <c r="F1941" i="8"/>
  <c r="F2597" i="8"/>
  <c r="F1462" i="8"/>
  <c r="F571" i="8"/>
  <c r="F2843" i="8"/>
  <c r="F2125" i="8"/>
  <c r="F809" i="8"/>
  <c r="F1061" i="8"/>
  <c r="F2051" i="8"/>
  <c r="F1370" i="8"/>
  <c r="F1371" i="8"/>
  <c r="F2139" i="8"/>
  <c r="F1969" i="8"/>
  <c r="F2534" i="8"/>
  <c r="F1294" i="8"/>
  <c r="F5" i="8"/>
  <c r="F291" i="8"/>
  <c r="F742" i="8"/>
  <c r="F1213" i="8"/>
  <c r="F1683" i="8"/>
  <c r="F1375" i="8"/>
  <c r="F2820" i="8"/>
  <c r="F1565" i="8"/>
  <c r="F2644" i="8"/>
  <c r="F877" i="8"/>
  <c r="F780" i="8"/>
  <c r="F1387" i="8"/>
  <c r="F1388" i="8"/>
  <c r="F3021" i="8"/>
  <c r="F475" i="8"/>
  <c r="F2192" i="8"/>
  <c r="F1184" i="8"/>
  <c r="F2568" i="8"/>
  <c r="F2165" i="8"/>
  <c r="F2891" i="8"/>
  <c r="F2237" i="8"/>
  <c r="F2616" i="8"/>
  <c r="F1398" i="8"/>
  <c r="F894" i="8"/>
  <c r="F2181" i="8"/>
  <c r="F2848" i="8"/>
  <c r="F1756" i="8"/>
  <c r="F2465" i="8"/>
  <c r="F2636" i="8"/>
  <c r="F2060" i="8"/>
  <c r="F2186" i="8"/>
  <c r="F593" i="8"/>
  <c r="F1899" i="8"/>
  <c r="F2442" i="8"/>
  <c r="F1226" i="8"/>
  <c r="F1013" i="8"/>
  <c r="F1608" i="8"/>
  <c r="F1413" i="8"/>
  <c r="F1414" i="8"/>
  <c r="F538" i="8"/>
  <c r="F386" i="8"/>
  <c r="F855" i="8"/>
  <c r="F1262" i="8"/>
  <c r="F689" i="8"/>
  <c r="F267" i="8"/>
  <c r="F878" i="8"/>
  <c r="F2784" i="8"/>
  <c r="F1349" i="8"/>
  <c r="F576" i="8"/>
  <c r="F257" i="8"/>
  <c r="F1541" i="8"/>
  <c r="F1576" i="8"/>
  <c r="F2056" i="8"/>
  <c r="F1935" i="8"/>
  <c r="F1332" i="8"/>
  <c r="F2904" i="8"/>
  <c r="F2034" i="8"/>
  <c r="F2523" i="8"/>
  <c r="F1244" i="8"/>
  <c r="F2086" i="8"/>
  <c r="F1812" i="8"/>
  <c r="F1972" i="8"/>
  <c r="F1736" i="8"/>
  <c r="F2137" i="8"/>
  <c r="F597" i="8"/>
  <c r="F145" i="8"/>
  <c r="F346" i="8"/>
  <c r="F1443" i="8"/>
  <c r="F2230" i="8"/>
  <c r="F2821" i="8"/>
  <c r="F1634" i="8"/>
  <c r="F1447" i="8"/>
  <c r="F2761" i="8"/>
  <c r="F2833" i="8"/>
  <c r="F2808" i="8"/>
  <c r="F2982" i="8"/>
  <c r="F1955" i="8"/>
  <c r="F1453" i="8"/>
  <c r="F1813" i="8"/>
  <c r="F2223" i="8"/>
  <c r="F486" i="8"/>
  <c r="F1282" i="8"/>
  <c r="F499" i="8"/>
  <c r="F990" i="8"/>
  <c r="F1730" i="8"/>
  <c r="F2664" i="8"/>
  <c r="F2110" i="8"/>
  <c r="F367" i="8"/>
  <c r="F1722" i="8"/>
  <c r="F923" i="8"/>
  <c r="F1646" i="8"/>
  <c r="F833" i="8"/>
  <c r="F1643" i="8"/>
  <c r="F2935" i="8"/>
  <c r="F1022" i="8"/>
  <c r="F157" i="8"/>
  <c r="F1472" i="8"/>
  <c r="F2918" i="8"/>
  <c r="F594" i="8"/>
  <c r="F506" i="8"/>
  <c r="F1315" i="8"/>
  <c r="F1967" i="8"/>
  <c r="F373" i="8"/>
  <c r="F1053" i="8"/>
  <c r="F1590" i="8"/>
  <c r="F2346" i="8"/>
  <c r="F513" i="8"/>
  <c r="F429" i="8"/>
  <c r="F1495" i="8"/>
  <c r="F869" i="8"/>
  <c r="F333" i="8"/>
  <c r="F1521" i="8"/>
  <c r="F2091" i="8"/>
  <c r="F1681" i="8"/>
  <c r="F1990" i="8"/>
  <c r="F3026" i="8"/>
  <c r="F1492" i="8"/>
  <c r="F1100" i="8"/>
  <c r="F922" i="8"/>
  <c r="F323" i="8"/>
  <c r="F2309" i="8"/>
  <c r="F1422" i="8"/>
  <c r="F741" i="8"/>
  <c r="F1499" i="8"/>
  <c r="F1729" i="8"/>
  <c r="F1501" i="8"/>
  <c r="F3076" i="8"/>
  <c r="F1118" i="8"/>
  <c r="F1806" i="8"/>
  <c r="F2791" i="8"/>
  <c r="F1532" i="8"/>
  <c r="F1448" i="8"/>
  <c r="F2103" i="8"/>
  <c r="F1690" i="8"/>
  <c r="F1831" i="8"/>
  <c r="F1246" i="8"/>
  <c r="F2954" i="8"/>
  <c r="F551" i="8"/>
  <c r="F2254" i="8"/>
  <c r="F353" i="8"/>
  <c r="F1179" i="8"/>
  <c r="F760" i="8"/>
  <c r="F2311" i="8"/>
  <c r="F944" i="8"/>
  <c r="F994" i="8"/>
  <c r="F1881" i="8"/>
  <c r="F286" i="8"/>
  <c r="F2924" i="8"/>
  <c r="F1278" i="8"/>
  <c r="F966" i="8"/>
  <c r="F1595" i="8"/>
  <c r="F886" i="8"/>
  <c r="F347" i="8"/>
  <c r="F2556" i="8"/>
  <c r="F957" i="8"/>
  <c r="F2538" i="8"/>
  <c r="F2620" i="8"/>
  <c r="F648" i="8"/>
  <c r="F973" i="8"/>
  <c r="F811" i="8"/>
  <c r="F965" i="8"/>
  <c r="F1537" i="8"/>
  <c r="F650" i="8"/>
  <c r="F1239" i="8"/>
  <c r="F1938" i="8"/>
  <c r="F3054" i="8"/>
  <c r="F191" i="8"/>
  <c r="F1456" i="8"/>
  <c r="F361" i="8"/>
  <c r="F859" i="8"/>
  <c r="F1030" i="8"/>
  <c r="F2687" i="8"/>
  <c r="F1392" i="8"/>
  <c r="F1196" i="8"/>
  <c r="F3015" i="8"/>
  <c r="F2278" i="8"/>
  <c r="F2650" i="8"/>
  <c r="F1758" i="8"/>
  <c r="F531" i="8"/>
  <c r="F1822" i="8"/>
  <c r="F1556" i="8"/>
  <c r="F2417" i="8"/>
  <c r="F794" i="8"/>
  <c r="F1559" i="8"/>
  <c r="F536" i="8"/>
  <c r="F1418" i="8"/>
  <c r="F1591" i="8"/>
  <c r="F2149" i="8"/>
  <c r="F1790" i="8"/>
  <c r="F1600" i="8"/>
  <c r="F186" i="8"/>
  <c r="F1445" i="8"/>
  <c r="F1344" i="8"/>
  <c r="F426" i="8"/>
  <c r="F1570" i="8"/>
  <c r="F952" i="8"/>
  <c r="F481" i="8"/>
  <c r="F1904" i="8"/>
  <c r="F756" i="8"/>
  <c r="F116" i="8"/>
  <c r="F633" i="8"/>
  <c r="F463" i="8"/>
  <c r="F2269" i="8"/>
  <c r="F984" i="8"/>
  <c r="F1978" i="8"/>
  <c r="F2958" i="8"/>
  <c r="F2105" i="8"/>
  <c r="F842" i="8"/>
  <c r="F2055" i="8"/>
  <c r="F708" i="8"/>
  <c r="F1883" i="8"/>
  <c r="F999" i="8"/>
  <c r="F2669" i="8"/>
  <c r="F103" i="8"/>
  <c r="F2087" i="8"/>
  <c r="F959" i="8"/>
  <c r="F565" i="8"/>
  <c r="F925" i="8"/>
  <c r="F1594" i="8"/>
  <c r="F2777" i="8"/>
  <c r="F641" i="8"/>
  <c r="F1597" i="8"/>
  <c r="F2752" i="8"/>
  <c r="F1506" i="8"/>
  <c r="F2038" i="8"/>
  <c r="F764" i="8"/>
  <c r="F1008" i="8"/>
  <c r="F1484" i="8"/>
  <c r="F325" i="8"/>
  <c r="F2746" i="8"/>
  <c r="F2264" i="8"/>
  <c r="F804" i="8"/>
  <c r="F2589" i="8"/>
  <c r="F2327" i="8"/>
  <c r="F2220" i="8"/>
  <c r="F1611" i="8"/>
  <c r="F2552" i="8"/>
  <c r="F815" i="8"/>
  <c r="F1535" i="8"/>
  <c r="F1671" i="8"/>
  <c r="F1616" i="8"/>
  <c r="F1562" i="8"/>
  <c r="F1818" i="8"/>
  <c r="F2847" i="8"/>
  <c r="F1214" i="8"/>
  <c r="F712" i="8"/>
  <c r="F2234" i="8"/>
  <c r="F600" i="8"/>
  <c r="F141" i="8"/>
  <c r="F1321" i="8"/>
  <c r="F274" i="8"/>
  <c r="F698" i="8"/>
  <c r="F249" i="8"/>
  <c r="F2578" i="8"/>
  <c r="F543" i="8"/>
  <c r="F2065" i="8"/>
  <c r="F2433" i="8"/>
  <c r="F651" i="8"/>
  <c r="F422" i="8"/>
  <c r="F3022" i="8"/>
  <c r="F540" i="8"/>
  <c r="F93" i="8"/>
  <c r="F2500" i="8"/>
  <c r="F2083" i="8"/>
  <c r="F697" i="8"/>
  <c r="F2275" i="8"/>
  <c r="F1639" i="8"/>
  <c r="F2420" i="8"/>
  <c r="F2084" i="8"/>
  <c r="F52" i="8"/>
  <c r="F889" i="8"/>
  <c r="F1647" i="8"/>
  <c r="F2572" i="8"/>
  <c r="F1711" i="8"/>
  <c r="F2167" i="8"/>
  <c r="F1149" i="8"/>
  <c r="F832" i="8"/>
  <c r="F781" i="8"/>
  <c r="F2849" i="8"/>
  <c r="F2488" i="8"/>
  <c r="F2786" i="8"/>
  <c r="F2812" i="8"/>
  <c r="F961" i="8"/>
  <c r="F669" i="8"/>
  <c r="F2435" i="8"/>
  <c r="F2747" i="8"/>
  <c r="F566" i="8"/>
  <c r="F1842" i="8"/>
  <c r="F1945" i="8"/>
  <c r="F1519" i="8"/>
  <c r="F636" i="8"/>
  <c r="F358" i="8"/>
  <c r="F271" i="8"/>
  <c r="F321" i="8"/>
  <c r="F1638" i="8"/>
  <c r="F1334" i="8"/>
  <c r="F862" i="8"/>
  <c r="F1359" i="8"/>
  <c r="F1642" i="8"/>
  <c r="F1603" i="8"/>
  <c r="F1167" i="8"/>
  <c r="F1148" i="8"/>
  <c r="F1678" i="8"/>
  <c r="F727" i="8"/>
  <c r="F926" i="8"/>
  <c r="F2706" i="8"/>
  <c r="F2842" i="8"/>
  <c r="F2512" i="8"/>
  <c r="F2066" i="8"/>
  <c r="F95" i="8"/>
  <c r="F2564" i="8"/>
  <c r="F2854" i="8"/>
  <c r="F895" i="8"/>
  <c r="F1984" i="8"/>
  <c r="F2048" i="8"/>
  <c r="F1691" i="8"/>
  <c r="F1210" i="8"/>
  <c r="F1914" i="8"/>
  <c r="F108" i="8"/>
  <c r="F601" i="8"/>
  <c r="F1377" i="8"/>
  <c r="F2272" i="8"/>
  <c r="F941" i="8"/>
  <c r="F279" i="8"/>
  <c r="F2434" i="8"/>
  <c r="F298" i="8"/>
  <c r="F3065" i="8"/>
  <c r="F2188" i="8"/>
  <c r="F3050" i="8"/>
  <c r="F96" i="8"/>
  <c r="F968" i="8"/>
  <c r="F490" i="8"/>
  <c r="F1569" i="8"/>
  <c r="F1709" i="8"/>
  <c r="F2751" i="8"/>
  <c r="F1406" i="8"/>
  <c r="F2479" i="8"/>
  <c r="F768" i="8"/>
  <c r="F1165" i="8"/>
  <c r="F2409" i="8"/>
  <c r="F1716" i="8"/>
  <c r="F2342" i="8"/>
  <c r="F3043" i="8"/>
  <c r="F893" i="8"/>
  <c r="F1033" i="8"/>
  <c r="F276" i="8"/>
  <c r="F864" i="8"/>
  <c r="F2725" i="8"/>
  <c r="F404" i="8"/>
  <c r="F740" i="8"/>
  <c r="F2449" i="8"/>
  <c r="F672" i="8"/>
  <c r="F504" i="8"/>
  <c r="F1607" i="8"/>
  <c r="F2270" i="8"/>
  <c r="F428" i="8"/>
  <c r="F3074" i="8"/>
  <c r="F1593" i="8"/>
  <c r="F1734" i="8"/>
  <c r="F1567" i="8"/>
  <c r="F840" i="8"/>
  <c r="F849" i="8"/>
  <c r="F775" i="8"/>
  <c r="F2593" i="8"/>
  <c r="F639" i="8"/>
  <c r="F1274" i="8"/>
  <c r="F1345" i="8"/>
  <c r="F1547" i="8"/>
  <c r="F359" i="8"/>
  <c r="F2469" i="8"/>
  <c r="F581" i="8"/>
  <c r="F2772" i="8"/>
  <c r="F1382" i="8"/>
  <c r="F1373" i="8"/>
  <c r="F1627" i="8"/>
  <c r="F3072" i="8"/>
  <c r="F1227" i="8"/>
  <c r="F1666" i="8"/>
  <c r="F2411" i="8"/>
  <c r="F1094" i="8"/>
  <c r="F542" i="8"/>
  <c r="F1757" i="8"/>
  <c r="F419" i="8"/>
  <c r="F342" i="8"/>
  <c r="F1238" i="8"/>
  <c r="F2418" i="8"/>
  <c r="F2583" i="8"/>
  <c r="F2100" i="8"/>
  <c r="F255" i="8"/>
  <c r="F2818" i="8"/>
  <c r="F1766" i="8"/>
  <c r="F2362" i="8"/>
  <c r="F2624" i="8"/>
  <c r="F1841" i="8"/>
  <c r="F1235" i="8"/>
  <c r="F1771" i="8"/>
  <c r="F1136" i="8"/>
  <c r="F1775" i="8"/>
  <c r="F1465" i="8"/>
  <c r="F1045" i="8"/>
  <c r="F448" i="8"/>
  <c r="F863" i="8"/>
  <c r="F1538" i="8"/>
  <c r="F851" i="8"/>
  <c r="F479" i="8"/>
  <c r="F2031" i="8"/>
  <c r="F992" i="8"/>
  <c r="F1130" i="8"/>
  <c r="F1198" i="8"/>
  <c r="F1580" i="8"/>
  <c r="F1697" i="8"/>
  <c r="F752" i="8"/>
  <c r="F642" i="8"/>
  <c r="F1789" i="8"/>
  <c r="F1953" i="8"/>
  <c r="F899" i="8"/>
  <c r="F2975" i="8"/>
  <c r="F914" i="8"/>
  <c r="F2852" i="8"/>
  <c r="F2769" i="8"/>
  <c r="F2256" i="8"/>
  <c r="F1862" i="8"/>
  <c r="F793" i="8"/>
  <c r="F1249" i="8"/>
  <c r="F1800" i="8"/>
  <c r="F728" i="8"/>
  <c r="F1479" i="8"/>
  <c r="F2718" i="8"/>
  <c r="F122" i="8"/>
  <c r="F1764" i="8"/>
  <c r="F1874" i="8"/>
  <c r="F976" i="8"/>
  <c r="F1808" i="8"/>
  <c r="F2851" i="8"/>
  <c r="F1869" i="8"/>
  <c r="F2271" i="8"/>
  <c r="F1138" i="8"/>
  <c r="F1971" i="8"/>
  <c r="F1075" i="8"/>
  <c r="F2399" i="8"/>
  <c r="F1474" i="8"/>
  <c r="F3066" i="8"/>
  <c r="F796" i="8"/>
  <c r="F1109" i="8"/>
  <c r="F2735" i="8"/>
  <c r="F1932" i="8"/>
  <c r="F2619" i="8"/>
  <c r="F1470" i="8"/>
  <c r="F683" i="8"/>
  <c r="F685" i="8"/>
  <c r="F1675" i="8"/>
  <c r="F1693" i="8"/>
  <c r="F1123" i="8"/>
  <c r="F2335" i="8"/>
  <c r="F2172" i="8"/>
  <c r="F2876" i="8"/>
  <c r="F2635" i="8"/>
  <c r="F90" i="8"/>
  <c r="F2548" i="8"/>
  <c r="F2297" i="8"/>
  <c r="F1455" i="8"/>
  <c r="F2293" i="8"/>
  <c r="F2739" i="8"/>
  <c r="F1657" i="8"/>
  <c r="F2809" i="8"/>
  <c r="F495" i="8"/>
  <c r="F2076" i="8"/>
  <c r="F2730" i="8"/>
  <c r="F1187" i="8"/>
  <c r="F1819" i="8"/>
  <c r="F1846" i="8"/>
  <c r="F2631" i="8"/>
  <c r="F2152" i="8"/>
  <c r="F2388" i="8"/>
  <c r="F2518" i="8"/>
  <c r="F2425" i="8"/>
  <c r="F2668" i="8"/>
  <c r="F2487" i="8"/>
  <c r="F3069" i="8"/>
  <c r="F2402" i="8"/>
  <c r="F2767" i="8"/>
  <c r="F1176" i="8"/>
  <c r="F3025" i="8"/>
  <c r="F2553" i="8"/>
  <c r="F1860" i="8"/>
  <c r="F492" i="8"/>
  <c r="F1703" i="8"/>
  <c r="F2141" i="8"/>
  <c r="F821" i="8"/>
  <c r="F2665" i="8"/>
  <c r="F2459" i="8"/>
  <c r="F2428" i="8"/>
  <c r="F1940" i="8"/>
  <c r="F2911" i="8"/>
  <c r="F2939" i="8"/>
  <c r="F1871" i="8"/>
  <c r="F2015" i="8"/>
  <c r="F2705" i="8"/>
  <c r="F739" i="8"/>
  <c r="F2120" i="8"/>
  <c r="F1046" i="8"/>
  <c r="F709" i="8"/>
  <c r="F1878" i="8"/>
  <c r="F958" i="8"/>
  <c r="F1880" i="8"/>
  <c r="F1257" i="8"/>
  <c r="F1617" i="8"/>
  <c r="F1346" i="8"/>
  <c r="F1301" i="8"/>
  <c r="F1273" i="8"/>
  <c r="F2343" i="8"/>
  <c r="F858" i="8"/>
  <c r="F385" i="8"/>
  <c r="F12" i="8"/>
  <c r="F2473" i="8"/>
  <c r="F1890" i="8"/>
  <c r="F2894" i="8"/>
  <c r="F1884" i="8"/>
  <c r="F2689" i="8"/>
  <c r="F1810" i="8"/>
  <c r="F2227" i="8"/>
  <c r="F1126" i="8"/>
  <c r="F2485" i="8"/>
  <c r="F586" i="8"/>
  <c r="F1402" i="8"/>
  <c r="F1605" i="8"/>
  <c r="F1706" i="8"/>
  <c r="F2722" i="8"/>
  <c r="F1809" i="8"/>
  <c r="F2703" i="8"/>
  <c r="F822" i="8"/>
  <c r="F2816" i="8"/>
  <c r="F1434" i="8"/>
  <c r="F583" i="8"/>
  <c r="F2962" i="8"/>
  <c r="F584" i="8"/>
  <c r="F1581" i="8"/>
  <c r="F1356" i="8"/>
  <c r="F2432" i="8"/>
  <c r="F1288" i="8"/>
  <c r="F2733" i="8"/>
  <c r="F2239" i="8"/>
  <c r="F587" i="8"/>
  <c r="F3030" i="8"/>
  <c r="F1704" i="8"/>
  <c r="F1859" i="8"/>
  <c r="F2766" i="8"/>
  <c r="F2630" i="8"/>
  <c r="F2397" i="8"/>
  <c r="F1765" i="8"/>
  <c r="F2097" i="8"/>
  <c r="F1997" i="8"/>
  <c r="F1306" i="8"/>
  <c r="F86" i="8"/>
  <c r="F3061" i="8"/>
  <c r="F1931" i="8"/>
  <c r="F572" i="8"/>
  <c r="F2610" i="8"/>
  <c r="F2877" i="8"/>
  <c r="F2386" i="8"/>
  <c r="F1458" i="8"/>
  <c r="F1446" i="8"/>
  <c r="F2529" i="8"/>
  <c r="F491" i="8"/>
  <c r="F2184" i="8"/>
  <c r="F573" i="8"/>
  <c r="F1918" i="8"/>
  <c r="F260" i="8"/>
  <c r="F1186" i="8"/>
  <c r="F1263" i="8"/>
  <c r="F2537" i="8"/>
  <c r="F3018" i="8"/>
  <c r="F2574" i="8"/>
  <c r="F2153" i="8"/>
  <c r="F2750" i="8"/>
  <c r="F1696" i="8"/>
  <c r="F2106" i="8"/>
  <c r="F2547" i="8"/>
  <c r="F1954" i="8"/>
  <c r="F1840" i="8"/>
  <c r="F867" i="8"/>
  <c r="F1297" i="8"/>
  <c r="F2216" i="8"/>
  <c r="F1715" i="8"/>
  <c r="F2463" i="8"/>
  <c r="F2316" i="8"/>
  <c r="F2586" i="8"/>
  <c r="F1505" i="8"/>
  <c r="F1982" i="8"/>
  <c r="F2565" i="8"/>
  <c r="F1833" i="8"/>
  <c r="F1180" i="8"/>
  <c r="F2109" i="8"/>
  <c r="F2013" i="8"/>
  <c r="F1970" i="8"/>
  <c r="F2662" i="8"/>
  <c r="F2373" i="8"/>
  <c r="F2690" i="8"/>
  <c r="F1086" i="8"/>
  <c r="F1038" i="8"/>
  <c r="F982" i="8"/>
  <c r="F2329" i="8"/>
  <c r="F561" i="8"/>
  <c r="F1378" i="8"/>
  <c r="F1005" i="8"/>
  <c r="F2929" i="8"/>
  <c r="F856" i="8"/>
  <c r="F1983" i="8"/>
  <c r="F2915" i="8"/>
  <c r="F1628" i="8"/>
  <c r="F1986" i="8"/>
  <c r="F1987" i="8"/>
  <c r="F1988" i="8"/>
  <c r="F2695" i="8"/>
  <c r="F1958" i="8"/>
  <c r="F1991" i="8"/>
  <c r="F1745" i="8"/>
  <c r="F2246" i="8"/>
  <c r="F1751" i="8"/>
  <c r="F1568" i="8"/>
  <c r="F501" i="8"/>
  <c r="F2811" i="8"/>
  <c r="F2594" i="8"/>
  <c r="F1420" i="8"/>
  <c r="F1256" i="8"/>
  <c r="F2892" i="8"/>
  <c r="F2951" i="8"/>
  <c r="F1089" i="8"/>
  <c r="F2869" i="8"/>
  <c r="F1668" i="8"/>
  <c r="F2621" i="8"/>
  <c r="F2898" i="8"/>
  <c r="F2383" i="8"/>
  <c r="F2009" i="8"/>
  <c r="F2010" i="8"/>
  <c r="F2011" i="8"/>
  <c r="F2457" i="8"/>
  <c r="F1175" i="8"/>
  <c r="F1957" i="8"/>
  <c r="F2194" i="8"/>
  <c r="F748" i="8"/>
  <c r="F1855" i="8"/>
  <c r="F2780" i="8"/>
  <c r="F2412" i="8"/>
  <c r="F1330" i="8"/>
  <c r="F2628" i="8"/>
  <c r="F2396" i="8"/>
  <c r="F2023" i="8"/>
  <c r="F366" i="8"/>
  <c r="F1261" i="8"/>
  <c r="F1827" i="8"/>
  <c r="F1477" i="8"/>
  <c r="F1255" i="8"/>
  <c r="F502" i="8"/>
  <c r="F2684" i="8"/>
  <c r="F2934" i="8"/>
  <c r="F2414" i="8"/>
  <c r="F2413" i="8"/>
  <c r="F1489" i="8"/>
  <c r="F2035" i="8"/>
  <c r="F2032" i="8"/>
  <c r="F2037" i="8"/>
  <c r="F3019" i="8"/>
  <c r="F1744" i="8"/>
  <c r="F400" i="8"/>
  <c r="F1583" i="8"/>
  <c r="F2145" i="8"/>
  <c r="F547" i="8"/>
  <c r="F2061" i="8"/>
  <c r="F2850" i="8"/>
  <c r="F2211" i="8"/>
  <c r="F1042" i="8"/>
  <c r="F2797" i="8"/>
  <c r="F1083" i="8"/>
  <c r="F1102" i="8"/>
  <c r="F2622" i="8"/>
  <c r="F2052" i="8"/>
  <c r="F2423" i="8"/>
  <c r="F606" i="8"/>
  <c r="F2814" i="8"/>
  <c r="F2861" i="8"/>
  <c r="F1313" i="8"/>
  <c r="F1425" i="8"/>
  <c r="F3017" i="8"/>
  <c r="F2291" i="8"/>
  <c r="F382" i="8"/>
  <c r="F2926" i="8"/>
  <c r="F2095" i="8"/>
  <c r="F1705" i="8"/>
  <c r="F2615" i="8"/>
  <c r="F645" i="8"/>
  <c r="F2788" i="8"/>
  <c r="F2068" i="8"/>
  <c r="F530" i="8"/>
  <c r="F3044" i="8"/>
  <c r="F2806" i="8"/>
  <c r="F1773" i="8"/>
  <c r="F1930" i="8"/>
  <c r="F2074" i="8"/>
  <c r="F746" i="8"/>
  <c r="F1380" i="8"/>
  <c r="F2385" i="8"/>
  <c r="F2078" i="8"/>
  <c r="F2057" i="8"/>
  <c r="F2853" i="8"/>
  <c r="F2598" i="8"/>
  <c r="F2824" i="8"/>
  <c r="F1452" i="8"/>
  <c r="F2883" i="8"/>
  <c r="F1599" i="8"/>
  <c r="F2913" i="8"/>
  <c r="F1663" i="8"/>
  <c r="F1018" i="8"/>
  <c r="F1614" i="8"/>
  <c r="F2296" i="8"/>
  <c r="F1739" i="8"/>
  <c r="F2050" i="8"/>
  <c r="F1461" i="8"/>
  <c r="F1892" i="8"/>
  <c r="F1563" i="8"/>
  <c r="F2886" i="8"/>
  <c r="F2101" i="8"/>
  <c r="F2682" i="8"/>
  <c r="F2099" i="8"/>
  <c r="F1564" i="8"/>
  <c r="F1309" i="8"/>
  <c r="F1440" i="8"/>
  <c r="F578" i="8"/>
  <c r="F2288" i="8"/>
  <c r="F1793" i="8"/>
  <c r="F2508" i="8"/>
  <c r="F2107" i="8"/>
  <c r="F2108" i="8"/>
  <c r="F1401" i="8"/>
  <c r="F1680" i="8"/>
  <c r="F148" i="8"/>
  <c r="F574" i="8"/>
  <c r="F2113" i="8"/>
  <c r="F2317" i="8"/>
  <c r="F2558" i="8"/>
  <c r="F2577" i="8"/>
  <c r="F1270" i="8"/>
  <c r="F2732" i="8"/>
  <c r="F1989" i="8"/>
  <c r="F2613" i="8"/>
  <c r="F1796" i="8"/>
  <c r="F1656" i="8"/>
  <c r="F568" i="8"/>
  <c r="F2135" i="8"/>
  <c r="F1153" i="8"/>
  <c r="F682" i="8"/>
  <c r="F2190" i="8"/>
  <c r="F2675" i="8"/>
  <c r="F3075" i="8"/>
  <c r="F523" i="8"/>
  <c r="F2544" i="8"/>
  <c r="F2132" i="8"/>
  <c r="F2606" i="8"/>
  <c r="F1980" i="8"/>
  <c r="F1342" i="8"/>
  <c r="F2002" i="8"/>
  <c r="F2219" i="8"/>
  <c r="F616" i="8"/>
  <c r="F2957" i="8"/>
  <c r="F2456" i="8"/>
  <c r="F1450" i="8"/>
  <c r="F2599" i="8"/>
  <c r="F826" i="8"/>
  <c r="F1578" i="8"/>
  <c r="F1735" i="8"/>
  <c r="F1674" i="8"/>
  <c r="F1951" i="8"/>
  <c r="F1329" i="8"/>
  <c r="F962" i="8"/>
  <c r="F350" i="8"/>
  <c r="F1712" i="8"/>
  <c r="F1803" i="8"/>
  <c r="F1063" i="8"/>
  <c r="F2045" i="8"/>
  <c r="F2873" i="8"/>
  <c r="F1193" i="8"/>
  <c r="F2157" i="8"/>
  <c r="F2950" i="8"/>
  <c r="F1857" i="8"/>
  <c r="F1517" i="8"/>
  <c r="F647" i="8"/>
  <c r="F2945" i="8"/>
  <c r="F1327" i="8"/>
  <c r="F3057" i="8"/>
  <c r="F1338" i="8"/>
  <c r="F2001" i="8"/>
  <c r="F1228" i="8"/>
  <c r="F2881" i="8"/>
  <c r="F1645" i="8"/>
  <c r="F1044" i="8"/>
  <c r="F2171" i="8"/>
  <c r="F2618" i="8"/>
  <c r="F2238" i="8"/>
  <c r="F2059" i="8"/>
  <c r="F2104" i="8"/>
  <c r="F2129" i="8"/>
  <c r="F1218" i="8"/>
  <c r="F1216" i="8"/>
  <c r="F897" i="8"/>
  <c r="F1073" i="8"/>
  <c r="F2117" i="8"/>
  <c r="F2069" i="8"/>
  <c r="F1511" i="8"/>
  <c r="F2379" i="8"/>
  <c r="F2968" i="8"/>
  <c r="F1317" i="8"/>
  <c r="F2696" i="8"/>
  <c r="F2025" i="8"/>
  <c r="F2159" i="8"/>
  <c r="F1500" i="8"/>
  <c r="F2331" i="8"/>
  <c r="F1636" i="8"/>
  <c r="F2740" i="8"/>
  <c r="F1416" i="8"/>
  <c r="F1794" i="8"/>
  <c r="F2720" i="8"/>
  <c r="F2688" i="8"/>
  <c r="F3003" i="8"/>
  <c r="F1912" i="8"/>
  <c r="F3059" i="8"/>
  <c r="F1687" i="8"/>
  <c r="F1328" i="8"/>
  <c r="F2203" i="8"/>
  <c r="F2460" i="8"/>
  <c r="F3013" i="8"/>
  <c r="F2965" i="8"/>
  <c r="F1478" i="8"/>
  <c r="F1205" i="8"/>
  <c r="F2641" i="8"/>
  <c r="F1777" i="8"/>
  <c r="F1879" i="8"/>
  <c r="F2977" i="8"/>
  <c r="F1275" i="8"/>
  <c r="F1154" i="8"/>
  <c r="F2763" i="8"/>
  <c r="F1996" i="8"/>
  <c r="F1713" i="8"/>
  <c r="F2992" i="8"/>
  <c r="F1192" i="8"/>
  <c r="F1408" i="8"/>
  <c r="F919" i="8"/>
  <c r="F2364" i="8"/>
  <c r="F1208" i="8"/>
  <c r="F2281" i="8"/>
  <c r="F2943" i="8"/>
  <c r="F2226" i="8"/>
  <c r="F2492" i="8"/>
  <c r="F3037" i="8"/>
  <c r="F2439" i="8"/>
  <c r="F2151" i="8"/>
  <c r="F2719" i="8"/>
  <c r="F2828" i="8"/>
  <c r="F2233" i="8"/>
  <c r="F665" i="8"/>
  <c r="F2338" i="8"/>
  <c r="F1385" i="8"/>
  <c r="F1648" i="8"/>
  <c r="F2415" i="8"/>
  <c r="F1910" i="8"/>
  <c r="F1200" i="8"/>
  <c r="F2979" i="8"/>
  <c r="F1872" i="8"/>
  <c r="F710" i="8"/>
  <c r="F1106" i="8"/>
  <c r="F324" i="8"/>
  <c r="F1324" i="8"/>
  <c r="F1059" i="8"/>
  <c r="F19" i="8"/>
  <c r="F2249" i="8"/>
  <c r="F2782" i="8"/>
  <c r="F2138" i="8"/>
  <c r="F2148" i="8"/>
  <c r="F269" i="8"/>
  <c r="F2667" i="8"/>
  <c r="F1836" i="8"/>
  <c r="F2699" i="8"/>
  <c r="F2517" i="8"/>
  <c r="F2350" i="8"/>
  <c r="F2213" i="8"/>
  <c r="F2260" i="8"/>
  <c r="F2837" i="8"/>
  <c r="F2323" i="8"/>
  <c r="F2909" i="8"/>
  <c r="F2764" i="8"/>
  <c r="F1240" i="8"/>
  <c r="F2266" i="8"/>
  <c r="F1778" i="8"/>
  <c r="F2932" i="8"/>
  <c r="F1339" i="8"/>
  <c r="F3007" i="8"/>
  <c r="F776" i="8"/>
  <c r="F2868" i="8"/>
  <c r="F2647" i="8"/>
  <c r="F1728" i="8"/>
  <c r="F1682" i="8"/>
  <c r="F2493" i="8"/>
  <c r="F2445" i="8"/>
  <c r="F2914" i="8"/>
  <c r="F1798" i="8"/>
  <c r="F483" i="8"/>
  <c r="F1366" i="8"/>
  <c r="F2162" i="8"/>
  <c r="F2070" i="8"/>
  <c r="F1202" i="8"/>
  <c r="F2285" i="8"/>
  <c r="F1279" i="8"/>
  <c r="F2976" i="8"/>
  <c r="F1384" i="8"/>
  <c r="F2248" i="8"/>
  <c r="F1672" i="8"/>
  <c r="F1304" i="8"/>
  <c r="F2354" i="8"/>
  <c r="F2252" i="8"/>
  <c r="F3024" i="8"/>
  <c r="F2064" i="8"/>
  <c r="F2967" i="8"/>
  <c r="F1662" i="8"/>
  <c r="F2398" i="8"/>
  <c r="F1350" i="8"/>
  <c r="F2337" i="8"/>
  <c r="F1442" i="8"/>
  <c r="F2302" i="8"/>
  <c r="F2937" i="8"/>
  <c r="F725" i="8"/>
  <c r="F1719" i="8"/>
  <c r="F1606" i="8"/>
  <c r="F2569" i="8"/>
  <c r="F2773" i="8"/>
  <c r="F758" i="8"/>
  <c r="F2294" i="8"/>
  <c r="F220" i="8"/>
  <c r="F1633" i="8"/>
  <c r="F1549" i="8"/>
  <c r="F1110" i="8"/>
  <c r="F2533" i="8"/>
  <c r="F618" i="8"/>
  <c r="F2020" i="8"/>
  <c r="F459" i="8"/>
  <c r="F226" i="8"/>
  <c r="F3067" i="8"/>
  <c r="F2825" i="8"/>
  <c r="F1673" i="8"/>
  <c r="F2183" i="8"/>
  <c r="F2794" i="8"/>
  <c r="F1305" i="8"/>
  <c r="F539" i="8"/>
  <c r="F1164" i="8"/>
  <c r="F2344" i="8"/>
  <c r="F1397" i="8"/>
  <c r="F1322" i="8"/>
  <c r="F1737" i="8"/>
  <c r="F787" i="8"/>
  <c r="F1116" i="8"/>
  <c r="F2692" i="8"/>
  <c r="F1335" i="8"/>
  <c r="F1901" i="8"/>
  <c r="F1151" i="8"/>
  <c r="F2217" i="8"/>
  <c r="F465" i="8"/>
  <c r="F1293" i="8"/>
  <c r="F2289" i="8"/>
  <c r="F2320" i="8"/>
  <c r="F2077" i="8"/>
  <c r="F1849" i="8"/>
  <c r="F3082" i="8"/>
  <c r="F2382" i="8"/>
  <c r="F1034" i="8"/>
  <c r="F2348" i="8"/>
  <c r="F2014" i="8"/>
  <c r="F1336" i="8"/>
  <c r="F1488" i="8"/>
  <c r="F1481" i="8"/>
  <c r="F2666" i="8"/>
  <c r="F1575" i="8"/>
  <c r="F1258" i="8"/>
  <c r="F1064" i="8"/>
  <c r="F1396" i="8"/>
  <c r="F807" i="8"/>
  <c r="F2712" i="8"/>
  <c r="F3070" i="8"/>
  <c r="F1170" i="8"/>
  <c r="F1259" i="8"/>
  <c r="F1204" i="8"/>
  <c r="F2122" i="8"/>
  <c r="F1040" i="8"/>
  <c r="F1303" i="8"/>
  <c r="F2367" i="8"/>
  <c r="F1077" i="8"/>
  <c r="F2938" i="8"/>
  <c r="F1780" i="8"/>
  <c r="F1415" i="8"/>
  <c r="F2431" i="8"/>
  <c r="F1832" i="8"/>
  <c r="F2062" i="8"/>
  <c r="F277" i="8"/>
  <c r="F2170" i="8"/>
  <c r="F296" i="8"/>
  <c r="F2640" i="8"/>
  <c r="F2156" i="8"/>
  <c r="F1545" i="8"/>
  <c r="F1748" i="8"/>
  <c r="F1619" i="8"/>
  <c r="F1021" i="8"/>
  <c r="F609" i="8"/>
  <c r="F1159" i="8"/>
  <c r="F2036" i="8"/>
  <c r="F1817" i="8"/>
  <c r="F1973" i="8"/>
  <c r="F1404" i="8"/>
  <c r="F1936" i="8"/>
  <c r="F1512" i="8"/>
  <c r="F1212" i="8"/>
  <c r="F2785" i="8"/>
  <c r="F2910" i="8"/>
  <c r="F1699" i="8"/>
  <c r="F2253" i="8"/>
  <c r="F1596" i="8"/>
  <c r="F1476" i="8"/>
  <c r="F3056" i="8"/>
  <c r="F1229" i="8"/>
  <c r="F2501" i="8"/>
  <c r="F2112" i="8"/>
  <c r="F519" i="8"/>
  <c r="F1825" i="8"/>
  <c r="F1630" i="8"/>
  <c r="F2392" i="8"/>
  <c r="F1875" i="8"/>
  <c r="F1856" i="8"/>
  <c r="F1049" i="8"/>
  <c r="F1300" i="8"/>
  <c r="F1527" i="8"/>
  <c r="F2671" i="8"/>
  <c r="F2731" i="8"/>
  <c r="F1743" i="8"/>
  <c r="F1658" i="8"/>
  <c r="F1717" i="8"/>
  <c r="F622" i="8"/>
  <c r="F1919" i="8"/>
  <c r="F891" i="8"/>
  <c r="F2361" i="8"/>
  <c r="F280" i="8"/>
  <c r="F1367" i="8"/>
  <c r="F798" i="8"/>
  <c r="F2236" i="8"/>
  <c r="F1661" i="8"/>
  <c r="F2987" i="8"/>
  <c r="F1895" i="8"/>
  <c r="F2102" i="8"/>
  <c r="F774" i="8"/>
  <c r="F960" i="8"/>
  <c r="F2347" i="8"/>
  <c r="F1937" i="8"/>
  <c r="F1772" i="8"/>
  <c r="F1942" i="8"/>
  <c r="F1943" i="8"/>
  <c r="F2201" i="8"/>
  <c r="F2455" i="8"/>
  <c r="F1085" i="8"/>
  <c r="F1903" i="8"/>
  <c r="F1071" i="8"/>
  <c r="F1660" i="8"/>
  <c r="F1220" i="8"/>
  <c r="F2040" i="8"/>
  <c r="F1625" i="8"/>
  <c r="F1463" i="8"/>
  <c r="F1507" i="8"/>
  <c r="F1615" i="8"/>
  <c r="F2931" i="8"/>
  <c r="F27" i="8"/>
  <c r="F2450" i="8"/>
  <c r="F322" i="8"/>
  <c r="F2251" i="8"/>
  <c r="F2550" i="8"/>
  <c r="F1587" i="8"/>
  <c r="F2250" i="8"/>
  <c r="F1585" i="8"/>
  <c r="F2579" i="8"/>
  <c r="F2546" i="8"/>
  <c r="F3029" i="8"/>
  <c r="F1504" i="8"/>
  <c r="F1152" i="8"/>
  <c r="F1223" i="8"/>
  <c r="F1774" i="8"/>
  <c r="F2464" i="8"/>
  <c r="F2697" i="8"/>
  <c r="F2936" i="8"/>
  <c r="F1128" i="8"/>
  <c r="F2030" i="8"/>
  <c r="F2879" i="8"/>
  <c r="F1644" i="8"/>
  <c r="F2846" i="8"/>
  <c r="F1694" i="8"/>
  <c r="F2472" i="8"/>
  <c r="F761" i="8"/>
  <c r="F1655" i="8"/>
  <c r="F2774" i="8"/>
  <c r="F1799" i="8"/>
  <c r="F643" i="8"/>
  <c r="F3086" i="8"/>
  <c r="F2319" i="8"/>
  <c r="F1231" i="8"/>
  <c r="F2482" i="8"/>
  <c r="F1250" i="8"/>
  <c r="F2391" i="8"/>
  <c r="F2652" i="8"/>
  <c r="F882" i="8"/>
  <c r="F1960" i="8"/>
  <c r="F2484" i="8"/>
  <c r="F2639" i="8"/>
  <c r="F496" i="8"/>
  <c r="F405" i="8"/>
  <c r="F1412" i="8"/>
  <c r="F2241" i="8"/>
  <c r="F2228" i="8"/>
  <c r="F1068" i="8"/>
  <c r="F1962" i="8"/>
  <c r="F1197" i="8"/>
  <c r="F696" i="8"/>
  <c r="F2499" i="8"/>
  <c r="F1264" i="8"/>
  <c r="F575" i="8"/>
  <c r="F2502" i="8"/>
  <c r="F1444" i="8"/>
  <c r="F1360" i="8"/>
  <c r="F987" i="8"/>
  <c r="F2430" i="8"/>
  <c r="F2507" i="8"/>
  <c r="F3071" i="8"/>
  <c r="F3000" i="8"/>
  <c r="F2917" i="8"/>
  <c r="F2685" i="8"/>
  <c r="F1114" i="8"/>
  <c r="F2513" i="8"/>
  <c r="F694" i="8"/>
  <c r="F2128" i="8"/>
  <c r="F939" i="8"/>
  <c r="F2693" i="8"/>
  <c r="F2902" i="8"/>
  <c r="F2880" i="8"/>
  <c r="F1753" i="8"/>
  <c r="F2966" i="8"/>
  <c r="F1411" i="8"/>
  <c r="F3040" i="8"/>
  <c r="F2451" i="8"/>
  <c r="F1870" i="8"/>
  <c r="F2276" i="8"/>
  <c r="F1830" i="8"/>
  <c r="F2092" i="8"/>
  <c r="F2133" i="8"/>
  <c r="F2530" i="8"/>
  <c r="F1787" i="8"/>
  <c r="F1041" i="8"/>
  <c r="F2995" i="8"/>
  <c r="F2026" i="8"/>
  <c r="F1752" i="8"/>
  <c r="F2515" i="8"/>
  <c r="F2557" i="8"/>
  <c r="F1727" i="8"/>
  <c r="F2903" i="8"/>
  <c r="F2489" i="8"/>
  <c r="F2900" i="8"/>
  <c r="F2089" i="8"/>
  <c r="F2277" i="8"/>
  <c r="F2990" i="8"/>
  <c r="F630" i="8"/>
  <c r="F2562" i="8"/>
  <c r="F1307" i="8"/>
  <c r="F2332" i="8"/>
  <c r="F2549" i="8"/>
  <c r="F2872" i="8"/>
  <c r="F2632" i="8"/>
  <c r="F2142" i="8"/>
  <c r="F1524" i="8"/>
  <c r="F1629" i="8"/>
  <c r="F1140" i="8"/>
  <c r="F1566" i="8"/>
  <c r="F2389" i="8"/>
  <c r="F1667" i="8"/>
  <c r="F2330" i="8"/>
  <c r="F316" i="8"/>
  <c r="F1701" i="8"/>
  <c r="F2498" i="8"/>
  <c r="F1409" i="8"/>
  <c r="F615" i="8"/>
  <c r="F2366" i="8"/>
  <c r="F1533" i="8"/>
  <c r="F1669" i="8"/>
  <c r="F1905" i="8"/>
  <c r="F2094" i="8"/>
  <c r="F2503" i="8"/>
  <c r="F2571" i="8"/>
  <c r="F2202" i="8"/>
  <c r="F2899" i="8"/>
  <c r="F1889" i="8"/>
  <c r="F1357" i="8"/>
  <c r="F1994" i="8"/>
  <c r="F2315" i="8"/>
  <c r="F1555" i="8"/>
  <c r="F2509" i="8"/>
  <c r="F2994" i="8"/>
  <c r="F1121" i="8"/>
  <c r="F2582" i="8"/>
  <c r="F1177" i="8"/>
  <c r="F2155" i="8"/>
  <c r="F1992" i="8"/>
  <c r="F2526" i="8"/>
  <c r="F2114" i="8"/>
  <c r="F1896" i="8"/>
  <c r="F2268" i="8"/>
  <c r="F2590" i="8"/>
  <c r="F2657" i="8"/>
  <c r="F2592" i="8"/>
  <c r="F1891" i="8"/>
  <c r="F2134" i="8"/>
  <c r="F695" i="8"/>
  <c r="F1769" i="8"/>
  <c r="F1156" i="8"/>
  <c r="F2199" i="8"/>
  <c r="F2158" i="8"/>
  <c r="F2600" i="8"/>
  <c r="F607" i="8"/>
  <c r="F2980" i="8"/>
  <c r="F2265" i="8"/>
  <c r="F2053" i="8"/>
  <c r="F2605" i="8"/>
  <c r="F1604" i="8"/>
  <c r="F3060" i="8"/>
  <c r="F2608" i="8"/>
  <c r="F2864" i="8"/>
  <c r="F375" i="8"/>
  <c r="F2560" i="8"/>
  <c r="F1686" i="8"/>
  <c r="F1185" i="8"/>
  <c r="F951" i="8"/>
  <c r="F2799" i="8"/>
  <c r="F1861" i="8"/>
  <c r="F2085" i="8"/>
  <c r="F2384" i="8"/>
  <c r="F649" i="8"/>
  <c r="F2345" i="8"/>
  <c r="F1620" i="8"/>
  <c r="F1169" i="8"/>
  <c r="F1510" i="8"/>
  <c r="F1676" i="8"/>
  <c r="F2341" i="8"/>
  <c r="F2870" i="8"/>
  <c r="F3051" i="8"/>
  <c r="F156" i="8"/>
  <c r="F2299" i="8"/>
  <c r="F1182" i="8"/>
  <c r="F1135" i="8"/>
  <c r="F3078" i="8"/>
  <c r="F1062" i="8"/>
  <c r="F2634" i="8"/>
  <c r="F1801" i="8"/>
  <c r="F2991" i="8"/>
  <c r="F2691" i="8"/>
  <c r="F2921" i="8"/>
  <c r="F2532" i="8"/>
  <c r="F1379" i="8"/>
  <c r="F135" i="8"/>
  <c r="F1979" i="8"/>
  <c r="F1948" i="8"/>
  <c r="F2859" i="8"/>
  <c r="F2306" i="8"/>
  <c r="F2922" i="8"/>
  <c r="F2494" i="8"/>
  <c r="F1454" i="8"/>
  <c r="F2649" i="8"/>
  <c r="F2436" i="8"/>
  <c r="F1146" i="8"/>
  <c r="F1430" i="8"/>
  <c r="F2760" i="8"/>
  <c r="F3048" i="8"/>
  <c r="F1280" i="8"/>
  <c r="F2497" i="8"/>
  <c r="F1652" i="8"/>
  <c r="F2506" i="8"/>
  <c r="F2646" i="8"/>
  <c r="F2660" i="8"/>
  <c r="F2661" i="8"/>
  <c r="F2258" i="8"/>
  <c r="F2221" i="8"/>
  <c r="F1950" i="8"/>
  <c r="F2447" i="8"/>
  <c r="F1400" i="8"/>
  <c r="F1291" i="8"/>
  <c r="F2677" i="8"/>
  <c r="F1369" i="8"/>
  <c r="F2307" i="8"/>
  <c r="F2737" i="8"/>
  <c r="F1906" i="8"/>
  <c r="F2416" i="8"/>
  <c r="F2063" i="8"/>
  <c r="F2541" i="8"/>
  <c r="F2906" i="8"/>
  <c r="F3077" i="8"/>
  <c r="F2554" i="8"/>
  <c r="F1514" i="8"/>
  <c r="F2680" i="8"/>
  <c r="F2681" i="8"/>
  <c r="F3038" i="8"/>
  <c r="F49" i="8"/>
  <c r="F2210" i="8"/>
  <c r="F2286" i="8"/>
  <c r="F2468" i="8"/>
  <c r="F3012" i="8"/>
  <c r="F2701" i="8"/>
  <c r="F1838" i="8"/>
  <c r="F1066" i="8"/>
  <c r="F1183" i="8"/>
  <c r="F2596" i="8"/>
  <c r="F605" i="8"/>
  <c r="F2334" i="8"/>
  <c r="F2160" i="8"/>
  <c r="F2075" i="8"/>
  <c r="F1403" i="8"/>
  <c r="F1067" i="8"/>
  <c r="F2978" i="8"/>
  <c r="F779" i="8"/>
  <c r="F2243" i="8"/>
  <c r="F2522" i="8"/>
  <c r="F1805" i="8"/>
  <c r="F1684" i="8"/>
  <c r="F2028" i="8"/>
  <c r="F2611" i="8"/>
  <c r="F2707" i="8"/>
  <c r="F1155" i="8"/>
  <c r="F2082" i="8"/>
  <c r="F2710" i="8"/>
  <c r="F2887" i="8"/>
  <c r="F1319" i="8"/>
  <c r="F2713" i="8"/>
  <c r="F2714" i="8"/>
  <c r="F2717" i="8"/>
  <c r="F1632" i="8"/>
  <c r="F871" i="8"/>
  <c r="F1909" i="8"/>
  <c r="F2438" i="8"/>
  <c r="F2953" i="8"/>
  <c r="F2567" i="8"/>
  <c r="F1222" i="8"/>
  <c r="F1060" i="8"/>
  <c r="F884" i="8"/>
  <c r="F2525" i="8"/>
  <c r="F2471" i="8"/>
  <c r="F2838" i="8"/>
  <c r="F1747" i="8"/>
  <c r="F1485" i="8"/>
  <c r="F749" i="8"/>
  <c r="F1897" i="8"/>
  <c r="F2778" i="8"/>
  <c r="F2889" i="8"/>
  <c r="F967" i="8"/>
  <c r="F846" i="8"/>
  <c r="F2736" i="8"/>
  <c r="F2466" i="8"/>
  <c r="F2738" i="8"/>
  <c r="F2698" i="8"/>
  <c r="F1900" i="8"/>
  <c r="F2244" i="8"/>
  <c r="F921" i="8"/>
  <c r="F2743" i="8"/>
  <c r="F2744" i="8"/>
  <c r="F2655" i="8"/>
  <c r="F1518" i="8"/>
  <c r="F2371" i="8"/>
  <c r="F2813" i="8"/>
  <c r="F2749" i="8"/>
  <c r="F1749" i="8"/>
  <c r="F1020" i="8"/>
  <c r="F1623" i="8"/>
  <c r="F2514" i="8"/>
  <c r="F2754" i="8"/>
  <c r="F1271" i="8"/>
  <c r="F1431" i="8"/>
  <c r="F2198" i="8"/>
  <c r="F676" i="8"/>
  <c r="F3063" i="8"/>
  <c r="F1260" i="8"/>
  <c r="F3079" i="8"/>
  <c r="F1161" i="8"/>
  <c r="F2985" i="8"/>
  <c r="F1035" i="8"/>
  <c r="F2363" i="8"/>
  <c r="F2136" i="8"/>
  <c r="F3039" i="8"/>
  <c r="F2768" i="8"/>
  <c r="F1959" i="8"/>
  <c r="F1993" i="8"/>
  <c r="F2771" i="8"/>
  <c r="F1898" i="8"/>
  <c r="F610" i="8"/>
  <c r="F1267" i="8"/>
  <c r="F1502" i="8"/>
  <c r="F2476" i="8"/>
  <c r="F1003" i="8"/>
  <c r="F2477" i="8"/>
  <c r="F1947" i="8"/>
  <c r="F2856" i="8"/>
  <c r="F2480" i="8"/>
  <c r="F1602" i="8"/>
  <c r="F3011" i="8"/>
  <c r="F2504" i="8"/>
  <c r="F362" i="8"/>
  <c r="F631" i="8"/>
  <c r="F1779" i="8"/>
  <c r="F2093" i="8"/>
  <c r="F2827" i="8"/>
  <c r="F91" i="8"/>
  <c r="F1251" i="8"/>
  <c r="F1560" i="8"/>
  <c r="F1087" i="8"/>
  <c r="F1768" i="8"/>
  <c r="F770" i="8"/>
  <c r="F2796" i="8"/>
  <c r="F872" i="8"/>
  <c r="F1147" i="8"/>
  <c r="F1670" i="8"/>
  <c r="F2629" i="8"/>
  <c r="F2801" i="8"/>
  <c r="F2648" i="8"/>
  <c r="F1844" i="8"/>
  <c r="F2375" i="8"/>
  <c r="F1509" i="8"/>
  <c r="F1853" i="8"/>
  <c r="F2178" i="8"/>
  <c r="F2542" i="8"/>
  <c r="F1429" i="8"/>
  <c r="F3006" i="8"/>
  <c r="F1985" i="8"/>
  <c r="F1934" i="8"/>
  <c r="F875" i="8"/>
  <c r="F1168" i="8"/>
  <c r="F2212" i="8"/>
  <c r="F1609" i="8"/>
  <c r="F2187" i="8"/>
  <c r="F1925" i="8"/>
  <c r="F1390" i="8"/>
  <c r="F1498" i="8"/>
  <c r="F1491" i="8"/>
  <c r="F2012" i="8"/>
  <c r="F2823" i="8"/>
  <c r="F443" i="8"/>
  <c r="F1074" i="8"/>
  <c r="F1740" i="8"/>
  <c r="F2555" i="8"/>
  <c r="F1926" i="8"/>
  <c r="F474" i="8"/>
  <c r="F1469" i="8"/>
  <c r="F1995" i="8"/>
  <c r="F2832" i="8"/>
  <c r="F1845" i="8"/>
  <c r="F1464" i="8"/>
  <c r="F2612" i="8"/>
  <c r="F1965" i="8"/>
  <c r="F1876" i="8"/>
  <c r="F1316" i="8"/>
  <c r="F2866" i="8"/>
  <c r="F1724" i="8"/>
  <c r="F1887" i="8"/>
  <c r="F1786" i="8"/>
  <c r="F860" i="8"/>
  <c r="F2263" i="8"/>
  <c r="F2845" i="8"/>
  <c r="F1391" i="8"/>
  <c r="F549" i="8"/>
  <c r="F814" i="8"/>
  <c r="F3091" i="8"/>
  <c r="F1976" i="8"/>
  <c r="F2839" i="8"/>
  <c r="F1741" i="8"/>
  <c r="F2742" i="8"/>
  <c r="F2673" i="8"/>
  <c r="F2441" i="8"/>
  <c r="F1354" i="8"/>
  <c r="F2623" i="8"/>
  <c r="F2071" i="8"/>
  <c r="F2407" i="8"/>
  <c r="F1963" i="8"/>
  <c r="F1302" i="8"/>
  <c r="F2111" i="8"/>
  <c r="F2683" i="8"/>
  <c r="F995" i="8"/>
  <c r="F1554" i="8"/>
  <c r="F1188" i="8"/>
  <c r="F3083" i="8"/>
  <c r="F1688" i="8"/>
  <c r="F2222" i="8"/>
  <c r="F1460" i="8"/>
  <c r="F1952" i="8"/>
  <c r="F1759" i="8"/>
  <c r="F1217" i="8"/>
  <c r="F3088" i="8"/>
  <c r="F2960" i="8"/>
  <c r="F1051" i="8"/>
  <c r="F2261" i="8"/>
  <c r="F1343" i="8"/>
  <c r="F2478" i="8"/>
  <c r="F2505" i="8"/>
  <c r="F2964" i="8"/>
  <c r="F2204" i="8"/>
  <c r="F1277" i="8"/>
  <c r="F1337" i="8"/>
  <c r="F1922" i="8"/>
  <c r="F2446" i="8"/>
  <c r="F2884" i="8"/>
  <c r="F2888" i="8"/>
  <c r="F1588" i="8"/>
  <c r="F3027" i="8"/>
  <c r="F2273" i="8"/>
  <c r="F38" i="8"/>
  <c r="F514" i="8"/>
  <c r="F1056" i="8"/>
  <c r="F152" i="8"/>
  <c r="F2896" i="8"/>
  <c r="F1529" i="8"/>
  <c r="F2259" i="8"/>
  <c r="F1653" i="8"/>
  <c r="F1761" i="8"/>
  <c r="F2901" i="8"/>
  <c r="F2520" i="8"/>
  <c r="F2831" i="8"/>
  <c r="F2283" i="8"/>
  <c r="F2728" i="8"/>
  <c r="F2179" i="8"/>
  <c r="F1582" i="8"/>
  <c r="F2173" i="8"/>
  <c r="F3058" i="8"/>
  <c r="F2321" i="8"/>
  <c r="F1090" i="8"/>
  <c r="F3041" i="8"/>
  <c r="F2942" i="8"/>
  <c r="F2359" i="8"/>
  <c r="F1201" i="8"/>
  <c r="F125" i="8"/>
  <c r="F1199" i="8"/>
  <c r="F1351" i="8"/>
  <c r="F2919" i="8"/>
  <c r="F1162" i="8"/>
  <c r="F250" i="8"/>
  <c r="F1949" i="8"/>
  <c r="F1113" i="8"/>
  <c r="F1389" i="8"/>
  <c r="F2974" i="8"/>
  <c r="F2255" i="8"/>
  <c r="F2603" i="8"/>
  <c r="F2196" i="8"/>
  <c r="F2189" i="8"/>
  <c r="F1070" i="8"/>
  <c r="F2686" i="8"/>
  <c r="F2805" i="8"/>
  <c r="F2933" i="8"/>
  <c r="F2882" i="8"/>
  <c r="F2339" i="8"/>
  <c r="F1023" i="8"/>
  <c r="F974" i="8"/>
  <c r="F509" i="8"/>
  <c r="F1374" i="8"/>
  <c r="F2940" i="8"/>
  <c r="F2191" i="8"/>
  <c r="F2377" i="8"/>
  <c r="F1788" i="8"/>
  <c r="F2369" i="8"/>
  <c r="F2798" i="8"/>
  <c r="F2817" i="8"/>
  <c r="F2047" i="8"/>
  <c r="F2325" i="8"/>
  <c r="F2949" i="8"/>
  <c r="F2609" i="8"/>
  <c r="F1770" i="8"/>
  <c r="F678" i="8"/>
  <c r="F2643" i="8"/>
  <c r="F1032" i="8"/>
  <c r="F1586" i="8"/>
  <c r="F1776" i="8"/>
  <c r="F3045" i="8"/>
  <c r="F285" i="8"/>
  <c r="F2944" i="8"/>
  <c r="F2140" i="8"/>
  <c r="F1386" i="8"/>
  <c r="F1807" i="8"/>
  <c r="F724" i="8"/>
  <c r="F1483" i="8"/>
  <c r="F930" i="8"/>
  <c r="F3047" i="8"/>
  <c r="F2287" i="8"/>
  <c r="F2081" i="8"/>
  <c r="F2865" i="8"/>
  <c r="F2970" i="8"/>
  <c r="F1886" i="8"/>
  <c r="F691" i="8"/>
  <c r="F1081" i="8"/>
  <c r="F3089" i="8"/>
  <c r="F1225" i="8"/>
  <c r="F658" i="8"/>
  <c r="F848" i="8"/>
  <c r="F2021" i="8"/>
  <c r="F2175" i="8"/>
  <c r="F2374" i="8"/>
  <c r="F2041" i="8"/>
  <c r="F1999" i="8"/>
  <c r="F341" i="8"/>
  <c r="F2792" i="8"/>
  <c r="F644" i="8"/>
  <c r="F1571" i="8"/>
  <c r="F1173" i="8"/>
  <c r="F1944" i="8"/>
  <c r="F2521" i="8"/>
  <c r="F1867" i="8"/>
  <c r="F2368" i="8"/>
  <c r="F2604" i="8"/>
  <c r="F1352" i="8"/>
  <c r="F1482" i="8"/>
  <c r="F2893" i="8"/>
  <c r="F2126" i="8"/>
  <c r="F2997" i="8"/>
  <c r="F1383" i="8"/>
  <c r="F2008" i="8"/>
  <c r="F585" i="8"/>
  <c r="F2130" i="8"/>
  <c r="F2916" i="8"/>
  <c r="F2946" i="8"/>
  <c r="F3004" i="8"/>
  <c r="F3002" i="8"/>
  <c r="F2143" i="8"/>
  <c r="F3014" i="8"/>
  <c r="F2961" i="8"/>
  <c r="F3080" i="8"/>
  <c r="F2928" i="8"/>
  <c r="F1677" i="8"/>
  <c r="F3009" i="8"/>
  <c r="F1268" i="8"/>
  <c r="F2443" i="8"/>
  <c r="F1816" i="8"/>
  <c r="F2072" i="8"/>
  <c r="F2804" i="8"/>
  <c r="F2033" i="8"/>
  <c r="F1082" i="8"/>
  <c r="F3020" i="8"/>
  <c r="F2161" i="8"/>
  <c r="F1011" i="8"/>
  <c r="F1004" i="8"/>
  <c r="F2802" i="8"/>
  <c r="F2536" i="8"/>
  <c r="F488" i="8"/>
  <c r="F2566" i="8"/>
  <c r="F3028" i="8"/>
  <c r="F339" i="8"/>
  <c r="F1014" i="8"/>
  <c r="F3031" i="8"/>
  <c r="F2039" i="8"/>
  <c r="F771" i="8"/>
  <c r="F713" i="8"/>
  <c r="F2214" i="8"/>
  <c r="F344" i="8"/>
  <c r="F2543" i="8"/>
  <c r="F1236" i="8"/>
  <c r="F2516" i="8"/>
  <c r="F2284" i="8"/>
  <c r="F1804" i="8"/>
  <c r="F625" i="8"/>
  <c r="F1544" i="8"/>
  <c r="F2313" i="8"/>
  <c r="F1466" i="8"/>
  <c r="F505" i="8"/>
  <c r="F1592" i="8"/>
  <c r="F2878" i="8"/>
  <c r="F393" i="8"/>
  <c r="F2993" i="8"/>
  <c r="F1394" i="8"/>
  <c r="F1292" i="8"/>
  <c r="F515" i="8"/>
  <c r="F318" i="8"/>
  <c r="F1618" i="8"/>
  <c r="F2453" i="8"/>
  <c r="F8" i="8"/>
  <c r="F1230" i="8"/>
  <c r="F2193" i="8"/>
  <c r="F2723" i="8"/>
  <c r="F2073" i="8"/>
  <c r="F2333" i="8"/>
  <c r="F985" i="8"/>
  <c r="F3064" i="8"/>
  <c r="F1664" i="8"/>
  <c r="F2678" i="8"/>
  <c r="F938" i="8"/>
  <c r="F1579" i="8"/>
  <c r="F2326" i="8"/>
  <c r="F1526" i="8"/>
  <c r="F1828" i="8"/>
  <c r="F2908" i="8"/>
  <c r="F2573" i="8"/>
  <c r="F2576" i="8"/>
  <c r="F2793" i="8"/>
  <c r="F1767" i="8"/>
  <c r="F763" i="8"/>
  <c r="F2440" i="8"/>
  <c r="F2044" i="8"/>
  <c r="F2614" i="8"/>
  <c r="F933" i="8"/>
  <c r="F1424" i="8"/>
  <c r="F2177" i="8"/>
  <c r="F2835" i="8"/>
  <c r="F1850" i="8"/>
  <c r="F1490" i="8"/>
  <c r="F1714" i="8"/>
  <c r="F1480" i="8"/>
  <c r="F1754" i="8"/>
  <c r="F2351" i="8"/>
  <c r="F541" i="8"/>
  <c r="N2948" i="8"/>
  <c r="N357" i="8"/>
  <c r="N2815" i="8"/>
  <c r="N1132" i="8"/>
  <c r="N2625" i="8"/>
  <c r="N1923" i="8"/>
  <c r="N2312" i="8"/>
  <c r="N2483" i="8"/>
  <c r="N2973" i="8"/>
  <c r="N13" i="8"/>
  <c r="N14" i="8"/>
  <c r="N2912" i="8"/>
  <c r="N16" i="8"/>
  <c r="N17" i="8"/>
  <c r="N18" i="8"/>
  <c r="N1340" i="8"/>
  <c r="N137" i="8"/>
  <c r="N21" i="8"/>
  <c r="N970" i="8"/>
  <c r="N23" i="8"/>
  <c r="N36" i="8"/>
  <c r="N25" i="8"/>
  <c r="N1720" i="8"/>
  <c r="N1144" i="8"/>
  <c r="N427" i="8"/>
  <c r="N287" i="8"/>
  <c r="N30" i="8"/>
  <c r="N31" i="8"/>
  <c r="N2144" i="8"/>
  <c r="N289" i="8"/>
  <c r="N364" i="8"/>
  <c r="N35" i="8"/>
  <c r="N2653" i="8"/>
  <c r="N2580" i="8"/>
  <c r="N170" i="8"/>
  <c r="N39" i="8"/>
  <c r="N160" i="8"/>
  <c r="N946" i="8"/>
  <c r="N42" i="8"/>
  <c r="N1924" i="8"/>
  <c r="N44" i="8"/>
  <c r="N2324" i="8"/>
  <c r="N2427" i="8"/>
  <c r="N47" i="8"/>
  <c r="N48" i="8"/>
  <c r="N892" i="8"/>
  <c r="N70" i="8"/>
  <c r="N51" i="8"/>
  <c r="N2088" i="8"/>
  <c r="N98" i="8"/>
  <c r="N54" i="8"/>
  <c r="N2708" i="8"/>
  <c r="N329" i="8"/>
  <c r="N1254" i="8"/>
  <c r="N58" i="8"/>
  <c r="N59" i="8"/>
  <c r="N773" i="8"/>
  <c r="N61" i="8"/>
  <c r="N203" i="8"/>
  <c r="N63" i="8"/>
  <c r="N64" i="8"/>
  <c r="N236" i="8"/>
  <c r="N879" i="8"/>
  <c r="N406" i="8"/>
  <c r="N68" i="8"/>
  <c r="N2999" i="8"/>
  <c r="N380" i="8"/>
  <c r="N981" i="8"/>
  <c r="N94" i="8"/>
  <c r="N73" i="8"/>
  <c r="N2462" i="8"/>
  <c r="N10" i="8"/>
  <c r="N819" i="8"/>
  <c r="N77" i="8"/>
  <c r="N78" i="8"/>
  <c r="N1888" i="8"/>
  <c r="N881" i="8"/>
  <c r="N128" i="8"/>
  <c r="N172" i="8"/>
  <c r="N83" i="8"/>
  <c r="N84" i="8"/>
  <c r="N85" i="8"/>
  <c r="N2209" i="8"/>
  <c r="N1746" i="8"/>
  <c r="N88" i="8"/>
  <c r="N194" i="8"/>
  <c r="N1523" i="8"/>
  <c r="N1092" i="8"/>
  <c r="N2390" i="8"/>
  <c r="N1873" i="8"/>
  <c r="N1314" i="8"/>
  <c r="N472" i="8"/>
  <c r="N202" i="8"/>
  <c r="N906" i="8"/>
  <c r="N2895" i="8"/>
  <c r="N1435" i="8"/>
  <c r="N299" i="8"/>
  <c r="N101" i="8"/>
  <c r="N102" i="8"/>
  <c r="N2206" i="8"/>
  <c r="N104" i="8"/>
  <c r="N2303" i="8"/>
  <c r="N106" i="8"/>
  <c r="N2205" i="8"/>
  <c r="N115" i="8"/>
  <c r="N1163" i="8"/>
  <c r="N736" i="8"/>
  <c r="N2400" i="8"/>
  <c r="N297" i="8"/>
  <c r="N113" i="8"/>
  <c r="N1956" i="8"/>
  <c r="N1977" i="8"/>
  <c r="N1826" i="8"/>
  <c r="N79" i="8"/>
  <c r="N118" i="8"/>
  <c r="N119" i="8"/>
  <c r="N786" i="8"/>
  <c r="N1449" i="8"/>
  <c r="N173" i="8"/>
  <c r="N123" i="8"/>
  <c r="N69" i="8"/>
  <c r="N470" i="8"/>
  <c r="N907" i="8"/>
  <c r="N127" i="8"/>
  <c r="N415" i="8"/>
  <c r="N2659" i="8"/>
  <c r="N843" i="8"/>
  <c r="N131" i="8"/>
  <c r="N132" i="8"/>
  <c r="N1247" i="8"/>
  <c r="N2988" i="8"/>
  <c r="N1296" i="8"/>
  <c r="N136" i="8"/>
  <c r="N1266" i="8"/>
  <c r="N56" i="8"/>
  <c r="N139" i="8"/>
  <c r="N458" i="8"/>
  <c r="N2229" i="8"/>
  <c r="N142" i="8"/>
  <c r="N215" i="8"/>
  <c r="N327" i="8"/>
  <c r="N2005" i="8"/>
  <c r="N1399" i="8"/>
  <c r="N147" i="8"/>
  <c r="N2863" i="8"/>
  <c r="N149" i="8"/>
  <c r="N150" i="8"/>
  <c r="N151" i="8"/>
  <c r="N180" i="8"/>
  <c r="N153" i="8"/>
  <c r="N447" i="8"/>
  <c r="N2519" i="8"/>
  <c r="N46" i="8"/>
  <c r="N388" i="8"/>
  <c r="N3068" i="8"/>
  <c r="N1493" i="8"/>
  <c r="N1133" i="8"/>
  <c r="N53" i="8"/>
  <c r="N1946" i="8"/>
  <c r="N1289" i="8"/>
  <c r="N165" i="8"/>
  <c r="N2381" i="8"/>
  <c r="N43" i="8"/>
  <c r="N537" i="8"/>
  <c r="N1725" i="8"/>
  <c r="N2429" i="8"/>
  <c r="N381" i="8"/>
  <c r="N1405" i="8"/>
  <c r="N99" i="8"/>
  <c r="N28" i="8"/>
  <c r="N174" i="8"/>
  <c r="N100" i="8"/>
  <c r="N176" i="8"/>
  <c r="N1486" i="8"/>
  <c r="N2370" i="8"/>
  <c r="N369" i="8"/>
  <c r="N105" i="8"/>
  <c r="N158" i="8"/>
  <c r="N1323" i="8"/>
  <c r="N183" i="8"/>
  <c r="N377" i="8"/>
  <c r="N464" i="8"/>
  <c r="N2826" i="8"/>
  <c r="N975" i="8"/>
  <c r="N2637" i="8"/>
  <c r="N1181" i="8"/>
  <c r="N2419" i="8"/>
  <c r="N2235" i="8"/>
  <c r="N1190" i="8"/>
  <c r="N397" i="8"/>
  <c r="N187" i="8"/>
  <c r="N888" i="8"/>
  <c r="N80" i="8"/>
  <c r="N197" i="8"/>
  <c r="N2857" i="8"/>
  <c r="N20" i="8"/>
  <c r="N2819" i="8"/>
  <c r="N613" i="8"/>
  <c r="N2121" i="8"/>
  <c r="N1847" i="8"/>
  <c r="N2524" i="8"/>
  <c r="N2941" i="8"/>
  <c r="N402" i="8"/>
  <c r="N207" i="8"/>
  <c r="N2224" i="8"/>
  <c r="N209" i="8"/>
  <c r="N210" i="8"/>
  <c r="N211" i="8"/>
  <c r="N212" i="8"/>
  <c r="N2930" i="8"/>
  <c r="N214" i="8"/>
  <c r="N627" i="8"/>
  <c r="N3062" i="8"/>
  <c r="N217" i="8"/>
  <c r="N9" i="8"/>
  <c r="N219" i="8"/>
  <c r="N2257" i="8"/>
  <c r="N668" i="8"/>
  <c r="N1129" i="8"/>
  <c r="N692" i="8"/>
  <c r="N24" i="8"/>
  <c r="N595" i="8"/>
  <c r="N290" i="8"/>
  <c r="N337" i="8"/>
  <c r="N715" i="8"/>
  <c r="N201" i="8"/>
  <c r="N1295" i="8"/>
  <c r="N950" i="8"/>
  <c r="N1331" i="8"/>
  <c r="N233" i="8"/>
  <c r="N545" i="8"/>
  <c r="N1548" i="8"/>
  <c r="N2656" i="8"/>
  <c r="N363" i="8"/>
  <c r="N15" i="8"/>
  <c r="N442" i="8"/>
  <c r="N198" i="8"/>
  <c r="N247" i="8"/>
  <c r="N242" i="8"/>
  <c r="N2200" i="8"/>
  <c r="N1171" i="8"/>
  <c r="N1195" i="8"/>
  <c r="N550" i="8"/>
  <c r="N559" i="8"/>
  <c r="N1546" i="8"/>
  <c r="N436" i="8"/>
  <c r="N1341" i="8"/>
  <c r="N2298" i="8"/>
  <c r="N252" i="8"/>
  <c r="N2607" i="8"/>
  <c r="N254" i="8"/>
  <c r="N1522" i="8"/>
  <c r="N2561" i="8"/>
  <c r="N1009" i="8"/>
  <c r="N2305" i="8"/>
  <c r="N259" i="8"/>
  <c r="N521" i="8"/>
  <c r="N762" i="8"/>
  <c r="N421" i="8"/>
  <c r="N2741" i="8"/>
  <c r="N140" i="8"/>
  <c r="N2380" i="8"/>
  <c r="N1513" i="8"/>
  <c r="N1665" i="8"/>
  <c r="N2658" i="8"/>
  <c r="N674" i="8"/>
  <c r="N812" i="8"/>
  <c r="N2545" i="8"/>
  <c r="N218" i="8"/>
  <c r="N1543" i="8"/>
  <c r="N478" i="8"/>
  <c r="N275" i="8"/>
  <c r="N3035" i="8"/>
  <c r="N2867" i="8"/>
  <c r="N850" i="8"/>
  <c r="N2176" i="8"/>
  <c r="N664" i="8"/>
  <c r="N1685" i="8"/>
  <c r="N596" i="8"/>
  <c r="N372" i="8"/>
  <c r="N2336" i="8"/>
  <c r="N1134" i="8"/>
  <c r="N684" i="8"/>
  <c r="N261" i="8"/>
  <c r="N911" i="8"/>
  <c r="N1467" i="8"/>
  <c r="N2365" i="8"/>
  <c r="N2709" i="8"/>
  <c r="N2841" i="8"/>
  <c r="N755" i="8"/>
  <c r="N1907" i="8"/>
  <c r="N2702" i="8"/>
  <c r="N555" i="8"/>
  <c r="N1723" i="8"/>
  <c r="N117" i="8"/>
  <c r="N67" i="8"/>
  <c r="N294" i="8"/>
  <c r="N2154" i="8"/>
  <c r="N2601" i="8"/>
  <c r="N401" i="8"/>
  <c r="N2491" i="8"/>
  <c r="N2617" i="8"/>
  <c r="N1019" i="8"/>
  <c r="N307" i="8"/>
  <c r="N109" i="8"/>
  <c r="N1781" i="8"/>
  <c r="N2131" i="8"/>
  <c r="N155" i="8"/>
  <c r="N312" i="8"/>
  <c r="N628" i="8"/>
  <c r="N1933" i="8"/>
  <c r="N57" i="8"/>
  <c r="N306" i="8"/>
  <c r="N317" i="8"/>
  <c r="N2007" i="8"/>
  <c r="N319" i="8"/>
  <c r="N611" i="8"/>
  <c r="N92" i="8"/>
  <c r="N74" i="8"/>
  <c r="N40" i="8"/>
  <c r="N2232" i="8"/>
  <c r="N206" i="8"/>
  <c r="N200" i="8"/>
  <c r="N414" i="8"/>
  <c r="N304" i="8"/>
  <c r="N3008" i="8"/>
  <c r="N2969" i="8"/>
  <c r="N1641" i="8"/>
  <c r="N916" i="8"/>
  <c r="N2591" i="8"/>
  <c r="N334" i="8"/>
  <c r="N2907" i="8"/>
  <c r="N2182" i="8"/>
  <c r="N467" i="8"/>
  <c r="N1539" i="8"/>
  <c r="N634" i="8"/>
  <c r="N1927" i="8"/>
  <c r="N766" i="8"/>
  <c r="N2376" i="8"/>
  <c r="N1961" i="8"/>
  <c r="N2724" i="8"/>
  <c r="N654" i="8"/>
  <c r="N288" i="8"/>
  <c r="N1206" i="8"/>
  <c r="N2437" i="8"/>
  <c r="N2920" i="8"/>
  <c r="N1795" i="8"/>
  <c r="N453" i="8"/>
  <c r="N2218" i="8"/>
  <c r="N410" i="8"/>
  <c r="N354" i="8"/>
  <c r="N1101" i="8"/>
  <c r="N693" i="8"/>
  <c r="N2963" i="8"/>
  <c r="N579" i="8"/>
  <c r="N416" i="8"/>
  <c r="N805" i="8"/>
  <c r="N972" i="8"/>
  <c r="N396" i="8"/>
  <c r="N2972" i="8"/>
  <c r="N2781" i="8"/>
  <c r="N365" i="8"/>
  <c r="N72" i="8"/>
  <c r="N988" i="8"/>
  <c r="N2163" i="8"/>
  <c r="N114" i="8"/>
  <c r="N638" i="8"/>
  <c r="N192" i="8"/>
  <c r="N234" i="8"/>
  <c r="N898" i="8"/>
  <c r="N374" i="8"/>
  <c r="N2454" i="8"/>
  <c r="N1473" i="8"/>
  <c r="N163" i="8"/>
  <c r="N2715" i="8"/>
  <c r="N1550" i="8"/>
  <c r="N2787" i="8"/>
  <c r="N87" i="8"/>
  <c r="N942" i="8"/>
  <c r="N626" i="8"/>
  <c r="N487" i="8"/>
  <c r="N880" i="8"/>
  <c r="N2726" i="8"/>
  <c r="N387" i="8"/>
  <c r="N2003" i="8"/>
  <c r="N569" i="8"/>
  <c r="N76" i="8"/>
  <c r="N2169" i="8"/>
  <c r="N759" i="8"/>
  <c r="N295" i="8"/>
  <c r="N2727" i="8"/>
  <c r="N2004" i="8"/>
  <c r="N171" i="8"/>
  <c r="N413" i="8"/>
  <c r="N2090" i="8"/>
  <c r="N112" i="8"/>
  <c r="N1252" i="8"/>
  <c r="N681" i="8"/>
  <c r="N399" i="8"/>
  <c r="N2168" i="8"/>
  <c r="N1530" i="8"/>
  <c r="N2585" i="8"/>
  <c r="N1837" i="8"/>
  <c r="N3084" i="8"/>
  <c r="N314" i="8"/>
  <c r="N409" i="8"/>
  <c r="N1125" i="8"/>
  <c r="N1043" i="8"/>
  <c r="N1421" i="8"/>
  <c r="N2042" i="8"/>
  <c r="N1503" i="8"/>
  <c r="N2490" i="8"/>
  <c r="N2448" i="8"/>
  <c r="N1438" i="8"/>
  <c r="N418" i="8"/>
  <c r="N2470" i="8"/>
  <c r="N915" i="8"/>
  <c r="N1864" i="8"/>
  <c r="N1012" i="8"/>
  <c r="N493" i="8"/>
  <c r="N1039" i="8"/>
  <c r="N1755" i="8"/>
  <c r="N753" i="8"/>
  <c r="N420" i="8"/>
  <c r="N1981" i="8"/>
  <c r="N948" i="8"/>
  <c r="N2762" i="8"/>
  <c r="N97" i="8"/>
  <c r="N1072" i="8"/>
  <c r="N680" i="8"/>
  <c r="N3090" i="8"/>
  <c r="N874" i="8"/>
  <c r="N2955" i="8"/>
  <c r="N437" i="8"/>
  <c r="N1551" i="8"/>
  <c r="N2292" i="8"/>
  <c r="N511" i="8"/>
  <c r="N224" i="8"/>
  <c r="N1318" i="8"/>
  <c r="N558" i="8"/>
  <c r="N144" i="8"/>
  <c r="N445" i="8"/>
  <c r="N2357" i="8"/>
  <c r="N825" i="8"/>
  <c r="N455" i="8"/>
  <c r="N282" i="8"/>
  <c r="N784" i="8"/>
  <c r="N2858" i="8"/>
  <c r="N1651" i="8"/>
  <c r="N711" i="8"/>
  <c r="N454" i="8"/>
  <c r="N248" i="8"/>
  <c r="N440" i="8"/>
  <c r="N2215" i="8"/>
  <c r="N1468" i="8"/>
  <c r="N1299" i="8"/>
  <c r="N2602" i="8"/>
  <c r="N1233" i="8"/>
  <c r="N621" i="8"/>
  <c r="N204" i="8"/>
  <c r="N168" i="8"/>
  <c r="N1143" i="8"/>
  <c r="N2570" i="8"/>
  <c r="N731" i="8"/>
  <c r="N11" i="8"/>
  <c r="N272" i="8"/>
  <c r="N2757" i="8"/>
  <c r="N1028" i="8"/>
  <c r="N940" i="8"/>
  <c r="N1457" i="8"/>
  <c r="N251" i="8"/>
  <c r="N1911" i="8"/>
  <c r="N924" i="8"/>
  <c r="N1968" i="8"/>
  <c r="N190" i="8"/>
  <c r="N130" i="8"/>
  <c r="N1496" i="8"/>
  <c r="N432" i="8"/>
  <c r="N507" i="8"/>
  <c r="N662" i="8"/>
  <c r="N2651" i="8"/>
  <c r="N3" i="8"/>
  <c r="N370" i="8"/>
  <c r="N41" i="8"/>
  <c r="N553" i="8"/>
  <c r="N2959" i="8"/>
  <c r="N687" i="8"/>
  <c r="N1975" i="8"/>
  <c r="N1916" i="8"/>
  <c r="N2098" i="8"/>
  <c r="N2765" i="8"/>
  <c r="N2274" i="8"/>
  <c r="N839" i="8"/>
  <c r="N978" i="8"/>
  <c r="N2022" i="8"/>
  <c r="N1124" i="8"/>
  <c r="N500" i="8"/>
  <c r="N265" i="8"/>
  <c r="N2225" i="8"/>
  <c r="N283" i="8"/>
  <c r="N2729" i="8"/>
  <c r="N883" i="8"/>
  <c r="N716" i="8"/>
  <c r="N963" i="8"/>
  <c r="N1834" i="8"/>
  <c r="N1058" i="8"/>
  <c r="N431" i="8"/>
  <c r="N2242" i="8"/>
  <c r="N2551" i="8"/>
  <c r="N1437" i="8"/>
  <c r="N2527" i="8"/>
  <c r="N1065" i="8"/>
  <c r="N876" i="8"/>
  <c r="N1108" i="8"/>
  <c r="N2240" i="8"/>
  <c r="N920" i="8"/>
  <c r="N2875" i="8"/>
  <c r="N1811" i="8"/>
  <c r="N790" i="8"/>
  <c r="N1572" i="8"/>
  <c r="N221" i="8"/>
  <c r="N311" i="8"/>
  <c r="N423" i="8"/>
  <c r="N2067" i="8"/>
  <c r="N494" i="8"/>
  <c r="N2475" i="8"/>
  <c r="N107" i="8"/>
  <c r="N564" i="8"/>
  <c r="N910" i="8"/>
  <c r="N489" i="8"/>
  <c r="N1103" i="8"/>
  <c r="N2755" i="8"/>
  <c r="N2834" i="8"/>
  <c r="N1475" i="8"/>
  <c r="N313" i="8"/>
  <c r="N518" i="8"/>
  <c r="N2584" i="8"/>
  <c r="N777" i="8"/>
  <c r="N953" i="8"/>
  <c r="N1095" i="8"/>
  <c r="N813" i="8"/>
  <c r="N977" i="8"/>
  <c r="N1079" i="8"/>
  <c r="N2308" i="8"/>
  <c r="N1372" i="8"/>
  <c r="N747" i="8"/>
  <c r="N71" i="8"/>
  <c r="N1494" i="8"/>
  <c r="N1920" i="8"/>
  <c r="N129" i="8"/>
  <c r="N3010" i="8"/>
  <c r="N439" i="8"/>
  <c r="N121" i="8"/>
  <c r="N529" i="8"/>
  <c r="N979" i="8"/>
  <c r="N133" i="8"/>
  <c r="N407" i="8"/>
  <c r="N1364" i="8"/>
  <c r="N253" i="8"/>
  <c r="N477" i="8"/>
  <c r="N817" i="8"/>
  <c r="N661" i="8"/>
  <c r="N2874" i="8"/>
  <c r="N293" i="8"/>
  <c r="N379" i="8"/>
  <c r="N75" i="8"/>
  <c r="N707" i="8"/>
  <c r="N169" i="8"/>
  <c r="N355" i="8"/>
  <c r="N1540" i="8"/>
  <c r="N1824" i="8"/>
  <c r="N303" i="8"/>
  <c r="N2185" i="8"/>
  <c r="N2393" i="8"/>
  <c r="N26" i="8"/>
  <c r="N2000" i="8"/>
  <c r="N1096" i="8"/>
  <c r="N512" i="8"/>
  <c r="N1006" i="8"/>
  <c r="N384" i="8"/>
  <c r="N820" i="8"/>
  <c r="N1742" i="8"/>
  <c r="N3073" i="8"/>
  <c r="N82" i="8"/>
  <c r="N745" i="8"/>
  <c r="N2588" i="8"/>
  <c r="N1689" i="8"/>
  <c r="N1622" i="8"/>
  <c r="N1520" i="8"/>
  <c r="N466" i="8"/>
  <c r="N1612" i="8"/>
  <c r="N520" i="8"/>
  <c r="N246" i="8"/>
  <c r="N789" i="8"/>
  <c r="N2694" i="8"/>
  <c r="N305" i="8"/>
  <c r="N2830" i="8"/>
  <c r="N1902" i="8"/>
  <c r="N188" i="8"/>
  <c r="N1649" i="8"/>
  <c r="N89" i="8"/>
  <c r="N964" i="8"/>
  <c r="N2356" i="8"/>
  <c r="N1428" i="8"/>
  <c r="N1048" i="8"/>
  <c r="N2247" i="8"/>
  <c r="N1974" i="8"/>
  <c r="N1721" i="8"/>
  <c r="N2663" i="8"/>
  <c r="N1326" i="8"/>
  <c r="N2807" i="8"/>
  <c r="N411" i="8"/>
  <c r="N1001" i="8"/>
  <c r="N154" i="8"/>
  <c r="N562" i="8"/>
  <c r="N552" i="8"/>
  <c r="N1785" i="8"/>
  <c r="N65" i="8"/>
  <c r="N2674" i="8"/>
  <c r="N1417" i="8"/>
  <c r="N1098" i="8"/>
  <c r="N556" i="8"/>
  <c r="N1814" i="8"/>
  <c r="N816" i="8"/>
  <c r="N1598" i="8"/>
  <c r="N468" i="8"/>
  <c r="N383" i="8"/>
  <c r="N632" i="8"/>
  <c r="N138" i="8"/>
  <c r="N185" i="8"/>
  <c r="N484" i="8"/>
  <c r="N635" i="8"/>
  <c r="N1964" i="8"/>
  <c r="N162" i="8"/>
  <c r="N175" i="8"/>
  <c r="N471" i="8"/>
  <c r="N33" i="8"/>
  <c r="N34" i="8"/>
  <c r="N182" i="8"/>
  <c r="N1584" i="8"/>
  <c r="N1115" i="8"/>
  <c r="N3033" i="8"/>
  <c r="N237" i="8"/>
  <c r="N2378" i="8"/>
  <c r="N392" i="8"/>
  <c r="N2770" i="8"/>
  <c r="N1866" i="8"/>
  <c r="N1017" i="8"/>
  <c r="N352" i="8"/>
  <c r="N718" i="8"/>
  <c r="N2654" i="8"/>
  <c r="N861" i="8"/>
  <c r="N2467" i="8"/>
  <c r="N1894" i="8"/>
  <c r="N6" i="8"/>
  <c r="N659" i="8"/>
  <c r="N81" i="8"/>
  <c r="N2024" i="8"/>
  <c r="N737" i="8"/>
  <c r="N1621" i="8"/>
  <c r="N2927" i="8"/>
  <c r="N278" i="8"/>
  <c r="N1361" i="8"/>
  <c r="N60" i="8"/>
  <c r="N865" i="8"/>
  <c r="N608" i="8"/>
  <c r="N670" i="8"/>
  <c r="N1376" i="8"/>
  <c r="N1037" i="8"/>
  <c r="N229" i="8"/>
  <c r="N1286" i="8"/>
  <c r="N3036" i="8"/>
  <c r="N1708" i="8"/>
  <c r="N677" i="8"/>
  <c r="N1802" i="8"/>
  <c r="N184" i="8"/>
  <c r="N557" i="8"/>
  <c r="N912" i="8"/>
  <c r="N2885" i="8"/>
  <c r="N332" i="8"/>
  <c r="N2956" i="8"/>
  <c r="N1234" i="8"/>
  <c r="N159" i="8"/>
  <c r="N1024" i="8"/>
  <c r="N1626" i="8"/>
  <c r="N934" i="8"/>
  <c r="N1823" i="8"/>
  <c r="N2353" i="8"/>
  <c r="N189" i="8"/>
  <c r="N1601" i="8"/>
  <c r="N345" i="8"/>
  <c r="N954" i="8"/>
  <c r="N2474" i="8"/>
  <c r="N408" i="8"/>
  <c r="N908" i="8"/>
  <c r="N699" i="8"/>
  <c r="N700" i="8"/>
  <c r="N1631" i="8"/>
  <c r="N702" i="8"/>
  <c r="N124" i="8"/>
  <c r="N1191" i="8"/>
  <c r="N2575" i="8"/>
  <c r="N2164" i="8"/>
  <c r="N947" i="8"/>
  <c r="N918" i="8"/>
  <c r="N2836" i="8"/>
  <c r="N1362" i="8"/>
  <c r="N2174" i="8"/>
  <c r="N1241" i="8"/>
  <c r="N1015" i="8"/>
  <c r="N714" i="8"/>
  <c r="N398" i="8"/>
  <c r="N480" i="8"/>
  <c r="N2587" i="8"/>
  <c r="N2759" i="8"/>
  <c r="N719" i="8"/>
  <c r="N720" i="8"/>
  <c r="N412" i="8"/>
  <c r="N997" i="8"/>
  <c r="N723" i="8"/>
  <c r="N2404" i="8"/>
  <c r="N2535" i="8"/>
  <c r="N726" i="8"/>
  <c r="N673" i="8"/>
  <c r="N1792" i="8"/>
  <c r="N729" i="8"/>
  <c r="N66" i="8"/>
  <c r="N603" i="8"/>
  <c r="N256" i="8"/>
  <c r="N733" i="8"/>
  <c r="N588" i="8"/>
  <c r="N1487" i="8"/>
  <c r="N29" i="8"/>
  <c r="N1762" i="8"/>
  <c r="N738" i="8"/>
  <c r="N1589" i="8"/>
  <c r="N199" i="8"/>
  <c r="N679" i="8"/>
  <c r="N179" i="8"/>
  <c r="N743" i="8"/>
  <c r="N238" i="8"/>
  <c r="N1497" i="8"/>
  <c r="N2989" i="8"/>
  <c r="N476" i="8"/>
  <c r="N111" i="8"/>
  <c r="N1057" i="8"/>
  <c r="N750" i="8"/>
  <c r="N751" i="8"/>
  <c r="N446" i="8"/>
  <c r="N690" i="8"/>
  <c r="N110" i="8"/>
  <c r="N177" i="8"/>
  <c r="N22" i="8"/>
  <c r="N757" i="8"/>
  <c r="N232" i="8"/>
  <c r="N870" i="8"/>
  <c r="N435" i="8"/>
  <c r="N178" i="8"/>
  <c r="N310" i="8"/>
  <c r="N945" i="8"/>
  <c r="N971" i="8"/>
  <c r="N765" i="8"/>
  <c r="N2267" i="8"/>
  <c r="N193" i="8"/>
  <c r="N62" i="8"/>
  <c r="N2197" i="8"/>
  <c r="N782" i="8"/>
  <c r="N2080" i="8"/>
  <c r="N525" i="8"/>
  <c r="N1843" i="8"/>
  <c r="N2046" i="8"/>
  <c r="N326" i="8"/>
  <c r="N2947" i="8"/>
  <c r="N2511" i="8"/>
  <c r="N778" i="8"/>
  <c r="N330" i="8"/>
  <c r="N1508" i="8"/>
  <c r="N2401" i="8"/>
  <c r="N2711" i="8"/>
  <c r="N570" i="8"/>
  <c r="N1733" i="8"/>
  <c r="N785" i="8"/>
  <c r="N2124" i="8"/>
  <c r="N1913" i="8"/>
  <c r="N797" i="8"/>
  <c r="N652" i="8"/>
  <c r="N582" i="8"/>
  <c r="N791" i="8"/>
  <c r="N792" i="8"/>
  <c r="N1365" i="8"/>
  <c r="N591" i="8"/>
  <c r="N795" i="8"/>
  <c r="N932" i="8"/>
  <c r="N2290" i="8"/>
  <c r="N308" i="8"/>
  <c r="N143" i="8"/>
  <c r="N800" i="8"/>
  <c r="N801" i="8"/>
  <c r="N802" i="8"/>
  <c r="N1877" i="8"/>
  <c r="N2790" i="8"/>
  <c r="N1516" i="8"/>
  <c r="N806" i="8"/>
  <c r="N2971" i="8"/>
  <c r="N808" i="8"/>
  <c r="N2314" i="8"/>
  <c r="N810" i="8"/>
  <c r="N1000" i="8"/>
  <c r="N3023" i="8"/>
  <c r="N2748" i="8"/>
  <c r="N2016" i="8"/>
  <c r="N328" i="8"/>
  <c r="N196" i="8"/>
  <c r="N526" i="8"/>
  <c r="N2208" i="8"/>
  <c r="N2700" i="8"/>
  <c r="N667" i="8"/>
  <c r="N205" i="8"/>
  <c r="N2983" i="8"/>
  <c r="N823" i="8"/>
  <c r="N824" i="8"/>
  <c r="N1917" i="8"/>
  <c r="N1084" i="8"/>
  <c r="N827" i="8"/>
  <c r="N1921" i="8"/>
  <c r="N829" i="8"/>
  <c r="N462" i="8"/>
  <c r="N831" i="8"/>
  <c r="N2810" i="8"/>
  <c r="N1287" i="8"/>
  <c r="N1007" i="8"/>
  <c r="N1882" i="8"/>
  <c r="N836" i="8"/>
  <c r="N457" i="8"/>
  <c r="N838" i="8"/>
  <c r="N2118" i="8"/>
  <c r="N2923" i="8"/>
  <c r="N841" i="8"/>
  <c r="N996" i="8"/>
  <c r="N449" i="8"/>
  <c r="N497" i="8"/>
  <c r="N845" i="8"/>
  <c r="N235" i="8"/>
  <c r="N847" i="8"/>
  <c r="N1624" i="8"/>
  <c r="N1707" i="8"/>
  <c r="N348" i="8"/>
  <c r="N1353" i="8"/>
  <c r="N1139" i="8"/>
  <c r="N853" i="8"/>
  <c r="N208" i="8"/>
  <c r="N301" i="8"/>
  <c r="N2426" i="8"/>
  <c r="N857" i="8"/>
  <c r="N1112" i="8"/>
  <c r="N2627" i="8"/>
  <c r="N956" i="8"/>
  <c r="N164" i="8"/>
  <c r="N1016" i="8"/>
  <c r="N732" i="8"/>
  <c r="N1407" i="8"/>
  <c r="N937" i="8"/>
  <c r="N2096" i="8"/>
  <c r="N371" i="8"/>
  <c r="N868" i="8"/>
  <c r="N2360" i="8"/>
  <c r="N902" i="8"/>
  <c r="N245" i="8"/>
  <c r="N3032" i="8"/>
  <c r="N227" i="8"/>
  <c r="N592" i="8"/>
  <c r="N548" i="8"/>
  <c r="N167" i="8"/>
  <c r="N1269" i="8"/>
  <c r="N2844" i="8"/>
  <c r="N2510" i="8"/>
  <c r="N1702" i="8"/>
  <c r="N1002" i="8"/>
  <c r="N2840" i="8"/>
  <c r="N2318" i="8"/>
  <c r="N602" i="8"/>
  <c r="N2054" i="8"/>
  <c r="N225" i="8"/>
  <c r="N887" i="8"/>
  <c r="N2905" i="8"/>
  <c r="N1141" i="8"/>
  <c r="N722" i="8"/>
  <c r="N704" i="8"/>
  <c r="N37" i="8"/>
  <c r="N2079" i="8"/>
  <c r="N1760" i="8"/>
  <c r="N451" i="8"/>
  <c r="N896" i="8"/>
  <c r="N3016" i="8"/>
  <c r="N2301" i="8"/>
  <c r="N1868" i="8"/>
  <c r="N2195" i="8"/>
  <c r="N901" i="8"/>
  <c r="N2372" i="8"/>
  <c r="N903" i="8"/>
  <c r="N852" i="8"/>
  <c r="N905" i="8"/>
  <c r="N830" i="8"/>
  <c r="N2486" i="8"/>
  <c r="N983" i="8"/>
  <c r="N909" i="8"/>
  <c r="N721" i="8"/>
  <c r="N216" i="8"/>
  <c r="N2207" i="8"/>
  <c r="N913" i="8"/>
  <c r="N629" i="8"/>
  <c r="N560" i="8"/>
  <c r="N532" i="8"/>
  <c r="N534" i="8"/>
  <c r="N2981" i="8"/>
  <c r="N660" i="8"/>
  <c r="N1839" i="8"/>
  <c r="N1127" i="8"/>
  <c r="N389" i="8"/>
  <c r="N1821" i="8"/>
  <c r="N3055" i="8"/>
  <c r="N2410" i="8"/>
  <c r="N498" i="8"/>
  <c r="N927" i="8"/>
  <c r="N1471" i="8"/>
  <c r="N2405" i="8"/>
  <c r="N461" i="8"/>
  <c r="N3034" i="8"/>
  <c r="N241" i="8"/>
  <c r="N1107" i="8"/>
  <c r="N917" i="8"/>
  <c r="N655" i="8"/>
  <c r="N2180" i="8"/>
  <c r="N1613" i="8"/>
  <c r="N258" i="8"/>
  <c r="N1105" i="8"/>
  <c r="N2349" i="8"/>
  <c r="N2147" i="8"/>
  <c r="N656" i="8"/>
  <c r="N2559" i="8"/>
  <c r="N469" i="8"/>
  <c r="N730" i="8"/>
  <c r="N2394" i="8"/>
  <c r="N351" i="8"/>
  <c r="N598" i="8"/>
  <c r="N2043" i="8"/>
  <c r="N263" i="8"/>
  <c r="N45" i="8"/>
  <c r="N1111" i="8"/>
  <c r="N336" i="8"/>
  <c r="N281" i="8"/>
  <c r="N955" i="8"/>
  <c r="N854" i="8"/>
  <c r="N522" i="8"/>
  <c r="N2452" i="8"/>
  <c r="N834" i="8"/>
  <c r="N309" i="8"/>
  <c r="N2280" i="8"/>
  <c r="N2595" i="8"/>
  <c r="N1998" i="8"/>
  <c r="N991" i="8"/>
  <c r="N2986" i="8"/>
  <c r="N980" i="8"/>
  <c r="N2496" i="8"/>
  <c r="N1718" i="8"/>
  <c r="N969" i="8"/>
  <c r="N2231" i="8"/>
  <c r="N2855" i="8"/>
  <c r="N120" i="8"/>
  <c r="N1088" i="8"/>
  <c r="N1797" i="8"/>
  <c r="N612" i="8"/>
  <c r="N1700" i="8"/>
  <c r="N2422" i="8"/>
  <c r="N2421" i="8"/>
  <c r="N589" i="8"/>
  <c r="N2495" i="8"/>
  <c r="N292" i="8"/>
  <c r="N1654" i="8"/>
  <c r="N2984" i="8"/>
  <c r="N1281" i="8"/>
  <c r="N1679" i="8"/>
  <c r="N986" i="8"/>
  <c r="N929" i="8"/>
  <c r="N928" i="8"/>
  <c r="N2127" i="8"/>
  <c r="N2581" i="8"/>
  <c r="N1852" i="8"/>
  <c r="N2758" i="8"/>
  <c r="N425" i="8"/>
  <c r="N2481" i="8"/>
  <c r="N989" i="8"/>
  <c r="N998" i="8"/>
  <c r="N403" i="8"/>
  <c r="N1525" i="8"/>
  <c r="N1093" i="8"/>
  <c r="N2166" i="8"/>
  <c r="N2006" i="8"/>
  <c r="N1427" i="8"/>
  <c r="N528" i="8"/>
  <c r="N1426" i="8"/>
  <c r="N1726" i="8"/>
  <c r="N943" i="8"/>
  <c r="N1698" i="8"/>
  <c r="N3049" i="8"/>
  <c r="N866" i="8"/>
  <c r="N2146" i="8"/>
  <c r="N1253" i="8"/>
  <c r="N890" i="8"/>
  <c r="N2358" i="8"/>
  <c r="N1310" i="8"/>
  <c r="N1893" i="8"/>
  <c r="N239" i="8"/>
  <c r="N828" i="8"/>
  <c r="N949" i="8"/>
  <c r="N2756" i="8"/>
  <c r="N2670" i="8"/>
  <c r="N2540" i="8"/>
  <c r="N2295" i="8"/>
  <c r="N243" i="8"/>
  <c r="N580" i="8"/>
  <c r="N166" i="8"/>
  <c r="N1026" i="8"/>
  <c r="N1027" i="8"/>
  <c r="N1635" i="8"/>
  <c r="N818" i="8"/>
  <c r="N2029" i="8"/>
  <c r="N331" i="8"/>
  <c r="N1929" i="8"/>
  <c r="N181" i="8"/>
  <c r="N2563" i="8"/>
  <c r="N2897" i="8"/>
  <c r="N1036" i="8"/>
  <c r="N1381" i="8"/>
  <c r="N2676" i="8"/>
  <c r="N620" i="8"/>
  <c r="N3053" i="8"/>
  <c r="N619" i="8"/>
  <c r="N2049" i="8"/>
  <c r="N390" i="8"/>
  <c r="N1858" i="8"/>
  <c r="N438" i="8"/>
  <c r="N2539" i="8"/>
  <c r="N1047" i="8"/>
  <c r="N577" i="8"/>
  <c r="N546" i="8"/>
  <c r="N222" i="8"/>
  <c r="N1731" i="8"/>
  <c r="N931" i="8"/>
  <c r="N2638" i="8"/>
  <c r="N213" i="8"/>
  <c r="N1055" i="8"/>
  <c r="N2352" i="8"/>
  <c r="N1439" i="8"/>
  <c r="N368" i="8"/>
  <c r="N590" i="8"/>
  <c r="N1441" i="8"/>
  <c r="N315" i="8"/>
  <c r="N1784" i="8"/>
  <c r="N360" i="8"/>
  <c r="N1333" i="8"/>
  <c r="N1528" i="8"/>
  <c r="N1885" i="8"/>
  <c r="N7" i="8"/>
  <c r="N244" i="8"/>
  <c r="N300" i="8"/>
  <c r="N1577" i="8"/>
  <c r="N417" i="8"/>
  <c r="N1395" i="8"/>
  <c r="N2115" i="8"/>
  <c r="N1117" i="8"/>
  <c r="N134" i="8"/>
  <c r="N1076" i="8"/>
  <c r="N735" i="8"/>
  <c r="N1078" i="8"/>
  <c r="N666" i="8"/>
  <c r="N503" i="8"/>
  <c r="N441" i="8"/>
  <c r="N1025" i="8"/>
  <c r="N2716" i="8"/>
  <c r="N1347" i="8"/>
  <c r="N1029" i="8"/>
  <c r="N2150" i="8"/>
  <c r="N1915" i="8"/>
  <c r="N378" i="8"/>
  <c r="N703" i="8"/>
  <c r="N1104" i="8"/>
  <c r="N1091" i="8"/>
  <c r="N837" i="8"/>
  <c r="N1854" i="8"/>
  <c r="N2721" i="8"/>
  <c r="N240" i="8"/>
  <c r="N2672" i="8"/>
  <c r="N1097" i="8"/>
  <c r="N1640" i="8"/>
  <c r="N1099" i="8"/>
  <c r="N3087" i="8"/>
  <c r="N599" i="8"/>
  <c r="N376" i="8"/>
  <c r="N993" i="8"/>
  <c r="N460" i="8"/>
  <c r="N900" i="8"/>
  <c r="N473" i="8"/>
  <c r="N744" i="8"/>
  <c r="N1237" i="8"/>
  <c r="N1939" i="8"/>
  <c r="N803" i="8"/>
  <c r="N646" i="8"/>
  <c r="N266" i="8"/>
  <c r="N356" i="8"/>
  <c r="N2996" i="8"/>
  <c r="N1782" i="8"/>
  <c r="N268" i="8"/>
  <c r="N2458" i="8"/>
  <c r="N2355" i="8"/>
  <c r="N1552" i="8"/>
  <c r="N2019" i="8"/>
  <c r="N1242" i="8"/>
  <c r="N1122" i="8"/>
  <c r="N2328" i="8"/>
  <c r="N533" i="8"/>
  <c r="N544" i="8"/>
  <c r="N2642" i="8"/>
  <c r="N1783" i="8"/>
  <c r="N424" i="8"/>
  <c r="N686" i="8"/>
  <c r="N2822" i="8"/>
  <c r="N1131" i="8"/>
  <c r="N32" i="8"/>
  <c r="N1650" i="8"/>
  <c r="N1120" i="8"/>
  <c r="N617" i="8"/>
  <c r="N340" i="8"/>
  <c r="N1137" i="8"/>
  <c r="N1436" i="8"/>
  <c r="N1542" i="8"/>
  <c r="N262" i="8"/>
  <c r="N1534" i="8"/>
  <c r="N195" i="8"/>
  <c r="N1052" i="8"/>
  <c r="N2119" i="8"/>
  <c r="N1145" i="8"/>
  <c r="N2998" i="8"/>
  <c r="N1573" i="8"/>
  <c r="N2279" i="8"/>
  <c r="N936" i="8"/>
  <c r="N1150" i="8"/>
  <c r="N2753" i="8"/>
  <c r="N783" i="8"/>
  <c r="N284" i="8"/>
  <c r="N2340" i="8"/>
  <c r="N769" i="8"/>
  <c r="N1265" i="8"/>
  <c r="N1157" i="8"/>
  <c r="N1158" i="8"/>
  <c r="N688" i="8"/>
  <c r="N788" i="8"/>
  <c r="N2734" i="8"/>
  <c r="N1080" i="8"/>
  <c r="N230" i="8"/>
  <c r="N3081" i="8"/>
  <c r="N2027" i="8"/>
  <c r="N1166" i="8"/>
  <c r="N772" i="8"/>
  <c r="N146" i="8"/>
  <c r="N1637" i="8"/>
  <c r="N1054" i="8"/>
  <c r="N3052" i="8"/>
  <c r="N1358" i="8"/>
  <c r="N231" i="8"/>
  <c r="N1174" i="8"/>
  <c r="N349" i="8"/>
  <c r="N2776" i="8"/>
  <c r="N1791" i="8"/>
  <c r="N1178" i="8"/>
  <c r="N1561" i="8"/>
  <c r="N516" i="8"/>
  <c r="N624" i="8"/>
  <c r="N1738" i="8"/>
  <c r="N1865" i="8"/>
  <c r="N535" i="8"/>
  <c r="N2633" i="8"/>
  <c r="N1710" i="8"/>
  <c r="N1459" i="8"/>
  <c r="N2304" i="8"/>
  <c r="N1189" i="8"/>
  <c r="N2245" i="8"/>
  <c r="N482" i="8"/>
  <c r="N433" i="8"/>
  <c r="N1432" i="8"/>
  <c r="N705" i="8"/>
  <c r="N563" i="8"/>
  <c r="N2775" i="8"/>
  <c r="N524" i="8"/>
  <c r="N270" i="8"/>
  <c r="N3042" i="8"/>
  <c r="N1393" i="8"/>
  <c r="N2531" i="8"/>
  <c r="N701" i="8"/>
  <c r="N1203" i="8"/>
  <c r="N223" i="8"/>
  <c r="N2461" i="8"/>
  <c r="N2779" i="8"/>
  <c r="N1207" i="8"/>
  <c r="N395" i="8"/>
  <c r="N1209" i="8"/>
  <c r="N2803" i="8"/>
  <c r="N1211" i="8"/>
  <c r="N4" i="8"/>
  <c r="N444" i="8"/>
  <c r="N604" i="8"/>
  <c r="N2300" i="8"/>
  <c r="N273" i="8"/>
  <c r="N2403" i="8"/>
  <c r="N1119" i="8"/>
  <c r="N1320" i="8"/>
  <c r="N2116" i="8"/>
  <c r="N1221" i="8"/>
  <c r="N2795" i="8"/>
  <c r="N2123" i="8"/>
  <c r="N1224" i="8"/>
  <c r="N1557" i="8"/>
  <c r="N623" i="8"/>
  <c r="N2262" i="8"/>
  <c r="N394" i="8"/>
  <c r="N1763" i="8"/>
  <c r="N1692" i="8"/>
  <c r="N510" i="8"/>
  <c r="N1232" i="8"/>
  <c r="N1215" i="8"/>
  <c r="N335" i="8"/>
  <c r="N1194" i="8"/>
  <c r="N228" i="8"/>
  <c r="N430" i="8"/>
  <c r="N391" i="8"/>
  <c r="N2322" i="8"/>
  <c r="N320" i="8"/>
  <c r="N675" i="8"/>
  <c r="N1695" i="8"/>
  <c r="N1243" i="8"/>
  <c r="N567" i="8"/>
  <c r="N1245" i="8"/>
  <c r="N2528" i="8"/>
  <c r="N637" i="8"/>
  <c r="N485" i="8"/>
  <c r="N1433" i="8"/>
  <c r="N754" i="8"/>
  <c r="N640" i="8"/>
  <c r="N2058" i="8"/>
  <c r="N1363" i="8"/>
  <c r="N799" i="8"/>
  <c r="N1219" i="8"/>
  <c r="N3001" i="8"/>
  <c r="N508" i="8"/>
  <c r="N2789" i="8"/>
  <c r="N904" i="8"/>
  <c r="N717" i="8"/>
  <c r="N1419" i="8"/>
  <c r="N1172" i="8"/>
  <c r="N1928" i="8"/>
  <c r="N2679" i="8"/>
  <c r="N3005" i="8"/>
  <c r="N1160" i="8"/>
  <c r="N1069" i="8"/>
  <c r="N1732" i="8"/>
  <c r="N55" i="8"/>
  <c r="N653" i="8"/>
  <c r="N2862" i="8"/>
  <c r="N1272" i="8"/>
  <c r="N734" i="8"/>
  <c r="N2800" i="8"/>
  <c r="N1829" i="8"/>
  <c r="N1276" i="8"/>
  <c r="N2017" i="8"/>
  <c r="N2310" i="8"/>
  <c r="N1820" i="8"/>
  <c r="N1355" i="8"/>
  <c r="N1815" i="8"/>
  <c r="N614" i="8"/>
  <c r="N1283" i="8"/>
  <c r="N1284" i="8"/>
  <c r="N1285" i="8"/>
  <c r="N2408" i="8"/>
  <c r="N1848" i="8"/>
  <c r="N302" i="8"/>
  <c r="N2925" i="8"/>
  <c r="N1290" i="8"/>
  <c r="N1863" i="8"/>
  <c r="N2424" i="8"/>
  <c r="N2890" i="8"/>
  <c r="N126" i="8"/>
  <c r="N338" i="8"/>
  <c r="N1451" i="8"/>
  <c r="N1750" i="8"/>
  <c r="N1298" i="8"/>
  <c r="N1531" i="8"/>
  <c r="N2387" i="8"/>
  <c r="N1966" i="8"/>
  <c r="N1558" i="8"/>
  <c r="N663" i="8"/>
  <c r="N3046" i="8"/>
  <c r="N450" i="8"/>
  <c r="N1368" i="8"/>
  <c r="N2626" i="8"/>
  <c r="N1308" i="8"/>
  <c r="N935" i="8"/>
  <c r="N50" i="8"/>
  <c r="N1311" i="8"/>
  <c r="N1536" i="8"/>
  <c r="N2645" i="8"/>
  <c r="N2783" i="8"/>
  <c r="N2860" i="8"/>
  <c r="N657" i="8"/>
  <c r="N1553" i="8"/>
  <c r="N844" i="8"/>
  <c r="N343" i="8"/>
  <c r="N3085" i="8"/>
  <c r="N1410" i="8"/>
  <c r="N1835" i="8"/>
  <c r="N264" i="8"/>
  <c r="N1010" i="8"/>
  <c r="N873" i="8"/>
  <c r="N2952" i="8"/>
  <c r="N517" i="8"/>
  <c r="N885" i="8"/>
  <c r="N1312" i="8"/>
  <c r="N1050" i="8"/>
  <c r="N1610" i="8"/>
  <c r="N554" i="8"/>
  <c r="N1325" i="8"/>
  <c r="N1574" i="8"/>
  <c r="N2829" i="8"/>
  <c r="N2745" i="8"/>
  <c r="N2444" i="8"/>
  <c r="N1908" i="8"/>
  <c r="N706" i="8"/>
  <c r="N2018" i="8"/>
  <c r="N2871" i="8"/>
  <c r="N2282" i="8"/>
  <c r="N1515" i="8"/>
  <c r="N452" i="8"/>
  <c r="N2406" i="8"/>
  <c r="N161" i="8"/>
  <c r="N1851" i="8"/>
  <c r="N1348" i="8"/>
  <c r="N671" i="8"/>
  <c r="N1423" i="8"/>
  <c r="N2395" i="8"/>
  <c r="N1248" i="8"/>
  <c r="N456" i="8"/>
  <c r="N2704" i="8"/>
  <c r="N767" i="8"/>
  <c r="N1659" i="8"/>
  <c r="N1142" i="8"/>
  <c r="N1031" i="8"/>
  <c r="N527" i="8"/>
  <c r="N835" i="8"/>
  <c r="N1941" i="8"/>
  <c r="N2597" i="8"/>
  <c r="N1462" i="8"/>
  <c r="N571" i="8"/>
  <c r="N2843" i="8"/>
  <c r="N2125" i="8"/>
  <c r="N809" i="8"/>
  <c r="N1061" i="8"/>
  <c r="N2051" i="8"/>
  <c r="N1370" i="8"/>
  <c r="N1371" i="8"/>
  <c r="N2139" i="8"/>
  <c r="N1969" i="8"/>
  <c r="N2534" i="8"/>
  <c r="N1294" i="8"/>
  <c r="N5" i="8"/>
  <c r="N291" i="8"/>
  <c r="N742" i="8"/>
  <c r="N1213" i="8"/>
  <c r="N1683" i="8"/>
  <c r="N1375" i="8"/>
  <c r="N2820" i="8"/>
  <c r="N1565" i="8"/>
  <c r="N2644" i="8"/>
  <c r="N877" i="8"/>
  <c r="N780" i="8"/>
  <c r="N1387" i="8"/>
  <c r="N1388" i="8"/>
  <c r="N3021" i="8"/>
  <c r="N475" i="8"/>
  <c r="N2192" i="8"/>
  <c r="N1184" i="8"/>
  <c r="N2568" i="8"/>
  <c r="N2165" i="8"/>
  <c r="N2891" i="8"/>
  <c r="N2237" i="8"/>
  <c r="N2616" i="8"/>
  <c r="N1398" i="8"/>
  <c r="N894" i="8"/>
  <c r="N2181" i="8"/>
  <c r="N2848" i="8"/>
  <c r="N1756" i="8"/>
  <c r="N2465" i="8"/>
  <c r="N2636" i="8"/>
  <c r="N2060" i="8"/>
  <c r="N2186" i="8"/>
  <c r="N593" i="8"/>
  <c r="N1899" i="8"/>
  <c r="N2442" i="8"/>
  <c r="N1226" i="8"/>
  <c r="N1013" i="8"/>
  <c r="N1608" i="8"/>
  <c r="N1413" i="8"/>
  <c r="N1414" i="8"/>
  <c r="N538" i="8"/>
  <c r="N386" i="8"/>
  <c r="N855" i="8"/>
  <c r="N1262" i="8"/>
  <c r="N689" i="8"/>
  <c r="N267" i="8"/>
  <c r="N878" i="8"/>
  <c r="N2784" i="8"/>
  <c r="N1349" i="8"/>
  <c r="N576" i="8"/>
  <c r="N257" i="8"/>
  <c r="N1541" i="8"/>
  <c r="N1576" i="8"/>
  <c r="N2056" i="8"/>
  <c r="N1935" i="8"/>
  <c r="N1332" i="8"/>
  <c r="N2904" i="8"/>
  <c r="N2034" i="8"/>
  <c r="N2523" i="8"/>
  <c r="N1244" i="8"/>
  <c r="N2086" i="8"/>
  <c r="N1812" i="8"/>
  <c r="N1972" i="8"/>
  <c r="N1736" i="8"/>
  <c r="N2137" i="8"/>
  <c r="N597" i="8"/>
  <c r="N145" i="8"/>
  <c r="N346" i="8"/>
  <c r="N1443" i="8"/>
  <c r="N2230" i="8"/>
  <c r="N2821" i="8"/>
  <c r="N1634" i="8"/>
  <c r="N1447" i="8"/>
  <c r="N2761" i="8"/>
  <c r="N2833" i="8"/>
  <c r="N2808" i="8"/>
  <c r="N2982" i="8"/>
  <c r="N1955" i="8"/>
  <c r="N1453" i="8"/>
  <c r="N1813" i="8"/>
  <c r="N2223" i="8"/>
  <c r="N486" i="8"/>
  <c r="N1282" i="8"/>
  <c r="N499" i="8"/>
  <c r="N990" i="8"/>
  <c r="N1730" i="8"/>
  <c r="N2664" i="8"/>
  <c r="N2110" i="8"/>
  <c r="N367" i="8"/>
  <c r="N1722" i="8"/>
  <c r="N923" i="8"/>
  <c r="N1646" i="8"/>
  <c r="N833" i="8"/>
  <c r="N1643" i="8"/>
  <c r="N2935" i="8"/>
  <c r="N1022" i="8"/>
  <c r="N157" i="8"/>
  <c r="N1472" i="8"/>
  <c r="N2918" i="8"/>
  <c r="N594" i="8"/>
  <c r="N506" i="8"/>
  <c r="N1315" i="8"/>
  <c r="N1967" i="8"/>
  <c r="N373" i="8"/>
  <c r="N1053" i="8"/>
  <c r="N1590" i="8"/>
  <c r="N2346" i="8"/>
  <c r="N513" i="8"/>
  <c r="N429" i="8"/>
  <c r="N1495" i="8"/>
  <c r="N869" i="8"/>
  <c r="N333" i="8"/>
  <c r="N1521" i="8"/>
  <c r="N2091" i="8"/>
  <c r="N1681" i="8"/>
  <c r="N1990" i="8"/>
  <c r="N3026" i="8"/>
  <c r="N1492" i="8"/>
  <c r="N1100" i="8"/>
  <c r="N922" i="8"/>
  <c r="N323" i="8"/>
  <c r="N2309" i="8"/>
  <c r="N1422" i="8"/>
  <c r="N741" i="8"/>
  <c r="N1499" i="8"/>
  <c r="N1729" i="8"/>
  <c r="N1501" i="8"/>
  <c r="N3076" i="8"/>
  <c r="N1118" i="8"/>
  <c r="N1806" i="8"/>
  <c r="N2791" i="8"/>
  <c r="N1532" i="8"/>
  <c r="N1448" i="8"/>
  <c r="N2103" i="8"/>
  <c r="N1690" i="8"/>
  <c r="N1831" i="8"/>
  <c r="N1246" i="8"/>
  <c r="N2954" i="8"/>
  <c r="N551" i="8"/>
  <c r="N2254" i="8"/>
  <c r="N353" i="8"/>
  <c r="N1179" i="8"/>
  <c r="N760" i="8"/>
  <c r="N2311" i="8"/>
  <c r="N944" i="8"/>
  <c r="N994" i="8"/>
  <c r="N1881" i="8"/>
  <c r="N286" i="8"/>
  <c r="N2924" i="8"/>
  <c r="N1278" i="8"/>
  <c r="N966" i="8"/>
  <c r="N1595" i="8"/>
  <c r="N886" i="8"/>
  <c r="N347" i="8"/>
  <c r="N2556" i="8"/>
  <c r="N957" i="8"/>
  <c r="N2538" i="8"/>
  <c r="N2620" i="8"/>
  <c r="N648" i="8"/>
  <c r="N973" i="8"/>
  <c r="N811" i="8"/>
  <c r="N965" i="8"/>
  <c r="N1537" i="8"/>
  <c r="N650" i="8"/>
  <c r="N1239" i="8"/>
  <c r="N1938" i="8"/>
  <c r="N3054" i="8"/>
  <c r="N191" i="8"/>
  <c r="N1456" i="8"/>
  <c r="N361" i="8"/>
  <c r="N859" i="8"/>
  <c r="N1030" i="8"/>
  <c r="N2687" i="8"/>
  <c r="N1392" i="8"/>
  <c r="N1196" i="8"/>
  <c r="N3015" i="8"/>
  <c r="N2278" i="8"/>
  <c r="N2650" i="8"/>
  <c r="N1758" i="8"/>
  <c r="N531" i="8"/>
  <c r="N1822" i="8"/>
  <c r="N1556" i="8"/>
  <c r="N2417" i="8"/>
  <c r="N794" i="8"/>
  <c r="N1559" i="8"/>
  <c r="N536" i="8"/>
  <c r="N1418" i="8"/>
  <c r="N1591" i="8"/>
  <c r="N2149" i="8"/>
  <c r="N1790" i="8"/>
  <c r="N1600" i="8"/>
  <c r="N186" i="8"/>
  <c r="N1445" i="8"/>
  <c r="N1344" i="8"/>
  <c r="N426" i="8"/>
  <c r="N1570" i="8"/>
  <c r="N952" i="8"/>
  <c r="N481" i="8"/>
  <c r="N1904" i="8"/>
  <c r="N756" i="8"/>
  <c r="N116" i="8"/>
  <c r="N633" i="8"/>
  <c r="N463" i="8"/>
  <c r="N2269" i="8"/>
  <c r="N984" i="8"/>
  <c r="N1978" i="8"/>
  <c r="N2958" i="8"/>
  <c r="N2105" i="8"/>
  <c r="N842" i="8"/>
  <c r="N2055" i="8"/>
  <c r="N708" i="8"/>
  <c r="N1883" i="8"/>
  <c r="N999" i="8"/>
  <c r="N2669" i="8"/>
  <c r="N103" i="8"/>
  <c r="N2087" i="8"/>
  <c r="N959" i="8"/>
  <c r="N565" i="8"/>
  <c r="N925" i="8"/>
  <c r="N1594" i="8"/>
  <c r="N2777" i="8"/>
  <c r="N641" i="8"/>
  <c r="N1597" i="8"/>
  <c r="N2752" i="8"/>
  <c r="N1506" i="8"/>
  <c r="N2038" i="8"/>
  <c r="N764" i="8"/>
  <c r="N1008" i="8"/>
  <c r="N1484" i="8"/>
  <c r="N325" i="8"/>
  <c r="N2746" i="8"/>
  <c r="N2264" i="8"/>
  <c r="N804" i="8"/>
  <c r="N2589" i="8"/>
  <c r="N2327" i="8"/>
  <c r="N2220" i="8"/>
  <c r="N1611" i="8"/>
  <c r="N2552" i="8"/>
  <c r="N815" i="8"/>
  <c r="N1535" i="8"/>
  <c r="N1671" i="8"/>
  <c r="N1616" i="8"/>
  <c r="N1562" i="8"/>
  <c r="N1818" i="8"/>
  <c r="N2847" i="8"/>
  <c r="N1214" i="8"/>
  <c r="N712" i="8"/>
  <c r="N2234" i="8"/>
  <c r="N600" i="8"/>
  <c r="N141" i="8"/>
  <c r="N1321" i="8"/>
  <c r="N274" i="8"/>
  <c r="N698" i="8"/>
  <c r="N249" i="8"/>
  <c r="N2578" i="8"/>
  <c r="N543" i="8"/>
  <c r="N2065" i="8"/>
  <c r="N2433" i="8"/>
  <c r="N651" i="8"/>
  <c r="N422" i="8"/>
  <c r="N3022" i="8"/>
  <c r="N540" i="8"/>
  <c r="N93" i="8"/>
  <c r="N2500" i="8"/>
  <c r="N2083" i="8"/>
  <c r="N697" i="8"/>
  <c r="N2275" i="8"/>
  <c r="N1639" i="8"/>
  <c r="N2420" i="8"/>
  <c r="N2084" i="8"/>
  <c r="N52" i="8"/>
  <c r="N889" i="8"/>
  <c r="N1647" i="8"/>
  <c r="N2572" i="8"/>
  <c r="N1711" i="8"/>
  <c r="N2167" i="8"/>
  <c r="N1149" i="8"/>
  <c r="N832" i="8"/>
  <c r="N781" i="8"/>
  <c r="N2849" i="8"/>
  <c r="N2488" i="8"/>
  <c r="N2786" i="8"/>
  <c r="N2812" i="8"/>
  <c r="N961" i="8"/>
  <c r="N669" i="8"/>
  <c r="N2435" i="8"/>
  <c r="N2747" i="8"/>
  <c r="N566" i="8"/>
  <c r="N1842" i="8"/>
  <c r="N1945" i="8"/>
  <c r="N1519" i="8"/>
  <c r="N636" i="8"/>
  <c r="N358" i="8"/>
  <c r="N271" i="8"/>
  <c r="N321" i="8"/>
  <c r="N1638" i="8"/>
  <c r="N1334" i="8"/>
  <c r="N862" i="8"/>
  <c r="N1359" i="8"/>
  <c r="N1642" i="8"/>
  <c r="N1603" i="8"/>
  <c r="N1167" i="8"/>
  <c r="N1148" i="8"/>
  <c r="N1678" i="8"/>
  <c r="N727" i="8"/>
  <c r="N926" i="8"/>
  <c r="N2706" i="8"/>
  <c r="N2842" i="8"/>
  <c r="N2512" i="8"/>
  <c r="N2066" i="8"/>
  <c r="N95" i="8"/>
  <c r="N2564" i="8"/>
  <c r="N2854" i="8"/>
  <c r="N895" i="8"/>
  <c r="N1984" i="8"/>
  <c r="N2048" i="8"/>
  <c r="N1691" i="8"/>
  <c r="N1210" i="8"/>
  <c r="N1914" i="8"/>
  <c r="N108" i="8"/>
  <c r="N601" i="8"/>
  <c r="N1377" i="8"/>
  <c r="N2272" i="8"/>
  <c r="N941" i="8"/>
  <c r="N279" i="8"/>
  <c r="N2434" i="8"/>
  <c r="N298" i="8"/>
  <c r="N3065" i="8"/>
  <c r="N2188" i="8"/>
  <c r="N3050" i="8"/>
  <c r="N96" i="8"/>
  <c r="N968" i="8"/>
  <c r="N490" i="8"/>
  <c r="N1569" i="8"/>
  <c r="N1709" i="8"/>
  <c r="N2751" i="8"/>
  <c r="N1406" i="8"/>
  <c r="N2479" i="8"/>
  <c r="N768" i="8"/>
  <c r="N1165" i="8"/>
  <c r="N2409" i="8"/>
  <c r="N1716" i="8"/>
  <c r="N2342" i="8"/>
  <c r="N3043" i="8"/>
  <c r="N893" i="8"/>
  <c r="N1033" i="8"/>
  <c r="N276" i="8"/>
  <c r="N864" i="8"/>
  <c r="N2725" i="8"/>
  <c r="N404" i="8"/>
  <c r="N740" i="8"/>
  <c r="N2449" i="8"/>
  <c r="N672" i="8"/>
  <c r="N504" i="8"/>
  <c r="N1607" i="8"/>
  <c r="N2270" i="8"/>
  <c r="N428" i="8"/>
  <c r="N3074" i="8"/>
  <c r="N1593" i="8"/>
  <c r="N1734" i="8"/>
  <c r="N1567" i="8"/>
  <c r="N840" i="8"/>
  <c r="N849" i="8"/>
  <c r="N775" i="8"/>
  <c r="N2593" i="8"/>
  <c r="N639" i="8"/>
  <c r="N1274" i="8"/>
  <c r="N1345" i="8"/>
  <c r="N1547" i="8"/>
  <c r="N359" i="8"/>
  <c r="N2469" i="8"/>
  <c r="N581" i="8"/>
  <c r="N2772" i="8"/>
  <c r="N1382" i="8"/>
  <c r="N1373" i="8"/>
  <c r="N1627" i="8"/>
  <c r="N3072" i="8"/>
  <c r="N1227" i="8"/>
  <c r="N1666" i="8"/>
  <c r="N2411" i="8"/>
  <c r="N1094" i="8"/>
  <c r="N542" i="8"/>
  <c r="N1757" i="8"/>
  <c r="N419" i="8"/>
  <c r="N342" i="8"/>
  <c r="N1238" i="8"/>
  <c r="N2418" i="8"/>
  <c r="N2583" i="8"/>
  <c r="N2100" i="8"/>
  <c r="N255" i="8"/>
  <c r="N2818" i="8"/>
  <c r="N1766" i="8"/>
  <c r="N2362" i="8"/>
  <c r="N2624" i="8"/>
  <c r="N1841" i="8"/>
  <c r="N1235" i="8"/>
  <c r="N1771" i="8"/>
  <c r="N1136" i="8"/>
  <c r="N1775" i="8"/>
  <c r="N1465" i="8"/>
  <c r="N1045" i="8"/>
  <c r="N448" i="8"/>
  <c r="N863" i="8"/>
  <c r="N1538" i="8"/>
  <c r="N851" i="8"/>
  <c r="N479" i="8"/>
  <c r="N2031" i="8"/>
  <c r="N992" i="8"/>
  <c r="N1130" i="8"/>
  <c r="N1198" i="8"/>
  <c r="N1580" i="8"/>
  <c r="N1697" i="8"/>
  <c r="N752" i="8"/>
  <c r="N642" i="8"/>
  <c r="N1789" i="8"/>
  <c r="N1953" i="8"/>
  <c r="N899" i="8"/>
  <c r="N2975" i="8"/>
  <c r="N914" i="8"/>
  <c r="N2852" i="8"/>
  <c r="N2769" i="8"/>
  <c r="N2256" i="8"/>
  <c r="N1862" i="8"/>
  <c r="N793" i="8"/>
  <c r="N1249" i="8"/>
  <c r="N1800" i="8"/>
  <c r="N728" i="8"/>
  <c r="N1479" i="8"/>
  <c r="N2718" i="8"/>
  <c r="N122" i="8"/>
  <c r="N1764" i="8"/>
  <c r="N1874" i="8"/>
  <c r="N976" i="8"/>
  <c r="N1808" i="8"/>
  <c r="N2851" i="8"/>
  <c r="N1869" i="8"/>
  <c r="N2271" i="8"/>
  <c r="N1138" i="8"/>
  <c r="N1971" i="8"/>
  <c r="N1075" i="8"/>
  <c r="N2399" i="8"/>
  <c r="N1474" i="8"/>
  <c r="N3066" i="8"/>
  <c r="N796" i="8"/>
  <c r="N1109" i="8"/>
  <c r="N2735" i="8"/>
  <c r="N1932" i="8"/>
  <c r="N2619" i="8"/>
  <c r="N1470" i="8"/>
  <c r="N683" i="8"/>
  <c r="N685" i="8"/>
  <c r="N1675" i="8"/>
  <c r="N1693" i="8"/>
  <c r="N1123" i="8"/>
  <c r="N2335" i="8"/>
  <c r="N2172" i="8"/>
  <c r="N2876" i="8"/>
  <c r="N2635" i="8"/>
  <c r="N90" i="8"/>
  <c r="N2548" i="8"/>
  <c r="N2297" i="8"/>
  <c r="N1455" i="8"/>
  <c r="N2293" i="8"/>
  <c r="N2739" i="8"/>
  <c r="N1657" i="8"/>
  <c r="N2809" i="8"/>
  <c r="N495" i="8"/>
  <c r="N2076" i="8"/>
  <c r="N2730" i="8"/>
  <c r="N1187" i="8"/>
  <c r="N1819" i="8"/>
  <c r="N1846" i="8"/>
  <c r="N2631" i="8"/>
  <c r="N2152" i="8"/>
  <c r="N2388" i="8"/>
  <c r="N2518" i="8"/>
  <c r="N2425" i="8"/>
  <c r="N2668" i="8"/>
  <c r="N2487" i="8"/>
  <c r="N3069" i="8"/>
  <c r="N2402" i="8"/>
  <c r="N2767" i="8"/>
  <c r="N1176" i="8"/>
  <c r="N3025" i="8"/>
  <c r="N2553" i="8"/>
  <c r="N1860" i="8"/>
  <c r="N492" i="8"/>
  <c r="N1703" i="8"/>
  <c r="N2141" i="8"/>
  <c r="N821" i="8"/>
  <c r="N2665" i="8"/>
  <c r="N2459" i="8"/>
  <c r="N2428" i="8"/>
  <c r="N1940" i="8"/>
  <c r="N2911" i="8"/>
  <c r="N2939" i="8"/>
  <c r="N1871" i="8"/>
  <c r="N2015" i="8"/>
  <c r="N2705" i="8"/>
  <c r="N739" i="8"/>
  <c r="N2120" i="8"/>
  <c r="N1046" i="8"/>
  <c r="N709" i="8"/>
  <c r="N1878" i="8"/>
  <c r="N958" i="8"/>
  <c r="N1880" i="8"/>
  <c r="N1257" i="8"/>
  <c r="N1617" i="8"/>
  <c r="N1346" i="8"/>
  <c r="N1301" i="8"/>
  <c r="N1273" i="8"/>
  <c r="N2343" i="8"/>
  <c r="N858" i="8"/>
  <c r="N385" i="8"/>
  <c r="N12" i="8"/>
  <c r="N2473" i="8"/>
  <c r="N1890" i="8"/>
  <c r="N2894" i="8"/>
  <c r="N1884" i="8"/>
  <c r="N2689" i="8"/>
  <c r="N1810" i="8"/>
  <c r="N2227" i="8"/>
  <c r="N1126" i="8"/>
  <c r="N2485" i="8"/>
  <c r="N586" i="8"/>
  <c r="N1402" i="8"/>
  <c r="N1605" i="8"/>
  <c r="N1706" i="8"/>
  <c r="N2722" i="8"/>
  <c r="N1809" i="8"/>
  <c r="N2703" i="8"/>
  <c r="N822" i="8"/>
  <c r="N2816" i="8"/>
  <c r="N1434" i="8"/>
  <c r="N583" i="8"/>
  <c r="N2962" i="8"/>
  <c r="N584" i="8"/>
  <c r="N1581" i="8"/>
  <c r="N1356" i="8"/>
  <c r="N2432" i="8"/>
  <c r="N1288" i="8"/>
  <c r="N2733" i="8"/>
  <c r="N2239" i="8"/>
  <c r="N587" i="8"/>
  <c r="N3030" i="8"/>
  <c r="N1704" i="8"/>
  <c r="N1859" i="8"/>
  <c r="N2766" i="8"/>
  <c r="N2630" i="8"/>
  <c r="N2397" i="8"/>
  <c r="N1765" i="8"/>
  <c r="N2097" i="8"/>
  <c r="N1997" i="8"/>
  <c r="N1306" i="8"/>
  <c r="N86" i="8"/>
  <c r="N3061" i="8"/>
  <c r="N1931" i="8"/>
  <c r="N572" i="8"/>
  <c r="N2610" i="8"/>
  <c r="N2877" i="8"/>
  <c r="N2386" i="8"/>
  <c r="N1458" i="8"/>
  <c r="N1446" i="8"/>
  <c r="N2529" i="8"/>
  <c r="N491" i="8"/>
  <c r="N2184" i="8"/>
  <c r="N573" i="8"/>
  <c r="N1918" i="8"/>
  <c r="N260" i="8"/>
  <c r="N1186" i="8"/>
  <c r="N1263" i="8"/>
  <c r="N2537" i="8"/>
  <c r="N3018" i="8"/>
  <c r="N2574" i="8"/>
  <c r="N2153" i="8"/>
  <c r="N2750" i="8"/>
  <c r="N1696" i="8"/>
  <c r="N2106" i="8"/>
  <c r="N2547" i="8"/>
  <c r="N1954" i="8"/>
  <c r="N1840" i="8"/>
  <c r="N867" i="8"/>
  <c r="N1297" i="8"/>
  <c r="N2216" i="8"/>
  <c r="N1715" i="8"/>
  <c r="N2463" i="8"/>
  <c r="N2316" i="8"/>
  <c r="N2586" i="8"/>
  <c r="N1505" i="8"/>
  <c r="N1982" i="8"/>
  <c r="N2565" i="8"/>
  <c r="N1833" i="8"/>
  <c r="N1180" i="8"/>
  <c r="N2109" i="8"/>
  <c r="N2013" i="8"/>
  <c r="N1970" i="8"/>
  <c r="N2662" i="8"/>
  <c r="N2373" i="8"/>
  <c r="N2690" i="8"/>
  <c r="N1086" i="8"/>
  <c r="N1038" i="8"/>
  <c r="N982" i="8"/>
  <c r="N2329" i="8"/>
  <c r="N561" i="8"/>
  <c r="N1378" i="8"/>
  <c r="N1005" i="8"/>
  <c r="N2929" i="8"/>
  <c r="N856" i="8"/>
  <c r="N1983" i="8"/>
  <c r="N2915" i="8"/>
  <c r="N1628" i="8"/>
  <c r="N1986" i="8"/>
  <c r="N1987" i="8"/>
  <c r="N1988" i="8"/>
  <c r="N2695" i="8"/>
  <c r="N1958" i="8"/>
  <c r="N1991" i="8"/>
  <c r="N1745" i="8"/>
  <c r="N2246" i="8"/>
  <c r="N1751" i="8"/>
  <c r="N1568" i="8"/>
  <c r="N501" i="8"/>
  <c r="N2811" i="8"/>
  <c r="N2594" i="8"/>
  <c r="N1420" i="8"/>
  <c r="N1256" i="8"/>
  <c r="N2892" i="8"/>
  <c r="N2951" i="8"/>
  <c r="N1089" i="8"/>
  <c r="N2869" i="8"/>
  <c r="N1668" i="8"/>
  <c r="N2621" i="8"/>
  <c r="N2898" i="8"/>
  <c r="N2383" i="8"/>
  <c r="N2009" i="8"/>
  <c r="N2010" i="8"/>
  <c r="N2011" i="8"/>
  <c r="N2457" i="8"/>
  <c r="N1175" i="8"/>
  <c r="N1957" i="8"/>
  <c r="N2194" i="8"/>
  <c r="N748" i="8"/>
  <c r="N1855" i="8"/>
  <c r="N2780" i="8"/>
  <c r="N2412" i="8"/>
  <c r="N1330" i="8"/>
  <c r="N2628" i="8"/>
  <c r="N2396" i="8"/>
  <c r="N2023" i="8"/>
  <c r="N366" i="8"/>
  <c r="N1261" i="8"/>
  <c r="N1827" i="8"/>
  <c r="N1477" i="8"/>
  <c r="N1255" i="8"/>
  <c r="N502" i="8"/>
  <c r="N2684" i="8"/>
  <c r="N2934" i="8"/>
  <c r="N2414" i="8"/>
  <c r="N2413" i="8"/>
  <c r="N1489" i="8"/>
  <c r="N2035" i="8"/>
  <c r="N2032" i="8"/>
  <c r="N2037" i="8"/>
  <c r="N3019" i="8"/>
  <c r="N1744" i="8"/>
  <c r="N400" i="8"/>
  <c r="N1583" i="8"/>
  <c r="N2145" i="8"/>
  <c r="N547" i="8"/>
  <c r="N2061" i="8"/>
  <c r="N2850" i="8"/>
  <c r="N2211" i="8"/>
  <c r="N1042" i="8"/>
  <c r="N2797" i="8"/>
  <c r="N1083" i="8"/>
  <c r="N1102" i="8"/>
  <c r="N2622" i="8"/>
  <c r="N2052" i="8"/>
  <c r="N2423" i="8"/>
  <c r="N606" i="8"/>
  <c r="N2814" i="8"/>
  <c r="N2861" i="8"/>
  <c r="N1313" i="8"/>
  <c r="N1425" i="8"/>
  <c r="N3017" i="8"/>
  <c r="N2291" i="8"/>
  <c r="N382" i="8"/>
  <c r="N2926" i="8"/>
  <c r="N2095" i="8"/>
  <c r="N1705" i="8"/>
  <c r="N2615" i="8"/>
  <c r="N645" i="8"/>
  <c r="N2788" i="8"/>
  <c r="N2068" i="8"/>
  <c r="N530" i="8"/>
  <c r="N3044" i="8"/>
  <c r="N2806" i="8"/>
  <c r="N1773" i="8"/>
  <c r="N1930" i="8"/>
  <c r="N2074" i="8"/>
  <c r="N746" i="8"/>
  <c r="N1380" i="8"/>
  <c r="N2385" i="8"/>
  <c r="N2078" i="8"/>
  <c r="N2057" i="8"/>
  <c r="N2853" i="8"/>
  <c r="N2598" i="8"/>
  <c r="N2824" i="8"/>
  <c r="N1452" i="8"/>
  <c r="N2883" i="8"/>
  <c r="N1599" i="8"/>
  <c r="N2913" i="8"/>
  <c r="N1663" i="8"/>
  <c r="N1018" i="8"/>
  <c r="N1614" i="8"/>
  <c r="N2296" i="8"/>
  <c r="N1739" i="8"/>
  <c r="N2050" i="8"/>
  <c r="N1461" i="8"/>
  <c r="N1892" i="8"/>
  <c r="N1563" i="8"/>
  <c r="N2886" i="8"/>
  <c r="N2101" i="8"/>
  <c r="N2682" i="8"/>
  <c r="N2099" i="8"/>
  <c r="N1564" i="8"/>
  <c r="N1309" i="8"/>
  <c r="N1440" i="8"/>
  <c r="N578" i="8"/>
  <c r="N2288" i="8"/>
  <c r="N1793" i="8"/>
  <c r="N2508" i="8"/>
  <c r="N2107" i="8"/>
  <c r="N2108" i="8"/>
  <c r="N1401" i="8"/>
  <c r="N1680" i="8"/>
  <c r="N148" i="8"/>
  <c r="N574" i="8"/>
  <c r="N2113" i="8"/>
  <c r="N2317" i="8"/>
  <c r="N2558" i="8"/>
  <c r="N2577" i="8"/>
  <c r="N1270" i="8"/>
  <c r="N2732" i="8"/>
  <c r="N1989" i="8"/>
  <c r="N2613" i="8"/>
  <c r="N1796" i="8"/>
  <c r="N1656" i="8"/>
  <c r="N568" i="8"/>
  <c r="N2135" i="8"/>
  <c r="N1153" i="8"/>
  <c r="N682" i="8"/>
  <c r="N2190" i="8"/>
  <c r="N2675" i="8"/>
  <c r="N3075" i="8"/>
  <c r="N523" i="8"/>
  <c r="N2544" i="8"/>
  <c r="N2132" i="8"/>
  <c r="N2606" i="8"/>
  <c r="N1980" i="8"/>
  <c r="N1342" i="8"/>
  <c r="N2002" i="8"/>
  <c r="N2219" i="8"/>
  <c r="N616" i="8"/>
  <c r="N2957" i="8"/>
  <c r="N2456" i="8"/>
  <c r="N1450" i="8"/>
  <c r="N2599" i="8"/>
  <c r="N826" i="8"/>
  <c r="N1578" i="8"/>
  <c r="N1735" i="8"/>
  <c r="N1674" i="8"/>
  <c r="N1951" i="8"/>
  <c r="N1329" i="8"/>
  <c r="N962" i="8"/>
  <c r="N350" i="8"/>
  <c r="N1712" i="8"/>
  <c r="N1803" i="8"/>
  <c r="N1063" i="8"/>
  <c r="N2045" i="8"/>
  <c r="N2873" i="8"/>
  <c r="N1193" i="8"/>
  <c r="N2157" i="8"/>
  <c r="N2950" i="8"/>
  <c r="N1857" i="8"/>
  <c r="N1517" i="8"/>
  <c r="N647" i="8"/>
  <c r="N2945" i="8"/>
  <c r="N1327" i="8"/>
  <c r="N3057" i="8"/>
  <c r="N1338" i="8"/>
  <c r="N2001" i="8"/>
  <c r="N1228" i="8"/>
  <c r="N2881" i="8"/>
  <c r="N1645" i="8"/>
  <c r="N1044" i="8"/>
  <c r="N2171" i="8"/>
  <c r="N2618" i="8"/>
  <c r="N2238" i="8"/>
  <c r="N2059" i="8"/>
  <c r="N2104" i="8"/>
  <c r="N2129" i="8"/>
  <c r="N1218" i="8"/>
  <c r="N1216" i="8"/>
  <c r="N897" i="8"/>
  <c r="N1073" i="8"/>
  <c r="N2117" i="8"/>
  <c r="N2069" i="8"/>
  <c r="N1511" i="8"/>
  <c r="N2379" i="8"/>
  <c r="N2968" i="8"/>
  <c r="N1317" i="8"/>
  <c r="N2696" i="8"/>
  <c r="N2025" i="8"/>
  <c r="N2159" i="8"/>
  <c r="N1500" i="8"/>
  <c r="N2331" i="8"/>
  <c r="N1636" i="8"/>
  <c r="N2740" i="8"/>
  <c r="N1416" i="8"/>
  <c r="N1794" i="8"/>
  <c r="N2720" i="8"/>
  <c r="N2688" i="8"/>
  <c r="N3003" i="8"/>
  <c r="N1912" i="8"/>
  <c r="N3059" i="8"/>
  <c r="N1687" i="8"/>
  <c r="N1328" i="8"/>
  <c r="N2203" i="8"/>
  <c r="N2460" i="8"/>
  <c r="N3013" i="8"/>
  <c r="N2965" i="8"/>
  <c r="N1478" i="8"/>
  <c r="N1205" i="8"/>
  <c r="N2641" i="8"/>
  <c r="N1777" i="8"/>
  <c r="N1879" i="8"/>
  <c r="N2977" i="8"/>
  <c r="N1275" i="8"/>
  <c r="N1154" i="8"/>
  <c r="N2763" i="8"/>
  <c r="N1996" i="8"/>
  <c r="N1713" i="8"/>
  <c r="N2992" i="8"/>
  <c r="N1192" i="8"/>
  <c r="N1408" i="8"/>
  <c r="N919" i="8"/>
  <c r="N2364" i="8"/>
  <c r="N1208" i="8"/>
  <c r="N2281" i="8"/>
  <c r="N2943" i="8"/>
  <c r="N2226" i="8"/>
  <c r="N2492" i="8"/>
  <c r="N3037" i="8"/>
  <c r="N2439" i="8"/>
  <c r="N2151" i="8"/>
  <c r="N2719" i="8"/>
  <c r="N2828" i="8"/>
  <c r="N2233" i="8"/>
  <c r="N665" i="8"/>
  <c r="N2338" i="8"/>
  <c r="N1385" i="8"/>
  <c r="N1648" i="8"/>
  <c r="N2415" i="8"/>
  <c r="N1910" i="8"/>
  <c r="N1200" i="8"/>
  <c r="N2979" i="8"/>
  <c r="N1872" i="8"/>
  <c r="N710" i="8"/>
  <c r="N1106" i="8"/>
  <c r="N324" i="8"/>
  <c r="N1324" i="8"/>
  <c r="N1059" i="8"/>
  <c r="N19" i="8"/>
  <c r="N2249" i="8"/>
  <c r="N2782" i="8"/>
  <c r="N2138" i="8"/>
  <c r="N2148" i="8"/>
  <c r="N269" i="8"/>
  <c r="N2667" i="8"/>
  <c r="N1836" i="8"/>
  <c r="N2699" i="8"/>
  <c r="N2517" i="8"/>
  <c r="N2350" i="8"/>
  <c r="N2213" i="8"/>
  <c r="N2260" i="8"/>
  <c r="N2837" i="8"/>
  <c r="N2323" i="8"/>
  <c r="N2909" i="8"/>
  <c r="N2764" i="8"/>
  <c r="N1240" i="8"/>
  <c r="N2266" i="8"/>
  <c r="N1778" i="8"/>
  <c r="N2932" i="8"/>
  <c r="N1339" i="8"/>
  <c r="N3007" i="8"/>
  <c r="N776" i="8"/>
  <c r="N2868" i="8"/>
  <c r="N2647" i="8"/>
  <c r="N1728" i="8"/>
  <c r="N1682" i="8"/>
  <c r="N2493" i="8"/>
  <c r="N2445" i="8"/>
  <c r="N2914" i="8"/>
  <c r="N1798" i="8"/>
  <c r="N483" i="8"/>
  <c r="N1366" i="8"/>
  <c r="N2162" i="8"/>
  <c r="N2070" i="8"/>
  <c r="N1202" i="8"/>
  <c r="N2285" i="8"/>
  <c r="N1279" i="8"/>
  <c r="N2976" i="8"/>
  <c r="N1384" i="8"/>
  <c r="N2248" i="8"/>
  <c r="N1672" i="8"/>
  <c r="N1304" i="8"/>
  <c r="N2354" i="8"/>
  <c r="N2252" i="8"/>
  <c r="N3024" i="8"/>
  <c r="N2064" i="8"/>
  <c r="N2967" i="8"/>
  <c r="N1662" i="8"/>
  <c r="N2398" i="8"/>
  <c r="N1350" i="8"/>
  <c r="N2337" i="8"/>
  <c r="N1442" i="8"/>
  <c r="N2302" i="8"/>
  <c r="N2937" i="8"/>
  <c r="N725" i="8"/>
  <c r="N1719" i="8"/>
  <c r="N1606" i="8"/>
  <c r="N2569" i="8"/>
  <c r="N2773" i="8"/>
  <c r="N758" i="8"/>
  <c r="N2294" i="8"/>
  <c r="N220" i="8"/>
  <c r="N1633" i="8"/>
  <c r="N1549" i="8"/>
  <c r="N1110" i="8"/>
  <c r="N2533" i="8"/>
  <c r="N618" i="8"/>
  <c r="N2020" i="8"/>
  <c r="N459" i="8"/>
  <c r="N226" i="8"/>
  <c r="N3067" i="8"/>
  <c r="N2825" i="8"/>
  <c r="N1673" i="8"/>
  <c r="N2183" i="8"/>
  <c r="N2794" i="8"/>
  <c r="N1305" i="8"/>
  <c r="N539" i="8"/>
  <c r="N1164" i="8"/>
  <c r="N2344" i="8"/>
  <c r="N1397" i="8"/>
  <c r="N1322" i="8"/>
  <c r="N1737" i="8"/>
  <c r="N787" i="8"/>
  <c r="N1116" i="8"/>
  <c r="N2692" i="8"/>
  <c r="N1335" i="8"/>
  <c r="N1901" i="8"/>
  <c r="N1151" i="8"/>
  <c r="N2217" i="8"/>
  <c r="N465" i="8"/>
  <c r="N1293" i="8"/>
  <c r="N2289" i="8"/>
  <c r="N2320" i="8"/>
  <c r="N2077" i="8"/>
  <c r="N1849" i="8"/>
  <c r="N3082" i="8"/>
  <c r="N2382" i="8"/>
  <c r="N1034" i="8"/>
  <c r="N2348" i="8"/>
  <c r="N2014" i="8"/>
  <c r="N1336" i="8"/>
  <c r="N1488" i="8"/>
  <c r="N1481" i="8"/>
  <c r="N2666" i="8"/>
  <c r="N1575" i="8"/>
  <c r="N1258" i="8"/>
  <c r="N1064" i="8"/>
  <c r="N1396" i="8"/>
  <c r="N807" i="8"/>
  <c r="N2712" i="8"/>
  <c r="N3070" i="8"/>
  <c r="N1170" i="8"/>
  <c r="N1259" i="8"/>
  <c r="N1204" i="8"/>
  <c r="N2122" i="8"/>
  <c r="N1040" i="8"/>
  <c r="N1303" i="8"/>
  <c r="N2367" i="8"/>
  <c r="N1077" i="8"/>
  <c r="N2938" i="8"/>
  <c r="N1780" i="8"/>
  <c r="N1415" i="8"/>
  <c r="N2431" i="8"/>
  <c r="N1832" i="8"/>
  <c r="N2062" i="8"/>
  <c r="N277" i="8"/>
  <c r="N2170" i="8"/>
  <c r="N296" i="8"/>
  <c r="N2640" i="8"/>
  <c r="N2156" i="8"/>
  <c r="N1545" i="8"/>
  <c r="N1748" i="8"/>
  <c r="N1619" i="8"/>
  <c r="N1021" i="8"/>
  <c r="N609" i="8"/>
  <c r="N1159" i="8"/>
  <c r="N2036" i="8"/>
  <c r="N1817" i="8"/>
  <c r="N1973" i="8"/>
  <c r="N1404" i="8"/>
  <c r="N1936" i="8"/>
  <c r="N1512" i="8"/>
  <c r="N1212" i="8"/>
  <c r="N2785" i="8"/>
  <c r="N2910" i="8"/>
  <c r="N1699" i="8"/>
  <c r="N2253" i="8"/>
  <c r="N1596" i="8"/>
  <c r="N1476" i="8"/>
  <c r="N3056" i="8"/>
  <c r="N1229" i="8"/>
  <c r="N2501" i="8"/>
  <c r="N2112" i="8"/>
  <c r="N519" i="8"/>
  <c r="N1825" i="8"/>
  <c r="N1630" i="8"/>
  <c r="N2392" i="8"/>
  <c r="N1875" i="8"/>
  <c r="N1856" i="8"/>
  <c r="N1049" i="8"/>
  <c r="N1300" i="8"/>
  <c r="N1527" i="8"/>
  <c r="N2671" i="8"/>
  <c r="N2731" i="8"/>
  <c r="N1743" i="8"/>
  <c r="N1658" i="8"/>
  <c r="N1717" i="8"/>
  <c r="N622" i="8"/>
  <c r="N1919" i="8"/>
  <c r="N891" i="8"/>
  <c r="N2361" i="8"/>
  <c r="N280" i="8"/>
  <c r="N1367" i="8"/>
  <c r="N798" i="8"/>
  <c r="N2236" i="8"/>
  <c r="N1661" i="8"/>
  <c r="N2987" i="8"/>
  <c r="N1895" i="8"/>
  <c r="N2102" i="8"/>
  <c r="N774" i="8"/>
  <c r="N960" i="8"/>
  <c r="N2347" i="8"/>
  <c r="N1937" i="8"/>
  <c r="N1772" i="8"/>
  <c r="N1942" i="8"/>
  <c r="N1943" i="8"/>
  <c r="N2201" i="8"/>
  <c r="N2455" i="8"/>
  <c r="N1085" i="8"/>
  <c r="N1903" i="8"/>
  <c r="N1071" i="8"/>
  <c r="N1660" i="8"/>
  <c r="N1220" i="8"/>
  <c r="N2040" i="8"/>
  <c r="N1625" i="8"/>
  <c r="N1463" i="8"/>
  <c r="N1507" i="8"/>
  <c r="N1615" i="8"/>
  <c r="N2931" i="8"/>
  <c r="N27" i="8"/>
  <c r="N2450" i="8"/>
  <c r="N322" i="8"/>
  <c r="N2251" i="8"/>
  <c r="N2550" i="8"/>
  <c r="N1587" i="8"/>
  <c r="N2250" i="8"/>
  <c r="N1585" i="8"/>
  <c r="N2579" i="8"/>
  <c r="N2546" i="8"/>
  <c r="N3029" i="8"/>
  <c r="N1504" i="8"/>
  <c r="N1152" i="8"/>
  <c r="N1223" i="8"/>
  <c r="N1774" i="8"/>
  <c r="N2464" i="8"/>
  <c r="N2697" i="8"/>
  <c r="N2936" i="8"/>
  <c r="N1128" i="8"/>
  <c r="N2030" i="8"/>
  <c r="N2879" i="8"/>
  <c r="N1644" i="8"/>
  <c r="N2846" i="8"/>
  <c r="N1694" i="8"/>
  <c r="N2472" i="8"/>
  <c r="N761" i="8"/>
  <c r="N1655" i="8"/>
  <c r="N2774" i="8"/>
  <c r="N1799" i="8"/>
  <c r="N643" i="8"/>
  <c r="N3086" i="8"/>
  <c r="N2319" i="8"/>
  <c r="N1231" i="8"/>
  <c r="N2482" i="8"/>
  <c r="N1250" i="8"/>
  <c r="N2391" i="8"/>
  <c r="N2652" i="8"/>
  <c r="N882" i="8"/>
  <c r="N1960" i="8"/>
  <c r="N2484" i="8"/>
  <c r="N2639" i="8"/>
  <c r="N496" i="8"/>
  <c r="N405" i="8"/>
  <c r="N1412" i="8"/>
  <c r="N2241" i="8"/>
  <c r="N2228" i="8"/>
  <c r="N1068" i="8"/>
  <c r="N1962" i="8"/>
  <c r="N1197" i="8"/>
  <c r="N696" i="8"/>
  <c r="N2499" i="8"/>
  <c r="N1264" i="8"/>
  <c r="N575" i="8"/>
  <c r="N2502" i="8"/>
  <c r="N1444" i="8"/>
  <c r="N1360" i="8"/>
  <c r="N987" i="8"/>
  <c r="N2430" i="8"/>
  <c r="N2507" i="8"/>
  <c r="N3071" i="8"/>
  <c r="N3000" i="8"/>
  <c r="N2917" i="8"/>
  <c r="N2685" i="8"/>
  <c r="N1114" i="8"/>
  <c r="N2513" i="8"/>
  <c r="N694" i="8"/>
  <c r="N2128" i="8"/>
  <c r="N939" i="8"/>
  <c r="N2693" i="8"/>
  <c r="N2902" i="8"/>
  <c r="N2880" i="8"/>
  <c r="N1753" i="8"/>
  <c r="N2966" i="8"/>
  <c r="N1411" i="8"/>
  <c r="N3040" i="8"/>
  <c r="N2451" i="8"/>
  <c r="N1870" i="8"/>
  <c r="N2276" i="8"/>
  <c r="N1830" i="8"/>
  <c r="N2092" i="8"/>
  <c r="N2133" i="8"/>
  <c r="N2530" i="8"/>
  <c r="N1787" i="8"/>
  <c r="N1041" i="8"/>
  <c r="N2995" i="8"/>
  <c r="N2026" i="8"/>
  <c r="N1752" i="8"/>
  <c r="N2515" i="8"/>
  <c r="N2557" i="8"/>
  <c r="N1727" i="8"/>
  <c r="N2903" i="8"/>
  <c r="N2489" i="8"/>
  <c r="N2900" i="8"/>
  <c r="N2089" i="8"/>
  <c r="N2277" i="8"/>
  <c r="N2990" i="8"/>
  <c r="N630" i="8"/>
  <c r="N2562" i="8"/>
  <c r="N1307" i="8"/>
  <c r="N2332" i="8"/>
  <c r="N2549" i="8"/>
  <c r="N2872" i="8"/>
  <c r="N2632" i="8"/>
  <c r="N2142" i="8"/>
  <c r="N1524" i="8"/>
  <c r="N1629" i="8"/>
  <c r="N1140" i="8"/>
  <c r="N1566" i="8"/>
  <c r="N2389" i="8"/>
  <c r="N1667" i="8"/>
  <c r="N2330" i="8"/>
  <c r="N316" i="8"/>
  <c r="N1701" i="8"/>
  <c r="N2498" i="8"/>
  <c r="N1409" i="8"/>
  <c r="N615" i="8"/>
  <c r="N2366" i="8"/>
  <c r="N1533" i="8"/>
  <c r="N1669" i="8"/>
  <c r="N1905" i="8"/>
  <c r="N2094" i="8"/>
  <c r="N2503" i="8"/>
  <c r="N2571" i="8"/>
  <c r="N2202" i="8"/>
  <c r="N2899" i="8"/>
  <c r="N1889" i="8"/>
  <c r="N1357" i="8"/>
  <c r="N1994" i="8"/>
  <c r="N2315" i="8"/>
  <c r="N1555" i="8"/>
  <c r="N2509" i="8"/>
  <c r="N2994" i="8"/>
  <c r="N1121" i="8"/>
  <c r="N2582" i="8"/>
  <c r="N1177" i="8"/>
  <c r="N2155" i="8"/>
  <c r="N1992" i="8"/>
  <c r="N2526" i="8"/>
  <c r="N2114" i="8"/>
  <c r="N1896" i="8"/>
  <c r="N2268" i="8"/>
  <c r="N2590" i="8"/>
  <c r="N2657" i="8"/>
  <c r="N2592" i="8"/>
  <c r="N1891" i="8"/>
  <c r="N2134" i="8"/>
  <c r="N695" i="8"/>
  <c r="N1769" i="8"/>
  <c r="N1156" i="8"/>
  <c r="N2199" i="8"/>
  <c r="N2158" i="8"/>
  <c r="N2600" i="8"/>
  <c r="N607" i="8"/>
  <c r="N2980" i="8"/>
  <c r="N2265" i="8"/>
  <c r="N2053" i="8"/>
  <c r="N2605" i="8"/>
  <c r="N1604" i="8"/>
  <c r="N3060" i="8"/>
  <c r="N2608" i="8"/>
  <c r="N2864" i="8"/>
  <c r="N375" i="8"/>
  <c r="N2560" i="8"/>
  <c r="N1686" i="8"/>
  <c r="N1185" i="8"/>
  <c r="N951" i="8"/>
  <c r="N2799" i="8"/>
  <c r="N1861" i="8"/>
  <c r="N2085" i="8"/>
  <c r="N2384" i="8"/>
  <c r="N649" i="8"/>
  <c r="N2345" i="8"/>
  <c r="N1620" i="8"/>
  <c r="N1169" i="8"/>
  <c r="N1510" i="8"/>
  <c r="N1676" i="8"/>
  <c r="N2341" i="8"/>
  <c r="N2870" i="8"/>
  <c r="N3051" i="8"/>
  <c r="N156" i="8"/>
  <c r="N2299" i="8"/>
  <c r="N1182" i="8"/>
  <c r="N1135" i="8"/>
  <c r="N3078" i="8"/>
  <c r="N1062" i="8"/>
  <c r="N2634" i="8"/>
  <c r="N1801" i="8"/>
  <c r="N2991" i="8"/>
  <c r="N2691" i="8"/>
  <c r="N2921" i="8"/>
  <c r="N2532" i="8"/>
  <c r="N1379" i="8"/>
  <c r="N135" i="8"/>
  <c r="N1979" i="8"/>
  <c r="N1948" i="8"/>
  <c r="N2859" i="8"/>
  <c r="N2306" i="8"/>
  <c r="N2922" i="8"/>
  <c r="N2494" i="8"/>
  <c r="N1454" i="8"/>
  <c r="N2649" i="8"/>
  <c r="N2436" i="8"/>
  <c r="N1146" i="8"/>
  <c r="N1430" i="8"/>
  <c r="N2760" i="8"/>
  <c r="N3048" i="8"/>
  <c r="N1280" i="8"/>
  <c r="N2497" i="8"/>
  <c r="N1652" i="8"/>
  <c r="N2506" i="8"/>
  <c r="N2646" i="8"/>
  <c r="N2660" i="8"/>
  <c r="N2661" i="8"/>
  <c r="N2258" i="8"/>
  <c r="N2221" i="8"/>
  <c r="N1950" i="8"/>
  <c r="N2447" i="8"/>
  <c r="N1400" i="8"/>
  <c r="N1291" i="8"/>
  <c r="N2677" i="8"/>
  <c r="N1369" i="8"/>
  <c r="N2307" i="8"/>
  <c r="N2737" i="8"/>
  <c r="N1906" i="8"/>
  <c r="N2416" i="8"/>
  <c r="N2063" i="8"/>
  <c r="N2541" i="8"/>
  <c r="N2906" i="8"/>
  <c r="N3077" i="8"/>
  <c r="N2554" i="8"/>
  <c r="N1514" i="8"/>
  <c r="N2680" i="8"/>
  <c r="N2681" i="8"/>
  <c r="N3038" i="8"/>
  <c r="N49" i="8"/>
  <c r="N2210" i="8"/>
  <c r="N2286" i="8"/>
  <c r="N2468" i="8"/>
  <c r="N3012" i="8"/>
  <c r="N2701" i="8"/>
  <c r="N1838" i="8"/>
  <c r="N1066" i="8"/>
  <c r="N1183" i="8"/>
  <c r="N2596" i="8"/>
  <c r="N605" i="8"/>
  <c r="N2334" i="8"/>
  <c r="N2160" i="8"/>
  <c r="N2075" i="8"/>
  <c r="N1403" i="8"/>
  <c r="N1067" i="8"/>
  <c r="N2978" i="8"/>
  <c r="N779" i="8"/>
  <c r="N2243" i="8"/>
  <c r="N2522" i="8"/>
  <c r="N1805" i="8"/>
  <c r="N1684" i="8"/>
  <c r="N2028" i="8"/>
  <c r="N2611" i="8"/>
  <c r="N2707" i="8"/>
  <c r="N1155" i="8"/>
  <c r="N2082" i="8"/>
  <c r="N2710" i="8"/>
  <c r="N2887" i="8"/>
  <c r="N1319" i="8"/>
  <c r="N2713" i="8"/>
  <c r="N2714" i="8"/>
  <c r="N2717" i="8"/>
  <c r="N1632" i="8"/>
  <c r="N871" i="8"/>
  <c r="N1909" i="8"/>
  <c r="N2438" i="8"/>
  <c r="N2953" i="8"/>
  <c r="N2567" i="8"/>
  <c r="N1222" i="8"/>
  <c r="N1060" i="8"/>
  <c r="N884" i="8"/>
  <c r="N2525" i="8"/>
  <c r="N2471" i="8"/>
  <c r="N2838" i="8"/>
  <c r="N1747" i="8"/>
  <c r="N1485" i="8"/>
  <c r="N749" i="8"/>
  <c r="N1897" i="8"/>
  <c r="N2778" i="8"/>
  <c r="N2889" i="8"/>
  <c r="N967" i="8"/>
  <c r="N846" i="8"/>
  <c r="N2736" i="8"/>
  <c r="N2466" i="8"/>
  <c r="N2738" i="8"/>
  <c r="N2698" i="8"/>
  <c r="N1900" i="8"/>
  <c r="N2244" i="8"/>
  <c r="N921" i="8"/>
  <c r="N2743" i="8"/>
  <c r="N2744" i="8"/>
  <c r="N2655" i="8"/>
  <c r="N1518" i="8"/>
  <c r="N2371" i="8"/>
  <c r="N2813" i="8"/>
  <c r="N2749" i="8"/>
  <c r="N1749" i="8"/>
  <c r="N1020" i="8"/>
  <c r="N1623" i="8"/>
  <c r="N2514" i="8"/>
  <c r="N2754" i="8"/>
  <c r="N1271" i="8"/>
  <c r="N1431" i="8"/>
  <c r="N2198" i="8"/>
  <c r="N676" i="8"/>
  <c r="N3063" i="8"/>
  <c r="N1260" i="8"/>
  <c r="N3079" i="8"/>
  <c r="N1161" i="8"/>
  <c r="N2985" i="8"/>
  <c r="N1035" i="8"/>
  <c r="N2363" i="8"/>
  <c r="N2136" i="8"/>
  <c r="N3039" i="8"/>
  <c r="N2768" i="8"/>
  <c r="N1959" i="8"/>
  <c r="N1993" i="8"/>
  <c r="N2771" i="8"/>
  <c r="N1898" i="8"/>
  <c r="N610" i="8"/>
  <c r="N1267" i="8"/>
  <c r="N1502" i="8"/>
  <c r="N2476" i="8"/>
  <c r="N1003" i="8"/>
  <c r="N2477" i="8"/>
  <c r="N1947" i="8"/>
  <c r="N2856" i="8"/>
  <c r="N2480" i="8"/>
  <c r="N1602" i="8"/>
  <c r="N3011" i="8"/>
  <c r="N2504" i="8"/>
  <c r="N362" i="8"/>
  <c r="N631" i="8"/>
  <c r="N1779" i="8"/>
  <c r="N2093" i="8"/>
  <c r="N2827" i="8"/>
  <c r="N91" i="8"/>
  <c r="N1251" i="8"/>
  <c r="N1560" i="8"/>
  <c r="N1087" i="8"/>
  <c r="N1768" i="8"/>
  <c r="N770" i="8"/>
  <c r="N2796" i="8"/>
  <c r="N872" i="8"/>
  <c r="N1147" i="8"/>
  <c r="N1670" i="8"/>
  <c r="N2629" i="8"/>
  <c r="N2801" i="8"/>
  <c r="N2648" i="8"/>
  <c r="N1844" i="8"/>
  <c r="N2375" i="8"/>
  <c r="N1509" i="8"/>
  <c r="N1853" i="8"/>
  <c r="N2178" i="8"/>
  <c r="N2542" i="8"/>
  <c r="N1429" i="8"/>
  <c r="N3006" i="8"/>
  <c r="N1985" i="8"/>
  <c r="N1934" i="8"/>
  <c r="N875" i="8"/>
  <c r="N1168" i="8"/>
  <c r="N2212" i="8"/>
  <c r="N1609" i="8"/>
  <c r="N2187" i="8"/>
  <c r="N1925" i="8"/>
  <c r="N1390" i="8"/>
  <c r="N1498" i="8"/>
  <c r="N1491" i="8"/>
  <c r="N2012" i="8"/>
  <c r="N2823" i="8"/>
  <c r="N443" i="8"/>
  <c r="N1074" i="8"/>
  <c r="N1740" i="8"/>
  <c r="N2555" i="8"/>
  <c r="N1926" i="8"/>
  <c r="N474" i="8"/>
  <c r="N1469" i="8"/>
  <c r="N1995" i="8"/>
  <c r="N2832" i="8"/>
  <c r="N1845" i="8"/>
  <c r="N1464" i="8"/>
  <c r="N2612" i="8"/>
  <c r="N1965" i="8"/>
  <c r="N1876" i="8"/>
  <c r="N1316" i="8"/>
  <c r="N2866" i="8"/>
  <c r="N1724" i="8"/>
  <c r="N1887" i="8"/>
  <c r="N1786" i="8"/>
  <c r="N860" i="8"/>
  <c r="N2263" i="8"/>
  <c r="N2845" i="8"/>
  <c r="N1391" i="8"/>
  <c r="N549" i="8"/>
  <c r="N814" i="8"/>
  <c r="N3091" i="8"/>
  <c r="N1976" i="8"/>
  <c r="N2839" i="8"/>
  <c r="N1741" i="8"/>
  <c r="N2742" i="8"/>
  <c r="N2673" i="8"/>
  <c r="N2441" i="8"/>
  <c r="N1354" i="8"/>
  <c r="N2623" i="8"/>
  <c r="N2071" i="8"/>
  <c r="N2407" i="8"/>
  <c r="N1963" i="8"/>
  <c r="N1302" i="8"/>
  <c r="N2111" i="8"/>
  <c r="N2683" i="8"/>
  <c r="N995" i="8"/>
  <c r="N1554" i="8"/>
  <c r="N1188" i="8"/>
  <c r="N3083" i="8"/>
  <c r="N1688" i="8"/>
  <c r="N2222" i="8"/>
  <c r="N1460" i="8"/>
  <c r="N1952" i="8"/>
  <c r="N1759" i="8"/>
  <c r="N1217" i="8"/>
  <c r="N3088" i="8"/>
  <c r="N2960" i="8"/>
  <c r="N1051" i="8"/>
  <c r="N2261" i="8"/>
  <c r="N1343" i="8"/>
  <c r="N2478" i="8"/>
  <c r="N2505" i="8"/>
  <c r="N2964" i="8"/>
  <c r="N2204" i="8"/>
  <c r="N1277" i="8"/>
  <c r="N1337" i="8"/>
  <c r="N1922" i="8"/>
  <c r="N2446" i="8"/>
  <c r="N2884" i="8"/>
  <c r="N2888" i="8"/>
  <c r="N1588" i="8"/>
  <c r="N3027" i="8"/>
  <c r="N2273" i="8"/>
  <c r="N38" i="8"/>
  <c r="N514" i="8"/>
  <c r="N1056" i="8"/>
  <c r="N152" i="8"/>
  <c r="N2896" i="8"/>
  <c r="N1529" i="8"/>
  <c r="N2259" i="8"/>
  <c r="N1653" i="8"/>
  <c r="N1761" i="8"/>
  <c r="N2901" i="8"/>
  <c r="N2520" i="8"/>
  <c r="N2831" i="8"/>
  <c r="N2283" i="8"/>
  <c r="N2728" i="8"/>
  <c r="N2179" i="8"/>
  <c r="N1582" i="8"/>
  <c r="N2173" i="8"/>
  <c r="N3058" i="8"/>
  <c r="N2321" i="8"/>
  <c r="N1090" i="8"/>
  <c r="N3041" i="8"/>
  <c r="N2942" i="8"/>
  <c r="N2359" i="8"/>
  <c r="N1201" i="8"/>
  <c r="N125" i="8"/>
  <c r="N1199" i="8"/>
  <c r="N1351" i="8"/>
  <c r="N2919" i="8"/>
  <c r="N1162" i="8"/>
  <c r="N250" i="8"/>
  <c r="N1949" i="8"/>
  <c r="N1113" i="8"/>
  <c r="N1389" i="8"/>
  <c r="N2974" i="8"/>
  <c r="N2255" i="8"/>
  <c r="N2603" i="8"/>
  <c r="N2196" i="8"/>
  <c r="N2189" i="8"/>
  <c r="N1070" i="8"/>
  <c r="N2686" i="8"/>
  <c r="N2805" i="8"/>
  <c r="N2933" i="8"/>
  <c r="N2882" i="8"/>
  <c r="N2339" i="8"/>
  <c r="N1023" i="8"/>
  <c r="N974" i="8"/>
  <c r="N509" i="8"/>
  <c r="N1374" i="8"/>
  <c r="N2940" i="8"/>
  <c r="N2191" i="8"/>
  <c r="N2377" i="8"/>
  <c r="N1788" i="8"/>
  <c r="N2369" i="8"/>
  <c r="N2798" i="8"/>
  <c r="N2817" i="8"/>
  <c r="N2047" i="8"/>
  <c r="N2325" i="8"/>
  <c r="N2949" i="8"/>
  <c r="N2609" i="8"/>
  <c r="N1770" i="8"/>
  <c r="N678" i="8"/>
  <c r="N2643" i="8"/>
  <c r="N1032" i="8"/>
  <c r="N1586" i="8"/>
  <c r="N1776" i="8"/>
  <c r="N3045" i="8"/>
  <c r="N285" i="8"/>
  <c r="N2944" i="8"/>
  <c r="N2140" i="8"/>
  <c r="N1386" i="8"/>
  <c r="N1807" i="8"/>
  <c r="N724" i="8"/>
  <c r="N1483" i="8"/>
  <c r="N930" i="8"/>
  <c r="N3047" i="8"/>
  <c r="N2287" i="8"/>
  <c r="N2081" i="8"/>
  <c r="N2865" i="8"/>
  <c r="N2970" i="8"/>
  <c r="N1886" i="8"/>
  <c r="N691" i="8"/>
  <c r="N1081" i="8"/>
  <c r="N3089" i="8"/>
  <c r="N1225" i="8"/>
  <c r="N658" i="8"/>
  <c r="N848" i="8"/>
  <c r="N2021" i="8"/>
  <c r="N2175" i="8"/>
  <c r="N2374" i="8"/>
  <c r="N2041" i="8"/>
  <c r="N1999" i="8"/>
  <c r="N341" i="8"/>
  <c r="N2792" i="8"/>
  <c r="N644" i="8"/>
  <c r="N1571" i="8"/>
  <c r="N1173" i="8"/>
  <c r="N1944" i="8"/>
  <c r="N2521" i="8"/>
  <c r="N1867" i="8"/>
  <c r="N2368" i="8"/>
  <c r="N2604" i="8"/>
  <c r="N1352" i="8"/>
  <c r="N1482" i="8"/>
  <c r="N2893" i="8"/>
  <c r="N2126" i="8"/>
  <c r="N2997" i="8"/>
  <c r="N1383" i="8"/>
  <c r="N2008" i="8"/>
  <c r="N585" i="8"/>
  <c r="N2130" i="8"/>
  <c r="N2916" i="8"/>
  <c r="N2946" i="8"/>
  <c r="N3004" i="8"/>
  <c r="N3002" i="8"/>
  <c r="N2143" i="8"/>
  <c r="N3014" i="8"/>
  <c r="N2961" i="8"/>
  <c r="N3080" i="8"/>
  <c r="N2928" i="8"/>
  <c r="N1677" i="8"/>
  <c r="N3009" i="8"/>
  <c r="N1268" i="8"/>
  <c r="N2443" i="8"/>
  <c r="N1816" i="8"/>
  <c r="N2072" i="8"/>
  <c r="N2804" i="8"/>
  <c r="N2033" i="8"/>
  <c r="N1082" i="8"/>
  <c r="N3020" i="8"/>
  <c r="N2161" i="8"/>
  <c r="N1011" i="8"/>
  <c r="N1004" i="8"/>
  <c r="N2802" i="8"/>
  <c r="N2536" i="8"/>
  <c r="N488" i="8"/>
  <c r="N2566" i="8"/>
  <c r="N3028" i="8"/>
  <c r="N339" i="8"/>
  <c r="N1014" i="8"/>
  <c r="N3031" i="8"/>
  <c r="N2039" i="8"/>
  <c r="N771" i="8"/>
  <c r="N713" i="8"/>
  <c r="N2214" i="8"/>
  <c r="N344" i="8"/>
  <c r="N2543" i="8"/>
  <c r="N1236" i="8"/>
  <c r="N2516" i="8"/>
  <c r="N2284" i="8"/>
  <c r="N1804" i="8"/>
  <c r="N625" i="8"/>
  <c r="N1544" i="8"/>
  <c r="N2313" i="8"/>
  <c r="N1466" i="8"/>
  <c r="N505" i="8"/>
  <c r="N1592" i="8"/>
  <c r="N2878" i="8"/>
  <c r="N393" i="8"/>
  <c r="N2993" i="8"/>
  <c r="N1394" i="8"/>
  <c r="N1292" i="8"/>
  <c r="N515" i="8"/>
  <c r="N318" i="8"/>
  <c r="N1618" i="8"/>
  <c r="N2453" i="8"/>
  <c r="N8" i="8"/>
  <c r="N1230" i="8"/>
  <c r="N2193" i="8"/>
  <c r="N2723" i="8"/>
  <c r="N2073" i="8"/>
  <c r="N2333" i="8"/>
  <c r="N985" i="8"/>
  <c r="N3064" i="8"/>
  <c r="N1664" i="8"/>
  <c r="N2678" i="8"/>
  <c r="N938" i="8"/>
  <c r="N1579" i="8"/>
  <c r="N2326" i="8"/>
  <c r="N1526" i="8"/>
  <c r="N1828" i="8"/>
  <c r="N2908" i="8"/>
  <c r="N2573" i="8"/>
  <c r="N2576" i="8"/>
  <c r="N2793" i="8"/>
  <c r="N1767" i="8"/>
  <c r="N763" i="8"/>
  <c r="N2440" i="8"/>
  <c r="N2044" i="8"/>
  <c r="N2614" i="8"/>
  <c r="N933" i="8"/>
  <c r="N1424" i="8"/>
  <c r="N2177" i="8"/>
  <c r="N2835" i="8"/>
  <c r="N1850" i="8"/>
  <c r="N1490" i="8"/>
  <c r="N1714" i="8"/>
  <c r="N1480" i="8"/>
  <c r="N1754" i="8"/>
  <c r="N2351" i="8"/>
  <c r="N541" i="8"/>
  <c r="W2948" i="8"/>
  <c r="X2948" i="8" s="1"/>
  <c r="Y2948" i="8" s="1"/>
  <c r="W357" i="8"/>
  <c r="X357" i="8" s="1"/>
  <c r="Y357" i="8" s="1"/>
  <c r="W2815" i="8"/>
  <c r="X2815" i="8" s="1"/>
  <c r="Y2815" i="8" s="1"/>
  <c r="W1132" i="8"/>
  <c r="X1132" i="8" s="1"/>
  <c r="Y1132" i="8" s="1"/>
  <c r="W2625" i="8"/>
  <c r="X2625" i="8" s="1"/>
  <c r="Y2625" i="8" s="1"/>
  <c r="W1923" i="8"/>
  <c r="X1923" i="8" s="1"/>
  <c r="Y1923" i="8" s="1"/>
  <c r="W2312" i="8"/>
  <c r="X2312" i="8" s="1"/>
  <c r="Y2312" i="8" s="1"/>
  <c r="W2483" i="8"/>
  <c r="X2483" i="8" s="1"/>
  <c r="Y2483" i="8" s="1"/>
  <c r="W2973" i="8"/>
  <c r="X2973" i="8" s="1"/>
  <c r="Y2973" i="8" s="1"/>
  <c r="W13" i="8"/>
  <c r="X13" i="8" s="1"/>
  <c r="Y13" i="8" s="1"/>
  <c r="W14" i="8"/>
  <c r="X14" i="8" s="1"/>
  <c r="Y14" i="8" s="1"/>
  <c r="W2912" i="8"/>
  <c r="X2912" i="8" s="1"/>
  <c r="Y2912" i="8" s="1"/>
  <c r="W16" i="8"/>
  <c r="X16" i="8" s="1"/>
  <c r="Y16" i="8" s="1"/>
  <c r="W17" i="8"/>
  <c r="X17" i="8" s="1"/>
  <c r="Y17" i="8" s="1"/>
  <c r="W18" i="8"/>
  <c r="X18" i="8" s="1"/>
  <c r="Y18" i="8" s="1"/>
  <c r="W1340" i="8"/>
  <c r="X1340" i="8" s="1"/>
  <c r="Y1340" i="8" s="1"/>
  <c r="W137" i="8"/>
  <c r="X137" i="8" s="1"/>
  <c r="Y137" i="8" s="1"/>
  <c r="W21" i="8"/>
  <c r="X21" i="8" s="1"/>
  <c r="Y21" i="8" s="1"/>
  <c r="W970" i="8"/>
  <c r="X970" i="8" s="1"/>
  <c r="Y970" i="8" s="1"/>
  <c r="W23" i="8"/>
  <c r="X23" i="8" s="1"/>
  <c r="Y23" i="8" s="1"/>
  <c r="W36" i="8"/>
  <c r="W25" i="8"/>
  <c r="X25" i="8" s="1"/>
  <c r="Y25" i="8" s="1"/>
  <c r="W1720" i="8"/>
  <c r="X1720" i="8" s="1"/>
  <c r="Y1720" i="8" s="1"/>
  <c r="W1144" i="8"/>
  <c r="X1144" i="8" s="1"/>
  <c r="Y1144" i="8" s="1"/>
  <c r="W427" i="8"/>
  <c r="X427" i="8" s="1"/>
  <c r="Y427" i="8" s="1"/>
  <c r="W287" i="8"/>
  <c r="X287" i="8" s="1"/>
  <c r="Y287" i="8" s="1"/>
  <c r="W30" i="8"/>
  <c r="X30" i="8" s="1"/>
  <c r="Y30" i="8" s="1"/>
  <c r="W31" i="8"/>
  <c r="X31" i="8" s="1"/>
  <c r="Y31" i="8" s="1"/>
  <c r="W2144" i="8"/>
  <c r="X2144" i="8" s="1"/>
  <c r="Y2144" i="8" s="1"/>
  <c r="W289" i="8"/>
  <c r="X289" i="8" s="1"/>
  <c r="Y289" i="8" s="1"/>
  <c r="W364" i="8"/>
  <c r="X364" i="8" s="1"/>
  <c r="Y364" i="8" s="1"/>
  <c r="W35" i="8"/>
  <c r="X35" i="8" s="1"/>
  <c r="Y35" i="8" s="1"/>
  <c r="W2653" i="8"/>
  <c r="X2653" i="8" s="1"/>
  <c r="Y2653" i="8" s="1"/>
  <c r="W2580" i="8"/>
  <c r="X2580" i="8" s="1"/>
  <c r="Y2580" i="8" s="1"/>
  <c r="W170" i="8"/>
  <c r="X170" i="8" s="1"/>
  <c r="Y170" i="8" s="1"/>
  <c r="W39" i="8"/>
  <c r="X39" i="8" s="1"/>
  <c r="Y39" i="8" s="1"/>
  <c r="W160" i="8"/>
  <c r="X160" i="8" s="1"/>
  <c r="Y160" i="8" s="1"/>
  <c r="W946" i="8"/>
  <c r="X946" i="8" s="1"/>
  <c r="Y946" i="8" s="1"/>
  <c r="W42" i="8"/>
  <c r="X42" i="8" s="1"/>
  <c r="Y42" i="8" s="1"/>
  <c r="W1924" i="8"/>
  <c r="X1924" i="8" s="1"/>
  <c r="Y1924" i="8" s="1"/>
  <c r="W44" i="8"/>
  <c r="X44" i="8" s="1"/>
  <c r="Y44" i="8" s="1"/>
  <c r="W2324" i="8"/>
  <c r="X2324" i="8" s="1"/>
  <c r="Y2324" i="8" s="1"/>
  <c r="W2427" i="8"/>
  <c r="X2427" i="8" s="1"/>
  <c r="Y2427" i="8" s="1"/>
  <c r="W47" i="8"/>
  <c r="X47" i="8" s="1"/>
  <c r="Y47" i="8" s="1"/>
  <c r="W48" i="8"/>
  <c r="X48" i="8" s="1"/>
  <c r="Y48" i="8" s="1"/>
  <c r="W892" i="8"/>
  <c r="X892" i="8" s="1"/>
  <c r="Y892" i="8" s="1"/>
  <c r="W70" i="8"/>
  <c r="X70" i="8" s="1"/>
  <c r="Y70" i="8" s="1"/>
  <c r="W51" i="8"/>
  <c r="X51" i="8" s="1"/>
  <c r="Y51" i="8" s="1"/>
  <c r="W2088" i="8"/>
  <c r="X2088" i="8" s="1"/>
  <c r="Y2088" i="8" s="1"/>
  <c r="W98" i="8"/>
  <c r="X98" i="8" s="1"/>
  <c r="Y98" i="8" s="1"/>
  <c r="W54" i="8"/>
  <c r="X54" i="8" s="1"/>
  <c r="Y54" i="8" s="1"/>
  <c r="W2708" i="8"/>
  <c r="X2708" i="8" s="1"/>
  <c r="Y2708" i="8" s="1"/>
  <c r="W329" i="8"/>
  <c r="X329" i="8" s="1"/>
  <c r="Y329" i="8" s="1"/>
  <c r="W1254" i="8"/>
  <c r="X1254" i="8" s="1"/>
  <c r="Y1254" i="8" s="1"/>
  <c r="W58" i="8"/>
  <c r="X58" i="8" s="1"/>
  <c r="Y58" i="8" s="1"/>
  <c r="W59" i="8"/>
  <c r="X59" i="8" s="1"/>
  <c r="Y59" i="8" s="1"/>
  <c r="W773" i="8"/>
  <c r="X773" i="8" s="1"/>
  <c r="Y773" i="8" s="1"/>
  <c r="W61" i="8"/>
  <c r="X61" i="8" s="1"/>
  <c r="Y61" i="8" s="1"/>
  <c r="W203" i="8"/>
  <c r="X203" i="8" s="1"/>
  <c r="Y203" i="8" s="1"/>
  <c r="W63" i="8"/>
  <c r="X63" i="8" s="1"/>
  <c r="Y63" i="8" s="1"/>
  <c r="W64" i="8"/>
  <c r="X64" i="8" s="1"/>
  <c r="Y64" i="8" s="1"/>
  <c r="W236" i="8"/>
  <c r="X236" i="8" s="1"/>
  <c r="Y236" i="8" s="1"/>
  <c r="W879" i="8"/>
  <c r="X879" i="8" s="1"/>
  <c r="Y879" i="8" s="1"/>
  <c r="W406" i="8"/>
  <c r="X406" i="8" s="1"/>
  <c r="Y406" i="8" s="1"/>
  <c r="W68" i="8"/>
  <c r="X68" i="8" s="1"/>
  <c r="Y68" i="8" s="1"/>
  <c r="W2999" i="8"/>
  <c r="X2999" i="8" s="1"/>
  <c r="Y2999" i="8" s="1"/>
  <c r="W380" i="8"/>
  <c r="X380" i="8" s="1"/>
  <c r="Y380" i="8" s="1"/>
  <c r="W981" i="8"/>
  <c r="X981" i="8" s="1"/>
  <c r="Y981" i="8" s="1"/>
  <c r="W94" i="8"/>
  <c r="X94" i="8" s="1"/>
  <c r="Y94" i="8" s="1"/>
  <c r="W73" i="8"/>
  <c r="X73" i="8" s="1"/>
  <c r="Y73" i="8" s="1"/>
  <c r="W2462" i="8"/>
  <c r="X2462" i="8" s="1"/>
  <c r="Y2462" i="8" s="1"/>
  <c r="W10" i="8"/>
  <c r="X10" i="8" s="1"/>
  <c r="Y10" i="8" s="1"/>
  <c r="W819" i="8"/>
  <c r="X819" i="8" s="1"/>
  <c r="Y819" i="8" s="1"/>
  <c r="W77" i="8"/>
  <c r="X77" i="8" s="1"/>
  <c r="Y77" i="8" s="1"/>
  <c r="W78" i="8"/>
  <c r="X78" i="8" s="1"/>
  <c r="Y78" i="8" s="1"/>
  <c r="W1888" i="8"/>
  <c r="X1888" i="8" s="1"/>
  <c r="Y1888" i="8" s="1"/>
  <c r="W881" i="8"/>
  <c r="X881" i="8" s="1"/>
  <c r="Y881" i="8" s="1"/>
  <c r="W128" i="8"/>
  <c r="W172" i="8"/>
  <c r="X172" i="8" s="1"/>
  <c r="Y172" i="8" s="1"/>
  <c r="W83" i="8"/>
  <c r="X83" i="8" s="1"/>
  <c r="Y83" i="8" s="1"/>
  <c r="W84" i="8"/>
  <c r="X84" i="8" s="1"/>
  <c r="Y84" i="8" s="1"/>
  <c r="W85" i="8"/>
  <c r="X85" i="8" s="1"/>
  <c r="Y85" i="8" s="1"/>
  <c r="W2209" i="8"/>
  <c r="X2209" i="8" s="1"/>
  <c r="Y2209" i="8" s="1"/>
  <c r="W1746" i="8"/>
  <c r="X1746" i="8" s="1"/>
  <c r="Y1746" i="8" s="1"/>
  <c r="W88" i="8"/>
  <c r="X88" i="8" s="1"/>
  <c r="Y88" i="8" s="1"/>
  <c r="W194" i="8"/>
  <c r="X194" i="8" s="1"/>
  <c r="Y194" i="8" s="1"/>
  <c r="W1523" i="8"/>
  <c r="X1523" i="8" s="1"/>
  <c r="Y1523" i="8" s="1"/>
  <c r="W1092" i="8"/>
  <c r="X1092" i="8" s="1"/>
  <c r="Y1092" i="8" s="1"/>
  <c r="W2390" i="8"/>
  <c r="X2390" i="8" s="1"/>
  <c r="Y2390" i="8" s="1"/>
  <c r="W1873" i="8"/>
  <c r="X1873" i="8" s="1"/>
  <c r="Y1873" i="8" s="1"/>
  <c r="W1314" i="8"/>
  <c r="X1314" i="8" s="1"/>
  <c r="Y1314" i="8" s="1"/>
  <c r="W472" i="8"/>
  <c r="X472" i="8" s="1"/>
  <c r="Y472" i="8" s="1"/>
  <c r="W202" i="8"/>
  <c r="X202" i="8" s="1"/>
  <c r="Y202" i="8" s="1"/>
  <c r="W906" i="8"/>
  <c r="X906" i="8" s="1"/>
  <c r="Y906" i="8" s="1"/>
  <c r="W2895" i="8"/>
  <c r="X2895" i="8" s="1"/>
  <c r="Y2895" i="8" s="1"/>
  <c r="W1435" i="8"/>
  <c r="X1435" i="8" s="1"/>
  <c r="Y1435" i="8" s="1"/>
  <c r="W299" i="8"/>
  <c r="X299" i="8" s="1"/>
  <c r="Y299" i="8" s="1"/>
  <c r="W101" i="8"/>
  <c r="X101" i="8" s="1"/>
  <c r="Y101" i="8" s="1"/>
  <c r="W102" i="8"/>
  <c r="X102" i="8" s="1"/>
  <c r="Y102" i="8" s="1"/>
  <c r="W2206" i="8"/>
  <c r="X2206" i="8" s="1"/>
  <c r="Y2206" i="8" s="1"/>
  <c r="W104" i="8"/>
  <c r="X104" i="8" s="1"/>
  <c r="Y104" i="8" s="1"/>
  <c r="W2303" i="8"/>
  <c r="X2303" i="8" s="1"/>
  <c r="Y2303" i="8" s="1"/>
  <c r="W106" i="8"/>
  <c r="X106" i="8" s="1"/>
  <c r="Y106" i="8" s="1"/>
  <c r="W2205" i="8"/>
  <c r="X2205" i="8" s="1"/>
  <c r="Y2205" i="8" s="1"/>
  <c r="W115" i="8"/>
  <c r="X115" i="8" s="1"/>
  <c r="Y115" i="8" s="1"/>
  <c r="W1163" i="8"/>
  <c r="X1163" i="8" s="1"/>
  <c r="Y1163" i="8" s="1"/>
  <c r="W736" i="8"/>
  <c r="X736" i="8" s="1"/>
  <c r="Y736" i="8" s="1"/>
  <c r="W2400" i="8"/>
  <c r="X2400" i="8" s="1"/>
  <c r="Y2400" i="8" s="1"/>
  <c r="W297" i="8"/>
  <c r="X297" i="8" s="1"/>
  <c r="Y297" i="8" s="1"/>
  <c r="W113" i="8"/>
  <c r="X113" i="8" s="1"/>
  <c r="Y113" i="8" s="1"/>
  <c r="W1956" i="8"/>
  <c r="X1956" i="8" s="1"/>
  <c r="Y1956" i="8" s="1"/>
  <c r="W1977" i="8"/>
  <c r="X1977" i="8" s="1"/>
  <c r="Y1977" i="8" s="1"/>
  <c r="W1826" i="8"/>
  <c r="X1826" i="8" s="1"/>
  <c r="Y1826" i="8" s="1"/>
  <c r="W79" i="8"/>
  <c r="X79" i="8" s="1"/>
  <c r="Y79" i="8" s="1"/>
  <c r="W118" i="8"/>
  <c r="X118" i="8" s="1"/>
  <c r="Y118" i="8" s="1"/>
  <c r="W119" i="8"/>
  <c r="X119" i="8" s="1"/>
  <c r="Y119" i="8" s="1"/>
  <c r="W786" i="8"/>
  <c r="X786" i="8" s="1"/>
  <c r="Y786" i="8" s="1"/>
  <c r="W1449" i="8"/>
  <c r="X1449" i="8" s="1"/>
  <c r="Y1449" i="8" s="1"/>
  <c r="W173" i="8"/>
  <c r="X173" i="8" s="1"/>
  <c r="Y173" i="8" s="1"/>
  <c r="W123" i="8"/>
  <c r="X123" i="8" s="1"/>
  <c r="Y123" i="8" s="1"/>
  <c r="W69" i="8"/>
  <c r="X69" i="8" s="1"/>
  <c r="Y69" i="8" s="1"/>
  <c r="W470" i="8"/>
  <c r="X470" i="8" s="1"/>
  <c r="Y470" i="8" s="1"/>
  <c r="W907" i="8"/>
  <c r="X907" i="8" s="1"/>
  <c r="Y907" i="8" s="1"/>
  <c r="W127" i="8"/>
  <c r="X127" i="8" s="1"/>
  <c r="Y127" i="8" s="1"/>
  <c r="W415" i="8"/>
  <c r="X415" i="8" s="1"/>
  <c r="Y415" i="8" s="1"/>
  <c r="W2659" i="8"/>
  <c r="X2659" i="8" s="1"/>
  <c r="Y2659" i="8" s="1"/>
  <c r="W843" i="8"/>
  <c r="X843" i="8" s="1"/>
  <c r="Y843" i="8" s="1"/>
  <c r="W131" i="8"/>
  <c r="X131" i="8" s="1"/>
  <c r="Y131" i="8" s="1"/>
  <c r="W132" i="8"/>
  <c r="X132" i="8" s="1"/>
  <c r="Y132" i="8" s="1"/>
  <c r="W1247" i="8"/>
  <c r="X1247" i="8" s="1"/>
  <c r="Y1247" i="8" s="1"/>
  <c r="W2988" i="8"/>
  <c r="X2988" i="8" s="1"/>
  <c r="Y2988" i="8" s="1"/>
  <c r="W1296" i="8"/>
  <c r="X1296" i="8" s="1"/>
  <c r="Y1296" i="8" s="1"/>
  <c r="W136" i="8"/>
  <c r="X136" i="8" s="1"/>
  <c r="Y136" i="8" s="1"/>
  <c r="W1266" i="8"/>
  <c r="X1266" i="8" s="1"/>
  <c r="Y1266" i="8" s="1"/>
  <c r="W56" i="8"/>
  <c r="X56" i="8" s="1"/>
  <c r="Y56" i="8" s="1"/>
  <c r="W139" i="8"/>
  <c r="X139" i="8" s="1"/>
  <c r="Y139" i="8" s="1"/>
  <c r="W458" i="8"/>
  <c r="X458" i="8" s="1"/>
  <c r="Y458" i="8" s="1"/>
  <c r="W2229" i="8"/>
  <c r="X2229" i="8" s="1"/>
  <c r="Y2229" i="8" s="1"/>
  <c r="W142" i="8"/>
  <c r="X142" i="8" s="1"/>
  <c r="Y142" i="8" s="1"/>
  <c r="W215" i="8"/>
  <c r="X215" i="8" s="1"/>
  <c r="Y215" i="8" s="1"/>
  <c r="W327" i="8"/>
  <c r="X327" i="8" s="1"/>
  <c r="Y327" i="8" s="1"/>
  <c r="W2005" i="8"/>
  <c r="X2005" i="8" s="1"/>
  <c r="Y2005" i="8" s="1"/>
  <c r="W1399" i="8"/>
  <c r="X1399" i="8" s="1"/>
  <c r="Y1399" i="8" s="1"/>
  <c r="W147" i="8"/>
  <c r="X147" i="8" s="1"/>
  <c r="Y147" i="8" s="1"/>
  <c r="W2863" i="8"/>
  <c r="X2863" i="8" s="1"/>
  <c r="Y2863" i="8" s="1"/>
  <c r="W149" i="8"/>
  <c r="X149" i="8" s="1"/>
  <c r="Y149" i="8" s="1"/>
  <c r="W150" i="8"/>
  <c r="X150" i="8" s="1"/>
  <c r="Y150" i="8" s="1"/>
  <c r="W151" i="8"/>
  <c r="X151" i="8" s="1"/>
  <c r="Y151" i="8" s="1"/>
  <c r="W180" i="8"/>
  <c r="X180" i="8" s="1"/>
  <c r="Y180" i="8" s="1"/>
  <c r="W153" i="8"/>
  <c r="X153" i="8" s="1"/>
  <c r="Y153" i="8" s="1"/>
  <c r="W447" i="8"/>
  <c r="X447" i="8" s="1"/>
  <c r="Y447" i="8" s="1"/>
  <c r="W2519" i="8"/>
  <c r="X2519" i="8" s="1"/>
  <c r="Y2519" i="8" s="1"/>
  <c r="W46" i="8"/>
  <c r="X46" i="8" s="1"/>
  <c r="Y46" i="8" s="1"/>
  <c r="W388" i="8"/>
  <c r="X388" i="8" s="1"/>
  <c r="Y388" i="8" s="1"/>
  <c r="W3068" i="8"/>
  <c r="X3068" i="8" s="1"/>
  <c r="Y3068" i="8" s="1"/>
  <c r="W1493" i="8"/>
  <c r="X1493" i="8" s="1"/>
  <c r="Y1493" i="8" s="1"/>
  <c r="W1133" i="8"/>
  <c r="X1133" i="8" s="1"/>
  <c r="Y1133" i="8" s="1"/>
  <c r="W53" i="8"/>
  <c r="X53" i="8" s="1"/>
  <c r="Y53" i="8" s="1"/>
  <c r="W1946" i="8"/>
  <c r="X1946" i="8" s="1"/>
  <c r="Y1946" i="8" s="1"/>
  <c r="W1289" i="8"/>
  <c r="X1289" i="8" s="1"/>
  <c r="Y1289" i="8" s="1"/>
  <c r="W165" i="8"/>
  <c r="X165" i="8" s="1"/>
  <c r="Y165" i="8" s="1"/>
  <c r="W2381" i="8"/>
  <c r="X2381" i="8" s="1"/>
  <c r="Y2381" i="8" s="1"/>
  <c r="W43" i="8"/>
  <c r="X43" i="8" s="1"/>
  <c r="Y43" i="8" s="1"/>
  <c r="W537" i="8"/>
  <c r="X537" i="8" s="1"/>
  <c r="Y537" i="8" s="1"/>
  <c r="W1725" i="8"/>
  <c r="X1725" i="8" s="1"/>
  <c r="Y1725" i="8" s="1"/>
  <c r="W2429" i="8"/>
  <c r="X2429" i="8" s="1"/>
  <c r="Y2429" i="8" s="1"/>
  <c r="W381" i="8"/>
  <c r="X381" i="8" s="1"/>
  <c r="Y381" i="8" s="1"/>
  <c r="W1405" i="8"/>
  <c r="X1405" i="8" s="1"/>
  <c r="Y1405" i="8" s="1"/>
  <c r="W99" i="8"/>
  <c r="X99" i="8" s="1"/>
  <c r="Y99" i="8" s="1"/>
  <c r="W28" i="8"/>
  <c r="X28" i="8" s="1"/>
  <c r="Y28" i="8" s="1"/>
  <c r="W174" i="8"/>
  <c r="X174" i="8" s="1"/>
  <c r="Y174" i="8" s="1"/>
  <c r="W100" i="8"/>
  <c r="X100" i="8" s="1"/>
  <c r="Y100" i="8" s="1"/>
  <c r="W176" i="8"/>
  <c r="X176" i="8" s="1"/>
  <c r="Y176" i="8" s="1"/>
  <c r="W1486" i="8"/>
  <c r="X1486" i="8" s="1"/>
  <c r="Y1486" i="8" s="1"/>
  <c r="W2370" i="8"/>
  <c r="X2370" i="8" s="1"/>
  <c r="Y2370" i="8" s="1"/>
  <c r="W369" i="8"/>
  <c r="X369" i="8" s="1"/>
  <c r="Y369" i="8" s="1"/>
  <c r="W105" i="8"/>
  <c r="X105" i="8" s="1"/>
  <c r="Y105" i="8" s="1"/>
  <c r="W158" i="8"/>
  <c r="X158" i="8" s="1"/>
  <c r="Y158" i="8" s="1"/>
  <c r="W1323" i="8"/>
  <c r="X1323" i="8" s="1"/>
  <c r="Y1323" i="8" s="1"/>
  <c r="W183" i="8"/>
  <c r="X183" i="8" s="1"/>
  <c r="Y183" i="8" s="1"/>
  <c r="W377" i="8"/>
  <c r="X377" i="8" s="1"/>
  <c r="Y377" i="8" s="1"/>
  <c r="W464" i="8"/>
  <c r="X464" i="8" s="1"/>
  <c r="Y464" i="8" s="1"/>
  <c r="W2826" i="8"/>
  <c r="X2826" i="8" s="1"/>
  <c r="Y2826" i="8" s="1"/>
  <c r="W975" i="8"/>
  <c r="X975" i="8" s="1"/>
  <c r="Y975" i="8" s="1"/>
  <c r="W2637" i="8"/>
  <c r="X2637" i="8" s="1"/>
  <c r="Y2637" i="8" s="1"/>
  <c r="W1181" i="8"/>
  <c r="X1181" i="8" s="1"/>
  <c r="Y1181" i="8" s="1"/>
  <c r="W2419" i="8"/>
  <c r="X2419" i="8" s="1"/>
  <c r="Y2419" i="8" s="1"/>
  <c r="W2235" i="8"/>
  <c r="X2235" i="8" s="1"/>
  <c r="Y2235" i="8" s="1"/>
  <c r="W1190" i="8"/>
  <c r="X1190" i="8" s="1"/>
  <c r="Y1190" i="8" s="1"/>
  <c r="W397" i="8"/>
  <c r="X397" i="8" s="1"/>
  <c r="Y397" i="8" s="1"/>
  <c r="W187" i="8"/>
  <c r="X187" i="8" s="1"/>
  <c r="Y187" i="8" s="1"/>
  <c r="W888" i="8"/>
  <c r="X888" i="8" s="1"/>
  <c r="Y888" i="8" s="1"/>
  <c r="W80" i="8"/>
  <c r="X80" i="8" s="1"/>
  <c r="Y80" i="8" s="1"/>
  <c r="W197" i="8"/>
  <c r="X197" i="8" s="1"/>
  <c r="Y197" i="8" s="1"/>
  <c r="W2857" i="8"/>
  <c r="X2857" i="8" s="1"/>
  <c r="Y2857" i="8" s="1"/>
  <c r="W20" i="8"/>
  <c r="X20" i="8" s="1"/>
  <c r="Y20" i="8" s="1"/>
  <c r="W2819" i="8"/>
  <c r="X2819" i="8" s="1"/>
  <c r="Y2819" i="8" s="1"/>
  <c r="W613" i="8"/>
  <c r="X613" i="8" s="1"/>
  <c r="Y613" i="8" s="1"/>
  <c r="W2121" i="8"/>
  <c r="X2121" i="8" s="1"/>
  <c r="Y2121" i="8" s="1"/>
  <c r="W1847" i="8"/>
  <c r="X1847" i="8" s="1"/>
  <c r="Y1847" i="8" s="1"/>
  <c r="W2524" i="8"/>
  <c r="X2524" i="8" s="1"/>
  <c r="Y2524" i="8" s="1"/>
  <c r="W2941" i="8"/>
  <c r="X2941" i="8" s="1"/>
  <c r="Y2941" i="8" s="1"/>
  <c r="W402" i="8"/>
  <c r="X402" i="8" s="1"/>
  <c r="Y402" i="8" s="1"/>
  <c r="W207" i="8"/>
  <c r="X207" i="8" s="1"/>
  <c r="Y207" i="8" s="1"/>
  <c r="W2224" i="8"/>
  <c r="X2224" i="8" s="1"/>
  <c r="Y2224" i="8" s="1"/>
  <c r="W209" i="8"/>
  <c r="X209" i="8" s="1"/>
  <c r="Y209" i="8" s="1"/>
  <c r="W210" i="8"/>
  <c r="X210" i="8" s="1"/>
  <c r="Y210" i="8" s="1"/>
  <c r="W211" i="8"/>
  <c r="X211" i="8" s="1"/>
  <c r="Y211" i="8" s="1"/>
  <c r="W212" i="8"/>
  <c r="X212" i="8" s="1"/>
  <c r="Y212" i="8" s="1"/>
  <c r="W2930" i="8"/>
  <c r="X2930" i="8" s="1"/>
  <c r="Y2930" i="8" s="1"/>
  <c r="W214" i="8"/>
  <c r="X214" i="8" s="1"/>
  <c r="Y214" i="8" s="1"/>
  <c r="W627" i="8"/>
  <c r="X627" i="8" s="1"/>
  <c r="Y627" i="8" s="1"/>
  <c r="W3062" i="8"/>
  <c r="X3062" i="8" s="1"/>
  <c r="Y3062" i="8" s="1"/>
  <c r="W217" i="8"/>
  <c r="X217" i="8" s="1"/>
  <c r="Y217" i="8" s="1"/>
  <c r="W9" i="8"/>
  <c r="X9" i="8" s="1"/>
  <c r="Y9" i="8" s="1"/>
  <c r="W219" i="8"/>
  <c r="X219" i="8" s="1"/>
  <c r="Y219" i="8" s="1"/>
  <c r="W2257" i="8"/>
  <c r="X2257" i="8" s="1"/>
  <c r="Y2257" i="8" s="1"/>
  <c r="W668" i="8"/>
  <c r="X668" i="8" s="1"/>
  <c r="Y668" i="8" s="1"/>
  <c r="W1129" i="8"/>
  <c r="X1129" i="8" s="1"/>
  <c r="Y1129" i="8" s="1"/>
  <c r="W692" i="8"/>
  <c r="X692" i="8" s="1"/>
  <c r="Y692" i="8" s="1"/>
  <c r="W24" i="8"/>
  <c r="X24" i="8" s="1"/>
  <c r="Y24" i="8" s="1"/>
  <c r="W595" i="8"/>
  <c r="X595" i="8" s="1"/>
  <c r="Y595" i="8" s="1"/>
  <c r="W290" i="8"/>
  <c r="X290" i="8" s="1"/>
  <c r="Y290" i="8" s="1"/>
  <c r="W337" i="8"/>
  <c r="X337" i="8" s="1"/>
  <c r="Y337" i="8" s="1"/>
  <c r="W715" i="8"/>
  <c r="X715" i="8" s="1"/>
  <c r="Y715" i="8" s="1"/>
  <c r="W201" i="8"/>
  <c r="X201" i="8" s="1"/>
  <c r="Y201" i="8" s="1"/>
  <c r="W1295" i="8"/>
  <c r="X1295" i="8" s="1"/>
  <c r="Y1295" i="8" s="1"/>
  <c r="W950" i="8"/>
  <c r="X950" i="8" s="1"/>
  <c r="Y950" i="8" s="1"/>
  <c r="W1331" i="8"/>
  <c r="X1331" i="8" s="1"/>
  <c r="Y1331" i="8" s="1"/>
  <c r="W233" i="8"/>
  <c r="X233" i="8" s="1"/>
  <c r="Y233" i="8" s="1"/>
  <c r="W545" i="8"/>
  <c r="X545" i="8" s="1"/>
  <c r="Y545" i="8" s="1"/>
  <c r="W1548" i="8"/>
  <c r="X1548" i="8" s="1"/>
  <c r="Y1548" i="8" s="1"/>
  <c r="W2656" i="8"/>
  <c r="X2656" i="8" s="1"/>
  <c r="Y2656" i="8" s="1"/>
  <c r="W363" i="8"/>
  <c r="X363" i="8" s="1"/>
  <c r="Y363" i="8" s="1"/>
  <c r="W15" i="8"/>
  <c r="X15" i="8" s="1"/>
  <c r="Y15" i="8" s="1"/>
  <c r="W442" i="8"/>
  <c r="X442" i="8" s="1"/>
  <c r="Y442" i="8" s="1"/>
  <c r="W198" i="8"/>
  <c r="X198" i="8" s="1"/>
  <c r="Y198" i="8" s="1"/>
  <c r="W247" i="8"/>
  <c r="X247" i="8" s="1"/>
  <c r="Y247" i="8" s="1"/>
  <c r="W242" i="8"/>
  <c r="X242" i="8" s="1"/>
  <c r="Y242" i="8" s="1"/>
  <c r="W2200" i="8"/>
  <c r="X2200" i="8" s="1"/>
  <c r="Y2200" i="8" s="1"/>
  <c r="W1171" i="8"/>
  <c r="X1171" i="8" s="1"/>
  <c r="Y1171" i="8" s="1"/>
  <c r="W1195" i="8"/>
  <c r="X1195" i="8" s="1"/>
  <c r="Y1195" i="8" s="1"/>
  <c r="W550" i="8"/>
  <c r="X550" i="8" s="1"/>
  <c r="Y550" i="8" s="1"/>
  <c r="W559" i="8"/>
  <c r="X559" i="8" s="1"/>
  <c r="Y559" i="8" s="1"/>
  <c r="W1546" i="8"/>
  <c r="X1546" i="8" s="1"/>
  <c r="Y1546" i="8" s="1"/>
  <c r="W436" i="8"/>
  <c r="X436" i="8" s="1"/>
  <c r="Y436" i="8" s="1"/>
  <c r="W1341" i="8"/>
  <c r="X1341" i="8" s="1"/>
  <c r="Y1341" i="8" s="1"/>
  <c r="W2298" i="8"/>
  <c r="X2298" i="8" s="1"/>
  <c r="Y2298" i="8" s="1"/>
  <c r="W252" i="8"/>
  <c r="X252" i="8" s="1"/>
  <c r="Y252" i="8" s="1"/>
  <c r="W2607" i="8"/>
  <c r="X2607" i="8" s="1"/>
  <c r="Y2607" i="8" s="1"/>
  <c r="W254" i="8"/>
  <c r="X254" i="8" s="1"/>
  <c r="Y254" i="8" s="1"/>
  <c r="W1522" i="8"/>
  <c r="X1522" i="8" s="1"/>
  <c r="Y1522" i="8" s="1"/>
  <c r="W2561" i="8"/>
  <c r="X2561" i="8" s="1"/>
  <c r="Y2561" i="8" s="1"/>
  <c r="W1009" i="8"/>
  <c r="X1009" i="8" s="1"/>
  <c r="Y1009" i="8" s="1"/>
  <c r="W2305" i="8"/>
  <c r="X2305" i="8" s="1"/>
  <c r="Y2305" i="8" s="1"/>
  <c r="W259" i="8"/>
  <c r="X259" i="8" s="1"/>
  <c r="Y259" i="8" s="1"/>
  <c r="W521" i="8"/>
  <c r="X521" i="8" s="1"/>
  <c r="Y521" i="8" s="1"/>
  <c r="W762" i="8"/>
  <c r="X762" i="8" s="1"/>
  <c r="Y762" i="8" s="1"/>
  <c r="W421" i="8"/>
  <c r="X421" i="8" s="1"/>
  <c r="Y421" i="8" s="1"/>
  <c r="W2741" i="8"/>
  <c r="X2741" i="8" s="1"/>
  <c r="Y2741" i="8" s="1"/>
  <c r="W140" i="8"/>
  <c r="X140" i="8" s="1"/>
  <c r="Y140" i="8" s="1"/>
  <c r="W2380" i="8"/>
  <c r="X2380" i="8" s="1"/>
  <c r="Y2380" i="8" s="1"/>
  <c r="W1513" i="8"/>
  <c r="X1513" i="8" s="1"/>
  <c r="Y1513" i="8" s="1"/>
  <c r="W1665" i="8"/>
  <c r="X1665" i="8" s="1"/>
  <c r="Y1665" i="8" s="1"/>
  <c r="W2658" i="8"/>
  <c r="X2658" i="8" s="1"/>
  <c r="Y2658" i="8" s="1"/>
  <c r="W674" i="8"/>
  <c r="X674" i="8" s="1"/>
  <c r="Y674" i="8" s="1"/>
  <c r="W812" i="8"/>
  <c r="X812" i="8" s="1"/>
  <c r="Y812" i="8" s="1"/>
  <c r="W2545" i="8"/>
  <c r="X2545" i="8" s="1"/>
  <c r="Y2545" i="8" s="1"/>
  <c r="W218" i="8"/>
  <c r="X218" i="8" s="1"/>
  <c r="Y218" i="8" s="1"/>
  <c r="W1543" i="8"/>
  <c r="X1543" i="8" s="1"/>
  <c r="Y1543" i="8" s="1"/>
  <c r="W478" i="8"/>
  <c r="X478" i="8" s="1"/>
  <c r="Y478" i="8" s="1"/>
  <c r="W275" i="8"/>
  <c r="X275" i="8" s="1"/>
  <c r="Y275" i="8" s="1"/>
  <c r="W3035" i="8"/>
  <c r="X3035" i="8" s="1"/>
  <c r="Y3035" i="8" s="1"/>
  <c r="W2867" i="8"/>
  <c r="X2867" i="8" s="1"/>
  <c r="Y2867" i="8" s="1"/>
  <c r="W850" i="8"/>
  <c r="X850" i="8" s="1"/>
  <c r="Y850" i="8" s="1"/>
  <c r="W2176" i="8"/>
  <c r="X2176" i="8" s="1"/>
  <c r="Y2176" i="8" s="1"/>
  <c r="W664" i="8"/>
  <c r="X664" i="8" s="1"/>
  <c r="Y664" i="8" s="1"/>
  <c r="W1685" i="8"/>
  <c r="X1685" i="8" s="1"/>
  <c r="Y1685" i="8" s="1"/>
  <c r="W596" i="8"/>
  <c r="X596" i="8" s="1"/>
  <c r="Y596" i="8" s="1"/>
  <c r="W372" i="8"/>
  <c r="X372" i="8" s="1"/>
  <c r="Y372" i="8" s="1"/>
  <c r="W2336" i="8"/>
  <c r="X2336" i="8" s="1"/>
  <c r="Y2336" i="8" s="1"/>
  <c r="W1134" i="8"/>
  <c r="X1134" i="8" s="1"/>
  <c r="Y1134" i="8" s="1"/>
  <c r="W684" i="8"/>
  <c r="X684" i="8" s="1"/>
  <c r="Y684" i="8" s="1"/>
  <c r="W261" i="8"/>
  <c r="X261" i="8" s="1"/>
  <c r="Y261" i="8" s="1"/>
  <c r="W911" i="8"/>
  <c r="X911" i="8" s="1"/>
  <c r="Y911" i="8" s="1"/>
  <c r="W1467" i="8"/>
  <c r="X1467" i="8" s="1"/>
  <c r="Y1467" i="8" s="1"/>
  <c r="W2365" i="8"/>
  <c r="X2365" i="8" s="1"/>
  <c r="Y2365" i="8" s="1"/>
  <c r="W2709" i="8"/>
  <c r="X2709" i="8" s="1"/>
  <c r="Y2709" i="8" s="1"/>
  <c r="W2841" i="8"/>
  <c r="X2841" i="8" s="1"/>
  <c r="Y2841" i="8" s="1"/>
  <c r="W755" i="8"/>
  <c r="X755" i="8" s="1"/>
  <c r="Y755" i="8" s="1"/>
  <c r="W1907" i="8"/>
  <c r="X1907" i="8" s="1"/>
  <c r="Y1907" i="8" s="1"/>
  <c r="W2702" i="8"/>
  <c r="X2702" i="8" s="1"/>
  <c r="Y2702" i="8" s="1"/>
  <c r="W555" i="8"/>
  <c r="X555" i="8" s="1"/>
  <c r="Y555" i="8" s="1"/>
  <c r="W1723" i="8"/>
  <c r="X1723" i="8" s="1"/>
  <c r="Y1723" i="8" s="1"/>
  <c r="W117" i="8"/>
  <c r="X117" i="8" s="1"/>
  <c r="Y117" i="8" s="1"/>
  <c r="W67" i="8"/>
  <c r="X67" i="8" s="1"/>
  <c r="Y67" i="8" s="1"/>
  <c r="W294" i="8"/>
  <c r="X294" i="8" s="1"/>
  <c r="Y294" i="8" s="1"/>
  <c r="W2154" i="8"/>
  <c r="X2154" i="8" s="1"/>
  <c r="Y2154" i="8" s="1"/>
  <c r="W2601" i="8"/>
  <c r="X2601" i="8" s="1"/>
  <c r="Y2601" i="8" s="1"/>
  <c r="W401" i="8"/>
  <c r="X401" i="8" s="1"/>
  <c r="Y401" i="8" s="1"/>
  <c r="W2491" i="8"/>
  <c r="X2491" i="8" s="1"/>
  <c r="Y2491" i="8" s="1"/>
  <c r="W2617" i="8"/>
  <c r="X2617" i="8" s="1"/>
  <c r="Y2617" i="8" s="1"/>
  <c r="W1019" i="8"/>
  <c r="X1019" i="8" s="1"/>
  <c r="Y1019" i="8" s="1"/>
  <c r="W307" i="8"/>
  <c r="X307" i="8" s="1"/>
  <c r="Y307" i="8" s="1"/>
  <c r="W109" i="8"/>
  <c r="X109" i="8" s="1"/>
  <c r="Y109" i="8" s="1"/>
  <c r="W1781" i="8"/>
  <c r="X1781" i="8" s="1"/>
  <c r="Y1781" i="8" s="1"/>
  <c r="W2131" i="8"/>
  <c r="X2131" i="8" s="1"/>
  <c r="Y2131" i="8" s="1"/>
  <c r="W155" i="8"/>
  <c r="X155" i="8" s="1"/>
  <c r="Y155" i="8" s="1"/>
  <c r="W312" i="8"/>
  <c r="X312" i="8" s="1"/>
  <c r="Y312" i="8" s="1"/>
  <c r="W628" i="8"/>
  <c r="X628" i="8" s="1"/>
  <c r="Y628" i="8" s="1"/>
  <c r="W1933" i="8"/>
  <c r="X1933" i="8" s="1"/>
  <c r="Y1933" i="8" s="1"/>
  <c r="W57" i="8"/>
  <c r="X57" i="8" s="1"/>
  <c r="Y57" i="8" s="1"/>
  <c r="W306" i="8"/>
  <c r="X306" i="8" s="1"/>
  <c r="Y306" i="8" s="1"/>
  <c r="W317" i="8"/>
  <c r="X317" i="8" s="1"/>
  <c r="Y317" i="8" s="1"/>
  <c r="W2007" i="8"/>
  <c r="X2007" i="8" s="1"/>
  <c r="Y2007" i="8" s="1"/>
  <c r="W319" i="8"/>
  <c r="X319" i="8" s="1"/>
  <c r="Y319" i="8" s="1"/>
  <c r="W611" i="8"/>
  <c r="X611" i="8" s="1"/>
  <c r="Y611" i="8" s="1"/>
  <c r="W92" i="8"/>
  <c r="X92" i="8" s="1"/>
  <c r="Y92" i="8" s="1"/>
  <c r="W74" i="8"/>
  <c r="X74" i="8" s="1"/>
  <c r="Y74" i="8" s="1"/>
  <c r="W40" i="8"/>
  <c r="X40" i="8" s="1"/>
  <c r="Y40" i="8" s="1"/>
  <c r="W2232" i="8"/>
  <c r="X2232" i="8" s="1"/>
  <c r="Y2232" i="8" s="1"/>
  <c r="W206" i="8"/>
  <c r="X206" i="8" s="1"/>
  <c r="Y206" i="8" s="1"/>
  <c r="W200" i="8"/>
  <c r="X200" i="8" s="1"/>
  <c r="Y200" i="8" s="1"/>
  <c r="W414" i="8"/>
  <c r="X414" i="8" s="1"/>
  <c r="Y414" i="8" s="1"/>
  <c r="W304" i="8"/>
  <c r="X304" i="8" s="1"/>
  <c r="Y304" i="8" s="1"/>
  <c r="W3008" i="8"/>
  <c r="X3008" i="8" s="1"/>
  <c r="Y3008" i="8" s="1"/>
  <c r="W2969" i="8"/>
  <c r="X2969" i="8" s="1"/>
  <c r="Y2969" i="8" s="1"/>
  <c r="W1641" i="8"/>
  <c r="X1641" i="8" s="1"/>
  <c r="Y1641" i="8" s="1"/>
  <c r="W916" i="8"/>
  <c r="X916" i="8" s="1"/>
  <c r="Y916" i="8" s="1"/>
  <c r="W2591" i="8"/>
  <c r="X2591" i="8" s="1"/>
  <c r="Y2591" i="8" s="1"/>
  <c r="W334" i="8"/>
  <c r="X334" i="8" s="1"/>
  <c r="Y334" i="8" s="1"/>
  <c r="W2907" i="8"/>
  <c r="X2907" i="8" s="1"/>
  <c r="Y2907" i="8" s="1"/>
  <c r="W2182" i="8"/>
  <c r="X2182" i="8" s="1"/>
  <c r="Y2182" i="8" s="1"/>
  <c r="W467" i="8"/>
  <c r="X467" i="8" s="1"/>
  <c r="Y467" i="8" s="1"/>
  <c r="W1539" i="8"/>
  <c r="X1539" i="8" s="1"/>
  <c r="Y1539" i="8" s="1"/>
  <c r="W634" i="8"/>
  <c r="X634" i="8" s="1"/>
  <c r="Y634" i="8" s="1"/>
  <c r="W1927" i="8"/>
  <c r="X1927" i="8" s="1"/>
  <c r="Y1927" i="8" s="1"/>
  <c r="W766" i="8"/>
  <c r="X766" i="8" s="1"/>
  <c r="Y766" i="8" s="1"/>
  <c r="W2376" i="8"/>
  <c r="X2376" i="8" s="1"/>
  <c r="Y2376" i="8" s="1"/>
  <c r="W1961" i="8"/>
  <c r="X1961" i="8" s="1"/>
  <c r="Y1961" i="8" s="1"/>
  <c r="W2724" i="8"/>
  <c r="X2724" i="8" s="1"/>
  <c r="Y2724" i="8" s="1"/>
  <c r="W654" i="8"/>
  <c r="X654" i="8" s="1"/>
  <c r="Y654" i="8" s="1"/>
  <c r="W288" i="8"/>
  <c r="X288" i="8" s="1"/>
  <c r="Y288" i="8" s="1"/>
  <c r="W1206" i="8"/>
  <c r="X1206" i="8" s="1"/>
  <c r="Y1206" i="8" s="1"/>
  <c r="W2437" i="8"/>
  <c r="X2437" i="8" s="1"/>
  <c r="Y2437" i="8" s="1"/>
  <c r="W2920" i="8"/>
  <c r="X2920" i="8" s="1"/>
  <c r="Y2920" i="8" s="1"/>
  <c r="W1795" i="8"/>
  <c r="X1795" i="8" s="1"/>
  <c r="Y1795" i="8" s="1"/>
  <c r="W453" i="8"/>
  <c r="X453" i="8" s="1"/>
  <c r="Y453" i="8" s="1"/>
  <c r="W2218" i="8"/>
  <c r="X2218" i="8" s="1"/>
  <c r="Y2218" i="8" s="1"/>
  <c r="W410" i="8"/>
  <c r="X410" i="8" s="1"/>
  <c r="Y410" i="8" s="1"/>
  <c r="W354" i="8"/>
  <c r="X354" i="8" s="1"/>
  <c r="Y354" i="8" s="1"/>
  <c r="W1101" i="8"/>
  <c r="X1101" i="8" s="1"/>
  <c r="Y1101" i="8" s="1"/>
  <c r="W693" i="8"/>
  <c r="X693" i="8" s="1"/>
  <c r="Y693" i="8" s="1"/>
  <c r="W2963" i="8"/>
  <c r="X2963" i="8" s="1"/>
  <c r="Y2963" i="8" s="1"/>
  <c r="W579" i="8"/>
  <c r="X579" i="8" s="1"/>
  <c r="Y579" i="8" s="1"/>
  <c r="W416" i="8"/>
  <c r="X416" i="8" s="1"/>
  <c r="Y416" i="8" s="1"/>
  <c r="W805" i="8"/>
  <c r="X805" i="8" s="1"/>
  <c r="Y805" i="8" s="1"/>
  <c r="W972" i="8"/>
  <c r="X972" i="8" s="1"/>
  <c r="Y972" i="8" s="1"/>
  <c r="W396" i="8"/>
  <c r="X396" i="8" s="1"/>
  <c r="Y396" i="8" s="1"/>
  <c r="W2972" i="8"/>
  <c r="X2972" i="8" s="1"/>
  <c r="Y2972" i="8" s="1"/>
  <c r="W2781" i="8"/>
  <c r="X2781" i="8" s="1"/>
  <c r="Y2781" i="8" s="1"/>
  <c r="W365" i="8"/>
  <c r="X365" i="8" s="1"/>
  <c r="Y365" i="8" s="1"/>
  <c r="W72" i="8"/>
  <c r="X72" i="8" s="1"/>
  <c r="Y72" i="8" s="1"/>
  <c r="W988" i="8"/>
  <c r="X988" i="8" s="1"/>
  <c r="Y988" i="8" s="1"/>
  <c r="W2163" i="8"/>
  <c r="X2163" i="8" s="1"/>
  <c r="Y2163" i="8" s="1"/>
  <c r="W114" i="8"/>
  <c r="X114" i="8" s="1"/>
  <c r="Y114" i="8" s="1"/>
  <c r="W638" i="8"/>
  <c r="X638" i="8" s="1"/>
  <c r="Y638" i="8" s="1"/>
  <c r="W192" i="8"/>
  <c r="X192" i="8" s="1"/>
  <c r="Y192" i="8" s="1"/>
  <c r="W234" i="8"/>
  <c r="X234" i="8" s="1"/>
  <c r="Y234" i="8" s="1"/>
  <c r="W898" i="8"/>
  <c r="X898" i="8" s="1"/>
  <c r="Y898" i="8" s="1"/>
  <c r="W374" i="8"/>
  <c r="X374" i="8" s="1"/>
  <c r="Y374" i="8" s="1"/>
  <c r="W2454" i="8"/>
  <c r="X2454" i="8" s="1"/>
  <c r="Y2454" i="8" s="1"/>
  <c r="W1473" i="8"/>
  <c r="X1473" i="8" s="1"/>
  <c r="Y1473" i="8" s="1"/>
  <c r="W163" i="8"/>
  <c r="X163" i="8" s="1"/>
  <c r="Y163" i="8" s="1"/>
  <c r="W2715" i="8"/>
  <c r="X2715" i="8" s="1"/>
  <c r="Y2715" i="8" s="1"/>
  <c r="W1550" i="8"/>
  <c r="X1550" i="8" s="1"/>
  <c r="Y1550" i="8" s="1"/>
  <c r="W2787" i="8"/>
  <c r="X2787" i="8" s="1"/>
  <c r="Y2787" i="8" s="1"/>
  <c r="W87" i="8"/>
  <c r="X87" i="8" s="1"/>
  <c r="Y87" i="8" s="1"/>
  <c r="W942" i="8"/>
  <c r="X942" i="8" s="1"/>
  <c r="Y942" i="8" s="1"/>
  <c r="W626" i="8"/>
  <c r="X626" i="8" s="1"/>
  <c r="Y626" i="8" s="1"/>
  <c r="W487" i="8"/>
  <c r="X487" i="8" s="1"/>
  <c r="Y487" i="8" s="1"/>
  <c r="W880" i="8"/>
  <c r="X880" i="8" s="1"/>
  <c r="Y880" i="8" s="1"/>
  <c r="W2726" i="8"/>
  <c r="X2726" i="8" s="1"/>
  <c r="Y2726" i="8" s="1"/>
  <c r="W387" i="8"/>
  <c r="X387" i="8" s="1"/>
  <c r="Y387" i="8" s="1"/>
  <c r="W2003" i="8"/>
  <c r="X2003" i="8" s="1"/>
  <c r="Y2003" i="8" s="1"/>
  <c r="W569" i="8"/>
  <c r="X569" i="8" s="1"/>
  <c r="Y569" i="8" s="1"/>
  <c r="W76" i="8"/>
  <c r="X76" i="8" s="1"/>
  <c r="Y76" i="8" s="1"/>
  <c r="W2169" i="8"/>
  <c r="X2169" i="8" s="1"/>
  <c r="Y2169" i="8" s="1"/>
  <c r="W759" i="8"/>
  <c r="X759" i="8" s="1"/>
  <c r="Y759" i="8" s="1"/>
  <c r="W295" i="8"/>
  <c r="X295" i="8" s="1"/>
  <c r="Y295" i="8" s="1"/>
  <c r="W2727" i="8"/>
  <c r="X2727" i="8" s="1"/>
  <c r="Y2727" i="8" s="1"/>
  <c r="W2004" i="8"/>
  <c r="X2004" i="8" s="1"/>
  <c r="Y2004" i="8" s="1"/>
  <c r="W171" i="8"/>
  <c r="X171" i="8" s="1"/>
  <c r="Y171" i="8" s="1"/>
  <c r="W413" i="8"/>
  <c r="X413" i="8" s="1"/>
  <c r="Y413" i="8" s="1"/>
  <c r="W2090" i="8"/>
  <c r="X2090" i="8" s="1"/>
  <c r="Y2090" i="8" s="1"/>
  <c r="W112" i="8"/>
  <c r="X112" i="8" s="1"/>
  <c r="Y112" i="8" s="1"/>
  <c r="W1252" i="8"/>
  <c r="X1252" i="8" s="1"/>
  <c r="Y1252" i="8" s="1"/>
  <c r="W681" i="8"/>
  <c r="X681" i="8" s="1"/>
  <c r="Y681" i="8" s="1"/>
  <c r="W399" i="8"/>
  <c r="X399" i="8" s="1"/>
  <c r="Y399" i="8" s="1"/>
  <c r="W2168" i="8"/>
  <c r="X2168" i="8" s="1"/>
  <c r="Y2168" i="8" s="1"/>
  <c r="W1530" i="8"/>
  <c r="X1530" i="8" s="1"/>
  <c r="Y1530" i="8" s="1"/>
  <c r="W2585" i="8"/>
  <c r="X2585" i="8" s="1"/>
  <c r="Y2585" i="8" s="1"/>
  <c r="W1837" i="8"/>
  <c r="X1837" i="8" s="1"/>
  <c r="Y1837" i="8" s="1"/>
  <c r="W3084" i="8"/>
  <c r="X3084" i="8" s="1"/>
  <c r="Y3084" i="8" s="1"/>
  <c r="W314" i="8"/>
  <c r="X314" i="8" s="1"/>
  <c r="Y314" i="8" s="1"/>
  <c r="W409" i="8"/>
  <c r="X409" i="8" s="1"/>
  <c r="Y409" i="8" s="1"/>
  <c r="W1125" i="8"/>
  <c r="X1125" i="8" s="1"/>
  <c r="Y1125" i="8" s="1"/>
  <c r="W1043" i="8"/>
  <c r="X1043" i="8" s="1"/>
  <c r="Y1043" i="8" s="1"/>
  <c r="W1421" i="8"/>
  <c r="X1421" i="8" s="1"/>
  <c r="Y1421" i="8" s="1"/>
  <c r="W2042" i="8"/>
  <c r="X2042" i="8" s="1"/>
  <c r="Y2042" i="8" s="1"/>
  <c r="W1503" i="8"/>
  <c r="X1503" i="8" s="1"/>
  <c r="Y1503" i="8" s="1"/>
  <c r="W2490" i="8"/>
  <c r="X2490" i="8" s="1"/>
  <c r="Y2490" i="8" s="1"/>
  <c r="W2448" i="8"/>
  <c r="X2448" i="8" s="1"/>
  <c r="Y2448" i="8" s="1"/>
  <c r="W1438" i="8"/>
  <c r="X1438" i="8" s="1"/>
  <c r="Y1438" i="8" s="1"/>
  <c r="W418" i="8"/>
  <c r="X418" i="8" s="1"/>
  <c r="Y418" i="8" s="1"/>
  <c r="W2470" i="8"/>
  <c r="X2470" i="8" s="1"/>
  <c r="Y2470" i="8" s="1"/>
  <c r="W915" i="8"/>
  <c r="X915" i="8" s="1"/>
  <c r="Y915" i="8" s="1"/>
  <c r="W1864" i="8"/>
  <c r="X1864" i="8" s="1"/>
  <c r="Y1864" i="8" s="1"/>
  <c r="W1012" i="8"/>
  <c r="X1012" i="8" s="1"/>
  <c r="Y1012" i="8" s="1"/>
  <c r="W493" i="8"/>
  <c r="X493" i="8" s="1"/>
  <c r="Y493" i="8" s="1"/>
  <c r="W1039" i="8"/>
  <c r="X1039" i="8" s="1"/>
  <c r="Y1039" i="8" s="1"/>
  <c r="W1755" i="8"/>
  <c r="X1755" i="8" s="1"/>
  <c r="Y1755" i="8" s="1"/>
  <c r="W753" i="8"/>
  <c r="X753" i="8" s="1"/>
  <c r="Y753" i="8" s="1"/>
  <c r="W420" i="8"/>
  <c r="X420" i="8" s="1"/>
  <c r="Y420" i="8" s="1"/>
  <c r="W1981" i="8"/>
  <c r="X1981" i="8" s="1"/>
  <c r="Y1981" i="8" s="1"/>
  <c r="W948" i="8"/>
  <c r="X948" i="8" s="1"/>
  <c r="Y948" i="8" s="1"/>
  <c r="W2762" i="8"/>
  <c r="X2762" i="8" s="1"/>
  <c r="Y2762" i="8" s="1"/>
  <c r="W97" i="8"/>
  <c r="X97" i="8" s="1"/>
  <c r="Y97" i="8" s="1"/>
  <c r="W1072" i="8"/>
  <c r="X1072" i="8" s="1"/>
  <c r="Y1072" i="8" s="1"/>
  <c r="W680" i="8"/>
  <c r="X680" i="8" s="1"/>
  <c r="Y680" i="8" s="1"/>
  <c r="W3090" i="8"/>
  <c r="X3090" i="8" s="1"/>
  <c r="Y3090" i="8" s="1"/>
  <c r="W874" i="8"/>
  <c r="X874" i="8" s="1"/>
  <c r="Y874" i="8" s="1"/>
  <c r="W2955" i="8"/>
  <c r="X2955" i="8" s="1"/>
  <c r="Y2955" i="8" s="1"/>
  <c r="W437" i="8"/>
  <c r="X437" i="8" s="1"/>
  <c r="Y437" i="8" s="1"/>
  <c r="W1551" i="8"/>
  <c r="X1551" i="8" s="1"/>
  <c r="Y1551" i="8" s="1"/>
  <c r="W2292" i="8"/>
  <c r="X2292" i="8" s="1"/>
  <c r="Y2292" i="8" s="1"/>
  <c r="W511" i="8"/>
  <c r="X511" i="8" s="1"/>
  <c r="Y511" i="8" s="1"/>
  <c r="W224" i="8"/>
  <c r="X224" i="8" s="1"/>
  <c r="Y224" i="8" s="1"/>
  <c r="W1318" i="8"/>
  <c r="X1318" i="8" s="1"/>
  <c r="Y1318" i="8" s="1"/>
  <c r="W558" i="8"/>
  <c r="X558" i="8" s="1"/>
  <c r="Y558" i="8" s="1"/>
  <c r="W144" i="8"/>
  <c r="X144" i="8" s="1"/>
  <c r="Y144" i="8" s="1"/>
  <c r="W445" i="8"/>
  <c r="X445" i="8" s="1"/>
  <c r="Y445" i="8" s="1"/>
  <c r="W2357" i="8"/>
  <c r="X2357" i="8" s="1"/>
  <c r="Y2357" i="8" s="1"/>
  <c r="W825" i="8"/>
  <c r="X825" i="8" s="1"/>
  <c r="Y825" i="8" s="1"/>
  <c r="W455" i="8"/>
  <c r="X455" i="8" s="1"/>
  <c r="Y455" i="8" s="1"/>
  <c r="W282" i="8"/>
  <c r="X282" i="8" s="1"/>
  <c r="Y282" i="8" s="1"/>
  <c r="W784" i="8"/>
  <c r="X784" i="8" s="1"/>
  <c r="Y784" i="8" s="1"/>
  <c r="W2858" i="8"/>
  <c r="X2858" i="8" s="1"/>
  <c r="Y2858" i="8" s="1"/>
  <c r="W1651" i="8"/>
  <c r="X1651" i="8" s="1"/>
  <c r="Y1651" i="8" s="1"/>
  <c r="W711" i="8"/>
  <c r="X711" i="8" s="1"/>
  <c r="Y711" i="8" s="1"/>
  <c r="W454" i="8"/>
  <c r="X454" i="8" s="1"/>
  <c r="Y454" i="8" s="1"/>
  <c r="W248" i="8"/>
  <c r="X248" i="8" s="1"/>
  <c r="Y248" i="8" s="1"/>
  <c r="W440" i="8"/>
  <c r="X440" i="8" s="1"/>
  <c r="Y440" i="8" s="1"/>
  <c r="W2215" i="8"/>
  <c r="X2215" i="8" s="1"/>
  <c r="Y2215" i="8" s="1"/>
  <c r="W1468" i="8"/>
  <c r="X1468" i="8" s="1"/>
  <c r="Y1468" i="8" s="1"/>
  <c r="W1299" i="8"/>
  <c r="X1299" i="8" s="1"/>
  <c r="Y1299" i="8" s="1"/>
  <c r="W2602" i="8"/>
  <c r="X2602" i="8" s="1"/>
  <c r="Y2602" i="8" s="1"/>
  <c r="W1233" i="8"/>
  <c r="X1233" i="8" s="1"/>
  <c r="Y1233" i="8" s="1"/>
  <c r="W621" i="8"/>
  <c r="X621" i="8" s="1"/>
  <c r="Y621" i="8" s="1"/>
  <c r="W204" i="8"/>
  <c r="X204" i="8" s="1"/>
  <c r="Y204" i="8" s="1"/>
  <c r="W168" i="8"/>
  <c r="X168" i="8" s="1"/>
  <c r="Y168" i="8" s="1"/>
  <c r="W1143" i="8"/>
  <c r="X1143" i="8" s="1"/>
  <c r="Y1143" i="8" s="1"/>
  <c r="W2570" i="8"/>
  <c r="X2570" i="8" s="1"/>
  <c r="Y2570" i="8" s="1"/>
  <c r="W731" i="8"/>
  <c r="X731" i="8" s="1"/>
  <c r="Y731" i="8" s="1"/>
  <c r="W11" i="8"/>
  <c r="X11" i="8" s="1"/>
  <c r="Y11" i="8" s="1"/>
  <c r="W272" i="8"/>
  <c r="X272" i="8" s="1"/>
  <c r="Y272" i="8" s="1"/>
  <c r="W2757" i="8"/>
  <c r="X2757" i="8" s="1"/>
  <c r="Y2757" i="8" s="1"/>
  <c r="W1028" i="8"/>
  <c r="X1028" i="8" s="1"/>
  <c r="Y1028" i="8" s="1"/>
  <c r="W940" i="8"/>
  <c r="X940" i="8" s="1"/>
  <c r="Y940" i="8" s="1"/>
  <c r="W1457" i="8"/>
  <c r="X1457" i="8" s="1"/>
  <c r="Y1457" i="8" s="1"/>
  <c r="W251" i="8"/>
  <c r="X251" i="8" s="1"/>
  <c r="Y251" i="8" s="1"/>
  <c r="W1911" i="8"/>
  <c r="X1911" i="8" s="1"/>
  <c r="Y1911" i="8" s="1"/>
  <c r="W924" i="8"/>
  <c r="X924" i="8" s="1"/>
  <c r="Y924" i="8" s="1"/>
  <c r="W1968" i="8"/>
  <c r="X1968" i="8" s="1"/>
  <c r="Y1968" i="8" s="1"/>
  <c r="W190" i="8"/>
  <c r="X190" i="8" s="1"/>
  <c r="Y190" i="8" s="1"/>
  <c r="W130" i="8"/>
  <c r="X130" i="8" s="1"/>
  <c r="Y130" i="8" s="1"/>
  <c r="W1496" i="8"/>
  <c r="X1496" i="8" s="1"/>
  <c r="Y1496" i="8" s="1"/>
  <c r="W432" i="8"/>
  <c r="X432" i="8" s="1"/>
  <c r="Y432" i="8" s="1"/>
  <c r="W507" i="8"/>
  <c r="X507" i="8" s="1"/>
  <c r="Y507" i="8" s="1"/>
  <c r="W662" i="8"/>
  <c r="X662" i="8" s="1"/>
  <c r="Y662" i="8" s="1"/>
  <c r="W2651" i="8"/>
  <c r="X2651" i="8" s="1"/>
  <c r="Y2651" i="8" s="1"/>
  <c r="W3" i="8"/>
  <c r="X3" i="8" s="1"/>
  <c r="Y3" i="8" s="1"/>
  <c r="W370" i="8"/>
  <c r="X370" i="8" s="1"/>
  <c r="Y370" i="8" s="1"/>
  <c r="W41" i="8"/>
  <c r="X41" i="8" s="1"/>
  <c r="Y41" i="8" s="1"/>
  <c r="W553" i="8"/>
  <c r="X553" i="8" s="1"/>
  <c r="Y553" i="8" s="1"/>
  <c r="W2959" i="8"/>
  <c r="X2959" i="8" s="1"/>
  <c r="Y2959" i="8" s="1"/>
  <c r="W687" i="8"/>
  <c r="X687" i="8" s="1"/>
  <c r="Y687" i="8" s="1"/>
  <c r="W1975" i="8"/>
  <c r="X1975" i="8" s="1"/>
  <c r="Y1975" i="8" s="1"/>
  <c r="W1916" i="8"/>
  <c r="X1916" i="8" s="1"/>
  <c r="Y1916" i="8" s="1"/>
  <c r="W2098" i="8"/>
  <c r="X2098" i="8" s="1"/>
  <c r="Y2098" i="8" s="1"/>
  <c r="W2765" i="8"/>
  <c r="X2765" i="8" s="1"/>
  <c r="Y2765" i="8" s="1"/>
  <c r="W2274" i="8"/>
  <c r="X2274" i="8" s="1"/>
  <c r="Y2274" i="8" s="1"/>
  <c r="W839" i="8"/>
  <c r="X839" i="8" s="1"/>
  <c r="Y839" i="8" s="1"/>
  <c r="W978" i="8"/>
  <c r="X978" i="8" s="1"/>
  <c r="Y978" i="8" s="1"/>
  <c r="W2022" i="8"/>
  <c r="X2022" i="8" s="1"/>
  <c r="Y2022" i="8" s="1"/>
  <c r="W1124" i="8"/>
  <c r="X1124" i="8" s="1"/>
  <c r="Y1124" i="8" s="1"/>
  <c r="W500" i="8"/>
  <c r="X500" i="8" s="1"/>
  <c r="Y500" i="8" s="1"/>
  <c r="W265" i="8"/>
  <c r="X265" i="8" s="1"/>
  <c r="Y265" i="8" s="1"/>
  <c r="W2225" i="8"/>
  <c r="X2225" i="8" s="1"/>
  <c r="Y2225" i="8" s="1"/>
  <c r="W283" i="8"/>
  <c r="X283" i="8" s="1"/>
  <c r="Y283" i="8" s="1"/>
  <c r="W2729" i="8"/>
  <c r="X2729" i="8" s="1"/>
  <c r="Y2729" i="8" s="1"/>
  <c r="W883" i="8"/>
  <c r="X883" i="8" s="1"/>
  <c r="Y883" i="8" s="1"/>
  <c r="W716" i="8"/>
  <c r="X716" i="8" s="1"/>
  <c r="Y716" i="8" s="1"/>
  <c r="W963" i="8"/>
  <c r="X963" i="8" s="1"/>
  <c r="Y963" i="8" s="1"/>
  <c r="W1834" i="8"/>
  <c r="X1834" i="8" s="1"/>
  <c r="Y1834" i="8" s="1"/>
  <c r="W1058" i="8"/>
  <c r="X1058" i="8" s="1"/>
  <c r="Y1058" i="8" s="1"/>
  <c r="W431" i="8"/>
  <c r="X431" i="8" s="1"/>
  <c r="Y431" i="8" s="1"/>
  <c r="W2242" i="8"/>
  <c r="X2242" i="8" s="1"/>
  <c r="Y2242" i="8" s="1"/>
  <c r="W2551" i="8"/>
  <c r="X2551" i="8" s="1"/>
  <c r="Y2551" i="8" s="1"/>
  <c r="W1437" i="8"/>
  <c r="X1437" i="8" s="1"/>
  <c r="Y1437" i="8" s="1"/>
  <c r="W2527" i="8"/>
  <c r="X2527" i="8" s="1"/>
  <c r="Y2527" i="8" s="1"/>
  <c r="W1065" i="8"/>
  <c r="X1065" i="8" s="1"/>
  <c r="Y1065" i="8" s="1"/>
  <c r="W876" i="8"/>
  <c r="X876" i="8" s="1"/>
  <c r="Y876" i="8" s="1"/>
  <c r="W1108" i="8"/>
  <c r="X1108" i="8" s="1"/>
  <c r="Y1108" i="8" s="1"/>
  <c r="W2240" i="8"/>
  <c r="X2240" i="8" s="1"/>
  <c r="Y2240" i="8" s="1"/>
  <c r="W920" i="8"/>
  <c r="X920" i="8" s="1"/>
  <c r="Y920" i="8" s="1"/>
  <c r="W2875" i="8"/>
  <c r="X2875" i="8" s="1"/>
  <c r="Y2875" i="8" s="1"/>
  <c r="W1811" i="8"/>
  <c r="X1811" i="8" s="1"/>
  <c r="Y1811" i="8" s="1"/>
  <c r="W790" i="8"/>
  <c r="X790" i="8" s="1"/>
  <c r="Y790" i="8" s="1"/>
  <c r="W1572" i="8"/>
  <c r="X1572" i="8" s="1"/>
  <c r="Y1572" i="8" s="1"/>
  <c r="W221" i="8"/>
  <c r="X221" i="8" s="1"/>
  <c r="Y221" i="8" s="1"/>
  <c r="W311" i="8"/>
  <c r="X311" i="8" s="1"/>
  <c r="Y311" i="8" s="1"/>
  <c r="W423" i="8"/>
  <c r="X423" i="8" s="1"/>
  <c r="Y423" i="8" s="1"/>
  <c r="W2067" i="8"/>
  <c r="X2067" i="8" s="1"/>
  <c r="Y2067" i="8" s="1"/>
  <c r="W494" i="8"/>
  <c r="X494" i="8" s="1"/>
  <c r="Y494" i="8" s="1"/>
  <c r="W2475" i="8"/>
  <c r="X2475" i="8" s="1"/>
  <c r="Y2475" i="8" s="1"/>
  <c r="W107" i="8"/>
  <c r="X107" i="8" s="1"/>
  <c r="Y107" i="8" s="1"/>
  <c r="W564" i="8"/>
  <c r="X564" i="8" s="1"/>
  <c r="Y564" i="8" s="1"/>
  <c r="W910" i="8"/>
  <c r="X910" i="8" s="1"/>
  <c r="Y910" i="8" s="1"/>
  <c r="W489" i="8"/>
  <c r="X489" i="8" s="1"/>
  <c r="Y489" i="8" s="1"/>
  <c r="W1103" i="8"/>
  <c r="X1103" i="8" s="1"/>
  <c r="Y1103" i="8" s="1"/>
  <c r="W2755" i="8"/>
  <c r="X2755" i="8" s="1"/>
  <c r="Y2755" i="8" s="1"/>
  <c r="W2834" i="8"/>
  <c r="X2834" i="8" s="1"/>
  <c r="Y2834" i="8" s="1"/>
  <c r="W1475" i="8"/>
  <c r="X1475" i="8" s="1"/>
  <c r="Y1475" i="8" s="1"/>
  <c r="W313" i="8"/>
  <c r="X313" i="8" s="1"/>
  <c r="Y313" i="8" s="1"/>
  <c r="W518" i="8"/>
  <c r="X518" i="8" s="1"/>
  <c r="Y518" i="8" s="1"/>
  <c r="W2584" i="8"/>
  <c r="X2584" i="8" s="1"/>
  <c r="Y2584" i="8" s="1"/>
  <c r="W777" i="8"/>
  <c r="X777" i="8" s="1"/>
  <c r="Y777" i="8" s="1"/>
  <c r="W953" i="8"/>
  <c r="X953" i="8" s="1"/>
  <c r="Y953" i="8" s="1"/>
  <c r="W1095" i="8"/>
  <c r="X1095" i="8" s="1"/>
  <c r="Y1095" i="8" s="1"/>
  <c r="W813" i="8"/>
  <c r="X813" i="8" s="1"/>
  <c r="Y813" i="8" s="1"/>
  <c r="W977" i="8"/>
  <c r="X977" i="8" s="1"/>
  <c r="Y977" i="8" s="1"/>
  <c r="W1079" i="8"/>
  <c r="X1079" i="8" s="1"/>
  <c r="Y1079" i="8" s="1"/>
  <c r="W2308" i="8"/>
  <c r="X2308" i="8" s="1"/>
  <c r="Y2308" i="8" s="1"/>
  <c r="W1372" i="8"/>
  <c r="X1372" i="8" s="1"/>
  <c r="Y1372" i="8" s="1"/>
  <c r="W747" i="8"/>
  <c r="X747" i="8" s="1"/>
  <c r="Y747" i="8" s="1"/>
  <c r="W71" i="8"/>
  <c r="X71" i="8" s="1"/>
  <c r="Y71" i="8" s="1"/>
  <c r="W1494" i="8"/>
  <c r="X1494" i="8" s="1"/>
  <c r="Y1494" i="8" s="1"/>
  <c r="W1920" i="8"/>
  <c r="X1920" i="8" s="1"/>
  <c r="Y1920" i="8" s="1"/>
  <c r="W129" i="8"/>
  <c r="X129" i="8" s="1"/>
  <c r="Y129" i="8" s="1"/>
  <c r="W3010" i="8"/>
  <c r="X3010" i="8" s="1"/>
  <c r="Y3010" i="8" s="1"/>
  <c r="W439" i="8"/>
  <c r="X439" i="8" s="1"/>
  <c r="Y439" i="8" s="1"/>
  <c r="W121" i="8"/>
  <c r="X121" i="8" s="1"/>
  <c r="Y121" i="8" s="1"/>
  <c r="W529" i="8"/>
  <c r="X529" i="8" s="1"/>
  <c r="Y529" i="8" s="1"/>
  <c r="W979" i="8"/>
  <c r="X979" i="8" s="1"/>
  <c r="Y979" i="8" s="1"/>
  <c r="W133" i="8"/>
  <c r="X133" i="8" s="1"/>
  <c r="Y133" i="8" s="1"/>
  <c r="W407" i="8"/>
  <c r="X407" i="8" s="1"/>
  <c r="Y407" i="8" s="1"/>
  <c r="W1364" i="8"/>
  <c r="X1364" i="8" s="1"/>
  <c r="Y1364" i="8" s="1"/>
  <c r="W253" i="8"/>
  <c r="X253" i="8" s="1"/>
  <c r="Y253" i="8" s="1"/>
  <c r="W477" i="8"/>
  <c r="X477" i="8" s="1"/>
  <c r="Y477" i="8" s="1"/>
  <c r="W817" i="8"/>
  <c r="X817" i="8" s="1"/>
  <c r="Y817" i="8" s="1"/>
  <c r="W661" i="8"/>
  <c r="X661" i="8" s="1"/>
  <c r="Y661" i="8" s="1"/>
  <c r="W2874" i="8"/>
  <c r="X2874" i="8" s="1"/>
  <c r="Y2874" i="8" s="1"/>
  <c r="W293" i="8"/>
  <c r="X293" i="8" s="1"/>
  <c r="Y293" i="8" s="1"/>
  <c r="W379" i="8"/>
  <c r="X379" i="8" s="1"/>
  <c r="Y379" i="8" s="1"/>
  <c r="W75" i="8"/>
  <c r="X75" i="8" s="1"/>
  <c r="Y75" i="8" s="1"/>
  <c r="W707" i="8"/>
  <c r="X707" i="8" s="1"/>
  <c r="Y707" i="8" s="1"/>
  <c r="W169" i="8"/>
  <c r="X169" i="8" s="1"/>
  <c r="Y169" i="8" s="1"/>
  <c r="W355" i="8"/>
  <c r="X355" i="8" s="1"/>
  <c r="Y355" i="8" s="1"/>
  <c r="W1540" i="8"/>
  <c r="X1540" i="8" s="1"/>
  <c r="Y1540" i="8" s="1"/>
  <c r="W1824" i="8"/>
  <c r="X1824" i="8" s="1"/>
  <c r="Y1824" i="8" s="1"/>
  <c r="W303" i="8"/>
  <c r="X303" i="8" s="1"/>
  <c r="Y303" i="8" s="1"/>
  <c r="W2185" i="8"/>
  <c r="X2185" i="8" s="1"/>
  <c r="Y2185" i="8" s="1"/>
  <c r="W2393" i="8"/>
  <c r="X2393" i="8" s="1"/>
  <c r="Y2393" i="8" s="1"/>
  <c r="W26" i="8"/>
  <c r="X26" i="8" s="1"/>
  <c r="Y26" i="8" s="1"/>
  <c r="W2000" i="8"/>
  <c r="X2000" i="8" s="1"/>
  <c r="Y2000" i="8" s="1"/>
  <c r="W1096" i="8"/>
  <c r="X1096" i="8" s="1"/>
  <c r="Y1096" i="8" s="1"/>
  <c r="W512" i="8"/>
  <c r="X512" i="8" s="1"/>
  <c r="Y512" i="8" s="1"/>
  <c r="W1006" i="8"/>
  <c r="X1006" i="8" s="1"/>
  <c r="Y1006" i="8" s="1"/>
  <c r="W384" i="8"/>
  <c r="X384" i="8" s="1"/>
  <c r="Y384" i="8" s="1"/>
  <c r="W820" i="8"/>
  <c r="X820" i="8" s="1"/>
  <c r="Y820" i="8" s="1"/>
  <c r="W1742" i="8"/>
  <c r="X1742" i="8" s="1"/>
  <c r="Y1742" i="8" s="1"/>
  <c r="W3073" i="8"/>
  <c r="X3073" i="8" s="1"/>
  <c r="Y3073" i="8" s="1"/>
  <c r="W82" i="8"/>
  <c r="X82" i="8" s="1"/>
  <c r="Y82" i="8" s="1"/>
  <c r="W745" i="8"/>
  <c r="X745" i="8" s="1"/>
  <c r="Y745" i="8" s="1"/>
  <c r="W2588" i="8"/>
  <c r="X2588" i="8" s="1"/>
  <c r="Y2588" i="8" s="1"/>
  <c r="W1689" i="8"/>
  <c r="X1689" i="8" s="1"/>
  <c r="Y1689" i="8" s="1"/>
  <c r="W1622" i="8"/>
  <c r="X1622" i="8" s="1"/>
  <c r="Y1622" i="8" s="1"/>
  <c r="W1520" i="8"/>
  <c r="X1520" i="8" s="1"/>
  <c r="Y1520" i="8" s="1"/>
  <c r="W466" i="8"/>
  <c r="X466" i="8" s="1"/>
  <c r="Y466" i="8" s="1"/>
  <c r="W1612" i="8"/>
  <c r="X1612" i="8" s="1"/>
  <c r="Y1612" i="8" s="1"/>
  <c r="W520" i="8"/>
  <c r="X520" i="8" s="1"/>
  <c r="Y520" i="8" s="1"/>
  <c r="W246" i="8"/>
  <c r="X246" i="8" s="1"/>
  <c r="Y246" i="8" s="1"/>
  <c r="W789" i="8"/>
  <c r="X789" i="8" s="1"/>
  <c r="Y789" i="8" s="1"/>
  <c r="W2694" i="8"/>
  <c r="X2694" i="8" s="1"/>
  <c r="Y2694" i="8" s="1"/>
  <c r="W305" i="8"/>
  <c r="X305" i="8" s="1"/>
  <c r="Y305" i="8" s="1"/>
  <c r="W2830" i="8"/>
  <c r="X2830" i="8" s="1"/>
  <c r="Y2830" i="8" s="1"/>
  <c r="W1902" i="8"/>
  <c r="X1902" i="8" s="1"/>
  <c r="Y1902" i="8" s="1"/>
  <c r="W188" i="8"/>
  <c r="X188" i="8" s="1"/>
  <c r="Y188" i="8" s="1"/>
  <c r="W1649" i="8"/>
  <c r="X1649" i="8" s="1"/>
  <c r="Y1649" i="8" s="1"/>
  <c r="W89" i="8"/>
  <c r="X89" i="8" s="1"/>
  <c r="Y89" i="8" s="1"/>
  <c r="W964" i="8"/>
  <c r="X964" i="8" s="1"/>
  <c r="Y964" i="8" s="1"/>
  <c r="W2356" i="8"/>
  <c r="X2356" i="8" s="1"/>
  <c r="Y2356" i="8" s="1"/>
  <c r="W1428" i="8"/>
  <c r="X1428" i="8" s="1"/>
  <c r="Y1428" i="8" s="1"/>
  <c r="W1048" i="8"/>
  <c r="X1048" i="8" s="1"/>
  <c r="Y1048" i="8" s="1"/>
  <c r="W2247" i="8"/>
  <c r="X2247" i="8" s="1"/>
  <c r="Y2247" i="8" s="1"/>
  <c r="W1974" i="8"/>
  <c r="X1974" i="8" s="1"/>
  <c r="Y1974" i="8" s="1"/>
  <c r="W1721" i="8"/>
  <c r="X1721" i="8" s="1"/>
  <c r="Y1721" i="8" s="1"/>
  <c r="W2663" i="8"/>
  <c r="X2663" i="8" s="1"/>
  <c r="Y2663" i="8" s="1"/>
  <c r="W1326" i="8"/>
  <c r="X1326" i="8" s="1"/>
  <c r="Y1326" i="8" s="1"/>
  <c r="W2807" i="8"/>
  <c r="X2807" i="8" s="1"/>
  <c r="Y2807" i="8" s="1"/>
  <c r="W411" i="8"/>
  <c r="X411" i="8" s="1"/>
  <c r="Y411" i="8" s="1"/>
  <c r="W1001" i="8"/>
  <c r="X1001" i="8" s="1"/>
  <c r="Y1001" i="8" s="1"/>
  <c r="W154" i="8"/>
  <c r="X154" i="8" s="1"/>
  <c r="Y154" i="8" s="1"/>
  <c r="W562" i="8"/>
  <c r="X562" i="8" s="1"/>
  <c r="Y562" i="8" s="1"/>
  <c r="W552" i="8"/>
  <c r="X552" i="8" s="1"/>
  <c r="Y552" i="8" s="1"/>
  <c r="W1785" i="8"/>
  <c r="X1785" i="8" s="1"/>
  <c r="Y1785" i="8" s="1"/>
  <c r="W65" i="8"/>
  <c r="X65" i="8" s="1"/>
  <c r="Y65" i="8" s="1"/>
  <c r="W2674" i="8"/>
  <c r="X2674" i="8" s="1"/>
  <c r="Y2674" i="8" s="1"/>
  <c r="W1417" i="8"/>
  <c r="X1417" i="8" s="1"/>
  <c r="Y1417" i="8" s="1"/>
  <c r="W1098" i="8"/>
  <c r="X1098" i="8" s="1"/>
  <c r="Y1098" i="8" s="1"/>
  <c r="W556" i="8"/>
  <c r="X556" i="8" s="1"/>
  <c r="Y556" i="8" s="1"/>
  <c r="W1814" i="8"/>
  <c r="X1814" i="8" s="1"/>
  <c r="Y1814" i="8" s="1"/>
  <c r="W816" i="8"/>
  <c r="X816" i="8" s="1"/>
  <c r="Y816" i="8" s="1"/>
  <c r="W1598" i="8"/>
  <c r="X1598" i="8" s="1"/>
  <c r="Y1598" i="8" s="1"/>
  <c r="W468" i="8"/>
  <c r="X468" i="8" s="1"/>
  <c r="Y468" i="8" s="1"/>
  <c r="W383" i="8"/>
  <c r="X383" i="8" s="1"/>
  <c r="Y383" i="8" s="1"/>
  <c r="W632" i="8"/>
  <c r="X632" i="8" s="1"/>
  <c r="Y632" i="8" s="1"/>
  <c r="W138" i="8"/>
  <c r="X138" i="8" s="1"/>
  <c r="Y138" i="8" s="1"/>
  <c r="W185" i="8"/>
  <c r="X185" i="8" s="1"/>
  <c r="Y185" i="8" s="1"/>
  <c r="W484" i="8"/>
  <c r="X484" i="8" s="1"/>
  <c r="Y484" i="8" s="1"/>
  <c r="W635" i="8"/>
  <c r="X635" i="8" s="1"/>
  <c r="Y635" i="8" s="1"/>
  <c r="W1964" i="8"/>
  <c r="X1964" i="8" s="1"/>
  <c r="Y1964" i="8" s="1"/>
  <c r="W162" i="8"/>
  <c r="X162" i="8" s="1"/>
  <c r="Y162" i="8" s="1"/>
  <c r="W175" i="8"/>
  <c r="X175" i="8" s="1"/>
  <c r="Y175" i="8" s="1"/>
  <c r="W471" i="8"/>
  <c r="X471" i="8" s="1"/>
  <c r="Y471" i="8" s="1"/>
  <c r="W33" i="8"/>
  <c r="X33" i="8" s="1"/>
  <c r="Y33" i="8" s="1"/>
  <c r="W34" i="8"/>
  <c r="X34" i="8" s="1"/>
  <c r="Y34" i="8" s="1"/>
  <c r="W182" i="8"/>
  <c r="X182" i="8" s="1"/>
  <c r="Y182" i="8" s="1"/>
  <c r="W1584" i="8"/>
  <c r="X1584" i="8" s="1"/>
  <c r="Y1584" i="8" s="1"/>
  <c r="W1115" i="8"/>
  <c r="X1115" i="8" s="1"/>
  <c r="Y1115" i="8" s="1"/>
  <c r="W3033" i="8"/>
  <c r="X3033" i="8" s="1"/>
  <c r="Y3033" i="8" s="1"/>
  <c r="W237" i="8"/>
  <c r="X237" i="8" s="1"/>
  <c r="Y237" i="8" s="1"/>
  <c r="W2378" i="8"/>
  <c r="X2378" i="8" s="1"/>
  <c r="Y2378" i="8" s="1"/>
  <c r="W392" i="8"/>
  <c r="X392" i="8" s="1"/>
  <c r="Y392" i="8" s="1"/>
  <c r="W2770" i="8"/>
  <c r="X2770" i="8" s="1"/>
  <c r="Y2770" i="8" s="1"/>
  <c r="W1866" i="8"/>
  <c r="X1866" i="8" s="1"/>
  <c r="Y1866" i="8" s="1"/>
  <c r="W1017" i="8"/>
  <c r="X1017" i="8" s="1"/>
  <c r="Y1017" i="8" s="1"/>
  <c r="W352" i="8"/>
  <c r="X352" i="8" s="1"/>
  <c r="Y352" i="8" s="1"/>
  <c r="W718" i="8"/>
  <c r="X718" i="8" s="1"/>
  <c r="Y718" i="8" s="1"/>
  <c r="W2654" i="8"/>
  <c r="X2654" i="8" s="1"/>
  <c r="Y2654" i="8" s="1"/>
  <c r="W861" i="8"/>
  <c r="X861" i="8" s="1"/>
  <c r="Y861" i="8" s="1"/>
  <c r="W2467" i="8"/>
  <c r="X2467" i="8" s="1"/>
  <c r="Y2467" i="8" s="1"/>
  <c r="W1894" i="8"/>
  <c r="X1894" i="8" s="1"/>
  <c r="Y1894" i="8" s="1"/>
  <c r="W6" i="8"/>
  <c r="X6" i="8" s="1"/>
  <c r="Y6" i="8" s="1"/>
  <c r="W659" i="8"/>
  <c r="X659" i="8" s="1"/>
  <c r="Y659" i="8" s="1"/>
  <c r="W81" i="8"/>
  <c r="X81" i="8" s="1"/>
  <c r="Y81" i="8" s="1"/>
  <c r="W2024" i="8"/>
  <c r="X2024" i="8" s="1"/>
  <c r="Y2024" i="8" s="1"/>
  <c r="W737" i="8"/>
  <c r="X737" i="8" s="1"/>
  <c r="Y737" i="8" s="1"/>
  <c r="W1621" i="8"/>
  <c r="X1621" i="8" s="1"/>
  <c r="Y1621" i="8" s="1"/>
  <c r="W2927" i="8"/>
  <c r="X2927" i="8" s="1"/>
  <c r="Y2927" i="8" s="1"/>
  <c r="W278" i="8"/>
  <c r="X278" i="8" s="1"/>
  <c r="Y278" i="8" s="1"/>
  <c r="W1361" i="8"/>
  <c r="X1361" i="8" s="1"/>
  <c r="Y1361" i="8" s="1"/>
  <c r="W60" i="8"/>
  <c r="X60" i="8" s="1"/>
  <c r="Y60" i="8" s="1"/>
  <c r="W865" i="8"/>
  <c r="X865" i="8" s="1"/>
  <c r="Y865" i="8" s="1"/>
  <c r="W608" i="8"/>
  <c r="X608" i="8" s="1"/>
  <c r="Y608" i="8" s="1"/>
  <c r="W670" i="8"/>
  <c r="X670" i="8" s="1"/>
  <c r="Y670" i="8" s="1"/>
  <c r="W1376" i="8"/>
  <c r="X1376" i="8" s="1"/>
  <c r="Y1376" i="8" s="1"/>
  <c r="W1037" i="8"/>
  <c r="X1037" i="8" s="1"/>
  <c r="Y1037" i="8" s="1"/>
  <c r="W229" i="8"/>
  <c r="X229" i="8" s="1"/>
  <c r="Y229" i="8" s="1"/>
  <c r="W1286" i="8"/>
  <c r="X1286" i="8" s="1"/>
  <c r="Y1286" i="8" s="1"/>
  <c r="W3036" i="8"/>
  <c r="X3036" i="8" s="1"/>
  <c r="Y3036" i="8" s="1"/>
  <c r="W1708" i="8"/>
  <c r="X1708" i="8" s="1"/>
  <c r="Y1708" i="8" s="1"/>
  <c r="W677" i="8"/>
  <c r="X677" i="8" s="1"/>
  <c r="Y677" i="8" s="1"/>
  <c r="W1802" i="8"/>
  <c r="X1802" i="8" s="1"/>
  <c r="Y1802" i="8" s="1"/>
  <c r="W184" i="8"/>
  <c r="X184" i="8" s="1"/>
  <c r="Y184" i="8" s="1"/>
  <c r="W557" i="8"/>
  <c r="X557" i="8" s="1"/>
  <c r="Y557" i="8" s="1"/>
  <c r="W912" i="8"/>
  <c r="X912" i="8" s="1"/>
  <c r="Y912" i="8" s="1"/>
  <c r="W2885" i="8"/>
  <c r="X2885" i="8" s="1"/>
  <c r="Y2885" i="8" s="1"/>
  <c r="W332" i="8"/>
  <c r="X332" i="8" s="1"/>
  <c r="Y332" i="8" s="1"/>
  <c r="W2956" i="8"/>
  <c r="X2956" i="8" s="1"/>
  <c r="Y2956" i="8" s="1"/>
  <c r="W1234" i="8"/>
  <c r="X1234" i="8" s="1"/>
  <c r="Y1234" i="8" s="1"/>
  <c r="W159" i="8"/>
  <c r="X159" i="8" s="1"/>
  <c r="Y159" i="8" s="1"/>
  <c r="W1024" i="8"/>
  <c r="X1024" i="8" s="1"/>
  <c r="Y1024" i="8" s="1"/>
  <c r="W1626" i="8"/>
  <c r="X1626" i="8" s="1"/>
  <c r="Y1626" i="8" s="1"/>
  <c r="W934" i="8"/>
  <c r="X934" i="8" s="1"/>
  <c r="Y934" i="8" s="1"/>
  <c r="W1823" i="8"/>
  <c r="X1823" i="8" s="1"/>
  <c r="Y1823" i="8" s="1"/>
  <c r="W2353" i="8"/>
  <c r="X2353" i="8" s="1"/>
  <c r="Y2353" i="8" s="1"/>
  <c r="W189" i="8"/>
  <c r="X189" i="8" s="1"/>
  <c r="Y189" i="8" s="1"/>
  <c r="W1601" i="8"/>
  <c r="X1601" i="8" s="1"/>
  <c r="Y1601" i="8" s="1"/>
  <c r="W345" i="8"/>
  <c r="X345" i="8" s="1"/>
  <c r="Y345" i="8" s="1"/>
  <c r="W954" i="8"/>
  <c r="X954" i="8" s="1"/>
  <c r="Y954" i="8" s="1"/>
  <c r="W2474" i="8"/>
  <c r="X2474" i="8" s="1"/>
  <c r="Y2474" i="8" s="1"/>
  <c r="W408" i="8"/>
  <c r="X408" i="8" s="1"/>
  <c r="Y408" i="8" s="1"/>
  <c r="W908" i="8"/>
  <c r="X908" i="8" s="1"/>
  <c r="Y908" i="8" s="1"/>
  <c r="W699" i="8"/>
  <c r="X699" i="8" s="1"/>
  <c r="Y699" i="8" s="1"/>
  <c r="W700" i="8"/>
  <c r="X700" i="8" s="1"/>
  <c r="Y700" i="8" s="1"/>
  <c r="W1631" i="8"/>
  <c r="X1631" i="8" s="1"/>
  <c r="Y1631" i="8" s="1"/>
  <c r="W702" i="8"/>
  <c r="X702" i="8" s="1"/>
  <c r="Y702" i="8" s="1"/>
  <c r="W124" i="8"/>
  <c r="X124" i="8" s="1"/>
  <c r="Y124" i="8" s="1"/>
  <c r="W1191" i="8"/>
  <c r="X1191" i="8" s="1"/>
  <c r="Y1191" i="8" s="1"/>
  <c r="W2575" i="8"/>
  <c r="X2575" i="8" s="1"/>
  <c r="Y2575" i="8" s="1"/>
  <c r="W2164" i="8"/>
  <c r="X2164" i="8" s="1"/>
  <c r="Y2164" i="8" s="1"/>
  <c r="W947" i="8"/>
  <c r="X947" i="8" s="1"/>
  <c r="Y947" i="8" s="1"/>
  <c r="W918" i="8"/>
  <c r="X918" i="8" s="1"/>
  <c r="Y918" i="8" s="1"/>
  <c r="W2836" i="8"/>
  <c r="X2836" i="8" s="1"/>
  <c r="Y2836" i="8" s="1"/>
  <c r="W1362" i="8"/>
  <c r="X1362" i="8" s="1"/>
  <c r="Y1362" i="8" s="1"/>
  <c r="W2174" i="8"/>
  <c r="X2174" i="8" s="1"/>
  <c r="Y2174" i="8" s="1"/>
  <c r="W1241" i="8"/>
  <c r="X1241" i="8" s="1"/>
  <c r="Y1241" i="8" s="1"/>
  <c r="W1015" i="8"/>
  <c r="X1015" i="8" s="1"/>
  <c r="Y1015" i="8" s="1"/>
  <c r="W714" i="8"/>
  <c r="X714" i="8" s="1"/>
  <c r="Y714" i="8" s="1"/>
  <c r="W398" i="8"/>
  <c r="X398" i="8" s="1"/>
  <c r="Y398" i="8" s="1"/>
  <c r="W480" i="8"/>
  <c r="X480" i="8" s="1"/>
  <c r="Y480" i="8" s="1"/>
  <c r="W2587" i="8"/>
  <c r="X2587" i="8" s="1"/>
  <c r="Y2587" i="8" s="1"/>
  <c r="W2759" i="8"/>
  <c r="X2759" i="8" s="1"/>
  <c r="Y2759" i="8" s="1"/>
  <c r="W719" i="8"/>
  <c r="X719" i="8" s="1"/>
  <c r="Y719" i="8" s="1"/>
  <c r="W720" i="8"/>
  <c r="X720" i="8" s="1"/>
  <c r="Y720" i="8" s="1"/>
  <c r="W412" i="8"/>
  <c r="X412" i="8" s="1"/>
  <c r="Y412" i="8" s="1"/>
  <c r="W997" i="8"/>
  <c r="X997" i="8" s="1"/>
  <c r="Y997" i="8" s="1"/>
  <c r="W723" i="8"/>
  <c r="X723" i="8" s="1"/>
  <c r="Y723" i="8" s="1"/>
  <c r="W2404" i="8"/>
  <c r="X2404" i="8" s="1"/>
  <c r="Y2404" i="8" s="1"/>
  <c r="W2535" i="8"/>
  <c r="X2535" i="8" s="1"/>
  <c r="Y2535" i="8" s="1"/>
  <c r="W726" i="8"/>
  <c r="X726" i="8" s="1"/>
  <c r="Y726" i="8" s="1"/>
  <c r="W673" i="8"/>
  <c r="X673" i="8" s="1"/>
  <c r="Y673" i="8" s="1"/>
  <c r="W1792" i="8"/>
  <c r="X1792" i="8" s="1"/>
  <c r="Y1792" i="8" s="1"/>
  <c r="W729" i="8"/>
  <c r="X729" i="8" s="1"/>
  <c r="Y729" i="8" s="1"/>
  <c r="W66" i="8"/>
  <c r="X66" i="8" s="1"/>
  <c r="Y66" i="8" s="1"/>
  <c r="W603" i="8"/>
  <c r="X603" i="8" s="1"/>
  <c r="Y603" i="8" s="1"/>
  <c r="W256" i="8"/>
  <c r="X256" i="8" s="1"/>
  <c r="Y256" i="8" s="1"/>
  <c r="W733" i="8"/>
  <c r="X733" i="8" s="1"/>
  <c r="Y733" i="8" s="1"/>
  <c r="W588" i="8"/>
  <c r="X588" i="8" s="1"/>
  <c r="Y588" i="8" s="1"/>
  <c r="W1487" i="8"/>
  <c r="X1487" i="8" s="1"/>
  <c r="Y1487" i="8" s="1"/>
  <c r="W29" i="8"/>
  <c r="X29" i="8" s="1"/>
  <c r="Y29" i="8" s="1"/>
  <c r="W1762" i="8"/>
  <c r="X1762" i="8" s="1"/>
  <c r="Y1762" i="8" s="1"/>
  <c r="W738" i="8"/>
  <c r="X738" i="8" s="1"/>
  <c r="Y738" i="8" s="1"/>
  <c r="W1589" i="8"/>
  <c r="X1589" i="8" s="1"/>
  <c r="Y1589" i="8" s="1"/>
  <c r="W199" i="8"/>
  <c r="X199" i="8" s="1"/>
  <c r="Y199" i="8" s="1"/>
  <c r="W679" i="8"/>
  <c r="X679" i="8" s="1"/>
  <c r="Y679" i="8" s="1"/>
  <c r="W179" i="8"/>
  <c r="X179" i="8" s="1"/>
  <c r="Y179" i="8" s="1"/>
  <c r="W743" i="8"/>
  <c r="X743" i="8" s="1"/>
  <c r="Y743" i="8" s="1"/>
  <c r="W238" i="8"/>
  <c r="X238" i="8" s="1"/>
  <c r="Y238" i="8" s="1"/>
  <c r="W1497" i="8"/>
  <c r="X1497" i="8" s="1"/>
  <c r="Y1497" i="8" s="1"/>
  <c r="W2989" i="8"/>
  <c r="X2989" i="8" s="1"/>
  <c r="Y2989" i="8" s="1"/>
  <c r="W476" i="8"/>
  <c r="X476" i="8" s="1"/>
  <c r="Y476" i="8" s="1"/>
  <c r="W111" i="8"/>
  <c r="X111" i="8" s="1"/>
  <c r="Y111" i="8" s="1"/>
  <c r="W1057" i="8"/>
  <c r="X1057" i="8" s="1"/>
  <c r="Y1057" i="8" s="1"/>
  <c r="W750" i="8"/>
  <c r="X750" i="8" s="1"/>
  <c r="Y750" i="8" s="1"/>
  <c r="W751" i="8"/>
  <c r="X751" i="8" s="1"/>
  <c r="Y751" i="8" s="1"/>
  <c r="W446" i="8"/>
  <c r="X446" i="8" s="1"/>
  <c r="Y446" i="8" s="1"/>
  <c r="W690" i="8"/>
  <c r="X690" i="8" s="1"/>
  <c r="Y690" i="8" s="1"/>
  <c r="W110" i="8"/>
  <c r="X110" i="8" s="1"/>
  <c r="Y110" i="8" s="1"/>
  <c r="W177" i="8"/>
  <c r="X177" i="8" s="1"/>
  <c r="Y177" i="8" s="1"/>
  <c r="W22" i="8"/>
  <c r="X22" i="8" s="1"/>
  <c r="Y22" i="8" s="1"/>
  <c r="W757" i="8"/>
  <c r="X757" i="8" s="1"/>
  <c r="Y757" i="8" s="1"/>
  <c r="W232" i="8"/>
  <c r="X232" i="8" s="1"/>
  <c r="Y232" i="8" s="1"/>
  <c r="W870" i="8"/>
  <c r="X870" i="8" s="1"/>
  <c r="Y870" i="8" s="1"/>
  <c r="W435" i="8"/>
  <c r="X435" i="8" s="1"/>
  <c r="Y435" i="8" s="1"/>
  <c r="W178" i="8"/>
  <c r="X178" i="8" s="1"/>
  <c r="Y178" i="8" s="1"/>
  <c r="W310" i="8"/>
  <c r="X310" i="8" s="1"/>
  <c r="Y310" i="8" s="1"/>
  <c r="W945" i="8"/>
  <c r="X945" i="8" s="1"/>
  <c r="Y945" i="8" s="1"/>
  <c r="W971" i="8"/>
  <c r="X971" i="8" s="1"/>
  <c r="Y971" i="8" s="1"/>
  <c r="W765" i="8"/>
  <c r="X765" i="8" s="1"/>
  <c r="Y765" i="8" s="1"/>
  <c r="W2267" i="8"/>
  <c r="X2267" i="8" s="1"/>
  <c r="Y2267" i="8" s="1"/>
  <c r="W193" i="8"/>
  <c r="X193" i="8" s="1"/>
  <c r="Y193" i="8" s="1"/>
  <c r="W62" i="8"/>
  <c r="X62" i="8" s="1"/>
  <c r="Y62" i="8" s="1"/>
  <c r="W2197" i="8"/>
  <c r="X2197" i="8" s="1"/>
  <c r="Y2197" i="8" s="1"/>
  <c r="W782" i="8"/>
  <c r="X782" i="8" s="1"/>
  <c r="Y782" i="8" s="1"/>
  <c r="W2080" i="8"/>
  <c r="X2080" i="8" s="1"/>
  <c r="Y2080" i="8" s="1"/>
  <c r="W525" i="8"/>
  <c r="X525" i="8" s="1"/>
  <c r="Y525" i="8" s="1"/>
  <c r="W1843" i="8"/>
  <c r="X1843" i="8" s="1"/>
  <c r="Y1843" i="8" s="1"/>
  <c r="W2046" i="8"/>
  <c r="X2046" i="8" s="1"/>
  <c r="Y2046" i="8" s="1"/>
  <c r="W326" i="8"/>
  <c r="X326" i="8" s="1"/>
  <c r="Y326" i="8" s="1"/>
  <c r="W2947" i="8"/>
  <c r="X2947" i="8" s="1"/>
  <c r="Y2947" i="8" s="1"/>
  <c r="W2511" i="8"/>
  <c r="X2511" i="8" s="1"/>
  <c r="Y2511" i="8" s="1"/>
  <c r="W778" i="8"/>
  <c r="X778" i="8" s="1"/>
  <c r="Y778" i="8" s="1"/>
  <c r="W330" i="8"/>
  <c r="X330" i="8" s="1"/>
  <c r="Y330" i="8" s="1"/>
  <c r="W1508" i="8"/>
  <c r="X1508" i="8" s="1"/>
  <c r="Y1508" i="8" s="1"/>
  <c r="W2401" i="8"/>
  <c r="X2401" i="8" s="1"/>
  <c r="Y2401" i="8" s="1"/>
  <c r="W2711" i="8"/>
  <c r="X2711" i="8" s="1"/>
  <c r="Y2711" i="8" s="1"/>
  <c r="W570" i="8"/>
  <c r="X570" i="8" s="1"/>
  <c r="Y570" i="8" s="1"/>
  <c r="W1733" i="8"/>
  <c r="X1733" i="8" s="1"/>
  <c r="Y1733" i="8" s="1"/>
  <c r="W785" i="8"/>
  <c r="X785" i="8" s="1"/>
  <c r="Y785" i="8" s="1"/>
  <c r="W2124" i="8"/>
  <c r="X2124" i="8" s="1"/>
  <c r="Y2124" i="8" s="1"/>
  <c r="W1913" i="8"/>
  <c r="X1913" i="8" s="1"/>
  <c r="Y1913" i="8" s="1"/>
  <c r="W797" i="8"/>
  <c r="X797" i="8" s="1"/>
  <c r="Y797" i="8" s="1"/>
  <c r="W652" i="8"/>
  <c r="X652" i="8" s="1"/>
  <c r="Y652" i="8" s="1"/>
  <c r="W582" i="8"/>
  <c r="X582" i="8" s="1"/>
  <c r="Y582" i="8" s="1"/>
  <c r="W791" i="8"/>
  <c r="X791" i="8" s="1"/>
  <c r="Y791" i="8" s="1"/>
  <c r="W792" i="8"/>
  <c r="X792" i="8" s="1"/>
  <c r="Y792" i="8" s="1"/>
  <c r="W1365" i="8"/>
  <c r="X1365" i="8" s="1"/>
  <c r="Y1365" i="8" s="1"/>
  <c r="W591" i="8"/>
  <c r="X591" i="8" s="1"/>
  <c r="Y591" i="8" s="1"/>
  <c r="W795" i="8"/>
  <c r="X795" i="8" s="1"/>
  <c r="Y795" i="8" s="1"/>
  <c r="W932" i="8"/>
  <c r="X932" i="8" s="1"/>
  <c r="Y932" i="8" s="1"/>
  <c r="W2290" i="8"/>
  <c r="X2290" i="8" s="1"/>
  <c r="Y2290" i="8" s="1"/>
  <c r="W308" i="8"/>
  <c r="X308" i="8" s="1"/>
  <c r="Y308" i="8" s="1"/>
  <c r="W143" i="8"/>
  <c r="X143" i="8" s="1"/>
  <c r="Y143" i="8" s="1"/>
  <c r="W800" i="8"/>
  <c r="X800" i="8" s="1"/>
  <c r="Y800" i="8" s="1"/>
  <c r="W801" i="8"/>
  <c r="X801" i="8" s="1"/>
  <c r="Y801" i="8" s="1"/>
  <c r="W802" i="8"/>
  <c r="X802" i="8" s="1"/>
  <c r="Y802" i="8" s="1"/>
  <c r="W1877" i="8"/>
  <c r="X1877" i="8" s="1"/>
  <c r="Y1877" i="8" s="1"/>
  <c r="W2790" i="8"/>
  <c r="X2790" i="8" s="1"/>
  <c r="Y2790" i="8" s="1"/>
  <c r="W1516" i="8"/>
  <c r="X1516" i="8" s="1"/>
  <c r="Y1516" i="8" s="1"/>
  <c r="W806" i="8"/>
  <c r="X806" i="8" s="1"/>
  <c r="Y806" i="8" s="1"/>
  <c r="W2971" i="8"/>
  <c r="X2971" i="8" s="1"/>
  <c r="Y2971" i="8" s="1"/>
  <c r="W808" i="8"/>
  <c r="X808" i="8" s="1"/>
  <c r="Y808" i="8" s="1"/>
  <c r="W2314" i="8"/>
  <c r="X2314" i="8" s="1"/>
  <c r="Y2314" i="8" s="1"/>
  <c r="W810" i="8"/>
  <c r="X810" i="8" s="1"/>
  <c r="Y810" i="8" s="1"/>
  <c r="W1000" i="8"/>
  <c r="X1000" i="8" s="1"/>
  <c r="Y1000" i="8" s="1"/>
  <c r="W3023" i="8"/>
  <c r="X3023" i="8" s="1"/>
  <c r="Y3023" i="8" s="1"/>
  <c r="W2748" i="8"/>
  <c r="X2748" i="8" s="1"/>
  <c r="Y2748" i="8" s="1"/>
  <c r="W2016" i="8"/>
  <c r="X2016" i="8" s="1"/>
  <c r="Y2016" i="8" s="1"/>
  <c r="W328" i="8"/>
  <c r="X328" i="8" s="1"/>
  <c r="Y328" i="8" s="1"/>
  <c r="W196" i="8"/>
  <c r="X196" i="8" s="1"/>
  <c r="Y196" i="8" s="1"/>
  <c r="W526" i="8"/>
  <c r="X526" i="8" s="1"/>
  <c r="Y526" i="8" s="1"/>
  <c r="W2208" i="8"/>
  <c r="X2208" i="8" s="1"/>
  <c r="Y2208" i="8" s="1"/>
  <c r="W2700" i="8"/>
  <c r="X2700" i="8" s="1"/>
  <c r="Y2700" i="8" s="1"/>
  <c r="W667" i="8"/>
  <c r="X667" i="8" s="1"/>
  <c r="Y667" i="8" s="1"/>
  <c r="W205" i="8"/>
  <c r="X205" i="8" s="1"/>
  <c r="Y205" i="8" s="1"/>
  <c r="W2983" i="8"/>
  <c r="X2983" i="8" s="1"/>
  <c r="Y2983" i="8" s="1"/>
  <c r="W823" i="8"/>
  <c r="X823" i="8" s="1"/>
  <c r="Y823" i="8" s="1"/>
  <c r="W824" i="8"/>
  <c r="X824" i="8" s="1"/>
  <c r="Y824" i="8" s="1"/>
  <c r="W1917" i="8"/>
  <c r="X1917" i="8" s="1"/>
  <c r="Y1917" i="8" s="1"/>
  <c r="W1084" i="8"/>
  <c r="X1084" i="8" s="1"/>
  <c r="Y1084" i="8" s="1"/>
  <c r="W827" i="8"/>
  <c r="X827" i="8" s="1"/>
  <c r="Y827" i="8" s="1"/>
  <c r="W1921" i="8"/>
  <c r="X1921" i="8" s="1"/>
  <c r="Y1921" i="8" s="1"/>
  <c r="W829" i="8"/>
  <c r="X829" i="8" s="1"/>
  <c r="Y829" i="8" s="1"/>
  <c r="W462" i="8"/>
  <c r="X462" i="8" s="1"/>
  <c r="Y462" i="8" s="1"/>
  <c r="W831" i="8"/>
  <c r="X831" i="8" s="1"/>
  <c r="Y831" i="8" s="1"/>
  <c r="W2810" i="8"/>
  <c r="X2810" i="8" s="1"/>
  <c r="Y2810" i="8" s="1"/>
  <c r="W1287" i="8"/>
  <c r="X1287" i="8" s="1"/>
  <c r="Y1287" i="8" s="1"/>
  <c r="W1007" i="8"/>
  <c r="X1007" i="8" s="1"/>
  <c r="Y1007" i="8" s="1"/>
  <c r="W1882" i="8"/>
  <c r="X1882" i="8" s="1"/>
  <c r="Y1882" i="8" s="1"/>
  <c r="W836" i="8"/>
  <c r="X836" i="8" s="1"/>
  <c r="Y836" i="8" s="1"/>
  <c r="W457" i="8"/>
  <c r="X457" i="8" s="1"/>
  <c r="Y457" i="8" s="1"/>
  <c r="W838" i="8"/>
  <c r="X838" i="8" s="1"/>
  <c r="Y838" i="8" s="1"/>
  <c r="W2118" i="8"/>
  <c r="X2118" i="8" s="1"/>
  <c r="Y2118" i="8" s="1"/>
  <c r="W2923" i="8"/>
  <c r="X2923" i="8" s="1"/>
  <c r="Y2923" i="8" s="1"/>
  <c r="W841" i="8"/>
  <c r="X841" i="8" s="1"/>
  <c r="Y841" i="8" s="1"/>
  <c r="W996" i="8"/>
  <c r="X996" i="8" s="1"/>
  <c r="Y996" i="8" s="1"/>
  <c r="W449" i="8"/>
  <c r="X449" i="8" s="1"/>
  <c r="Y449" i="8" s="1"/>
  <c r="W497" i="8"/>
  <c r="X497" i="8" s="1"/>
  <c r="Y497" i="8" s="1"/>
  <c r="W845" i="8"/>
  <c r="X845" i="8" s="1"/>
  <c r="Y845" i="8" s="1"/>
  <c r="W235" i="8"/>
  <c r="X235" i="8" s="1"/>
  <c r="Y235" i="8" s="1"/>
  <c r="W847" i="8"/>
  <c r="X847" i="8" s="1"/>
  <c r="Y847" i="8" s="1"/>
  <c r="W1624" i="8"/>
  <c r="X1624" i="8" s="1"/>
  <c r="Y1624" i="8" s="1"/>
  <c r="W1707" i="8"/>
  <c r="X1707" i="8" s="1"/>
  <c r="Y1707" i="8" s="1"/>
  <c r="W348" i="8"/>
  <c r="X348" i="8" s="1"/>
  <c r="Y348" i="8" s="1"/>
  <c r="W1353" i="8"/>
  <c r="X1353" i="8" s="1"/>
  <c r="Y1353" i="8" s="1"/>
  <c r="W1139" i="8"/>
  <c r="X1139" i="8" s="1"/>
  <c r="Y1139" i="8" s="1"/>
  <c r="W853" i="8"/>
  <c r="X853" i="8" s="1"/>
  <c r="Y853" i="8" s="1"/>
  <c r="W208" i="8"/>
  <c r="X208" i="8" s="1"/>
  <c r="Y208" i="8" s="1"/>
  <c r="W301" i="8"/>
  <c r="X301" i="8" s="1"/>
  <c r="Y301" i="8" s="1"/>
  <c r="W2426" i="8"/>
  <c r="X2426" i="8" s="1"/>
  <c r="Y2426" i="8" s="1"/>
  <c r="W857" i="8"/>
  <c r="X857" i="8" s="1"/>
  <c r="Y857" i="8" s="1"/>
  <c r="W1112" i="8"/>
  <c r="X1112" i="8" s="1"/>
  <c r="Y1112" i="8" s="1"/>
  <c r="W2627" i="8"/>
  <c r="X2627" i="8" s="1"/>
  <c r="Y2627" i="8" s="1"/>
  <c r="W956" i="8"/>
  <c r="X956" i="8" s="1"/>
  <c r="Y956" i="8" s="1"/>
  <c r="W164" i="8"/>
  <c r="X164" i="8" s="1"/>
  <c r="Y164" i="8" s="1"/>
  <c r="W1016" i="8"/>
  <c r="X1016" i="8" s="1"/>
  <c r="Y1016" i="8" s="1"/>
  <c r="W732" i="8"/>
  <c r="X732" i="8" s="1"/>
  <c r="Y732" i="8" s="1"/>
  <c r="W1407" i="8"/>
  <c r="X1407" i="8" s="1"/>
  <c r="Y1407" i="8" s="1"/>
  <c r="W937" i="8"/>
  <c r="X937" i="8" s="1"/>
  <c r="Y937" i="8" s="1"/>
  <c r="W2096" i="8"/>
  <c r="X2096" i="8" s="1"/>
  <c r="Y2096" i="8" s="1"/>
  <c r="W371" i="8"/>
  <c r="X371" i="8" s="1"/>
  <c r="Y371" i="8" s="1"/>
  <c r="W868" i="8"/>
  <c r="X868" i="8" s="1"/>
  <c r="Y868" i="8" s="1"/>
  <c r="W2360" i="8"/>
  <c r="X2360" i="8" s="1"/>
  <c r="Y2360" i="8" s="1"/>
  <c r="W902" i="8"/>
  <c r="X902" i="8" s="1"/>
  <c r="Y902" i="8" s="1"/>
  <c r="W245" i="8"/>
  <c r="X245" i="8" s="1"/>
  <c r="Y245" i="8" s="1"/>
  <c r="W3032" i="8"/>
  <c r="X3032" i="8" s="1"/>
  <c r="Y3032" i="8" s="1"/>
  <c r="W227" i="8"/>
  <c r="X227" i="8" s="1"/>
  <c r="Y227" i="8" s="1"/>
  <c r="W592" i="8"/>
  <c r="X592" i="8" s="1"/>
  <c r="Y592" i="8" s="1"/>
  <c r="W548" i="8"/>
  <c r="X548" i="8" s="1"/>
  <c r="Y548" i="8" s="1"/>
  <c r="W167" i="8"/>
  <c r="X167" i="8" s="1"/>
  <c r="Y167" i="8" s="1"/>
  <c r="W1269" i="8"/>
  <c r="X1269" i="8" s="1"/>
  <c r="Y1269" i="8" s="1"/>
  <c r="W2844" i="8"/>
  <c r="X2844" i="8" s="1"/>
  <c r="Y2844" i="8" s="1"/>
  <c r="W2510" i="8"/>
  <c r="X2510" i="8" s="1"/>
  <c r="Y2510" i="8" s="1"/>
  <c r="W1702" i="8"/>
  <c r="X1702" i="8" s="1"/>
  <c r="Y1702" i="8" s="1"/>
  <c r="W1002" i="8"/>
  <c r="X1002" i="8" s="1"/>
  <c r="Y1002" i="8" s="1"/>
  <c r="W2840" i="8"/>
  <c r="X2840" i="8" s="1"/>
  <c r="Y2840" i="8" s="1"/>
  <c r="W2318" i="8"/>
  <c r="X2318" i="8" s="1"/>
  <c r="Y2318" i="8" s="1"/>
  <c r="W602" i="8"/>
  <c r="X602" i="8" s="1"/>
  <c r="Y602" i="8" s="1"/>
  <c r="W2054" i="8"/>
  <c r="X2054" i="8" s="1"/>
  <c r="Y2054" i="8" s="1"/>
  <c r="W225" i="8"/>
  <c r="X225" i="8" s="1"/>
  <c r="Y225" i="8" s="1"/>
  <c r="W887" i="8"/>
  <c r="X887" i="8" s="1"/>
  <c r="Y887" i="8" s="1"/>
  <c r="W2905" i="8"/>
  <c r="X2905" i="8" s="1"/>
  <c r="Y2905" i="8" s="1"/>
  <c r="W1141" i="8"/>
  <c r="X1141" i="8" s="1"/>
  <c r="Y1141" i="8" s="1"/>
  <c r="W722" i="8"/>
  <c r="X722" i="8" s="1"/>
  <c r="Y722" i="8" s="1"/>
  <c r="W704" i="8"/>
  <c r="X704" i="8" s="1"/>
  <c r="Y704" i="8" s="1"/>
  <c r="W37" i="8"/>
  <c r="X37" i="8" s="1"/>
  <c r="Y37" i="8" s="1"/>
  <c r="W2079" i="8"/>
  <c r="X2079" i="8" s="1"/>
  <c r="Y2079" i="8" s="1"/>
  <c r="W1760" i="8"/>
  <c r="X1760" i="8" s="1"/>
  <c r="Y1760" i="8" s="1"/>
  <c r="W451" i="8"/>
  <c r="X451" i="8" s="1"/>
  <c r="Y451" i="8" s="1"/>
  <c r="W896" i="8"/>
  <c r="X896" i="8" s="1"/>
  <c r="Y896" i="8" s="1"/>
  <c r="W3016" i="8"/>
  <c r="X3016" i="8" s="1"/>
  <c r="Y3016" i="8" s="1"/>
  <c r="W2301" i="8"/>
  <c r="X2301" i="8" s="1"/>
  <c r="Y2301" i="8" s="1"/>
  <c r="W1868" i="8"/>
  <c r="X1868" i="8" s="1"/>
  <c r="Y1868" i="8" s="1"/>
  <c r="W2195" i="8"/>
  <c r="X2195" i="8" s="1"/>
  <c r="Y2195" i="8" s="1"/>
  <c r="W901" i="8"/>
  <c r="X901" i="8" s="1"/>
  <c r="Y901" i="8" s="1"/>
  <c r="W2372" i="8"/>
  <c r="X2372" i="8" s="1"/>
  <c r="Y2372" i="8" s="1"/>
  <c r="W903" i="8"/>
  <c r="X903" i="8" s="1"/>
  <c r="Y903" i="8" s="1"/>
  <c r="W852" i="8"/>
  <c r="X852" i="8" s="1"/>
  <c r="Y852" i="8" s="1"/>
  <c r="W905" i="8"/>
  <c r="X905" i="8" s="1"/>
  <c r="Y905" i="8" s="1"/>
  <c r="W830" i="8"/>
  <c r="X830" i="8" s="1"/>
  <c r="Y830" i="8" s="1"/>
  <c r="W2486" i="8"/>
  <c r="X2486" i="8" s="1"/>
  <c r="Y2486" i="8" s="1"/>
  <c r="W983" i="8"/>
  <c r="X983" i="8" s="1"/>
  <c r="Y983" i="8" s="1"/>
  <c r="W909" i="8"/>
  <c r="X909" i="8" s="1"/>
  <c r="Y909" i="8" s="1"/>
  <c r="W721" i="8"/>
  <c r="X721" i="8" s="1"/>
  <c r="Y721" i="8" s="1"/>
  <c r="W216" i="8"/>
  <c r="X216" i="8" s="1"/>
  <c r="Y216" i="8" s="1"/>
  <c r="W2207" i="8"/>
  <c r="X2207" i="8" s="1"/>
  <c r="Y2207" i="8" s="1"/>
  <c r="W913" i="8"/>
  <c r="X913" i="8" s="1"/>
  <c r="Y913" i="8" s="1"/>
  <c r="W629" i="8"/>
  <c r="X629" i="8" s="1"/>
  <c r="Y629" i="8" s="1"/>
  <c r="W560" i="8"/>
  <c r="X560" i="8" s="1"/>
  <c r="Y560" i="8" s="1"/>
  <c r="W532" i="8"/>
  <c r="X532" i="8" s="1"/>
  <c r="Y532" i="8" s="1"/>
  <c r="W534" i="8"/>
  <c r="X534" i="8" s="1"/>
  <c r="Y534" i="8" s="1"/>
  <c r="W2981" i="8"/>
  <c r="X2981" i="8" s="1"/>
  <c r="Y2981" i="8" s="1"/>
  <c r="W660" i="8"/>
  <c r="X660" i="8" s="1"/>
  <c r="Y660" i="8" s="1"/>
  <c r="W1839" i="8"/>
  <c r="X1839" i="8" s="1"/>
  <c r="Y1839" i="8" s="1"/>
  <c r="W1127" i="8"/>
  <c r="X1127" i="8" s="1"/>
  <c r="Y1127" i="8" s="1"/>
  <c r="W389" i="8"/>
  <c r="X389" i="8" s="1"/>
  <c r="Y389" i="8" s="1"/>
  <c r="W1821" i="8"/>
  <c r="X1821" i="8" s="1"/>
  <c r="Y1821" i="8" s="1"/>
  <c r="W3055" i="8"/>
  <c r="X3055" i="8" s="1"/>
  <c r="Y3055" i="8" s="1"/>
  <c r="W2410" i="8"/>
  <c r="X2410" i="8" s="1"/>
  <c r="Y2410" i="8" s="1"/>
  <c r="W498" i="8"/>
  <c r="X498" i="8" s="1"/>
  <c r="Y498" i="8" s="1"/>
  <c r="W927" i="8"/>
  <c r="X927" i="8" s="1"/>
  <c r="Y927" i="8" s="1"/>
  <c r="W1471" i="8"/>
  <c r="X1471" i="8" s="1"/>
  <c r="Y1471" i="8" s="1"/>
  <c r="W2405" i="8"/>
  <c r="X2405" i="8" s="1"/>
  <c r="Y2405" i="8" s="1"/>
  <c r="W461" i="8"/>
  <c r="X461" i="8" s="1"/>
  <c r="Y461" i="8" s="1"/>
  <c r="W3034" i="8"/>
  <c r="X3034" i="8" s="1"/>
  <c r="Y3034" i="8" s="1"/>
  <c r="W241" i="8"/>
  <c r="X241" i="8" s="1"/>
  <c r="Y241" i="8" s="1"/>
  <c r="W1107" i="8"/>
  <c r="X1107" i="8" s="1"/>
  <c r="Y1107" i="8" s="1"/>
  <c r="W917" i="8"/>
  <c r="X917" i="8" s="1"/>
  <c r="Y917" i="8" s="1"/>
  <c r="W655" i="8"/>
  <c r="X655" i="8" s="1"/>
  <c r="Y655" i="8" s="1"/>
  <c r="W2180" i="8"/>
  <c r="X2180" i="8" s="1"/>
  <c r="Y2180" i="8" s="1"/>
  <c r="W1613" i="8"/>
  <c r="X1613" i="8" s="1"/>
  <c r="Y1613" i="8" s="1"/>
  <c r="W258" i="8"/>
  <c r="X258" i="8" s="1"/>
  <c r="Y258" i="8" s="1"/>
  <c r="W1105" i="8"/>
  <c r="X1105" i="8" s="1"/>
  <c r="Y1105" i="8" s="1"/>
  <c r="W2349" i="8"/>
  <c r="X2349" i="8" s="1"/>
  <c r="Y2349" i="8" s="1"/>
  <c r="W2147" i="8"/>
  <c r="X2147" i="8" s="1"/>
  <c r="Y2147" i="8" s="1"/>
  <c r="W656" i="8"/>
  <c r="X656" i="8" s="1"/>
  <c r="Y656" i="8" s="1"/>
  <c r="W2559" i="8"/>
  <c r="X2559" i="8" s="1"/>
  <c r="Y2559" i="8" s="1"/>
  <c r="W469" i="8"/>
  <c r="X469" i="8" s="1"/>
  <c r="Y469" i="8" s="1"/>
  <c r="W730" i="8"/>
  <c r="X730" i="8" s="1"/>
  <c r="Y730" i="8" s="1"/>
  <c r="W2394" i="8"/>
  <c r="X2394" i="8" s="1"/>
  <c r="Y2394" i="8" s="1"/>
  <c r="W351" i="8"/>
  <c r="X351" i="8" s="1"/>
  <c r="Y351" i="8" s="1"/>
  <c r="W598" i="8"/>
  <c r="X598" i="8" s="1"/>
  <c r="Y598" i="8" s="1"/>
  <c r="W2043" i="8"/>
  <c r="X2043" i="8" s="1"/>
  <c r="Y2043" i="8" s="1"/>
  <c r="W263" i="8"/>
  <c r="X263" i="8" s="1"/>
  <c r="Y263" i="8" s="1"/>
  <c r="W45" i="8"/>
  <c r="X45" i="8" s="1"/>
  <c r="Y45" i="8" s="1"/>
  <c r="W1111" i="8"/>
  <c r="X1111" i="8" s="1"/>
  <c r="Y1111" i="8" s="1"/>
  <c r="W336" i="8"/>
  <c r="X336" i="8" s="1"/>
  <c r="Y336" i="8" s="1"/>
  <c r="W281" i="8"/>
  <c r="X281" i="8" s="1"/>
  <c r="Y281" i="8" s="1"/>
  <c r="W955" i="8"/>
  <c r="X955" i="8" s="1"/>
  <c r="Y955" i="8" s="1"/>
  <c r="W854" i="8"/>
  <c r="X854" i="8" s="1"/>
  <c r="Y854" i="8" s="1"/>
  <c r="W522" i="8"/>
  <c r="X522" i="8" s="1"/>
  <c r="Y522" i="8" s="1"/>
  <c r="W2452" i="8"/>
  <c r="X2452" i="8" s="1"/>
  <c r="Y2452" i="8" s="1"/>
  <c r="W834" i="8"/>
  <c r="X834" i="8" s="1"/>
  <c r="Y834" i="8" s="1"/>
  <c r="W309" i="8"/>
  <c r="X309" i="8" s="1"/>
  <c r="Y309" i="8" s="1"/>
  <c r="W2280" i="8"/>
  <c r="X2280" i="8" s="1"/>
  <c r="Y2280" i="8" s="1"/>
  <c r="W2595" i="8"/>
  <c r="X2595" i="8" s="1"/>
  <c r="Y2595" i="8" s="1"/>
  <c r="W1998" i="8"/>
  <c r="X1998" i="8" s="1"/>
  <c r="Y1998" i="8" s="1"/>
  <c r="W991" i="8"/>
  <c r="X991" i="8" s="1"/>
  <c r="Y991" i="8" s="1"/>
  <c r="W2986" i="8"/>
  <c r="X2986" i="8" s="1"/>
  <c r="Y2986" i="8" s="1"/>
  <c r="W980" i="8"/>
  <c r="X980" i="8" s="1"/>
  <c r="Y980" i="8" s="1"/>
  <c r="W2496" i="8"/>
  <c r="X2496" i="8" s="1"/>
  <c r="Y2496" i="8" s="1"/>
  <c r="W1718" i="8"/>
  <c r="X1718" i="8" s="1"/>
  <c r="Y1718" i="8" s="1"/>
  <c r="W969" i="8"/>
  <c r="X969" i="8" s="1"/>
  <c r="Y969" i="8" s="1"/>
  <c r="W2231" i="8"/>
  <c r="X2231" i="8" s="1"/>
  <c r="Y2231" i="8" s="1"/>
  <c r="W2855" i="8"/>
  <c r="X2855" i="8" s="1"/>
  <c r="Y2855" i="8" s="1"/>
  <c r="W120" i="8"/>
  <c r="X120" i="8" s="1"/>
  <c r="Y120" i="8" s="1"/>
  <c r="W1088" i="8"/>
  <c r="X1088" i="8" s="1"/>
  <c r="Y1088" i="8" s="1"/>
  <c r="W1797" i="8"/>
  <c r="X1797" i="8" s="1"/>
  <c r="Y1797" i="8" s="1"/>
  <c r="W612" i="8"/>
  <c r="X612" i="8" s="1"/>
  <c r="Y612" i="8" s="1"/>
  <c r="W1700" i="8"/>
  <c r="X1700" i="8" s="1"/>
  <c r="Y1700" i="8" s="1"/>
  <c r="W2422" i="8"/>
  <c r="X2422" i="8" s="1"/>
  <c r="Y2422" i="8" s="1"/>
  <c r="W2421" i="8"/>
  <c r="X2421" i="8" s="1"/>
  <c r="Y2421" i="8" s="1"/>
  <c r="W589" i="8"/>
  <c r="X589" i="8" s="1"/>
  <c r="Y589" i="8" s="1"/>
  <c r="W2495" i="8"/>
  <c r="X2495" i="8" s="1"/>
  <c r="Y2495" i="8" s="1"/>
  <c r="W292" i="8"/>
  <c r="X292" i="8" s="1"/>
  <c r="Y292" i="8" s="1"/>
  <c r="W1654" i="8"/>
  <c r="X1654" i="8" s="1"/>
  <c r="Y1654" i="8" s="1"/>
  <c r="W2984" i="8"/>
  <c r="X2984" i="8" s="1"/>
  <c r="Y2984" i="8" s="1"/>
  <c r="W1281" i="8"/>
  <c r="X1281" i="8" s="1"/>
  <c r="Y1281" i="8" s="1"/>
  <c r="W1679" i="8"/>
  <c r="X1679" i="8" s="1"/>
  <c r="Y1679" i="8" s="1"/>
  <c r="W986" i="8"/>
  <c r="X986" i="8" s="1"/>
  <c r="Y986" i="8" s="1"/>
  <c r="W929" i="8"/>
  <c r="X929" i="8" s="1"/>
  <c r="Y929" i="8" s="1"/>
  <c r="W928" i="8"/>
  <c r="X928" i="8" s="1"/>
  <c r="Y928" i="8" s="1"/>
  <c r="W2127" i="8"/>
  <c r="X2127" i="8" s="1"/>
  <c r="Y2127" i="8" s="1"/>
  <c r="W2581" i="8"/>
  <c r="X2581" i="8" s="1"/>
  <c r="Y2581" i="8" s="1"/>
  <c r="W1852" i="8"/>
  <c r="X1852" i="8" s="1"/>
  <c r="Y1852" i="8" s="1"/>
  <c r="W2758" i="8"/>
  <c r="X2758" i="8" s="1"/>
  <c r="Y2758" i="8" s="1"/>
  <c r="W425" i="8"/>
  <c r="X425" i="8" s="1"/>
  <c r="Y425" i="8" s="1"/>
  <c r="W2481" i="8"/>
  <c r="X2481" i="8" s="1"/>
  <c r="Y2481" i="8" s="1"/>
  <c r="W989" i="8"/>
  <c r="X989" i="8" s="1"/>
  <c r="Y989" i="8" s="1"/>
  <c r="W998" i="8"/>
  <c r="X998" i="8" s="1"/>
  <c r="Y998" i="8" s="1"/>
  <c r="W403" i="8"/>
  <c r="X403" i="8" s="1"/>
  <c r="Y403" i="8" s="1"/>
  <c r="W1525" i="8"/>
  <c r="X1525" i="8" s="1"/>
  <c r="Y1525" i="8" s="1"/>
  <c r="W1093" i="8"/>
  <c r="X1093" i="8" s="1"/>
  <c r="Y1093" i="8" s="1"/>
  <c r="W2166" i="8"/>
  <c r="X2166" i="8" s="1"/>
  <c r="Y2166" i="8" s="1"/>
  <c r="W2006" i="8"/>
  <c r="X2006" i="8" s="1"/>
  <c r="Y2006" i="8" s="1"/>
  <c r="W1427" i="8"/>
  <c r="X1427" i="8" s="1"/>
  <c r="Y1427" i="8" s="1"/>
  <c r="W528" i="8"/>
  <c r="X528" i="8" s="1"/>
  <c r="Y528" i="8" s="1"/>
  <c r="W1426" i="8"/>
  <c r="X1426" i="8" s="1"/>
  <c r="Y1426" i="8" s="1"/>
  <c r="W1726" i="8"/>
  <c r="X1726" i="8" s="1"/>
  <c r="Y1726" i="8" s="1"/>
  <c r="W943" i="8"/>
  <c r="X943" i="8" s="1"/>
  <c r="Y943" i="8" s="1"/>
  <c r="W1698" i="8"/>
  <c r="X1698" i="8" s="1"/>
  <c r="Y1698" i="8" s="1"/>
  <c r="W3049" i="8"/>
  <c r="X3049" i="8" s="1"/>
  <c r="Y3049" i="8" s="1"/>
  <c r="W866" i="8"/>
  <c r="X866" i="8" s="1"/>
  <c r="Y866" i="8" s="1"/>
  <c r="W2146" i="8"/>
  <c r="X2146" i="8" s="1"/>
  <c r="Y2146" i="8" s="1"/>
  <c r="W1253" i="8"/>
  <c r="X1253" i="8" s="1"/>
  <c r="Y1253" i="8" s="1"/>
  <c r="W890" i="8"/>
  <c r="X890" i="8" s="1"/>
  <c r="Y890" i="8" s="1"/>
  <c r="W2358" i="8"/>
  <c r="X2358" i="8" s="1"/>
  <c r="Y2358" i="8" s="1"/>
  <c r="W1310" i="8"/>
  <c r="X1310" i="8" s="1"/>
  <c r="Y1310" i="8" s="1"/>
  <c r="W1893" i="8"/>
  <c r="X1893" i="8" s="1"/>
  <c r="Y1893" i="8" s="1"/>
  <c r="W239" i="8"/>
  <c r="X239" i="8" s="1"/>
  <c r="Y239" i="8" s="1"/>
  <c r="W828" i="8"/>
  <c r="X828" i="8" s="1"/>
  <c r="Y828" i="8" s="1"/>
  <c r="W949" i="8"/>
  <c r="X949" i="8" s="1"/>
  <c r="Y949" i="8" s="1"/>
  <c r="W2756" i="8"/>
  <c r="X2756" i="8" s="1"/>
  <c r="Y2756" i="8" s="1"/>
  <c r="W2670" i="8"/>
  <c r="X2670" i="8" s="1"/>
  <c r="Y2670" i="8" s="1"/>
  <c r="W2540" i="8"/>
  <c r="X2540" i="8" s="1"/>
  <c r="Y2540" i="8" s="1"/>
  <c r="W2295" i="8"/>
  <c r="X2295" i="8" s="1"/>
  <c r="Y2295" i="8" s="1"/>
  <c r="W243" i="8"/>
  <c r="X243" i="8" s="1"/>
  <c r="Y243" i="8" s="1"/>
  <c r="W580" i="8"/>
  <c r="X580" i="8" s="1"/>
  <c r="Y580" i="8" s="1"/>
  <c r="W166" i="8"/>
  <c r="X166" i="8" s="1"/>
  <c r="Y166" i="8" s="1"/>
  <c r="W1026" i="8"/>
  <c r="X1026" i="8" s="1"/>
  <c r="Y1026" i="8" s="1"/>
  <c r="W1027" i="8"/>
  <c r="X1027" i="8" s="1"/>
  <c r="Y1027" i="8" s="1"/>
  <c r="W1635" i="8"/>
  <c r="X1635" i="8" s="1"/>
  <c r="Y1635" i="8" s="1"/>
  <c r="W818" i="8"/>
  <c r="X818" i="8" s="1"/>
  <c r="Y818" i="8" s="1"/>
  <c r="W2029" i="8"/>
  <c r="X2029" i="8" s="1"/>
  <c r="Y2029" i="8" s="1"/>
  <c r="W331" i="8"/>
  <c r="X331" i="8" s="1"/>
  <c r="Y331" i="8" s="1"/>
  <c r="W1929" i="8"/>
  <c r="X1929" i="8" s="1"/>
  <c r="Y1929" i="8" s="1"/>
  <c r="W181" i="8"/>
  <c r="X181" i="8" s="1"/>
  <c r="Y181" i="8" s="1"/>
  <c r="W2563" i="8"/>
  <c r="X2563" i="8" s="1"/>
  <c r="Y2563" i="8" s="1"/>
  <c r="W2897" i="8"/>
  <c r="X2897" i="8" s="1"/>
  <c r="Y2897" i="8" s="1"/>
  <c r="W1036" i="8"/>
  <c r="X1036" i="8" s="1"/>
  <c r="Y1036" i="8" s="1"/>
  <c r="W1381" i="8"/>
  <c r="X1381" i="8" s="1"/>
  <c r="Y1381" i="8" s="1"/>
  <c r="W2676" i="8"/>
  <c r="X2676" i="8" s="1"/>
  <c r="Y2676" i="8" s="1"/>
  <c r="W620" i="8"/>
  <c r="X620" i="8" s="1"/>
  <c r="Y620" i="8" s="1"/>
  <c r="W3053" i="8"/>
  <c r="X3053" i="8" s="1"/>
  <c r="Y3053" i="8" s="1"/>
  <c r="W619" i="8"/>
  <c r="X619" i="8" s="1"/>
  <c r="Y619" i="8" s="1"/>
  <c r="W2049" i="8"/>
  <c r="X2049" i="8" s="1"/>
  <c r="Y2049" i="8" s="1"/>
  <c r="W390" i="8"/>
  <c r="X390" i="8" s="1"/>
  <c r="Y390" i="8" s="1"/>
  <c r="W1858" i="8"/>
  <c r="X1858" i="8" s="1"/>
  <c r="Y1858" i="8" s="1"/>
  <c r="W438" i="8"/>
  <c r="X438" i="8" s="1"/>
  <c r="Y438" i="8" s="1"/>
  <c r="W2539" i="8"/>
  <c r="X2539" i="8" s="1"/>
  <c r="Y2539" i="8" s="1"/>
  <c r="W1047" i="8"/>
  <c r="X1047" i="8" s="1"/>
  <c r="Y1047" i="8" s="1"/>
  <c r="W577" i="8"/>
  <c r="X577" i="8" s="1"/>
  <c r="Y577" i="8" s="1"/>
  <c r="W546" i="8"/>
  <c r="X546" i="8" s="1"/>
  <c r="Y546" i="8" s="1"/>
  <c r="W222" i="8"/>
  <c r="X222" i="8" s="1"/>
  <c r="Y222" i="8" s="1"/>
  <c r="W1731" i="8"/>
  <c r="X1731" i="8" s="1"/>
  <c r="Y1731" i="8" s="1"/>
  <c r="W931" i="8"/>
  <c r="X931" i="8" s="1"/>
  <c r="Y931" i="8" s="1"/>
  <c r="W2638" i="8"/>
  <c r="X2638" i="8" s="1"/>
  <c r="Y2638" i="8" s="1"/>
  <c r="W213" i="8"/>
  <c r="X213" i="8" s="1"/>
  <c r="Y213" i="8" s="1"/>
  <c r="W1055" i="8"/>
  <c r="X1055" i="8" s="1"/>
  <c r="Y1055" i="8" s="1"/>
  <c r="W2352" i="8"/>
  <c r="X2352" i="8" s="1"/>
  <c r="Y2352" i="8" s="1"/>
  <c r="W1439" i="8"/>
  <c r="X1439" i="8" s="1"/>
  <c r="Y1439" i="8" s="1"/>
  <c r="W368" i="8"/>
  <c r="X368" i="8" s="1"/>
  <c r="Y368" i="8" s="1"/>
  <c r="W590" i="8"/>
  <c r="X590" i="8" s="1"/>
  <c r="Y590" i="8" s="1"/>
  <c r="W1441" i="8"/>
  <c r="X1441" i="8" s="1"/>
  <c r="Y1441" i="8" s="1"/>
  <c r="W315" i="8"/>
  <c r="X315" i="8" s="1"/>
  <c r="Y315" i="8" s="1"/>
  <c r="W1784" i="8"/>
  <c r="X1784" i="8" s="1"/>
  <c r="Y1784" i="8" s="1"/>
  <c r="W360" i="8"/>
  <c r="X360" i="8" s="1"/>
  <c r="Y360" i="8" s="1"/>
  <c r="W1333" i="8"/>
  <c r="X1333" i="8" s="1"/>
  <c r="Y1333" i="8" s="1"/>
  <c r="W1528" i="8"/>
  <c r="X1528" i="8" s="1"/>
  <c r="Y1528" i="8" s="1"/>
  <c r="W1885" i="8"/>
  <c r="X1885" i="8" s="1"/>
  <c r="Y1885" i="8" s="1"/>
  <c r="W7" i="8"/>
  <c r="X7" i="8" s="1"/>
  <c r="Y7" i="8" s="1"/>
  <c r="W244" i="8"/>
  <c r="X244" i="8" s="1"/>
  <c r="Y244" i="8" s="1"/>
  <c r="W300" i="8"/>
  <c r="X300" i="8" s="1"/>
  <c r="Y300" i="8" s="1"/>
  <c r="W1577" i="8"/>
  <c r="X1577" i="8" s="1"/>
  <c r="Y1577" i="8" s="1"/>
  <c r="W417" i="8"/>
  <c r="X417" i="8" s="1"/>
  <c r="Y417" i="8" s="1"/>
  <c r="W1395" i="8"/>
  <c r="X1395" i="8" s="1"/>
  <c r="Y1395" i="8" s="1"/>
  <c r="W2115" i="8"/>
  <c r="X2115" i="8" s="1"/>
  <c r="Y2115" i="8" s="1"/>
  <c r="W1117" i="8"/>
  <c r="X1117" i="8" s="1"/>
  <c r="Y1117" i="8" s="1"/>
  <c r="W134" i="8"/>
  <c r="X134" i="8" s="1"/>
  <c r="Y134" i="8" s="1"/>
  <c r="W1076" i="8"/>
  <c r="X1076" i="8" s="1"/>
  <c r="Y1076" i="8" s="1"/>
  <c r="W735" i="8"/>
  <c r="X735" i="8" s="1"/>
  <c r="Y735" i="8" s="1"/>
  <c r="W1078" i="8"/>
  <c r="X1078" i="8" s="1"/>
  <c r="Y1078" i="8" s="1"/>
  <c r="W666" i="8"/>
  <c r="X666" i="8" s="1"/>
  <c r="Y666" i="8" s="1"/>
  <c r="W503" i="8"/>
  <c r="X503" i="8" s="1"/>
  <c r="Y503" i="8" s="1"/>
  <c r="W441" i="8"/>
  <c r="X441" i="8" s="1"/>
  <c r="Y441" i="8" s="1"/>
  <c r="W1025" i="8"/>
  <c r="X1025" i="8" s="1"/>
  <c r="Y1025" i="8" s="1"/>
  <c r="W2716" i="8"/>
  <c r="X2716" i="8" s="1"/>
  <c r="Y2716" i="8" s="1"/>
  <c r="W1347" i="8"/>
  <c r="X1347" i="8" s="1"/>
  <c r="Y1347" i="8" s="1"/>
  <c r="W1029" i="8"/>
  <c r="X1029" i="8" s="1"/>
  <c r="Y1029" i="8" s="1"/>
  <c r="W2150" i="8"/>
  <c r="X2150" i="8" s="1"/>
  <c r="Y2150" i="8" s="1"/>
  <c r="W1915" i="8"/>
  <c r="X1915" i="8" s="1"/>
  <c r="Y1915" i="8" s="1"/>
  <c r="W378" i="8"/>
  <c r="X378" i="8" s="1"/>
  <c r="Y378" i="8" s="1"/>
  <c r="W703" i="8"/>
  <c r="X703" i="8" s="1"/>
  <c r="Y703" i="8" s="1"/>
  <c r="W1104" i="8"/>
  <c r="X1104" i="8" s="1"/>
  <c r="Y1104" i="8" s="1"/>
  <c r="W1091" i="8"/>
  <c r="X1091" i="8" s="1"/>
  <c r="Y1091" i="8" s="1"/>
  <c r="W837" i="8"/>
  <c r="X837" i="8" s="1"/>
  <c r="Y837" i="8" s="1"/>
  <c r="W1854" i="8"/>
  <c r="X1854" i="8" s="1"/>
  <c r="Y1854" i="8" s="1"/>
  <c r="W2721" i="8"/>
  <c r="X2721" i="8" s="1"/>
  <c r="Y2721" i="8" s="1"/>
  <c r="W240" i="8"/>
  <c r="X240" i="8" s="1"/>
  <c r="Y240" i="8" s="1"/>
  <c r="W2672" i="8"/>
  <c r="X2672" i="8" s="1"/>
  <c r="Y2672" i="8" s="1"/>
  <c r="W1097" i="8"/>
  <c r="X1097" i="8" s="1"/>
  <c r="Y1097" i="8" s="1"/>
  <c r="W1640" i="8"/>
  <c r="X1640" i="8" s="1"/>
  <c r="Y1640" i="8" s="1"/>
  <c r="W1099" i="8"/>
  <c r="X1099" i="8" s="1"/>
  <c r="Y1099" i="8" s="1"/>
  <c r="W3087" i="8"/>
  <c r="X3087" i="8" s="1"/>
  <c r="Y3087" i="8" s="1"/>
  <c r="W599" i="8"/>
  <c r="X599" i="8" s="1"/>
  <c r="Y599" i="8" s="1"/>
  <c r="W376" i="8"/>
  <c r="X376" i="8" s="1"/>
  <c r="Y376" i="8" s="1"/>
  <c r="W993" i="8"/>
  <c r="X993" i="8" s="1"/>
  <c r="Y993" i="8" s="1"/>
  <c r="W460" i="8"/>
  <c r="X460" i="8" s="1"/>
  <c r="Y460" i="8" s="1"/>
  <c r="W900" i="8"/>
  <c r="X900" i="8" s="1"/>
  <c r="Y900" i="8" s="1"/>
  <c r="W473" i="8"/>
  <c r="X473" i="8" s="1"/>
  <c r="Y473" i="8" s="1"/>
  <c r="W744" i="8"/>
  <c r="X744" i="8" s="1"/>
  <c r="Y744" i="8" s="1"/>
  <c r="W1237" i="8"/>
  <c r="X1237" i="8" s="1"/>
  <c r="Y1237" i="8" s="1"/>
  <c r="W1939" i="8"/>
  <c r="X1939" i="8" s="1"/>
  <c r="Y1939" i="8" s="1"/>
  <c r="W803" i="8"/>
  <c r="X803" i="8" s="1"/>
  <c r="Y803" i="8" s="1"/>
  <c r="W646" i="8"/>
  <c r="X646" i="8" s="1"/>
  <c r="Y646" i="8" s="1"/>
  <c r="W266" i="8"/>
  <c r="X266" i="8" s="1"/>
  <c r="Y266" i="8" s="1"/>
  <c r="W356" i="8"/>
  <c r="X356" i="8" s="1"/>
  <c r="Y356" i="8" s="1"/>
  <c r="W2996" i="8"/>
  <c r="X2996" i="8" s="1"/>
  <c r="Y2996" i="8" s="1"/>
  <c r="W1782" i="8"/>
  <c r="X1782" i="8" s="1"/>
  <c r="Y1782" i="8" s="1"/>
  <c r="W268" i="8"/>
  <c r="X268" i="8" s="1"/>
  <c r="Y268" i="8" s="1"/>
  <c r="W2458" i="8"/>
  <c r="X2458" i="8" s="1"/>
  <c r="Y2458" i="8" s="1"/>
  <c r="W2355" i="8"/>
  <c r="X2355" i="8" s="1"/>
  <c r="Y2355" i="8" s="1"/>
  <c r="W1552" i="8"/>
  <c r="X1552" i="8" s="1"/>
  <c r="Y1552" i="8" s="1"/>
  <c r="W2019" i="8"/>
  <c r="X2019" i="8" s="1"/>
  <c r="Y2019" i="8" s="1"/>
  <c r="W1242" i="8"/>
  <c r="X1242" i="8" s="1"/>
  <c r="Y1242" i="8" s="1"/>
  <c r="W1122" i="8"/>
  <c r="X1122" i="8" s="1"/>
  <c r="Y1122" i="8" s="1"/>
  <c r="W2328" i="8"/>
  <c r="X2328" i="8" s="1"/>
  <c r="Y2328" i="8" s="1"/>
  <c r="W533" i="8"/>
  <c r="X533" i="8" s="1"/>
  <c r="Y533" i="8" s="1"/>
  <c r="W544" i="8"/>
  <c r="X544" i="8" s="1"/>
  <c r="Y544" i="8" s="1"/>
  <c r="W2642" i="8"/>
  <c r="X2642" i="8" s="1"/>
  <c r="Y2642" i="8" s="1"/>
  <c r="W1783" i="8"/>
  <c r="X1783" i="8" s="1"/>
  <c r="Y1783" i="8" s="1"/>
  <c r="W424" i="8"/>
  <c r="X424" i="8" s="1"/>
  <c r="Y424" i="8" s="1"/>
  <c r="W686" i="8"/>
  <c r="X686" i="8" s="1"/>
  <c r="Y686" i="8" s="1"/>
  <c r="W2822" i="8"/>
  <c r="X2822" i="8" s="1"/>
  <c r="Y2822" i="8" s="1"/>
  <c r="W1131" i="8"/>
  <c r="X1131" i="8" s="1"/>
  <c r="Y1131" i="8" s="1"/>
  <c r="W32" i="8"/>
  <c r="X32" i="8" s="1"/>
  <c r="Y32" i="8" s="1"/>
  <c r="W1650" i="8"/>
  <c r="X1650" i="8" s="1"/>
  <c r="Y1650" i="8" s="1"/>
  <c r="W1120" i="8"/>
  <c r="X1120" i="8" s="1"/>
  <c r="Y1120" i="8" s="1"/>
  <c r="W617" i="8"/>
  <c r="X617" i="8" s="1"/>
  <c r="Y617" i="8" s="1"/>
  <c r="W340" i="8"/>
  <c r="X340" i="8" s="1"/>
  <c r="Y340" i="8" s="1"/>
  <c r="W1137" i="8"/>
  <c r="X1137" i="8" s="1"/>
  <c r="Y1137" i="8" s="1"/>
  <c r="W1436" i="8"/>
  <c r="X1436" i="8" s="1"/>
  <c r="Y1436" i="8" s="1"/>
  <c r="W1542" i="8"/>
  <c r="X1542" i="8" s="1"/>
  <c r="Y1542" i="8" s="1"/>
  <c r="W262" i="8"/>
  <c r="X262" i="8" s="1"/>
  <c r="Y262" i="8" s="1"/>
  <c r="W1534" i="8"/>
  <c r="X1534" i="8" s="1"/>
  <c r="Y1534" i="8" s="1"/>
  <c r="W195" i="8"/>
  <c r="X195" i="8" s="1"/>
  <c r="Y195" i="8" s="1"/>
  <c r="W1052" i="8"/>
  <c r="X1052" i="8" s="1"/>
  <c r="Y1052" i="8" s="1"/>
  <c r="W2119" i="8"/>
  <c r="X2119" i="8" s="1"/>
  <c r="Y2119" i="8" s="1"/>
  <c r="W1145" i="8"/>
  <c r="X1145" i="8" s="1"/>
  <c r="Y1145" i="8" s="1"/>
  <c r="W2998" i="8"/>
  <c r="X2998" i="8" s="1"/>
  <c r="Y2998" i="8" s="1"/>
  <c r="W1573" i="8"/>
  <c r="X1573" i="8" s="1"/>
  <c r="Y1573" i="8" s="1"/>
  <c r="W2279" i="8"/>
  <c r="X2279" i="8" s="1"/>
  <c r="Y2279" i="8" s="1"/>
  <c r="W936" i="8"/>
  <c r="X936" i="8" s="1"/>
  <c r="Y936" i="8" s="1"/>
  <c r="W1150" i="8"/>
  <c r="X1150" i="8" s="1"/>
  <c r="Y1150" i="8" s="1"/>
  <c r="W2753" i="8"/>
  <c r="X2753" i="8" s="1"/>
  <c r="Y2753" i="8" s="1"/>
  <c r="W783" i="8"/>
  <c r="X783" i="8" s="1"/>
  <c r="Y783" i="8" s="1"/>
  <c r="W284" i="8"/>
  <c r="X284" i="8" s="1"/>
  <c r="Y284" i="8" s="1"/>
  <c r="W2340" i="8"/>
  <c r="X2340" i="8" s="1"/>
  <c r="Y2340" i="8" s="1"/>
  <c r="W769" i="8"/>
  <c r="X769" i="8" s="1"/>
  <c r="Y769" i="8" s="1"/>
  <c r="W1265" i="8"/>
  <c r="X1265" i="8" s="1"/>
  <c r="Y1265" i="8" s="1"/>
  <c r="W1157" i="8"/>
  <c r="X1157" i="8" s="1"/>
  <c r="Y1157" i="8" s="1"/>
  <c r="W1158" i="8"/>
  <c r="X1158" i="8" s="1"/>
  <c r="Y1158" i="8" s="1"/>
  <c r="W688" i="8"/>
  <c r="X688" i="8" s="1"/>
  <c r="Y688" i="8" s="1"/>
  <c r="W788" i="8"/>
  <c r="X788" i="8" s="1"/>
  <c r="Y788" i="8" s="1"/>
  <c r="W2734" i="8"/>
  <c r="X2734" i="8" s="1"/>
  <c r="Y2734" i="8" s="1"/>
  <c r="W1080" i="8"/>
  <c r="X1080" i="8" s="1"/>
  <c r="Y1080" i="8" s="1"/>
  <c r="W230" i="8"/>
  <c r="X230" i="8" s="1"/>
  <c r="Y230" i="8" s="1"/>
  <c r="W3081" i="8"/>
  <c r="X3081" i="8" s="1"/>
  <c r="Y3081" i="8" s="1"/>
  <c r="W2027" i="8"/>
  <c r="X2027" i="8" s="1"/>
  <c r="Y2027" i="8" s="1"/>
  <c r="W1166" i="8"/>
  <c r="X1166" i="8" s="1"/>
  <c r="Y1166" i="8" s="1"/>
  <c r="W772" i="8"/>
  <c r="X772" i="8" s="1"/>
  <c r="Y772" i="8" s="1"/>
  <c r="W146" i="8"/>
  <c r="X146" i="8" s="1"/>
  <c r="Y146" i="8" s="1"/>
  <c r="W1637" i="8"/>
  <c r="X1637" i="8" s="1"/>
  <c r="Y1637" i="8" s="1"/>
  <c r="W1054" i="8"/>
  <c r="X1054" i="8" s="1"/>
  <c r="Y1054" i="8" s="1"/>
  <c r="W3052" i="8"/>
  <c r="X3052" i="8" s="1"/>
  <c r="Y3052" i="8" s="1"/>
  <c r="W1358" i="8"/>
  <c r="X1358" i="8" s="1"/>
  <c r="Y1358" i="8" s="1"/>
  <c r="W231" i="8"/>
  <c r="X231" i="8" s="1"/>
  <c r="Y231" i="8" s="1"/>
  <c r="W1174" i="8"/>
  <c r="X1174" i="8" s="1"/>
  <c r="Y1174" i="8" s="1"/>
  <c r="W349" i="8"/>
  <c r="X349" i="8" s="1"/>
  <c r="Y349" i="8" s="1"/>
  <c r="W2776" i="8"/>
  <c r="X2776" i="8" s="1"/>
  <c r="Y2776" i="8" s="1"/>
  <c r="W1791" i="8"/>
  <c r="X1791" i="8" s="1"/>
  <c r="Y1791" i="8" s="1"/>
  <c r="W1178" i="8"/>
  <c r="X1178" i="8" s="1"/>
  <c r="Y1178" i="8" s="1"/>
  <c r="W1561" i="8"/>
  <c r="X1561" i="8" s="1"/>
  <c r="Y1561" i="8" s="1"/>
  <c r="W516" i="8"/>
  <c r="X516" i="8" s="1"/>
  <c r="Y516" i="8" s="1"/>
  <c r="W624" i="8"/>
  <c r="X624" i="8" s="1"/>
  <c r="Y624" i="8" s="1"/>
  <c r="W1738" i="8"/>
  <c r="X1738" i="8" s="1"/>
  <c r="Y1738" i="8" s="1"/>
  <c r="W1865" i="8"/>
  <c r="X1865" i="8" s="1"/>
  <c r="Y1865" i="8" s="1"/>
  <c r="W535" i="8"/>
  <c r="X535" i="8" s="1"/>
  <c r="Y535" i="8" s="1"/>
  <c r="W2633" i="8"/>
  <c r="X2633" i="8" s="1"/>
  <c r="Y2633" i="8" s="1"/>
  <c r="W1710" i="8"/>
  <c r="X1710" i="8" s="1"/>
  <c r="Y1710" i="8" s="1"/>
  <c r="W1459" i="8"/>
  <c r="X1459" i="8" s="1"/>
  <c r="Y1459" i="8" s="1"/>
  <c r="W2304" i="8"/>
  <c r="X2304" i="8" s="1"/>
  <c r="Y2304" i="8" s="1"/>
  <c r="W1189" i="8"/>
  <c r="X1189" i="8" s="1"/>
  <c r="Y1189" i="8" s="1"/>
  <c r="W2245" i="8"/>
  <c r="X2245" i="8" s="1"/>
  <c r="Y2245" i="8" s="1"/>
  <c r="W482" i="8"/>
  <c r="X482" i="8" s="1"/>
  <c r="Y482" i="8" s="1"/>
  <c r="W433" i="8"/>
  <c r="X433" i="8" s="1"/>
  <c r="Y433" i="8" s="1"/>
  <c r="W1432" i="8"/>
  <c r="X1432" i="8" s="1"/>
  <c r="Y1432" i="8" s="1"/>
  <c r="W705" i="8"/>
  <c r="X705" i="8" s="1"/>
  <c r="Y705" i="8" s="1"/>
  <c r="W563" i="8"/>
  <c r="X563" i="8" s="1"/>
  <c r="Y563" i="8" s="1"/>
  <c r="W2775" i="8"/>
  <c r="X2775" i="8" s="1"/>
  <c r="Y2775" i="8" s="1"/>
  <c r="W524" i="8"/>
  <c r="X524" i="8" s="1"/>
  <c r="Y524" i="8" s="1"/>
  <c r="W270" i="8"/>
  <c r="X270" i="8" s="1"/>
  <c r="Y270" i="8" s="1"/>
  <c r="W3042" i="8"/>
  <c r="X3042" i="8" s="1"/>
  <c r="Y3042" i="8" s="1"/>
  <c r="W1393" i="8"/>
  <c r="X1393" i="8" s="1"/>
  <c r="Y1393" i="8" s="1"/>
  <c r="W2531" i="8"/>
  <c r="X2531" i="8" s="1"/>
  <c r="Y2531" i="8" s="1"/>
  <c r="W701" i="8"/>
  <c r="X701" i="8" s="1"/>
  <c r="Y701" i="8" s="1"/>
  <c r="W1203" i="8"/>
  <c r="X1203" i="8" s="1"/>
  <c r="Y1203" i="8" s="1"/>
  <c r="W223" i="8"/>
  <c r="X223" i="8" s="1"/>
  <c r="Y223" i="8" s="1"/>
  <c r="W2461" i="8"/>
  <c r="X2461" i="8" s="1"/>
  <c r="Y2461" i="8" s="1"/>
  <c r="W2779" i="8"/>
  <c r="X2779" i="8" s="1"/>
  <c r="Y2779" i="8" s="1"/>
  <c r="W1207" i="8"/>
  <c r="X1207" i="8" s="1"/>
  <c r="Y1207" i="8" s="1"/>
  <c r="W395" i="8"/>
  <c r="X395" i="8" s="1"/>
  <c r="Y395" i="8" s="1"/>
  <c r="W1209" i="8"/>
  <c r="X1209" i="8" s="1"/>
  <c r="Y1209" i="8" s="1"/>
  <c r="W2803" i="8"/>
  <c r="X2803" i="8" s="1"/>
  <c r="Y2803" i="8" s="1"/>
  <c r="W1211" i="8"/>
  <c r="X1211" i="8" s="1"/>
  <c r="Y1211" i="8" s="1"/>
  <c r="W4" i="8"/>
  <c r="X4" i="8" s="1"/>
  <c r="Y4" i="8" s="1"/>
  <c r="W444" i="8"/>
  <c r="X444" i="8" s="1"/>
  <c r="Y444" i="8" s="1"/>
  <c r="W604" i="8"/>
  <c r="X604" i="8" s="1"/>
  <c r="Y604" i="8" s="1"/>
  <c r="W2300" i="8"/>
  <c r="X2300" i="8" s="1"/>
  <c r="Y2300" i="8" s="1"/>
  <c r="W273" i="8"/>
  <c r="X273" i="8" s="1"/>
  <c r="Y273" i="8" s="1"/>
  <c r="W2403" i="8"/>
  <c r="X2403" i="8" s="1"/>
  <c r="Y2403" i="8" s="1"/>
  <c r="W1119" i="8"/>
  <c r="X1119" i="8" s="1"/>
  <c r="Y1119" i="8" s="1"/>
  <c r="W1320" i="8"/>
  <c r="X1320" i="8" s="1"/>
  <c r="Y1320" i="8" s="1"/>
  <c r="W2116" i="8"/>
  <c r="X2116" i="8" s="1"/>
  <c r="Y2116" i="8" s="1"/>
  <c r="W1221" i="8"/>
  <c r="X1221" i="8" s="1"/>
  <c r="Y1221" i="8" s="1"/>
  <c r="W2795" i="8"/>
  <c r="X2795" i="8" s="1"/>
  <c r="Y2795" i="8" s="1"/>
  <c r="W2123" i="8"/>
  <c r="X2123" i="8" s="1"/>
  <c r="Y2123" i="8" s="1"/>
  <c r="W1224" i="8"/>
  <c r="X1224" i="8" s="1"/>
  <c r="Y1224" i="8" s="1"/>
  <c r="W1557" i="8"/>
  <c r="X1557" i="8" s="1"/>
  <c r="Y1557" i="8" s="1"/>
  <c r="W623" i="8"/>
  <c r="X623" i="8" s="1"/>
  <c r="Y623" i="8" s="1"/>
  <c r="W2262" i="8"/>
  <c r="X2262" i="8" s="1"/>
  <c r="Y2262" i="8" s="1"/>
  <c r="W394" i="8"/>
  <c r="X394" i="8" s="1"/>
  <c r="Y394" i="8" s="1"/>
  <c r="W1763" i="8"/>
  <c r="X1763" i="8" s="1"/>
  <c r="Y1763" i="8" s="1"/>
  <c r="W1692" i="8"/>
  <c r="X1692" i="8" s="1"/>
  <c r="Y1692" i="8" s="1"/>
  <c r="W510" i="8"/>
  <c r="X510" i="8" s="1"/>
  <c r="Y510" i="8" s="1"/>
  <c r="W1232" i="8"/>
  <c r="X1232" i="8" s="1"/>
  <c r="Y1232" i="8" s="1"/>
  <c r="W1215" i="8"/>
  <c r="X1215" i="8" s="1"/>
  <c r="Y1215" i="8" s="1"/>
  <c r="W335" i="8"/>
  <c r="X335" i="8" s="1"/>
  <c r="Y335" i="8" s="1"/>
  <c r="W1194" i="8"/>
  <c r="X1194" i="8" s="1"/>
  <c r="Y1194" i="8" s="1"/>
  <c r="W228" i="8"/>
  <c r="X228" i="8" s="1"/>
  <c r="Y228" i="8" s="1"/>
  <c r="W430" i="8"/>
  <c r="X430" i="8" s="1"/>
  <c r="Y430" i="8" s="1"/>
  <c r="W391" i="8"/>
  <c r="X391" i="8" s="1"/>
  <c r="Y391" i="8" s="1"/>
  <c r="W2322" i="8"/>
  <c r="X2322" i="8" s="1"/>
  <c r="Y2322" i="8" s="1"/>
  <c r="W320" i="8"/>
  <c r="X320" i="8" s="1"/>
  <c r="Y320" i="8" s="1"/>
  <c r="W675" i="8"/>
  <c r="X675" i="8" s="1"/>
  <c r="Y675" i="8" s="1"/>
  <c r="W1695" i="8"/>
  <c r="X1695" i="8" s="1"/>
  <c r="Y1695" i="8" s="1"/>
  <c r="W1243" i="8"/>
  <c r="X1243" i="8" s="1"/>
  <c r="Y1243" i="8" s="1"/>
  <c r="W567" i="8"/>
  <c r="X567" i="8" s="1"/>
  <c r="Y567" i="8" s="1"/>
  <c r="W1245" i="8"/>
  <c r="X1245" i="8" s="1"/>
  <c r="Y1245" i="8" s="1"/>
  <c r="W2528" i="8"/>
  <c r="X2528" i="8" s="1"/>
  <c r="Y2528" i="8" s="1"/>
  <c r="W637" i="8"/>
  <c r="X637" i="8" s="1"/>
  <c r="Y637" i="8" s="1"/>
  <c r="W485" i="8"/>
  <c r="X485" i="8" s="1"/>
  <c r="Y485" i="8" s="1"/>
  <c r="W1433" i="8"/>
  <c r="X1433" i="8" s="1"/>
  <c r="Y1433" i="8" s="1"/>
  <c r="W754" i="8"/>
  <c r="X754" i="8" s="1"/>
  <c r="Y754" i="8" s="1"/>
  <c r="W640" i="8"/>
  <c r="X640" i="8" s="1"/>
  <c r="Y640" i="8" s="1"/>
  <c r="W2058" i="8"/>
  <c r="X2058" i="8" s="1"/>
  <c r="Y2058" i="8" s="1"/>
  <c r="W1363" i="8"/>
  <c r="X1363" i="8" s="1"/>
  <c r="Y1363" i="8" s="1"/>
  <c r="W799" i="8"/>
  <c r="X799" i="8" s="1"/>
  <c r="Y799" i="8" s="1"/>
  <c r="W1219" i="8"/>
  <c r="X1219" i="8" s="1"/>
  <c r="Y1219" i="8" s="1"/>
  <c r="W3001" i="8"/>
  <c r="X3001" i="8" s="1"/>
  <c r="Y3001" i="8" s="1"/>
  <c r="W508" i="8"/>
  <c r="X508" i="8" s="1"/>
  <c r="Y508" i="8" s="1"/>
  <c r="W2789" i="8"/>
  <c r="X2789" i="8" s="1"/>
  <c r="Y2789" i="8" s="1"/>
  <c r="W904" i="8"/>
  <c r="X904" i="8" s="1"/>
  <c r="Y904" i="8" s="1"/>
  <c r="W717" i="8"/>
  <c r="X717" i="8" s="1"/>
  <c r="Y717" i="8" s="1"/>
  <c r="W1419" i="8"/>
  <c r="X1419" i="8" s="1"/>
  <c r="Y1419" i="8" s="1"/>
  <c r="W1172" i="8"/>
  <c r="X1172" i="8" s="1"/>
  <c r="Y1172" i="8" s="1"/>
  <c r="W1928" i="8"/>
  <c r="X1928" i="8" s="1"/>
  <c r="Y1928" i="8" s="1"/>
  <c r="W2679" i="8"/>
  <c r="X2679" i="8" s="1"/>
  <c r="Y2679" i="8" s="1"/>
  <c r="W3005" i="8"/>
  <c r="X3005" i="8" s="1"/>
  <c r="Y3005" i="8" s="1"/>
  <c r="W1160" i="8"/>
  <c r="X1160" i="8" s="1"/>
  <c r="Y1160" i="8" s="1"/>
  <c r="W1069" i="8"/>
  <c r="X1069" i="8" s="1"/>
  <c r="Y1069" i="8" s="1"/>
  <c r="W1732" i="8"/>
  <c r="X1732" i="8" s="1"/>
  <c r="Y1732" i="8" s="1"/>
  <c r="W55" i="8"/>
  <c r="X55" i="8" s="1"/>
  <c r="Y55" i="8" s="1"/>
  <c r="W653" i="8"/>
  <c r="X653" i="8" s="1"/>
  <c r="Y653" i="8" s="1"/>
  <c r="W2862" i="8"/>
  <c r="X2862" i="8" s="1"/>
  <c r="Y2862" i="8" s="1"/>
  <c r="W1272" i="8"/>
  <c r="X1272" i="8" s="1"/>
  <c r="Y1272" i="8" s="1"/>
  <c r="W734" i="8"/>
  <c r="X734" i="8" s="1"/>
  <c r="Y734" i="8" s="1"/>
  <c r="W2800" i="8"/>
  <c r="X2800" i="8" s="1"/>
  <c r="Y2800" i="8" s="1"/>
  <c r="W1829" i="8"/>
  <c r="X1829" i="8" s="1"/>
  <c r="Y1829" i="8" s="1"/>
  <c r="W1276" i="8"/>
  <c r="X1276" i="8" s="1"/>
  <c r="Y1276" i="8" s="1"/>
  <c r="W2017" i="8"/>
  <c r="X2017" i="8" s="1"/>
  <c r="Y2017" i="8" s="1"/>
  <c r="W2310" i="8"/>
  <c r="X2310" i="8" s="1"/>
  <c r="Y2310" i="8" s="1"/>
  <c r="W1820" i="8"/>
  <c r="X1820" i="8" s="1"/>
  <c r="Y1820" i="8" s="1"/>
  <c r="W1355" i="8"/>
  <c r="X1355" i="8" s="1"/>
  <c r="Y1355" i="8" s="1"/>
  <c r="W1815" i="8"/>
  <c r="X1815" i="8" s="1"/>
  <c r="Y1815" i="8" s="1"/>
  <c r="W614" i="8"/>
  <c r="X614" i="8" s="1"/>
  <c r="Y614" i="8" s="1"/>
  <c r="W1283" i="8"/>
  <c r="X1283" i="8" s="1"/>
  <c r="Y1283" i="8" s="1"/>
  <c r="W1284" i="8"/>
  <c r="X1284" i="8" s="1"/>
  <c r="Y1284" i="8" s="1"/>
  <c r="W1285" i="8"/>
  <c r="X1285" i="8" s="1"/>
  <c r="Y1285" i="8" s="1"/>
  <c r="W2408" i="8"/>
  <c r="X2408" i="8" s="1"/>
  <c r="Y2408" i="8" s="1"/>
  <c r="W1848" i="8"/>
  <c r="X1848" i="8" s="1"/>
  <c r="Y1848" i="8" s="1"/>
  <c r="W302" i="8"/>
  <c r="X302" i="8" s="1"/>
  <c r="Y302" i="8" s="1"/>
  <c r="W2925" i="8"/>
  <c r="X2925" i="8" s="1"/>
  <c r="Y2925" i="8" s="1"/>
  <c r="W1290" i="8"/>
  <c r="X1290" i="8" s="1"/>
  <c r="Y1290" i="8" s="1"/>
  <c r="W1863" i="8"/>
  <c r="X1863" i="8" s="1"/>
  <c r="Y1863" i="8" s="1"/>
  <c r="W2424" i="8"/>
  <c r="X2424" i="8" s="1"/>
  <c r="Y2424" i="8" s="1"/>
  <c r="W2890" i="8"/>
  <c r="X2890" i="8" s="1"/>
  <c r="Y2890" i="8" s="1"/>
  <c r="W126" i="8"/>
  <c r="X126" i="8" s="1"/>
  <c r="Y126" i="8" s="1"/>
  <c r="W338" i="8"/>
  <c r="X338" i="8" s="1"/>
  <c r="Y338" i="8" s="1"/>
  <c r="W1451" i="8"/>
  <c r="X1451" i="8" s="1"/>
  <c r="Y1451" i="8" s="1"/>
  <c r="W1750" i="8"/>
  <c r="X1750" i="8" s="1"/>
  <c r="Y1750" i="8" s="1"/>
  <c r="W1298" i="8"/>
  <c r="X1298" i="8" s="1"/>
  <c r="Y1298" i="8" s="1"/>
  <c r="W1531" i="8"/>
  <c r="X1531" i="8" s="1"/>
  <c r="Y1531" i="8" s="1"/>
  <c r="W2387" i="8"/>
  <c r="X2387" i="8" s="1"/>
  <c r="Y2387" i="8" s="1"/>
  <c r="W1966" i="8"/>
  <c r="X1966" i="8" s="1"/>
  <c r="Y1966" i="8" s="1"/>
  <c r="W1558" i="8"/>
  <c r="X1558" i="8" s="1"/>
  <c r="Y1558" i="8" s="1"/>
  <c r="W663" i="8"/>
  <c r="X663" i="8" s="1"/>
  <c r="Y663" i="8" s="1"/>
  <c r="W3046" i="8"/>
  <c r="X3046" i="8" s="1"/>
  <c r="Y3046" i="8" s="1"/>
  <c r="W450" i="8"/>
  <c r="X450" i="8" s="1"/>
  <c r="Y450" i="8" s="1"/>
  <c r="W1368" i="8"/>
  <c r="X1368" i="8" s="1"/>
  <c r="Y1368" i="8" s="1"/>
  <c r="W2626" i="8"/>
  <c r="X2626" i="8" s="1"/>
  <c r="Y2626" i="8" s="1"/>
  <c r="W1308" i="8"/>
  <c r="X1308" i="8" s="1"/>
  <c r="Y1308" i="8" s="1"/>
  <c r="W935" i="8"/>
  <c r="X935" i="8" s="1"/>
  <c r="Y935" i="8" s="1"/>
  <c r="W50" i="8"/>
  <c r="X50" i="8" s="1"/>
  <c r="Y50" i="8" s="1"/>
  <c r="W1311" i="8"/>
  <c r="X1311" i="8" s="1"/>
  <c r="Y1311" i="8" s="1"/>
  <c r="W1536" i="8"/>
  <c r="X1536" i="8" s="1"/>
  <c r="Y1536" i="8" s="1"/>
  <c r="W2645" i="8"/>
  <c r="X2645" i="8" s="1"/>
  <c r="Y2645" i="8" s="1"/>
  <c r="W2783" i="8"/>
  <c r="X2783" i="8" s="1"/>
  <c r="Y2783" i="8" s="1"/>
  <c r="W2860" i="8"/>
  <c r="X2860" i="8" s="1"/>
  <c r="Y2860" i="8" s="1"/>
  <c r="W657" i="8"/>
  <c r="X657" i="8" s="1"/>
  <c r="Y657" i="8" s="1"/>
  <c r="W1553" i="8"/>
  <c r="X1553" i="8" s="1"/>
  <c r="Y1553" i="8" s="1"/>
  <c r="W844" i="8"/>
  <c r="X844" i="8" s="1"/>
  <c r="Y844" i="8" s="1"/>
  <c r="W343" i="8"/>
  <c r="X343" i="8" s="1"/>
  <c r="Y343" i="8" s="1"/>
  <c r="W3085" i="8"/>
  <c r="X3085" i="8" s="1"/>
  <c r="Y3085" i="8" s="1"/>
  <c r="W1410" i="8"/>
  <c r="X1410" i="8" s="1"/>
  <c r="Y1410" i="8" s="1"/>
  <c r="W1835" i="8"/>
  <c r="X1835" i="8" s="1"/>
  <c r="Y1835" i="8" s="1"/>
  <c r="W264" i="8"/>
  <c r="X264" i="8" s="1"/>
  <c r="Y264" i="8" s="1"/>
  <c r="W1010" i="8"/>
  <c r="X1010" i="8" s="1"/>
  <c r="Y1010" i="8" s="1"/>
  <c r="W873" i="8"/>
  <c r="X873" i="8" s="1"/>
  <c r="Y873" i="8" s="1"/>
  <c r="W2952" i="8"/>
  <c r="X2952" i="8" s="1"/>
  <c r="Y2952" i="8" s="1"/>
  <c r="W517" i="8"/>
  <c r="X517" i="8" s="1"/>
  <c r="Y517" i="8" s="1"/>
  <c r="W885" i="8"/>
  <c r="X885" i="8" s="1"/>
  <c r="Y885" i="8" s="1"/>
  <c r="W1312" i="8"/>
  <c r="X1312" i="8" s="1"/>
  <c r="Y1312" i="8" s="1"/>
  <c r="W1050" i="8"/>
  <c r="X1050" i="8" s="1"/>
  <c r="Y1050" i="8" s="1"/>
  <c r="W1610" i="8"/>
  <c r="X1610" i="8" s="1"/>
  <c r="Y1610" i="8" s="1"/>
  <c r="W554" i="8"/>
  <c r="X554" i="8" s="1"/>
  <c r="Y554" i="8" s="1"/>
  <c r="W1325" i="8"/>
  <c r="X1325" i="8" s="1"/>
  <c r="Y1325" i="8" s="1"/>
  <c r="W1574" i="8"/>
  <c r="X1574" i="8" s="1"/>
  <c r="Y1574" i="8" s="1"/>
  <c r="W2829" i="8"/>
  <c r="X2829" i="8" s="1"/>
  <c r="Y2829" i="8" s="1"/>
  <c r="W2745" i="8"/>
  <c r="X2745" i="8" s="1"/>
  <c r="Y2745" i="8" s="1"/>
  <c r="W2444" i="8"/>
  <c r="X2444" i="8" s="1"/>
  <c r="Y2444" i="8" s="1"/>
  <c r="W1908" i="8"/>
  <c r="X1908" i="8" s="1"/>
  <c r="Y1908" i="8" s="1"/>
  <c r="W706" i="8"/>
  <c r="X706" i="8" s="1"/>
  <c r="Y706" i="8" s="1"/>
  <c r="W2018" i="8"/>
  <c r="X2018" i="8" s="1"/>
  <c r="Y2018" i="8" s="1"/>
  <c r="W2871" i="8"/>
  <c r="X2871" i="8" s="1"/>
  <c r="Y2871" i="8" s="1"/>
  <c r="W2282" i="8"/>
  <c r="X2282" i="8" s="1"/>
  <c r="Y2282" i="8" s="1"/>
  <c r="W1515" i="8"/>
  <c r="X1515" i="8" s="1"/>
  <c r="Y1515" i="8" s="1"/>
  <c r="W452" i="8"/>
  <c r="X452" i="8" s="1"/>
  <c r="Y452" i="8" s="1"/>
  <c r="W2406" i="8"/>
  <c r="X2406" i="8" s="1"/>
  <c r="Y2406" i="8" s="1"/>
  <c r="W161" i="8"/>
  <c r="X161" i="8" s="1"/>
  <c r="Y161" i="8" s="1"/>
  <c r="W1851" i="8"/>
  <c r="X1851" i="8" s="1"/>
  <c r="Y1851" i="8" s="1"/>
  <c r="W1348" i="8"/>
  <c r="X1348" i="8" s="1"/>
  <c r="Y1348" i="8" s="1"/>
  <c r="W671" i="8"/>
  <c r="X671" i="8" s="1"/>
  <c r="Y671" i="8" s="1"/>
  <c r="W1423" i="8"/>
  <c r="X1423" i="8" s="1"/>
  <c r="Y1423" i="8" s="1"/>
  <c r="W2395" i="8"/>
  <c r="X2395" i="8" s="1"/>
  <c r="Y2395" i="8" s="1"/>
  <c r="W1248" i="8"/>
  <c r="X1248" i="8" s="1"/>
  <c r="Y1248" i="8" s="1"/>
  <c r="W456" i="8"/>
  <c r="X456" i="8" s="1"/>
  <c r="Y456" i="8" s="1"/>
  <c r="W2704" i="8"/>
  <c r="X2704" i="8" s="1"/>
  <c r="Y2704" i="8" s="1"/>
  <c r="W767" i="8"/>
  <c r="X767" i="8" s="1"/>
  <c r="Y767" i="8" s="1"/>
  <c r="W1659" i="8"/>
  <c r="X1659" i="8" s="1"/>
  <c r="Y1659" i="8" s="1"/>
  <c r="W1142" i="8"/>
  <c r="X1142" i="8" s="1"/>
  <c r="Y1142" i="8" s="1"/>
  <c r="W1031" i="8"/>
  <c r="X1031" i="8" s="1"/>
  <c r="Y1031" i="8" s="1"/>
  <c r="W527" i="8"/>
  <c r="X527" i="8" s="1"/>
  <c r="Y527" i="8" s="1"/>
  <c r="W835" i="8"/>
  <c r="X835" i="8" s="1"/>
  <c r="Y835" i="8" s="1"/>
  <c r="W1941" i="8"/>
  <c r="X1941" i="8" s="1"/>
  <c r="Y1941" i="8" s="1"/>
  <c r="W2597" i="8"/>
  <c r="X2597" i="8" s="1"/>
  <c r="Y2597" i="8" s="1"/>
  <c r="W1462" i="8"/>
  <c r="X1462" i="8" s="1"/>
  <c r="Y1462" i="8" s="1"/>
  <c r="W571" i="8"/>
  <c r="X571" i="8" s="1"/>
  <c r="Y571" i="8" s="1"/>
  <c r="W2843" i="8"/>
  <c r="X2843" i="8" s="1"/>
  <c r="Y2843" i="8" s="1"/>
  <c r="W2125" i="8"/>
  <c r="X2125" i="8" s="1"/>
  <c r="Y2125" i="8" s="1"/>
  <c r="W809" i="8"/>
  <c r="X809" i="8" s="1"/>
  <c r="Y809" i="8" s="1"/>
  <c r="W1061" i="8"/>
  <c r="X1061" i="8" s="1"/>
  <c r="Y1061" i="8" s="1"/>
  <c r="W2051" i="8"/>
  <c r="X2051" i="8" s="1"/>
  <c r="Y2051" i="8" s="1"/>
  <c r="W1370" i="8"/>
  <c r="X1370" i="8" s="1"/>
  <c r="Y1370" i="8" s="1"/>
  <c r="W1371" i="8"/>
  <c r="X1371" i="8" s="1"/>
  <c r="Y1371" i="8" s="1"/>
  <c r="W2139" i="8"/>
  <c r="X2139" i="8" s="1"/>
  <c r="Y2139" i="8" s="1"/>
  <c r="W1969" i="8"/>
  <c r="X1969" i="8" s="1"/>
  <c r="Y1969" i="8" s="1"/>
  <c r="W2534" i="8"/>
  <c r="X2534" i="8" s="1"/>
  <c r="Y2534" i="8" s="1"/>
  <c r="W1294" i="8"/>
  <c r="X1294" i="8" s="1"/>
  <c r="Y1294" i="8" s="1"/>
  <c r="W5" i="8"/>
  <c r="X5" i="8" s="1"/>
  <c r="Y5" i="8" s="1"/>
  <c r="W291" i="8"/>
  <c r="X291" i="8" s="1"/>
  <c r="Y291" i="8" s="1"/>
  <c r="W742" i="8"/>
  <c r="X742" i="8" s="1"/>
  <c r="Y742" i="8" s="1"/>
  <c r="W1213" i="8"/>
  <c r="X1213" i="8" s="1"/>
  <c r="Y1213" i="8" s="1"/>
  <c r="W1683" i="8"/>
  <c r="X1683" i="8" s="1"/>
  <c r="Y1683" i="8" s="1"/>
  <c r="W1375" i="8"/>
  <c r="X1375" i="8" s="1"/>
  <c r="Y1375" i="8" s="1"/>
  <c r="W2820" i="8"/>
  <c r="X2820" i="8" s="1"/>
  <c r="Y2820" i="8" s="1"/>
  <c r="W1565" i="8"/>
  <c r="X1565" i="8" s="1"/>
  <c r="Y1565" i="8" s="1"/>
  <c r="W2644" i="8"/>
  <c r="X2644" i="8" s="1"/>
  <c r="Y2644" i="8" s="1"/>
  <c r="W877" i="8"/>
  <c r="X877" i="8" s="1"/>
  <c r="Y877" i="8" s="1"/>
  <c r="W780" i="8"/>
  <c r="X780" i="8" s="1"/>
  <c r="Y780" i="8" s="1"/>
  <c r="W1387" i="8"/>
  <c r="X1387" i="8" s="1"/>
  <c r="Y1387" i="8" s="1"/>
  <c r="W1388" i="8"/>
  <c r="X1388" i="8" s="1"/>
  <c r="Y1388" i="8" s="1"/>
  <c r="W3021" i="8"/>
  <c r="X3021" i="8" s="1"/>
  <c r="Y3021" i="8" s="1"/>
  <c r="W475" i="8"/>
  <c r="X475" i="8" s="1"/>
  <c r="Y475" i="8" s="1"/>
  <c r="W2192" i="8"/>
  <c r="X2192" i="8" s="1"/>
  <c r="Y2192" i="8" s="1"/>
  <c r="W1184" i="8"/>
  <c r="X1184" i="8" s="1"/>
  <c r="Y1184" i="8" s="1"/>
  <c r="W2568" i="8"/>
  <c r="X2568" i="8" s="1"/>
  <c r="Y2568" i="8" s="1"/>
  <c r="W2165" i="8"/>
  <c r="X2165" i="8" s="1"/>
  <c r="Y2165" i="8" s="1"/>
  <c r="W2891" i="8"/>
  <c r="X2891" i="8" s="1"/>
  <c r="Y2891" i="8" s="1"/>
  <c r="W2237" i="8"/>
  <c r="X2237" i="8" s="1"/>
  <c r="Y2237" i="8" s="1"/>
  <c r="W2616" i="8"/>
  <c r="X2616" i="8" s="1"/>
  <c r="Y2616" i="8" s="1"/>
  <c r="W1398" i="8"/>
  <c r="X1398" i="8" s="1"/>
  <c r="Y1398" i="8" s="1"/>
  <c r="W894" i="8"/>
  <c r="X894" i="8" s="1"/>
  <c r="Y894" i="8" s="1"/>
  <c r="W2181" i="8"/>
  <c r="X2181" i="8" s="1"/>
  <c r="Y2181" i="8" s="1"/>
  <c r="W2848" i="8"/>
  <c r="X2848" i="8" s="1"/>
  <c r="Y2848" i="8" s="1"/>
  <c r="W1756" i="8"/>
  <c r="X1756" i="8" s="1"/>
  <c r="Y1756" i="8" s="1"/>
  <c r="W2465" i="8"/>
  <c r="X2465" i="8" s="1"/>
  <c r="Y2465" i="8" s="1"/>
  <c r="W2636" i="8"/>
  <c r="X2636" i="8" s="1"/>
  <c r="Y2636" i="8" s="1"/>
  <c r="W2060" i="8"/>
  <c r="X2060" i="8" s="1"/>
  <c r="Y2060" i="8" s="1"/>
  <c r="W2186" i="8"/>
  <c r="X2186" i="8" s="1"/>
  <c r="Y2186" i="8" s="1"/>
  <c r="W593" i="8"/>
  <c r="X593" i="8" s="1"/>
  <c r="Y593" i="8" s="1"/>
  <c r="W1899" i="8"/>
  <c r="X1899" i="8" s="1"/>
  <c r="Y1899" i="8" s="1"/>
  <c r="W2442" i="8"/>
  <c r="X2442" i="8" s="1"/>
  <c r="Y2442" i="8" s="1"/>
  <c r="W1226" i="8"/>
  <c r="X1226" i="8" s="1"/>
  <c r="Y1226" i="8" s="1"/>
  <c r="W1013" i="8"/>
  <c r="X1013" i="8" s="1"/>
  <c r="Y1013" i="8" s="1"/>
  <c r="W1608" i="8"/>
  <c r="X1608" i="8" s="1"/>
  <c r="Y1608" i="8" s="1"/>
  <c r="W1413" i="8"/>
  <c r="X1413" i="8" s="1"/>
  <c r="Y1413" i="8" s="1"/>
  <c r="W1414" i="8"/>
  <c r="X1414" i="8" s="1"/>
  <c r="Y1414" i="8" s="1"/>
  <c r="W538" i="8"/>
  <c r="X538" i="8" s="1"/>
  <c r="Y538" i="8" s="1"/>
  <c r="W386" i="8"/>
  <c r="X386" i="8" s="1"/>
  <c r="Y386" i="8" s="1"/>
  <c r="W855" i="8"/>
  <c r="X855" i="8" s="1"/>
  <c r="Y855" i="8" s="1"/>
  <c r="W1262" i="8"/>
  <c r="X1262" i="8" s="1"/>
  <c r="Y1262" i="8" s="1"/>
  <c r="W689" i="8"/>
  <c r="X689" i="8" s="1"/>
  <c r="Y689" i="8" s="1"/>
  <c r="W267" i="8"/>
  <c r="X267" i="8" s="1"/>
  <c r="Y267" i="8" s="1"/>
  <c r="W878" i="8"/>
  <c r="X878" i="8" s="1"/>
  <c r="Y878" i="8" s="1"/>
  <c r="W2784" i="8"/>
  <c r="X2784" i="8" s="1"/>
  <c r="Y2784" i="8" s="1"/>
  <c r="W1349" i="8"/>
  <c r="X1349" i="8" s="1"/>
  <c r="Y1349" i="8" s="1"/>
  <c r="W576" i="8"/>
  <c r="X576" i="8" s="1"/>
  <c r="Y576" i="8" s="1"/>
  <c r="W257" i="8"/>
  <c r="X257" i="8" s="1"/>
  <c r="Y257" i="8" s="1"/>
  <c r="W1541" i="8"/>
  <c r="X1541" i="8" s="1"/>
  <c r="Y1541" i="8" s="1"/>
  <c r="W1576" i="8"/>
  <c r="X1576" i="8" s="1"/>
  <c r="Y1576" i="8" s="1"/>
  <c r="W2056" i="8"/>
  <c r="X2056" i="8" s="1"/>
  <c r="Y2056" i="8" s="1"/>
  <c r="W1935" i="8"/>
  <c r="X1935" i="8" s="1"/>
  <c r="Y1935" i="8" s="1"/>
  <c r="W1332" i="8"/>
  <c r="X1332" i="8" s="1"/>
  <c r="Y1332" i="8" s="1"/>
  <c r="W2904" i="8"/>
  <c r="X2904" i="8" s="1"/>
  <c r="Y2904" i="8" s="1"/>
  <c r="W2034" i="8"/>
  <c r="X2034" i="8" s="1"/>
  <c r="Y2034" i="8" s="1"/>
  <c r="W2523" i="8"/>
  <c r="X2523" i="8" s="1"/>
  <c r="Y2523" i="8" s="1"/>
  <c r="W1244" i="8"/>
  <c r="X1244" i="8" s="1"/>
  <c r="Y1244" i="8" s="1"/>
  <c r="W2086" i="8"/>
  <c r="X2086" i="8" s="1"/>
  <c r="Y2086" i="8" s="1"/>
  <c r="W1812" i="8"/>
  <c r="X1812" i="8" s="1"/>
  <c r="Y1812" i="8" s="1"/>
  <c r="W1972" i="8"/>
  <c r="X1972" i="8" s="1"/>
  <c r="Y1972" i="8" s="1"/>
  <c r="W1736" i="8"/>
  <c r="X1736" i="8" s="1"/>
  <c r="Y1736" i="8" s="1"/>
  <c r="W2137" i="8"/>
  <c r="X2137" i="8" s="1"/>
  <c r="Y2137" i="8" s="1"/>
  <c r="W597" i="8"/>
  <c r="X597" i="8" s="1"/>
  <c r="Y597" i="8" s="1"/>
  <c r="W145" i="8"/>
  <c r="X145" i="8" s="1"/>
  <c r="Y145" i="8" s="1"/>
  <c r="W346" i="8"/>
  <c r="X346" i="8" s="1"/>
  <c r="Y346" i="8" s="1"/>
  <c r="W1443" i="8"/>
  <c r="X1443" i="8" s="1"/>
  <c r="Y1443" i="8" s="1"/>
  <c r="W2230" i="8"/>
  <c r="X2230" i="8" s="1"/>
  <c r="Y2230" i="8" s="1"/>
  <c r="W2821" i="8"/>
  <c r="X2821" i="8" s="1"/>
  <c r="Y2821" i="8" s="1"/>
  <c r="W1634" i="8"/>
  <c r="X1634" i="8" s="1"/>
  <c r="Y1634" i="8" s="1"/>
  <c r="W1447" i="8"/>
  <c r="X1447" i="8" s="1"/>
  <c r="Y1447" i="8" s="1"/>
  <c r="W2761" i="8"/>
  <c r="X2761" i="8" s="1"/>
  <c r="Y2761" i="8" s="1"/>
  <c r="W2833" i="8"/>
  <c r="X2833" i="8" s="1"/>
  <c r="Y2833" i="8" s="1"/>
  <c r="W2808" i="8"/>
  <c r="X2808" i="8" s="1"/>
  <c r="Y2808" i="8" s="1"/>
  <c r="W2982" i="8"/>
  <c r="X2982" i="8" s="1"/>
  <c r="Y2982" i="8" s="1"/>
  <c r="W1955" i="8"/>
  <c r="X1955" i="8" s="1"/>
  <c r="Y1955" i="8" s="1"/>
  <c r="W1453" i="8"/>
  <c r="X1453" i="8" s="1"/>
  <c r="Y1453" i="8" s="1"/>
  <c r="W1813" i="8"/>
  <c r="X1813" i="8" s="1"/>
  <c r="Y1813" i="8" s="1"/>
  <c r="W2223" i="8"/>
  <c r="X2223" i="8" s="1"/>
  <c r="Y2223" i="8" s="1"/>
  <c r="W486" i="8"/>
  <c r="X486" i="8" s="1"/>
  <c r="Y486" i="8" s="1"/>
  <c r="W1282" i="8"/>
  <c r="X1282" i="8" s="1"/>
  <c r="Y1282" i="8" s="1"/>
  <c r="W499" i="8"/>
  <c r="X499" i="8" s="1"/>
  <c r="Y499" i="8" s="1"/>
  <c r="W990" i="8"/>
  <c r="X990" i="8" s="1"/>
  <c r="Y990" i="8" s="1"/>
  <c r="W1730" i="8"/>
  <c r="X1730" i="8" s="1"/>
  <c r="Y1730" i="8" s="1"/>
  <c r="W2664" i="8"/>
  <c r="X2664" i="8" s="1"/>
  <c r="Y2664" i="8" s="1"/>
  <c r="W2110" i="8"/>
  <c r="X2110" i="8" s="1"/>
  <c r="Y2110" i="8" s="1"/>
  <c r="W367" i="8"/>
  <c r="X367" i="8" s="1"/>
  <c r="Y367" i="8" s="1"/>
  <c r="W1722" i="8"/>
  <c r="X1722" i="8" s="1"/>
  <c r="Y1722" i="8" s="1"/>
  <c r="W923" i="8"/>
  <c r="X923" i="8" s="1"/>
  <c r="Y923" i="8" s="1"/>
  <c r="W1646" i="8"/>
  <c r="X1646" i="8" s="1"/>
  <c r="Y1646" i="8" s="1"/>
  <c r="W833" i="8"/>
  <c r="X833" i="8" s="1"/>
  <c r="Y833" i="8" s="1"/>
  <c r="W1643" i="8"/>
  <c r="X1643" i="8" s="1"/>
  <c r="Y1643" i="8" s="1"/>
  <c r="W2935" i="8"/>
  <c r="X2935" i="8" s="1"/>
  <c r="Y2935" i="8" s="1"/>
  <c r="W1022" i="8"/>
  <c r="X1022" i="8" s="1"/>
  <c r="Y1022" i="8" s="1"/>
  <c r="W157" i="8"/>
  <c r="X157" i="8" s="1"/>
  <c r="Y157" i="8" s="1"/>
  <c r="W1472" i="8"/>
  <c r="X1472" i="8" s="1"/>
  <c r="Y1472" i="8" s="1"/>
  <c r="W2918" i="8"/>
  <c r="X2918" i="8" s="1"/>
  <c r="Y2918" i="8" s="1"/>
  <c r="W594" i="8"/>
  <c r="X594" i="8" s="1"/>
  <c r="Y594" i="8" s="1"/>
  <c r="W506" i="8"/>
  <c r="X506" i="8" s="1"/>
  <c r="Y506" i="8" s="1"/>
  <c r="W1315" i="8"/>
  <c r="X1315" i="8" s="1"/>
  <c r="Y1315" i="8" s="1"/>
  <c r="W1967" i="8"/>
  <c r="X1967" i="8" s="1"/>
  <c r="Y1967" i="8" s="1"/>
  <c r="W373" i="8"/>
  <c r="X373" i="8" s="1"/>
  <c r="Y373" i="8" s="1"/>
  <c r="W1053" i="8"/>
  <c r="X1053" i="8" s="1"/>
  <c r="Y1053" i="8" s="1"/>
  <c r="W1590" i="8"/>
  <c r="X1590" i="8" s="1"/>
  <c r="Y1590" i="8" s="1"/>
  <c r="W2346" i="8"/>
  <c r="X2346" i="8" s="1"/>
  <c r="Y2346" i="8" s="1"/>
  <c r="W513" i="8"/>
  <c r="X513" i="8" s="1"/>
  <c r="Y513" i="8" s="1"/>
  <c r="W429" i="8"/>
  <c r="X429" i="8" s="1"/>
  <c r="Y429" i="8" s="1"/>
  <c r="W1495" i="8"/>
  <c r="X1495" i="8" s="1"/>
  <c r="Y1495" i="8" s="1"/>
  <c r="W869" i="8"/>
  <c r="X869" i="8" s="1"/>
  <c r="Y869" i="8" s="1"/>
  <c r="W333" i="8"/>
  <c r="X333" i="8" s="1"/>
  <c r="Y333" i="8" s="1"/>
  <c r="W1521" i="8"/>
  <c r="X1521" i="8" s="1"/>
  <c r="Y1521" i="8" s="1"/>
  <c r="W2091" i="8"/>
  <c r="X2091" i="8" s="1"/>
  <c r="Y2091" i="8" s="1"/>
  <c r="W1681" i="8"/>
  <c r="X1681" i="8" s="1"/>
  <c r="Y1681" i="8" s="1"/>
  <c r="W1990" i="8"/>
  <c r="X1990" i="8" s="1"/>
  <c r="Y1990" i="8" s="1"/>
  <c r="W3026" i="8"/>
  <c r="X3026" i="8" s="1"/>
  <c r="Y3026" i="8" s="1"/>
  <c r="W1492" i="8"/>
  <c r="X1492" i="8" s="1"/>
  <c r="Y1492" i="8" s="1"/>
  <c r="W1100" i="8"/>
  <c r="X1100" i="8" s="1"/>
  <c r="Y1100" i="8" s="1"/>
  <c r="W922" i="8"/>
  <c r="X922" i="8" s="1"/>
  <c r="Y922" i="8" s="1"/>
  <c r="W323" i="8"/>
  <c r="X323" i="8" s="1"/>
  <c r="Y323" i="8" s="1"/>
  <c r="W2309" i="8"/>
  <c r="X2309" i="8" s="1"/>
  <c r="Y2309" i="8" s="1"/>
  <c r="W1422" i="8"/>
  <c r="X1422" i="8" s="1"/>
  <c r="Y1422" i="8" s="1"/>
  <c r="W741" i="8"/>
  <c r="X741" i="8" s="1"/>
  <c r="Y741" i="8" s="1"/>
  <c r="W1499" i="8"/>
  <c r="X1499" i="8" s="1"/>
  <c r="Y1499" i="8" s="1"/>
  <c r="W1729" i="8"/>
  <c r="X1729" i="8" s="1"/>
  <c r="Y1729" i="8" s="1"/>
  <c r="W1501" i="8"/>
  <c r="X1501" i="8" s="1"/>
  <c r="Y1501" i="8" s="1"/>
  <c r="W3076" i="8"/>
  <c r="X3076" i="8" s="1"/>
  <c r="Y3076" i="8" s="1"/>
  <c r="W1118" i="8"/>
  <c r="X1118" i="8" s="1"/>
  <c r="Y1118" i="8" s="1"/>
  <c r="W1806" i="8"/>
  <c r="X1806" i="8" s="1"/>
  <c r="Y1806" i="8" s="1"/>
  <c r="W2791" i="8"/>
  <c r="X2791" i="8" s="1"/>
  <c r="Y2791" i="8" s="1"/>
  <c r="W1532" i="8"/>
  <c r="X1532" i="8" s="1"/>
  <c r="Y1532" i="8" s="1"/>
  <c r="W1448" i="8"/>
  <c r="X1448" i="8" s="1"/>
  <c r="Y1448" i="8" s="1"/>
  <c r="W2103" i="8"/>
  <c r="X2103" i="8" s="1"/>
  <c r="Y2103" i="8" s="1"/>
  <c r="W1690" i="8"/>
  <c r="X1690" i="8" s="1"/>
  <c r="Y1690" i="8" s="1"/>
  <c r="W1831" i="8"/>
  <c r="X1831" i="8" s="1"/>
  <c r="Y1831" i="8" s="1"/>
  <c r="W1246" i="8"/>
  <c r="X1246" i="8" s="1"/>
  <c r="Y1246" i="8" s="1"/>
  <c r="W2954" i="8"/>
  <c r="X2954" i="8" s="1"/>
  <c r="Y2954" i="8" s="1"/>
  <c r="W551" i="8"/>
  <c r="X551" i="8" s="1"/>
  <c r="Y551" i="8" s="1"/>
  <c r="W2254" i="8"/>
  <c r="X2254" i="8" s="1"/>
  <c r="Y2254" i="8" s="1"/>
  <c r="W353" i="8"/>
  <c r="X353" i="8" s="1"/>
  <c r="Y353" i="8" s="1"/>
  <c r="W1179" i="8"/>
  <c r="X1179" i="8" s="1"/>
  <c r="Y1179" i="8" s="1"/>
  <c r="W760" i="8"/>
  <c r="X760" i="8" s="1"/>
  <c r="Y760" i="8" s="1"/>
  <c r="W2311" i="8"/>
  <c r="X2311" i="8" s="1"/>
  <c r="Y2311" i="8" s="1"/>
  <c r="W944" i="8"/>
  <c r="X944" i="8" s="1"/>
  <c r="Y944" i="8" s="1"/>
  <c r="W994" i="8"/>
  <c r="X994" i="8" s="1"/>
  <c r="Y994" i="8" s="1"/>
  <c r="W1881" i="8"/>
  <c r="X1881" i="8" s="1"/>
  <c r="Y1881" i="8" s="1"/>
  <c r="W286" i="8"/>
  <c r="X286" i="8" s="1"/>
  <c r="Y286" i="8" s="1"/>
  <c r="W2924" i="8"/>
  <c r="X2924" i="8" s="1"/>
  <c r="Y2924" i="8" s="1"/>
  <c r="W1278" i="8"/>
  <c r="X1278" i="8" s="1"/>
  <c r="Y1278" i="8" s="1"/>
  <c r="W966" i="8"/>
  <c r="X966" i="8" s="1"/>
  <c r="Y966" i="8" s="1"/>
  <c r="W1595" i="8"/>
  <c r="X1595" i="8" s="1"/>
  <c r="Y1595" i="8" s="1"/>
  <c r="W886" i="8"/>
  <c r="X886" i="8" s="1"/>
  <c r="Y886" i="8" s="1"/>
  <c r="W347" i="8"/>
  <c r="X347" i="8" s="1"/>
  <c r="Y347" i="8" s="1"/>
  <c r="W2556" i="8"/>
  <c r="X2556" i="8" s="1"/>
  <c r="Y2556" i="8" s="1"/>
  <c r="W957" i="8"/>
  <c r="X957" i="8" s="1"/>
  <c r="Y957" i="8" s="1"/>
  <c r="W2538" i="8"/>
  <c r="X2538" i="8" s="1"/>
  <c r="Y2538" i="8" s="1"/>
  <c r="W2620" i="8"/>
  <c r="X2620" i="8" s="1"/>
  <c r="Y2620" i="8" s="1"/>
  <c r="W648" i="8"/>
  <c r="X648" i="8" s="1"/>
  <c r="Y648" i="8" s="1"/>
  <c r="W973" i="8"/>
  <c r="X973" i="8" s="1"/>
  <c r="Y973" i="8" s="1"/>
  <c r="W811" i="8"/>
  <c r="X811" i="8" s="1"/>
  <c r="Y811" i="8" s="1"/>
  <c r="W965" i="8"/>
  <c r="X965" i="8" s="1"/>
  <c r="Y965" i="8" s="1"/>
  <c r="W1537" i="8"/>
  <c r="X1537" i="8" s="1"/>
  <c r="Y1537" i="8" s="1"/>
  <c r="W650" i="8"/>
  <c r="X650" i="8" s="1"/>
  <c r="Y650" i="8" s="1"/>
  <c r="W1239" i="8"/>
  <c r="X1239" i="8" s="1"/>
  <c r="Y1239" i="8" s="1"/>
  <c r="W1938" i="8"/>
  <c r="X1938" i="8" s="1"/>
  <c r="Y1938" i="8" s="1"/>
  <c r="W3054" i="8"/>
  <c r="X3054" i="8" s="1"/>
  <c r="Y3054" i="8" s="1"/>
  <c r="W191" i="8"/>
  <c r="X191" i="8" s="1"/>
  <c r="Y191" i="8" s="1"/>
  <c r="W1456" i="8"/>
  <c r="X1456" i="8" s="1"/>
  <c r="Y1456" i="8" s="1"/>
  <c r="W361" i="8"/>
  <c r="X361" i="8" s="1"/>
  <c r="Y361" i="8" s="1"/>
  <c r="W859" i="8"/>
  <c r="X859" i="8" s="1"/>
  <c r="Y859" i="8" s="1"/>
  <c r="W1030" i="8"/>
  <c r="X1030" i="8" s="1"/>
  <c r="Y1030" i="8" s="1"/>
  <c r="W2687" i="8"/>
  <c r="X2687" i="8" s="1"/>
  <c r="Y2687" i="8" s="1"/>
  <c r="W1392" i="8"/>
  <c r="X1392" i="8" s="1"/>
  <c r="Y1392" i="8" s="1"/>
  <c r="W1196" i="8"/>
  <c r="X1196" i="8" s="1"/>
  <c r="Y1196" i="8" s="1"/>
  <c r="W3015" i="8"/>
  <c r="X3015" i="8" s="1"/>
  <c r="Y3015" i="8" s="1"/>
  <c r="W2278" i="8"/>
  <c r="X2278" i="8" s="1"/>
  <c r="Y2278" i="8" s="1"/>
  <c r="W2650" i="8"/>
  <c r="X2650" i="8" s="1"/>
  <c r="Y2650" i="8" s="1"/>
  <c r="W1758" i="8"/>
  <c r="X1758" i="8" s="1"/>
  <c r="Y1758" i="8" s="1"/>
  <c r="W531" i="8"/>
  <c r="X531" i="8" s="1"/>
  <c r="Y531" i="8" s="1"/>
  <c r="W1822" i="8"/>
  <c r="X1822" i="8" s="1"/>
  <c r="Y1822" i="8" s="1"/>
  <c r="W1556" i="8"/>
  <c r="X1556" i="8" s="1"/>
  <c r="Y1556" i="8" s="1"/>
  <c r="W2417" i="8"/>
  <c r="X2417" i="8" s="1"/>
  <c r="Y2417" i="8" s="1"/>
  <c r="W794" i="8"/>
  <c r="X794" i="8" s="1"/>
  <c r="Y794" i="8" s="1"/>
  <c r="W1559" i="8"/>
  <c r="X1559" i="8" s="1"/>
  <c r="Y1559" i="8" s="1"/>
  <c r="W536" i="8"/>
  <c r="X536" i="8" s="1"/>
  <c r="Y536" i="8" s="1"/>
  <c r="W1418" i="8"/>
  <c r="X1418" i="8" s="1"/>
  <c r="Y1418" i="8" s="1"/>
  <c r="W1591" i="8"/>
  <c r="X1591" i="8" s="1"/>
  <c r="Y1591" i="8" s="1"/>
  <c r="W2149" i="8"/>
  <c r="X2149" i="8" s="1"/>
  <c r="Y2149" i="8" s="1"/>
  <c r="W1790" i="8"/>
  <c r="X1790" i="8" s="1"/>
  <c r="Y1790" i="8" s="1"/>
  <c r="W1600" i="8"/>
  <c r="X1600" i="8" s="1"/>
  <c r="Y1600" i="8" s="1"/>
  <c r="W186" i="8"/>
  <c r="X186" i="8" s="1"/>
  <c r="Y186" i="8" s="1"/>
  <c r="W1445" i="8"/>
  <c r="X1445" i="8" s="1"/>
  <c r="Y1445" i="8" s="1"/>
  <c r="W1344" i="8"/>
  <c r="X1344" i="8" s="1"/>
  <c r="Y1344" i="8" s="1"/>
  <c r="W426" i="8"/>
  <c r="X426" i="8" s="1"/>
  <c r="Y426" i="8" s="1"/>
  <c r="W1570" i="8"/>
  <c r="X1570" i="8" s="1"/>
  <c r="Y1570" i="8" s="1"/>
  <c r="W952" i="8"/>
  <c r="X952" i="8" s="1"/>
  <c r="Y952" i="8" s="1"/>
  <c r="W481" i="8"/>
  <c r="X481" i="8" s="1"/>
  <c r="Y481" i="8" s="1"/>
  <c r="W1904" i="8"/>
  <c r="X1904" i="8" s="1"/>
  <c r="Y1904" i="8" s="1"/>
  <c r="W756" i="8"/>
  <c r="X756" i="8" s="1"/>
  <c r="Y756" i="8" s="1"/>
  <c r="W116" i="8"/>
  <c r="X116" i="8" s="1"/>
  <c r="Y116" i="8" s="1"/>
  <c r="W633" i="8"/>
  <c r="X633" i="8" s="1"/>
  <c r="Y633" i="8" s="1"/>
  <c r="W463" i="8"/>
  <c r="X463" i="8" s="1"/>
  <c r="Y463" i="8" s="1"/>
  <c r="W2269" i="8"/>
  <c r="X2269" i="8" s="1"/>
  <c r="Y2269" i="8" s="1"/>
  <c r="W984" i="8"/>
  <c r="X984" i="8" s="1"/>
  <c r="Y984" i="8" s="1"/>
  <c r="W1978" i="8"/>
  <c r="X1978" i="8" s="1"/>
  <c r="Y1978" i="8" s="1"/>
  <c r="W2958" i="8"/>
  <c r="X2958" i="8" s="1"/>
  <c r="Y2958" i="8" s="1"/>
  <c r="W2105" i="8"/>
  <c r="X2105" i="8" s="1"/>
  <c r="Y2105" i="8" s="1"/>
  <c r="W842" i="8"/>
  <c r="X842" i="8" s="1"/>
  <c r="Y842" i="8" s="1"/>
  <c r="W2055" i="8"/>
  <c r="X2055" i="8" s="1"/>
  <c r="Y2055" i="8" s="1"/>
  <c r="W708" i="8"/>
  <c r="X708" i="8" s="1"/>
  <c r="Y708" i="8" s="1"/>
  <c r="W1883" i="8"/>
  <c r="X1883" i="8" s="1"/>
  <c r="Y1883" i="8" s="1"/>
  <c r="W999" i="8"/>
  <c r="X999" i="8" s="1"/>
  <c r="Y999" i="8" s="1"/>
  <c r="W2669" i="8"/>
  <c r="X2669" i="8" s="1"/>
  <c r="Y2669" i="8" s="1"/>
  <c r="W103" i="8"/>
  <c r="X103" i="8" s="1"/>
  <c r="Y103" i="8" s="1"/>
  <c r="W2087" i="8"/>
  <c r="X2087" i="8" s="1"/>
  <c r="Y2087" i="8" s="1"/>
  <c r="W959" i="8"/>
  <c r="X959" i="8" s="1"/>
  <c r="Y959" i="8" s="1"/>
  <c r="W565" i="8"/>
  <c r="X565" i="8" s="1"/>
  <c r="Y565" i="8" s="1"/>
  <c r="W925" i="8"/>
  <c r="X925" i="8" s="1"/>
  <c r="Y925" i="8" s="1"/>
  <c r="W1594" i="8"/>
  <c r="X1594" i="8" s="1"/>
  <c r="Y1594" i="8" s="1"/>
  <c r="W2777" i="8"/>
  <c r="X2777" i="8" s="1"/>
  <c r="Y2777" i="8" s="1"/>
  <c r="W641" i="8"/>
  <c r="X641" i="8" s="1"/>
  <c r="Y641" i="8" s="1"/>
  <c r="W1597" i="8"/>
  <c r="X1597" i="8" s="1"/>
  <c r="Y1597" i="8" s="1"/>
  <c r="W2752" i="8"/>
  <c r="X2752" i="8" s="1"/>
  <c r="Y2752" i="8" s="1"/>
  <c r="W1506" i="8"/>
  <c r="X1506" i="8" s="1"/>
  <c r="Y1506" i="8" s="1"/>
  <c r="W2038" i="8"/>
  <c r="X2038" i="8" s="1"/>
  <c r="Y2038" i="8" s="1"/>
  <c r="W764" i="8"/>
  <c r="X764" i="8" s="1"/>
  <c r="Y764" i="8" s="1"/>
  <c r="W1008" i="8"/>
  <c r="X1008" i="8" s="1"/>
  <c r="Y1008" i="8" s="1"/>
  <c r="W1484" i="8"/>
  <c r="X1484" i="8" s="1"/>
  <c r="Y1484" i="8" s="1"/>
  <c r="W325" i="8"/>
  <c r="X325" i="8" s="1"/>
  <c r="Y325" i="8" s="1"/>
  <c r="W2746" i="8"/>
  <c r="X2746" i="8" s="1"/>
  <c r="Y2746" i="8" s="1"/>
  <c r="W2264" i="8"/>
  <c r="X2264" i="8" s="1"/>
  <c r="Y2264" i="8" s="1"/>
  <c r="W804" i="8"/>
  <c r="X804" i="8" s="1"/>
  <c r="Y804" i="8" s="1"/>
  <c r="W2589" i="8"/>
  <c r="X2589" i="8" s="1"/>
  <c r="Y2589" i="8" s="1"/>
  <c r="W2327" i="8"/>
  <c r="X2327" i="8" s="1"/>
  <c r="Y2327" i="8" s="1"/>
  <c r="W2220" i="8"/>
  <c r="X2220" i="8" s="1"/>
  <c r="Y2220" i="8" s="1"/>
  <c r="W1611" i="8"/>
  <c r="X1611" i="8" s="1"/>
  <c r="Y1611" i="8" s="1"/>
  <c r="W2552" i="8"/>
  <c r="X2552" i="8" s="1"/>
  <c r="Y2552" i="8" s="1"/>
  <c r="W815" i="8"/>
  <c r="X815" i="8" s="1"/>
  <c r="Y815" i="8" s="1"/>
  <c r="W1535" i="8"/>
  <c r="X1535" i="8" s="1"/>
  <c r="Y1535" i="8" s="1"/>
  <c r="W1671" i="8"/>
  <c r="X1671" i="8" s="1"/>
  <c r="Y1671" i="8" s="1"/>
  <c r="W1616" i="8"/>
  <c r="X1616" i="8" s="1"/>
  <c r="Y1616" i="8" s="1"/>
  <c r="W1562" i="8"/>
  <c r="X1562" i="8" s="1"/>
  <c r="Y1562" i="8" s="1"/>
  <c r="W1818" i="8"/>
  <c r="X1818" i="8" s="1"/>
  <c r="Y1818" i="8" s="1"/>
  <c r="W2847" i="8"/>
  <c r="X2847" i="8" s="1"/>
  <c r="Y2847" i="8" s="1"/>
  <c r="W1214" i="8"/>
  <c r="X1214" i="8" s="1"/>
  <c r="Y1214" i="8" s="1"/>
  <c r="W712" i="8"/>
  <c r="X712" i="8" s="1"/>
  <c r="Y712" i="8" s="1"/>
  <c r="W2234" i="8"/>
  <c r="X2234" i="8" s="1"/>
  <c r="Y2234" i="8" s="1"/>
  <c r="W600" i="8"/>
  <c r="X600" i="8" s="1"/>
  <c r="Y600" i="8" s="1"/>
  <c r="W141" i="8"/>
  <c r="X141" i="8" s="1"/>
  <c r="Y141" i="8" s="1"/>
  <c r="W1321" i="8"/>
  <c r="X1321" i="8" s="1"/>
  <c r="Y1321" i="8" s="1"/>
  <c r="W274" i="8"/>
  <c r="X274" i="8" s="1"/>
  <c r="Y274" i="8" s="1"/>
  <c r="W698" i="8"/>
  <c r="X698" i="8" s="1"/>
  <c r="Y698" i="8" s="1"/>
  <c r="W249" i="8"/>
  <c r="X249" i="8" s="1"/>
  <c r="Y249" i="8" s="1"/>
  <c r="W2578" i="8"/>
  <c r="X2578" i="8" s="1"/>
  <c r="Y2578" i="8" s="1"/>
  <c r="W543" i="8"/>
  <c r="X543" i="8" s="1"/>
  <c r="Y543" i="8" s="1"/>
  <c r="W2065" i="8"/>
  <c r="X2065" i="8" s="1"/>
  <c r="Y2065" i="8" s="1"/>
  <c r="W2433" i="8"/>
  <c r="X2433" i="8" s="1"/>
  <c r="Y2433" i="8" s="1"/>
  <c r="W651" i="8"/>
  <c r="X651" i="8" s="1"/>
  <c r="Y651" i="8" s="1"/>
  <c r="W422" i="8"/>
  <c r="X422" i="8" s="1"/>
  <c r="Y422" i="8" s="1"/>
  <c r="W3022" i="8"/>
  <c r="X3022" i="8" s="1"/>
  <c r="Y3022" i="8" s="1"/>
  <c r="W540" i="8"/>
  <c r="X540" i="8" s="1"/>
  <c r="Y540" i="8" s="1"/>
  <c r="W93" i="8"/>
  <c r="X93" i="8" s="1"/>
  <c r="Y93" i="8" s="1"/>
  <c r="W2500" i="8"/>
  <c r="X2500" i="8" s="1"/>
  <c r="Y2500" i="8" s="1"/>
  <c r="W2083" i="8"/>
  <c r="X2083" i="8" s="1"/>
  <c r="Y2083" i="8" s="1"/>
  <c r="W697" i="8"/>
  <c r="X697" i="8" s="1"/>
  <c r="Y697" i="8" s="1"/>
  <c r="W2275" i="8"/>
  <c r="X2275" i="8" s="1"/>
  <c r="Y2275" i="8" s="1"/>
  <c r="W1639" i="8"/>
  <c r="X1639" i="8" s="1"/>
  <c r="Y1639" i="8" s="1"/>
  <c r="W2420" i="8"/>
  <c r="X2420" i="8" s="1"/>
  <c r="Y2420" i="8" s="1"/>
  <c r="W2084" i="8"/>
  <c r="X2084" i="8" s="1"/>
  <c r="Y2084" i="8" s="1"/>
  <c r="W52" i="8"/>
  <c r="X52" i="8" s="1"/>
  <c r="Y52" i="8" s="1"/>
  <c r="W889" i="8"/>
  <c r="X889" i="8" s="1"/>
  <c r="Y889" i="8" s="1"/>
  <c r="W1647" i="8"/>
  <c r="X1647" i="8" s="1"/>
  <c r="Y1647" i="8" s="1"/>
  <c r="W2572" i="8"/>
  <c r="X2572" i="8" s="1"/>
  <c r="Y2572" i="8" s="1"/>
  <c r="W1711" i="8"/>
  <c r="X1711" i="8" s="1"/>
  <c r="Y1711" i="8" s="1"/>
  <c r="W2167" i="8"/>
  <c r="X2167" i="8" s="1"/>
  <c r="Y2167" i="8" s="1"/>
  <c r="W1149" i="8"/>
  <c r="X1149" i="8" s="1"/>
  <c r="Y1149" i="8" s="1"/>
  <c r="W832" i="8"/>
  <c r="X832" i="8" s="1"/>
  <c r="Y832" i="8" s="1"/>
  <c r="W781" i="8"/>
  <c r="X781" i="8" s="1"/>
  <c r="Y781" i="8" s="1"/>
  <c r="W2849" i="8"/>
  <c r="X2849" i="8" s="1"/>
  <c r="Y2849" i="8" s="1"/>
  <c r="W2488" i="8"/>
  <c r="X2488" i="8" s="1"/>
  <c r="Y2488" i="8" s="1"/>
  <c r="W2786" i="8"/>
  <c r="X2786" i="8" s="1"/>
  <c r="Y2786" i="8" s="1"/>
  <c r="W2812" i="8"/>
  <c r="X2812" i="8" s="1"/>
  <c r="Y2812" i="8" s="1"/>
  <c r="W961" i="8"/>
  <c r="X961" i="8" s="1"/>
  <c r="Y961" i="8" s="1"/>
  <c r="W669" i="8"/>
  <c r="X669" i="8" s="1"/>
  <c r="Y669" i="8" s="1"/>
  <c r="W2435" i="8"/>
  <c r="X2435" i="8" s="1"/>
  <c r="Y2435" i="8" s="1"/>
  <c r="W2747" i="8"/>
  <c r="X2747" i="8" s="1"/>
  <c r="Y2747" i="8" s="1"/>
  <c r="W566" i="8"/>
  <c r="X566" i="8" s="1"/>
  <c r="Y566" i="8" s="1"/>
  <c r="W1842" i="8"/>
  <c r="X1842" i="8" s="1"/>
  <c r="Y1842" i="8" s="1"/>
  <c r="W1945" i="8"/>
  <c r="X1945" i="8" s="1"/>
  <c r="Y1945" i="8" s="1"/>
  <c r="W1519" i="8"/>
  <c r="X1519" i="8" s="1"/>
  <c r="Y1519" i="8" s="1"/>
  <c r="W636" i="8"/>
  <c r="X636" i="8" s="1"/>
  <c r="Y636" i="8" s="1"/>
  <c r="W358" i="8"/>
  <c r="X358" i="8" s="1"/>
  <c r="Y358" i="8" s="1"/>
  <c r="W271" i="8"/>
  <c r="X271" i="8" s="1"/>
  <c r="Y271" i="8" s="1"/>
  <c r="W321" i="8"/>
  <c r="X321" i="8" s="1"/>
  <c r="Y321" i="8" s="1"/>
  <c r="W1638" i="8"/>
  <c r="X1638" i="8" s="1"/>
  <c r="Y1638" i="8" s="1"/>
  <c r="W1334" i="8"/>
  <c r="X1334" i="8" s="1"/>
  <c r="Y1334" i="8" s="1"/>
  <c r="W862" i="8"/>
  <c r="X862" i="8" s="1"/>
  <c r="Y862" i="8" s="1"/>
  <c r="W1359" i="8"/>
  <c r="X1359" i="8" s="1"/>
  <c r="Y1359" i="8" s="1"/>
  <c r="W1642" i="8"/>
  <c r="X1642" i="8" s="1"/>
  <c r="Y1642" i="8" s="1"/>
  <c r="W1603" i="8"/>
  <c r="X1603" i="8" s="1"/>
  <c r="Y1603" i="8" s="1"/>
  <c r="W1167" i="8"/>
  <c r="X1167" i="8" s="1"/>
  <c r="Y1167" i="8" s="1"/>
  <c r="W1148" i="8"/>
  <c r="X1148" i="8" s="1"/>
  <c r="Y1148" i="8" s="1"/>
  <c r="W1678" i="8"/>
  <c r="X1678" i="8" s="1"/>
  <c r="Y1678" i="8" s="1"/>
  <c r="W727" i="8"/>
  <c r="X727" i="8" s="1"/>
  <c r="Y727" i="8" s="1"/>
  <c r="W926" i="8"/>
  <c r="X926" i="8" s="1"/>
  <c r="Y926" i="8" s="1"/>
  <c r="W2706" i="8"/>
  <c r="X2706" i="8" s="1"/>
  <c r="Y2706" i="8" s="1"/>
  <c r="W2842" i="8"/>
  <c r="X2842" i="8" s="1"/>
  <c r="Y2842" i="8" s="1"/>
  <c r="W2512" i="8"/>
  <c r="X2512" i="8" s="1"/>
  <c r="Y2512" i="8" s="1"/>
  <c r="W2066" i="8"/>
  <c r="X2066" i="8" s="1"/>
  <c r="Y2066" i="8" s="1"/>
  <c r="W95" i="8"/>
  <c r="X95" i="8" s="1"/>
  <c r="Y95" i="8" s="1"/>
  <c r="W2564" i="8"/>
  <c r="X2564" i="8" s="1"/>
  <c r="Y2564" i="8" s="1"/>
  <c r="W2854" i="8"/>
  <c r="X2854" i="8" s="1"/>
  <c r="Y2854" i="8" s="1"/>
  <c r="W895" i="8"/>
  <c r="X895" i="8" s="1"/>
  <c r="Y895" i="8" s="1"/>
  <c r="W1984" i="8"/>
  <c r="X1984" i="8" s="1"/>
  <c r="Y1984" i="8" s="1"/>
  <c r="W2048" i="8"/>
  <c r="X2048" i="8" s="1"/>
  <c r="Y2048" i="8" s="1"/>
  <c r="W1691" i="8"/>
  <c r="X1691" i="8" s="1"/>
  <c r="Y1691" i="8" s="1"/>
  <c r="W1210" i="8"/>
  <c r="X1210" i="8" s="1"/>
  <c r="Y1210" i="8" s="1"/>
  <c r="W1914" i="8"/>
  <c r="X1914" i="8" s="1"/>
  <c r="Y1914" i="8" s="1"/>
  <c r="W108" i="8"/>
  <c r="X108" i="8" s="1"/>
  <c r="Y108" i="8" s="1"/>
  <c r="W601" i="8"/>
  <c r="X601" i="8" s="1"/>
  <c r="Y601" i="8" s="1"/>
  <c r="W1377" i="8"/>
  <c r="X1377" i="8" s="1"/>
  <c r="Y1377" i="8" s="1"/>
  <c r="W2272" i="8"/>
  <c r="X2272" i="8" s="1"/>
  <c r="Y2272" i="8" s="1"/>
  <c r="W941" i="8"/>
  <c r="X941" i="8" s="1"/>
  <c r="Y941" i="8" s="1"/>
  <c r="W279" i="8"/>
  <c r="X279" i="8" s="1"/>
  <c r="Y279" i="8" s="1"/>
  <c r="W2434" i="8"/>
  <c r="X2434" i="8" s="1"/>
  <c r="Y2434" i="8" s="1"/>
  <c r="W298" i="8"/>
  <c r="X298" i="8" s="1"/>
  <c r="Y298" i="8" s="1"/>
  <c r="W3065" i="8"/>
  <c r="X3065" i="8" s="1"/>
  <c r="Y3065" i="8" s="1"/>
  <c r="W2188" i="8"/>
  <c r="X2188" i="8" s="1"/>
  <c r="Y2188" i="8" s="1"/>
  <c r="W3050" i="8"/>
  <c r="X3050" i="8" s="1"/>
  <c r="Y3050" i="8" s="1"/>
  <c r="W96" i="8"/>
  <c r="X96" i="8" s="1"/>
  <c r="Y96" i="8" s="1"/>
  <c r="W968" i="8"/>
  <c r="X968" i="8" s="1"/>
  <c r="Y968" i="8" s="1"/>
  <c r="W490" i="8"/>
  <c r="X490" i="8" s="1"/>
  <c r="Y490" i="8" s="1"/>
  <c r="W1569" i="8"/>
  <c r="X1569" i="8" s="1"/>
  <c r="Y1569" i="8" s="1"/>
  <c r="W1709" i="8"/>
  <c r="X1709" i="8" s="1"/>
  <c r="Y1709" i="8" s="1"/>
  <c r="W2751" i="8"/>
  <c r="X2751" i="8" s="1"/>
  <c r="Y2751" i="8" s="1"/>
  <c r="W1406" i="8"/>
  <c r="X1406" i="8" s="1"/>
  <c r="Y1406" i="8" s="1"/>
  <c r="W2479" i="8"/>
  <c r="X2479" i="8" s="1"/>
  <c r="Y2479" i="8" s="1"/>
  <c r="W768" i="8"/>
  <c r="X768" i="8" s="1"/>
  <c r="Y768" i="8" s="1"/>
  <c r="W1165" i="8"/>
  <c r="X1165" i="8" s="1"/>
  <c r="Y1165" i="8" s="1"/>
  <c r="W2409" i="8"/>
  <c r="X2409" i="8" s="1"/>
  <c r="Y2409" i="8" s="1"/>
  <c r="W1716" i="8"/>
  <c r="X1716" i="8" s="1"/>
  <c r="Y1716" i="8" s="1"/>
  <c r="W2342" i="8"/>
  <c r="X2342" i="8" s="1"/>
  <c r="Y2342" i="8" s="1"/>
  <c r="W3043" i="8"/>
  <c r="X3043" i="8" s="1"/>
  <c r="Y3043" i="8" s="1"/>
  <c r="W893" i="8"/>
  <c r="X893" i="8" s="1"/>
  <c r="Y893" i="8" s="1"/>
  <c r="W1033" i="8"/>
  <c r="X1033" i="8" s="1"/>
  <c r="Y1033" i="8" s="1"/>
  <c r="W276" i="8"/>
  <c r="X276" i="8" s="1"/>
  <c r="Y276" i="8" s="1"/>
  <c r="W864" i="8"/>
  <c r="X864" i="8" s="1"/>
  <c r="Y864" i="8" s="1"/>
  <c r="W2725" i="8"/>
  <c r="X2725" i="8" s="1"/>
  <c r="Y2725" i="8" s="1"/>
  <c r="W404" i="8"/>
  <c r="X404" i="8" s="1"/>
  <c r="Y404" i="8" s="1"/>
  <c r="W740" i="8"/>
  <c r="X740" i="8" s="1"/>
  <c r="Y740" i="8" s="1"/>
  <c r="W2449" i="8"/>
  <c r="X2449" i="8" s="1"/>
  <c r="Y2449" i="8" s="1"/>
  <c r="W672" i="8"/>
  <c r="X672" i="8" s="1"/>
  <c r="Y672" i="8" s="1"/>
  <c r="W504" i="8"/>
  <c r="X504" i="8" s="1"/>
  <c r="Y504" i="8" s="1"/>
  <c r="W1607" i="8"/>
  <c r="X1607" i="8" s="1"/>
  <c r="Y1607" i="8" s="1"/>
  <c r="W2270" i="8"/>
  <c r="X2270" i="8" s="1"/>
  <c r="Y2270" i="8" s="1"/>
  <c r="W428" i="8"/>
  <c r="X428" i="8" s="1"/>
  <c r="Y428" i="8" s="1"/>
  <c r="W3074" i="8"/>
  <c r="X3074" i="8" s="1"/>
  <c r="Y3074" i="8" s="1"/>
  <c r="W1593" i="8"/>
  <c r="X1593" i="8" s="1"/>
  <c r="Y1593" i="8" s="1"/>
  <c r="W1734" i="8"/>
  <c r="X1734" i="8" s="1"/>
  <c r="Y1734" i="8" s="1"/>
  <c r="W1567" i="8"/>
  <c r="X1567" i="8" s="1"/>
  <c r="Y1567" i="8" s="1"/>
  <c r="W840" i="8"/>
  <c r="X840" i="8" s="1"/>
  <c r="Y840" i="8" s="1"/>
  <c r="W849" i="8"/>
  <c r="X849" i="8" s="1"/>
  <c r="Y849" i="8" s="1"/>
  <c r="W775" i="8"/>
  <c r="X775" i="8" s="1"/>
  <c r="Y775" i="8" s="1"/>
  <c r="W2593" i="8"/>
  <c r="X2593" i="8" s="1"/>
  <c r="Y2593" i="8" s="1"/>
  <c r="W639" i="8"/>
  <c r="X639" i="8" s="1"/>
  <c r="Y639" i="8" s="1"/>
  <c r="W1274" i="8"/>
  <c r="X1274" i="8" s="1"/>
  <c r="Y1274" i="8" s="1"/>
  <c r="W1345" i="8"/>
  <c r="X1345" i="8" s="1"/>
  <c r="Y1345" i="8" s="1"/>
  <c r="W1547" i="8"/>
  <c r="X1547" i="8" s="1"/>
  <c r="Y1547" i="8" s="1"/>
  <c r="W359" i="8"/>
  <c r="X359" i="8" s="1"/>
  <c r="Y359" i="8" s="1"/>
  <c r="W2469" i="8"/>
  <c r="X2469" i="8" s="1"/>
  <c r="Y2469" i="8" s="1"/>
  <c r="W581" i="8"/>
  <c r="X581" i="8" s="1"/>
  <c r="Y581" i="8" s="1"/>
  <c r="W2772" i="8"/>
  <c r="X2772" i="8" s="1"/>
  <c r="Y2772" i="8" s="1"/>
  <c r="W1382" i="8"/>
  <c r="X1382" i="8" s="1"/>
  <c r="Y1382" i="8" s="1"/>
  <c r="W1373" i="8"/>
  <c r="X1373" i="8" s="1"/>
  <c r="Y1373" i="8" s="1"/>
  <c r="W1627" i="8"/>
  <c r="X1627" i="8" s="1"/>
  <c r="Y1627" i="8" s="1"/>
  <c r="W3072" i="8"/>
  <c r="X3072" i="8" s="1"/>
  <c r="Y3072" i="8" s="1"/>
  <c r="W1227" i="8"/>
  <c r="X1227" i="8" s="1"/>
  <c r="Y1227" i="8" s="1"/>
  <c r="W1666" i="8"/>
  <c r="X1666" i="8" s="1"/>
  <c r="Y1666" i="8" s="1"/>
  <c r="W2411" i="8"/>
  <c r="X2411" i="8" s="1"/>
  <c r="Y2411" i="8" s="1"/>
  <c r="W1094" i="8"/>
  <c r="X1094" i="8" s="1"/>
  <c r="Y1094" i="8" s="1"/>
  <c r="W542" i="8"/>
  <c r="X542" i="8" s="1"/>
  <c r="Y542" i="8" s="1"/>
  <c r="W1757" i="8"/>
  <c r="X1757" i="8" s="1"/>
  <c r="Y1757" i="8" s="1"/>
  <c r="W419" i="8"/>
  <c r="X419" i="8" s="1"/>
  <c r="Y419" i="8" s="1"/>
  <c r="W342" i="8"/>
  <c r="X342" i="8" s="1"/>
  <c r="Y342" i="8" s="1"/>
  <c r="W1238" i="8"/>
  <c r="X1238" i="8" s="1"/>
  <c r="Y1238" i="8" s="1"/>
  <c r="W2418" i="8"/>
  <c r="X2418" i="8" s="1"/>
  <c r="Y2418" i="8" s="1"/>
  <c r="W2583" i="8"/>
  <c r="X2583" i="8" s="1"/>
  <c r="Y2583" i="8" s="1"/>
  <c r="W2100" i="8"/>
  <c r="X2100" i="8" s="1"/>
  <c r="Y2100" i="8" s="1"/>
  <c r="W255" i="8"/>
  <c r="X255" i="8" s="1"/>
  <c r="Y255" i="8" s="1"/>
  <c r="W2818" i="8"/>
  <c r="X2818" i="8" s="1"/>
  <c r="Y2818" i="8" s="1"/>
  <c r="W1766" i="8"/>
  <c r="X1766" i="8" s="1"/>
  <c r="Y1766" i="8" s="1"/>
  <c r="W2362" i="8"/>
  <c r="X2362" i="8" s="1"/>
  <c r="Y2362" i="8" s="1"/>
  <c r="W2624" i="8"/>
  <c r="X2624" i="8" s="1"/>
  <c r="Y2624" i="8" s="1"/>
  <c r="W1841" i="8"/>
  <c r="X1841" i="8" s="1"/>
  <c r="Y1841" i="8" s="1"/>
  <c r="W1235" i="8"/>
  <c r="X1235" i="8" s="1"/>
  <c r="Y1235" i="8" s="1"/>
  <c r="W1771" i="8"/>
  <c r="X1771" i="8" s="1"/>
  <c r="Y1771" i="8" s="1"/>
  <c r="W1136" i="8"/>
  <c r="X1136" i="8" s="1"/>
  <c r="Y1136" i="8" s="1"/>
  <c r="W1775" i="8"/>
  <c r="X1775" i="8" s="1"/>
  <c r="Y1775" i="8" s="1"/>
  <c r="W1465" i="8"/>
  <c r="X1465" i="8" s="1"/>
  <c r="Y1465" i="8" s="1"/>
  <c r="W1045" i="8"/>
  <c r="X1045" i="8" s="1"/>
  <c r="Y1045" i="8" s="1"/>
  <c r="W448" i="8"/>
  <c r="X448" i="8" s="1"/>
  <c r="Y448" i="8" s="1"/>
  <c r="W863" i="8"/>
  <c r="X863" i="8" s="1"/>
  <c r="Y863" i="8" s="1"/>
  <c r="W1538" i="8"/>
  <c r="X1538" i="8" s="1"/>
  <c r="Y1538" i="8" s="1"/>
  <c r="W851" i="8"/>
  <c r="X851" i="8" s="1"/>
  <c r="Y851" i="8" s="1"/>
  <c r="W479" i="8"/>
  <c r="X479" i="8" s="1"/>
  <c r="Y479" i="8" s="1"/>
  <c r="W2031" i="8"/>
  <c r="X2031" i="8" s="1"/>
  <c r="Y2031" i="8" s="1"/>
  <c r="W992" i="8"/>
  <c r="X992" i="8" s="1"/>
  <c r="Y992" i="8" s="1"/>
  <c r="W1130" i="8"/>
  <c r="X1130" i="8" s="1"/>
  <c r="Y1130" i="8" s="1"/>
  <c r="W1198" i="8"/>
  <c r="X1198" i="8" s="1"/>
  <c r="Y1198" i="8" s="1"/>
  <c r="W1580" i="8"/>
  <c r="X1580" i="8" s="1"/>
  <c r="Y1580" i="8" s="1"/>
  <c r="W1697" i="8"/>
  <c r="X1697" i="8" s="1"/>
  <c r="Y1697" i="8" s="1"/>
  <c r="W752" i="8"/>
  <c r="X752" i="8" s="1"/>
  <c r="Y752" i="8" s="1"/>
  <c r="W642" i="8"/>
  <c r="X642" i="8" s="1"/>
  <c r="Y642" i="8" s="1"/>
  <c r="W1789" i="8"/>
  <c r="X1789" i="8" s="1"/>
  <c r="Y1789" i="8" s="1"/>
  <c r="W1953" i="8"/>
  <c r="X1953" i="8" s="1"/>
  <c r="Y1953" i="8" s="1"/>
  <c r="W899" i="8"/>
  <c r="X899" i="8" s="1"/>
  <c r="Y899" i="8" s="1"/>
  <c r="W2975" i="8"/>
  <c r="X2975" i="8" s="1"/>
  <c r="Y2975" i="8" s="1"/>
  <c r="W914" i="8"/>
  <c r="X914" i="8" s="1"/>
  <c r="Y914" i="8" s="1"/>
  <c r="W2852" i="8"/>
  <c r="X2852" i="8" s="1"/>
  <c r="Y2852" i="8" s="1"/>
  <c r="W2769" i="8"/>
  <c r="X2769" i="8" s="1"/>
  <c r="Y2769" i="8" s="1"/>
  <c r="W2256" i="8"/>
  <c r="X2256" i="8" s="1"/>
  <c r="Y2256" i="8" s="1"/>
  <c r="W1862" i="8"/>
  <c r="X1862" i="8" s="1"/>
  <c r="Y1862" i="8" s="1"/>
  <c r="W793" i="8"/>
  <c r="X793" i="8" s="1"/>
  <c r="Y793" i="8" s="1"/>
  <c r="W1249" i="8"/>
  <c r="X1249" i="8" s="1"/>
  <c r="Y1249" i="8" s="1"/>
  <c r="W1800" i="8"/>
  <c r="X1800" i="8" s="1"/>
  <c r="Y1800" i="8" s="1"/>
  <c r="W728" i="8"/>
  <c r="X728" i="8" s="1"/>
  <c r="Y728" i="8" s="1"/>
  <c r="W1479" i="8"/>
  <c r="X1479" i="8" s="1"/>
  <c r="Y1479" i="8" s="1"/>
  <c r="W2718" i="8"/>
  <c r="X2718" i="8" s="1"/>
  <c r="Y2718" i="8" s="1"/>
  <c r="W122" i="8"/>
  <c r="X122" i="8" s="1"/>
  <c r="Y122" i="8" s="1"/>
  <c r="W1764" i="8"/>
  <c r="X1764" i="8" s="1"/>
  <c r="Y1764" i="8" s="1"/>
  <c r="W1874" i="8"/>
  <c r="X1874" i="8" s="1"/>
  <c r="Y1874" i="8" s="1"/>
  <c r="W976" i="8"/>
  <c r="X976" i="8" s="1"/>
  <c r="Y976" i="8" s="1"/>
  <c r="W1808" i="8"/>
  <c r="X1808" i="8" s="1"/>
  <c r="Y1808" i="8" s="1"/>
  <c r="W2851" i="8"/>
  <c r="X2851" i="8" s="1"/>
  <c r="Y2851" i="8" s="1"/>
  <c r="W1869" i="8"/>
  <c r="X1869" i="8" s="1"/>
  <c r="Y1869" i="8" s="1"/>
  <c r="W2271" i="8"/>
  <c r="X2271" i="8" s="1"/>
  <c r="Y2271" i="8" s="1"/>
  <c r="W1138" i="8"/>
  <c r="X1138" i="8" s="1"/>
  <c r="Y1138" i="8" s="1"/>
  <c r="W1971" i="8"/>
  <c r="X1971" i="8" s="1"/>
  <c r="Y1971" i="8" s="1"/>
  <c r="W1075" i="8"/>
  <c r="X1075" i="8" s="1"/>
  <c r="Y1075" i="8" s="1"/>
  <c r="W2399" i="8"/>
  <c r="X2399" i="8" s="1"/>
  <c r="Y2399" i="8" s="1"/>
  <c r="W1474" i="8"/>
  <c r="X1474" i="8" s="1"/>
  <c r="Y1474" i="8" s="1"/>
  <c r="W3066" i="8"/>
  <c r="X3066" i="8" s="1"/>
  <c r="Y3066" i="8" s="1"/>
  <c r="W796" i="8"/>
  <c r="X796" i="8" s="1"/>
  <c r="Y796" i="8" s="1"/>
  <c r="W1109" i="8"/>
  <c r="X1109" i="8" s="1"/>
  <c r="Y1109" i="8" s="1"/>
  <c r="W2735" i="8"/>
  <c r="X2735" i="8" s="1"/>
  <c r="Y2735" i="8" s="1"/>
  <c r="W1932" i="8"/>
  <c r="X1932" i="8" s="1"/>
  <c r="Y1932" i="8" s="1"/>
  <c r="W2619" i="8"/>
  <c r="X2619" i="8" s="1"/>
  <c r="Y2619" i="8" s="1"/>
  <c r="W1470" i="8"/>
  <c r="X1470" i="8" s="1"/>
  <c r="Y1470" i="8" s="1"/>
  <c r="W683" i="8"/>
  <c r="X683" i="8" s="1"/>
  <c r="Y683" i="8" s="1"/>
  <c r="W685" i="8"/>
  <c r="X685" i="8" s="1"/>
  <c r="Y685" i="8" s="1"/>
  <c r="W1675" i="8"/>
  <c r="X1675" i="8" s="1"/>
  <c r="Y1675" i="8" s="1"/>
  <c r="W1693" i="8"/>
  <c r="X1693" i="8" s="1"/>
  <c r="Y1693" i="8" s="1"/>
  <c r="W1123" i="8"/>
  <c r="X1123" i="8" s="1"/>
  <c r="Y1123" i="8" s="1"/>
  <c r="W2335" i="8"/>
  <c r="X2335" i="8" s="1"/>
  <c r="Y2335" i="8" s="1"/>
  <c r="W2172" i="8"/>
  <c r="X2172" i="8" s="1"/>
  <c r="Y2172" i="8" s="1"/>
  <c r="W2876" i="8"/>
  <c r="X2876" i="8" s="1"/>
  <c r="Y2876" i="8" s="1"/>
  <c r="W2635" i="8"/>
  <c r="X2635" i="8" s="1"/>
  <c r="Y2635" i="8" s="1"/>
  <c r="W90" i="8"/>
  <c r="X90" i="8" s="1"/>
  <c r="Y90" i="8" s="1"/>
  <c r="W2548" i="8"/>
  <c r="X2548" i="8" s="1"/>
  <c r="Y2548" i="8" s="1"/>
  <c r="W2297" i="8"/>
  <c r="X2297" i="8" s="1"/>
  <c r="Y2297" i="8" s="1"/>
  <c r="W1455" i="8"/>
  <c r="X1455" i="8" s="1"/>
  <c r="Y1455" i="8" s="1"/>
  <c r="W2293" i="8"/>
  <c r="X2293" i="8" s="1"/>
  <c r="Y2293" i="8" s="1"/>
  <c r="W2739" i="8"/>
  <c r="X2739" i="8" s="1"/>
  <c r="Y2739" i="8" s="1"/>
  <c r="W1657" i="8"/>
  <c r="X1657" i="8" s="1"/>
  <c r="Y1657" i="8" s="1"/>
  <c r="W2809" i="8"/>
  <c r="X2809" i="8" s="1"/>
  <c r="Y2809" i="8" s="1"/>
  <c r="W495" i="8"/>
  <c r="X495" i="8" s="1"/>
  <c r="Y495" i="8" s="1"/>
  <c r="W2076" i="8"/>
  <c r="X2076" i="8" s="1"/>
  <c r="Y2076" i="8" s="1"/>
  <c r="W2730" i="8"/>
  <c r="X2730" i="8" s="1"/>
  <c r="Y2730" i="8" s="1"/>
  <c r="W1187" i="8"/>
  <c r="X1187" i="8" s="1"/>
  <c r="Y1187" i="8" s="1"/>
  <c r="W1819" i="8"/>
  <c r="X1819" i="8" s="1"/>
  <c r="Y1819" i="8" s="1"/>
  <c r="W1846" i="8"/>
  <c r="X1846" i="8" s="1"/>
  <c r="Y1846" i="8" s="1"/>
  <c r="W2631" i="8"/>
  <c r="X2631" i="8" s="1"/>
  <c r="Y2631" i="8" s="1"/>
  <c r="W2152" i="8"/>
  <c r="X2152" i="8" s="1"/>
  <c r="Y2152" i="8" s="1"/>
  <c r="W2388" i="8"/>
  <c r="X2388" i="8" s="1"/>
  <c r="Y2388" i="8" s="1"/>
  <c r="W2518" i="8"/>
  <c r="X2518" i="8" s="1"/>
  <c r="Y2518" i="8" s="1"/>
  <c r="W2425" i="8"/>
  <c r="X2425" i="8" s="1"/>
  <c r="Y2425" i="8" s="1"/>
  <c r="W2668" i="8"/>
  <c r="X2668" i="8" s="1"/>
  <c r="Y2668" i="8" s="1"/>
  <c r="W2487" i="8"/>
  <c r="X2487" i="8" s="1"/>
  <c r="Y2487" i="8" s="1"/>
  <c r="W3069" i="8"/>
  <c r="X3069" i="8" s="1"/>
  <c r="Y3069" i="8" s="1"/>
  <c r="W2402" i="8"/>
  <c r="X2402" i="8" s="1"/>
  <c r="Y2402" i="8" s="1"/>
  <c r="W2767" i="8"/>
  <c r="X2767" i="8" s="1"/>
  <c r="Y2767" i="8" s="1"/>
  <c r="W1176" i="8"/>
  <c r="X1176" i="8" s="1"/>
  <c r="Y1176" i="8" s="1"/>
  <c r="W3025" i="8"/>
  <c r="X3025" i="8" s="1"/>
  <c r="Y3025" i="8" s="1"/>
  <c r="W2553" i="8"/>
  <c r="X2553" i="8" s="1"/>
  <c r="Y2553" i="8" s="1"/>
  <c r="W1860" i="8"/>
  <c r="X1860" i="8" s="1"/>
  <c r="Y1860" i="8" s="1"/>
  <c r="W492" i="8"/>
  <c r="X492" i="8" s="1"/>
  <c r="Y492" i="8" s="1"/>
  <c r="W1703" i="8"/>
  <c r="X1703" i="8" s="1"/>
  <c r="Y1703" i="8" s="1"/>
  <c r="W2141" i="8"/>
  <c r="X2141" i="8" s="1"/>
  <c r="Y2141" i="8" s="1"/>
  <c r="W821" i="8"/>
  <c r="X821" i="8" s="1"/>
  <c r="Y821" i="8" s="1"/>
  <c r="W2665" i="8"/>
  <c r="X2665" i="8" s="1"/>
  <c r="Y2665" i="8" s="1"/>
  <c r="W2459" i="8"/>
  <c r="X2459" i="8" s="1"/>
  <c r="Y2459" i="8" s="1"/>
  <c r="W2428" i="8"/>
  <c r="X2428" i="8" s="1"/>
  <c r="Y2428" i="8" s="1"/>
  <c r="W1940" i="8"/>
  <c r="X1940" i="8" s="1"/>
  <c r="Y1940" i="8" s="1"/>
  <c r="W2911" i="8"/>
  <c r="X2911" i="8" s="1"/>
  <c r="Y2911" i="8" s="1"/>
  <c r="W2939" i="8"/>
  <c r="X2939" i="8" s="1"/>
  <c r="Y2939" i="8" s="1"/>
  <c r="W1871" i="8"/>
  <c r="X1871" i="8" s="1"/>
  <c r="Y1871" i="8" s="1"/>
  <c r="W2015" i="8"/>
  <c r="X2015" i="8" s="1"/>
  <c r="Y2015" i="8" s="1"/>
  <c r="W2705" i="8"/>
  <c r="X2705" i="8" s="1"/>
  <c r="Y2705" i="8" s="1"/>
  <c r="W739" i="8"/>
  <c r="X739" i="8" s="1"/>
  <c r="Y739" i="8" s="1"/>
  <c r="W2120" i="8"/>
  <c r="X2120" i="8" s="1"/>
  <c r="Y2120" i="8" s="1"/>
  <c r="W1046" i="8"/>
  <c r="X1046" i="8" s="1"/>
  <c r="Y1046" i="8" s="1"/>
  <c r="W709" i="8"/>
  <c r="X709" i="8" s="1"/>
  <c r="Y709" i="8" s="1"/>
  <c r="W1878" i="8"/>
  <c r="X1878" i="8" s="1"/>
  <c r="Y1878" i="8" s="1"/>
  <c r="W958" i="8"/>
  <c r="X958" i="8" s="1"/>
  <c r="Y958" i="8" s="1"/>
  <c r="W1880" i="8"/>
  <c r="X1880" i="8" s="1"/>
  <c r="Y1880" i="8" s="1"/>
  <c r="W1257" i="8"/>
  <c r="X1257" i="8" s="1"/>
  <c r="Y1257" i="8" s="1"/>
  <c r="W1617" i="8"/>
  <c r="X1617" i="8" s="1"/>
  <c r="Y1617" i="8" s="1"/>
  <c r="W1346" i="8"/>
  <c r="X1346" i="8" s="1"/>
  <c r="Y1346" i="8" s="1"/>
  <c r="W1301" i="8"/>
  <c r="X1301" i="8" s="1"/>
  <c r="Y1301" i="8" s="1"/>
  <c r="W1273" i="8"/>
  <c r="X1273" i="8" s="1"/>
  <c r="Y1273" i="8" s="1"/>
  <c r="W2343" i="8"/>
  <c r="X2343" i="8" s="1"/>
  <c r="Y2343" i="8" s="1"/>
  <c r="W858" i="8"/>
  <c r="X858" i="8" s="1"/>
  <c r="Y858" i="8" s="1"/>
  <c r="W385" i="8"/>
  <c r="X385" i="8" s="1"/>
  <c r="Y385" i="8" s="1"/>
  <c r="W12" i="8"/>
  <c r="X12" i="8" s="1"/>
  <c r="Y12" i="8" s="1"/>
  <c r="W2473" i="8"/>
  <c r="X2473" i="8" s="1"/>
  <c r="Y2473" i="8" s="1"/>
  <c r="W1890" i="8"/>
  <c r="X1890" i="8" s="1"/>
  <c r="Y1890" i="8" s="1"/>
  <c r="W2894" i="8"/>
  <c r="X2894" i="8" s="1"/>
  <c r="Y2894" i="8" s="1"/>
  <c r="W1884" i="8"/>
  <c r="X1884" i="8" s="1"/>
  <c r="Y1884" i="8" s="1"/>
  <c r="W2689" i="8"/>
  <c r="X2689" i="8" s="1"/>
  <c r="Y2689" i="8" s="1"/>
  <c r="W1810" i="8"/>
  <c r="X1810" i="8" s="1"/>
  <c r="Y1810" i="8" s="1"/>
  <c r="W2227" i="8"/>
  <c r="X2227" i="8" s="1"/>
  <c r="Y2227" i="8" s="1"/>
  <c r="W1126" i="8"/>
  <c r="X1126" i="8" s="1"/>
  <c r="Y1126" i="8" s="1"/>
  <c r="W2485" i="8"/>
  <c r="X2485" i="8" s="1"/>
  <c r="Y2485" i="8" s="1"/>
  <c r="W586" i="8"/>
  <c r="X586" i="8" s="1"/>
  <c r="Y586" i="8" s="1"/>
  <c r="W1402" i="8"/>
  <c r="X1402" i="8" s="1"/>
  <c r="Y1402" i="8" s="1"/>
  <c r="W1605" i="8"/>
  <c r="X1605" i="8" s="1"/>
  <c r="Y1605" i="8" s="1"/>
  <c r="W1706" i="8"/>
  <c r="X1706" i="8" s="1"/>
  <c r="Y1706" i="8" s="1"/>
  <c r="W2722" i="8"/>
  <c r="X2722" i="8" s="1"/>
  <c r="Y2722" i="8" s="1"/>
  <c r="W1809" i="8"/>
  <c r="X1809" i="8" s="1"/>
  <c r="Y1809" i="8" s="1"/>
  <c r="W2703" i="8"/>
  <c r="X2703" i="8" s="1"/>
  <c r="Y2703" i="8" s="1"/>
  <c r="W822" i="8"/>
  <c r="X822" i="8" s="1"/>
  <c r="Y822" i="8" s="1"/>
  <c r="W2816" i="8"/>
  <c r="X2816" i="8" s="1"/>
  <c r="Y2816" i="8" s="1"/>
  <c r="W1434" i="8"/>
  <c r="X1434" i="8" s="1"/>
  <c r="Y1434" i="8" s="1"/>
  <c r="W583" i="8"/>
  <c r="X583" i="8" s="1"/>
  <c r="Y583" i="8" s="1"/>
  <c r="W2962" i="8"/>
  <c r="X2962" i="8" s="1"/>
  <c r="Y2962" i="8" s="1"/>
  <c r="W584" i="8"/>
  <c r="X584" i="8" s="1"/>
  <c r="Y584" i="8" s="1"/>
  <c r="W1581" i="8"/>
  <c r="X1581" i="8" s="1"/>
  <c r="Y1581" i="8" s="1"/>
  <c r="W1356" i="8"/>
  <c r="X1356" i="8" s="1"/>
  <c r="Y1356" i="8" s="1"/>
  <c r="W2432" i="8"/>
  <c r="X2432" i="8" s="1"/>
  <c r="Y2432" i="8" s="1"/>
  <c r="W1288" i="8"/>
  <c r="X1288" i="8" s="1"/>
  <c r="Y1288" i="8" s="1"/>
  <c r="W2733" i="8"/>
  <c r="X2733" i="8" s="1"/>
  <c r="Y2733" i="8" s="1"/>
  <c r="W2239" i="8"/>
  <c r="X2239" i="8" s="1"/>
  <c r="Y2239" i="8" s="1"/>
  <c r="W587" i="8"/>
  <c r="X587" i="8" s="1"/>
  <c r="Y587" i="8" s="1"/>
  <c r="W3030" i="8"/>
  <c r="X3030" i="8" s="1"/>
  <c r="Y3030" i="8" s="1"/>
  <c r="W1704" i="8"/>
  <c r="X1704" i="8" s="1"/>
  <c r="Y1704" i="8" s="1"/>
  <c r="W1859" i="8"/>
  <c r="X1859" i="8" s="1"/>
  <c r="Y1859" i="8" s="1"/>
  <c r="W2766" i="8"/>
  <c r="X2766" i="8" s="1"/>
  <c r="Y2766" i="8" s="1"/>
  <c r="W2630" i="8"/>
  <c r="X2630" i="8" s="1"/>
  <c r="Y2630" i="8" s="1"/>
  <c r="W2397" i="8"/>
  <c r="X2397" i="8" s="1"/>
  <c r="Y2397" i="8" s="1"/>
  <c r="W1765" i="8"/>
  <c r="X1765" i="8" s="1"/>
  <c r="Y1765" i="8" s="1"/>
  <c r="W2097" i="8"/>
  <c r="X2097" i="8" s="1"/>
  <c r="Y2097" i="8" s="1"/>
  <c r="W1997" i="8"/>
  <c r="X1997" i="8" s="1"/>
  <c r="Y1997" i="8" s="1"/>
  <c r="W1306" i="8"/>
  <c r="X1306" i="8" s="1"/>
  <c r="Y1306" i="8" s="1"/>
  <c r="W86" i="8"/>
  <c r="X86" i="8" s="1"/>
  <c r="Y86" i="8" s="1"/>
  <c r="W3061" i="8"/>
  <c r="X3061" i="8" s="1"/>
  <c r="Y3061" i="8" s="1"/>
  <c r="W1931" i="8"/>
  <c r="X1931" i="8" s="1"/>
  <c r="Y1931" i="8" s="1"/>
  <c r="W572" i="8"/>
  <c r="X572" i="8" s="1"/>
  <c r="Y572" i="8" s="1"/>
  <c r="W2610" i="8"/>
  <c r="X2610" i="8" s="1"/>
  <c r="Y2610" i="8" s="1"/>
  <c r="W2877" i="8"/>
  <c r="X2877" i="8" s="1"/>
  <c r="Y2877" i="8" s="1"/>
  <c r="W2386" i="8"/>
  <c r="X2386" i="8" s="1"/>
  <c r="Y2386" i="8" s="1"/>
  <c r="W1458" i="8"/>
  <c r="X1458" i="8" s="1"/>
  <c r="Y1458" i="8" s="1"/>
  <c r="W1446" i="8"/>
  <c r="X1446" i="8" s="1"/>
  <c r="Y1446" i="8" s="1"/>
  <c r="W2529" i="8"/>
  <c r="X2529" i="8" s="1"/>
  <c r="Y2529" i="8" s="1"/>
  <c r="W491" i="8"/>
  <c r="X491" i="8" s="1"/>
  <c r="Y491" i="8" s="1"/>
  <c r="W2184" i="8"/>
  <c r="X2184" i="8" s="1"/>
  <c r="Y2184" i="8" s="1"/>
  <c r="W573" i="8"/>
  <c r="X573" i="8" s="1"/>
  <c r="Y573" i="8" s="1"/>
  <c r="W1918" i="8"/>
  <c r="X1918" i="8" s="1"/>
  <c r="Y1918" i="8" s="1"/>
  <c r="W260" i="8"/>
  <c r="X260" i="8" s="1"/>
  <c r="Y260" i="8" s="1"/>
  <c r="W1186" i="8"/>
  <c r="X1186" i="8" s="1"/>
  <c r="Y1186" i="8" s="1"/>
  <c r="W1263" i="8"/>
  <c r="X1263" i="8" s="1"/>
  <c r="Y1263" i="8" s="1"/>
  <c r="W2537" i="8"/>
  <c r="X2537" i="8" s="1"/>
  <c r="Y2537" i="8" s="1"/>
  <c r="W3018" i="8"/>
  <c r="X3018" i="8" s="1"/>
  <c r="Y3018" i="8" s="1"/>
  <c r="W2574" i="8"/>
  <c r="X2574" i="8" s="1"/>
  <c r="Y2574" i="8" s="1"/>
  <c r="W2153" i="8"/>
  <c r="X2153" i="8" s="1"/>
  <c r="Y2153" i="8" s="1"/>
  <c r="W2750" i="8"/>
  <c r="X2750" i="8" s="1"/>
  <c r="Y2750" i="8" s="1"/>
  <c r="W1696" i="8"/>
  <c r="X1696" i="8" s="1"/>
  <c r="Y1696" i="8" s="1"/>
  <c r="W2106" i="8"/>
  <c r="X2106" i="8" s="1"/>
  <c r="Y2106" i="8" s="1"/>
  <c r="W2547" i="8"/>
  <c r="X2547" i="8" s="1"/>
  <c r="Y2547" i="8" s="1"/>
  <c r="W1954" i="8"/>
  <c r="X1954" i="8" s="1"/>
  <c r="Y1954" i="8" s="1"/>
  <c r="W1840" i="8"/>
  <c r="X1840" i="8" s="1"/>
  <c r="Y1840" i="8" s="1"/>
  <c r="W867" i="8"/>
  <c r="X867" i="8" s="1"/>
  <c r="Y867" i="8" s="1"/>
  <c r="W1297" i="8"/>
  <c r="X1297" i="8" s="1"/>
  <c r="Y1297" i="8" s="1"/>
  <c r="W2216" i="8"/>
  <c r="X2216" i="8" s="1"/>
  <c r="Y2216" i="8" s="1"/>
  <c r="W1715" i="8"/>
  <c r="X1715" i="8" s="1"/>
  <c r="Y1715" i="8" s="1"/>
  <c r="W2463" i="8"/>
  <c r="X2463" i="8" s="1"/>
  <c r="Y2463" i="8" s="1"/>
  <c r="W2316" i="8"/>
  <c r="X2316" i="8" s="1"/>
  <c r="Y2316" i="8" s="1"/>
  <c r="W2586" i="8"/>
  <c r="X2586" i="8" s="1"/>
  <c r="Y2586" i="8" s="1"/>
  <c r="W1505" i="8"/>
  <c r="X1505" i="8" s="1"/>
  <c r="Y1505" i="8" s="1"/>
  <c r="W1982" i="8"/>
  <c r="X1982" i="8" s="1"/>
  <c r="Y1982" i="8" s="1"/>
  <c r="W2565" i="8"/>
  <c r="X2565" i="8" s="1"/>
  <c r="Y2565" i="8" s="1"/>
  <c r="W1833" i="8"/>
  <c r="X1833" i="8" s="1"/>
  <c r="Y1833" i="8" s="1"/>
  <c r="W1180" i="8"/>
  <c r="X1180" i="8" s="1"/>
  <c r="Y1180" i="8" s="1"/>
  <c r="W2109" i="8"/>
  <c r="X2109" i="8" s="1"/>
  <c r="Y2109" i="8" s="1"/>
  <c r="W2013" i="8"/>
  <c r="X2013" i="8" s="1"/>
  <c r="Y2013" i="8" s="1"/>
  <c r="W1970" i="8"/>
  <c r="X1970" i="8" s="1"/>
  <c r="Y1970" i="8" s="1"/>
  <c r="W2662" i="8"/>
  <c r="X2662" i="8" s="1"/>
  <c r="Y2662" i="8" s="1"/>
  <c r="W2373" i="8"/>
  <c r="X2373" i="8" s="1"/>
  <c r="Y2373" i="8" s="1"/>
  <c r="W2690" i="8"/>
  <c r="X2690" i="8" s="1"/>
  <c r="Y2690" i="8" s="1"/>
  <c r="W1086" i="8"/>
  <c r="X1086" i="8" s="1"/>
  <c r="Y1086" i="8" s="1"/>
  <c r="W1038" i="8"/>
  <c r="X1038" i="8" s="1"/>
  <c r="Y1038" i="8" s="1"/>
  <c r="W982" i="8"/>
  <c r="X982" i="8" s="1"/>
  <c r="Y982" i="8" s="1"/>
  <c r="W2329" i="8"/>
  <c r="X2329" i="8" s="1"/>
  <c r="Y2329" i="8" s="1"/>
  <c r="W561" i="8"/>
  <c r="X561" i="8" s="1"/>
  <c r="Y561" i="8" s="1"/>
  <c r="W1378" i="8"/>
  <c r="X1378" i="8" s="1"/>
  <c r="Y1378" i="8" s="1"/>
  <c r="W1005" i="8"/>
  <c r="X1005" i="8" s="1"/>
  <c r="Y1005" i="8" s="1"/>
  <c r="W2929" i="8"/>
  <c r="X2929" i="8" s="1"/>
  <c r="Y2929" i="8" s="1"/>
  <c r="W856" i="8"/>
  <c r="X856" i="8" s="1"/>
  <c r="Y856" i="8" s="1"/>
  <c r="W1983" i="8"/>
  <c r="X1983" i="8" s="1"/>
  <c r="Y1983" i="8" s="1"/>
  <c r="W2915" i="8"/>
  <c r="X2915" i="8" s="1"/>
  <c r="Y2915" i="8" s="1"/>
  <c r="W1628" i="8"/>
  <c r="X1628" i="8" s="1"/>
  <c r="Y1628" i="8" s="1"/>
  <c r="W1986" i="8"/>
  <c r="X1986" i="8" s="1"/>
  <c r="Y1986" i="8" s="1"/>
  <c r="W1987" i="8"/>
  <c r="X1987" i="8" s="1"/>
  <c r="Y1987" i="8" s="1"/>
  <c r="W1988" i="8"/>
  <c r="X1988" i="8" s="1"/>
  <c r="Y1988" i="8" s="1"/>
  <c r="W2695" i="8"/>
  <c r="X2695" i="8" s="1"/>
  <c r="Y2695" i="8" s="1"/>
  <c r="W1958" i="8"/>
  <c r="X1958" i="8" s="1"/>
  <c r="Y1958" i="8" s="1"/>
  <c r="W1991" i="8"/>
  <c r="X1991" i="8" s="1"/>
  <c r="Y1991" i="8" s="1"/>
  <c r="W1745" i="8"/>
  <c r="X1745" i="8" s="1"/>
  <c r="Y1745" i="8" s="1"/>
  <c r="W2246" i="8"/>
  <c r="X2246" i="8" s="1"/>
  <c r="Y2246" i="8" s="1"/>
  <c r="W1751" i="8"/>
  <c r="X1751" i="8" s="1"/>
  <c r="Y1751" i="8" s="1"/>
  <c r="W1568" i="8"/>
  <c r="X1568" i="8" s="1"/>
  <c r="Y1568" i="8" s="1"/>
  <c r="W501" i="8"/>
  <c r="X501" i="8" s="1"/>
  <c r="Y501" i="8" s="1"/>
  <c r="W2811" i="8"/>
  <c r="X2811" i="8" s="1"/>
  <c r="Y2811" i="8" s="1"/>
  <c r="W2594" i="8"/>
  <c r="X2594" i="8" s="1"/>
  <c r="Y2594" i="8" s="1"/>
  <c r="W1420" i="8"/>
  <c r="X1420" i="8" s="1"/>
  <c r="Y1420" i="8" s="1"/>
  <c r="W1256" i="8"/>
  <c r="X1256" i="8" s="1"/>
  <c r="Y1256" i="8" s="1"/>
  <c r="W2892" i="8"/>
  <c r="X2892" i="8" s="1"/>
  <c r="Y2892" i="8" s="1"/>
  <c r="W2951" i="8"/>
  <c r="X2951" i="8" s="1"/>
  <c r="Y2951" i="8" s="1"/>
  <c r="W1089" i="8"/>
  <c r="X1089" i="8" s="1"/>
  <c r="Y1089" i="8" s="1"/>
  <c r="W2869" i="8"/>
  <c r="X2869" i="8" s="1"/>
  <c r="Y2869" i="8" s="1"/>
  <c r="W1668" i="8"/>
  <c r="X1668" i="8" s="1"/>
  <c r="Y1668" i="8" s="1"/>
  <c r="W2621" i="8"/>
  <c r="X2621" i="8" s="1"/>
  <c r="Y2621" i="8" s="1"/>
  <c r="W2898" i="8"/>
  <c r="X2898" i="8" s="1"/>
  <c r="Y2898" i="8" s="1"/>
  <c r="W2383" i="8"/>
  <c r="X2383" i="8" s="1"/>
  <c r="Y2383" i="8" s="1"/>
  <c r="W2009" i="8"/>
  <c r="X2009" i="8" s="1"/>
  <c r="Y2009" i="8" s="1"/>
  <c r="W2010" i="8"/>
  <c r="X2010" i="8" s="1"/>
  <c r="Y2010" i="8" s="1"/>
  <c r="W2011" i="8"/>
  <c r="X2011" i="8" s="1"/>
  <c r="Y2011" i="8" s="1"/>
  <c r="W2457" i="8"/>
  <c r="X2457" i="8" s="1"/>
  <c r="Y2457" i="8" s="1"/>
  <c r="W1175" i="8"/>
  <c r="X1175" i="8" s="1"/>
  <c r="Y1175" i="8" s="1"/>
  <c r="W1957" i="8"/>
  <c r="X1957" i="8" s="1"/>
  <c r="Y1957" i="8" s="1"/>
  <c r="W2194" i="8"/>
  <c r="X2194" i="8" s="1"/>
  <c r="Y2194" i="8" s="1"/>
  <c r="W748" i="8"/>
  <c r="X748" i="8" s="1"/>
  <c r="Y748" i="8" s="1"/>
  <c r="W1855" i="8"/>
  <c r="X1855" i="8" s="1"/>
  <c r="Y1855" i="8" s="1"/>
  <c r="W2780" i="8"/>
  <c r="X2780" i="8" s="1"/>
  <c r="Y2780" i="8" s="1"/>
  <c r="W2412" i="8"/>
  <c r="X2412" i="8" s="1"/>
  <c r="Y2412" i="8" s="1"/>
  <c r="W1330" i="8"/>
  <c r="X1330" i="8" s="1"/>
  <c r="Y1330" i="8" s="1"/>
  <c r="W2628" i="8"/>
  <c r="X2628" i="8" s="1"/>
  <c r="Y2628" i="8" s="1"/>
  <c r="W2396" i="8"/>
  <c r="X2396" i="8" s="1"/>
  <c r="Y2396" i="8" s="1"/>
  <c r="W2023" i="8"/>
  <c r="X2023" i="8" s="1"/>
  <c r="Y2023" i="8" s="1"/>
  <c r="W366" i="8"/>
  <c r="X366" i="8" s="1"/>
  <c r="Y366" i="8" s="1"/>
  <c r="W1261" i="8"/>
  <c r="X1261" i="8" s="1"/>
  <c r="Y1261" i="8" s="1"/>
  <c r="W1827" i="8"/>
  <c r="X1827" i="8" s="1"/>
  <c r="Y1827" i="8" s="1"/>
  <c r="W1477" i="8"/>
  <c r="X1477" i="8" s="1"/>
  <c r="Y1477" i="8" s="1"/>
  <c r="W1255" i="8"/>
  <c r="X1255" i="8" s="1"/>
  <c r="Y1255" i="8" s="1"/>
  <c r="W502" i="8"/>
  <c r="X502" i="8" s="1"/>
  <c r="Y502" i="8" s="1"/>
  <c r="W2684" i="8"/>
  <c r="X2684" i="8" s="1"/>
  <c r="Y2684" i="8" s="1"/>
  <c r="W2934" i="8"/>
  <c r="X2934" i="8" s="1"/>
  <c r="Y2934" i="8" s="1"/>
  <c r="W2414" i="8"/>
  <c r="X2414" i="8" s="1"/>
  <c r="Y2414" i="8" s="1"/>
  <c r="W2413" i="8"/>
  <c r="X2413" i="8" s="1"/>
  <c r="Y2413" i="8" s="1"/>
  <c r="W1489" i="8"/>
  <c r="X1489" i="8" s="1"/>
  <c r="Y1489" i="8" s="1"/>
  <c r="W2035" i="8"/>
  <c r="X2035" i="8" s="1"/>
  <c r="Y2035" i="8" s="1"/>
  <c r="W2032" i="8"/>
  <c r="X2032" i="8" s="1"/>
  <c r="Y2032" i="8" s="1"/>
  <c r="W2037" i="8"/>
  <c r="X2037" i="8" s="1"/>
  <c r="Y2037" i="8" s="1"/>
  <c r="W3019" i="8"/>
  <c r="X3019" i="8" s="1"/>
  <c r="Y3019" i="8" s="1"/>
  <c r="W1744" i="8"/>
  <c r="X1744" i="8" s="1"/>
  <c r="Y1744" i="8" s="1"/>
  <c r="W400" i="8"/>
  <c r="X400" i="8" s="1"/>
  <c r="Y400" i="8" s="1"/>
  <c r="W1583" i="8"/>
  <c r="X1583" i="8" s="1"/>
  <c r="Y1583" i="8" s="1"/>
  <c r="W2145" i="8"/>
  <c r="X2145" i="8" s="1"/>
  <c r="Y2145" i="8" s="1"/>
  <c r="W547" i="8"/>
  <c r="X547" i="8" s="1"/>
  <c r="Y547" i="8" s="1"/>
  <c r="W2061" i="8"/>
  <c r="X2061" i="8" s="1"/>
  <c r="Y2061" i="8" s="1"/>
  <c r="W2850" i="8"/>
  <c r="X2850" i="8" s="1"/>
  <c r="Y2850" i="8" s="1"/>
  <c r="W2211" i="8"/>
  <c r="X2211" i="8" s="1"/>
  <c r="Y2211" i="8" s="1"/>
  <c r="W1042" i="8"/>
  <c r="X1042" i="8" s="1"/>
  <c r="Y1042" i="8" s="1"/>
  <c r="W2797" i="8"/>
  <c r="X2797" i="8" s="1"/>
  <c r="Y2797" i="8" s="1"/>
  <c r="W1083" i="8"/>
  <c r="X1083" i="8" s="1"/>
  <c r="Y1083" i="8" s="1"/>
  <c r="W1102" i="8"/>
  <c r="X1102" i="8" s="1"/>
  <c r="Y1102" i="8" s="1"/>
  <c r="W2622" i="8"/>
  <c r="X2622" i="8" s="1"/>
  <c r="Y2622" i="8" s="1"/>
  <c r="W2052" i="8"/>
  <c r="X2052" i="8" s="1"/>
  <c r="Y2052" i="8" s="1"/>
  <c r="W2423" i="8"/>
  <c r="X2423" i="8" s="1"/>
  <c r="Y2423" i="8" s="1"/>
  <c r="W606" i="8"/>
  <c r="X606" i="8" s="1"/>
  <c r="Y606" i="8" s="1"/>
  <c r="W2814" i="8"/>
  <c r="X2814" i="8" s="1"/>
  <c r="Y2814" i="8" s="1"/>
  <c r="W2861" i="8"/>
  <c r="X2861" i="8" s="1"/>
  <c r="Y2861" i="8" s="1"/>
  <c r="W1313" i="8"/>
  <c r="X1313" i="8" s="1"/>
  <c r="Y1313" i="8" s="1"/>
  <c r="W1425" i="8"/>
  <c r="X1425" i="8" s="1"/>
  <c r="Y1425" i="8" s="1"/>
  <c r="W3017" i="8"/>
  <c r="X3017" i="8" s="1"/>
  <c r="Y3017" i="8" s="1"/>
  <c r="W2291" i="8"/>
  <c r="X2291" i="8" s="1"/>
  <c r="Y2291" i="8" s="1"/>
  <c r="W382" i="8"/>
  <c r="X382" i="8" s="1"/>
  <c r="Y382" i="8" s="1"/>
  <c r="W2926" i="8"/>
  <c r="X2926" i="8" s="1"/>
  <c r="Y2926" i="8" s="1"/>
  <c r="W2095" i="8"/>
  <c r="X2095" i="8" s="1"/>
  <c r="Y2095" i="8" s="1"/>
  <c r="W1705" i="8"/>
  <c r="X1705" i="8" s="1"/>
  <c r="Y1705" i="8" s="1"/>
  <c r="W2615" i="8"/>
  <c r="X2615" i="8" s="1"/>
  <c r="Y2615" i="8" s="1"/>
  <c r="W645" i="8"/>
  <c r="X645" i="8" s="1"/>
  <c r="Y645" i="8" s="1"/>
  <c r="W2788" i="8"/>
  <c r="X2788" i="8" s="1"/>
  <c r="Y2788" i="8" s="1"/>
  <c r="W2068" i="8"/>
  <c r="X2068" i="8" s="1"/>
  <c r="Y2068" i="8" s="1"/>
  <c r="W530" i="8"/>
  <c r="X530" i="8" s="1"/>
  <c r="Y530" i="8" s="1"/>
  <c r="W3044" i="8"/>
  <c r="X3044" i="8" s="1"/>
  <c r="Y3044" i="8" s="1"/>
  <c r="W2806" i="8"/>
  <c r="X2806" i="8" s="1"/>
  <c r="Y2806" i="8" s="1"/>
  <c r="W1773" i="8"/>
  <c r="X1773" i="8" s="1"/>
  <c r="Y1773" i="8" s="1"/>
  <c r="W1930" i="8"/>
  <c r="X1930" i="8" s="1"/>
  <c r="Y1930" i="8" s="1"/>
  <c r="W2074" i="8"/>
  <c r="X2074" i="8" s="1"/>
  <c r="Y2074" i="8" s="1"/>
  <c r="W746" i="8"/>
  <c r="X746" i="8" s="1"/>
  <c r="Y746" i="8" s="1"/>
  <c r="W1380" i="8"/>
  <c r="X1380" i="8" s="1"/>
  <c r="Y1380" i="8" s="1"/>
  <c r="W2385" i="8"/>
  <c r="X2385" i="8" s="1"/>
  <c r="Y2385" i="8" s="1"/>
  <c r="W2078" i="8"/>
  <c r="X2078" i="8" s="1"/>
  <c r="Y2078" i="8" s="1"/>
  <c r="W2057" i="8"/>
  <c r="X2057" i="8" s="1"/>
  <c r="Y2057" i="8" s="1"/>
  <c r="W2853" i="8"/>
  <c r="X2853" i="8" s="1"/>
  <c r="Y2853" i="8" s="1"/>
  <c r="W2598" i="8"/>
  <c r="X2598" i="8" s="1"/>
  <c r="Y2598" i="8" s="1"/>
  <c r="W2824" i="8"/>
  <c r="X2824" i="8" s="1"/>
  <c r="Y2824" i="8" s="1"/>
  <c r="W1452" i="8"/>
  <c r="X1452" i="8" s="1"/>
  <c r="Y1452" i="8" s="1"/>
  <c r="W2883" i="8"/>
  <c r="X2883" i="8" s="1"/>
  <c r="Y2883" i="8" s="1"/>
  <c r="W1599" i="8"/>
  <c r="X1599" i="8" s="1"/>
  <c r="Y1599" i="8" s="1"/>
  <c r="W2913" i="8"/>
  <c r="X2913" i="8" s="1"/>
  <c r="Y2913" i="8" s="1"/>
  <c r="W1663" i="8"/>
  <c r="X1663" i="8" s="1"/>
  <c r="Y1663" i="8" s="1"/>
  <c r="W1018" i="8"/>
  <c r="X1018" i="8" s="1"/>
  <c r="Y1018" i="8" s="1"/>
  <c r="W1614" i="8"/>
  <c r="X1614" i="8" s="1"/>
  <c r="Y1614" i="8" s="1"/>
  <c r="W2296" i="8"/>
  <c r="X2296" i="8" s="1"/>
  <c r="Y2296" i="8" s="1"/>
  <c r="W1739" i="8"/>
  <c r="X1739" i="8" s="1"/>
  <c r="Y1739" i="8" s="1"/>
  <c r="W2050" i="8"/>
  <c r="X2050" i="8" s="1"/>
  <c r="Y2050" i="8" s="1"/>
  <c r="W1461" i="8"/>
  <c r="X1461" i="8" s="1"/>
  <c r="Y1461" i="8" s="1"/>
  <c r="W1892" i="8"/>
  <c r="X1892" i="8" s="1"/>
  <c r="Y1892" i="8" s="1"/>
  <c r="W1563" i="8"/>
  <c r="X1563" i="8" s="1"/>
  <c r="Y1563" i="8" s="1"/>
  <c r="W2886" i="8"/>
  <c r="X2886" i="8" s="1"/>
  <c r="Y2886" i="8" s="1"/>
  <c r="W2101" i="8"/>
  <c r="X2101" i="8" s="1"/>
  <c r="Y2101" i="8" s="1"/>
  <c r="W2682" i="8"/>
  <c r="X2682" i="8" s="1"/>
  <c r="Y2682" i="8" s="1"/>
  <c r="W2099" i="8"/>
  <c r="X2099" i="8" s="1"/>
  <c r="Y2099" i="8" s="1"/>
  <c r="W1564" i="8"/>
  <c r="X1564" i="8" s="1"/>
  <c r="Y1564" i="8" s="1"/>
  <c r="W1309" i="8"/>
  <c r="X1309" i="8" s="1"/>
  <c r="Y1309" i="8" s="1"/>
  <c r="W1440" i="8"/>
  <c r="X1440" i="8" s="1"/>
  <c r="Y1440" i="8" s="1"/>
  <c r="W578" i="8"/>
  <c r="X578" i="8" s="1"/>
  <c r="Y578" i="8" s="1"/>
  <c r="W2288" i="8"/>
  <c r="X2288" i="8" s="1"/>
  <c r="Y2288" i="8" s="1"/>
  <c r="W1793" i="8"/>
  <c r="X1793" i="8" s="1"/>
  <c r="Y1793" i="8" s="1"/>
  <c r="W2508" i="8"/>
  <c r="X2508" i="8" s="1"/>
  <c r="Y2508" i="8" s="1"/>
  <c r="W2107" i="8"/>
  <c r="X2107" i="8" s="1"/>
  <c r="Y2107" i="8" s="1"/>
  <c r="W2108" i="8"/>
  <c r="X2108" i="8" s="1"/>
  <c r="Y2108" i="8" s="1"/>
  <c r="W1401" i="8"/>
  <c r="X1401" i="8" s="1"/>
  <c r="Y1401" i="8" s="1"/>
  <c r="W1680" i="8"/>
  <c r="X1680" i="8" s="1"/>
  <c r="Y1680" i="8" s="1"/>
  <c r="W148" i="8"/>
  <c r="X148" i="8" s="1"/>
  <c r="Y148" i="8" s="1"/>
  <c r="W574" i="8"/>
  <c r="X574" i="8" s="1"/>
  <c r="Y574" i="8" s="1"/>
  <c r="W2113" i="8"/>
  <c r="X2113" i="8" s="1"/>
  <c r="Y2113" i="8" s="1"/>
  <c r="W2317" i="8"/>
  <c r="X2317" i="8" s="1"/>
  <c r="Y2317" i="8" s="1"/>
  <c r="W2558" i="8"/>
  <c r="X2558" i="8" s="1"/>
  <c r="Y2558" i="8" s="1"/>
  <c r="W2577" i="8"/>
  <c r="X2577" i="8" s="1"/>
  <c r="Y2577" i="8" s="1"/>
  <c r="W1270" i="8"/>
  <c r="X1270" i="8" s="1"/>
  <c r="Y1270" i="8" s="1"/>
  <c r="W2732" i="8"/>
  <c r="X2732" i="8" s="1"/>
  <c r="Y2732" i="8" s="1"/>
  <c r="W1989" i="8"/>
  <c r="X1989" i="8" s="1"/>
  <c r="Y1989" i="8" s="1"/>
  <c r="W2613" i="8"/>
  <c r="X2613" i="8" s="1"/>
  <c r="Y2613" i="8" s="1"/>
  <c r="W1796" i="8"/>
  <c r="X1796" i="8" s="1"/>
  <c r="Y1796" i="8" s="1"/>
  <c r="W1656" i="8"/>
  <c r="X1656" i="8" s="1"/>
  <c r="Y1656" i="8" s="1"/>
  <c r="W568" i="8"/>
  <c r="X568" i="8" s="1"/>
  <c r="Y568" i="8" s="1"/>
  <c r="W2135" i="8"/>
  <c r="X2135" i="8" s="1"/>
  <c r="Y2135" i="8" s="1"/>
  <c r="W1153" i="8"/>
  <c r="X1153" i="8" s="1"/>
  <c r="Y1153" i="8" s="1"/>
  <c r="W682" i="8"/>
  <c r="X682" i="8" s="1"/>
  <c r="Y682" i="8" s="1"/>
  <c r="W2190" i="8"/>
  <c r="X2190" i="8" s="1"/>
  <c r="Y2190" i="8" s="1"/>
  <c r="W2675" i="8"/>
  <c r="X2675" i="8" s="1"/>
  <c r="Y2675" i="8" s="1"/>
  <c r="W3075" i="8"/>
  <c r="X3075" i="8" s="1"/>
  <c r="Y3075" i="8" s="1"/>
  <c r="W523" i="8"/>
  <c r="X523" i="8" s="1"/>
  <c r="Y523" i="8" s="1"/>
  <c r="W2544" i="8"/>
  <c r="X2544" i="8" s="1"/>
  <c r="Y2544" i="8" s="1"/>
  <c r="W2132" i="8"/>
  <c r="X2132" i="8" s="1"/>
  <c r="Y2132" i="8" s="1"/>
  <c r="W2606" i="8"/>
  <c r="X2606" i="8" s="1"/>
  <c r="Y2606" i="8" s="1"/>
  <c r="W1980" i="8"/>
  <c r="X1980" i="8" s="1"/>
  <c r="Y1980" i="8" s="1"/>
  <c r="W1342" i="8"/>
  <c r="X1342" i="8" s="1"/>
  <c r="Y1342" i="8" s="1"/>
  <c r="W2002" i="8"/>
  <c r="X2002" i="8" s="1"/>
  <c r="Y2002" i="8" s="1"/>
  <c r="W2219" i="8"/>
  <c r="X2219" i="8" s="1"/>
  <c r="Y2219" i="8" s="1"/>
  <c r="W616" i="8"/>
  <c r="X616" i="8" s="1"/>
  <c r="Y616" i="8" s="1"/>
  <c r="W2957" i="8"/>
  <c r="X2957" i="8" s="1"/>
  <c r="Y2957" i="8" s="1"/>
  <c r="W2456" i="8"/>
  <c r="X2456" i="8" s="1"/>
  <c r="Y2456" i="8" s="1"/>
  <c r="W1450" i="8"/>
  <c r="X1450" i="8" s="1"/>
  <c r="Y1450" i="8" s="1"/>
  <c r="W2599" i="8"/>
  <c r="X2599" i="8" s="1"/>
  <c r="Y2599" i="8" s="1"/>
  <c r="W826" i="8"/>
  <c r="X826" i="8" s="1"/>
  <c r="Y826" i="8" s="1"/>
  <c r="W1578" i="8"/>
  <c r="X1578" i="8" s="1"/>
  <c r="Y1578" i="8" s="1"/>
  <c r="W1735" i="8"/>
  <c r="X1735" i="8" s="1"/>
  <c r="Y1735" i="8" s="1"/>
  <c r="W1674" i="8"/>
  <c r="X1674" i="8" s="1"/>
  <c r="Y1674" i="8" s="1"/>
  <c r="W1951" i="8"/>
  <c r="X1951" i="8" s="1"/>
  <c r="Y1951" i="8" s="1"/>
  <c r="W1329" i="8"/>
  <c r="X1329" i="8" s="1"/>
  <c r="Y1329" i="8" s="1"/>
  <c r="W962" i="8"/>
  <c r="X962" i="8" s="1"/>
  <c r="Y962" i="8" s="1"/>
  <c r="W350" i="8"/>
  <c r="X350" i="8" s="1"/>
  <c r="Y350" i="8" s="1"/>
  <c r="W1712" i="8"/>
  <c r="X1712" i="8" s="1"/>
  <c r="Y1712" i="8" s="1"/>
  <c r="W1803" i="8"/>
  <c r="X1803" i="8" s="1"/>
  <c r="Y1803" i="8" s="1"/>
  <c r="W1063" i="8"/>
  <c r="X1063" i="8" s="1"/>
  <c r="Y1063" i="8" s="1"/>
  <c r="W2045" i="8"/>
  <c r="X2045" i="8" s="1"/>
  <c r="Y2045" i="8" s="1"/>
  <c r="W2873" i="8"/>
  <c r="X2873" i="8" s="1"/>
  <c r="Y2873" i="8" s="1"/>
  <c r="W1193" i="8"/>
  <c r="X1193" i="8" s="1"/>
  <c r="Y1193" i="8" s="1"/>
  <c r="W2157" i="8"/>
  <c r="X2157" i="8" s="1"/>
  <c r="Y2157" i="8" s="1"/>
  <c r="W2950" i="8"/>
  <c r="X2950" i="8" s="1"/>
  <c r="Y2950" i="8" s="1"/>
  <c r="W1857" i="8"/>
  <c r="X1857" i="8" s="1"/>
  <c r="Y1857" i="8" s="1"/>
  <c r="W1517" i="8"/>
  <c r="X1517" i="8" s="1"/>
  <c r="Y1517" i="8" s="1"/>
  <c r="W647" i="8"/>
  <c r="X647" i="8" s="1"/>
  <c r="Y647" i="8" s="1"/>
  <c r="W2945" i="8"/>
  <c r="X2945" i="8" s="1"/>
  <c r="Y2945" i="8" s="1"/>
  <c r="W1327" i="8"/>
  <c r="X1327" i="8" s="1"/>
  <c r="Y1327" i="8" s="1"/>
  <c r="W3057" i="8"/>
  <c r="X3057" i="8" s="1"/>
  <c r="Y3057" i="8" s="1"/>
  <c r="W1338" i="8"/>
  <c r="X1338" i="8" s="1"/>
  <c r="Y1338" i="8" s="1"/>
  <c r="W2001" i="8"/>
  <c r="X2001" i="8" s="1"/>
  <c r="Y2001" i="8" s="1"/>
  <c r="W1228" i="8"/>
  <c r="X1228" i="8" s="1"/>
  <c r="Y1228" i="8" s="1"/>
  <c r="W2881" i="8"/>
  <c r="X2881" i="8" s="1"/>
  <c r="Y2881" i="8" s="1"/>
  <c r="W1645" i="8"/>
  <c r="X1645" i="8" s="1"/>
  <c r="Y1645" i="8" s="1"/>
  <c r="W1044" i="8"/>
  <c r="X1044" i="8" s="1"/>
  <c r="Y1044" i="8" s="1"/>
  <c r="W2171" i="8"/>
  <c r="X2171" i="8" s="1"/>
  <c r="Y2171" i="8" s="1"/>
  <c r="W2618" i="8"/>
  <c r="X2618" i="8" s="1"/>
  <c r="Y2618" i="8" s="1"/>
  <c r="W2238" i="8"/>
  <c r="X2238" i="8" s="1"/>
  <c r="Y2238" i="8" s="1"/>
  <c r="W2059" i="8"/>
  <c r="X2059" i="8" s="1"/>
  <c r="Y2059" i="8" s="1"/>
  <c r="W2104" i="8"/>
  <c r="X2104" i="8" s="1"/>
  <c r="Y2104" i="8" s="1"/>
  <c r="W2129" i="8"/>
  <c r="X2129" i="8" s="1"/>
  <c r="Y2129" i="8" s="1"/>
  <c r="W1218" i="8"/>
  <c r="X1218" i="8" s="1"/>
  <c r="Y1218" i="8" s="1"/>
  <c r="W1216" i="8"/>
  <c r="X1216" i="8" s="1"/>
  <c r="Y1216" i="8" s="1"/>
  <c r="W897" i="8"/>
  <c r="X897" i="8" s="1"/>
  <c r="Y897" i="8" s="1"/>
  <c r="W1073" i="8"/>
  <c r="X1073" i="8" s="1"/>
  <c r="Y1073" i="8" s="1"/>
  <c r="W2117" i="8"/>
  <c r="X2117" i="8" s="1"/>
  <c r="Y2117" i="8" s="1"/>
  <c r="W2069" i="8"/>
  <c r="X2069" i="8" s="1"/>
  <c r="Y2069" i="8" s="1"/>
  <c r="W1511" i="8"/>
  <c r="X1511" i="8" s="1"/>
  <c r="Y1511" i="8" s="1"/>
  <c r="W2379" i="8"/>
  <c r="X2379" i="8" s="1"/>
  <c r="Y2379" i="8" s="1"/>
  <c r="W2968" i="8"/>
  <c r="X2968" i="8" s="1"/>
  <c r="Y2968" i="8" s="1"/>
  <c r="W1317" i="8"/>
  <c r="X1317" i="8" s="1"/>
  <c r="Y1317" i="8" s="1"/>
  <c r="W2696" i="8"/>
  <c r="X2696" i="8" s="1"/>
  <c r="Y2696" i="8" s="1"/>
  <c r="W2025" i="8"/>
  <c r="X2025" i="8" s="1"/>
  <c r="Y2025" i="8" s="1"/>
  <c r="W2159" i="8"/>
  <c r="X2159" i="8" s="1"/>
  <c r="Y2159" i="8" s="1"/>
  <c r="W1500" i="8"/>
  <c r="X1500" i="8" s="1"/>
  <c r="Y1500" i="8" s="1"/>
  <c r="W2331" i="8"/>
  <c r="X2331" i="8" s="1"/>
  <c r="Y2331" i="8" s="1"/>
  <c r="W1636" i="8"/>
  <c r="X1636" i="8" s="1"/>
  <c r="Y1636" i="8" s="1"/>
  <c r="W2740" i="8"/>
  <c r="X2740" i="8" s="1"/>
  <c r="Y2740" i="8" s="1"/>
  <c r="W1416" i="8"/>
  <c r="X1416" i="8" s="1"/>
  <c r="Y1416" i="8" s="1"/>
  <c r="W1794" i="8"/>
  <c r="X1794" i="8" s="1"/>
  <c r="Y1794" i="8" s="1"/>
  <c r="W2720" i="8"/>
  <c r="X2720" i="8" s="1"/>
  <c r="Y2720" i="8" s="1"/>
  <c r="W2688" i="8"/>
  <c r="X2688" i="8" s="1"/>
  <c r="Y2688" i="8" s="1"/>
  <c r="W3003" i="8"/>
  <c r="X3003" i="8" s="1"/>
  <c r="Y3003" i="8" s="1"/>
  <c r="W1912" i="8"/>
  <c r="X1912" i="8" s="1"/>
  <c r="Y1912" i="8" s="1"/>
  <c r="W3059" i="8"/>
  <c r="X3059" i="8" s="1"/>
  <c r="Y3059" i="8" s="1"/>
  <c r="W1687" i="8"/>
  <c r="X1687" i="8" s="1"/>
  <c r="Y1687" i="8" s="1"/>
  <c r="W1328" i="8"/>
  <c r="X1328" i="8" s="1"/>
  <c r="Y1328" i="8" s="1"/>
  <c r="W2203" i="8"/>
  <c r="X2203" i="8" s="1"/>
  <c r="Y2203" i="8" s="1"/>
  <c r="W2460" i="8"/>
  <c r="X2460" i="8" s="1"/>
  <c r="Y2460" i="8" s="1"/>
  <c r="W3013" i="8"/>
  <c r="X3013" i="8" s="1"/>
  <c r="Y3013" i="8" s="1"/>
  <c r="W2965" i="8"/>
  <c r="X2965" i="8" s="1"/>
  <c r="Y2965" i="8" s="1"/>
  <c r="W1478" i="8"/>
  <c r="X1478" i="8" s="1"/>
  <c r="Y1478" i="8" s="1"/>
  <c r="W1205" i="8"/>
  <c r="X1205" i="8" s="1"/>
  <c r="Y1205" i="8" s="1"/>
  <c r="W2641" i="8"/>
  <c r="X2641" i="8" s="1"/>
  <c r="Y2641" i="8" s="1"/>
  <c r="W1777" i="8"/>
  <c r="X1777" i="8" s="1"/>
  <c r="Y1777" i="8" s="1"/>
  <c r="W1879" i="8"/>
  <c r="X1879" i="8" s="1"/>
  <c r="Y1879" i="8" s="1"/>
  <c r="W2977" i="8"/>
  <c r="X2977" i="8" s="1"/>
  <c r="Y2977" i="8" s="1"/>
  <c r="W1275" i="8"/>
  <c r="X1275" i="8" s="1"/>
  <c r="Y1275" i="8" s="1"/>
  <c r="W1154" i="8"/>
  <c r="X1154" i="8" s="1"/>
  <c r="Y1154" i="8" s="1"/>
  <c r="W2763" i="8"/>
  <c r="X2763" i="8" s="1"/>
  <c r="Y2763" i="8" s="1"/>
  <c r="W1996" i="8"/>
  <c r="X1996" i="8" s="1"/>
  <c r="Y1996" i="8" s="1"/>
  <c r="W1713" i="8"/>
  <c r="X1713" i="8" s="1"/>
  <c r="Y1713" i="8" s="1"/>
  <c r="W2992" i="8"/>
  <c r="X2992" i="8" s="1"/>
  <c r="Y2992" i="8" s="1"/>
  <c r="W1192" i="8"/>
  <c r="X1192" i="8" s="1"/>
  <c r="Y1192" i="8" s="1"/>
  <c r="W1408" i="8"/>
  <c r="X1408" i="8" s="1"/>
  <c r="Y1408" i="8" s="1"/>
  <c r="W919" i="8"/>
  <c r="X919" i="8" s="1"/>
  <c r="Y919" i="8" s="1"/>
  <c r="W2364" i="8"/>
  <c r="X2364" i="8" s="1"/>
  <c r="Y2364" i="8" s="1"/>
  <c r="W1208" i="8"/>
  <c r="X1208" i="8" s="1"/>
  <c r="Y1208" i="8" s="1"/>
  <c r="W2281" i="8"/>
  <c r="X2281" i="8" s="1"/>
  <c r="Y2281" i="8" s="1"/>
  <c r="W2943" i="8"/>
  <c r="X2943" i="8" s="1"/>
  <c r="Y2943" i="8" s="1"/>
  <c r="W2226" i="8"/>
  <c r="X2226" i="8" s="1"/>
  <c r="Y2226" i="8" s="1"/>
  <c r="W2492" i="8"/>
  <c r="X2492" i="8" s="1"/>
  <c r="Y2492" i="8" s="1"/>
  <c r="W3037" i="8"/>
  <c r="X3037" i="8" s="1"/>
  <c r="Y3037" i="8" s="1"/>
  <c r="W2439" i="8"/>
  <c r="X2439" i="8" s="1"/>
  <c r="Y2439" i="8" s="1"/>
  <c r="W2151" i="8"/>
  <c r="X2151" i="8" s="1"/>
  <c r="Y2151" i="8" s="1"/>
  <c r="W2719" i="8"/>
  <c r="X2719" i="8" s="1"/>
  <c r="Y2719" i="8" s="1"/>
  <c r="W2828" i="8"/>
  <c r="X2828" i="8" s="1"/>
  <c r="Y2828" i="8" s="1"/>
  <c r="W2233" i="8"/>
  <c r="X2233" i="8" s="1"/>
  <c r="Y2233" i="8" s="1"/>
  <c r="W665" i="8"/>
  <c r="X665" i="8" s="1"/>
  <c r="Y665" i="8" s="1"/>
  <c r="W2338" i="8"/>
  <c r="X2338" i="8" s="1"/>
  <c r="Y2338" i="8" s="1"/>
  <c r="W1385" i="8"/>
  <c r="X1385" i="8" s="1"/>
  <c r="Y1385" i="8" s="1"/>
  <c r="W1648" i="8"/>
  <c r="X1648" i="8" s="1"/>
  <c r="Y1648" i="8" s="1"/>
  <c r="W2415" i="8"/>
  <c r="X2415" i="8" s="1"/>
  <c r="Y2415" i="8" s="1"/>
  <c r="W1910" i="8"/>
  <c r="X1910" i="8" s="1"/>
  <c r="Y1910" i="8" s="1"/>
  <c r="W1200" i="8"/>
  <c r="X1200" i="8" s="1"/>
  <c r="Y1200" i="8" s="1"/>
  <c r="W2979" i="8"/>
  <c r="X2979" i="8" s="1"/>
  <c r="Y2979" i="8" s="1"/>
  <c r="W1872" i="8"/>
  <c r="X1872" i="8" s="1"/>
  <c r="Y1872" i="8" s="1"/>
  <c r="W710" i="8"/>
  <c r="X710" i="8" s="1"/>
  <c r="Y710" i="8" s="1"/>
  <c r="W1106" i="8"/>
  <c r="X1106" i="8" s="1"/>
  <c r="Y1106" i="8" s="1"/>
  <c r="W324" i="8"/>
  <c r="X324" i="8" s="1"/>
  <c r="Y324" i="8" s="1"/>
  <c r="W1324" i="8"/>
  <c r="X1324" i="8" s="1"/>
  <c r="Y1324" i="8" s="1"/>
  <c r="W1059" i="8"/>
  <c r="X1059" i="8" s="1"/>
  <c r="Y1059" i="8" s="1"/>
  <c r="W19" i="8"/>
  <c r="X19" i="8" s="1"/>
  <c r="Y19" i="8" s="1"/>
  <c r="W2249" i="8"/>
  <c r="X2249" i="8" s="1"/>
  <c r="Y2249" i="8" s="1"/>
  <c r="W2782" i="8"/>
  <c r="X2782" i="8" s="1"/>
  <c r="Y2782" i="8" s="1"/>
  <c r="W2138" i="8"/>
  <c r="X2138" i="8" s="1"/>
  <c r="Y2138" i="8" s="1"/>
  <c r="W2148" i="8"/>
  <c r="X2148" i="8" s="1"/>
  <c r="Y2148" i="8" s="1"/>
  <c r="W269" i="8"/>
  <c r="X269" i="8" s="1"/>
  <c r="Y269" i="8" s="1"/>
  <c r="W2667" i="8"/>
  <c r="X2667" i="8" s="1"/>
  <c r="Y2667" i="8" s="1"/>
  <c r="W1836" i="8"/>
  <c r="X1836" i="8" s="1"/>
  <c r="Y1836" i="8" s="1"/>
  <c r="W2699" i="8"/>
  <c r="X2699" i="8" s="1"/>
  <c r="Y2699" i="8" s="1"/>
  <c r="W2517" i="8"/>
  <c r="X2517" i="8" s="1"/>
  <c r="Y2517" i="8" s="1"/>
  <c r="W2350" i="8"/>
  <c r="X2350" i="8" s="1"/>
  <c r="Y2350" i="8" s="1"/>
  <c r="W2213" i="8"/>
  <c r="X2213" i="8" s="1"/>
  <c r="Y2213" i="8" s="1"/>
  <c r="W2260" i="8"/>
  <c r="X2260" i="8" s="1"/>
  <c r="Y2260" i="8" s="1"/>
  <c r="W2837" i="8"/>
  <c r="X2837" i="8" s="1"/>
  <c r="Y2837" i="8" s="1"/>
  <c r="W2323" i="8"/>
  <c r="X2323" i="8" s="1"/>
  <c r="Y2323" i="8" s="1"/>
  <c r="W2909" i="8"/>
  <c r="X2909" i="8" s="1"/>
  <c r="Y2909" i="8" s="1"/>
  <c r="W2764" i="8"/>
  <c r="X2764" i="8" s="1"/>
  <c r="Y2764" i="8" s="1"/>
  <c r="W1240" i="8"/>
  <c r="X1240" i="8" s="1"/>
  <c r="Y1240" i="8" s="1"/>
  <c r="W2266" i="8"/>
  <c r="X2266" i="8" s="1"/>
  <c r="Y2266" i="8" s="1"/>
  <c r="W1778" i="8"/>
  <c r="X1778" i="8" s="1"/>
  <c r="Y1778" i="8" s="1"/>
  <c r="W2932" i="8"/>
  <c r="X2932" i="8" s="1"/>
  <c r="Y2932" i="8" s="1"/>
  <c r="W1339" i="8"/>
  <c r="X1339" i="8" s="1"/>
  <c r="Y1339" i="8" s="1"/>
  <c r="W3007" i="8"/>
  <c r="X3007" i="8" s="1"/>
  <c r="Y3007" i="8" s="1"/>
  <c r="W776" i="8"/>
  <c r="X776" i="8" s="1"/>
  <c r="Y776" i="8" s="1"/>
  <c r="W2868" i="8"/>
  <c r="X2868" i="8" s="1"/>
  <c r="Y2868" i="8" s="1"/>
  <c r="W2647" i="8"/>
  <c r="X2647" i="8" s="1"/>
  <c r="Y2647" i="8" s="1"/>
  <c r="W1728" i="8"/>
  <c r="X1728" i="8" s="1"/>
  <c r="Y1728" i="8" s="1"/>
  <c r="W1682" i="8"/>
  <c r="X1682" i="8" s="1"/>
  <c r="Y1682" i="8" s="1"/>
  <c r="W2493" i="8"/>
  <c r="X2493" i="8" s="1"/>
  <c r="Y2493" i="8" s="1"/>
  <c r="W2445" i="8"/>
  <c r="X2445" i="8" s="1"/>
  <c r="Y2445" i="8" s="1"/>
  <c r="W2914" i="8"/>
  <c r="X2914" i="8" s="1"/>
  <c r="Y2914" i="8" s="1"/>
  <c r="W1798" i="8"/>
  <c r="X1798" i="8" s="1"/>
  <c r="Y1798" i="8" s="1"/>
  <c r="W483" i="8"/>
  <c r="X483" i="8" s="1"/>
  <c r="Y483" i="8" s="1"/>
  <c r="W1366" i="8"/>
  <c r="X1366" i="8" s="1"/>
  <c r="Y1366" i="8" s="1"/>
  <c r="W2162" i="8"/>
  <c r="X2162" i="8" s="1"/>
  <c r="Y2162" i="8" s="1"/>
  <c r="W2070" i="8"/>
  <c r="X2070" i="8" s="1"/>
  <c r="Y2070" i="8" s="1"/>
  <c r="W1202" i="8"/>
  <c r="X1202" i="8" s="1"/>
  <c r="Y1202" i="8" s="1"/>
  <c r="W2285" i="8"/>
  <c r="X2285" i="8" s="1"/>
  <c r="Y2285" i="8" s="1"/>
  <c r="W1279" i="8"/>
  <c r="X1279" i="8" s="1"/>
  <c r="Y1279" i="8" s="1"/>
  <c r="W2976" i="8"/>
  <c r="X2976" i="8" s="1"/>
  <c r="Y2976" i="8" s="1"/>
  <c r="W1384" i="8"/>
  <c r="X1384" i="8" s="1"/>
  <c r="Y1384" i="8" s="1"/>
  <c r="W2248" i="8"/>
  <c r="X2248" i="8" s="1"/>
  <c r="Y2248" i="8" s="1"/>
  <c r="W1672" i="8"/>
  <c r="X1672" i="8" s="1"/>
  <c r="Y1672" i="8" s="1"/>
  <c r="W1304" i="8"/>
  <c r="X1304" i="8" s="1"/>
  <c r="Y1304" i="8" s="1"/>
  <c r="W2354" i="8"/>
  <c r="X2354" i="8" s="1"/>
  <c r="Y2354" i="8" s="1"/>
  <c r="W2252" i="8"/>
  <c r="X2252" i="8" s="1"/>
  <c r="Y2252" i="8" s="1"/>
  <c r="W3024" i="8"/>
  <c r="X3024" i="8" s="1"/>
  <c r="Y3024" i="8" s="1"/>
  <c r="W2064" i="8"/>
  <c r="X2064" i="8" s="1"/>
  <c r="Y2064" i="8" s="1"/>
  <c r="W2967" i="8"/>
  <c r="X2967" i="8" s="1"/>
  <c r="Y2967" i="8" s="1"/>
  <c r="W1662" i="8"/>
  <c r="X1662" i="8" s="1"/>
  <c r="Y1662" i="8" s="1"/>
  <c r="W2398" i="8"/>
  <c r="X2398" i="8" s="1"/>
  <c r="Y2398" i="8" s="1"/>
  <c r="W1350" i="8"/>
  <c r="X1350" i="8" s="1"/>
  <c r="Y1350" i="8" s="1"/>
  <c r="W2337" i="8"/>
  <c r="X2337" i="8" s="1"/>
  <c r="Y2337" i="8" s="1"/>
  <c r="W1442" i="8"/>
  <c r="X1442" i="8" s="1"/>
  <c r="Y1442" i="8" s="1"/>
  <c r="W2302" i="8"/>
  <c r="X2302" i="8" s="1"/>
  <c r="Y2302" i="8" s="1"/>
  <c r="W2937" i="8"/>
  <c r="X2937" i="8" s="1"/>
  <c r="Y2937" i="8" s="1"/>
  <c r="W725" i="8"/>
  <c r="X725" i="8" s="1"/>
  <c r="Y725" i="8" s="1"/>
  <c r="W1719" i="8"/>
  <c r="X1719" i="8" s="1"/>
  <c r="Y1719" i="8" s="1"/>
  <c r="W1606" i="8"/>
  <c r="X1606" i="8" s="1"/>
  <c r="Y1606" i="8" s="1"/>
  <c r="W2569" i="8"/>
  <c r="X2569" i="8" s="1"/>
  <c r="Y2569" i="8" s="1"/>
  <c r="W2773" i="8"/>
  <c r="X2773" i="8" s="1"/>
  <c r="Y2773" i="8" s="1"/>
  <c r="W758" i="8"/>
  <c r="X758" i="8" s="1"/>
  <c r="Y758" i="8" s="1"/>
  <c r="W2294" i="8"/>
  <c r="X2294" i="8" s="1"/>
  <c r="Y2294" i="8" s="1"/>
  <c r="W220" i="8"/>
  <c r="X220" i="8" s="1"/>
  <c r="Y220" i="8" s="1"/>
  <c r="W1633" i="8"/>
  <c r="X1633" i="8" s="1"/>
  <c r="Y1633" i="8" s="1"/>
  <c r="W1549" i="8"/>
  <c r="X1549" i="8" s="1"/>
  <c r="Y1549" i="8" s="1"/>
  <c r="W1110" i="8"/>
  <c r="X1110" i="8" s="1"/>
  <c r="Y1110" i="8" s="1"/>
  <c r="W2533" i="8"/>
  <c r="X2533" i="8" s="1"/>
  <c r="Y2533" i="8" s="1"/>
  <c r="W618" i="8"/>
  <c r="X618" i="8" s="1"/>
  <c r="Y618" i="8" s="1"/>
  <c r="W2020" i="8"/>
  <c r="X2020" i="8" s="1"/>
  <c r="Y2020" i="8" s="1"/>
  <c r="W459" i="8"/>
  <c r="X459" i="8" s="1"/>
  <c r="Y459" i="8" s="1"/>
  <c r="W226" i="8"/>
  <c r="X226" i="8" s="1"/>
  <c r="Y226" i="8" s="1"/>
  <c r="W3067" i="8"/>
  <c r="X3067" i="8" s="1"/>
  <c r="Y3067" i="8" s="1"/>
  <c r="W2825" i="8"/>
  <c r="X2825" i="8" s="1"/>
  <c r="Y2825" i="8" s="1"/>
  <c r="W1673" i="8"/>
  <c r="X1673" i="8" s="1"/>
  <c r="Y1673" i="8" s="1"/>
  <c r="W2183" i="8"/>
  <c r="X2183" i="8" s="1"/>
  <c r="Y2183" i="8" s="1"/>
  <c r="W2794" i="8"/>
  <c r="X2794" i="8" s="1"/>
  <c r="Y2794" i="8" s="1"/>
  <c r="W1305" i="8"/>
  <c r="X1305" i="8" s="1"/>
  <c r="Y1305" i="8" s="1"/>
  <c r="W539" i="8"/>
  <c r="X539" i="8" s="1"/>
  <c r="Y539" i="8" s="1"/>
  <c r="W1164" i="8"/>
  <c r="X1164" i="8" s="1"/>
  <c r="Y1164" i="8" s="1"/>
  <c r="W2344" i="8"/>
  <c r="X2344" i="8" s="1"/>
  <c r="Y2344" i="8" s="1"/>
  <c r="W1397" i="8"/>
  <c r="X1397" i="8" s="1"/>
  <c r="Y1397" i="8" s="1"/>
  <c r="W1322" i="8"/>
  <c r="X1322" i="8" s="1"/>
  <c r="Y1322" i="8" s="1"/>
  <c r="W1737" i="8"/>
  <c r="X1737" i="8" s="1"/>
  <c r="Y1737" i="8" s="1"/>
  <c r="W787" i="8"/>
  <c r="X787" i="8" s="1"/>
  <c r="Y787" i="8" s="1"/>
  <c r="W1116" i="8"/>
  <c r="X1116" i="8" s="1"/>
  <c r="Y1116" i="8" s="1"/>
  <c r="W2692" i="8"/>
  <c r="X2692" i="8" s="1"/>
  <c r="Y2692" i="8" s="1"/>
  <c r="W1335" i="8"/>
  <c r="X1335" i="8" s="1"/>
  <c r="Y1335" i="8" s="1"/>
  <c r="W1901" i="8"/>
  <c r="X1901" i="8" s="1"/>
  <c r="Y1901" i="8" s="1"/>
  <c r="W1151" i="8"/>
  <c r="X1151" i="8" s="1"/>
  <c r="Y1151" i="8" s="1"/>
  <c r="W2217" i="8"/>
  <c r="X2217" i="8" s="1"/>
  <c r="Y2217" i="8" s="1"/>
  <c r="W465" i="8"/>
  <c r="X465" i="8" s="1"/>
  <c r="Y465" i="8" s="1"/>
  <c r="W1293" i="8"/>
  <c r="X1293" i="8" s="1"/>
  <c r="Y1293" i="8" s="1"/>
  <c r="W2289" i="8"/>
  <c r="X2289" i="8" s="1"/>
  <c r="Y2289" i="8" s="1"/>
  <c r="W2320" i="8"/>
  <c r="X2320" i="8" s="1"/>
  <c r="Y2320" i="8" s="1"/>
  <c r="W2077" i="8"/>
  <c r="X2077" i="8" s="1"/>
  <c r="Y2077" i="8" s="1"/>
  <c r="W1849" i="8"/>
  <c r="X1849" i="8" s="1"/>
  <c r="Y1849" i="8" s="1"/>
  <c r="W3082" i="8"/>
  <c r="X3082" i="8" s="1"/>
  <c r="Y3082" i="8" s="1"/>
  <c r="W2382" i="8"/>
  <c r="X2382" i="8" s="1"/>
  <c r="Y2382" i="8" s="1"/>
  <c r="W1034" i="8"/>
  <c r="X1034" i="8" s="1"/>
  <c r="Y1034" i="8" s="1"/>
  <c r="W2348" i="8"/>
  <c r="X2348" i="8" s="1"/>
  <c r="Y2348" i="8" s="1"/>
  <c r="W2014" i="8"/>
  <c r="X2014" i="8" s="1"/>
  <c r="Y2014" i="8" s="1"/>
  <c r="W1336" i="8"/>
  <c r="X1336" i="8" s="1"/>
  <c r="Y1336" i="8" s="1"/>
  <c r="W1488" i="8"/>
  <c r="X1488" i="8" s="1"/>
  <c r="Y1488" i="8" s="1"/>
  <c r="W1481" i="8"/>
  <c r="X1481" i="8" s="1"/>
  <c r="Y1481" i="8" s="1"/>
  <c r="W2666" i="8"/>
  <c r="X2666" i="8" s="1"/>
  <c r="Y2666" i="8" s="1"/>
  <c r="W1575" i="8"/>
  <c r="X1575" i="8" s="1"/>
  <c r="Y1575" i="8" s="1"/>
  <c r="W1258" i="8"/>
  <c r="X1258" i="8" s="1"/>
  <c r="Y1258" i="8" s="1"/>
  <c r="W1064" i="8"/>
  <c r="X1064" i="8" s="1"/>
  <c r="Y1064" i="8" s="1"/>
  <c r="W1396" i="8"/>
  <c r="X1396" i="8" s="1"/>
  <c r="Y1396" i="8" s="1"/>
  <c r="W807" i="8"/>
  <c r="X807" i="8" s="1"/>
  <c r="Y807" i="8" s="1"/>
  <c r="W2712" i="8"/>
  <c r="X2712" i="8" s="1"/>
  <c r="Y2712" i="8" s="1"/>
  <c r="W3070" i="8"/>
  <c r="X3070" i="8" s="1"/>
  <c r="Y3070" i="8" s="1"/>
  <c r="W1170" i="8"/>
  <c r="X1170" i="8" s="1"/>
  <c r="Y1170" i="8" s="1"/>
  <c r="W1259" i="8"/>
  <c r="X1259" i="8" s="1"/>
  <c r="Y1259" i="8" s="1"/>
  <c r="W1204" i="8"/>
  <c r="X1204" i="8" s="1"/>
  <c r="Y1204" i="8" s="1"/>
  <c r="W2122" i="8"/>
  <c r="X2122" i="8" s="1"/>
  <c r="Y2122" i="8" s="1"/>
  <c r="W1040" i="8"/>
  <c r="X1040" i="8" s="1"/>
  <c r="Y1040" i="8" s="1"/>
  <c r="W1303" i="8"/>
  <c r="X1303" i="8" s="1"/>
  <c r="Y1303" i="8" s="1"/>
  <c r="W2367" i="8"/>
  <c r="X2367" i="8" s="1"/>
  <c r="Y2367" i="8" s="1"/>
  <c r="W1077" i="8"/>
  <c r="X1077" i="8" s="1"/>
  <c r="Y1077" i="8" s="1"/>
  <c r="W2938" i="8"/>
  <c r="X2938" i="8" s="1"/>
  <c r="Y2938" i="8" s="1"/>
  <c r="W1780" i="8"/>
  <c r="X1780" i="8" s="1"/>
  <c r="Y1780" i="8" s="1"/>
  <c r="W1415" i="8"/>
  <c r="X1415" i="8" s="1"/>
  <c r="Y1415" i="8" s="1"/>
  <c r="W2431" i="8"/>
  <c r="X2431" i="8" s="1"/>
  <c r="Y2431" i="8" s="1"/>
  <c r="W1832" i="8"/>
  <c r="X1832" i="8" s="1"/>
  <c r="Y1832" i="8" s="1"/>
  <c r="W2062" i="8"/>
  <c r="X2062" i="8" s="1"/>
  <c r="Y2062" i="8" s="1"/>
  <c r="W277" i="8"/>
  <c r="X277" i="8" s="1"/>
  <c r="Y277" i="8" s="1"/>
  <c r="W2170" i="8"/>
  <c r="X2170" i="8" s="1"/>
  <c r="Y2170" i="8" s="1"/>
  <c r="W296" i="8"/>
  <c r="X296" i="8" s="1"/>
  <c r="Y296" i="8" s="1"/>
  <c r="W2640" i="8"/>
  <c r="X2640" i="8" s="1"/>
  <c r="Y2640" i="8" s="1"/>
  <c r="W2156" i="8"/>
  <c r="X2156" i="8" s="1"/>
  <c r="Y2156" i="8" s="1"/>
  <c r="W1545" i="8"/>
  <c r="X1545" i="8" s="1"/>
  <c r="Y1545" i="8" s="1"/>
  <c r="W1748" i="8"/>
  <c r="X1748" i="8" s="1"/>
  <c r="Y1748" i="8" s="1"/>
  <c r="W1619" i="8"/>
  <c r="X1619" i="8" s="1"/>
  <c r="Y1619" i="8" s="1"/>
  <c r="W1021" i="8"/>
  <c r="X1021" i="8" s="1"/>
  <c r="Y1021" i="8" s="1"/>
  <c r="W609" i="8"/>
  <c r="X609" i="8" s="1"/>
  <c r="Y609" i="8" s="1"/>
  <c r="W1159" i="8"/>
  <c r="X1159" i="8" s="1"/>
  <c r="Y1159" i="8" s="1"/>
  <c r="W2036" i="8"/>
  <c r="X2036" i="8" s="1"/>
  <c r="Y2036" i="8" s="1"/>
  <c r="W1817" i="8"/>
  <c r="X1817" i="8" s="1"/>
  <c r="Y1817" i="8" s="1"/>
  <c r="W1973" i="8"/>
  <c r="X1973" i="8" s="1"/>
  <c r="Y1973" i="8" s="1"/>
  <c r="W1404" i="8"/>
  <c r="X1404" i="8" s="1"/>
  <c r="Y1404" i="8" s="1"/>
  <c r="W1936" i="8"/>
  <c r="X1936" i="8" s="1"/>
  <c r="Y1936" i="8" s="1"/>
  <c r="W1512" i="8"/>
  <c r="X1512" i="8" s="1"/>
  <c r="Y1512" i="8" s="1"/>
  <c r="W1212" i="8"/>
  <c r="X1212" i="8" s="1"/>
  <c r="Y1212" i="8" s="1"/>
  <c r="W2785" i="8"/>
  <c r="X2785" i="8" s="1"/>
  <c r="Y2785" i="8" s="1"/>
  <c r="W2910" i="8"/>
  <c r="X2910" i="8" s="1"/>
  <c r="Y2910" i="8" s="1"/>
  <c r="W1699" i="8"/>
  <c r="X1699" i="8" s="1"/>
  <c r="Y1699" i="8" s="1"/>
  <c r="W2253" i="8"/>
  <c r="X2253" i="8" s="1"/>
  <c r="Y2253" i="8" s="1"/>
  <c r="W1596" i="8"/>
  <c r="X1596" i="8" s="1"/>
  <c r="Y1596" i="8" s="1"/>
  <c r="W1476" i="8"/>
  <c r="X1476" i="8" s="1"/>
  <c r="Y1476" i="8" s="1"/>
  <c r="W3056" i="8"/>
  <c r="X3056" i="8" s="1"/>
  <c r="Y3056" i="8" s="1"/>
  <c r="W1229" i="8"/>
  <c r="X1229" i="8" s="1"/>
  <c r="Y1229" i="8" s="1"/>
  <c r="W2501" i="8"/>
  <c r="X2501" i="8" s="1"/>
  <c r="Y2501" i="8" s="1"/>
  <c r="W2112" i="8"/>
  <c r="X2112" i="8" s="1"/>
  <c r="Y2112" i="8" s="1"/>
  <c r="W519" i="8"/>
  <c r="X519" i="8" s="1"/>
  <c r="Y519" i="8" s="1"/>
  <c r="W1825" i="8"/>
  <c r="X1825" i="8" s="1"/>
  <c r="Y1825" i="8" s="1"/>
  <c r="W1630" i="8"/>
  <c r="X1630" i="8" s="1"/>
  <c r="Y1630" i="8" s="1"/>
  <c r="W2392" i="8"/>
  <c r="X2392" i="8" s="1"/>
  <c r="Y2392" i="8" s="1"/>
  <c r="W1875" i="8"/>
  <c r="X1875" i="8" s="1"/>
  <c r="Y1875" i="8" s="1"/>
  <c r="W1856" i="8"/>
  <c r="X1856" i="8" s="1"/>
  <c r="Y1856" i="8" s="1"/>
  <c r="W1049" i="8"/>
  <c r="X1049" i="8" s="1"/>
  <c r="Y1049" i="8" s="1"/>
  <c r="W1300" i="8"/>
  <c r="X1300" i="8" s="1"/>
  <c r="Y1300" i="8" s="1"/>
  <c r="W1527" i="8"/>
  <c r="X1527" i="8" s="1"/>
  <c r="Y1527" i="8" s="1"/>
  <c r="W2671" i="8"/>
  <c r="X2671" i="8" s="1"/>
  <c r="Y2671" i="8" s="1"/>
  <c r="W2731" i="8"/>
  <c r="X2731" i="8" s="1"/>
  <c r="Y2731" i="8" s="1"/>
  <c r="W1743" i="8"/>
  <c r="X1743" i="8" s="1"/>
  <c r="Y1743" i="8" s="1"/>
  <c r="W1658" i="8"/>
  <c r="X1658" i="8" s="1"/>
  <c r="Y1658" i="8" s="1"/>
  <c r="W1717" i="8"/>
  <c r="X1717" i="8" s="1"/>
  <c r="Y1717" i="8" s="1"/>
  <c r="W622" i="8"/>
  <c r="X622" i="8" s="1"/>
  <c r="Y622" i="8" s="1"/>
  <c r="W1919" i="8"/>
  <c r="X1919" i="8" s="1"/>
  <c r="Y1919" i="8" s="1"/>
  <c r="W891" i="8"/>
  <c r="X891" i="8" s="1"/>
  <c r="Y891" i="8" s="1"/>
  <c r="W2361" i="8"/>
  <c r="X2361" i="8" s="1"/>
  <c r="Y2361" i="8" s="1"/>
  <c r="W280" i="8"/>
  <c r="X280" i="8" s="1"/>
  <c r="Y280" i="8" s="1"/>
  <c r="W1367" i="8"/>
  <c r="X1367" i="8" s="1"/>
  <c r="Y1367" i="8" s="1"/>
  <c r="W798" i="8"/>
  <c r="X798" i="8" s="1"/>
  <c r="Y798" i="8" s="1"/>
  <c r="W2236" i="8"/>
  <c r="X2236" i="8" s="1"/>
  <c r="Y2236" i="8" s="1"/>
  <c r="W1661" i="8"/>
  <c r="X1661" i="8" s="1"/>
  <c r="Y1661" i="8" s="1"/>
  <c r="W2987" i="8"/>
  <c r="X2987" i="8" s="1"/>
  <c r="Y2987" i="8" s="1"/>
  <c r="W1895" i="8"/>
  <c r="X1895" i="8" s="1"/>
  <c r="Y1895" i="8" s="1"/>
  <c r="W2102" i="8"/>
  <c r="X2102" i="8" s="1"/>
  <c r="Y2102" i="8" s="1"/>
  <c r="W774" i="8"/>
  <c r="X774" i="8" s="1"/>
  <c r="Y774" i="8" s="1"/>
  <c r="W960" i="8"/>
  <c r="X960" i="8" s="1"/>
  <c r="Y960" i="8" s="1"/>
  <c r="W2347" i="8"/>
  <c r="X2347" i="8" s="1"/>
  <c r="Y2347" i="8" s="1"/>
  <c r="W1937" i="8"/>
  <c r="X1937" i="8" s="1"/>
  <c r="Y1937" i="8" s="1"/>
  <c r="W1772" i="8"/>
  <c r="X1772" i="8" s="1"/>
  <c r="Y1772" i="8" s="1"/>
  <c r="W1942" i="8"/>
  <c r="X1942" i="8" s="1"/>
  <c r="Y1942" i="8" s="1"/>
  <c r="W1943" i="8"/>
  <c r="X1943" i="8" s="1"/>
  <c r="Y1943" i="8" s="1"/>
  <c r="W2201" i="8"/>
  <c r="X2201" i="8" s="1"/>
  <c r="Y2201" i="8" s="1"/>
  <c r="W2455" i="8"/>
  <c r="X2455" i="8" s="1"/>
  <c r="Y2455" i="8" s="1"/>
  <c r="W1085" i="8"/>
  <c r="X1085" i="8" s="1"/>
  <c r="Y1085" i="8" s="1"/>
  <c r="W1903" i="8"/>
  <c r="X1903" i="8" s="1"/>
  <c r="Y1903" i="8" s="1"/>
  <c r="W1071" i="8"/>
  <c r="X1071" i="8" s="1"/>
  <c r="Y1071" i="8" s="1"/>
  <c r="W1660" i="8"/>
  <c r="X1660" i="8" s="1"/>
  <c r="Y1660" i="8" s="1"/>
  <c r="W1220" i="8"/>
  <c r="X1220" i="8" s="1"/>
  <c r="Y1220" i="8" s="1"/>
  <c r="W2040" i="8"/>
  <c r="X2040" i="8" s="1"/>
  <c r="Y2040" i="8" s="1"/>
  <c r="W1625" i="8"/>
  <c r="X1625" i="8" s="1"/>
  <c r="Y1625" i="8" s="1"/>
  <c r="W1463" i="8"/>
  <c r="X1463" i="8" s="1"/>
  <c r="Y1463" i="8" s="1"/>
  <c r="W1507" i="8"/>
  <c r="X1507" i="8" s="1"/>
  <c r="Y1507" i="8" s="1"/>
  <c r="W1615" i="8"/>
  <c r="X1615" i="8" s="1"/>
  <c r="Y1615" i="8" s="1"/>
  <c r="W2931" i="8"/>
  <c r="X2931" i="8" s="1"/>
  <c r="Y2931" i="8" s="1"/>
  <c r="W27" i="8"/>
  <c r="X27" i="8" s="1"/>
  <c r="Y27" i="8" s="1"/>
  <c r="W2450" i="8"/>
  <c r="X2450" i="8" s="1"/>
  <c r="Y2450" i="8" s="1"/>
  <c r="W322" i="8"/>
  <c r="X322" i="8" s="1"/>
  <c r="Y322" i="8" s="1"/>
  <c r="W2251" i="8"/>
  <c r="X2251" i="8" s="1"/>
  <c r="Y2251" i="8" s="1"/>
  <c r="W2550" i="8"/>
  <c r="X2550" i="8" s="1"/>
  <c r="Y2550" i="8" s="1"/>
  <c r="W1587" i="8"/>
  <c r="X1587" i="8" s="1"/>
  <c r="Y1587" i="8" s="1"/>
  <c r="W2250" i="8"/>
  <c r="X2250" i="8" s="1"/>
  <c r="Y2250" i="8" s="1"/>
  <c r="W1585" i="8"/>
  <c r="X1585" i="8" s="1"/>
  <c r="Y1585" i="8" s="1"/>
  <c r="W2579" i="8"/>
  <c r="X2579" i="8" s="1"/>
  <c r="Y2579" i="8" s="1"/>
  <c r="W2546" i="8"/>
  <c r="X2546" i="8" s="1"/>
  <c r="Y2546" i="8" s="1"/>
  <c r="W3029" i="8"/>
  <c r="X3029" i="8" s="1"/>
  <c r="Y3029" i="8" s="1"/>
  <c r="W1504" i="8"/>
  <c r="X1504" i="8" s="1"/>
  <c r="Y1504" i="8" s="1"/>
  <c r="W1152" i="8"/>
  <c r="X1152" i="8" s="1"/>
  <c r="Y1152" i="8" s="1"/>
  <c r="W1223" i="8"/>
  <c r="X1223" i="8" s="1"/>
  <c r="Y1223" i="8" s="1"/>
  <c r="W1774" i="8"/>
  <c r="X1774" i="8" s="1"/>
  <c r="Y1774" i="8" s="1"/>
  <c r="W2464" i="8"/>
  <c r="X2464" i="8" s="1"/>
  <c r="Y2464" i="8" s="1"/>
  <c r="W2697" i="8"/>
  <c r="X2697" i="8" s="1"/>
  <c r="Y2697" i="8" s="1"/>
  <c r="W2936" i="8"/>
  <c r="X2936" i="8" s="1"/>
  <c r="Y2936" i="8" s="1"/>
  <c r="W1128" i="8"/>
  <c r="X1128" i="8" s="1"/>
  <c r="Y1128" i="8" s="1"/>
  <c r="W2030" i="8"/>
  <c r="X2030" i="8" s="1"/>
  <c r="Y2030" i="8" s="1"/>
  <c r="W2879" i="8"/>
  <c r="X2879" i="8" s="1"/>
  <c r="Y2879" i="8" s="1"/>
  <c r="W1644" i="8"/>
  <c r="X1644" i="8" s="1"/>
  <c r="Y1644" i="8" s="1"/>
  <c r="W2846" i="8"/>
  <c r="X2846" i="8" s="1"/>
  <c r="Y2846" i="8" s="1"/>
  <c r="W1694" i="8"/>
  <c r="X1694" i="8" s="1"/>
  <c r="Y1694" i="8" s="1"/>
  <c r="W2472" i="8"/>
  <c r="X2472" i="8" s="1"/>
  <c r="Y2472" i="8" s="1"/>
  <c r="W761" i="8"/>
  <c r="X761" i="8" s="1"/>
  <c r="Y761" i="8" s="1"/>
  <c r="W1655" i="8"/>
  <c r="X1655" i="8" s="1"/>
  <c r="Y1655" i="8" s="1"/>
  <c r="W2774" i="8"/>
  <c r="X2774" i="8" s="1"/>
  <c r="Y2774" i="8" s="1"/>
  <c r="W1799" i="8"/>
  <c r="X1799" i="8" s="1"/>
  <c r="Y1799" i="8" s="1"/>
  <c r="W643" i="8"/>
  <c r="X643" i="8" s="1"/>
  <c r="Y643" i="8" s="1"/>
  <c r="W3086" i="8"/>
  <c r="X3086" i="8" s="1"/>
  <c r="Y3086" i="8" s="1"/>
  <c r="W2319" i="8"/>
  <c r="X2319" i="8" s="1"/>
  <c r="Y2319" i="8" s="1"/>
  <c r="W1231" i="8"/>
  <c r="X1231" i="8" s="1"/>
  <c r="Y1231" i="8" s="1"/>
  <c r="W2482" i="8"/>
  <c r="X2482" i="8" s="1"/>
  <c r="Y2482" i="8" s="1"/>
  <c r="W1250" i="8"/>
  <c r="X1250" i="8" s="1"/>
  <c r="Y1250" i="8" s="1"/>
  <c r="W2391" i="8"/>
  <c r="X2391" i="8" s="1"/>
  <c r="Y2391" i="8" s="1"/>
  <c r="W2652" i="8"/>
  <c r="X2652" i="8" s="1"/>
  <c r="Y2652" i="8" s="1"/>
  <c r="W882" i="8"/>
  <c r="X882" i="8" s="1"/>
  <c r="Y882" i="8" s="1"/>
  <c r="W1960" i="8"/>
  <c r="X1960" i="8" s="1"/>
  <c r="Y1960" i="8" s="1"/>
  <c r="W2484" i="8"/>
  <c r="X2484" i="8" s="1"/>
  <c r="Y2484" i="8" s="1"/>
  <c r="W2639" i="8"/>
  <c r="X2639" i="8" s="1"/>
  <c r="Y2639" i="8" s="1"/>
  <c r="W496" i="8"/>
  <c r="X496" i="8" s="1"/>
  <c r="Y496" i="8" s="1"/>
  <c r="W405" i="8"/>
  <c r="X405" i="8" s="1"/>
  <c r="Y405" i="8" s="1"/>
  <c r="W1412" i="8"/>
  <c r="X1412" i="8" s="1"/>
  <c r="Y1412" i="8" s="1"/>
  <c r="W2241" i="8"/>
  <c r="X2241" i="8" s="1"/>
  <c r="Y2241" i="8" s="1"/>
  <c r="W2228" i="8"/>
  <c r="X2228" i="8" s="1"/>
  <c r="Y2228" i="8" s="1"/>
  <c r="W1068" i="8"/>
  <c r="X1068" i="8" s="1"/>
  <c r="Y1068" i="8" s="1"/>
  <c r="W1962" i="8"/>
  <c r="X1962" i="8" s="1"/>
  <c r="Y1962" i="8" s="1"/>
  <c r="W1197" i="8"/>
  <c r="X1197" i="8" s="1"/>
  <c r="Y1197" i="8" s="1"/>
  <c r="W696" i="8"/>
  <c r="X696" i="8" s="1"/>
  <c r="Y696" i="8" s="1"/>
  <c r="W2499" i="8"/>
  <c r="X2499" i="8" s="1"/>
  <c r="Y2499" i="8" s="1"/>
  <c r="W1264" i="8"/>
  <c r="X1264" i="8" s="1"/>
  <c r="Y1264" i="8" s="1"/>
  <c r="W575" i="8"/>
  <c r="X575" i="8" s="1"/>
  <c r="Y575" i="8" s="1"/>
  <c r="W2502" i="8"/>
  <c r="X2502" i="8" s="1"/>
  <c r="Y2502" i="8" s="1"/>
  <c r="W1444" i="8"/>
  <c r="X1444" i="8" s="1"/>
  <c r="Y1444" i="8" s="1"/>
  <c r="W1360" i="8"/>
  <c r="X1360" i="8" s="1"/>
  <c r="Y1360" i="8" s="1"/>
  <c r="W987" i="8"/>
  <c r="X987" i="8" s="1"/>
  <c r="Y987" i="8" s="1"/>
  <c r="W2430" i="8"/>
  <c r="X2430" i="8" s="1"/>
  <c r="Y2430" i="8" s="1"/>
  <c r="W2507" i="8"/>
  <c r="X2507" i="8" s="1"/>
  <c r="Y2507" i="8" s="1"/>
  <c r="W3071" i="8"/>
  <c r="X3071" i="8" s="1"/>
  <c r="Y3071" i="8" s="1"/>
  <c r="W3000" i="8"/>
  <c r="X3000" i="8" s="1"/>
  <c r="Y3000" i="8" s="1"/>
  <c r="W2917" i="8"/>
  <c r="X2917" i="8" s="1"/>
  <c r="Y2917" i="8" s="1"/>
  <c r="W2685" i="8"/>
  <c r="X2685" i="8" s="1"/>
  <c r="Y2685" i="8" s="1"/>
  <c r="W1114" i="8"/>
  <c r="X1114" i="8" s="1"/>
  <c r="Y1114" i="8" s="1"/>
  <c r="W2513" i="8"/>
  <c r="X2513" i="8" s="1"/>
  <c r="Y2513" i="8" s="1"/>
  <c r="W694" i="8"/>
  <c r="X694" i="8" s="1"/>
  <c r="Y694" i="8" s="1"/>
  <c r="W2128" i="8"/>
  <c r="X2128" i="8" s="1"/>
  <c r="Y2128" i="8" s="1"/>
  <c r="W939" i="8"/>
  <c r="X939" i="8" s="1"/>
  <c r="Y939" i="8" s="1"/>
  <c r="W2693" i="8"/>
  <c r="X2693" i="8" s="1"/>
  <c r="Y2693" i="8" s="1"/>
  <c r="W2902" i="8"/>
  <c r="X2902" i="8" s="1"/>
  <c r="Y2902" i="8" s="1"/>
  <c r="W2880" i="8"/>
  <c r="X2880" i="8" s="1"/>
  <c r="Y2880" i="8" s="1"/>
  <c r="W1753" i="8"/>
  <c r="X1753" i="8" s="1"/>
  <c r="Y1753" i="8" s="1"/>
  <c r="W2966" i="8"/>
  <c r="X2966" i="8" s="1"/>
  <c r="Y2966" i="8" s="1"/>
  <c r="W1411" i="8"/>
  <c r="X1411" i="8" s="1"/>
  <c r="Y1411" i="8" s="1"/>
  <c r="W3040" i="8"/>
  <c r="X3040" i="8" s="1"/>
  <c r="Y3040" i="8" s="1"/>
  <c r="W2451" i="8"/>
  <c r="X2451" i="8" s="1"/>
  <c r="Y2451" i="8" s="1"/>
  <c r="W1870" i="8"/>
  <c r="X1870" i="8" s="1"/>
  <c r="Y1870" i="8" s="1"/>
  <c r="W2276" i="8"/>
  <c r="X2276" i="8" s="1"/>
  <c r="Y2276" i="8" s="1"/>
  <c r="W1830" i="8"/>
  <c r="X1830" i="8" s="1"/>
  <c r="Y1830" i="8" s="1"/>
  <c r="W2092" i="8"/>
  <c r="X2092" i="8" s="1"/>
  <c r="Y2092" i="8" s="1"/>
  <c r="W2133" i="8"/>
  <c r="X2133" i="8" s="1"/>
  <c r="Y2133" i="8" s="1"/>
  <c r="W2530" i="8"/>
  <c r="X2530" i="8" s="1"/>
  <c r="Y2530" i="8" s="1"/>
  <c r="W1787" i="8"/>
  <c r="X1787" i="8" s="1"/>
  <c r="Y1787" i="8" s="1"/>
  <c r="W1041" i="8"/>
  <c r="X1041" i="8" s="1"/>
  <c r="Y1041" i="8" s="1"/>
  <c r="W2995" i="8"/>
  <c r="X2995" i="8" s="1"/>
  <c r="Y2995" i="8" s="1"/>
  <c r="W2026" i="8"/>
  <c r="X2026" i="8" s="1"/>
  <c r="Y2026" i="8" s="1"/>
  <c r="W1752" i="8"/>
  <c r="X1752" i="8" s="1"/>
  <c r="Y1752" i="8" s="1"/>
  <c r="W2515" i="8"/>
  <c r="X2515" i="8" s="1"/>
  <c r="Y2515" i="8" s="1"/>
  <c r="W2557" i="8"/>
  <c r="X2557" i="8" s="1"/>
  <c r="Y2557" i="8" s="1"/>
  <c r="W1727" i="8"/>
  <c r="X1727" i="8" s="1"/>
  <c r="Y1727" i="8" s="1"/>
  <c r="W2903" i="8"/>
  <c r="X2903" i="8" s="1"/>
  <c r="Y2903" i="8" s="1"/>
  <c r="W2489" i="8"/>
  <c r="X2489" i="8" s="1"/>
  <c r="Y2489" i="8" s="1"/>
  <c r="W2900" i="8"/>
  <c r="X2900" i="8" s="1"/>
  <c r="Y2900" i="8" s="1"/>
  <c r="W2089" i="8"/>
  <c r="X2089" i="8" s="1"/>
  <c r="Y2089" i="8" s="1"/>
  <c r="W2277" i="8"/>
  <c r="X2277" i="8" s="1"/>
  <c r="Y2277" i="8" s="1"/>
  <c r="W2990" i="8"/>
  <c r="X2990" i="8" s="1"/>
  <c r="Y2990" i="8" s="1"/>
  <c r="W630" i="8"/>
  <c r="X630" i="8" s="1"/>
  <c r="Y630" i="8" s="1"/>
  <c r="W2562" i="8"/>
  <c r="X2562" i="8" s="1"/>
  <c r="Y2562" i="8" s="1"/>
  <c r="W1307" i="8"/>
  <c r="X1307" i="8" s="1"/>
  <c r="Y1307" i="8" s="1"/>
  <c r="W2332" i="8"/>
  <c r="X2332" i="8" s="1"/>
  <c r="Y2332" i="8" s="1"/>
  <c r="W2549" i="8"/>
  <c r="X2549" i="8" s="1"/>
  <c r="Y2549" i="8" s="1"/>
  <c r="W2872" i="8"/>
  <c r="X2872" i="8" s="1"/>
  <c r="Y2872" i="8" s="1"/>
  <c r="W2632" i="8"/>
  <c r="X2632" i="8" s="1"/>
  <c r="Y2632" i="8" s="1"/>
  <c r="W2142" i="8"/>
  <c r="X2142" i="8" s="1"/>
  <c r="Y2142" i="8" s="1"/>
  <c r="W1524" i="8"/>
  <c r="X1524" i="8" s="1"/>
  <c r="Y1524" i="8" s="1"/>
  <c r="W1629" i="8"/>
  <c r="X1629" i="8" s="1"/>
  <c r="Y1629" i="8" s="1"/>
  <c r="W1140" i="8"/>
  <c r="X1140" i="8" s="1"/>
  <c r="Y1140" i="8" s="1"/>
  <c r="W1566" i="8"/>
  <c r="X1566" i="8" s="1"/>
  <c r="Y1566" i="8" s="1"/>
  <c r="W2389" i="8"/>
  <c r="X2389" i="8" s="1"/>
  <c r="Y2389" i="8" s="1"/>
  <c r="W1667" i="8"/>
  <c r="X1667" i="8" s="1"/>
  <c r="Y1667" i="8" s="1"/>
  <c r="W2330" i="8"/>
  <c r="X2330" i="8" s="1"/>
  <c r="Y2330" i="8" s="1"/>
  <c r="W316" i="8"/>
  <c r="X316" i="8" s="1"/>
  <c r="Y316" i="8" s="1"/>
  <c r="W1701" i="8"/>
  <c r="X1701" i="8" s="1"/>
  <c r="Y1701" i="8" s="1"/>
  <c r="W2498" i="8"/>
  <c r="X2498" i="8" s="1"/>
  <c r="Y2498" i="8" s="1"/>
  <c r="W1409" i="8"/>
  <c r="X1409" i="8" s="1"/>
  <c r="Y1409" i="8" s="1"/>
  <c r="W615" i="8"/>
  <c r="X615" i="8" s="1"/>
  <c r="Y615" i="8" s="1"/>
  <c r="W2366" i="8"/>
  <c r="X2366" i="8" s="1"/>
  <c r="Y2366" i="8" s="1"/>
  <c r="W1533" i="8"/>
  <c r="X1533" i="8" s="1"/>
  <c r="Y1533" i="8" s="1"/>
  <c r="W1669" i="8"/>
  <c r="X1669" i="8" s="1"/>
  <c r="Y1669" i="8" s="1"/>
  <c r="W1905" i="8"/>
  <c r="X1905" i="8" s="1"/>
  <c r="Y1905" i="8" s="1"/>
  <c r="W2094" i="8"/>
  <c r="X2094" i="8" s="1"/>
  <c r="Y2094" i="8" s="1"/>
  <c r="W2503" i="8"/>
  <c r="X2503" i="8" s="1"/>
  <c r="Y2503" i="8" s="1"/>
  <c r="W2571" i="8"/>
  <c r="X2571" i="8" s="1"/>
  <c r="Y2571" i="8" s="1"/>
  <c r="W2202" i="8"/>
  <c r="X2202" i="8" s="1"/>
  <c r="Y2202" i="8" s="1"/>
  <c r="W2899" i="8"/>
  <c r="X2899" i="8" s="1"/>
  <c r="Y2899" i="8" s="1"/>
  <c r="W1889" i="8"/>
  <c r="X1889" i="8" s="1"/>
  <c r="Y1889" i="8" s="1"/>
  <c r="W1357" i="8"/>
  <c r="X1357" i="8" s="1"/>
  <c r="Y1357" i="8" s="1"/>
  <c r="W1994" i="8"/>
  <c r="X1994" i="8" s="1"/>
  <c r="Y1994" i="8" s="1"/>
  <c r="W2315" i="8"/>
  <c r="X2315" i="8" s="1"/>
  <c r="Y2315" i="8" s="1"/>
  <c r="W1555" i="8"/>
  <c r="X1555" i="8" s="1"/>
  <c r="Y1555" i="8" s="1"/>
  <c r="W2509" i="8"/>
  <c r="X2509" i="8" s="1"/>
  <c r="Y2509" i="8" s="1"/>
  <c r="W2994" i="8"/>
  <c r="X2994" i="8" s="1"/>
  <c r="Y2994" i="8" s="1"/>
  <c r="W1121" i="8"/>
  <c r="X1121" i="8" s="1"/>
  <c r="Y1121" i="8" s="1"/>
  <c r="W2582" i="8"/>
  <c r="X2582" i="8" s="1"/>
  <c r="Y2582" i="8" s="1"/>
  <c r="W1177" i="8"/>
  <c r="X1177" i="8" s="1"/>
  <c r="Y1177" i="8" s="1"/>
  <c r="W2155" i="8"/>
  <c r="X2155" i="8" s="1"/>
  <c r="Y2155" i="8" s="1"/>
  <c r="W1992" i="8"/>
  <c r="X1992" i="8" s="1"/>
  <c r="Y1992" i="8" s="1"/>
  <c r="W2526" i="8"/>
  <c r="X2526" i="8" s="1"/>
  <c r="Y2526" i="8" s="1"/>
  <c r="W2114" i="8"/>
  <c r="X2114" i="8" s="1"/>
  <c r="Y2114" i="8" s="1"/>
  <c r="W1896" i="8"/>
  <c r="X1896" i="8" s="1"/>
  <c r="Y1896" i="8" s="1"/>
  <c r="W2268" i="8"/>
  <c r="X2268" i="8" s="1"/>
  <c r="Y2268" i="8" s="1"/>
  <c r="W2590" i="8"/>
  <c r="X2590" i="8" s="1"/>
  <c r="Y2590" i="8" s="1"/>
  <c r="W2657" i="8"/>
  <c r="X2657" i="8" s="1"/>
  <c r="Y2657" i="8" s="1"/>
  <c r="W2592" i="8"/>
  <c r="X2592" i="8" s="1"/>
  <c r="Y2592" i="8" s="1"/>
  <c r="W1891" i="8"/>
  <c r="X1891" i="8" s="1"/>
  <c r="Y1891" i="8" s="1"/>
  <c r="W2134" i="8"/>
  <c r="X2134" i="8" s="1"/>
  <c r="Y2134" i="8" s="1"/>
  <c r="W695" i="8"/>
  <c r="X695" i="8" s="1"/>
  <c r="Y695" i="8" s="1"/>
  <c r="W1769" i="8"/>
  <c r="X1769" i="8" s="1"/>
  <c r="Y1769" i="8" s="1"/>
  <c r="W1156" i="8"/>
  <c r="X1156" i="8" s="1"/>
  <c r="Y1156" i="8" s="1"/>
  <c r="W2199" i="8"/>
  <c r="X2199" i="8" s="1"/>
  <c r="Y2199" i="8" s="1"/>
  <c r="W2158" i="8"/>
  <c r="X2158" i="8" s="1"/>
  <c r="Y2158" i="8" s="1"/>
  <c r="W2600" i="8"/>
  <c r="X2600" i="8" s="1"/>
  <c r="Y2600" i="8" s="1"/>
  <c r="W607" i="8"/>
  <c r="X607" i="8" s="1"/>
  <c r="Y607" i="8" s="1"/>
  <c r="W2980" i="8"/>
  <c r="X2980" i="8" s="1"/>
  <c r="Y2980" i="8" s="1"/>
  <c r="W2265" i="8"/>
  <c r="X2265" i="8" s="1"/>
  <c r="Y2265" i="8" s="1"/>
  <c r="W2053" i="8"/>
  <c r="X2053" i="8" s="1"/>
  <c r="Y2053" i="8" s="1"/>
  <c r="W2605" i="8"/>
  <c r="X2605" i="8" s="1"/>
  <c r="Y2605" i="8" s="1"/>
  <c r="W1604" i="8"/>
  <c r="X1604" i="8" s="1"/>
  <c r="Y1604" i="8" s="1"/>
  <c r="W3060" i="8"/>
  <c r="X3060" i="8" s="1"/>
  <c r="Y3060" i="8" s="1"/>
  <c r="W2608" i="8"/>
  <c r="X2608" i="8" s="1"/>
  <c r="Y2608" i="8" s="1"/>
  <c r="W2864" i="8"/>
  <c r="X2864" i="8" s="1"/>
  <c r="Y2864" i="8" s="1"/>
  <c r="W375" i="8"/>
  <c r="X375" i="8" s="1"/>
  <c r="Y375" i="8" s="1"/>
  <c r="W2560" i="8"/>
  <c r="X2560" i="8" s="1"/>
  <c r="Y2560" i="8" s="1"/>
  <c r="W1686" i="8"/>
  <c r="X1686" i="8" s="1"/>
  <c r="Y1686" i="8" s="1"/>
  <c r="W1185" i="8"/>
  <c r="X1185" i="8" s="1"/>
  <c r="Y1185" i="8" s="1"/>
  <c r="W951" i="8"/>
  <c r="X951" i="8" s="1"/>
  <c r="Y951" i="8" s="1"/>
  <c r="W2799" i="8"/>
  <c r="X2799" i="8" s="1"/>
  <c r="Y2799" i="8" s="1"/>
  <c r="W1861" i="8"/>
  <c r="X1861" i="8" s="1"/>
  <c r="Y1861" i="8" s="1"/>
  <c r="W2085" i="8"/>
  <c r="X2085" i="8" s="1"/>
  <c r="Y2085" i="8" s="1"/>
  <c r="W2384" i="8"/>
  <c r="X2384" i="8" s="1"/>
  <c r="Y2384" i="8" s="1"/>
  <c r="W649" i="8"/>
  <c r="X649" i="8" s="1"/>
  <c r="Y649" i="8" s="1"/>
  <c r="W2345" i="8"/>
  <c r="X2345" i="8" s="1"/>
  <c r="Y2345" i="8" s="1"/>
  <c r="W1620" i="8"/>
  <c r="X1620" i="8" s="1"/>
  <c r="Y1620" i="8" s="1"/>
  <c r="W1169" i="8"/>
  <c r="X1169" i="8" s="1"/>
  <c r="Y1169" i="8" s="1"/>
  <c r="W1510" i="8"/>
  <c r="X1510" i="8" s="1"/>
  <c r="Y1510" i="8" s="1"/>
  <c r="W1676" i="8"/>
  <c r="X1676" i="8" s="1"/>
  <c r="Y1676" i="8" s="1"/>
  <c r="W2341" i="8"/>
  <c r="X2341" i="8" s="1"/>
  <c r="Y2341" i="8" s="1"/>
  <c r="W2870" i="8"/>
  <c r="X2870" i="8" s="1"/>
  <c r="Y2870" i="8" s="1"/>
  <c r="W3051" i="8"/>
  <c r="X3051" i="8" s="1"/>
  <c r="Y3051" i="8" s="1"/>
  <c r="W156" i="8"/>
  <c r="X156" i="8" s="1"/>
  <c r="Y156" i="8" s="1"/>
  <c r="W2299" i="8"/>
  <c r="X2299" i="8" s="1"/>
  <c r="Y2299" i="8" s="1"/>
  <c r="W1182" i="8"/>
  <c r="X1182" i="8" s="1"/>
  <c r="Y1182" i="8" s="1"/>
  <c r="W1135" i="8"/>
  <c r="X1135" i="8" s="1"/>
  <c r="Y1135" i="8" s="1"/>
  <c r="W3078" i="8"/>
  <c r="X3078" i="8" s="1"/>
  <c r="Y3078" i="8" s="1"/>
  <c r="W1062" i="8"/>
  <c r="X1062" i="8" s="1"/>
  <c r="Y1062" i="8" s="1"/>
  <c r="W2634" i="8"/>
  <c r="X2634" i="8" s="1"/>
  <c r="Y2634" i="8" s="1"/>
  <c r="W1801" i="8"/>
  <c r="X1801" i="8" s="1"/>
  <c r="Y1801" i="8" s="1"/>
  <c r="W2991" i="8"/>
  <c r="X2991" i="8" s="1"/>
  <c r="Y2991" i="8" s="1"/>
  <c r="W2691" i="8"/>
  <c r="X2691" i="8" s="1"/>
  <c r="Y2691" i="8" s="1"/>
  <c r="W2921" i="8"/>
  <c r="X2921" i="8" s="1"/>
  <c r="Y2921" i="8" s="1"/>
  <c r="W2532" i="8"/>
  <c r="X2532" i="8" s="1"/>
  <c r="Y2532" i="8" s="1"/>
  <c r="W1379" i="8"/>
  <c r="X1379" i="8" s="1"/>
  <c r="Y1379" i="8" s="1"/>
  <c r="W135" i="8"/>
  <c r="X135" i="8" s="1"/>
  <c r="Y135" i="8" s="1"/>
  <c r="W1979" i="8"/>
  <c r="X1979" i="8" s="1"/>
  <c r="Y1979" i="8" s="1"/>
  <c r="W1948" i="8"/>
  <c r="X1948" i="8" s="1"/>
  <c r="Y1948" i="8" s="1"/>
  <c r="W2859" i="8"/>
  <c r="X2859" i="8" s="1"/>
  <c r="Y2859" i="8" s="1"/>
  <c r="W2306" i="8"/>
  <c r="X2306" i="8" s="1"/>
  <c r="Y2306" i="8" s="1"/>
  <c r="W2922" i="8"/>
  <c r="X2922" i="8" s="1"/>
  <c r="Y2922" i="8" s="1"/>
  <c r="W2494" i="8"/>
  <c r="X2494" i="8" s="1"/>
  <c r="Y2494" i="8" s="1"/>
  <c r="W1454" i="8"/>
  <c r="X1454" i="8" s="1"/>
  <c r="Y1454" i="8" s="1"/>
  <c r="W2649" i="8"/>
  <c r="X2649" i="8" s="1"/>
  <c r="Y2649" i="8" s="1"/>
  <c r="W2436" i="8"/>
  <c r="X2436" i="8" s="1"/>
  <c r="Y2436" i="8" s="1"/>
  <c r="W1146" i="8"/>
  <c r="X1146" i="8" s="1"/>
  <c r="Y1146" i="8" s="1"/>
  <c r="W1430" i="8"/>
  <c r="X1430" i="8" s="1"/>
  <c r="Y1430" i="8" s="1"/>
  <c r="W2760" i="8"/>
  <c r="X2760" i="8" s="1"/>
  <c r="Y2760" i="8" s="1"/>
  <c r="W3048" i="8"/>
  <c r="X3048" i="8" s="1"/>
  <c r="Y3048" i="8" s="1"/>
  <c r="W1280" i="8"/>
  <c r="X1280" i="8" s="1"/>
  <c r="Y1280" i="8" s="1"/>
  <c r="W2497" i="8"/>
  <c r="X2497" i="8" s="1"/>
  <c r="Y2497" i="8" s="1"/>
  <c r="W1652" i="8"/>
  <c r="X1652" i="8" s="1"/>
  <c r="Y1652" i="8" s="1"/>
  <c r="W2506" i="8"/>
  <c r="X2506" i="8" s="1"/>
  <c r="Y2506" i="8" s="1"/>
  <c r="W2646" i="8"/>
  <c r="X2646" i="8" s="1"/>
  <c r="Y2646" i="8" s="1"/>
  <c r="W2660" i="8"/>
  <c r="X2660" i="8" s="1"/>
  <c r="Y2660" i="8" s="1"/>
  <c r="W2661" i="8"/>
  <c r="X2661" i="8" s="1"/>
  <c r="Y2661" i="8" s="1"/>
  <c r="W2258" i="8"/>
  <c r="X2258" i="8" s="1"/>
  <c r="Y2258" i="8" s="1"/>
  <c r="W2221" i="8"/>
  <c r="X2221" i="8" s="1"/>
  <c r="Y2221" i="8" s="1"/>
  <c r="W1950" i="8"/>
  <c r="X1950" i="8" s="1"/>
  <c r="Y1950" i="8" s="1"/>
  <c r="W2447" i="8"/>
  <c r="X2447" i="8" s="1"/>
  <c r="Y2447" i="8" s="1"/>
  <c r="W1400" i="8"/>
  <c r="X1400" i="8" s="1"/>
  <c r="Y1400" i="8" s="1"/>
  <c r="W1291" i="8"/>
  <c r="X1291" i="8" s="1"/>
  <c r="Y1291" i="8" s="1"/>
  <c r="W2677" i="8"/>
  <c r="X2677" i="8" s="1"/>
  <c r="Y2677" i="8" s="1"/>
  <c r="W1369" i="8"/>
  <c r="X1369" i="8" s="1"/>
  <c r="Y1369" i="8" s="1"/>
  <c r="W2307" i="8"/>
  <c r="X2307" i="8" s="1"/>
  <c r="Y2307" i="8" s="1"/>
  <c r="W2737" i="8"/>
  <c r="X2737" i="8" s="1"/>
  <c r="Y2737" i="8" s="1"/>
  <c r="W1906" i="8"/>
  <c r="X1906" i="8" s="1"/>
  <c r="Y1906" i="8" s="1"/>
  <c r="W2416" i="8"/>
  <c r="X2416" i="8" s="1"/>
  <c r="Y2416" i="8" s="1"/>
  <c r="W2063" i="8"/>
  <c r="X2063" i="8" s="1"/>
  <c r="Y2063" i="8" s="1"/>
  <c r="W2541" i="8"/>
  <c r="X2541" i="8" s="1"/>
  <c r="Y2541" i="8" s="1"/>
  <c r="W2906" i="8"/>
  <c r="X2906" i="8" s="1"/>
  <c r="Y2906" i="8" s="1"/>
  <c r="W3077" i="8"/>
  <c r="X3077" i="8" s="1"/>
  <c r="Y3077" i="8" s="1"/>
  <c r="W2554" i="8"/>
  <c r="X2554" i="8" s="1"/>
  <c r="Y2554" i="8" s="1"/>
  <c r="W1514" i="8"/>
  <c r="X1514" i="8" s="1"/>
  <c r="Y1514" i="8" s="1"/>
  <c r="W2680" i="8"/>
  <c r="X2680" i="8" s="1"/>
  <c r="Y2680" i="8" s="1"/>
  <c r="W2681" i="8"/>
  <c r="X2681" i="8" s="1"/>
  <c r="Y2681" i="8" s="1"/>
  <c r="W3038" i="8"/>
  <c r="X3038" i="8" s="1"/>
  <c r="Y3038" i="8" s="1"/>
  <c r="W49" i="8"/>
  <c r="X49" i="8" s="1"/>
  <c r="Y49" i="8" s="1"/>
  <c r="W2210" i="8"/>
  <c r="X2210" i="8" s="1"/>
  <c r="Y2210" i="8" s="1"/>
  <c r="W2286" i="8"/>
  <c r="X2286" i="8" s="1"/>
  <c r="Y2286" i="8" s="1"/>
  <c r="W2468" i="8"/>
  <c r="X2468" i="8" s="1"/>
  <c r="Y2468" i="8" s="1"/>
  <c r="W3012" i="8"/>
  <c r="X3012" i="8" s="1"/>
  <c r="Y3012" i="8" s="1"/>
  <c r="W2701" i="8"/>
  <c r="X2701" i="8" s="1"/>
  <c r="Y2701" i="8" s="1"/>
  <c r="W1838" i="8"/>
  <c r="X1838" i="8" s="1"/>
  <c r="Y1838" i="8" s="1"/>
  <c r="W1066" i="8"/>
  <c r="X1066" i="8" s="1"/>
  <c r="Y1066" i="8" s="1"/>
  <c r="W1183" i="8"/>
  <c r="X1183" i="8" s="1"/>
  <c r="Y1183" i="8" s="1"/>
  <c r="W2596" i="8"/>
  <c r="X2596" i="8" s="1"/>
  <c r="Y2596" i="8" s="1"/>
  <c r="W605" i="8"/>
  <c r="X605" i="8" s="1"/>
  <c r="Y605" i="8" s="1"/>
  <c r="W2334" i="8"/>
  <c r="X2334" i="8" s="1"/>
  <c r="Y2334" i="8" s="1"/>
  <c r="W2160" i="8"/>
  <c r="X2160" i="8" s="1"/>
  <c r="Y2160" i="8" s="1"/>
  <c r="W2075" i="8"/>
  <c r="X2075" i="8" s="1"/>
  <c r="Y2075" i="8" s="1"/>
  <c r="W1403" i="8"/>
  <c r="X1403" i="8" s="1"/>
  <c r="Y1403" i="8" s="1"/>
  <c r="W1067" i="8"/>
  <c r="X1067" i="8" s="1"/>
  <c r="Y1067" i="8" s="1"/>
  <c r="W2978" i="8"/>
  <c r="X2978" i="8" s="1"/>
  <c r="Y2978" i="8" s="1"/>
  <c r="W779" i="8"/>
  <c r="X779" i="8" s="1"/>
  <c r="Y779" i="8" s="1"/>
  <c r="W2243" i="8"/>
  <c r="X2243" i="8" s="1"/>
  <c r="Y2243" i="8" s="1"/>
  <c r="W2522" i="8"/>
  <c r="X2522" i="8" s="1"/>
  <c r="Y2522" i="8" s="1"/>
  <c r="W1805" i="8"/>
  <c r="X1805" i="8" s="1"/>
  <c r="Y1805" i="8" s="1"/>
  <c r="W1684" i="8"/>
  <c r="X1684" i="8" s="1"/>
  <c r="Y1684" i="8" s="1"/>
  <c r="W2028" i="8"/>
  <c r="X2028" i="8" s="1"/>
  <c r="Y2028" i="8" s="1"/>
  <c r="W2611" i="8"/>
  <c r="X2611" i="8" s="1"/>
  <c r="Y2611" i="8" s="1"/>
  <c r="W2707" i="8"/>
  <c r="X2707" i="8" s="1"/>
  <c r="Y2707" i="8" s="1"/>
  <c r="W1155" i="8"/>
  <c r="X1155" i="8" s="1"/>
  <c r="Y1155" i="8" s="1"/>
  <c r="W2082" i="8"/>
  <c r="X2082" i="8" s="1"/>
  <c r="Y2082" i="8" s="1"/>
  <c r="W2710" i="8"/>
  <c r="X2710" i="8" s="1"/>
  <c r="Y2710" i="8" s="1"/>
  <c r="W2887" i="8"/>
  <c r="X2887" i="8" s="1"/>
  <c r="Y2887" i="8" s="1"/>
  <c r="W1319" i="8"/>
  <c r="X1319" i="8" s="1"/>
  <c r="Y1319" i="8" s="1"/>
  <c r="W2713" i="8"/>
  <c r="X2713" i="8" s="1"/>
  <c r="Y2713" i="8" s="1"/>
  <c r="W2714" i="8"/>
  <c r="X2714" i="8" s="1"/>
  <c r="Y2714" i="8" s="1"/>
  <c r="W2717" i="8"/>
  <c r="X2717" i="8" s="1"/>
  <c r="Y2717" i="8" s="1"/>
  <c r="W1632" i="8"/>
  <c r="X1632" i="8" s="1"/>
  <c r="Y1632" i="8" s="1"/>
  <c r="W871" i="8"/>
  <c r="X871" i="8" s="1"/>
  <c r="Y871" i="8" s="1"/>
  <c r="W1909" i="8"/>
  <c r="X1909" i="8" s="1"/>
  <c r="Y1909" i="8" s="1"/>
  <c r="W2438" i="8"/>
  <c r="X2438" i="8" s="1"/>
  <c r="Y2438" i="8" s="1"/>
  <c r="W2953" i="8"/>
  <c r="X2953" i="8" s="1"/>
  <c r="Y2953" i="8" s="1"/>
  <c r="W2567" i="8"/>
  <c r="X2567" i="8" s="1"/>
  <c r="Y2567" i="8" s="1"/>
  <c r="W1222" i="8"/>
  <c r="X1222" i="8" s="1"/>
  <c r="Y1222" i="8" s="1"/>
  <c r="W1060" i="8"/>
  <c r="X1060" i="8" s="1"/>
  <c r="Y1060" i="8" s="1"/>
  <c r="W884" i="8"/>
  <c r="X884" i="8" s="1"/>
  <c r="Y884" i="8" s="1"/>
  <c r="W2525" i="8"/>
  <c r="X2525" i="8" s="1"/>
  <c r="Y2525" i="8" s="1"/>
  <c r="W2471" i="8"/>
  <c r="X2471" i="8" s="1"/>
  <c r="Y2471" i="8" s="1"/>
  <c r="W2838" i="8"/>
  <c r="X2838" i="8" s="1"/>
  <c r="Y2838" i="8" s="1"/>
  <c r="W1747" i="8"/>
  <c r="X1747" i="8" s="1"/>
  <c r="Y1747" i="8" s="1"/>
  <c r="W1485" i="8"/>
  <c r="X1485" i="8" s="1"/>
  <c r="Y1485" i="8" s="1"/>
  <c r="W749" i="8"/>
  <c r="X749" i="8" s="1"/>
  <c r="Y749" i="8" s="1"/>
  <c r="W1897" i="8"/>
  <c r="X1897" i="8" s="1"/>
  <c r="Y1897" i="8" s="1"/>
  <c r="W2778" i="8"/>
  <c r="X2778" i="8" s="1"/>
  <c r="Y2778" i="8" s="1"/>
  <c r="W2889" i="8"/>
  <c r="X2889" i="8" s="1"/>
  <c r="Y2889" i="8" s="1"/>
  <c r="W967" i="8"/>
  <c r="X967" i="8" s="1"/>
  <c r="Y967" i="8" s="1"/>
  <c r="W846" i="8"/>
  <c r="X846" i="8" s="1"/>
  <c r="Y846" i="8" s="1"/>
  <c r="W2736" i="8"/>
  <c r="X2736" i="8" s="1"/>
  <c r="Y2736" i="8" s="1"/>
  <c r="W2466" i="8"/>
  <c r="X2466" i="8" s="1"/>
  <c r="Y2466" i="8" s="1"/>
  <c r="W2738" i="8"/>
  <c r="X2738" i="8" s="1"/>
  <c r="Y2738" i="8" s="1"/>
  <c r="W2698" i="8"/>
  <c r="X2698" i="8" s="1"/>
  <c r="Y2698" i="8" s="1"/>
  <c r="W1900" i="8"/>
  <c r="X1900" i="8" s="1"/>
  <c r="Y1900" i="8" s="1"/>
  <c r="W2244" i="8"/>
  <c r="X2244" i="8" s="1"/>
  <c r="Y2244" i="8" s="1"/>
  <c r="W921" i="8"/>
  <c r="X921" i="8" s="1"/>
  <c r="Y921" i="8" s="1"/>
  <c r="W2743" i="8"/>
  <c r="X2743" i="8" s="1"/>
  <c r="Y2743" i="8" s="1"/>
  <c r="W2744" i="8"/>
  <c r="X2744" i="8" s="1"/>
  <c r="Y2744" i="8" s="1"/>
  <c r="W2655" i="8"/>
  <c r="X2655" i="8" s="1"/>
  <c r="Y2655" i="8" s="1"/>
  <c r="W1518" i="8"/>
  <c r="X1518" i="8" s="1"/>
  <c r="Y1518" i="8" s="1"/>
  <c r="W2371" i="8"/>
  <c r="X2371" i="8" s="1"/>
  <c r="Y2371" i="8" s="1"/>
  <c r="W2813" i="8"/>
  <c r="X2813" i="8" s="1"/>
  <c r="Y2813" i="8" s="1"/>
  <c r="W2749" i="8"/>
  <c r="X2749" i="8" s="1"/>
  <c r="Y2749" i="8" s="1"/>
  <c r="W1749" i="8"/>
  <c r="X1749" i="8" s="1"/>
  <c r="Y1749" i="8" s="1"/>
  <c r="W1020" i="8"/>
  <c r="X1020" i="8" s="1"/>
  <c r="Y1020" i="8" s="1"/>
  <c r="W1623" i="8"/>
  <c r="X1623" i="8" s="1"/>
  <c r="Y1623" i="8" s="1"/>
  <c r="W2514" i="8"/>
  <c r="X2514" i="8" s="1"/>
  <c r="Y2514" i="8" s="1"/>
  <c r="W2754" i="8"/>
  <c r="X2754" i="8" s="1"/>
  <c r="Y2754" i="8" s="1"/>
  <c r="W1271" i="8"/>
  <c r="X1271" i="8" s="1"/>
  <c r="Y1271" i="8" s="1"/>
  <c r="W1431" i="8"/>
  <c r="X1431" i="8" s="1"/>
  <c r="Y1431" i="8" s="1"/>
  <c r="W2198" i="8"/>
  <c r="X2198" i="8" s="1"/>
  <c r="Y2198" i="8" s="1"/>
  <c r="W676" i="8"/>
  <c r="X676" i="8" s="1"/>
  <c r="Y676" i="8" s="1"/>
  <c r="W3063" i="8"/>
  <c r="X3063" i="8" s="1"/>
  <c r="Y3063" i="8" s="1"/>
  <c r="W1260" i="8"/>
  <c r="X1260" i="8" s="1"/>
  <c r="Y1260" i="8" s="1"/>
  <c r="W3079" i="8"/>
  <c r="X3079" i="8" s="1"/>
  <c r="Y3079" i="8" s="1"/>
  <c r="W1161" i="8"/>
  <c r="X1161" i="8" s="1"/>
  <c r="Y1161" i="8" s="1"/>
  <c r="W2985" i="8"/>
  <c r="X2985" i="8" s="1"/>
  <c r="Y2985" i="8" s="1"/>
  <c r="W1035" i="8"/>
  <c r="X1035" i="8" s="1"/>
  <c r="Y1035" i="8" s="1"/>
  <c r="W2363" i="8"/>
  <c r="X2363" i="8" s="1"/>
  <c r="Y2363" i="8" s="1"/>
  <c r="W2136" i="8"/>
  <c r="X2136" i="8" s="1"/>
  <c r="Y2136" i="8" s="1"/>
  <c r="W3039" i="8"/>
  <c r="X3039" i="8" s="1"/>
  <c r="Y3039" i="8" s="1"/>
  <c r="W2768" i="8"/>
  <c r="X2768" i="8" s="1"/>
  <c r="Y2768" i="8" s="1"/>
  <c r="W1959" i="8"/>
  <c r="X1959" i="8" s="1"/>
  <c r="Y1959" i="8" s="1"/>
  <c r="W1993" i="8"/>
  <c r="X1993" i="8" s="1"/>
  <c r="Y1993" i="8" s="1"/>
  <c r="W2771" i="8"/>
  <c r="X2771" i="8" s="1"/>
  <c r="Y2771" i="8" s="1"/>
  <c r="W1898" i="8"/>
  <c r="X1898" i="8" s="1"/>
  <c r="Y1898" i="8" s="1"/>
  <c r="W610" i="8"/>
  <c r="X610" i="8" s="1"/>
  <c r="Y610" i="8" s="1"/>
  <c r="W1267" i="8"/>
  <c r="X1267" i="8" s="1"/>
  <c r="Y1267" i="8" s="1"/>
  <c r="W1502" i="8"/>
  <c r="X1502" i="8" s="1"/>
  <c r="Y1502" i="8" s="1"/>
  <c r="W2476" i="8"/>
  <c r="X2476" i="8" s="1"/>
  <c r="Y2476" i="8" s="1"/>
  <c r="W1003" i="8"/>
  <c r="X1003" i="8" s="1"/>
  <c r="Y1003" i="8" s="1"/>
  <c r="W2477" i="8"/>
  <c r="X2477" i="8" s="1"/>
  <c r="Y2477" i="8" s="1"/>
  <c r="W1947" i="8"/>
  <c r="X1947" i="8" s="1"/>
  <c r="Y1947" i="8" s="1"/>
  <c r="W2856" i="8"/>
  <c r="X2856" i="8" s="1"/>
  <c r="Y2856" i="8" s="1"/>
  <c r="W2480" i="8"/>
  <c r="X2480" i="8" s="1"/>
  <c r="Y2480" i="8" s="1"/>
  <c r="W1602" i="8"/>
  <c r="X1602" i="8" s="1"/>
  <c r="Y1602" i="8" s="1"/>
  <c r="W3011" i="8"/>
  <c r="X3011" i="8" s="1"/>
  <c r="Y3011" i="8" s="1"/>
  <c r="W2504" i="8"/>
  <c r="X2504" i="8" s="1"/>
  <c r="Y2504" i="8" s="1"/>
  <c r="W362" i="8"/>
  <c r="X362" i="8" s="1"/>
  <c r="Y362" i="8" s="1"/>
  <c r="W631" i="8"/>
  <c r="X631" i="8" s="1"/>
  <c r="Y631" i="8" s="1"/>
  <c r="W1779" i="8"/>
  <c r="X1779" i="8" s="1"/>
  <c r="Y1779" i="8" s="1"/>
  <c r="W2093" i="8"/>
  <c r="X2093" i="8" s="1"/>
  <c r="Y2093" i="8" s="1"/>
  <c r="W2827" i="8"/>
  <c r="X2827" i="8" s="1"/>
  <c r="Y2827" i="8" s="1"/>
  <c r="W91" i="8"/>
  <c r="X91" i="8" s="1"/>
  <c r="Y91" i="8" s="1"/>
  <c r="W1251" i="8"/>
  <c r="X1251" i="8" s="1"/>
  <c r="Y1251" i="8" s="1"/>
  <c r="W1560" i="8"/>
  <c r="X1560" i="8" s="1"/>
  <c r="Y1560" i="8" s="1"/>
  <c r="W1087" i="8"/>
  <c r="X1087" i="8" s="1"/>
  <c r="Y1087" i="8" s="1"/>
  <c r="W1768" i="8"/>
  <c r="X1768" i="8" s="1"/>
  <c r="Y1768" i="8" s="1"/>
  <c r="W770" i="8"/>
  <c r="X770" i="8" s="1"/>
  <c r="Y770" i="8" s="1"/>
  <c r="W2796" i="8"/>
  <c r="X2796" i="8" s="1"/>
  <c r="Y2796" i="8" s="1"/>
  <c r="W872" i="8"/>
  <c r="X872" i="8" s="1"/>
  <c r="Y872" i="8" s="1"/>
  <c r="W1147" i="8"/>
  <c r="X1147" i="8" s="1"/>
  <c r="Y1147" i="8" s="1"/>
  <c r="W1670" i="8"/>
  <c r="X1670" i="8" s="1"/>
  <c r="Y1670" i="8" s="1"/>
  <c r="W2629" i="8"/>
  <c r="X2629" i="8" s="1"/>
  <c r="Y2629" i="8" s="1"/>
  <c r="W2801" i="8"/>
  <c r="X2801" i="8" s="1"/>
  <c r="Y2801" i="8" s="1"/>
  <c r="W2648" i="8"/>
  <c r="X2648" i="8" s="1"/>
  <c r="Y2648" i="8" s="1"/>
  <c r="W1844" i="8"/>
  <c r="X1844" i="8" s="1"/>
  <c r="Y1844" i="8" s="1"/>
  <c r="W2375" i="8"/>
  <c r="X2375" i="8" s="1"/>
  <c r="Y2375" i="8" s="1"/>
  <c r="W1509" i="8"/>
  <c r="X1509" i="8" s="1"/>
  <c r="Y1509" i="8" s="1"/>
  <c r="W1853" i="8"/>
  <c r="X1853" i="8" s="1"/>
  <c r="Y1853" i="8" s="1"/>
  <c r="W2178" i="8"/>
  <c r="X2178" i="8" s="1"/>
  <c r="Y2178" i="8" s="1"/>
  <c r="W2542" i="8"/>
  <c r="X2542" i="8" s="1"/>
  <c r="Y2542" i="8" s="1"/>
  <c r="W1429" i="8"/>
  <c r="X1429" i="8" s="1"/>
  <c r="Y1429" i="8" s="1"/>
  <c r="W3006" i="8"/>
  <c r="X3006" i="8" s="1"/>
  <c r="Y3006" i="8" s="1"/>
  <c r="W1985" i="8"/>
  <c r="X1985" i="8" s="1"/>
  <c r="Y1985" i="8" s="1"/>
  <c r="W1934" i="8"/>
  <c r="X1934" i="8" s="1"/>
  <c r="Y1934" i="8" s="1"/>
  <c r="W875" i="8"/>
  <c r="X875" i="8" s="1"/>
  <c r="Y875" i="8" s="1"/>
  <c r="W1168" i="8"/>
  <c r="X1168" i="8" s="1"/>
  <c r="Y1168" i="8" s="1"/>
  <c r="W2212" i="8"/>
  <c r="X2212" i="8" s="1"/>
  <c r="Y2212" i="8" s="1"/>
  <c r="W1609" i="8"/>
  <c r="X1609" i="8" s="1"/>
  <c r="Y1609" i="8" s="1"/>
  <c r="W2187" i="8"/>
  <c r="X2187" i="8" s="1"/>
  <c r="Y2187" i="8" s="1"/>
  <c r="W1925" i="8"/>
  <c r="X1925" i="8" s="1"/>
  <c r="Y1925" i="8" s="1"/>
  <c r="W1390" i="8"/>
  <c r="X1390" i="8" s="1"/>
  <c r="Y1390" i="8" s="1"/>
  <c r="W1498" i="8"/>
  <c r="X1498" i="8" s="1"/>
  <c r="Y1498" i="8" s="1"/>
  <c r="W1491" i="8"/>
  <c r="X1491" i="8" s="1"/>
  <c r="Y1491" i="8" s="1"/>
  <c r="W2012" i="8"/>
  <c r="X2012" i="8" s="1"/>
  <c r="Y2012" i="8" s="1"/>
  <c r="W2823" i="8"/>
  <c r="X2823" i="8" s="1"/>
  <c r="Y2823" i="8" s="1"/>
  <c r="W443" i="8"/>
  <c r="X443" i="8" s="1"/>
  <c r="Y443" i="8" s="1"/>
  <c r="W1074" i="8"/>
  <c r="X1074" i="8" s="1"/>
  <c r="Y1074" i="8" s="1"/>
  <c r="W1740" i="8"/>
  <c r="X1740" i="8" s="1"/>
  <c r="Y1740" i="8" s="1"/>
  <c r="W2555" i="8"/>
  <c r="X2555" i="8" s="1"/>
  <c r="Y2555" i="8" s="1"/>
  <c r="W1926" i="8"/>
  <c r="X1926" i="8" s="1"/>
  <c r="Y1926" i="8" s="1"/>
  <c r="W474" i="8"/>
  <c r="X474" i="8" s="1"/>
  <c r="Y474" i="8" s="1"/>
  <c r="W1469" i="8"/>
  <c r="X1469" i="8" s="1"/>
  <c r="Y1469" i="8" s="1"/>
  <c r="W1995" i="8"/>
  <c r="X1995" i="8" s="1"/>
  <c r="Y1995" i="8" s="1"/>
  <c r="W2832" i="8"/>
  <c r="X2832" i="8" s="1"/>
  <c r="Y2832" i="8" s="1"/>
  <c r="W1845" i="8"/>
  <c r="X1845" i="8" s="1"/>
  <c r="Y1845" i="8" s="1"/>
  <c r="W1464" i="8"/>
  <c r="X1464" i="8" s="1"/>
  <c r="Y1464" i="8" s="1"/>
  <c r="W2612" i="8"/>
  <c r="X2612" i="8" s="1"/>
  <c r="Y2612" i="8" s="1"/>
  <c r="W1965" i="8"/>
  <c r="X1965" i="8" s="1"/>
  <c r="Y1965" i="8" s="1"/>
  <c r="W1876" i="8"/>
  <c r="X1876" i="8" s="1"/>
  <c r="Y1876" i="8" s="1"/>
  <c r="W1316" i="8"/>
  <c r="X1316" i="8" s="1"/>
  <c r="Y1316" i="8" s="1"/>
  <c r="W2866" i="8"/>
  <c r="X2866" i="8" s="1"/>
  <c r="Y2866" i="8" s="1"/>
  <c r="W1724" i="8"/>
  <c r="X1724" i="8" s="1"/>
  <c r="Y1724" i="8" s="1"/>
  <c r="W1887" i="8"/>
  <c r="X1887" i="8" s="1"/>
  <c r="Y1887" i="8" s="1"/>
  <c r="W1786" i="8"/>
  <c r="X1786" i="8" s="1"/>
  <c r="Y1786" i="8" s="1"/>
  <c r="W860" i="8"/>
  <c r="X860" i="8" s="1"/>
  <c r="Y860" i="8" s="1"/>
  <c r="W2263" i="8"/>
  <c r="X2263" i="8" s="1"/>
  <c r="Y2263" i="8" s="1"/>
  <c r="W2845" i="8"/>
  <c r="X2845" i="8" s="1"/>
  <c r="Y2845" i="8" s="1"/>
  <c r="W1391" i="8"/>
  <c r="X1391" i="8" s="1"/>
  <c r="Y1391" i="8" s="1"/>
  <c r="W549" i="8"/>
  <c r="X549" i="8" s="1"/>
  <c r="Y549" i="8" s="1"/>
  <c r="W814" i="8"/>
  <c r="X814" i="8" s="1"/>
  <c r="Y814" i="8" s="1"/>
  <c r="W3091" i="8"/>
  <c r="X3091" i="8" s="1"/>
  <c r="Y3091" i="8" s="1"/>
  <c r="W1976" i="8"/>
  <c r="X1976" i="8" s="1"/>
  <c r="Y1976" i="8" s="1"/>
  <c r="W2839" i="8"/>
  <c r="X2839" i="8" s="1"/>
  <c r="Y2839" i="8" s="1"/>
  <c r="W1741" i="8"/>
  <c r="X1741" i="8" s="1"/>
  <c r="Y1741" i="8" s="1"/>
  <c r="W2742" i="8"/>
  <c r="X2742" i="8" s="1"/>
  <c r="Y2742" i="8" s="1"/>
  <c r="W2673" i="8"/>
  <c r="X2673" i="8" s="1"/>
  <c r="Y2673" i="8" s="1"/>
  <c r="W2441" i="8"/>
  <c r="X2441" i="8" s="1"/>
  <c r="Y2441" i="8" s="1"/>
  <c r="W1354" i="8"/>
  <c r="X1354" i="8" s="1"/>
  <c r="Y1354" i="8" s="1"/>
  <c r="W2623" i="8"/>
  <c r="X2623" i="8" s="1"/>
  <c r="Y2623" i="8" s="1"/>
  <c r="W2071" i="8"/>
  <c r="X2071" i="8" s="1"/>
  <c r="Y2071" i="8" s="1"/>
  <c r="W2407" i="8"/>
  <c r="X2407" i="8" s="1"/>
  <c r="Y2407" i="8" s="1"/>
  <c r="W1963" i="8"/>
  <c r="X1963" i="8" s="1"/>
  <c r="Y1963" i="8" s="1"/>
  <c r="W1302" i="8"/>
  <c r="X1302" i="8" s="1"/>
  <c r="Y1302" i="8" s="1"/>
  <c r="W2111" i="8"/>
  <c r="X2111" i="8" s="1"/>
  <c r="Y2111" i="8" s="1"/>
  <c r="W2683" i="8"/>
  <c r="X2683" i="8" s="1"/>
  <c r="Y2683" i="8" s="1"/>
  <c r="W995" i="8"/>
  <c r="X995" i="8" s="1"/>
  <c r="Y995" i="8" s="1"/>
  <c r="W1554" i="8"/>
  <c r="X1554" i="8" s="1"/>
  <c r="Y1554" i="8" s="1"/>
  <c r="W1188" i="8"/>
  <c r="X1188" i="8" s="1"/>
  <c r="Y1188" i="8" s="1"/>
  <c r="W3083" i="8"/>
  <c r="X3083" i="8" s="1"/>
  <c r="Y3083" i="8" s="1"/>
  <c r="W1688" i="8"/>
  <c r="X1688" i="8" s="1"/>
  <c r="Y1688" i="8" s="1"/>
  <c r="W2222" i="8"/>
  <c r="X2222" i="8" s="1"/>
  <c r="Y2222" i="8" s="1"/>
  <c r="W1460" i="8"/>
  <c r="X1460" i="8" s="1"/>
  <c r="Y1460" i="8" s="1"/>
  <c r="W1952" i="8"/>
  <c r="X1952" i="8" s="1"/>
  <c r="Y1952" i="8" s="1"/>
  <c r="W1759" i="8"/>
  <c r="X1759" i="8" s="1"/>
  <c r="Y1759" i="8" s="1"/>
  <c r="W1217" i="8"/>
  <c r="X1217" i="8" s="1"/>
  <c r="Y1217" i="8" s="1"/>
  <c r="W3088" i="8"/>
  <c r="X3088" i="8" s="1"/>
  <c r="Y3088" i="8" s="1"/>
  <c r="W2960" i="8"/>
  <c r="X2960" i="8" s="1"/>
  <c r="Y2960" i="8" s="1"/>
  <c r="W1051" i="8"/>
  <c r="X1051" i="8" s="1"/>
  <c r="Y1051" i="8" s="1"/>
  <c r="W2261" i="8"/>
  <c r="X2261" i="8" s="1"/>
  <c r="Y2261" i="8" s="1"/>
  <c r="W1343" i="8"/>
  <c r="X1343" i="8" s="1"/>
  <c r="Y1343" i="8" s="1"/>
  <c r="W2478" i="8"/>
  <c r="X2478" i="8" s="1"/>
  <c r="Y2478" i="8" s="1"/>
  <c r="W2505" i="8"/>
  <c r="X2505" i="8" s="1"/>
  <c r="Y2505" i="8" s="1"/>
  <c r="W2964" i="8"/>
  <c r="X2964" i="8" s="1"/>
  <c r="Y2964" i="8" s="1"/>
  <c r="W2204" i="8"/>
  <c r="X2204" i="8" s="1"/>
  <c r="Y2204" i="8" s="1"/>
  <c r="W1277" i="8"/>
  <c r="X1277" i="8" s="1"/>
  <c r="Y1277" i="8" s="1"/>
  <c r="W1337" i="8"/>
  <c r="X1337" i="8" s="1"/>
  <c r="Y1337" i="8" s="1"/>
  <c r="W1922" i="8"/>
  <c r="X1922" i="8" s="1"/>
  <c r="Y1922" i="8" s="1"/>
  <c r="W2446" i="8"/>
  <c r="X2446" i="8" s="1"/>
  <c r="Y2446" i="8" s="1"/>
  <c r="W2884" i="8"/>
  <c r="X2884" i="8" s="1"/>
  <c r="Y2884" i="8" s="1"/>
  <c r="W2888" i="8"/>
  <c r="X2888" i="8" s="1"/>
  <c r="Y2888" i="8" s="1"/>
  <c r="W1588" i="8"/>
  <c r="X1588" i="8" s="1"/>
  <c r="Y1588" i="8" s="1"/>
  <c r="W3027" i="8"/>
  <c r="X3027" i="8" s="1"/>
  <c r="Y3027" i="8" s="1"/>
  <c r="W2273" i="8"/>
  <c r="X2273" i="8" s="1"/>
  <c r="Y2273" i="8" s="1"/>
  <c r="W38" i="8"/>
  <c r="X38" i="8" s="1"/>
  <c r="Y38" i="8" s="1"/>
  <c r="W514" i="8"/>
  <c r="X514" i="8" s="1"/>
  <c r="Y514" i="8" s="1"/>
  <c r="W1056" i="8"/>
  <c r="X1056" i="8" s="1"/>
  <c r="Y1056" i="8" s="1"/>
  <c r="W152" i="8"/>
  <c r="X152" i="8" s="1"/>
  <c r="Y152" i="8" s="1"/>
  <c r="W2896" i="8"/>
  <c r="X2896" i="8" s="1"/>
  <c r="Y2896" i="8" s="1"/>
  <c r="W1529" i="8"/>
  <c r="X1529" i="8" s="1"/>
  <c r="Y1529" i="8" s="1"/>
  <c r="W2259" i="8"/>
  <c r="X2259" i="8" s="1"/>
  <c r="Y2259" i="8" s="1"/>
  <c r="W1653" i="8"/>
  <c r="X1653" i="8" s="1"/>
  <c r="Y1653" i="8" s="1"/>
  <c r="W1761" i="8"/>
  <c r="X1761" i="8" s="1"/>
  <c r="Y1761" i="8" s="1"/>
  <c r="W2901" i="8"/>
  <c r="X2901" i="8" s="1"/>
  <c r="Y2901" i="8" s="1"/>
  <c r="W2520" i="8"/>
  <c r="X2520" i="8" s="1"/>
  <c r="Y2520" i="8" s="1"/>
  <c r="W2831" i="8"/>
  <c r="X2831" i="8" s="1"/>
  <c r="Y2831" i="8" s="1"/>
  <c r="W2283" i="8"/>
  <c r="X2283" i="8" s="1"/>
  <c r="Y2283" i="8" s="1"/>
  <c r="W2728" i="8"/>
  <c r="X2728" i="8" s="1"/>
  <c r="Y2728" i="8" s="1"/>
  <c r="W2179" i="8"/>
  <c r="X2179" i="8" s="1"/>
  <c r="Y2179" i="8" s="1"/>
  <c r="W1582" i="8"/>
  <c r="X1582" i="8" s="1"/>
  <c r="Y1582" i="8" s="1"/>
  <c r="W2173" i="8"/>
  <c r="X2173" i="8" s="1"/>
  <c r="Y2173" i="8" s="1"/>
  <c r="W3058" i="8"/>
  <c r="X3058" i="8" s="1"/>
  <c r="Y3058" i="8" s="1"/>
  <c r="W2321" i="8"/>
  <c r="X2321" i="8" s="1"/>
  <c r="Y2321" i="8" s="1"/>
  <c r="W1090" i="8"/>
  <c r="X1090" i="8" s="1"/>
  <c r="Y1090" i="8" s="1"/>
  <c r="W3041" i="8"/>
  <c r="X3041" i="8" s="1"/>
  <c r="Y3041" i="8" s="1"/>
  <c r="W2942" i="8"/>
  <c r="X2942" i="8" s="1"/>
  <c r="Y2942" i="8" s="1"/>
  <c r="W2359" i="8"/>
  <c r="X2359" i="8" s="1"/>
  <c r="Y2359" i="8" s="1"/>
  <c r="W1201" i="8"/>
  <c r="X1201" i="8" s="1"/>
  <c r="Y1201" i="8" s="1"/>
  <c r="W125" i="8"/>
  <c r="X125" i="8" s="1"/>
  <c r="Y125" i="8" s="1"/>
  <c r="W1199" i="8"/>
  <c r="X1199" i="8" s="1"/>
  <c r="Y1199" i="8" s="1"/>
  <c r="W1351" i="8"/>
  <c r="X1351" i="8" s="1"/>
  <c r="Y1351" i="8" s="1"/>
  <c r="W2919" i="8"/>
  <c r="X2919" i="8" s="1"/>
  <c r="Y2919" i="8" s="1"/>
  <c r="W1162" i="8"/>
  <c r="X1162" i="8" s="1"/>
  <c r="Y1162" i="8" s="1"/>
  <c r="W250" i="8"/>
  <c r="X250" i="8" s="1"/>
  <c r="Y250" i="8" s="1"/>
  <c r="W1949" i="8"/>
  <c r="X1949" i="8" s="1"/>
  <c r="Y1949" i="8" s="1"/>
  <c r="W1113" i="8"/>
  <c r="X1113" i="8" s="1"/>
  <c r="Y1113" i="8" s="1"/>
  <c r="W1389" i="8"/>
  <c r="X1389" i="8" s="1"/>
  <c r="Y1389" i="8" s="1"/>
  <c r="W2974" i="8"/>
  <c r="X2974" i="8" s="1"/>
  <c r="Y2974" i="8" s="1"/>
  <c r="W2255" i="8"/>
  <c r="X2255" i="8" s="1"/>
  <c r="Y2255" i="8" s="1"/>
  <c r="W2603" i="8"/>
  <c r="X2603" i="8" s="1"/>
  <c r="Y2603" i="8" s="1"/>
  <c r="W2196" i="8"/>
  <c r="X2196" i="8" s="1"/>
  <c r="Y2196" i="8" s="1"/>
  <c r="W2189" i="8"/>
  <c r="X2189" i="8" s="1"/>
  <c r="Y2189" i="8" s="1"/>
  <c r="W1070" i="8"/>
  <c r="X1070" i="8" s="1"/>
  <c r="Y1070" i="8" s="1"/>
  <c r="W2686" i="8"/>
  <c r="X2686" i="8" s="1"/>
  <c r="Y2686" i="8" s="1"/>
  <c r="W2805" i="8"/>
  <c r="X2805" i="8" s="1"/>
  <c r="Y2805" i="8" s="1"/>
  <c r="W2933" i="8"/>
  <c r="X2933" i="8" s="1"/>
  <c r="Y2933" i="8" s="1"/>
  <c r="W2882" i="8"/>
  <c r="X2882" i="8" s="1"/>
  <c r="Y2882" i="8" s="1"/>
  <c r="W2339" i="8"/>
  <c r="X2339" i="8" s="1"/>
  <c r="Y2339" i="8" s="1"/>
  <c r="W1023" i="8"/>
  <c r="X1023" i="8" s="1"/>
  <c r="Y1023" i="8" s="1"/>
  <c r="W974" i="8"/>
  <c r="X974" i="8" s="1"/>
  <c r="Y974" i="8" s="1"/>
  <c r="W509" i="8"/>
  <c r="X509" i="8" s="1"/>
  <c r="Y509" i="8" s="1"/>
  <c r="W1374" i="8"/>
  <c r="X1374" i="8" s="1"/>
  <c r="Y1374" i="8" s="1"/>
  <c r="W2940" i="8"/>
  <c r="X2940" i="8" s="1"/>
  <c r="Y2940" i="8" s="1"/>
  <c r="W2191" i="8"/>
  <c r="X2191" i="8" s="1"/>
  <c r="Y2191" i="8" s="1"/>
  <c r="W2377" i="8"/>
  <c r="X2377" i="8" s="1"/>
  <c r="Y2377" i="8" s="1"/>
  <c r="W1788" i="8"/>
  <c r="X1788" i="8" s="1"/>
  <c r="Y1788" i="8" s="1"/>
  <c r="W2369" i="8"/>
  <c r="X2369" i="8" s="1"/>
  <c r="Y2369" i="8" s="1"/>
  <c r="W2798" i="8"/>
  <c r="X2798" i="8" s="1"/>
  <c r="Y2798" i="8" s="1"/>
  <c r="W2817" i="8"/>
  <c r="X2817" i="8" s="1"/>
  <c r="Y2817" i="8" s="1"/>
  <c r="W2047" i="8"/>
  <c r="X2047" i="8" s="1"/>
  <c r="Y2047" i="8" s="1"/>
  <c r="W2325" i="8"/>
  <c r="X2325" i="8" s="1"/>
  <c r="Y2325" i="8" s="1"/>
  <c r="W2949" i="8"/>
  <c r="X2949" i="8" s="1"/>
  <c r="Y2949" i="8" s="1"/>
  <c r="W2609" i="8"/>
  <c r="X2609" i="8" s="1"/>
  <c r="Y2609" i="8" s="1"/>
  <c r="W1770" i="8"/>
  <c r="X1770" i="8" s="1"/>
  <c r="Y1770" i="8" s="1"/>
  <c r="W678" i="8"/>
  <c r="X678" i="8" s="1"/>
  <c r="Y678" i="8" s="1"/>
  <c r="W2643" i="8"/>
  <c r="X2643" i="8" s="1"/>
  <c r="Y2643" i="8" s="1"/>
  <c r="W1032" i="8"/>
  <c r="X1032" i="8" s="1"/>
  <c r="Y1032" i="8" s="1"/>
  <c r="W1586" i="8"/>
  <c r="X1586" i="8" s="1"/>
  <c r="Y1586" i="8" s="1"/>
  <c r="W1776" i="8"/>
  <c r="X1776" i="8" s="1"/>
  <c r="Y1776" i="8" s="1"/>
  <c r="W3045" i="8"/>
  <c r="X3045" i="8" s="1"/>
  <c r="Y3045" i="8" s="1"/>
  <c r="W285" i="8"/>
  <c r="X285" i="8" s="1"/>
  <c r="Y285" i="8" s="1"/>
  <c r="W2944" i="8"/>
  <c r="X2944" i="8" s="1"/>
  <c r="Y2944" i="8" s="1"/>
  <c r="W2140" i="8"/>
  <c r="X2140" i="8" s="1"/>
  <c r="Y2140" i="8" s="1"/>
  <c r="W1386" i="8"/>
  <c r="X1386" i="8" s="1"/>
  <c r="Y1386" i="8" s="1"/>
  <c r="W1807" i="8"/>
  <c r="X1807" i="8" s="1"/>
  <c r="Y1807" i="8" s="1"/>
  <c r="W724" i="8"/>
  <c r="X724" i="8" s="1"/>
  <c r="Y724" i="8" s="1"/>
  <c r="W1483" i="8"/>
  <c r="X1483" i="8" s="1"/>
  <c r="Y1483" i="8" s="1"/>
  <c r="W930" i="8"/>
  <c r="X930" i="8" s="1"/>
  <c r="Y930" i="8" s="1"/>
  <c r="W3047" i="8"/>
  <c r="X3047" i="8" s="1"/>
  <c r="Y3047" i="8" s="1"/>
  <c r="W2287" i="8"/>
  <c r="X2287" i="8" s="1"/>
  <c r="Y2287" i="8" s="1"/>
  <c r="W2081" i="8"/>
  <c r="X2081" i="8" s="1"/>
  <c r="Y2081" i="8" s="1"/>
  <c r="W2865" i="8"/>
  <c r="X2865" i="8" s="1"/>
  <c r="Y2865" i="8" s="1"/>
  <c r="W2970" i="8"/>
  <c r="X2970" i="8" s="1"/>
  <c r="Y2970" i="8" s="1"/>
  <c r="W1886" i="8"/>
  <c r="X1886" i="8" s="1"/>
  <c r="Y1886" i="8" s="1"/>
  <c r="W691" i="8"/>
  <c r="X691" i="8" s="1"/>
  <c r="Y691" i="8" s="1"/>
  <c r="W1081" i="8"/>
  <c r="X1081" i="8" s="1"/>
  <c r="Y1081" i="8" s="1"/>
  <c r="W3089" i="8"/>
  <c r="X3089" i="8" s="1"/>
  <c r="Y3089" i="8" s="1"/>
  <c r="W1225" i="8"/>
  <c r="X1225" i="8" s="1"/>
  <c r="Y1225" i="8" s="1"/>
  <c r="W658" i="8"/>
  <c r="X658" i="8" s="1"/>
  <c r="Y658" i="8" s="1"/>
  <c r="W848" i="8"/>
  <c r="X848" i="8" s="1"/>
  <c r="Y848" i="8" s="1"/>
  <c r="W2021" i="8"/>
  <c r="X2021" i="8" s="1"/>
  <c r="Y2021" i="8" s="1"/>
  <c r="W2175" i="8"/>
  <c r="X2175" i="8" s="1"/>
  <c r="Y2175" i="8" s="1"/>
  <c r="W2374" i="8"/>
  <c r="X2374" i="8" s="1"/>
  <c r="Y2374" i="8" s="1"/>
  <c r="W2041" i="8"/>
  <c r="X2041" i="8" s="1"/>
  <c r="Y2041" i="8" s="1"/>
  <c r="W1999" i="8"/>
  <c r="X1999" i="8" s="1"/>
  <c r="Y1999" i="8" s="1"/>
  <c r="W341" i="8"/>
  <c r="X341" i="8" s="1"/>
  <c r="Y341" i="8" s="1"/>
  <c r="W2792" i="8"/>
  <c r="X2792" i="8" s="1"/>
  <c r="Y2792" i="8" s="1"/>
  <c r="W644" i="8"/>
  <c r="X644" i="8" s="1"/>
  <c r="Y644" i="8" s="1"/>
  <c r="W1571" i="8"/>
  <c r="X1571" i="8" s="1"/>
  <c r="Y1571" i="8" s="1"/>
  <c r="W1173" i="8"/>
  <c r="X1173" i="8" s="1"/>
  <c r="Y1173" i="8" s="1"/>
  <c r="W1944" i="8"/>
  <c r="X1944" i="8" s="1"/>
  <c r="Y1944" i="8" s="1"/>
  <c r="W2521" i="8"/>
  <c r="X2521" i="8" s="1"/>
  <c r="Y2521" i="8" s="1"/>
  <c r="W1867" i="8"/>
  <c r="X1867" i="8" s="1"/>
  <c r="Y1867" i="8" s="1"/>
  <c r="W2368" i="8"/>
  <c r="X2368" i="8" s="1"/>
  <c r="Y2368" i="8" s="1"/>
  <c r="W2604" i="8"/>
  <c r="X2604" i="8" s="1"/>
  <c r="Y2604" i="8" s="1"/>
  <c r="W1352" i="8"/>
  <c r="X1352" i="8" s="1"/>
  <c r="Y1352" i="8" s="1"/>
  <c r="W1482" i="8"/>
  <c r="X1482" i="8" s="1"/>
  <c r="Y1482" i="8" s="1"/>
  <c r="W2893" i="8"/>
  <c r="X2893" i="8" s="1"/>
  <c r="Y2893" i="8" s="1"/>
  <c r="W2126" i="8"/>
  <c r="X2126" i="8" s="1"/>
  <c r="Y2126" i="8" s="1"/>
  <c r="W2997" i="8"/>
  <c r="X2997" i="8" s="1"/>
  <c r="Y2997" i="8" s="1"/>
  <c r="W1383" i="8"/>
  <c r="X1383" i="8" s="1"/>
  <c r="Y1383" i="8" s="1"/>
  <c r="W2008" i="8"/>
  <c r="X2008" i="8" s="1"/>
  <c r="Y2008" i="8" s="1"/>
  <c r="W585" i="8"/>
  <c r="X585" i="8" s="1"/>
  <c r="Y585" i="8" s="1"/>
  <c r="W2130" i="8"/>
  <c r="X2130" i="8" s="1"/>
  <c r="Y2130" i="8" s="1"/>
  <c r="W2916" i="8"/>
  <c r="X2916" i="8" s="1"/>
  <c r="Y2916" i="8" s="1"/>
  <c r="W2946" i="8"/>
  <c r="X2946" i="8" s="1"/>
  <c r="Y2946" i="8" s="1"/>
  <c r="W3004" i="8"/>
  <c r="X3004" i="8" s="1"/>
  <c r="Y3004" i="8" s="1"/>
  <c r="W3002" i="8"/>
  <c r="X3002" i="8" s="1"/>
  <c r="Y3002" i="8" s="1"/>
  <c r="W2143" i="8"/>
  <c r="X2143" i="8" s="1"/>
  <c r="Y2143" i="8" s="1"/>
  <c r="W3014" i="8"/>
  <c r="X3014" i="8" s="1"/>
  <c r="Y3014" i="8" s="1"/>
  <c r="W2961" i="8"/>
  <c r="X2961" i="8" s="1"/>
  <c r="Y2961" i="8" s="1"/>
  <c r="W3080" i="8"/>
  <c r="X3080" i="8" s="1"/>
  <c r="Y3080" i="8" s="1"/>
  <c r="W2928" i="8"/>
  <c r="X2928" i="8" s="1"/>
  <c r="Y2928" i="8" s="1"/>
  <c r="W1677" i="8"/>
  <c r="X1677" i="8" s="1"/>
  <c r="Y1677" i="8" s="1"/>
  <c r="W3009" i="8"/>
  <c r="X3009" i="8" s="1"/>
  <c r="Y3009" i="8" s="1"/>
  <c r="W1268" i="8"/>
  <c r="X1268" i="8" s="1"/>
  <c r="Y1268" i="8" s="1"/>
  <c r="W2443" i="8"/>
  <c r="X2443" i="8" s="1"/>
  <c r="Y2443" i="8" s="1"/>
  <c r="W1816" i="8"/>
  <c r="X1816" i="8" s="1"/>
  <c r="Y1816" i="8" s="1"/>
  <c r="W2072" i="8"/>
  <c r="X2072" i="8" s="1"/>
  <c r="Y2072" i="8" s="1"/>
  <c r="W2804" i="8"/>
  <c r="X2804" i="8" s="1"/>
  <c r="Y2804" i="8" s="1"/>
  <c r="W2033" i="8"/>
  <c r="X2033" i="8" s="1"/>
  <c r="Y2033" i="8" s="1"/>
  <c r="W1082" i="8"/>
  <c r="X1082" i="8" s="1"/>
  <c r="Y1082" i="8" s="1"/>
  <c r="W3020" i="8"/>
  <c r="X3020" i="8" s="1"/>
  <c r="Y3020" i="8" s="1"/>
  <c r="W2161" i="8"/>
  <c r="X2161" i="8" s="1"/>
  <c r="Y2161" i="8" s="1"/>
  <c r="W1011" i="8"/>
  <c r="X1011" i="8" s="1"/>
  <c r="Y1011" i="8" s="1"/>
  <c r="W1004" i="8"/>
  <c r="X1004" i="8" s="1"/>
  <c r="Y1004" i="8" s="1"/>
  <c r="W2802" i="8"/>
  <c r="X2802" i="8" s="1"/>
  <c r="Y2802" i="8" s="1"/>
  <c r="W2536" i="8"/>
  <c r="X2536" i="8" s="1"/>
  <c r="Y2536" i="8" s="1"/>
  <c r="W488" i="8"/>
  <c r="X488" i="8" s="1"/>
  <c r="Y488" i="8" s="1"/>
  <c r="W2566" i="8"/>
  <c r="X2566" i="8" s="1"/>
  <c r="Y2566" i="8" s="1"/>
  <c r="W3028" i="8"/>
  <c r="X3028" i="8" s="1"/>
  <c r="Y3028" i="8" s="1"/>
  <c r="W339" i="8"/>
  <c r="X339" i="8" s="1"/>
  <c r="Y339" i="8" s="1"/>
  <c r="W1014" i="8"/>
  <c r="X1014" i="8" s="1"/>
  <c r="Y1014" i="8" s="1"/>
  <c r="W3031" i="8"/>
  <c r="X3031" i="8" s="1"/>
  <c r="Y3031" i="8" s="1"/>
  <c r="W2039" i="8"/>
  <c r="X2039" i="8" s="1"/>
  <c r="Y2039" i="8" s="1"/>
  <c r="W771" i="8"/>
  <c r="X771" i="8" s="1"/>
  <c r="Y771" i="8" s="1"/>
  <c r="W713" i="8"/>
  <c r="X713" i="8" s="1"/>
  <c r="Y713" i="8" s="1"/>
  <c r="W2214" i="8"/>
  <c r="X2214" i="8" s="1"/>
  <c r="Y2214" i="8" s="1"/>
  <c r="W344" i="8"/>
  <c r="X344" i="8" s="1"/>
  <c r="Y344" i="8" s="1"/>
  <c r="W2543" i="8"/>
  <c r="X2543" i="8" s="1"/>
  <c r="Y2543" i="8" s="1"/>
  <c r="W1236" i="8"/>
  <c r="X1236" i="8" s="1"/>
  <c r="Y1236" i="8" s="1"/>
  <c r="W2516" i="8"/>
  <c r="X2516" i="8" s="1"/>
  <c r="Y2516" i="8" s="1"/>
  <c r="W2284" i="8"/>
  <c r="X2284" i="8" s="1"/>
  <c r="Y2284" i="8" s="1"/>
  <c r="W1804" i="8"/>
  <c r="X1804" i="8" s="1"/>
  <c r="Y1804" i="8" s="1"/>
  <c r="W625" i="8"/>
  <c r="X625" i="8" s="1"/>
  <c r="Y625" i="8" s="1"/>
  <c r="W1544" i="8"/>
  <c r="X1544" i="8" s="1"/>
  <c r="Y1544" i="8" s="1"/>
  <c r="W2313" i="8"/>
  <c r="X2313" i="8" s="1"/>
  <c r="Y2313" i="8" s="1"/>
  <c r="W1466" i="8"/>
  <c r="X1466" i="8" s="1"/>
  <c r="Y1466" i="8" s="1"/>
  <c r="W505" i="8"/>
  <c r="X505" i="8" s="1"/>
  <c r="Y505" i="8" s="1"/>
  <c r="W1592" i="8"/>
  <c r="X1592" i="8" s="1"/>
  <c r="Y1592" i="8" s="1"/>
  <c r="W2878" i="8"/>
  <c r="X2878" i="8" s="1"/>
  <c r="Y2878" i="8" s="1"/>
  <c r="W393" i="8"/>
  <c r="X393" i="8" s="1"/>
  <c r="Y393" i="8" s="1"/>
  <c r="W2993" i="8"/>
  <c r="X2993" i="8" s="1"/>
  <c r="Y2993" i="8" s="1"/>
  <c r="W1394" i="8"/>
  <c r="X1394" i="8" s="1"/>
  <c r="Y1394" i="8" s="1"/>
  <c r="W1292" i="8"/>
  <c r="X1292" i="8" s="1"/>
  <c r="Y1292" i="8" s="1"/>
  <c r="W515" i="8"/>
  <c r="X515" i="8" s="1"/>
  <c r="Y515" i="8" s="1"/>
  <c r="W318" i="8"/>
  <c r="X318" i="8" s="1"/>
  <c r="Y318" i="8" s="1"/>
  <c r="W1618" i="8"/>
  <c r="X1618" i="8" s="1"/>
  <c r="Y1618" i="8" s="1"/>
  <c r="W2453" i="8"/>
  <c r="X2453" i="8" s="1"/>
  <c r="Y2453" i="8" s="1"/>
  <c r="W8" i="8"/>
  <c r="X8" i="8" s="1"/>
  <c r="Y8" i="8" s="1"/>
  <c r="W1230" i="8"/>
  <c r="X1230" i="8" s="1"/>
  <c r="Y1230" i="8" s="1"/>
  <c r="W2193" i="8"/>
  <c r="X2193" i="8" s="1"/>
  <c r="Y2193" i="8" s="1"/>
  <c r="W2723" i="8"/>
  <c r="X2723" i="8" s="1"/>
  <c r="Y2723" i="8" s="1"/>
  <c r="W2073" i="8"/>
  <c r="X2073" i="8" s="1"/>
  <c r="Y2073" i="8" s="1"/>
  <c r="W2333" i="8"/>
  <c r="X2333" i="8" s="1"/>
  <c r="Y2333" i="8" s="1"/>
  <c r="W985" i="8"/>
  <c r="X985" i="8" s="1"/>
  <c r="Y985" i="8" s="1"/>
  <c r="W3064" i="8"/>
  <c r="X3064" i="8" s="1"/>
  <c r="Y3064" i="8" s="1"/>
  <c r="W1664" i="8"/>
  <c r="X1664" i="8" s="1"/>
  <c r="Y1664" i="8" s="1"/>
  <c r="W2678" i="8"/>
  <c r="X2678" i="8" s="1"/>
  <c r="Y2678" i="8" s="1"/>
  <c r="W938" i="8"/>
  <c r="X938" i="8" s="1"/>
  <c r="Y938" i="8" s="1"/>
  <c r="W1579" i="8"/>
  <c r="X1579" i="8" s="1"/>
  <c r="Y1579" i="8" s="1"/>
  <c r="W2326" i="8"/>
  <c r="X2326" i="8" s="1"/>
  <c r="Y2326" i="8" s="1"/>
  <c r="W1526" i="8"/>
  <c r="X1526" i="8" s="1"/>
  <c r="Y1526" i="8" s="1"/>
  <c r="W1828" i="8"/>
  <c r="X1828" i="8" s="1"/>
  <c r="Y1828" i="8" s="1"/>
  <c r="W2908" i="8"/>
  <c r="X2908" i="8" s="1"/>
  <c r="Y2908" i="8" s="1"/>
  <c r="W2573" i="8"/>
  <c r="X2573" i="8" s="1"/>
  <c r="Y2573" i="8" s="1"/>
  <c r="W2576" i="8"/>
  <c r="X2576" i="8" s="1"/>
  <c r="Y2576" i="8" s="1"/>
  <c r="W2793" i="8"/>
  <c r="X2793" i="8" s="1"/>
  <c r="Y2793" i="8" s="1"/>
  <c r="W1767" i="8"/>
  <c r="X1767" i="8" s="1"/>
  <c r="Y1767" i="8" s="1"/>
  <c r="W763" i="8"/>
  <c r="X763" i="8" s="1"/>
  <c r="Y763" i="8" s="1"/>
  <c r="W2440" i="8"/>
  <c r="X2440" i="8" s="1"/>
  <c r="Y2440" i="8" s="1"/>
  <c r="W2044" i="8"/>
  <c r="X2044" i="8" s="1"/>
  <c r="Y2044" i="8" s="1"/>
  <c r="W2614" i="8"/>
  <c r="X2614" i="8" s="1"/>
  <c r="Y2614" i="8" s="1"/>
  <c r="W933" i="8"/>
  <c r="X933" i="8" s="1"/>
  <c r="Y933" i="8" s="1"/>
  <c r="W1424" i="8"/>
  <c r="X1424" i="8" s="1"/>
  <c r="Y1424" i="8" s="1"/>
  <c r="W2177" i="8"/>
  <c r="X2177" i="8" s="1"/>
  <c r="Y2177" i="8" s="1"/>
  <c r="W2835" i="8"/>
  <c r="X2835" i="8" s="1"/>
  <c r="Y2835" i="8" s="1"/>
  <c r="W1850" i="8"/>
  <c r="X1850" i="8" s="1"/>
  <c r="Y1850" i="8" s="1"/>
  <c r="W1490" i="8"/>
  <c r="X1490" i="8" s="1"/>
  <c r="Y1490" i="8" s="1"/>
  <c r="W1714" i="8"/>
  <c r="X1714" i="8" s="1"/>
  <c r="Y1714" i="8" s="1"/>
  <c r="W1480" i="8"/>
  <c r="X1480" i="8" s="1"/>
  <c r="Y1480" i="8" s="1"/>
  <c r="W1754" i="8"/>
  <c r="X1754" i="8" s="1"/>
  <c r="Y1754" i="8" s="1"/>
  <c r="W2351" i="8"/>
  <c r="X2351" i="8" s="1"/>
  <c r="Y2351" i="8" s="1"/>
  <c r="W541" i="8"/>
  <c r="X541" i="8" s="1"/>
  <c r="Y541" i="8" s="1"/>
  <c r="X36" i="8"/>
  <c r="Y36" i="8" s="1"/>
  <c r="X128" i="8"/>
  <c r="Y128" i="8" s="1"/>
  <c r="W434" i="8"/>
  <c r="X434" i="8" s="1"/>
  <c r="Y434" i="8" s="1"/>
  <c r="N434" i="8"/>
  <c r="F434" i="8"/>
  <c r="D434" i="8"/>
  <c r="B434" i="8"/>
  <c r="D14" i="9" l="1"/>
  <c r="D32" i="9"/>
  <c r="D28" i="9"/>
  <c r="D24" i="9"/>
  <c r="D20" i="9"/>
  <c r="D16" i="9"/>
  <c r="D12" i="9"/>
  <c r="D8" i="9"/>
  <c r="D4" i="9"/>
  <c r="D31" i="9"/>
  <c r="D27" i="9"/>
  <c r="D23" i="9"/>
  <c r="D19" i="9"/>
  <c r="D15" i="9"/>
  <c r="D11" i="9"/>
  <c r="D7" i="9"/>
  <c r="D3" i="9"/>
  <c r="D26" i="9"/>
  <c r="D22" i="9"/>
  <c r="D6" i="9"/>
  <c r="D29" i="9"/>
  <c r="D25" i="9"/>
  <c r="D21" i="9"/>
  <c r="D17" i="9"/>
  <c r="D13" i="9"/>
  <c r="D9" i="9"/>
  <c r="D5" i="9"/>
  <c r="D30" i="9"/>
  <c r="D18" i="9"/>
  <c r="D10" i="9"/>
  <c r="D2" i="9"/>
  <c r="G1" i="8"/>
  <c r="A2043" i="8"/>
  <c r="A1754" i="8"/>
  <c r="A1850" i="8"/>
  <c r="A933" i="8"/>
  <c r="A763" i="8"/>
  <c r="A2573" i="8"/>
  <c r="A2326" i="8"/>
  <c r="A1664" i="8"/>
  <c r="A2073" i="8"/>
  <c r="A8" i="8"/>
  <c r="A515" i="8"/>
  <c r="A393" i="8"/>
  <c r="A1466" i="8"/>
  <c r="A1804" i="8"/>
  <c r="A2543" i="8"/>
  <c r="A771" i="8"/>
  <c r="A339" i="8"/>
  <c r="A2536" i="8"/>
  <c r="A2161" i="8"/>
  <c r="A2804" i="8"/>
  <c r="A1268" i="8"/>
  <c r="A3080" i="8"/>
  <c r="A3002" i="8"/>
  <c r="A2130" i="8"/>
  <c r="A2997" i="8"/>
  <c r="A1352" i="8"/>
  <c r="A2521" i="8"/>
  <c r="A644" i="8"/>
  <c r="A2041" i="8"/>
  <c r="A848" i="8"/>
  <c r="A1081" i="8"/>
  <c r="A2865" i="8"/>
  <c r="A930" i="8"/>
  <c r="A1386" i="8"/>
  <c r="A3045" i="8"/>
  <c r="A2643" i="8"/>
  <c r="A2949" i="8"/>
  <c r="A2798" i="8"/>
  <c r="A2191" i="8"/>
  <c r="A974" i="8"/>
  <c r="A2933" i="8"/>
  <c r="A2189" i="8"/>
  <c r="A2974" i="8"/>
  <c r="A250" i="8"/>
  <c r="A1199" i="8"/>
  <c r="A2942" i="8"/>
  <c r="A3058" i="8"/>
  <c r="A2728" i="8"/>
  <c r="A2901" i="8"/>
  <c r="A1529" i="8"/>
  <c r="A514" i="8"/>
  <c r="A1588" i="8"/>
  <c r="A1922" i="8"/>
  <c r="A2964" i="8"/>
  <c r="A2261" i="8"/>
  <c r="A1217" i="8"/>
  <c r="A2222" i="8"/>
  <c r="A1554" i="8"/>
  <c r="A1302" i="8"/>
  <c r="A2623" i="8"/>
  <c r="A2742" i="8"/>
  <c r="A3091" i="8"/>
  <c r="A2845" i="8"/>
  <c r="A1887" i="8"/>
  <c r="A1876" i="8"/>
  <c r="A1845" i="8"/>
  <c r="A474" i="8"/>
  <c r="A1074" i="8"/>
  <c r="A1491" i="8"/>
  <c r="A2187" i="8"/>
  <c r="A875" i="8"/>
  <c r="A1429" i="8"/>
  <c r="A1509" i="8"/>
  <c r="A2801" i="8"/>
  <c r="A872" i="8"/>
  <c r="A1087" i="8"/>
  <c r="A2827" i="8"/>
  <c r="A362" i="8"/>
  <c r="A2480" i="8"/>
  <c r="A1003" i="8"/>
  <c r="A610" i="8"/>
  <c r="A1959" i="8"/>
  <c r="A2363" i="8"/>
  <c r="A3079" i="8"/>
  <c r="A2198" i="8"/>
  <c r="A2514" i="8"/>
  <c r="A2749" i="8"/>
  <c r="A2655" i="8"/>
  <c r="A2244" i="8"/>
  <c r="A2466" i="8"/>
  <c r="A2889" i="8"/>
  <c r="A1485" i="8"/>
  <c r="A2525" i="8"/>
  <c r="A2567" i="8"/>
  <c r="A871" i="8"/>
  <c r="A2713" i="8"/>
  <c r="A2082" i="8"/>
  <c r="A2028" i="8"/>
  <c r="A2243" i="8"/>
  <c r="A1403" i="8"/>
  <c r="A605" i="8"/>
  <c r="A1838" i="8"/>
  <c r="A2286" i="8"/>
  <c r="A2681" i="8"/>
  <c r="A3077" i="8"/>
  <c r="A2416" i="8"/>
  <c r="A1369" i="8"/>
  <c r="A2447" i="8"/>
  <c r="A2661" i="8"/>
  <c r="A1652" i="8"/>
  <c r="A2760" i="8"/>
  <c r="A2649" i="8"/>
  <c r="A2306" i="8"/>
  <c r="A135" i="8"/>
  <c r="A2691" i="8"/>
  <c r="A1062" i="8"/>
  <c r="A2299" i="8"/>
  <c r="A2341" i="8"/>
  <c r="A1620" i="8"/>
  <c r="A2085" i="8"/>
  <c r="A1185" i="8"/>
  <c r="A2864" i="8"/>
  <c r="A2605" i="8"/>
  <c r="A607" i="8"/>
  <c r="A1156" i="8"/>
  <c r="A1891" i="8"/>
  <c r="A2268" i="8"/>
  <c r="A1992" i="8"/>
  <c r="A1121" i="8"/>
  <c r="A2315" i="8"/>
  <c r="A2899" i="8"/>
  <c r="A2094" i="8"/>
  <c r="A2366" i="8"/>
  <c r="A1701" i="8"/>
  <c r="A2389" i="8"/>
  <c r="A1524" i="8"/>
  <c r="A2549" i="8"/>
  <c r="A630" i="8"/>
  <c r="A2900" i="8"/>
  <c r="A2557" i="8"/>
  <c r="A2995" i="8"/>
  <c r="A2133" i="8"/>
  <c r="A1870" i="8"/>
  <c r="A2966" i="8"/>
  <c r="A2693" i="8"/>
  <c r="A2513" i="8"/>
  <c r="A3000" i="8"/>
  <c r="A987" i="8"/>
  <c r="A575" i="8"/>
  <c r="A1197" i="8"/>
  <c r="A2241" i="8"/>
  <c r="A2639" i="8"/>
  <c r="A2652" i="8"/>
  <c r="A1231" i="8"/>
  <c r="A1799" i="8"/>
  <c r="A2472" i="8"/>
  <c r="A2879" i="8"/>
  <c r="A2697" i="8"/>
  <c r="A1152" i="8"/>
  <c r="A2579" i="8"/>
  <c r="A2550" i="8"/>
  <c r="A27" i="8"/>
  <c r="A1463" i="8"/>
  <c r="A1660" i="8"/>
  <c r="A2455" i="8"/>
  <c r="A1772" i="8"/>
  <c r="A774" i="8"/>
  <c r="A1661" i="8"/>
  <c r="A280" i="8"/>
  <c r="A622" i="8"/>
  <c r="A2731" i="8"/>
  <c r="A1049" i="8"/>
  <c r="A1630" i="8"/>
  <c r="A2501" i="8"/>
  <c r="A1596" i="8"/>
  <c r="A2785" i="8"/>
  <c r="A1404" i="8"/>
  <c r="A1159" i="8"/>
  <c r="A1748" i="8"/>
  <c r="A296" i="8"/>
  <c r="A1832" i="8"/>
  <c r="A2938" i="8"/>
  <c r="A1040" i="8"/>
  <c r="A1170" i="8"/>
  <c r="A1396" i="8"/>
  <c r="A2666" i="8"/>
  <c r="A2014" i="8"/>
  <c r="A3082" i="8"/>
  <c r="A2289" i="8"/>
  <c r="A1151" i="8"/>
  <c r="A1116" i="8"/>
  <c r="A1397" i="8"/>
  <c r="A1305" i="8"/>
  <c r="A2825" i="8"/>
  <c r="A2020" i="8"/>
  <c r="A1549" i="8"/>
  <c r="A758" i="8"/>
  <c r="A1719" i="8"/>
  <c r="A1442" i="8"/>
  <c r="A1662" i="8"/>
  <c r="A2252" i="8"/>
  <c r="A2248" i="8"/>
  <c r="A2285" i="8"/>
  <c r="A1366" i="8"/>
  <c r="A2445" i="8"/>
  <c r="A2647" i="8"/>
  <c r="A1339" i="8"/>
  <c r="A1240" i="8"/>
  <c r="A2837" i="8"/>
  <c r="A2517" i="8"/>
  <c r="A269" i="8"/>
  <c r="A2249" i="8"/>
  <c r="A324" i="8"/>
  <c r="A2979" i="8"/>
  <c r="A1648" i="8"/>
  <c r="A2233" i="8"/>
  <c r="A2439" i="8"/>
  <c r="A2943" i="8"/>
  <c r="A919" i="8"/>
  <c r="A1713" i="8"/>
  <c r="A1275" i="8"/>
  <c r="A2641" i="8"/>
  <c r="A3013" i="8"/>
  <c r="A1687" i="8"/>
  <c r="A2688" i="8"/>
  <c r="A2740" i="8"/>
  <c r="A2159" i="8"/>
  <c r="A2968" i="8"/>
  <c r="A2117" i="8"/>
  <c r="A1218" i="8"/>
  <c r="A2238" i="8"/>
  <c r="A1645" i="8"/>
  <c r="A1338" i="8"/>
  <c r="A647" i="8"/>
  <c r="A2157" i="8"/>
  <c r="A1063" i="8"/>
  <c r="A962" i="8"/>
  <c r="A1735" i="8"/>
  <c r="A1450" i="8"/>
  <c r="A2219" i="8"/>
  <c r="A2606" i="8"/>
  <c r="A3075" i="8"/>
  <c r="A1153" i="8"/>
  <c r="A1796" i="8"/>
  <c r="A1270" i="8"/>
  <c r="A2113" i="8"/>
  <c r="A1401" i="8"/>
  <c r="A1793" i="8"/>
  <c r="A1309" i="8"/>
  <c r="A2101" i="8"/>
  <c r="A1461" i="8"/>
  <c r="A1614" i="8"/>
  <c r="A1599" i="8"/>
  <c r="A2598" i="8"/>
  <c r="A2385" i="8"/>
  <c r="A1930" i="8"/>
  <c r="A530" i="8"/>
  <c r="A2615" i="8"/>
  <c r="A382" i="8"/>
  <c r="A1313" i="8"/>
  <c r="A2423" i="8"/>
  <c r="A1083" i="8"/>
  <c r="A2850" i="8"/>
  <c r="A1583" i="8"/>
  <c r="A2037" i="8"/>
  <c r="A2413" i="8"/>
  <c r="A502" i="8"/>
  <c r="A1261" i="8"/>
  <c r="A2628" i="8"/>
  <c r="A1855" i="8"/>
  <c r="A1175" i="8"/>
  <c r="A2009" i="8"/>
  <c r="A1668" i="8"/>
  <c r="A2892" i="8"/>
  <c r="A2811" i="8"/>
  <c r="A2246" i="8"/>
  <c r="A2695" i="8"/>
  <c r="A1628" i="8"/>
  <c r="A2929" i="8"/>
  <c r="A2329" i="8"/>
  <c r="A2690" i="8"/>
  <c r="A2013" i="8"/>
  <c r="A2565" i="8"/>
  <c r="A2316" i="8"/>
  <c r="A1297" i="8"/>
  <c r="A2547" i="8"/>
  <c r="A2153" i="8"/>
  <c r="A1263" i="8"/>
  <c r="A573" i="8"/>
  <c r="A1446" i="8"/>
  <c r="A2610" i="8"/>
  <c r="A86" i="8"/>
  <c r="A1765" i="8"/>
  <c r="A1859" i="8"/>
  <c r="A2239" i="8"/>
  <c r="A1356" i="8"/>
  <c r="A583" i="8"/>
  <c r="A2703" i="8"/>
  <c r="A1605" i="8"/>
  <c r="A1126" i="8"/>
  <c r="A1884" i="8"/>
  <c r="A12" i="8"/>
  <c r="A1273" i="8"/>
  <c r="A1257" i="8"/>
  <c r="A709" i="8"/>
  <c r="A2705" i="8"/>
  <c r="A2911" i="8"/>
  <c r="A2665" i="8"/>
  <c r="A492" i="8"/>
  <c r="A1176" i="8"/>
  <c r="A2487" i="8"/>
  <c r="A2388" i="8"/>
  <c r="A1819" i="8"/>
  <c r="A495" i="8"/>
  <c r="A2293" i="8"/>
  <c r="A90" i="8"/>
  <c r="A2335" i="8"/>
  <c r="A685" i="8"/>
  <c r="A1932" i="8"/>
  <c r="A3066" i="8"/>
  <c r="A1971" i="8"/>
  <c r="A2851" i="8"/>
  <c r="A1764" i="8"/>
  <c r="A728" i="8"/>
  <c r="A1862" i="8"/>
  <c r="A914" i="8"/>
  <c r="A1789" i="8"/>
  <c r="A1580" i="8"/>
  <c r="A2031" i="8"/>
  <c r="A863" i="8"/>
  <c r="A1775" i="8"/>
  <c r="A1841" i="8"/>
  <c r="A1480" i="8"/>
  <c r="A2835" i="8"/>
  <c r="A2614" i="8"/>
  <c r="A1767" i="8"/>
  <c r="A2908" i="8"/>
  <c r="A1579" i="8"/>
  <c r="A3064" i="8"/>
  <c r="A2723" i="8"/>
  <c r="A2453" i="8"/>
  <c r="A1292" i="8"/>
  <c r="A2878" i="8"/>
  <c r="A2313" i="8"/>
  <c r="A2284" i="8"/>
  <c r="A344" i="8"/>
  <c r="A2039" i="8"/>
  <c r="A3028" i="8"/>
  <c r="A2802" i="8"/>
  <c r="A3020" i="8"/>
  <c r="A2072" i="8"/>
  <c r="A3009" i="8"/>
  <c r="A2961" i="8"/>
  <c r="A3004" i="8"/>
  <c r="A585" i="8"/>
  <c r="A2126" i="8"/>
  <c r="A2604" i="8"/>
  <c r="A1944" i="8"/>
  <c r="A2792" i="8"/>
  <c r="A2374" i="8"/>
  <c r="A658" i="8"/>
  <c r="A691" i="8"/>
  <c r="A2081" i="8"/>
  <c r="A1483" i="8"/>
  <c r="A2140" i="8"/>
  <c r="A1776" i="8"/>
  <c r="A678" i="8"/>
  <c r="A2325" i="8"/>
  <c r="A2369" i="8"/>
  <c r="A2940" i="8"/>
  <c r="A1023" i="8"/>
  <c r="A2805" i="8"/>
  <c r="A2196" i="8"/>
  <c r="A1389" i="8"/>
  <c r="A1162" i="8"/>
  <c r="A125" i="8"/>
  <c r="A3041" i="8"/>
  <c r="A2173" i="8"/>
  <c r="A2283" i="8"/>
  <c r="A1761" i="8"/>
  <c r="A2896" i="8"/>
  <c r="A38" i="8"/>
  <c r="A2888" i="8"/>
  <c r="A1337" i="8"/>
  <c r="A2505" i="8"/>
  <c r="A1051" i="8"/>
  <c r="A1759" i="8"/>
  <c r="A1688" i="8"/>
  <c r="A995" i="8"/>
  <c r="A1963" i="8"/>
  <c r="A1354" i="8"/>
  <c r="A1741" i="8"/>
  <c r="A814" i="8"/>
  <c r="A2263" i="8"/>
  <c r="A1724" i="8"/>
  <c r="A1965" i="8"/>
  <c r="A2832" i="8"/>
  <c r="A1926" i="8"/>
  <c r="A443" i="8"/>
  <c r="A1498" i="8"/>
  <c r="A1609" i="8"/>
  <c r="A1934" i="8"/>
  <c r="A2542" i="8"/>
  <c r="A2375" i="8"/>
  <c r="A2629" i="8"/>
  <c r="A2796" i="8"/>
  <c r="A1560" i="8"/>
  <c r="A2093" i="8"/>
  <c r="A2504" i="8"/>
  <c r="A2856" i="8"/>
  <c r="A2476" i="8"/>
  <c r="A1898" i="8"/>
  <c r="A2768" i="8"/>
  <c r="A1035" i="8"/>
  <c r="A1260" i="8"/>
  <c r="A1431" i="8"/>
  <c r="A1623" i="8"/>
  <c r="A2813" i="8"/>
  <c r="A2744" i="8"/>
  <c r="A1900" i="8"/>
  <c r="A2736" i="8"/>
  <c r="A2778" i="8"/>
  <c r="A1747" i="8"/>
  <c r="A884" i="8"/>
  <c r="A2953" i="8"/>
  <c r="A1632" i="8"/>
  <c r="A1319" i="8"/>
  <c r="A1155" i="8"/>
  <c r="A1684" i="8"/>
  <c r="A779" i="8"/>
  <c r="A2075" i="8"/>
  <c r="A2596" i="8"/>
  <c r="A2701" i="8"/>
  <c r="A2210" i="8"/>
  <c r="A2680" i="8"/>
  <c r="A2906" i="8"/>
  <c r="A1906" i="8"/>
  <c r="A2677" i="8"/>
  <c r="A1950" i="8"/>
  <c r="A2660" i="8"/>
  <c r="A2497" i="8"/>
  <c r="A1430" i="8"/>
  <c r="A1454" i="8"/>
  <c r="A2859" i="8"/>
  <c r="A1379" i="8"/>
  <c r="A2991" i="8"/>
  <c r="A3078" i="8"/>
  <c r="A156" i="8"/>
  <c r="A1676" i="8"/>
  <c r="A2345" i="8"/>
  <c r="A1861" i="8"/>
  <c r="A1686" i="8"/>
  <c r="A2608" i="8"/>
  <c r="A2053" i="8"/>
  <c r="A2600" i="8"/>
  <c r="A1769" i="8"/>
  <c r="A2592" i="8"/>
  <c r="A1896" i="8"/>
  <c r="A2155" i="8"/>
  <c r="A2994" i="8"/>
  <c r="A1994" i="8"/>
  <c r="A2202" i="8"/>
  <c r="A1905" i="8"/>
  <c r="A615" i="8"/>
  <c r="A316" i="8"/>
  <c r="A1566" i="8"/>
  <c r="A2142" i="8"/>
  <c r="A2332" i="8"/>
  <c r="A2990" i="8"/>
  <c r="A2489" i="8"/>
  <c r="A2515" i="8"/>
  <c r="A1041" i="8"/>
  <c r="A2092" i="8"/>
  <c r="A2451" i="8"/>
  <c r="A1753" i="8"/>
  <c r="A939" i="8"/>
  <c r="A1114" i="8"/>
  <c r="A3071" i="8"/>
  <c r="A1360" i="8"/>
  <c r="A1264" i="8"/>
  <c r="A1962" i="8"/>
  <c r="A1412" i="8"/>
  <c r="A2484" i="8"/>
  <c r="A2391" i="8"/>
  <c r="A2319" i="8"/>
  <c r="A2774" i="8"/>
  <c r="A1694" i="8"/>
  <c r="A2030" i="8"/>
  <c r="A2464" i="8"/>
  <c r="A1504" i="8"/>
  <c r="A1585" i="8"/>
  <c r="A2251" i="8"/>
  <c r="A2931" i="8"/>
  <c r="A1625" i="8"/>
  <c r="A1071" i="8"/>
  <c r="A2201" i="8"/>
  <c r="A1937" i="8"/>
  <c r="A2102" i="8"/>
  <c r="A2236" i="8"/>
  <c r="A2361" i="8"/>
  <c r="A1717" i="8"/>
  <c r="A2671" i="8"/>
  <c r="A1856" i="8"/>
  <c r="A1825" i="8"/>
  <c r="A1229" i="8"/>
  <c r="A2253" i="8"/>
  <c r="A1212" i="8"/>
  <c r="A1973" i="8"/>
  <c r="A609" i="8"/>
  <c r="A1545" i="8"/>
  <c r="A2170" i="8"/>
  <c r="A2431" i="8"/>
  <c r="A1077" i="8"/>
  <c r="A2122" i="8"/>
  <c r="A3070" i="8"/>
  <c r="A1064" i="8"/>
  <c r="A1481" i="8"/>
  <c r="A2348" i="8"/>
  <c r="A1849" i="8"/>
  <c r="A1293" i="8"/>
  <c r="A1901" i="8"/>
  <c r="A787" i="8"/>
  <c r="A2344" i="8"/>
  <c r="A2794" i="8"/>
  <c r="A3067" i="8"/>
  <c r="A618" i="8"/>
  <c r="A1633" i="8"/>
  <c r="A2773" i="8"/>
  <c r="A725" i="8"/>
  <c r="A2337" i="8"/>
  <c r="A2967" i="8"/>
  <c r="A2354" i="8"/>
  <c r="A1384" i="8"/>
  <c r="A1202" i="8"/>
  <c r="A483" i="8"/>
  <c r="A2493" i="8"/>
  <c r="A2868" i="8"/>
  <c r="A2932" i="8"/>
  <c r="A2764" i="8"/>
  <c r="A2260" i="8"/>
  <c r="A2699" i="8"/>
  <c r="A2148" i="8"/>
  <c r="A19" i="8"/>
  <c r="A1106" i="8"/>
  <c r="A1200" i="8"/>
  <c r="A1385" i="8"/>
  <c r="A2828" i="8"/>
  <c r="A3037" i="8"/>
  <c r="A2281" i="8"/>
  <c r="A1408" i="8"/>
  <c r="A1996" i="8"/>
  <c r="A2977" i="8"/>
  <c r="A1205" i="8"/>
  <c r="A2460" i="8"/>
  <c r="A3059" i="8"/>
  <c r="A2720" i="8"/>
  <c r="A1636" i="8"/>
  <c r="A2025" i="8"/>
  <c r="A2379" i="8"/>
  <c r="A1073" i="8"/>
  <c r="A2129" i="8"/>
  <c r="A2618" i="8"/>
  <c r="A2881" i="8"/>
  <c r="A3057" i="8"/>
  <c r="A1517" i="8"/>
  <c r="A1193" i="8"/>
  <c r="A1803" i="8"/>
  <c r="A1329" i="8"/>
  <c r="A1578" i="8"/>
  <c r="A2456" i="8"/>
  <c r="A2002" i="8"/>
  <c r="A2132" i="8"/>
  <c r="A2675" i="8"/>
  <c r="A2135" i="8"/>
  <c r="A2613" i="8"/>
  <c r="A2577" i="8"/>
  <c r="A574" i="8"/>
  <c r="A2108" i="8"/>
  <c r="A2288" i="8"/>
  <c r="A1564" i="8"/>
  <c r="A2886" i="8"/>
  <c r="A2050" i="8"/>
  <c r="A1018" i="8"/>
  <c r="A2883" i="8"/>
  <c r="A2853" i="8"/>
  <c r="A1380" i="8"/>
  <c r="A1773" i="8"/>
  <c r="A2068" i="8"/>
  <c r="A1705" i="8"/>
  <c r="A2291" i="8"/>
  <c r="A2861" i="8"/>
  <c r="A2052" i="8"/>
  <c r="A2797" i="8"/>
  <c r="A2061" i="8"/>
  <c r="A400" i="8"/>
  <c r="A2032" i="8"/>
  <c r="A2414" i="8"/>
  <c r="A1255" i="8"/>
  <c r="A366" i="8"/>
  <c r="A1330" i="8"/>
  <c r="A748" i="8"/>
  <c r="A2457" i="8"/>
  <c r="A2383" i="8"/>
  <c r="A2869" i="8"/>
  <c r="A1256" i="8"/>
  <c r="A501" i="8"/>
  <c r="A1745" i="8"/>
  <c r="A1988" i="8"/>
  <c r="A2915" i="8"/>
  <c r="A1005" i="8"/>
  <c r="A982" i="8"/>
  <c r="A2373" i="8"/>
  <c r="A2109" i="8"/>
  <c r="A1982" i="8"/>
  <c r="A2463" i="8"/>
  <c r="A541" i="8"/>
  <c r="A1714" i="8"/>
  <c r="A2177" i="8"/>
  <c r="A2044" i="8"/>
  <c r="A2793" i="8"/>
  <c r="A1828" i="8"/>
  <c r="A938" i="8"/>
  <c r="A985" i="8"/>
  <c r="A2193" i="8"/>
  <c r="A1618" i="8"/>
  <c r="A1394" i="8"/>
  <c r="A1592" i="8"/>
  <c r="A1544" i="8"/>
  <c r="A2516" i="8"/>
  <c r="A2214" i="8"/>
  <c r="A3031" i="8"/>
  <c r="A2566" i="8"/>
  <c r="A1004" i="8"/>
  <c r="A1082" i="8"/>
  <c r="A1816" i="8"/>
  <c r="A1677" i="8"/>
  <c r="A3014" i="8"/>
  <c r="A2946" i="8"/>
  <c r="A2008" i="8"/>
  <c r="A2893" i="8"/>
  <c r="A2368" i="8"/>
  <c r="A1173" i="8"/>
  <c r="A341" i="8"/>
  <c r="A2175" i="8"/>
  <c r="A1225" i="8"/>
  <c r="A1886" i="8"/>
  <c r="A2287" i="8"/>
  <c r="A724" i="8"/>
  <c r="A2944" i="8"/>
  <c r="A1586" i="8"/>
  <c r="A1770" i="8"/>
  <c r="A2047" i="8"/>
  <c r="A1788" i="8"/>
  <c r="A1374" i="8"/>
  <c r="A2339" i="8"/>
  <c r="A2686" i="8"/>
  <c r="A2603" i="8"/>
  <c r="A1113" i="8"/>
  <c r="A2919" i="8"/>
  <c r="A1201" i="8"/>
  <c r="A1090" i="8"/>
  <c r="A1582" i="8"/>
  <c r="A2831" i="8"/>
  <c r="A1653" i="8"/>
  <c r="A152" i="8"/>
  <c r="A2273" i="8"/>
  <c r="A2884" i="8"/>
  <c r="A1277" i="8"/>
  <c r="A2478" i="8"/>
  <c r="A2960" i="8"/>
  <c r="A1952" i="8"/>
  <c r="A3083" i="8"/>
  <c r="A2683" i="8"/>
  <c r="A2407" i="8"/>
  <c r="A2441" i="8"/>
  <c r="A2839" i="8"/>
  <c r="A549" i="8"/>
  <c r="A860" i="8"/>
  <c r="A2866" i="8"/>
  <c r="A2612" i="8"/>
  <c r="A1995" i="8"/>
  <c r="A2555" i="8"/>
  <c r="A2823" i="8"/>
  <c r="A1390" i="8"/>
  <c r="A2212" i="8"/>
  <c r="A1985" i="8"/>
  <c r="A2178" i="8"/>
  <c r="A1844" i="8"/>
  <c r="A1670" i="8"/>
  <c r="A770" i="8"/>
  <c r="A1251" i="8"/>
  <c r="A1779" i="8"/>
  <c r="A3011" i="8"/>
  <c r="A1947" i="8"/>
  <c r="A1502" i="8"/>
  <c r="A2771" i="8"/>
  <c r="A3039" i="8"/>
  <c r="A2985" i="8"/>
  <c r="A3063" i="8"/>
  <c r="A1271" i="8"/>
  <c r="A1020" i="8"/>
  <c r="A2371" i="8"/>
  <c r="A2743" i="8"/>
  <c r="A2698" i="8"/>
  <c r="A846" i="8"/>
  <c r="A1897" i="8"/>
  <c r="A2838" i="8"/>
  <c r="A1060" i="8"/>
  <c r="A2438" i="8"/>
  <c r="A2717" i="8"/>
  <c r="A2887" i="8"/>
  <c r="A2707" i="8"/>
  <c r="A1805" i="8"/>
  <c r="A2978" i="8"/>
  <c r="A2160" i="8"/>
  <c r="A1183" i="8"/>
  <c r="A3012" i="8"/>
  <c r="A49" i="8"/>
  <c r="A1514" i="8"/>
  <c r="A2541" i="8"/>
  <c r="A2737" i="8"/>
  <c r="A1291" i="8"/>
  <c r="A2221" i="8"/>
  <c r="A2646" i="8"/>
  <c r="A1280" i="8"/>
  <c r="A1146" i="8"/>
  <c r="A2494" i="8"/>
  <c r="A1948" i="8"/>
  <c r="A2532" i="8"/>
  <c r="A1801" i="8"/>
  <c r="A1135" i="8"/>
  <c r="A3051" i="8"/>
  <c r="A1510" i="8"/>
  <c r="A649" i="8"/>
  <c r="A2799" i="8"/>
  <c r="A2560" i="8"/>
  <c r="A3060" i="8"/>
  <c r="A2265" i="8"/>
  <c r="A2158" i="8"/>
  <c r="A695" i="8"/>
  <c r="A2657" i="8"/>
  <c r="A2114" i="8"/>
  <c r="A1177" i="8"/>
  <c r="A2509" i="8"/>
  <c r="A1357" i="8"/>
  <c r="A2571" i="8"/>
  <c r="A1669" i="8"/>
  <c r="A1409" i="8"/>
  <c r="A2330" i="8"/>
  <c r="A1140" i="8"/>
  <c r="A2632" i="8"/>
  <c r="A1307" i="8"/>
  <c r="A2277" i="8"/>
  <c r="A2903" i="8"/>
  <c r="A1752" i="8"/>
  <c r="A1787" i="8"/>
  <c r="A1830" i="8"/>
  <c r="A3040" i="8"/>
  <c r="A2880" i="8"/>
  <c r="A2128" i="8"/>
  <c r="A2685" i="8"/>
  <c r="A2507" i="8"/>
  <c r="A1444" i="8"/>
  <c r="A2499" i="8"/>
  <c r="A1068" i="8"/>
  <c r="A405" i="8"/>
  <c r="A1960" i="8"/>
  <c r="A1250" i="8"/>
  <c r="A3086" i="8"/>
  <c r="A1655" i="8"/>
  <c r="A2846" i="8"/>
  <c r="A1128" i="8"/>
  <c r="A1774" i="8"/>
  <c r="A3029" i="8"/>
  <c r="A2250" i="8"/>
  <c r="A322" i="8"/>
  <c r="A1615" i="8"/>
  <c r="A2040" i="8"/>
  <c r="A1903" i="8"/>
  <c r="A1943" i="8"/>
  <c r="A2347" i="8"/>
  <c r="A1895" i="8"/>
  <c r="A798" i="8"/>
  <c r="A891" i="8"/>
  <c r="A1658" i="8"/>
  <c r="A1527" i="8"/>
  <c r="A1875" i="8"/>
  <c r="A519" i="8"/>
  <c r="A3056" i="8"/>
  <c r="A1699" i="8"/>
  <c r="A1512" i="8"/>
  <c r="A1817" i="8"/>
  <c r="A1021" i="8"/>
  <c r="A2156" i="8"/>
  <c r="A277" i="8"/>
  <c r="A1415" i="8"/>
  <c r="A2367" i="8"/>
  <c r="A1204" i="8"/>
  <c r="A2712" i="8"/>
  <c r="A1258" i="8"/>
  <c r="A1488" i="8"/>
  <c r="A1034" i="8"/>
  <c r="A2077" i="8"/>
  <c r="A465" i="8"/>
  <c r="A1335" i="8"/>
  <c r="A1737" i="8"/>
  <c r="A1164" i="8"/>
  <c r="A2183" i="8"/>
  <c r="A226" i="8"/>
  <c r="A2533" i="8"/>
  <c r="A220" i="8"/>
  <c r="A2569" i="8"/>
  <c r="A2937" i="8"/>
  <c r="A1350" i="8"/>
  <c r="A2064" i="8"/>
  <c r="A1304" i="8"/>
  <c r="A2976" i="8"/>
  <c r="A2070" i="8"/>
  <c r="A1798" i="8"/>
  <c r="A1682" i="8"/>
  <c r="A776" i="8"/>
  <c r="A1778" i="8"/>
  <c r="A2909" i="8"/>
  <c r="A2213" i="8"/>
  <c r="A1836" i="8"/>
  <c r="A2138" i="8"/>
  <c r="A1059" i="8"/>
  <c r="A710" i="8"/>
  <c r="A1910" i="8"/>
  <c r="A2338" i="8"/>
  <c r="A2719" i="8"/>
  <c r="A2492" i="8"/>
  <c r="A1208" i="8"/>
  <c r="A1192" i="8"/>
  <c r="A2763" i="8"/>
  <c r="A1879" i="8"/>
  <c r="A1478" i="8"/>
  <c r="A2203" i="8"/>
  <c r="A1912" i="8"/>
  <c r="A1794" i="8"/>
  <c r="A2331" i="8"/>
  <c r="A2696" i="8"/>
  <c r="A1511" i="8"/>
  <c r="A897" i="8"/>
  <c r="A2104" i="8"/>
  <c r="A2171" i="8"/>
  <c r="A1228" i="8"/>
  <c r="A1327" i="8"/>
  <c r="A1857" i="8"/>
  <c r="A2873" i="8"/>
  <c r="A1712" i="8"/>
  <c r="A1951" i="8"/>
  <c r="A826" i="8"/>
  <c r="A2957" i="8"/>
  <c r="A1342" i="8"/>
  <c r="A2544" i="8"/>
  <c r="A2190" i="8"/>
  <c r="A568" i="8"/>
  <c r="A1989" i="8"/>
  <c r="A2558" i="8"/>
  <c r="A148" i="8"/>
  <c r="A2107" i="8"/>
  <c r="A578" i="8"/>
  <c r="A2099" i="8"/>
  <c r="A1563" i="8"/>
  <c r="A1739" i="8"/>
  <c r="A1663" i="8"/>
  <c r="A1452" i="8"/>
  <c r="A2057" i="8"/>
  <c r="A746" i="8"/>
  <c r="A2806" i="8"/>
  <c r="A2788" i="8"/>
  <c r="A2095" i="8"/>
  <c r="A3017" i="8"/>
  <c r="A2814" i="8"/>
  <c r="A2622" i="8"/>
  <c r="A1042" i="8"/>
  <c r="A547" i="8"/>
  <c r="A1744" i="8"/>
  <c r="A2035" i="8"/>
  <c r="A2934" i="8"/>
  <c r="A1477" i="8"/>
  <c r="A2023" i="8"/>
  <c r="A2351" i="8"/>
  <c r="A1490" i="8"/>
  <c r="A1424" i="8"/>
  <c r="A2440" i="8"/>
  <c r="A2576" i="8"/>
  <c r="A1526" i="8"/>
  <c r="A2678" i="8"/>
  <c r="A2333" i="8"/>
  <c r="A1230" i="8"/>
  <c r="A318" i="8"/>
  <c r="A2993" i="8"/>
  <c r="A505" i="8"/>
  <c r="A625" i="8"/>
  <c r="A1236" i="8"/>
  <c r="A713" i="8"/>
  <c r="A1014" i="8"/>
  <c r="A488" i="8"/>
  <c r="A1011" i="8"/>
  <c r="A2033" i="8"/>
  <c r="A2443" i="8"/>
  <c r="A2928" i="8"/>
  <c r="A2143" i="8"/>
  <c r="A2916" i="8"/>
  <c r="A1383" i="8"/>
  <c r="A1482" i="8"/>
  <c r="A1867" i="8"/>
  <c r="A1571" i="8"/>
  <c r="A1999" i="8"/>
  <c r="A2021" i="8"/>
  <c r="A3089" i="8"/>
  <c r="A2970" i="8"/>
  <c r="A3047" i="8"/>
  <c r="A1807" i="8"/>
  <c r="A285" i="8"/>
  <c r="A1032" i="8"/>
  <c r="A2609" i="8"/>
  <c r="A2817" i="8"/>
  <c r="A2377" i="8"/>
  <c r="A509" i="8"/>
  <c r="A2882" i="8"/>
  <c r="A1070" i="8"/>
  <c r="A2255" i="8"/>
  <c r="A1949" i="8"/>
  <c r="A1351" i="8"/>
  <c r="A2359" i="8"/>
  <c r="A2321" i="8"/>
  <c r="A2179" i="8"/>
  <c r="A2520" i="8"/>
  <c r="A2259" i="8"/>
  <c r="A1056" i="8"/>
  <c r="A3027" i="8"/>
  <c r="A2446" i="8"/>
  <c r="A2204" i="8"/>
  <c r="A1343" i="8"/>
  <c r="A3088" i="8"/>
  <c r="A1460" i="8"/>
  <c r="A1188" i="8"/>
  <c r="A2111" i="8"/>
  <c r="A2071" i="8"/>
  <c r="A2673" i="8"/>
  <c r="A1976" i="8"/>
  <c r="A1391" i="8"/>
  <c r="A1786" i="8"/>
  <c r="A1316" i="8"/>
  <c r="A1464" i="8"/>
  <c r="A1469" i="8"/>
  <c r="A1740" i="8"/>
  <c r="A2012" i="8"/>
  <c r="A1925" i="8"/>
  <c r="A1168" i="8"/>
  <c r="A3006" i="8"/>
  <c r="A1853" i="8"/>
  <c r="A2648" i="8"/>
  <c r="A1147" i="8"/>
  <c r="A1768" i="8"/>
  <c r="A91" i="8"/>
  <c r="A631" i="8"/>
  <c r="A1602" i="8"/>
  <c r="A2477" i="8"/>
  <c r="A1267" i="8"/>
  <c r="A1993" i="8"/>
  <c r="A2136" i="8"/>
  <c r="A1161" i="8"/>
  <c r="A676" i="8"/>
  <c r="A2754" i="8"/>
  <c r="A1749" i="8"/>
  <c r="A1518" i="8"/>
  <c r="A921" i="8"/>
  <c r="A2738" i="8"/>
  <c r="A967" i="8"/>
  <c r="A749" i="8"/>
  <c r="A2471" i="8"/>
  <c r="A1222" i="8"/>
  <c r="A1909" i="8"/>
  <c r="A2714" i="8"/>
  <c r="A2710" i="8"/>
  <c r="A2611" i="8"/>
  <c r="A2522" i="8"/>
  <c r="A1067" i="8"/>
  <c r="A2334" i="8"/>
  <c r="A1066" i="8"/>
  <c r="A2468" i="8"/>
  <c r="A3038" i="8"/>
  <c r="A2554" i="8"/>
  <c r="A2063" i="8"/>
  <c r="A2307" i="8"/>
  <c r="A1400" i="8"/>
  <c r="A2258" i="8"/>
  <c r="A2506" i="8"/>
  <c r="A3048" i="8"/>
  <c r="A2436" i="8"/>
  <c r="A2922" i="8"/>
  <c r="A1979" i="8"/>
  <c r="A2921" i="8"/>
  <c r="A2634" i="8"/>
  <c r="A1182" i="8"/>
  <c r="A2870" i="8"/>
  <c r="A1169" i="8"/>
  <c r="A2384" i="8"/>
  <c r="A951" i="8"/>
  <c r="A375" i="8"/>
  <c r="A1604" i="8"/>
  <c r="A2980" i="8"/>
  <c r="A2199" i="8"/>
  <c r="A2134" i="8"/>
  <c r="A2590" i="8"/>
  <c r="A2526" i="8"/>
  <c r="A2582" i="8"/>
  <c r="A1555" i="8"/>
  <c r="A1889" i="8"/>
  <c r="A2503" i="8"/>
  <c r="A1533" i="8"/>
  <c r="A2498" i="8"/>
  <c r="A1667" i="8"/>
  <c r="A1629" i="8"/>
  <c r="A2872" i="8"/>
  <c r="A2562" i="8"/>
  <c r="A2089" i="8"/>
  <c r="A1727" i="8"/>
  <c r="A2026" i="8"/>
  <c r="A2530" i="8"/>
  <c r="A2276" i="8"/>
  <c r="A1411" i="8"/>
  <c r="A2902" i="8"/>
  <c r="A694" i="8"/>
  <c r="A2917" i="8"/>
  <c r="A2430" i="8"/>
  <c r="A2502" i="8"/>
  <c r="A696" i="8"/>
  <c r="A2228" i="8"/>
  <c r="A496" i="8"/>
  <c r="A882" i="8"/>
  <c r="A2482" i="8"/>
  <c r="A643" i="8"/>
  <c r="A761" i="8"/>
  <c r="A1644" i="8"/>
  <c r="A2936" i="8"/>
  <c r="A1223" i="8"/>
  <c r="A2546" i="8"/>
  <c r="A1587" i="8"/>
  <c r="A2450" i="8"/>
  <c r="A1507" i="8"/>
  <c r="A1220" i="8"/>
  <c r="A1085" i="8"/>
  <c r="A1942" i="8"/>
  <c r="A960" i="8"/>
  <c r="A2987" i="8"/>
  <c r="A1367" i="8"/>
  <c r="A1919" i="8"/>
  <c r="A1743" i="8"/>
  <c r="A1300" i="8"/>
  <c r="A2392" i="8"/>
  <c r="A2112" i="8"/>
  <c r="A1476" i="8"/>
  <c r="A2910" i="8"/>
  <c r="A1936" i="8"/>
  <c r="A2036" i="8"/>
  <c r="A1619" i="8"/>
  <c r="A2640" i="8"/>
  <c r="A2062" i="8"/>
  <c r="A1780" i="8"/>
  <c r="A1303" i="8"/>
  <c r="A1259" i="8"/>
  <c r="A807" i="8"/>
  <c r="A1575" i="8"/>
  <c r="A1336" i="8"/>
  <c r="A2382" i="8"/>
  <c r="A2320" i="8"/>
  <c r="A2217" i="8"/>
  <c r="A2692" i="8"/>
  <c r="A1322" i="8"/>
  <c r="A539" i="8"/>
  <c r="A1673" i="8"/>
  <c r="A459" i="8"/>
  <c r="A1110" i="8"/>
  <c r="A2294" i="8"/>
  <c r="A1606" i="8"/>
  <c r="A2302" i="8"/>
  <c r="A2398" i="8"/>
  <c r="A3024" i="8"/>
  <c r="A1672" i="8"/>
  <c r="A1279" i="8"/>
  <c r="A2162" i="8"/>
  <c r="A2914" i="8"/>
  <c r="A1728" i="8"/>
  <c r="A3007" i="8"/>
  <c r="A2266" i="8"/>
  <c r="A2323" i="8"/>
  <c r="A2350" i="8"/>
  <c r="A2667" i="8"/>
  <c r="A2782" i="8"/>
  <c r="A1324" i="8"/>
  <c r="A1872" i="8"/>
  <c r="A2415" i="8"/>
  <c r="A665" i="8"/>
  <c r="A2151" i="8"/>
  <c r="A2226" i="8"/>
  <c r="A2364" i="8"/>
  <c r="A2992" i="8"/>
  <c r="A1154" i="8"/>
  <c r="A1777" i="8"/>
  <c r="A2965" i="8"/>
  <c r="A1328" i="8"/>
  <c r="A3003" i="8"/>
  <c r="A1416" i="8"/>
  <c r="A1500" i="8"/>
  <c r="A1317" i="8"/>
  <c r="A2069" i="8"/>
  <c r="A1216" i="8"/>
  <c r="A2059" i="8"/>
  <c r="A1044" i="8"/>
  <c r="A2001" i="8"/>
  <c r="A2945" i="8"/>
  <c r="A2950" i="8"/>
  <c r="A2045" i="8"/>
  <c r="A350" i="8"/>
  <c r="A1674" i="8"/>
  <c r="A2599" i="8"/>
  <c r="A616" i="8"/>
  <c r="A1980" i="8"/>
  <c r="A523" i="8"/>
  <c r="A682" i="8"/>
  <c r="A1656" i="8"/>
  <c r="A2732" i="8"/>
  <c r="A2317" i="8"/>
  <c r="A1680" i="8"/>
  <c r="A2508" i="8"/>
  <c r="A1440" i="8"/>
  <c r="A2682" i="8"/>
  <c r="A1892" i="8"/>
  <c r="A2296" i="8"/>
  <c r="A2913" i="8"/>
  <c r="A2824" i="8"/>
  <c r="A2078" i="8"/>
  <c r="A2074" i="8"/>
  <c r="A3044" i="8"/>
  <c r="A645" i="8"/>
  <c r="A2926" i="8"/>
  <c r="A1425" i="8"/>
  <c r="A606" i="8"/>
  <c r="A1102" i="8"/>
  <c r="A2211" i="8"/>
  <c r="A2145" i="8"/>
  <c r="A3019" i="8"/>
  <c r="A1489" i="8"/>
  <c r="A2684" i="8"/>
  <c r="A1827" i="8"/>
  <c r="A2396" i="8"/>
  <c r="A2780" i="8"/>
  <c r="A1957" i="8"/>
  <c r="A2010" i="8"/>
  <c r="A2621" i="8"/>
  <c r="A2951" i="8"/>
  <c r="A2594" i="8"/>
  <c r="A1751" i="8"/>
  <c r="A1958" i="8"/>
  <c r="A1986" i="8"/>
  <c r="A856" i="8"/>
  <c r="A561" i="8"/>
  <c r="A1086" i="8"/>
  <c r="A1970" i="8"/>
  <c r="A1833" i="8"/>
  <c r="A2586" i="8"/>
  <c r="A2216" i="8"/>
  <c r="A1954" i="8"/>
  <c r="A2750" i="8"/>
  <c r="A2537" i="8"/>
  <c r="A1918" i="8"/>
  <c r="A2529" i="8"/>
  <c r="A2877" i="8"/>
  <c r="A3061" i="8"/>
  <c r="A2097" i="8"/>
  <c r="A2766" i="8"/>
  <c r="A587" i="8"/>
  <c r="A2432" i="8"/>
  <c r="A2962" i="8"/>
  <c r="A822" i="8"/>
  <c r="A1706" i="8"/>
  <c r="A2485" i="8"/>
  <c r="A2689" i="8"/>
  <c r="A2473" i="8"/>
  <c r="A2343" i="8"/>
  <c r="A1617" i="8"/>
  <c r="A1878" i="8"/>
  <c r="A739" i="8"/>
  <c r="A2939" i="8"/>
  <c r="A2459" i="8"/>
  <c r="A1703" i="8"/>
  <c r="A3025" i="8"/>
  <c r="A3069" i="8"/>
  <c r="A2518" i="8"/>
  <c r="A1846" i="8"/>
  <c r="A2076" i="8"/>
  <c r="A2739" i="8"/>
  <c r="A2548" i="8"/>
  <c r="A2172" i="8"/>
  <c r="A1675" i="8"/>
  <c r="A2619" i="8"/>
  <c r="A796" i="8"/>
  <c r="A1075" i="8"/>
  <c r="A1869" i="8"/>
  <c r="A1874" i="8"/>
  <c r="A1479" i="8"/>
  <c r="A793" i="8"/>
  <c r="A2852" i="8"/>
  <c r="A1953" i="8"/>
  <c r="A1697" i="8"/>
  <c r="A992" i="8"/>
  <c r="A1538" i="8"/>
  <c r="A1465" i="8"/>
  <c r="A1235" i="8"/>
  <c r="A1766" i="8"/>
  <c r="A2583" i="8"/>
  <c r="A419" i="8"/>
  <c r="A2411" i="8"/>
  <c r="A1627" i="8"/>
  <c r="A581" i="8"/>
  <c r="A1345" i="8"/>
  <c r="A775" i="8"/>
  <c r="A1734" i="8"/>
  <c r="A2270" i="8"/>
  <c r="A2449" i="8"/>
  <c r="A864" i="8"/>
  <c r="A3043" i="8"/>
  <c r="A1165" i="8"/>
  <c r="A2751" i="8"/>
  <c r="A968" i="8"/>
  <c r="A3065" i="8"/>
  <c r="A941" i="8"/>
  <c r="A108" i="8"/>
  <c r="A2048" i="8"/>
  <c r="A2564" i="8"/>
  <c r="A2842" i="8"/>
  <c r="A1678" i="8"/>
  <c r="A1642" i="8"/>
  <c r="A1638" i="8"/>
  <c r="A636" i="8"/>
  <c r="A566" i="8"/>
  <c r="A961" i="8"/>
  <c r="A2849" i="8"/>
  <c r="A2167" i="8"/>
  <c r="A889" i="8"/>
  <c r="A1639" i="8"/>
  <c r="A2500" i="8"/>
  <c r="A422" i="8"/>
  <c r="A543" i="8"/>
  <c r="A274" i="8"/>
  <c r="A2234" i="8"/>
  <c r="A1818" i="8"/>
  <c r="A1535" i="8"/>
  <c r="A2220" i="8"/>
  <c r="A2264" i="8"/>
  <c r="A1008" i="8"/>
  <c r="A2752" i="8"/>
  <c r="A1594" i="8"/>
  <c r="A2087" i="8"/>
  <c r="A1883" i="8"/>
  <c r="A2105" i="8"/>
  <c r="A2269" i="8"/>
  <c r="A756" i="8"/>
  <c r="A1570" i="8"/>
  <c r="A186" i="8"/>
  <c r="A1591" i="8"/>
  <c r="A794" i="8"/>
  <c r="A531" i="8"/>
  <c r="A3015" i="8"/>
  <c r="A1030" i="8"/>
  <c r="A191" i="8"/>
  <c r="A650" i="8"/>
  <c r="A973" i="8"/>
  <c r="A957" i="8"/>
  <c r="A1595" i="8"/>
  <c r="A286" i="8"/>
  <c r="A2311" i="8"/>
  <c r="A2254" i="8"/>
  <c r="A1831" i="8"/>
  <c r="A1532" i="8"/>
  <c r="A3076" i="8"/>
  <c r="A741" i="8"/>
  <c r="A922" i="8"/>
  <c r="A1990" i="8"/>
  <c r="A333" i="8"/>
  <c r="A513" i="8"/>
  <c r="A373" i="8"/>
  <c r="A594" i="8"/>
  <c r="A1022" i="8"/>
  <c r="A1646" i="8"/>
  <c r="A2110" i="8"/>
  <c r="A499" i="8"/>
  <c r="A1813" i="8"/>
  <c r="A2808" i="8"/>
  <c r="A1634" i="8"/>
  <c r="A346" i="8"/>
  <c r="A1736" i="8"/>
  <c r="A1244" i="8"/>
  <c r="A1332" i="8"/>
  <c r="A1541" i="8"/>
  <c r="A2784" i="8"/>
  <c r="A1262" i="8"/>
  <c r="A1414" i="8"/>
  <c r="A1226" i="8"/>
  <c r="A2186" i="8"/>
  <c r="A1756" i="8"/>
  <c r="A1398" i="8"/>
  <c r="A2818" i="8"/>
  <c r="A2418" i="8"/>
  <c r="A1757" i="8"/>
  <c r="A1666" i="8"/>
  <c r="A1373" i="8"/>
  <c r="A2469" i="8"/>
  <c r="A1274" i="8"/>
  <c r="A849" i="8"/>
  <c r="A1593" i="8"/>
  <c r="A1607" i="8"/>
  <c r="A740" i="8"/>
  <c r="A276" i="8"/>
  <c r="A2342" i="8"/>
  <c r="A768" i="8"/>
  <c r="A1709" i="8"/>
  <c r="A96" i="8"/>
  <c r="A298" i="8"/>
  <c r="A2272" i="8"/>
  <c r="A1914" i="8"/>
  <c r="A1984" i="8"/>
  <c r="A95" i="8"/>
  <c r="A2706" i="8"/>
  <c r="A1148" i="8"/>
  <c r="A1359" i="8"/>
  <c r="A321" i="8"/>
  <c r="A1519" i="8"/>
  <c r="A2747" i="8"/>
  <c r="A2812" i="8"/>
  <c r="A781" i="8"/>
  <c r="A1711" i="8"/>
  <c r="A52" i="8"/>
  <c r="A2275" i="8"/>
  <c r="A93" i="8"/>
  <c r="A651" i="8"/>
  <c r="A2578" i="8"/>
  <c r="A1321" i="8"/>
  <c r="A712" i="8"/>
  <c r="A1562" i="8"/>
  <c r="A815" i="8"/>
  <c r="A2327" i="8"/>
  <c r="A2746" i="8"/>
  <c r="A764" i="8"/>
  <c r="A1597" i="8"/>
  <c r="A925" i="8"/>
  <c r="A103" i="8"/>
  <c r="A708" i="8"/>
  <c r="A2958" i="8"/>
  <c r="A463" i="8"/>
  <c r="A1904" i="8"/>
  <c r="A426" i="8"/>
  <c r="A1600" i="8"/>
  <c r="A1418" i="8"/>
  <c r="A2417" i="8"/>
  <c r="A1758" i="8"/>
  <c r="A1196" i="8"/>
  <c r="A859" i="8"/>
  <c r="A3054" i="8"/>
  <c r="A1537" i="8"/>
  <c r="A648" i="8"/>
  <c r="A2556" i="8"/>
  <c r="A966" i="8"/>
  <c r="A1881" i="8"/>
  <c r="A760" i="8"/>
  <c r="A551" i="8"/>
  <c r="A1690" i="8"/>
  <c r="A2791" i="8"/>
  <c r="A1501" i="8"/>
  <c r="A1422" i="8"/>
  <c r="A1100" i="8"/>
  <c r="A1681" i="8"/>
  <c r="A869" i="8"/>
  <c r="A2346" i="8"/>
  <c r="A1967" i="8"/>
  <c r="A2918" i="8"/>
  <c r="A2935" i="8"/>
  <c r="A923" i="8"/>
  <c r="A2664" i="8"/>
  <c r="A1282" i="8"/>
  <c r="A1453" i="8"/>
  <c r="A2833" i="8"/>
  <c r="A2821" i="8"/>
  <c r="A145" i="8"/>
  <c r="A1972" i="8"/>
  <c r="A2523" i="8"/>
  <c r="A1935" i="8"/>
  <c r="A257" i="8"/>
  <c r="A878" i="8"/>
  <c r="A855" i="8"/>
  <c r="A1413" i="8"/>
  <c r="A2442" i="8"/>
  <c r="A2060" i="8"/>
  <c r="A2848" i="8"/>
  <c r="A2616" i="8"/>
  <c r="A2568" i="8"/>
  <c r="A3021" i="8"/>
  <c r="A877" i="8"/>
  <c r="A1375" i="8"/>
  <c r="A291" i="8"/>
  <c r="A1969" i="8"/>
  <c r="A2051" i="8"/>
  <c r="A2843" i="8"/>
  <c r="A1941" i="8"/>
  <c r="A1142" i="8"/>
  <c r="A456" i="8"/>
  <c r="A671" i="8"/>
  <c r="A2406" i="8"/>
  <c r="A2871" i="8"/>
  <c r="A2444" i="8"/>
  <c r="A1325" i="8"/>
  <c r="A1312" i="8"/>
  <c r="A873" i="8"/>
  <c r="A1410" i="8"/>
  <c r="A1553" i="8"/>
  <c r="A2645" i="8"/>
  <c r="A935" i="8"/>
  <c r="A450" i="8"/>
  <c r="A1966" i="8"/>
  <c r="A1750" i="8"/>
  <c r="A2890" i="8"/>
  <c r="A2925" i="8"/>
  <c r="A1285" i="8"/>
  <c r="A1815" i="8"/>
  <c r="A2017" i="8"/>
  <c r="A734" i="8"/>
  <c r="A55" i="8"/>
  <c r="A3005" i="8"/>
  <c r="A1419" i="8"/>
  <c r="A508" i="8"/>
  <c r="A1363" i="8"/>
  <c r="A1433" i="8"/>
  <c r="A1245" i="8"/>
  <c r="A675" i="8"/>
  <c r="A430" i="8"/>
  <c r="A1215" i="8"/>
  <c r="A1763" i="8"/>
  <c r="A1557" i="8"/>
  <c r="A1221" i="8"/>
  <c r="A2403" i="8"/>
  <c r="A444" i="8"/>
  <c r="A1209" i="8"/>
  <c r="A2461" i="8"/>
  <c r="A2531" i="8"/>
  <c r="A524" i="8"/>
  <c r="A1432" i="8"/>
  <c r="A1189" i="8"/>
  <c r="A2633" i="8"/>
  <c r="A624" i="8"/>
  <c r="A1791" i="8"/>
  <c r="A231" i="8"/>
  <c r="A1637" i="8"/>
  <c r="A2027" i="8"/>
  <c r="A2734" i="8"/>
  <c r="A1157" i="8"/>
  <c r="A284" i="8"/>
  <c r="A936" i="8"/>
  <c r="A1145" i="8"/>
  <c r="A1534" i="8"/>
  <c r="A1137" i="8"/>
  <c r="A1650" i="8"/>
  <c r="A686" i="8"/>
  <c r="A544" i="8"/>
  <c r="A1242" i="8"/>
  <c r="A2458" i="8"/>
  <c r="A356" i="8"/>
  <c r="A1939" i="8"/>
  <c r="A900" i="8"/>
  <c r="A599" i="8"/>
  <c r="A1097" i="8"/>
  <c r="A1854" i="8"/>
  <c r="A703" i="8"/>
  <c r="A1029" i="8"/>
  <c r="A441" i="8"/>
  <c r="A735" i="8"/>
  <c r="A2115" i="8"/>
  <c r="A300" i="8"/>
  <c r="A1528" i="8"/>
  <c r="A315" i="8"/>
  <c r="A1439" i="8"/>
  <c r="A2638" i="8"/>
  <c r="A546" i="8"/>
  <c r="A438" i="8"/>
  <c r="A619" i="8"/>
  <c r="A1381" i="8"/>
  <c r="A181" i="8"/>
  <c r="A818" i="8"/>
  <c r="A166" i="8"/>
  <c r="A2540" i="8"/>
  <c r="A828" i="8"/>
  <c r="A2358" i="8"/>
  <c r="A866" i="8"/>
  <c r="A1726" i="8"/>
  <c r="A2006" i="8"/>
  <c r="A403" i="8"/>
  <c r="A425" i="8"/>
  <c r="A2127" i="8"/>
  <c r="A1679" i="8"/>
  <c r="A867" i="8"/>
  <c r="A2106" i="8"/>
  <c r="A2574" i="8"/>
  <c r="A1186" i="8"/>
  <c r="A2184" i="8"/>
  <c r="A1458" i="8"/>
  <c r="A572" i="8"/>
  <c r="A1306" i="8"/>
  <c r="A2397" i="8"/>
  <c r="A1704" i="8"/>
  <c r="A2733" i="8"/>
  <c r="A1581" i="8"/>
  <c r="A1434" i="8"/>
  <c r="A1809" i="8"/>
  <c r="A1402" i="8"/>
  <c r="A2227" i="8"/>
  <c r="A2894" i="8"/>
  <c r="A385" i="8"/>
  <c r="A1301" i="8"/>
  <c r="A1880" i="8"/>
  <c r="A1046" i="8"/>
  <c r="A2015" i="8"/>
  <c r="A1940" i="8"/>
  <c r="A821" i="8"/>
  <c r="A1860" i="8"/>
  <c r="A2767" i="8"/>
  <c r="A2668" i="8"/>
  <c r="A2152" i="8"/>
  <c r="A1187" i="8"/>
  <c r="A2809" i="8"/>
  <c r="A1455" i="8"/>
  <c r="A2635" i="8"/>
  <c r="A1123" i="8"/>
  <c r="A683" i="8"/>
  <c r="A2735" i="8"/>
  <c r="A1474" i="8"/>
  <c r="A1138" i="8"/>
  <c r="A1808" i="8"/>
  <c r="A122" i="8"/>
  <c r="A1800" i="8"/>
  <c r="A2256" i="8"/>
  <c r="A2975" i="8"/>
  <c r="A642" i="8"/>
  <c r="A1198" i="8"/>
  <c r="A479" i="8"/>
  <c r="A448" i="8"/>
  <c r="A1136" i="8"/>
  <c r="A2624" i="8"/>
  <c r="A255" i="8"/>
  <c r="A1238" i="8"/>
  <c r="A542" i="8"/>
  <c r="A1227" i="8"/>
  <c r="A1382" i="8"/>
  <c r="A359" i="8"/>
  <c r="A639" i="8"/>
  <c r="A840" i="8"/>
  <c r="A3074" i="8"/>
  <c r="A504" i="8"/>
  <c r="A404" i="8"/>
  <c r="A1033" i="8"/>
  <c r="A1716" i="8"/>
  <c r="A2479" i="8"/>
  <c r="A1569" i="8"/>
  <c r="A3050" i="8"/>
  <c r="A2434" i="8"/>
  <c r="A1377" i="8"/>
  <c r="A1210" i="8"/>
  <c r="A895" i="8"/>
  <c r="A2066" i="8"/>
  <c r="A926" i="8"/>
  <c r="A1167" i="8"/>
  <c r="A862" i="8"/>
  <c r="A271" i="8"/>
  <c r="A1945" i="8"/>
  <c r="A2435" i="8"/>
  <c r="A2786" i="8"/>
  <c r="A832" i="8"/>
  <c r="A2572" i="8"/>
  <c r="A2084" i="8"/>
  <c r="A697" i="8"/>
  <c r="A540" i="8"/>
  <c r="A2433" i="8"/>
  <c r="A249" i="8"/>
  <c r="A141" i="8"/>
  <c r="A1214" i="8"/>
  <c r="A1616" i="8"/>
  <c r="A2552" i="8"/>
  <c r="A2589" i="8"/>
  <c r="A325" i="8"/>
  <c r="A2038" i="8"/>
  <c r="A641" i="8"/>
  <c r="A565" i="8"/>
  <c r="A2669" i="8"/>
  <c r="A2055" i="8"/>
  <c r="A1978" i="8"/>
  <c r="A633" i="8"/>
  <c r="A481" i="8"/>
  <c r="A1344" i="8"/>
  <c r="A1790" i="8"/>
  <c r="A536" i="8"/>
  <c r="A1556" i="8"/>
  <c r="A2650" i="8"/>
  <c r="A1392" i="8"/>
  <c r="A361" i="8"/>
  <c r="A1938" i="8"/>
  <c r="A965" i="8"/>
  <c r="A2620" i="8"/>
  <c r="A347" i="8"/>
  <c r="A1278" i="8"/>
  <c r="A994" i="8"/>
  <c r="A1179" i="8"/>
  <c r="A2954" i="8"/>
  <c r="A2103" i="8"/>
  <c r="A1806" i="8"/>
  <c r="A1729" i="8"/>
  <c r="A2309" i="8"/>
  <c r="A1492" i="8"/>
  <c r="A2091" i="8"/>
  <c r="A1495" i="8"/>
  <c r="A1590" i="8"/>
  <c r="A1315" i="8"/>
  <c r="A1472" i="8"/>
  <c r="A1643" i="8"/>
  <c r="A1722" i="8"/>
  <c r="A1730" i="8"/>
  <c r="A486" i="8"/>
  <c r="A1955" i="8"/>
  <c r="A2761" i="8"/>
  <c r="A2230" i="8"/>
  <c r="A597" i="8"/>
  <c r="A1812" i="8"/>
  <c r="A2034" i="8"/>
  <c r="A2056" i="8"/>
  <c r="A576" i="8"/>
  <c r="A267" i="8"/>
  <c r="A386" i="8"/>
  <c r="A1608" i="8"/>
  <c r="A1899" i="8"/>
  <c r="A2636" i="8"/>
  <c r="A2181" i="8"/>
  <c r="A2237" i="8"/>
  <c r="A1184" i="8"/>
  <c r="A1388" i="8"/>
  <c r="A2644" i="8"/>
  <c r="A1683" i="8"/>
  <c r="A5" i="8"/>
  <c r="A2139" i="8"/>
  <c r="A1061" i="8"/>
  <c r="A571" i="8"/>
  <c r="A835" i="8"/>
  <c r="A1659" i="8"/>
  <c r="A1248" i="8"/>
  <c r="A1348" i="8"/>
  <c r="A452" i="8"/>
  <c r="A2018" i="8"/>
  <c r="A2745" i="8"/>
  <c r="A554" i="8"/>
  <c r="A885" i="8"/>
  <c r="A1010" i="8"/>
  <c r="A3085" i="8"/>
  <c r="A657" i="8"/>
  <c r="A1536" i="8"/>
  <c r="A1308" i="8"/>
  <c r="A3046" i="8"/>
  <c r="A2387" i="8"/>
  <c r="A1451" i="8"/>
  <c r="A2424" i="8"/>
  <c r="A302" i="8"/>
  <c r="A1284" i="8"/>
  <c r="A1355" i="8"/>
  <c r="A1276" i="8"/>
  <c r="A1272" i="8"/>
  <c r="A1732" i="8"/>
  <c r="A2679" i="8"/>
  <c r="A717" i="8"/>
  <c r="A3001" i="8"/>
  <c r="A2058" i="8"/>
  <c r="A485" i="8"/>
  <c r="A567" i="8"/>
  <c r="A320" i="8"/>
  <c r="A228" i="8"/>
  <c r="A1232" i="8"/>
  <c r="A394" i="8"/>
  <c r="A1224" i="8"/>
  <c r="A2116" i="8"/>
  <c r="A273" i="8"/>
  <c r="A4" i="8"/>
  <c r="A395" i="8"/>
  <c r="A223" i="8"/>
  <c r="A1393" i="8"/>
  <c r="A2775" i="8"/>
  <c r="A433" i="8"/>
  <c r="A2304" i="8"/>
  <c r="A535" i="8"/>
  <c r="A516" i="8"/>
  <c r="A2776" i="8"/>
  <c r="A1358" i="8"/>
  <c r="A146" i="8"/>
  <c r="A3081" i="8"/>
  <c r="A788" i="8"/>
  <c r="A1265" i="8"/>
  <c r="A783" i="8"/>
  <c r="A2279" i="8"/>
  <c r="A2119" i="8"/>
  <c r="A262" i="8"/>
  <c r="A340" i="8"/>
  <c r="A32" i="8"/>
  <c r="A424" i="8"/>
  <c r="A533" i="8"/>
  <c r="A2019" i="8"/>
  <c r="A268" i="8"/>
  <c r="A266" i="8"/>
  <c r="A1237" i="8"/>
  <c r="A460" i="8"/>
  <c r="A3087" i="8"/>
  <c r="A2672" i="8"/>
  <c r="A837" i="8"/>
  <c r="A378" i="8"/>
  <c r="A1347" i="8"/>
  <c r="A503" i="8"/>
  <c r="A1076" i="8"/>
  <c r="A1395" i="8"/>
  <c r="A244" i="8"/>
  <c r="A1333" i="8"/>
  <c r="A1441" i="8"/>
  <c r="A2352" i="8"/>
  <c r="A931" i="8"/>
  <c r="A577" i="8"/>
  <c r="A1858" i="8"/>
  <c r="A3053" i="8"/>
  <c r="A1036" i="8"/>
  <c r="A1929" i="8"/>
  <c r="A1635" i="8"/>
  <c r="A580" i="8"/>
  <c r="A2670" i="8"/>
  <c r="A239" i="8"/>
  <c r="A890" i="8"/>
  <c r="A3049" i="8"/>
  <c r="A1426" i="8"/>
  <c r="A2166" i="8"/>
  <c r="A998" i="8"/>
  <c r="A2758" i="8"/>
  <c r="A928" i="8"/>
  <c r="A1281" i="8"/>
  <c r="A2412" i="8"/>
  <c r="A2194" i="8"/>
  <c r="A2011" i="8"/>
  <c r="A2898" i="8"/>
  <c r="A1089" i="8"/>
  <c r="A1420" i="8"/>
  <c r="A1568" i="8"/>
  <c r="A1991" i="8"/>
  <c r="A1987" i="8"/>
  <c r="A1983" i="8"/>
  <c r="A1378" i="8"/>
  <c r="A1038" i="8"/>
  <c r="A2662" i="8"/>
  <c r="A1180" i="8"/>
  <c r="A1505" i="8"/>
  <c r="A1715" i="8"/>
  <c r="A1840" i="8"/>
  <c r="A1696" i="8"/>
  <c r="A3018" i="8"/>
  <c r="A260" i="8"/>
  <c r="A491" i="8"/>
  <c r="A2386" i="8"/>
  <c r="A1931" i="8"/>
  <c r="A1997" i="8"/>
  <c r="A2630" i="8"/>
  <c r="A3030" i="8"/>
  <c r="A1288" i="8"/>
  <c r="A584" i="8"/>
  <c r="A2816" i="8"/>
  <c r="A2722" i="8"/>
  <c r="A586" i="8"/>
  <c r="A1810" i="8"/>
  <c r="A1890" i="8"/>
  <c r="A858" i="8"/>
  <c r="A1346" i="8"/>
  <c r="A958" i="8"/>
  <c r="A2120" i="8"/>
  <c r="A1871" i="8"/>
  <c r="A2428" i="8"/>
  <c r="A2141" i="8"/>
  <c r="A2553" i="8"/>
  <c r="A2402" i="8"/>
  <c r="A2425" i="8"/>
  <c r="A2631" i="8"/>
  <c r="A2730" i="8"/>
  <c r="A1657" i="8"/>
  <c r="A2297" i="8"/>
  <c r="A2876" i="8"/>
  <c r="A1693" i="8"/>
  <c r="A1470" i="8"/>
  <c r="A1109" i="8"/>
  <c r="A2399" i="8"/>
  <c r="A2271" i="8"/>
  <c r="A976" i="8"/>
  <c r="A2718" i="8"/>
  <c r="A1249" i="8"/>
  <c r="A2769" i="8"/>
  <c r="A899" i="8"/>
  <c r="A752" i="8"/>
  <c r="A1130" i="8"/>
  <c r="A851" i="8"/>
  <c r="A1045" i="8"/>
  <c r="A1771" i="8"/>
  <c r="A2362" i="8"/>
  <c r="A2100" i="8"/>
  <c r="A342" i="8"/>
  <c r="A1094" i="8"/>
  <c r="A3072" i="8"/>
  <c r="A2772" i="8"/>
  <c r="A1547" i="8"/>
  <c r="A2593" i="8"/>
  <c r="A1567" i="8"/>
  <c r="A428" i="8"/>
  <c r="A672" i="8"/>
  <c r="A2725" i="8"/>
  <c r="A893" i="8"/>
  <c r="A2409" i="8"/>
  <c r="A1406" i="8"/>
  <c r="A490" i="8"/>
  <c r="A2188" i="8"/>
  <c r="A279" i="8"/>
  <c r="A601" i="8"/>
  <c r="A1691" i="8"/>
  <c r="A2854" i="8"/>
  <c r="A2512" i="8"/>
  <c r="A727" i="8"/>
  <c r="A1603" i="8"/>
  <c r="A1334" i="8"/>
  <c r="A358" i="8"/>
  <c r="A1842" i="8"/>
  <c r="A669" i="8"/>
  <c r="A2488" i="8"/>
  <c r="A1149" i="8"/>
  <c r="A1647" i="8"/>
  <c r="A2420" i="8"/>
  <c r="A2083" i="8"/>
  <c r="A3022" i="8"/>
  <c r="A2065" i="8"/>
  <c r="A698" i="8"/>
  <c r="A600" i="8"/>
  <c r="A2847" i="8"/>
  <c r="A1671" i="8"/>
  <c r="A1611" i="8"/>
  <c r="A804" i="8"/>
  <c r="A1484" i="8"/>
  <c r="A1506" i="8"/>
  <c r="A2777" i="8"/>
  <c r="A959" i="8"/>
  <c r="A999" i="8"/>
  <c r="A842" i="8"/>
  <c r="A984" i="8"/>
  <c r="A116" i="8"/>
  <c r="A952" i="8"/>
  <c r="A1445" i="8"/>
  <c r="A2149" i="8"/>
  <c r="A1559" i="8"/>
  <c r="A1822" i="8"/>
  <c r="A2278" i="8"/>
  <c r="A2687" i="8"/>
  <c r="A1456" i="8"/>
  <c r="A1239" i="8"/>
  <c r="A811" i="8"/>
  <c r="A2538" i="8"/>
  <c r="A886" i="8"/>
  <c r="A2924" i="8"/>
  <c r="A944" i="8"/>
  <c r="A353" i="8"/>
  <c r="A1246" i="8"/>
  <c r="A1448" i="8"/>
  <c r="A1118" i="8"/>
  <c r="A1499" i="8"/>
  <c r="A323" i="8"/>
  <c r="A3026" i="8"/>
  <c r="A1521" i="8"/>
  <c r="A429" i="8"/>
  <c r="A1053" i="8"/>
  <c r="A506" i="8"/>
  <c r="A157" i="8"/>
  <c r="A833" i="8"/>
  <c r="A367" i="8"/>
  <c r="A990" i="8"/>
  <c r="A2223" i="8"/>
  <c r="A2982" i="8"/>
  <c r="A1447" i="8"/>
  <c r="A1443" i="8"/>
  <c r="A2137" i="8"/>
  <c r="A2086" i="8"/>
  <c r="A2904" i="8"/>
  <c r="A1576" i="8"/>
  <c r="A1349" i="8"/>
  <c r="A689" i="8"/>
  <c r="A538" i="8"/>
  <c r="A1013" i="8"/>
  <c r="A593" i="8"/>
  <c r="A2465" i="8"/>
  <c r="A894" i="8"/>
  <c r="A2891" i="8"/>
  <c r="A2192" i="8"/>
  <c r="A1387" i="8"/>
  <c r="A1565" i="8"/>
  <c r="A1213" i="8"/>
  <c r="A1294" i="8"/>
  <c r="A1371" i="8"/>
  <c r="A809" i="8"/>
  <c r="A1462" i="8"/>
  <c r="A527" i="8"/>
  <c r="A767" i="8"/>
  <c r="A2395" i="8"/>
  <c r="A1851" i="8"/>
  <c r="A1515" i="8"/>
  <c r="A706" i="8"/>
  <c r="A2829" i="8"/>
  <c r="A1610" i="8"/>
  <c r="A517" i="8"/>
  <c r="A264" i="8"/>
  <c r="A343" i="8"/>
  <c r="A2860" i="8"/>
  <c r="A1311" i="8"/>
  <c r="A2626" i="8"/>
  <c r="A663" i="8"/>
  <c r="A1531" i="8"/>
  <c r="A338" i="8"/>
  <c r="A1863" i="8"/>
  <c r="A1848" i="8"/>
  <c r="A1283" i="8"/>
  <c r="A1820" i="8"/>
  <c r="A1829" i="8"/>
  <c r="A2862" i="8"/>
  <c r="A1069" i="8"/>
  <c r="A1928" i="8"/>
  <c r="A904" i="8"/>
  <c r="A1219" i="8"/>
  <c r="A640" i="8"/>
  <c r="A637" i="8"/>
  <c r="A1243" i="8"/>
  <c r="A2322" i="8"/>
  <c r="A1194" i="8"/>
  <c r="A510" i="8"/>
  <c r="A2262" i="8"/>
  <c r="A2123" i="8"/>
  <c r="A1320" i="8"/>
  <c r="A2300" i="8"/>
  <c r="A1211" i="8"/>
  <c r="A1207" i="8"/>
  <c r="A1203" i="8"/>
  <c r="A3042" i="8"/>
  <c r="A563" i="8"/>
  <c r="A482" i="8"/>
  <c r="A1459" i="8"/>
  <c r="A1865" i="8"/>
  <c r="A1561" i="8"/>
  <c r="A349" i="8"/>
  <c r="A3052" i="8"/>
  <c r="A772" i="8"/>
  <c r="A230" i="8"/>
  <c r="A688" i="8"/>
  <c r="A769" i="8"/>
  <c r="A2753" i="8"/>
  <c r="A1573" i="8"/>
  <c r="A1052" i="8"/>
  <c r="A1542" i="8"/>
  <c r="A617" i="8"/>
  <c r="A1131" i="8"/>
  <c r="A1783" i="8"/>
  <c r="A2328" i="8"/>
  <c r="A1552" i="8"/>
  <c r="A1782" i="8"/>
  <c r="A646" i="8"/>
  <c r="A744" i="8"/>
  <c r="A993" i="8"/>
  <c r="A1099" i="8"/>
  <c r="A240" i="8"/>
  <c r="A1091" i="8"/>
  <c r="A1915" i="8"/>
  <c r="A2716" i="8"/>
  <c r="A666" i="8"/>
  <c r="A134" i="8"/>
  <c r="A417" i="8"/>
  <c r="A7" i="8"/>
  <c r="A360" i="8"/>
  <c r="A590" i="8"/>
  <c r="A1055" i="8"/>
  <c r="A1731" i="8"/>
  <c r="A1047" i="8"/>
  <c r="A390" i="8"/>
  <c r="A620" i="8"/>
  <c r="A2897" i="8"/>
  <c r="A331" i="8"/>
  <c r="A1027" i="8"/>
  <c r="A243" i="8"/>
  <c r="A2756" i="8"/>
  <c r="A1893" i="8"/>
  <c r="A1253" i="8"/>
  <c r="A1698" i="8"/>
  <c r="A528" i="8"/>
  <c r="A1093" i="8"/>
  <c r="A989" i="8"/>
  <c r="A1852" i="8"/>
  <c r="A929" i="8"/>
  <c r="A2984" i="8"/>
  <c r="A589" i="8"/>
  <c r="A612" i="8"/>
  <c r="A2855" i="8"/>
  <c r="A2496" i="8"/>
  <c r="A1998" i="8"/>
  <c r="A834" i="8"/>
  <c r="A955" i="8"/>
  <c r="A45" i="8"/>
  <c r="A351" i="8"/>
  <c r="A2559" i="8"/>
  <c r="A1105" i="8"/>
  <c r="A655" i="8"/>
  <c r="A3034" i="8"/>
  <c r="A927" i="8"/>
  <c r="A1821" i="8"/>
  <c r="A1839" i="8"/>
  <c r="A532" i="8"/>
  <c r="A2207" i="8"/>
  <c r="A983" i="8"/>
  <c r="A852" i="8"/>
  <c r="A2195" i="8"/>
  <c r="A896" i="8"/>
  <c r="A37" i="8"/>
  <c r="A2905" i="8"/>
  <c r="A602" i="8"/>
  <c r="A1702" i="8"/>
  <c r="A167" i="8"/>
  <c r="A3032" i="8"/>
  <c r="A868" i="8"/>
  <c r="A1407" i="8"/>
  <c r="A956" i="8"/>
  <c r="A2426" i="8"/>
  <c r="A1139" i="8"/>
  <c r="A1624" i="8"/>
  <c r="A497" i="8"/>
  <c r="A2923" i="8"/>
  <c r="A836" i="8"/>
  <c r="A2810" i="8"/>
  <c r="A1921" i="8"/>
  <c r="A824" i="8"/>
  <c r="A667" i="8"/>
  <c r="A196" i="8"/>
  <c r="A3023" i="8"/>
  <c r="A808" i="8"/>
  <c r="A2790" i="8"/>
  <c r="A800" i="8"/>
  <c r="A932" i="8"/>
  <c r="A792" i="8"/>
  <c r="A797" i="8"/>
  <c r="A1733" i="8"/>
  <c r="A1508" i="8"/>
  <c r="A2947" i="8"/>
  <c r="A525" i="8"/>
  <c r="A62" i="8"/>
  <c r="A971" i="8"/>
  <c r="A435" i="8"/>
  <c r="A22" i="8"/>
  <c r="A446" i="8"/>
  <c r="A111" i="8"/>
  <c r="A238" i="8"/>
  <c r="A199" i="8"/>
  <c r="A29" i="8"/>
  <c r="A256" i="8"/>
  <c r="A1792" i="8"/>
  <c r="A2404" i="8"/>
  <c r="A720" i="8"/>
  <c r="A480" i="8"/>
  <c r="A1241" i="8"/>
  <c r="A918" i="8"/>
  <c r="A1191" i="8"/>
  <c r="A700" i="8"/>
  <c r="A2474" i="8"/>
  <c r="A2165" i="8"/>
  <c r="A475" i="8"/>
  <c r="A780" i="8"/>
  <c r="A2820" i="8"/>
  <c r="A742" i="8"/>
  <c r="A2534" i="8"/>
  <c r="A1370" i="8"/>
  <c r="A2125" i="8"/>
  <c r="A2597" i="8"/>
  <c r="A1031" i="8"/>
  <c r="A2704" i="8"/>
  <c r="A1423" i="8"/>
  <c r="A161" i="8"/>
  <c r="A2282" i="8"/>
  <c r="A1908" i="8"/>
  <c r="A1574" i="8"/>
  <c r="A1050" i="8"/>
  <c r="A2952" i="8"/>
  <c r="A1835" i="8"/>
  <c r="A844" i="8"/>
  <c r="A2783" i="8"/>
  <c r="A50" i="8"/>
  <c r="A1368" i="8"/>
  <c r="A1558" i="8"/>
  <c r="A1298" i="8"/>
  <c r="A126" i="8"/>
  <c r="A1290" i="8"/>
  <c r="A2408" i="8"/>
  <c r="A614" i="8"/>
  <c r="A2310" i="8"/>
  <c r="A2800" i="8"/>
  <c r="A653" i="8"/>
  <c r="A1160" i="8"/>
  <c r="A1172" i="8"/>
  <c r="A2789" i="8"/>
  <c r="A799" i="8"/>
  <c r="A754" i="8"/>
  <c r="A2528" i="8"/>
  <c r="A1695" i="8"/>
  <c r="A391" i="8"/>
  <c r="A335" i="8"/>
  <c r="A1692" i="8"/>
  <c r="A623" i="8"/>
  <c r="A2795" i="8"/>
  <c r="A1119" i="8"/>
  <c r="A604" i="8"/>
  <c r="A2803" i="8"/>
  <c r="A2779" i="8"/>
  <c r="A701" i="8"/>
  <c r="A270" i="8"/>
  <c r="A705" i="8"/>
  <c r="A2245" i="8"/>
  <c r="A1710" i="8"/>
  <c r="A1738" i="8"/>
  <c r="A1178" i="8"/>
  <c r="A1174" i="8"/>
  <c r="A1054" i="8"/>
  <c r="A1166" i="8"/>
  <c r="A1080" i="8"/>
  <c r="A1158" i="8"/>
  <c r="A2340" i="8"/>
  <c r="A1150" i="8"/>
  <c r="A2998" i="8"/>
  <c r="A195" i="8"/>
  <c r="A1436" i="8"/>
  <c r="A1120" i="8"/>
  <c r="A2822" i="8"/>
  <c r="A2642" i="8"/>
  <c r="A1122" i="8"/>
  <c r="A2355" i="8"/>
  <c r="A2996" i="8"/>
  <c r="A803" i="8"/>
  <c r="A473" i="8"/>
  <c r="A376" i="8"/>
  <c r="A1640" i="8"/>
  <c r="A2721" i="8"/>
  <c r="A1104" i="8"/>
  <c r="A2150" i="8"/>
  <c r="A1025" i="8"/>
  <c r="A1078" i="8"/>
  <c r="A1117" i="8"/>
  <c r="A1577" i="8"/>
  <c r="A1885" i="8"/>
  <c r="A1784" i="8"/>
  <c r="A368" i="8"/>
  <c r="A213" i="8"/>
  <c r="A222" i="8"/>
  <c r="A2539" i="8"/>
  <c r="A2049" i="8"/>
  <c r="A2676" i="8"/>
  <c r="A2563" i="8"/>
  <c r="A2029" i="8"/>
  <c r="A1026" i="8"/>
  <c r="A2295" i="8"/>
  <c r="A949" i="8"/>
  <c r="A1310" i="8"/>
  <c r="A2146" i="8"/>
  <c r="A943" i="8"/>
  <c r="A1427" i="8"/>
  <c r="A1525" i="8"/>
  <c r="A2481" i="8"/>
  <c r="A2581" i="8"/>
  <c r="A986" i="8"/>
  <c r="A1654" i="8"/>
  <c r="A2421" i="8"/>
  <c r="A1797" i="8"/>
  <c r="A2231" i="8"/>
  <c r="A980" i="8"/>
  <c r="A2595" i="8"/>
  <c r="A2452" i="8"/>
  <c r="A281" i="8"/>
  <c r="A263" i="8"/>
  <c r="A2394" i="8"/>
  <c r="A656" i="8"/>
  <c r="A258" i="8"/>
  <c r="A917" i="8"/>
  <c r="A461" i="8"/>
  <c r="A498" i="8"/>
  <c r="A389" i="8"/>
  <c r="A660" i="8"/>
  <c r="A560" i="8"/>
  <c r="A216" i="8"/>
  <c r="A2486" i="8"/>
  <c r="A903" i="8"/>
  <c r="A1868" i="8"/>
  <c r="A451" i="8"/>
  <c r="A704" i="8"/>
  <c r="A887" i="8"/>
  <c r="A2318" i="8"/>
  <c r="A2510" i="8"/>
  <c r="A548" i="8"/>
  <c r="A245" i="8"/>
  <c r="A371" i="8"/>
  <c r="A732" i="8"/>
  <c r="A2627" i="8"/>
  <c r="A301" i="8"/>
  <c r="A1353" i="8"/>
  <c r="A847" i="8"/>
  <c r="A449" i="8"/>
  <c r="A2118" i="8"/>
  <c r="A1882" i="8"/>
  <c r="A831" i="8"/>
  <c r="A827" i="8"/>
  <c r="A823" i="8"/>
  <c r="A2700" i="8"/>
  <c r="A328" i="8"/>
  <c r="A1000" i="8"/>
  <c r="A2971" i="8"/>
  <c r="A1877" i="8"/>
  <c r="A143" i="8"/>
  <c r="A795" i="8"/>
  <c r="A791" i="8"/>
  <c r="A1913" i="8"/>
  <c r="A570" i="8"/>
  <c r="A330" i="8"/>
  <c r="A326" i="8"/>
  <c r="A2080" i="8"/>
  <c r="A193" i="8"/>
  <c r="A945" i="8"/>
  <c r="A870" i="8"/>
  <c r="A177" i="8"/>
  <c r="A751" i="8"/>
  <c r="A476" i="8"/>
  <c r="A743" i="8"/>
  <c r="A1589" i="8"/>
  <c r="A1487" i="8"/>
  <c r="A603" i="8"/>
  <c r="A673" i="8"/>
  <c r="A723" i="8"/>
  <c r="A719" i="8"/>
  <c r="A398" i="8"/>
  <c r="A2174" i="8"/>
  <c r="A947" i="8"/>
  <c r="A124" i="8"/>
  <c r="A699" i="8"/>
  <c r="A954" i="8"/>
  <c r="A2353" i="8"/>
  <c r="A1024" i="8"/>
  <c r="A332" i="8"/>
  <c r="A184" i="8"/>
  <c r="A3036" i="8"/>
  <c r="A1376" i="8"/>
  <c r="A60" i="8"/>
  <c r="A1621" i="8"/>
  <c r="A659" i="8"/>
  <c r="A861" i="8"/>
  <c r="A1017" i="8"/>
  <c r="A2378" i="8"/>
  <c r="A1584" i="8"/>
  <c r="A471" i="8"/>
  <c r="A635" i="8"/>
  <c r="A632" i="8"/>
  <c r="A816" i="8"/>
  <c r="A1417" i="8"/>
  <c r="A552" i="8"/>
  <c r="A411" i="8"/>
  <c r="A1721" i="8"/>
  <c r="A1428" i="8"/>
  <c r="A1649" i="8"/>
  <c r="A305" i="8"/>
  <c r="A520" i="8"/>
  <c r="A1622" i="8"/>
  <c r="A82" i="8"/>
  <c r="A384" i="8"/>
  <c r="A2000" i="8"/>
  <c r="A303" i="8"/>
  <c r="A169" i="8"/>
  <c r="A293" i="8"/>
  <c r="A477" i="8"/>
  <c r="A133" i="8"/>
  <c r="A439" i="8"/>
  <c r="A1494" i="8"/>
  <c r="A2308" i="8"/>
  <c r="A1095" i="8"/>
  <c r="A518" i="8"/>
  <c r="A2755" i="8"/>
  <c r="A564" i="8"/>
  <c r="A2067" i="8"/>
  <c r="A1572" i="8"/>
  <c r="A920" i="8"/>
  <c r="A1065" i="8"/>
  <c r="A2242" i="8"/>
  <c r="A963" i="8"/>
  <c r="A283" i="8"/>
  <c r="A1124" i="8"/>
  <c r="A2274" i="8"/>
  <c r="A1975" i="8"/>
  <c r="A41" i="8"/>
  <c r="A662" i="8"/>
  <c r="A130" i="8"/>
  <c r="A1911" i="8"/>
  <c r="A1028" i="8"/>
  <c r="A731" i="8"/>
  <c r="A204" i="8"/>
  <c r="A1299" i="8"/>
  <c r="A248" i="8"/>
  <c r="A2858" i="8"/>
  <c r="A825" i="8"/>
  <c r="A558" i="8"/>
  <c r="A2292" i="8"/>
  <c r="A874" i="8"/>
  <c r="A97" i="8"/>
  <c r="A420" i="8"/>
  <c r="A493" i="8"/>
  <c r="A2470" i="8"/>
  <c r="A2490" i="8"/>
  <c r="A1043" i="8"/>
  <c r="A3084" i="8"/>
  <c r="A2168" i="8"/>
  <c r="A112" i="8"/>
  <c r="A2004" i="8"/>
  <c r="A2169" i="8"/>
  <c r="A387" i="8"/>
  <c r="A626" i="8"/>
  <c r="A1550" i="8"/>
  <c r="A2454" i="8"/>
  <c r="A192" i="8"/>
  <c r="A988" i="8"/>
  <c r="A2972" i="8"/>
  <c r="A416" i="8"/>
  <c r="A1101" i="8"/>
  <c r="A453" i="8"/>
  <c r="A1206" i="8"/>
  <c r="A1961" i="8"/>
  <c r="A634" i="8"/>
  <c r="A2907" i="8"/>
  <c r="A1641" i="8"/>
  <c r="A414" i="8"/>
  <c r="A40" i="8"/>
  <c r="A319" i="8"/>
  <c r="A57" i="8"/>
  <c r="A155" i="8"/>
  <c r="A307" i="8"/>
  <c r="A401" i="8"/>
  <c r="A67" i="8"/>
  <c r="A2702" i="8"/>
  <c r="A2709" i="8"/>
  <c r="A261" i="8"/>
  <c r="A372" i="8"/>
  <c r="A2176" i="8"/>
  <c r="A275" i="8"/>
  <c r="A2545" i="8"/>
  <c r="A1665" i="8"/>
  <c r="A2741" i="8"/>
  <c r="A259" i="8"/>
  <c r="A1522" i="8"/>
  <c r="A2298" i="8"/>
  <c r="A559" i="8"/>
  <c r="A2200" i="8"/>
  <c r="A442" i="8"/>
  <c r="A1548" i="8"/>
  <c r="A950" i="8"/>
  <c r="A337" i="8"/>
  <c r="A692" i="8"/>
  <c r="A219" i="8"/>
  <c r="A627" i="8"/>
  <c r="A211" i="8"/>
  <c r="A207" i="8"/>
  <c r="A1847" i="8"/>
  <c r="A20" i="8"/>
  <c r="A888" i="8"/>
  <c r="A2235" i="8"/>
  <c r="A975" i="8"/>
  <c r="A183" i="8"/>
  <c r="A369" i="8"/>
  <c r="A100" i="8"/>
  <c r="A1405" i="8"/>
  <c r="A537" i="8"/>
  <c r="A1289" i="8"/>
  <c r="A1493" i="8"/>
  <c r="A2519" i="8"/>
  <c r="A151" i="8"/>
  <c r="A147" i="8"/>
  <c r="A215" i="8"/>
  <c r="A139" i="8"/>
  <c r="A1296" i="8"/>
  <c r="A131" i="8"/>
  <c r="A127" i="8"/>
  <c r="A123" i="8"/>
  <c r="A119" i="8"/>
  <c r="A1977" i="8"/>
  <c r="A2400" i="8"/>
  <c r="A2205" i="8"/>
  <c r="A2206" i="8"/>
  <c r="A1435" i="8"/>
  <c r="A472" i="8"/>
  <c r="A1092" i="8"/>
  <c r="A1746" i="8"/>
  <c r="A83" i="8"/>
  <c r="A1888" i="8"/>
  <c r="A10" i="8"/>
  <c r="A981" i="8"/>
  <c r="A406" i="8"/>
  <c r="A64" i="8"/>
  <c r="A59" i="8"/>
  <c r="A2088" i="8"/>
  <c r="A48" i="8"/>
  <c r="A44" i="8"/>
  <c r="A160" i="8"/>
  <c r="A292" i="8"/>
  <c r="A2422" i="8"/>
  <c r="A1088" i="8"/>
  <c r="A969" i="8"/>
  <c r="A2986" i="8"/>
  <c r="A2280" i="8"/>
  <c r="A522" i="8"/>
  <c r="A336" i="8"/>
  <c r="A730" i="8"/>
  <c r="A2147" i="8"/>
  <c r="A1613" i="8"/>
  <c r="A1107" i="8"/>
  <c r="A2405" i="8"/>
  <c r="A2410" i="8"/>
  <c r="A1127" i="8"/>
  <c r="A2981" i="8"/>
  <c r="A629" i="8"/>
  <c r="A721" i="8"/>
  <c r="A830" i="8"/>
  <c r="A2372" i="8"/>
  <c r="A2301" i="8"/>
  <c r="A1760" i="8"/>
  <c r="A722" i="8"/>
  <c r="A225" i="8"/>
  <c r="A2840" i="8"/>
  <c r="A2844" i="8"/>
  <c r="A592" i="8"/>
  <c r="A902" i="8"/>
  <c r="A2096" i="8"/>
  <c r="A1016" i="8"/>
  <c r="A1112" i="8"/>
  <c r="A208" i="8"/>
  <c r="A348" i="8"/>
  <c r="A235" i="8"/>
  <c r="A996" i="8"/>
  <c r="A838" i="8"/>
  <c r="A1007" i="8"/>
  <c r="A462" i="8"/>
  <c r="A1084" i="8"/>
  <c r="A2983" i="8"/>
  <c r="A2208" i="8"/>
  <c r="A2016" i="8"/>
  <c r="A810" i="8"/>
  <c r="A806" i="8"/>
  <c r="A802" i="8"/>
  <c r="A308" i="8"/>
  <c r="A591" i="8"/>
  <c r="A582" i="8"/>
  <c r="A2124" i="8"/>
  <c r="A2711" i="8"/>
  <c r="A778" i="8"/>
  <c r="A2046" i="8"/>
  <c r="A782" i="8"/>
  <c r="A2267" i="8"/>
  <c r="A310" i="8"/>
  <c r="A232" i="8"/>
  <c r="A110" i="8"/>
  <c r="A750" i="8"/>
  <c r="A2989" i="8"/>
  <c r="A179" i="8"/>
  <c r="A738" i="8"/>
  <c r="A588" i="8"/>
  <c r="A66" i="8"/>
  <c r="A726" i="8"/>
  <c r="A997" i="8"/>
  <c r="A2759" i="8"/>
  <c r="A714" i="8"/>
  <c r="A1362" i="8"/>
  <c r="A2164" i="8"/>
  <c r="A702" i="8"/>
  <c r="A908" i="8"/>
  <c r="A345" i="8"/>
  <c r="A1823" i="8"/>
  <c r="A159" i="8"/>
  <c r="A2885" i="8"/>
  <c r="A1802" i="8"/>
  <c r="A1286" i="8"/>
  <c r="A670" i="8"/>
  <c r="A1361" i="8"/>
  <c r="A737" i="8"/>
  <c r="A6" i="8"/>
  <c r="A2654" i="8"/>
  <c r="A1866" i="8"/>
  <c r="A237" i="8"/>
  <c r="A182" i="8"/>
  <c r="A175" i="8"/>
  <c r="A484" i="8"/>
  <c r="A383" i="8"/>
  <c r="A1814" i="8"/>
  <c r="A2674" i="8"/>
  <c r="A562" i="8"/>
  <c r="A2807" i="8"/>
  <c r="A1974" i="8"/>
  <c r="A2356" i="8"/>
  <c r="A188" i="8"/>
  <c r="A2694" i="8"/>
  <c r="A1612" i="8"/>
  <c r="A1689" i="8"/>
  <c r="A3073" i="8"/>
  <c r="A1006" i="8"/>
  <c r="A26" i="8"/>
  <c r="A1824" i="8"/>
  <c r="A707" i="8"/>
  <c r="A2874" i="8"/>
  <c r="A253" i="8"/>
  <c r="A979" i="8"/>
  <c r="A3010" i="8"/>
  <c r="A71" i="8"/>
  <c r="A1079" i="8"/>
  <c r="A953" i="8"/>
  <c r="A313" i="8"/>
  <c r="A1103" i="8"/>
  <c r="A107" i="8"/>
  <c r="A423" i="8"/>
  <c r="A790" i="8"/>
  <c r="A2240" i="8"/>
  <c r="A2527" i="8"/>
  <c r="A431" i="8"/>
  <c r="A716" i="8"/>
  <c r="A2225" i="8"/>
  <c r="A2022" i="8"/>
  <c r="A2765" i="8"/>
  <c r="A687" i="8"/>
  <c r="A370" i="8"/>
  <c r="A507" i="8"/>
  <c r="A190" i="8"/>
  <c r="A251" i="8"/>
  <c r="A2757" i="8"/>
  <c r="A2570" i="8"/>
  <c r="A621" i="8"/>
  <c r="A1468" i="8"/>
  <c r="A454" i="8"/>
  <c r="A784" i="8"/>
  <c r="A2357" i="8"/>
  <c r="A1318" i="8"/>
  <c r="A1551" i="8"/>
  <c r="A3090" i="8"/>
  <c r="A2762" i="8"/>
  <c r="A753" i="8"/>
  <c r="A1012" i="8"/>
  <c r="A418" i="8"/>
  <c r="A1503" i="8"/>
  <c r="A1125" i="8"/>
  <c r="A1837" i="8"/>
  <c r="A399" i="8"/>
  <c r="A2090" i="8"/>
  <c r="A2727" i="8"/>
  <c r="A76" i="8"/>
  <c r="A2726" i="8"/>
  <c r="A942" i="8"/>
  <c r="A2715" i="8"/>
  <c r="A374" i="8"/>
  <c r="A638" i="8"/>
  <c r="A72" i="8"/>
  <c r="A396" i="8"/>
  <c r="A579" i="8"/>
  <c r="A354" i="8"/>
  <c r="A1795" i="8"/>
  <c r="A288" i="8"/>
  <c r="A2376" i="8"/>
  <c r="A1539" i="8"/>
  <c r="A334" i="8"/>
  <c r="A2969" i="8"/>
  <c r="A200" i="8"/>
  <c r="A74" i="8"/>
  <c r="A2007" i="8"/>
  <c r="A1933" i="8"/>
  <c r="A2131" i="8"/>
  <c r="A1019" i="8"/>
  <c r="A2601" i="8"/>
  <c r="A117" i="8"/>
  <c r="A1907" i="8"/>
  <c r="A2365" i="8"/>
  <c r="A684" i="8"/>
  <c r="A596" i="8"/>
  <c r="A850" i="8"/>
  <c r="A478" i="8"/>
  <c r="A812" i="8"/>
  <c r="A1513" i="8"/>
  <c r="A421" i="8"/>
  <c r="A2305" i="8"/>
  <c r="A254" i="8"/>
  <c r="A1341" i="8"/>
  <c r="A550" i="8"/>
  <c r="A242" i="8"/>
  <c r="A15" i="8"/>
  <c r="A545" i="8"/>
  <c r="A1295" i="8"/>
  <c r="A290" i="8"/>
  <c r="A1129" i="8"/>
  <c r="A9" i="8"/>
  <c r="A214" i="8"/>
  <c r="A210" i="8"/>
  <c r="A402" i="8"/>
  <c r="A2121" i="8"/>
  <c r="A2857" i="8"/>
  <c r="A187" i="8"/>
  <c r="A2419" i="8"/>
  <c r="A2826" i="8"/>
  <c r="A1323" i="8"/>
  <c r="A2370" i="8"/>
  <c r="A174" i="8"/>
  <c r="A381" i="8"/>
  <c r="A43" i="8"/>
  <c r="A1946" i="8"/>
  <c r="A3068" i="8"/>
  <c r="A447" i="8"/>
  <c r="A150" i="8"/>
  <c r="A1399" i="8"/>
  <c r="A142" i="8"/>
  <c r="A56" i="8"/>
  <c r="A2988" i="8"/>
  <c r="A843" i="8"/>
  <c r="A907" i="8"/>
  <c r="A173" i="8"/>
  <c r="A118" i="8"/>
  <c r="A1956" i="8"/>
  <c r="A736" i="8"/>
  <c r="A106" i="8"/>
  <c r="A102" i="8"/>
  <c r="A2895" i="8"/>
  <c r="A1314" i="8"/>
  <c r="A1523" i="8"/>
  <c r="A2209" i="8"/>
  <c r="A172" i="8"/>
  <c r="A78" i="8"/>
  <c r="A2462" i="8"/>
  <c r="A380" i="8"/>
  <c r="A879" i="8"/>
  <c r="A61" i="8"/>
  <c r="A58" i="8"/>
  <c r="A2708" i="8"/>
  <c r="A51" i="8"/>
  <c r="A47" i="8"/>
  <c r="A1924" i="8"/>
  <c r="A39" i="8"/>
  <c r="A35" i="8"/>
  <c r="A31" i="8"/>
  <c r="A1144" i="8"/>
  <c r="A23" i="8"/>
  <c r="A1340" i="8"/>
  <c r="A2912" i="8"/>
  <c r="A2483" i="8"/>
  <c r="A1132" i="8"/>
  <c r="A2495" i="8"/>
  <c r="A1700" i="8"/>
  <c r="A120" i="8"/>
  <c r="A1718" i="8"/>
  <c r="A991" i="8"/>
  <c r="A309" i="8"/>
  <c r="A854" i="8"/>
  <c r="A1111" i="8"/>
  <c r="A598" i="8"/>
  <c r="A469" i="8"/>
  <c r="A2349" i="8"/>
  <c r="A2180" i="8"/>
  <c r="A241" i="8"/>
  <c r="A1471" i="8"/>
  <c r="A3055" i="8"/>
  <c r="A534" i="8"/>
  <c r="A913" i="8"/>
  <c r="A909" i="8"/>
  <c r="A905" i="8"/>
  <c r="A901" i="8"/>
  <c r="A3016" i="8"/>
  <c r="A2079" i="8"/>
  <c r="A1141" i="8"/>
  <c r="A2054" i="8"/>
  <c r="A1002" i="8"/>
  <c r="A1269" i="8"/>
  <c r="A227" i="8"/>
  <c r="A2360" i="8"/>
  <c r="A937" i="8"/>
  <c r="A164" i="8"/>
  <c r="A857" i="8"/>
  <c r="A853" i="8"/>
  <c r="A1707" i="8"/>
  <c r="A845" i="8"/>
  <c r="A841" i="8"/>
  <c r="A457" i="8"/>
  <c r="A1287" i="8"/>
  <c r="A829" i="8"/>
  <c r="A1917" i="8"/>
  <c r="A205" i="8"/>
  <c r="A526" i="8"/>
  <c r="A2748" i="8"/>
  <c r="A2314" i="8"/>
  <c r="A1516" i="8"/>
  <c r="A801" i="8"/>
  <c r="A2290" i="8"/>
  <c r="A1365" i="8"/>
  <c r="A652" i="8"/>
  <c r="A785" i="8"/>
  <c r="A2401" i="8"/>
  <c r="A2511" i="8"/>
  <c r="A1843" i="8"/>
  <c r="A2197" i="8"/>
  <c r="A765" i="8"/>
  <c r="A178" i="8"/>
  <c r="A757" i="8"/>
  <c r="A690" i="8"/>
  <c r="A1057" i="8"/>
  <c r="A1497" i="8"/>
  <c r="A679" i="8"/>
  <c r="A1762" i="8"/>
  <c r="A733" i="8"/>
  <c r="A729" i="8"/>
  <c r="A2535" i="8"/>
  <c r="A412" i="8"/>
  <c r="A2587" i="8"/>
  <c r="A1015" i="8"/>
  <c r="A2836" i="8"/>
  <c r="A2575" i="8"/>
  <c r="A1631" i="8"/>
  <c r="A408" i="8"/>
  <c r="A1601" i="8"/>
  <c r="A934" i="8"/>
  <c r="A1234" i="8"/>
  <c r="A912" i="8"/>
  <c r="A677" i="8"/>
  <c r="A229" i="8"/>
  <c r="A608" i="8"/>
  <c r="A278" i="8"/>
  <c r="A2024" i="8"/>
  <c r="A1894" i="8"/>
  <c r="A718" i="8"/>
  <c r="A2770" i="8"/>
  <c r="A3033" i="8"/>
  <c r="A34" i="8"/>
  <c r="A162" i="8"/>
  <c r="A185" i="8"/>
  <c r="A468" i="8"/>
  <c r="A556" i="8"/>
  <c r="A65" i="8"/>
  <c r="A154" i="8"/>
  <c r="A1326" i="8"/>
  <c r="A2247" i="8"/>
  <c r="A964" i="8"/>
  <c r="A1902" i="8"/>
  <c r="A789" i="8"/>
  <c r="A466" i="8"/>
  <c r="A2588" i="8"/>
  <c r="A1742" i="8"/>
  <c r="A512" i="8"/>
  <c r="A2393" i="8"/>
  <c r="A1540" i="8"/>
  <c r="A75" i="8"/>
  <c r="A661" i="8"/>
  <c r="A1364" i="8"/>
  <c r="A529" i="8"/>
  <c r="A129" i="8"/>
  <c r="A747" i="8"/>
  <c r="A977" i="8"/>
  <c r="A777" i="8"/>
  <c r="A1475" i="8"/>
  <c r="A489" i="8"/>
  <c r="A2475" i="8"/>
  <c r="A311" i="8"/>
  <c r="A1811" i="8"/>
  <c r="A1108" i="8"/>
  <c r="A1437" i="8"/>
  <c r="A1058" i="8"/>
  <c r="A883" i="8"/>
  <c r="A265" i="8"/>
  <c r="A978" i="8"/>
  <c r="A2098" i="8"/>
  <c r="A2959" i="8"/>
  <c r="A3" i="8"/>
  <c r="A432" i="8"/>
  <c r="A1968" i="8"/>
  <c r="A1457" i="8"/>
  <c r="A272" i="8"/>
  <c r="A1143" i="8"/>
  <c r="A1233" i="8"/>
  <c r="A2215" i="8"/>
  <c r="A711" i="8"/>
  <c r="A282" i="8"/>
  <c r="A445" i="8"/>
  <c r="A224" i="8"/>
  <c r="A437" i="8"/>
  <c r="A680" i="8"/>
  <c r="A948" i="8"/>
  <c r="A1755" i="8"/>
  <c r="A1864" i="8"/>
  <c r="A1438" i="8"/>
  <c r="A2042" i="8"/>
  <c r="A409" i="8"/>
  <c r="A2585" i="8"/>
  <c r="A681" i="8"/>
  <c r="A413" i="8"/>
  <c r="A295" i="8"/>
  <c r="A569" i="8"/>
  <c r="A880" i="8"/>
  <c r="A87" i="8"/>
  <c r="A163" i="8"/>
  <c r="A898" i="8"/>
  <c r="A114" i="8"/>
  <c r="A365" i="8"/>
  <c r="A972" i="8"/>
  <c r="A2963" i="8"/>
  <c r="A410" i="8"/>
  <c r="A2920" i="8"/>
  <c r="A654" i="8"/>
  <c r="A766" i="8"/>
  <c r="A467" i="8"/>
  <c r="A2591" i="8"/>
  <c r="A3008" i="8"/>
  <c r="A206" i="8"/>
  <c r="A92" i="8"/>
  <c r="A317" i="8"/>
  <c r="A628" i="8"/>
  <c r="A1781" i="8"/>
  <c r="A2617" i="8"/>
  <c r="A2154" i="8"/>
  <c r="A1723" i="8"/>
  <c r="A755" i="8"/>
  <c r="A1467" i="8"/>
  <c r="A1134" i="8"/>
  <c r="A1685" i="8"/>
  <c r="A2867" i="8"/>
  <c r="A1543" i="8"/>
  <c r="A674" i="8"/>
  <c r="A2380" i="8"/>
  <c r="A762" i="8"/>
  <c r="A1009" i="8"/>
  <c r="A2607" i="8"/>
  <c r="A436" i="8"/>
  <c r="A1195" i="8"/>
  <c r="A247" i="8"/>
  <c r="A363" i="8"/>
  <c r="A233" i="8"/>
  <c r="A201" i="8"/>
  <c r="A595" i="8"/>
  <c r="A668" i="8"/>
  <c r="A217" i="8"/>
  <c r="A2930" i="8"/>
  <c r="A209" i="8"/>
  <c r="A2941" i="8"/>
  <c r="A613" i="8"/>
  <c r="A197" i="8"/>
  <c r="A397" i="8"/>
  <c r="A1181" i="8"/>
  <c r="A464" i="8"/>
  <c r="A158" i="8"/>
  <c r="A1486" i="8"/>
  <c r="A28" i="8"/>
  <c r="A2429" i="8"/>
  <c r="A2381" i="8"/>
  <c r="A53" i="8"/>
  <c r="A388" i="8"/>
  <c r="A153" i="8"/>
  <c r="A149" i="8"/>
  <c r="A2005" i="8"/>
  <c r="A2229" i="8"/>
  <c r="A1266" i="8"/>
  <c r="A1247" i="8"/>
  <c r="A2659" i="8"/>
  <c r="A470" i="8"/>
  <c r="A1449" i="8"/>
  <c r="A79" i="8"/>
  <c r="A113" i="8"/>
  <c r="A1163" i="8"/>
  <c r="A2303" i="8"/>
  <c r="A101" i="8"/>
  <c r="A906" i="8"/>
  <c r="A1873" i="8"/>
  <c r="A194" i="8"/>
  <c r="A85" i="8"/>
  <c r="A128" i="8"/>
  <c r="A77" i="8"/>
  <c r="A73" i="8"/>
  <c r="A2999" i="8"/>
  <c r="A63" i="8"/>
  <c r="A773" i="8"/>
  <c r="A1254" i="8"/>
  <c r="A54" i="8"/>
  <c r="A70" i="8"/>
  <c r="A2427" i="8"/>
  <c r="A42" i="8"/>
  <c r="A170" i="8"/>
  <c r="A364" i="8"/>
  <c r="A30" i="8"/>
  <c r="A1720" i="8"/>
  <c r="A970" i="8"/>
  <c r="A18" i="8"/>
  <c r="A14" i="8"/>
  <c r="A2312" i="8"/>
  <c r="A2815" i="8"/>
  <c r="A189" i="8"/>
  <c r="A1626" i="8"/>
  <c r="A2956" i="8"/>
  <c r="A557" i="8"/>
  <c r="A1708" i="8"/>
  <c r="A1037" i="8"/>
  <c r="A865" i="8"/>
  <c r="A2927" i="8"/>
  <c r="A81" i="8"/>
  <c r="A2467" i="8"/>
  <c r="A352" i="8"/>
  <c r="A392" i="8"/>
  <c r="A1115" i="8"/>
  <c r="A33" i="8"/>
  <c r="A1964" i="8"/>
  <c r="A138" i="8"/>
  <c r="A1598" i="8"/>
  <c r="A1098" i="8"/>
  <c r="A1785" i="8"/>
  <c r="A1001" i="8"/>
  <c r="A2663" i="8"/>
  <c r="A1048" i="8"/>
  <c r="A89" i="8"/>
  <c r="A2830" i="8"/>
  <c r="A246" i="8"/>
  <c r="A1520" i="8"/>
  <c r="A745" i="8"/>
  <c r="A820" i="8"/>
  <c r="A1096" i="8"/>
  <c r="A2185" i="8"/>
  <c r="A355" i="8"/>
  <c r="A379" i="8"/>
  <c r="A817" i="8"/>
  <c r="A407" i="8"/>
  <c r="A121" i="8"/>
  <c r="A1920" i="8"/>
  <c r="A1372" i="8"/>
  <c r="A813" i="8"/>
  <c r="A2584" i="8"/>
  <c r="A2834" i="8"/>
  <c r="A910" i="8"/>
  <c r="A494" i="8"/>
  <c r="A221" i="8"/>
  <c r="A2875" i="8"/>
  <c r="A876" i="8"/>
  <c r="A2551" i="8"/>
  <c r="A1834" i="8"/>
  <c r="A2729" i="8"/>
  <c r="A500" i="8"/>
  <c r="A839" i="8"/>
  <c r="A1916" i="8"/>
  <c r="A553" i="8"/>
  <c r="A2651" i="8"/>
  <c r="A1496" i="8"/>
  <c r="A924" i="8"/>
  <c r="A940" i="8"/>
  <c r="A11" i="8"/>
  <c r="A168" i="8"/>
  <c r="A2602" i="8"/>
  <c r="A440" i="8"/>
  <c r="A1651" i="8"/>
  <c r="A455" i="8"/>
  <c r="A144" i="8"/>
  <c r="A511" i="8"/>
  <c r="A2955" i="8"/>
  <c r="A1072" i="8"/>
  <c r="A1981" i="8"/>
  <c r="A1039" i="8"/>
  <c r="A915" i="8"/>
  <c r="A2448" i="8"/>
  <c r="A1421" i="8"/>
  <c r="A314" i="8"/>
  <c r="A1530" i="8"/>
  <c r="A1252" i="8"/>
  <c r="A171" i="8"/>
  <c r="A759" i="8"/>
  <c r="A2003" i="8"/>
  <c r="A487" i="8"/>
  <c r="A2787" i="8"/>
  <c r="A1473" i="8"/>
  <c r="A234" i="8"/>
  <c r="A2163" i="8"/>
  <c r="A2781" i="8"/>
  <c r="A805" i="8"/>
  <c r="A693" i="8"/>
  <c r="A2218" i="8"/>
  <c r="A2437" i="8"/>
  <c r="A2724" i="8"/>
  <c r="A1927" i="8"/>
  <c r="A2182" i="8"/>
  <c r="A916" i="8"/>
  <c r="A304" i="8"/>
  <c r="A2232" i="8"/>
  <c r="A611" i="8"/>
  <c r="A306" i="8"/>
  <c r="A312" i="8"/>
  <c r="A109" i="8"/>
  <c r="A2491" i="8"/>
  <c r="A294" i="8"/>
  <c r="A555" i="8"/>
  <c r="A2841" i="8"/>
  <c r="A911" i="8"/>
  <c r="A2336" i="8"/>
  <c r="A664" i="8"/>
  <c r="A3035" i="8"/>
  <c r="A218" i="8"/>
  <c r="A2658" i="8"/>
  <c r="A140" i="8"/>
  <c r="A521" i="8"/>
  <c r="A2561" i="8"/>
  <c r="A252" i="8"/>
  <c r="A1546" i="8"/>
  <c r="A1171" i="8"/>
  <c r="A198" i="8"/>
  <c r="A2656" i="8"/>
  <c r="A1331" i="8"/>
  <c r="A715" i="8"/>
  <c r="A24" i="8"/>
  <c r="A2257" i="8"/>
  <c r="A3062" i="8"/>
  <c r="A212" i="8"/>
  <c r="A2224" i="8"/>
  <c r="A2524" i="8"/>
  <c r="A2819" i="8"/>
  <c r="A80" i="8"/>
  <c r="A1190" i="8"/>
  <c r="A2637" i="8"/>
  <c r="A377" i="8"/>
  <c r="A105" i="8"/>
  <c r="A176" i="8"/>
  <c r="A99" i="8"/>
  <c r="A1725" i="8"/>
  <c r="A165" i="8"/>
  <c r="A1133" i="8"/>
  <c r="A46" i="8"/>
  <c r="A180" i="8"/>
  <c r="A2863" i="8"/>
  <c r="A327" i="8"/>
  <c r="A458" i="8"/>
  <c r="A136" i="8"/>
  <c r="A132" i="8"/>
  <c r="A415" i="8"/>
  <c r="A69" i="8"/>
  <c r="A786" i="8"/>
  <c r="A1826" i="8"/>
  <c r="A297" i="8"/>
  <c r="A115" i="8"/>
  <c r="A104" i="8"/>
  <c r="A299" i="8"/>
  <c r="A202" i="8"/>
  <c r="A2390" i="8"/>
  <c r="A88" i="8"/>
  <c r="A84" i="8"/>
  <c r="A881" i="8"/>
  <c r="A819" i="8"/>
  <c r="A94" i="8"/>
  <c r="A68" i="8"/>
  <c r="A236" i="8"/>
  <c r="A203" i="8"/>
  <c r="A329" i="8"/>
  <c r="A98" i="8"/>
  <c r="A892" i="8"/>
  <c r="A2324" i="8"/>
  <c r="A946" i="8"/>
  <c r="A2580" i="8"/>
  <c r="A289" i="8"/>
  <c r="A287" i="8"/>
  <c r="A25" i="8"/>
  <c r="A21" i="8"/>
  <c r="A17" i="8"/>
  <c r="A13" i="8"/>
  <c r="A1923" i="8"/>
  <c r="A357" i="8"/>
  <c r="A2653" i="8"/>
  <c r="A2144" i="8"/>
  <c r="A427" i="8"/>
  <c r="A36" i="8"/>
  <c r="A137" i="8"/>
  <c r="A16" i="8"/>
  <c r="A2973" i="8"/>
  <c r="A2625" i="8"/>
  <c r="A2948" i="8"/>
  <c r="A434" i="8"/>
</calcChain>
</file>

<file path=xl/sharedStrings.xml><?xml version="1.0" encoding="utf-8"?>
<sst xmlns="http://schemas.openxmlformats.org/spreadsheetml/2006/main" count="13412" uniqueCount="9390">
  <si>
    <t>Band</t>
  </si>
  <si>
    <t>A</t>
  </si>
  <si>
    <t>Answer A</t>
  </si>
  <si>
    <t>B</t>
  </si>
  <si>
    <t>Answer B</t>
  </si>
  <si>
    <t>C</t>
  </si>
  <si>
    <t>Answer C</t>
  </si>
  <si>
    <t>#</t>
  </si>
  <si>
    <t>Source</t>
  </si>
  <si>
    <t>Chinese</t>
  </si>
  <si>
    <t>PoS</t>
  </si>
  <si>
    <t>Word</t>
  </si>
  <si>
    <t>Example</t>
  </si>
  <si>
    <t>R</t>
  </si>
  <si>
    <t>Memo 01</t>
  </si>
  <si>
    <t>Memo 02</t>
  </si>
  <si>
    <t>Memo 03</t>
  </si>
  <si>
    <t>Memo 04</t>
  </si>
  <si>
    <t>Memo 05</t>
  </si>
  <si>
    <t>Memo 06</t>
  </si>
  <si>
    <t>Memo 07</t>
  </si>
  <si>
    <t>Rd</t>
  </si>
  <si>
    <t>Previous</t>
  </si>
  <si>
    <t>Next</t>
  </si>
  <si>
    <t>OK</t>
  </si>
  <si>
    <t>1st</t>
  </si>
  <si>
    <t>2nd</t>
  </si>
  <si>
    <t>3rd</t>
  </si>
  <si>
    <t>4th</t>
  </si>
  <si>
    <t>5th</t>
  </si>
  <si>
    <t>6th</t>
  </si>
  <si>
    <t>7th</t>
  </si>
  <si>
    <t>Avg</t>
  </si>
  <si>
    <t>foster</t>
  </si>
  <si>
    <t>multifaceted</t>
  </si>
  <si>
    <t>innovative</t>
  </si>
  <si>
    <t>resourceful</t>
  </si>
  <si>
    <t>misconception</t>
  </si>
  <si>
    <t>credit</t>
  </si>
  <si>
    <t>objective</t>
  </si>
  <si>
    <t>disenchant</t>
  </si>
  <si>
    <t>unravel</t>
  </si>
  <si>
    <t>liken</t>
  </si>
  <si>
    <t>concur</t>
  </si>
  <si>
    <t>coherent</t>
  </si>
  <si>
    <t>repertoire</t>
  </si>
  <si>
    <t>distinctive</t>
  </si>
  <si>
    <t>impersonal</t>
  </si>
  <si>
    <t>scarce</t>
  </si>
  <si>
    <t>airborne</t>
  </si>
  <si>
    <t>responsive</t>
  </si>
  <si>
    <t>extrapolate</t>
  </si>
  <si>
    <t>appeal</t>
  </si>
  <si>
    <t>derive</t>
  </si>
  <si>
    <t>impoverished</t>
  </si>
  <si>
    <t>exuberant</t>
  </si>
  <si>
    <t>ascribe</t>
  </si>
  <si>
    <t>epic</t>
  </si>
  <si>
    <t>empirical</t>
  </si>
  <si>
    <t>incorporate</t>
  </si>
  <si>
    <t>comprehensive</t>
  </si>
  <si>
    <t>dire</t>
  </si>
  <si>
    <t>plight</t>
  </si>
  <si>
    <t>tease</t>
  </si>
  <si>
    <t>deprive</t>
  </si>
  <si>
    <t>adjunct</t>
  </si>
  <si>
    <t>humble</t>
  </si>
  <si>
    <t>turbid</t>
  </si>
  <si>
    <t>forage</t>
  </si>
  <si>
    <t>primitive</t>
  </si>
  <si>
    <t>metaphor</t>
  </si>
  <si>
    <t>prowess</t>
  </si>
  <si>
    <t>extensive</t>
  </si>
  <si>
    <t>dearth</t>
  </si>
  <si>
    <t>wobble</t>
  </si>
  <si>
    <t>analogous</t>
  </si>
  <si>
    <t>employ</t>
  </si>
  <si>
    <t>dub</t>
  </si>
  <si>
    <t>self-evident</t>
  </si>
  <si>
    <t>maintain</t>
  </si>
  <si>
    <t>underpin</t>
  </si>
  <si>
    <t>row</t>
  </si>
  <si>
    <t>tweak</t>
  </si>
  <si>
    <t>ethereal</t>
  </si>
  <si>
    <t>arguably</t>
  </si>
  <si>
    <t>budding</t>
  </si>
  <si>
    <t>circumscribe</t>
  </si>
  <si>
    <t>heyday</t>
  </si>
  <si>
    <t>vicissitude</t>
  </si>
  <si>
    <t>cornerstone</t>
  </si>
  <si>
    <t>confer</t>
  </si>
  <si>
    <t>groan</t>
  </si>
  <si>
    <t>discrepancy</t>
  </si>
  <si>
    <t>fluster</t>
  </si>
  <si>
    <t>exaggerate</t>
  </si>
  <si>
    <t>transient</t>
  </si>
  <si>
    <t>altruistic</t>
  </si>
  <si>
    <t>impartial</t>
  </si>
  <si>
    <t>pervasive</t>
  </si>
  <si>
    <t>grave</t>
  </si>
  <si>
    <t>wane</t>
  </si>
  <si>
    <t>dwindle</t>
  </si>
  <si>
    <t>volatile</t>
  </si>
  <si>
    <t>amass</t>
  </si>
  <si>
    <t>malleable</t>
  </si>
  <si>
    <t>insulate</t>
  </si>
  <si>
    <t>relish</t>
  </si>
  <si>
    <t>dazzling</t>
  </si>
  <si>
    <t>startling</t>
  </si>
  <si>
    <t>compound</t>
  </si>
  <si>
    <t>capricious</t>
  </si>
  <si>
    <t>curtail</t>
  </si>
  <si>
    <t>obesity</t>
  </si>
  <si>
    <t>impinge</t>
  </si>
  <si>
    <t>fitting</t>
  </si>
  <si>
    <t>pointless</t>
  </si>
  <si>
    <t>pedigree</t>
  </si>
  <si>
    <t>puncture</t>
  </si>
  <si>
    <t>ludicrous</t>
  </si>
  <si>
    <t>appease</t>
  </si>
  <si>
    <t>scuffle</t>
  </si>
  <si>
    <t>refute</t>
  </si>
  <si>
    <t>advocate</t>
  </si>
  <si>
    <t>feat</t>
  </si>
  <si>
    <t>suffice</t>
  </si>
  <si>
    <t>interchangeable</t>
  </si>
  <si>
    <t>relic</t>
  </si>
  <si>
    <t>entice</t>
  </si>
  <si>
    <t>remuneration</t>
  </si>
  <si>
    <t>preliminary</t>
  </si>
  <si>
    <t>astounding</t>
  </si>
  <si>
    <t>disparate</t>
  </si>
  <si>
    <t>ensue</t>
  </si>
  <si>
    <t>mundane</t>
  </si>
  <si>
    <t>camouflage</t>
  </si>
  <si>
    <t>exacerbate</t>
  </si>
  <si>
    <t>encapsulate</t>
  </si>
  <si>
    <t>elusive</t>
  </si>
  <si>
    <t>prevail</t>
  </si>
  <si>
    <t>profound</t>
  </si>
  <si>
    <t>minute</t>
  </si>
  <si>
    <t>exert</t>
  </si>
  <si>
    <t>temperate</t>
  </si>
  <si>
    <t>germinate</t>
  </si>
  <si>
    <t>chaotic</t>
  </si>
  <si>
    <t>negligible</t>
  </si>
  <si>
    <t>querulous</t>
  </si>
  <si>
    <t>rote</t>
  </si>
  <si>
    <t>contrive</t>
  </si>
  <si>
    <t>wide-ranging</t>
  </si>
  <si>
    <t>baffle</t>
  </si>
  <si>
    <t>allegory</t>
  </si>
  <si>
    <t>forthright</t>
  </si>
  <si>
    <t>aver</t>
  </si>
  <si>
    <t>nefarious</t>
  </si>
  <si>
    <t>proselytize</t>
  </si>
  <si>
    <t>resent</t>
  </si>
  <si>
    <t>enhance</t>
  </si>
  <si>
    <t>heresy</t>
  </si>
  <si>
    <t>spontaneous</t>
  </si>
  <si>
    <t>exceptional</t>
  </si>
  <si>
    <t>tempestuous</t>
  </si>
  <si>
    <t>finicky</t>
  </si>
  <si>
    <t>patronize</t>
  </si>
  <si>
    <t>avert</t>
  </si>
  <si>
    <t>harrow</t>
  </si>
  <si>
    <t>compile</t>
  </si>
  <si>
    <t>ritualize</t>
  </si>
  <si>
    <t>arboreal</t>
  </si>
  <si>
    <t>satire</t>
  </si>
  <si>
    <t>volition</t>
  </si>
  <si>
    <t>innate</t>
  </si>
  <si>
    <t>complimentary</t>
  </si>
  <si>
    <t>loathe</t>
  </si>
  <si>
    <t>exhaustive</t>
  </si>
  <si>
    <t>poignant</t>
  </si>
  <si>
    <t>captivate</t>
  </si>
  <si>
    <t>don</t>
  </si>
  <si>
    <t>milieu</t>
  </si>
  <si>
    <t>portend</t>
  </si>
  <si>
    <t>regimen</t>
  </si>
  <si>
    <t>haphazard</t>
  </si>
  <si>
    <t>vacuous</t>
  </si>
  <si>
    <t>external</t>
  </si>
  <si>
    <t>tractable</t>
  </si>
  <si>
    <t>ponderous</t>
  </si>
  <si>
    <t>preclude</t>
  </si>
  <si>
    <t>valorize</t>
  </si>
  <si>
    <t>allegiance</t>
  </si>
  <si>
    <t>condemn</t>
  </si>
  <si>
    <t>forsake</t>
  </si>
  <si>
    <t>unconscionable</t>
  </si>
  <si>
    <t>simultaneous</t>
  </si>
  <si>
    <t>millstone</t>
  </si>
  <si>
    <t>sacrosanct</t>
  </si>
  <si>
    <t>restrain</t>
  </si>
  <si>
    <t>divisive</t>
  </si>
  <si>
    <t>ill-advised</t>
  </si>
  <si>
    <t>ament</t>
  </si>
  <si>
    <t>masculine</t>
  </si>
  <si>
    <t>routine</t>
  </si>
  <si>
    <t>furtive</t>
  </si>
  <si>
    <t>depressing</t>
  </si>
  <si>
    <t>trenchant</t>
  </si>
  <si>
    <t>confront</t>
  </si>
  <si>
    <t>fluctuate</t>
  </si>
  <si>
    <t>serendipity</t>
  </si>
  <si>
    <t>indiscriminate</t>
  </si>
  <si>
    <t>bristle</t>
  </si>
  <si>
    <t>onset</t>
  </si>
  <si>
    <t>cardinal</t>
  </si>
  <si>
    <t>inadvertent</t>
  </si>
  <si>
    <t>prosecute</t>
  </si>
  <si>
    <t>deferential</t>
  </si>
  <si>
    <t>occasion</t>
  </si>
  <si>
    <t>morbid</t>
  </si>
  <si>
    <t>scintillating</t>
  </si>
  <si>
    <t>medley</t>
  </si>
  <si>
    <t>passive</t>
  </si>
  <si>
    <t>inhibit</t>
  </si>
  <si>
    <t>outdo</t>
  </si>
  <si>
    <t>polarize</t>
  </si>
  <si>
    <t>disjunction</t>
  </si>
  <si>
    <t>indecorous</t>
  </si>
  <si>
    <t>abolish</t>
  </si>
  <si>
    <t>triumph</t>
  </si>
  <si>
    <t>negotiable</t>
  </si>
  <si>
    <t>conjecture</t>
  </si>
  <si>
    <t>adhere</t>
  </si>
  <si>
    <t>calamity</t>
  </si>
  <si>
    <t>nonchalant</t>
  </si>
  <si>
    <t>fungible</t>
  </si>
  <si>
    <t>abet</t>
  </si>
  <si>
    <t>euphoria</t>
  </si>
  <si>
    <t>atomize</t>
  </si>
  <si>
    <t>rescind</t>
  </si>
  <si>
    <t>renegade</t>
  </si>
  <si>
    <t>paraphernalia</t>
  </si>
  <si>
    <t>disdain</t>
  </si>
  <si>
    <t>encroach</t>
  </si>
  <si>
    <t>ennoble</t>
  </si>
  <si>
    <t>plummet</t>
  </si>
  <si>
    <t>ambiguous</t>
  </si>
  <si>
    <t>blandish</t>
  </si>
  <si>
    <t>menace</t>
  </si>
  <si>
    <t>stagger</t>
  </si>
  <si>
    <t>robust</t>
  </si>
  <si>
    <t>ooze</t>
  </si>
  <si>
    <t>antiquity</t>
  </si>
  <si>
    <t>symbiosis</t>
  </si>
  <si>
    <t>energize</t>
  </si>
  <si>
    <t>occult</t>
  </si>
  <si>
    <t>comestible</t>
  </si>
  <si>
    <t>embed</t>
  </si>
  <si>
    <t>guardian</t>
  </si>
  <si>
    <t>brainchild</t>
  </si>
  <si>
    <t>assent</t>
  </si>
  <si>
    <t>vicarious</t>
  </si>
  <si>
    <t>ruthless</t>
  </si>
  <si>
    <t>potent</t>
  </si>
  <si>
    <t>aplomb</t>
  </si>
  <si>
    <t>vilify</t>
  </si>
  <si>
    <t>accede</t>
  </si>
  <si>
    <t>embody</t>
  </si>
  <si>
    <t>bulwark</t>
  </si>
  <si>
    <t>disgruntle</t>
  </si>
  <si>
    <t>disperse</t>
  </si>
  <si>
    <t>subordinate</t>
  </si>
  <si>
    <t>philistine</t>
  </si>
  <si>
    <t>nonconformist</t>
  </si>
  <si>
    <t>skullduggery</t>
  </si>
  <si>
    <t>exclusive</t>
  </si>
  <si>
    <t>monitor</t>
  </si>
  <si>
    <t>helter-skelter</t>
  </si>
  <si>
    <t>impolitic</t>
  </si>
  <si>
    <t>contumacious</t>
  </si>
  <si>
    <t>obscure</t>
  </si>
  <si>
    <t>exonerate</t>
  </si>
  <si>
    <t>unceasing</t>
  </si>
  <si>
    <t>envisage</t>
  </si>
  <si>
    <t>artifact</t>
  </si>
  <si>
    <t>last-ditch</t>
  </si>
  <si>
    <t>perpendicular</t>
  </si>
  <si>
    <t>surrogate</t>
  </si>
  <si>
    <t>coruscate</t>
  </si>
  <si>
    <t>ecstasy</t>
  </si>
  <si>
    <t>catholic</t>
  </si>
  <si>
    <t>mask</t>
  </si>
  <si>
    <t>definite</t>
  </si>
  <si>
    <t>eloquent</t>
  </si>
  <si>
    <t>deduce</t>
  </si>
  <si>
    <t>esteem</t>
  </si>
  <si>
    <t>bathetic</t>
  </si>
  <si>
    <t>ponder</t>
  </si>
  <si>
    <t>unflinching</t>
  </si>
  <si>
    <t>mixed</t>
  </si>
  <si>
    <t>conviction</t>
  </si>
  <si>
    <t>vagary</t>
  </si>
  <si>
    <t>apropos</t>
  </si>
  <si>
    <t>admirable</t>
  </si>
  <si>
    <t>coterie</t>
  </si>
  <si>
    <t>accrete</t>
  </si>
  <si>
    <t>discordance</t>
  </si>
  <si>
    <t>untoward</t>
  </si>
  <si>
    <t>explicable</t>
  </si>
  <si>
    <t>avian</t>
  </si>
  <si>
    <t>perforce</t>
  </si>
  <si>
    <t>dichotomous</t>
  </si>
  <si>
    <t>enliven</t>
  </si>
  <si>
    <t>stanch</t>
  </si>
  <si>
    <t>paean</t>
  </si>
  <si>
    <t>felony</t>
  </si>
  <si>
    <t>exile</t>
  </si>
  <si>
    <t>impudent</t>
  </si>
  <si>
    <t>quench</t>
  </si>
  <si>
    <t>roost</t>
  </si>
  <si>
    <t>discharge</t>
  </si>
  <si>
    <t>apprentice</t>
  </si>
  <si>
    <t>daredevil</t>
  </si>
  <si>
    <t>stalwart</t>
  </si>
  <si>
    <t>hackneyed</t>
  </si>
  <si>
    <t>meld</t>
  </si>
  <si>
    <t>flinch</t>
  </si>
  <si>
    <t>eyesore</t>
  </si>
  <si>
    <t>concise</t>
  </si>
  <si>
    <t>approbation</t>
  </si>
  <si>
    <t>chagrin</t>
  </si>
  <si>
    <t>fraudulent</t>
  </si>
  <si>
    <t>captious</t>
  </si>
  <si>
    <t>callow</t>
  </si>
  <si>
    <t>abate</t>
  </si>
  <si>
    <t>rebuff</t>
  </si>
  <si>
    <t>studied</t>
  </si>
  <si>
    <t>invertebrate</t>
  </si>
  <si>
    <t>impermanent</t>
  </si>
  <si>
    <t>execrate</t>
  </si>
  <si>
    <t>designate</t>
  </si>
  <si>
    <t>lachrymose</t>
  </si>
  <si>
    <t>burdensome</t>
  </si>
  <si>
    <t>restorative</t>
  </si>
  <si>
    <t>disgorge</t>
  </si>
  <si>
    <t>somnolent</t>
  </si>
  <si>
    <t>vault</t>
  </si>
  <si>
    <t>collective</t>
  </si>
  <si>
    <t>glean</t>
  </si>
  <si>
    <t>commonplace</t>
  </si>
  <si>
    <t>substantial</t>
  </si>
  <si>
    <t>long</t>
  </si>
  <si>
    <t>sociable</t>
  </si>
  <si>
    <t>tacit</t>
  </si>
  <si>
    <t>gigantic</t>
  </si>
  <si>
    <t>apprehend</t>
  </si>
  <si>
    <t>shortcoming</t>
  </si>
  <si>
    <t>devolve</t>
  </si>
  <si>
    <t>instantiate</t>
  </si>
  <si>
    <t>spiral</t>
  </si>
  <si>
    <t>snappish</t>
  </si>
  <si>
    <t>scenario</t>
  </si>
  <si>
    <t>soporific</t>
  </si>
  <si>
    <t>decry</t>
  </si>
  <si>
    <t>perspicuous</t>
  </si>
  <si>
    <t>subtext</t>
  </si>
  <si>
    <t>electorate</t>
  </si>
  <si>
    <t>craft</t>
  </si>
  <si>
    <t>expediency</t>
  </si>
  <si>
    <t>counterforce</t>
  </si>
  <si>
    <t>acclimate</t>
  </si>
  <si>
    <t>pronounced</t>
  </si>
  <si>
    <t>eminent</t>
  </si>
  <si>
    <t>sanctuary</t>
  </si>
  <si>
    <t>fad</t>
  </si>
  <si>
    <t>pedestrian</t>
  </si>
  <si>
    <t>contentious</t>
  </si>
  <si>
    <t>incubate</t>
  </si>
  <si>
    <t>vanguard</t>
  </si>
  <si>
    <t>boon</t>
  </si>
  <si>
    <t>dexterous</t>
  </si>
  <si>
    <t>lackadaisical</t>
  </si>
  <si>
    <t>erratic</t>
  </si>
  <si>
    <t>nugatory</t>
  </si>
  <si>
    <t>inherent</t>
  </si>
  <si>
    <t>temerity</t>
  </si>
  <si>
    <t>bureaucracy</t>
  </si>
  <si>
    <t>unorthodox</t>
  </si>
  <si>
    <t>meddle</t>
  </si>
  <si>
    <t>betoken</t>
  </si>
  <si>
    <t>proficient</t>
  </si>
  <si>
    <t>myopic</t>
  </si>
  <si>
    <t>interweave</t>
  </si>
  <si>
    <t>unprecedented</t>
  </si>
  <si>
    <t>advent</t>
  </si>
  <si>
    <t>materialize</t>
  </si>
  <si>
    <t>overlook</t>
  </si>
  <si>
    <t>constrict</t>
  </si>
  <si>
    <t>tonic</t>
  </si>
  <si>
    <t>convivial</t>
  </si>
  <si>
    <t>authenticate</t>
  </si>
  <si>
    <t>implement</t>
  </si>
  <si>
    <t>run-of-the-mill</t>
  </si>
  <si>
    <t>archetypical</t>
  </si>
  <si>
    <t>autonomy</t>
  </si>
  <si>
    <t>retrench</t>
  </si>
  <si>
    <t>incentive</t>
  </si>
  <si>
    <t>purveyor</t>
  </si>
  <si>
    <t>latent</t>
  </si>
  <si>
    <t>cooperate</t>
  </si>
  <si>
    <t>unruly</t>
  </si>
  <si>
    <t>plodding</t>
  </si>
  <si>
    <t>musty</t>
  </si>
  <si>
    <t>defining</t>
  </si>
  <si>
    <t>offset</t>
  </si>
  <si>
    <t>noxious</t>
  </si>
  <si>
    <t>evanescent</t>
  </si>
  <si>
    <t>inert</t>
  </si>
  <si>
    <t>transitory</t>
  </si>
  <si>
    <t>bellicose</t>
  </si>
  <si>
    <t>patrimony</t>
  </si>
  <si>
    <t>ramshackle</t>
  </si>
  <si>
    <t>vapid</t>
  </si>
  <si>
    <t>humility</t>
  </si>
  <si>
    <t>eradicate</t>
  </si>
  <si>
    <t>discursive</t>
  </si>
  <si>
    <t>unfettered</t>
  </si>
  <si>
    <t>anathema</t>
  </si>
  <si>
    <t>vulgar</t>
  </si>
  <si>
    <t>prominent</t>
  </si>
  <si>
    <t>invective</t>
  </si>
  <si>
    <t>pliable</t>
  </si>
  <si>
    <t>eulogize</t>
  </si>
  <si>
    <t>kinship</t>
  </si>
  <si>
    <t>martinet</t>
  </si>
  <si>
    <t>wary</t>
  </si>
  <si>
    <t>savvy</t>
  </si>
  <si>
    <t>pandemonium</t>
  </si>
  <si>
    <t>discredit</t>
  </si>
  <si>
    <t>improvise</t>
  </si>
  <si>
    <t>wanting</t>
  </si>
  <si>
    <t>pan</t>
  </si>
  <si>
    <t>vague</t>
  </si>
  <si>
    <t>effluvium</t>
  </si>
  <si>
    <t>unkempt</t>
  </si>
  <si>
    <t>abrade</t>
  </si>
  <si>
    <t>soothsayer</t>
  </si>
  <si>
    <t>theatrical</t>
  </si>
  <si>
    <t>acquaintance</t>
  </si>
  <si>
    <t>flag</t>
  </si>
  <si>
    <t>deleterious</t>
  </si>
  <si>
    <t>cinch</t>
  </si>
  <si>
    <t>countermand</t>
  </si>
  <si>
    <t>aversion</t>
  </si>
  <si>
    <t>suppress</t>
  </si>
  <si>
    <t>patchwork</t>
  </si>
  <si>
    <t>wrench</t>
  </si>
  <si>
    <t>diffuse</t>
  </si>
  <si>
    <t>indubitable</t>
  </si>
  <si>
    <t>rear</t>
  </si>
  <si>
    <t>self-serving</t>
  </si>
  <si>
    <t>license</t>
  </si>
  <si>
    <t>astringent</t>
  </si>
  <si>
    <t>dogmatic</t>
  </si>
  <si>
    <t>intoxicate</t>
  </si>
  <si>
    <t>apt</t>
  </si>
  <si>
    <t>champion</t>
  </si>
  <si>
    <t>imposter</t>
  </si>
  <si>
    <t>gawky</t>
  </si>
  <si>
    <t>embrace</t>
  </si>
  <si>
    <t>engender</t>
  </si>
  <si>
    <t>exacting</t>
  </si>
  <si>
    <t>sabotage</t>
  </si>
  <si>
    <t>covet</t>
  </si>
  <si>
    <t>drudgery</t>
  </si>
  <si>
    <t>tortuous</t>
  </si>
  <si>
    <t>design</t>
  </si>
  <si>
    <t>tumultuous</t>
  </si>
  <si>
    <t>distribution</t>
  </si>
  <si>
    <t>surrender</t>
  </si>
  <si>
    <t>frenzy</t>
  </si>
  <si>
    <t>abreast</t>
  </si>
  <si>
    <t>balk</t>
  </si>
  <si>
    <t>expunge</t>
  </si>
  <si>
    <t>parsimonious</t>
  </si>
  <si>
    <t>proximity</t>
  </si>
  <si>
    <t>truculent</t>
  </si>
  <si>
    <t>virtuoso</t>
  </si>
  <si>
    <t>mishandle</t>
  </si>
  <si>
    <t>invoke</t>
  </si>
  <si>
    <t>mawkish</t>
  </si>
  <si>
    <t>demonize</t>
  </si>
  <si>
    <t>embolden</t>
  </si>
  <si>
    <t>vexation</t>
  </si>
  <si>
    <t>compelling</t>
  </si>
  <si>
    <t>honor</t>
  </si>
  <si>
    <t>breakaway</t>
  </si>
  <si>
    <t>foresee</t>
  </si>
  <si>
    <t>irritate</t>
  </si>
  <si>
    <t>attune</t>
  </si>
  <si>
    <t>inevitable</t>
  </si>
  <si>
    <t>spartan</t>
  </si>
  <si>
    <t>compress</t>
  </si>
  <si>
    <t>antedate</t>
  </si>
  <si>
    <t>agrarian</t>
  </si>
  <si>
    <t>available</t>
  </si>
  <si>
    <t>commiserate</t>
  </si>
  <si>
    <t>gratify</t>
  </si>
  <si>
    <t>christen</t>
  </si>
  <si>
    <t>revel</t>
  </si>
  <si>
    <t>forthwith</t>
  </si>
  <si>
    <t>onerous</t>
  </si>
  <si>
    <t>annotate</t>
  </si>
  <si>
    <t>prodigious</t>
  </si>
  <si>
    <t>block</t>
  </si>
  <si>
    <t>proofread</t>
  </si>
  <si>
    <t>panic</t>
  </si>
  <si>
    <t>retaliate</t>
  </si>
  <si>
    <t>gallant</t>
  </si>
  <si>
    <t>reinvent</t>
  </si>
  <si>
    <t>assuage</t>
  </si>
  <si>
    <t>staunch</t>
  </si>
  <si>
    <t>predicament</t>
  </si>
  <si>
    <t>forswear</t>
  </si>
  <si>
    <t>peerless</t>
  </si>
  <si>
    <t>prefigure</t>
  </si>
  <si>
    <t>fatal</t>
  </si>
  <si>
    <t>tender</t>
  </si>
  <si>
    <t>decimate</t>
  </si>
  <si>
    <t>avaricious</t>
  </si>
  <si>
    <t>frugal</t>
  </si>
  <si>
    <t>purview</t>
  </si>
  <si>
    <t>humiliate</t>
  </si>
  <si>
    <t>composed</t>
  </si>
  <si>
    <t>brusque</t>
  </si>
  <si>
    <t>collegiality</t>
  </si>
  <si>
    <t>enfeeble</t>
  </si>
  <si>
    <t>evince</t>
  </si>
  <si>
    <t>quotidian</t>
  </si>
  <si>
    <t>ramification</t>
  </si>
  <si>
    <t>wayward</t>
  </si>
  <si>
    <t>zenith</t>
  </si>
  <si>
    <t>facetious</t>
  </si>
  <si>
    <t>undercut</t>
  </si>
  <si>
    <t>byword</t>
  </si>
  <si>
    <t>defame</t>
  </si>
  <si>
    <t>rosy</t>
  </si>
  <si>
    <t>accept</t>
  </si>
  <si>
    <t>approximate</t>
  </si>
  <si>
    <t>anecdote</t>
  </si>
  <si>
    <t>lure</t>
  </si>
  <si>
    <t>anthropocentrism</t>
  </si>
  <si>
    <t>creed</t>
  </si>
  <si>
    <t>onetime</t>
  </si>
  <si>
    <t>commendation</t>
  </si>
  <si>
    <t>filter</t>
  </si>
  <si>
    <t>torpor</t>
  </si>
  <si>
    <t>condense</t>
  </si>
  <si>
    <t>erroneous</t>
  </si>
  <si>
    <t>appreciate</t>
  </si>
  <si>
    <t>wrest</t>
  </si>
  <si>
    <t>ebb</t>
  </si>
  <si>
    <t>ridicule</t>
  </si>
  <si>
    <t>pilgrim</t>
  </si>
  <si>
    <t>sleek</t>
  </si>
  <si>
    <t>jockey</t>
  </si>
  <si>
    <t>august</t>
  </si>
  <si>
    <t>subside</t>
  </si>
  <si>
    <t>impute</t>
  </si>
  <si>
    <t>guile</t>
  </si>
  <si>
    <t>loose</t>
  </si>
  <si>
    <t>jejune</t>
  </si>
  <si>
    <t>egotism</t>
  </si>
  <si>
    <t>starvation</t>
  </si>
  <si>
    <t>groundless</t>
  </si>
  <si>
    <t>resemblance</t>
  </si>
  <si>
    <t>strident</t>
  </si>
  <si>
    <t>defiant</t>
  </si>
  <si>
    <t>simplicity</t>
  </si>
  <si>
    <t>strip</t>
  </si>
  <si>
    <t>underscore</t>
  </si>
  <si>
    <t>dramatic</t>
  </si>
  <si>
    <t>reverence</t>
  </si>
  <si>
    <t>concoct</t>
  </si>
  <si>
    <t>encumber</t>
  </si>
  <si>
    <t>phenomenal</t>
  </si>
  <si>
    <t>glamorous</t>
  </si>
  <si>
    <t>prone</t>
  </si>
  <si>
    <t>gainsay</t>
  </si>
  <si>
    <t>gloomy</t>
  </si>
  <si>
    <t>import</t>
  </si>
  <si>
    <t>camaraderie</t>
  </si>
  <si>
    <t>copious</t>
  </si>
  <si>
    <t>recant</t>
  </si>
  <si>
    <t>jubilation</t>
  </si>
  <si>
    <t>porous</t>
  </si>
  <si>
    <t>preachy</t>
  </si>
  <si>
    <t>carnivorous</t>
  </si>
  <si>
    <t>majestic</t>
  </si>
  <si>
    <t>increment</t>
  </si>
  <si>
    <t>hallow</t>
  </si>
  <si>
    <t>congenial</t>
  </si>
  <si>
    <t>surmount</t>
  </si>
  <si>
    <t>realm</t>
  </si>
  <si>
    <t>off-putting</t>
  </si>
  <si>
    <t>awry</t>
  </si>
  <si>
    <t>disorganize</t>
  </si>
  <si>
    <t>disarray</t>
  </si>
  <si>
    <t>measured</t>
  </si>
  <si>
    <t>baseless</t>
  </si>
  <si>
    <t>altercate</t>
  </si>
  <si>
    <t>recrudescent</t>
  </si>
  <si>
    <t>exalt</t>
  </si>
  <si>
    <t>astute</t>
  </si>
  <si>
    <t>brandish</t>
  </si>
  <si>
    <t>stymie</t>
  </si>
  <si>
    <t>subsist</t>
  </si>
  <si>
    <t>riot</t>
  </si>
  <si>
    <t>cumbersome</t>
  </si>
  <si>
    <t>waver</t>
  </si>
  <si>
    <t>risible</t>
  </si>
  <si>
    <t>convert</t>
  </si>
  <si>
    <t>surly</t>
  </si>
  <si>
    <t>breakthrough</t>
  </si>
  <si>
    <t>genius</t>
  </si>
  <si>
    <t>topple</t>
  </si>
  <si>
    <t>fulminate</t>
  </si>
  <si>
    <t>bestow</t>
  </si>
  <si>
    <t>unwieldy</t>
  </si>
  <si>
    <t>douse</t>
  </si>
  <si>
    <t>winnow</t>
  </si>
  <si>
    <t>hone</t>
  </si>
  <si>
    <t>spearhead</t>
  </si>
  <si>
    <t>flummox</t>
  </si>
  <si>
    <t>evocative</t>
  </si>
  <si>
    <t>generate</t>
  </si>
  <si>
    <t>venue</t>
  </si>
  <si>
    <t>panoply</t>
  </si>
  <si>
    <t>illicit</t>
  </si>
  <si>
    <t>expendable</t>
  </si>
  <si>
    <t>linger</t>
  </si>
  <si>
    <t>conservation</t>
  </si>
  <si>
    <t>backwater</t>
  </si>
  <si>
    <t>aggravate</t>
  </si>
  <si>
    <t>reminiscent</t>
  </si>
  <si>
    <t>waggish</t>
  </si>
  <si>
    <t>courteous</t>
  </si>
  <si>
    <t>ostensible</t>
  </si>
  <si>
    <t>sensational</t>
  </si>
  <si>
    <t>immaterial</t>
  </si>
  <si>
    <t>redoubtable</t>
  </si>
  <si>
    <t>fringe</t>
  </si>
  <si>
    <t>divided</t>
  </si>
  <si>
    <t>dated</t>
  </si>
  <si>
    <t>delineate</t>
  </si>
  <si>
    <t>syntax</t>
  </si>
  <si>
    <t>prose</t>
  </si>
  <si>
    <t>undue</t>
  </si>
  <si>
    <t>inflate</t>
  </si>
  <si>
    <t>beholden</t>
  </si>
  <si>
    <t>eternal</t>
  </si>
  <si>
    <t>gregarious</t>
  </si>
  <si>
    <t>worrisome</t>
  </si>
  <si>
    <t>demographic</t>
  </si>
  <si>
    <t>instigate</t>
  </si>
  <si>
    <t>rein</t>
  </si>
  <si>
    <t>ameliorate</t>
  </si>
  <si>
    <t>forge</t>
  </si>
  <si>
    <t>yield</t>
  </si>
  <si>
    <t>equivalent</t>
  </si>
  <si>
    <t>contingent</t>
  </si>
  <si>
    <t>grapple</t>
  </si>
  <si>
    <t>incongruity</t>
  </si>
  <si>
    <t>grandiloquent</t>
  </si>
  <si>
    <t>envision</t>
  </si>
  <si>
    <t>derision</t>
  </si>
  <si>
    <t>cloying</t>
  </si>
  <si>
    <t>boo</t>
  </si>
  <si>
    <t>off-key</t>
  </si>
  <si>
    <t>brag</t>
  </si>
  <si>
    <t>neutrality</t>
  </si>
  <si>
    <t>chary</t>
  </si>
  <si>
    <t>furnish</t>
  </si>
  <si>
    <t>asunder</t>
  </si>
  <si>
    <t>evasive</t>
  </si>
  <si>
    <t>successive</t>
  </si>
  <si>
    <t>detrimental</t>
  </si>
  <si>
    <t>coupon</t>
  </si>
  <si>
    <t>conclusive</t>
  </si>
  <si>
    <t>shrill</t>
  </si>
  <si>
    <t>comity</t>
  </si>
  <si>
    <t>obstruct</t>
  </si>
  <si>
    <t>patronizing</t>
  </si>
  <si>
    <t>piecemeal</t>
  </si>
  <si>
    <t>mediocre</t>
  </si>
  <si>
    <t>melancholy</t>
  </si>
  <si>
    <t>sketchy</t>
  </si>
  <si>
    <t>teetotalism</t>
  </si>
  <si>
    <t>glum</t>
  </si>
  <si>
    <t>outnumber</t>
  </si>
  <si>
    <t>disown</t>
  </si>
  <si>
    <t>acclaim</t>
  </si>
  <si>
    <t>obstreperous</t>
  </si>
  <si>
    <t>germane</t>
  </si>
  <si>
    <t>charlatan</t>
  </si>
  <si>
    <t>easygoing</t>
  </si>
  <si>
    <t>puerile</t>
  </si>
  <si>
    <t>comprise</t>
  </si>
  <si>
    <t>tenet</t>
  </si>
  <si>
    <t>mollify</t>
  </si>
  <si>
    <t>inviting</t>
  </si>
  <si>
    <t>irascible</t>
  </si>
  <si>
    <t>bookish</t>
  </si>
  <si>
    <t>demonstrative</t>
  </si>
  <si>
    <t>lowly</t>
  </si>
  <si>
    <t>chic</t>
  </si>
  <si>
    <t>dispel</t>
  </si>
  <si>
    <t>alarmist</t>
  </si>
  <si>
    <t>leach</t>
  </si>
  <si>
    <t>impart</t>
  </si>
  <si>
    <t>degrade</t>
  </si>
  <si>
    <t>necessitate</t>
  </si>
  <si>
    <t>irreparable</t>
  </si>
  <si>
    <t>straggle</t>
  </si>
  <si>
    <t>stern</t>
  </si>
  <si>
    <t>reprisal</t>
  </si>
  <si>
    <t>churlish</t>
  </si>
  <si>
    <t>beneficiary</t>
  </si>
  <si>
    <t>barring</t>
  </si>
  <si>
    <t>fascinate</t>
  </si>
  <si>
    <t>setback</t>
  </si>
  <si>
    <t>morale</t>
  </si>
  <si>
    <t>blighted</t>
  </si>
  <si>
    <t>authoritative</t>
  </si>
  <si>
    <t>verity</t>
  </si>
  <si>
    <t>perpetrate</t>
  </si>
  <si>
    <t>anthropomorphism</t>
  </si>
  <si>
    <t>tranquil</t>
  </si>
  <si>
    <t>staggering</t>
  </si>
  <si>
    <t>pledge</t>
  </si>
  <si>
    <t>overstate</t>
  </si>
  <si>
    <t>defend</t>
  </si>
  <si>
    <t>solitary</t>
  </si>
  <si>
    <t>imperative</t>
  </si>
  <si>
    <t>denigrate</t>
  </si>
  <si>
    <t>bizarre</t>
  </si>
  <si>
    <t>wealth</t>
  </si>
  <si>
    <t>involved</t>
  </si>
  <si>
    <t>harness</t>
  </si>
  <si>
    <t>mainstay</t>
  </si>
  <si>
    <t>endemic</t>
  </si>
  <si>
    <t>anachronistic</t>
  </si>
  <si>
    <t>impugn</t>
  </si>
  <si>
    <t>nominal</t>
  </si>
  <si>
    <t>fatuous</t>
  </si>
  <si>
    <t>upkeep</t>
  </si>
  <si>
    <t>accountable</t>
  </si>
  <si>
    <t>nondescript</t>
  </si>
  <si>
    <t>solace</t>
  </si>
  <si>
    <t>juvenile</t>
  </si>
  <si>
    <t>illusory</t>
  </si>
  <si>
    <t>supplicate</t>
  </si>
  <si>
    <t>admonish</t>
  </si>
  <si>
    <t>urbane</t>
  </si>
  <si>
    <t>degenerative</t>
  </si>
  <si>
    <t>susceptible</t>
  </si>
  <si>
    <t>meditate</t>
  </si>
  <si>
    <t>covert</t>
  </si>
  <si>
    <t>momentous</t>
  </si>
  <si>
    <t>pacific</t>
  </si>
  <si>
    <t>spurious</t>
  </si>
  <si>
    <t>amiss</t>
  </si>
  <si>
    <t>contiguous</t>
  </si>
  <si>
    <t>calumny</t>
  </si>
  <si>
    <t>maneuver</t>
  </si>
  <si>
    <t>dualism</t>
  </si>
  <si>
    <t>obviate</t>
  </si>
  <si>
    <t>faultless</t>
  </si>
  <si>
    <t>impregnable</t>
  </si>
  <si>
    <t>fervor</t>
  </si>
  <si>
    <t>barrier</t>
  </si>
  <si>
    <t>shabby</t>
  </si>
  <si>
    <t>alliance</t>
  </si>
  <si>
    <t>unassuming</t>
  </si>
  <si>
    <t>inchoate</t>
  </si>
  <si>
    <t>seamy</t>
  </si>
  <si>
    <t>agility</t>
  </si>
  <si>
    <t>sovereignty</t>
  </si>
  <si>
    <t>detestation</t>
  </si>
  <si>
    <t>keen</t>
  </si>
  <si>
    <t>conversant</t>
  </si>
  <si>
    <t>impassioned</t>
  </si>
  <si>
    <t>veto</t>
  </si>
  <si>
    <t>venial</t>
  </si>
  <si>
    <t>timorous</t>
  </si>
  <si>
    <t>intermittent</t>
  </si>
  <si>
    <t>predecessor</t>
  </si>
  <si>
    <t>lighthearted</t>
  </si>
  <si>
    <t>culinary</t>
  </si>
  <si>
    <t>sanity</t>
  </si>
  <si>
    <t>exquisite</t>
  </si>
  <si>
    <t>coincidental</t>
  </si>
  <si>
    <t>deterioration</t>
  </si>
  <si>
    <t>sumptuous</t>
  </si>
  <si>
    <t>coy</t>
  </si>
  <si>
    <t>elicit</t>
  </si>
  <si>
    <t>pantheon</t>
  </si>
  <si>
    <t>highlight</t>
  </si>
  <si>
    <t>demarcation</t>
  </si>
  <si>
    <t>antediluvian</t>
  </si>
  <si>
    <t>disinterested</t>
  </si>
  <si>
    <t>idiosyncrasy</t>
  </si>
  <si>
    <t>becoming</t>
  </si>
  <si>
    <t>enduring</t>
  </si>
  <si>
    <t>cantankerous</t>
  </si>
  <si>
    <t>subdue</t>
  </si>
  <si>
    <t>celerity</t>
  </si>
  <si>
    <t>retain</t>
  </si>
  <si>
    <t>rectitude</t>
  </si>
  <si>
    <t>preside</t>
  </si>
  <si>
    <t>flabby</t>
  </si>
  <si>
    <t>circumstantial</t>
  </si>
  <si>
    <t>clog</t>
  </si>
  <si>
    <t>spike</t>
  </si>
  <si>
    <t>disorient</t>
  </si>
  <si>
    <t>hodgepodge</t>
  </si>
  <si>
    <t>verge</t>
  </si>
  <si>
    <t>implacable</t>
  </si>
  <si>
    <t>cowardice</t>
  </si>
  <si>
    <t>streamline</t>
  </si>
  <si>
    <t>alien</t>
  </si>
  <si>
    <t>remedy</t>
  </si>
  <si>
    <t>bootless</t>
  </si>
  <si>
    <t>straddle</t>
  </si>
  <si>
    <t>shortsighted</t>
  </si>
  <si>
    <t>equanimity</t>
  </si>
  <si>
    <t>stupefy</t>
  </si>
  <si>
    <t>largesse</t>
  </si>
  <si>
    <t>desultory</t>
  </si>
  <si>
    <t>felicitous</t>
  </si>
  <si>
    <t>connoisseur</t>
  </si>
  <si>
    <t>mastermind</t>
  </si>
  <si>
    <t>overdue</t>
  </si>
  <si>
    <t>esoteric</t>
  </si>
  <si>
    <t>heretofore</t>
  </si>
  <si>
    <t>sanguine</t>
  </si>
  <si>
    <t>skirt</t>
  </si>
  <si>
    <t>lurk</t>
  </si>
  <si>
    <t>old-fashioned</t>
  </si>
  <si>
    <t>categorical</t>
  </si>
  <si>
    <t>maze</t>
  </si>
  <si>
    <t>stringent</t>
  </si>
  <si>
    <t>noisome</t>
  </si>
  <si>
    <t>inclined</t>
  </si>
  <si>
    <t>dim</t>
  </si>
  <si>
    <t>insightful</t>
  </si>
  <si>
    <t>viable</t>
  </si>
  <si>
    <t>aspersion</t>
  </si>
  <si>
    <t>woo</t>
  </si>
  <si>
    <t>coin</t>
  </si>
  <si>
    <t>tolerate</t>
  </si>
  <si>
    <t>eccentric</t>
  </si>
  <si>
    <t>fallacious</t>
  </si>
  <si>
    <t>immolate</t>
  </si>
  <si>
    <t>rebut</t>
  </si>
  <si>
    <t>jeopardize</t>
  </si>
  <si>
    <t>rive</t>
  </si>
  <si>
    <t>consistent</t>
  </si>
  <si>
    <t>divest</t>
  </si>
  <si>
    <t>asset</t>
  </si>
  <si>
    <t>vitriolic</t>
  </si>
  <si>
    <t>taxing</t>
  </si>
  <si>
    <t>indifferent</t>
  </si>
  <si>
    <t>condign</t>
  </si>
  <si>
    <t>spunk</t>
  </si>
  <si>
    <t>decouple</t>
  </si>
  <si>
    <t>affluent</t>
  </si>
  <si>
    <t>vanish</t>
  </si>
  <si>
    <t>loquacious</t>
  </si>
  <si>
    <t>wield</t>
  </si>
  <si>
    <t>sagacious</t>
  </si>
  <si>
    <t>apposite</t>
  </si>
  <si>
    <t>callous</t>
  </si>
  <si>
    <t>flexibility</t>
  </si>
  <si>
    <t>antiquated</t>
  </si>
  <si>
    <t>vengeful</t>
  </si>
  <si>
    <t>herald</t>
  </si>
  <si>
    <t>embellish</t>
  </si>
  <si>
    <t>stifle</t>
  </si>
  <si>
    <t>deadlock</t>
  </si>
  <si>
    <t>mimetic</t>
  </si>
  <si>
    <t>lapse</t>
  </si>
  <si>
    <t>univocal</t>
  </si>
  <si>
    <t>ratify</t>
  </si>
  <si>
    <t>ape</t>
  </si>
  <si>
    <t>absorbing</t>
  </si>
  <si>
    <t>anthology</t>
  </si>
  <si>
    <t>avow</t>
  </si>
  <si>
    <t>gall</t>
  </si>
  <si>
    <t>debase</t>
  </si>
  <si>
    <t>wherewithal</t>
  </si>
  <si>
    <t>debilitate</t>
  </si>
  <si>
    <t>dilatory</t>
  </si>
  <si>
    <t>excoriate</t>
  </si>
  <si>
    <t>judicious</t>
  </si>
  <si>
    <t>far-reaching</t>
  </si>
  <si>
    <t>trajectory</t>
  </si>
  <si>
    <t>grudge</t>
  </si>
  <si>
    <t>ordain</t>
  </si>
  <si>
    <t>maudlin</t>
  </si>
  <si>
    <t>stagnate</t>
  </si>
  <si>
    <t>meticulous</t>
  </si>
  <si>
    <t>infamy</t>
  </si>
  <si>
    <t>jaded</t>
  </si>
  <si>
    <t>immutable</t>
  </si>
  <si>
    <t>varnish</t>
  </si>
  <si>
    <t>anchor</t>
  </si>
  <si>
    <t>skeptical</t>
  </si>
  <si>
    <t>underrate</t>
  </si>
  <si>
    <t>explicit</t>
  </si>
  <si>
    <t>tantamount</t>
  </si>
  <si>
    <t>acrimony</t>
  </si>
  <si>
    <t>idealistic</t>
  </si>
  <si>
    <t>hatred</t>
  </si>
  <si>
    <t>obstinate</t>
  </si>
  <si>
    <t>pretentious</t>
  </si>
  <si>
    <t>shallow</t>
  </si>
  <si>
    <t>enamor</t>
  </si>
  <si>
    <t>tenacity</t>
  </si>
  <si>
    <t>antiquarian</t>
  </si>
  <si>
    <t>delegate</t>
  </si>
  <si>
    <t>layperson</t>
  </si>
  <si>
    <t>intricate</t>
  </si>
  <si>
    <t>founder</t>
  </si>
  <si>
    <t>figment</t>
  </si>
  <si>
    <t>epilogue</t>
  </si>
  <si>
    <t>amiable</t>
  </si>
  <si>
    <t>gargantuan</t>
  </si>
  <si>
    <t>solidarity</t>
  </si>
  <si>
    <t>genuine</t>
  </si>
  <si>
    <t>unilateral</t>
  </si>
  <si>
    <t>dull</t>
  </si>
  <si>
    <t>vintage</t>
  </si>
  <si>
    <t>multifarious</t>
  </si>
  <si>
    <t>aggrieve</t>
  </si>
  <si>
    <t>raillery</t>
  </si>
  <si>
    <t>confused</t>
  </si>
  <si>
    <t>stability</t>
  </si>
  <si>
    <t>draw</t>
  </si>
  <si>
    <t>hedonism</t>
  </si>
  <si>
    <t>hamper</t>
  </si>
  <si>
    <t>fester</t>
  </si>
  <si>
    <t>ailment</t>
  </si>
  <si>
    <t>homogeneity</t>
  </si>
  <si>
    <t>stipulate</t>
  </si>
  <si>
    <t>gleam</t>
  </si>
  <si>
    <t>pedantic</t>
  </si>
  <si>
    <t>insouciance</t>
  </si>
  <si>
    <t>byzantine</t>
  </si>
  <si>
    <t>trait</t>
  </si>
  <si>
    <t>eye-catching</t>
  </si>
  <si>
    <t>recruit</t>
  </si>
  <si>
    <t>mesmerize</t>
  </si>
  <si>
    <t>belie</t>
  </si>
  <si>
    <t>wholesome</t>
  </si>
  <si>
    <t>monger</t>
  </si>
  <si>
    <t>credulous</t>
  </si>
  <si>
    <t>acolyte</t>
  </si>
  <si>
    <t>subsidize</t>
  </si>
  <si>
    <t>equivocal</t>
  </si>
  <si>
    <t>square</t>
  </si>
  <si>
    <t>understate</t>
  </si>
  <si>
    <t>husband</t>
  </si>
  <si>
    <t>vitiate</t>
  </si>
  <si>
    <t>resurgent</t>
  </si>
  <si>
    <t>ancillary</t>
  </si>
  <si>
    <t>fickle</t>
  </si>
  <si>
    <t>benevolent</t>
  </si>
  <si>
    <t>cerebral</t>
  </si>
  <si>
    <t>acquisitive</t>
  </si>
  <si>
    <t>invention</t>
  </si>
  <si>
    <t>compliant</t>
  </si>
  <si>
    <t>commandeer</t>
  </si>
  <si>
    <t>perplex</t>
  </si>
  <si>
    <t>sublime</t>
  </si>
  <si>
    <t>novice</t>
  </si>
  <si>
    <t>ferocious</t>
  </si>
  <si>
    <t>predilection</t>
  </si>
  <si>
    <t>conscientious</t>
  </si>
  <si>
    <t>malfeasance</t>
  </si>
  <si>
    <t>incur</t>
  </si>
  <si>
    <t>aghast</t>
  </si>
  <si>
    <t>locale</t>
  </si>
  <si>
    <t>irenic</t>
  </si>
  <si>
    <t>atheism</t>
  </si>
  <si>
    <t>reconciliation</t>
  </si>
  <si>
    <t>staple</t>
  </si>
  <si>
    <t>salvation</t>
  </si>
  <si>
    <t>blatant</t>
  </si>
  <si>
    <t>indigent</t>
  </si>
  <si>
    <t>adamant</t>
  </si>
  <si>
    <t>vestige</t>
  </si>
  <si>
    <t>bromide</t>
  </si>
  <si>
    <t>embryonic</t>
  </si>
  <si>
    <t>gullible</t>
  </si>
  <si>
    <t>decelerate</t>
  </si>
  <si>
    <t>tepid</t>
  </si>
  <si>
    <t>appropriate</t>
  </si>
  <si>
    <t>aphorism</t>
  </si>
  <si>
    <t>bent</t>
  </si>
  <si>
    <t>simmer</t>
  </si>
  <si>
    <t>parse</t>
  </si>
  <si>
    <t>extant</t>
  </si>
  <si>
    <t>discard</t>
  </si>
  <si>
    <t>imperial</t>
  </si>
  <si>
    <t>debacle</t>
  </si>
  <si>
    <t>decline</t>
  </si>
  <si>
    <t>sheer</t>
  </si>
  <si>
    <t>parody</t>
  </si>
  <si>
    <t>perennial</t>
  </si>
  <si>
    <t>forebear</t>
  </si>
  <si>
    <t>palatable</t>
  </si>
  <si>
    <t>dilemma</t>
  </si>
  <si>
    <t>amalgam</t>
  </si>
  <si>
    <t>spacious</t>
  </si>
  <si>
    <t>dissemble</t>
  </si>
  <si>
    <t>galvanize</t>
  </si>
  <si>
    <t>interdependent</t>
  </si>
  <si>
    <t>impose</t>
  </si>
  <si>
    <t>veracity</t>
  </si>
  <si>
    <t>enchanting</t>
  </si>
  <si>
    <t>far-fetched</t>
  </si>
  <si>
    <t>pathetic</t>
  </si>
  <si>
    <t>outlandish</t>
  </si>
  <si>
    <t>infallibility</t>
  </si>
  <si>
    <t>offish</t>
  </si>
  <si>
    <t>distill</t>
  </si>
  <si>
    <t>patent</t>
  </si>
  <si>
    <t>agglomerate</t>
  </si>
  <si>
    <t>free-for-all</t>
  </si>
  <si>
    <t>uninformative</t>
  </si>
  <si>
    <t>decrepitude</t>
  </si>
  <si>
    <t>flush</t>
  </si>
  <si>
    <t>wholesale</t>
  </si>
  <si>
    <t>lionize</t>
  </si>
  <si>
    <t>acknowledge</t>
  </si>
  <si>
    <t>assume</t>
  </si>
  <si>
    <t>mediate</t>
  </si>
  <si>
    <t>repugnant</t>
  </si>
  <si>
    <t>uncanny</t>
  </si>
  <si>
    <t>accentuate</t>
  </si>
  <si>
    <t>cajole</t>
  </si>
  <si>
    <t>impassive</t>
  </si>
  <si>
    <t>shoddy</t>
  </si>
  <si>
    <t>imperious</t>
  </si>
  <si>
    <t>rile</t>
  </si>
  <si>
    <t>impending</t>
  </si>
  <si>
    <t>teem</t>
  </si>
  <si>
    <t>gaiety</t>
  </si>
  <si>
    <t>overthrow</t>
  </si>
  <si>
    <t>knotty</t>
  </si>
  <si>
    <t>cower</t>
  </si>
  <si>
    <t>irresistible</t>
  </si>
  <si>
    <t>stigma</t>
  </si>
  <si>
    <t>resuscitate</t>
  </si>
  <si>
    <t>scant</t>
  </si>
  <si>
    <t>bolster</t>
  </si>
  <si>
    <t>pernicious</t>
  </si>
  <si>
    <t>gauge</t>
  </si>
  <si>
    <t>bridle</t>
  </si>
  <si>
    <t>primacy</t>
  </si>
  <si>
    <t>allure</t>
  </si>
  <si>
    <t>euphony</t>
  </si>
  <si>
    <t>hibernate</t>
  </si>
  <si>
    <t>recoil</t>
  </si>
  <si>
    <t>inflammatory</t>
  </si>
  <si>
    <t>hoodwink</t>
  </si>
  <si>
    <t>trickster</t>
  </si>
  <si>
    <t>irresolution</t>
  </si>
  <si>
    <t>check</t>
  </si>
  <si>
    <t>banish</t>
  </si>
  <si>
    <t>extrovert</t>
  </si>
  <si>
    <t>posthumous</t>
  </si>
  <si>
    <t>expostulate</t>
  </si>
  <si>
    <t>overarching</t>
  </si>
  <si>
    <t>divulge</t>
  </si>
  <si>
    <t>perceptible</t>
  </si>
  <si>
    <t>attain</t>
  </si>
  <si>
    <t>gridlock</t>
  </si>
  <si>
    <t>old-timer</t>
  </si>
  <si>
    <t>reprehensible</t>
  </si>
  <si>
    <t>reproach</t>
  </si>
  <si>
    <t>moderate</t>
  </si>
  <si>
    <t>laity</t>
  </si>
  <si>
    <t>spongy</t>
  </si>
  <si>
    <t>accost</t>
  </si>
  <si>
    <t>proclaim</t>
  </si>
  <si>
    <t>perishable</t>
  </si>
  <si>
    <t>cosset</t>
  </si>
  <si>
    <t>synchronous</t>
  </si>
  <si>
    <t>laborious</t>
  </si>
  <si>
    <t>blemish</t>
  </si>
  <si>
    <t>congregate</t>
  </si>
  <si>
    <t>panache</t>
  </si>
  <si>
    <t>damp</t>
  </si>
  <si>
    <t>slapdash</t>
  </si>
  <si>
    <t>yearn</t>
  </si>
  <si>
    <t>aristocracy</t>
  </si>
  <si>
    <t>stonewall</t>
  </si>
  <si>
    <t>bucolic</t>
  </si>
  <si>
    <t>collide</t>
  </si>
  <si>
    <t>deify</t>
  </si>
  <si>
    <t>hereabouts</t>
  </si>
  <si>
    <t>adjudicate</t>
  </si>
  <si>
    <t>fraught</t>
  </si>
  <si>
    <t>catalyst</t>
  </si>
  <si>
    <t>badger</t>
  </si>
  <si>
    <t>watershed</t>
  </si>
  <si>
    <t>penchant</t>
  </si>
  <si>
    <t>recast</t>
  </si>
  <si>
    <t>fervent</t>
  </si>
  <si>
    <t>heterodox</t>
  </si>
  <si>
    <t>rebound</t>
  </si>
  <si>
    <t>etch</t>
  </si>
  <si>
    <t>persona</t>
  </si>
  <si>
    <t>sterling</t>
  </si>
  <si>
    <t>canard</t>
  </si>
  <si>
    <t>serene</t>
  </si>
  <si>
    <t>breathtaking</t>
  </si>
  <si>
    <t>articulate</t>
  </si>
  <si>
    <t>anthropology</t>
  </si>
  <si>
    <t>fiery</t>
  </si>
  <si>
    <t>dainty</t>
  </si>
  <si>
    <t>daunting</t>
  </si>
  <si>
    <t>laconic</t>
  </si>
  <si>
    <t>abbreviate</t>
  </si>
  <si>
    <t>digress</t>
  </si>
  <si>
    <t>bighearted</t>
  </si>
  <si>
    <t>shriek</t>
  </si>
  <si>
    <t>hoax</t>
  </si>
  <si>
    <t>enthrall</t>
  </si>
  <si>
    <t>murky</t>
  </si>
  <si>
    <t>contravene</t>
  </si>
  <si>
    <t>reckless</t>
  </si>
  <si>
    <t>diminish</t>
  </si>
  <si>
    <t>corporeal</t>
  </si>
  <si>
    <t>apex</t>
  </si>
  <si>
    <t>exemplary</t>
  </si>
  <si>
    <t>emollient</t>
  </si>
  <si>
    <t>flighty</t>
  </si>
  <si>
    <t>denizen</t>
  </si>
  <si>
    <t>acoustic</t>
  </si>
  <si>
    <t>prophylactic</t>
  </si>
  <si>
    <t>misuse</t>
  </si>
  <si>
    <t>relief</t>
  </si>
  <si>
    <t>divorced</t>
  </si>
  <si>
    <t>acute</t>
  </si>
  <si>
    <t>modest</t>
  </si>
  <si>
    <t>squander</t>
  </si>
  <si>
    <t>evenhanded</t>
  </si>
  <si>
    <t>fawn</t>
  </si>
  <si>
    <t>synthesis</t>
  </si>
  <si>
    <t>demise</t>
  </si>
  <si>
    <t>meet</t>
  </si>
  <si>
    <t>renewal</t>
  </si>
  <si>
    <t>counterproductive</t>
  </si>
  <si>
    <t>tarnish</t>
  </si>
  <si>
    <t>safeguard</t>
  </si>
  <si>
    <t>descendant</t>
  </si>
  <si>
    <t>rue</t>
  </si>
  <si>
    <t>salient</t>
  </si>
  <si>
    <t>general</t>
  </si>
  <si>
    <t>uncompromising</t>
  </si>
  <si>
    <t>speculation</t>
  </si>
  <si>
    <t>flit</t>
  </si>
  <si>
    <t>haunt</t>
  </si>
  <si>
    <t>nonentity</t>
  </si>
  <si>
    <t>boisterous</t>
  </si>
  <si>
    <t>decipher</t>
  </si>
  <si>
    <t>manifest</t>
  </si>
  <si>
    <t>greed</t>
  </si>
  <si>
    <t>unnerve</t>
  </si>
  <si>
    <t>salubrious</t>
  </si>
  <si>
    <t>transgress</t>
  </si>
  <si>
    <t>paramount</t>
  </si>
  <si>
    <t>disengage</t>
  </si>
  <si>
    <t>abiding</t>
  </si>
  <si>
    <t>detached</t>
  </si>
  <si>
    <t>edify</t>
  </si>
  <si>
    <t>stale</t>
  </si>
  <si>
    <t>censure</t>
  </si>
  <si>
    <t>mute</t>
  </si>
  <si>
    <t>counterintuitive</t>
  </si>
  <si>
    <t>usage</t>
  </si>
  <si>
    <t>abyss</t>
  </si>
  <si>
    <t>spare</t>
  </si>
  <si>
    <t>belligerent</t>
  </si>
  <si>
    <t>herbivorous</t>
  </si>
  <si>
    <t>legitimate</t>
  </si>
  <si>
    <t>bypass</t>
  </si>
  <si>
    <t>incivility</t>
  </si>
  <si>
    <t>predicate</t>
  </si>
  <si>
    <t>annul</t>
  </si>
  <si>
    <t>hearten</t>
  </si>
  <si>
    <t>foible</t>
  </si>
  <si>
    <t>inaugurate</t>
  </si>
  <si>
    <t>downsize</t>
  </si>
  <si>
    <t>politic</t>
  </si>
  <si>
    <t>petrify</t>
  </si>
  <si>
    <t>declamatory</t>
  </si>
  <si>
    <t>kinetic</t>
  </si>
  <si>
    <t>plausible</t>
  </si>
  <si>
    <t>untenable</t>
  </si>
  <si>
    <t>subtle</t>
  </si>
  <si>
    <t>lambaste</t>
  </si>
  <si>
    <t>fixated</t>
  </si>
  <si>
    <t>frivolous</t>
  </si>
  <si>
    <t>perilous</t>
  </si>
  <si>
    <t>orientation</t>
  </si>
  <si>
    <t>isolationism</t>
  </si>
  <si>
    <t>fell</t>
  </si>
  <si>
    <t>censor</t>
  </si>
  <si>
    <t>megalomania</t>
  </si>
  <si>
    <t>rambling</t>
  </si>
  <si>
    <t>pedagogical</t>
  </si>
  <si>
    <t>monogamy</t>
  </si>
  <si>
    <t>lopsided</t>
  </si>
  <si>
    <t>falter</t>
  </si>
  <si>
    <t>neophyte</t>
  </si>
  <si>
    <t>symmetrical</t>
  </si>
  <si>
    <t>inception</t>
  </si>
  <si>
    <t>placid</t>
  </si>
  <si>
    <t>plunge</t>
  </si>
  <si>
    <t>monarchy</t>
  </si>
  <si>
    <t>cater</t>
  </si>
  <si>
    <t>novel</t>
  </si>
  <si>
    <t>misanthrope</t>
  </si>
  <si>
    <t>fortuitous</t>
  </si>
  <si>
    <t>panacea</t>
  </si>
  <si>
    <t>ebullient</t>
  </si>
  <si>
    <t>waffle</t>
  </si>
  <si>
    <t>pressing</t>
  </si>
  <si>
    <t>wondrous</t>
  </si>
  <si>
    <t>decode</t>
  </si>
  <si>
    <t>anneal</t>
  </si>
  <si>
    <t>practitioner</t>
  </si>
  <si>
    <t>augment</t>
  </si>
  <si>
    <t>inclusive</t>
  </si>
  <si>
    <t>peccadillo</t>
  </si>
  <si>
    <t>conspire</t>
  </si>
  <si>
    <t>blunt</t>
  </si>
  <si>
    <t>valiant</t>
  </si>
  <si>
    <t>hoary</t>
  </si>
  <si>
    <t>vaporize</t>
  </si>
  <si>
    <t>clique</t>
  </si>
  <si>
    <t>instinct</t>
  </si>
  <si>
    <t>jargon</t>
  </si>
  <si>
    <t>activism</t>
  </si>
  <si>
    <t>superlative</t>
  </si>
  <si>
    <t>tyro</t>
  </si>
  <si>
    <t>deter</t>
  </si>
  <si>
    <t>refuge</t>
  </si>
  <si>
    <t>itinerant</t>
  </si>
  <si>
    <t>scribble</t>
  </si>
  <si>
    <t>garrulous</t>
  </si>
  <si>
    <t>fusty</t>
  </si>
  <si>
    <t>balloon</t>
  </si>
  <si>
    <t>economic</t>
  </si>
  <si>
    <t>jealous</t>
  </si>
  <si>
    <t>acidic</t>
  </si>
  <si>
    <t>cupidity</t>
  </si>
  <si>
    <t>factious</t>
  </si>
  <si>
    <t>strait</t>
  </si>
  <si>
    <t>officious</t>
  </si>
  <si>
    <t>supercilious</t>
  </si>
  <si>
    <t>recollect</t>
  </si>
  <si>
    <t>mishap</t>
  </si>
  <si>
    <t>disinformation</t>
  </si>
  <si>
    <t>marked</t>
  </si>
  <si>
    <t>putative</t>
  </si>
  <si>
    <t>resurface</t>
  </si>
  <si>
    <t>pagan</t>
  </si>
  <si>
    <t>extenuate</t>
  </si>
  <si>
    <t>animadversion</t>
  </si>
  <si>
    <t>bias</t>
  </si>
  <si>
    <t>scrutinize</t>
  </si>
  <si>
    <t>apogee</t>
  </si>
  <si>
    <t>impecunious</t>
  </si>
  <si>
    <t>spectacular</t>
  </si>
  <si>
    <t>half-formulated</t>
  </si>
  <si>
    <t>indolent</t>
  </si>
  <si>
    <t>chimera</t>
  </si>
  <si>
    <t>goosebumps</t>
  </si>
  <si>
    <t>predetermine</t>
  </si>
  <si>
    <t>perfidious</t>
  </si>
  <si>
    <t>renounce</t>
  </si>
  <si>
    <t>opaque</t>
  </si>
  <si>
    <t>terminology</t>
  </si>
  <si>
    <t>mimic</t>
  </si>
  <si>
    <t>versatile</t>
  </si>
  <si>
    <t>bore</t>
  </si>
  <si>
    <t>proliferate</t>
  </si>
  <si>
    <t>exiguous</t>
  </si>
  <si>
    <t>sobering</t>
  </si>
  <si>
    <t>acumen</t>
  </si>
  <si>
    <t>paragon</t>
  </si>
  <si>
    <t>assail</t>
  </si>
  <si>
    <t>colloquial</t>
  </si>
  <si>
    <t>adjourn</t>
  </si>
  <si>
    <t>rail</t>
  </si>
  <si>
    <t>plebeian</t>
  </si>
  <si>
    <t>hardliner</t>
  </si>
  <si>
    <t>oblique</t>
  </si>
  <si>
    <t>excavate</t>
  </si>
  <si>
    <t>pertinacious</t>
  </si>
  <si>
    <t>proscribe</t>
  </si>
  <si>
    <t>guzzle</t>
  </si>
  <si>
    <t>tackle</t>
  </si>
  <si>
    <t>ingenuous</t>
  </si>
  <si>
    <t>assemble</t>
  </si>
  <si>
    <t>displace</t>
  </si>
  <si>
    <t>hubris</t>
  </si>
  <si>
    <t>discomfit</t>
  </si>
  <si>
    <t>clandestine</t>
  </si>
  <si>
    <t>maverick</t>
  </si>
  <si>
    <t>indispensable</t>
  </si>
  <si>
    <t>forebode</t>
  </si>
  <si>
    <t>reflective</t>
  </si>
  <si>
    <t>preempt</t>
  </si>
  <si>
    <t>rehash</t>
  </si>
  <si>
    <t>signal</t>
  </si>
  <si>
    <t>clot</t>
  </si>
  <si>
    <t>indiscernible</t>
  </si>
  <si>
    <t>roil</t>
  </si>
  <si>
    <t>decorous</t>
  </si>
  <si>
    <t>anodyne</t>
  </si>
  <si>
    <t>replete</t>
  </si>
  <si>
    <t>compendium</t>
  </si>
  <si>
    <t>misrepresent</t>
  </si>
  <si>
    <t>decisive</t>
  </si>
  <si>
    <t>given</t>
  </si>
  <si>
    <t>backbone</t>
  </si>
  <si>
    <t>seemly</t>
  </si>
  <si>
    <t>circumspect</t>
  </si>
  <si>
    <t>hideous</t>
  </si>
  <si>
    <t>opportune</t>
  </si>
  <si>
    <t>glut</t>
  </si>
  <si>
    <t>belabor</t>
  </si>
  <si>
    <t>slump</t>
  </si>
  <si>
    <t>elemental</t>
  </si>
  <si>
    <t>aboriginal</t>
  </si>
  <si>
    <t>evacuate</t>
  </si>
  <si>
    <t>hasten</t>
  </si>
  <si>
    <t>contain</t>
  </si>
  <si>
    <t>hospitable</t>
  </si>
  <si>
    <t>domesticate</t>
  </si>
  <si>
    <t>ascendant</t>
  </si>
  <si>
    <t>spew</t>
  </si>
  <si>
    <t>synonymous</t>
  </si>
  <si>
    <t>obsequious</t>
  </si>
  <si>
    <t>tinker</t>
  </si>
  <si>
    <t>peremptory</t>
  </si>
  <si>
    <t>boor</t>
  </si>
  <si>
    <t>beset</t>
  </si>
  <si>
    <t>whereabouts</t>
  </si>
  <si>
    <t>assuming</t>
  </si>
  <si>
    <t>tenable</t>
  </si>
  <si>
    <t>pathogen</t>
  </si>
  <si>
    <t>demoralize</t>
  </si>
  <si>
    <t>chronicle</t>
  </si>
  <si>
    <t>insinuate</t>
  </si>
  <si>
    <t>glossy</t>
  </si>
  <si>
    <t>spur</t>
  </si>
  <si>
    <t>siphon</t>
  </si>
  <si>
    <t>insatiable</t>
  </si>
  <si>
    <t>premeditate</t>
  </si>
  <si>
    <t>akin</t>
  </si>
  <si>
    <t>cement</t>
  </si>
  <si>
    <t>reserved</t>
  </si>
  <si>
    <t>crave</t>
  </si>
  <si>
    <t>amicable</t>
  </si>
  <si>
    <t>jibe</t>
  </si>
  <si>
    <t>prioritize</t>
  </si>
  <si>
    <t>stickler</t>
  </si>
  <si>
    <t>sensuous</t>
  </si>
  <si>
    <t>relinquish</t>
  </si>
  <si>
    <t>erudite</t>
  </si>
  <si>
    <t>presumptuous</t>
  </si>
  <si>
    <t>schism</t>
  </si>
  <si>
    <t>retrieve</t>
  </si>
  <si>
    <t>humor</t>
  </si>
  <si>
    <t>hectic</t>
  </si>
  <si>
    <t>corollary</t>
  </si>
  <si>
    <t>leaven</t>
  </si>
  <si>
    <t>cacophony</t>
  </si>
  <si>
    <t>impressive</t>
  </si>
  <si>
    <t>lenient</t>
  </si>
  <si>
    <t>inaccessible</t>
  </si>
  <si>
    <t>supplant</t>
  </si>
  <si>
    <t>contour</t>
  </si>
  <si>
    <t>inexorable</t>
  </si>
  <si>
    <t>secular</t>
  </si>
  <si>
    <t>hard-nosed</t>
  </si>
  <si>
    <t>confine</t>
  </si>
  <si>
    <t>muddle</t>
  </si>
  <si>
    <t>snag</t>
  </si>
  <si>
    <t>conceivable</t>
  </si>
  <si>
    <t>defy</t>
  </si>
  <si>
    <t>dilettante</t>
  </si>
  <si>
    <t>self-aggrandizing</t>
  </si>
  <si>
    <t>finesse</t>
  </si>
  <si>
    <t>feasible</t>
  </si>
  <si>
    <t>cataclysm</t>
  </si>
  <si>
    <t>visible</t>
  </si>
  <si>
    <t>incipient</t>
  </si>
  <si>
    <t>snapshot</t>
  </si>
  <si>
    <t>lavish</t>
  </si>
  <si>
    <t>exorbitant</t>
  </si>
  <si>
    <t>enormous</t>
  </si>
  <si>
    <t>introspect</t>
  </si>
  <si>
    <t>disproportionate</t>
  </si>
  <si>
    <t>adhoc</t>
  </si>
  <si>
    <t>peripatetic</t>
  </si>
  <si>
    <t>hyperbole</t>
  </si>
  <si>
    <t>ominous</t>
  </si>
  <si>
    <t>exhilarate</t>
  </si>
  <si>
    <t>foreground</t>
  </si>
  <si>
    <t>plead</t>
  </si>
  <si>
    <t>eviscerate</t>
  </si>
  <si>
    <t>discrete</t>
  </si>
  <si>
    <t>catchy</t>
  </si>
  <si>
    <t>erode</t>
  </si>
  <si>
    <t>sway</t>
  </si>
  <si>
    <t>temptation</t>
  </si>
  <si>
    <t>caustic</t>
  </si>
  <si>
    <t>presage</t>
  </si>
  <si>
    <t>congruent</t>
  </si>
  <si>
    <t>fierce</t>
  </si>
  <si>
    <t>slur</t>
  </si>
  <si>
    <t>halfhearted</t>
  </si>
  <si>
    <t>heterogeneous</t>
  </si>
  <si>
    <t>oppressive</t>
  </si>
  <si>
    <t>contemplate</t>
  </si>
  <si>
    <t>indulgent</t>
  </si>
  <si>
    <t>gloat</t>
  </si>
  <si>
    <t>verifiable</t>
  </si>
  <si>
    <t>equilibrium</t>
  </si>
  <si>
    <t>tribute</t>
  </si>
  <si>
    <t>egalitarian</t>
  </si>
  <si>
    <t>droll</t>
  </si>
  <si>
    <t>profusion</t>
  </si>
  <si>
    <t>unfathomable</t>
  </si>
  <si>
    <t>crab</t>
  </si>
  <si>
    <t>circuitous</t>
  </si>
  <si>
    <t>endanger</t>
  </si>
  <si>
    <t>cagey</t>
  </si>
  <si>
    <t>collude</t>
  </si>
  <si>
    <t>thrust</t>
  </si>
  <si>
    <t>cachet</t>
  </si>
  <si>
    <t>cow</t>
  </si>
  <si>
    <t>encyclopedic</t>
  </si>
  <si>
    <t>empower</t>
  </si>
  <si>
    <t>austere</t>
  </si>
  <si>
    <t>disingenuous</t>
  </si>
  <si>
    <t>preoccupy</t>
  </si>
  <si>
    <t>nebulous</t>
  </si>
  <si>
    <t>rapprochement</t>
  </si>
  <si>
    <t>monstrous</t>
  </si>
  <si>
    <t>liable</t>
  </si>
  <si>
    <t>retroactive</t>
  </si>
  <si>
    <t>plunder</t>
  </si>
  <si>
    <t>sap</t>
  </si>
  <si>
    <t>consumption</t>
  </si>
  <si>
    <t>generic</t>
  </si>
  <si>
    <t>asperity</t>
  </si>
  <si>
    <t>bountiful</t>
  </si>
  <si>
    <t>fractious</t>
  </si>
  <si>
    <t>crass</t>
  </si>
  <si>
    <t>standstill</t>
  </si>
  <si>
    <t>beget</t>
  </si>
  <si>
    <t>epidemic</t>
  </si>
  <si>
    <t>intelligible</t>
  </si>
  <si>
    <t>palliate</t>
  </si>
  <si>
    <t>impunity</t>
  </si>
  <si>
    <t>haughty</t>
  </si>
  <si>
    <t>unruffled</t>
  </si>
  <si>
    <t>cordial</t>
  </si>
  <si>
    <t>promise</t>
  </si>
  <si>
    <t>contract</t>
  </si>
  <si>
    <t>histrionic</t>
  </si>
  <si>
    <t>listless</t>
  </si>
  <si>
    <t>contented</t>
  </si>
  <si>
    <t>well-defined</t>
  </si>
  <si>
    <t>genealogy</t>
  </si>
  <si>
    <t>spate</t>
  </si>
  <si>
    <t>revolt</t>
  </si>
  <si>
    <t>inoculate</t>
  </si>
  <si>
    <t>exempt</t>
  </si>
  <si>
    <t>avid</t>
  </si>
  <si>
    <t>wily</t>
  </si>
  <si>
    <t>egregious</t>
  </si>
  <si>
    <t>tremendous</t>
  </si>
  <si>
    <t>salacious</t>
  </si>
  <si>
    <t>fabulous</t>
  </si>
  <si>
    <t>divergent</t>
  </si>
  <si>
    <t>prudent</t>
  </si>
  <si>
    <t>protagonist</t>
  </si>
  <si>
    <t>rabid</t>
  </si>
  <si>
    <t>choreograph</t>
  </si>
  <si>
    <t>penalty</t>
  </si>
  <si>
    <t>monochromatic</t>
  </si>
  <si>
    <t>grumble</t>
  </si>
  <si>
    <t>coerce</t>
  </si>
  <si>
    <t>spoil</t>
  </si>
  <si>
    <t>inhale</t>
  </si>
  <si>
    <t>emancipate</t>
  </si>
  <si>
    <t>fervid</t>
  </si>
  <si>
    <t>temper</t>
  </si>
  <si>
    <t>cheerless</t>
  </si>
  <si>
    <t>charity</t>
  </si>
  <si>
    <t>infectious</t>
  </si>
  <si>
    <t>immense</t>
  </si>
  <si>
    <t>towering</t>
  </si>
  <si>
    <t>doom</t>
  </si>
  <si>
    <t>deviate</t>
  </si>
  <si>
    <t>grandiose</t>
  </si>
  <si>
    <t>vociferous</t>
  </si>
  <si>
    <t>obloquy</t>
  </si>
  <si>
    <t>feigned</t>
  </si>
  <si>
    <t>earthly</t>
  </si>
  <si>
    <t>obeisance</t>
  </si>
  <si>
    <t>renaissance</t>
  </si>
  <si>
    <t>pushover</t>
  </si>
  <si>
    <t>abdicate</t>
  </si>
  <si>
    <t>interminable</t>
  </si>
  <si>
    <t>slant</t>
  </si>
  <si>
    <t>obtrude</t>
  </si>
  <si>
    <t>unblemished</t>
  </si>
  <si>
    <t>indemnify</t>
  </si>
  <si>
    <t>weighty</t>
  </si>
  <si>
    <t>perfunctory</t>
  </si>
  <si>
    <t>distend</t>
  </si>
  <si>
    <t>penance</t>
  </si>
  <si>
    <t>fertile</t>
  </si>
  <si>
    <t>epoch</t>
  </si>
  <si>
    <t>gravitate</t>
  </si>
  <si>
    <t>mitigate</t>
  </si>
  <si>
    <t>debunk</t>
  </si>
  <si>
    <t>harass</t>
  </si>
  <si>
    <t>match</t>
  </si>
  <si>
    <t>gourmet</t>
  </si>
  <si>
    <t>profligate</t>
  </si>
  <si>
    <t>cavalier</t>
  </si>
  <si>
    <t>willful</t>
  </si>
  <si>
    <t>witty</t>
  </si>
  <si>
    <t>tout</t>
  </si>
  <si>
    <t>ideologue</t>
  </si>
  <si>
    <t>surplus</t>
  </si>
  <si>
    <t>cherish</t>
  </si>
  <si>
    <t>umbrage</t>
  </si>
  <si>
    <t>ubiquitous</t>
  </si>
  <si>
    <t>nimble</t>
  </si>
  <si>
    <t>perverse</t>
  </si>
  <si>
    <t>fictitious</t>
  </si>
  <si>
    <t>vacillation</t>
  </si>
  <si>
    <t>amplify</t>
  </si>
  <si>
    <t>balanced</t>
  </si>
  <si>
    <t>steadfast</t>
  </si>
  <si>
    <t>converge</t>
  </si>
  <si>
    <t>accord</t>
  </si>
  <si>
    <t>underplay</t>
  </si>
  <si>
    <t>insurrection</t>
  </si>
  <si>
    <t>probe</t>
  </si>
  <si>
    <t>emblematic</t>
  </si>
  <si>
    <t>predominant</t>
  </si>
  <si>
    <t>moody</t>
  </si>
  <si>
    <t>sham</t>
  </si>
  <si>
    <t>bifurcate</t>
  </si>
  <si>
    <t>underlie</t>
  </si>
  <si>
    <t>induce</t>
  </si>
  <si>
    <t>succor</t>
  </si>
  <si>
    <t>synergy</t>
  </si>
  <si>
    <t>mordant</t>
  </si>
  <si>
    <t>encomium</t>
  </si>
  <si>
    <t>fashion</t>
  </si>
  <si>
    <t>reproduce</t>
  </si>
  <si>
    <t>spin</t>
  </si>
  <si>
    <t>hallmark</t>
  </si>
  <si>
    <t>sporadic</t>
  </si>
  <si>
    <t>chicanery</t>
  </si>
  <si>
    <t>garish</t>
  </si>
  <si>
    <t>retribution</t>
  </si>
  <si>
    <t>thorough</t>
  </si>
  <si>
    <t>abound</t>
  </si>
  <si>
    <t>feedback</t>
  </si>
  <si>
    <t>ornamental</t>
  </si>
  <si>
    <t>compensate</t>
  </si>
  <si>
    <t>appraise</t>
  </si>
  <si>
    <t>confederacy</t>
  </si>
  <si>
    <t>intuitive</t>
  </si>
  <si>
    <t>render</t>
  </si>
  <si>
    <t>rampant</t>
  </si>
  <si>
    <t>redeem</t>
  </si>
  <si>
    <t>minutia</t>
  </si>
  <si>
    <t>imprudent</t>
  </si>
  <si>
    <t>virulent</t>
  </si>
  <si>
    <t>forestall</t>
  </si>
  <si>
    <t>prune</t>
  </si>
  <si>
    <t>screed</t>
  </si>
  <si>
    <t>conflate</t>
  </si>
  <si>
    <t>overshadow</t>
  </si>
  <si>
    <t>dispense</t>
  </si>
  <si>
    <t>hagiography</t>
  </si>
  <si>
    <t>invaluable</t>
  </si>
  <si>
    <t>grandeur</t>
  </si>
  <si>
    <t>cognizant</t>
  </si>
  <si>
    <t>bogus</t>
  </si>
  <si>
    <t>elaborate</t>
  </si>
  <si>
    <t>byline</t>
  </si>
  <si>
    <t>jeremiad</t>
  </si>
  <si>
    <t>intrinsic</t>
  </si>
  <si>
    <t>sequel</t>
  </si>
  <si>
    <t>luxuriant</t>
  </si>
  <si>
    <t>aesthetic</t>
  </si>
  <si>
    <t>redolent</t>
  </si>
  <si>
    <t>detract</t>
  </si>
  <si>
    <t>elegiac</t>
  </si>
  <si>
    <t>counterpart</t>
  </si>
  <si>
    <t>optimism</t>
  </si>
  <si>
    <t>girth</t>
  </si>
  <si>
    <t>arrogant</t>
  </si>
  <si>
    <t>rejoice</t>
  </si>
  <si>
    <t>cluster</t>
  </si>
  <si>
    <t>cloak</t>
  </si>
  <si>
    <t>rife</t>
  </si>
  <si>
    <t>partisan</t>
  </si>
  <si>
    <t>peripheral</t>
  </si>
  <si>
    <t>nascent</t>
  </si>
  <si>
    <t>overt</t>
  </si>
  <si>
    <t>nonplus</t>
  </si>
  <si>
    <t>irrefutable</t>
  </si>
  <si>
    <t>rant</t>
  </si>
  <si>
    <t>hortatory</t>
  </si>
  <si>
    <t>tendentious</t>
  </si>
  <si>
    <t>indignant</t>
  </si>
  <si>
    <t>antecedent</t>
  </si>
  <si>
    <t>fuel</t>
  </si>
  <si>
    <t>intrude</t>
  </si>
  <si>
    <t>naysayer</t>
  </si>
  <si>
    <t>pragmatic</t>
  </si>
  <si>
    <t>whimsical</t>
  </si>
  <si>
    <t>belittle</t>
  </si>
  <si>
    <t>edible</t>
  </si>
  <si>
    <t>beneficence</t>
  </si>
  <si>
    <t>preternatural</t>
  </si>
  <si>
    <t>brackish</t>
  </si>
  <si>
    <t>consummate</t>
  </si>
  <si>
    <t>proposition</t>
  </si>
  <si>
    <t>bewilder</t>
  </si>
  <si>
    <t>auspicious</t>
  </si>
  <si>
    <t>restless</t>
  </si>
  <si>
    <t>narcissism</t>
  </si>
  <si>
    <t>celebrate</t>
  </si>
  <si>
    <t>hypercritical</t>
  </si>
  <si>
    <t>denounce</t>
  </si>
  <si>
    <t>unsettle</t>
  </si>
  <si>
    <t>congest</t>
  </si>
  <si>
    <t>abuse</t>
  </si>
  <si>
    <t>combustion</t>
  </si>
  <si>
    <t>inextricable</t>
  </si>
  <si>
    <t>misguide</t>
  </si>
  <si>
    <t>sententious</t>
  </si>
  <si>
    <t>dilapidate</t>
  </si>
  <si>
    <t>imitate</t>
  </si>
  <si>
    <t>destructive</t>
  </si>
  <si>
    <t>flamboyant</t>
  </si>
  <si>
    <t>opulent</t>
  </si>
  <si>
    <t>coarse</t>
  </si>
  <si>
    <t>residual</t>
  </si>
  <si>
    <t>languish</t>
  </si>
  <si>
    <t>corrupt</t>
  </si>
  <si>
    <t>insult</t>
  </si>
  <si>
    <t>calibrate</t>
  </si>
  <si>
    <t>effulgent</t>
  </si>
  <si>
    <t>agonize</t>
  </si>
  <si>
    <t>mutual</t>
  </si>
  <si>
    <t>high-minded</t>
  </si>
  <si>
    <t>adorn</t>
  </si>
  <si>
    <t>contemporary</t>
  </si>
  <si>
    <t>rarefied</t>
  </si>
  <si>
    <t>merchandise</t>
  </si>
  <si>
    <t>exultant</t>
  </si>
  <si>
    <t>panegyric</t>
  </si>
  <si>
    <t>subterfuge</t>
  </si>
  <si>
    <t>alternative</t>
  </si>
  <si>
    <t>avant-garde</t>
  </si>
  <si>
    <t>obsessed</t>
  </si>
  <si>
    <t>mighty</t>
  </si>
  <si>
    <t>culpable</t>
  </si>
  <si>
    <t>fetter</t>
  </si>
  <si>
    <t>condescending</t>
  </si>
  <si>
    <t>temporary</t>
  </si>
  <si>
    <t>centralize</t>
  </si>
  <si>
    <t>halcyon</t>
  </si>
  <si>
    <t>dejected</t>
  </si>
  <si>
    <t>hysteria</t>
  </si>
  <si>
    <t>ironic</t>
  </si>
  <si>
    <t>antebellum</t>
  </si>
  <si>
    <t>awash</t>
  </si>
  <si>
    <t>overextend</t>
  </si>
  <si>
    <t>autocrat</t>
  </si>
  <si>
    <t>utopia</t>
  </si>
  <si>
    <t>impenetrable</t>
  </si>
  <si>
    <t>tribulation</t>
  </si>
  <si>
    <t>sentimental</t>
  </si>
  <si>
    <t>imbibe</t>
  </si>
  <si>
    <t>endorse</t>
  </si>
  <si>
    <t>cynical</t>
  </si>
  <si>
    <t>intimate</t>
  </si>
  <si>
    <t>predispose</t>
  </si>
  <si>
    <t>needy</t>
  </si>
  <si>
    <t>chivalrous</t>
  </si>
  <si>
    <t>forfeit</t>
  </si>
  <si>
    <t>impair</t>
  </si>
  <si>
    <t>rage</t>
  </si>
  <si>
    <t>glib</t>
  </si>
  <si>
    <t>burlesque</t>
  </si>
  <si>
    <t>blameless</t>
  </si>
  <si>
    <t>strain</t>
  </si>
  <si>
    <t>lackluster</t>
  </si>
  <si>
    <t>stratified</t>
  </si>
  <si>
    <t>bumbling</t>
  </si>
  <si>
    <t>quiver</t>
  </si>
  <si>
    <t>emphatic</t>
  </si>
  <si>
    <t>foretell</t>
  </si>
  <si>
    <t>pivotal</t>
  </si>
  <si>
    <t>arrest</t>
  </si>
  <si>
    <t>calculated</t>
  </si>
  <si>
    <t>transcend</t>
  </si>
  <si>
    <t>rapport</t>
  </si>
  <si>
    <t>conform</t>
  </si>
  <si>
    <t>foundation</t>
  </si>
  <si>
    <t>fetishize</t>
  </si>
  <si>
    <t>braggadocio</t>
  </si>
  <si>
    <t>foray</t>
  </si>
  <si>
    <t>plagiarize</t>
  </si>
  <si>
    <t>revive</t>
  </si>
  <si>
    <t>gaffe</t>
  </si>
  <si>
    <t>sympathetic</t>
  </si>
  <si>
    <t>sartorial</t>
  </si>
  <si>
    <t>providential</t>
  </si>
  <si>
    <t>ethos</t>
  </si>
  <si>
    <t>mirth</t>
  </si>
  <si>
    <t>cleave</t>
  </si>
  <si>
    <t>anomaly</t>
  </si>
  <si>
    <t>peregrinate</t>
  </si>
  <si>
    <t>enjoin</t>
  </si>
  <si>
    <t>compartmentalize</t>
  </si>
  <si>
    <t>vainglorious</t>
  </si>
  <si>
    <t>curator</t>
  </si>
  <si>
    <t>burgeon</t>
  </si>
  <si>
    <t>divination</t>
  </si>
  <si>
    <t>concrete</t>
  </si>
  <si>
    <t>fury</t>
  </si>
  <si>
    <t>espouse</t>
  </si>
  <si>
    <t>sloth</t>
  </si>
  <si>
    <t>adverse</t>
  </si>
  <si>
    <t>quack</t>
  </si>
  <si>
    <t>finale</t>
  </si>
  <si>
    <t>obnoxious</t>
  </si>
  <si>
    <t>discretion</t>
  </si>
  <si>
    <t>quirky</t>
  </si>
  <si>
    <t>laudatory</t>
  </si>
  <si>
    <t>backfire</t>
  </si>
  <si>
    <t>garnish</t>
  </si>
  <si>
    <t>earnest</t>
  </si>
  <si>
    <t>idiomatic</t>
  </si>
  <si>
    <t>revile</t>
  </si>
  <si>
    <t>accession</t>
  </si>
  <si>
    <t>vacant</t>
  </si>
  <si>
    <t>unchecked</t>
  </si>
  <si>
    <t>heinous</t>
  </si>
  <si>
    <t>fetid</t>
  </si>
  <si>
    <t>civic</t>
  </si>
  <si>
    <t>obstacle</t>
  </si>
  <si>
    <t>taciturn</t>
  </si>
  <si>
    <t>delve</t>
  </si>
  <si>
    <t>confiscate</t>
  </si>
  <si>
    <t>bloom</t>
  </si>
  <si>
    <t>abnegation</t>
  </si>
  <si>
    <t>trammel</t>
  </si>
  <si>
    <t>apathy</t>
  </si>
  <si>
    <t>controversial</t>
  </si>
  <si>
    <t>enrich</t>
  </si>
  <si>
    <t>conjure</t>
  </si>
  <si>
    <t>amenable</t>
  </si>
  <si>
    <t>strand</t>
  </si>
  <si>
    <t>refine</t>
  </si>
  <si>
    <t>charisma</t>
  </si>
  <si>
    <t>requisite</t>
  </si>
  <si>
    <t>liberation</t>
  </si>
  <si>
    <t>cast-iron</t>
  </si>
  <si>
    <t>missionary</t>
  </si>
  <si>
    <t>curt</t>
  </si>
  <si>
    <t>advantage</t>
  </si>
  <si>
    <t>instrumental</t>
  </si>
  <si>
    <t>vested</t>
  </si>
  <si>
    <t>inure</t>
  </si>
  <si>
    <t>resort</t>
  </si>
  <si>
    <t>downplay</t>
  </si>
  <si>
    <t>decadent</t>
  </si>
  <si>
    <t>nonsensical</t>
  </si>
  <si>
    <t>informative</t>
  </si>
  <si>
    <t>elate</t>
  </si>
  <si>
    <t>levity</t>
  </si>
  <si>
    <t>upsurge</t>
  </si>
  <si>
    <t>invidious</t>
  </si>
  <si>
    <t>impetuous</t>
  </si>
  <si>
    <t>misnomer</t>
  </si>
  <si>
    <t>cunning</t>
  </si>
  <si>
    <t>ambivalence</t>
  </si>
  <si>
    <t>intermediary</t>
  </si>
  <si>
    <t>undermine</t>
  </si>
  <si>
    <t>court</t>
  </si>
  <si>
    <t>dispatch</t>
  </si>
  <si>
    <t>flatter</t>
  </si>
  <si>
    <t>implicate</t>
  </si>
  <si>
    <t>permeable</t>
  </si>
  <si>
    <t>comparable</t>
  </si>
  <si>
    <t>devoid</t>
  </si>
  <si>
    <t>expedite</t>
  </si>
  <si>
    <t>prescient</t>
  </si>
  <si>
    <t>backhanded</t>
  </si>
  <si>
    <t>abominate</t>
  </si>
  <si>
    <t>uneven</t>
  </si>
  <si>
    <t>stereotype</t>
  </si>
  <si>
    <t>ecumenical</t>
  </si>
  <si>
    <t>impeachable</t>
  </si>
  <si>
    <t>spiteful</t>
  </si>
  <si>
    <t>forthcoming</t>
  </si>
  <si>
    <t>insipid</t>
  </si>
  <si>
    <t>justify</t>
  </si>
  <si>
    <t>counterfeit</t>
  </si>
  <si>
    <t>provenance</t>
  </si>
  <si>
    <t>handicap</t>
  </si>
  <si>
    <t>harsh</t>
  </si>
  <si>
    <t>constrain</t>
  </si>
  <si>
    <t>genial</t>
  </si>
  <si>
    <t>quash</t>
  </si>
  <si>
    <t>recalcitrant</t>
  </si>
  <si>
    <t>snare</t>
  </si>
  <si>
    <t>abstinence</t>
  </si>
  <si>
    <t>upbeat</t>
  </si>
  <si>
    <t>aback</t>
  </si>
  <si>
    <t>deplete</t>
  </si>
  <si>
    <t>prerogative</t>
  </si>
  <si>
    <t>unalloyed</t>
  </si>
  <si>
    <t>prejudice</t>
  </si>
  <si>
    <t>stemma</t>
  </si>
  <si>
    <t>contaminate</t>
  </si>
  <si>
    <t>ignorance</t>
  </si>
  <si>
    <t>exasperation</t>
  </si>
  <si>
    <t>incumbent</t>
  </si>
  <si>
    <t>pensive</t>
  </si>
  <si>
    <t>oust</t>
  </si>
  <si>
    <t>businesslike</t>
  </si>
  <si>
    <t>contrite</t>
  </si>
  <si>
    <t>wither</t>
  </si>
  <si>
    <t>unsurpassed</t>
  </si>
  <si>
    <t>uncharted</t>
  </si>
  <si>
    <t>anticipate</t>
  </si>
  <si>
    <t>virtuosity</t>
  </si>
  <si>
    <t>condone</t>
  </si>
  <si>
    <t>disquiet</t>
  </si>
  <si>
    <t>apocryphal</t>
  </si>
  <si>
    <t>steer</t>
  </si>
  <si>
    <t>ignite</t>
  </si>
  <si>
    <t>unearth</t>
  </si>
  <si>
    <t>dreary</t>
  </si>
  <si>
    <t>engaging</t>
  </si>
  <si>
    <t>verve</t>
  </si>
  <si>
    <t>unflappable</t>
  </si>
  <si>
    <t>surfeit</t>
  </si>
  <si>
    <t>secondhand</t>
  </si>
  <si>
    <t>indict</t>
  </si>
  <si>
    <t>resolute</t>
  </si>
  <si>
    <t>interject</t>
  </si>
  <si>
    <t>master</t>
  </si>
  <si>
    <t>unambiguous</t>
  </si>
  <si>
    <t>utter</t>
  </si>
  <si>
    <t>limpid</t>
  </si>
  <si>
    <t>artful</t>
  </si>
  <si>
    <t>mar</t>
  </si>
  <si>
    <t>ductile</t>
  </si>
  <si>
    <t>seethe</t>
  </si>
  <si>
    <t>comprehend</t>
  </si>
  <si>
    <t>absurd</t>
  </si>
  <si>
    <t>remarkable</t>
  </si>
  <si>
    <t>vulnerable</t>
  </si>
  <si>
    <t>nihilism</t>
  </si>
  <si>
    <t>pastiche</t>
  </si>
  <si>
    <t>incursion</t>
  </si>
  <si>
    <t>halt</t>
  </si>
  <si>
    <t>engrossing</t>
  </si>
  <si>
    <t>veer</t>
  </si>
  <si>
    <t>astronomical</t>
  </si>
  <si>
    <t>prying</t>
  </si>
  <si>
    <t>contemptuous</t>
  </si>
  <si>
    <t>magnanimous</t>
  </si>
  <si>
    <t>scathing</t>
  </si>
  <si>
    <t>sweeping</t>
  </si>
  <si>
    <t>anemia</t>
  </si>
  <si>
    <t>malodorous</t>
  </si>
  <si>
    <t>entreat</t>
  </si>
  <si>
    <t>florid</t>
  </si>
  <si>
    <t>revitalize</t>
  </si>
  <si>
    <t>petty</t>
  </si>
  <si>
    <t>detritus</t>
  </si>
  <si>
    <t>flair</t>
  </si>
  <si>
    <t>sever</t>
  </si>
  <si>
    <t>cryptic</t>
  </si>
  <si>
    <t>lucid</t>
  </si>
  <si>
    <t>assiduous</t>
  </si>
  <si>
    <t>elude</t>
  </si>
  <si>
    <t>enlighten</t>
  </si>
  <si>
    <t>vertiginous</t>
  </si>
  <si>
    <t>opinionated</t>
  </si>
  <si>
    <t>munificent</t>
  </si>
  <si>
    <t>abrogate</t>
  </si>
  <si>
    <t>pendulum</t>
  </si>
  <si>
    <t>unostentatious</t>
  </si>
  <si>
    <t>formulaic</t>
  </si>
  <si>
    <t>vertigo</t>
  </si>
  <si>
    <t>settled</t>
  </si>
  <si>
    <t>prestige</t>
  </si>
  <si>
    <t>retrofit</t>
  </si>
  <si>
    <t>futile</t>
  </si>
  <si>
    <t>nullify</t>
  </si>
  <si>
    <t>melodious</t>
  </si>
  <si>
    <t>effusive</t>
  </si>
  <si>
    <t>genteel</t>
  </si>
  <si>
    <t>anthropogenic</t>
  </si>
  <si>
    <t>confluence</t>
  </si>
  <si>
    <t>clamorous</t>
  </si>
  <si>
    <t>persist</t>
  </si>
  <si>
    <t>slumberous</t>
  </si>
  <si>
    <t>transparent</t>
  </si>
  <si>
    <t>expatriate</t>
  </si>
  <si>
    <t>reparation</t>
  </si>
  <si>
    <t>bereave</t>
  </si>
  <si>
    <t>molder</t>
  </si>
  <si>
    <t>pessimistic</t>
  </si>
  <si>
    <t>expel</t>
  </si>
  <si>
    <t>expurgate</t>
  </si>
  <si>
    <t>peruse</t>
  </si>
  <si>
    <t>sidestep</t>
  </si>
  <si>
    <t>peer</t>
  </si>
  <si>
    <t>concede</t>
  </si>
  <si>
    <t>zealot</t>
  </si>
  <si>
    <t>albeit</t>
  </si>
  <si>
    <t>tantalize</t>
  </si>
  <si>
    <t>tawdry</t>
  </si>
  <si>
    <t>lucubration</t>
  </si>
  <si>
    <t>analytical</t>
  </si>
  <si>
    <t>sectarian</t>
  </si>
  <si>
    <t>pitfall</t>
  </si>
  <si>
    <t>pique</t>
  </si>
  <si>
    <t>caricature</t>
  </si>
  <si>
    <t>durable</t>
  </si>
  <si>
    <t>villainous</t>
  </si>
  <si>
    <t>vibrant</t>
  </si>
  <si>
    <t>buoy</t>
  </si>
  <si>
    <t>recondite</t>
  </si>
  <si>
    <t>self-regard</t>
  </si>
  <si>
    <t>pine</t>
  </si>
  <si>
    <t>abash</t>
  </si>
  <si>
    <t>flummery</t>
  </si>
  <si>
    <t>multitudinous</t>
  </si>
  <si>
    <t>amorphous</t>
  </si>
  <si>
    <t>attenuate</t>
  </si>
  <si>
    <t>connote</t>
  </si>
  <si>
    <t>exculpate</t>
  </si>
  <si>
    <t>outright</t>
  </si>
  <si>
    <t>override</t>
  </si>
  <si>
    <t>gourmand</t>
  </si>
  <si>
    <t>miserly</t>
  </si>
  <si>
    <t>barbarity</t>
  </si>
  <si>
    <t>baroque</t>
  </si>
  <si>
    <t>bishop</t>
  </si>
  <si>
    <t>entangle</t>
  </si>
  <si>
    <t>opprobrium</t>
  </si>
  <si>
    <t>evangelist</t>
  </si>
  <si>
    <t>qualify</t>
  </si>
  <si>
    <t>elongate</t>
  </si>
  <si>
    <t>visionary</t>
  </si>
  <si>
    <t>recapitulate</t>
  </si>
  <si>
    <t>shortcut</t>
  </si>
  <si>
    <t>prescribe</t>
  </si>
  <si>
    <t>rapacious</t>
  </si>
  <si>
    <t>adjacent</t>
  </si>
  <si>
    <t>monolithic</t>
  </si>
  <si>
    <t>usher</t>
  </si>
  <si>
    <t>rattle</t>
  </si>
  <si>
    <t>shrink</t>
  </si>
  <si>
    <t>outdated</t>
  </si>
  <si>
    <t>cronyism</t>
  </si>
  <si>
    <t>progenitor</t>
  </si>
  <si>
    <t>splendor</t>
  </si>
  <si>
    <t>slipshod</t>
  </si>
  <si>
    <t>manuscript</t>
  </si>
  <si>
    <t>duplicity</t>
  </si>
  <si>
    <t>mince</t>
  </si>
  <si>
    <t>innocuous</t>
  </si>
  <si>
    <t>seclusion</t>
  </si>
  <si>
    <t>xenophobic</t>
  </si>
  <si>
    <t>fluid</t>
  </si>
  <si>
    <t>commotion</t>
  </si>
  <si>
    <t>quizzical</t>
  </si>
  <si>
    <t>proverbial</t>
  </si>
  <si>
    <t>grouchy</t>
  </si>
  <si>
    <t>stilted</t>
  </si>
  <si>
    <t>audacious</t>
  </si>
  <si>
    <t>compunction</t>
  </si>
  <si>
    <t>incompatible</t>
  </si>
  <si>
    <t>bemoan</t>
  </si>
  <si>
    <t>modulate</t>
  </si>
  <si>
    <t>exponent</t>
  </si>
  <si>
    <t>juxtapose</t>
  </si>
  <si>
    <t>canonical</t>
  </si>
  <si>
    <t>prophetic</t>
  </si>
  <si>
    <t>disseminate</t>
  </si>
  <si>
    <t>motley</t>
  </si>
  <si>
    <t>inscrutable</t>
  </si>
  <si>
    <t>intangible</t>
  </si>
  <si>
    <t>caterwaul</t>
  </si>
  <si>
    <t>rally</t>
  </si>
  <si>
    <t>uprising</t>
  </si>
  <si>
    <t>fiscal</t>
  </si>
  <si>
    <t>sacrifice</t>
  </si>
  <si>
    <t>disconcert</t>
  </si>
  <si>
    <t>idle</t>
  </si>
  <si>
    <t>flout</t>
  </si>
  <si>
    <t>grotesque</t>
  </si>
  <si>
    <t>govern</t>
  </si>
  <si>
    <t>antipathy</t>
  </si>
  <si>
    <t>shrewd</t>
  </si>
  <si>
    <t>thrift</t>
  </si>
  <si>
    <t>importunate</t>
  </si>
  <si>
    <t>meander</t>
  </si>
  <si>
    <t>betray</t>
  </si>
  <si>
    <t>presuppose</t>
  </si>
  <si>
    <t>derelict</t>
  </si>
  <si>
    <t>intriguing</t>
  </si>
  <si>
    <t>exploit</t>
  </si>
  <si>
    <t>demur</t>
  </si>
  <si>
    <t>propitious</t>
  </si>
  <si>
    <t>ossify</t>
  </si>
  <si>
    <t>castigate</t>
  </si>
  <si>
    <t>snobbish</t>
  </si>
  <si>
    <t>bleak</t>
  </si>
  <si>
    <t>query</t>
  </si>
  <si>
    <t>ethical</t>
  </si>
  <si>
    <t>comply</t>
  </si>
  <si>
    <t>enigmatic</t>
  </si>
  <si>
    <t>lull</t>
  </si>
  <si>
    <t>antagonistic</t>
  </si>
  <si>
    <t>universal</t>
  </si>
  <si>
    <t>ascetic</t>
  </si>
  <si>
    <t>allege</t>
  </si>
  <si>
    <t>tactic</t>
  </si>
  <si>
    <t>slender</t>
  </si>
  <si>
    <t>leak</t>
  </si>
  <si>
    <t>abstruse</t>
  </si>
  <si>
    <t>reiterate</t>
  </si>
  <si>
    <t>obligatory</t>
  </si>
  <si>
    <t>mirror</t>
  </si>
  <si>
    <t>conjunction</t>
  </si>
  <si>
    <t>clutch</t>
  </si>
  <si>
    <t>pathos</t>
  </si>
  <si>
    <t>respite</t>
  </si>
  <si>
    <t>sermon</t>
  </si>
  <si>
    <t>avenge</t>
  </si>
  <si>
    <t>redouble</t>
  </si>
  <si>
    <t>penitent</t>
  </si>
  <si>
    <t>annal</t>
  </si>
  <si>
    <t>mold</t>
  </si>
  <si>
    <t>lethargic</t>
  </si>
  <si>
    <t>ephemeral</t>
  </si>
  <si>
    <t>exposition</t>
  </si>
  <si>
    <t>dissipate</t>
  </si>
  <si>
    <t>bulky</t>
  </si>
  <si>
    <t>apocalypse</t>
  </si>
  <si>
    <t>documentary</t>
  </si>
  <si>
    <t>hinder</t>
  </si>
  <si>
    <t>motivate</t>
  </si>
  <si>
    <t>bungle</t>
  </si>
  <si>
    <t>unrelenting</t>
  </si>
  <si>
    <t>disinclination</t>
  </si>
  <si>
    <t>comical</t>
  </si>
  <si>
    <t>grimy</t>
  </si>
  <si>
    <t>stingy</t>
  </si>
  <si>
    <t>extraordinary</t>
  </si>
  <si>
    <t>diverting</t>
  </si>
  <si>
    <t>tentative</t>
  </si>
  <si>
    <t>obtrusive</t>
  </si>
  <si>
    <t>voluble</t>
  </si>
  <si>
    <t>bitter</t>
  </si>
  <si>
    <t>unattainable</t>
  </si>
  <si>
    <t>hitherto</t>
  </si>
  <si>
    <t>draconian</t>
  </si>
  <si>
    <t>delude</t>
  </si>
  <si>
    <t>heartrending</t>
  </si>
  <si>
    <t>simulate</t>
  </si>
  <si>
    <t>bedrock</t>
  </si>
  <si>
    <t>banter</t>
  </si>
  <si>
    <t>quaff</t>
  </si>
  <si>
    <t>progeny</t>
  </si>
  <si>
    <t>benefactor</t>
  </si>
  <si>
    <t>drag</t>
  </si>
  <si>
    <t>inculpate</t>
  </si>
  <si>
    <t>persevere</t>
  </si>
  <si>
    <t>poise</t>
  </si>
  <si>
    <t>sanction</t>
  </si>
  <si>
    <t>barren</t>
  </si>
  <si>
    <t>inexplicable</t>
  </si>
  <si>
    <t>tilt</t>
  </si>
  <si>
    <t>attorney</t>
  </si>
  <si>
    <t>ideology</t>
  </si>
  <si>
    <t>incomprehensible</t>
  </si>
  <si>
    <t>objurgation</t>
  </si>
  <si>
    <t>palpable</t>
  </si>
  <si>
    <t>abject</t>
  </si>
  <si>
    <t>timid</t>
  </si>
  <si>
    <t>echo</t>
  </si>
  <si>
    <t>fatigue</t>
  </si>
  <si>
    <t>boundary</t>
  </si>
  <si>
    <t>toady</t>
  </si>
  <si>
    <t>polymath</t>
  </si>
  <si>
    <t>timely</t>
  </si>
  <si>
    <t>rhetorical</t>
  </si>
  <si>
    <t>succinct</t>
  </si>
  <si>
    <t>boast</t>
  </si>
  <si>
    <t>ploy</t>
  </si>
  <si>
    <t>complacent</t>
  </si>
  <si>
    <t>stomach</t>
  </si>
  <si>
    <t>unfounded</t>
  </si>
  <si>
    <t>bequeath</t>
  </si>
  <si>
    <t>grant</t>
  </si>
  <si>
    <t>soothe</t>
  </si>
  <si>
    <t>plague</t>
  </si>
  <si>
    <t>polemic</t>
  </si>
  <si>
    <t>meretricious</t>
  </si>
  <si>
    <t>lucrative</t>
  </si>
  <si>
    <t>absolute</t>
  </si>
  <si>
    <t>shackle</t>
  </si>
  <si>
    <t>prevaricate</t>
  </si>
  <si>
    <t>befuddle</t>
  </si>
  <si>
    <t>adopt</t>
  </si>
  <si>
    <t>belated</t>
  </si>
  <si>
    <t>trivial</t>
  </si>
  <si>
    <t>spendthrift</t>
  </si>
  <si>
    <t>overblown</t>
  </si>
  <si>
    <t>infuriate</t>
  </si>
  <si>
    <t>level-headed</t>
  </si>
  <si>
    <t>apology</t>
  </si>
  <si>
    <t>deflate</t>
  </si>
  <si>
    <t>self-righteous</t>
  </si>
  <si>
    <t>imminent</t>
  </si>
  <si>
    <t>emendation</t>
  </si>
  <si>
    <t>smother</t>
  </si>
  <si>
    <t>inborn</t>
  </si>
  <si>
    <t>exotic</t>
  </si>
  <si>
    <t>doctrinaire</t>
  </si>
  <si>
    <t>devastate</t>
  </si>
  <si>
    <t>paucity</t>
  </si>
  <si>
    <t>discretionary</t>
  </si>
  <si>
    <t>detect</t>
  </si>
  <si>
    <t>insular</t>
  </si>
  <si>
    <t>impertinent</t>
  </si>
  <si>
    <t>minimize</t>
  </si>
  <si>
    <t>rationale</t>
  </si>
  <si>
    <t>commence</t>
  </si>
  <si>
    <t>impasse</t>
  </si>
  <si>
    <t>reluctant</t>
  </si>
  <si>
    <t>abandon</t>
  </si>
  <si>
    <t>revision</t>
  </si>
  <si>
    <t>outstrip</t>
  </si>
  <si>
    <t>industrious</t>
  </si>
  <si>
    <t>awe</t>
  </si>
  <si>
    <t>severe</t>
  </si>
  <si>
    <t>malady</t>
  </si>
  <si>
    <t>entrench</t>
  </si>
  <si>
    <t>disquisition</t>
  </si>
  <si>
    <t>clownish</t>
  </si>
  <si>
    <t>capitulate</t>
  </si>
  <si>
    <t>mould</t>
  </si>
  <si>
    <t>modish</t>
  </si>
  <si>
    <t>token</t>
  </si>
  <si>
    <t>parity</t>
  </si>
  <si>
    <t>bluster</t>
  </si>
  <si>
    <t>nonspecialist</t>
  </si>
  <si>
    <t>mandate</t>
  </si>
  <si>
    <t>truism</t>
  </si>
  <si>
    <t>apparel</t>
  </si>
  <si>
    <t>brake</t>
  </si>
  <si>
    <t>assert</t>
  </si>
  <si>
    <t>boom</t>
  </si>
  <si>
    <t>archive</t>
  </si>
  <si>
    <t>proponent</t>
  </si>
  <si>
    <t>immortality</t>
  </si>
  <si>
    <t>deplorable</t>
  </si>
  <si>
    <t>bombard</t>
  </si>
  <si>
    <t>ingratiate</t>
  </si>
  <si>
    <t>purport</t>
  </si>
  <si>
    <t>dovish</t>
  </si>
  <si>
    <t>tyrant</t>
  </si>
  <si>
    <t>catastrophe</t>
  </si>
  <si>
    <t>fragmentary</t>
  </si>
  <si>
    <t>rankle</t>
  </si>
  <si>
    <t>superstition</t>
  </si>
  <si>
    <t>annihilate</t>
  </si>
  <si>
    <t>ennui</t>
  </si>
  <si>
    <t>abstain</t>
  </si>
  <si>
    <t>nocturnal</t>
  </si>
  <si>
    <t>marvel</t>
  </si>
  <si>
    <t>tedious</t>
  </si>
  <si>
    <t>elite</t>
  </si>
  <si>
    <t>rivalry</t>
  </si>
  <si>
    <t>confessional</t>
  </si>
  <si>
    <t>dishearten</t>
  </si>
  <si>
    <t>prolix</t>
  </si>
  <si>
    <t>binary</t>
  </si>
  <si>
    <t>unwarranted</t>
  </si>
  <si>
    <t>arousal</t>
  </si>
  <si>
    <t>rejuvenate</t>
  </si>
  <si>
    <t>incomparable</t>
  </si>
  <si>
    <t>shorthand</t>
  </si>
  <si>
    <t>revolutionary</t>
  </si>
  <si>
    <t>sift</t>
  </si>
  <si>
    <t>darken</t>
  </si>
  <si>
    <t>freewheeling</t>
  </si>
  <si>
    <t>self-defeating</t>
  </si>
  <si>
    <t>forerunner</t>
  </si>
  <si>
    <t>airtight</t>
  </si>
  <si>
    <t>expiation</t>
  </si>
  <si>
    <t>conceal</t>
  </si>
  <si>
    <t>philosophy</t>
  </si>
  <si>
    <t>numinous</t>
  </si>
  <si>
    <t>disciple</t>
  </si>
  <si>
    <t>voluminous</t>
  </si>
  <si>
    <t>grandstand</t>
  </si>
  <si>
    <t>sate</t>
  </si>
  <si>
    <t>people</t>
  </si>
  <si>
    <t>skittish</t>
  </si>
  <si>
    <t>kinfolk</t>
  </si>
  <si>
    <t>disintegrate</t>
  </si>
  <si>
    <t>derivative</t>
  </si>
  <si>
    <t>colossal</t>
  </si>
  <si>
    <t>voyeur</t>
  </si>
  <si>
    <t>showcase</t>
  </si>
  <si>
    <t>convulsion</t>
  </si>
  <si>
    <t>concord</t>
  </si>
  <si>
    <t>pecuniary</t>
  </si>
  <si>
    <t>foresight</t>
  </si>
  <si>
    <t>usurp</t>
  </si>
  <si>
    <t>verisimilitude</t>
  </si>
  <si>
    <t>clangorous</t>
  </si>
  <si>
    <t>fund</t>
  </si>
  <si>
    <t>acerbic</t>
  </si>
  <si>
    <t>disparage</t>
  </si>
  <si>
    <t>animate</t>
  </si>
  <si>
    <t>abstemious</t>
  </si>
  <si>
    <t>choleric</t>
  </si>
  <si>
    <t>affect</t>
  </si>
  <si>
    <t>obsolete</t>
  </si>
  <si>
    <t>eclectic</t>
  </si>
  <si>
    <t>affiliate</t>
  </si>
  <si>
    <t>incessant</t>
  </si>
  <si>
    <t>paradoxical</t>
  </si>
  <si>
    <t>voracious</t>
  </si>
  <si>
    <t>posit</t>
  </si>
  <si>
    <t>tactful</t>
  </si>
  <si>
    <t>sophist</t>
  </si>
  <si>
    <t>oversight</t>
  </si>
  <si>
    <t>dilute</t>
  </si>
  <si>
    <t>protocol</t>
  </si>
  <si>
    <t>nettle</t>
  </si>
  <si>
    <t>posture</t>
  </si>
  <si>
    <t>realize</t>
  </si>
  <si>
    <t>telling</t>
  </si>
  <si>
    <t>benign</t>
  </si>
  <si>
    <t>enmity</t>
  </si>
  <si>
    <t>crestfallen</t>
  </si>
  <si>
    <t>clairvoyant</t>
  </si>
  <si>
    <t>dissent</t>
  </si>
  <si>
    <t>antidote</t>
  </si>
  <si>
    <t>magnify</t>
  </si>
  <si>
    <t>bourgeois</t>
  </si>
  <si>
    <t>self-knowing</t>
  </si>
  <si>
    <t>fortify</t>
  </si>
  <si>
    <t>abase</t>
  </si>
  <si>
    <t>ministration</t>
  </si>
  <si>
    <t>arduous</t>
  </si>
  <si>
    <t>amid</t>
  </si>
  <si>
    <t>weather</t>
  </si>
  <si>
    <t>unexceptional</t>
  </si>
  <si>
    <t>vindicate</t>
  </si>
  <si>
    <t>nostalgia</t>
  </si>
  <si>
    <t>obfuscate</t>
  </si>
  <si>
    <t>trigger</t>
  </si>
  <si>
    <t>disavow</t>
  </si>
  <si>
    <t>unequivocal</t>
  </si>
  <si>
    <t>undo</t>
  </si>
  <si>
    <t>adore</t>
  </si>
  <si>
    <t>anatomize</t>
  </si>
  <si>
    <t>clueless</t>
  </si>
  <si>
    <t>shelve</t>
  </si>
  <si>
    <t>outrage</t>
  </si>
  <si>
    <t>languid</t>
  </si>
  <si>
    <t>impede</t>
  </si>
  <si>
    <t>entail</t>
  </si>
  <si>
    <t>coagulate</t>
  </si>
  <si>
    <t>incommensurable</t>
  </si>
  <si>
    <t>testimony</t>
  </si>
  <si>
    <t>affirm</t>
  </si>
  <si>
    <t>invasive</t>
  </si>
  <si>
    <t>vaccinate</t>
  </si>
  <si>
    <t>dismiss</t>
  </si>
  <si>
    <t>feeble</t>
  </si>
  <si>
    <t>bravado</t>
  </si>
  <si>
    <t>boycott</t>
  </si>
  <si>
    <t>jovial</t>
  </si>
  <si>
    <t>compassionate</t>
  </si>
  <si>
    <t>precarious</t>
  </si>
  <si>
    <t>considerable</t>
  </si>
  <si>
    <t>preeminent</t>
  </si>
  <si>
    <t>pithy</t>
  </si>
  <si>
    <t>propaganda</t>
  </si>
  <si>
    <t>insolent</t>
  </si>
  <si>
    <t>impulsive</t>
  </si>
  <si>
    <t>addiction</t>
  </si>
  <si>
    <t>facile</t>
  </si>
  <si>
    <t>mogul</t>
  </si>
  <si>
    <t>sordid</t>
  </si>
  <si>
    <t>adduce</t>
  </si>
  <si>
    <t>corroborate</t>
  </si>
  <si>
    <t>zealous</t>
  </si>
  <si>
    <t>annex</t>
  </si>
  <si>
    <t>plethora</t>
  </si>
  <si>
    <t>one-stop</t>
  </si>
  <si>
    <t>consilience</t>
  </si>
  <si>
    <t>mutable</t>
  </si>
  <si>
    <t>urgent</t>
  </si>
  <si>
    <t>unseemly</t>
  </si>
  <si>
    <t>analgesic</t>
  </si>
  <si>
    <t>clear-cut</t>
  </si>
  <si>
    <t>parley</t>
  </si>
  <si>
    <t>skim</t>
  </si>
  <si>
    <t>resign</t>
  </si>
  <si>
    <t>compatible</t>
  </si>
  <si>
    <t>testy</t>
  </si>
  <si>
    <t>beguile</t>
  </si>
  <si>
    <t>augur</t>
  </si>
  <si>
    <t>agog</t>
  </si>
  <si>
    <t>discount</t>
  </si>
  <si>
    <t>riddle</t>
  </si>
  <si>
    <t>hew</t>
  </si>
  <si>
    <t>agitate</t>
  </si>
  <si>
    <t>sinister</t>
  </si>
  <si>
    <t>fathom</t>
  </si>
  <si>
    <t>compulsory</t>
  </si>
  <si>
    <t>senescence</t>
  </si>
  <si>
    <t>segregate</t>
  </si>
  <si>
    <t>extinguish</t>
  </si>
  <si>
    <t>shear</t>
  </si>
  <si>
    <t>figurative</t>
  </si>
  <si>
    <t>magisterial</t>
  </si>
  <si>
    <t>melodramatic</t>
  </si>
  <si>
    <t>hard-boiled</t>
  </si>
  <si>
    <t>titanic</t>
  </si>
  <si>
    <t>modicum</t>
  </si>
  <si>
    <t>fleeting</t>
  </si>
  <si>
    <t>momentum</t>
  </si>
  <si>
    <t>corrode</t>
  </si>
  <si>
    <t>invert</t>
  </si>
  <si>
    <t>staid</t>
  </si>
  <si>
    <t>consternation</t>
  </si>
  <si>
    <t>cosmopolitan</t>
  </si>
  <si>
    <t>arable</t>
  </si>
  <si>
    <t>hand-wringing</t>
  </si>
  <si>
    <t>misgiving</t>
  </si>
  <si>
    <t>unprepossessing</t>
  </si>
  <si>
    <t>precipitate</t>
  </si>
  <si>
    <t>second</t>
  </si>
  <si>
    <t>inconsequential</t>
  </si>
  <si>
    <t>telltale</t>
  </si>
  <si>
    <t>hazard</t>
  </si>
  <si>
    <t>terrific</t>
  </si>
  <si>
    <t>treasure</t>
  </si>
  <si>
    <t>occlude</t>
  </si>
  <si>
    <t>substantiate</t>
  </si>
  <si>
    <t>unflagging</t>
  </si>
  <si>
    <t>utilitarian</t>
  </si>
  <si>
    <t>fidelity</t>
  </si>
  <si>
    <t>venal</t>
  </si>
  <si>
    <t>like-minded</t>
  </si>
  <si>
    <t>hypocrisy</t>
  </si>
  <si>
    <t>flabbergast</t>
  </si>
  <si>
    <t>consensus</t>
  </si>
  <si>
    <t>sound</t>
  </si>
  <si>
    <t>exactitude</t>
  </si>
  <si>
    <t>scaremonger</t>
  </si>
  <si>
    <t>culminate</t>
  </si>
  <si>
    <t>rudimentary</t>
  </si>
  <si>
    <t>orderly</t>
  </si>
  <si>
    <t>invalidate</t>
  </si>
  <si>
    <t>retract</t>
  </si>
  <si>
    <t>synoptic</t>
  </si>
  <si>
    <t>trusting</t>
  </si>
  <si>
    <t>overreach</t>
  </si>
  <si>
    <t>stump</t>
  </si>
  <si>
    <t>fealty</t>
  </si>
  <si>
    <t>stem</t>
  </si>
  <si>
    <t>suffocate</t>
  </si>
  <si>
    <t>platitudinous</t>
  </si>
  <si>
    <t>brute</t>
  </si>
  <si>
    <t>grand</t>
  </si>
  <si>
    <t>insufficient</t>
  </si>
  <si>
    <t>untrammeled</t>
  </si>
  <si>
    <t>eclipse</t>
  </si>
  <si>
    <t>stir</t>
  </si>
  <si>
    <t>loath</t>
  </si>
  <si>
    <t>flippant</t>
  </si>
  <si>
    <t>latitude</t>
  </si>
  <si>
    <t>imperceptible</t>
  </si>
  <si>
    <t>exhale</t>
  </si>
  <si>
    <t>observation</t>
  </si>
  <si>
    <t>labyrinthine</t>
  </si>
  <si>
    <t>lurch</t>
  </si>
  <si>
    <t>inveigle</t>
  </si>
  <si>
    <t>salutary</t>
  </si>
  <si>
    <t>adversarial</t>
  </si>
  <si>
    <t>decay</t>
  </si>
  <si>
    <t>overbearing</t>
  </si>
  <si>
    <t>fragile</t>
  </si>
  <si>
    <t>repeal</t>
  </si>
  <si>
    <t>lukewarm</t>
  </si>
  <si>
    <t>terrifying</t>
  </si>
  <si>
    <t>venerate</t>
  </si>
  <si>
    <t>virtue</t>
  </si>
  <si>
    <t>sycophantic</t>
  </si>
  <si>
    <t>pilfer</t>
  </si>
  <si>
    <t>pioneering</t>
  </si>
  <si>
    <t>pastoral</t>
  </si>
  <si>
    <t>interdisciplinary</t>
  </si>
  <si>
    <t>obtuse</t>
  </si>
  <si>
    <t>mockery</t>
  </si>
  <si>
    <t>trite</t>
  </si>
  <si>
    <t>despair</t>
  </si>
  <si>
    <t>glorify</t>
  </si>
  <si>
    <t>retreat</t>
  </si>
  <si>
    <t>immure</t>
  </si>
  <si>
    <t>vigilant</t>
  </si>
  <si>
    <t>eject</t>
  </si>
  <si>
    <t>extraneous</t>
  </si>
  <si>
    <t>insidious</t>
  </si>
  <si>
    <t>elucidate</t>
  </si>
  <si>
    <t>rehabilitate</t>
  </si>
  <si>
    <t>affable</t>
  </si>
  <si>
    <t>episodic</t>
  </si>
  <si>
    <t>phlegmatic</t>
  </si>
  <si>
    <t>retinue</t>
  </si>
  <si>
    <t>convoluted</t>
  </si>
  <si>
    <t>brash</t>
  </si>
  <si>
    <t>reverse</t>
  </si>
  <si>
    <t>contradictory</t>
  </si>
  <si>
    <t>blur</t>
  </si>
  <si>
    <t>machination</t>
  </si>
  <si>
    <t>extol</t>
  </si>
  <si>
    <t>downright</t>
  </si>
  <si>
    <t>threshold</t>
  </si>
  <si>
    <t>vituperate</t>
  </si>
  <si>
    <t>malicious</t>
  </si>
  <si>
    <t>erstwhile</t>
  </si>
  <si>
    <t>pertain</t>
  </si>
  <si>
    <t>emotive</t>
  </si>
  <si>
    <t>sequester</t>
  </si>
  <si>
    <t>hostile</t>
  </si>
  <si>
    <t>unyielding</t>
  </si>
  <si>
    <t>profitmonger</t>
  </si>
  <si>
    <t>chauvinism</t>
  </si>
  <si>
    <t>manipulate</t>
  </si>
  <si>
    <t>repress</t>
  </si>
  <si>
    <t>preponderant</t>
  </si>
  <si>
    <t>treacherous</t>
  </si>
  <si>
    <t>suffrage</t>
  </si>
  <si>
    <t>laurel</t>
  </si>
  <si>
    <t>feckless</t>
  </si>
  <si>
    <t>intimidate</t>
  </si>
  <si>
    <t>parochial</t>
  </si>
  <si>
    <t>proprietary</t>
  </si>
  <si>
    <t>invigorate</t>
  </si>
  <si>
    <t>brisk</t>
  </si>
  <si>
    <t>unencumbered</t>
  </si>
  <si>
    <t>graze</t>
  </si>
  <si>
    <t>temperament</t>
  </si>
  <si>
    <t>abstract</t>
  </si>
  <si>
    <t>acquiescence</t>
  </si>
  <si>
    <t>pejorative</t>
  </si>
  <si>
    <t>immerse</t>
  </si>
  <si>
    <t>provisional</t>
  </si>
  <si>
    <t>monopoly</t>
  </si>
  <si>
    <t>unmistakable</t>
  </si>
  <si>
    <t>impeccable</t>
  </si>
  <si>
    <t>vanquish</t>
  </si>
  <si>
    <t>circumvent</t>
  </si>
  <si>
    <t>consolidate</t>
  </si>
  <si>
    <t>gossamer</t>
  </si>
  <si>
    <t>atavistic</t>
  </si>
  <si>
    <t>construe</t>
  </si>
  <si>
    <t>stubborn</t>
  </si>
  <si>
    <t>conciliatory</t>
  </si>
  <si>
    <t>welter</t>
  </si>
  <si>
    <t>fundamental</t>
  </si>
  <si>
    <t>assimilate</t>
  </si>
  <si>
    <t>resurrect</t>
  </si>
  <si>
    <t>abridge</t>
  </si>
  <si>
    <t>complicated</t>
  </si>
  <si>
    <t>vernacular</t>
  </si>
  <si>
    <t>moribund</t>
  </si>
  <si>
    <t>misfeasance</t>
  </si>
  <si>
    <t>eschew</t>
  </si>
  <si>
    <t>notorious</t>
  </si>
  <si>
    <t>yen</t>
  </si>
  <si>
    <t>judicial</t>
  </si>
  <si>
    <t>vivacious</t>
  </si>
  <si>
    <t>conducive</t>
  </si>
  <si>
    <t>hermetic</t>
  </si>
  <si>
    <t>equitable</t>
  </si>
  <si>
    <t>falsify</t>
  </si>
  <si>
    <t>coalesce</t>
  </si>
  <si>
    <t>self-perpetuating</t>
  </si>
  <si>
    <t>buck</t>
  </si>
  <si>
    <t>hasty</t>
  </si>
  <si>
    <t>touchstone</t>
  </si>
  <si>
    <t>brook</t>
  </si>
  <si>
    <t>inverse</t>
  </si>
  <si>
    <t>placate</t>
  </si>
  <si>
    <t>refractory</t>
  </si>
  <si>
    <t>procure</t>
  </si>
  <si>
    <t>prevalent</t>
  </si>
  <si>
    <t>punctilious</t>
  </si>
  <si>
    <t>stoic</t>
  </si>
  <si>
    <t>diversity</t>
  </si>
  <si>
    <t>taint</t>
  </si>
  <si>
    <t>momentary</t>
  </si>
  <si>
    <t>accelerate</t>
  </si>
  <si>
    <t>estrange</t>
  </si>
  <si>
    <t>pellucid</t>
  </si>
  <si>
    <t>baleful</t>
  </si>
  <si>
    <t>prompt</t>
  </si>
  <si>
    <t>accessible</t>
  </si>
  <si>
    <t>fanciful</t>
  </si>
  <si>
    <t>flimsy</t>
  </si>
  <si>
    <t>fecund</t>
  </si>
  <si>
    <t>allude</t>
  </si>
  <si>
    <t>deft</t>
  </si>
  <si>
    <t>alleviate</t>
  </si>
  <si>
    <t>mendacity</t>
  </si>
  <si>
    <t>mortify</t>
  </si>
  <si>
    <t>malignant</t>
  </si>
  <si>
    <t>rancor</t>
  </si>
  <si>
    <t>blithe</t>
  </si>
  <si>
    <t>stalemate</t>
  </si>
  <si>
    <t>brink</t>
  </si>
  <si>
    <t>surmise</t>
  </si>
  <si>
    <t>enviable</t>
  </si>
  <si>
    <t>abhor</t>
  </si>
  <si>
    <t>coterminous</t>
  </si>
  <si>
    <t>heartless</t>
  </si>
  <si>
    <t>appetite</t>
  </si>
  <si>
    <t>beleaguer</t>
  </si>
  <si>
    <t>established</t>
  </si>
  <si>
    <t>violate</t>
  </si>
  <si>
    <t>pathological</t>
  </si>
  <si>
    <t>precede</t>
  </si>
  <si>
    <t>brittle</t>
  </si>
  <si>
    <t>ardent</t>
  </si>
  <si>
    <t>rejection</t>
  </si>
  <si>
    <t>thrive</t>
  </si>
  <si>
    <t>placebo</t>
  </si>
  <si>
    <t>radical</t>
  </si>
  <si>
    <t>luminary</t>
  </si>
  <si>
    <t>dismantle</t>
  </si>
  <si>
    <t>discreet</t>
  </si>
  <si>
    <t>alacrity</t>
  </si>
  <si>
    <t>crumble</t>
  </si>
  <si>
    <t>coddle</t>
  </si>
  <si>
    <t>interlope</t>
  </si>
  <si>
    <t>competing</t>
  </si>
  <si>
    <t>choke</t>
  </si>
  <si>
    <t>implore</t>
  </si>
  <si>
    <t>economy</t>
  </si>
  <si>
    <t>constitute</t>
  </si>
  <si>
    <t>repudiate</t>
  </si>
  <si>
    <t>fanatic</t>
  </si>
  <si>
    <t>omnivorous</t>
  </si>
  <si>
    <t>chastise</t>
  </si>
  <si>
    <t>overhaul</t>
  </si>
  <si>
    <t>perpetuate</t>
  </si>
  <si>
    <t>demolish</t>
  </si>
  <si>
    <t>despot</t>
  </si>
  <si>
    <t>mercurial</t>
  </si>
  <si>
    <t>obedience</t>
  </si>
  <si>
    <t>brazen</t>
  </si>
  <si>
    <t>pretext</t>
  </si>
  <si>
    <t>baneful</t>
  </si>
  <si>
    <t>aberration</t>
  </si>
  <si>
    <t>diligent</t>
  </si>
  <si>
    <t>consonant</t>
  </si>
  <si>
    <t>confound</t>
  </si>
  <si>
    <t>spurn</t>
  </si>
  <si>
    <t>flagrant</t>
  </si>
  <si>
    <t>succumb</t>
  </si>
  <si>
    <t>defect</t>
  </si>
  <si>
    <t>pertinent</t>
  </si>
  <si>
    <t>duplicate</t>
  </si>
  <si>
    <t>shoulder</t>
  </si>
  <si>
    <t>slew</t>
  </si>
  <si>
    <t>petulant</t>
  </si>
  <si>
    <t>hurtle</t>
  </si>
  <si>
    <t>long-winded</t>
  </si>
  <si>
    <t>allay</t>
  </si>
  <si>
    <t>seep</t>
  </si>
  <si>
    <t>irksome</t>
  </si>
  <si>
    <t>reciprocate</t>
  </si>
  <si>
    <t>extirpate</t>
  </si>
  <si>
    <t>obliterate</t>
  </si>
  <si>
    <t>prolific</t>
  </si>
  <si>
    <t>garner</t>
  </si>
  <si>
    <t>upright</t>
  </si>
  <si>
    <t>compromise</t>
  </si>
  <si>
    <t>embargo</t>
  </si>
  <si>
    <t>conspicuous</t>
  </si>
  <si>
    <t>makeshift</t>
  </si>
  <si>
    <t>involuntary</t>
  </si>
  <si>
    <t>equable</t>
  </si>
  <si>
    <t>everlasting</t>
  </si>
  <si>
    <t>adjuration</t>
  </si>
  <si>
    <t>endowment</t>
  </si>
  <si>
    <t>terse</t>
  </si>
  <si>
    <t>orthodox</t>
  </si>
  <si>
    <t>dubious</t>
  </si>
  <si>
    <t>somber</t>
  </si>
  <si>
    <t>gingerbread</t>
  </si>
  <si>
    <t>inept</t>
  </si>
  <si>
    <t>redundant</t>
  </si>
  <si>
    <t>emulate</t>
  </si>
  <si>
    <t>weary</t>
  </si>
  <si>
    <t>reckon</t>
  </si>
  <si>
    <t>inimical</t>
  </si>
  <si>
    <t>lassitude</t>
  </si>
  <si>
    <t>asseverate</t>
  </si>
  <si>
    <t>sluggish</t>
  </si>
  <si>
    <t>guru</t>
  </si>
  <si>
    <t>tautology</t>
  </si>
  <si>
    <t>ostentatious</t>
  </si>
  <si>
    <t>facilitate</t>
  </si>
  <si>
    <t>bog</t>
  </si>
  <si>
    <t>hardy</t>
  </si>
  <si>
    <t>refreshing</t>
  </si>
  <si>
    <t>enervate</t>
  </si>
  <si>
    <t>forbidding</t>
  </si>
  <si>
    <t>tenuous</t>
  </si>
  <si>
    <t>scrupulous</t>
  </si>
  <si>
    <t>sleazy</t>
  </si>
  <si>
    <t>shun</t>
  </si>
  <si>
    <t>preconception</t>
  </si>
  <si>
    <t>fitful</t>
  </si>
  <si>
    <t>unbalanced</t>
  </si>
  <si>
    <t>no-nonsense</t>
  </si>
  <si>
    <t>upend</t>
  </si>
  <si>
    <t>hedge</t>
  </si>
  <si>
    <t>mount</t>
  </si>
  <si>
    <t>quintessential</t>
  </si>
  <si>
    <t>harry</t>
  </si>
  <si>
    <t>codify</t>
  </si>
  <si>
    <t>impervious</t>
  </si>
  <si>
    <t>wilt</t>
  </si>
  <si>
    <t>reactivate</t>
  </si>
  <si>
    <t>qualm</t>
  </si>
  <si>
    <t>candid</t>
  </si>
  <si>
    <t>indebted</t>
  </si>
  <si>
    <t>paralyze</t>
  </si>
  <si>
    <t>axiomatic</t>
  </si>
  <si>
    <t>precursor</t>
  </si>
  <si>
    <t>tailor</t>
  </si>
  <si>
    <t>dwarf</t>
  </si>
  <si>
    <t>frantic</t>
  </si>
  <si>
    <t>promulgate</t>
  </si>
  <si>
    <t>intransigent</t>
  </si>
  <si>
    <t>prosaic</t>
  </si>
  <si>
    <t>conundrum</t>
  </si>
  <si>
    <t>arcane</t>
  </si>
  <si>
    <t>panorama</t>
  </si>
  <si>
    <t>niche</t>
  </si>
  <si>
    <t>trumpet</t>
  </si>
  <si>
    <t>contagious</t>
  </si>
  <si>
    <t>vendor</t>
  </si>
  <si>
    <t>abundance</t>
  </si>
  <si>
    <t>oblivious</t>
  </si>
  <si>
    <t>privilege</t>
  </si>
  <si>
    <t>acme</t>
  </si>
  <si>
    <t>heed</t>
  </si>
  <si>
    <t>demanding</t>
  </si>
  <si>
    <t>whit</t>
  </si>
  <si>
    <t>affinity</t>
  </si>
  <si>
    <t>trauma</t>
  </si>
  <si>
    <t>stun</t>
  </si>
  <si>
    <t>seminal</t>
  </si>
  <si>
    <t>pompous</t>
  </si>
  <si>
    <t>profess</t>
  </si>
  <si>
    <t>yardstick</t>
  </si>
  <si>
    <t>unfaltering</t>
  </si>
  <si>
    <t>unassailable</t>
  </si>
  <si>
    <t>counterbalance</t>
  </si>
  <si>
    <t>prototype</t>
  </si>
  <si>
    <t>vicinity</t>
  </si>
  <si>
    <t>velocity</t>
  </si>
  <si>
    <t>concomitant</t>
  </si>
  <si>
    <t>quandary</t>
  </si>
  <si>
    <t>anarchy</t>
  </si>
  <si>
    <t>squelch</t>
  </si>
  <si>
    <t>peculiar</t>
  </si>
  <si>
    <t>valediction</t>
  </si>
  <si>
    <t>totalitarian</t>
  </si>
  <si>
    <t>outmoded</t>
  </si>
  <si>
    <t>nexus</t>
  </si>
  <si>
    <t>derogate</t>
  </si>
  <si>
    <t>dump</t>
  </si>
  <si>
    <t>archaic</t>
  </si>
  <si>
    <t>cure-all</t>
  </si>
  <si>
    <t>precocious</t>
  </si>
  <si>
    <t>fabricate</t>
  </si>
  <si>
    <t>hierarchical</t>
  </si>
  <si>
    <t>devious</t>
  </si>
  <si>
    <t>fairness</t>
  </si>
  <si>
    <t>sequential</t>
  </si>
  <si>
    <t>inveterate</t>
  </si>
  <si>
    <t>commensurate</t>
  </si>
  <si>
    <t>transmogrify</t>
  </si>
  <si>
    <t>escalate</t>
  </si>
  <si>
    <t>supernatural</t>
  </si>
  <si>
    <t>overwrought</t>
  </si>
  <si>
    <t>outstanding</t>
  </si>
  <si>
    <t>futurity</t>
  </si>
  <si>
    <t>entrance</t>
  </si>
  <si>
    <t>premature</t>
  </si>
  <si>
    <t>clerical</t>
  </si>
  <si>
    <t>tangible</t>
  </si>
  <si>
    <t>dedicate</t>
  </si>
  <si>
    <t>ingenious</t>
  </si>
  <si>
    <t>favorable</t>
  </si>
  <si>
    <t>countenance</t>
  </si>
  <si>
    <t>oscillate</t>
  </si>
  <si>
    <t>goad</t>
  </si>
  <si>
    <t>open-ended</t>
  </si>
  <si>
    <t>foment</t>
  </si>
  <si>
    <t>pristine</t>
  </si>
  <si>
    <t>pillage</t>
  </si>
  <si>
    <t>frustrating</t>
  </si>
  <si>
    <t>hiatus</t>
  </si>
  <si>
    <t>ungainly</t>
  </si>
  <si>
    <t>all-encompassing</t>
  </si>
  <si>
    <t>eliminate</t>
  </si>
  <si>
    <t>erect</t>
  </si>
  <si>
    <t>bustling</t>
  </si>
  <si>
    <t>maelstrom</t>
  </si>
  <si>
    <t>remiss</t>
  </si>
  <si>
    <t>cavil</t>
  </si>
  <si>
    <t>superfluous</t>
  </si>
  <si>
    <t>dewy-eyed</t>
  </si>
  <si>
    <t>thrill</t>
  </si>
  <si>
    <t>kindle</t>
  </si>
  <si>
    <t>scandal</t>
  </si>
  <si>
    <t>adulation</t>
  </si>
  <si>
    <t>unerring</t>
  </si>
  <si>
    <t>scatter</t>
  </si>
  <si>
    <t>prescriptive</t>
  </si>
  <si>
    <t>monotonous</t>
  </si>
  <si>
    <t>inspire</t>
  </si>
  <si>
    <t>consign</t>
  </si>
  <si>
    <t>replenish</t>
  </si>
  <si>
    <t>distress</t>
  </si>
  <si>
    <t>proffer</t>
  </si>
  <si>
    <t>parameter</t>
  </si>
  <si>
    <t>rebellious</t>
  </si>
  <si>
    <t>disguise</t>
  </si>
  <si>
    <t>competent</t>
  </si>
  <si>
    <t>experimental</t>
  </si>
  <si>
    <t>curb</t>
  </si>
  <si>
    <t>trifling</t>
  </si>
  <si>
    <t>intrepid</t>
  </si>
  <si>
    <t>enact</t>
  </si>
  <si>
    <t>perspicacious</t>
  </si>
  <si>
    <t>bemuse</t>
  </si>
  <si>
    <t>tether</t>
  </si>
  <si>
    <t>clumsy</t>
  </si>
  <si>
    <t>quibble</t>
  </si>
  <si>
    <t>propound</t>
  </si>
  <si>
    <t>imperil</t>
  </si>
  <si>
    <t>benighted</t>
  </si>
  <si>
    <t>reassure</t>
  </si>
  <si>
    <t>spark</t>
  </si>
  <si>
    <t>artificial</t>
  </si>
  <si>
    <t>diatribe</t>
  </si>
  <si>
    <t>probity</t>
  </si>
  <si>
    <t>capture</t>
  </si>
  <si>
    <t>atypical</t>
  </si>
  <si>
    <t>exigent</t>
  </si>
  <si>
    <t>fissure</t>
  </si>
  <si>
    <t>untether</t>
  </si>
  <si>
    <t>paradigm</t>
  </si>
  <si>
    <t>glancing</t>
  </si>
  <si>
    <t>distort</t>
  </si>
  <si>
    <t>omit</t>
  </si>
  <si>
    <t>imperturbable</t>
  </si>
  <si>
    <t>undeniable</t>
  </si>
  <si>
    <t>snub</t>
  </si>
  <si>
    <t>heartfelt</t>
  </si>
  <si>
    <t>fusion</t>
  </si>
  <si>
    <t>cannibalize</t>
  </si>
  <si>
    <t>kindred</t>
  </si>
  <si>
    <t>humdrum</t>
  </si>
  <si>
    <t>perforate</t>
  </si>
  <si>
    <t>unexampled</t>
  </si>
  <si>
    <t>hamstring</t>
  </si>
  <si>
    <t>nuance</t>
  </si>
  <si>
    <t>secure</t>
  </si>
  <si>
    <t>wallow</t>
  </si>
  <si>
    <t>strenuous</t>
  </si>
  <si>
    <t>testing</t>
  </si>
  <si>
    <t>reticent</t>
  </si>
  <si>
    <t>propitiate</t>
  </si>
  <si>
    <t>headlong</t>
  </si>
  <si>
    <t>accommodate</t>
  </si>
  <si>
    <t>canned</t>
  </si>
  <si>
    <t>relegate</t>
  </si>
  <si>
    <t>illustrious</t>
  </si>
  <si>
    <t>pseudonym</t>
  </si>
  <si>
    <t>insufferable</t>
  </si>
  <si>
    <t>manacle</t>
  </si>
  <si>
    <t>croon</t>
  </si>
  <si>
    <t>lengthy</t>
  </si>
  <si>
    <t>disposable</t>
  </si>
  <si>
    <t>sanctimonious</t>
  </si>
  <si>
    <t>intact</t>
  </si>
  <si>
    <t>witless</t>
  </si>
  <si>
    <t>enterprising</t>
  </si>
  <si>
    <t>vehement</t>
  </si>
  <si>
    <t>successor</t>
  </si>
  <si>
    <t>limp</t>
  </si>
  <si>
    <t>retention</t>
  </si>
  <si>
    <t>self-styled</t>
  </si>
  <si>
    <t>downcast</t>
  </si>
  <si>
    <t>bombastic</t>
  </si>
  <si>
    <t>jumble</t>
  </si>
  <si>
    <t>potential</t>
  </si>
  <si>
    <t>quiescent</t>
  </si>
  <si>
    <t>wont</t>
  </si>
  <si>
    <t>unbounded</t>
  </si>
  <si>
    <t>seditious</t>
  </si>
  <si>
    <t>intractable</t>
  </si>
  <si>
    <t>proportional</t>
  </si>
  <si>
    <t>antithesis</t>
  </si>
  <si>
    <t>dispute</t>
  </si>
  <si>
    <t>efficacy</t>
  </si>
  <si>
    <t>bland</t>
  </si>
  <si>
    <t>clearheaded</t>
  </si>
  <si>
    <t>gambit</t>
  </si>
  <si>
    <t>frown</t>
  </si>
  <si>
    <t>banal</t>
  </si>
  <si>
    <t>plastic</t>
  </si>
  <si>
    <t>infringe</t>
  </si>
  <si>
    <t>abscond</t>
  </si>
  <si>
    <t>signify</t>
  </si>
  <si>
    <t>flaccid</t>
  </si>
  <si>
    <t>interrelated</t>
  </si>
  <si>
    <t>disregard</t>
  </si>
  <si>
    <t>unfeeling</t>
  </si>
  <si>
    <t>intensity</t>
  </si>
  <si>
    <t>hallucination</t>
  </si>
  <si>
    <t>plentiful</t>
  </si>
  <si>
    <t>sedentary</t>
  </si>
  <si>
    <t>oversell</t>
  </si>
  <si>
    <t>striking</t>
  </si>
  <si>
    <t>flip</t>
  </si>
  <si>
    <t>absolve</t>
  </si>
  <si>
    <t>indefatigable</t>
  </si>
  <si>
    <t>madcap</t>
  </si>
  <si>
    <t>surreptitious</t>
  </si>
  <si>
    <t>unremitting</t>
  </si>
  <si>
    <t>claustrophobia</t>
  </si>
  <si>
    <t>solemn</t>
  </si>
  <si>
    <t>extravagant</t>
  </si>
  <si>
    <t>tactless</t>
  </si>
  <si>
    <t>buttress</t>
  </si>
  <si>
    <t>supple</t>
  </si>
  <si>
    <t>exude</t>
  </si>
  <si>
    <t>cliquish</t>
  </si>
  <si>
    <t>warrant</t>
  </si>
  <si>
    <t>accustomed</t>
  </si>
  <si>
    <t>abeyance</t>
  </si>
  <si>
    <t>plaintive</t>
  </si>
  <si>
    <t>deliberate</t>
  </si>
  <si>
    <t>whisk</t>
  </si>
  <si>
    <t>impressionable</t>
  </si>
  <si>
    <t>deadpan</t>
  </si>
  <si>
    <t>muckrake</t>
  </si>
  <si>
    <t>whet</t>
  </si>
  <si>
    <t>provision</t>
  </si>
  <si>
    <t>adroit</t>
  </si>
  <si>
    <t>postulate</t>
  </si>
  <si>
    <t>abysmal</t>
  </si>
  <si>
    <t>riveting</t>
  </si>
  <si>
    <t>portentous</t>
  </si>
  <si>
    <t>obdurate</t>
  </si>
  <si>
    <t>superficial</t>
  </si>
  <si>
    <t>insolvent</t>
  </si>
  <si>
    <t>aggrandize</t>
  </si>
  <si>
    <t>quixotic</t>
  </si>
  <si>
    <t>provocative</t>
  </si>
  <si>
    <t>guild</t>
  </si>
  <si>
    <t>sullen</t>
  </si>
  <si>
    <t>essential</t>
  </si>
  <si>
    <t>memorandum</t>
  </si>
  <si>
    <t>apostle</t>
  </si>
  <si>
    <t>outlaw</t>
  </si>
  <si>
    <t>forgo</t>
  </si>
  <si>
    <t>identical</t>
  </si>
  <si>
    <t>interlocutor</t>
  </si>
  <si>
    <t>gut-level</t>
  </si>
  <si>
    <t>indigenous</t>
  </si>
  <si>
    <t>glisten</t>
  </si>
  <si>
    <t>iconoclast</t>
  </si>
  <si>
    <t>list</t>
  </si>
  <si>
    <t>soliloquy</t>
  </si>
  <si>
    <t>vigorous</t>
  </si>
  <si>
    <t>besmirch</t>
  </si>
  <si>
    <t>vain</t>
  </si>
  <si>
    <t>vicious</t>
  </si>
  <si>
    <t>cursory</t>
  </si>
  <si>
    <t>hail</t>
  </si>
  <si>
    <t>odious</t>
  </si>
  <si>
    <t>unimpeachable</t>
  </si>
  <si>
    <t>pious</t>
  </si>
  <si>
    <t>negligent</t>
  </si>
  <si>
    <t>pinnacle</t>
  </si>
  <si>
    <t>lugubrious</t>
  </si>
  <si>
    <t>incisive</t>
  </si>
  <si>
    <t>shirk</t>
  </si>
  <si>
    <t>lurid</t>
  </si>
  <si>
    <t>painstaking</t>
  </si>
  <si>
    <t>nepotism</t>
  </si>
  <si>
    <t>turbulent</t>
  </si>
  <si>
    <t>cede</t>
  </si>
  <si>
    <t>hitch</t>
  </si>
  <si>
    <t>instantaneous</t>
  </si>
  <si>
    <t>inquisitive</t>
  </si>
  <si>
    <t>misconstrue</t>
  </si>
  <si>
    <t>malinger</t>
  </si>
  <si>
    <t>overwhelm</t>
  </si>
  <si>
    <t>subservient</t>
  </si>
  <si>
    <t>incendiary</t>
  </si>
  <si>
    <t>retiring</t>
  </si>
  <si>
    <t>paltry</t>
  </si>
  <si>
    <t>artifice</t>
  </si>
  <si>
    <t>didactic</t>
  </si>
  <si>
    <t>regular</t>
  </si>
  <si>
    <t>jarring</t>
  </si>
  <si>
    <t>diminutive</t>
  </si>
  <si>
    <t>harbinger</t>
  </si>
  <si>
    <t>flourish</t>
  </si>
  <si>
    <t>emergent</t>
  </si>
  <si>
    <t>arbitrary</t>
  </si>
  <si>
    <t>unwitting</t>
  </si>
  <si>
    <t>proclivity</t>
  </si>
  <si>
    <t>renowned</t>
  </si>
  <si>
    <t>impromptu</t>
  </si>
  <si>
    <t>skew</t>
  </si>
  <si>
    <t>berate</t>
  </si>
  <si>
    <t>dispassionate</t>
  </si>
  <si>
    <t>coax</t>
  </si>
  <si>
    <t>fastidious</t>
  </si>
  <si>
    <t>readable</t>
  </si>
  <si>
    <t>negate</t>
  </si>
  <si>
    <t>corrosive</t>
  </si>
  <si>
    <t>self-effacing</t>
  </si>
  <si>
    <t>sonorous</t>
  </si>
  <si>
    <t>pandemic</t>
  </si>
  <si>
    <t>aloof</t>
  </si>
  <si>
    <t>mercenary</t>
  </si>
  <si>
    <t>horrific</t>
  </si>
  <si>
    <t>dolorous</t>
  </si>
  <si>
    <t>impotent</t>
  </si>
  <si>
    <t>oddball</t>
  </si>
  <si>
    <t>bonhomie</t>
  </si>
  <si>
    <t>anonymous</t>
  </si>
  <si>
    <t>warble</t>
  </si>
  <si>
    <t>wistful</t>
  </si>
  <si>
    <t>prodigal</t>
  </si>
  <si>
    <t>jettison</t>
  </si>
  <si>
    <t>brevity</t>
  </si>
  <si>
    <t>accolade</t>
  </si>
  <si>
    <t>verbose</t>
  </si>
  <si>
    <t>malign</t>
  </si>
  <si>
    <t>awkward</t>
  </si>
  <si>
    <t>protean</t>
  </si>
  <si>
    <t>ruminate</t>
  </si>
  <si>
    <t>fade</t>
  </si>
  <si>
    <t>omnipresent</t>
  </si>
  <si>
    <t>accent</t>
  </si>
  <si>
    <t>consequential</t>
  </si>
  <si>
    <t>supersede</t>
  </si>
  <si>
    <t>tycoon</t>
  </si>
  <si>
    <t>deprecatory</t>
  </si>
  <si>
    <t>facet</t>
  </si>
  <si>
    <t>predate</t>
  </si>
  <si>
    <t>provincial</t>
  </si>
  <si>
    <t>circumlocution</t>
  </si>
  <si>
    <t>civility</t>
  </si>
  <si>
    <t>frail</t>
  </si>
  <si>
    <t>forbear</t>
  </si>
  <si>
    <t>marginal</t>
  </si>
  <si>
    <t>obtain</t>
  </si>
  <si>
    <t>neologism</t>
  </si>
  <si>
    <t>taunt</t>
  </si>
  <si>
    <t>afflict</t>
  </si>
  <si>
    <t>hefty</t>
  </si>
  <si>
    <t>subsequent</t>
  </si>
  <si>
    <t>resilient</t>
  </si>
  <si>
    <t>satiate</t>
  </si>
  <si>
    <t>illuminate</t>
  </si>
  <si>
    <t>moralistic</t>
  </si>
  <si>
    <t>objectionable</t>
  </si>
  <si>
    <t>resonate</t>
  </si>
  <si>
    <t>quell</t>
  </si>
  <si>
    <t>prepossessing</t>
  </si>
  <si>
    <t>slippery</t>
  </si>
  <si>
    <t>artless</t>
  </si>
  <si>
    <t>rebuke</t>
  </si>
  <si>
    <t>dampen</t>
  </si>
  <si>
    <t>protract</t>
  </si>
  <si>
    <t>quip</t>
  </si>
  <si>
    <t>provident</t>
  </si>
  <si>
    <t>ethnic</t>
  </si>
  <si>
    <t>agreeable</t>
  </si>
  <si>
    <t>slight</t>
  </si>
  <si>
    <t>commodious</t>
  </si>
  <si>
    <t>saturate</t>
  </si>
  <si>
    <t>fledgling</t>
  </si>
  <si>
    <t>stint</t>
  </si>
  <si>
    <t>premonitory</t>
  </si>
  <si>
    <t>merge</t>
  </si>
  <si>
    <t>hoard</t>
  </si>
  <si>
    <t>subvert</t>
  </si>
  <si>
    <t>static</t>
  </si>
  <si>
    <t>trepidation</t>
  </si>
  <si>
    <t>sophisticated</t>
  </si>
  <si>
    <t>gadfly</t>
  </si>
  <si>
    <t>scorn</t>
  </si>
  <si>
    <t>perquisite</t>
  </si>
  <si>
    <t>extremist</t>
  </si>
  <si>
    <t>thwart</t>
  </si>
  <si>
    <t>animus</t>
  </si>
  <si>
    <t>all-important</t>
  </si>
  <si>
    <t>astonish</t>
  </si>
  <si>
    <t>minuscule</t>
  </si>
  <si>
    <t>gut</t>
  </si>
  <si>
    <t>solicitous</t>
  </si>
  <si>
    <t>trendy</t>
  </si>
  <si>
    <t>rigor</t>
  </si>
  <si>
    <t>hereditary</t>
  </si>
  <si>
    <t>sardonic</t>
  </si>
  <si>
    <t>pillory</t>
  </si>
  <si>
    <t>personable</t>
  </si>
  <si>
    <t>comport</t>
  </si>
  <si>
    <t>short-lived</t>
  </si>
  <si>
    <t>cathedral</t>
  </si>
  <si>
    <t>upheaval</t>
  </si>
  <si>
    <t>totemic</t>
  </si>
  <si>
    <t>soft-pedal</t>
  </si>
  <si>
    <t>nadir</t>
  </si>
  <si>
    <t>truncate</t>
  </si>
  <si>
    <t>lush</t>
  </si>
  <si>
    <t>epitome</t>
  </si>
  <si>
    <t>restive</t>
  </si>
  <si>
    <t>original</t>
  </si>
  <si>
    <t>remonstrate</t>
  </si>
  <si>
    <t>eligible</t>
  </si>
  <si>
    <t>cache</t>
  </si>
  <si>
    <t>unqualified</t>
  </si>
  <si>
    <t>exterminate</t>
  </si>
  <si>
    <t>diffident</t>
  </si>
  <si>
    <t>savor</t>
  </si>
  <si>
    <t>specious</t>
  </si>
  <si>
    <t>resolve</t>
  </si>
  <si>
    <t>disprove</t>
  </si>
  <si>
    <t>pugnacious</t>
  </si>
  <si>
    <t>hidebound</t>
  </si>
  <si>
    <t>wastrel</t>
  </si>
  <si>
    <t>inadequate</t>
  </si>
  <si>
    <t>unctuous</t>
  </si>
  <si>
    <t>errant</t>
  </si>
  <si>
    <t>meager</t>
  </si>
  <si>
    <t>prognosis</t>
  </si>
  <si>
    <t>euphemism</t>
  </si>
  <si>
    <t>deflect</t>
  </si>
  <si>
    <t>consort</t>
  </si>
  <si>
    <t>delight</t>
  </si>
  <si>
    <t>intervene</t>
  </si>
  <si>
    <t>formidable</t>
  </si>
  <si>
    <t>canny</t>
  </si>
  <si>
    <t>singular</t>
  </si>
  <si>
    <t>GRE3000</t>
  </si>
  <si>
    <t>?</t>
  </si>
  <si>
    <t>general</t>
    <phoneticPr fontId="24" type="noConversion"/>
  </si>
  <si>
    <t>misuse</t>
    <phoneticPr fontId="24" type="noConversion"/>
  </si>
  <si>
    <t>meet</t>
    <phoneticPr fontId="24" type="noConversion"/>
  </si>
  <si>
    <t>instinct</t>
    <phoneticPr fontId="24" type="noConversion"/>
  </si>
  <si>
    <t>plausible</t>
    <phoneticPr fontId="24" type="noConversion"/>
  </si>
  <si>
    <t>mute</t>
    <phoneticPr fontId="24" type="noConversion"/>
  </si>
  <si>
    <t>reckless</t>
    <phoneticPr fontId="24" type="noConversion"/>
  </si>
  <si>
    <t>inaugurate</t>
    <phoneticPr fontId="24" type="noConversion"/>
  </si>
  <si>
    <t>pressing</t>
    <phoneticPr fontId="24" type="noConversion"/>
  </si>
  <si>
    <t>cater</t>
    <phoneticPr fontId="24" type="noConversion"/>
  </si>
  <si>
    <t>inclusive</t>
    <phoneticPr fontId="24" type="noConversion"/>
  </si>
  <si>
    <t>diminish</t>
    <phoneticPr fontId="24" type="noConversion"/>
  </si>
  <si>
    <t>subtle</t>
    <phoneticPr fontId="24" type="noConversion"/>
  </si>
  <si>
    <t>usage</t>
    <phoneticPr fontId="24" type="noConversion"/>
  </si>
  <si>
    <t>n.</t>
    <phoneticPr fontId="24" type="noConversion"/>
  </si>
  <si>
    <t>v.</t>
    <phoneticPr fontId="24" type="noConversion"/>
  </si>
  <si>
    <t>v.</t>
  </si>
  <si>
    <t>n.</t>
  </si>
  <si>
    <t>a.</t>
  </si>
  <si>
    <t>spoil</t>
    <phoneticPr fontId="24" type="noConversion"/>
  </si>
  <si>
    <t>n.</t>
    <phoneticPr fontId="24" type="noConversion"/>
  </si>
  <si>
    <t>balanced</t>
    <phoneticPr fontId="24" type="noConversion"/>
  </si>
  <si>
    <t>spin</t>
    <phoneticPr fontId="24" type="noConversion"/>
  </si>
  <si>
    <t>coerce</t>
    <phoneticPr fontId="24" type="noConversion"/>
  </si>
  <si>
    <t>epoch</t>
    <phoneticPr fontId="24" type="noConversion"/>
  </si>
  <si>
    <t>match</t>
    <phoneticPr fontId="24" type="noConversion"/>
  </si>
  <si>
    <t>exempt</t>
    <phoneticPr fontId="24" type="noConversion"/>
  </si>
  <si>
    <t>foster</t>
    <phoneticPr fontId="24" type="noConversion"/>
  </si>
  <si>
    <t>v.</t>
    <phoneticPr fontId="24" type="noConversion"/>
  </si>
  <si>
    <t>vt.</t>
  </si>
  <si>
    <t>naive</t>
  </si>
  <si>
    <t>vi.</t>
  </si>
  <si>
    <t>cliche</t>
  </si>
  <si>
    <t>adv.</t>
  </si>
  <si>
    <t>易发牢骚的，爱抱怨的</t>
  </si>
  <si>
    <t>死记硬背，机械性重复</t>
  </si>
  <si>
    <t>精心策划，巧妙设计</t>
  </si>
  <si>
    <t>广泛的，多方面的</t>
  </si>
  <si>
    <t>使困惑，难倒</t>
  </si>
  <si>
    <t>寓言，寓意</t>
  </si>
  <si>
    <t>直率的，坦诚的</t>
  </si>
  <si>
    <t>断言，坚称</t>
  </si>
  <si>
    <t>邪恶的，极坏的</t>
  </si>
  <si>
    <t>使改变信仰，使改变宗教信仰</t>
  </si>
  <si>
    <t>感到愤怒，不满</t>
  </si>
  <si>
    <t>增强，提高</t>
  </si>
  <si>
    <t>异端邪说，异教</t>
  </si>
  <si>
    <t>自发的，自然的</t>
  </si>
  <si>
    <t>冷淡的，不带个人感情的</t>
  </si>
  <si>
    <t>优秀的，杰出的</t>
  </si>
  <si>
    <t>激烈的，多风暴的</t>
  </si>
  <si>
    <t>过分讲究的，挑剔的</t>
  </si>
  <si>
    <t>积累，积聚</t>
  </si>
  <si>
    <t>屈尊俯就，以高人一等态度对待</t>
  </si>
  <si>
    <t>避免，防止</t>
  </si>
  <si>
    <t>折磨，使痛苦</t>
  </si>
  <si>
    <t>汇编，整理</t>
  </si>
  <si>
    <t>使成为仪式，使程式化</t>
  </si>
  <si>
    <t>树木的，栖息在树上的</t>
  </si>
  <si>
    <t>讽刺，讽刺作品</t>
  </si>
  <si>
    <t>意志，决定</t>
  </si>
  <si>
    <t>天生的，固有的</t>
  </si>
  <si>
    <t>赞美的，免费的</t>
  </si>
  <si>
    <t>厌恶，憎恨</t>
  </si>
  <si>
    <t>彻底的，详尽的</t>
  </si>
  <si>
    <t>感人的，辛酸的</t>
  </si>
  <si>
    <t>迷住，吸引</t>
  </si>
  <si>
    <t>穿戴，披戴</t>
  </si>
  <si>
    <t>环境，背景</t>
  </si>
  <si>
    <t>预示，预兆</t>
  </si>
  <si>
    <t>养生法，生活规则</t>
  </si>
  <si>
    <t>随意的，任意的</t>
  </si>
  <si>
    <t>空洞的，愚蠢的</t>
  </si>
  <si>
    <t>外部的，外面的</t>
  </si>
  <si>
    <t>易驯服的，温顺的</t>
  </si>
  <si>
    <t>沉重的，笨重的</t>
  </si>
  <si>
    <t>阻止，排除</t>
  </si>
  <si>
    <t>赞美，珍视</t>
  </si>
  <si>
    <t>忠诚，效忠</t>
  </si>
  <si>
    <t>谴责，判刑</t>
  </si>
  <si>
    <t>放弃，抛弃</t>
  </si>
  <si>
    <t>不道德的，过分的</t>
  </si>
  <si>
    <t>同时的，同时发生的</t>
  </si>
  <si>
    <t>磨石，累赘</t>
  </si>
  <si>
    <t>神圣不可侵犯的</t>
  </si>
  <si>
    <t>抑制，克制</t>
  </si>
  <si>
    <t>有分歧的，引发分裂的</t>
  </si>
  <si>
    <t>不明智的，不恰当的</t>
  </si>
  <si>
    <t>花序，蕾丝</t>
  </si>
  <si>
    <t>男性的，阳刚的</t>
  </si>
  <si>
    <t>常规的，例行的</t>
  </si>
  <si>
    <t>鬼鬼祟祟的，秘密的</t>
  </si>
  <si>
    <t>令人沮丧的，使人情绪低落的</t>
  </si>
  <si>
    <t>犀利的，尖锐的</t>
  </si>
  <si>
    <t>面对，对抗</t>
  </si>
  <si>
    <t>波动摇摆不定，变动</t>
  </si>
  <si>
    <t>意外发现，幸运的巧合</t>
  </si>
  <si>
    <t>不加选择的，不加区分的</t>
  </si>
  <si>
    <t>发怒，愤怒</t>
  </si>
  <si>
    <t>开始，发作</t>
  </si>
  <si>
    <t>主要的，基本的</t>
  </si>
  <si>
    <t>不经意的，无意的</t>
  </si>
  <si>
    <t>起诉，检举</t>
  </si>
  <si>
    <t>尊重的，恭敬的</t>
  </si>
  <si>
    <t>场合，时机</t>
  </si>
  <si>
    <t>病态的，不健康的</t>
  </si>
  <si>
    <t>闪耀的，才华出众的</t>
  </si>
  <si>
    <t>混合，大杂烩</t>
  </si>
  <si>
    <t>被动的，消极的</t>
  </si>
  <si>
    <t>抑制，阻止</t>
  </si>
  <si>
    <t>超越，胜过</t>
  </si>
  <si>
    <t>使分裂，使两极分化</t>
  </si>
  <si>
    <t>分离，断裂</t>
  </si>
  <si>
    <t>不得体的，不礼貌的</t>
  </si>
  <si>
    <t>废除，取消</t>
  </si>
  <si>
    <t>胜利，成功</t>
  </si>
  <si>
    <t>可协商的，可谈判的</t>
  </si>
  <si>
    <t>推测，猜测</t>
  </si>
  <si>
    <t>粘附，坚持</t>
  </si>
  <si>
    <t>灾难，灾祸</t>
  </si>
  <si>
    <t>冷漠的，漠不关心的</t>
  </si>
  <si>
    <t>觅食，搜寻</t>
  </si>
  <si>
    <t>可互换的，可替代的</t>
  </si>
  <si>
    <t>教唆，鼓励</t>
  </si>
  <si>
    <t>欣快感，幸福感</t>
  </si>
  <si>
    <t>分解，分子化</t>
  </si>
  <si>
    <t>叛徒，叛教者</t>
  </si>
  <si>
    <t>随身物品，器材</t>
  </si>
  <si>
    <t>鄙视，轻视</t>
  </si>
  <si>
    <t>侵犯，侵害</t>
  </si>
  <si>
    <t>使崇高，提升</t>
  </si>
  <si>
    <t>暴跌，骤降</t>
  </si>
  <si>
    <t>模棱两可的，含糊不清的</t>
  </si>
  <si>
    <t>哄骗，奉承</t>
  </si>
  <si>
    <t>威胁，恐吓</t>
  </si>
  <si>
    <t>蹒跚，摇摆</t>
  </si>
  <si>
    <t>健壮的，强壮的</t>
  </si>
  <si>
    <t>渗出，流露</t>
  </si>
  <si>
    <t>古老，古代时期</t>
  </si>
  <si>
    <t>共生关系，互利共生</t>
  </si>
  <si>
    <t>激发活力，给予能量</t>
  </si>
  <si>
    <t>隐藏的，秘密的</t>
  </si>
  <si>
    <t>食品，可食用的</t>
  </si>
  <si>
    <t>嵌入，插入</t>
  </si>
  <si>
    <t>监护人，保护者</t>
  </si>
  <si>
    <t>主意，创意</t>
  </si>
  <si>
    <t>同意，赞成</t>
  </si>
  <si>
    <t>代理的，替代的</t>
  </si>
  <si>
    <t>无情的，残忍的</t>
  </si>
  <si>
    <t>有效的，有力的</t>
  </si>
  <si>
    <t>沉着，泰然自若</t>
  </si>
  <si>
    <t>诽谤，中伤</t>
  </si>
  <si>
    <t>同意，答应</t>
  </si>
  <si>
    <t>体现，具体表现</t>
  </si>
  <si>
    <t>堡垒，防御工事</t>
  </si>
  <si>
    <t>使不满，使不高兴</t>
  </si>
  <si>
    <t>分散，散开</t>
  </si>
  <si>
    <t>下属，从属的</t>
  </si>
  <si>
    <t>庸俗的人，没有文化的人</t>
  </si>
  <si>
    <t>不墨守成规的，不随波逐流的</t>
  </si>
  <si>
    <t>欺诈，诡计</t>
  </si>
  <si>
    <t>独有的，独占的</t>
  </si>
  <si>
    <t>监视，监测</t>
  </si>
  <si>
    <t>混乱无序的，仓促的</t>
  </si>
  <si>
    <t>不明智的，失策的</t>
  </si>
  <si>
    <t>不顺从的，不服从的</t>
  </si>
  <si>
    <t>模糊的，晦涩的</t>
  </si>
  <si>
    <t>免除，宣判无罪</t>
  </si>
  <si>
    <t>不停的，不断的</t>
  </si>
  <si>
    <t>想象，设想</t>
  </si>
  <si>
    <t>工艺品，手工艺品</t>
  </si>
  <si>
    <t>最后一搏，孤注一掷</t>
  </si>
  <si>
    <t>垂直的，正交的</t>
  </si>
  <si>
    <t>代理人，替代品</t>
  </si>
  <si>
    <t>闪烁，闪光</t>
  </si>
  <si>
    <t>狂喜，欣喜</t>
  </si>
  <si>
    <t>普遍的，广泛的</t>
  </si>
  <si>
    <t>掩盖，伪装</t>
  </si>
  <si>
    <t>明确的，确定的</t>
  </si>
  <si>
    <t>雄辩的，有口才的</t>
  </si>
  <si>
    <t>推断，演绎</t>
  </si>
  <si>
    <t>尊敬，尊重</t>
  </si>
  <si>
    <t>突然变得荒谬的</t>
  </si>
  <si>
    <t>深思熟虑，考虑</t>
  </si>
  <si>
    <t>坚定的，不退缩的</t>
  </si>
  <si>
    <t>多种多样的，混合的</t>
  </si>
  <si>
    <t>信念，坚定的信仰</t>
  </si>
  <si>
    <t>反复无常</t>
  </si>
  <si>
    <t>关于</t>
  </si>
  <si>
    <t>值得赞赏的，令人钦佩的</t>
  </si>
  <si>
    <t>小圈子，小团体</t>
  </si>
  <si>
    <t>逐渐增长，聚积</t>
  </si>
  <si>
    <t>不和谐，不一致</t>
  </si>
  <si>
    <t>意外的，棘手的</t>
  </si>
  <si>
    <t>可解释的，能理解的</t>
  </si>
  <si>
    <t>鸟类的，鸟的</t>
  </si>
  <si>
    <t>必然地</t>
  </si>
  <si>
    <t>二分的，对立的</t>
  </si>
  <si>
    <t>使活跃，使生动</t>
  </si>
  <si>
    <t>止血，制止</t>
  </si>
  <si>
    <t>赞歌，颂歌</t>
  </si>
  <si>
    <t>重罪，严重的犯罪</t>
  </si>
  <si>
    <t>流放，放逐</t>
  </si>
  <si>
    <t>放肆的，无礼的</t>
  </si>
  <si>
    <t>扑灭，止渴</t>
  </si>
  <si>
    <t>栖息，睡觉</t>
  </si>
  <si>
    <t>放电，释放</t>
  </si>
  <si>
    <t>学徒，徒弟</t>
  </si>
  <si>
    <t>胆大的，大胆的</t>
  </si>
  <si>
    <t>忠诚的，坚定的</t>
  </si>
  <si>
    <t>陈腐的，老生常谈的</t>
  </si>
  <si>
    <t>合并，融合</t>
  </si>
  <si>
    <t>畏缩，退缩</t>
  </si>
  <si>
    <t>合并，包含</t>
  </si>
  <si>
    <t>令人不悦的事物，丑陋之物</t>
  </si>
  <si>
    <t>简洁的，简明的</t>
  </si>
  <si>
    <t>赞同，认可</t>
  </si>
  <si>
    <t>失望，懊恼</t>
  </si>
  <si>
    <t>欺诈的，不诚实的</t>
  </si>
  <si>
    <t>吹毛求疵的，挑剔的</t>
  </si>
  <si>
    <t>幼稚的，不成熟的</t>
  </si>
  <si>
    <t>减轻，减少</t>
  </si>
  <si>
    <t>拒绝，断然拒绝</t>
  </si>
  <si>
    <t>故意的，有计划的</t>
  </si>
  <si>
    <t>无脊椎动物，软弱无力的人</t>
  </si>
  <si>
    <t>暂时的，短暂的</t>
  </si>
  <si>
    <t>咒骂，诅咒</t>
  </si>
  <si>
    <t>指定，任命</t>
  </si>
  <si>
    <t>爱哭的</t>
  </si>
  <si>
    <t>繁重的，累赘的</t>
  </si>
  <si>
    <t>恢复的，有益健康的</t>
  </si>
  <si>
    <t>喷出，涌出</t>
  </si>
  <si>
    <t>昏昏欲睡的，催眠的</t>
  </si>
  <si>
    <t>拱顶，地下室</t>
  </si>
  <si>
    <t>集体的，共同的</t>
  </si>
  <si>
    <t>收集，搜集</t>
  </si>
  <si>
    <t>寻常的，平凡的</t>
  </si>
  <si>
    <t>实质的，重要的</t>
  </si>
  <si>
    <t>渴望，热切地想要</t>
  </si>
  <si>
    <t>创新的，革新的</t>
  </si>
  <si>
    <t>好交际的，社交的</t>
  </si>
  <si>
    <t>心照不宣的，默许的</t>
  </si>
  <si>
    <t>巨大的，庞大的</t>
  </si>
  <si>
    <t>理解，逮捕</t>
  </si>
  <si>
    <t>缺点，不足之处</t>
  </si>
  <si>
    <t>移交，下放</t>
  </si>
  <si>
    <t>举例证明，具体示范</t>
  </si>
  <si>
    <t>螺旋，盘旋</t>
  </si>
  <si>
    <t>恶狠狠的</t>
  </si>
  <si>
    <t>情景，剧本</t>
  </si>
  <si>
    <t>催眠的</t>
  </si>
  <si>
    <t>谴责，批评</t>
  </si>
  <si>
    <t>清晰的，明了的</t>
  </si>
  <si>
    <t>潜台词，含义</t>
  </si>
  <si>
    <t>选民，选区</t>
  </si>
  <si>
    <t>工艺，技艺</t>
  </si>
  <si>
    <t>权宜之计，方便之道</t>
  </si>
  <si>
    <t>对抗力量，抵制</t>
  </si>
  <si>
    <t>使适应，使习惯</t>
  </si>
  <si>
    <t>显著的，明显的</t>
  </si>
  <si>
    <t>杰出的，著名的</t>
  </si>
  <si>
    <t>圣地，庇护所</t>
  </si>
  <si>
    <t>时尚，一时的风尚</t>
  </si>
  <si>
    <t>步行街</t>
  </si>
  <si>
    <t>有争议的，引发争议的</t>
  </si>
  <si>
    <t>孵化，培养</t>
  </si>
  <si>
    <t>先锋，前卫</t>
  </si>
  <si>
    <t>恩赐，福音</t>
  </si>
  <si>
    <t>灵巧的，熟练的</t>
  </si>
  <si>
    <t>无精打采的，懈怠的</t>
  </si>
  <si>
    <t>不稳定的，古怪的</t>
  </si>
  <si>
    <t>无价值的，琐碎的</t>
  </si>
  <si>
    <t>内在的，固有的</t>
  </si>
  <si>
    <t>鲁莽，冒失</t>
  </si>
  <si>
    <t>官僚主义，官僚机构</t>
  </si>
  <si>
    <t>非正统的，异端的</t>
  </si>
  <si>
    <t>干涉，干预</t>
  </si>
  <si>
    <t>预示，表示</t>
  </si>
  <si>
    <t>精通的，熟练的</t>
  </si>
  <si>
    <t>近视的，目光短浅的</t>
  </si>
  <si>
    <t>交织，交错</t>
  </si>
  <si>
    <t>前所未有的，空前的</t>
  </si>
  <si>
    <t>出现，到来</t>
  </si>
  <si>
    <t>实现，变成现实</t>
  </si>
  <si>
    <t>忽视，俯瞰</t>
  </si>
  <si>
    <t>压缩，限制</t>
  </si>
  <si>
    <t>滋补的，有益健康的</t>
  </si>
  <si>
    <t>欢乐的，友好的</t>
  </si>
  <si>
    <t>鉴定，认证</t>
  </si>
  <si>
    <t>实施，工具</t>
  </si>
  <si>
    <t>平凡的，普通的</t>
  </si>
  <si>
    <t>原型的，典型的</t>
  </si>
  <si>
    <t>自主，自治</t>
  </si>
  <si>
    <t>削减，节省</t>
  </si>
  <si>
    <t>激励，刺激</t>
  </si>
  <si>
    <t>供应商，承办者</t>
  </si>
  <si>
    <t>潜在的，潜伏的</t>
  </si>
  <si>
    <t>合作，协作</t>
  </si>
  <si>
    <t>不守规矩的，难驾驭的</t>
  </si>
  <si>
    <t>缓慢而乏味的</t>
  </si>
  <si>
    <t>发霉的，陈腐的</t>
  </si>
  <si>
    <t>决定性的，界定的</t>
  </si>
  <si>
    <t>抵消，补偿</t>
  </si>
  <si>
    <t>有害的，有毒的</t>
  </si>
  <si>
    <t>短暂的，瞬息的</t>
  </si>
  <si>
    <t>惰性的，不活跃的</t>
  </si>
  <si>
    <t>好战的，好斗的</t>
  </si>
  <si>
    <t>遗产，家族财产</t>
  </si>
  <si>
    <t>摇摇欲坠的，破烂的</t>
  </si>
  <si>
    <t>无聊的，乏味的</t>
  </si>
  <si>
    <t>谦逊，谦恭</t>
  </si>
  <si>
    <t>根除，消灭</t>
  </si>
  <si>
    <t>散漫的，离题的</t>
  </si>
  <si>
    <t>无拘无束的，不受限制的</t>
  </si>
  <si>
    <t>令人憎恶的事物</t>
  </si>
  <si>
    <t>粗俗的，庸俗的</t>
  </si>
  <si>
    <t>突出的，卓越的</t>
  </si>
  <si>
    <t>辱骂，恶言相向</t>
  </si>
  <si>
    <t>柔软的，易弯曲的</t>
  </si>
  <si>
    <t>称赞，颂扬</t>
  </si>
  <si>
    <t>亲属关系，亲情</t>
  </si>
  <si>
    <t>纪律严明的人，苛刻的人</t>
  </si>
  <si>
    <t>谨慎的，警惕的</t>
  </si>
  <si>
    <t>聪明，有见识</t>
  </si>
  <si>
    <t>喧闹，混乱</t>
  </si>
  <si>
    <t>使丧失信誉，败坏名声</t>
  </si>
  <si>
    <t>即兴创作，临时准备</t>
  </si>
  <si>
    <t>缺乏的，不足的</t>
  </si>
  <si>
    <t>严厉批评，抨击</t>
  </si>
  <si>
    <t>模糊的，含糊的</t>
  </si>
  <si>
    <t>恶臭，废气</t>
  </si>
  <si>
    <t>凌乱的，不整洁的</t>
  </si>
  <si>
    <t>磨损，磨去</t>
  </si>
  <si>
    <t>预言家，占卜者</t>
  </si>
  <si>
    <t>戏剧的，夸张的</t>
  </si>
  <si>
    <t>熟人，相识</t>
  </si>
  <si>
    <t>旗帜，标志</t>
  </si>
  <si>
    <t>简单的事，容易做到的事</t>
  </si>
  <si>
    <t>撤销命令，取消</t>
  </si>
  <si>
    <t>厌恶，反感</t>
  </si>
  <si>
    <t>镇压，抑制</t>
  </si>
  <si>
    <t>拼缝物，拼凑品</t>
  </si>
  <si>
    <t>扭伤，猛拉</t>
  </si>
  <si>
    <t>扩散，传播</t>
  </si>
  <si>
    <t>不容置疑的，明确的</t>
  </si>
  <si>
    <t>后部，抚养</t>
  </si>
  <si>
    <t>自私的，自私自利的</t>
  </si>
  <si>
    <t>许可证，执照</t>
  </si>
  <si>
    <t>严厉的，尖刻的</t>
  </si>
  <si>
    <t>自以为是的</t>
  </si>
  <si>
    <t>使陶醉，使沉醉</t>
  </si>
  <si>
    <t>恰当的，有倾向的</t>
  </si>
  <si>
    <t>冠军，支持者</t>
  </si>
  <si>
    <t>冒名顶替者，骗子</t>
  </si>
  <si>
    <t>笨拙的，不雅的</t>
  </si>
  <si>
    <t>拥抱，接受</t>
  </si>
  <si>
    <t>引发，产生</t>
  </si>
  <si>
    <t>苛求的，要求严格的</t>
  </si>
  <si>
    <t>破坏，妨碍</t>
  </si>
  <si>
    <t>渴望，垂涎</t>
  </si>
  <si>
    <t>苦工，苦差事</t>
  </si>
  <si>
    <t>蜿蜒曲折的，令人费解的</t>
  </si>
  <si>
    <t>设计，计划</t>
  </si>
  <si>
    <t>吵闹的，骚动的</t>
  </si>
  <si>
    <t>分发，分配</t>
  </si>
  <si>
    <t>投降，放弃</t>
  </si>
  <si>
    <t>狂热，狂暴</t>
  </si>
  <si>
    <t>并排，跟上</t>
  </si>
  <si>
    <t>阻止，犹豫</t>
  </si>
  <si>
    <t>删除，抹去</t>
  </si>
  <si>
    <t>吝啬的，节俭的</t>
  </si>
  <si>
    <t>使用，雇佣</t>
  </si>
  <si>
    <t>邻近，接近</t>
  </si>
  <si>
    <t>好斗的，爱争吵的</t>
  </si>
  <si>
    <t>大师，艺术大师</t>
  </si>
  <si>
    <t>处理不当，虐待</t>
  </si>
  <si>
    <t>援引，引用</t>
  </si>
  <si>
    <t>无病呻吟的</t>
  </si>
  <si>
    <t>妖魔化，妖魔化</t>
  </si>
  <si>
    <t>鼓励，使大胆</t>
  </si>
  <si>
    <t>苦恼，烦恼</t>
  </si>
  <si>
    <t>令人信服的，引人注目的</t>
  </si>
  <si>
    <t>荣誉，尊敬</t>
  </si>
  <si>
    <t>独立的，分离的</t>
  </si>
  <si>
    <t>预见，预知</t>
  </si>
  <si>
    <t>支持，支撑</t>
  </si>
  <si>
    <t>激怒，使烦恼</t>
  </si>
  <si>
    <t>使调和，使协调</t>
  </si>
  <si>
    <t>不可避免的，必然的</t>
  </si>
  <si>
    <t>简朴的，朴素的</t>
  </si>
  <si>
    <t>压缩，压紧</t>
  </si>
  <si>
    <t>早于，先于</t>
  </si>
  <si>
    <t>农业的，土地的</t>
  </si>
  <si>
    <t>可获得的，可利用的</t>
  </si>
  <si>
    <t>同情，怜悯</t>
  </si>
  <si>
    <t>使满足，使高兴</t>
  </si>
  <si>
    <t>命名，为...命名</t>
  </si>
  <si>
    <t>狂欢，陶醉</t>
  </si>
  <si>
    <t>立刻，马上</t>
  </si>
  <si>
    <t>繁重的，麻烦的</t>
  </si>
  <si>
    <t>注解，注释</t>
  </si>
  <si>
    <t>巨大的，惊人的</t>
  </si>
  <si>
    <t>阻碍，障碍</t>
  </si>
  <si>
    <t>校对，校正</t>
  </si>
  <si>
    <t>恐慌，惊慌</t>
  </si>
  <si>
    <t>报复，反击</t>
  </si>
  <si>
    <t>勇敢的，高尚的</t>
  </si>
  <si>
    <t>足够，满足</t>
  </si>
  <si>
    <t>重新发明，彻底改变</t>
  </si>
  <si>
    <t>缓解，减轻</t>
  </si>
  <si>
    <t>困境，窘境</t>
  </si>
  <si>
    <t>放弃，发誓不再使用</t>
  </si>
  <si>
    <t>无与伦比的，独一无二的</t>
  </si>
  <si>
    <t>预示，预测</t>
  </si>
  <si>
    <t>致命的，灾难性的</t>
  </si>
  <si>
    <t>易挥发的，不稳定的</t>
  </si>
  <si>
    <t>温柔的，提供</t>
  </si>
  <si>
    <t>大量杀害，严重削弱</t>
  </si>
  <si>
    <t>贪婪的，贪心的</t>
  </si>
  <si>
    <t>节俭的，简朴的</t>
  </si>
  <si>
    <t>范围，视野</t>
  </si>
  <si>
    <t>羞辱，使丢脸</t>
  </si>
  <si>
    <t>镇定的，沉着的</t>
  </si>
  <si>
    <t>寡言而无礼的</t>
  </si>
  <si>
    <t>同事间的友好合作</t>
  </si>
  <si>
    <t>使虚弱，使无力</t>
  </si>
  <si>
    <t>表现，显示</t>
  </si>
  <si>
    <t>平凡的，日常的</t>
  </si>
  <si>
    <t>结果，分枝</t>
  </si>
  <si>
    <t>任性的，难以管束的</t>
  </si>
  <si>
    <t>顶点，巅峰</t>
  </si>
  <si>
    <t>不问场合耍聪明的</t>
  </si>
  <si>
    <t>削弱，破坏</t>
  </si>
  <si>
    <t>代名词，典型</t>
  </si>
  <si>
    <t>诽谤，污蔑</t>
  </si>
  <si>
    <t>美好的，乐观的</t>
  </si>
  <si>
    <t>接受，接纳</t>
  </si>
  <si>
    <t>解开，阐明</t>
  </si>
  <si>
    <t>近似的，大约的</t>
  </si>
  <si>
    <t>轶事，趣闻</t>
  </si>
  <si>
    <t>吸引，诱惑</t>
  </si>
  <si>
    <t>人类中心主义</t>
  </si>
  <si>
    <t>信仰，信条</t>
  </si>
  <si>
    <t>一度的，曾经的</t>
  </si>
  <si>
    <t>表扬，嘉奖</t>
  </si>
  <si>
    <t>过滤，筛选</t>
  </si>
  <si>
    <t>麻木，迟钝</t>
  </si>
  <si>
    <t>浓缩，凝结</t>
  </si>
  <si>
    <t>错误的，不正确的</t>
  </si>
  <si>
    <t>感激，欣赏</t>
  </si>
  <si>
    <t>夺取，费力取得</t>
  </si>
  <si>
    <t>衰退，衰减</t>
  </si>
  <si>
    <t>嘲笑，讥讽</t>
  </si>
  <si>
    <t>朝圣者，游客</t>
  </si>
  <si>
    <t>光滑的，时髦的</t>
  </si>
  <si>
    <t>不择手段谋取</t>
  </si>
  <si>
    <t>威严的，令人敬重的</t>
  </si>
  <si>
    <t>平息，减弱</t>
  </si>
  <si>
    <t>归罪于</t>
  </si>
  <si>
    <t>狡猾，欺诈</t>
  </si>
  <si>
    <t>宽松的，松散的</t>
  </si>
  <si>
    <t>幼稚的，无趣的</t>
  </si>
  <si>
    <t>利己主义，自大狂</t>
  </si>
  <si>
    <t>饥饿，挨饿</t>
  </si>
  <si>
    <t>减少，缩小</t>
  </si>
  <si>
    <t>毫无根据的，无理由的</t>
  </si>
  <si>
    <t>相似，相似之处</t>
  </si>
  <si>
    <t>刺耳的，尖锐的</t>
  </si>
  <si>
    <t>反抗的，挑战的</t>
  </si>
  <si>
    <t>简单，朴素</t>
  </si>
  <si>
    <t>剥夺，脱掉</t>
  </si>
  <si>
    <t>强调，下划线</t>
  </si>
  <si>
    <t>戏剧性的，引人注目的</t>
  </si>
  <si>
    <t>尊敬，崇敬</t>
  </si>
  <si>
    <t>调制，编造</t>
  </si>
  <si>
    <t>妨碍，拖累</t>
  </si>
  <si>
    <t>现象，非凡的</t>
  </si>
  <si>
    <t>有吸引力的，富有魅力的</t>
  </si>
  <si>
    <t>倾向于，易于</t>
  </si>
  <si>
    <t>否认，反驳</t>
  </si>
  <si>
    <t>阴暗的，沮丧的</t>
  </si>
  <si>
    <t>进口，重要性</t>
  </si>
  <si>
    <t>友情，同志情谊</t>
  </si>
  <si>
    <t>丰富的，大量的</t>
  </si>
  <si>
    <t>放弃，撤回</t>
  </si>
  <si>
    <t>欢庆，庆祝</t>
  </si>
  <si>
    <t>多孔的，能渗透的</t>
  </si>
  <si>
    <t>说教的，说教性的</t>
  </si>
  <si>
    <t>食肉的，肉食动物的</t>
  </si>
  <si>
    <t>雄伟的，庄严的</t>
  </si>
  <si>
    <t>增长，增量</t>
  </si>
  <si>
    <t>把…奉为神圣</t>
  </si>
  <si>
    <t>和蔼的，令人愉快的</t>
  </si>
  <si>
    <t>克服，战胜</t>
  </si>
  <si>
    <t>领域，领土</t>
  </si>
  <si>
    <t>令人讨厌的，使人不悦的</t>
  </si>
  <si>
    <t>错误的，出错的</t>
  </si>
  <si>
    <t>使混乱，使无序</t>
  </si>
  <si>
    <t>混乱，紊乱</t>
  </si>
  <si>
    <t>慎重的，有分寸的</t>
  </si>
  <si>
    <t>无根据的，无依据的</t>
  </si>
  <si>
    <t>争吵，争论</t>
  </si>
  <si>
    <t>复发的，重新出现</t>
  </si>
  <si>
    <t>刺破，穿刺</t>
  </si>
  <si>
    <t>提升，赞扬</t>
  </si>
  <si>
    <t>机敏的，精明的</t>
  </si>
  <si>
    <t>挥舞，炫耀</t>
  </si>
  <si>
    <t>阻碍，妨碍</t>
  </si>
  <si>
    <t>生存，维持生计</t>
  </si>
  <si>
    <t>暴动，骚乱</t>
  </si>
  <si>
    <t>笨重的，累赘的</t>
  </si>
  <si>
    <t>犹豫，动摇</t>
  </si>
  <si>
    <t>可笑的，好笑的</t>
  </si>
  <si>
    <t>转变，改变信仰</t>
  </si>
  <si>
    <t>无礼的，粗暴的</t>
  </si>
  <si>
    <t>突破，重大进展</t>
  </si>
  <si>
    <t>天才，天赋</t>
  </si>
  <si>
    <t>推翻，倒塌</t>
  </si>
  <si>
    <t>猛烈抨击，爆发</t>
  </si>
  <si>
    <t>赠予，授予</t>
  </si>
  <si>
    <t>笨重的，难操作的</t>
  </si>
  <si>
    <t>浇灭，熄灭</t>
  </si>
  <si>
    <t>遴选</t>
  </si>
  <si>
    <t>磨练，磨刀</t>
  </si>
  <si>
    <t>带头，领导</t>
  </si>
  <si>
    <t>唤起的，引发回忆的</t>
  </si>
  <si>
    <t>产生，生成</t>
  </si>
  <si>
    <t>场所，地点</t>
  </si>
  <si>
    <t>壮观的展示，全副武装</t>
  </si>
  <si>
    <t>非法的，违法的</t>
  </si>
  <si>
    <t>可替代的，可牺牲的</t>
  </si>
  <si>
    <t>逗留，徘徊</t>
  </si>
  <si>
    <t>保护，保育</t>
  </si>
  <si>
    <t>死水，闭塞地区</t>
  </si>
  <si>
    <t>加重，恶化</t>
  </si>
  <si>
    <t>令人回忆的，使人想起的</t>
  </si>
  <si>
    <t>诙谐的，滑稽的</t>
  </si>
  <si>
    <t>有礼貌的，彬彬有礼的</t>
  </si>
  <si>
    <t>表面的，假装的</t>
  </si>
  <si>
    <t>轰动的，引起轰动的</t>
  </si>
  <si>
    <t>不重要的，无关紧要的</t>
  </si>
  <si>
    <t>可敬畏的，令人尊敬的</t>
  </si>
  <si>
    <t>边缘，次要的</t>
  </si>
  <si>
    <t>分裂的，有分歧的</t>
  </si>
  <si>
    <t>过时的，陈旧的</t>
  </si>
  <si>
    <t>描绘，描述</t>
  </si>
  <si>
    <t>语法，句法</t>
  </si>
  <si>
    <t>散文，平凡的文字</t>
  </si>
  <si>
    <t>过多的，不适当的</t>
  </si>
  <si>
    <t>充气，膨胀</t>
  </si>
  <si>
    <t>感激的，感恩的</t>
  </si>
  <si>
    <t>永恒的，永远的</t>
  </si>
  <si>
    <t>群居的，社交的</t>
  </si>
  <si>
    <t>令人担忧的，令人发愁的</t>
  </si>
  <si>
    <t>人口统计的，人口学的</t>
  </si>
  <si>
    <t>煽动，激起</t>
  </si>
  <si>
    <t>控制，驾驭</t>
  </si>
  <si>
    <t>改善，提高</t>
  </si>
  <si>
    <t>锻造，伪造</t>
  </si>
  <si>
    <t>生产，产生</t>
  </si>
  <si>
    <t>等价的，相等的</t>
  </si>
  <si>
    <t>取决于，视情况而定的</t>
  </si>
  <si>
    <t>与...搏斗，解决</t>
  </si>
  <si>
    <t>不协调，突兀</t>
  </si>
  <si>
    <t>卖弄词藻的</t>
  </si>
  <si>
    <t>想象，展望</t>
  </si>
  <si>
    <t>嘲笑，讥笑</t>
  </si>
  <si>
    <t>甜得发腻的，过于多情的</t>
  </si>
  <si>
    <t>嘘，喝倒彩</t>
  </si>
  <si>
    <t>走调的，不和谐的</t>
  </si>
  <si>
    <t>吹嘘，炫耀</t>
  </si>
  <si>
    <t>接着发生，随之而来</t>
  </si>
  <si>
    <t>中立，中性</t>
  </si>
  <si>
    <t>谨慎的，小心的</t>
  </si>
  <si>
    <t>布置家居</t>
  </si>
  <si>
    <t>分开地，化为碎片地</t>
  </si>
  <si>
    <t>逃避的，回避的</t>
  </si>
  <si>
    <t>连续的，接连的</t>
  </si>
  <si>
    <t>有害的，不利的</t>
  </si>
  <si>
    <t>优惠券，折扣券</t>
  </si>
  <si>
    <t>结论性的，决定性的</t>
  </si>
  <si>
    <t>友好，礼让</t>
  </si>
  <si>
    <t>居高临下的，以恩人自居的</t>
  </si>
  <si>
    <t>零碎的，逐个的</t>
  </si>
  <si>
    <t>平庸的，普通的</t>
  </si>
  <si>
    <t>忧郁，悲哀</t>
  </si>
  <si>
    <t>概略的，粗略的</t>
  </si>
  <si>
    <t>禁酒主义，戒酒主义</t>
  </si>
  <si>
    <t>沮丧的，阴郁的</t>
  </si>
  <si>
    <t>数量超过，超过</t>
  </si>
  <si>
    <t>否认，脱离关系</t>
  </si>
  <si>
    <t>称赞，喝彩</t>
  </si>
  <si>
    <t>吵闹的，不服约束的</t>
  </si>
  <si>
    <t>相关的，贴切的</t>
  </si>
  <si>
    <t>骗子，冒牌医生</t>
  </si>
  <si>
    <t>随和的，轻松的</t>
  </si>
  <si>
    <t>幼稚的，孩子气的</t>
  </si>
  <si>
    <t>包含，由...组成</t>
  </si>
  <si>
    <t>原则，信仰</t>
  </si>
  <si>
    <t>安抚，平息</t>
  </si>
  <si>
    <t>缺乏，不足</t>
  </si>
  <si>
    <t>吸引人的，诱人的</t>
  </si>
  <si>
    <t>易怒的，脾气坏的</t>
  </si>
  <si>
    <t>书呆子的，学究气的</t>
  </si>
  <si>
    <t>感情外露的</t>
  </si>
  <si>
    <t>卑微的，低下的</t>
  </si>
  <si>
    <t>时髦的，别致的</t>
  </si>
  <si>
    <t>驱散，消除</t>
  </si>
  <si>
    <t>危言耸听的，杞人忧天的</t>
  </si>
  <si>
    <t>过滤，滤去</t>
  </si>
  <si>
    <t>传授，给予</t>
  </si>
  <si>
    <t>降低，贬低</t>
  </si>
  <si>
    <t>使成为必要，需要</t>
  </si>
  <si>
    <t>无法弥补的，无法修复的</t>
  </si>
  <si>
    <t>散乱地移动，蔓延</t>
  </si>
  <si>
    <t>严厉的，严肃的</t>
  </si>
  <si>
    <t>报复，报仇</t>
  </si>
  <si>
    <t>粗鲁的，脾气差的</t>
  </si>
  <si>
    <t>受益人，受惠者</t>
  </si>
  <si>
    <t>除了，除非</t>
  </si>
  <si>
    <t>发挥，施加</t>
  </si>
  <si>
    <t>挫折，障碍</t>
  </si>
  <si>
    <t>士气，斗志</t>
  </si>
  <si>
    <t>毁坏的，受害的</t>
  </si>
  <si>
    <t>权威的，有权威的</t>
  </si>
  <si>
    <t>真理</t>
  </si>
  <si>
    <t>犯罪，做坏事</t>
  </si>
  <si>
    <t>拟人化，赋予人性特征</t>
  </si>
  <si>
    <t>一致的，连贯的</t>
  </si>
  <si>
    <t>宁静的，平静的</t>
  </si>
  <si>
    <t>令人震惊的，巨大的</t>
  </si>
  <si>
    <t>承诺，保证</t>
  </si>
  <si>
    <t>可以说是，有人认为</t>
  </si>
  <si>
    <t>夸大，言过其实</t>
  </si>
  <si>
    <t>辩护，保卫</t>
  </si>
  <si>
    <t>独自的，孤独的</t>
  </si>
  <si>
    <t>必要的，迫切的</t>
  </si>
  <si>
    <t>诋毁，贬低</t>
  </si>
  <si>
    <t>奇怪的，古怪的</t>
  </si>
  <si>
    <t>财富，富有</t>
  </si>
  <si>
    <t>卷入的，涉及的</t>
  </si>
  <si>
    <t>利用，控制</t>
  </si>
  <si>
    <t>支柱，主要支持者</t>
  </si>
  <si>
    <t>地方性的，特有的</t>
  </si>
  <si>
    <t>时代错误的，过时的</t>
  </si>
  <si>
    <t>质疑，抨击</t>
  </si>
  <si>
    <t>名义上的，象征性的</t>
  </si>
  <si>
    <t>愚蠢的，愚昧的</t>
  </si>
  <si>
    <t>维护，保养</t>
  </si>
  <si>
    <t>负有责任的，可问责的</t>
  </si>
  <si>
    <t>安慰，慰藉</t>
  </si>
  <si>
    <t>青少年的，幼稚的</t>
  </si>
  <si>
    <t>虚幻的，幻觉的</t>
  </si>
  <si>
    <t>恳求，祈求</t>
  </si>
  <si>
    <t>警告，责备</t>
  </si>
  <si>
    <t>文雅的，彬彬有礼的</t>
  </si>
  <si>
    <t>退化的，退行性的</t>
  </si>
  <si>
    <t>易受影响的，容许的</t>
  </si>
  <si>
    <t>沉思，冥想</t>
  </si>
  <si>
    <t>隐秘的，秘密的</t>
  </si>
  <si>
    <t>重大的，重要的</t>
  </si>
  <si>
    <t>和平的，爱好和平的</t>
  </si>
  <si>
    <t>伪造的，虚假的</t>
  </si>
  <si>
    <t>不对头的</t>
  </si>
  <si>
    <t>邻近的，毗邻的</t>
  </si>
  <si>
    <t>操控，策略</t>
  </si>
  <si>
    <t>二元论，对立</t>
  </si>
  <si>
    <t>避免，消除</t>
  </si>
  <si>
    <t>无瑕疵的，完美的</t>
  </si>
  <si>
    <t>坚不可摧的，牢不可破的</t>
  </si>
  <si>
    <t>热情，狂热</t>
  </si>
  <si>
    <t>障碍，屏障</t>
  </si>
  <si>
    <t>破旧的，不体面的</t>
  </si>
  <si>
    <t>联盟，结盟</t>
  </si>
  <si>
    <t>谦逊的，不摆架子的</t>
  </si>
  <si>
    <t>初期的，未发展完全的</t>
  </si>
  <si>
    <t>阴暗的，肮脏的</t>
  </si>
  <si>
    <t>敏捷，灵活</t>
  </si>
  <si>
    <t>主权，统治权</t>
  </si>
  <si>
    <t>敏锐的，热切的</t>
  </si>
  <si>
    <t>熟悉的，精通的</t>
  </si>
  <si>
    <t>慷慨激昂的</t>
  </si>
  <si>
    <t>否决，否决权</t>
  </si>
  <si>
    <t>可宽恕的，轻微的</t>
  </si>
  <si>
    <t>胆小的，害怕的</t>
  </si>
  <si>
    <t>间歇的，断断续续的</t>
  </si>
  <si>
    <t>前任，前辈</t>
  </si>
  <si>
    <t>轻松愉快的，开心的</t>
  </si>
  <si>
    <t>烹饪的，厨房的</t>
  </si>
  <si>
    <t>理智，精神健康</t>
  </si>
  <si>
    <t>精致的，优美的</t>
  </si>
  <si>
    <t>巧合的，同时发生的</t>
  </si>
  <si>
    <t>恶化，退化</t>
  </si>
  <si>
    <t>华丽的，豪华的</t>
  </si>
  <si>
    <t>假装害羞，故作忸怩的</t>
  </si>
  <si>
    <t>引出，激起</t>
  </si>
  <si>
    <t>名人堂，伟人之殿</t>
  </si>
  <si>
    <t>强调，突出</t>
  </si>
  <si>
    <t>分界线，界限</t>
  </si>
  <si>
    <t>史前的，极其古老的</t>
  </si>
  <si>
    <t>公正的，无私的</t>
  </si>
  <si>
    <t>特质，独特习惯</t>
  </si>
  <si>
    <t>合适的，得体的</t>
  </si>
  <si>
    <t>持久的，长久的</t>
  </si>
  <si>
    <t>脾气坏的，爱发牢骚的</t>
  </si>
  <si>
    <t>制服，克制</t>
  </si>
  <si>
    <t>迅速，敏捷</t>
  </si>
  <si>
    <t>保留，保持</t>
  </si>
  <si>
    <t>正直，诚实</t>
  </si>
  <si>
    <t>主持，担任主席</t>
  </si>
  <si>
    <t>松弛的，无力的</t>
  </si>
  <si>
    <t>与环境有关的</t>
  </si>
  <si>
    <t>阻塞，阻碍</t>
  </si>
  <si>
    <t>增加，急剧上升</t>
  </si>
  <si>
    <t>使迷失方向，使困惑</t>
  </si>
  <si>
    <t>杂乱无章的一堆东西</t>
  </si>
  <si>
    <t>边缘，界限</t>
  </si>
  <si>
    <t>无法安抚的，难和解的</t>
  </si>
  <si>
    <t>胆小，懦弱</t>
  </si>
  <si>
    <t>简化，使更有效</t>
  </si>
  <si>
    <t>外来的，陌生的</t>
  </si>
  <si>
    <t>授予，协商</t>
  </si>
  <si>
    <t>补救，治疗</t>
  </si>
  <si>
    <t>无益的，无济于事的</t>
  </si>
  <si>
    <t>跨坐，跨越</t>
  </si>
  <si>
    <t>镇静，沉着</t>
  </si>
  <si>
    <t>使惊呆，使失去知觉</t>
  </si>
  <si>
    <t>客观的，目标</t>
  </si>
  <si>
    <t>慷慨，捐助</t>
  </si>
  <si>
    <t>漫无目的的</t>
  </si>
  <si>
    <t>用词妥帖的，幸运的</t>
  </si>
  <si>
    <t>鉴赏家，行家</t>
  </si>
  <si>
    <t>策划，设计</t>
  </si>
  <si>
    <t>过期的，延误的</t>
  </si>
  <si>
    <t>深奥的，难以理解的</t>
  </si>
  <si>
    <t>到目前为止，迄今为止</t>
  </si>
  <si>
    <t>乐观的，充满希望的</t>
  </si>
  <si>
    <t>避开，绕过</t>
  </si>
  <si>
    <t>潜伏，埋伏</t>
  </si>
  <si>
    <t>过时的，老式的</t>
  </si>
  <si>
    <t>绝对的，明确的</t>
  </si>
  <si>
    <t>迷宫，错综复杂的事物</t>
  </si>
  <si>
    <t>严格的，紧绷的</t>
  </si>
  <si>
    <t>有害的，恶臭的</t>
  </si>
  <si>
    <t>倾向于，有意的</t>
  </si>
  <si>
    <t>暗淡的，模糊的</t>
  </si>
  <si>
    <t>富有洞察力的，有深刻见解的</t>
  </si>
  <si>
    <t>呻吟，抱怨</t>
  </si>
  <si>
    <t>可行的，能存活的</t>
  </si>
  <si>
    <t>追求，争取</t>
  </si>
  <si>
    <t>创造（新词汇），铸造（硬币）</t>
  </si>
  <si>
    <t>忍受，容忍</t>
  </si>
  <si>
    <t>古怪的，离心的</t>
  </si>
  <si>
    <t>错误的，谬误的</t>
  </si>
  <si>
    <t>献祭，牺牲</t>
  </si>
  <si>
    <t>反驳，驳斥</t>
  </si>
  <si>
    <t>危及，损害</t>
  </si>
  <si>
    <t>撕开，分裂</t>
  </si>
  <si>
    <t>限制，约束</t>
  </si>
  <si>
    <t>剥夺，脱去</t>
  </si>
  <si>
    <t>资产，优点</t>
  </si>
  <si>
    <t>刻薄的，尖刻的</t>
  </si>
  <si>
    <t>费力的，繁重的</t>
  </si>
  <si>
    <t>应得的</t>
  </si>
  <si>
    <t>勇气，精神</t>
  </si>
  <si>
    <t>分离，脱离</t>
  </si>
  <si>
    <t>富裕的，富有的</t>
  </si>
  <si>
    <t>消失，消散</t>
  </si>
  <si>
    <t>多话的，饶舌的</t>
  </si>
  <si>
    <t>行使，运用</t>
  </si>
  <si>
    <t>睿智的，聪明的</t>
  </si>
  <si>
    <t>恰当的，适当的</t>
  </si>
  <si>
    <t>冷酷无情的，无情的</t>
  </si>
  <si>
    <t>灵活性，弹性</t>
  </si>
  <si>
    <t>陈旧的，过时的</t>
  </si>
  <si>
    <t>复仇心重的，怀恨的</t>
  </si>
  <si>
    <t>预示，预告</t>
  </si>
  <si>
    <t>装饰，美化</t>
  </si>
  <si>
    <t>抑制，扼杀</t>
  </si>
  <si>
    <t>僵局，停顿</t>
  </si>
  <si>
    <t>模仿的，拟态的</t>
  </si>
  <si>
    <t>失误，疏忽</t>
  </si>
  <si>
    <t>明确的，有单一意思的</t>
  </si>
  <si>
    <t>批准，认可</t>
  </si>
  <si>
    <t>模仿，效仿</t>
  </si>
  <si>
    <t>吸引人的，引人入胜的</t>
  </si>
  <si>
    <t>选集，文集</t>
  </si>
  <si>
    <t>坚定地宣称，承认</t>
  </si>
  <si>
    <t>贬低，降低</t>
  </si>
  <si>
    <t>必要的资源，手段</t>
  </si>
  <si>
    <t>削弱，使虚弱</t>
  </si>
  <si>
    <t>拖延的，迟缓的</t>
  </si>
  <si>
    <t>严厉批评，痛斥</t>
  </si>
  <si>
    <t>明智的，慎重的</t>
  </si>
  <si>
    <t>影响深远的，广泛的</t>
  </si>
  <si>
    <t>轨迹，轨道</t>
  </si>
  <si>
    <t>怨恨，嫌恶</t>
  </si>
  <si>
    <t>授予圣职，命令</t>
  </si>
  <si>
    <t>过于感伤的，多愁善感的</t>
  </si>
  <si>
    <t>停滞，不发展</t>
  </si>
  <si>
    <t>一丝不苟的，小心翼翼的</t>
  </si>
  <si>
    <t>恶名，声名狼藉</t>
  </si>
  <si>
    <t>厌倦的，疲惫不堪的</t>
  </si>
  <si>
    <t>不变的，永恒的</t>
  </si>
  <si>
    <t>清漆，掩饰</t>
  </si>
  <si>
    <t>锚，稳固的基础</t>
  </si>
  <si>
    <t>享受，品味</t>
  </si>
  <si>
    <t>怀疑的，持怀疑态度的</t>
  </si>
  <si>
    <t>可塑的，易受影响的</t>
  </si>
  <si>
    <t>低估，轻视</t>
  </si>
  <si>
    <t>明确的，清楚的</t>
  </si>
  <si>
    <t>相等的，等价的</t>
  </si>
  <si>
    <t>唇枪舌剑</t>
  </si>
  <si>
    <t>理想主义的，追求理想的</t>
  </si>
  <si>
    <t>憎恶，仇恨</t>
  </si>
  <si>
    <t>固执的，顽固的</t>
  </si>
  <si>
    <t>自命不凡的，炫耀的</t>
  </si>
  <si>
    <t>肤浅的，浅薄的</t>
  </si>
  <si>
    <t>使迷恋，使倾心</t>
  </si>
  <si>
    <t>坚韧，固执</t>
  </si>
  <si>
    <t>古文物研究者，古物爱好者</t>
  </si>
  <si>
    <t>代表，委托</t>
  </si>
  <si>
    <t>外行，非专业人士</t>
  </si>
  <si>
    <t>复杂的，错综复杂的</t>
  </si>
  <si>
    <t>失败，沉没</t>
  </si>
  <si>
    <t>困境，境况</t>
  </si>
  <si>
    <t>虚构的事物，幻觉</t>
  </si>
  <si>
    <t>结语，尾声</t>
  </si>
  <si>
    <t>和蔼可亲的，友好的</t>
  </si>
  <si>
    <t>团结，团结一致</t>
  </si>
  <si>
    <t>真实的，真诚的</t>
  </si>
  <si>
    <t>单方面的，单边的</t>
  </si>
  <si>
    <t>没有光泽的，迟钝的</t>
  </si>
  <si>
    <t>经典的，优质的</t>
  </si>
  <si>
    <t>多种多样的，各种各样的</t>
  </si>
  <si>
    <t>使痛苦，使受委屈</t>
  </si>
  <si>
    <t>善意的玩笑</t>
  </si>
  <si>
    <t>困惑的，混乱的</t>
  </si>
  <si>
    <t>稳定，稳固</t>
  </si>
  <si>
    <t>吸引，拉动</t>
  </si>
  <si>
    <t>享乐主义，快乐至上主义</t>
  </si>
  <si>
    <t>妨碍，阻碍</t>
  </si>
  <si>
    <t>恶化，溃烂</t>
  </si>
  <si>
    <t>小病，不适</t>
  </si>
  <si>
    <t>同质性，一致性</t>
  </si>
  <si>
    <t>规定，明确要求</t>
  </si>
  <si>
    <t>闪光，微光</t>
  </si>
  <si>
    <t>卖弄学问的，迂腐的</t>
  </si>
  <si>
    <t>漠不关心，无所谓</t>
  </si>
  <si>
    <t>错综复杂的，阴谋的</t>
  </si>
  <si>
    <t>特点，特征</t>
  </si>
  <si>
    <t>引人注目的，吸引人的</t>
  </si>
  <si>
    <t>招募，新成员</t>
  </si>
  <si>
    <t>掩饰，使人误解</t>
  </si>
  <si>
    <t>健康的，有益的</t>
  </si>
  <si>
    <t>贩子，传播者</t>
  </si>
  <si>
    <t>轻信的，易受骗的</t>
  </si>
  <si>
    <t>侍僧，追随者</t>
  </si>
  <si>
    <t>资助，补贴</t>
  </si>
  <si>
    <t>模棱两可的，含糊的</t>
  </si>
  <si>
    <t>正方形的，正直的</t>
  </si>
  <si>
    <t>低估，轻描淡写</t>
  </si>
  <si>
    <t>节省，合理使用</t>
  </si>
  <si>
    <t>损害，破坏</t>
  </si>
  <si>
    <t>复苏的，再起的</t>
  </si>
  <si>
    <t>附属的，辅助的</t>
  </si>
  <si>
    <t>易变的，无常的</t>
  </si>
  <si>
    <t>仁慈的，慈善的</t>
  </si>
  <si>
    <t>大脑的，智力的</t>
  </si>
  <si>
    <t>贪婪的，贪财的</t>
  </si>
  <si>
    <t>发明，创造</t>
  </si>
  <si>
    <t>顺从的，服从的</t>
  </si>
  <si>
    <t>征用，霸占</t>
  </si>
  <si>
    <t>拥护者，提倡者</t>
  </si>
  <si>
    <t>使困惑，使为难</t>
  </si>
  <si>
    <t>崇高的，令人惊叹的</t>
  </si>
  <si>
    <t>新手，初学者</t>
  </si>
  <si>
    <t>凶猛的，残暴的</t>
  </si>
  <si>
    <t>偏好，嗜好</t>
  </si>
  <si>
    <t>认真的，尽责的</t>
  </si>
  <si>
    <t>渎职，不法行为</t>
  </si>
  <si>
    <t>招致，遭受</t>
  </si>
  <si>
    <t>吓呆的，惊骇的</t>
  </si>
  <si>
    <t>地点，现场</t>
  </si>
  <si>
    <t>和平的，和解的</t>
  </si>
  <si>
    <t>无神论，不信神的信仰</t>
  </si>
  <si>
    <t>和解，调和</t>
  </si>
  <si>
    <t>主食</t>
  </si>
  <si>
    <t>引诱，诱惑</t>
  </si>
  <si>
    <t>拯救，救助</t>
  </si>
  <si>
    <t>明目张胆的，公然的</t>
  </si>
  <si>
    <t>贫穷的，贫困的</t>
  </si>
  <si>
    <t>坚定不移的，固执的</t>
  </si>
  <si>
    <t>痕迹，残余</t>
  </si>
  <si>
    <t>陈词滥调，平庸的言论</t>
  </si>
  <si>
    <t>胚胎的，初期的</t>
  </si>
  <si>
    <t>易受骗的，轻信的</t>
  </si>
  <si>
    <t>减速，减缓</t>
  </si>
  <si>
    <t>微温的，不热情的</t>
  </si>
  <si>
    <t>吵闹，争吵</t>
  </si>
  <si>
    <t>适当的，合适的</t>
  </si>
  <si>
    <t>格言，警句</t>
  </si>
  <si>
    <t>倾向，爱好</t>
  </si>
  <si>
    <t>煨，酝酿</t>
  </si>
  <si>
    <t>解析，分析</t>
  </si>
  <si>
    <t>现存的，尚存的</t>
  </si>
  <si>
    <t>丢弃，抛弃</t>
  </si>
  <si>
    <t>帝国的，皇帝的</t>
  </si>
  <si>
    <t>溃败，崩溃</t>
  </si>
  <si>
    <t>下降，减少</t>
  </si>
  <si>
    <t>纯粹的，完全的</t>
  </si>
  <si>
    <t>拙劣的模仿，模仿作品</t>
  </si>
  <si>
    <t>多年生的，永久的</t>
  </si>
  <si>
    <t>祖先，前辈</t>
  </si>
  <si>
    <t>可口的，美味的</t>
  </si>
  <si>
    <t>夸大，夸张</t>
  </si>
  <si>
    <t>困境，两难境地</t>
  </si>
  <si>
    <t>混合物，合金</t>
  </si>
  <si>
    <t>宽敞的，广阔的</t>
  </si>
  <si>
    <t>掩饰，伪装</t>
  </si>
  <si>
    <t>刺激，激励</t>
  </si>
  <si>
    <t>相互依存的，互相依赖的</t>
  </si>
  <si>
    <t>强加，强制实施</t>
  </si>
  <si>
    <t>诚实，真实性</t>
  </si>
  <si>
    <t>迷人的，令人陶醉的</t>
  </si>
  <si>
    <t>牵强的，不切实际的</t>
  </si>
  <si>
    <t>可怜的，悲哀的</t>
  </si>
  <si>
    <t>奇异的，古怪的</t>
  </si>
  <si>
    <t>绝对可靠，绝对正确</t>
  </si>
  <si>
    <t>冷漠的，疏远的</t>
  </si>
  <si>
    <t>蒸馏，提取</t>
  </si>
  <si>
    <t>明显的，显而易见的</t>
  </si>
  <si>
    <t>聚集，聚集物</t>
  </si>
  <si>
    <t>混战，混乱</t>
  </si>
  <si>
    <t>无信息的，无足轻重的</t>
  </si>
  <si>
    <t>衰老，老朽</t>
  </si>
  <si>
    <t>短期富足的，齐平的</t>
  </si>
  <si>
    <t>批发的，大规模的</t>
  </si>
  <si>
    <t>崇拜，推崇</t>
  </si>
  <si>
    <t>承认，认可</t>
  </si>
  <si>
    <t>假设，认为</t>
  </si>
  <si>
    <t>调解，斡旋</t>
  </si>
  <si>
    <t>令人厌恶的，不合适的</t>
  </si>
  <si>
    <t>奇怪的，离奇的</t>
  </si>
  <si>
    <t>哄骗，劝诱</t>
  </si>
  <si>
    <t>冷漠的，无感情的</t>
  </si>
  <si>
    <t>劣质的，粗制滥造的</t>
  </si>
  <si>
    <t>傲慢的，专横的</t>
  </si>
  <si>
    <t>激怒，恼火</t>
  </si>
  <si>
    <t>即将发生的，迫在眉睫的</t>
  </si>
  <si>
    <t>全盛时期，鼎盛时期</t>
  </si>
  <si>
    <t>充满，充溢</t>
  </si>
  <si>
    <t>快乐，高兴</t>
  </si>
  <si>
    <t>推翻，颠覆</t>
  </si>
  <si>
    <t>复杂的，棘手的</t>
  </si>
  <si>
    <t>不可抗拒的，令人无法抗拒的</t>
  </si>
  <si>
    <t>污点，耻辱</t>
  </si>
  <si>
    <t>使复苏，振兴</t>
  </si>
  <si>
    <t>不足的，缺乏的</t>
  </si>
  <si>
    <t>支持，加强</t>
  </si>
  <si>
    <t>有害的，恶性的</t>
  </si>
  <si>
    <t>测量，判断</t>
  </si>
  <si>
    <t>控制，抑制</t>
  </si>
  <si>
    <t>首要，首位</t>
  </si>
  <si>
    <t>诱惑，吸引</t>
  </si>
  <si>
    <t>悦耳的声音，和谐的声音</t>
  </si>
  <si>
    <t>冬眠，蛰伏</t>
  </si>
  <si>
    <t>退缩，畏缩</t>
  </si>
  <si>
    <t>煽动性的，引发争端的</t>
  </si>
  <si>
    <t>欺骗，蒙蔽</t>
  </si>
  <si>
    <t>骗子，诈骗者</t>
  </si>
  <si>
    <t>优柔寡断，犹豫不决</t>
  </si>
  <si>
    <t>阻止，制止</t>
  </si>
  <si>
    <t>驱逐，放逐</t>
  </si>
  <si>
    <t>性格外向的人</t>
  </si>
  <si>
    <t>死后的，身后的</t>
  </si>
  <si>
    <t>反驳，争辩</t>
  </si>
  <si>
    <t>全盘的，包罗万象的</t>
  </si>
  <si>
    <t>泄露，透露</t>
  </si>
  <si>
    <t>可察觉的，可感知的</t>
  </si>
  <si>
    <t>达到，获得</t>
  </si>
  <si>
    <t>僵局，交通堵塞</t>
  </si>
  <si>
    <t>老手，老资格</t>
  </si>
  <si>
    <t>应受谴责的，可责备的</t>
  </si>
  <si>
    <t>责备，谴责</t>
  </si>
  <si>
    <t>适度的，温和的</t>
  </si>
  <si>
    <t>俗人，非神职人员</t>
  </si>
  <si>
    <t>多孔的，有海绵状质地的</t>
  </si>
  <si>
    <t>搭讪，招呼</t>
  </si>
  <si>
    <t>宣布，宣告</t>
  </si>
  <si>
    <t>易腐烂的，易腐败的</t>
  </si>
  <si>
    <t>娇养，溺爱</t>
  </si>
  <si>
    <t>同时发生的，同步的</t>
  </si>
  <si>
    <t>艰苦的，费力的</t>
  </si>
  <si>
    <t>瑕疵，缺陷</t>
  </si>
  <si>
    <t>聚集，集合</t>
  </si>
  <si>
    <t>气派，神气</t>
  </si>
  <si>
    <t>潮湿的，湿润的</t>
  </si>
  <si>
    <t>仓促马虎的</t>
  </si>
  <si>
    <t>渴望，向往</t>
  </si>
  <si>
    <t>贵族阶层，上层社会</t>
  </si>
  <si>
    <t>拒绝合作，阻挠</t>
  </si>
  <si>
    <t>乡村的，田园的</t>
  </si>
  <si>
    <t>碰撞，冲突</t>
  </si>
  <si>
    <t>崇拜，把...当作神来崇拜</t>
  </si>
  <si>
    <t>在附近，周围</t>
  </si>
  <si>
    <t>裁决，判定</t>
  </si>
  <si>
    <t>充满...的，令人担忧的</t>
  </si>
  <si>
    <t>催化剂，促使因素</t>
  </si>
  <si>
    <t>不断纠缠，烦扰</t>
  </si>
  <si>
    <t>分水岭，重要关头</t>
  </si>
  <si>
    <t>重新铸造，改写</t>
  </si>
  <si>
    <t>热情的，热烈的</t>
  </si>
  <si>
    <t>异端的，非正统的</t>
  </si>
  <si>
    <t>弹回，反弹</t>
  </si>
  <si>
    <t>蚀刻，雕刻</t>
  </si>
  <si>
    <t>人物角色，社会面具</t>
  </si>
  <si>
    <t>高质量的，优秀的</t>
  </si>
  <si>
    <t>谣言，假新闻</t>
  </si>
  <si>
    <t>安详的，宁静的</t>
  </si>
  <si>
    <t>惊人的，令人叹为观止的</t>
  </si>
  <si>
    <t>表达清晰的，口齿伶俐的</t>
  </si>
  <si>
    <t>人类学，人类学研究</t>
  </si>
  <si>
    <t>炽热的，火红的</t>
  </si>
  <si>
    <t>精致的，优雅的</t>
  </si>
  <si>
    <t>令人气馁的，令人生畏的</t>
  </si>
  <si>
    <t>简洁的，言简意赅的</t>
  </si>
  <si>
    <t>缩写，缩短</t>
  </si>
  <si>
    <t>离题，偏离主题</t>
  </si>
  <si>
    <t>大心脏的，慷慨的</t>
  </si>
  <si>
    <t>尖叫，尖声叫喊</t>
  </si>
  <si>
    <t>摇晃，动摇</t>
  </si>
  <si>
    <t>恶作剧，骗局</t>
  </si>
  <si>
    <t>浑浊的</t>
  </si>
  <si>
    <t>违反，违背</t>
  </si>
  <si>
    <t>鲁莽的，不顾后果的</t>
  </si>
  <si>
    <t>减小，降低</t>
  </si>
  <si>
    <t>肉体的，身体的</t>
  </si>
  <si>
    <t>顶点，高峰</t>
  </si>
  <si>
    <t>典范的，可作楷模的</t>
  </si>
  <si>
    <t>软化剂，润肤剂</t>
  </si>
  <si>
    <t>多变的，轻浮的</t>
  </si>
  <si>
    <t>居民，居住者</t>
  </si>
  <si>
    <t>声学的，声音的</t>
  </si>
  <si>
    <t>预防性的，预防疾病的</t>
  </si>
  <si>
    <t>滥用，误用</t>
  </si>
  <si>
    <t>宽慰，减轻</t>
  </si>
  <si>
    <t>离婚的，分离的</t>
  </si>
  <si>
    <t>敏锐的，严重的</t>
  </si>
  <si>
    <t>谦虚的，适度的</t>
  </si>
  <si>
    <t>浪费，挥霍</t>
  </si>
  <si>
    <t>公平的，公正的</t>
  </si>
  <si>
    <t>奉承，讨好</t>
  </si>
  <si>
    <t>综合，合成</t>
  </si>
  <si>
    <t>死亡，终结</t>
  </si>
  <si>
    <t>荒谬的，可笑的</t>
  </si>
  <si>
    <t>满足，符合</t>
  </si>
  <si>
    <t>更新，恢复</t>
  </si>
  <si>
    <t>适得其反的，事与愿违的</t>
  </si>
  <si>
    <t>玷污，败坏</t>
  </si>
  <si>
    <t>保护，防护</t>
  </si>
  <si>
    <t>后代，子孙</t>
  </si>
  <si>
    <t>后悔，懊悔</t>
  </si>
  <si>
    <t>显著的，突出的</t>
  </si>
  <si>
    <t>普遍的，一般的</t>
  </si>
  <si>
    <t>不妥协的，坚决的</t>
  </si>
  <si>
    <t>掠过，飞快地经过</t>
  </si>
  <si>
    <t>常去，萦绕心头</t>
  </si>
  <si>
    <t>无足轻重的人，无名小卒</t>
  </si>
  <si>
    <t>喧闹的，吵闹的</t>
  </si>
  <si>
    <t>解读，破译</t>
  </si>
  <si>
    <t>显然的，明显的</t>
  </si>
  <si>
    <t>流行，盛行</t>
  </si>
  <si>
    <t>贪婪，贪心</t>
  </si>
  <si>
    <t>使不安，使紧张</t>
  </si>
  <si>
    <t>有益健康的，宜人的</t>
  </si>
  <si>
    <t>违反，犯规</t>
  </si>
  <si>
    <t>最重要的，至上的</t>
  </si>
  <si>
    <t>持久的，永恒的</t>
  </si>
  <si>
    <t>冷漠的，超然的</t>
  </si>
  <si>
    <t>教育，陶冶</t>
  </si>
  <si>
    <t>不新鲜的，陈腐的</t>
  </si>
  <si>
    <t>缄默的，静音的</t>
  </si>
  <si>
    <t>违反直觉的，与直觉相反的</t>
  </si>
  <si>
    <t>用法，惯例</t>
  </si>
  <si>
    <t>深渊，无底洞</t>
  </si>
  <si>
    <t>多余的，备用的</t>
  </si>
  <si>
    <t>好斗的，好战的</t>
  </si>
  <si>
    <t>食草的，草食性的</t>
  </si>
  <si>
    <t>令人震惊的，惊人的</t>
  </si>
  <si>
    <t>合法的，合理的</t>
  </si>
  <si>
    <t>绕过，避开</t>
  </si>
  <si>
    <t>不礼貌，粗鲁</t>
  </si>
  <si>
    <t>断言，基于</t>
  </si>
  <si>
    <t>取消，废除</t>
  </si>
  <si>
    <t>鼓舞，激励</t>
  </si>
  <si>
    <t>小缺点，弱点</t>
  </si>
  <si>
    <t>开始，就职</t>
  </si>
  <si>
    <t>缩减规模，裁员</t>
  </si>
  <si>
    <t>明智的，谨慎的</t>
  </si>
  <si>
    <t>使惊呆，使吓呆</t>
  </si>
  <si>
    <t>慷慨陈词的，夸张的</t>
  </si>
  <si>
    <t>运动的，活跃的</t>
  </si>
  <si>
    <t>貌似有理的，似乎可信的</t>
  </si>
  <si>
    <t>站不住脚的，不可维持的</t>
  </si>
  <si>
    <t>微妙的，难以察觉的</t>
  </si>
  <si>
    <t>过分迷恋的，固执的</t>
  </si>
  <si>
    <t>轻浮的，不认真的</t>
  </si>
  <si>
    <t>危险的，冒险的</t>
  </si>
  <si>
    <t>取向，定位</t>
  </si>
  <si>
    <t>孤立主义，与世隔绝</t>
  </si>
  <si>
    <t>砍伐，砍倒</t>
  </si>
  <si>
    <t>审查，检查</t>
  </si>
  <si>
    <t>自大狂，狂妄自大</t>
  </si>
  <si>
    <t>漫无目的的，冗长的</t>
  </si>
  <si>
    <t>教育学的，教育方法的</t>
  </si>
  <si>
    <t>一夫一妻制</t>
  </si>
  <si>
    <t>不平衡的，倾斜的</t>
  </si>
  <si>
    <t>支吾，犹豫</t>
  </si>
  <si>
    <t>混乱的，无秩序的</t>
  </si>
  <si>
    <t>对称的，均衡的</t>
  </si>
  <si>
    <t>开端，开始</t>
  </si>
  <si>
    <t>平静的，宁静的</t>
  </si>
  <si>
    <t>跳水，投入</t>
  </si>
  <si>
    <t>基石，核心</t>
  </si>
  <si>
    <t>君主制，王权制度</t>
  </si>
  <si>
    <t>迎合，提供餐饮服务</t>
  </si>
  <si>
    <t>新奇的，新颖的</t>
  </si>
  <si>
    <t>功绩，壮举</t>
  </si>
  <si>
    <t>厌恶人类的人，憎世者</t>
  </si>
  <si>
    <t>偶然的，幸运的</t>
  </si>
  <si>
    <t>万灵药，灵丹妙药</t>
  </si>
  <si>
    <t>热情洋溢的，兴高采烈的</t>
  </si>
  <si>
    <t>胡扯，含糊其词</t>
  </si>
  <si>
    <t>紧迫的，迫切的</t>
  </si>
  <si>
    <t>令人惊叹的，美妙的</t>
  </si>
  <si>
    <t>解码，破译</t>
  </si>
  <si>
    <t>加强，使坚固</t>
  </si>
  <si>
    <t>从业者，实践者</t>
  </si>
  <si>
    <t>增加，增强</t>
  </si>
  <si>
    <t>包容的，包括一切的</t>
  </si>
  <si>
    <t>小过失，小错误</t>
  </si>
  <si>
    <t>共谋，密谋</t>
  </si>
  <si>
    <t>钝的，直率的</t>
  </si>
  <si>
    <t>勇敢的，英勇的</t>
  </si>
  <si>
    <t>老一套的</t>
  </si>
  <si>
    <t>蒸发，消失</t>
  </si>
  <si>
    <t>小集团，圈子</t>
  </si>
  <si>
    <t>本能，直觉</t>
  </si>
  <si>
    <t>行业术语，行话</t>
  </si>
  <si>
    <t>活动主义，积极行动</t>
  </si>
  <si>
    <t>最高级的，最好的</t>
  </si>
  <si>
    <t>阻止，吓住</t>
  </si>
  <si>
    <t>避难所，庇护所</t>
  </si>
  <si>
    <t>巡回的，流动的</t>
  </si>
  <si>
    <t>乱写，涂鸦</t>
  </si>
  <si>
    <t>唠叨的，喋喋不休的</t>
  </si>
  <si>
    <t>霉臭的，陈腐的</t>
  </si>
  <si>
    <t>激增，扩大</t>
  </si>
  <si>
    <t>经济的，经济学的</t>
  </si>
  <si>
    <t>嫉妒的，妒忌的</t>
  </si>
  <si>
    <t>酸性的，尖酸刻薄的</t>
  </si>
  <si>
    <t>派系的，有派系倾向的</t>
  </si>
  <si>
    <t>困境，困难</t>
  </si>
  <si>
    <t>爱指手画脚的</t>
  </si>
  <si>
    <t>自命不凡的，高傲的</t>
  </si>
  <si>
    <t>回忆，记起</t>
  </si>
  <si>
    <t>不幸，意外</t>
  </si>
  <si>
    <t>虚假信息，假消息</t>
  </si>
  <si>
    <t>显著的，显著的</t>
  </si>
  <si>
    <t>公认的，推定的</t>
  </si>
  <si>
    <t>重新露面，再次出现</t>
  </si>
  <si>
    <t>异教徒，非基督教徒</t>
  </si>
  <si>
    <t>减轻，减弱，为...找借口</t>
  </si>
  <si>
    <t>批评，责备，非难</t>
  </si>
  <si>
    <t>偏见，倾向，偏向</t>
  </si>
  <si>
    <t>仔细检查，详细审查</t>
  </si>
  <si>
    <t>顶点，最高点，巅峰</t>
  </si>
  <si>
    <t>贫穷的，一贫如洗的</t>
  </si>
  <si>
    <t>壮观的，壮观的，引人注目的</t>
  </si>
  <si>
    <t>半成品的，未完全形成的</t>
  </si>
  <si>
    <t>懒惰的，懒惰的</t>
  </si>
  <si>
    <t>幻想，虚构的事物</t>
  </si>
  <si>
    <t>鸡皮疙瘩，毛骨悚然的感觉</t>
  </si>
  <si>
    <t>预先确定，预先决定</t>
  </si>
  <si>
    <t>背信弃义的，不忠诚的</t>
  </si>
  <si>
    <t>宣布放弃，放弃权利</t>
  </si>
  <si>
    <t>不透明的，难以理解的</t>
  </si>
  <si>
    <t>术语，专门用语</t>
  </si>
  <si>
    <t>模仿，模拟，仿真</t>
  </si>
  <si>
    <t>多才多艺的，多功能的</t>
  </si>
  <si>
    <t>使人厌烦，令人生厌</t>
  </si>
  <si>
    <t>激增，繁殖，扩散</t>
  </si>
  <si>
    <t>稀少的，不足的</t>
  </si>
  <si>
    <t>令人严肃的，令人警醒的</t>
  </si>
  <si>
    <t>敏锐，聪明</t>
  </si>
  <si>
    <t>杰出典范，典型</t>
  </si>
  <si>
    <t>攻击，抨击，猛烈抨击</t>
  </si>
  <si>
    <t>口头的，口语的</t>
  </si>
  <si>
    <t>延期，休会，暂停</t>
  </si>
  <si>
    <t>抱怨，责骂，抱怨声</t>
  </si>
  <si>
    <t>普通的，粗俗的，平民</t>
  </si>
  <si>
    <t>强硬分子，坚定派</t>
  </si>
  <si>
    <t>倾斜的，间接的</t>
  </si>
  <si>
    <t>挖掘，开凿</t>
  </si>
  <si>
    <t>顽固的，坚决的</t>
  </si>
  <si>
    <t>禁止，取缔</t>
  </si>
  <si>
    <t>狂饮，大吃</t>
  </si>
  <si>
    <t>处理，应付</t>
  </si>
  <si>
    <t>天真的，坦白的</t>
  </si>
  <si>
    <t>取代，转移</t>
  </si>
  <si>
    <t>傲慢，自大</t>
  </si>
  <si>
    <t>使困惑，使尴尬</t>
  </si>
  <si>
    <t>秘密的，隐蔽的</t>
  </si>
  <si>
    <t>特立独行的，标新立异的</t>
  </si>
  <si>
    <t>不可或缺的，必不可少的</t>
  </si>
  <si>
    <t>预示，预感</t>
  </si>
  <si>
    <t>反思的，深思熟虑的</t>
  </si>
  <si>
    <t>预先占有，抢先行动</t>
  </si>
  <si>
    <t>重复使用，老调重弹</t>
  </si>
  <si>
    <t>信号，发信号，显著的</t>
  </si>
  <si>
    <t>凝块，凝结</t>
  </si>
  <si>
    <t>难以辨认的，无法察觉的</t>
  </si>
  <si>
    <t>缩减，削减</t>
  </si>
  <si>
    <t>搅乱，扰乱</t>
  </si>
  <si>
    <t>得体的，有礼貌的</t>
  </si>
  <si>
    <t>平淡无奇的</t>
  </si>
  <si>
    <t>充满的，充足的</t>
  </si>
  <si>
    <t>摘要，概要</t>
  </si>
  <si>
    <t>歪曲，误传</t>
  </si>
  <si>
    <t>决定性的，果断的</t>
  </si>
  <si>
    <t>考虑到，鉴于</t>
  </si>
  <si>
    <t>骨干，支持者</t>
  </si>
  <si>
    <t>得体的，合适的</t>
  </si>
  <si>
    <t>慎重的，小心的</t>
  </si>
  <si>
    <t>可怕的，丑陋的</t>
  </si>
  <si>
    <t>适时的，合适的</t>
  </si>
  <si>
    <t>过剩，充斥</t>
  </si>
  <si>
    <t>过分强调，抨击</t>
  </si>
  <si>
    <t>暴跌，下滑</t>
  </si>
  <si>
    <t>基本的，基本元素的</t>
  </si>
  <si>
    <t>原住民的，土著的</t>
  </si>
  <si>
    <t>撤离，疏散</t>
  </si>
  <si>
    <t>加速，催促</t>
  </si>
  <si>
    <t>包含，容纳</t>
  </si>
  <si>
    <t>好客的，热情的</t>
  </si>
  <si>
    <t>驯养，驯化</t>
  </si>
  <si>
    <t>上升的，有影响力的</t>
  </si>
  <si>
    <t>英勇，高超的技能</t>
  </si>
  <si>
    <t>喷出，喷射</t>
  </si>
  <si>
    <t>同义的，意思相同的</t>
  </si>
  <si>
    <t>奉承的，拍马屁的</t>
  </si>
  <si>
    <t>修补，乱修</t>
  </si>
  <si>
    <t>霸道的，专横的</t>
  </si>
  <si>
    <t>粗鲁的人，举止粗鲁的人</t>
  </si>
  <si>
    <t>困扰，包围</t>
  </si>
  <si>
    <t>报酬，酬劳</t>
  </si>
  <si>
    <t>下落，行踪</t>
  </si>
  <si>
    <t>假设的，傲慢的</t>
  </si>
  <si>
    <t>站得住脚的，可维持的</t>
  </si>
  <si>
    <t>病原体，病菌</t>
  </si>
  <si>
    <t>使士气低落，使泄气</t>
  </si>
  <si>
    <t>记录，编年史</t>
  </si>
  <si>
    <t>暗示，含沙射影</t>
  </si>
  <si>
    <t>光滑的，有光泽的</t>
  </si>
  <si>
    <t>刺激，鞭策</t>
  </si>
  <si>
    <t>虹吸</t>
  </si>
  <si>
    <t>贪得无厌的，不知足的</t>
  </si>
  <si>
    <t>预谋，预先考虑</t>
  </si>
  <si>
    <t>相似的，类似的</t>
  </si>
  <si>
    <t>巩固，巩固关系</t>
  </si>
  <si>
    <t>预订，保留</t>
  </si>
  <si>
    <t>渴望，热切希望</t>
  </si>
  <si>
    <t>友好的，和平的</t>
  </si>
  <si>
    <t>符合，一致</t>
  </si>
  <si>
    <t>优先考虑，优先处理</t>
  </si>
  <si>
    <t>坚持细节的人，一丝不苟的人</t>
  </si>
  <si>
    <t>感官的，感性的</t>
  </si>
  <si>
    <t>放弃，放手</t>
  </si>
  <si>
    <t>博学的，有学问的</t>
  </si>
  <si>
    <t>擅做主张的</t>
  </si>
  <si>
    <t>分裂，分歧</t>
  </si>
  <si>
    <t>取回，找回</t>
  </si>
  <si>
    <t>幽默，幽默感</t>
  </si>
  <si>
    <t>忙碌的，繁忙的</t>
  </si>
  <si>
    <t>结果，推论</t>
  </si>
  <si>
    <t>酵母，使变得有趣</t>
  </si>
  <si>
    <t>刺耳的声音，混乱的声音</t>
  </si>
  <si>
    <t>不同的，不同类别的</t>
  </si>
  <si>
    <t>令人印象深刻的</t>
  </si>
  <si>
    <t>宽大的，仁慈的</t>
  </si>
  <si>
    <t>难以接近的，无法达到的</t>
  </si>
  <si>
    <t>取代，替代</t>
  </si>
  <si>
    <t>轮廓，外形</t>
  </si>
  <si>
    <t>不可阻挡的，无情的</t>
  </si>
  <si>
    <t>世俗的，非宗教的</t>
  </si>
  <si>
    <t>务实的，目的性强的</t>
  </si>
  <si>
    <t>限制，局限</t>
  </si>
  <si>
    <t>混淆，弄乱</t>
  </si>
  <si>
    <t>障碍，困难</t>
  </si>
  <si>
    <t>可想象的，可能的</t>
  </si>
  <si>
    <t>违抗，反抗</t>
  </si>
  <si>
    <t>三脚猫</t>
  </si>
  <si>
    <t>自吹自擂的，自我吹嘘的</t>
  </si>
  <si>
    <t>技巧，手腕</t>
  </si>
  <si>
    <t>可行的，可实行的</t>
  </si>
  <si>
    <t>灾难，大变动</t>
  </si>
  <si>
    <t>可见的，明显的</t>
  </si>
  <si>
    <t>初期的，刚开始的</t>
  </si>
  <si>
    <t>快照，瞬间</t>
  </si>
  <si>
    <t>奢侈的，浪费的</t>
  </si>
  <si>
    <t>过高的，过分的</t>
  </si>
  <si>
    <t>反思，内省</t>
  </si>
  <si>
    <t>不成比例的，不相称的</t>
  </si>
  <si>
    <t>临时的，特别安排的</t>
  </si>
  <si>
    <t>巡游的，四处游历的</t>
  </si>
  <si>
    <t>夸张，夸大</t>
  </si>
  <si>
    <t>不祥的，不吉利的</t>
  </si>
  <si>
    <t>使兴奋，使高兴</t>
  </si>
  <si>
    <t>前景，强调</t>
  </si>
  <si>
    <t>恳求，请求</t>
  </si>
  <si>
    <t>取出内脏，重创</t>
  </si>
  <si>
    <t>离散的，不连续的</t>
  </si>
  <si>
    <t>引人注意的，容易记住的</t>
  </si>
  <si>
    <t>侵蚀，磨损</t>
  </si>
  <si>
    <t>摇摆，影响</t>
  </si>
  <si>
    <t>诱惑，引诱</t>
  </si>
  <si>
    <t>刻薄的，腐蚀性的</t>
  </si>
  <si>
    <t>一致的，符合的</t>
  </si>
  <si>
    <t>凶猛的，猛烈的</t>
  </si>
  <si>
    <t>诋毁，抹黑</t>
  </si>
  <si>
    <t>取笑，戏弄</t>
  </si>
  <si>
    <t>敷衍的，不投入的</t>
  </si>
  <si>
    <t>压迫的，沉重的</t>
  </si>
  <si>
    <t>沉思，考虑</t>
  </si>
  <si>
    <t>放纵的，纵容的</t>
  </si>
  <si>
    <t>遗物，古迹</t>
  </si>
  <si>
    <t>幸灾乐祸，沾沾自喜</t>
  </si>
  <si>
    <t>可证实的，可核实的</t>
  </si>
  <si>
    <t>平衡，均势</t>
  </si>
  <si>
    <t>悼念</t>
  </si>
  <si>
    <t>平等主义的，主张平等的</t>
  </si>
  <si>
    <t>滑稽的，诙谐的</t>
  </si>
  <si>
    <t>丰富，大量</t>
  </si>
  <si>
    <t>世俗的，平凡的</t>
  </si>
  <si>
    <t>难以理解的，深不可测的</t>
  </si>
  <si>
    <t>抱怨，发牢骚</t>
  </si>
  <si>
    <t>迂回的，曲折的</t>
  </si>
  <si>
    <t>危害，使处于危险中</t>
  </si>
  <si>
    <t>守口如瓶的，讳莫如深的</t>
  </si>
  <si>
    <t>共谋，勾结</t>
  </si>
  <si>
    <t>推进，猛推</t>
  </si>
  <si>
    <t>威望，声望</t>
  </si>
  <si>
    <t>威吓，吓倒</t>
  </si>
  <si>
    <t>百科全书式的，博学多才的</t>
  </si>
  <si>
    <t>授权，使有权力</t>
  </si>
  <si>
    <t>严格的，朴素的</t>
  </si>
  <si>
    <t>不真诚的，虚伪的</t>
  </si>
  <si>
    <t>占据思绪</t>
  </si>
  <si>
    <t>模糊的，不清楚的</t>
  </si>
  <si>
    <t>和解，亲近</t>
  </si>
  <si>
    <t>怪诞的，可怕的</t>
  </si>
  <si>
    <t>有责任的，有义务的</t>
  </si>
  <si>
    <t>溯及既往的，追溯的</t>
  </si>
  <si>
    <t>掠夺，抢劫</t>
  </si>
  <si>
    <t>消耗，削弱</t>
  </si>
  <si>
    <t>消耗，消费</t>
  </si>
  <si>
    <t>通用的，普通的</t>
  </si>
  <si>
    <t>粗暴</t>
  </si>
  <si>
    <t>慷慨的，丰富的</t>
  </si>
  <si>
    <t>暴躁的，难以驾驭的</t>
  </si>
  <si>
    <t>愚蠢而粗鲁的</t>
  </si>
  <si>
    <t>静止，停顿</t>
  </si>
  <si>
    <t>产生，引起</t>
  </si>
  <si>
    <t>流行病，传染病</t>
  </si>
  <si>
    <t>可理解的，明白的</t>
  </si>
  <si>
    <t>减轻，缓和</t>
  </si>
  <si>
    <t>变迁，多变</t>
  </si>
  <si>
    <t>逃脱责任，豁免</t>
  </si>
  <si>
    <t>傲慢的，高傲的</t>
  </si>
  <si>
    <t>发芽，生长</t>
  </si>
  <si>
    <t>不慌不忙的，泰然自若</t>
  </si>
  <si>
    <t>热情友好的，诚恳的</t>
  </si>
  <si>
    <t>承诺，允诺</t>
  </si>
  <si>
    <t>合同，契约</t>
  </si>
  <si>
    <t>戏剧的，矫揉造作的</t>
  </si>
  <si>
    <t>无精打采的，倦怠的</t>
  </si>
  <si>
    <t>满足的，知足的</t>
  </si>
  <si>
    <t>明确的，清晰的</t>
  </si>
  <si>
    <t>家谱，宗谱</t>
  </si>
  <si>
    <t>一连串</t>
  </si>
  <si>
    <t>反叛，起义</t>
  </si>
  <si>
    <t>赞扬，赞誉</t>
  </si>
  <si>
    <t>接种，注射</t>
  </si>
  <si>
    <t>免除，豁免</t>
  </si>
  <si>
    <t>渴望的，热衷的</t>
  </si>
  <si>
    <t>诡计多端的，狡猾的</t>
  </si>
  <si>
    <t>极坏的，令人震惊的</t>
  </si>
  <si>
    <t>极大的，巨大的</t>
  </si>
  <si>
    <t>猥亵的，淫秽的</t>
  </si>
  <si>
    <t>极好的，令人惊叹的</t>
  </si>
  <si>
    <t>分歧的，不同的</t>
  </si>
  <si>
    <t>谨慎的，精明的</t>
  </si>
  <si>
    <t>主角，主人公</t>
  </si>
  <si>
    <t>狂热的，疯狂的</t>
  </si>
  <si>
    <t>设计舞蹈动作，精心安排</t>
  </si>
  <si>
    <t>刑罚，处罚</t>
  </si>
  <si>
    <t>单一色调的，单色的</t>
  </si>
  <si>
    <t>抱怨，嘟囔</t>
  </si>
  <si>
    <t>强迫，胁迫</t>
  </si>
  <si>
    <t>溺爱，宠坏</t>
  </si>
  <si>
    <t>吸入，吸气</t>
  </si>
  <si>
    <t>解放，使获得自由</t>
  </si>
  <si>
    <t>热情的，激烈的</t>
  </si>
  <si>
    <t>调和，缓和</t>
  </si>
  <si>
    <t>令人沮丧的，阴郁的</t>
  </si>
  <si>
    <t>慈善，仁慈</t>
  </si>
  <si>
    <t>有感染力的，传染的</t>
  </si>
  <si>
    <t>巨大的，广大的</t>
  </si>
  <si>
    <t>高耸的，突出的</t>
  </si>
  <si>
    <t>厄运，毁灭</t>
  </si>
  <si>
    <t>偏离，背离</t>
  </si>
  <si>
    <t>宏伟而不切实际的</t>
  </si>
  <si>
    <t>喧闹的，大声疾呼的</t>
  </si>
  <si>
    <t>谩骂，诽谤</t>
  </si>
  <si>
    <t>假装的，虚伪的</t>
  </si>
  <si>
    <t>世俗的，尘世的</t>
  </si>
  <si>
    <t>隐喻，比喻</t>
  </si>
  <si>
    <t>鞠躬，尊重</t>
  </si>
  <si>
    <t>复兴，文艺复兴</t>
  </si>
  <si>
    <t>容易被打败的人，易受影响的人</t>
  </si>
  <si>
    <t>退位，辞职</t>
  </si>
  <si>
    <t>无休止的，没完没了的</t>
  </si>
  <si>
    <t>倾斜，倾向</t>
  </si>
  <si>
    <t>强行闯入</t>
  </si>
  <si>
    <t>无瑕疵的，无缺点的</t>
  </si>
  <si>
    <t>赔偿，保障</t>
  </si>
  <si>
    <t>重要的，沉重的</t>
  </si>
  <si>
    <t>例行公事般的，敷衍的</t>
  </si>
  <si>
    <t>促进，培养</t>
  </si>
  <si>
    <t>肿胀</t>
  </si>
  <si>
    <t>忏悔，赎罪</t>
  </si>
  <si>
    <t>肥沃的，富饶的</t>
  </si>
  <si>
    <t>时代，纪元</t>
  </si>
  <si>
    <t>变化无常的，反复无常的</t>
  </si>
  <si>
    <t>被吸引，受重力作用</t>
  </si>
  <si>
    <t>缓和，减轻</t>
  </si>
  <si>
    <t>揭穿真相，揭露真相</t>
  </si>
  <si>
    <t>骚扰，侵扰</t>
  </si>
  <si>
    <t>比赛，匹配</t>
  </si>
  <si>
    <t>美食家，美食的</t>
  </si>
  <si>
    <t>概括，包含</t>
  </si>
  <si>
    <t>放荡的，挥霍无度的</t>
  </si>
  <si>
    <t>傲慢无礼的，漫不经心的</t>
  </si>
  <si>
    <t>故意的，刻意的</t>
  </si>
  <si>
    <t>机智的，风趣的</t>
  </si>
  <si>
    <t>兜售，吹捧</t>
  </si>
  <si>
    <t>理论家，思想家</t>
  </si>
  <si>
    <t>过剩，多余</t>
  </si>
  <si>
    <t>珍惜，怀念</t>
  </si>
  <si>
    <t>不悦，生气</t>
  </si>
  <si>
    <t>无处不在的，普遍存在的</t>
  </si>
  <si>
    <t>灵活的，敏捷的</t>
  </si>
  <si>
    <t>倔强的，刚愎自用的</t>
  </si>
  <si>
    <t>虚构的，编造的</t>
  </si>
  <si>
    <t>犹豫不决，摇摆不定</t>
  </si>
  <si>
    <t>放大，扩大</t>
  </si>
  <si>
    <t>使幻想破灭，使清醒</t>
  </si>
  <si>
    <t>平衡的，均衡的</t>
  </si>
  <si>
    <t>坚定的，不动摇的</t>
  </si>
  <si>
    <t>汇聚，趋同</t>
  </si>
  <si>
    <t>一致，符合</t>
  </si>
  <si>
    <t>轻描淡写，淡化</t>
  </si>
  <si>
    <t>暴动，起义</t>
  </si>
  <si>
    <t>调查，探测</t>
  </si>
  <si>
    <t>作为象征的，代表性的</t>
  </si>
  <si>
    <t>占主导地位的，主要的</t>
  </si>
  <si>
    <t>喜怒无常的，情绪多变的</t>
  </si>
  <si>
    <t>虚伪的，假的</t>
  </si>
  <si>
    <t>分为两支，分叉</t>
  </si>
  <si>
    <t>构成…的基础，位于…之下</t>
  </si>
  <si>
    <t>引起，诱导</t>
  </si>
  <si>
    <t>救援，援助</t>
  </si>
  <si>
    <t>协同作用，协力</t>
  </si>
  <si>
    <t>尖酸刻薄的，讥讽的</t>
  </si>
  <si>
    <t>赞美之词，颂辞</t>
  </si>
  <si>
    <t>形成，塑造</t>
  </si>
  <si>
    <t>复制，繁殖</t>
  </si>
  <si>
    <t>旋转，纺织</t>
  </si>
  <si>
    <t>特点，标志</t>
  </si>
  <si>
    <t>零星的，偶发的</t>
  </si>
  <si>
    <t>欺骗，诡计</t>
  </si>
  <si>
    <t>艳俗的，过于鲜艳的</t>
  </si>
  <si>
    <t>减弱，衰退</t>
  </si>
  <si>
    <t>报应，惩罚</t>
  </si>
  <si>
    <t>大量存在，充满</t>
  </si>
  <si>
    <t>反馈，回馈</t>
  </si>
  <si>
    <t>装饰性的，装饰物</t>
  </si>
  <si>
    <t>补偿，赔偿</t>
  </si>
  <si>
    <t>评估，估价</t>
  </si>
  <si>
    <t>联邦，同盟</t>
  </si>
  <si>
    <t>直觉的，直观的</t>
  </si>
  <si>
    <t>提供，呈现</t>
  </si>
  <si>
    <t>猖獗的，泛滥的</t>
  </si>
  <si>
    <t>赎回，挽回</t>
  </si>
  <si>
    <t>细节，琐事</t>
  </si>
  <si>
    <t>不谨慎的，轻率的</t>
  </si>
  <si>
    <t>剧毒的，恶毒的</t>
  </si>
  <si>
    <t>预先阻止，防止</t>
  </si>
  <si>
    <t>修剪，削减</t>
  </si>
  <si>
    <t>冗长的演讲或文章</t>
  </si>
  <si>
    <t>合并，混合</t>
  </si>
  <si>
    <t>使黯然失色，使相形见绌</t>
  </si>
  <si>
    <t>分发，配药</t>
  </si>
  <si>
    <t>圣徒传记，过分谄媚的描述</t>
  </si>
  <si>
    <t>无价的，非常宝贵的</t>
  </si>
  <si>
    <t>壮丽，宏伟</t>
  </si>
  <si>
    <t>知道的，意识到的</t>
  </si>
  <si>
    <t>伪造的，假的</t>
  </si>
  <si>
    <t>精心制作的，详尽的</t>
  </si>
  <si>
    <t>文章署名</t>
  </si>
  <si>
    <t>悲叹，哀号</t>
  </si>
  <si>
    <t>固有的，内在的</t>
  </si>
  <si>
    <t>续集，后续</t>
  </si>
  <si>
    <t>茂盛的，繁茂的</t>
  </si>
  <si>
    <t>美学的，审美的</t>
  </si>
  <si>
    <t>充满…气味的，使人联想到…的</t>
  </si>
  <si>
    <t>减低，贬低</t>
  </si>
  <si>
    <t>哀悼的，挽歌的</t>
  </si>
  <si>
    <t>对应物，相对应的人或物</t>
  </si>
  <si>
    <t>乐观主义，乐观情绪</t>
  </si>
  <si>
    <t>腰围，周长</t>
  </si>
  <si>
    <t>傲慢的，自大的</t>
  </si>
  <si>
    <t>欣喜，高兴</t>
  </si>
  <si>
    <t>群集，聚集</t>
  </si>
  <si>
    <t>掩盖，掩饰</t>
  </si>
  <si>
    <t>流行的，普遍的</t>
  </si>
  <si>
    <t>党派的，偏袒的</t>
  </si>
  <si>
    <t>外围的，次要的</t>
  </si>
  <si>
    <t>新生的，初期的</t>
  </si>
  <si>
    <t>公开的，明显的</t>
  </si>
  <si>
    <t>使困惑，使迷惑</t>
  </si>
  <si>
    <t>无可辩驳的，不容置疑的</t>
  </si>
  <si>
    <t>大吵大嚷</t>
  </si>
  <si>
    <t>勉励的</t>
  </si>
  <si>
    <t>有偏见的，倾向性的</t>
  </si>
  <si>
    <t>愤怒的，愤慨的</t>
  </si>
  <si>
    <t>先前的，前身</t>
  </si>
  <si>
    <t>激发，加剧</t>
  </si>
  <si>
    <t>侵扰，干扰</t>
  </si>
  <si>
    <t>唱反调的人，持反对意见的人</t>
  </si>
  <si>
    <t>实际的，务实的</t>
  </si>
  <si>
    <t>古怪的，异想天开的</t>
  </si>
  <si>
    <t>轻视，贬低</t>
  </si>
  <si>
    <t>可食用的</t>
  </si>
  <si>
    <t>慈善，善行</t>
  </si>
  <si>
    <t>超自然的，异常的</t>
  </si>
  <si>
    <t>咸的，难以下咽的</t>
  </si>
  <si>
    <t>完美的，圆满的</t>
  </si>
  <si>
    <t>提议，建议</t>
  </si>
  <si>
    <t>使困惑，使迷失</t>
  </si>
  <si>
    <t>吉祥的，幸运的</t>
  </si>
  <si>
    <t>不安的，焦虑的</t>
  </si>
  <si>
    <t>缺乏的，稀有的</t>
  </si>
  <si>
    <t>自恋，自我陶醉</t>
  </si>
  <si>
    <t>庆祝，赞美</t>
  </si>
  <si>
    <t>吹毛求疵的，过于挑剔的</t>
  </si>
  <si>
    <t>血统，家谱</t>
  </si>
  <si>
    <t>使不安，使混乱</t>
  </si>
  <si>
    <t>堵塞，拥挤</t>
  </si>
  <si>
    <t>滥用，虐待</t>
  </si>
  <si>
    <t>燃烧，燃烧过程</t>
  </si>
  <si>
    <t>纠缠不清的，无法解脱的</t>
  </si>
  <si>
    <t>误导，引导错误</t>
  </si>
  <si>
    <t>爱说教的，自以为是的</t>
  </si>
  <si>
    <t>破败，荒废</t>
  </si>
  <si>
    <t>模仿，仿效</t>
  </si>
  <si>
    <t>破坏性的，毁灭性的</t>
  </si>
  <si>
    <t>华丽的，炫耀的</t>
  </si>
  <si>
    <t>富裕的，豪华的</t>
  </si>
  <si>
    <t>粗糙的，粗鲁的</t>
  </si>
  <si>
    <t>剩余的，残留的</t>
  </si>
  <si>
    <t>受折磨，受煎熬</t>
  </si>
  <si>
    <t>腐败的，堕落的</t>
  </si>
  <si>
    <t>侮辱，羞辱</t>
  </si>
  <si>
    <t>校准，调整</t>
  </si>
  <si>
    <t>光辉的，灿烂的</t>
  </si>
  <si>
    <t>苦苦思索</t>
  </si>
  <si>
    <t>相互的，共同的</t>
  </si>
  <si>
    <t>高尚的，崇高的</t>
  </si>
  <si>
    <t>装饰，点缀</t>
  </si>
  <si>
    <t>当代的，现代的</t>
  </si>
  <si>
    <t>稀薄的，高深的</t>
  </si>
  <si>
    <t>商品，货物</t>
  </si>
  <si>
    <t>伪装，掩饰</t>
  </si>
  <si>
    <t>欢欣鼓舞的，狂喜的</t>
  </si>
  <si>
    <t>颂词，颂文</t>
  </si>
  <si>
    <t>诡计，欺骗</t>
  </si>
  <si>
    <t>可选的，替代的</t>
  </si>
  <si>
    <t>前卫的，先锋的</t>
  </si>
  <si>
    <t>着迷的，过分迷恋的</t>
  </si>
  <si>
    <t>强大的，有力的</t>
  </si>
  <si>
    <t>有罪的，该受谴责的</t>
  </si>
  <si>
    <t>束缚，限制</t>
  </si>
  <si>
    <t>屈尊，摆出高人一等的姿态</t>
  </si>
  <si>
    <t>临时的，暂时的</t>
  </si>
  <si>
    <t>集中，集权</t>
  </si>
  <si>
    <t>旧日时光幸福的，宁静的</t>
  </si>
  <si>
    <t>沮丧的，垂头丧气的</t>
  </si>
  <si>
    <t>歇斯底里，情绪失控</t>
  </si>
  <si>
    <t>讽刺的，具有讽刺意味的</t>
  </si>
  <si>
    <t>战前的，战争前的</t>
  </si>
  <si>
    <t>泛滥的，淹没的</t>
  </si>
  <si>
    <t>过度扩张，过度延伸</t>
  </si>
  <si>
    <t>独裁者，专制君主</t>
  </si>
  <si>
    <t>乌托邦，理想国</t>
  </si>
  <si>
    <t>无法渗透的，难以理解的</t>
  </si>
  <si>
    <t>苦难，磨难</t>
  </si>
  <si>
    <t>多愁善感的，感伤的</t>
  </si>
  <si>
    <t>喝，饮</t>
  </si>
  <si>
    <t>支持，认可</t>
  </si>
  <si>
    <t>愤世嫉俗的，冷嘲热讽的</t>
  </si>
  <si>
    <t>亲密的，密切的</t>
  </si>
  <si>
    <t>使倾向于，使有某种倾向</t>
  </si>
  <si>
    <t>贫困的，贫穷的</t>
  </si>
  <si>
    <t>骑士精神的，彬彬有礼的</t>
  </si>
  <si>
    <t>丧失，失去</t>
  </si>
  <si>
    <t>损害，削弱</t>
  </si>
  <si>
    <t>愤怒，狂怒</t>
  </si>
  <si>
    <t>口齿伶俐的，油嘴滑舌的</t>
  </si>
  <si>
    <t>恶搞，滑稽模仿</t>
  </si>
  <si>
    <t>无辜的，无可责备的</t>
  </si>
  <si>
    <t>压力，紧张</t>
  </si>
  <si>
    <t>无光泽的，黯淡的</t>
  </si>
  <si>
    <t>分层的，阶层化的</t>
  </si>
  <si>
    <t>全部节目，全部才艺</t>
  </si>
  <si>
    <t>笨手笨脚的，愚蠢的</t>
  </si>
  <si>
    <t>颤抖，振动</t>
  </si>
  <si>
    <t>强调的，坚决的</t>
  </si>
  <si>
    <t>预言，预示</t>
  </si>
  <si>
    <t>关键的，中枢的</t>
  </si>
  <si>
    <t>逮捕，拘留</t>
  </si>
  <si>
    <t>计划的，经过计算的</t>
  </si>
  <si>
    <t>和睦，友好关系</t>
  </si>
  <si>
    <t>遵守，符合</t>
  </si>
  <si>
    <t>基础，基金会</t>
  </si>
  <si>
    <t>盲目痴迷</t>
  </si>
  <si>
    <t>自夸，吹嘘</t>
  </si>
  <si>
    <t>突袭，涉足</t>
  </si>
  <si>
    <t>抄袭，剽窃</t>
  </si>
  <si>
    <t>复苏，恢复</t>
  </si>
  <si>
    <t>失言，失态</t>
  </si>
  <si>
    <t>有同情心的，赞同的</t>
  </si>
  <si>
    <t>与服装有关的，缝纫的</t>
  </si>
  <si>
    <t>幸运的，幸运的</t>
  </si>
  <si>
    <t>道德风貌，道德观念</t>
  </si>
  <si>
    <t>欢乐，高兴</t>
  </si>
  <si>
    <t>坚守</t>
  </si>
  <si>
    <t>异常，异常的人或事物</t>
  </si>
  <si>
    <t>游历，旅行</t>
  </si>
  <si>
    <t>命令，禁止</t>
  </si>
  <si>
    <t>分隔，划分</t>
  </si>
  <si>
    <t>空气传播的，空运的</t>
  </si>
  <si>
    <t>自负的，虚荣的</t>
  </si>
  <si>
    <t>馆长，策展人</t>
  </si>
  <si>
    <t>迅速发展，蓬勃发展</t>
  </si>
  <si>
    <t>占卜，预测</t>
  </si>
  <si>
    <t>具体的，实际的</t>
  </si>
  <si>
    <t>支持，拥护</t>
  </si>
  <si>
    <t>懒惰，树懒</t>
  </si>
  <si>
    <t>不利的，有害的</t>
  </si>
  <si>
    <t>庸医，江湖医生</t>
  </si>
  <si>
    <t>终场，最后</t>
  </si>
  <si>
    <t>讨厌的，令人讨厌的</t>
  </si>
  <si>
    <t>谨慎，慎重</t>
  </si>
  <si>
    <t>古怪的，离奇的</t>
  </si>
  <si>
    <t>赞美的，表扬的</t>
  </si>
  <si>
    <t>事与愿违，适得其反</t>
  </si>
  <si>
    <t>用菜装饰，装扮</t>
  </si>
  <si>
    <t>认真的，诚恳的</t>
  </si>
  <si>
    <t>惯用的，符合语言习惯的</t>
  </si>
  <si>
    <t>辱骂，谩骂</t>
  </si>
  <si>
    <t>继位，加入</t>
  </si>
  <si>
    <t>空的，空缺的</t>
  </si>
  <si>
    <t>未受限制的，未加控制的</t>
  </si>
  <si>
    <t>十恶不赦的，可憎的</t>
  </si>
  <si>
    <t>恶臭的，臭的</t>
  </si>
  <si>
    <t>市民的，公民的</t>
  </si>
  <si>
    <t>障碍，阻碍</t>
  </si>
  <si>
    <t>沉默寡言的，不爱说话的</t>
  </si>
  <si>
    <t>深入探究，钻研</t>
  </si>
  <si>
    <t>没收，查抄</t>
  </si>
  <si>
    <t>开花，盛开</t>
  </si>
  <si>
    <t>阻碍，束缚</t>
  </si>
  <si>
    <t>冷漠，无动于衷</t>
  </si>
  <si>
    <t>有争议的，引起争议的</t>
  </si>
  <si>
    <t>丰富，充实</t>
  </si>
  <si>
    <t>变魔术，召唤</t>
  </si>
  <si>
    <t>缠住，陷入困境</t>
  </si>
  <si>
    <t>提炼，精炼</t>
  </si>
  <si>
    <t>魅力，吸引力</t>
  </si>
  <si>
    <t>必要的，必需的</t>
  </si>
  <si>
    <t>解放，释放</t>
  </si>
  <si>
    <t>铸铁的，坚固的</t>
  </si>
  <si>
    <t>传教士，使者</t>
  </si>
  <si>
    <t>简短而草率的，粗鲁的</t>
  </si>
  <si>
    <t>优势，有利条件</t>
  </si>
  <si>
    <t>有帮助的，有助于实现目标的</t>
  </si>
  <si>
    <t>既得的，固定的</t>
  </si>
  <si>
    <t>使适应，使习惯于</t>
  </si>
  <si>
    <t>诉诸，采取</t>
  </si>
  <si>
    <t>淡化，贬低</t>
  </si>
  <si>
    <t>颓废的，堕落的</t>
  </si>
  <si>
    <t>毫无意义的，荒谬的</t>
  </si>
  <si>
    <t>信息丰富的，提供信息的</t>
  </si>
  <si>
    <t>使高兴，使兴奋</t>
  </si>
  <si>
    <t>轻浮，轻率</t>
  </si>
  <si>
    <t>急剧增加，高涨</t>
  </si>
  <si>
    <t>招致不满的，引起嫉妒的</t>
  </si>
  <si>
    <t>冲动的，鲁莽的</t>
  </si>
  <si>
    <t>用词不当，误称</t>
  </si>
  <si>
    <t>狡猾的，狡诈的</t>
  </si>
  <si>
    <t>矛盾情感，矛盾心态</t>
  </si>
  <si>
    <t>中间人，调解人</t>
  </si>
  <si>
    <t>破坏，削弱</t>
  </si>
  <si>
    <t>讨好，追求</t>
  </si>
  <si>
    <t>派遣，发送</t>
  </si>
  <si>
    <t>奉承，谄媚</t>
  </si>
  <si>
    <t>牵连，涉及</t>
  </si>
  <si>
    <t>可渗透的，透水的</t>
  </si>
  <si>
    <t>可比较的，类似的</t>
  </si>
  <si>
    <t>缺乏的，没有的</t>
  </si>
  <si>
    <t>加速，促进</t>
  </si>
  <si>
    <t>有先见之明的，预知的</t>
  </si>
  <si>
    <t>间接的，拐弯抹角的</t>
  </si>
  <si>
    <t>厌恶，憎恶</t>
  </si>
  <si>
    <t>不平均的，不均匀的</t>
  </si>
  <si>
    <t>刻板印象，固定形象</t>
  </si>
  <si>
    <t>全基督教的</t>
  </si>
  <si>
    <t>可指责的，可弹劾的</t>
  </si>
  <si>
    <t>恶意的，刻薄的</t>
  </si>
  <si>
    <t>即将到来的，即将发生的</t>
  </si>
  <si>
    <t>枯燥乏味的，平淡无味的</t>
  </si>
  <si>
    <t>辩解，证明...正当</t>
  </si>
  <si>
    <t>伪造的，假冒的</t>
  </si>
  <si>
    <t>起源，来源</t>
  </si>
  <si>
    <t>缺陷，障碍</t>
  </si>
  <si>
    <t>严酷的，刺耳的</t>
  </si>
  <si>
    <t>和蔼的，友好的</t>
  </si>
  <si>
    <t>镇压，取消</t>
  </si>
  <si>
    <t>顽固的，不顺从的</t>
  </si>
  <si>
    <t>陷阱，诱惑</t>
  </si>
  <si>
    <t>节制，戒除</t>
  </si>
  <si>
    <t>快乐的，乐观的</t>
  </si>
  <si>
    <t>吃惊地，大吃一惊</t>
  </si>
  <si>
    <t>耗尽，减少</t>
  </si>
  <si>
    <t>特权，特有权力</t>
  </si>
  <si>
    <t>纯粹的，纯然的</t>
  </si>
  <si>
    <t>偏见，歧视</t>
  </si>
  <si>
    <t>家谱，血统</t>
  </si>
  <si>
    <t>污染，弄脏</t>
  </si>
  <si>
    <t>无知，愚昧</t>
  </si>
  <si>
    <t>愤怒，恼怒</t>
  </si>
  <si>
    <t>在职的，现任的</t>
  </si>
  <si>
    <t>广泛的，广阔的</t>
  </si>
  <si>
    <t>沉思的，忧虑的</t>
  </si>
  <si>
    <t>驱逐，赶下台</t>
  </si>
  <si>
    <t>商业的，干练的</t>
  </si>
  <si>
    <t>懊悔的，后悔的</t>
  </si>
  <si>
    <t>枯萎，凋零</t>
  </si>
  <si>
    <t>无可匹敌的，无与伦比的</t>
  </si>
  <si>
    <t>未知的，未被测绘的</t>
  </si>
  <si>
    <t>预期，预料</t>
  </si>
  <si>
    <t>精湛的技艺，高超的才能</t>
  </si>
  <si>
    <t>容忍，原谅</t>
  </si>
  <si>
    <t>不安，焦虑</t>
  </si>
  <si>
    <t>传闻但不足为凭的</t>
  </si>
  <si>
    <t>引导，驾驶</t>
  </si>
  <si>
    <t>点燃，引发</t>
  </si>
  <si>
    <t>发掘，挖掘</t>
  </si>
  <si>
    <t>沉闷的，阴郁的</t>
  </si>
  <si>
    <t>迷人的，引人入胜的</t>
  </si>
  <si>
    <t>活力，热情</t>
  </si>
  <si>
    <t>镇定的，不慌张的</t>
  </si>
  <si>
    <t>过量，过剩</t>
  </si>
  <si>
    <t>二手的，旧的</t>
  </si>
  <si>
    <t>控告，起诉</t>
  </si>
  <si>
    <t>坚决的，坚定的</t>
  </si>
  <si>
    <t>插话，插嘴</t>
  </si>
  <si>
    <t>精通，掌握</t>
  </si>
  <si>
    <t>发出，说出</t>
  </si>
  <si>
    <t>清澈的</t>
  </si>
  <si>
    <t>取巧的，狡猾的</t>
  </si>
  <si>
    <t>毁损，破坏</t>
  </si>
  <si>
    <t>翻滚，生闷气</t>
  </si>
  <si>
    <t>理解</t>
  </si>
  <si>
    <t>荒谬的</t>
  </si>
  <si>
    <t>微小的</t>
  </si>
  <si>
    <t>非常出色的</t>
  </si>
  <si>
    <t>脆弱的</t>
  </si>
  <si>
    <t>虚无主义</t>
  </si>
  <si>
    <t>模仿作品，大杂烩</t>
  </si>
  <si>
    <t>入侵，袭击</t>
  </si>
  <si>
    <t>停止</t>
  </si>
  <si>
    <t>引人入胜的</t>
  </si>
  <si>
    <t>转向，改变方向</t>
  </si>
  <si>
    <t>天文学的</t>
  </si>
  <si>
    <t>窥探的</t>
  </si>
  <si>
    <t>轻蔑的</t>
  </si>
  <si>
    <t>宽宏大量的</t>
  </si>
  <si>
    <t>严厉的</t>
  </si>
  <si>
    <t>彻底的</t>
  </si>
  <si>
    <t>贫血</t>
  </si>
  <si>
    <t>难闻的，恶臭的</t>
  </si>
  <si>
    <t>恳求</t>
  </si>
  <si>
    <t>华丽的，过分修饰的</t>
  </si>
  <si>
    <t>使恢复生气</t>
  </si>
  <si>
    <t>小气的，琐碎的</t>
  </si>
  <si>
    <t>碎屑，残骸</t>
  </si>
  <si>
    <t>天赋，才华</t>
  </si>
  <si>
    <t>切断</t>
  </si>
  <si>
    <t>神秘的，难以理解的</t>
  </si>
  <si>
    <t>勤勉的</t>
  </si>
  <si>
    <t>逃避，躲避</t>
  </si>
  <si>
    <t>启发，教育</t>
  </si>
  <si>
    <t>高而令人眩晕的</t>
  </si>
  <si>
    <t>固执己见的</t>
  </si>
  <si>
    <t>慷慨的</t>
  </si>
  <si>
    <t>摆锤</t>
  </si>
  <si>
    <t>不炫耀的</t>
  </si>
  <si>
    <t>公式化的</t>
  </si>
  <si>
    <t>眩晕感</t>
  </si>
  <si>
    <t>稳定的，安定的</t>
  </si>
  <si>
    <t>改装，翻新</t>
  </si>
  <si>
    <t>无效的，徒劳的</t>
  </si>
  <si>
    <t>废除法律效力</t>
  </si>
  <si>
    <t>悦耳的</t>
  </si>
  <si>
    <t>感情洋溢的</t>
  </si>
  <si>
    <t>有教养的，文雅的</t>
  </si>
  <si>
    <t>人为的</t>
  </si>
  <si>
    <t>汇合，交汇</t>
  </si>
  <si>
    <t>喧闹的</t>
  </si>
  <si>
    <t>坚持，持续</t>
  </si>
  <si>
    <t>昏昏欲睡的</t>
  </si>
  <si>
    <t>透明的</t>
  </si>
  <si>
    <t>侨民，移居国外</t>
  </si>
  <si>
    <t>赔偿，补偿</t>
  </si>
  <si>
    <t>使丧失，剥夺</t>
  </si>
  <si>
    <t>腐烂，崩溃</t>
  </si>
  <si>
    <t>悲观的</t>
  </si>
  <si>
    <t>驱逐，开除</t>
  </si>
  <si>
    <t>删除，删改</t>
  </si>
  <si>
    <t>不言而喻的</t>
  </si>
  <si>
    <t>细读，仔细研究</t>
  </si>
  <si>
    <t>回避，规避</t>
  </si>
  <si>
    <t>同龄人，贵族</t>
  </si>
  <si>
    <t>承认，让步</t>
  </si>
  <si>
    <t>狂热者，热心者</t>
  </si>
  <si>
    <t>尽管，虽然</t>
  </si>
  <si>
    <t>挑逗，引诱</t>
  </si>
  <si>
    <t>俗丽的，庸俗的</t>
  </si>
  <si>
    <t>苦心研究，夜以继日的努力</t>
  </si>
  <si>
    <t>分析的，理性的</t>
  </si>
  <si>
    <t>宗派的，教派的</t>
  </si>
  <si>
    <t>陷阱，隐患</t>
  </si>
  <si>
    <t>激起，激怒</t>
  </si>
  <si>
    <t>漫画，讽刺画</t>
  </si>
  <si>
    <t>耐用的，持久的</t>
  </si>
  <si>
    <t>恶棍的，邪恶的</t>
  </si>
  <si>
    <t>充满活力的</t>
  </si>
  <si>
    <t>归因于，归咎于</t>
  </si>
  <si>
    <t>浮标，支撑</t>
  </si>
  <si>
    <t>深奥的，晦涩难懂的</t>
  </si>
  <si>
    <t>渴望，苦苦思念</t>
  </si>
  <si>
    <t>使尴尬，使羞愧</t>
  </si>
  <si>
    <t>假恭维，胡言乱语</t>
  </si>
  <si>
    <t>众多的，大量的</t>
  </si>
  <si>
    <t>无固定形状的</t>
  </si>
  <si>
    <t>减弱，变细</t>
  </si>
  <si>
    <t>意味着，暗示</t>
  </si>
  <si>
    <t>开脱，证明无罪</t>
  </si>
  <si>
    <t>直截了当地</t>
  </si>
  <si>
    <t>推翻，使无效</t>
  </si>
  <si>
    <t>吃货</t>
  </si>
  <si>
    <t>吝啬的</t>
  </si>
  <si>
    <t>野蛮，残忍行为</t>
  </si>
  <si>
    <t>巴洛克的，过分装饰的</t>
  </si>
  <si>
    <t>主教</t>
  </si>
  <si>
    <t>纠缠，使卷入</t>
  </si>
  <si>
    <t>众人指责</t>
  </si>
  <si>
    <t>热情的推动者</t>
  </si>
  <si>
    <t>使具有资格，限制</t>
  </si>
  <si>
    <t>延长，使伸长</t>
  </si>
  <si>
    <t>有远见的，梦想家的</t>
  </si>
  <si>
    <t>概括，重述要点</t>
  </si>
  <si>
    <t>捷径，快捷方式</t>
  </si>
  <si>
    <t>开药，规定</t>
  </si>
  <si>
    <t>贪婪的，掠夺的</t>
  </si>
  <si>
    <t>大一统的</t>
  </si>
  <si>
    <t>引导，迎接</t>
  </si>
  <si>
    <t>嘎嘎声，使紧张</t>
  </si>
  <si>
    <t>收缩，缩水</t>
  </si>
  <si>
    <t>任人唯亲，对好朋友的偏袒</t>
  </si>
  <si>
    <t>祖先，先驱者</t>
  </si>
  <si>
    <t>壮丽，辉煌</t>
  </si>
  <si>
    <t>敷衍了事的</t>
  </si>
  <si>
    <t>手稿，原稿</t>
  </si>
  <si>
    <t>欺骗，口是心非</t>
  </si>
  <si>
    <t>切碎，小步走</t>
  </si>
  <si>
    <t>无害的，无毒的</t>
  </si>
  <si>
    <t>隐居，隐退</t>
  </si>
  <si>
    <t>仇外的，排外的</t>
  </si>
  <si>
    <t>流体，液体</t>
  </si>
  <si>
    <t>骚动，动乱</t>
  </si>
  <si>
    <t>表情疑惑的</t>
  </si>
  <si>
    <t>谚语，著名的</t>
  </si>
  <si>
    <t>脾气暴躁的</t>
  </si>
  <si>
    <t>生硬的，不自然的</t>
  </si>
  <si>
    <t>大胆的，敢于冒险的</t>
  </si>
  <si>
    <t>内疚，愧疚</t>
  </si>
  <si>
    <t>不兼容的，不一致的</t>
  </si>
  <si>
    <t>哀叹，悲叹</t>
  </si>
  <si>
    <t>调节，改变</t>
  </si>
  <si>
    <t>合适的，适当的</t>
  </si>
  <si>
    <t>倡导者，代表</t>
  </si>
  <si>
    <t>并置，并列</t>
  </si>
  <si>
    <t>规范的，经典的</t>
  </si>
  <si>
    <t>预言的，先知的</t>
  </si>
  <si>
    <t>散布，传播</t>
  </si>
  <si>
    <t>杂色的，混杂的</t>
  </si>
  <si>
    <t>难以理解的，神秘的</t>
  </si>
  <si>
    <t>无形的，抽象的</t>
  </si>
  <si>
    <t>发出刺耳的声音</t>
  </si>
  <si>
    <t>集会，拉力赛</t>
  </si>
  <si>
    <t>起义，暴动</t>
  </si>
  <si>
    <t>财政的，会计的</t>
  </si>
  <si>
    <t>牺牲，献祭</t>
  </si>
  <si>
    <t>使困惑，使不安</t>
  </si>
  <si>
    <t>闲置的，懒散的</t>
  </si>
  <si>
    <t>蔑视，嘲笑</t>
  </si>
  <si>
    <t>奇怪的，怪异的</t>
  </si>
  <si>
    <t>统治，管理</t>
  </si>
  <si>
    <t>反感，厌恶</t>
  </si>
  <si>
    <t>机智的，精明的</t>
  </si>
  <si>
    <t>节俭，节约</t>
  </si>
  <si>
    <t>强求的，纠缠不休的</t>
  </si>
  <si>
    <t>漫游，曲流</t>
  </si>
  <si>
    <t>背叛，出卖</t>
  </si>
  <si>
    <t>预先假定，预设</t>
  </si>
  <si>
    <t>荒废的，玩忽职守的</t>
  </si>
  <si>
    <t>有趣的，引人入胜的</t>
  </si>
  <si>
    <t>利用，剥削</t>
  </si>
  <si>
    <t>反对，犹豫</t>
  </si>
  <si>
    <t>吉祥的，有利的</t>
  </si>
  <si>
    <t>硬化，僵化</t>
  </si>
  <si>
    <t>严厉批评，惩罚</t>
  </si>
  <si>
    <t>势利的，自负的</t>
  </si>
  <si>
    <t>荒凉的，阴冷的</t>
  </si>
  <si>
    <t>询问，疑问</t>
  </si>
  <si>
    <t>道德的，伦理的</t>
  </si>
  <si>
    <t>遵守，服从</t>
  </si>
  <si>
    <t>带来平静，使安静</t>
  </si>
  <si>
    <t>敌对的，对抗的</t>
  </si>
  <si>
    <t>普遍的，全体的</t>
  </si>
  <si>
    <t>禁欲主义者，苦行者</t>
  </si>
  <si>
    <t>断言，宣称</t>
  </si>
  <si>
    <t>策略，战术</t>
  </si>
  <si>
    <t>苗条的，纤细的</t>
  </si>
  <si>
    <t>泄漏，漏出</t>
  </si>
  <si>
    <t>深奥的，难解的</t>
  </si>
  <si>
    <t>重申，反复说</t>
  </si>
  <si>
    <t>强制性的，必须的</t>
  </si>
  <si>
    <t>反映，反射</t>
  </si>
  <si>
    <t>连接词，联合</t>
  </si>
  <si>
    <t>抓住，紧握</t>
  </si>
  <si>
    <t>感情，悲感</t>
  </si>
  <si>
    <t>暂时的休息，喘息</t>
  </si>
  <si>
    <t>布道，讲道</t>
  </si>
  <si>
    <t>报仇，复仇</t>
  </si>
  <si>
    <t>加倍，加强</t>
  </si>
  <si>
    <t>忏悔的，悔过的</t>
  </si>
  <si>
    <t>年鉴，编年史</t>
  </si>
  <si>
    <t>模具，塑造</t>
  </si>
  <si>
    <t>昏睡的，无精打采的</t>
  </si>
  <si>
    <t>短暂的，朝生暮死的</t>
  </si>
  <si>
    <t>阐述，展览</t>
  </si>
  <si>
    <t>驱散，消散</t>
  </si>
  <si>
    <t>庞大的，笨重的</t>
  </si>
  <si>
    <t>大灾难，世界末日</t>
  </si>
  <si>
    <t>纪录片</t>
  </si>
  <si>
    <t>激励，激发</t>
  </si>
  <si>
    <t>搞砸，笨拙地做</t>
  </si>
  <si>
    <t>势头不减的</t>
  </si>
  <si>
    <t>不愿，不情愿</t>
  </si>
  <si>
    <t>滑稽的，可笑的</t>
  </si>
  <si>
    <t>肮脏的，污秽的</t>
  </si>
  <si>
    <t>吝啬的，小气的</t>
  </si>
  <si>
    <t>非凡的，特别的</t>
  </si>
  <si>
    <t>有趣的，娱乐的</t>
  </si>
  <si>
    <t>试探性的，初步的</t>
  </si>
  <si>
    <t>扎眼的，突兀的</t>
  </si>
  <si>
    <t>健谈的，口若悬河的</t>
  </si>
  <si>
    <t>苦的，痛苦的</t>
  </si>
  <si>
    <t>难以达到的，无法实现的</t>
  </si>
  <si>
    <t>极其严苛的，苛刻的</t>
  </si>
  <si>
    <t>欺骗，迷惑</t>
  </si>
  <si>
    <t>令人心碎的，悲伤的</t>
  </si>
  <si>
    <t>模仿，模拟</t>
  </si>
  <si>
    <t>基础，根基</t>
  </si>
  <si>
    <t>打趣，戏谑</t>
  </si>
  <si>
    <t>大口地喝，畅饮</t>
  </si>
  <si>
    <t>子女，后代</t>
  </si>
  <si>
    <t>恩人，捐助者</t>
  </si>
  <si>
    <t>拖，拉</t>
  </si>
  <si>
    <t>控告，归罪于</t>
  </si>
  <si>
    <t>坚持，不屈不挠</t>
  </si>
  <si>
    <t>镇定，沉着</t>
  </si>
  <si>
    <t>批准，制裁</t>
  </si>
  <si>
    <t>贫瘠的，不育的</t>
  </si>
  <si>
    <t>莫名其妙的，难以解释的</t>
  </si>
  <si>
    <t>倾斜，倾倒</t>
  </si>
  <si>
    <t>律师，代理人</t>
  </si>
  <si>
    <t>意识形态，思想体系</t>
  </si>
  <si>
    <t>难以理解的</t>
  </si>
  <si>
    <t>严厉批评，谴责</t>
  </si>
  <si>
    <t>可感知的，明显的</t>
  </si>
  <si>
    <t>可怜的，卑鄙的</t>
  </si>
  <si>
    <t>回声，回音</t>
  </si>
  <si>
    <t>疲劳，劳累</t>
  </si>
  <si>
    <t>边界，界限</t>
  </si>
  <si>
    <t>拍马屁的人，阿谀奉承者</t>
  </si>
  <si>
    <t>调整，微调</t>
  </si>
  <si>
    <t>天真的，纯真的</t>
  </si>
  <si>
    <t>博学者，多才多艺的人</t>
  </si>
  <si>
    <t>及时的，适时的</t>
  </si>
  <si>
    <t>修辞的，夸张的</t>
  </si>
  <si>
    <t>简洁的，简明扼要的</t>
  </si>
  <si>
    <t>吹嘘，夸耀</t>
  </si>
  <si>
    <t>全面的，综合的</t>
  </si>
  <si>
    <t>策略，手法</t>
  </si>
  <si>
    <t>自满的，沾沾自喜的</t>
  </si>
  <si>
    <t>严重的，重大的</t>
  </si>
  <si>
    <t>遗赠，传下</t>
  </si>
  <si>
    <t>授予，批准</t>
  </si>
  <si>
    <t>安慰，抚慰</t>
  </si>
  <si>
    <t>瘟疫，折磨</t>
  </si>
  <si>
    <t>论战，争论</t>
  </si>
  <si>
    <t>华而不实的，俗艳的</t>
  </si>
  <si>
    <t>赚钱的，有利可图的</t>
  </si>
  <si>
    <t>绝对的，完全的</t>
  </si>
  <si>
    <t>闪烁其词，支吾其词</t>
  </si>
  <si>
    <t>采用，收养</t>
  </si>
  <si>
    <t>迟到的，延误的</t>
  </si>
  <si>
    <t>琐碎的，不重要的</t>
  </si>
  <si>
    <t>挥霍的，浪费的</t>
  </si>
  <si>
    <t>夸张的，过分吹嘘的</t>
  </si>
  <si>
    <t>使发怒，激怒</t>
  </si>
  <si>
    <t>冷静的，理智的</t>
  </si>
  <si>
    <t>道歉，谢罪</t>
  </si>
  <si>
    <t>使泄气，使沮丧</t>
  </si>
  <si>
    <t>自以为是的，自命不凡的</t>
  </si>
  <si>
    <t>即将发生的，逼近的</t>
  </si>
  <si>
    <t>校订，修正</t>
  </si>
  <si>
    <t>经验主义的，实证的</t>
  </si>
  <si>
    <t>使窒息，压制</t>
  </si>
  <si>
    <t>异国的，奇异的</t>
  </si>
  <si>
    <t>教条主义的，死板的</t>
  </si>
  <si>
    <t>摧毁，毁灭</t>
  </si>
  <si>
    <t>可怕的，悲惨的</t>
  </si>
  <si>
    <t>自主决定的，自行决定的</t>
  </si>
  <si>
    <t>察觉，发现</t>
  </si>
  <si>
    <t>孤立的，与外界隔绝的</t>
  </si>
  <si>
    <t>不相关的，无礼的</t>
  </si>
  <si>
    <t>最小化，减少</t>
  </si>
  <si>
    <t>隔离，绝缘</t>
  </si>
  <si>
    <t>理由，原因</t>
  </si>
  <si>
    <t>开始，着手</t>
  </si>
  <si>
    <t>僵局，死路</t>
  </si>
  <si>
    <t>不情愿的，勉强的</t>
  </si>
  <si>
    <t>修订，修改</t>
  </si>
  <si>
    <t>超过，胜过</t>
  </si>
  <si>
    <t>勤奋的，刻苦的</t>
  </si>
  <si>
    <t>敬畏，惊叹</t>
  </si>
  <si>
    <t>严重的，严峻的</t>
  </si>
  <si>
    <t>疾病，病症</t>
  </si>
  <si>
    <t>牢固确立，巩固</t>
  </si>
  <si>
    <t>混合，加重</t>
  </si>
  <si>
    <t>专题论文，长篇演讲</t>
  </si>
  <si>
    <t>愚蠢的，滑稽的</t>
  </si>
  <si>
    <t>投降，屈服</t>
  </si>
  <si>
    <t>模型，模具</t>
  </si>
  <si>
    <t>时髦的，流行的</t>
  </si>
  <si>
    <t>象征，标志</t>
  </si>
  <si>
    <t>平等，相等</t>
  </si>
  <si>
    <t>咆哮，威吓</t>
  </si>
  <si>
    <t>非专业人士，门外汉</t>
  </si>
  <si>
    <t>命令，要求</t>
  </si>
  <si>
    <t>不言而喻的道理，真理</t>
  </si>
  <si>
    <t>服装，衣物</t>
  </si>
  <si>
    <t>刹车，制动器</t>
  </si>
  <si>
    <t>断言，声称</t>
  </si>
  <si>
    <t>繁荣，兴旺</t>
  </si>
  <si>
    <t>档案，存档</t>
  </si>
  <si>
    <t>支持者，倡导者</t>
  </si>
  <si>
    <t>不朽，永生</t>
  </si>
  <si>
    <t>可悲的，糟糕的</t>
  </si>
  <si>
    <t>轰炸，猛攻</t>
  </si>
  <si>
    <t>讨好，迎合</t>
  </si>
  <si>
    <t>自称，标榜</t>
  </si>
  <si>
    <t>鸽派的</t>
  </si>
  <si>
    <t>暴君，专制统治者</t>
  </si>
  <si>
    <t>灾难，大祸</t>
  </si>
  <si>
    <t>支离破碎的</t>
  </si>
  <si>
    <t>使人耿耿于怀</t>
  </si>
  <si>
    <t>迷信，迷信观念</t>
  </si>
  <si>
    <t>消灭，毁灭</t>
  </si>
  <si>
    <t>厌倦，无聊</t>
  </si>
  <si>
    <t>戒绝，避免</t>
  </si>
  <si>
    <t>夜晚的，夜间发生的</t>
  </si>
  <si>
    <t>剥夺，使丧失</t>
  </si>
  <si>
    <t>奇迹，惊奇</t>
  </si>
  <si>
    <t>乏味的，沉闷的</t>
  </si>
  <si>
    <t>精英，社会精英</t>
  </si>
  <si>
    <t>竞争，对抗</t>
  </si>
  <si>
    <t>忏悔的，自白的</t>
  </si>
  <si>
    <t>使沮丧，使失去信心</t>
  </si>
  <si>
    <t>冗长的，啰嗦的</t>
  </si>
  <si>
    <t>二元的，双重的</t>
  </si>
  <si>
    <t>无根据的，不合理的</t>
  </si>
  <si>
    <t>（性）兴奋</t>
  </si>
  <si>
    <t>使恢复活力，使返老还童</t>
  </si>
  <si>
    <t>无可比拟的，不可匹敌的</t>
  </si>
  <si>
    <t>速记，速记法</t>
  </si>
  <si>
    <t>革命的，革命性的</t>
  </si>
  <si>
    <t>筛选，过滤</t>
  </si>
  <si>
    <t>变暗，使阴沉</t>
  </si>
  <si>
    <t>放纵的，无拘无束的</t>
  </si>
  <si>
    <t>弄巧成拙的，自毁的</t>
  </si>
  <si>
    <t>先驱，前辈</t>
  </si>
  <si>
    <t>密封的，不透气的</t>
  </si>
  <si>
    <t>赎罪，补偿</t>
  </si>
  <si>
    <t>隐藏，掩盖</t>
  </si>
  <si>
    <t>恶化，加剧</t>
  </si>
  <si>
    <t>哲学，哲学思想</t>
  </si>
  <si>
    <t>神秘的，超自然的</t>
  </si>
  <si>
    <t>门徒，信徒</t>
  </si>
  <si>
    <t>大量的，庞大的</t>
  </si>
  <si>
    <t>看台，站台</t>
  </si>
  <si>
    <t>使饱足，满足</t>
  </si>
  <si>
    <t>居住在</t>
  </si>
  <si>
    <t>易受惊的，胆小的</t>
  </si>
  <si>
    <t>亲戚，家属</t>
  </si>
  <si>
    <t>分裂，解体</t>
  </si>
  <si>
    <t>派生的，衍生的</t>
  </si>
  <si>
    <t>偷窥狂，窥淫狂</t>
  </si>
  <si>
    <t>展示柜，展示台</t>
  </si>
  <si>
    <t>可忽略的，微不足道的</t>
  </si>
  <si>
    <t>动乱，骚乱</t>
  </si>
  <si>
    <t>一致，和谐</t>
  </si>
  <si>
    <t>金钱的，财政的</t>
  </si>
  <si>
    <t>先见之明，远见卓识</t>
  </si>
  <si>
    <t>篡夺，夺取</t>
  </si>
  <si>
    <t>逼真，似真实性</t>
  </si>
  <si>
    <t>响亮的，刺耳的</t>
  </si>
  <si>
    <t>基金，资金</t>
  </si>
  <si>
    <t>尖刻的，刻薄的</t>
  </si>
  <si>
    <t>贬低，轻视</t>
  </si>
  <si>
    <t>使有生气，使有活力</t>
  </si>
  <si>
    <t>节制的，有节制的</t>
  </si>
  <si>
    <t>易怒的，暴躁的</t>
  </si>
  <si>
    <t>影响，感染</t>
  </si>
  <si>
    <t>过时的，废弃的</t>
  </si>
  <si>
    <t>兼容并蓄的，折衷的</t>
  </si>
  <si>
    <t>附属机构，分支机构</t>
  </si>
  <si>
    <t>不停的，连续不断的</t>
  </si>
  <si>
    <t>自相矛盾的，悖论的</t>
  </si>
  <si>
    <t>贪婪的，狼吞虎咽的</t>
  </si>
  <si>
    <t>假定，断定</t>
  </si>
  <si>
    <t>圆滑的，机智的</t>
  </si>
  <si>
    <t>诡辩家，哲学家</t>
  </si>
  <si>
    <t>疏忽，失察</t>
  </si>
  <si>
    <t>稀释，冲淡</t>
  </si>
  <si>
    <t>协议，礼仪</t>
  </si>
  <si>
    <t>激怒，惹恼</t>
  </si>
  <si>
    <t>姿势，态度</t>
  </si>
  <si>
    <t>实现，认识到</t>
  </si>
  <si>
    <t>有力的，有效的</t>
  </si>
  <si>
    <t>良性的，仁慈的</t>
  </si>
  <si>
    <t>敌意，仇恨</t>
  </si>
  <si>
    <t>能预知未来的</t>
  </si>
  <si>
    <t>异议</t>
  </si>
  <si>
    <t>史诗，史诗般的</t>
  </si>
  <si>
    <t>解药，解毒剂</t>
  </si>
  <si>
    <t>放大，夸大</t>
  </si>
  <si>
    <t>中产阶级的，资产阶级的</t>
  </si>
  <si>
    <t>自知之明，自知的</t>
  </si>
  <si>
    <t>加强，巩固</t>
  </si>
  <si>
    <t>贬低，使卑微</t>
  </si>
  <si>
    <t>帮助，援助</t>
  </si>
  <si>
    <t>在...之中，被...围绕</t>
  </si>
  <si>
    <t>经受住，度过（困难等）</t>
  </si>
  <si>
    <t>普通的，平凡的</t>
  </si>
  <si>
    <t>辩护，证明无罪</t>
  </si>
  <si>
    <t>思乡病，怀旧情感</t>
  </si>
  <si>
    <t>使混淆，使困惑</t>
  </si>
  <si>
    <t>引发，触发</t>
  </si>
  <si>
    <t>否认，抵赖</t>
  </si>
  <si>
    <t>明确的，毫不含糊的</t>
  </si>
  <si>
    <t>撤销，解开</t>
  </si>
  <si>
    <t>崇拜，热爱</t>
  </si>
  <si>
    <t>解剖，详细分析</t>
  </si>
  <si>
    <t>无知的，不懂的</t>
  </si>
  <si>
    <t>搁置，搁浅</t>
  </si>
  <si>
    <t>愤怒，愤慨</t>
  </si>
  <si>
    <t>牵涉，需要</t>
  </si>
  <si>
    <t>凝结，使凝结</t>
  </si>
  <si>
    <t>不可比拟的，不可比较的</t>
  </si>
  <si>
    <t>误解，错误看法</t>
  </si>
  <si>
    <t>同意，一致</t>
  </si>
  <si>
    <t>证词，证明</t>
  </si>
  <si>
    <t>断言，肯定</t>
  </si>
  <si>
    <t>侵略性的，侵入的</t>
  </si>
  <si>
    <t>接种疫苗，使免疫</t>
  </si>
  <si>
    <t>解雇，驳回</t>
  </si>
  <si>
    <t>虚弱的，无力的</t>
  </si>
  <si>
    <t>虚张声势，假勇敢</t>
  </si>
  <si>
    <t>抵制，杯葛</t>
  </si>
  <si>
    <t>快活的，高兴的</t>
  </si>
  <si>
    <t>有同情心的，怜悯的</t>
  </si>
  <si>
    <t>不稳定的，危险的</t>
  </si>
  <si>
    <t>相当大的，重要的</t>
  </si>
  <si>
    <t>卓越的，杰出的</t>
  </si>
  <si>
    <t>宣传，宣传机构</t>
  </si>
  <si>
    <t>傲慢无礼的，粗野的</t>
  </si>
  <si>
    <t>冲动的，易冲动的</t>
  </si>
  <si>
    <t>上瘾，沉溺</t>
  </si>
  <si>
    <t>轻率的，肤浅的</t>
  </si>
  <si>
    <t>大亨，巨头</t>
  </si>
  <si>
    <t>肮脏的，卑鄙的</t>
  </si>
  <si>
    <t>引用，举证</t>
  </si>
  <si>
    <t>证实，支持</t>
  </si>
  <si>
    <t>热情的，热心的</t>
  </si>
  <si>
    <t>兼并，吞并</t>
  </si>
  <si>
    <t>过多，过剩</t>
  </si>
  <si>
    <t>驳斥，反驳</t>
  </si>
  <si>
    <t>一站式的，一揽子的</t>
  </si>
  <si>
    <t>一致，一致性</t>
  </si>
  <si>
    <t>易变的，可变的</t>
  </si>
  <si>
    <t>紧急的，急迫的</t>
  </si>
  <si>
    <t>不得体的，不适当的</t>
  </si>
  <si>
    <t>镇痛的，止痛的</t>
  </si>
  <si>
    <t>原始的，远古的</t>
  </si>
  <si>
    <t>和谈，谈判</t>
  </si>
  <si>
    <t>略读，翻阅</t>
  </si>
  <si>
    <t>辞职，放弃</t>
  </si>
  <si>
    <t>兼容的，相容的</t>
  </si>
  <si>
    <t>欺骗，诱骗</t>
  </si>
  <si>
    <t>兴奋的，热切期待的</t>
  </si>
  <si>
    <t>打折，折扣</t>
  </si>
  <si>
    <t>谜语，谜题</t>
  </si>
  <si>
    <t>砍，切割</t>
  </si>
  <si>
    <t>搅动，煽动</t>
  </si>
  <si>
    <t>深刻的，意义深远的</t>
  </si>
  <si>
    <t>阴险的</t>
  </si>
  <si>
    <t>理解，彻底了解</t>
  </si>
  <si>
    <t>强制性的，必修的</t>
  </si>
  <si>
    <t>衰老，变老</t>
  </si>
  <si>
    <t>分离，隔离</t>
  </si>
  <si>
    <t>熄灭，扑灭</t>
  </si>
  <si>
    <t>剪（羊毛等），修剪</t>
  </si>
  <si>
    <t>比喻的，象征性的</t>
  </si>
  <si>
    <t>热情洋溢的，充满活力的</t>
  </si>
  <si>
    <t>权威的，威严的</t>
  </si>
  <si>
    <t>情节夸张的，戏剧性的</t>
  </si>
  <si>
    <t>冷峻的</t>
  </si>
  <si>
    <t>呼吁，吸引</t>
  </si>
  <si>
    <t>少量，些许</t>
  </si>
  <si>
    <t>短暂的，瞬间的</t>
  </si>
  <si>
    <t>动力，势头，动量</t>
  </si>
  <si>
    <t>腐蚀，侵蚀</t>
  </si>
  <si>
    <t>颠倒，倒置</t>
  </si>
  <si>
    <t>古板的，呆板的</t>
  </si>
  <si>
    <t>惊愕，恐慌</t>
  </si>
  <si>
    <t>初步的，预备的</t>
  </si>
  <si>
    <t>世界性的，国际性的</t>
  </si>
  <si>
    <t>适于耕种的，可耕种的</t>
  </si>
  <si>
    <t>束手无策</t>
  </si>
  <si>
    <t>疑虑，担忧</t>
  </si>
  <si>
    <t>其貌不扬的</t>
  </si>
  <si>
    <t>使突然发生，促使</t>
  </si>
  <si>
    <t>支持，赞同</t>
  </si>
  <si>
    <t>陈词滥调，老生常谈</t>
  </si>
  <si>
    <t>无关紧要的</t>
  </si>
  <si>
    <t>透露真相的，泄露端倪的</t>
  </si>
  <si>
    <t>危险，隐患</t>
  </si>
  <si>
    <t>极好的，了不起的</t>
  </si>
  <si>
    <t>珍宝，宝藏</t>
  </si>
  <si>
    <t>阻塞，关闭</t>
  </si>
  <si>
    <t>证实，证明</t>
  </si>
  <si>
    <t>不知疲倦的，精力不减的</t>
  </si>
  <si>
    <t>实用的，功利主义的</t>
  </si>
  <si>
    <t>忠诚，忠实</t>
  </si>
  <si>
    <t>唯利是图的，见利忘义的</t>
  </si>
  <si>
    <t>思想相似的，志趣相投的</t>
  </si>
  <si>
    <t>伪善，虚伪</t>
  </si>
  <si>
    <t>使大吃一惊，震惊</t>
  </si>
  <si>
    <t>共识，一致</t>
  </si>
  <si>
    <t>听起来</t>
  </si>
  <si>
    <t>严谨</t>
  </si>
  <si>
    <t>散布恐慌消息的人</t>
  </si>
  <si>
    <t>以…告终</t>
  </si>
  <si>
    <t>基本的，初步的</t>
  </si>
  <si>
    <t>有秩序的，整齐的</t>
  </si>
  <si>
    <t>使无效，取消</t>
  </si>
  <si>
    <t>撤回，收回</t>
  </si>
  <si>
    <t>摘要的，概要的</t>
  </si>
  <si>
    <t>相信他人的，轻信的</t>
  </si>
  <si>
    <t>自不量力</t>
  </si>
  <si>
    <t>难住，使为难</t>
  </si>
  <si>
    <t>窒息，使窒息</t>
  </si>
  <si>
    <t>附属物，附加物</t>
  </si>
  <si>
    <t>陈腐的，陈词滥调的</t>
  </si>
  <si>
    <t>宏伟的，壮丽的</t>
  </si>
  <si>
    <t>不足的，不够的</t>
  </si>
  <si>
    <t>未受限制的，自由的</t>
  </si>
  <si>
    <t>超越，使黯然失色</t>
  </si>
  <si>
    <t>搅动，激起</t>
  </si>
  <si>
    <t>轻率的，不严肃的</t>
  </si>
  <si>
    <t>纬度，自由度</t>
  </si>
  <si>
    <t>类似的，相似的</t>
  </si>
  <si>
    <t>察觉不到的，微小的</t>
  </si>
  <si>
    <t>呼气，吐出</t>
  </si>
  <si>
    <t>观察，评论</t>
  </si>
  <si>
    <t>错综复杂的，迷宫般的</t>
  </si>
  <si>
    <t>突然倾斜，突然摇动</t>
  </si>
  <si>
    <t>诱骗，诱使</t>
  </si>
  <si>
    <t>有益的，磨练人的</t>
  </si>
  <si>
    <t>对立的，敌对的</t>
  </si>
  <si>
    <t>腐烂，衰败</t>
  </si>
  <si>
    <t>专横的，嚣张跋扈的</t>
  </si>
  <si>
    <t>脆弱的，易碎的</t>
  </si>
  <si>
    <t>废除，撤销</t>
  </si>
  <si>
    <t>不热情的，冷淡的</t>
  </si>
  <si>
    <t>令人恐惧的，可怕的</t>
  </si>
  <si>
    <t>德行，美德</t>
  </si>
  <si>
    <t>阿谀奉承的，谄媚的</t>
  </si>
  <si>
    <t>偷窃</t>
  </si>
  <si>
    <t>先驱的，开创性的</t>
  </si>
  <si>
    <t>田园的，牧羊的</t>
  </si>
  <si>
    <t>跨学科的，跨领域的</t>
  </si>
  <si>
    <t>迟钝的，愚笨的</t>
  </si>
  <si>
    <t>谦虚的，卑微的</t>
  </si>
  <si>
    <t>嘲笑，嘲弄</t>
  </si>
  <si>
    <t>绝望，失望</t>
  </si>
  <si>
    <t>赞美，颂扬</t>
  </si>
  <si>
    <t>撤退，退却</t>
  </si>
  <si>
    <t>监禁，禁闭</t>
  </si>
  <si>
    <t>警觉的，警惕的</t>
  </si>
  <si>
    <t>驱逐，排斥</t>
  </si>
  <si>
    <t>外部的，不相关的</t>
  </si>
  <si>
    <t>潜在危险的</t>
  </si>
  <si>
    <t>阐明，解释</t>
  </si>
  <si>
    <t>使康复，恢复</t>
  </si>
  <si>
    <t>和蔼可亲的，友善的</t>
  </si>
  <si>
    <t>偶尔发生的，不定期的</t>
  </si>
  <si>
    <t>冷静的，冷淡的</t>
  </si>
  <si>
    <t>随行人员，随员</t>
  </si>
  <si>
    <t>复杂的，费解的</t>
  </si>
  <si>
    <t>盛气凌人的，令人不悦的</t>
  </si>
  <si>
    <t>颠倒，逆转</t>
  </si>
  <si>
    <t>矛盾的，相互抵触的</t>
  </si>
  <si>
    <t>弄模糊，使不清晰</t>
  </si>
  <si>
    <t>阴谋，诡计</t>
  </si>
  <si>
    <t>彻头彻尾的</t>
  </si>
  <si>
    <t>门槛，临界点</t>
  </si>
  <si>
    <t>谩骂，责骂</t>
  </si>
  <si>
    <t>恶意的，恶毒的</t>
  </si>
  <si>
    <t>以前的，从前的</t>
  </si>
  <si>
    <t>适用，关于</t>
  </si>
  <si>
    <t>富有感情的，激起感情的</t>
  </si>
  <si>
    <t>隔离，使隔绝</t>
  </si>
  <si>
    <t>敌对的，敌意的</t>
  </si>
  <si>
    <t>坚固的，坚定地</t>
  </si>
  <si>
    <t>唯利是图的人</t>
  </si>
  <si>
    <t>盲目爱国主义，沙文主义</t>
  </si>
  <si>
    <t>操纵，操作</t>
  </si>
  <si>
    <t>压制，抑制</t>
  </si>
  <si>
    <t>占主导地位的，压倒性的</t>
  </si>
  <si>
    <t>危险的，背叛的</t>
  </si>
  <si>
    <t>选举权，投票权</t>
  </si>
  <si>
    <t>桂冠，荣誉</t>
  </si>
  <si>
    <t>无能的，软弱的</t>
  </si>
  <si>
    <t>多方面的，多才多艺的</t>
  </si>
  <si>
    <t>恐吓，威胁</t>
  </si>
  <si>
    <t>狭隘的，地方性的</t>
  </si>
  <si>
    <t>所有权的，专有的</t>
  </si>
  <si>
    <t>推断，推测</t>
  </si>
  <si>
    <t>使生机勃勃</t>
  </si>
  <si>
    <t>活泼的，轻快的</t>
  </si>
  <si>
    <t>无负担的，自由的</t>
  </si>
  <si>
    <t>放牧，吃草</t>
  </si>
  <si>
    <t>性情，气质</t>
  </si>
  <si>
    <t>抽象的，摘要</t>
  </si>
  <si>
    <t>默许，默许同意</t>
  </si>
  <si>
    <t>贬义的</t>
  </si>
  <si>
    <t>沉浸，浸泡</t>
  </si>
  <si>
    <t>垄断，专利</t>
  </si>
  <si>
    <t>清清楚楚的，不会弄错的</t>
  </si>
  <si>
    <t>无可挑剔的，完美的</t>
  </si>
  <si>
    <t>征服，击败</t>
  </si>
  <si>
    <t>规避，绕过</t>
  </si>
  <si>
    <t>巩固，合并</t>
  </si>
  <si>
    <t>轻而薄的，纤细的</t>
  </si>
  <si>
    <t>返祖的，原始的</t>
  </si>
  <si>
    <t>诠释</t>
  </si>
  <si>
    <t>调解的，安抚的</t>
  </si>
  <si>
    <t>杂乱的一堆</t>
  </si>
  <si>
    <t>基本的，基础的</t>
  </si>
  <si>
    <t>同化，吸收</t>
  </si>
  <si>
    <t>复活，使复苏</t>
  </si>
  <si>
    <t>缩短，删减</t>
  </si>
  <si>
    <t>复杂的，复杂化的</t>
  </si>
  <si>
    <t>方言，本地话</t>
  </si>
  <si>
    <t>垂死的，奄奄一息的</t>
  </si>
  <si>
    <t>渎职，不当行为</t>
  </si>
  <si>
    <t>给...起绰号，称为</t>
  </si>
  <si>
    <t>差异，不一致</t>
  </si>
  <si>
    <t>避开，回避</t>
  </si>
  <si>
    <t>恶名昭彰的，臭名昭著的</t>
  </si>
  <si>
    <t>渴望，热望</t>
  </si>
  <si>
    <t>司法的，法庭的</t>
  </si>
  <si>
    <t>活泼的，动人的</t>
  </si>
  <si>
    <t>有益的，有利的</t>
  </si>
  <si>
    <t>密封的，封闭的</t>
  </si>
  <si>
    <t>伪造，篡改</t>
  </si>
  <si>
    <t>聚合，合并</t>
  </si>
  <si>
    <t>自我延续的，自我永续的</t>
  </si>
  <si>
    <t>反对，抵制</t>
  </si>
  <si>
    <t>匆忙的，仓促的</t>
  </si>
  <si>
    <t>试金石，准绳</t>
  </si>
  <si>
    <t>（不能）容忍</t>
  </si>
  <si>
    <t>相反的，反义的</t>
  </si>
  <si>
    <t>难驾驭的，不服管束的</t>
  </si>
  <si>
    <t>设法获得</t>
  </si>
  <si>
    <t>盛行的，普遍的</t>
  </si>
  <si>
    <t>一丝不苟的，循规蹈矩的</t>
  </si>
  <si>
    <t>坚忍的，泰然忍受的</t>
  </si>
  <si>
    <t>多样性，差异性</t>
  </si>
  <si>
    <t>玷污，污染</t>
  </si>
  <si>
    <t>瞬间的，短暂的</t>
  </si>
  <si>
    <t>疏远，使疏离</t>
  </si>
  <si>
    <t>凶恶的，有害的</t>
  </si>
  <si>
    <t>促使，激发</t>
  </si>
  <si>
    <t>可接近的，可获得的</t>
  </si>
  <si>
    <t>异想天开的</t>
  </si>
  <si>
    <t>脆弱的，不结实的</t>
  </si>
  <si>
    <t>多产的，肥沃的</t>
  </si>
  <si>
    <t>暗示，暗指</t>
  </si>
  <si>
    <t>欺骗，虚伪</t>
  </si>
  <si>
    <t>使难堪，使羞愧</t>
  </si>
  <si>
    <t>恶性的，有害的</t>
  </si>
  <si>
    <t>深仇，怨恨</t>
  </si>
  <si>
    <t>漫不经心的，无忧无虑的</t>
  </si>
  <si>
    <t>僵局，陷入僵局</t>
  </si>
  <si>
    <t>边缘，悬崖边</t>
  </si>
  <si>
    <t>猜测，推测</t>
  </si>
  <si>
    <t>令人羡慕的，可嫉妒的</t>
  </si>
  <si>
    <t>憎恶，厌恶</t>
  </si>
  <si>
    <t>共边界的，差不多的</t>
  </si>
  <si>
    <t>无情的，冷酷的</t>
  </si>
  <si>
    <t>食欲，欲望</t>
  </si>
  <si>
    <t>浑浊的，混浊的</t>
  </si>
  <si>
    <t>围攻，困扰</t>
  </si>
  <si>
    <t>确立已久的，老牌的</t>
  </si>
  <si>
    <t>违反，侵犯</t>
  </si>
  <si>
    <t>病态的，病理的</t>
  </si>
  <si>
    <t>领先，先于</t>
  </si>
  <si>
    <t>易碎的，脆弱的</t>
  </si>
  <si>
    <t>热情的，热衷的</t>
  </si>
  <si>
    <t>拒绝，驳回</t>
  </si>
  <si>
    <t>安慰剂，心理安慰</t>
  </si>
  <si>
    <t>激进的，彻底的</t>
  </si>
  <si>
    <t>杰出人物，泰斗</t>
  </si>
  <si>
    <t>拆除，解散</t>
  </si>
  <si>
    <t>谨慎的，慎重的</t>
  </si>
  <si>
    <t>欣然，乐意</t>
  </si>
  <si>
    <t>崩溃，瓦解</t>
  </si>
  <si>
    <t>娇惯，溺爱</t>
  </si>
  <si>
    <t>闯入，侵扰</t>
  </si>
  <si>
    <t>竞争的，竞争性的</t>
  </si>
  <si>
    <t>呛，使窒息</t>
  </si>
  <si>
    <t>恳求，哀求</t>
  </si>
  <si>
    <t>经济，节约</t>
  </si>
  <si>
    <t>构成，组成</t>
  </si>
  <si>
    <t>拒绝，否认</t>
  </si>
  <si>
    <t>狂热者，狂热的</t>
  </si>
  <si>
    <t>杂食性的，兴趣广泛的</t>
  </si>
  <si>
    <t>责骂，责罚</t>
  </si>
  <si>
    <t>大修，彻底检修</t>
  </si>
  <si>
    <t>永存，使永存</t>
  </si>
  <si>
    <t>拆除，摧毁</t>
  </si>
  <si>
    <t>善变的，反复无常的</t>
  </si>
  <si>
    <t>服从，顺从</t>
  </si>
  <si>
    <t>厚颜无耻的，厚脸皮的</t>
  </si>
  <si>
    <t>新兴的，萌芽的</t>
  </si>
  <si>
    <t>借口，托辞</t>
  </si>
  <si>
    <t>邪恶的，引起灾祸的</t>
  </si>
  <si>
    <t>偏差，异常</t>
  </si>
  <si>
    <t>勤奋的，用功的</t>
  </si>
  <si>
    <t>一致的，和谐的</t>
  </si>
  <si>
    <t>使困惑，使大惑不解</t>
  </si>
  <si>
    <t>摒弃，拒绝</t>
  </si>
  <si>
    <t>骇人听闻的，公然的</t>
  </si>
  <si>
    <t>屈服，不敌</t>
  </si>
  <si>
    <t>缺陷，瑕疵</t>
  </si>
  <si>
    <t>相关的，恰当的</t>
  </si>
  <si>
    <t>复制，副本</t>
  </si>
  <si>
    <t>承担，负担</t>
  </si>
  <si>
    <t>大量，许多</t>
  </si>
  <si>
    <t>闹脾气的，爱耍性子的</t>
  </si>
  <si>
    <t>（失控）猛冲</t>
  </si>
  <si>
    <t>渗透，渗出</t>
  </si>
  <si>
    <t>维持，保持</t>
  </si>
  <si>
    <t>令人讨厌的，烦人的</t>
  </si>
  <si>
    <t>回报，回应</t>
  </si>
  <si>
    <t>消除，抹去</t>
  </si>
  <si>
    <t>多产的，丰富的</t>
  </si>
  <si>
    <t>收集，获得</t>
  </si>
  <si>
    <t>竖直的，正直的</t>
  </si>
  <si>
    <t>妥协，折中</t>
  </si>
  <si>
    <t>禁运，禁止通商</t>
  </si>
  <si>
    <t>显眼的，引人注目的</t>
  </si>
  <si>
    <t>临时的，权宜之计的</t>
  </si>
  <si>
    <t>非自愿的，不由自主的</t>
  </si>
  <si>
    <t>温和的，平和的</t>
  </si>
  <si>
    <t>永恒的，永久的</t>
  </si>
  <si>
    <t>恳请，祈求</t>
  </si>
  <si>
    <t>捐赠，基金</t>
  </si>
  <si>
    <t>正统的，传统的</t>
  </si>
  <si>
    <t>可疑的，不确定的</t>
  </si>
  <si>
    <t>严肃的，阴暗的</t>
  </si>
  <si>
    <t>装饰华丽但没有实质内容的事物，华而不实的东西</t>
  </si>
  <si>
    <t>无能的，不称职的</t>
  </si>
  <si>
    <t>多余的，冗余的</t>
  </si>
  <si>
    <t>疲倦的，厌倦的</t>
  </si>
  <si>
    <t>认为，估计</t>
  </si>
  <si>
    <t>敌意的，不友好的</t>
  </si>
  <si>
    <t>疲倦，无力</t>
  </si>
  <si>
    <t>郑重声明</t>
  </si>
  <si>
    <t>缓慢的，迟钝的</t>
  </si>
  <si>
    <t>太空的，飘渺的，超凡的</t>
  </si>
  <si>
    <t>大师，专家</t>
  </si>
  <si>
    <t>赘述，重复，累赘</t>
  </si>
  <si>
    <t>炫耀的，卖弄的</t>
  </si>
  <si>
    <t>促进，使便利</t>
  </si>
  <si>
    <t>沼泽，泥塘</t>
  </si>
  <si>
    <t>坚强的，耐寒的</t>
  </si>
  <si>
    <t>令人耳目一新的，清新的</t>
  </si>
  <si>
    <t>使衰弱，削弱</t>
  </si>
  <si>
    <t>令人生畏的，可怕的</t>
  </si>
  <si>
    <t>把...比作，将...比作</t>
  </si>
  <si>
    <t>纤细的，脆弱的，微弱的</t>
  </si>
  <si>
    <t>谨慎的，小心翼翼的</t>
  </si>
  <si>
    <t>低俗的，不道德的，品质低劣的</t>
  </si>
  <si>
    <t>避免，回避</t>
  </si>
  <si>
    <t>先入之见，偏见</t>
  </si>
  <si>
    <t>不平衡的，失去平衡的</t>
  </si>
  <si>
    <t>不苟言笑的，实际的，严肃的</t>
  </si>
  <si>
    <t>倾斜，颠覆，颠倒</t>
  </si>
  <si>
    <t>避免明确回答，含糊其辞</t>
  </si>
  <si>
    <t>登上，安装</t>
  </si>
  <si>
    <t>无意义的，毫无意义的</t>
  </si>
  <si>
    <t>典型的，最典型的</t>
  </si>
  <si>
    <t>不断烦扰，不断攻击</t>
  </si>
  <si>
    <t>编纂，整理成法典</t>
  </si>
  <si>
    <t>不受影响的，无动于衷的</t>
  </si>
  <si>
    <t>凋谢，枯萎</t>
  </si>
  <si>
    <t>重新激活，重新启动</t>
  </si>
  <si>
    <t>不安，疑虑</t>
  </si>
  <si>
    <t>坦率的，直言不讳的</t>
  </si>
  <si>
    <t>使麻痹，使瘫痪</t>
  </si>
  <si>
    <t>不言自明的，公理的</t>
  </si>
  <si>
    <t>先驱，先兆</t>
  </si>
  <si>
    <t>定制，调整</t>
  </si>
  <si>
    <t>肥胖，过胖</t>
  </si>
  <si>
    <t>使显得矮小，使相形见绌</t>
  </si>
  <si>
    <t>疯狂的，发狂的</t>
  </si>
  <si>
    <t>宣传，公布</t>
  </si>
  <si>
    <t>不妥协的，不让步的</t>
  </si>
  <si>
    <t>平凡的，乏味的</t>
  </si>
  <si>
    <t>难题，谜题</t>
  </si>
  <si>
    <t>神秘的，晦涩难解的</t>
  </si>
  <si>
    <t>全景，全貌</t>
  </si>
  <si>
    <t>合适的位置，小众市场</t>
  </si>
  <si>
    <t>大肆宣扬，鼓吹</t>
  </si>
  <si>
    <t>传染的，有感染力的</t>
  </si>
  <si>
    <t>小贩，卖主</t>
  </si>
  <si>
    <t>未察觉的，未意识到的</t>
  </si>
  <si>
    <t>特权，优惠</t>
  </si>
  <si>
    <t>顶点，极点</t>
  </si>
  <si>
    <t>理会，听从</t>
  </si>
  <si>
    <t>苛求的，要求高的</t>
  </si>
  <si>
    <t>丝毫</t>
  </si>
  <si>
    <t>亲切感</t>
  </si>
  <si>
    <t>创伤，心灵创伤</t>
  </si>
  <si>
    <t>使惊讶，使震惊，使晕倒</t>
  </si>
  <si>
    <t>开创性的，有影响的，创新的</t>
  </si>
  <si>
    <t>自大的</t>
  </si>
  <si>
    <t>公开宣称，声称，信奉</t>
  </si>
  <si>
    <t>衡量标准，尺度</t>
  </si>
  <si>
    <t>毋庸置疑的，无法攻击的</t>
  </si>
  <si>
    <t>平衡，抵消，平衡因素</t>
  </si>
  <si>
    <t>原型，雏形，典型</t>
  </si>
  <si>
    <t>附近，邻近</t>
  </si>
  <si>
    <t>速度，迅速</t>
  </si>
  <si>
    <t>伴随的</t>
  </si>
  <si>
    <t>不知所措</t>
  </si>
  <si>
    <t>无政府状态</t>
  </si>
  <si>
    <t>压制，镇压</t>
  </si>
  <si>
    <t>奇怪的，独特的</t>
  </si>
  <si>
    <t>告别，告别词</t>
  </si>
  <si>
    <t>极权主义的</t>
  </si>
  <si>
    <t>过时的，不流行的</t>
  </si>
  <si>
    <t>联系，关系</t>
  </si>
  <si>
    <t>倾倒，抛弃</t>
  </si>
  <si>
    <t>古老的，过时的</t>
  </si>
  <si>
    <t>万灵药，包治百病</t>
  </si>
  <si>
    <t>早熟的，过早发育的</t>
  </si>
  <si>
    <t>捏造，编造</t>
  </si>
  <si>
    <t>分层的，等级制的</t>
  </si>
  <si>
    <t>狡猾的，不诚实的</t>
  </si>
  <si>
    <t>公平，公正</t>
  </si>
  <si>
    <t>按顺序的</t>
  </si>
  <si>
    <t>根深蒂固的，习惯性的</t>
  </si>
  <si>
    <t>相称的，相当的</t>
  </si>
  <si>
    <t>彻底改变，变形</t>
  </si>
  <si>
    <t>升级，恶化</t>
  </si>
  <si>
    <t>超自然的，超常的</t>
  </si>
  <si>
    <t>过度紧张的，烦恼的</t>
  </si>
  <si>
    <t>杰出的，未解决的</t>
  </si>
  <si>
    <t>未来，将来</t>
  </si>
  <si>
    <t>普遍的，无处不在的</t>
  </si>
  <si>
    <t>进入，入口</t>
  </si>
  <si>
    <t>过早的，早产的</t>
  </si>
  <si>
    <t>牧师的，办公室的</t>
  </si>
  <si>
    <t>有形的，可触摸的</t>
  </si>
  <si>
    <t>致力，奉献</t>
  </si>
  <si>
    <t>巧妙的，有创意的</t>
  </si>
  <si>
    <t>有利的，赞成的</t>
  </si>
  <si>
    <t>面容，支持</t>
  </si>
  <si>
    <t>振荡，摇摆</t>
  </si>
  <si>
    <t>刺激</t>
  </si>
  <si>
    <t>无限制的，开放的</t>
  </si>
  <si>
    <t>挑起，煽动</t>
  </si>
  <si>
    <t>原始的，未受污染的</t>
  </si>
  <si>
    <t>令人沮丧的</t>
  </si>
  <si>
    <t>中断，间歇</t>
  </si>
  <si>
    <t>包罗万象的</t>
  </si>
  <si>
    <t>消除，淘汰</t>
  </si>
  <si>
    <t>直立的，建立</t>
  </si>
  <si>
    <t>繁忙的，熙熙攘攘的</t>
  </si>
  <si>
    <t>大漩涡，混乱局势</t>
  </si>
  <si>
    <t>疏忽的，玩忽职守的</t>
  </si>
  <si>
    <t>吹毛求疵，挑剔</t>
  </si>
  <si>
    <t>多余的，不必要的</t>
  </si>
  <si>
    <t>天真的，幼稚的</t>
  </si>
  <si>
    <t>兴奋，激动</t>
  </si>
  <si>
    <t>点燃，激起</t>
  </si>
  <si>
    <t>丑闻，丑事</t>
  </si>
  <si>
    <t>无过失的，准确的</t>
  </si>
  <si>
    <t>规定的，指导的</t>
  </si>
  <si>
    <t>单调的，无变化的</t>
  </si>
  <si>
    <t>鼓舞，启发</t>
  </si>
  <si>
    <t>托付，委托</t>
  </si>
  <si>
    <t>补充，重新装满</t>
  </si>
  <si>
    <t>苦恼，痛苦</t>
  </si>
  <si>
    <t>提供，奉上</t>
  </si>
  <si>
    <t>参数，限定因素</t>
  </si>
  <si>
    <t>反抗的，叛逆的</t>
  </si>
  <si>
    <t>能干的，胜任的</t>
  </si>
  <si>
    <t>实验的，试验性的</t>
  </si>
  <si>
    <t>控制，限制</t>
  </si>
  <si>
    <t>微不足道的，琐碎的</t>
  </si>
  <si>
    <t>无畏的，勇敢的</t>
  </si>
  <si>
    <t>颁布，制定法律</t>
  </si>
  <si>
    <t>聪明的，洞察力强的</t>
  </si>
  <si>
    <t>限制，束缚</t>
  </si>
  <si>
    <t>笨拙的，不灵活的</t>
  </si>
  <si>
    <t>吹毛求疵，争论细节</t>
  </si>
  <si>
    <t>提出，提议</t>
  </si>
  <si>
    <t>危及，使陷入危险</t>
  </si>
  <si>
    <t>无知的，愚昧的</t>
  </si>
  <si>
    <t>安抚，使安心</t>
  </si>
  <si>
    <t>火花，激发</t>
  </si>
  <si>
    <t>人工的，人造的</t>
  </si>
  <si>
    <t>抨击性演讲，长篇抨击性文章</t>
  </si>
  <si>
    <t>捕获，俘获</t>
  </si>
  <si>
    <t>非典型的，不寻常的</t>
  </si>
  <si>
    <t>紧急的，急需的</t>
  </si>
  <si>
    <t>裂缝，分歧</t>
  </si>
  <si>
    <t>解开束缚，释放</t>
  </si>
  <si>
    <t>范例，典范</t>
  </si>
  <si>
    <t>匆匆一瞥的，间接的</t>
  </si>
  <si>
    <t>扭曲，歪曲</t>
  </si>
  <si>
    <t>省略，遗漏</t>
  </si>
  <si>
    <t>令人眼花缭乱的</t>
  </si>
  <si>
    <t>冷静的，镇定的</t>
  </si>
  <si>
    <t>不可否认的，明显的</t>
  </si>
  <si>
    <t>冷落，怠慢</t>
  </si>
  <si>
    <t>衷心的，真挚的</t>
  </si>
  <si>
    <t>融合，合并</t>
  </si>
  <si>
    <t>食人肉，剥夺资源</t>
  </si>
  <si>
    <t>同类的，亲属</t>
  </si>
  <si>
    <t>单调乏味的</t>
  </si>
  <si>
    <t>打孔，穿透</t>
  </si>
  <si>
    <t>空前的，无可比拟的</t>
  </si>
  <si>
    <t>使瘫痪，妨碍</t>
  </si>
  <si>
    <t>细微差别，细微差异</t>
  </si>
  <si>
    <t>安全的，稳固的</t>
  </si>
  <si>
    <t>打滚，沉溺</t>
  </si>
  <si>
    <t>费力的，艰辛的</t>
  </si>
  <si>
    <t>测试的，试验的</t>
  </si>
  <si>
    <t>缄默的，不愿意谈话的</t>
  </si>
  <si>
    <t>讨好，使息怒</t>
  </si>
  <si>
    <t>短暂的，瞬时的</t>
  </si>
  <si>
    <t>鲁莽的，轻率的</t>
  </si>
  <si>
    <t>容纳，适应</t>
  </si>
  <si>
    <t>罐头的，预先录制的</t>
  </si>
  <si>
    <t>降级，贬低</t>
  </si>
  <si>
    <t>著名的，杰出的</t>
  </si>
  <si>
    <t>假名，笔名</t>
  </si>
  <si>
    <t>难以忍受的，讨厌的</t>
  </si>
  <si>
    <t>手铐，束缚</t>
  </si>
  <si>
    <t>低声哼唱，轻声细语</t>
  </si>
  <si>
    <t>冗长的，漫长的</t>
  </si>
  <si>
    <t>一次性的，可拋弃的</t>
  </si>
  <si>
    <t>假装虔诚的，道貌岸然的</t>
  </si>
  <si>
    <t>完整的，未受损的</t>
  </si>
  <si>
    <t>愚蠢的，无知的</t>
  </si>
  <si>
    <t>有进取心的，有创业精神的</t>
  </si>
  <si>
    <t>感情强烈的，恼怒的</t>
  </si>
  <si>
    <t>继任者</t>
  </si>
  <si>
    <t>跛行，一瘸一拐地走</t>
  </si>
  <si>
    <t>自封的，自称的</t>
  </si>
  <si>
    <t>浮夸的，噱头的</t>
  </si>
  <si>
    <t>混杂，混乱</t>
  </si>
  <si>
    <t>潜在的，可能的</t>
  </si>
  <si>
    <t>静止的，不活跃的</t>
  </si>
  <si>
    <t>习惯于，往往会</t>
  </si>
  <si>
    <t>无限的，无边无际的</t>
  </si>
  <si>
    <t>使慌乱，慌张</t>
  </si>
  <si>
    <t>煽动性的，叛乱的</t>
  </si>
  <si>
    <t>难以控制的，难以对付的</t>
  </si>
  <si>
    <t>成比例的，相称的</t>
  </si>
  <si>
    <t>对立面，对照</t>
  </si>
  <si>
    <t>争论，争吵</t>
  </si>
  <si>
    <t>效力，功效</t>
  </si>
  <si>
    <t>清淡的，乏味的</t>
  </si>
  <si>
    <t>头脑清醒的，冷静的</t>
  </si>
  <si>
    <t>（开局的）策略</t>
  </si>
  <si>
    <t>皱眉，不悦</t>
  </si>
  <si>
    <t>平庸的，陈腐的</t>
  </si>
  <si>
    <t>塑料的，可塑的</t>
  </si>
  <si>
    <t>潜逃，逃跑</t>
  </si>
  <si>
    <t>表示，意味着</t>
  </si>
  <si>
    <t>软弱的，无力的</t>
  </si>
  <si>
    <t>相互关联的，互相有关的</t>
  </si>
  <si>
    <t>反应敏捷的，善于应对的</t>
  </si>
  <si>
    <t>对…有冲击</t>
  </si>
  <si>
    <t>忽视，不顾</t>
  </si>
  <si>
    <t>冷漠的，无情的</t>
  </si>
  <si>
    <t>强度</t>
  </si>
  <si>
    <t>幻觉</t>
  </si>
  <si>
    <t>大量的，丰富的</t>
  </si>
  <si>
    <t>久坐的，不活动的</t>
  </si>
  <si>
    <t>过度吹嘘，过分宣扬</t>
  </si>
  <si>
    <t>引人注目的，显著的</t>
  </si>
  <si>
    <t>翻转，轻弹</t>
  </si>
  <si>
    <t>赦免，免除</t>
  </si>
  <si>
    <t>不知疲倦的，坚韧不拔的</t>
  </si>
  <si>
    <t>鲁莽的，疯狂的</t>
  </si>
  <si>
    <t>独特的，与众不同的</t>
  </si>
  <si>
    <t>持续不停的</t>
  </si>
  <si>
    <t>幽闭恐惧症，幽闭症</t>
  </si>
  <si>
    <t>庄严的，严肃的</t>
  </si>
  <si>
    <t>奢侈的，过分的</t>
  </si>
  <si>
    <t>不机智的，不圆滑的</t>
  </si>
  <si>
    <t>灵活的，柔软的</t>
  </si>
  <si>
    <t>散发，流露</t>
  </si>
  <si>
    <t>小集团的，排他的</t>
  </si>
  <si>
    <t>使有正当理由，授权</t>
  </si>
  <si>
    <t>习惯于，通常做</t>
  </si>
  <si>
    <t>搁置，待定</t>
  </si>
  <si>
    <t>哀伤的，悲伤的</t>
  </si>
  <si>
    <t>故意的，深思熟虑的</t>
  </si>
  <si>
    <t>搅拌，迅速移动</t>
  </si>
  <si>
    <t>易受影响的，易受感染的</t>
  </si>
  <si>
    <t>面无表情的，冷面的</t>
  </si>
  <si>
    <t>揭露丑闻，揭发问题</t>
  </si>
  <si>
    <t>激起，激发</t>
  </si>
  <si>
    <t>供应，条款</t>
  </si>
  <si>
    <t>干练的</t>
  </si>
  <si>
    <t>假定，假设</t>
  </si>
  <si>
    <t>极坏的，糟透的</t>
  </si>
  <si>
    <t>凶兆的，不祥的</t>
  </si>
  <si>
    <t>顽固的，执拗的</t>
  </si>
  <si>
    <t>表面的，肤浅的</t>
  </si>
  <si>
    <t>无力偿还债务的，破产的</t>
  </si>
  <si>
    <t>夸大，吹捧</t>
  </si>
  <si>
    <t>不切实际的，异想天开的</t>
  </si>
  <si>
    <t>获得，得出</t>
  </si>
  <si>
    <t>挑衅的，刺激的</t>
  </si>
  <si>
    <t>行会，协会</t>
  </si>
  <si>
    <t>闷闷不乐的，愠怒的</t>
  </si>
  <si>
    <t>必要的，不可或缺的</t>
  </si>
  <si>
    <t>备忘录，便条</t>
  </si>
  <si>
    <t>使徒，支持者</t>
  </si>
  <si>
    <t>宣布…为非法</t>
  </si>
  <si>
    <t>放弃，不再使用</t>
  </si>
  <si>
    <t>相同的，一样的</t>
  </si>
  <si>
    <t>对话者，交谈者</t>
  </si>
  <si>
    <t>本能的，凭直觉的</t>
  </si>
  <si>
    <t>本土的，土著的</t>
  </si>
  <si>
    <t>闪烁，闪耀</t>
  </si>
  <si>
    <t>打破旧习，反传统者</t>
  </si>
  <si>
    <t>倾斜</t>
  </si>
  <si>
    <t>自言自语，独白</t>
  </si>
  <si>
    <t>有力的，精力充沛的</t>
  </si>
  <si>
    <t>玷污，诽谤</t>
  </si>
  <si>
    <t>恶毒的，邪恶的</t>
  </si>
  <si>
    <t>粗略的，草率的</t>
  </si>
  <si>
    <t>致敬，欢呼</t>
  </si>
  <si>
    <t>可憎的，讨厌的</t>
  </si>
  <si>
    <t>无可置疑的，无可指摘的</t>
  </si>
  <si>
    <t>虔诚的，敬神的</t>
  </si>
  <si>
    <t>疏忽的，粗心大意的</t>
  </si>
  <si>
    <t>顶峰，巅峰</t>
  </si>
  <si>
    <t>愁苦的，悲伤的</t>
  </si>
  <si>
    <t>一针见血的，深刻的</t>
  </si>
  <si>
    <t>逃避，规避责任</t>
  </si>
  <si>
    <t>可怕的，耸人听闻的</t>
  </si>
  <si>
    <t>辛苦的，细致的</t>
  </si>
  <si>
    <t>裙带关系，任人唯亲</t>
  </si>
  <si>
    <t>动荡的，混乱的</t>
  </si>
  <si>
    <t>放弃，割让</t>
  </si>
  <si>
    <t>故障，问题</t>
  </si>
  <si>
    <t>瞬间的，即刻的</t>
  </si>
  <si>
    <t>好奇的，爱打听的</t>
  </si>
  <si>
    <t>误解，曲解</t>
  </si>
  <si>
    <t>装病，偷懒</t>
  </si>
  <si>
    <t>压倒，淹没</t>
  </si>
  <si>
    <t>顺从的，卑屈的</t>
  </si>
  <si>
    <t>害羞的，内向的</t>
  </si>
  <si>
    <t>微不足道的，无价值的</t>
  </si>
  <si>
    <t>说教的，教育的</t>
  </si>
  <si>
    <t>定期的，有规律的</t>
  </si>
  <si>
    <t>刺耳的，不和谐的</t>
  </si>
  <si>
    <t>微小的，小的</t>
  </si>
  <si>
    <t>预兆，先驱</t>
  </si>
  <si>
    <t>新兴的，出现的</t>
  </si>
  <si>
    <t>任意的，武断的</t>
  </si>
  <si>
    <t>无意的，不知情的</t>
  </si>
  <si>
    <t>倾向，癖好</t>
  </si>
  <si>
    <t>著名的，有声望的</t>
  </si>
  <si>
    <t>即兴的，无准备的</t>
  </si>
  <si>
    <t>影响…的准确性</t>
  </si>
  <si>
    <t>责骂，斥责</t>
  </si>
  <si>
    <t>冷静的，客观的</t>
  </si>
  <si>
    <t>挑剔的，苛求的</t>
  </si>
  <si>
    <t>可读的，易读的</t>
  </si>
  <si>
    <t>否定，取消</t>
  </si>
  <si>
    <t>腐蚀性的，有害的</t>
  </si>
  <si>
    <t>谦逊的，不出风头的</t>
  </si>
  <si>
    <t>洪亮的，浑厚的</t>
  </si>
  <si>
    <t>大流行的，流行病的</t>
  </si>
  <si>
    <t>足智多谋的，机智的</t>
  </si>
  <si>
    <t>雇佣兵，唯利是图的</t>
  </si>
  <si>
    <t>可怕的，恐怖的</t>
  </si>
  <si>
    <t>忧伤的，悲伤的</t>
  </si>
  <si>
    <t>无力的，无效的</t>
  </si>
  <si>
    <t>古怪的，奇特的</t>
  </si>
  <si>
    <t>友好，和蔼</t>
  </si>
  <si>
    <t>匿名的，无名的</t>
  </si>
  <si>
    <t>鸟鸣，用颤音唱</t>
  </si>
  <si>
    <t>伤感的，向往的</t>
  </si>
  <si>
    <t>抛弃，丢弃</t>
  </si>
  <si>
    <t>简洁，短暂</t>
  </si>
  <si>
    <t>赞美，荣誉</t>
  </si>
  <si>
    <t>尴尬的，笨拙的</t>
  </si>
  <si>
    <t>多变的，多才多艺的</t>
  </si>
  <si>
    <t>沉思，反刍</t>
  </si>
  <si>
    <t>褪色，凋谢</t>
  </si>
  <si>
    <t>无所不在的，普遍存在的</t>
  </si>
  <si>
    <t>强调，重点</t>
  </si>
  <si>
    <t>重要的，重大的</t>
  </si>
  <si>
    <t>取代，代替</t>
  </si>
  <si>
    <t>方面，层面</t>
  </si>
  <si>
    <t>省级的，狭隘的</t>
  </si>
  <si>
    <t>迂回曲折的陈述方式</t>
  </si>
  <si>
    <t>礼貌，文明</t>
  </si>
  <si>
    <t>虚弱的，脆弱的</t>
  </si>
  <si>
    <t>忍住，克制</t>
  </si>
  <si>
    <t>边缘的，不重要的</t>
  </si>
  <si>
    <t>获得，得到</t>
  </si>
  <si>
    <t>新词，新义词</t>
  </si>
  <si>
    <t>嘲笑，奚落</t>
  </si>
  <si>
    <t>重的，庞大的</t>
  </si>
  <si>
    <t>后来的，随后的</t>
  </si>
  <si>
    <t>有弹性的，适应力强的</t>
  </si>
  <si>
    <t>使饱足，使满足</t>
  </si>
  <si>
    <t>照亮，阐明</t>
  </si>
  <si>
    <t>道德说教的，道德主义的</t>
  </si>
  <si>
    <t>令人反感的，可憎的</t>
  </si>
  <si>
    <t>共鸣，引起共鸣</t>
  </si>
  <si>
    <t>镇压，平息</t>
  </si>
  <si>
    <t>外表吸引人的</t>
  </si>
  <si>
    <t>滑的，难以捉摸的</t>
  </si>
  <si>
    <t>天真的，朴实的</t>
  </si>
  <si>
    <t>斥责，指责</t>
  </si>
  <si>
    <t>湿透，减弱</t>
  </si>
  <si>
    <t>延长，拖延</t>
  </si>
  <si>
    <t>俏皮话，妙语</t>
  </si>
  <si>
    <t>精打细算的，未雨绸缪的</t>
  </si>
  <si>
    <t>种族的，民族的</t>
  </si>
  <si>
    <t>宜人的，令人愉快的</t>
  </si>
  <si>
    <t>轻微的，微小的</t>
  </si>
  <si>
    <t>宽敞的，舒适的</t>
  </si>
  <si>
    <t>浸透，使充满</t>
  </si>
  <si>
    <t>刚出茅庐的，新手的</t>
  </si>
  <si>
    <t>一段时间</t>
  </si>
  <si>
    <t>贫困的，贫困化的</t>
  </si>
  <si>
    <t>扭打，混战</t>
  </si>
  <si>
    <t>预兆的，前兆的</t>
  </si>
  <si>
    <t>囤积，贮藏</t>
  </si>
  <si>
    <t>颠覆，暗中破坏</t>
  </si>
  <si>
    <t>静态的，停滞的</t>
  </si>
  <si>
    <t>恐惧，不安</t>
  </si>
  <si>
    <t>难以捉摸的，难懂的</t>
  </si>
  <si>
    <t>复杂的，精密的</t>
  </si>
  <si>
    <t>讨厌的人，令人讨厌的人</t>
  </si>
  <si>
    <t>鄙视，蔑视</t>
  </si>
  <si>
    <t>额外津贴，特权</t>
  </si>
  <si>
    <t>极端主义者，激进分子</t>
  </si>
  <si>
    <t>阻碍，挫败</t>
  </si>
  <si>
    <t>至关重要的，非常重要的</t>
  </si>
  <si>
    <t>使惊讶，使吃惊</t>
  </si>
  <si>
    <t>微小的，极小的</t>
  </si>
  <si>
    <t>勇气，胆量</t>
  </si>
  <si>
    <t>挂念的</t>
  </si>
  <si>
    <t>时尚的，流行的</t>
  </si>
  <si>
    <t>严格，严谨</t>
  </si>
  <si>
    <t>遗传的，世袭的</t>
  </si>
  <si>
    <t>讥讽的，嘲笑的</t>
  </si>
  <si>
    <t>嘲讽，抨击</t>
  </si>
  <si>
    <t>品貌兼优的</t>
  </si>
  <si>
    <t>举止，表现</t>
  </si>
  <si>
    <t>短暂的，短命的</t>
  </si>
  <si>
    <t>大教堂</t>
  </si>
  <si>
    <t>剧变，动乱</t>
  </si>
  <si>
    <t>温和的，适度的</t>
  </si>
  <si>
    <t>图腾的，象征的</t>
  </si>
  <si>
    <t>降低…的重要性，淡化</t>
  </si>
  <si>
    <t>最低点，最低谷</t>
  </si>
  <si>
    <t>截短，缩短</t>
  </si>
  <si>
    <t>茂盛的，郁郁葱葱的</t>
  </si>
  <si>
    <t>典范，缩影</t>
  </si>
  <si>
    <t>不安宁的，焦躁的</t>
  </si>
  <si>
    <t>原创的，独创的</t>
  </si>
  <si>
    <t>抗议，抱怨</t>
  </si>
  <si>
    <t>有资格的，合格的</t>
  </si>
  <si>
    <t>隐藏物</t>
  </si>
  <si>
    <t>无资格的，不合格的</t>
  </si>
  <si>
    <t>缺乏自信的，胆怯的</t>
  </si>
  <si>
    <t>品味，享受</t>
  </si>
  <si>
    <t>利他的，无私的</t>
  </si>
  <si>
    <t>似是而非的，华而不实的</t>
  </si>
  <si>
    <t>决心</t>
  </si>
  <si>
    <t>反驳，证明为假</t>
  </si>
  <si>
    <t>顽固的，守旧的</t>
  </si>
  <si>
    <t>败家子</t>
  </si>
  <si>
    <t>不足的，不适当的</t>
  </si>
  <si>
    <t>油腻的，虚情假意的</t>
  </si>
  <si>
    <t>行为不当的，出格的</t>
  </si>
  <si>
    <t>贫乏的，不足的</t>
  </si>
  <si>
    <t>预后，预测</t>
  </si>
  <si>
    <t>委婉语，委婉说法</t>
  </si>
  <si>
    <t>偏斜，使转向</t>
  </si>
  <si>
    <t>厮混</t>
  </si>
  <si>
    <t>高兴，使愉快</t>
  </si>
  <si>
    <t>干涉，介入</t>
  </si>
  <si>
    <t>强大的，令人敬畏的</t>
  </si>
  <si>
    <t>精明的，谨慎的</t>
  </si>
  <si>
    <t>单一的，独特的</t>
  </si>
  <si>
    <t>She always complains and becomes more querulous.</t>
  </si>
  <si>
    <t>They prepared for the exam through rote memorization.</t>
  </si>
  <si>
    <t>He managed to contrive a clever plan.</t>
  </si>
  <si>
    <t>This book covers wide-ranging topics.</t>
  </si>
  <si>
    <t>This question really baffles me.</t>
  </si>
  <si>
    <t>This story is a political allegory.</t>
  </si>
  <si>
    <t>Her forthright nature earned her people's respect.</t>
  </si>
  <si>
    <t>He averred that it was the truth.</t>
  </si>
  <si>
    <t>This plan involves some nefarious activities.</t>
  </si>
  <si>
    <t>They're trying to proselytize more people into believers.</t>
  </si>
  <si>
    <t>She resented his unfair treatment.</t>
  </si>
  <si>
    <t>This new technology can enhance production efficiency.</t>
  </si>
  <si>
    <t>His views were seen as heresy.</t>
  </si>
  <si>
    <t>Her smile was spontaneous.</t>
  </si>
  <si>
    <t>His response was very impersonal.</t>
  </si>
  <si>
    <t>She is an exceptional athlete.</t>
  </si>
  <si>
    <t>It was a tempestuous night.</t>
  </si>
  <si>
    <t>She's a finicky consumer.</t>
  </si>
  <si>
    <t>He amassed a vast fortune in his lifetime.</t>
  </si>
  <si>
    <t>He doesn't like it when others patronize him.</t>
  </si>
  <si>
    <t>They successfully averted a crisis.</t>
  </si>
  <si>
    <t>The news harrowed her heart.</t>
  </si>
  <si>
    <t>They are compiling a report.</t>
  </si>
  <si>
    <t>This event has been ritualized for years.</t>
  </si>
  <si>
    <t>Monkeys are arboreal animals.</t>
  </si>
  <si>
    <t>This movie is a social satire.</t>
  </si>
  <si>
    <t>She made the decision of her own volition.</t>
  </si>
  <si>
    <t>She has an innate musical talent.</t>
  </si>
  <si>
    <t>They gave a complimentary gift.</t>
  </si>
  <si>
    <t>She loathes that arrogant person.</t>
  </si>
  <si>
    <t>This is an exhaustive research report.</t>
  </si>
  <si>
    <t>The story has a poignant ending.</t>
  </si>
  <si>
    <t>Her singing captivated the audience.</t>
  </si>
  <si>
    <t>He donned a splendid outfit.</t>
  </si>
  <si>
    <t>She adapted to the new social milieu.</t>
  </si>
  <si>
    <t>The event portended ominous signs.</t>
  </si>
  <si>
    <t>She follows a strict health regimen.</t>
  </si>
  <si>
    <t>This plan looks very haphazard.</t>
  </si>
  <si>
    <t>His words sounded very vacuous.</t>
  </si>
  <si>
    <t>External forces are influencing the country.</t>
  </si>
  <si>
    <t>This dog is very tractable and easy to train.</t>
  </si>
  <si>
    <t>This machine is ponderous and hard to move.</t>
  </si>
  <si>
    <t>This regulation precludes illegal activities.</t>
  </si>
  <si>
    <t>They valorized the hero's actions.</t>
  </si>
  <si>
    <t>He pledged allegiance to the flag and country.</t>
  </si>
  <si>
    <t>The court condemned his criminal actions.</t>
  </si>
  <si>
    <t>He won't forsake his family.</t>
  </si>
  <si>
    <t>The price is unconscionably high.</t>
  </si>
  <si>
    <t>They carried out simultaneous actions.</t>
  </si>
  <si>
    <t>This issue has become our millstone.</t>
  </si>
  <si>
    <t>This tradition is sacrosanct to them.</t>
  </si>
  <si>
    <t>He tried to restrain his anger.</t>
  </si>
  <si>
    <t>This issue has sparked divisive discussions in society.</t>
  </si>
  <si>
    <t>This investment was an ill-advised decision.</t>
  </si>
  <si>
    <t>This flower has beautiful aments.</t>
  </si>
  <si>
    <t>That move displayed masculine strength.</t>
  </si>
  <si>
    <t>This is our routine work.</t>
  </si>
  <si>
    <t>His furtive behavior raised suspicion.</t>
  </si>
  <si>
    <t>This news is depressing.</t>
  </si>
  <si>
    <t>His comments are always trenchant and to the point.</t>
  </si>
  <si>
    <t>He has to confront his fears.</t>
  </si>
  <si>
    <t>Stock prices often fluctuate.</t>
  </si>
  <si>
    <t>This discovery was purely serendipitous.</t>
  </si>
  <si>
    <t>His criticism is indiscriminate.</t>
  </si>
  <si>
    <t>He began to bristle upon hearing the comment.</t>
  </si>
  <si>
    <t>The onset of the illness can be sudden.</t>
  </si>
  <si>
    <t>This is a cardinal principle for solving the problem.</t>
  </si>
  <si>
    <t>His actions were the inadvertent result.</t>
  </si>
  <si>
    <t>The court will prosecute this case.</t>
  </si>
  <si>
    <t>He is very deferential to elders.</t>
  </si>
  <si>
    <t>This is an important occasion.</t>
  </si>
  <si>
    <t>His interests are a bit morbid.</t>
  </si>
  <si>
    <t>Her speech was very scintillating.</t>
  </si>
  <si>
    <t>The concert was a medley of different musical styles.</t>
  </si>
  <si>
    <t>His attitude is passive.</t>
  </si>
  <si>
    <t>Anxious emotions can inhibit thinking.</t>
  </si>
  <si>
    <t>She always tries to outdo her own performance.</t>
  </si>
  <si>
    <t>This issue has polarized public opinion.</t>
  </si>
  <si>
    <t>This disjunction led to the termination of the partnership.</t>
  </si>
  <si>
    <t>His behavior was considered indecorous.</t>
  </si>
  <si>
    <t>The government plans to abolish this law.</t>
  </si>
  <si>
    <t>His success was a great triumph.</t>
  </si>
  <si>
    <t>This contract term is negotiable.</t>
  </si>
  <si>
    <t>We can only make an educated conjecture.</t>
  </si>
  <si>
    <t>They must adhere to the rules.</t>
  </si>
  <si>
    <t>The fire was a major calamity.</t>
  </si>
  <si>
    <t>His nonchalant attitude is off-putting.</t>
  </si>
  <si>
    <t>They had to forage for food.</t>
  </si>
  <si>
    <t>These commodities are fungible.</t>
  </si>
  <si>
    <t>He was charged with abetting the crime.</t>
  </si>
  <si>
    <t>The victory brought a sense of euphoria.</t>
  </si>
  <si>
    <t>This process will atomize the substance.</t>
  </si>
  <si>
    <t>The court decided to rescind that decree.</t>
  </si>
  <si>
    <t>He is considered a renegade of the party.</t>
  </si>
  <si>
    <t>He brought a lot of camping paraphernalia.</t>
  </si>
  <si>
    <t>She disdained his advice.</t>
  </si>
  <si>
    <t>The construction project encroached on the park's territory.</t>
  </si>
  <si>
    <t>His good deeds ennoble his reputation.</t>
  </si>
  <si>
    <t>The stock price plummeted.</t>
  </si>
  <si>
    <t>His answer was very ambiguous.</t>
  </si>
  <si>
    <t>He tried to blandish her into signing the contract.</t>
  </si>
  <si>
    <t>This criminal group is a menace to society.</t>
  </si>
  <si>
    <t>He staggered under the influence of alcohol.</t>
  </si>
  <si>
    <t>This health plan has a robust support base.</t>
  </si>
  <si>
    <t>Her confidence oozed out.</t>
  </si>
  <si>
    <t>This city has a rich antiquity.</t>
  </si>
  <si>
    <t>These two organisms have a symbiotic relationship.</t>
  </si>
  <si>
    <t>This song can energize your mood.</t>
  </si>
  <si>
    <t>This is an occult society.</t>
  </si>
  <si>
    <t>These comestibles are fresh.</t>
  </si>
  <si>
    <t>They need to embed the images into the document.</t>
  </si>
  <si>
    <t>He is the guardian of the children.</t>
  </si>
  <si>
    <t>This project is his brainchild.</t>
  </si>
  <si>
    <t>He nodded in assent.</t>
  </si>
  <si>
    <t>She lives vicariously through other people's experiences.</t>
  </si>
  <si>
    <t>He is a ruthless businessman.</t>
  </si>
  <si>
    <t>This medication is very potent.</t>
  </si>
  <si>
    <t>She remained calm and poised during the crisis.</t>
  </si>
  <si>
    <t>They tried to vilify his reputation.</t>
  </si>
  <si>
    <t>He eventually acceded to my request.</t>
  </si>
  <si>
    <t>This artwork embodies the artist's ideas.</t>
  </si>
  <si>
    <t>This city is a bulwark of the nation.</t>
  </si>
  <si>
    <t>His behavior disgruntled the employees.</t>
  </si>
  <si>
    <t>The crowd began to disperse.</t>
  </si>
  <si>
    <t>He is my subordinate.</t>
  </si>
  <si>
    <t>He knows nothing about art; he's a philistine.</t>
  </si>
  <si>
    <t>She is a nonconformist artist.</t>
  </si>
  <si>
    <t>The skullduggery scheme was exposed.</t>
  </si>
  <si>
    <t>This is an exclusive club.</t>
  </si>
  <si>
    <t>We need to monitor the situation.</t>
  </si>
  <si>
    <t>It was helter-skelter when they left.</t>
  </si>
  <si>
    <t>That move was considered impolitic.</t>
  </si>
  <si>
    <t>He displayed a contumacious attitude.</t>
  </si>
  <si>
    <t>This issue is very obscure and hard to understand.</t>
  </si>
  <si>
    <t>The court exonerated the defendant.</t>
  </si>
  <si>
    <t>His efforts are unceasing.</t>
  </si>
  <si>
    <t>I can't envisage this plan failing.</t>
  </si>
  <si>
    <t>These artifacts showcase ancient culture.</t>
  </si>
  <si>
    <t>This is our last-ditch effort.</t>
  </si>
  <si>
    <t>These two lines are perpendicular.</t>
  </si>
  <si>
    <t>She is a surrogate mother to the children.</t>
  </si>
  <si>
    <t>The stars coruscate in the night sky.</t>
  </si>
  <si>
    <t>She experienced boundless ecstasy.</t>
  </si>
  <si>
    <t>He has a catholic interest in various types of music.</t>
  </si>
  <si>
    <t>He tried to mask his true emotions.</t>
  </si>
  <si>
    <t>We need a definite answer.</t>
  </si>
  <si>
    <t>Her speech was very eloquent.</t>
  </si>
  <si>
    <t>He can deduce the correct conclusion.</t>
  </si>
  <si>
    <t>We all esteem his professional ethics.</t>
  </si>
  <si>
    <t>The joke is a bit bathetic.</t>
  </si>
  <si>
    <t>He needs some time to ponder the issue.</t>
  </si>
  <si>
    <t>He showed unflinching courage.</t>
  </si>
  <si>
    <t>This city has a mixed culture.</t>
  </si>
  <si>
    <t>He has a strong conviction.</t>
  </si>
  <si>
    <t>the vagaries of the weather</t>
  </si>
  <si>
    <t>apropos what you were just saying</t>
  </si>
  <si>
    <t>Her courage is admirable.</t>
  </si>
  <si>
    <t>They are a literary coterie.</t>
  </si>
  <si>
    <t>Coral reefs are formed as coral organisms accrete.</t>
  </si>
  <si>
    <t>There is discordance between these two sounds.</t>
  </si>
  <si>
    <t>unless anything untoward happens</t>
  </si>
  <si>
    <t>This phenomenon is explicable.</t>
  </si>
  <si>
    <t>This island has a rich avian population.</t>
  </si>
  <si>
    <t>What is true for TV broadcasts will perforce also apply to print media</t>
  </si>
  <si>
    <t>This issue has a dichotomous divide.</t>
  </si>
  <si>
    <t>Music can enliven the atmosphere.</t>
  </si>
  <si>
    <t>He tried to stanch the flow of blood.</t>
  </si>
  <si>
    <t>This song is a paean to peace.</t>
  </si>
  <si>
    <t>Robbery is a felony.</t>
  </si>
  <si>
    <t>He was exiled abroad for political reasons.</t>
  </si>
  <si>
    <t>His impudent behavior is off-putting.</t>
  </si>
  <si>
    <t>He drank a glass of cold water to quench his thirst.</t>
  </si>
  <si>
    <t>Birds roost in the trees.</t>
  </si>
  <si>
    <t>The battery needs to discharge energy.</t>
  </si>
  <si>
    <t>He is an apprentice electrician.</t>
  </si>
  <si>
    <t>He is a true daredevil.</t>
  </si>
  <si>
    <t>He has always been a stalwart supporter of the company.</t>
  </si>
  <si>
    <t>That joke is too hackneyed.</t>
  </si>
  <si>
    <t>These two teams will merge and meld their resources.</t>
  </si>
  <si>
    <t>He didn't flinch and faced the challenge head-on.</t>
  </si>
  <si>
    <t>This plan incorporates the latest technology.</t>
  </si>
  <si>
    <t>The abandoned building has become an eyesore in the city.</t>
  </si>
  <si>
    <t>This report is very concise.</t>
  </si>
  <si>
    <t>His work received the approbation of the leadership.</t>
  </si>
  <si>
    <t>She felt great chagrin at her failure.</t>
  </si>
  <si>
    <t>This is a fraudulent operation.</t>
  </si>
  <si>
    <t>He is a captious critic.</t>
  </si>
  <si>
    <t>His behavior reflects his callowness.</t>
  </si>
  <si>
    <t>The storm is gradually abating.</t>
  </si>
  <si>
    <t>She rebuffed his marriage proposal.</t>
  </si>
  <si>
    <t>His response was clearly studied.</t>
  </si>
  <si>
    <t>He's an invertebrate with no backbone.</t>
  </si>
  <si>
    <t>This exhibition is impermanent, lasting only a month.</t>
  </si>
  <si>
    <t>He execrated the criminal.</t>
  </si>
  <si>
    <t>He was designated as the team captain.</t>
  </si>
  <si>
    <t>the tears of lachrymose mourners</t>
  </si>
  <si>
    <t>This task is very burdensome.</t>
  </si>
  <si>
    <t>Bathing can be a restorative activity.</t>
  </si>
  <si>
    <t>A volcano can disgorge lava after erupting.</t>
  </si>
  <si>
    <t>The atmosphere in the room is somnolent.</t>
  </si>
  <si>
    <t>The church has a beautiful vault.</t>
  </si>
  <si>
    <t>They make collective decisions.</t>
  </si>
  <si>
    <t>They gleaned information from various sources.</t>
  </si>
  <si>
    <t>This is a commonplace event.</t>
  </si>
  <si>
    <t>He plays a substantial role in the company.</t>
  </si>
  <si>
    <t>He longs for more freedom.</t>
  </si>
  <si>
    <t>This is an innovative design.</t>
  </si>
  <si>
    <t>She is a sociable person.</t>
  </si>
  <si>
    <t>We have a tacit agreement.</t>
  </si>
  <si>
    <t>This building is gigantic.</t>
  </si>
  <si>
    <t>She can't apprehend this complex theory.</t>
  </si>
  <si>
    <t>This plan has some obvious shortcomings.</t>
  </si>
  <si>
    <t>Power was devolved to local government.</t>
  </si>
  <si>
    <t>This case can be used to instantiate the theory.</t>
  </si>
  <si>
    <t>The plane entered a spiral ascent.</t>
  </si>
  <si>
    <t>He seemed unusually snappish today.</t>
  </si>
  <si>
    <t>We need to be prepared for various scenarios.</t>
  </si>
  <si>
    <t>This music is soporific.</t>
  </si>
  <si>
    <t>Many people decry this decision.</t>
  </si>
  <si>
    <t>His explanation was very perspicuous.</t>
  </si>
  <si>
    <t>The movie has a deep subtext.</t>
  </si>
  <si>
    <t>He won the support of the majority of the electorate.</t>
  </si>
  <si>
    <t>He has extensive craft experience.</t>
  </si>
  <si>
    <t>His actions were driven by expediency.</t>
  </si>
  <si>
    <t>We need to establish a counterforce.</t>
  </si>
  <si>
    <t>He needs some time to acclimate to the new environment.</t>
  </si>
  <si>
    <t>The difference is pronounced.</t>
  </si>
  <si>
    <t>He is an eminent scientist.</t>
  </si>
  <si>
    <t>This park is a sanctuary for wildlife.</t>
  </si>
  <si>
    <t>This diet fad might go out of style soon.</t>
  </si>
  <si>
    <t>This is a pedestrian neighborhood.</t>
  </si>
  <si>
    <t>This topic is highly contentious.</t>
  </si>
  <si>
    <t>This plan needs time to incubate.</t>
  </si>
  <si>
    <t>They are the vanguard of technology.</t>
  </si>
  <si>
    <t>This new law is a boon for businesses.</t>
  </si>
  <si>
    <t>She is skillful and dexterous with her hands.</t>
  </si>
  <si>
    <t>His work attitude is very lackadaisical.</t>
  </si>
  <si>
    <t>His behavior is very erratic.</t>
  </si>
  <si>
    <t>This argument is nugatory.</t>
  </si>
  <si>
    <t>Creation is an inherent instinct of artists.</t>
  </si>
  <si>
    <t>He had the temerity to make that decision.</t>
  </si>
  <si>
    <t>The government's bureaucracy slows down decision-making.</t>
  </si>
  <si>
    <t>He has an unorthodox belief.</t>
  </si>
  <si>
    <t>Please don't meddle in other people's affairs.</t>
  </si>
  <si>
    <t>This hint betokens bad news.</t>
  </si>
  <si>
    <t>She is a proficient pianist.</t>
  </si>
  <si>
    <t>His decisions are myopic.</t>
  </si>
  <si>
    <t>These two stories interweave with each other.</t>
  </si>
  <si>
    <t>This snowstorm is unprecedented.</t>
  </si>
  <si>
    <t>The advent of the internet has changed our lives.</t>
  </si>
  <si>
    <t>My dream finally materialized.</t>
  </si>
  <si>
    <t>They shouldn't overlook this issue.</t>
  </si>
  <si>
    <t>Her throat felt constricted.</t>
  </si>
  <si>
    <t>This beverage is a tonic.</t>
  </si>
  <si>
    <t>This is a convivial gathering.</t>
  </si>
  <si>
    <t>They need to authenticate this document.</t>
  </si>
  <si>
    <t>We need to implement this plan.</t>
  </si>
  <si>
    <t>This is a run-of-the-mill product.</t>
  </si>
  <si>
    <t>This story is an archetypical fairy tale.</t>
  </si>
  <si>
    <t>This country has full autonomy.</t>
  </si>
  <si>
    <t>The company decided to retrench expenses.</t>
  </si>
  <si>
    <t>A bonus is an incentive.</t>
  </si>
  <si>
    <t>He is a purveyor of high-quality food.</t>
  </si>
  <si>
    <t>He has latent artistic talent.</t>
  </si>
  <si>
    <t>They need to cooperate to solve this problem.</t>
  </si>
  <si>
    <t>These children are very unruly.</t>
  </si>
  <si>
    <t>This job is a plodding task.</t>
  </si>
  <si>
    <t>There's a musty smell in this room.</t>
  </si>
  <si>
    <t>This moment is a defining one.</t>
  </si>
  <si>
    <t>This donation can offset the costs.</t>
  </si>
  <si>
    <t>This gas is noxious.</t>
  </si>
  <si>
    <t>Good times are evanescent.</t>
  </si>
  <si>
    <t>This substance is inert.</t>
  </si>
  <si>
    <t>Youth is transitory.</t>
  </si>
  <si>
    <t>This country has a bellicose foreign policy.</t>
  </si>
  <si>
    <t>This castle is a family patrimony.</t>
  </si>
  <si>
    <t>This house looks ramshackle.</t>
  </si>
  <si>
    <t>This movie is vapid.</t>
  </si>
  <si>
    <t>His humility is impressive.</t>
  </si>
  <si>
    <t>We need to eradicate the disease.</t>
  </si>
  <si>
    <t>His speech became increasingly discursive.</t>
  </si>
  <si>
    <t>They enjoy unfettered freedom.</t>
  </si>
  <si>
    <t>Pollution is anathema to environmentalists.</t>
  </si>
  <si>
    <t>His behavior is very vulgar.</t>
  </si>
  <si>
    <t>She is very prominent in the industry.</t>
  </si>
  <si>
    <t>His invective hurt many people.</t>
  </si>
  <si>
    <t>This material is very pliable.</t>
  </si>
  <si>
    <t>They eulogized his heroic actions.</t>
  </si>
  <si>
    <t>There is a deep kinship between them.</t>
  </si>
  <si>
    <t>He's a martinet educator.</t>
  </si>
  <si>
    <t>He's always wary and doesn't trust easily.</t>
  </si>
  <si>
    <t>She's a savvy investor.</t>
  </si>
  <si>
    <t>The meeting room was in pandemonium.</t>
  </si>
  <si>
    <t>His actions discredited his reputation.</t>
  </si>
  <si>
    <t>He needs to improvise a speech.</t>
  </si>
  <si>
    <t>There are some wanting aspects of this plan.</t>
  </si>
  <si>
    <t>He panned the performance of the movie.</t>
  </si>
  <si>
    <t>This plan is very vague and lacks specifics.</t>
  </si>
  <si>
    <t>The factory emitted effluvium that polluted the environment.</t>
  </si>
  <si>
    <t>His hair is always unkempt.</t>
  </si>
  <si>
    <t>This stone has been abraded by the river for centuries.</t>
  </si>
  <si>
    <t>The soothsayer predicted the future.</t>
  </si>
  <si>
    <t>Her performance style is very theatrical.</t>
  </si>
  <si>
    <t>We're old friends, but not very close acquaintances.</t>
  </si>
  <si>
    <t>This flag is our national flag.</t>
  </si>
  <si>
    <t>Smoking has deleterious effects on health.</t>
  </si>
  <si>
    <t>This task is a cinch for him.</t>
  </si>
  <si>
    <t>Our superiors countermanded our plans.</t>
  </si>
  <si>
    <t>He has a strong aversion to cockroaches.</t>
  </si>
  <si>
    <t>The government is trying to suppress the rebellion.</t>
  </si>
  <si>
    <t>This plan is a patchwork.</t>
  </si>
  <si>
    <t>He accidentally wrenched his back.</t>
  </si>
  <si>
    <t>The information is diffused widely.</t>
  </si>
  <si>
    <t>This fact is indubitable.</t>
  </si>
  <si>
    <t>The children sit in the rear of the car.</t>
  </si>
  <si>
    <t>His actions are self-serving.</t>
  </si>
  <si>
    <t>He obtained a driver's license.</t>
  </si>
  <si>
    <t>Her astringent words had their effect.</t>
  </si>
  <si>
    <t>He is very dogmatic about this issue.</t>
  </si>
  <si>
    <t>Music and dance can intoxicate the soul.</t>
  </si>
  <si>
    <t>He's an apt student, quick to learn.</t>
  </si>
  <si>
    <t>She is a taekwondo champion.</t>
  </si>
  <si>
    <t>This person is an imposter, not a real doctor.</t>
  </si>
  <si>
    <t>He appears a bit gawky in social situations.</t>
  </si>
  <si>
    <t>They embraced each other at the airport.</t>
  </si>
  <si>
    <t>This decision may engender more controversy.</t>
  </si>
  <si>
    <t>The boss is very exacting with the employees.</t>
  </si>
  <si>
    <t>He attempted to sabotage the progress of the project.</t>
  </si>
  <si>
    <t>She has been coveting her friend's new car.</t>
  </si>
  <si>
    <t>The daily drudgery can be tiring at times.</t>
  </si>
  <si>
    <t>a tortuous five days of fitness training</t>
  </si>
  <si>
    <t>The design of this building is unique.</t>
  </si>
  <si>
    <t>It's a tumultuous meeting.</t>
  </si>
  <si>
    <t>This company is responsible for product distribution.</t>
  </si>
  <si>
    <t>He was forced to surrender to the enemy.</t>
  </si>
  <si>
    <t>He got caught in a shopping frenzy.</t>
  </si>
  <si>
    <t>They walked down the street abreast.</t>
  </si>
  <si>
    <t>He won't let anything balk his plans.</t>
  </si>
  <si>
    <t>He tried to expunge this mistake.</t>
  </si>
  <si>
    <t>He is a parsimonious millionaire.</t>
  </si>
  <si>
    <t>They need to employ more staff.</t>
  </si>
  <si>
    <t>Our families are close; we live in proximity.</t>
  </si>
  <si>
    <t>His attitude is very truculent.</t>
  </si>
  <si>
    <t>He is a virtuoso pianist.</t>
  </si>
  <si>
    <t>They should not mishandle animals.</t>
  </si>
  <si>
    <t>They often invoke quotes from that author.</t>
  </si>
  <si>
    <t>This movie is a bit mawkish.</t>
  </si>
  <si>
    <t>The media often demonizes certain politicians.</t>
  </si>
  <si>
    <t>Success experiences can embolden others to try new things.</t>
  </si>
  <si>
    <t>This issue has caused me great vexation.</t>
  </si>
  <si>
    <t>He has a compelling story.</t>
  </si>
  <si>
    <t>Honor and loyalty are his honor.</t>
  </si>
  <si>
    <t>The group decided to take breakaway action.</t>
  </si>
  <si>
    <t>We must foresee future challenges.</t>
  </si>
  <si>
    <t>There is strong support underpinning the foundation to keep the structure stable.</t>
  </si>
  <si>
    <t>Her attitude always irritates him.</t>
  </si>
  <si>
    <t>This music can attune my emotions.</t>
  </si>
  <si>
    <t>Change is inevitable.</t>
  </si>
  <si>
    <t>His lifestyle is very spartan.</t>
  </si>
  <si>
    <t>Please use compress to reduce the file size.</t>
  </si>
  <si>
    <t>These findings antedate previous research.</t>
  </si>
  <si>
    <t>The economy of this country is primarily agrarian.</t>
  </si>
  <si>
    <t>This resource is available now.</t>
  </si>
  <si>
    <t>We want to commiserate with the families of the victims.</t>
  </si>
  <si>
    <t>Success will gratify their efforts.</t>
  </si>
  <si>
    <t>They christened the new ship.</t>
  </si>
  <si>
    <t>We reveled in the celebration.</t>
  </si>
  <si>
    <t>Leave forthwith!</t>
  </si>
  <si>
    <t>This task is very onerous.</t>
  </si>
  <si>
    <t>They need to annotate this document.</t>
  </si>
  <si>
    <t>His achievements are prodigious.</t>
  </si>
  <si>
    <t>They tried to block our plan.</t>
  </si>
  <si>
    <t>Please proofread this article.</t>
  </si>
  <si>
    <t>They fell into panic.</t>
  </si>
  <si>
    <t>If they attack us, we will retaliate.</t>
  </si>
  <si>
    <t>He acted very gallant.</t>
  </si>
  <si>
    <t>This food will suffice for our dinner.</t>
  </si>
  <si>
    <t>He's trying to reinvent his career.</t>
  </si>
  <si>
    <t>Her words assuaged his guilt.</t>
  </si>
  <si>
    <t>He has always been a staunch supporter of mine.</t>
  </si>
  <si>
    <t>They found themselves in a predicament.</t>
  </si>
  <si>
    <t>He swore to forswear smoking.</t>
  </si>
  <si>
    <t>Her beauty is peerless.</t>
  </si>
  <si>
    <t>These signs may prefigure larger issues.</t>
  </si>
  <si>
    <t>It was a fatal accident.</t>
  </si>
  <si>
    <t>This market is very volatile.</t>
  </si>
  <si>
    <t>Her voice is very tender.</t>
  </si>
  <si>
    <t>The disease decimated the population of the village.</t>
  </si>
  <si>
    <t>He is an avaricious businessman.</t>
  </si>
  <si>
    <t>He lives a frugal life.</t>
  </si>
  <si>
    <t>This issue is beyond my purview.</t>
  </si>
  <si>
    <t>He tried to humiliate her.</t>
  </si>
  <si>
    <t>She remained composed during the crisis.</t>
  </si>
  <si>
    <t>His attitude is very brusque.</t>
  </si>
  <si>
    <t>There is a great sense of collegiality in this workplace.</t>
  </si>
  <si>
    <t>The illness enfeebled his body.</t>
  </si>
  <si>
    <t>She evinced great interest.</t>
  </si>
  <si>
    <t>Their life is filled with quotidian affairs.</t>
  </si>
  <si>
    <t>This decision will have wide-ranging ramifications.</t>
  </si>
  <si>
    <t>That child is very wayward.</t>
  </si>
  <si>
    <t>His career reached its zenith.</t>
  </si>
  <si>
    <t>He always makes facetious remarks.</t>
  </si>
  <si>
    <t>This policy will undercut labor rights.</t>
  </si>
  <si>
    <t>The city is a byword for modernity.</t>
  </si>
  <si>
    <t>He tried to defame her reputation.</t>
  </si>
  <si>
    <t>She has rosy expectations for the future.</t>
  </si>
  <si>
    <t>We should accept different viewpoints.</t>
  </si>
  <si>
    <t>This mystery is hard to unravel.</t>
  </si>
  <si>
    <t>He gave us an approximate number.</t>
  </si>
  <si>
    <t>She told an interesting anecdote.</t>
  </si>
  <si>
    <t>The beautiful scenery lured tourists.</t>
  </si>
  <si>
    <t>Anthropocentrism is a worldview.</t>
  </si>
  <si>
    <t>This religion has specific creed.</t>
  </si>
  <si>
    <t>He was a onetime famous actor.</t>
  </si>
  <si>
    <t>He received commendation.</t>
  </si>
  <si>
    <t>Please use a filter to purify the water.</t>
  </si>
  <si>
    <t>This torpor prevented him from taking action.</t>
  </si>
  <si>
    <t>There is condensation on the soda bottle.</t>
  </si>
  <si>
    <t>This viewpoint is erroneous.</t>
  </si>
  <si>
    <t>I greatly appreciate your assistance.</t>
  </si>
  <si>
    <t>He exerted a great effort to wrest the victory.</t>
  </si>
  <si>
    <t>The social movement began to ebb.</t>
  </si>
  <si>
    <t>They shouldn't ridicule the weak.</t>
  </si>
  <si>
    <t>Thousands of pilgrims came to visit.</t>
  </si>
  <si>
    <t>Her new car is very sleek.</t>
  </si>
  <si>
    <t>The runners jockeyed for position at the start.</t>
  </si>
  <si>
    <t>He is an august leader.</t>
  </si>
  <si>
    <t>The storm finally subsided.</t>
  </si>
  <si>
    <t>He shouldn't impute this mistake to the United Nations.</t>
  </si>
  <si>
    <t>He used guile to deceive for money.</t>
  </si>
  <si>
    <t>This clothing is too loose.</t>
  </si>
  <si>
    <t>This show is very jejune.</t>
  </si>
  <si>
    <t>His behavior is full of egotism.</t>
  </si>
  <si>
    <t>In this region, starvation is common.</t>
  </si>
  <si>
    <t>The reserve funds are dwindling.</t>
  </si>
  <si>
    <t>His suspicion is groundless.</t>
  </si>
  <si>
    <t>The resemblance between them is striking.</t>
  </si>
  <si>
    <t>His voice sounds very strident.</t>
  </si>
  <si>
    <t>He is very defiant of the rules.</t>
  </si>
  <si>
    <t>Simplicity is a virtue.</t>
  </si>
  <si>
    <t>They stripped him of his power.</t>
  </si>
  <si>
    <t>The importance of this issue needs to be underscored.</t>
  </si>
  <si>
    <t>This change is dramatic.</t>
  </si>
  <si>
    <t>He holds deep reverence for his teacher.</t>
  </si>
  <si>
    <t>He tried to concoct a lie to cover up the truth.</t>
  </si>
  <si>
    <t>Too many regulations can encumber the production process.</t>
  </si>
  <si>
    <t>His achievements are phenomenal.</t>
  </si>
  <si>
    <t>She has a very glamorous appearance.</t>
  </si>
  <si>
    <t>He is prone to making mistakes.</t>
  </si>
  <si>
    <t>He cannot gainsay this fact.</t>
  </si>
  <si>
    <t>This weather feels gloomy.</t>
  </si>
  <si>
    <t>This country imports a significant amount of oil.</t>
  </si>
  <si>
    <t>Establishing camaraderie at work is important.</t>
  </si>
  <si>
    <t>They have copious information.</t>
  </si>
  <si>
    <t>He was forced to recant his statement.</t>
  </si>
  <si>
    <t>Their victory sparked jubilation.</t>
  </si>
  <si>
    <t>This rock is very porous.</t>
  </si>
  <si>
    <t>This movie is a bit preachy.</t>
  </si>
  <si>
    <t>This plant is carnivorous.</t>
  </si>
  <si>
    <t>Beneath the cloudy sky lies a majestic mountain range.</t>
  </si>
  <si>
    <t>Their salary sees an increment every year.</t>
  </si>
  <si>
    <t>This place is considered sacred and hallowed.</t>
  </si>
  <si>
    <t>The party is very congenial.</t>
  </si>
  <si>
    <t>They are trying to surmount the challenges.</t>
  </si>
  <si>
    <t>This is a realm of scientific research.</t>
  </si>
  <si>
    <t>His attitude is very off-putting.</t>
  </si>
  <si>
    <t>Everything went awry.</t>
  </si>
  <si>
    <t>The fire disorganized the entire community.</t>
  </si>
  <si>
    <t>This plan fell into disarray.</t>
  </si>
  <si>
    <t>His response was very measured.</t>
  </si>
  <si>
    <t>His accusations are baseless.</t>
  </si>
  <si>
    <t>They altercated for a long time.</t>
  </si>
  <si>
    <t>The recrudescent possibility of the disease is worrisome.</t>
  </si>
  <si>
    <t>The tire got punctured.</t>
  </si>
  <si>
    <t>His success will exalt his reputation.</t>
  </si>
  <si>
    <t>She is an astute businesswoman.</t>
  </si>
  <si>
    <t>He brandished his weapon.</t>
  </si>
  <si>
    <t>This issue could stymie our progress.</t>
  </si>
  <si>
    <t>They barely subsist.</t>
  </si>
  <si>
    <t>A riot erupted.</t>
  </si>
  <si>
    <t>The procedure has become very cumbersome.</t>
  </si>
  <si>
    <t>His beliefs began to waver.</t>
  </si>
  <si>
    <t>This joke is very risible.</t>
  </si>
  <si>
    <t>He is a convert.</t>
  </si>
  <si>
    <t>His attitude is very surly.</t>
  </si>
  <si>
    <t>This discovery was a major breakthrough.</t>
  </si>
  <si>
    <t>He is a musical genius.</t>
  </si>
  <si>
    <t>The citizens tried to topple the government.</t>
  </si>
  <si>
    <t>He fulminated against the government's policies.</t>
  </si>
  <si>
    <t>The medal was bestowed upon him.</t>
  </si>
  <si>
    <t>This device is very unwieldy.</t>
  </si>
  <si>
    <t>He tried to douse the flames.</t>
  </si>
  <si>
    <t>winnow the list of candidates to three</t>
  </si>
  <si>
    <t>He honed his skills.</t>
  </si>
  <si>
    <t>She spearheaded this project.</t>
  </si>
  <si>
    <t>This puzzle flummoxed me.</t>
  </si>
  <si>
    <t>This song is evocative of childhood memories.</t>
  </si>
  <si>
    <t>Solar panels can generate electricity.</t>
  </si>
  <si>
    <t>This place is a venue for concerts.</t>
  </si>
  <si>
    <t>She wore a panoply to the gala.</t>
  </si>
  <si>
    <t>This is an illicit activity.</t>
  </si>
  <si>
    <t>These resources are expendable.</t>
  </si>
  <si>
    <t>Memories still linger in my mind.</t>
  </si>
  <si>
    <t>This is an important conservation effort.</t>
  </si>
  <si>
    <t>This town has long been an economic backwater.</t>
  </si>
  <si>
    <t>His actions will aggravate the problem.</t>
  </si>
  <si>
    <t>This song is reminiscent of the past.</t>
  </si>
  <si>
    <t>He always tells waggish jokes.</t>
  </si>
  <si>
    <t>He is a courteous gentleman.</t>
  </si>
  <si>
    <t>His ostensible reasons don't hold up.</t>
  </si>
  <si>
    <t>This news report is very sensational.</t>
  </si>
  <si>
    <t>This issue is immaterial to us.</t>
  </si>
  <si>
    <t>He is a redoubtable opponent.</t>
  </si>
  <si>
    <t>This viewpoint falls under fringe ideas.</t>
  </si>
  <si>
    <t>This country is facing a divided situation.</t>
  </si>
  <si>
    <t>This design looks dated.</t>
  </si>
  <si>
    <t>He tried to delineate his vision.</t>
  </si>
  <si>
    <t>Learning the syntax of a language is important.</t>
  </si>
  <si>
    <t>His writing is primarily in prose.</t>
  </si>
  <si>
    <t>His interference is undue.</t>
  </si>
  <si>
    <t>He tried to inflate the numbers.</t>
  </si>
  <si>
    <t>We are very beholden for your help.</t>
  </si>
  <si>
    <t>Love is eternal.</t>
  </si>
  <si>
    <t>He is a gregarious person.</t>
  </si>
  <si>
    <t>This situation is very worrisome.</t>
  </si>
  <si>
    <t>Demographic changes are impacting society.</t>
  </si>
  <si>
    <t>He instigated a protest.</t>
  </si>
  <si>
    <t>rein back public spending</t>
  </si>
  <si>
    <t>This plan aims to ameliorate the quality of life.</t>
  </si>
  <si>
    <t>They tried to forge a document.</t>
  </si>
  <si>
    <t>This farm yields a lot of crops.</t>
  </si>
  <si>
    <t>These two are equivalent.</t>
  </si>
  <si>
    <t>Our plan depends on contingent factors.</t>
  </si>
  <si>
    <t>They tried to grapple with this issue.</t>
  </si>
  <si>
    <t>This incongruity is hard to understand.</t>
  </si>
  <si>
    <t>His speech is very grandiloquent.</t>
  </si>
  <si>
    <t>He envisions a better future.</t>
  </si>
  <si>
    <t>He became the object of derision.</t>
  </si>
  <si>
    <t>The emotional display in this movie is a bit cloying.</t>
  </si>
  <si>
    <t>The audience began to boo.</t>
  </si>
  <si>
    <t>She sang off-key.</t>
  </si>
  <si>
    <t>He always brags about his achievements.</t>
  </si>
  <si>
    <t>An argument will ensue.</t>
  </si>
  <si>
    <t>This country adopted a neutrality stance.</t>
  </si>
  <si>
    <t>He is always chary of strangers.</t>
  </si>
  <si>
    <t>This apartment is already furnished.</t>
  </si>
  <si>
    <t>The ship was blown asunder.</t>
  </si>
  <si>
    <t>His answers are very evasive.</t>
  </si>
  <si>
    <t>They experienced successive failures.</t>
  </si>
  <si>
    <t>Lack of sleep has detrimental effects on health.</t>
  </si>
  <si>
    <t>You can use this coupon to get a discount.</t>
  </si>
  <si>
    <t>The evidence is conclusive.</t>
  </si>
  <si>
    <t>Her voice became shrill.</t>
  </si>
  <si>
    <t>This is a society characterized by comity.</t>
  </si>
  <si>
    <t>This issue could obstruct progress.</t>
  </si>
  <si>
    <t>His attitude is very patronizing.</t>
  </si>
  <si>
    <t>He addressed the issue piecemeal, taking one step at a time.</t>
  </si>
  <si>
    <t>This movie is just mediocre.</t>
  </si>
  <si>
    <t>The rainy day made her feel melancholy.</t>
  </si>
  <si>
    <t>His plan is very sketchy.</t>
  </si>
  <si>
    <t>He adheres to teetotalism.</t>
  </si>
  <si>
    <t>He looks very glum.</t>
  </si>
  <si>
    <t>Our numbers already outnumber the opposition.</t>
  </si>
  <si>
    <t>He disowned his family.</t>
  </si>
  <si>
    <t>His performance received enthusiastic acclaim.</t>
  </si>
  <si>
    <t>This baby has been obstreperous.</t>
  </si>
  <si>
    <t>This issue is germane to our discussion.</t>
  </si>
  <si>
    <t>He was exposed as a charlatan.</t>
  </si>
  <si>
    <t>He is an easygoing boss.</t>
  </si>
  <si>
    <t>His sense of humor is a bit puerile.</t>
  </si>
  <si>
    <t>This series comprises multiple books.</t>
  </si>
  <si>
    <t>This is a fundamental tenet of our company.</t>
  </si>
  <si>
    <t>He tried to mollify hurt feelings.</t>
  </si>
  <si>
    <t>The region faces a dearth of food.</t>
  </si>
  <si>
    <t>This vacation destination is very inviting.</t>
  </si>
  <si>
    <t>He is an irascible boss.</t>
  </si>
  <si>
    <t>She has a bookish appearance.</t>
  </si>
  <si>
    <t>Some people are more demonstrative than others.</t>
  </si>
  <si>
    <t>They live in a lowly community.</t>
  </si>
  <si>
    <t>Her outfit is very chic.</t>
  </si>
  <si>
    <t>He tried to dispel rumors about him.</t>
  </si>
  <si>
    <t>This report is alarmist.</t>
  </si>
  <si>
    <t>This process can leach out harmful substances.</t>
  </si>
  <si>
    <t>He tried to impart his knowledge.</t>
  </si>
  <si>
    <t>His actions will degrade his reputation.</t>
  </si>
  <si>
    <t>This task will necessitate more resources.</t>
  </si>
  <si>
    <t>The damage is irreparable.</t>
  </si>
  <si>
    <t>People began to straggle to the venue.</t>
  </si>
  <si>
    <t>His attitude is very stern.</t>
  </si>
  <si>
    <t>They threatened to take reprisal measures.</t>
  </si>
  <si>
    <t>His behavior is very churlish.</t>
  </si>
  <si>
    <t>He is a beneficiary of this policy.</t>
  </si>
  <si>
    <t>Barring any unforeseen circumstances, the meeting will proceed as planned.</t>
  </si>
  <si>
    <t>The artist's work always fascinates people.</t>
  </si>
  <si>
    <t>He must exert his utmost effort.</t>
  </si>
  <si>
    <t>This is a major setback.</t>
  </si>
  <si>
    <t>Leadership can boost morale.</t>
  </si>
  <si>
    <t>This city is filled with blighted areas.</t>
  </si>
  <si>
    <t>This book is a source of authority.</t>
  </si>
  <si>
    <t>the eternal verities of life</t>
  </si>
  <si>
    <t>He was accused of perpetrating a crime.</t>
  </si>
  <si>
    <t>This animated film uses anthropomorphism.</t>
  </si>
  <si>
    <t>His arguments are very coherent.</t>
  </si>
  <si>
    <t>The lake is very tranquil.</t>
  </si>
  <si>
    <t>Their success is staggering.</t>
  </si>
  <si>
    <t>He made a pledge to improve the situation.</t>
  </si>
  <si>
    <t>He is arguably the best athlete in the field.</t>
  </si>
  <si>
    <t>Don't overstate your abilities.</t>
  </si>
  <si>
    <t>The lawyer will defend his rights.</t>
  </si>
  <si>
    <t>He leads a solitary life.</t>
  </si>
  <si>
    <t>Taking action is imperative.</t>
  </si>
  <si>
    <t>Don't denigrate other people's achievements.</t>
  </si>
  <si>
    <t>This event is truly bizarre.</t>
  </si>
  <si>
    <t>This country has abundant natural wealth.</t>
  </si>
  <si>
    <t>This is a very complex and involved issue.</t>
  </si>
  <si>
    <t>We must harness solar energy.</t>
  </si>
  <si>
    <t>Volunteers are the mainstay of this organization.</t>
  </si>
  <si>
    <t>This plant is endemic and only grows in this region.</t>
  </si>
  <si>
    <t>Using a typewriter in the modern age is anachronistic.</t>
  </si>
  <si>
    <t>He tried to impugn her honesty.</t>
  </si>
  <si>
    <t>He only paid a nominal rent.</t>
  </si>
  <si>
    <t>His suggestion sounded quite fatuous.</t>
  </si>
  <si>
    <t>The upkeep of this castle is very expensive.</t>
  </si>
  <si>
    <t>Everyone should be accountable for their actions.</t>
  </si>
  <si>
    <t>This building is nondescript.</t>
  </si>
  <si>
    <t>She found solace in the company of friends.</t>
  </si>
  <si>
    <t>The issue of juvenile crime needs attention.</t>
  </si>
  <si>
    <t>His hopes turned out to be illusory.</t>
  </si>
  <si>
    <t>They supplicate God for forgiveness.</t>
  </si>
  <si>
    <t>He was admonished not to make the same mistake again.</t>
  </si>
  <si>
    <t>He behaved in a very urbane and cultured manner.</t>
  </si>
  <si>
    <t>This disease is degenerative.</t>
  </si>
  <si>
    <t>She is susceptible to infection.</t>
  </si>
  <si>
    <t>He often meditates on the meaning of life.</t>
  </si>
  <si>
    <t>Their meeting was held in a covert location.</t>
  </si>
  <si>
    <t>This is a momentous moment.</t>
  </si>
  <si>
    <t>His pacific attitude helps ease tensions.</t>
  </si>
  <si>
    <t>This document is spurious.</t>
  </si>
  <si>
    <t>Something seems amiss.</t>
  </si>
  <si>
    <t>These two countries are contiguous.</t>
  </si>
  <si>
    <t>He is a victim of calumny.</t>
  </si>
  <si>
    <t>He skillfully maneuvered the situation.</t>
  </si>
  <si>
    <t>This issue involves dualism.</t>
  </si>
  <si>
    <t>The new law obviated the previous issues.</t>
  </si>
  <si>
    <t>Her performance was almost faultless.</t>
  </si>
  <si>
    <t>This castle appears to be impregnable.</t>
  </si>
  <si>
    <t>He is filled with fervor for this project.</t>
  </si>
  <si>
    <t>We must overcome this barrier.</t>
  </si>
  <si>
    <t>His clothes look very shabby.</t>
  </si>
  <si>
    <t>These two countries have formed a strong alliance.</t>
  </si>
  <si>
    <t>He is a very unassuming person.</t>
  </si>
  <si>
    <t>This plan is still in its inchoate stage.</t>
  </si>
  <si>
    <t>The city has a seamy side.</t>
  </si>
  <si>
    <t>His agility makes him an excellent athlete.</t>
  </si>
  <si>
    <t>This country maintains its sovereignty.</t>
  </si>
  <si>
    <t>He feels detestation towards violent actions.</t>
  </si>
  <si>
    <t>He has keen insight.</t>
  </si>
  <si>
    <t>He is very conversant in this field.</t>
  </si>
  <si>
    <t>She delivered an impassioned speech.</t>
  </si>
  <si>
    <t>He exercised his veto power.</t>
  </si>
  <si>
    <t>The mistake is venial and not worth mentioning.</t>
  </si>
  <si>
    <t>Her timorous nature makes her afraid to take risks.</t>
  </si>
  <si>
    <t>The TV signal is intermittent.</t>
  </si>
  <si>
    <t>She was my predecessor in this position.</t>
  </si>
  <si>
    <t>His humor makes people feel lighthearted.</t>
  </si>
  <si>
    <t>This restaurant is famous for its culinary skills.</t>
  </si>
  <si>
    <t>It's important to maintain sanity under high pressure.</t>
  </si>
  <si>
    <t>The craftsmanship of this artwork is exquisite.</t>
  </si>
  <si>
    <t>The timing of these two events is coincidental.</t>
  </si>
  <si>
    <t>This deterioration will affect our health.</t>
  </si>
  <si>
    <t>The food and decorations at the banquet were sumptuous.</t>
  </si>
  <si>
    <t>Her coy demeanor is charming.</t>
  </si>
  <si>
    <t>He successfully elicited a response from everyone.</t>
  </si>
  <si>
    <t>These writers are considered part of the literary pantheon.</t>
  </si>
  <si>
    <t>The highlight of this research is the new discovery.</t>
  </si>
  <si>
    <t>This river serves as the demarcation between two countries.</t>
  </si>
  <si>
    <t>This fossil is a relic from an antediluvian era.</t>
  </si>
  <si>
    <t>He is a very disinterested referee.</t>
  </si>
  <si>
    <t>He has some unique idiosyncrasies.</t>
  </si>
  <si>
    <t>That hat looks very becoming.</t>
  </si>
  <si>
    <t>They have built an enduring friendship.</t>
  </si>
  <si>
    <t>His cantankerous nature makes him difficult to get along with.</t>
  </si>
  <si>
    <t>He tried to subdue his anger.</t>
  </si>
  <si>
    <t>He completed the work with celerity.</t>
  </si>
  <si>
    <t>He decided to retain the letter.</t>
  </si>
  <si>
    <t>He is respected for his rectitude.</t>
  </si>
  <si>
    <t>She will preside over the meeting.</t>
  </si>
  <si>
    <t>His muscles became flabby.</t>
  </si>
  <si>
    <t>Their problems were circumstantial rather than personal.</t>
  </si>
  <si>
    <t>Garbage has clogged the drain.</t>
  </si>
  <si>
    <t>The prices of goods have spiked.</t>
  </si>
  <si>
    <t>This maze often disorients visitors.</t>
  </si>
  <si>
    <t>This exhibition is a hodgepodge of works.</t>
  </si>
  <si>
    <t>We stood on the verge of the city.</t>
  </si>
  <si>
    <t>The argument made them implacable.</t>
  </si>
  <si>
    <t>His cowardice prevented him from taking action.</t>
  </si>
  <si>
    <t>The company is trying to streamline its operations.</t>
  </si>
  <si>
    <t>This place is alien to him.</t>
  </si>
  <si>
    <t>They are going to confer an award.</t>
  </si>
  <si>
    <t>This medicine can remedy the illness.</t>
  </si>
  <si>
    <t>His attempts were bootless.</t>
  </si>
  <si>
    <t>He tried to straddle two different fields.</t>
  </si>
  <si>
    <t>This decision is shortsighted.</t>
  </si>
  <si>
    <t>He maintained equanimity under pressure.</t>
  </si>
  <si>
    <t>The news stupefied him.</t>
  </si>
  <si>
    <t>They need an objective opinion.</t>
  </si>
  <si>
    <t>He is famous for his largesse.</t>
  </si>
  <si>
    <t>His study habits are very desultory.</t>
  </si>
  <si>
    <t>This was a felicitous decision.</t>
  </si>
  <si>
    <t>He is a wine connoisseur.</t>
  </si>
  <si>
    <t>He masterminded this plan.</t>
  </si>
  <si>
    <t>This task is already overdue.</t>
  </si>
  <si>
    <t>This topic is too esoteric for most people.</t>
  </si>
  <si>
    <t>This information has been heretofore unknown.</t>
  </si>
  <si>
    <t>She is very sanguine about the future.</t>
  </si>
  <si>
    <t>He tried to skirt the issue.</t>
  </si>
  <si>
    <t>Danger may lurk nearby.</t>
  </si>
  <si>
    <t>This design looks a bit old-fashioned.</t>
  </si>
  <si>
    <t>He made a categorical statement.</t>
  </si>
  <si>
    <t>This forest is a real maze.</t>
  </si>
  <si>
    <t>These regulations are very stringent.</t>
  </si>
  <si>
    <t>This place emits a noisome odor.</t>
  </si>
  <si>
    <t>She is inclined to help others.</t>
  </si>
  <si>
    <t>We could only see the dim light.</t>
  </si>
  <si>
    <t>His comments are very insightful.</t>
  </si>
  <si>
    <t>He groaned when he heard the bad news.</t>
  </si>
  <si>
    <t>This plan appears to be viable.</t>
  </si>
  <si>
    <t>He is a victim of slander and aspersion.</t>
  </si>
  <si>
    <t>He is trying to woo her heart.</t>
  </si>
  <si>
    <t>He coined a new term.</t>
  </si>
  <si>
    <t>We must tolerate different viewpoints.</t>
  </si>
  <si>
    <t>His behavior is very eccentric.</t>
  </si>
  <si>
    <t>This argument is fallacious.</t>
  </si>
  <si>
    <t>He immolated his own happiness.</t>
  </si>
  <si>
    <t>He tried to rebut this argument.</t>
  </si>
  <si>
    <t>Don't jeopardize our plans.</t>
  </si>
  <si>
    <t>His words rive the hearts of the crowd.</t>
  </si>
  <si>
    <t>The law circumscribes his rights.</t>
  </si>
  <si>
    <t>His views are very consistent.</t>
  </si>
  <si>
    <t>He was divested of his ownership.</t>
  </si>
  <si>
    <t>His knowledge is his greatest asset.</t>
  </si>
  <si>
    <t>His comments are very vitriolic.</t>
  </si>
  <si>
    <t>This task is very taxing.</t>
  </si>
  <si>
    <t>He is indifferent to this issue.</t>
  </si>
  <si>
    <t>He received condign punishment.</t>
  </si>
  <si>
    <t>She's full of spunk and ready to go.</t>
  </si>
  <si>
    <t>These two issues should be decoupled.</t>
  </si>
  <si>
    <t>This community is very affluent.</t>
  </si>
  <si>
    <t>The plane suddenly vanished.</t>
  </si>
  <si>
    <t>She is a very loquacious person.</t>
  </si>
  <si>
    <t>He can wield power.</t>
  </si>
  <si>
    <t>His decisions are sagacious.</t>
  </si>
  <si>
    <t>Your comments are very apposite.</t>
  </si>
  <si>
    <t>His behavior is callous.</t>
  </si>
  <si>
    <t>This policy has some flexibility.</t>
  </si>
  <si>
    <t>This equipment is antiquated.</t>
  </si>
  <si>
    <t>He is a vengeful person.</t>
  </si>
  <si>
    <t>This new technology heralds a new era.</t>
  </si>
  <si>
    <t>She embellished her story to make it more interesting.</t>
  </si>
  <si>
    <t>Don't stifle creativity.</t>
  </si>
  <si>
    <t>The negotiations reached a deadlock.</t>
  </si>
  <si>
    <t>This artwork has mimetic qualities.</t>
  </si>
  <si>
    <t>This is a serious lapse.</t>
  </si>
  <si>
    <t>Is this word univocal?</t>
  </si>
  <si>
    <t>Congress will ratify the agreement.</t>
  </si>
  <si>
    <t>He likes to ape his idol.</t>
  </si>
  <si>
    <t>This book is an absorbing story.</t>
  </si>
  <si>
    <t>This is a poetry anthology.</t>
  </si>
  <si>
    <t>He avowed his love.</t>
  </si>
  <si>
    <t>His behavior aroused my gall.</t>
  </si>
  <si>
    <t>This speech debased public morality.</t>
  </si>
  <si>
    <t>He lacks the wherewithal to complete this project.</t>
  </si>
  <si>
    <t>This illness debilitated his strength.</t>
  </si>
  <si>
    <t>His dilatory actions made things worse.</t>
  </si>
  <si>
    <t>The commentator excoriated the government's policy.</t>
  </si>
  <si>
    <t>She made a judicious decision.</t>
  </si>
  <si>
    <t>This policy has far-reaching implications.</t>
  </si>
  <si>
    <t>Ballistics studies the trajectory of objects.</t>
  </si>
  <si>
    <t>He has held a grudge against him.</t>
  </si>
  <si>
    <t>This clergyman will be ordained as a priest.</t>
  </si>
  <si>
    <t>After drinking, he became maudlin.</t>
  </si>
  <si>
    <t>The economy in this region is starting to stagnate.</t>
  </si>
  <si>
    <t>His work is very meticulous.</t>
  </si>
  <si>
    <t>He fell into infamy due to his crimes.</t>
  </si>
  <si>
    <t>He became jaded and lost interest in life.</t>
  </si>
  <si>
    <t>Time is immutable for stars.</t>
  </si>
  <si>
    <t>He tried to varnish his mistakes.</t>
  </si>
  <si>
    <t>Family is her anchor.</t>
  </si>
  <si>
    <t>She relishes reading good books.</t>
  </si>
  <si>
    <t>He is skeptical of this proposal.</t>
  </si>
  <si>
    <t>Children's minds are malleable.</t>
  </si>
  <si>
    <t>People often underrate their own abilities.</t>
  </si>
  <si>
    <t>He provided explicit instructions.</t>
  </si>
  <si>
    <t>This behavior is tantamount to betrayal.</t>
  </si>
  <si>
    <t>The acrimony between them made cooperation difficult.</t>
  </si>
  <si>
    <t>She has an idealistic perspective.</t>
  </si>
  <si>
    <t>Hatred can lead to violence.</t>
  </si>
  <si>
    <t>He is an obstinate person.</t>
  </si>
  <si>
    <t>Her pretentious behavior is off-putting.</t>
  </si>
  <si>
    <t>This comment is shallow.</t>
  </si>
  <si>
    <t>Her beauty enamored him.</t>
  </si>
  <si>
    <t>His tenacity helped him overcome challenges.</t>
  </si>
  <si>
    <t>He is an antiquarian of ancient artifacts.</t>
  </si>
  <si>
    <t>He was chosen as a delegate to attend the conference.</t>
  </si>
  <si>
    <t>This book is written for the layperson.</t>
  </si>
  <si>
    <t>This puzzle is very intricate.</t>
  </si>
  <si>
    <t>The company foundered due to management issues.</t>
  </si>
  <si>
    <t>Their plight is heartbreaking.</t>
  </si>
  <si>
    <t>This rumor may be just a figment.</t>
  </si>
  <si>
    <t>The novel has a touching epilogue.</t>
  </si>
  <si>
    <t>She is a very amiable person.</t>
  </si>
  <si>
    <t>This building is gargantuan.</t>
  </si>
  <si>
    <t>They showed strong solidarity.</t>
  </si>
  <si>
    <t>She is a genuine and sincere person.</t>
  </si>
  <si>
    <t>This is a unilateral decision.</t>
  </si>
  <si>
    <t>This blade has become dull.</t>
  </si>
  <si>
    <t>This is a bottle of vintage wine.</t>
  </si>
  <si>
    <t>This city has a multifarious culture.</t>
  </si>
  <si>
    <t>She felt aggrieved by unfair treatment.</t>
  </si>
  <si>
    <t>The raillery between them is friendly.</t>
  </si>
  <si>
    <t>He felt confused and unsure of what to do.</t>
  </si>
  <si>
    <t>The stability of this building is crucial.</t>
  </si>
  <si>
    <t>This concert drew a large audience.</t>
  </si>
  <si>
    <t>He lives a life of hedonism.</t>
  </si>
  <si>
    <t>This issue could hamper our progress.</t>
  </si>
  <si>
    <t>This issue has been festering.</t>
  </si>
  <si>
    <t>He has a serious ailment.</t>
  </si>
  <si>
    <t>This group has a high level of homogeneity.</t>
  </si>
  <si>
    <t>The contract stipulates the payment date.</t>
  </si>
  <si>
    <t>His eyes gleam with excitement.</t>
  </si>
  <si>
    <t>His pedantic comments are off-putting.</t>
  </si>
  <si>
    <t>His insouciance is unsettling.</t>
  </si>
  <si>
    <t>This plan is byzantine.</t>
  </si>
  <si>
    <t>This personality trait is important.</t>
  </si>
  <si>
    <t>This advertisement is eye-catching.</t>
  </si>
  <si>
    <t>The company is recruiting new employees.</t>
  </si>
  <si>
    <t>Her speech mesmerized the audience.</t>
  </si>
  <si>
    <t>Her smile belied her inner pain.</t>
  </si>
  <si>
    <t>Fresh vegetables are wholesome for health.</t>
  </si>
  <si>
    <t>He is a rumor monger.</t>
  </si>
  <si>
    <t>He is a credulous person.</t>
  </si>
  <si>
    <t>He is a faithful acolyte of the writer.</t>
  </si>
  <si>
    <t>The government will subsidize this project.</t>
  </si>
  <si>
    <t>His answer was equivocal.</t>
  </si>
  <si>
    <t>This is a square lens.</t>
  </si>
  <si>
    <t>He tried to understate the seriousness of the issue.</t>
  </si>
  <si>
    <t>He tries to husband his resources.</t>
  </si>
  <si>
    <t>This mistake vitiated his plans.</t>
  </si>
  <si>
    <t>The economy is resurgent.</t>
  </si>
  <si>
    <t>These ancillary materials help with understanding.</t>
  </si>
  <si>
    <t>Her emotions are very fickle.</t>
  </si>
  <si>
    <t>The elderly man is a benevolent donor.</t>
  </si>
  <si>
    <t>This task requires cerebral thinking.</t>
  </si>
  <si>
    <t>He is an acquisitive businessman.</t>
  </si>
  <si>
    <t>His invention changed the world.</t>
  </si>
  <si>
    <t>She is a compliant employee.</t>
  </si>
  <si>
    <t>The government commandeered these lands.</t>
  </si>
  <si>
    <t>She is an advocate for environmentalism.</t>
  </si>
  <si>
    <t>This problem perplexes many people.</t>
  </si>
  <si>
    <t>This painting is sublime.</t>
  </si>
  <si>
    <t>He is a programming novice.</t>
  </si>
  <si>
    <t>That lion looks very ferocious.</t>
  </si>
  <si>
    <t>He has a predilection for spicy food.</t>
  </si>
  <si>
    <t>She is a conscientious worker.</t>
  </si>
  <si>
    <t>The public official was fired for malfeasance.</t>
  </si>
  <si>
    <t>He incurred significant losses.</t>
  </si>
  <si>
    <t>He was aghast when he heard the news.</t>
  </si>
  <si>
    <t>This locale is a beautiful beach.</t>
  </si>
  <si>
    <t>He proposed an irenic solution.</t>
  </si>
  <si>
    <t>His atheism caused a rift with his family.</t>
  </si>
  <si>
    <t>This reconciliation is necessary.</t>
  </si>
  <si>
    <t>Rice is a staple of our diet.</t>
  </si>
  <si>
    <t>She tried to entice him to join the program.</t>
  </si>
  <si>
    <t>This project is the salvation of the community.</t>
  </si>
  <si>
    <t>This fraudulent behavior is blatant.</t>
  </si>
  <si>
    <t>This family is indigent.</t>
  </si>
  <si>
    <t>He is adamant about not leaving.</t>
  </si>
  <si>
    <t>This ancient city left a vestige.</t>
  </si>
  <si>
    <t>His speech was full of empty bromides.</t>
  </si>
  <si>
    <t>This project is still in the embryonic stage.</t>
  </si>
  <si>
    <t>He is a gullible person.</t>
  </si>
  <si>
    <t>The driver decelerated the car.</t>
  </si>
  <si>
    <t>His response was tepid.</t>
  </si>
  <si>
    <t>There was a heated row between them.</t>
  </si>
  <si>
    <t>He is wearing appropriate attire.</t>
  </si>
  <si>
    <t>This aphorism contains words of wisdom.</t>
  </si>
  <si>
    <t>He has a bent for playing the piano.</t>
  </si>
  <si>
    <t>This issue has been simmering.</t>
  </si>
  <si>
    <t>He tried to parse the complex sentence.</t>
  </si>
  <si>
    <t>This document is the only extant copy.</t>
  </si>
  <si>
    <t>He discarded old books.</t>
  </si>
  <si>
    <t>This palace is in the imperial style.</t>
  </si>
  <si>
    <t>This investment became a debacle.</t>
  </si>
  <si>
    <t>Sales are on the decline.</t>
  </si>
  <si>
    <t>This is sheer madness.</t>
  </si>
  <si>
    <t>This show is a parody of TV dramas.</t>
  </si>
  <si>
    <t>This flower is perennial.</t>
  </si>
  <si>
    <t>His forebear was a great leader.</t>
  </si>
  <si>
    <t>This dinner is very palatable.</t>
  </si>
  <si>
    <t>He often exaggerates facts to draw attention.</t>
  </si>
  <si>
    <t>She was in a moral and professional dilemma.</t>
  </si>
  <si>
    <t>This composite material is an amalgam of metal and plastic.</t>
  </si>
  <si>
    <t>This room is very spacious and suitable for a large family.</t>
  </si>
  <si>
    <t>He tried to dissemble his true intentions.</t>
  </si>
  <si>
    <t>The speech galvanized people to get involved in social activities.</t>
  </si>
  <si>
    <t>Various organisms in an ecosystem are interdependent.</t>
  </si>
  <si>
    <t>The government may impose new tax regulations.</t>
  </si>
  <si>
    <t>Her veracity and honesty earned her respect.</t>
  </si>
  <si>
    <t>This small village has enchanting natural scenery.</t>
  </si>
  <si>
    <t>This plan sounds a bit far-fetched.</t>
  </si>
  <si>
    <t>Her story is very pathetic.</t>
  </si>
  <si>
    <t>He wore outlandish clothing that attracted attention.</t>
  </si>
  <si>
    <t>He believed in his infallibility, but it wasn't the case.</t>
  </si>
  <si>
    <t>His attitude seemed offish and unfriendly.</t>
  </si>
  <si>
    <t>This process involves distilling pure alcohol.</t>
  </si>
  <si>
    <t>Her dissatisfaction was patent on her face.</t>
  </si>
  <si>
    <t>This city is an agglomerate of various cultures.</t>
  </si>
  <si>
    <t>After the vote, the meeting turned into a free-for-all.</t>
  </si>
  <si>
    <t>This report was uninformative and of little use to us.</t>
  </si>
  <si>
    <t>The abandoned building had entered a state of decrepitude.</t>
  </si>
  <si>
    <t>The sale left the company flush with cash.</t>
  </si>
  <si>
    <t>They purchased the goods at wholesale prices.</t>
  </si>
  <si>
    <t>She was lionized for her musical talent.</t>
  </si>
  <si>
    <t>She readily acknowledged her mistake.</t>
  </si>
  <si>
    <t>If we assume that this data is correct, then the conclusion holds.</t>
  </si>
  <si>
    <t>They need a mediator to resolve the dispute.</t>
  </si>
  <si>
    <t>The behavior was repugnant and should not be tolerated.</t>
  </si>
  <si>
    <t>His predictive abilities were so uncanny that they were incredible.</t>
  </si>
  <si>
    <t>Her decorations accentuated the beauty of the room.</t>
  </si>
  <si>
    <t>He managed to cajole her into joining the project.</t>
  </si>
  <si>
    <t>He maintained an impassive expression, showing no emotion.</t>
  </si>
  <si>
    <t>How shoddy and poorly made this report is.</t>
  </si>
  <si>
    <t>She had an imperious attitude toward her subordinates.</t>
  </si>
  <si>
    <t>His words riled me up and made me very angry.</t>
  </si>
  <si>
    <t>We must prepare for the impending challenges.</t>
  </si>
  <si>
    <t>The company was in its heyday in the 1980s.</t>
  </si>
  <si>
    <t>After the heavy rain, the river began to teem with water.</t>
  </si>
  <si>
    <t>The atmosphere of the festival was filled with gaiety and joy.</t>
  </si>
  <si>
    <t>They attempted to overthrow the government.</t>
  </si>
  <si>
    <t>This problem is very knotty and requires careful consideration.</t>
  </si>
  <si>
    <t>The loud scream made him cower in the corner.</t>
  </si>
  <si>
    <t>Her charm was so irresistible that no one could resist it.</t>
  </si>
  <si>
    <t>This disease is often accompanied by a social stigma.</t>
  </si>
  <si>
    <t>The doctor successfully resuscitated the patient.</t>
  </si>
  <si>
    <t>We have scant time to prepare.</t>
  </si>
  <si>
    <t>This bill is aimed at bolstering environmental protection.</t>
  </si>
  <si>
    <t>This poison is pernicious and life-threatening.</t>
  </si>
  <si>
    <t>We need to gauge the temperature to assess the weather.</t>
  </si>
  <si>
    <t>He tried to bridle his anger.</t>
  </si>
  <si>
    <t>What is the primacy of research in this field?</t>
  </si>
  <si>
    <t>This vacation destination has an irresistible allure.</t>
  </si>
  <si>
    <t>His singing was full of euphony and melodiousness.</t>
  </si>
  <si>
    <t>Bears hibernate in the winter to conserve energy.</t>
  </si>
  <si>
    <t>She recoiled in fear upon hearing the gunshot.</t>
  </si>
  <si>
    <t>This article is full of inflammatory statements that sparked intense controversy.</t>
  </si>
  <si>
    <t>They tried to hoodwink the public but failed in the end.</t>
  </si>
  <si>
    <t>The trickster deceived many people with clever tricks.</t>
  </si>
  <si>
    <t>His irresolution in decision-making affected the entire team.</t>
  </si>
  <si>
    <t>They managed to check the actions of the criminals.</t>
  </si>
  <si>
    <t>The king decided to banish the rebels from the kingdom.</t>
  </si>
  <si>
    <t>Being an extrovert, she enjoys social gatherings.</t>
  </si>
  <si>
    <t>His works were published posthumously after his death.</t>
  </si>
  <si>
    <t>She tried to expostulate with him not to leave.</t>
  </si>
  <si>
    <t>This plan is an overarching strategy to address the issue.</t>
  </si>
  <si>
    <t>He shouldn't divulge this confidential information.</t>
  </si>
  <si>
    <t>The drop in temperature is perceptible.</t>
  </si>
  <si>
    <t>He worked hard and eventually attained his goal.</t>
  </si>
  <si>
    <t>Traffic congestion led to a gridlock in the city.</t>
  </si>
  <si>
    <t>The old-timer has 30 years of experience in the industry.</t>
  </si>
  <si>
    <t>His behavior was reprehensible and unacceptable.</t>
  </si>
  <si>
    <t>She received reproach from her boss for not completing the work.</t>
  </si>
  <si>
    <t>Moderate exercise is beneficial to health.</t>
  </si>
  <si>
    <t>Church gatherings include not only clergy but also laity.</t>
  </si>
  <si>
    <t>The land is spongy and prone to waterlogging.</t>
  </si>
  <si>
    <t>He suddenly accosted me and asked if I wanted to have lunch together.</t>
  </si>
  <si>
    <t>The government proclaimed a state of emergency.</t>
  </si>
  <si>
    <t>These foods are perishable and need to be stored properly.</t>
  </si>
  <si>
    <t>She cossets her cat, treating it like a family member.</t>
  </si>
  <si>
    <t>These two events were synchronous.</t>
  </si>
  <si>
    <t>This project requires long and laborious work.</t>
  </si>
  <si>
    <t>There is a blemish on this piece of glass.</t>
  </si>
  <si>
    <t>People began to congregate in the square.</t>
  </si>
  <si>
    <t>His attire always had a unique panache.</t>
  </si>
  <si>
    <t>The rainy day made the ground damp.</t>
  </si>
  <si>
    <t>His work was always slapdash and lacked careful consideration.</t>
  </si>
  <si>
    <t>She has always yearned for adventures afar.</t>
  </si>
  <si>
    <t>The aristocracy in this country enjoys privileges.</t>
  </si>
  <si>
    <t>He tried to stonewall and obstruct the implementation of the plan.</t>
  </si>
  <si>
    <t>Life in this small village is quiet and bucolic.</t>
  </si>
  <si>
    <t>Two cars collided at the intersection.</t>
  </si>
  <si>
    <t>They deified their leader and worshiped him as a god.</t>
  </si>
  <si>
    <t>He lives hereabouts, about ten miles away.</t>
  </si>
  <si>
    <t>The judge was appointed to adjudicate the dispute.</t>
  </si>
  <si>
    <t>The task is fraught with challenges and concerns.</t>
  </si>
  <si>
    <t>Technology is a key catalyst for economic growth.</t>
  </si>
  <si>
    <t>He always badgered her to do things she didn't like.</t>
  </si>
  <si>
    <t>This decision marks a watershed moment in our history.</t>
  </si>
  <si>
    <t>He has a special penchant for music.</t>
  </si>
  <si>
    <t>He recast the story to make it more contemporary.</t>
  </si>
  <si>
    <t>She is a fervent supporter, always giving her all.</t>
  </si>
  <si>
    <t>His views were considered heterodox in the church.</t>
  </si>
  <si>
    <t>The ball hit the rim and rebounded.</t>
  </si>
  <si>
    <t>He used acid to etch a beautiful painting.</t>
  </si>
  <si>
    <t>His persona in public is different from his private character.</t>
  </si>
  <si>
    <t>This report is of sterling quality and can be trusted.</t>
  </si>
  <si>
    <t>The story was an absolute canard.</t>
  </si>
  <si>
    <t>The lake was serene at night, like a mirror.</t>
  </si>
  <si>
    <t>The beauty of this grand canyon is breathtaking.</t>
  </si>
  <si>
    <t>She can always articulate her thoughts clearly.</t>
  </si>
  <si>
    <t>Anthropology is the study of human culture and society.</t>
  </si>
  <si>
    <t>The color of the sunset was fiery orange.</t>
  </si>
  <si>
    <t>These pastries look so dainty, almost too beautiful to eat.</t>
  </si>
  <si>
    <t>This challenge seems very daunting.</t>
  </si>
  <si>
    <t>His response was very laconic, without any extra words.</t>
  </si>
  <si>
    <t>We need to abbreviate this report to save time.</t>
  </si>
  <si>
    <t>He often digresses and confuses people.</t>
  </si>
  <si>
    <t>He's a bighearted person, always willing to help others.</t>
  </si>
  <si>
    <t>She suddenly let out a shriek, frightening everyone.</t>
  </si>
  <si>
    <t>Her legs wobbled, and she almost fell.</t>
  </si>
  <si>
    <t>The incident was later revealed to be a hoax.</t>
  </si>
  <si>
    <t>His speech enthralled the audience; everyone was captivated.</t>
  </si>
  <si>
    <t>The water in this area is murky, making it difficult to see the bottom.</t>
  </si>
  <si>
    <t>His actions contravened the company's regulations.</t>
  </si>
  <si>
    <t>His reckless driving led to a traffic accident.</t>
  </si>
  <si>
    <t>Don't let difficulties diminish your confidence.</t>
  </si>
  <si>
    <t>The soul and the corporeal body are distinct entities.</t>
  </si>
  <si>
    <t>This company reached the apex in the industry.</t>
  </si>
  <si>
    <t>His behavior is exemplary and worthy of emulation.</t>
  </si>
  <si>
    <t>This emollient can make the skin soft and smooth.</t>
  </si>
  <si>
    <t>Her moods are always flighty and unpredictable.</t>
  </si>
  <si>
    <t>The city's denizens come from all over the world.</t>
  </si>
  <si>
    <t>This sound system uses advanced acoustic technology.</t>
  </si>
  <si>
    <t>Prophylactic measures can reduce the risk of infection.</t>
  </si>
  <si>
    <t>Misuse of drugs can lead to serious health problems.</t>
  </si>
  <si>
    <t>She felt immense relief after finally finding him.</t>
  </si>
  <si>
    <t>They have been divorced for years but still maintain a friendly relationship.</t>
  </si>
  <si>
    <t>He has a severe acute illness that requires immediate treatment.</t>
  </si>
  <si>
    <t>She is a modest and moderate person who never boasts excessively.</t>
  </si>
  <si>
    <t>Don't squander your time and resources.</t>
  </si>
  <si>
    <t>He is very evenhanded in his treatment of everyone.</t>
  </si>
  <si>
    <t>He always fawns over the boss, trying to win favor.</t>
  </si>
  <si>
    <t>The research is crucial for the synthesis of various disciplines.</t>
  </si>
  <si>
    <t>His demise marked the end of an era.</t>
  </si>
  <si>
    <t>The joke was so ludicrous that everyone burst into laughter.</t>
  </si>
  <si>
    <t>This plan meets all the requirements.</t>
  </si>
  <si>
    <t>The renewal of this contract is necessary.</t>
  </si>
  <si>
    <t>His actions were counterproductive and disrupted team collaboration.</t>
  </si>
  <si>
    <t>His behavior tarnished his reputation.</t>
  </si>
  <si>
    <t>These regulations are designed to safeguard the rights of children.</t>
  </si>
  <si>
    <t>The descendants of the nation's founder will continue to uphold his legacy.</t>
  </si>
  <si>
    <t>He ruefully wished he had adopted the suggestion earlier.</t>
  </si>
  <si>
    <t>Some salient features of the issue have garnered widespread attention.</t>
  </si>
  <si>
    <t>This is a general issue that affects many people.</t>
  </si>
  <si>
    <t>He is an uncompromising person who never gives in.</t>
  </si>
  <si>
    <t>This is just speculation with no actual evidence.</t>
  </si>
  <si>
    <t>Butterflies flit quickly among the flowers.</t>
  </si>
  <si>
    <t>This place was a haunt of his childhood and has always haunted his memories.</t>
  </si>
  <si>
    <t>He was almost a nonentity in the company.</t>
  </si>
  <si>
    <t>The children became very boisterous at the playground.</t>
  </si>
  <si>
    <t>He managed to decipher the ancient map.</t>
  </si>
  <si>
    <t>Her kindness was manifest in her actions.</t>
  </si>
  <si>
    <t>This trend prevails globally.</t>
  </si>
  <si>
    <t>Greed is one of the unethical qualities.</t>
  </si>
  <si>
    <t>The sudden noise unnerved him.</t>
  </si>
  <si>
    <t>The climate in this region is salubrious and healthful.</t>
  </si>
  <si>
    <t>He transgressed company policies and will face consequences.</t>
  </si>
  <si>
    <t>Protecting the environment is paramount for our future.</t>
  </si>
  <si>
    <t>He tried to disengage from the relationship.</t>
  </si>
  <si>
    <t>There is an abiding friendship between them.</t>
  </si>
  <si>
    <t>He remained detached from the issue, unaffected by emotions.</t>
  </si>
  <si>
    <t>This book aims to edify and uplift the reader's spirit.</t>
  </si>
  <si>
    <t>This bread is stale and not edible.</t>
  </si>
  <si>
    <t>The media censured the government's actions harshly.</t>
  </si>
  <si>
    <t>He remained mute in the face of adversity.</t>
  </si>
  <si>
    <t>This concept may seem counterintuitive.</t>
  </si>
  <si>
    <t>The usage of this word varies in different regions.</t>
  </si>
  <si>
    <t>He felt like he was in an abyss with no way out.</t>
  </si>
  <si>
    <t>He has a spare computer that he can lend you.</t>
  </si>
  <si>
    <t>His belligerent nature often leads to arguments and conflicts.</t>
  </si>
  <si>
    <t>Elephants are herbivorous animals that feed on plants.</t>
  </si>
  <si>
    <t>His performance was astounding, exceeding everyone's expectations.</t>
  </si>
  <si>
    <t>This is a legitimate contract that both parties agreed upon.</t>
  </si>
  <si>
    <t>This new highway allows you to bypass congested city traffic.</t>
  </si>
  <si>
    <t>Incivility in public should be condemned.</t>
  </si>
  <si>
    <t>His success is predicated on hard work and determination.</t>
  </si>
  <si>
    <t>They decided to annul the wedding and end the engagement.</t>
  </si>
  <si>
    <t>His words of encouragement heartened us to press on with determination.</t>
  </si>
  <si>
    <t>Everyone has their own foibles and weaknesses.</t>
  </si>
  <si>
    <t>He will officially inaugurate as the president next month.</t>
  </si>
  <si>
    <t>The company had to downsize to cope with economic difficulties.</t>
  </si>
  <si>
    <t>It's important to be politic when making significant decisions.</t>
  </si>
  <si>
    <t>Her performance petrified the audience, leaving them motionless.</t>
  </si>
  <si>
    <t>His speech was full of declamatory and exaggerated language.</t>
  </si>
  <si>
    <t>This city is full of kinetic energy and vitality.</t>
  </si>
  <si>
    <t>The explanation he offered seemed plausible.</t>
  </si>
  <si>
    <t>This argument is untenable from a logical standpoint.</t>
  </si>
  <si>
    <t>Her subtle humor always leaves people laughing heartily.</t>
  </si>
  <si>
    <t>He was lambasted for his decision that led to failure.</t>
  </si>
  <si>
    <t>He was fixated on that actress and wouldn't let go.</t>
  </si>
  <si>
    <t>This issue is too serious to be treated frivolously or lightly.</t>
  </si>
  <si>
    <t>Mountain climbing is a perilous activity that requires careful consideration.</t>
  </si>
  <si>
    <t>The orientation of this program is to develop future leaders.</t>
  </si>
  <si>
    <t>This country follows isolationism, staying out of international affairs.</t>
  </si>
  <si>
    <t>He fell a large number of trees to clear space for building.</t>
  </si>
  <si>
    <t>The government censored these news articles and banned their publication.</t>
  </si>
  <si>
    <t>His megalomania led him to believe he was invincible.</t>
  </si>
  <si>
    <t>His speech was rambling and lacked focus, making it uninteresting.</t>
  </si>
  <si>
    <t>This book explores various pedagogical methods and educational theories.</t>
  </si>
  <si>
    <t>Monogamy is a traditional practice in some cultures.</t>
  </si>
  <si>
    <t>His glasses were lopsided and needed adjustment.</t>
  </si>
  <si>
    <t>His voice began to falter, and he seemed unsure of what to say.</t>
  </si>
  <si>
    <t>The operation of this market is very chaotic with no clear rules.</t>
  </si>
  <si>
    <t>He is a programming neophyte, learning how to write code.</t>
  </si>
  <si>
    <t>This painting has beautiful symmetry.</t>
  </si>
  <si>
    <t>The inception of this company dates back to its beginning twenty years ago.</t>
  </si>
  <si>
    <t>The surface of this lake is very placid, like a mirror.</t>
  </si>
  <si>
    <t>He gathered the courage to plunge into the cold water.</t>
  </si>
  <si>
    <t>This idea is the cornerstone of our success.</t>
  </si>
  <si>
    <t>This country is a monarchy, with the king holding ultimate power.</t>
  </si>
  <si>
    <t>This restaurant caters specifically to vegetarians.</t>
  </si>
  <si>
    <t>This design is so novel and innovative that it has captured the attention of many.</t>
  </si>
  <si>
    <t>As a referee, you must treat each team very impartially.</t>
  </si>
  <si>
    <t>His achievement is considered a remarkable feat.</t>
  </si>
  <si>
    <t>He has become a misanthrope, avoiding social interactions.</t>
  </si>
  <si>
    <t>His success was purely fortuitous, not the result of any planning.</t>
  </si>
  <si>
    <t>Many people believe this medication is a panacea for health, solving all problems.</t>
  </si>
  <si>
    <t>Her ebullience and smile always infect those around her.</t>
  </si>
  <si>
    <t>He often waffles when answering questions, unwilling to give a clear answer.</t>
  </si>
  <si>
    <t>This issue is pressing and needs to be addressed urgently.</t>
  </si>
  <si>
    <t>That wondrous night remains in our memories.</t>
  </si>
  <si>
    <t>It took him a long time to successfully decode the mysterious message.</t>
  </si>
  <si>
    <t>This process will anneal the metal, increasing its hardness and durability.</t>
  </si>
  <si>
    <t>He is a seasoned medical practitioner with extensive experience.</t>
  </si>
  <si>
    <t>They decided to augment their advertising to attract more customers.</t>
  </si>
  <si>
    <t>This event is inclusive, and anyone can participate.</t>
  </si>
  <si>
    <t>It's just a peccadillo, not worth making a fuss over.</t>
  </si>
  <si>
    <t>They conspired to overthrow the government but ultimately failed.</t>
  </si>
  <si>
    <t>His words are too blunt and can sometimes hurt people's feelings.</t>
  </si>
  <si>
    <t>He showed valiant bravery in a dangerous situation.</t>
  </si>
  <si>
    <t>This tradition has been around for centuries and is very hoary.</t>
  </si>
  <si>
    <t>The thin mist vaporized quickly after the sun rose.</t>
  </si>
  <si>
    <t>Within the company, there is a clique that holds all the power.</t>
  </si>
  <si>
    <t>Her maternal instinct made her immediately realize something was wrong with the child.</t>
  </si>
  <si>
    <t>There are many industry jargon terms in this field that take time to learn.</t>
  </si>
  <si>
    <t>She is an activist for environmental conservation, dedicated to protecting the environment.</t>
  </si>
  <si>
    <t>This is a superlative review, praising his outstanding performance.</t>
  </si>
  <si>
    <t>As a tyro, he needs to keep learning and improving.</t>
  </si>
  <si>
    <t>Threats and intimidation cannot deter him from pursuing his dreams.</t>
  </si>
  <si>
    <t>The refuge provides a safe haven for the homeless.</t>
  </si>
  <si>
    <t>He is an itinerant musician who performs in different cities.</t>
  </si>
  <si>
    <t>He scribbled some words hastily on the paper.</t>
  </si>
  <si>
    <t>She's a garrulous old lady who never stops talking.</t>
  </si>
  <si>
    <t>This room emits a fusty, musty odor.</t>
  </si>
  <si>
    <t>This industry is ballooning, with a massive increase in business.</t>
  </si>
  <si>
    <t>Economic conditions are crucial for a nation's development.</t>
  </si>
  <si>
    <t>She feels very jealous of her friend's successful career.</t>
  </si>
  <si>
    <t>Her response was very acidic and hurt my feelings.</t>
  </si>
  <si>
    <t>His cupidity and greed cost him many friendships.</t>
  </si>
  <si>
    <t>There is factional infighting within the party, leading to division.</t>
  </si>
  <si>
    <t>They are struggling in financial straits, unable to repay their debts.</t>
  </si>
  <si>
    <t>He's always officiously meddling in other people's affairs, making them uncomfortable.</t>
  </si>
  <si>
    <t>Her supercilious attitude and arrogance make people reluctant to approach her.</t>
  </si>
  <si>
    <t>He tried to recollect what he had experienced that night.</t>
  </si>
  <si>
    <t>Unfortunately, there was a traffic mishap, but no one was hurt.</t>
  </si>
  <si>
    <t>Hostile forces spread a lot of disinformation.</t>
  </si>
  <si>
    <t>Her progress was marked within a short period.</t>
  </si>
  <si>
    <t>This putative discovery needs further validation.</t>
  </si>
  <si>
    <t>This issue will resurface in the future.</t>
  </si>
  <si>
    <t>Ancient Rome had many pagan religions.</t>
  </si>
  <si>
    <t>He tried to extenuate his mistakes.</t>
  </si>
  <si>
    <t>His animadversion sparked a debate.</t>
  </si>
  <si>
    <t>Bias in media coverage can influence public perception.</t>
  </si>
  <si>
    <t>Investigators are scrutinizing the company's financial records.</t>
  </si>
  <si>
    <t>His career reached its apogee.</t>
  </si>
  <si>
    <t>He lived in impecunious circumstances.</t>
  </si>
  <si>
    <t>The fireworks display was a spectacular visual feast.</t>
  </si>
  <si>
    <t>The plan is still a half-formulated idea.</t>
  </si>
  <si>
    <t>He became increasingly indolent and stopped working.</t>
  </si>
  <si>
    <t>The plan is just a chimera and cannot be realized.</t>
  </si>
  <si>
    <t>This horror story gave me goosebumps.</t>
  </si>
  <si>
    <t>His perfidious behavior was disappointing.</t>
  </si>
  <si>
    <t>He decided to renounce his claim to the throne.</t>
  </si>
  <si>
    <t>The content of this article is too opaque for me to understand.</t>
  </si>
  <si>
    <t>Learning the terminology of a new field is a challenge.</t>
  </si>
  <si>
    <t>He is good at mimicking animal sounds.</t>
  </si>
  <si>
    <t>She is a very versatile actress.</t>
  </si>
  <si>
    <t>His lengthy speech bore people.</t>
  </si>
  <si>
    <t>This plant proliferates in this region.</t>
  </si>
  <si>
    <t>The supply of this resource is exiguous.</t>
  </si>
  <si>
    <t>The accident was a sobering reminder.</t>
  </si>
  <si>
    <t>His business acumen helped him achieve success.</t>
  </si>
  <si>
    <t>She is considered a perfect paragon of femininity.</t>
  </si>
  <si>
    <t>His opponents constantly assail his policies.</t>
  </si>
  <si>
    <t>This is a colloquial way of expressing it.</t>
  </si>
  <si>
    <t>The meeting was adjourned and will continue next week.</t>
  </si>
  <si>
    <t>He constantly rails against the government's policies.</t>
  </si>
  <si>
    <t>This food doesn't suit plebeian tastes.</t>
  </si>
  <si>
    <t>He is a hardliner when it comes to policies.</t>
  </si>
  <si>
    <t>He raised the question in an oblique manner.</t>
  </si>
  <si>
    <t>Archaeologists are excavating the ruins of this ancient city.</t>
  </si>
  <si>
    <t>His pertinacious attitude kept him going through tough times.</t>
  </si>
  <si>
    <t>This law proscribes smoking in public places.</t>
  </si>
  <si>
    <t>He always guzzles at parties, regardless of the consequences.</t>
  </si>
  <si>
    <t>They need to tackle this complex issue together.</t>
  </si>
  <si>
    <t>Her ingenuousness and honesty make her seem adorable.</t>
  </si>
  <si>
    <t>People began to assemble in the square, preparing to protest.</t>
  </si>
  <si>
    <t>New technology may displace old methods of production.</t>
  </si>
  <si>
    <t>These two parts are interchangeable and can be swapped in the machine.</t>
  </si>
  <si>
    <t>His hubris ultimately led to his downfall.</t>
  </si>
  <si>
    <t>Her question discomfited him, and he couldn't answer.</t>
  </si>
  <si>
    <t>They held a clandestine meeting to discuss their future plans.</t>
  </si>
  <si>
    <t>He's a maverick in the industry, always pursuing innovation.</t>
  </si>
  <si>
    <t>Water is an indispensable part of life.</t>
  </si>
  <si>
    <t>The atmosphere forebodes the arrival of a big storm.</t>
  </si>
  <si>
    <t>He's always reflective and doesn't make decisions lightly.</t>
  </si>
  <si>
    <t>They took measures to preempt the market.</t>
  </si>
  <si>
    <t>This show is just a rehash of old content, with no originality.</t>
  </si>
  <si>
    <t>This new discovery is a significant signal that we are moving in the right direction.</t>
  </si>
  <si>
    <t>Clots in the blood can lead to heart problems.</t>
  </si>
  <si>
    <t>The subtle changes in the music are almost indiscernible.</t>
  </si>
  <si>
    <t>Due to budget constraints, we had to curtail the project's scope.</t>
  </si>
  <si>
    <t>The argument roiled the entire meeting and caused chaos.</t>
  </si>
  <si>
    <t>His behavior is always decorous and leaves a lasting impression.</t>
  </si>
  <si>
    <t>The novel is considered an anodyne, with no exciting plot.</t>
  </si>
  <si>
    <t>The table at the feast was replete with delicious food.</t>
  </si>
  <si>
    <t>This book is an important compendium in the field of history.</t>
  </si>
  <si>
    <t>He deliberately misrepresents facts to make himself look better.</t>
  </si>
  <si>
    <t>She made a decisive decision at a critical moment and saved the situation.</t>
  </si>
  <si>
    <t>Given the limited time, we need to act quickly.</t>
  </si>
  <si>
    <t>She's the backbone of the team, responsible for organizing and coordinating tasks.</t>
  </si>
  <si>
    <t>His conduct is always seemly and in accordance with social etiquette.</t>
  </si>
  <si>
    <t>We should be circumspect before making decisions.</t>
  </si>
  <si>
    <t>The accident resulted in some hideous injuries, and the scene was too gruesome to look at.</t>
  </si>
  <si>
    <t>Your advice is very opportune, and I will implement it immediately.</t>
  </si>
  <si>
    <t>There is a glut of products in the market, leading to oversupply.</t>
  </si>
  <si>
    <t>He kept belaboring the point, which became annoying.</t>
  </si>
  <si>
    <t>The economic recession led to a slump in the real estate market.</t>
  </si>
  <si>
    <t>This issue involves basic principles and concepts.</t>
  </si>
  <si>
    <t>This region has a rich aboriginal culture that is respected.</t>
  </si>
  <si>
    <t>Residents were forced to evacuate due to the threat of a fire.</t>
  </si>
  <si>
    <t>We need to hasten the pace to catch up with the schedule.</t>
  </si>
  <si>
    <t>This box can contain all your clothes.</t>
  </si>
  <si>
    <t>The people in this city are very hospitable and always welcome new friends.</t>
  </si>
  <si>
    <t>Humans have been domesticating dogs for thousands of years.</t>
  </si>
  <si>
    <t>In the political arena, his influence is on the ascendant.</t>
  </si>
  <si>
    <t>He excels in sports and is hailed as a hero in the athletic world.</t>
  </si>
  <si>
    <t>During a volcanic eruption, lava and ash can spew out.</t>
  </si>
  <si>
    <t>In this context, 'wealthy' and 'rich' are synonymous.</t>
  </si>
  <si>
    <t>His obsequious behavior makes people uncomfortable.</t>
  </si>
  <si>
    <t>He always tries to tinker with this old car, but it doesn't seem to work.</t>
  </si>
  <si>
    <t>His orders are always delivered in a peremptory tone, with no room for discussion.</t>
  </si>
  <si>
    <t>His behavior is boorish and often disregards the feelings of others.</t>
  </si>
  <si>
    <t>They are beset by problems and difficulties, feeling overwhelmed.</t>
  </si>
  <si>
    <t>The remuneration for this job is very generous, attracting many applicants.</t>
  </si>
  <si>
    <t>His whereabouts are unknown, and we don't know where he is now.</t>
  </si>
  <si>
    <t>Her assumptive remarks have offended some people who think she is too arrogant.</t>
  </si>
  <si>
    <t>This theory is tenable in the scientific community and has been validated multiple times.</t>
  </si>
  <si>
    <t>Doctors are studying this new pathogen to understand how to prevent its spread.</t>
  </si>
  <si>
    <t>Continuous failures can demoralize a team.</t>
  </si>
  <si>
    <t>This book chronicles the history of this city.</t>
  </si>
  <si>
    <t>He always insinuates in his speech, making people uneasy.</t>
  </si>
  <si>
    <t>This photo is well-printed, with a glossy surface and vibrant colors.</t>
  </si>
  <si>
    <t>Her success story is a spur for others to pursue their dreams.</t>
  </si>
  <si>
    <t>They are trying to siphon water from the river to irrigate the fields.</t>
  </si>
  <si>
    <t>His appetite seems insatiable; he always wants to eat more.</t>
  </si>
  <si>
    <t>They planned a carefully orchestrated murder with premeditation.</t>
  </si>
  <si>
    <t>These two phenomena are akin to some extent.</t>
  </si>
  <si>
    <t>This meeting will cement the friendly relations between the two countries.</t>
  </si>
  <si>
    <t>He has reserved a table, so we can go there with confidence.</t>
  </si>
  <si>
    <t>She craves success and works tirelessly to achieve her dreams.</t>
  </si>
  <si>
    <t>The dispute between them has been amicably resolved.</t>
  </si>
  <si>
    <t>Your views jibe with mine, and we can collaborate.</t>
  </si>
  <si>
    <t>We need to prioritize these important issues.</t>
  </si>
  <si>
    <t>He's a stickler who always pays attention to details.</t>
  </si>
  <si>
    <t>This musical piece evoked a strong sensuous experience.</t>
  </si>
  <si>
    <t>He had to relinquish his dreams for a more stable career.</t>
  </si>
  <si>
    <t>He is a erudite scholar with expertise in multiple fields.</t>
  </si>
  <si>
    <t>His presumptuous behavior is offensive.</t>
  </si>
  <si>
    <t>The schism caused a division within the church.</t>
  </si>
  <si>
    <t>He successfully retrieved the lost jewelry.</t>
  </si>
  <si>
    <t>His sense of humor always manages to make people laugh.</t>
  </si>
  <si>
    <t>It's a hectic workday, and I hardly have time to rest.</t>
  </si>
  <si>
    <t>The direct corollary of this policy is a reduction in pollution.</t>
  </si>
  <si>
    <t>Her humor leavened the gathering and made it more lively.</t>
  </si>
  <si>
    <t>The traffic noise in this city creates a cacophony of jarring sounds.</t>
  </si>
  <si>
    <t>There are distinct disparate differences between these two cultures.</t>
  </si>
  <si>
    <t>Her achievements are impressive and deserving of admiration.</t>
  </si>
  <si>
    <t>The judge was lenient with the criminals, giving them a light sentence.</t>
  </si>
  <si>
    <t>The mountainous region is inaccessible due to its rugged terrain.</t>
  </si>
  <si>
    <t>New technology may supplant old methods of production.</t>
  </si>
  <si>
    <t>The contour of this painting is very clear, depicting the beauty of the mountains.</t>
  </si>
  <si>
    <t>The passage of time is inexorable and unstoppable.</t>
  </si>
  <si>
    <t>This school provides a secular education with no religious courses.</t>
  </si>
  <si>
    <t>This businessman is a hard-nosed negotiator who doesn't easily compromise.</t>
  </si>
  <si>
    <t>These regulations confine the company's scope of operation.</t>
  </si>
  <si>
    <t>The erroneous information in this document has caused further muddle.</t>
  </si>
  <si>
    <t>We encountered some snags that were difficult to resolve in the project.</t>
  </si>
  <si>
    <t>In the future, the application of this technology is conceivable.</t>
  </si>
  <si>
    <t>He dares to defy unjust laws and fight for justice.</t>
  </si>
  <si>
    <t>He's just an art dilettante with no professional expertise.</t>
  </si>
  <si>
    <t>His self-aggrandizing behavior is annoying, as he is too self-absorbed.</t>
  </si>
  <si>
    <t>He used some finesse to solve this complex problem.</t>
  </si>
  <si>
    <t>This plan looks very feasible, and we should give it a try.</t>
  </si>
  <si>
    <t>The cataclysmic earthquake destroyed the entire city.</t>
  </si>
  <si>
    <t>The impact of this issue is visible in society.</t>
  </si>
  <si>
    <t>This project is in its incipient stage and needs further development.</t>
  </si>
  <si>
    <t>This photo is a snapshot of a beautiful moment in our lives.</t>
  </si>
  <si>
    <t>He always lavishly spends money without considering the consequences.</t>
  </si>
  <si>
    <t>The prices at this restaurant are exorbitant and not worth it.</t>
  </si>
  <si>
    <t>This project requires enormous investment to complete.</t>
  </si>
  <si>
    <t>He often introspects his actions and decisions to make improvements.</t>
  </si>
  <si>
    <t>The impact of this policy on certain groups is disproportionate.</t>
  </si>
  <si>
    <t>We need to create an ad hoc plan to address the emergency.</t>
  </si>
  <si>
    <t>His job requires peripatetic travel, often on business trips to different places.</t>
  </si>
  <si>
    <t>His descriptions are always filled with hyperbole, making them hard to believe.</t>
  </si>
  <si>
    <t>The ominously cloudy sky foreshadowed an ominous storm.</t>
  </si>
  <si>
    <t>She felt exhilarated after winning the game.</t>
  </si>
  <si>
    <t>The foreground of this painting is a beautiful garden.</t>
  </si>
  <si>
    <t>She pleaded with her boss for a second chance to correct her mistakes.</t>
  </si>
  <si>
    <t>His speech eviscerated the core of this issue.</t>
  </si>
  <si>
    <t>These data points are discrete, not continuous.</t>
  </si>
  <si>
    <t>The melody of this song is very catchy and easy to remember.</t>
  </si>
  <si>
    <t>The river continually erodes the riverbanks, altering the shape of the riverbed.</t>
  </si>
  <si>
    <t>The rhythm of the music makes people sway and feel joyful.</t>
  </si>
  <si>
    <t>Maintaining discipline is crucial when facing temptation.</t>
  </si>
  <si>
    <t>His caustic remarks hurt the feelings of many people.</t>
  </si>
  <si>
    <t>This event may presage future changes.</t>
  </si>
  <si>
    <t>His views are congruent with the facts and have no contradictions.</t>
  </si>
  <si>
    <t>The storm brought fierce winds, rain, and lightning.</t>
  </si>
  <si>
    <t>His remarks were interpreted as a slur against the group and sparked controversy.</t>
  </si>
  <si>
    <t>He always teases her about her pronunciation, making her feel embarrassed.</t>
  </si>
  <si>
    <t>His response was obviously halfhearted, showing no real interest.</t>
  </si>
  <si>
    <t>The members of this team are highly heterogeneous, with diverse backgrounds and skills.</t>
  </si>
  <si>
    <t>The regime imposed oppressive control over the people, depriving them of their rights.</t>
  </si>
  <si>
    <t>He is contemplating the meaning and purpose of life.</t>
  </si>
  <si>
    <t>She's an indulgent mother who always spoils her children.</t>
  </si>
  <si>
    <t>This city has many ancient buildings and historical relics.</t>
  </si>
  <si>
    <t>He gloated with delight when his competitor failed.</t>
  </si>
  <si>
    <t>These statements are all verifiable facts that have been confirmed.</t>
  </si>
  <si>
    <t>Under these market conditions, there is a fragile equilibrium between supply and demand.</t>
  </si>
  <si>
    <t>His speech was a tribute to the fallen heroes, expressing gratitude.</t>
  </si>
  <si>
    <t>He firmly believes that society should strive for equality and not have class distinctions.</t>
  </si>
  <si>
    <t>His sense of humor always makes people think he's a droll guy.</t>
  </si>
  <si>
    <t>This city is known for its profusion of diverse cuisines, always a food lover's paradise.</t>
  </si>
  <si>
    <t>He grew tired of the mundane everyday life and yearned for adventure and excitement.</t>
  </si>
  <si>
    <t>The mysteries and infinite vastness of the universe are unfathomable.</t>
  </si>
  <si>
    <t>He always crabs about minor issues at work, which is annoying.</t>
  </si>
  <si>
    <t>This route is very circuitous and takes more time to reach the destination.</t>
  </si>
  <si>
    <t>Such behavior can endanger our ecosystem.</t>
  </si>
  <si>
    <t>He's a cagey businessman who always looks for the best deals.</t>
  </si>
  <si>
    <t>They were accused of colluding to commit fraud for illicit gains.</t>
  </si>
  <si>
    <t>This engine can generate powerful thrust to quickly lift the aircraft.</t>
  </si>
  <si>
    <t>This brand carries a high cachet and reputation, making it very popular.</t>
  </si>
  <si>
    <t>His determination makes him not easily cowed or intimidated.</t>
  </si>
  <si>
    <t>His knowledge is encyclopedic, covering many different fields.</t>
  </si>
  <si>
    <t>This law empowers women to hold senior positions, creating opportunities for equal rights.</t>
  </si>
  <si>
    <t>His lifestyle is very austere, without any luxurious indulgence.</t>
  </si>
  <si>
    <t>His actions often appear disingenuous, making it difficult to trust him.</t>
  </si>
  <si>
    <t>This issue continues to preoccupy my thoughts, preventing me from focusing on other tasks.</t>
  </si>
  <si>
    <t>The details of this plan are still nebulous and need further clarification.</t>
  </si>
  <si>
    <t>This diplomatic meeting contributes to the rapprochement and closeness between the two countries.</t>
  </si>
  <si>
    <t>The monstrous creature was terrifying.</t>
  </si>
  <si>
    <t>As the CEO of the company, he is liable for the company's success.</t>
  </si>
  <si>
    <t>This legal regulation is retroactive and will affect past actions.</t>
  </si>
  <si>
    <t>The invasion resulted in widespread plunder and destruction.</t>
  </si>
  <si>
    <t>Prolonged stress can sap energy and weaken the body's resistance.</t>
  </si>
  <si>
    <t>This new technology is expected to reduce energy consumption.</t>
  </si>
  <si>
    <t>The packaging of this brand is very generic, with no distinctive markings.</t>
  </si>
  <si>
    <t>His attitude is marked by asperity, lacking gentleness and patience.</t>
  </si>
  <si>
    <t>The bountiful harvest of this season is pleasantly surprising with a high yield.</t>
  </si>
  <si>
    <t>This horse is very fractious and requires an experienced horse trainer to handle.</t>
  </si>
  <si>
    <t>His behavior is extremely crass, showing no consideration for others' feelings.</t>
  </si>
  <si>
    <t>The traffic accident resulted in a standstill, preventing any movement.</t>
  </si>
  <si>
    <t>Harsh environments can beget criminal behavior.</t>
  </si>
  <si>
    <t>The flu epidemic has spread, causing many people to fall ill.</t>
  </si>
  <si>
    <t>His explanation is very clear and intelligible.</t>
  </si>
  <si>
    <t>Medication can palliate the symptoms of pain but cannot cure the illness.</t>
  </si>
  <si>
    <t>Life is full of vicissitudes and challenges, requiring adaptation to ever-changing circumstances.</t>
  </si>
  <si>
    <t>His noble status allows him to escape punishment and enjoy impunity.</t>
  </si>
  <si>
    <t>His haughty attitude makes him difficult to approach and unpleasant to be around.</t>
  </si>
  <si>
    <t>These seeds have already begun to germinate and grow in the soil.</t>
  </si>
  <si>
    <t>Even in moments of crisis, she can remain unruffled and composed.</t>
  </si>
  <si>
    <t>Their relationship is very cordial, and they always treat each other warmly.</t>
  </si>
  <si>
    <t>He promises to provide ample financial support for this project.</t>
  </si>
  <si>
    <t>They signed a contract that outlines the rights and obligations of both parties.</t>
  </si>
  <si>
    <t>Her reactions are always too histrionic and seem unreal.</t>
  </si>
  <si>
    <t>He feels listless and apathetic, having lost interest in life.</t>
  </si>
  <si>
    <t>She leads a simple life but always feels contented.</t>
  </si>
  <si>
    <t>This concept has a well-defined definition and explanation in the literature.</t>
  </si>
  <si>
    <t>He researched his family's genealogy, tracing the history of several generations.</t>
  </si>
  <si>
    <t>Continuous heavy rain caused the river to swell, resulting in a spate of floods.</t>
  </si>
  <si>
    <t>The people, unhappy with unjust government policies, staged a revolt.</t>
  </si>
  <si>
    <t>He deserves more credit for his excellent work on the project.</t>
  </si>
  <si>
    <t>The doctor recommended inoculating the vaccine to protect against disease.</t>
  </si>
  <si>
    <t>These specific circumstances are exempt from additional fees.</t>
  </si>
  <si>
    <t>He's an avid reader who thirsts for knowledge and constantly pursues new learning.</t>
  </si>
  <si>
    <t>He's a wily businessman who always manages to earn the maximum profit.</t>
  </si>
  <si>
    <t>His behavior is egregiously bad and shocking, intolerable.</t>
  </si>
  <si>
    <t>This achievement is tremendous and unbelievable.</t>
  </si>
  <si>
    <t>This magazine is filled with salacious images and articles.</t>
  </si>
  <si>
    <t>The scenery and amenities at this vacation destination are fabulous.</t>
  </si>
  <si>
    <t>Their opinions are becoming increasingly divergent, making it difficult to reach a consensus.</t>
  </si>
  <si>
    <t>He's always very prudent in investment decisions and never takes risks.</t>
  </si>
  <si>
    <t>She is the protagonist in the novel, and the story revolves around her.</t>
  </si>
  <si>
    <t>He's a rabid fan who always supports his favorite sports team.</t>
  </si>
  <si>
    <t>She choreographed the dance performance, carefully designing each movement.</t>
  </si>
  <si>
    <t>Such behavior may incur legal penalties.</t>
  </si>
  <si>
    <t>This painting is monochromatic, using only black and white colors.</t>
  </si>
  <si>
    <t>He often grumbles about the hardships and unfairness of his job.</t>
  </si>
  <si>
    <t>He attempted to coerce her into making a decision through threats and intimidation.</t>
  </si>
  <si>
    <t>Excessive spoiling can spoil a child and lead to undesirable behavior.</t>
  </si>
  <si>
    <t>He took a deep breath, inhaling the fresh air and feeling calm and peaceful.</t>
  </si>
  <si>
    <t>Abolishing slavery was a historic move that emancipated millions of people.</t>
  </si>
  <si>
    <t>He is fervid about his work and always gives it his all.</t>
  </si>
  <si>
    <t>He tried to temper the dispute to reach consensus among all parties.</t>
  </si>
  <si>
    <t>The rainy weather made the surroundings appear cheerless and mood depressing.</t>
  </si>
  <si>
    <t>He has been involved in charity work, helping those in need.</t>
  </si>
  <si>
    <t>This disease is highly infectious and requires measures to control its spread.</t>
  </si>
  <si>
    <t>Their achievements are immense and have a profound impact on the entire industry.</t>
  </si>
  <si>
    <t>This building is towering and stands out as one of the city's iconic structures.</t>
  </si>
  <si>
    <t>The ancient city was doomed to be hit by a devastating earthquake.</t>
  </si>
  <si>
    <t>He chose to deviate from the traditional path and explore new territory.</t>
  </si>
  <si>
    <t>He proposed a grandiose plan that improved the city's infrastructure.</t>
  </si>
  <si>
    <t>The protesters were vociferous, demanding action from the government.</t>
  </si>
  <si>
    <t>He endured countless obloquy and defamation but still held onto his beliefs.</t>
  </si>
  <si>
    <t>He put on a feigned indifference, but deep inside, he was filled with pain.</t>
  </si>
  <si>
    <t>His interests extend beyond earthly matters to the exploration of the spiritual realm.</t>
  </si>
  <si>
    <t>This sentence uses a metaphor, likening the hardships of life to trials and tribulations.</t>
  </si>
  <si>
    <t>He bowed to the elder as a sign of obeisance, showing respect and gratitude.</t>
  </si>
  <si>
    <t>The Renaissance was a period of cultural and artistic flourishing, with many great works produced.</t>
  </si>
  <si>
    <t>He's a pushover who is easily persuaded and influenced by others.</t>
  </si>
  <si>
    <t>The king decided to abdicate and pass the throne to his son.</t>
  </si>
  <si>
    <t>The meeting lasted for hours, seeming like an interminable debate.</t>
  </si>
  <si>
    <t>This article has a noticeable slant, favoring one side's viewpoint.</t>
  </si>
  <si>
    <t>He always tries to obtrude into other people's conversations, which is annoying.</t>
  </si>
  <si>
    <t>Her record is unblemished, with no negative marks.</t>
  </si>
  <si>
    <t>The company needs to indemnify customers for losses incurred due to product quality issues.</t>
  </si>
  <si>
    <t>This decision is weighty for the future of the company and requires careful consideration.</t>
  </si>
  <si>
    <t>His response seemed very perfunctory, not addressing the question seriously.</t>
  </si>
  <si>
    <t>This project aims to foster young artists and provide them with opportunities.</t>
  </si>
  <si>
    <t>After overeating, his stomach began to distend, causing discomfort.</t>
  </si>
  <si>
    <t>He sought to atone for his sins through extended prayer and penance.</t>
  </si>
  <si>
    <t>This land is very fertile and suitable for agricultural production.</t>
  </si>
  <si>
    <t>The Industrial Revolution was a significant epoch in modern history.</t>
  </si>
  <si>
    <t>His mood is very capricious, making it difficult to predict.</t>
  </si>
  <si>
    <t>She always gravitates toward novel things and explores unknown territories.</t>
  </si>
  <si>
    <t>These measures are aimed at mitigating the impact of climate change.</t>
  </si>
  <si>
    <t>The investigator debunked the scandal, exposing the wrongdoing.</t>
  </si>
  <si>
    <t>She is constantly harassed and feels very uneasy.</t>
  </si>
  <si>
    <t>This match is a showdown between two top teams and has garnered a lot of attention.</t>
  </si>
  <si>
    <t>He's a gourmet with a deep understanding and appreciation of various cuisines.</t>
  </si>
  <si>
    <t>This article successfully encapsulates the key findings of the entire study.</t>
  </si>
  <si>
    <t>His past profligate lifestyle led to financial difficulties.</t>
  </si>
  <si>
    <t>His cavalier and indifferent attitude is off-putting.</t>
  </si>
  <si>
    <t>His mistake was willful; he intentionally violated the rules.</t>
  </si>
  <si>
    <t>She's always witty and quick to respond with humorous remarks.</t>
  </si>
  <si>
    <t>The company keeps touting their new product, claiming it's revolutionary.</t>
  </si>
  <si>
    <t>He's a political ideologue who staunchly advocates specific political ideologies.</t>
  </si>
  <si>
    <t>This production resulted in a surplus of goods that need to be cleared from inventory.</t>
  </si>
  <si>
    <t>She loves this land deeply and cherishes the wonderful moments with her family.</t>
  </si>
  <si>
    <t>He took umbrage at her words and actions, feeling hurt and angry.</t>
  </si>
  <si>
    <t>Smartphones have become ubiquitous, with almost everyone owning one.</t>
  </si>
  <si>
    <t>His athlete's agility is very nimble, allowing him to respond quickly to various challenges.</t>
  </si>
  <si>
    <t>He has a perverse personality, always insisting on his own way.</t>
  </si>
  <si>
    <t>This story is fictitious, purely made up.</t>
  </si>
  <si>
    <t>His prolonged vacillation ultimately led to missing out on the opportunity.</t>
  </si>
  <si>
    <t>He used a microphone to amplify his voice, ensuring that everyone could hear.</t>
  </si>
  <si>
    <t>She had high hopes but was ultimately disenchanted by the harsh reality.</t>
  </si>
  <si>
    <t>A healthy diet should be a balanced combination of various foods.</t>
  </si>
  <si>
    <t>He's a steadfast supporter who never wavers in the face of difficulties.</t>
  </si>
  <si>
    <t>These roads converge in the city center, forming a transportation hub.</t>
  </si>
  <si>
    <t>There is accord in their views, and they have reached a consensus.</t>
  </si>
  <si>
    <t>He tries to underplay his achievements and dislikes excessive bragging.</t>
  </si>
  <si>
    <t>The government declared a state of emergency after the insurrection broke out.</t>
  </si>
  <si>
    <t>Investigators are conducting a probe into the incident to uncover the truth.</t>
  </si>
  <si>
    <t>This building is considered emblematic of the city, representing its culture and history.</t>
  </si>
  <si>
    <t>This plant is predominant in the region and can be found almost everywhere.</t>
  </si>
  <si>
    <t>Her mood is moody, sometimes happy and sometimes sad.</t>
  </si>
  <si>
    <t>This fraud scheme was a sham transaction that swindled many people out of their money.</t>
  </si>
  <si>
    <t>The stream bifurcates into two branches at the valley, forming a small waterfall.</t>
  </si>
  <si>
    <t>These experimental results reveal some fundamental principles that underlie further research.</t>
  </si>
  <si>
    <t>This medication can induce drowsiness and help patients fall asleep.</t>
  </si>
  <si>
    <t>Emergency relief teams provided much-needed succor during the natural disaster.</t>
  </si>
  <si>
    <t>The synergy within this team led to outstanding results.</t>
  </si>
  <si>
    <t>His sarcastic remarks are often delivered with a mordant smile that's hard to bear.</t>
  </si>
  <si>
    <t>He received an encomium filled with praise, recognizing his outstanding achievements.</t>
  </si>
  <si>
    <t>He actively participates in community affairs, striving to fashion a better community.</t>
  </si>
  <si>
    <t>These animals reproduce offspring annually, maintaining population stability.</t>
  </si>
  <si>
    <t>The Ferris wheel began to spin slowly, providing a spectacular view for the visitors.</t>
  </si>
  <si>
    <t>The hallmark of this restaurant is its delicious home-cooked meals, loved by customers.</t>
  </si>
  <si>
    <t>The rain is sporadic, not continuous, and the sun occasionally makes an appearance.</t>
  </si>
  <si>
    <t>He employed various forms of chicanery to deceive people and gain undue benefits.</t>
  </si>
  <si>
    <t>The room's decor is too garish and makes people uncomfortable.</t>
  </si>
  <si>
    <t>This trend is starting to wane, with decreasing interest from people.</t>
  </si>
  <si>
    <t>He eventually faced retribution under the law for his criminal actions.</t>
  </si>
  <si>
    <t>This investigation is very thorough, covering all relevant aspects.</t>
  </si>
  <si>
    <t>The region is abundant with a variety of wildlife species.</t>
  </si>
  <si>
    <t>We need to listen to customer feedback to improve our products and services.</t>
  </si>
  <si>
    <t>The garden had many ornamental statues.</t>
  </si>
  <si>
    <t>The company compensated him for his loss.</t>
  </si>
  <si>
    <t>It's important to appraise the property.</t>
  </si>
  <si>
    <t>The confederacy of nations worked together.</t>
  </si>
  <si>
    <t>Her intuitive understanding impressed us.</t>
  </si>
  <si>
    <t>The artist rendered the scene beautifully.</t>
  </si>
  <si>
    <t>Corruption was rampant in the government.</t>
  </si>
  <si>
    <t>He tried to redeem his reputation.</t>
  </si>
  <si>
    <t>She paid attention to every minutia.</t>
  </si>
  <si>
    <t>It was imprudent to spend so much money.</t>
  </si>
  <si>
    <t>The snake's venom was virulent.</t>
  </si>
  <si>
    <t>They took action to forestall the crisis.</t>
  </si>
  <si>
    <t>She pruned the overgrown bushes.</t>
  </si>
  <si>
    <t>His speech was nothing but a long screed.</t>
  </si>
  <si>
    <t>Don't conflate these two different issues.</t>
  </si>
  <si>
    <t>Her talent overshadowed everyone else's.</t>
  </si>
  <si>
    <t>The pharmacist dispensed the medication.</t>
  </si>
  <si>
    <t>The biography was more hagiography than factual.</t>
  </si>
  <si>
    <t>His advice was invaluable in that situation.</t>
  </si>
  <si>
    <t>The grandeur of the palace was breathtaking.</t>
  </si>
  <si>
    <t>She was cognizant of the risks involved.</t>
  </si>
  <si>
    <t>The passport turned out to be bogus.</t>
  </si>
  <si>
    <t>They had an elaborate plan for the party.</t>
  </si>
  <si>
    <t>The byline of the article was missing.</t>
  </si>
  <si>
    <t>His speech was a jeremiad about the state of the world.</t>
  </si>
  <si>
    <t>The intrinsic value of art is subjective.</t>
  </si>
  <si>
    <t>The movie had a sequel that was even better.</t>
  </si>
  <si>
    <t>The garden had luxuriant vegetation.</t>
  </si>
  <si>
    <t>She had a strong aesthetic sense.</t>
  </si>
  <si>
    <t>The flowers were redolent of spring.</t>
  </si>
  <si>
    <t>Her behavior didn't detract from her talent.</t>
  </si>
  <si>
    <t>The poem had an elegiac tone.</t>
  </si>
  <si>
    <t>The CEO met with her counterpart from the rival company.</t>
  </si>
  <si>
    <t>Her optimism was infectious.</t>
  </si>
  <si>
    <t>The horse's girth needed adjusting.</t>
  </si>
  <si>
    <t>His arrogant attitude rubbed people the wrong way.</t>
  </si>
  <si>
    <t>We all rejoiced at the good news.</t>
  </si>
  <si>
    <t>The stars in the sky cluster together.</t>
  </si>
  <si>
    <t>He tried to cloak his true intentions.</t>
  </si>
  <si>
    <t>Rumors of a scandal were rife.</t>
  </si>
  <si>
    <t>She was accused of being partisan in her opinions.</t>
  </si>
  <si>
    <t>The peripheral characters in the story added depth.</t>
  </si>
  <si>
    <t>The nascent industry showed promise.</t>
  </si>
  <si>
    <t>The company's overt commitment to sustainability was clear.</t>
  </si>
  <si>
    <t>The complex problem nonplussed the researchers.</t>
  </si>
  <si>
    <t>The evidence against him was irrefutable.</t>
  </si>
  <si>
    <t>He began to rant about the government.</t>
  </si>
  <si>
    <t>Her hortatory speech inspired the audience.</t>
  </si>
  <si>
    <t>She was indignant about the unfair treatment.</t>
  </si>
  <si>
    <t>The antecedent events led to the current situation.</t>
  </si>
  <si>
    <t>His comments fueled the controversy.</t>
  </si>
  <si>
    <t>I didn't want to intrude on their conversation.</t>
  </si>
  <si>
    <t>He was always a naysayer, doubting every idea.</t>
  </si>
  <si>
    <t>She took a pragmatic approach to the problem.</t>
  </si>
  <si>
    <t>His whimsical sense of humor made people laugh.</t>
  </si>
  <si>
    <t>It's not fair to belittle her achievements.</t>
  </si>
  <si>
    <t>These berries are edible.</t>
  </si>
  <si>
    <t>Her beneficence helped many people in need.</t>
  </si>
  <si>
    <t>His preternatural strength amazed everyone.</t>
  </si>
  <si>
    <t>The water in the pond was brackish.</t>
  </si>
  <si>
    <t>He was a consummate musician.</t>
  </si>
  <si>
    <t>She presented a compelling proposition.</t>
  </si>
  <si>
    <t>The complex instructions bewildered him.</t>
  </si>
  <si>
    <t>The weather on their wedding day was auspicious.</t>
  </si>
  <si>
    <t>He felt restless and couldn't sleep.</t>
  </si>
  <si>
    <t>Clean water is becoming scarce in some regions.</t>
  </si>
  <si>
    <t>His narcissism made it difficult to work with him.</t>
  </si>
  <si>
    <t>We celebrate our achievements with a party.</t>
  </si>
  <si>
    <t>Her hypercritical comments were hard to bear.</t>
  </si>
  <si>
    <t>The leaders denounced the terrorist attack.</t>
  </si>
  <si>
    <t>The dog had a pedigree that showed its lineage.</t>
  </si>
  <si>
    <t>The unexpected news unsettled him.</t>
  </si>
  <si>
    <t>The traffic congestion was unbearable.</t>
  </si>
  <si>
    <t>She suffered years of abuse in that relationship.</t>
  </si>
  <si>
    <t>The combustion engine revolutionized transportation.</t>
  </si>
  <si>
    <t>Their fates seemed inextricable.</t>
  </si>
  <si>
    <t>His bad advice misguided her decisions.</t>
  </si>
  <si>
    <t>He had a sententious way of speaking.</t>
  </si>
  <si>
    <t>The old building had started to dilapidate.</t>
  </si>
  <si>
    <t>Children often imitate their parents.</t>
  </si>
  <si>
    <t>The hurricane caused destructive damage.</t>
  </si>
  <si>
    <t>Her flamboyant style attracted attention.</t>
  </si>
  <si>
    <t>The mansion was opulent and lavishly decorated.</t>
  </si>
  <si>
    <t>His coarse language offended many people.</t>
  </si>
  <si>
    <t>There was a residual smell in the room.</t>
  </si>
  <si>
    <t>The plant began to languish without water.</t>
  </si>
  <si>
    <t>The corrupt politician was arrested.</t>
  </si>
  <si>
    <t>His comment was meant to insult her.</t>
  </si>
  <si>
    <t>The instruments need to be calibrated regularly.</t>
  </si>
  <si>
    <t>The effulgent sunrise was breathtaking.</t>
  </si>
  <si>
    <t>She agonized over the decision for weeks.</t>
  </si>
  <si>
    <t>Their mutual respect was evident.</t>
  </si>
  <si>
    <t>Her high-minded ideals inspired many.</t>
  </si>
  <si>
    <t>The room was adorned with beautiful artwork.</t>
  </si>
  <si>
    <t>His art is considered contemporary.</t>
  </si>
  <si>
    <t>The air in the mountains is rarefied.</t>
  </si>
  <si>
    <t>The store sells a variety of merchandise.</t>
  </si>
  <si>
    <t>The soldier used leaves to camouflage himself.</t>
  </si>
  <si>
    <t>They were exultant after winning the championship.</t>
  </si>
  <si>
    <t>Her speech was a panegyric to his achievements.</t>
  </si>
  <si>
    <t>He used subterfuge to avoid responsibility.</t>
  </si>
  <si>
    <t>We need to consider alternative solutions.</t>
  </si>
  <si>
    <t>The avant-garde art movement challenged traditional norms.</t>
  </si>
  <si>
    <t>He was obsessed with collecting rare books.</t>
  </si>
  <si>
    <t>The mighty river flowed through the valley.</t>
  </si>
  <si>
    <t>He was found culpable for the crime.</t>
  </si>
  <si>
    <t>The rules seemed to fetter his creativity.</t>
  </si>
  <si>
    <t>His condescending attitude annoyed his colleagues.</t>
  </si>
  <si>
    <t>She took on a temporary job to make ends meet.</t>
  </si>
  <si>
    <t>The company decided to centralize its operations.</t>
  </si>
  <si>
    <t>The halcyon days of their youth were remembered fondly.</t>
  </si>
  <si>
    <t>She looked dejected after the loss.</t>
  </si>
  <si>
    <t>The news caused a wave of hysteria.</t>
  </si>
  <si>
    <t>It was ironic that he got a speeding ticket on his way to a safe driving class.</t>
  </si>
  <si>
    <t>The antebellum period was marked by social and political changes.</t>
  </si>
  <si>
    <t>The market was awash with new products.</t>
  </si>
  <si>
    <t>He warned against overextending the company's resources.</t>
  </si>
  <si>
    <t>The autocrat ruled with absolute authority.</t>
  </si>
  <si>
    <t>The novel described a utopia where everyone lived in peace.</t>
  </si>
  <si>
    <t>The forest was so dense that it seemed impenetrable.</t>
  </si>
  <si>
    <t>They faced many tribulations on their journey.</t>
  </si>
  <si>
    <t>The sentimental movie brought tears to her eyes.</t>
  </si>
  <si>
    <t>They gathered to imbibe the traditional drink.</t>
  </si>
  <si>
    <t>The organization decided to endorse the candidate.</t>
  </si>
  <si>
    <t>His cynical remarks about love were disheartening.</t>
  </si>
  <si>
    <t>They had an intimate relationship.</t>
  </si>
  <si>
    <t>Genetics can predispose individuals to certain health conditions.</t>
  </si>
  <si>
    <t>The organization provides assistance to needy families.</t>
  </si>
  <si>
    <t>He was known for his chivalrous behavior towards women.</t>
  </si>
  <si>
    <t>He had to forfeit his prize money due to a rule violation.</t>
  </si>
  <si>
    <t>Lack of sleep can impair cognitive function.</t>
  </si>
  <si>
    <t>His sudden rage surprised everyone.</t>
  </si>
  <si>
    <t>His glib response didn't address the seriousness of the issue.</t>
  </si>
  <si>
    <t>The comedian burlesqued famous politicians.</t>
  </si>
  <si>
    <t>She was found to be blameless in the accident.</t>
  </si>
  <si>
    <t>The strain of the job was taking a toll on his health.</t>
  </si>
  <si>
    <t>The lackluster performance disappointed the audience.</t>
  </si>
  <si>
    <t>The society was highly stratified.</t>
  </si>
  <si>
    <t>The musician had a wide repertoire of songs.</t>
  </si>
  <si>
    <t>His bumbling attempts at cooking often ended in disaster.</t>
  </si>
  <si>
    <t>Her voice quivered as she spoke about her fears.</t>
  </si>
  <si>
    <t>She gave an emphatic speech in support of the cause.</t>
  </si>
  <si>
    <t>The ancient oracle was believed to foretell the future.</t>
  </si>
  <si>
    <t>His leadership was pivotal to the team's success.</t>
  </si>
  <si>
    <t>The police arrested the suspect.</t>
  </si>
  <si>
    <t>Her actions seemed calculated to achieve a specific goal.</t>
  </si>
  <si>
    <t>His art has the power to transcend cultural boundaries.</t>
  </si>
  <si>
    <t>They had a strong rapport with each other.</t>
  </si>
  <si>
    <t>Employees must conform to company policies.</t>
  </si>
  <si>
    <t>The foundation supports educational initiatives.</t>
  </si>
  <si>
    <t>Some people fetishize material possessions.</t>
  </si>
  <si>
    <t>His braggadocio about his achievements was tiresome.</t>
  </si>
  <si>
    <t>The company made a successful foray into the international market.</t>
  </si>
  <si>
    <t>Plagiarizing someone else's work is unethical.</t>
  </si>
  <si>
    <t>The medical team worked tirelessly to revive the patient.</t>
  </si>
  <si>
    <t>Her gaffe during the speech was embarrassing.</t>
  </si>
  <si>
    <t>She was sympathetic to his plight.</t>
  </si>
  <si>
    <t>His sartorial choices were always impeccable.</t>
  </si>
  <si>
    <t>The timely arrival of help seemed providential.</t>
  </si>
  <si>
    <t>The company's ethos emphasized honesty and integrity.</t>
  </si>
  <si>
    <t>Their laughter filled the room with mirth.</t>
  </si>
  <si>
    <t>He vowed to cleave to his principles.</t>
  </si>
  <si>
    <t>The sudden drop in temperature was an anomaly for this time of year.</t>
  </si>
  <si>
    <t>They peregrinate to different countries every year.</t>
  </si>
  <si>
    <t>The judge enjoined the defendant from leaving the country.</t>
  </si>
  <si>
    <t>He learned to compartmentalize his work and personal life.</t>
  </si>
  <si>
    <t>The virus can be transmitted through airborne particles.</t>
  </si>
  <si>
    <t>His vainglorious boasting turned people away.</t>
  </si>
  <si>
    <t>The curator of the museum is responsible for its exhibits.</t>
  </si>
  <si>
    <t>The tech industry continued to burgeon.</t>
  </si>
  <si>
    <t>She practiced divination to predict the future.</t>
  </si>
  <si>
    <t>We need concrete evidence to support our claims.</t>
  </si>
  <si>
    <t>Her fury was unleashed when she discovered the truth.</t>
  </si>
  <si>
    <t>He espoused the cause of environmental conservation.</t>
  </si>
  <si>
    <t>His sloth prevented him from achieving his goals.</t>
  </si>
  <si>
    <t>The adverse weather conditions delayed the flight.</t>
  </si>
  <si>
    <t>He was exposed as a quack with no medical training.</t>
  </si>
  <si>
    <t>The finale of the concert was breathtaking.</t>
  </si>
  <si>
    <t>His obnoxious behavior made him unpopular.</t>
  </si>
  <si>
    <t>The decision should be made with discretion.</t>
  </si>
  <si>
    <t>Her quirky sense of humor always made people laugh.</t>
  </si>
  <si>
    <t>Her laudatory comments boosted his confidence.</t>
  </si>
  <si>
    <t>His plan to embarrass her backfired when she turned the tables.</t>
  </si>
  <si>
    <t>The chef garnished the dish with fresh herbs.</t>
  </si>
  <si>
    <t>Her earnest dedication to her work was admirable.</t>
  </si>
  <si>
    <t>Learning idiomatic expressions can be challenging for non-native speakers.</t>
  </si>
  <si>
    <t>He reviled his opponent with harsh words.</t>
  </si>
  <si>
    <t>His accession to the throne marked a new era for the country.</t>
  </si>
  <si>
    <t>The office next door has been vacant for months.</t>
  </si>
  <si>
    <t>The virus spread unchecked throughout the city.</t>
  </si>
  <si>
    <t>The heinous crime shocked the community.</t>
  </si>
  <si>
    <t>The room was filled with a fetid odor.</t>
  </si>
  <si>
    <t>Civic engagement is important for a thriving community.</t>
  </si>
  <si>
    <t>They had to overcome many obstacles to achieve their goal.</t>
  </si>
  <si>
    <t>He was known for being taciturn and rarely spoke in social settings.</t>
  </si>
  <si>
    <t>She decided to delve into the history of her family.</t>
  </si>
  <si>
    <t>The authorities confiscated the illegal goods.</t>
  </si>
  <si>
    <t>The flowers began to bloom in the spring.</t>
  </si>
  <si>
    <t>Her abnegation of worldly pleasures was admirable.</t>
  </si>
  <si>
    <t>The regulations trammel the company's ability to innovate.</t>
  </si>
  <si>
    <t>His apathy towards social issues was concerning.</t>
  </si>
  <si>
    <t>The controversial decision divided the community.</t>
  </si>
  <si>
    <t>Reading can enrich your vocabulary.</t>
  </si>
  <si>
    <t>He could conjure rabbits out of a hat.</t>
  </si>
  <si>
    <t>She was amenable to suggestions for improvement.</t>
  </si>
  <si>
    <t>They were stranded on a deserted island.</t>
  </si>
  <si>
    <t>The process is designed to refine the raw material.</t>
  </si>
  <si>
    <t>He had a natural charisma that drew people to him.</t>
  </si>
  <si>
    <t>The requisite qualifications for the job were listed in the job posting.</t>
  </si>
  <si>
    <t>The liberation of the hostages was a moment of joy.</t>
  </si>
  <si>
    <t>The cast-iron skillet is known for its durability.</t>
  </si>
  <si>
    <t>She worked as a missionary in a remote village.</t>
  </si>
  <si>
    <t>His curt response left no room for further discussion.</t>
  </si>
  <si>
    <t>Having a good education can be a significant advantage in life.</t>
  </si>
  <si>
    <t>Her support was instrumental in his success.</t>
  </si>
  <si>
    <t>The employees had a vested interest in the company's success.</t>
  </si>
  <si>
    <t>Years of hard training had inured him to physical pain.</t>
  </si>
  <si>
    <t>She had to resort to legal action to resolve the dispute.</t>
  </si>
  <si>
    <t>The company tried to downplay the negative news.</t>
  </si>
  <si>
    <t>The decadent lifestyle of the rich and famous was on display.</t>
  </si>
  <si>
    <t>His explanation was so nonsensical that no one believed it.</t>
  </si>
  <si>
    <t>The documentary was highly informative about the history of the region.</t>
  </si>
  <si>
    <t>Winning the championship elated the team.</t>
  </si>
  <si>
    <t>His levity in a serious situation was inappropriate.</t>
  </si>
  <si>
    <t>There was an upsurge in interest in the new technology.</t>
  </si>
  <si>
    <t>Her promotion led to invidious comparisons among her colleagues.</t>
  </si>
  <si>
    <t>His impetuous decision had serious consequences.</t>
  </si>
  <si>
    <t>Calling it a 'reform' is a misnomer; it made things worse.</t>
  </si>
  <si>
    <t>Her cunning plan to deceive her rival worked perfectly.</t>
  </si>
  <si>
    <t>His ambivalence about the job offer was evident.</t>
  </si>
  <si>
    <t>The intermediary helped negotiate a compromise.</t>
  </si>
  <si>
    <t>His actions served to undermine trust in the organization.</t>
  </si>
  <si>
    <t>He courted her with flowers and romantic gestures.</t>
  </si>
  <si>
    <t>They dispatched a team to investigate the incident.</t>
  </si>
  <si>
    <t>She flattered her boss to gain favor.</t>
  </si>
  <si>
    <t>The evidence seemed to implicate him in the crime.</t>
  </si>
  <si>
    <t>The soil in the area is permeable, allowing water to drain easily.</t>
  </si>
  <si>
    <t>Their performance is comparable to that of the previous team.</t>
  </si>
  <si>
    <t>The room was devoid of furniture.</t>
  </si>
  <si>
    <t>The new system will expedite the processing of orders.</t>
  </si>
  <si>
    <t>Her prescient predictions about the market proved accurate.</t>
  </si>
  <si>
    <t>She gave him a backhanded compliment that left him confused.</t>
  </si>
  <si>
    <t>He abominated the use of violence to solve problems.</t>
  </si>
  <si>
    <t>The distribution of resources was uneven.</t>
  </si>
  <si>
    <t>She wanted to break free from the stereotype associated with her profession.</t>
  </si>
  <si>
    <t>The ecumenical conference brought together religious leaders from different faiths.</t>
  </si>
  <si>
    <t>The president's actions were deemed impeachable by some members of Congress.</t>
  </si>
  <si>
    <t>Her spiteful comments hurt his feelings.</t>
  </si>
  <si>
    <t>The forthcoming elections generated a lot of excitement.</t>
  </si>
  <si>
    <t>The movie was criticized for its insipid plot and dull characters.</t>
  </si>
  <si>
    <t>She tried to justify her actions, but no one believed her.</t>
  </si>
  <si>
    <t>The counterfeit money was difficult to detect.</t>
  </si>
  <si>
    <t>The provenance of the artwork was carefully documented.</t>
  </si>
  <si>
    <t>His physical handicap did not deter him from pursuing his goals.</t>
  </si>
  <si>
    <t>The harsh winter weather made outdoor activities challenging.</t>
  </si>
  <si>
    <t>The rules constrain what we can do.</t>
  </si>
  <si>
    <t>His genial personality made him easy to get along with.</t>
  </si>
  <si>
    <t>The government moved to quash the rebellion.</t>
  </si>
  <si>
    <t>The recalcitrant employee refused to follow company policies.</t>
  </si>
  <si>
    <t>She fell into the snare of addiction.</t>
  </si>
  <si>
    <t>His abstinence from alcohol improved his health.</t>
  </si>
  <si>
    <t>Her upbeat attitude lifted the spirits of those around her.</t>
  </si>
  <si>
    <t>He was taken aback by the sudden announcement.</t>
  </si>
  <si>
    <t>The prolonged drought had depleted the water supply.</t>
  </si>
  <si>
    <t>The decision to hire new staff is the prerogative of the manager.</t>
  </si>
  <si>
    <t>Their love for each other was unalloyed by doubt or suspicion.</t>
  </si>
  <si>
    <t>Prejudice can prevent us from seeing the truth about others.</t>
  </si>
  <si>
    <t>They researched their family's stemma to trace their ancestry.</t>
  </si>
  <si>
    <t>The river was contaminated by industrial waste.</t>
  </si>
  <si>
    <t>Ignorance of the law is not an excuse for breaking it.</t>
  </si>
  <si>
    <t>His constant delays caused a sense of exasperation among the team.</t>
  </si>
  <si>
    <t>The incumbent president is running for re-election.</t>
  </si>
  <si>
    <t>She has extensive knowledge in the field of science.</t>
  </si>
  <si>
    <t>Her pensive expression indicated deep thought.</t>
  </si>
  <si>
    <t>The shareholders voted to oust the CEO from the company.</t>
  </si>
  <si>
    <t>Her businesslike approach to the project ensured its success.</t>
  </si>
  <si>
    <t>He was contrite and apologized for his mistake.</t>
  </si>
  <si>
    <t>The plant began to wither due to lack of water.</t>
  </si>
  <si>
    <t>His talent in painting was unsurpassed by any of his contemporaries.</t>
  </si>
  <si>
    <t>They embarked on an expedition into uncharted territory.</t>
  </si>
  <si>
    <t>We anticipate a busy day tomorrow.</t>
  </si>
  <si>
    <t>Her virtuosity on the piano was a marvel to behold.</t>
  </si>
  <si>
    <t>She couldn't condone his unethical behavior.</t>
  </si>
  <si>
    <t>The disquiet in the city was palpable as the storm approached.</t>
  </si>
  <si>
    <t>The story of the ghost was considered apocryphal.</t>
  </si>
  <si>
    <t>She had to steer the ship through treacherous waters.</t>
  </si>
  <si>
    <t>His speech ignited a sense of purpose in the audience.</t>
  </si>
  <si>
    <t>Archaeologists unearthed ancient artifacts at the site.</t>
  </si>
  <si>
    <t>The weather was dreary, with constant rain and overcast skies.</t>
  </si>
  <si>
    <t>Her engaging personality made her a favorite at social gatherings.</t>
  </si>
  <si>
    <t>The performance was full of verve and energy.</t>
  </si>
  <si>
    <t>In a crisis, her unflappable demeanor was reassuring to everyone.</t>
  </si>
  <si>
    <t>The surfeit of food at the banquet was overwhelming.</t>
  </si>
  <si>
    <t>She bought a secondhand car to save money.</t>
  </si>
  <si>
    <t>The grand jury chose to indict the suspect on multiple charges.</t>
  </si>
  <si>
    <t>She remained resolute in her commitment to the cause.</t>
  </si>
  <si>
    <t>She interjected with a comment during the discussion.</t>
  </si>
  <si>
    <t>He aimed to master the art of cooking.</t>
  </si>
  <si>
    <t>The instructions were unambiguous and easy to follow.</t>
  </si>
  <si>
    <t>She refused to utter a word in his presence.</t>
  </si>
  <si>
    <t>The limpid waters of the lake were inviting.</t>
  </si>
  <si>
    <t>Her artful manipulation of facts was deceptive.</t>
  </si>
  <si>
    <t>The graffiti marred the beauty of the building.</t>
  </si>
  <si>
    <t>Gold is a ductile metal that can be stretched.</t>
  </si>
  <si>
    <t>Her anger made her seethe with frustration.</t>
  </si>
  <si>
    <t>It took me a while to comprehend the complex idea.</t>
  </si>
  <si>
    <t>The idea that the earth is flat is absurd.</t>
  </si>
  <si>
    <t>The details are of minute importance.</t>
  </si>
  <si>
    <t>Her achievements in science were remarkable.</t>
  </si>
  <si>
    <t>The child was vulnerable and needed protection.</t>
  </si>
  <si>
    <t>Nihilism is a philosophical concept.</t>
  </si>
  <si>
    <t>The movie was a pastiche of classic films.</t>
  </si>
  <si>
    <t>The incursion of enemy forces was unexpected.</t>
  </si>
  <si>
    <t>The train came to a halt at the station.</t>
  </si>
  <si>
    <t>The novel was so engrossing that I couldn't put it down.</t>
  </si>
  <si>
    <t>The car veered off the road and into a ditch.</t>
  </si>
  <si>
    <t>The university offers courses in astronomical science.</t>
  </si>
  <si>
    <t>His prying questions made her uncomfortable.</t>
  </si>
  <si>
    <t>He gave her a contemptuous look.</t>
  </si>
  <si>
    <t>Her magnanimous donation helped many people.</t>
  </si>
  <si>
    <t>The critic's scathing review was harsh.</t>
  </si>
  <si>
    <t>The sweeping changes had a significant impact.</t>
  </si>
  <si>
    <t>Her fatigue was caused by anemia.</t>
  </si>
  <si>
    <t>The room was filled with a malodorous odor.</t>
  </si>
  <si>
    <t>She entreated him to forgive her.</t>
  </si>
  <si>
    <t>Her writing style is overly florid.</t>
  </si>
  <si>
    <t>The new manager aimed to revitalize the company.</t>
  </si>
  <si>
    <t>His petty complaints annoyed everyone.</t>
  </si>
  <si>
    <t>The beach was littered with detritus from the storm.</t>
  </si>
  <si>
    <t>She has a flair for painting.</t>
  </si>
  <si>
    <t>The company decided to sever ties with the supplier.</t>
  </si>
  <si>
    <t>His cryptic message left us puzzled.</t>
  </si>
  <si>
    <t>The teacher's explanation was lucid and easy to follow.</t>
  </si>
  <si>
    <t>Her assiduous work ethic impressed her boss.</t>
  </si>
  <si>
    <t>The criminal managed to elude the police for months.</t>
  </si>
  <si>
    <t>Her goal is to enlighten young minds through education.</t>
  </si>
  <si>
    <t>The steep mountain path was vertiginous.</t>
  </si>
  <si>
    <t>He's so opinionated that he never listens to others.</t>
  </si>
  <si>
    <t>The munificent donation will help many people in need.</t>
  </si>
  <si>
    <t>The government decided to abrogate the old law.</t>
  </si>
  <si>
    <t>The pendulum of the clock swung back and forth.</t>
  </si>
  <si>
    <t>Their lifestyle is unostentatious and simple.</t>
  </si>
  <si>
    <t>The movie followed a formulaic plot.</t>
  </si>
  <si>
    <t>She experienced a sudden bout of vertigo.</t>
  </si>
  <si>
    <t>After years of travel, he longed for a settled life.</t>
  </si>
  <si>
    <t>The university has a lot of prestige in the field of science.</t>
  </si>
  <si>
    <t>They decided to retrofit their old house with modern technology.</t>
  </si>
  <si>
    <t>His attempts to fix the broken vase were futile.</t>
  </si>
  <si>
    <t>The court decided to nullify the contract.</t>
  </si>
  <si>
    <t>The bird's melodious song filled the air.</t>
  </si>
  <si>
    <t>She gave an effusive speech at the wedding.</t>
  </si>
  <si>
    <t>The genteel manners of the host impressed the guests.</t>
  </si>
  <si>
    <t>Climate change is partly due to anthropogenic factors.</t>
  </si>
  <si>
    <t>The confluence of two rivers created a beautiful landscape.</t>
  </si>
  <si>
    <t>The clamorous crowd protested loudly.</t>
  </si>
  <si>
    <t>Despite the obstacles, she persisted in her goals.</t>
  </si>
  <si>
    <t>The warm, slumberous afternoon made her drowsy.</t>
  </si>
  <si>
    <t>The glass was so transparent that you could see through it.</t>
  </si>
  <si>
    <t>He chose to expatriate and live in another country.</t>
  </si>
  <si>
    <t>The company agreed to pay reparations for the damage.</t>
  </si>
  <si>
    <t>The loss of her parents bereaved her of her childhood.</t>
  </si>
  <si>
    <t>The old books in the attic began to molder.</t>
  </si>
  <si>
    <t>Her pessimistic outlook on life was disheartening.</t>
  </si>
  <si>
    <t>The school may expel students who break the rules.</t>
  </si>
  <si>
    <t>The editor decided to expurgate the offensive content.</t>
  </si>
  <si>
    <t>The truth of his statement was self-evident.</t>
  </si>
  <si>
    <t>She took her time to peruse the contract.</t>
  </si>
  <si>
    <t>He tried to sidestep the question and change the topic.</t>
  </si>
  <si>
    <t>She was among her academic peers at the conference.</t>
  </si>
  <si>
    <t>After a long argument, he finally conceded defeat.</t>
  </si>
  <si>
    <t>He was a zealot for the cause and never gave up.</t>
  </si>
  <si>
    <t>She agreed to the plan, albeit reluctantly.</t>
  </si>
  <si>
    <t>The delicious smell tantalized her taste buds.</t>
  </si>
  <si>
    <t>The decorations at the party were tawdry and tasteless.</t>
  </si>
  <si>
    <t>His lucubration on the subject was evident in his thorough research.</t>
  </si>
  <si>
    <t>His analytical approach to problem-solving was effective.</t>
  </si>
  <si>
    <t>The sectarian conflict in the region has lasted for years.</t>
  </si>
  <si>
    <t>One of the pitfalls of the job is the long hours.</t>
  </si>
  <si>
    <t>His comment piqued her interest in the topic.</t>
  </si>
  <si>
    <t>The cartoonist created a caricature of the politician.</t>
  </si>
  <si>
    <t>These shoes are known for their durable quality.</t>
  </si>
  <si>
    <t>The novel featured a villainous character.</t>
  </si>
  <si>
    <t>The vibrant colors of the painting caught my eye.</t>
  </si>
  <si>
    <t>They ascribe their success to hard work and dedication.</t>
  </si>
  <si>
    <t>The buoy marked the location of the hidden treasure.</t>
  </si>
  <si>
    <t>The professor's lecture on quantum physics was recondite.</t>
  </si>
  <si>
    <t>His self-regard prevented him from considering others.</t>
  </si>
  <si>
    <t>She pined for her homeland while living abroad.</t>
  </si>
  <si>
    <t>His unexpected question abashed her.</t>
  </si>
  <si>
    <t>His flattery was nothing more than flummery.</t>
  </si>
  <si>
    <t>The city had a multitudinous array of restaurants.</t>
  </si>
  <si>
    <t>The concept was amorphous and hard to define.</t>
  </si>
  <si>
    <t>The medication can attenuate the symptoms.</t>
  </si>
  <si>
    <t>The word 'home' connotes a sense of comfort and belonging.</t>
  </si>
  <si>
    <t>The evidence presented in court exculpated the defendant.</t>
  </si>
  <si>
    <t>She made an outright refusal to cooperate.</t>
  </si>
  <si>
    <t>The new law will override the old regulations.</t>
  </si>
  <si>
    <t>He was a gourmand who loved trying new dishes.</t>
  </si>
  <si>
    <t>His miserly behavior prevented him from enjoying life.</t>
  </si>
  <si>
    <t>The barbarity of the war shocked the world.</t>
  </si>
  <si>
    <t>The baroque architecture of the palace was stunning.</t>
  </si>
  <si>
    <t>The bishop delivered a sermon at the cathedral.</t>
  </si>
  <si>
    <t>The vines entangle the trees in the forest.</t>
  </si>
  <si>
    <t>His actions brought opprobrium upon his family.</t>
  </si>
  <si>
    <t>The evangelist preached about forgiveness and love.</t>
  </si>
  <si>
    <t>She had to qualify for the scholarship.</t>
  </si>
  <si>
    <t>The stretch of road was elongated to ease traffic.</t>
  </si>
  <si>
    <t>He had a visionary plan for the future of technology.</t>
  </si>
  <si>
    <t>She will recapitulate the main points of the presentation.</t>
  </si>
  <si>
    <t>Taking a shortcut through the woods saved time.</t>
  </si>
  <si>
    <t>The doctor will prescribe medication for your illness.</t>
  </si>
  <si>
    <t>The rapacious businessman would do anything for profit.</t>
  </si>
  <si>
    <t>The two houses are adjacent to each other.</t>
  </si>
  <si>
    <t>The company has a monolithic corporate structure.</t>
  </si>
  <si>
    <t>He will usher you to your seat in the theater.</t>
  </si>
  <si>
    <t>The sudden loud rattle of thunder startled the children.</t>
  </si>
  <si>
    <t>The sweater shrank in the wash.</t>
  </si>
  <si>
    <t>Their computer system is outdated and needs an upgrade.</t>
  </si>
  <si>
    <t>The company was criticized for its cronyism in hiring practices.</t>
  </si>
  <si>
    <t>He is considered the progenitor of modern science.</t>
  </si>
  <si>
    <t>The palace was known for its architectural splendor.</t>
  </si>
  <si>
    <t>His slipshod work was full of errors.</t>
  </si>
  <si>
    <t>The author submitted his manuscript to the publisher.</t>
  </si>
  <si>
    <t>Her duplicity in the matter was revealed.</t>
  </si>
  <si>
    <t>She had to mince the garlic for the sauce.</t>
  </si>
  <si>
    <t>The spider in the corner is innocuous.</t>
  </si>
  <si>
    <t>He sought seclusion in the mountains to find inner peace.</t>
  </si>
  <si>
    <t>The xenophobic policies of the government were widely criticized.</t>
  </si>
  <si>
    <t>Water is an example of a fluid.</t>
  </si>
  <si>
    <t>The commotion in the street drew a crowd.</t>
  </si>
  <si>
    <t>She raised a quizzical eyebrow at his strange request.</t>
  </si>
  <si>
    <t>He was known for his proverbial wisdom.</t>
  </si>
  <si>
    <t>He's always grouchy in the morning.</t>
  </si>
  <si>
    <t>The conversation felt stilted and awkward.</t>
  </si>
  <si>
    <t>Her audacious plan surprised everyone.</t>
  </si>
  <si>
    <t>She felt no compunction about leaving the party early.</t>
  </si>
  <si>
    <t>Their goals were incompatible, leading to conflicts.</t>
  </si>
  <si>
    <t>He would often bemoan the state of the world.</t>
  </si>
  <si>
    <t>The singer can modulate her voice beautifully.</t>
  </si>
  <si>
    <t>The dress was a fitting choice for the occasion.</t>
  </si>
  <si>
    <t>He was an exponent of the minimalist art movement.</t>
  </si>
  <si>
    <t>The museum will juxtapose modern and classical art.</t>
  </si>
  <si>
    <t>The novel is considered a canonical work of literature.</t>
  </si>
  <si>
    <t>His prophetic words seemed to foreshadow the future.</t>
  </si>
  <si>
    <t>The organization's goal is to disseminate information.</t>
  </si>
  <si>
    <t>The crowd was a motley mix of people from all backgrounds.</t>
  </si>
  <si>
    <t>His inscrutable expression gave no clue to his thoughts.</t>
  </si>
  <si>
    <t>The concept of love is intangible but powerful.</t>
  </si>
  <si>
    <t>The cats began to caterwaul loudly in the middle of the night.</t>
  </si>
  <si>
    <t>The political rally attracted thousands of supporters.</t>
  </si>
  <si>
    <t>The uprising against the oppressive regime gained momentum.</t>
  </si>
  <si>
    <t>The fiscal year ends on December 31st.</t>
  </si>
  <si>
    <t>His sacrifice for the greater good was commendable.</t>
  </si>
  <si>
    <t>The unexpected news disconcerted the entire team.</t>
  </si>
  <si>
    <t>The idle machinery was covered in dust.</t>
  </si>
  <si>
    <t>He liked to flout the rules and do things his way.</t>
  </si>
  <si>
    <t>The costume was so grotesque that it scared children.</t>
  </si>
  <si>
    <t>The president must govern the country effectively.</t>
  </si>
  <si>
    <t>Her antipathy toward him was evident in her tone.</t>
  </si>
  <si>
    <t>His shrewd business sense helped him succeed.</t>
  </si>
  <si>
    <t>His thrift allowed him to save money for the future.</t>
  </si>
  <si>
    <t>His importunate requests became annoying over time.</t>
  </si>
  <si>
    <t>The river would meander through the countryside.</t>
  </si>
  <si>
    <t>He chose to betray his friends for personal gain.</t>
  </si>
  <si>
    <t>Your argument seems to presuppose certain assumptions.</t>
  </si>
  <si>
    <t>The old factory was derelict and abandoned.</t>
  </si>
  <si>
    <t>The mystery novel had an intriguing plot.</t>
  </si>
  <si>
    <t>The company was accused of exploiting its workers.</t>
  </si>
  <si>
    <t>She had no demur in accepting the challenge.</t>
  </si>
  <si>
    <t>The propitious weather made for a perfect day.</t>
  </si>
  <si>
    <t>The traditions of the old company had ossified over time.</t>
  </si>
  <si>
    <t>The teacher castigated the student for cheating.</t>
  </si>
  <si>
    <t>Her snobbish attitude made it difficult to befriend her.</t>
  </si>
  <si>
    <t>The landscape was bleak and desolate.</t>
  </si>
  <si>
    <t>She had a query about the project's timeline.</t>
  </si>
  <si>
    <t>The company was known for its ethical business practices.</t>
  </si>
  <si>
    <t>It's important to comply with the rules and regulations.</t>
  </si>
  <si>
    <t>The enigmatic smile on her face puzzled everyone.</t>
  </si>
  <si>
    <t>The soft music had a lulling effect on the baby.</t>
  </si>
  <si>
    <t>Their antagonistic relationship was well-known.</t>
  </si>
  <si>
    <t>The desire for happiness is universal among humans.</t>
  </si>
  <si>
    <t>The ascetic monk lived a simple and austere life.</t>
  </si>
  <si>
    <t>The witness alleged that he had seen the suspect.</t>
  </si>
  <si>
    <t>Their negotiation tactic was to offer a compromise.</t>
  </si>
  <si>
    <t>She had a slender figure and long, graceful limbs.</t>
  </si>
  <si>
    <t>The leak in the roof caused water to drip into the room.</t>
  </si>
  <si>
    <t>The professor's abstruse lecture left the students confused.</t>
  </si>
  <si>
    <t>He had to reiterate his point several times for them to understand.</t>
  </si>
  <si>
    <t>Attendance at the meeting is obligatory for all employees.</t>
  </si>
  <si>
    <t>Her actions seemed to mirror her mother's.</t>
  </si>
  <si>
    <t>And, 'but,' and 'or' are examples of conjunctions.</t>
  </si>
  <si>
    <t>She clutched her purse tightly as she walked through the dark alley.</t>
  </si>
  <si>
    <t>The movie's ending was filled with pathos and brought tears to the audience.</t>
  </si>
  <si>
    <t>He found respite from his busy schedule.</t>
  </si>
  <si>
    <t>The preacher delivered a powerful sermon.</t>
  </si>
  <si>
    <t>He vowed to avenge his friend's death.</t>
  </si>
  <si>
    <t>After the setback, he redoubled his efforts.</t>
  </si>
  <si>
    <t>She was penitent for her mistakes.</t>
  </si>
  <si>
    <t>The annals of history are full of stories.</t>
  </si>
  <si>
    <t>She used a mold to shape the clay.</t>
  </si>
  <si>
    <t>The hot weather made him feel lethargic.</t>
  </si>
  <si>
    <t>Beauty is often considered ephemeral.</t>
  </si>
  <si>
    <t>The exposition showcased local art.</t>
  </si>
  <si>
    <t>The morning fog began to dissipate.</t>
  </si>
  <si>
    <t>The bulky package was difficult to carry.</t>
  </si>
  <si>
    <t>Some people fear an apocalypse.</t>
  </si>
  <si>
    <t>The documentary explored wildlife.</t>
  </si>
  <si>
    <t>Bad weather can hinder travel plans.</t>
  </si>
  <si>
    <t>His success story can motivate others.</t>
  </si>
  <si>
    <t>He managed to bungle the simplest task.</t>
  </si>
  <si>
    <t>Her unrelenting dedication paid off.</t>
  </si>
  <si>
    <t>His disinclination to study was evident.</t>
  </si>
  <si>
    <t>The clown's performance was comical.</t>
  </si>
  <si>
    <t>His clothes were covered in grimy dirt.</t>
  </si>
  <si>
    <t>He's known for being stingy with money.</t>
  </si>
  <si>
    <t>Her talents were truly extraordinary.</t>
  </si>
  <si>
    <t>The book was a diverting read.</t>
  </si>
  <si>
    <t>They made a tentative agreement.</t>
  </si>
  <si>
    <t>The obtrusive billboard blocked the view.</t>
  </si>
  <si>
    <t>She's a voluble speaker.</t>
  </si>
  <si>
    <t>The bitter taste of medicine was awful.</t>
  </si>
  <si>
    <t>His dream seemed unattainable.</t>
  </si>
  <si>
    <t>Hitherto, he had never visited the city.</t>
  </si>
  <si>
    <t>The company imposed draconian rules.</t>
  </si>
  <si>
    <t>He tried to delude them with false promises.</t>
  </si>
  <si>
    <t>The movie's ending was heartrending.</t>
  </si>
  <si>
    <t>They used a computer to simulate the process.</t>
  </si>
  <si>
    <t>Trust is the bedrock of any relationship.</t>
  </si>
  <si>
    <t>They engaged in friendly banter.</t>
  </si>
  <si>
    <t>They quaffed the wine in celebration.</t>
  </si>
  <si>
    <t>He was proud of his progeny.</t>
  </si>
  <si>
    <t>The benefactor donated a large sum of money.</t>
  </si>
  <si>
    <t>She had to drag the heavy suitcase.</t>
  </si>
  <si>
    <t>The evidence seemed to inculpate the suspect.</t>
  </si>
  <si>
    <t>She will persevere in her studies.</t>
  </si>
  <si>
    <t>He maintained his poise under pressure.</t>
  </si>
  <si>
    <t>The government imposed sanctions.</t>
  </si>
  <si>
    <t>The land was barren and could not be farmed.</t>
  </si>
  <si>
    <t>The cause of the fire was inexplicable.</t>
  </si>
  <si>
    <t>The tower began to tilt dangerously.</t>
  </si>
  <si>
    <t>The attorney represented the defendant.</t>
  </si>
  <si>
    <t>Their ideology shaped their beliefs.</t>
  </si>
  <si>
    <t>The professor's lecture was incomprehensible.</t>
  </si>
  <si>
    <t>His objurgation of the team was harsh.</t>
  </si>
  <si>
    <t>The tension in the room was palpable.</t>
  </si>
  <si>
    <t>Their living conditions were abject.</t>
  </si>
  <si>
    <t>She was too timid to speak in public.</t>
  </si>
  <si>
    <t>Her words echoed in the empty room.</t>
  </si>
  <si>
    <t>The long hike left them feeling fatigue.</t>
  </si>
  <si>
    <t>The river forms a natural boundary.</t>
  </si>
  <si>
    <t>He's always been a toady to the boss.</t>
  </si>
  <si>
    <t>He had to tweak the settings to fix the issue.</t>
  </si>
  <si>
    <t>She is naive.</t>
  </si>
  <si>
    <t>Leonardo da Vinci was a polymath.</t>
  </si>
  <si>
    <t>His timely intervention saved the day.</t>
  </si>
  <si>
    <t>Her speech was full of rhetorical flourishes.</t>
  </si>
  <si>
    <t>The summary was succinct and to the point.</t>
  </si>
  <si>
    <t>He couldn't resist making a boast.</t>
  </si>
  <si>
    <t>The report provided a comprehensive analysis.</t>
  </si>
  <si>
    <t>It was just a ploy to gain his trust.</t>
  </si>
  <si>
    <t>His complacent attitude hindered progress.</t>
  </si>
  <si>
    <t>The situation was grave and required action.</t>
  </si>
  <si>
    <t>Can you stomach the taste of this food?</t>
  </si>
  <si>
    <t>His accusations were unfounded.</t>
  </si>
  <si>
    <t>She chose to bequeath her wealth to charity.</t>
  </si>
  <si>
    <t>They decided to grant him the scholarship.</t>
  </si>
  <si>
    <t>She tried to soothe his fears.</t>
  </si>
  <si>
    <t>The plague swept through the city.</t>
  </si>
  <si>
    <t>Their polemic on politics lasted for hours.</t>
  </si>
  <si>
    <t>Her meretricious taste in fashion was evident.</t>
  </si>
  <si>
    <t>The business proved to be quite lucrative.</t>
  </si>
  <si>
    <t>His power was absolute in that country.</t>
  </si>
  <si>
    <t>The chains of poverty were like shackles.</t>
  </si>
  <si>
    <t>He would often prevaricate when asked tough questions.</t>
  </si>
  <si>
    <t>The complex instructions befuddled him.</t>
  </si>
  <si>
    <t>They decided to adopt a child.</t>
  </si>
  <si>
    <t>His belated arrival surprised everyone.</t>
  </si>
  <si>
    <t>Don't waste time on trivial matters.</t>
  </si>
  <si>
    <t>He's known for being a spendthrift.</t>
  </si>
  <si>
    <t>The marketing campaign was overblown.</t>
  </si>
  <si>
    <t>His behavior infuriated his parents.</t>
  </si>
  <si>
    <t>She remained level-headed in a crisis.</t>
  </si>
  <si>
    <t>He offered a sincere apology.</t>
  </si>
  <si>
    <t>The criticism seemed to deflate her spirits.</t>
  </si>
  <si>
    <t>Her self-righteous attitude annoyed others.</t>
  </si>
  <si>
    <t>The storm's arrival is imminent.</t>
  </si>
  <si>
    <t>The author made several emendations.</t>
  </si>
  <si>
    <t>Their research was based on empirical data.</t>
  </si>
  <si>
    <t>She tried not to smother her excitement.</t>
  </si>
  <si>
    <t>Her talent for music was inborn.</t>
  </si>
  <si>
    <t>The restaurant serves exotic dishes.</t>
  </si>
  <si>
    <t>He had a doctrinaire approach to politics.</t>
  </si>
  <si>
    <t>The earthquake devastated the city.</t>
  </si>
  <si>
    <t>The paucity of evidence made the case difficult.</t>
  </si>
  <si>
    <t>They faced dire consequences.</t>
  </si>
  <si>
    <t>The use of funds was discretionary.</t>
  </si>
  <si>
    <t>She could detect a hint of sadness.</t>
  </si>
  <si>
    <t>Their insular community rarely interacted with outsiders.</t>
  </si>
  <si>
    <t>His impertinent comments offended many.</t>
  </si>
  <si>
    <t>They tried to minimize the impact of the mistake.</t>
  </si>
  <si>
    <t>The jacket is designed to insulate against the cold.</t>
  </si>
  <si>
    <t>She explained the rationale behind the decision.</t>
  </si>
  <si>
    <t>The project will commence next week.</t>
  </si>
  <si>
    <t>The negotiations reached an impasse.</t>
  </si>
  <si>
    <t>He was reluctant to admit his mistake.</t>
  </si>
  <si>
    <t>She decided to abandon the project.</t>
  </si>
  <si>
    <t>The book went through several revisions.</t>
  </si>
  <si>
    <t>Their success outstripped their competitors.</t>
  </si>
  <si>
    <t>She was known for her industrious work ethic.</t>
  </si>
  <si>
    <t>The beauty of the landscape filled them with awe.</t>
  </si>
  <si>
    <t>The storm caused severe damage.</t>
  </si>
  <si>
    <t>He was suffering from a mysterious malady.</t>
  </si>
  <si>
    <t>The new policy aimed to entrench their position.</t>
  </si>
  <si>
    <t>Stress can compound health problems.</t>
  </si>
  <si>
    <t>His disquisition on the topic was impressive.</t>
  </si>
  <si>
    <t>His clownish behavior embarrassed everyone.</t>
  </si>
  <si>
    <t>They had no choice but to capitulate.</t>
  </si>
  <si>
    <t>They used a mould to shape the clay.</t>
  </si>
  <si>
    <t>Her clothing choices were always modish.</t>
  </si>
  <si>
    <t>The gift was just a token of their appreciation.</t>
  </si>
  <si>
    <t>They achieved gender parity in the workplace.</t>
  </si>
  <si>
    <t>His bluster couldn't hide his fear.</t>
  </si>
  <si>
    <t>The book is written for nonspecialists.</t>
  </si>
  <si>
    <t>The government issued a mandate.</t>
  </si>
  <si>
    <t>The truism that 'time is money' holds true.</t>
  </si>
  <si>
    <t>Her apparel was always stylish.</t>
  </si>
  <si>
    <t>He had to slam on the brake to stop.</t>
  </si>
  <si>
    <t>She had to assert herself in the meeting.</t>
  </si>
  <si>
    <t>The economic boom led to job growth.</t>
  </si>
  <si>
    <t>They stored the documents in the archive.</t>
  </si>
  <si>
    <t>She was a proponent of environmental protection.</t>
  </si>
  <si>
    <t>Legends often speak of immortality.</t>
  </si>
  <si>
    <t>The conditions in the camp were deplorable.</t>
  </si>
  <si>
    <t>The enemy troops continued to bombard the city.</t>
  </si>
  <si>
    <t>He tried to ingratiate himself with the boss.</t>
  </si>
  <si>
    <t>The article purports to reveal the truth.</t>
  </si>
  <si>
    <t>The leader had a dovish approach to diplomacy.</t>
  </si>
  <si>
    <t>The people rose up against the tyrant.</t>
  </si>
  <si>
    <t>The earthquake was a catastrophe.</t>
  </si>
  <si>
    <t>The information was fragmentary.</t>
  </si>
  <si>
    <t>His words rankled in her memory.</t>
  </si>
  <si>
    <t>Superstition often defies logic.</t>
  </si>
  <si>
    <t>The army was determined to annihilate the enemy.</t>
  </si>
  <si>
    <t>He suffered from a deep sense of ennui.</t>
  </si>
  <si>
    <t>She chose to abstain from alcohol.</t>
  </si>
  <si>
    <t>Owls are nocturnal birds.</t>
  </si>
  <si>
    <t>Poverty can deprive people of opportunities.</t>
  </si>
  <si>
    <t>The Grand Canyon is a natural marvel.</t>
  </si>
  <si>
    <t>The lecture was long and tedious.</t>
  </si>
  <si>
    <t>The elite of society attended the event.</t>
  </si>
  <si>
    <t>The rivalry between the two teams was intense.</t>
  </si>
  <si>
    <t>Her confessional memoir revealed her inner struggles.</t>
  </si>
  <si>
    <t>The constant failures began to dishearten him.</t>
  </si>
  <si>
    <t>His prolix speech bored the audience.</t>
  </si>
  <si>
    <t>The binary system uses 0s and 1s.</t>
  </si>
  <si>
    <t>His criticism was unwarranted.</t>
  </si>
  <si>
    <t>The movie created a strong sense of arousal.</t>
  </si>
  <si>
    <t>The spa treatment helped rejuvenate her.</t>
  </si>
  <si>
    <t>Her beauty was incomparable.</t>
  </si>
  <si>
    <t>She used shorthand to take notes.</t>
  </si>
  <si>
    <t>The invention was revolutionary.</t>
  </si>
  <si>
    <t>She had to sift through the evidence.</t>
  </si>
  <si>
    <t>The skies began to darken before the storm.</t>
  </si>
  <si>
    <t>Their freewheeling lifestyle was unconventional.</t>
  </si>
  <si>
    <t>His self-defeating behavior held him back.</t>
  </si>
  <si>
    <t>He was a forerunner in the field of technology.</t>
  </si>
  <si>
    <t>The container was airtight.</t>
  </si>
  <si>
    <t>He saw the act as a form of expiation.</t>
  </si>
  <si>
    <t>She tried to conceal her emotions.</t>
  </si>
  <si>
    <t>His comments only served to exacerbate the situation.</t>
  </si>
  <si>
    <t>Her philosophy on life was inspiring.</t>
  </si>
  <si>
    <t>The forest had a numinous quality.</t>
  </si>
  <si>
    <t>He was a devoted disciple of the guru.</t>
  </si>
  <si>
    <t>The report had voluminous data.</t>
  </si>
  <si>
    <t>He stood on the grandstand to watch the race.</t>
  </si>
  <si>
    <t>The delicious meal sated their hunger.</t>
  </si>
  <si>
    <t>The island is sparsely peopled.</t>
  </si>
  <si>
    <t>The skittish horse was nervous around strangers.</t>
  </si>
  <si>
    <t>He visited his kinfolk during the holidays.</t>
  </si>
  <si>
    <t>The company began to disintegrate after the scandal.</t>
  </si>
  <si>
    <t>The novel was criticized for being derivative.</t>
  </si>
  <si>
    <t>The construction project was colossal.</t>
  </si>
  <si>
    <t>Voyeurs are often considered invasive.</t>
  </si>
  <si>
    <t>The museum had a new showcase for its artifacts.</t>
  </si>
  <si>
    <t>The impact of the change was negligible.</t>
  </si>
  <si>
    <t>The sudden noise was startling.</t>
  </si>
  <si>
    <t>The country experienced a convulsion.</t>
  </si>
  <si>
    <t>They reached a state of concord.</t>
  </si>
  <si>
    <t>The dispute had pecuniary implications.</t>
  </si>
  <si>
    <t>Her foresight in business was remarkable.</t>
  </si>
  <si>
    <t>He attempted to usurp the throne.</t>
  </si>
  <si>
    <t>The movie's verisimilitude was impressive.</t>
  </si>
  <si>
    <t>The clangorous sound of the bells was deafening.</t>
  </si>
  <si>
    <t>They established a fund for scholarships.</t>
  </si>
  <si>
    <t>His acerbic comments offended many.</t>
  </si>
  <si>
    <t>She didn't mean to disparage your achievements.</t>
  </si>
  <si>
    <t>Her speech animated the audience.</t>
  </si>
  <si>
    <t>His abstemious lifestyle impressed others.</t>
  </si>
  <si>
    <t>His choleric temperament made him difficult to work with.</t>
  </si>
  <si>
    <t>Her positive attitude affected the team.</t>
  </si>
  <si>
    <t>The technology became obsolete.</t>
  </si>
  <si>
    <t>Her taste in music was eclectic.</t>
  </si>
  <si>
    <t>The company had many affiliates around the world.</t>
  </si>
  <si>
    <t>The incessant noise was annoying.</t>
  </si>
  <si>
    <t>His behavior was paradoxical.</t>
  </si>
  <si>
    <t>He had a voracious appetite for knowledge.</t>
  </si>
  <si>
    <t>They posit that climate change is a serious threat.</t>
  </si>
  <si>
    <t>She handled the situation in a tactful manner.</t>
  </si>
  <si>
    <t>He was known as a sophist in the debate.</t>
  </si>
  <si>
    <t>The oversight led to a costly mistake.</t>
  </si>
  <si>
    <t>You need to dilute the solution before using it.</t>
  </si>
  <si>
    <t>The protocol for the event was strict.</t>
  </si>
  <si>
    <t>His comments seemed to nettle her.</t>
  </si>
  <si>
    <t>Her posture suggested confidence.</t>
  </si>
  <si>
    <t>She worked hard to realize her dreams.</t>
  </si>
  <si>
    <t>His argument was very telling.</t>
  </si>
  <si>
    <t>The tumor turned out to be benign.</t>
  </si>
  <si>
    <t>There was a long history of enmity between the two nations.</t>
  </si>
  <si>
    <t>He looked crestfallen after the defeat.</t>
  </si>
  <si>
    <t>She claimed to have clairvoyant powers.</t>
  </si>
  <si>
    <t>They voiced their dissent against the decision.</t>
  </si>
  <si>
    <t>The battle was an epic struggle.</t>
  </si>
  <si>
    <t>The antidote saved his life.</t>
  </si>
  <si>
    <t>He tends to magnify small problems.</t>
  </si>
  <si>
    <t>His self-knowing attitude was refreshing.</t>
  </si>
  <si>
    <t>They fortified the city's defenses.</t>
  </si>
  <si>
    <t>He refused to abase himself in front of the tyrant.</t>
  </si>
  <si>
    <t>The ministration of aid was appreciated.</t>
  </si>
  <si>
    <t>The journey was arduous but rewarding.</t>
  </si>
  <si>
    <t>Amid the chaos, she remained calm.</t>
  </si>
  <si>
    <t>They had to weather the storm of criticism.</t>
  </si>
  <si>
    <t>His performance was unexceptional.</t>
  </si>
  <si>
    <t>The evidence vindicated his innocence.</t>
  </si>
  <si>
    <t>He felt a sense of nostalgia for his hometown.</t>
  </si>
  <si>
    <t>The complex language obfuscated the meaning.</t>
  </si>
  <si>
    <t>His comments triggered a heated debate.</t>
  </si>
  <si>
    <t>He disavowed any knowledge of the scandal.</t>
  </si>
  <si>
    <t>Her answer was unequivocal.</t>
  </si>
  <si>
    <t>They had to undo the damage caused by the fire.</t>
  </si>
  <si>
    <t>She adored her favorite singer.</t>
  </si>
  <si>
    <t>The critic sought to anatomize the film's flaws.</t>
  </si>
  <si>
    <t>He was completely clueless about the subject.</t>
  </si>
  <si>
    <t>They decided to shelve the project.</t>
  </si>
  <si>
    <t>The decision caused outrage among the employees.</t>
  </si>
  <si>
    <t>She felt languid after a long day at work.</t>
  </si>
  <si>
    <t>The construction work impeded traffic.</t>
  </si>
  <si>
    <t>The job entails a lot of responsibility.</t>
  </si>
  <si>
    <t>The blood began to coagulate.</t>
  </si>
  <si>
    <t>Their goals were incommensurable.</t>
  </si>
  <si>
    <t>There is a common misconception about that topic.</t>
  </si>
  <si>
    <t>They all concurred with the decision.</t>
  </si>
  <si>
    <t>Her testimony was crucial to the case.</t>
  </si>
  <si>
    <t>He affirmed his commitment to the cause.</t>
  </si>
  <si>
    <t>The invasive species threatened the ecosystem.</t>
  </si>
  <si>
    <t>They decided to vaccinate their children.</t>
  </si>
  <si>
    <t>He was dismissed from his job.</t>
  </si>
  <si>
    <t>His feeble attempt to lift the weight failed.</t>
  </si>
  <si>
    <t>His bravado masked his fear.</t>
  </si>
  <si>
    <t>They decided to boycott the company's products.</t>
  </si>
  <si>
    <t>His jovial personality was infectious.</t>
  </si>
  <si>
    <t>She was known for her compassionate nature.</t>
  </si>
  <si>
    <t>The situation was precarious.</t>
  </si>
  <si>
    <t>He made a considerable contribution.</t>
  </si>
  <si>
    <t>She was a preeminent scientist.</t>
  </si>
  <si>
    <t>His pithy remarks were memorable.</t>
  </si>
  <si>
    <t>The government used propaganda to shape public opinion.</t>
  </si>
  <si>
    <t>His insolent behavior offended everyone.</t>
  </si>
  <si>
    <t>Her impulsive decisions often got her into trouble.</t>
  </si>
  <si>
    <t>He struggled with his addiction to alcohol.</t>
  </si>
  <si>
    <t>His facile answers didn't satisfy the audience.</t>
  </si>
  <si>
    <t>He was a mogul in the entertainment industry.</t>
  </si>
  <si>
    <t>The sordid details of the scandal were revealed.</t>
  </si>
  <si>
    <t>She adduced evidence to support her argument.</t>
  </si>
  <si>
    <t>The witness corroborated her story.</t>
  </si>
  <si>
    <t>He was a zealous supporter of the cause.</t>
  </si>
  <si>
    <t>The country decided to annex the neighboring territory.</t>
  </si>
  <si>
    <t>There was a plethora of options to choose from.</t>
  </si>
  <si>
    <t>She tried to refute the argument.</t>
  </si>
  <si>
    <t>The store offered one-stop shopping.</t>
  </si>
  <si>
    <t>The consilience of evidence supported their theory.</t>
  </si>
  <si>
    <t>The mutable weather made planning difficult.</t>
  </si>
  <si>
    <t>They needed to take urgent action.</t>
  </si>
  <si>
    <t>His unseemly behavior was embarrassing.</t>
  </si>
  <si>
    <t>The analgesic medication relieved her pain.</t>
  </si>
  <si>
    <t>They lived in primitive conditions.</t>
  </si>
  <si>
    <t>The instructions were clear-cut.</t>
  </si>
  <si>
    <t>They called for a parley to resolve the conflict.</t>
  </si>
  <si>
    <t>She skimmed through the book quickly.</t>
  </si>
  <si>
    <t>He decided to resign from his position.</t>
  </si>
  <si>
    <t>The software was compatible with most operating systems.</t>
  </si>
  <si>
    <t>He was testy when he didn't get his way.</t>
  </si>
  <si>
    <t>He tried to beguile her with sweet words.</t>
  </si>
  <si>
    <t>The dark clouds augur rain.</t>
  </si>
  <si>
    <t>The children were agog with excitement.</t>
  </si>
  <si>
    <t>They offered a discount on the merchandise.</t>
  </si>
  <si>
    <t>The riddle stumped everyone.</t>
  </si>
  <si>
    <t>He had to hew wood for the fire.</t>
  </si>
  <si>
    <t>The news agitated the crowd.</t>
  </si>
  <si>
    <t>Her understanding of human nature is very profound.</t>
  </si>
  <si>
    <t>The smile of that stranger looks somewhat sinister.</t>
  </si>
  <si>
    <t>I can't fathom his motives.</t>
  </si>
  <si>
    <t>Physical education is compulsory in this school.</t>
  </si>
  <si>
    <t>He has a profound understanding of life in senescence.</t>
  </si>
  <si>
    <t>Racial segregation is an unfair policy.</t>
  </si>
  <si>
    <t>She quickly extinguished the fire in the stove.</t>
  </si>
  <si>
    <t>The farmer is shearing the sheep.</t>
  </si>
  <si>
    <t>His language is often figurative and hard to understand.</t>
  </si>
  <si>
    <t>Her smile is so exuberant, it's hard to resist.</t>
  </si>
  <si>
    <t>The judge's ruling appeared very magisterial.</t>
  </si>
  <si>
    <t>His reactions are always too melodramatic to believe.</t>
  </si>
  <si>
    <t>He's an experienced and hard-boiled cop.</t>
  </si>
  <si>
    <t>This ad should appeal to more customers.</t>
  </si>
  <si>
    <t>The game was a titanic victory.</t>
  </si>
  <si>
    <t>I just need a modicum of assistance.</t>
  </si>
  <si>
    <t>Moments of happiness are always fleeting.</t>
  </si>
  <si>
    <t>The fight for his release gathers momentum each day.</t>
  </si>
  <si>
    <t>Time can corrode metal.</t>
  </si>
  <si>
    <t>He attempted to invert the solution to the problem.</t>
  </si>
  <si>
    <t>a staid seaside resort</t>
  </si>
  <si>
    <t>They were in consternation upon hearing the news.</t>
  </si>
  <si>
    <t>We need to conduct preliminary research.</t>
  </si>
  <si>
    <t>This city is a cosmopolitan metropolis.</t>
  </si>
  <si>
    <t>The land is very fertile and suitable for arable farming.</t>
  </si>
  <si>
    <t>The candidate and her supporters went through a lot of hand-wringing as they waited to see the results.</t>
  </si>
  <si>
    <t>I have some misgivings about this plan.</t>
  </si>
  <si>
    <t>Despite his unprepossessing appearance, he is kind-hearted.</t>
  </si>
  <si>
    <t>The argument precipitated the resignation of the government.</t>
  </si>
  <si>
    <t>I wholeheartedly second your point of view.</t>
  </si>
  <si>
    <t>His speech was full of cliches.</t>
  </si>
  <si>
    <t>The issue seemed inconsequential in the overall discussion.</t>
  </si>
  <si>
    <t>The glint in his eye was a telltale sign of his excitement.</t>
  </si>
  <si>
    <t>This is a hazardous task.</t>
  </si>
  <si>
    <t>The concert was truly terrific!</t>
  </si>
  <si>
    <t>This painting is considered a cultural treasure.</t>
  </si>
  <si>
    <t>Blood clots can occlude blood vessels.</t>
  </si>
  <si>
    <t>He provided enough evidence to substantiate his claim.</t>
  </si>
  <si>
    <t>Her work ethic has been unflagging.</t>
  </si>
  <si>
    <t>The design is very utilitarian, with no unnecessary decoration.</t>
  </si>
  <si>
    <t>His fidelity to his friends is unquestionable.</t>
  </si>
  <si>
    <t>The corrupt politicians should be punished.</t>
  </si>
  <si>
    <t>We're a group of like-minded people who have stayed in close touch.</t>
  </si>
  <si>
    <t>His behavior is full of hypocrisy and unsettling.</t>
  </si>
  <si>
    <t>Her success flabbergasted him.</t>
  </si>
  <si>
    <t>We finally reached a consensus.</t>
  </si>
  <si>
    <t>The proposal sounds very reasonable.</t>
  </si>
  <si>
    <t>His exactitude in details is impressive.</t>
  </si>
  <si>
    <t>Don't listen to scaremongers.</t>
  </si>
  <si>
    <t>The concert was the culmination of his career.</t>
  </si>
  <si>
    <t>He only has rudimentary computer knowledge.</t>
  </si>
  <si>
    <t>Her room is always kept very orderly.</t>
  </si>
  <si>
    <t>The court decided to invalidate the contract.</t>
  </si>
  <si>
    <t>He retracted his statement shortly after making it.</t>
  </si>
  <si>
    <t>This book provides synoptic information about the field.</t>
  </si>
  <si>
    <t>She's always so kind and trusting.</t>
  </si>
  <si>
    <t>Their plan seems to overreach.</t>
  </si>
  <si>
    <t>This question stumped him.</t>
  </si>
  <si>
    <t>His fealty to the king is unquestionable.</t>
  </si>
  <si>
    <t>The government took measures to stem the violence.</t>
  </si>
  <si>
    <t>I feel like I'm suffocating.</t>
  </si>
  <si>
    <t>This device is an adjunct to our system.</t>
  </si>
  <si>
    <t>His speech was full of platitudinous phrases.</t>
  </si>
  <si>
    <t>He chose brute force over negotiation, causing more chaos.</t>
  </si>
  <si>
    <t>The cathedral is very grand.</t>
  </si>
  <si>
    <t>Our time is very limited, and resources are insufficient.</t>
  </si>
  <si>
    <t>In that place, he can be untrammeled.</t>
  </si>
  <si>
    <t>His achievements almost eclipse those of others.</t>
  </si>
  <si>
    <t>This song always stirs people's emotions.</t>
  </si>
  <si>
    <t>He's very loath to attend the party.</t>
  </si>
  <si>
    <t>Her words were too flippant for this serious occasion.</t>
  </si>
  <si>
    <t>The company provides employees with a lot of latitude.</t>
  </si>
  <si>
    <t>These two situations are very analogous.</t>
  </si>
  <si>
    <t>These changes are almost imperceptible.</t>
  </si>
  <si>
    <t>He took a deep breath and exhaled slowly.</t>
  </si>
  <si>
    <t>His observations are very sharp.</t>
  </si>
  <si>
    <t>The solution to this problem is labyrinthine.</t>
  </si>
  <si>
    <t>The boat lurched suddenly, making us dizzy.</t>
  </si>
  <si>
    <t>He successfully inveigled her into joining the scheme.</t>
  </si>
  <si>
    <t>The experience was salutary for her.</t>
  </si>
  <si>
    <t>The relationship between these two teams has always been adversarial.</t>
  </si>
  <si>
    <t>The city is going through an economic decay.</t>
  </si>
  <si>
    <t>His attitude is always overbearing and arrogant.</t>
  </si>
  <si>
    <t>This glass is very fragile; handle with care.</t>
  </si>
  <si>
    <t>They repealed the unpopular law.</t>
  </si>
  <si>
    <t>Their response was just lukewarm applause.</t>
  </si>
  <si>
    <t>This terrifying movie kept me awake all night.</t>
  </si>
  <si>
    <t>The old professor is widely venerated.</t>
  </si>
  <si>
    <t>Honesty is an important virtue.</t>
  </si>
  <si>
    <t>His followers are always sycophantic towards him.</t>
  </si>
  <si>
    <t>He was accused of pilfering confidential documents from the company.</t>
  </si>
  <si>
    <t>The company has been pioneering new technologies.</t>
  </si>
  <si>
    <t>The region has beautiful pastoral landscapes.</t>
  </si>
  <si>
    <t>This project requires interdisciplinary collaboration.</t>
  </si>
  <si>
    <t>His understanding is very obtuse and requires more explanation.</t>
  </si>
  <si>
    <t>Despite his success, he remains humble.</t>
  </si>
  <si>
    <t>They made a mockery of his dreams.</t>
  </si>
  <si>
    <t>His jokes are always trite and lacking in originality.</t>
  </si>
  <si>
    <t>She felt despair as her efforts bore no fruit.</t>
  </si>
  <si>
    <t>This song glorifies the power of love.</t>
  </si>
  <si>
    <t>Enemy pressure forced them to retreat.</t>
  </si>
  <si>
    <t>He was immured in this small room for a year.</t>
  </si>
  <si>
    <t>He's a vigilant bodyguard, always on alert.</t>
  </si>
  <si>
    <t>They ejected him from the bar.</t>
  </si>
  <si>
    <t>These comments are extraneous and should be ignored.</t>
  </si>
  <si>
    <t>The progression of this disease is insidious and shouldn't be ignored.</t>
  </si>
  <si>
    <t>Please elucidate your point of view.</t>
  </si>
  <si>
    <t>The goal of this program is to rehabilitate addicts.</t>
  </si>
  <si>
    <t>He is a very affable teacher.</t>
  </si>
  <si>
    <t>The story is a series of episodic incidents.</t>
  </si>
  <si>
    <t>He remained phlegmatic during the crisis.</t>
  </si>
  <si>
    <t>The king had a large retinue.</t>
  </si>
  <si>
    <t>The answer to this question is very convoluted.</t>
  </si>
  <si>
    <t>His behavior is always brash and unpleasant.</t>
  </si>
  <si>
    <t>Luck finally reversed, and they won the game.</t>
  </si>
  <si>
    <t>Their statements are contradictory and cannot be reconciled.</t>
  </si>
  <si>
    <t>The rain blurred the image.</t>
  </si>
  <si>
    <t>He was accused of involvement in a political machination.</t>
  </si>
  <si>
    <t>He often extols her intelligence.</t>
  </si>
  <si>
    <t>This was a downright failure.</t>
  </si>
  <si>
    <t>He stood at the threshold of success.</t>
  </si>
  <si>
    <t>He was blamed for the failure and subjected to vituperation.</t>
  </si>
  <si>
    <t>His malicious comments hurt the feelings of many.</t>
  </si>
  <si>
    <t>The city was once an erstwhile bustling port.</t>
  </si>
  <si>
    <t>This issue doesn't pertain to our discussion as it's not relevant.</t>
  </si>
  <si>
    <t>This painting is highly emotive.</t>
  </si>
  <si>
    <t>She often sequesters herself in her room, avoiding social interaction.</t>
  </si>
  <si>
    <t>There has been a hostile relationship between the two countries.</t>
  </si>
  <si>
    <t>He is very unyielding in sticking to his position.</t>
  </si>
  <si>
    <t>These profitmongers only care about their own profits, not the interests of their customers.</t>
  </si>
  <si>
    <t>His nationalism and chauvinism are off-putting.</t>
  </si>
  <si>
    <t>He attempted to manipulate the outcome of the vote.</t>
  </si>
  <si>
    <t>He tried to repress his emotions.</t>
  </si>
  <si>
    <t>This factor is preponderant in the decision-making process.</t>
  </si>
  <si>
    <t>This is a treacherous mountain road.</t>
  </si>
  <si>
    <t>The women's suffrage movement was successful.</t>
  </si>
  <si>
    <t>He received the national laurel award.</t>
  </si>
  <si>
    <t>He's a feckless leader with no initiative.</t>
  </si>
  <si>
    <t>The actor is a multifaceted artist.</t>
  </si>
  <si>
    <t>He tried to intimidate her with threats.</t>
  </si>
  <si>
    <t>The perspective in this small town is very parochial.</t>
  </si>
  <si>
    <t>The company holds proprietary ownership of this software.</t>
  </si>
  <si>
    <t>He tried to extrapolate unknown trends from known data.</t>
  </si>
  <si>
    <t>This program aims to invigorate innovative thinking.</t>
  </si>
  <si>
    <t>His stride is brisk and full of energy.</t>
  </si>
  <si>
    <t>We hope to have an unencumbered life.</t>
  </si>
  <si>
    <t>The cows graze in the field.</t>
  </si>
  <si>
    <t>Her temperament is gentle and calm.</t>
  </si>
  <si>
    <t>This article contains a discussion of abstract concepts.</t>
  </si>
  <si>
    <t>His silence was interpreted as acquiescence to the plan.</t>
  </si>
  <si>
    <t>This terminology is pejorative towards his work.</t>
  </si>
  <si>
    <t>She immersed herself in her book and lost track of time.</t>
  </si>
  <si>
    <t>This is just a provisional solution that needs further discussion.</t>
  </si>
  <si>
    <t>This company has a monopoly on telecommunications in the region.</t>
  </si>
  <si>
    <t>The sign is so unmistakable that it can't be mistaken.</t>
  </si>
  <si>
    <t>Her behavior is always impeccable.</t>
  </si>
  <si>
    <t>They worked hard to vanquish their opponents.</t>
  </si>
  <si>
    <t>They tried to circumvent these legal regulations.</t>
  </si>
  <si>
    <t>The company plans to consolidate its position in the market.</t>
  </si>
  <si>
    <t>She wore a gown made of gossamer fabric.</t>
  </si>
  <si>
    <t>This animal behavior exhibits atavistic characteristics.</t>
  </si>
  <si>
    <t>She misunderstood my words and completely misconstrued my meaning.</t>
  </si>
  <si>
    <t>He's a very stubborn person who doesn't change his mind easily.</t>
  </si>
  <si>
    <t>His attitude is conciliatory and aims to resolve conflicts.</t>
  </si>
  <si>
    <t>The political situation in this region is a welter of confusion.</t>
  </si>
  <si>
    <t>These principles are the fundamental basis of our company's success.</t>
  </si>
  <si>
    <t>Immigrants hope to assimilate quickly into the new society.</t>
  </si>
  <si>
    <t>This project has the potential to resurrect the city's economy.</t>
  </si>
  <si>
    <t>Due to time constraints, we must abridge the speech.</t>
  </si>
  <si>
    <t>This issue has become increasingly complicated.</t>
  </si>
  <si>
    <t>They use the vernacular in their everyday communication.</t>
  </si>
  <si>
    <t>This industry has been moribund for years.</t>
  </si>
  <si>
    <t>He was charged with misfeasance.</t>
  </si>
  <si>
    <t>He was dubbed the 'piano maestro.'</t>
  </si>
  <si>
    <t>Areas of discrepancy need further verification.</t>
  </si>
  <si>
    <t>He tried to eschew discussions related to the issue.</t>
  </si>
  <si>
    <t>The city is notorious for its high crime rate.</t>
  </si>
  <si>
    <t>She has always had a yen for a stable job.</t>
  </si>
  <si>
    <t>This case requires judicial review.</t>
  </si>
  <si>
    <t>She is a very vivacious and fun person.</t>
  </si>
  <si>
    <t>This environment is conducive to learning.</t>
  </si>
  <si>
    <t>This container is completely hermetic and doesn't allow air to enter.</t>
  </si>
  <si>
    <t>The decision is equitable and doesn't favor any party.</t>
  </si>
  <si>
    <t>He was accused of falsifying documents to deceive the company.</t>
  </si>
  <si>
    <t>These two companies plan to coalesce into a larger entity.</t>
  </si>
  <si>
    <t>This organization seems to have become a self-perpetuating machine.</t>
  </si>
  <si>
    <t>He tried to buck the company's policy but wasn't successful.</t>
  </si>
  <si>
    <t>He's always hasty and doesn't think things through.</t>
  </si>
  <si>
    <t>This test is the touchstone for measuring their skills.</t>
  </si>
  <si>
    <t>He couldn't brook such unfair treatment.</t>
  </si>
  <si>
    <t>These two views are inverse.</t>
  </si>
  <si>
    <t>He tried to placate her anger with gifts.</t>
  </si>
  <si>
    <t>This horse is so refractory, it's almost uncontrollable.</t>
  </si>
  <si>
    <t>He managed to procure an ideal job.</t>
  </si>
  <si>
    <t>This viewpoint is prevalent in society.</t>
  </si>
  <si>
    <t>He always approaches his work with a punctilious attitude.</t>
  </si>
  <si>
    <t>Faced with adversity, she showed a stoic attitude.</t>
  </si>
  <si>
    <t>This team has a great deal of cultural diversity.</t>
  </si>
  <si>
    <t>This scandal tainted the company's reputation.</t>
  </si>
  <si>
    <t>It was just a momentary decision.</t>
  </si>
  <si>
    <t>This policy aims to accelerate economic growth.</t>
  </si>
  <si>
    <t>Their differences have led to estrangement between them.</t>
  </si>
  <si>
    <t>His explanation is very pellucid with no ambiguity.</t>
  </si>
  <si>
    <t>That person gave a baleful glance that was unsettling.</t>
  </si>
  <si>
    <t>Her success story prompted others to strive for success.</t>
  </si>
  <si>
    <t>This information is easily accessible.</t>
  </si>
  <si>
    <t>His fanciful world is always filled with fantastic ideas.</t>
  </si>
  <si>
    <t>The building is too flimsy to withstand an earthquake.</t>
  </si>
  <si>
    <t>This land is very fecund and suitable for growing various crops.</t>
  </si>
  <si>
    <t>He alluded to some historical events but didn't go into detail.</t>
  </si>
  <si>
    <t>She completed the task with deft gestures.</t>
  </si>
  <si>
    <t>This medication can alleviate pain.</t>
  </si>
  <si>
    <t>His speech was filled with lies and mendacity.</t>
  </si>
  <si>
    <t>Her actions mortified and pained her family.</t>
  </si>
  <si>
    <t>This disease is a malignant form of cancer.</t>
  </si>
  <si>
    <t>The deep rancor between them has persisted for a long time.</t>
  </si>
  <si>
    <t>She is always blithe and carefree.</t>
  </si>
  <si>
    <t>The negotiations reached a stalemate with no progress made.</t>
  </si>
  <si>
    <t>He stood on the brink of the cliff, looking down into the gorge.</t>
  </si>
  <si>
    <t>I can only surmise her true intentions.</t>
  </si>
  <si>
    <t>Her success is enviable to everyone.</t>
  </si>
  <si>
    <t>He abhors acts of violence deeply.</t>
  </si>
  <si>
    <t>These two states are coterminous, sharing a long border.</t>
  </si>
  <si>
    <t>Her heartless behavior is hard to comprehend.</t>
  </si>
  <si>
    <t>His appetite is good; he eats almost anything.</t>
  </si>
  <si>
    <t>The river water became turbid due to sedimentation.</t>
  </si>
  <si>
    <t>This city has been beleaguered by the enemy for a long time.</t>
  </si>
  <si>
    <t>established companies and start-ups</t>
  </si>
  <si>
    <t>This behavior violates the company's policy.</t>
  </si>
  <si>
    <t>His lies have reached a pathological level.</t>
  </si>
  <si>
    <t>The work of the pioneers precedes others in scientific research.</t>
  </si>
  <si>
    <t>This material is very brittle and prone to breaking.</t>
  </si>
  <si>
    <t>He's an ardent supporter.</t>
  </si>
  <si>
    <t>His proposal met with rejection.</t>
  </si>
  <si>
    <t>This company is thriving in the market.</t>
  </si>
  <si>
    <t>This medication has no actual effect in treatment; it's just a placebo.</t>
  </si>
  <si>
    <t>This policy is a radical reform.</t>
  </si>
  <si>
    <t>He is a luminary in the field.</t>
  </si>
  <si>
    <t>They plan to dismantle this old building.</t>
  </si>
  <si>
    <t>She always shows discretion and composure.</t>
  </si>
  <si>
    <t>He agreed with alacrity and without hesitation.</t>
  </si>
  <si>
    <t>This ancient castle has started to crumble.</t>
  </si>
  <si>
    <t>She always coddles her grandson.</t>
  </si>
  <si>
    <t>He tried to interlope into the company's confidential meeting.</t>
  </si>
  <si>
    <t>These companies are all competing rivals.</t>
  </si>
  <si>
    <t>The thick smoke almost choked him.</t>
  </si>
  <si>
    <t>She implored them not to leave her.</t>
  </si>
  <si>
    <t>The economy of this country is growing rapidly.</t>
  </si>
  <si>
    <t>These factors together constitute the key to success.</t>
  </si>
  <si>
    <t>He vehemently repudiated the accusations.</t>
  </si>
  <si>
    <t>He's a football fanatic who watches every game.</t>
  </si>
  <si>
    <t>His appetite is omnivorous; he eats everything.</t>
  </si>
  <si>
    <t>He was chastised for his mistake.</t>
  </si>
  <si>
    <t>This car needs an overhaul to function properly.</t>
  </si>
  <si>
    <t>They are trying to perpetuate this tradition permanently.</t>
  </si>
  <si>
    <t>The old building will be demolished to make way for a new office tower.</t>
  </si>
  <si>
    <t>The ruler of that country is seen as a despot.</t>
  </si>
  <si>
    <t>His moods are always mercurial and hard to predict.</t>
  </si>
  <si>
    <t>Children must learn obedience to their parents' rules.</t>
  </si>
  <si>
    <t>His brazenness is astonishing.</t>
  </si>
  <si>
    <t>There are many budding companies in this industry.</t>
  </si>
  <si>
    <t>He found a pretext to avoid going to the party.</t>
  </si>
  <si>
    <t>This poison is lethal and baneful to humans.</t>
  </si>
  <si>
    <t>His behavior was an aberration from his usual demeanor.</t>
  </si>
  <si>
    <t>He is a diligent student who always works hard.</t>
  </si>
  <si>
    <t>This decision is not consonant with our values.</t>
  </si>
  <si>
    <t>This problem always confounds me.</t>
  </si>
  <si>
    <t>He spurned the temptation of money and chose loyalty and honesty.</t>
  </si>
  <si>
    <t>His flagrant behavior caused widespread anger.</t>
  </si>
  <si>
    <t>He eventually succumbed to the illness and tragically passed away.</t>
  </si>
  <si>
    <t>This product has a serious defect and needs to be recalled.</t>
  </si>
  <si>
    <t>His comments were very pertinent to our discussion.</t>
  </si>
  <si>
    <t>He duplicated the document for backup.</t>
  </si>
  <si>
    <t>He's always willing to shoulder more work.</t>
  </si>
  <si>
    <t>He did a slew of household chores.</t>
  </si>
  <si>
    <t>He becomes petulant when he doesn't get what he wants.</t>
  </si>
  <si>
    <t>Two cars hurtled into each other with a loud crash.</t>
  </si>
  <si>
    <t>His speeches are always long-winded and tiresome.</t>
  </si>
  <si>
    <t>His words helped allay the tense atmosphere.</t>
  </si>
  <si>
    <t>Water seeped through the roof, causing a leak.</t>
  </si>
  <si>
    <t>He works hard to maintain his health and physique.</t>
  </si>
  <si>
    <t>This task is very irksome and annoying.</t>
  </si>
  <si>
    <t>She's always willing to reciprocate help to those who've assisted her.</t>
  </si>
  <si>
    <t>We must work to extirpate this issue.</t>
  </si>
  <si>
    <t>This disaster nearly obliterated the entire village.</t>
  </si>
  <si>
    <t>This author is very prolific, having published many bestsellers.</t>
  </si>
  <si>
    <t>He garnered widespread support in the election.</t>
  </si>
  <si>
    <t>This pillar must remain upright to ensure the stability of the structure.</t>
  </si>
  <si>
    <t>They were unwilling to compromise and stuck to their positions.</t>
  </si>
  <si>
    <t>The international community imposed an embargo on the country.</t>
  </si>
  <si>
    <t>Her glamorous attire was very conspicuous at the party.</t>
  </si>
  <si>
    <t>They made a makeshift table using some boards and rope.</t>
  </si>
  <si>
    <t>This reaction was involuntary; I couldn't control it.</t>
  </si>
  <si>
    <t>He always maintains an equable attitude unaffected by external factors.</t>
  </si>
  <si>
    <t>Love is an everlasting theme that runs through literature and art.</t>
  </si>
  <si>
    <t>He issued an adjuration, hoping to receive assistance.</t>
  </si>
  <si>
    <t>The university received a substantial endowment for building a new campus.</t>
  </si>
  <si>
    <t>His response was very terse, without any extra words.</t>
  </si>
  <si>
    <t>This religious ceremony follows orthodox rituals and traditions.</t>
  </si>
  <si>
    <t>This proposal has raised a lot of dubious questions.</t>
  </si>
  <si>
    <t>The sky was somber, foreshadowing the arrival of a storm.</t>
  </si>
  <si>
    <t>The building looks like gingerbread on the outside, but it's empty inside, just a façade.</t>
  </si>
  <si>
    <t>He displayed ineptitude in this position.</t>
  </si>
  <si>
    <t>This document contains a lot of redundant information.</t>
  </si>
  <si>
    <t>She always strives to emulate her idols.</t>
  </si>
  <si>
    <t>Long hours of work made him feel very weary.</t>
  </si>
  <si>
    <t>He reckoned that the task would take a day to complete.</t>
  </si>
  <si>
    <t>His attitude towards us is unfriendly and inimical.</t>
  </si>
  <si>
    <t>He felt a profound lassitude and couldn't continue working.</t>
  </si>
  <si>
    <t>He asseverated his innocence.</t>
  </si>
  <si>
    <t>This animal is sluggish and hardly moves.</t>
  </si>
  <si>
    <t>The stars in the night sky look so ethereal, like a heavenly realm.</t>
  </si>
  <si>
    <t>He is a guru in the field of computer science.</t>
  </si>
  <si>
    <t>This argument is a tautology and doesn't provide any new information.</t>
  </si>
  <si>
    <t>Her extravagant lifestyle seems ostentatious and not genuine.</t>
  </si>
  <si>
    <t>This policy aims to facilitate international trade.</t>
  </si>
  <si>
    <t>They got lost in the bog.</t>
  </si>
  <si>
    <t>This plant is very hardy and can survive in harsh conditions.</t>
  </si>
  <si>
    <t>This innovative design is very refreshing.</t>
  </si>
  <si>
    <t>The prolonged illness enervated her greatly.</t>
  </si>
  <si>
    <t>This unfamiliar place looks very forbidding.</t>
  </si>
  <si>
    <t>He likened himself to a bird, free and unburdened.</t>
  </si>
  <si>
    <t>The connection between them is very tenuous, almost negligible.</t>
  </si>
  <si>
    <t>He's always scrupulous in his work, meticulously handling every detail.</t>
  </si>
  <si>
    <t>The company's business practices are sleazy and lack ethics.</t>
  </si>
  <si>
    <t>She chooses to shun interactions with negative people.</t>
  </si>
  <si>
    <t>Don't judge his work with preconceptions.</t>
  </si>
  <si>
    <t>The sleep at night was fitful, with no proper rest.</t>
  </si>
  <si>
    <t>He suddenly lost balance and fell to the ground.</t>
  </si>
  <si>
    <t>She's a no-nonsense leader, always practical and serious.</t>
  </si>
  <si>
    <t>He accidentally upended a stack of books on the shelf.</t>
  </si>
  <si>
    <t>He often hedges when answering questions, avoiding a direct response.</t>
  </si>
  <si>
    <t>He's preparing to mount the peak and complete his expedition.</t>
  </si>
  <si>
    <t>This argument is pointless and has no real impact.</t>
  </si>
  <si>
    <t>The dishes at this restaurant are quintessential of French cuisine.</t>
  </si>
  <si>
    <t>The harsh weather continues to harry the small village.</t>
  </si>
  <si>
    <t>These laws will be codified into a new legal code.</t>
  </si>
  <si>
    <t>He showed himself to be impervious to criticism.</t>
  </si>
  <si>
    <t>These flowers wilted in the sun.</t>
  </si>
  <si>
    <t>They attempted to reactivate the abandoned machine.</t>
  </si>
  <si>
    <t>She had some qualms about the decision, unsure if it was right.</t>
  </si>
  <si>
    <t>He candidly told me his true feelings.</t>
  </si>
  <si>
    <t>We are deeply indebted to you for your assistance.</t>
  </si>
  <si>
    <t>Fear and shock almost paralyzed them.</t>
  </si>
  <si>
    <t>This axiom is considered axiomatic in mathematics.</t>
  </si>
  <si>
    <t>A prominent scientist was the precursor of this technology.</t>
  </si>
  <si>
    <t>He tailored a suit to the customer's specifications.</t>
  </si>
  <si>
    <t>Obesity is becoming increasingly prevalent in this country.</t>
  </si>
  <si>
    <t>The mountain dwarfs the buildings in the city.</t>
  </si>
  <si>
    <t>They became frantic during the fire, desperately searching for an exit.</t>
  </si>
  <si>
    <t>He worked to promulgate the new policy so people could understand it.</t>
  </si>
  <si>
    <t>His intransigent attitude has stalled the negotiations.</t>
  </si>
  <si>
    <t>This story is very prosaic and lacks novelty.</t>
  </si>
  <si>
    <t>This problem is a massive conundrum that's difficult to solve.</t>
  </si>
  <si>
    <t>This ritual is filled with arcane and cryptic elements.</t>
  </si>
  <si>
    <t>From the mountaintop, you can see the entire panorama of the city.</t>
  </si>
  <si>
    <t>This company has found a niche in the market for a specific audience.</t>
  </si>
  <si>
    <t>The company trumpeted their new product.</t>
  </si>
  <si>
    <t>Her smile is so contagious that it makes people smile along with her.</t>
  </si>
  <si>
    <t>The vendor set up a stall on the street to sell fresh fruit.</t>
  </si>
  <si>
    <t>This country has an abundance of natural resources.</t>
  </si>
  <si>
    <t>He seems oblivious to what's happening around him.</t>
  </si>
  <si>
    <t>Joining this membership club will grant you some privileges.</t>
  </si>
  <si>
    <t>This performance is considered one of the acmes of dance artistry.</t>
  </si>
  <si>
    <t>He should heed your advice and take it seriously.</t>
  </si>
  <si>
    <t>This job is very demanding and requires a lot of time and effort.</t>
  </si>
  <si>
    <t>There is not a whit of remorse in him.</t>
  </si>
  <si>
    <t>There is a deep affinity between us.</t>
  </si>
  <si>
    <t>She has psychological trauma after the accident.</t>
  </si>
  <si>
    <t>His performance stunned everyone, surpassing all expectations.</t>
  </si>
  <si>
    <t>This book is a seminal work that had a profound impact on literature.</t>
  </si>
  <si>
    <t>His words were full of pompous and exaggerated claims.</t>
  </si>
  <si>
    <t>He professes a belief in peace and harmony.</t>
  </si>
  <si>
    <t>The success of this company is the yardstick in the industry.</t>
  </si>
  <si>
    <t>He showed unfaltering confidence and determination.</t>
  </si>
  <si>
    <t>His argument is almost unassailable.</t>
  </si>
  <si>
    <t>These measures can be used to counterbalance instability.</t>
  </si>
  <si>
    <t>This is the first prototype and needs improvement.</t>
  </si>
  <si>
    <t>There are many shopping centers and restaurants in the vicinity.</t>
  </si>
  <si>
    <t>The velocity of an object depends on its mass and force.</t>
  </si>
  <si>
    <t>His success was a concomitant of his hard work.</t>
  </si>
  <si>
    <t>She was in a quandary about which job offer to accept.</t>
  </si>
  <si>
    <t>The country descended into anarchy after the coup.</t>
  </si>
  <si>
    <t>The government tried to squelch the protests.</t>
  </si>
  <si>
    <t>Her peculiar sense of humor always made us laugh.</t>
  </si>
  <si>
    <t>His valediction at the farewell party was heartfelt.</t>
  </si>
  <si>
    <t>The regime was known for its totalitarian control.</t>
  </si>
  <si>
    <t>The technology used in the old computer is outmoded.</t>
  </si>
  <si>
    <t>The nexus between poverty and crime is well-documented.</t>
  </si>
  <si>
    <t>It's not fair to derogate someone's character.</t>
  </si>
  <si>
    <t>He decided to dump his old belongings and start fresh.</t>
  </si>
  <si>
    <t>The archaic language in the text was hard to understand.</t>
  </si>
  <si>
    <t>There is no such thing as a cure-all for every ailment.</t>
  </si>
  <si>
    <t>The precocious child could read at the age of three.</t>
  </si>
  <si>
    <t>He tried to fabricate evidence to support his story.</t>
  </si>
  <si>
    <t>The company has a hierarchical organizational structure.</t>
  </si>
  <si>
    <t>His devious tactics were intended to deceive others.</t>
  </si>
  <si>
    <t>Fairness is essential in any decision-making process.</t>
  </si>
  <si>
    <t>The sequential order of the events was important.</t>
  </si>
  <si>
    <t>He was an inveterate smoker, despite the health risks.</t>
  </si>
  <si>
    <t>Your salary should be commensurate with your experience.</t>
  </si>
  <si>
    <t>The old building was transmogrified into a modern hotel.</t>
  </si>
  <si>
    <t>The conflict in the region continued to escalate.</t>
  </si>
  <si>
    <t>Some people believe in the existence of supernatural beings.</t>
  </si>
  <si>
    <t>She was overwrought with worry about the upcoming exam.</t>
  </si>
  <si>
    <t>His outstanding performance earned him a promotion.</t>
  </si>
  <si>
    <t>We must plan for the futurity of our organization.</t>
  </si>
  <si>
    <t>The influence of social media is pervasive in today's society.</t>
  </si>
  <si>
    <t>The grand entrance to the palace was breathtaking.</t>
  </si>
  <si>
    <t>His premature birth required special medical attention.</t>
  </si>
  <si>
    <t>She worked in a clerical role at the law firm.</t>
  </si>
  <si>
    <t>The benefits of the project were tangible and measurable.</t>
  </si>
  <si>
    <t>He wanted to dedicate his life to helping others.</t>
  </si>
  <si>
    <t>Her ingenious solution solved the problem.</t>
  </si>
  <si>
    <t>The favorable reviews of the book boosted its sales.</t>
  </si>
  <si>
    <t>His countenance showed his approval of the plan.</t>
  </si>
  <si>
    <t>The pendulum began to oscillate back and forth.</t>
  </si>
  <si>
    <t>Her criticism was intended to goad him into action.</t>
  </si>
  <si>
    <t>The project had an open-ended timeline.</t>
  </si>
  <si>
    <t>The political agitator tried to foment unrest.</t>
  </si>
  <si>
    <t>The lake's pristine waters were crystal clear.</t>
  </si>
  <si>
    <t>The invaders pillaged the village and stole valuables.</t>
  </si>
  <si>
    <t>Dealing with technical issues can be frustrating.</t>
  </si>
  <si>
    <t>The band is taking a hiatus from touring.</t>
  </si>
  <si>
    <t>His ungainly movements on the dance floor were comical.</t>
  </si>
  <si>
    <t>The novel provided an all-encompassing view of the city.</t>
  </si>
  <si>
    <t>The goal is to eliminate waste in the production process.</t>
  </si>
  <si>
    <t>He stood erect with his head held high.</t>
  </si>
  <si>
    <t>The bustling city never slept.</t>
  </si>
  <si>
    <t>The financial markets were in a maelstrom of uncertainty.</t>
  </si>
  <si>
    <t>She was remiss in completing her assignments on time.</t>
  </si>
  <si>
    <t>He had a tendency to cavil over minor details.</t>
  </si>
  <si>
    <t>The extra information was superfluous and confusing.</t>
  </si>
  <si>
    <t>Their dewy-eyed optimism was charming.</t>
  </si>
  <si>
    <t>The roller coaster ride gave her a thrill.</t>
  </si>
  <si>
    <t>His speech was designed to kindle enthusiasm.</t>
  </si>
  <si>
    <t>The political scandal rocked the nation.</t>
  </si>
  <si>
    <t>The celebrity was surrounded by adulation from fans.</t>
  </si>
  <si>
    <t>He accidentally knocked over the books, causing them to scatter.</t>
  </si>
  <si>
    <t>The prescriptive guidelines outlined the proper procedure.</t>
  </si>
  <si>
    <t>The monotonous hum of the engine put him to sleep.</t>
  </si>
  <si>
    <t>Her courage and determination inspired others.</t>
  </si>
  <si>
    <t>He consigned the package to the courier for delivery.</t>
  </si>
  <si>
    <t>It's important to replenish your energy after exercise.</t>
  </si>
  <si>
    <t>Her distress was evident in her tearful eyes.</t>
  </si>
  <si>
    <t>He proffered his assistance to those in need.</t>
  </si>
  <si>
    <t>The parameter of the experiment needed to be controlled.</t>
  </si>
  <si>
    <t>The rebellious teenager often clashed with authority.</t>
  </si>
  <si>
    <t>He tried to disguise his identity with a mask.</t>
  </si>
  <si>
    <t>She was a competent manager who led the team effectively.</t>
  </si>
  <si>
    <t>The experimental results confirmed the hypothesis.</t>
  </si>
  <si>
    <t>The government implemented measures to curb pollution.</t>
  </si>
  <si>
    <t>Her trifling mistakes didn't affect the overall project.</t>
  </si>
  <si>
    <t>The intrepid explorer ventured into the unknown jungle.</t>
  </si>
  <si>
    <t>The government plans to enact new legislation.</t>
  </si>
  <si>
    <t>Her perspicacious observations were always insightful.</t>
  </si>
  <si>
    <t>His cryptic remarks bemused the audience.</t>
  </si>
  <si>
    <t>He felt tethered to his desk by his demanding job.</t>
  </si>
  <si>
    <t>Her clumsy attempts at dancing made everyone laugh.</t>
  </si>
  <si>
    <t>He tended to quibble over minor details.</t>
  </si>
  <si>
    <t>He propounded a new theory in the field of physics.</t>
  </si>
  <si>
    <t>The storm imperiled the safety of the sailors.</t>
  </si>
  <si>
    <t>The benighted villagers had little access to education.</t>
  </si>
  <si>
    <t>He tried to reassure the anxious child.</t>
  </si>
  <si>
    <t>Their conversation sparked a brilliant idea.</t>
  </si>
  <si>
    <t>The artificial flowers looked surprisingly real.</t>
  </si>
  <si>
    <t>His diatribe against the government was scathing.</t>
  </si>
  <si>
    <t>His probity and honesty were unquestionable.</t>
  </si>
  <si>
    <t>The photograph captured a beautiful moment.</t>
  </si>
  <si>
    <t>Her response was atypical of her usual behavior.</t>
  </si>
  <si>
    <t>The situation demanded an exigent response.</t>
  </si>
  <si>
    <t>The earthquake caused a deep fissure in the ground.</t>
  </si>
  <si>
    <t>The astronaut untethered himself and floated in space.</t>
  </si>
  <si>
    <t>This new invention is a paradigm of modern technology.</t>
  </si>
  <si>
    <t>She gave him a glancing look before leaving.</t>
  </si>
  <si>
    <t>The media's biased coverage distorted the facts.</t>
  </si>
  <si>
    <t>Don't omit any important details in your report.</t>
  </si>
  <si>
    <t>The fireworks display was dazzling and beautiful.</t>
  </si>
  <si>
    <t>In the face of adversity, she remained imperturbable.</t>
  </si>
  <si>
    <t>The evidence against him was undeniable.</t>
  </si>
  <si>
    <t>She felt hurt by his snub at the party.</t>
  </si>
  <si>
    <t>Her heartfelt apology touched everyone.</t>
  </si>
  <si>
    <t>The fusion of different cultures enriched the city.</t>
  </si>
  <si>
    <t>The company had to cannibalize its older products to fund new ones.</t>
  </si>
  <si>
    <t>They shared kindred interests in art and literature.</t>
  </si>
  <si>
    <t>His humdrum routine never seemed to change.</t>
  </si>
  <si>
    <t>He used a drill to perforate the metal sheet.</t>
  </si>
  <si>
    <t>The unexampled success of the product surprised everyone.</t>
  </si>
  <si>
    <t>The injury could hamstring his athletic career.</t>
  </si>
  <si>
    <t>The actor's performance was full of subtle nuances.</t>
  </si>
  <si>
    <t>The locked door made her feel more secure.</t>
  </si>
  <si>
    <t>He tended to wallow in self-pity when things went wrong.</t>
  </si>
  <si>
    <t>The strenuous exercise left her exhausted.</t>
  </si>
  <si>
    <t>The testing phase of the project was crucial.</t>
  </si>
  <si>
    <t>She was reticent about her personal life.</t>
  </si>
  <si>
    <t>He tried to propitiate her by bringing flowers.</t>
  </si>
  <si>
    <t>The transient nature of life is a common theme in literature.</t>
  </si>
  <si>
    <t>His headlong decision had serious consequences.</t>
  </si>
  <si>
    <t>The hotel can accommodate up to 200 guests.</t>
  </si>
  <si>
    <t>The canned laughter on the sitcom sounded artificial.</t>
  </si>
  <si>
    <t>He was relegated to a less important role in the company.</t>
  </si>
  <si>
    <t>The illustrious scientist won numerous awards.</t>
  </si>
  <si>
    <t>The author used a pseudonym to write the book.</t>
  </si>
  <si>
    <t>His insufferable arrogance alienated his friends.</t>
  </si>
  <si>
    <t>The manacle restrained the prisoner's movements.</t>
  </si>
  <si>
    <t>She would croon lullabies to her baby.</t>
  </si>
  <si>
    <t>The lengthy meeting left everyone tired.</t>
  </si>
  <si>
    <t>The disposable cups are convenient for outdoor events.</t>
  </si>
  <si>
    <t>His sanctimonious attitude annoyed his coworkers.</t>
  </si>
  <si>
    <t>The ancient artifact was found intact.</t>
  </si>
  <si>
    <t>His witless comments only made the situation worse.</t>
  </si>
  <si>
    <t>The enterprising young entrepreneur started her own business.</t>
  </si>
  <si>
    <t>Their vehement disagreement led to a heated argument.</t>
  </si>
  <si>
    <t>She was named as the successor to the company's CEO.</t>
  </si>
  <si>
    <t>After the accident, he had a noticeable limp.</t>
  </si>
  <si>
    <t>The company offered a bonus to improve employee retention.</t>
  </si>
  <si>
    <t>The self-styled 'expert' had no formal training.</t>
  </si>
  <si>
    <t>His downcast expression showed his disappointment.</t>
  </si>
  <si>
    <t>His bombastic speech was full of empty words.</t>
  </si>
  <si>
    <t>The room was a jumble of old furniture and books.</t>
  </si>
  <si>
    <t>The young musician had great potential.</t>
  </si>
  <si>
    <t>The volcano appeared quiescent for many years.</t>
  </si>
  <si>
    <t>He was wont to take long walks in the evening.</t>
  </si>
  <si>
    <t>Her love for adventure was unbounded.</t>
  </si>
  <si>
    <t>The unexpected news flustered him.</t>
  </si>
  <si>
    <t>The seditious speech incited violence in the crowd.</t>
  </si>
  <si>
    <t>The intractable child refused to follow instructions.</t>
  </si>
  <si>
    <t>The amount of food needed is proportional to the number of guests.</t>
  </si>
  <si>
    <t>The calm of the countryside is the antithesis of the city's chaos.</t>
  </si>
  <si>
    <t>They had a dispute over the ownership of the land.</t>
  </si>
  <si>
    <t>The efficacy of the new drug was proven in clinical trials.</t>
  </si>
  <si>
    <t>The bland food lacked seasoning and flavor.</t>
  </si>
  <si>
    <t>Her clearheaded analysis helped solve the problem.</t>
  </si>
  <si>
    <t>His unexpected move was a clever gambit.</t>
  </si>
  <si>
    <t>Her frown showed her displeasure.</t>
  </si>
  <si>
    <t>The banal conversation bored him.</t>
  </si>
  <si>
    <t>Plastic is a commonly used material for packaging.</t>
  </si>
  <si>
    <t>The company's actions may infringe on copyright laws.</t>
  </si>
  <si>
    <t>He absconded with the company's funds.</t>
  </si>
  <si>
    <t>Her smile seemed to signify her approval.</t>
  </si>
  <si>
    <t>His flaccid muscles were a result of inactivity.</t>
  </si>
  <si>
    <t>The interrelated factors contributed to the problem.</t>
  </si>
  <si>
    <t>The responsive team quickly addressed the issue.</t>
  </si>
  <si>
    <t>The new law could impinge on individual freedoms.</t>
  </si>
  <si>
    <t>His disregard for safety regulations led to accidents.</t>
  </si>
  <si>
    <t>Her unfeeling response hurt his feelings.</t>
  </si>
  <si>
    <t>The intensity of the storm was frightening.</t>
  </si>
  <si>
    <t>The fever caused hallucinations in the patient.</t>
  </si>
  <si>
    <t>The garden was filled with plentiful flowers.</t>
  </si>
  <si>
    <t>The leader tried to appease the angry crowd.</t>
  </si>
  <si>
    <t>His sedentary lifestyle led to health problems.</t>
  </si>
  <si>
    <t>The salesman tended to oversell the product.</t>
  </si>
  <si>
    <t>Her striking appearance caught everyone's attention.</t>
  </si>
  <si>
    <t>He liked to flip coins to make decisions.</t>
  </si>
  <si>
    <t>The court absolved him of all charges.</t>
  </si>
  <si>
    <t>Her indefatigable spirit inspired everyone around her.</t>
  </si>
  <si>
    <t>Their madcap adventures often got them into trouble.</t>
  </si>
  <si>
    <t>The artist had a distinctive style that set her apart.</t>
  </si>
  <si>
    <t>He made a surreptitious phone call when no one was watching.</t>
  </si>
  <si>
    <t>Her unremitting efforts finally paid off.</t>
  </si>
  <si>
    <t>Her claustrophobia made it difficult for her to ride elevators.</t>
  </si>
  <si>
    <t>The ceremony had a solemn atmosphere.</t>
  </si>
  <si>
    <t>Their extravagant spending led to financial problems.</t>
  </si>
  <si>
    <t>His tactless comment offended her.</t>
  </si>
  <si>
    <t>The strong pillars buttressed the ancient building.</t>
  </si>
  <si>
    <t>Yoga can help make your body more supple.</t>
  </si>
  <si>
    <t>She seemed to exude confidence in every situation.</t>
  </si>
  <si>
    <t>The cliquish behavior of some students excluded others.</t>
  </si>
  <si>
    <t>The evidence did not warrant further investigation.</t>
  </si>
  <si>
    <t>He was accustomed to working late.</t>
  </si>
  <si>
    <t>The project was in abeyance until further notice.</t>
  </si>
  <si>
    <t>The plaintive music touched everyone's heart.</t>
  </si>
  <si>
    <t>The deliberate decision was made after careful consideration.</t>
  </si>
  <si>
    <t>She whisked the eggs to make an omelette.</t>
  </si>
  <si>
    <t>Teenagers are often impressionable and influenced by peers.</t>
  </si>
  <si>
    <t>He delivered the joke in a deadpan manner.</t>
  </si>
  <si>
    <t>Investigative journalists often muckrake to uncover corruption.</t>
  </si>
  <si>
    <t>The appetizer is meant to whet your appetite.</t>
  </si>
  <si>
    <t>The provision of clean water is essential for public health.</t>
  </si>
  <si>
    <t>Her adroit handling of the situation impressed everyone.</t>
  </si>
  <si>
    <t>The scientist postulated a new theory.</t>
  </si>
  <si>
    <t>The restaurant received abysmal reviews for its food.</t>
  </si>
  <si>
    <t>The movie's riveting plot kept the audience engaged.</t>
  </si>
  <si>
    <t>The dark clouds were seen as portentous of a coming storm.</t>
  </si>
  <si>
    <t>Despite all attempts at persuasion, he remained obdurate.</t>
  </si>
  <si>
    <t>Her knowledge of the subject was superficial.</t>
  </si>
  <si>
    <t>The company became insolvent and had to close its doors.</t>
  </si>
  <si>
    <t>He tended to aggrandize his own achievements.</t>
  </si>
  <si>
    <t>His quixotic plan to build a castle in the sky was impractical.</t>
  </si>
  <si>
    <t>She hoped to derive inspiration from the art exhibit.</t>
  </si>
  <si>
    <t>His provocative comments ignited a heated debate.</t>
  </si>
  <si>
    <t>The guild of artists held an exhibition of their work.</t>
  </si>
  <si>
    <t>His sullen mood made the atmosphere tense.</t>
  </si>
  <si>
    <t>Water is essential for survival.</t>
  </si>
  <si>
    <t>She wrote a memorandum to remind herself of the meeting.</t>
  </si>
  <si>
    <t>He was an apostle of environmental conservation.</t>
  </si>
  <si>
    <t>The government decided to outlaw the sale of certain drugs.</t>
  </si>
  <si>
    <t>She chose to forgo dessert to save calories.</t>
  </si>
  <si>
    <t>The twins looked nearly identical.</t>
  </si>
  <si>
    <t>The interlocutors discussed the issue for hours.</t>
  </si>
  <si>
    <t>Her gut-level reaction told her something was wrong.</t>
  </si>
  <si>
    <t>The indigenous people have lived in this area for centuries.</t>
  </si>
  <si>
    <t>The morning dew made the grass glisten in the sunlight.</t>
  </si>
  <si>
    <t>The iconoclast challenged established beliefs.</t>
  </si>
  <si>
    <t>The ship began to list to one side after taking on water.</t>
  </si>
  <si>
    <t>The character's soliloquy revealed his inner thoughts.</t>
  </si>
  <si>
    <t>Regular exercise helps maintain a vigorous lifestyle.</t>
  </si>
  <si>
    <t>The false accusations were meant to besmirch his reputation.</t>
  </si>
  <si>
    <t>She was so vain that she spent hours admiring herself in the mirror.</t>
  </si>
  <si>
    <t>The vicious attack left him seriously injured.</t>
  </si>
  <si>
    <t>His cursory glance at the report didn't reveal its details.</t>
  </si>
  <si>
    <t>The crowd gathered to hail the victorious team.</t>
  </si>
  <si>
    <t>His odious behavior made him unpopular with his peers.</t>
  </si>
  <si>
    <t>Her unimpeachable integrity earned her the trust of her colleagues.</t>
  </si>
  <si>
    <t>Her pious devotion to religion was evident in her daily life.</t>
  </si>
  <si>
    <t>The negligent driver caused a serious accident.</t>
  </si>
  <si>
    <t>Winning the championship was the pinnacle of his career.</t>
  </si>
  <si>
    <t>The lugubrious music added to the somber atmosphere.</t>
  </si>
  <si>
    <t>Her incisive analysis of the issue was highly regarded.</t>
  </si>
  <si>
    <t>He tried to shirk his duties, but he was caught.</t>
  </si>
  <si>
    <t>The newspaper's lurid headlines shocked readers.</t>
  </si>
  <si>
    <t>The painstaking effort put into the project paid off.</t>
  </si>
  <si>
    <t>The company was accused of nepotism in its hiring practices.</t>
  </si>
  <si>
    <t>The turbulent political climate made it difficult to govern.</t>
  </si>
  <si>
    <t>The country agreed to cede territory to its neighbor.</t>
  </si>
  <si>
    <t>The car had a hitch in its engine.</t>
  </si>
  <si>
    <t>The camera can capture an instantaneous image.</t>
  </si>
  <si>
    <t>The inquisitive child asked a lot of questions.</t>
  </si>
  <si>
    <t>He didn't mean to offend; his words were misconstrued.</t>
  </si>
  <si>
    <t>He was accused of malingering to avoid work.</t>
  </si>
  <si>
    <t>The sheer number of tasks can overwhelm anyone.</t>
  </si>
  <si>
    <t>She was tired of being subservient to her boss.</t>
  </si>
  <si>
    <t>The police arrested the suspected incendiary.</t>
  </si>
  <si>
    <t>Her retiring nature made it hard for her to socialize.</t>
  </si>
  <si>
    <t>The paltry sum he offered for the painting was insulting.</t>
  </si>
  <si>
    <t>Her artifice to get what she wanted was exposed.</t>
  </si>
  <si>
    <t>His didactic style of writing aimed to teach moral lessons.</t>
  </si>
  <si>
    <t>He had a regular routine that he followed every day.</t>
  </si>
  <si>
    <t>The jarring noise from the construction site was disruptive.</t>
  </si>
  <si>
    <t>The diminutive puppy was adorable.</t>
  </si>
  <si>
    <t>The dark clouds were a harbinger of the storm.</t>
  </si>
  <si>
    <t>The company continued to flourish in the global market.</t>
  </si>
  <si>
    <t>The emergent technology had the potential to change the industry.</t>
  </si>
  <si>
    <t>The decision seemed arbitrary and unfair.</t>
  </si>
  <si>
    <t>He was an unwitting participant in the scheme.</t>
  </si>
  <si>
    <t>His proclivity for adventure led him to explore unknown places.</t>
  </si>
  <si>
    <t>The renowned scientist received a Nobel Prize.</t>
  </si>
  <si>
    <t>They decided to have an impromptu picnic in the park.</t>
  </si>
  <si>
    <t>The data was skewed by the unusual outliers.</t>
  </si>
  <si>
    <t>She berated him for forgetting their anniversary.</t>
  </si>
  <si>
    <t>The judge remained dispassionate during the trial.</t>
  </si>
  <si>
    <t>She tried to coax the cat out from under the bed.</t>
  </si>
  <si>
    <t>He was known for his fastidious attention to detail.</t>
  </si>
  <si>
    <t>The book's clear font and layout made it highly readable.</t>
  </si>
  <si>
    <t>His apology negated the need for further discussion.</t>
  </si>
  <si>
    <t>The corrosive chemicals were stored in a secure location.</t>
  </si>
  <si>
    <t>Her self-effacing personality made her a beloved team member.</t>
  </si>
  <si>
    <t>The sonorous voice of the opera singer filled the concert hall.</t>
  </si>
  <si>
    <t>The pandemic had a widespread impact on global health.</t>
  </si>
  <si>
    <t>She remained aloof from the office gossip.</t>
  </si>
  <si>
    <t>Her resourceful thinking helped solve the problem.</t>
  </si>
  <si>
    <t>His mercenary approach to business made him wealthy but unpopular.</t>
  </si>
  <si>
    <t>The movie depicted a horrific car accident.</t>
  </si>
  <si>
    <t>The dolorous music captured the mood of the scene.</t>
  </si>
  <si>
    <t>He felt impotent in the face of such a massive problem.</t>
  </si>
  <si>
    <t>She had an oddball sense of humor that not everyone understood.</t>
  </si>
  <si>
    <t>The bonhomie among the coworkers made the office a pleasant place to work.</t>
  </si>
  <si>
    <t>The generous donation was made by an anonymous benefactor.</t>
  </si>
  <si>
    <t>The birds warbled in the trees in the early morning.</t>
  </si>
  <si>
    <t>She had a wistful look in her eyes as she remembered her childhood.</t>
  </si>
  <si>
    <t>His prodigal spending habits left him in financial trouble.</t>
  </si>
  <si>
    <t>They had to jettison some of their cargo to lighten the load.</t>
  </si>
  <si>
    <t>The brevity of the meeting surprised everyone.</t>
  </si>
  <si>
    <t>Winning the award was the highest accolade of her career.</t>
  </si>
  <si>
    <t>Her verbose explanations made it hard to understand the topic.</t>
  </si>
  <si>
    <t>He was accused of trying to malign his competitor's reputation.</t>
  </si>
  <si>
    <t>The awkward silence in the room made everyone uncomfortable.</t>
  </si>
  <si>
    <t>Her protean talents allowed her to excel in many different fields.</t>
  </si>
  <si>
    <t>He needed time to ruminate on his decision.</t>
  </si>
  <si>
    <t>The colors of the painting began to fade over time.</t>
  </si>
  <si>
    <t>Social media is omnipresent in today's society.</t>
  </si>
  <si>
    <t>She used body language to accent her words.</t>
  </si>
  <si>
    <t>The decision had consequential effects on the company.</t>
  </si>
  <si>
    <t>The new technology will eventually supersede the old one.</t>
  </si>
  <si>
    <t>The business tycoon was known for his vast wealth.</t>
  </si>
  <si>
    <t>We explored every facet of the issue in our discussion.</t>
  </si>
  <si>
    <t>The ancient civilization predates written records.</t>
  </si>
  <si>
    <t>Her provincial outlook limited her understanding of the world.</t>
  </si>
  <si>
    <t>His circumlocution made it hard to understand his point.</t>
  </si>
  <si>
    <t>The civility of the conversation impressed everyone.</t>
  </si>
  <si>
    <t>His frail health prevented him from traveling.</t>
  </si>
  <si>
    <t>She had to forbear the pain and continue working.</t>
  </si>
  <si>
    <t>His role in the project was marginal at best.</t>
  </si>
  <si>
    <t>She worked hard to obtain her degree.</t>
  </si>
  <si>
    <t>The neologism quickly gained popularity in online discussions.</t>
  </si>
  <si>
    <t>He couldn't resist the urge to taunt his opponent.</t>
  </si>
  <si>
    <t>The disease could afflict anyone, regardless of age.</t>
  </si>
  <si>
    <t>The hefty package was difficult to lift.</t>
  </si>
  <si>
    <t>The subsequent chapters of the book were even more exciting.</t>
  </si>
  <si>
    <t>Her resilient personality helped her bounce back from setbacks.</t>
  </si>
  <si>
    <t>The delicious meal satiated our hunger.</t>
  </si>
  <si>
    <t>The lanterns illuminated the garden at night.</t>
  </si>
  <si>
    <t>His moralistic tone made it hard to enjoy the story.</t>
  </si>
  <si>
    <t>His behavior was objectionable to everyone in the room.</t>
  </si>
  <si>
    <t>Her speech seemed to resonate with the audience.</t>
  </si>
  <si>
    <t>The police were called to quell the riot.</t>
  </si>
  <si>
    <t>Her prepossessing smile captivated everyone in the room.</t>
  </si>
  <si>
    <t>His slippery excuses made it hard to trust him.</t>
  </si>
  <si>
    <t>Her artless honesty was refreshing in a world of deceit.</t>
  </si>
  <si>
    <t>She had to rebuke her child for misbehaving in public.</t>
  </si>
  <si>
    <t>The rain threatened to dampen their spirits on the camping trip.</t>
  </si>
  <si>
    <t>The negotiations were protracted and difficult.</t>
  </si>
  <si>
    <t>He couldn't resist making a quip about the situation.</t>
  </si>
  <si>
    <t>His provident financial planning ensured a comfortable retirement.</t>
  </si>
  <si>
    <t>The neighborhood had a rich ethnic diversity.</t>
  </si>
  <si>
    <t>The weather was agreeable for a day at the beach.</t>
  </si>
  <si>
    <t>Her slight smile suggested that she knew something others didn't.</t>
  </si>
  <si>
    <t>The commodious living room was perfect for entertaining guests.</t>
  </si>
  <si>
    <t>The heavy rain began to saturate the soil.</t>
  </si>
  <si>
    <t>The fledgling author published her first novel.</t>
  </si>
  <si>
    <t>He had a stint of hard work before taking a vacation.</t>
  </si>
  <si>
    <t>The impoverished neighborhood struggled with high unemployment.</t>
  </si>
  <si>
    <t>A scuffle broke out in the crowded subway station.</t>
  </si>
  <si>
    <t>The premonitory signs of the storm prompted people to seek shelter.</t>
  </si>
  <si>
    <t>The two companies decided to merge their operations.</t>
  </si>
  <si>
    <t>He had a hoard of old coins hidden in his attic.</t>
  </si>
  <si>
    <t>The group plotted to subvert the government.</t>
  </si>
  <si>
    <t>The static image on the TV screen didn't change for hours.</t>
  </si>
  <si>
    <t>She felt trepidation before her first solo performance.</t>
  </si>
  <si>
    <t>The solution to the puzzle remained elusive.</t>
  </si>
  <si>
    <t>The sophisticated technology impressed the scientists.</t>
  </si>
  <si>
    <t>He was considered a gadfly by his coworkers because he constantly criticized the company.</t>
  </si>
  <si>
    <t>She couldn't hide her scorn for his actions.</t>
  </si>
  <si>
    <t>The CEO enjoyed many perquisites as part of his compensation package.</t>
  </si>
  <si>
    <t>The extremist group was known for its radical beliefs.</t>
  </si>
  <si>
    <t>Their efforts to thwart the plan were unsuccessful.</t>
  </si>
  <si>
    <t>There was a deep animus between the two rival gangs.</t>
  </si>
  <si>
    <t>The all-important meeting would determine the company's future.</t>
  </si>
  <si>
    <t>Her talent for painting never failed to astonish her friends.</t>
  </si>
  <si>
    <t>The minuscule details were difficult to see without a magnifying glass.</t>
  </si>
  <si>
    <t>She had the gut to stand up to the bullies.</t>
  </si>
  <si>
    <t>His solicitous inquiries about her health were appreciated.</t>
  </si>
  <si>
    <t>Her outfit was always trendy and fashionable.</t>
  </si>
  <si>
    <t>The scientific study was conducted with rigor and precision.</t>
  </si>
  <si>
    <t>The condition was hereditary and passed down through the family.</t>
  </si>
  <si>
    <t>His sardonic sense of humor often offended people.</t>
  </si>
  <si>
    <t>The tabloid newspaper loved to pillory celebrities.</t>
  </si>
  <si>
    <t>His personable demeanor made him a favorite among colleagues.</t>
  </si>
  <si>
    <t>She knew how to comport herself in any social situation.</t>
  </si>
  <si>
    <t>The short-lived excitement quickly faded.</t>
  </si>
  <si>
    <t>The cathedral's architecture was awe-inspiring.</t>
  </si>
  <si>
    <t>The political upheaval led to widespread protests.</t>
  </si>
  <si>
    <t>The temperate climate made it a pleasant place to live.</t>
  </si>
  <si>
    <t>The totemic symbols represented different clans.</t>
  </si>
  <si>
    <t>The company tried to soft-pedal the negative news.</t>
  </si>
  <si>
    <t>His career reached its nadir when he was fired from his job.</t>
  </si>
  <si>
    <t>The report was truncated to fit within the page limit.</t>
  </si>
  <si>
    <t>The lush greenery in the park was a sight to behold.</t>
  </si>
  <si>
    <t>Her success story was the epitome of hard work paying off.</t>
  </si>
  <si>
    <t>The restive crowd demanded answers from the government.</t>
  </si>
  <si>
    <t>Her original artwork was unlike anything anyone had ever seen.</t>
  </si>
  <si>
    <t>She remonstrated with her boss about the unfair treatment.</t>
  </si>
  <si>
    <t>Only students with a high GPA were eligible for the scholarship.</t>
  </si>
  <si>
    <t>He found a cache of old letters in the attic.</t>
  </si>
  <si>
    <t>Her unqualified support for the project was appreciated.</t>
  </si>
  <si>
    <t>The goal was to exterminate the pests from the garden.</t>
  </si>
  <si>
    <t>His diffident manner prevented him from speaking up in meetings.</t>
  </si>
  <si>
    <t>She took a moment to savor the delicious meal.</t>
  </si>
  <si>
    <t>Her altruistic actions benefited the entire community.</t>
  </si>
  <si>
    <t>His specious arguments were meant to deceive the audience.</t>
  </si>
  <si>
    <t>Her resolve to overcome obstacles was unwavering.</t>
  </si>
  <si>
    <t>He set out to disprove the theory with his research.</t>
  </si>
  <si>
    <t>His pugnacious attitude often led to conflicts with others.</t>
  </si>
  <si>
    <t>The hidebound management refused to consider new ideas.</t>
  </si>
  <si>
    <t>He was known as a wastrel because he squandered his inheritance.</t>
  </si>
  <si>
    <t>The training was inadequate to prepare them for the task.</t>
  </si>
  <si>
    <t>His unctuous compliments made her uncomfortable.</t>
  </si>
  <si>
    <t>The errant email was accidentally sent to the wrong recipient.</t>
  </si>
  <si>
    <t>The meager rations were barely enough to sustain them.</t>
  </si>
  <si>
    <t>The doctor's prognosis was hopeful, and the patient began to recover.</t>
  </si>
  <si>
    <t>Using the euphemism 'passed away' instead of 'died' can soften the news.</t>
  </si>
  <si>
    <t>He tried to deflect attention away from his mistake.</t>
  </si>
  <si>
    <t>He chose to consort with like-minded individuals.</t>
  </si>
  <si>
    <t>Her laughter was a delight to everyone in the room.</t>
  </si>
  <si>
    <t>The teacher had to intervene to stop the argument.</t>
  </si>
  <si>
    <t>The team faced a formidable opponent in the championship game.</t>
  </si>
  <si>
    <t>His canny investment decisions paid off handsomely.</t>
  </si>
  <si>
    <t>Her singular talent set her apart from her peers.</t>
  </si>
  <si>
    <t>纵火的，煽动的</t>
  </si>
  <si>
    <t>?</t>
    <phoneticPr fontId="24" type="noConversion"/>
  </si>
  <si>
    <t>jumble</t>
    <phoneticPr fontId="24" type="noConversion"/>
  </si>
  <si>
    <t>duplicate</t>
    <phoneticPr fontId="24" type="noConversion"/>
  </si>
  <si>
    <t>revision</t>
    <phoneticPr fontId="24" type="noConversion"/>
  </si>
  <si>
    <t>sanctimonious</t>
    <phoneticPr fontId="24" type="noConversion"/>
  </si>
  <si>
    <t>ethnic</t>
    <phoneticPr fontId="24" type="noConversion"/>
  </si>
  <si>
    <t>exaggerate</t>
    <phoneticPr fontId="24" type="noConversion"/>
  </si>
  <si>
    <t>construe</t>
    <phoneticPr fontId="24" type="noConversion"/>
  </si>
  <si>
    <t>atypical</t>
    <phoneticPr fontId="24" type="noConversion"/>
  </si>
  <si>
    <t>minute</t>
    <phoneticPr fontId="24" type="noConversion"/>
  </si>
  <si>
    <t>signify</t>
    <phoneticPr fontId="24" type="noConversion"/>
  </si>
  <si>
    <t>trivial</t>
    <phoneticPr fontId="24" type="noConversion"/>
  </si>
  <si>
    <t>（为更大目标的）自我牺牲</t>
    <phoneticPr fontId="24" type="noConversion"/>
  </si>
  <si>
    <t>vi.</t>
    <phoneticPr fontId="24" type="noConversion"/>
  </si>
  <si>
    <t>inculpate</t>
    <phoneticPr fontId="24" type="noConversion"/>
  </si>
  <si>
    <t>unerring</t>
    <phoneticPr fontId="24" type="noConversion"/>
  </si>
  <si>
    <t>terrifying</t>
    <phoneticPr fontId="24" type="noConversion"/>
  </si>
  <si>
    <t>witty</t>
    <phoneticPr fontId="24" type="noConversion"/>
  </si>
  <si>
    <t>ideology</t>
    <phoneticPr fontId="24" type="noConversion"/>
  </si>
  <si>
    <t>supernatural</t>
    <phoneticPr fontId="24" type="noConversion"/>
  </si>
  <si>
    <t>analogous</t>
    <phoneticPr fontId="24" type="noConversion"/>
  </si>
  <si>
    <t>assimilate</t>
    <phoneticPr fontId="24" type="noConversion"/>
  </si>
  <si>
    <t>staunch</t>
    <phoneticPr fontId="24" type="noConversion"/>
  </si>
  <si>
    <t>predate</t>
    <phoneticPr fontId="24" type="noConversion"/>
  </si>
  <si>
    <t>concede</t>
    <phoneticPr fontId="24" type="noConversion"/>
  </si>
  <si>
    <t>自我关注，自私</t>
    <phoneticPr fontId="24" type="noConversion"/>
  </si>
  <si>
    <t>厚颜无耻</t>
    <phoneticPr fontId="24" type="noConversion"/>
  </si>
  <si>
    <t>a.</t>
    <phoneticPr fontId="24" type="noConversion"/>
  </si>
  <si>
    <t>restive</t>
    <phoneticPr fontId="24" type="noConversion"/>
  </si>
  <si>
    <t>seditious</t>
    <phoneticPr fontId="24" type="noConversion"/>
  </si>
  <si>
    <t>composed</t>
    <phoneticPr fontId="24" type="noConversion"/>
  </si>
  <si>
    <t>vt.</t>
    <phoneticPr fontId="24" type="noConversion"/>
  </si>
  <si>
    <t>disorganize</t>
    <phoneticPr fontId="24" type="noConversion"/>
  </si>
  <si>
    <t>贬低，贬损</t>
    <phoneticPr fontId="24" type="noConversion"/>
  </si>
  <si>
    <t>all-incompassing</t>
    <phoneticPr fontId="24" type="noConversion"/>
  </si>
  <si>
    <t>蛮干的，赤裸裸的</t>
    <phoneticPr fontId="24" type="noConversion"/>
  </si>
  <si>
    <t>诡计，技巧</t>
    <phoneticPr fontId="24" type="noConversion"/>
  </si>
  <si>
    <t>耐心地、温柔地引导</t>
    <phoneticPr fontId="24" type="noConversion"/>
  </si>
  <si>
    <t>elegiac</t>
    <phoneticPr fontId="24" type="noConversion"/>
  </si>
  <si>
    <t>adjuration</t>
    <phoneticPr fontId="24" type="noConversion"/>
  </si>
  <si>
    <t>mutable</t>
    <phoneticPr fontId="24" type="noConversion"/>
  </si>
  <si>
    <t>pasterol</t>
    <phoneticPr fontId="24" type="noConversion"/>
  </si>
  <si>
    <t>ellusive</t>
    <phoneticPr fontId="24" type="noConversion"/>
  </si>
  <si>
    <t>frustrate</t>
    <phoneticPr fontId="24" type="noConversion"/>
  </si>
  <si>
    <t>rebut</t>
    <phoneticPr fontId="24" type="noConversion"/>
  </si>
  <si>
    <t>abstein</t>
    <phoneticPr fontId="24" type="noConversion"/>
  </si>
  <si>
    <t>capricious</t>
    <phoneticPr fontId="24" type="noConversion"/>
  </si>
  <si>
    <t>glean</t>
    <phoneticPr fontId="24" type="noConversion"/>
  </si>
  <si>
    <t>vaccilation</t>
    <phoneticPr fontId="24" type="noConversion"/>
  </si>
  <si>
    <t>athiasm</t>
    <phoneticPr fontId="24" type="noConversion"/>
  </si>
  <si>
    <t>genious</t>
    <phoneticPr fontId="24" type="noConversion"/>
  </si>
  <si>
    <t>agitate</t>
    <phoneticPr fontId="24" type="noConversion"/>
  </si>
  <si>
    <t>authoritative</t>
    <phoneticPr fontId="24" type="noConversion"/>
  </si>
  <si>
    <t>transmorgriphy</t>
    <phoneticPr fontId="24" type="noConversion"/>
  </si>
  <si>
    <t>The article had a tendentious political agenda.</t>
    <phoneticPr fontId="24" type="noConversion"/>
  </si>
  <si>
    <t>Their lifestyle was decidedly bourgeois.</t>
    <phoneticPr fontId="24" type="noConversion"/>
  </si>
  <si>
    <t>挥霍的人，浪费的人</t>
    <phoneticPr fontId="24" type="noConversion"/>
  </si>
  <si>
    <t>displace</t>
    <phoneticPr fontId="24" type="noConversion"/>
  </si>
  <si>
    <t>clangerous</t>
    <phoneticPr fontId="24" type="noConversion"/>
  </si>
  <si>
    <t>adv.</t>
    <phoneticPr fontId="24" type="noConversion"/>
  </si>
  <si>
    <t>negligant</t>
    <phoneticPr fontId="24" type="noConversion"/>
  </si>
  <si>
    <t>cumpolsary</t>
    <phoneticPr fontId="24" type="noConversion"/>
  </si>
  <si>
    <t>harass</t>
    <phoneticPr fontId="24" type="noConversion"/>
  </si>
  <si>
    <t>luminent</t>
    <phoneticPr fontId="24" type="noConversion"/>
  </si>
  <si>
    <t>compulsary</t>
    <phoneticPr fontId="24" type="noConversion"/>
  </si>
  <si>
    <t>bonhemie</t>
    <phoneticPr fontId="24" type="noConversion"/>
  </si>
  <si>
    <t>obliquy</t>
    <phoneticPr fontId="24" type="noConversion"/>
  </si>
  <si>
    <t>abstruse</t>
    <phoneticPr fontId="24" type="noConversion"/>
  </si>
  <si>
    <t>salutory</t>
    <phoneticPr fontId="24" type="noConversion"/>
  </si>
  <si>
    <t>repress</t>
    <phoneticPr fontId="24" type="noConversion"/>
  </si>
  <si>
    <t>pillar</t>
    <phoneticPr fontId="24" type="noConversion"/>
  </si>
  <si>
    <t>congruent</t>
    <phoneticPr fontId="24" type="noConversion"/>
  </si>
  <si>
    <t>upheavel</t>
    <phoneticPr fontId="24" type="noConversion"/>
  </si>
  <si>
    <t>harmonious</t>
    <phoneticPr fontId="24" type="noConversion"/>
  </si>
  <si>
    <t>miniscule</t>
    <phoneticPr fontId="24" type="noConversion"/>
  </si>
  <si>
    <t>supercede</t>
    <phoneticPr fontId="24" type="noConversion"/>
  </si>
  <si>
    <t>ficticious</t>
    <phoneticPr fontId="24" type="noConversion"/>
  </si>
  <si>
    <t>earstwhile</t>
    <phoneticPr fontId="24" type="noConversion"/>
  </si>
  <si>
    <t>palliate</t>
    <phoneticPr fontId="24" type="noConversion"/>
  </si>
  <si>
    <t>disquite</t>
    <phoneticPr fontId="24" type="noConversion"/>
  </si>
  <si>
    <t>wabble</t>
    <phoneticPr fontId="24" type="noConversion"/>
  </si>
  <si>
    <t>aback</t>
    <phoneticPr fontId="24" type="noConversion"/>
  </si>
  <si>
    <t>enliven</t>
    <phoneticPr fontId="24" type="noConversion"/>
  </si>
  <si>
    <t>ostentatious</t>
    <phoneticPr fontId="24" type="noConversion"/>
  </si>
  <si>
    <t>sedantory</t>
    <phoneticPr fontId="24" type="noConversion"/>
  </si>
  <si>
    <t>camerflage</t>
    <phoneticPr fontId="24" type="noConversion"/>
  </si>
  <si>
    <t>congestion</t>
    <phoneticPr fontId="24" type="noConversion"/>
  </si>
  <si>
    <t>sabortage</t>
    <phoneticPr fontId="24" type="noConversion"/>
  </si>
  <si>
    <t>wrestle</t>
    <phoneticPr fontId="24" type="noConversion"/>
  </si>
  <si>
    <t>proposition</t>
    <phoneticPr fontId="24" type="noConversion"/>
  </si>
  <si>
    <t>obssess</t>
    <phoneticPr fontId="24" type="noConversion"/>
  </si>
  <si>
    <t>quible</t>
    <phoneticPr fontId="24" type="noConversion"/>
  </si>
  <si>
    <t>We cannot predetermine the outcome of victory.</t>
    <phoneticPr fontId="24" type="noConversion"/>
  </si>
  <si>
    <t>prepossesing</t>
    <phoneticPr fontId="24" type="noConversion"/>
  </si>
  <si>
    <t>chivaulrous</t>
    <phoneticPr fontId="24" type="noConversion"/>
  </si>
  <si>
    <t>impugne</t>
    <phoneticPr fontId="24" type="noConversion"/>
  </si>
  <si>
    <t>panapoly</t>
    <phoneticPr fontId="24" type="noConversion"/>
  </si>
  <si>
    <t>repeteoir</t>
    <phoneticPr fontId="24" type="noConversion"/>
  </si>
  <si>
    <t>prosperity</t>
    <phoneticPr fontId="24" type="noConversion"/>
  </si>
  <si>
    <t>stimulate</t>
    <phoneticPr fontId="24" type="noConversion"/>
  </si>
  <si>
    <t>realize</t>
    <phoneticPr fontId="24" type="noConversion"/>
  </si>
  <si>
    <t>Her unerring aim made her a sharpshooter.</t>
    <phoneticPr fontId="24" type="noConversion"/>
  </si>
  <si>
    <t>自嘲的</t>
    <phoneticPr fontId="24" type="noConversion"/>
  </si>
  <si>
    <t>adj.</t>
    <phoneticPr fontId="24" type="noConversion"/>
  </si>
  <si>
    <t>She made a ​deprecatory​ joke about her cooking skills.</t>
    <phoneticPr fontId="24" type="noConversion"/>
  </si>
  <si>
    <t>使困惑，使懵圈</t>
    <phoneticPr fontId="24" type="noConversion"/>
  </si>
  <si>
    <t>rehabilitate</t>
    <phoneticPr fontId="24" type="noConversion"/>
  </si>
  <si>
    <t>unbrage</t>
    <phoneticPr fontId="24" type="noConversion"/>
  </si>
  <si>
    <t>abound</t>
    <phoneticPr fontId="24" type="noConversion"/>
  </si>
  <si>
    <t>goosebump</t>
    <phoneticPr fontId="24" type="noConversion"/>
  </si>
  <si>
    <t>formidable</t>
    <phoneticPr fontId="24" type="noConversion"/>
  </si>
  <si>
    <t>mar</t>
    <phoneticPr fontId="24" type="noConversion"/>
  </si>
  <si>
    <t>self-perpetuating</t>
    <phoneticPr fontId="24" type="noConversion"/>
  </si>
  <si>
    <t>everlasting</t>
    <phoneticPr fontId="24" type="noConversion"/>
  </si>
  <si>
    <t>precursor</t>
    <phoneticPr fontId="24" type="noConversion"/>
  </si>
  <si>
    <t>groan</t>
    <phoneticPr fontId="24" type="noConversion"/>
  </si>
  <si>
    <t>pointless</t>
    <phoneticPr fontId="24" type="noConversion"/>
  </si>
  <si>
    <t>demarcation</t>
    <phoneticPr fontId="24" type="noConversion"/>
  </si>
  <si>
    <t>gourmet</t>
    <phoneticPr fontId="24" type="noConversion"/>
  </si>
  <si>
    <t>flush</t>
    <phoneticPr fontId="24" type="noConversion"/>
  </si>
  <si>
    <t>naysayer</t>
    <phoneticPr fontId="24" type="noConversion"/>
  </si>
  <si>
    <t>arousal</t>
    <phoneticPr fontId="24" type="noConversion"/>
  </si>
  <si>
    <t>lenient</t>
    <phoneticPr fontId="24" type="noConversion"/>
  </si>
  <si>
    <t>barrier</t>
    <phoneticPr fontId="24" type="noConversion"/>
  </si>
  <si>
    <t>perenial</t>
    <phoneticPr fontId="24" type="noConversion"/>
  </si>
  <si>
    <t>undo</t>
    <phoneticPr fontId="24" type="noConversion"/>
  </si>
  <si>
    <t>unnerve</t>
    <phoneticPr fontId="24" type="noConversion"/>
  </si>
  <si>
    <t>outdo</t>
    <phoneticPr fontId="24" type="noConversion"/>
  </si>
  <si>
    <t>doctrinare</t>
    <phoneticPr fontId="24" type="noConversion"/>
  </si>
  <si>
    <t>forbidden</t>
    <phoneticPr fontId="24" type="noConversion"/>
  </si>
  <si>
    <t>sovereignty</t>
    <phoneticPr fontId="24" type="noConversion"/>
  </si>
  <si>
    <t>rabid</t>
    <phoneticPr fontId="24" type="noConversion"/>
  </si>
  <si>
    <t>remarkable</t>
    <phoneticPr fontId="24" type="noConversion"/>
  </si>
  <si>
    <t>savvy</t>
    <phoneticPr fontId="24" type="noConversion"/>
  </si>
  <si>
    <t>contemplate</t>
    <phoneticPr fontId="24" type="noConversion"/>
  </si>
  <si>
    <t>oscilate</t>
    <phoneticPr fontId="24" type="noConversion"/>
  </si>
  <si>
    <t>predicate</t>
    <phoneticPr fontId="24" type="noConversion"/>
  </si>
  <si>
    <t>bestow</t>
    <phoneticPr fontId="24" type="noConversion"/>
  </si>
  <si>
    <t>draw</t>
    <phoneticPr fontId="24" type="noConversion"/>
  </si>
  <si>
    <t>blur</t>
    <phoneticPr fontId="24" type="noConversion"/>
  </si>
  <si>
    <t>detrimental</t>
    <phoneticPr fontId="24" type="noConversion"/>
  </si>
  <si>
    <t>fester</t>
    <phoneticPr fontId="24" type="noConversion"/>
  </si>
  <si>
    <t>forthright</t>
    <phoneticPr fontId="24" type="noConversion"/>
  </si>
  <si>
    <t>tractable</t>
    <phoneticPr fontId="24" type="noConversion"/>
  </si>
  <si>
    <t>chronicle</t>
    <phoneticPr fontId="24" type="noConversion"/>
  </si>
  <si>
    <t>flighty</t>
    <phoneticPr fontId="24" type="noConversion"/>
  </si>
  <si>
    <t>lucrative</t>
    <phoneticPr fontId="24" type="noConversion"/>
  </si>
  <si>
    <t>contemptuous</t>
    <phoneticPr fontId="24" type="noConversion"/>
  </si>
  <si>
    <t>intact</t>
    <phoneticPr fontId="24" type="noConversion"/>
  </si>
  <si>
    <t>virtue</t>
    <phoneticPr fontId="24" type="noConversion"/>
  </si>
  <si>
    <t>cloak</t>
    <phoneticPr fontId="24" type="noConversion"/>
  </si>
  <si>
    <t>rambling</t>
    <phoneticPr fontId="24" type="noConversion"/>
  </si>
  <si>
    <t>self-evident</t>
    <phoneticPr fontId="24" type="noConversion"/>
  </si>
  <si>
    <t>disingenuous</t>
    <phoneticPr fontId="24" type="noConversion"/>
  </si>
  <si>
    <t>preponderant</t>
    <phoneticPr fontId="24" type="noConversion"/>
  </si>
  <si>
    <t>cleave</t>
    <phoneticPr fontId="24" type="noConversion"/>
  </si>
  <si>
    <t>omit</t>
    <phoneticPr fontId="24" type="noConversion"/>
  </si>
  <si>
    <t>warrant</t>
    <phoneticPr fontId="24" type="noConversion"/>
  </si>
  <si>
    <t>unearth</t>
    <phoneticPr fontId="24" type="noConversion"/>
  </si>
  <si>
    <t>harrass</t>
    <phoneticPr fontId="24" type="noConversion"/>
  </si>
  <si>
    <t>reiterate</t>
    <phoneticPr fontId="24" type="noConversion"/>
  </si>
  <si>
    <t>employ</t>
    <phoneticPr fontId="24" type="noConversion"/>
  </si>
  <si>
    <t>prevalent</t>
    <phoneticPr fontId="24" type="noConversion"/>
  </si>
  <si>
    <t>meditate</t>
    <phoneticPr fontId="24" type="noConversion"/>
  </si>
  <si>
    <t>abundant</t>
    <phoneticPr fontId="24" type="noConversion"/>
  </si>
  <si>
    <t>anihilism</t>
    <phoneticPr fontId="24" type="noConversion"/>
  </si>
  <si>
    <t>slant</t>
    <phoneticPr fontId="24" type="noConversion"/>
  </si>
  <si>
    <t>brainchild</t>
    <phoneticPr fontId="24" type="noConversion"/>
  </si>
  <si>
    <t>imortality</t>
    <phoneticPr fontId="24" type="noConversion"/>
  </si>
  <si>
    <t>fashion</t>
    <phoneticPr fontId="24" type="noConversion"/>
  </si>
  <si>
    <t>posture</t>
    <phoneticPr fontId="24" type="noConversion"/>
  </si>
  <si>
    <t>extrovert</t>
    <phoneticPr fontId="24" type="noConversion"/>
  </si>
  <si>
    <t>bookish</t>
    <phoneticPr fontId="24" type="noConversion"/>
  </si>
  <si>
    <t>bombard</t>
    <phoneticPr fontId="24" type="noConversion"/>
  </si>
  <si>
    <t>ecstasy</t>
    <phoneticPr fontId="24" type="noConversion"/>
  </si>
  <si>
    <t>recast</t>
    <phoneticPr fontId="24" type="noConversion"/>
  </si>
  <si>
    <t>self-serving</t>
    <phoneticPr fontId="24" type="noConversion"/>
  </si>
  <si>
    <t>taunt</t>
    <phoneticPr fontId="24" type="noConversion"/>
  </si>
  <si>
    <t>cornerstone</t>
    <phoneticPr fontId="24" type="noConversion"/>
  </si>
  <si>
    <t>把人一吓的</t>
    <phoneticPr fontId="24" type="noConversion"/>
  </si>
  <si>
    <t>recollect</t>
    <phoneticPr fontId="24" type="noConversion"/>
  </si>
  <si>
    <t>propriatory</t>
    <phoneticPr fontId="24" type="noConversion"/>
  </si>
  <si>
    <t>ruminate</t>
    <phoneticPr fontId="24" type="noConversion"/>
  </si>
  <si>
    <t>lure</t>
    <phoneticPr fontId="24" type="noConversion"/>
  </si>
  <si>
    <t>wherewithal</t>
    <phoneticPr fontId="24" type="noConversion"/>
  </si>
  <si>
    <t>accession</t>
    <phoneticPr fontId="24" type="noConversion"/>
  </si>
  <si>
    <t>inborn</t>
    <phoneticPr fontId="24" type="noConversion"/>
  </si>
  <si>
    <t>tepid</t>
    <phoneticPr fontId="24" type="noConversion"/>
  </si>
  <si>
    <t>flamboyant</t>
    <phoneticPr fontId="24" type="noConversion"/>
  </si>
  <si>
    <t>distinctive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</si>
</sst>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0.00_);[Red]\(0.00\)"/>
    <numFmt numFmtId="178" formatCode="yyyy/mm/dd"/>
    <numFmt numFmtId="179" formatCode="\ "/>
  </numFmts>
  <fonts count="30" x14ac:knownFonts="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i/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8"/>
      <name val="等线"/>
      <family val="2"/>
      <scheme val="minor"/>
    </font>
    <font>
      <b/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Calibr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67650379955446"/>
        <bgColor indexed="64"/>
      </patternFill>
    </fill>
    <fill>
      <patternFill patternType="solid">
        <fgColor theme="0" tint="-0.149784844508194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>
      <alignment vertical="center"/>
    </xf>
    <xf numFmtId="0" fontId="21" fillId="0" borderId="0" xfId="0" applyFont="1" applyAlignment="1">
      <alignment horizontal="left"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9" fontId="0" fillId="2" borderId="0" xfId="0" applyNumberFormat="1" applyFill="1" applyAlignment="1">
      <alignment horizontal="center" vertical="center"/>
    </xf>
    <xf numFmtId="178" fontId="0" fillId="5" borderId="0" xfId="0" applyNumberFormat="1" applyFill="1" applyAlignment="1">
      <alignment horizontal="center" vertical="center"/>
    </xf>
    <xf numFmtId="0" fontId="22" fillId="0" borderId="0" xfId="0" applyFont="1">
      <alignment vertical="center"/>
    </xf>
    <xf numFmtId="176" fontId="0" fillId="2" borderId="0" xfId="0" applyNumberFormat="1" applyFill="1">
      <alignment vertical="center"/>
    </xf>
    <xf numFmtId="14" fontId="0" fillId="2" borderId="0" xfId="0" applyNumberFormat="1" applyFill="1" applyAlignment="1">
      <alignment horizontal="center" vertical="center"/>
    </xf>
    <xf numFmtId="177" fontId="21" fillId="0" borderId="0" xfId="0" applyNumberFormat="1" applyFont="1" applyAlignment="1">
      <alignment horizontal="left" vertical="center"/>
    </xf>
    <xf numFmtId="176" fontId="0" fillId="5" borderId="0" xfId="0" applyNumberFormat="1" applyFill="1" applyAlignment="1">
      <alignment horizontal="center" vertical="center"/>
    </xf>
    <xf numFmtId="0" fontId="0" fillId="6" borderId="0" xfId="0" applyFill="1">
      <alignment vertical="center"/>
    </xf>
    <xf numFmtId="0" fontId="23" fillId="4" borderId="0" xfId="0" applyFont="1" applyFill="1">
      <alignment vertical="center"/>
    </xf>
    <xf numFmtId="177" fontId="0" fillId="2" borderId="0" xfId="0" applyNumberFormat="1" applyFill="1" applyAlignment="1">
      <alignment horizontal="center" vertical="center"/>
    </xf>
    <xf numFmtId="0" fontId="23" fillId="3" borderId="0" xfId="0" applyFont="1" applyFill="1">
      <alignment vertical="center"/>
    </xf>
    <xf numFmtId="0" fontId="23" fillId="6" borderId="0" xfId="0" applyFont="1" applyFill="1">
      <alignment vertical="center"/>
    </xf>
    <xf numFmtId="0" fontId="25" fillId="0" borderId="0" xfId="0" applyFont="1">
      <alignment vertical="center"/>
    </xf>
    <xf numFmtId="0" fontId="20" fillId="6" borderId="0" xfId="0" applyFont="1" applyFill="1">
      <alignment vertical="center"/>
    </xf>
    <xf numFmtId="0" fontId="19" fillId="6" borderId="0" xfId="0" applyFont="1" applyFill="1">
      <alignment vertical="center"/>
    </xf>
    <xf numFmtId="0" fontId="18" fillId="6" borderId="0" xfId="0" applyFont="1" applyFill="1">
      <alignment vertical="center"/>
    </xf>
    <xf numFmtId="0" fontId="26" fillId="6" borderId="0" xfId="0" applyFont="1" applyFill="1">
      <alignment vertical="center"/>
    </xf>
    <xf numFmtId="0" fontId="26" fillId="4" borderId="0" xfId="0" applyFont="1" applyFill="1">
      <alignment vertical="center"/>
    </xf>
    <xf numFmtId="0" fontId="17" fillId="6" borderId="0" xfId="0" applyFont="1" applyFill="1">
      <alignment vertical="center"/>
    </xf>
    <xf numFmtId="0" fontId="16" fillId="6" borderId="0" xfId="0" applyFont="1" applyFill="1">
      <alignment vertical="center"/>
    </xf>
    <xf numFmtId="0" fontId="15" fillId="6" borderId="0" xfId="0" applyFont="1" applyFill="1">
      <alignment vertical="center"/>
    </xf>
    <xf numFmtId="0" fontId="14" fillId="6" borderId="0" xfId="0" applyFont="1" applyFill="1">
      <alignment vertical="center"/>
    </xf>
    <xf numFmtId="0" fontId="13" fillId="6" borderId="0" xfId="0" applyFont="1" applyFill="1">
      <alignment vertical="center"/>
    </xf>
    <xf numFmtId="0" fontId="12" fillId="6" borderId="0" xfId="0" applyFont="1" applyFill="1">
      <alignment vertical="center"/>
    </xf>
    <xf numFmtId="0" fontId="11" fillId="6" borderId="0" xfId="0" applyFont="1" applyFill="1">
      <alignment vertical="center"/>
    </xf>
    <xf numFmtId="0" fontId="10" fillId="6" borderId="0" xfId="0" applyFont="1" applyFill="1">
      <alignment vertical="center"/>
    </xf>
    <xf numFmtId="0" fontId="9" fillId="6" borderId="0" xfId="0" applyFont="1" applyFill="1">
      <alignment vertical="center"/>
    </xf>
    <xf numFmtId="0" fontId="8" fillId="6" borderId="0" xfId="0" applyFont="1" applyFill="1">
      <alignment vertical="center"/>
    </xf>
    <xf numFmtId="14" fontId="0" fillId="0" borderId="0" xfId="0" applyNumberFormat="1">
      <alignment vertical="center"/>
    </xf>
    <xf numFmtId="0" fontId="7" fillId="6" borderId="0" xfId="0" applyFont="1" applyFill="1">
      <alignment vertical="center"/>
    </xf>
    <xf numFmtId="0" fontId="7" fillId="0" borderId="0" xfId="0" applyFont="1">
      <alignment vertical="center"/>
    </xf>
    <xf numFmtId="0" fontId="6" fillId="6" borderId="0" xfId="0" applyFont="1" applyFill="1">
      <alignment vertical="center"/>
    </xf>
    <xf numFmtId="0" fontId="5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3" fillId="6" borderId="0" xfId="0" applyFont="1" applyFill="1">
      <alignment vertical="center"/>
    </xf>
    <xf numFmtId="0" fontId="2" fillId="6" borderId="0" xfId="0" applyFont="1" applyFill="1">
      <alignment vertical="center"/>
    </xf>
    <xf numFmtId="0" fontId="1" fillId="6" borderId="0" xfId="0" applyFont="1" applyFill="1">
      <alignment vertical="center"/>
    </xf>
    <xf numFmtId="0" fontId="1" fillId="4" borderId="0" xfId="0" applyFont="1" applyFill="1">
      <alignment vertical="center"/>
    </xf>
    <xf numFmtId="0" fontId="29" fillId="4" borderId="0" xfId="0" applyFont="1" applyFill="1">
      <alignment vertical="center"/>
    </xf>
  </cellXfs>
  <cellStyles count="1">
    <cellStyle name="常规" xfId="0" builtinId="0"/>
  </cellStyles>
  <dxfs count="33">
    <dxf>
      <numFmt numFmtId="177" formatCode="0.00_);[Red]\(0.00\)"/>
      <fill>
        <patternFill patternType="solid">
          <fgColor indexed="64"/>
          <bgColor theme="0" tint="-4.9989318521683403E-2"/>
        </patternFill>
      </fill>
      <alignment horizontal="center" vertical="center"/>
    </dxf>
    <dxf>
      <numFmt numFmtId="176" formatCode="0_);[Red]\(0\)"/>
      <fill>
        <patternFill patternType="solid">
          <bgColor theme="0" tint="-0.14978484450819421"/>
        </patternFill>
      </fill>
      <alignment horizontal="center" vertical="center"/>
    </dxf>
    <dxf>
      <numFmt numFmtId="176" formatCode="0_);[Red]\(0\)"/>
      <fill>
        <patternFill patternType="solid">
          <bgColor theme="0" tint="-0.14978484450819421"/>
        </patternFill>
      </fill>
      <alignment horizontal="center" vertical="center"/>
    </dxf>
    <dxf>
      <numFmt numFmtId="176" formatCode="0_);[Red]\(0\)"/>
      <fill>
        <patternFill patternType="solid">
          <bgColor theme="0" tint="-0.14978484450819421"/>
        </patternFill>
      </fill>
      <alignment horizontal="center" vertical="center"/>
    </dxf>
    <dxf>
      <numFmt numFmtId="176" formatCode="0_);[Red]\(0\)"/>
      <fill>
        <patternFill patternType="solid">
          <bgColor theme="0" tint="-0.14978484450819421"/>
        </patternFill>
      </fill>
      <alignment horizontal="center" vertical="center"/>
    </dxf>
    <dxf>
      <numFmt numFmtId="176" formatCode="0_);[Red]\(0\)"/>
      <fill>
        <patternFill patternType="solid">
          <bgColor theme="0" tint="-0.14978484450819421"/>
        </patternFill>
      </fill>
      <alignment horizontal="center" vertical="center"/>
    </dxf>
    <dxf>
      <numFmt numFmtId="176" formatCode="0_);[Red]\(0\)"/>
      <fill>
        <patternFill patternType="solid">
          <bgColor theme="0" tint="-0.14978484450819421"/>
        </patternFill>
      </fill>
      <alignment horizontal="center" vertical="center"/>
    </dxf>
    <dxf>
      <numFmt numFmtId="176" formatCode="0_);[Red]\(0\)"/>
      <fill>
        <patternFill patternType="solid">
          <bgColor theme="0" tint="-0.14978484450819421"/>
        </patternFill>
      </fill>
      <alignment horizontal="center" vertical="center"/>
    </dxf>
    <dxf>
      <numFmt numFmtId="176" formatCode="0_);[Red]\(0\)"/>
      <fill>
        <patternFill patternType="solid">
          <bgColor theme="0" tint="-4.9989318521683403E-2"/>
        </patternFill>
      </fill>
    </dxf>
    <dxf>
      <numFmt numFmtId="180" formatCode="yyyy/m/d"/>
      <fill>
        <patternFill patternType="solid">
          <bgColor theme="0" tint="-4.9989318521683403E-2"/>
        </patternFill>
      </fill>
      <alignment horizontal="center" vertical="center"/>
    </dxf>
    <dxf>
      <numFmt numFmtId="180" formatCode="yyyy/m/d"/>
      <fill>
        <patternFill patternType="solid">
          <bgColor theme="0" tint="-4.9989318521683403E-2"/>
        </patternFill>
      </fill>
      <alignment horizontal="center" vertical="center"/>
    </dxf>
    <dxf>
      <numFmt numFmtId="176" formatCode="0_);[Red]\(0\)"/>
      <fill>
        <patternFill patternType="solid">
          <bgColor theme="0" tint="-4.9989318521683403E-2"/>
        </patternFill>
      </fill>
    </dxf>
    <dxf>
      <numFmt numFmtId="178" formatCode="yyyy/mm/dd"/>
      <fill>
        <patternFill patternType="solid">
          <bgColor theme="0" tint="-0.14978484450819421"/>
        </patternFill>
      </fill>
      <alignment horizontal="center" vertical="center"/>
    </dxf>
    <dxf>
      <numFmt numFmtId="178" formatCode="yyyy/mm/dd"/>
      <fill>
        <patternFill patternType="solid">
          <bgColor theme="0" tint="-0.14978484450819421"/>
        </patternFill>
      </fill>
      <alignment horizontal="center" vertical="center"/>
    </dxf>
    <dxf>
      <numFmt numFmtId="178" formatCode="yyyy/mm/dd"/>
      <fill>
        <patternFill patternType="solid">
          <bgColor theme="0" tint="-0.14978484450819421"/>
        </patternFill>
      </fill>
      <alignment horizontal="center" vertical="center"/>
    </dxf>
    <dxf>
      <numFmt numFmtId="178" formatCode="yyyy/mm/dd"/>
      <fill>
        <patternFill patternType="solid">
          <bgColor theme="0" tint="-0.14978484450819421"/>
        </patternFill>
      </fill>
      <alignment horizontal="center" vertical="center"/>
    </dxf>
    <dxf>
      <numFmt numFmtId="178" formatCode="yyyy/mm/dd"/>
      <fill>
        <patternFill patternType="solid">
          <bgColor theme="0" tint="-0.14978484450819421"/>
        </patternFill>
      </fill>
      <alignment horizontal="center" vertical="center"/>
    </dxf>
    <dxf>
      <numFmt numFmtId="178" formatCode="yyyy/mm/dd"/>
      <fill>
        <patternFill patternType="solid">
          <bgColor theme="0" tint="-0.14978484450819421"/>
        </patternFill>
      </fill>
      <alignment horizontal="center" vertical="center"/>
    </dxf>
    <dxf>
      <numFmt numFmtId="178" formatCode="yyyy/mm/dd"/>
      <fill>
        <patternFill patternType="solid">
          <bgColor theme="0" tint="-0.14978484450819421"/>
        </patternFill>
      </fill>
      <alignment horizontal="center" vertical="center"/>
    </dxf>
    <dxf>
      <numFmt numFmtId="179" formatCode="\ "/>
      <fill>
        <patternFill patternType="solid">
          <bgColor theme="0" tint="-4.9989318521683403E-2"/>
        </patternFill>
      </fill>
      <alignment horizontal="center" vertical="center"/>
    </dxf>
    <dxf>
      <numFmt numFmtId="0" formatCode="General"/>
      <fill>
        <patternFill patternType="solid">
          <bgColor theme="4" tint="0.79967650379955446"/>
        </patternFill>
      </fill>
    </dxf>
    <dxf>
      <fill>
        <patternFill patternType="solid">
          <bgColor theme="4" tint="0.79967650379955446"/>
        </patternFill>
      </fill>
    </dxf>
    <dxf>
      <fill>
        <patternFill patternType="solid">
          <bgColor theme="4" tint="0.79967650379955446"/>
        </patternFill>
      </fill>
    </dxf>
    <dxf>
      <numFmt numFmtId="0" formatCode="General"/>
      <fill>
        <patternFill patternType="solid">
          <bgColor theme="4" tint="0.79967650379955446"/>
        </patternFill>
      </fill>
    </dxf>
    <dxf>
      <fill>
        <patternFill patternType="solid">
          <bgColor theme="4" tint="0.79967650379955446"/>
        </patternFill>
      </fill>
    </dxf>
    <dxf>
      <fill>
        <patternFill patternType="solid">
          <bgColor theme="4" tint="0.79967650379955446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0" tint="-4.9989318521683403E-2"/>
        </patternFill>
      </fill>
      <alignment vertical="center"/>
    </dxf>
    <dxf>
      <fill>
        <patternFill patternType="solid">
          <bgColor theme="9" tint="0.59999389629810485"/>
        </patternFill>
      </fill>
    </dxf>
    <dxf>
      <fill>
        <patternFill patternType="solid">
          <bgColor theme="0" tint="-4.9989318521683403E-2"/>
        </patternFill>
      </fill>
      <alignment vertical="center"/>
    </dxf>
    <dxf>
      <fill>
        <patternFill patternType="solid">
          <bgColor theme="9" tint="0.59999389629810485"/>
        </patternFill>
      </fill>
    </dxf>
    <dxf>
      <fill>
        <patternFill patternType="solid">
          <bgColor theme="0" tint="-4.9989318521683403E-2"/>
        </patternFill>
      </fill>
      <alignment vertical="center"/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0</xdr:row>
          <xdr:rowOff>9525</xdr:rowOff>
        </xdr:from>
        <xdr:to>
          <xdr:col>2</xdr:col>
          <xdr:colOff>495300</xdr:colOff>
          <xdr:row>0</xdr:row>
          <xdr:rowOff>285750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Study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9525</xdr:rowOff>
        </xdr:from>
        <xdr:to>
          <xdr:col>4</xdr:col>
          <xdr:colOff>400050</xdr:colOff>
          <xdr:row>0</xdr:row>
          <xdr:rowOff>285750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0</xdr:row>
          <xdr:rowOff>9525</xdr:rowOff>
        </xdr:from>
        <xdr:to>
          <xdr:col>3</xdr:col>
          <xdr:colOff>19050</xdr:colOff>
          <xdr:row>0</xdr:row>
          <xdr:rowOff>285750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114300</xdr:colOff>
          <xdr:row>0</xdr:row>
          <xdr:rowOff>285750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742950</xdr:colOff>
          <xdr:row>0</xdr:row>
          <xdr:rowOff>295275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Zip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reading" displayName="reading" ref="A2:AG3091" totalsRowShown="0">
  <autoFilter ref="A2:AG3091" xr:uid="{00000000-000C-0000-FFFF-FFFF00000000}">
    <filterColumn colId="1">
      <filters blank="1"/>
    </filterColumn>
    <filterColumn colId="3">
      <filters blank="1"/>
    </filterColumn>
    <filterColumn colId="23">
      <customFilters>
        <customFilter operator="lessThanOrEqual" val="45830"/>
      </customFilters>
    </filterColumn>
    <filterColumn colId="24">
      <filters blank="1"/>
    </filterColumn>
  </autoFilter>
  <sortState xmlns:xlrd2="http://schemas.microsoft.com/office/spreadsheetml/2017/richdata2" ref="A1049:AG3091">
    <sortCondition ref="N2:N3091"/>
  </sortState>
  <tableColumns count="33">
    <tableColumn id="1" xr3:uid="{00000000-0010-0000-0000-000001000000}" name="Band" dataDxfId="32">
      <calculatedColumnFormula>IF(B3=1,3,IF(D3=1,2,IF(F3=1,1,0)))</calculatedColumnFormula>
    </tableColumn>
    <tableColumn id="2" xr3:uid="{00000000-0010-0000-0000-000002000000}" name="A" dataDxfId="31">
      <calculatedColumnFormula>IF(C3=$L3,1,IF(C3="","",0))</calculatedColumnFormula>
    </tableColumn>
    <tableColumn id="3" xr3:uid="{00000000-0010-0000-0000-000003000000}" name="Answer A" dataDxfId="30"/>
    <tableColumn id="4" xr3:uid="{00000000-0010-0000-0000-000004000000}" name="B" dataDxfId="29">
      <calculatedColumnFormula>IF(E3=$L3,1,IF(E3="","",0))</calculatedColumnFormula>
    </tableColumn>
    <tableColumn id="5" xr3:uid="{00000000-0010-0000-0000-000005000000}" name="Answer B" dataDxfId="28"/>
    <tableColumn id="6" xr3:uid="{00000000-0010-0000-0000-000006000000}" name="C" dataDxfId="27">
      <calculatedColumnFormula>IF(G3=$L3,1,IF(G3="","",0))</calculatedColumnFormula>
    </tableColumn>
    <tableColumn id="7" xr3:uid="{00000000-0010-0000-0000-000007000000}" name="Answer C" dataDxfId="26"/>
    <tableColumn id="29" xr3:uid="{00000000-0010-0000-0000-00001D000000}" name="#" dataDxfId="25"/>
    <tableColumn id="30" xr3:uid="{00000000-0010-0000-0000-00001E000000}" name="Source" dataDxfId="24"/>
    <tableColumn id="8" xr3:uid="{00000000-0010-0000-0000-000008000000}" name="Chinese" dataDxfId="23"/>
    <tableColumn id="9" xr3:uid="{00000000-0010-0000-0000-000009000000}" name="PoS" dataDxfId="22"/>
    <tableColumn id="10" xr3:uid="{00000000-0010-0000-0000-00000A000000}" name="Word" dataDxfId="21"/>
    <tableColumn id="11" xr3:uid="{00000000-0010-0000-0000-00000B000000}" name="Example" dataDxfId="20"/>
    <tableColumn id="26" xr3:uid="{00000000-0010-0000-0000-00001A000000}" name="R" dataDxfId="19">
      <calculatedColumnFormula>RAND()</calculatedColumnFormula>
    </tableColumn>
    <tableColumn id="12" xr3:uid="{00000000-0010-0000-0000-00000C000000}" name="Memo 01" dataDxfId="18"/>
    <tableColumn id="13" xr3:uid="{00000000-0010-0000-0000-00000D000000}" name="Memo 02" dataDxfId="17"/>
    <tableColumn id="14" xr3:uid="{00000000-0010-0000-0000-00000E000000}" name="Memo 03" dataDxfId="16"/>
    <tableColumn id="15" xr3:uid="{00000000-0010-0000-0000-00000F000000}" name="Memo 04" dataDxfId="15"/>
    <tableColumn id="16" xr3:uid="{00000000-0010-0000-0000-000010000000}" name="Memo 05" dataDxfId="14"/>
    <tableColumn id="17" xr3:uid="{00000000-0010-0000-0000-000011000000}" name="Memo 06" dataDxfId="13"/>
    <tableColumn id="18" xr3:uid="{00000000-0010-0000-0000-000012000000}" name="Memo 07" dataDxfId="12"/>
    <tableColumn id="39" xr3:uid="{00000000-0010-0000-0000-000027000000}" name="Rd" dataDxfId="11">
      <calculatedColumnFormula>COUNTA(O3:U3)</calculatedColumnFormula>
    </tableColumn>
    <tableColumn id="40" xr3:uid="{00000000-0010-0000-0000-000028000000}" name="Previous" dataDxfId="10">
      <calculatedColumnFormula>_xlfn.IFNA(INDEX(reading[[#This Row],[Memo 01]:[Memo 07]],MATCH(0,reading[[#This Row],[Memo 01]:[Memo 07]],-1)),"")</calculatedColumnFormula>
    </tableColumn>
    <tableColumn id="28" xr3:uid="{00000000-0010-0000-0000-00001C000000}" name="Next" dataDxfId="9">
      <calculatedColumnFormula>IFERROR(reading[[#This Row],[Previous]]+OFFSET(reading[[#Headers],[Memo 01]],-1,MATCH(0,reading[[#This Row],[Memo 01]:[Memo 07]],-1)-1),"")</calculatedColumnFormula>
    </tableColumn>
    <tableColumn id="31" xr3:uid="{00000000-0010-0000-0000-00001F000000}" name="OK" dataDxfId="8">
      <calculatedColumnFormula>IF(reading[[#This Row],[Next]]&lt;&gt;"",IF(reading[[#This Row],[Next]]&gt;TODAY(),"OK",""),"")</calculatedColumnFormula>
    </tableColumn>
    <tableColumn id="19" xr3:uid="{00000000-0010-0000-0000-000013000000}" name="1st" dataDxfId="7"/>
    <tableColumn id="20" xr3:uid="{00000000-0010-0000-0000-000014000000}" name="2nd" dataDxfId="6"/>
    <tableColumn id="21" xr3:uid="{00000000-0010-0000-0000-000015000000}" name="3rd" dataDxfId="5"/>
    <tableColumn id="22" xr3:uid="{00000000-0010-0000-0000-000016000000}" name="4th" dataDxfId="4"/>
    <tableColumn id="23" xr3:uid="{00000000-0010-0000-0000-000017000000}" name="5th" dataDxfId="3"/>
    <tableColumn id="24" xr3:uid="{00000000-0010-0000-0000-000018000000}" name="6th" dataDxfId="2"/>
    <tableColumn id="25" xr3:uid="{00000000-0010-0000-0000-000019000000}" name="7th" dataDxfId="1"/>
    <tableColumn id="27" xr3:uid="{00000000-0010-0000-0000-00001B000000}" name="Avg" dataDxfId="0">
      <calculatedColumnFormula>IFERROR(SUMIF(reading[[#This Row],[1st]:[7th]],"&gt;0")/COUNTIF(reading[[#This Row],[1st]:[7th]],"&gt;0"),"")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G3092"/>
  <sheetViews>
    <sheetView tabSelected="1" zoomScaleNormal="100" workbookViewId="0">
      <selection activeCell="L1049" sqref="L1049"/>
    </sheetView>
  </sheetViews>
  <sheetFormatPr defaultColWidth="8.75" defaultRowHeight="14.25" x14ac:dyDescent="0.2"/>
  <cols>
    <col min="1" max="1" width="6.625" customWidth="1"/>
    <col min="2" max="2" width="2.625" customWidth="1"/>
    <col min="3" max="3" width="15.625" customWidth="1"/>
    <col min="4" max="4" width="2.625" customWidth="1"/>
    <col min="5" max="5" width="15.625" customWidth="1"/>
    <col min="6" max="6" width="2.625" customWidth="1"/>
    <col min="7" max="7" width="15.625" customWidth="1"/>
    <col min="8" max="8" width="5" customWidth="1"/>
    <col min="9" max="9" width="10.625" customWidth="1"/>
    <col min="10" max="10" width="35.75" customWidth="1"/>
    <col min="11" max="11" width="8" customWidth="1"/>
    <col min="12" max="13" width="1.625" customWidth="1"/>
    <col min="14" max="14" width="5.125" style="1" bestFit="1" customWidth="1"/>
    <col min="15" max="21" width="10.625" customWidth="1"/>
    <col min="22" max="22" width="4.625" customWidth="1"/>
    <col min="23" max="24" width="10.625" customWidth="1"/>
    <col min="25" max="25" width="4.625" style="2" customWidth="1"/>
    <col min="26" max="32" width="4.625" customWidth="1"/>
    <col min="33" max="33" width="5.25" bestFit="1" customWidth="1"/>
  </cols>
  <sheetData>
    <row r="1" spans="1:33" ht="24" customHeight="1" x14ac:dyDescent="0.2">
      <c r="G1" s="19" t="str">
        <f ca="1">COUNTIFS(reading[Previous],TODAY(),reading[Rd],"=1")&amp;", "&amp;COUNTIFS(reading[Previous],TODAY(),reading[Rd],"&gt;1")&amp;" / "&amp;(COUNTIFS(reading[Previous],TODAY(),reading[Rd],"&gt;1")+COUNTIFS(reading[Next],"&lt;="&amp;TODAY()))</f>
        <v>0, 0 / 957</v>
      </c>
      <c r="O1">
        <v>1</v>
      </c>
      <c r="P1">
        <v>2</v>
      </c>
      <c r="Q1">
        <v>4</v>
      </c>
      <c r="R1">
        <v>7</v>
      </c>
      <c r="S1">
        <v>12</v>
      </c>
      <c r="T1">
        <v>20</v>
      </c>
      <c r="U1" s="9">
        <v>10000</v>
      </c>
      <c r="V1" s="9"/>
    </row>
    <row r="2" spans="1:33" x14ac:dyDescent="0.2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3" t="s">
        <v>10</v>
      </c>
      <c r="L2" s="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3" t="s">
        <v>18</v>
      </c>
      <c r="T2" s="3" t="s">
        <v>19</v>
      </c>
      <c r="U2" s="3" t="s">
        <v>20</v>
      </c>
      <c r="V2" s="3" t="s">
        <v>21</v>
      </c>
      <c r="W2" s="3" t="s">
        <v>22</v>
      </c>
      <c r="X2" s="3" t="s">
        <v>23</v>
      </c>
      <c r="Y2" s="12" t="s">
        <v>24</v>
      </c>
      <c r="Z2" s="3" t="s">
        <v>25</v>
      </c>
      <c r="AA2" s="3" t="s">
        <v>26</v>
      </c>
      <c r="AB2" s="3" t="s">
        <v>27</v>
      </c>
      <c r="AC2" s="3" t="s">
        <v>28</v>
      </c>
      <c r="AD2" s="3" t="s">
        <v>29</v>
      </c>
      <c r="AE2" s="3" t="s">
        <v>30</v>
      </c>
      <c r="AF2" s="3" t="s">
        <v>31</v>
      </c>
      <c r="AG2" t="s">
        <v>32</v>
      </c>
    </row>
    <row r="3" spans="1:33" hidden="1" x14ac:dyDescent="0.2">
      <c r="A3" s="4">
        <f t="shared" ref="A3" si="0">IF(B3=1,3,IF(D3=1,2,IF(F3=1,1,0)))</f>
        <v>0</v>
      </c>
      <c r="B3" s="4" t="str">
        <f t="shared" ref="B3" si="1">IF(C3=$L3,1,IF(C3="","",0))</f>
        <v/>
      </c>
      <c r="C3" s="41"/>
      <c r="D3" s="4" t="str">
        <f t="shared" ref="D3" si="2">IF(E3=$L3,1,IF(E3="","",0))</f>
        <v/>
      </c>
      <c r="E3" s="23"/>
      <c r="F3" s="4" t="str">
        <f t="shared" ref="F3" si="3">IF(G3=$L3,1,IF(G3="","",0))</f>
        <v/>
      </c>
      <c r="G3" s="14"/>
      <c r="H3" s="6">
        <v>488</v>
      </c>
      <c r="I3" s="15" t="s">
        <v>3120</v>
      </c>
      <c r="J3" s="6" t="s">
        <v>3634</v>
      </c>
      <c r="K3" s="6"/>
      <c r="L3" s="6" t="s">
        <v>616</v>
      </c>
      <c r="M3" s="6" t="s">
        <v>6597</v>
      </c>
      <c r="N3" s="7">
        <f t="shared" ref="N3" ca="1" si="4">RAND()</f>
        <v>0.9965489601854487</v>
      </c>
      <c r="O3" s="8">
        <v>45202</v>
      </c>
      <c r="P3" s="8">
        <v>45203</v>
      </c>
      <c r="Q3" s="8">
        <v>45205</v>
      </c>
      <c r="R3" s="8">
        <v>45209</v>
      </c>
      <c r="S3" s="8">
        <v>45216</v>
      </c>
      <c r="T3" s="8">
        <v>45228</v>
      </c>
      <c r="U3" s="8">
        <v>45250</v>
      </c>
      <c r="V3" s="10">
        <f t="shared" ref="V3" si="5">COUNTA(O3:U3)</f>
        <v>7</v>
      </c>
      <c r="W3" s="11">
        <f>_xlfn.IFNA(INDEX(reading[[#This Row],[Memo 01]:[Memo 07]],MATCH(0,reading[[#This Row],[Memo 01]:[Memo 07]],-1)),"")</f>
        <v>45250</v>
      </c>
      <c r="X3" s="11">
        <f ca="1">IFERROR(reading[[#This Row],[Previous]]+OFFSET(reading[[#Headers],[Memo 01]],-1,MATCH(0,reading[[#This Row],[Memo 01]:[Memo 07]],-1)-1),"")</f>
        <v>55250</v>
      </c>
      <c r="Y3" s="10" t="str">
        <f ca="1">IF(reading[[#This Row],[Next]]&lt;&gt;"",IF(reading[[#This Row],[Next]]&gt;TODAY(),"OK",""),"")</f>
        <v>OK</v>
      </c>
      <c r="Z3" s="13">
        <v>3</v>
      </c>
      <c r="AA3" s="13">
        <v>1</v>
      </c>
      <c r="AB3" s="13">
        <v>1</v>
      </c>
      <c r="AC3" s="13">
        <v>2</v>
      </c>
      <c r="AD3" s="13">
        <v>2</v>
      </c>
      <c r="AE3" s="13">
        <v>2</v>
      </c>
      <c r="AF3" s="13">
        <v>2</v>
      </c>
      <c r="AG3" s="16">
        <f>IFERROR(SUMIF(reading[[#This Row],[1st]:[7th]],"&gt;0")/COUNTIF(reading[[#This Row],[1st]:[7th]],"&gt;0"),"")</f>
        <v>1.8571428571428572</v>
      </c>
    </row>
    <row r="4" spans="1:33" hidden="1" x14ac:dyDescent="0.2">
      <c r="A4" s="4">
        <f t="shared" ref="A4" si="6">IF(B4=1,3,IF(D4=1,2,IF(F4=1,1,0)))</f>
        <v>0</v>
      </c>
      <c r="B4" s="4" t="str">
        <f t="shared" ref="B4" si="7">IF(C4=$L4,1,IF(C4="","",0))</f>
        <v/>
      </c>
      <c r="C4" s="42"/>
      <c r="D4" s="4" t="str">
        <f t="shared" ref="D4" si="8">IF(E4=$L4,1,IF(E4="","",0))</f>
        <v/>
      </c>
      <c r="E4" s="18"/>
      <c r="F4" s="4" t="str">
        <f t="shared" ref="F4" si="9">IF(G4=$L4,1,IF(G4="","",0))</f>
        <v/>
      </c>
      <c r="G4" s="18"/>
      <c r="H4" s="6">
        <v>1216</v>
      </c>
      <c r="I4" s="15" t="s">
        <v>3120</v>
      </c>
      <c r="J4" s="6" t="s">
        <v>4333</v>
      </c>
      <c r="K4" s="6"/>
      <c r="L4" s="6" t="s">
        <v>1317</v>
      </c>
      <c r="M4" s="6" t="s">
        <v>7323</v>
      </c>
      <c r="N4" s="7">
        <f t="shared" ref="N4" ca="1" si="10">RAND()</f>
        <v>0.41731432203899854</v>
      </c>
      <c r="O4" s="8">
        <v>45206</v>
      </c>
      <c r="P4" s="8">
        <v>45207</v>
      </c>
      <c r="Q4" s="8">
        <v>45209</v>
      </c>
      <c r="R4" s="8">
        <v>45213</v>
      </c>
      <c r="S4" s="8">
        <v>45220</v>
      </c>
      <c r="T4" s="8">
        <v>45232</v>
      </c>
      <c r="U4" s="8">
        <v>45252</v>
      </c>
      <c r="V4" s="10">
        <f t="shared" ref="V4" si="11">COUNTA(O4:U4)</f>
        <v>7</v>
      </c>
      <c r="W4" s="11">
        <f>_xlfn.IFNA(INDEX(reading[[#This Row],[Memo 01]:[Memo 07]],MATCH(0,reading[[#This Row],[Memo 01]:[Memo 07]],-1)),"")</f>
        <v>45252</v>
      </c>
      <c r="X4" s="11">
        <f ca="1">IFERROR(reading[[#This Row],[Previous]]+OFFSET(reading[[#Headers],[Memo 01]],-1,MATCH(0,reading[[#This Row],[Memo 01]:[Memo 07]],-1)-1),"")</f>
        <v>55252</v>
      </c>
      <c r="Y4" s="10" t="str">
        <f ca="1">IF(reading[[#This Row],[Next]]&lt;&gt;"",IF(reading[[#This Row],[Next]]&gt;TODAY(),"OK",""),"")</f>
        <v>OK</v>
      </c>
      <c r="Z4" s="13">
        <v>3</v>
      </c>
      <c r="AA4" s="13">
        <v>1</v>
      </c>
      <c r="AB4" s="13">
        <v>1</v>
      </c>
      <c r="AC4" s="13">
        <v>2</v>
      </c>
      <c r="AD4" s="13">
        <v>2</v>
      </c>
      <c r="AE4" s="13">
        <v>3</v>
      </c>
      <c r="AF4" s="13">
        <v>3</v>
      </c>
      <c r="AG4" s="16">
        <f>IFERROR(SUMIF(reading[[#This Row],[1st]:[7th]],"&gt;0")/COUNTIF(reading[[#This Row],[1st]:[7th]],"&gt;0"),"")</f>
        <v>2.1428571428571428</v>
      </c>
    </row>
    <row r="5" spans="1:33" hidden="1" x14ac:dyDescent="0.2">
      <c r="A5" s="4">
        <f>IF(B5=1,3,IF(D5=1,2,IF(F5=1,1,0)))</f>
        <v>0</v>
      </c>
      <c r="B5" s="4" t="str">
        <f>IF(C5=$L5,1,IF(C5="","",0))</f>
        <v/>
      </c>
      <c r="C5" s="42"/>
      <c r="D5" s="4" t="str">
        <f>IF(E5=$L5,1,IF(E5="","",0))</f>
        <v/>
      </c>
      <c r="E5" s="14"/>
      <c r="F5" s="4" t="str">
        <f>IF(G5=$L5,1,IF(G5="","",0))</f>
        <v/>
      </c>
      <c r="G5" s="14"/>
      <c r="H5" s="6">
        <v>1380</v>
      </c>
      <c r="I5" s="15" t="s">
        <v>3120</v>
      </c>
      <c r="J5" s="6" t="s">
        <v>4494</v>
      </c>
      <c r="K5" s="15" t="s">
        <v>3139</v>
      </c>
      <c r="L5" s="6" t="s">
        <v>1474</v>
      </c>
      <c r="M5" s="6" t="s">
        <v>7487</v>
      </c>
      <c r="N5" s="7">
        <f ca="1">RAND()</f>
        <v>8.4559715286061432E-2</v>
      </c>
      <c r="O5" s="8">
        <v>45207</v>
      </c>
      <c r="P5" s="8">
        <v>45208</v>
      </c>
      <c r="Q5" s="8">
        <v>45210</v>
      </c>
      <c r="R5" s="8">
        <v>45214</v>
      </c>
      <c r="S5" s="8">
        <v>45221</v>
      </c>
      <c r="T5" s="8">
        <v>45233</v>
      </c>
      <c r="U5" s="8">
        <v>45818</v>
      </c>
      <c r="V5" s="10">
        <f>COUNTA(O5:U5)</f>
        <v>7</v>
      </c>
      <c r="W5" s="11">
        <f>_xlfn.IFNA(INDEX(reading[[#This Row],[Memo 01]:[Memo 07]],MATCH(0,reading[[#This Row],[Memo 01]:[Memo 07]],-1)),"")</f>
        <v>45818</v>
      </c>
      <c r="X5" s="11">
        <f ca="1">IFERROR(reading[[#This Row],[Previous]]+OFFSET(reading[[#Headers],[Memo 01]],-1,MATCH(0,reading[[#This Row],[Memo 01]:[Memo 07]],-1)-1),"")</f>
        <v>55818</v>
      </c>
      <c r="Y5" s="10" t="str">
        <f ca="1">IF(reading[[#This Row],[Next]]&lt;&gt;"",IF(reading[[#This Row],[Next]]&gt;TODAY(),"OK",""),"")</f>
        <v>OK</v>
      </c>
      <c r="Z5" s="13">
        <v>3</v>
      </c>
      <c r="AA5" s="13">
        <v>3</v>
      </c>
      <c r="AB5" s="13">
        <v>3</v>
      </c>
      <c r="AC5" s="13">
        <v>3</v>
      </c>
      <c r="AD5" s="13">
        <v>3</v>
      </c>
      <c r="AE5" s="13">
        <v>3</v>
      </c>
      <c r="AF5" s="13">
        <v>3</v>
      </c>
      <c r="AG5" s="16">
        <f>IFERROR(SUMIF(reading[[#This Row],[1st]:[7th]],"&gt;0")/COUNTIF(reading[[#This Row],[1st]:[7th]],"&gt;0"),"")</f>
        <v>3</v>
      </c>
    </row>
    <row r="6" spans="1:33" hidden="1" x14ac:dyDescent="0.2">
      <c r="A6" s="4">
        <f>IF(B6=1,3,IF(D6=1,2,IF(F6=1,1,0)))</f>
        <v>0</v>
      </c>
      <c r="B6" s="4" t="str">
        <f>IF(C6=$L6,1,IF(C6="","",0))</f>
        <v/>
      </c>
      <c r="C6" s="41"/>
      <c r="D6" s="4" t="str">
        <f>IF(E6=$L6,1,IF(E6="","",0))</f>
        <v/>
      </c>
      <c r="E6" s="18"/>
      <c r="F6" s="4" t="str">
        <f>IF(G6=$L6,1,IF(G6="","",0))</f>
        <v/>
      </c>
      <c r="G6" s="18"/>
      <c r="H6" s="6">
        <v>661</v>
      </c>
      <c r="I6" s="15" t="s">
        <v>3120</v>
      </c>
      <c r="J6" s="6" t="s">
        <v>3185</v>
      </c>
      <c r="K6" s="24" t="s">
        <v>3136</v>
      </c>
      <c r="L6" s="6" t="s">
        <v>784</v>
      </c>
      <c r="M6" s="6" t="s">
        <v>6770</v>
      </c>
      <c r="N6" s="7">
        <f ca="1">RAND()</f>
        <v>0.26553244503642914</v>
      </c>
      <c r="O6" s="8">
        <v>45203</v>
      </c>
      <c r="P6" s="8">
        <v>45204</v>
      </c>
      <c r="Q6" s="8">
        <v>45206</v>
      </c>
      <c r="R6" s="8">
        <v>45211</v>
      </c>
      <c r="S6" s="8">
        <v>45218</v>
      </c>
      <c r="T6" s="8">
        <v>45230</v>
      </c>
      <c r="U6" s="8">
        <v>45251</v>
      </c>
      <c r="V6" s="10">
        <f>COUNTA(O6:U6)</f>
        <v>7</v>
      </c>
      <c r="W6" s="11">
        <f>_xlfn.IFNA(INDEX(reading[[#This Row],[Memo 01]:[Memo 07]],MATCH(0,reading[[#This Row],[Memo 01]:[Memo 07]],-1)),"")</f>
        <v>45251</v>
      </c>
      <c r="X6" s="11">
        <f ca="1">IFERROR(reading[[#This Row],[Previous]]+OFFSET(reading[[#Headers],[Memo 01]],-1,MATCH(0,reading[[#This Row],[Memo 01]:[Memo 07]],-1)-1),"")</f>
        <v>55251</v>
      </c>
      <c r="Y6" s="10" t="str">
        <f ca="1">IF(reading[[#This Row],[Next]]&lt;&gt;"",IF(reading[[#This Row],[Next]]&gt;TODAY(),"OK",""),"")</f>
        <v>OK</v>
      </c>
      <c r="Z6" s="13">
        <v>3</v>
      </c>
      <c r="AA6" s="13">
        <v>1</v>
      </c>
      <c r="AB6" s="13">
        <v>1</v>
      </c>
      <c r="AC6" s="13">
        <v>1</v>
      </c>
      <c r="AD6" s="13">
        <v>3</v>
      </c>
      <c r="AE6" s="13">
        <v>3</v>
      </c>
      <c r="AF6" s="13">
        <v>2</v>
      </c>
      <c r="AG6" s="16">
        <f>IFERROR(SUMIF(reading[[#This Row],[1st]:[7th]],"&gt;0")/COUNTIF(reading[[#This Row],[1st]:[7th]],"&gt;0"),"")</f>
        <v>2</v>
      </c>
    </row>
    <row r="7" spans="1:33" hidden="1" x14ac:dyDescent="0.2">
      <c r="A7" s="4">
        <f>IF(B7=1,3,IF(D7=1,2,IF(F7=1,1,0)))</f>
        <v>0</v>
      </c>
      <c r="B7" s="4" t="str">
        <f>IF(C7=$L7,1,IF(C7="","",0))</f>
        <v/>
      </c>
      <c r="C7" s="42"/>
      <c r="D7" s="4" t="str">
        <f>IF(E7=$L7,1,IF(E7="","",0))</f>
        <v/>
      </c>
      <c r="E7" s="18"/>
      <c r="F7" s="4" t="str">
        <f>IF(G7=$L7,1,IF(G7="","",0))</f>
        <v/>
      </c>
      <c r="G7" s="18"/>
      <c r="H7" s="6">
        <v>1071</v>
      </c>
      <c r="I7" s="15" t="s">
        <v>3120</v>
      </c>
      <c r="J7" s="6" t="s">
        <v>4197</v>
      </c>
      <c r="K7" s="6"/>
      <c r="L7" s="6" t="s">
        <v>1178</v>
      </c>
      <c r="M7" s="6" t="s">
        <v>7179</v>
      </c>
      <c r="N7" s="7">
        <f ca="1">RAND()</f>
        <v>0.52275050747836238</v>
      </c>
      <c r="O7" s="8">
        <v>45205</v>
      </c>
      <c r="P7" s="8">
        <v>45206</v>
      </c>
      <c r="Q7" s="8">
        <v>45208</v>
      </c>
      <c r="R7" s="8">
        <v>45213</v>
      </c>
      <c r="S7" s="8">
        <v>45220</v>
      </c>
      <c r="T7" s="8">
        <v>45232</v>
      </c>
      <c r="U7" s="8">
        <v>45252</v>
      </c>
      <c r="V7" s="10">
        <f>COUNTA(O7:U7)</f>
        <v>7</v>
      </c>
      <c r="W7" s="11">
        <f>_xlfn.IFNA(INDEX(reading[[#This Row],[Memo 01]:[Memo 07]],MATCH(0,reading[[#This Row],[Memo 01]:[Memo 07]],-1)),"")</f>
        <v>45252</v>
      </c>
      <c r="X7" s="11">
        <f ca="1">IFERROR(reading[[#This Row],[Previous]]+OFFSET(reading[[#Headers],[Memo 01]],-1,MATCH(0,reading[[#This Row],[Memo 01]:[Memo 07]],-1)-1),"")</f>
        <v>55252</v>
      </c>
      <c r="Y7" s="10" t="str">
        <f ca="1">IF(reading[[#This Row],[Next]]&lt;&gt;"",IF(reading[[#This Row],[Next]]&gt;TODAY(),"OK",""),"")</f>
        <v>OK</v>
      </c>
      <c r="Z7" s="13">
        <v>3</v>
      </c>
      <c r="AA7" s="13">
        <v>1</v>
      </c>
      <c r="AB7" s="13">
        <v>2</v>
      </c>
      <c r="AC7" s="13">
        <v>2</v>
      </c>
      <c r="AD7" s="13">
        <v>2</v>
      </c>
      <c r="AE7" s="13">
        <v>2</v>
      </c>
      <c r="AF7" s="13">
        <v>3</v>
      </c>
      <c r="AG7" s="16">
        <f>IFERROR(SUMIF(reading[[#This Row],[1st]:[7th]],"&gt;0")/COUNTIF(reading[[#This Row],[1st]:[7th]],"&gt;0"),"")</f>
        <v>2.1428571428571428</v>
      </c>
    </row>
    <row r="8" spans="1:33" hidden="1" x14ac:dyDescent="0.2">
      <c r="A8" s="4">
        <f>IF(B8=1,3,IF(D8=1,2,IF(F8=1,1,0)))</f>
        <v>0</v>
      </c>
      <c r="B8" s="4" t="str">
        <f>IF(C8=$L8,1,IF(C8="","",0))</f>
        <v/>
      </c>
      <c r="C8" s="42"/>
      <c r="D8" s="4" t="str">
        <f>IF(E8=$L8,1,IF(E8="","",0))</f>
        <v/>
      </c>
      <c r="E8" s="23"/>
      <c r="F8" s="4" t="str">
        <f>IF(G8=$L8,1,IF(G8="","",0))</f>
        <v/>
      </c>
      <c r="G8" s="14"/>
      <c r="H8" s="6">
        <v>3061</v>
      </c>
      <c r="I8" s="15" t="s">
        <v>3120</v>
      </c>
      <c r="J8" s="6" t="s">
        <v>6082</v>
      </c>
      <c r="K8" s="6"/>
      <c r="L8" s="6" t="s">
        <v>3086</v>
      </c>
      <c r="M8" s="6" t="s">
        <v>9164</v>
      </c>
      <c r="N8" s="7">
        <f ca="1">RAND()</f>
        <v>0.33080283434695268</v>
      </c>
      <c r="O8" s="8">
        <v>45226</v>
      </c>
      <c r="P8" s="8">
        <v>45227</v>
      </c>
      <c r="Q8" s="8">
        <v>45229</v>
      </c>
      <c r="R8" s="8">
        <v>45233</v>
      </c>
      <c r="S8" s="8">
        <v>45249</v>
      </c>
      <c r="T8" s="8">
        <v>45820</v>
      </c>
      <c r="U8" s="8"/>
      <c r="V8" s="10">
        <f>COUNTA(O8:U8)</f>
        <v>6</v>
      </c>
      <c r="W8" s="11">
        <f>_xlfn.IFNA(INDEX(reading[[#This Row],[Memo 01]:[Memo 07]],MATCH(0,reading[[#This Row],[Memo 01]:[Memo 07]],-1)),"")</f>
        <v>45820</v>
      </c>
      <c r="X8" s="11">
        <f ca="1">IFERROR(reading[[#This Row],[Previous]]+OFFSET(reading[[#Headers],[Memo 01]],-1,MATCH(0,reading[[#This Row],[Memo 01]:[Memo 07]],-1)-1),"")</f>
        <v>45840</v>
      </c>
      <c r="Y8" s="10" t="str">
        <f ca="1">IF(reading[[#This Row],[Next]]&lt;&gt;"",IF(reading[[#This Row],[Next]]&gt;TODAY(),"OK",""),"")</f>
        <v>OK</v>
      </c>
      <c r="Z8" s="13">
        <v>3</v>
      </c>
      <c r="AA8" s="13">
        <v>3</v>
      </c>
      <c r="AB8" s="13">
        <v>3</v>
      </c>
      <c r="AC8" s="13">
        <v>3</v>
      </c>
      <c r="AD8" s="13">
        <v>3</v>
      </c>
      <c r="AE8" s="13">
        <v>2</v>
      </c>
      <c r="AF8" s="13"/>
      <c r="AG8" s="16">
        <f>IFERROR(SUMIF(reading[[#This Row],[1st]:[7th]],"&gt;0")/COUNTIF(reading[[#This Row],[1st]:[7th]],"&gt;0"),"")</f>
        <v>2.8333333333333335</v>
      </c>
    </row>
    <row r="9" spans="1:33" hidden="1" x14ac:dyDescent="0.2">
      <c r="A9" s="4">
        <f>IF(B9=1,3,IF(D9=1,2,IF(F9=1,1,0)))</f>
        <v>0</v>
      </c>
      <c r="B9" s="4" t="str">
        <f>IF(C9=$L9,1,IF(C9="","",0))</f>
        <v/>
      </c>
      <c r="C9" s="18"/>
      <c r="D9" s="4" t="str">
        <f>IF(E9=$L9,1,IF(E9="","",0))</f>
        <v/>
      </c>
      <c r="E9" s="18"/>
      <c r="F9" s="4" t="str">
        <f>IF(G9=$L9,1,IF(G9="","",0))</f>
        <v/>
      </c>
      <c r="G9" s="18"/>
      <c r="H9" s="6">
        <v>221</v>
      </c>
      <c r="I9" s="15" t="s">
        <v>3120</v>
      </c>
      <c r="J9" s="6" t="s">
        <v>3370</v>
      </c>
      <c r="K9" s="6"/>
      <c r="L9" s="6" t="s">
        <v>356</v>
      </c>
      <c r="M9" s="6" t="s">
        <v>6330</v>
      </c>
      <c r="N9" s="7">
        <f ca="1">RAND()</f>
        <v>0.9088701391422791</v>
      </c>
      <c r="O9" s="8">
        <v>45199</v>
      </c>
      <c r="P9" s="8">
        <v>45200</v>
      </c>
      <c r="Q9" s="8">
        <v>45202</v>
      </c>
      <c r="R9" s="8">
        <v>45206</v>
      </c>
      <c r="S9" s="8">
        <v>45213</v>
      </c>
      <c r="T9" s="8">
        <v>45225</v>
      </c>
      <c r="U9" s="8">
        <v>45250</v>
      </c>
      <c r="V9" s="10">
        <f>COUNTA(O9:U9)</f>
        <v>7</v>
      </c>
      <c r="W9" s="11">
        <f>_xlfn.IFNA(INDEX(reading[[#This Row],[Memo 01]:[Memo 07]],MATCH(0,reading[[#This Row],[Memo 01]:[Memo 07]],-1)),"")</f>
        <v>45250</v>
      </c>
      <c r="X9" s="11">
        <f ca="1">IFERROR(reading[[#This Row],[Previous]]+OFFSET(reading[[#Headers],[Memo 01]],-1,MATCH(0,reading[[#This Row],[Memo 01]:[Memo 07]],-1)-1),"")</f>
        <v>55250</v>
      </c>
      <c r="Y9" s="10" t="str">
        <f ca="1">IF(reading[[#This Row],[Next]]&lt;&gt;"",IF(reading[[#This Row],[Next]]&gt;TODAY(),"OK",""),"")</f>
        <v>OK</v>
      </c>
      <c r="Z9" s="13">
        <v>3</v>
      </c>
      <c r="AA9" s="13">
        <v>2</v>
      </c>
      <c r="AB9" s="13">
        <v>2</v>
      </c>
      <c r="AC9" s="13">
        <v>1</v>
      </c>
      <c r="AD9" s="13">
        <v>2</v>
      </c>
      <c r="AE9" s="13">
        <v>2</v>
      </c>
      <c r="AF9" s="13">
        <v>2</v>
      </c>
      <c r="AG9" s="16">
        <f>IFERROR(SUMIF(reading[[#This Row],[1st]:[7th]],"&gt;0")/COUNTIF(reading[[#This Row],[1st]:[7th]],"&gt;0"),"")</f>
        <v>2</v>
      </c>
    </row>
    <row r="10" spans="1:33" hidden="1" x14ac:dyDescent="0.2">
      <c r="A10" s="4">
        <f>IF(B10=1,3,IF(D10=1,2,IF(F10=1,1,0)))</f>
        <v>0</v>
      </c>
      <c r="B10" s="4" t="str">
        <f>IF(C10=$L10,1,IF(C10="","",0))</f>
        <v/>
      </c>
      <c r="C10" s="40"/>
      <c r="D10" s="4" t="str">
        <f>IF(E10=$L10,1,IF(E10="","",0))</f>
        <v/>
      </c>
      <c r="E10" s="18"/>
      <c r="F10" s="4" t="str">
        <f>IF(G10=$L10,1,IF(G10="","",0))</f>
        <v/>
      </c>
      <c r="G10" s="18"/>
      <c r="H10" s="6">
        <v>78</v>
      </c>
      <c r="I10" s="15" t="s">
        <v>3120</v>
      </c>
      <c r="J10" s="6" t="s">
        <v>3228</v>
      </c>
      <c r="K10" s="6"/>
      <c r="L10" s="6" t="s">
        <v>216</v>
      </c>
      <c r="M10" s="6" t="s">
        <v>6187</v>
      </c>
      <c r="N10" s="7">
        <f ca="1">RAND()</f>
        <v>0.42722433826900685</v>
      </c>
      <c r="O10" s="8">
        <v>45199</v>
      </c>
      <c r="P10" s="8">
        <v>45200</v>
      </c>
      <c r="Q10" s="8">
        <v>45202</v>
      </c>
      <c r="R10" s="8">
        <v>45206</v>
      </c>
      <c r="S10" s="8">
        <v>45213</v>
      </c>
      <c r="T10" s="8">
        <v>45226</v>
      </c>
      <c r="U10" s="8">
        <v>45250</v>
      </c>
      <c r="V10" s="10">
        <f>COUNTA(O10:U10)</f>
        <v>7</v>
      </c>
      <c r="W10" s="11">
        <f>_xlfn.IFNA(INDEX(reading[[#This Row],[Memo 01]:[Memo 07]],MATCH(0,reading[[#This Row],[Memo 01]:[Memo 07]],-1)),"")</f>
        <v>45250</v>
      </c>
      <c r="X10" s="11">
        <f ca="1">IFERROR(reading[[#This Row],[Previous]]+OFFSET(reading[[#Headers],[Memo 01]],-1,MATCH(0,reading[[#This Row],[Memo 01]:[Memo 07]],-1)-1),"")</f>
        <v>55250</v>
      </c>
      <c r="Y10" s="10" t="str">
        <f ca="1">IF(reading[[#This Row],[Next]]&lt;&gt;"",IF(reading[[#This Row],[Next]]&gt;TODAY(),"OK",""),"")</f>
        <v>OK</v>
      </c>
      <c r="Z10" s="13">
        <v>2</v>
      </c>
      <c r="AA10" s="13">
        <v>2</v>
      </c>
      <c r="AB10" s="13">
        <v>3</v>
      </c>
      <c r="AC10" s="13">
        <v>3</v>
      </c>
      <c r="AD10" s="13">
        <v>2</v>
      </c>
      <c r="AE10" s="13">
        <v>1</v>
      </c>
      <c r="AF10" s="13">
        <v>2</v>
      </c>
      <c r="AG10" s="16">
        <f>IFERROR(SUMIF(reading[[#This Row],[1st]:[7th]],"&gt;0")/COUNTIF(reading[[#This Row],[1st]:[7th]],"&gt;0"),"")</f>
        <v>2.1428571428571428</v>
      </c>
    </row>
    <row r="11" spans="1:33" hidden="1" x14ac:dyDescent="0.2">
      <c r="A11" s="4">
        <f>IF(B11=1,3,IF(D11=1,2,IF(F11=1,1,0)))</f>
        <v>0</v>
      </c>
      <c r="B11" s="4" t="str">
        <f>IF(C11=$L11,1,IF(C11="","",0))</f>
        <v/>
      </c>
      <c r="C11" s="40"/>
      <c r="D11" s="4" t="str">
        <f>IF(E11=$L11,1,IF(E11="","",0))</f>
        <v/>
      </c>
      <c r="E11" s="23"/>
      <c r="F11" s="4" t="str">
        <f>IF(G11=$L11,1,IF(G11="","",0))</f>
        <v/>
      </c>
      <c r="G11" s="14"/>
      <c r="H11" s="6">
        <v>471</v>
      </c>
      <c r="I11" s="15" t="s">
        <v>3120</v>
      </c>
      <c r="J11" s="6" t="s">
        <v>3617</v>
      </c>
      <c r="K11" s="6"/>
      <c r="L11" s="6" t="s">
        <v>600</v>
      </c>
      <c r="M11" s="6" t="s">
        <v>6580</v>
      </c>
      <c r="N11" s="7">
        <f ca="1">RAND()</f>
        <v>0.90987600858618833</v>
      </c>
      <c r="O11" s="8">
        <v>45202</v>
      </c>
      <c r="P11" s="8">
        <v>45203</v>
      </c>
      <c r="Q11" s="8">
        <v>45205</v>
      </c>
      <c r="R11" s="8">
        <v>45209</v>
      </c>
      <c r="S11" s="8">
        <v>45216</v>
      </c>
      <c r="T11" s="8">
        <v>45228</v>
      </c>
      <c r="U11" s="8">
        <v>45248</v>
      </c>
      <c r="V11" s="10">
        <f>COUNTA(O11:U11)</f>
        <v>7</v>
      </c>
      <c r="W11" s="11">
        <f>_xlfn.IFNA(INDEX(reading[[#This Row],[Memo 01]:[Memo 07]],MATCH(0,reading[[#This Row],[Memo 01]:[Memo 07]],-1)),"")</f>
        <v>45248</v>
      </c>
      <c r="X11" s="11">
        <f ca="1">IFERROR(reading[[#This Row],[Previous]]+OFFSET(reading[[#Headers],[Memo 01]],-1,MATCH(0,reading[[#This Row],[Memo 01]:[Memo 07]],-1)-1),"")</f>
        <v>55248</v>
      </c>
      <c r="Y11" s="10" t="str">
        <f ca="1">IF(reading[[#This Row],[Next]]&lt;&gt;"",IF(reading[[#This Row],[Next]]&gt;TODAY(),"OK",""),"")</f>
        <v>OK</v>
      </c>
      <c r="Z11" s="13">
        <v>3</v>
      </c>
      <c r="AA11" s="13">
        <v>2</v>
      </c>
      <c r="AB11" s="13">
        <v>2</v>
      </c>
      <c r="AC11" s="13">
        <v>1</v>
      </c>
      <c r="AD11" s="13">
        <v>2</v>
      </c>
      <c r="AE11" s="13">
        <v>2</v>
      </c>
      <c r="AF11" s="13">
        <v>3</v>
      </c>
      <c r="AG11" s="16">
        <f>IFERROR(SUMIF(reading[[#This Row],[1st]:[7th]],"&gt;0")/COUNTIF(reading[[#This Row],[1st]:[7th]],"&gt;0"),"")</f>
        <v>2.1428571428571428</v>
      </c>
    </row>
    <row r="12" spans="1:33" hidden="1" x14ac:dyDescent="0.2">
      <c r="A12" s="4">
        <f>IF(B12=1,3,IF(D12=1,2,IF(F12=1,1,0)))</f>
        <v>0</v>
      </c>
      <c r="B12" s="4" t="str">
        <f>IF(C12=$L12,1,IF(C12="","",0))</f>
        <v/>
      </c>
      <c r="C12" s="42"/>
      <c r="D12" s="4" t="str">
        <f>IF(E12=$L12,1,IF(E12="","",0))</f>
        <v/>
      </c>
      <c r="E12" s="23"/>
      <c r="F12" s="4" t="str">
        <f>IF(G12=$L12,1,IF(G12="","",0))</f>
        <v/>
      </c>
      <c r="G12" s="23"/>
      <c r="H12" s="6">
        <v>1893</v>
      </c>
      <c r="I12" s="15" t="s">
        <v>3120</v>
      </c>
      <c r="J12" s="24" t="s">
        <v>9225</v>
      </c>
      <c r="K12" s="15" t="s">
        <v>3139</v>
      </c>
      <c r="L12" s="6" t="s">
        <v>1969</v>
      </c>
      <c r="M12" s="6" t="s">
        <v>7999</v>
      </c>
      <c r="N12" s="7">
        <f ca="1">RAND()</f>
        <v>0.30386016535278793</v>
      </c>
      <c r="O12" s="8">
        <v>45212</v>
      </c>
      <c r="P12" s="8">
        <v>45213</v>
      </c>
      <c r="Q12" s="8">
        <v>45215</v>
      </c>
      <c r="R12" s="8">
        <v>45219</v>
      </c>
      <c r="S12" s="8">
        <v>45226</v>
      </c>
      <c r="T12" s="8">
        <v>45811</v>
      </c>
      <c r="U12" s="8"/>
      <c r="V12" s="10">
        <f>COUNTA(O12:U12)</f>
        <v>6</v>
      </c>
      <c r="W12" s="11">
        <f>_xlfn.IFNA(INDEX(reading[[#This Row],[Memo 01]:[Memo 07]],MATCH(0,reading[[#This Row],[Memo 01]:[Memo 07]],-1)),"")</f>
        <v>45811</v>
      </c>
      <c r="X12" s="11">
        <f ca="1">IFERROR(reading[[#This Row],[Previous]]+OFFSET(reading[[#Headers],[Memo 01]],-1,MATCH(0,reading[[#This Row],[Memo 01]:[Memo 07]],-1)-1),"")</f>
        <v>45831</v>
      </c>
      <c r="Y12" s="10" t="str">
        <f ca="1">IF(reading[[#This Row],[Next]]&lt;&gt;"",IF(reading[[#This Row],[Next]]&gt;TODAY(),"OK",""),"")</f>
        <v/>
      </c>
      <c r="Z12" s="13">
        <v>3</v>
      </c>
      <c r="AA12" s="13">
        <v>3</v>
      </c>
      <c r="AB12" s="13">
        <v>3</v>
      </c>
      <c r="AC12" s="13">
        <v>3</v>
      </c>
      <c r="AD12" s="13">
        <v>3</v>
      </c>
      <c r="AE12" s="13">
        <v>1</v>
      </c>
      <c r="AF12" s="13"/>
      <c r="AG12" s="16">
        <f>IFERROR(SUMIF(reading[[#This Row],[1st]:[7th]],"&gt;0")/COUNTIF(reading[[#This Row],[1st]:[7th]],"&gt;0"),"")</f>
        <v>2.6666666666666665</v>
      </c>
    </row>
    <row r="13" spans="1:33" hidden="1" x14ac:dyDescent="0.2">
      <c r="A13" s="4">
        <f>IF(B13=1,3,IF(D13=1,2,IF(F13=1,1,0)))</f>
        <v>0</v>
      </c>
      <c r="B13" s="4" t="str">
        <f>IF(C13=$L13,1,IF(C13="","",0))</f>
        <v/>
      </c>
      <c r="C13" s="18"/>
      <c r="D13" s="4" t="str">
        <f>IF(E13=$L13,1,IF(E13="","",0))</f>
        <v/>
      </c>
      <c r="E13" s="14"/>
      <c r="F13" s="4" t="str">
        <f>IF(G13=$L13,1,IF(G13="","",0))</f>
        <v/>
      </c>
      <c r="G13" s="14"/>
      <c r="H13" s="6">
        <v>11</v>
      </c>
      <c r="I13" s="15" t="s">
        <v>3120</v>
      </c>
      <c r="J13" s="6" t="s">
        <v>3166</v>
      </c>
      <c r="K13" s="6"/>
      <c r="L13" s="6" t="s">
        <v>156</v>
      </c>
      <c r="M13" s="6" t="s">
        <v>6125</v>
      </c>
      <c r="N13" s="7">
        <f ca="1">RAND()</f>
        <v>0.28331342735654508</v>
      </c>
      <c r="O13" s="8">
        <v>45198</v>
      </c>
      <c r="P13" s="8">
        <v>45198</v>
      </c>
      <c r="Q13" s="8">
        <v>45198</v>
      </c>
      <c r="R13" s="8">
        <v>45198</v>
      </c>
      <c r="S13" s="8">
        <v>45198</v>
      </c>
      <c r="T13" s="8">
        <v>45198</v>
      </c>
      <c r="U13" s="8">
        <v>45198</v>
      </c>
      <c r="V13" s="10">
        <f>COUNTA(O13:U13)</f>
        <v>7</v>
      </c>
      <c r="W13" s="11">
        <f>_xlfn.IFNA(INDEX(reading[[#This Row],[Memo 01]:[Memo 07]],MATCH(0,reading[[#This Row],[Memo 01]:[Memo 07]],-1)),"")</f>
        <v>45198</v>
      </c>
      <c r="X13" s="11">
        <f ca="1">IFERROR(reading[[#This Row],[Previous]]+OFFSET(reading[[#Headers],[Memo 01]],-1,MATCH(0,reading[[#This Row],[Memo 01]:[Memo 07]],-1)-1),"")</f>
        <v>55198</v>
      </c>
      <c r="Y13" s="10" t="str">
        <f ca="1">IF(reading[[#This Row],[Next]]&lt;&gt;"",IF(reading[[#This Row],[Next]]&gt;TODAY(),"OK",""),"")</f>
        <v>OK</v>
      </c>
      <c r="Z13" s="13">
        <v>3</v>
      </c>
      <c r="AA13" s="13"/>
      <c r="AB13" s="13"/>
      <c r="AC13" s="13"/>
      <c r="AD13" s="13"/>
      <c r="AE13" s="13"/>
      <c r="AF13" s="13"/>
      <c r="AG13" s="16">
        <f>IFERROR(SUMIF(reading[[#This Row],[1st]:[7th]],"&gt;0")/COUNTIF(reading[[#This Row],[1st]:[7th]],"&gt;0"),"")</f>
        <v>3</v>
      </c>
    </row>
    <row r="14" spans="1:33" hidden="1" x14ac:dyDescent="0.2">
      <c r="A14" s="4">
        <f>IF(B14=1,3,IF(D14=1,2,IF(F14=1,1,0)))</f>
        <v>0</v>
      </c>
      <c r="B14" s="4" t="str">
        <f>IF(C14=$L14,1,IF(C14="","",0))</f>
        <v/>
      </c>
      <c r="C14" s="18"/>
      <c r="D14" s="4" t="str">
        <f>IF(E14=$L14,1,IF(E14="","",0))</f>
        <v/>
      </c>
      <c r="E14" s="14"/>
      <c r="F14" s="4" t="str">
        <f>IF(G14=$L14,1,IF(G14="","",0))</f>
        <v/>
      </c>
      <c r="G14" s="14"/>
      <c r="H14" s="6">
        <v>12</v>
      </c>
      <c r="I14" s="15" t="s">
        <v>3120</v>
      </c>
      <c r="J14" s="6" t="s">
        <v>3167</v>
      </c>
      <c r="K14" s="6"/>
      <c r="L14" s="6" t="s">
        <v>157</v>
      </c>
      <c r="M14" s="6" t="s">
        <v>6126</v>
      </c>
      <c r="N14" s="7">
        <f ca="1">RAND()</f>
        <v>0.87354629841110276</v>
      </c>
      <c r="O14" s="8">
        <v>45198</v>
      </c>
      <c r="P14" s="8">
        <v>45198</v>
      </c>
      <c r="Q14" s="8">
        <v>45198</v>
      </c>
      <c r="R14" s="8">
        <v>45198</v>
      </c>
      <c r="S14" s="8">
        <v>45198</v>
      </c>
      <c r="T14" s="8">
        <v>45198</v>
      </c>
      <c r="U14" s="8">
        <v>45198</v>
      </c>
      <c r="V14" s="10">
        <f>COUNTA(O14:U14)</f>
        <v>7</v>
      </c>
      <c r="W14" s="11">
        <f>_xlfn.IFNA(INDEX(reading[[#This Row],[Memo 01]:[Memo 07]],MATCH(0,reading[[#This Row],[Memo 01]:[Memo 07]],-1)),"")</f>
        <v>45198</v>
      </c>
      <c r="X14" s="11">
        <f ca="1">IFERROR(reading[[#This Row],[Previous]]+OFFSET(reading[[#Headers],[Memo 01]],-1,MATCH(0,reading[[#This Row],[Memo 01]:[Memo 07]],-1)-1),"")</f>
        <v>55198</v>
      </c>
      <c r="Y14" s="10" t="str">
        <f ca="1">IF(reading[[#This Row],[Next]]&lt;&gt;"",IF(reading[[#This Row],[Next]]&gt;TODAY(),"OK",""),"")</f>
        <v>OK</v>
      </c>
      <c r="Z14" s="13">
        <v>3</v>
      </c>
      <c r="AA14" s="13"/>
      <c r="AB14" s="13"/>
      <c r="AC14" s="13"/>
      <c r="AD14" s="13"/>
      <c r="AE14" s="13"/>
      <c r="AF14" s="13"/>
      <c r="AG14" s="16">
        <f>IFERROR(SUMIF(reading[[#This Row],[1st]:[7th]],"&gt;0")/COUNTIF(reading[[#This Row],[1st]:[7th]],"&gt;0"),"")</f>
        <v>3</v>
      </c>
    </row>
    <row r="15" spans="1:33" hidden="1" x14ac:dyDescent="0.2">
      <c r="A15" s="4">
        <f>IF(B15=1,3,IF(D15=1,2,IF(F15=1,1,0)))</f>
        <v>0</v>
      </c>
      <c r="B15" s="4" t="str">
        <f>IF(C15=$L15,1,IF(C15="","",0))</f>
        <v/>
      </c>
      <c r="C15" s="43"/>
      <c r="D15" s="4" t="str">
        <f>IF(E15=$L15,1,IF(E15="","",0))</f>
        <v/>
      </c>
      <c r="E15" s="18"/>
      <c r="F15" s="4" t="str">
        <f>IF(G15=$L15,1,IF(G15="","",0))</f>
        <v/>
      </c>
      <c r="G15" s="14"/>
      <c r="H15" s="6">
        <v>241</v>
      </c>
      <c r="I15" s="15" t="s">
        <v>3120</v>
      </c>
      <c r="J15" s="6" t="s">
        <v>3390</v>
      </c>
      <c r="K15" s="6"/>
      <c r="L15" s="6" t="s">
        <v>376</v>
      </c>
      <c r="M15" s="6" t="s">
        <v>6350</v>
      </c>
      <c r="N15" s="7">
        <f ca="1">RAND()</f>
        <v>0.42466795679633929</v>
      </c>
      <c r="O15" s="8">
        <v>45199</v>
      </c>
      <c r="P15" s="8">
        <v>45200</v>
      </c>
      <c r="Q15" s="8">
        <v>45202</v>
      </c>
      <c r="R15" s="8">
        <v>45206</v>
      </c>
      <c r="S15" s="8">
        <v>45213</v>
      </c>
      <c r="T15" s="8">
        <v>45225</v>
      </c>
      <c r="U15" s="8">
        <v>45824</v>
      </c>
      <c r="V15" s="10">
        <f>COUNTA(O15:U15)</f>
        <v>7</v>
      </c>
      <c r="W15" s="11">
        <f>_xlfn.IFNA(INDEX(reading[[#This Row],[Memo 01]:[Memo 07]],MATCH(0,reading[[#This Row],[Memo 01]:[Memo 07]],-1)),"")</f>
        <v>45824</v>
      </c>
      <c r="X15" s="11">
        <f ca="1">IFERROR(reading[[#This Row],[Previous]]+OFFSET(reading[[#Headers],[Memo 01]],-1,MATCH(0,reading[[#This Row],[Memo 01]:[Memo 07]],-1)-1),"")</f>
        <v>55824</v>
      </c>
      <c r="Y15" s="10" t="str">
        <f ca="1">IF(reading[[#This Row],[Next]]&lt;&gt;"",IF(reading[[#This Row],[Next]]&gt;TODAY(),"OK",""),"")</f>
        <v>OK</v>
      </c>
      <c r="Z15" s="13">
        <v>3</v>
      </c>
      <c r="AA15" s="13">
        <v>2</v>
      </c>
      <c r="AB15" s="13">
        <v>3</v>
      </c>
      <c r="AC15" s="13">
        <v>3</v>
      </c>
      <c r="AD15" s="13">
        <v>3</v>
      </c>
      <c r="AE15" s="13">
        <v>3</v>
      </c>
      <c r="AF15" s="13">
        <v>3</v>
      </c>
      <c r="AG15" s="16">
        <f>IFERROR(SUMIF(reading[[#This Row],[1st]:[7th]],"&gt;0")/COUNTIF(reading[[#This Row],[1st]:[7th]],"&gt;0"),"")</f>
        <v>2.8571428571428572</v>
      </c>
    </row>
    <row r="16" spans="1:33" hidden="1" x14ac:dyDescent="0.2">
      <c r="A16" s="4">
        <f>IF(B16=1,3,IF(D16=1,2,IF(F16=1,1,0)))</f>
        <v>0</v>
      </c>
      <c r="B16" s="4" t="str">
        <f>IF(C16=$L16,1,IF(C16="","",0))</f>
        <v/>
      </c>
      <c r="C16" s="18"/>
      <c r="D16" s="4" t="str">
        <f>IF(E16=$L16,1,IF(E16="","",0))</f>
        <v/>
      </c>
      <c r="E16" s="14"/>
      <c r="F16" s="4" t="str">
        <f>IF(G16=$L16,1,IF(G16="","",0))</f>
        <v/>
      </c>
      <c r="G16" s="14"/>
      <c r="H16" s="6">
        <v>14</v>
      </c>
      <c r="I16" s="15" t="s">
        <v>3120</v>
      </c>
      <c r="J16" s="6" t="s">
        <v>3169</v>
      </c>
      <c r="K16" s="6"/>
      <c r="L16" s="6" t="s">
        <v>159</v>
      </c>
      <c r="M16" s="6" t="s">
        <v>6128</v>
      </c>
      <c r="N16" s="7">
        <f ca="1">RAND()</f>
        <v>0.35184074636545548</v>
      </c>
      <c r="O16" s="8">
        <v>45198</v>
      </c>
      <c r="P16" s="8">
        <v>45198</v>
      </c>
      <c r="Q16" s="8">
        <v>45198</v>
      </c>
      <c r="R16" s="8">
        <v>45198</v>
      </c>
      <c r="S16" s="8">
        <v>45198</v>
      </c>
      <c r="T16" s="8">
        <v>45198</v>
      </c>
      <c r="U16" s="8">
        <v>45198</v>
      </c>
      <c r="V16" s="10">
        <f>COUNTA(O16:U16)</f>
        <v>7</v>
      </c>
      <c r="W16" s="11">
        <f>_xlfn.IFNA(INDEX(reading[[#This Row],[Memo 01]:[Memo 07]],MATCH(0,reading[[#This Row],[Memo 01]:[Memo 07]],-1)),"")</f>
        <v>45198</v>
      </c>
      <c r="X16" s="11">
        <f ca="1">IFERROR(reading[[#This Row],[Previous]]+OFFSET(reading[[#Headers],[Memo 01]],-1,MATCH(0,reading[[#This Row],[Memo 01]:[Memo 07]],-1)-1),"")</f>
        <v>55198</v>
      </c>
      <c r="Y16" s="10" t="str">
        <f ca="1">IF(reading[[#This Row],[Next]]&lt;&gt;"",IF(reading[[#This Row],[Next]]&gt;TODAY(),"OK",""),"")</f>
        <v>OK</v>
      </c>
      <c r="Z16" s="13">
        <v>3</v>
      </c>
      <c r="AA16" s="13"/>
      <c r="AB16" s="13"/>
      <c r="AC16" s="13"/>
      <c r="AD16" s="13"/>
      <c r="AE16" s="13"/>
      <c r="AF16" s="13"/>
      <c r="AG16" s="16">
        <f>IFERROR(SUMIF(reading[[#This Row],[1st]:[7th]],"&gt;0")/COUNTIF(reading[[#This Row],[1st]:[7th]],"&gt;0"),"")</f>
        <v>3</v>
      </c>
    </row>
    <row r="17" spans="1:33" hidden="1" x14ac:dyDescent="0.2">
      <c r="A17" s="4">
        <f>IF(B17=1,3,IF(D17=1,2,IF(F17=1,1,0)))</f>
        <v>0</v>
      </c>
      <c r="B17" s="4" t="str">
        <f>IF(C17=$L17,1,IF(C17="","",0))</f>
        <v/>
      </c>
      <c r="C17" s="18"/>
      <c r="D17" s="4" t="str">
        <f>IF(E17=$L17,1,IF(E17="","",0))</f>
        <v/>
      </c>
      <c r="E17" s="14"/>
      <c r="F17" s="4" t="str">
        <f>IF(G17=$L17,1,IF(G17="","",0))</f>
        <v/>
      </c>
      <c r="G17" s="14"/>
      <c r="H17" s="6">
        <v>15</v>
      </c>
      <c r="I17" s="15" t="s">
        <v>3120</v>
      </c>
      <c r="J17" s="6" t="s">
        <v>3170</v>
      </c>
      <c r="K17" s="6"/>
      <c r="L17" s="6" t="s">
        <v>47</v>
      </c>
      <c r="M17" s="6" t="s">
        <v>6129</v>
      </c>
      <c r="N17" s="7">
        <f ca="1">RAND()</f>
        <v>9.1126222527409761E-2</v>
      </c>
      <c r="O17" s="8">
        <v>45198</v>
      </c>
      <c r="P17" s="8">
        <v>45198</v>
      </c>
      <c r="Q17" s="8">
        <v>45198</v>
      </c>
      <c r="R17" s="8">
        <v>45198</v>
      </c>
      <c r="S17" s="8">
        <v>45198</v>
      </c>
      <c r="T17" s="8">
        <v>45198</v>
      </c>
      <c r="U17" s="8">
        <v>45198</v>
      </c>
      <c r="V17" s="10">
        <f>COUNTA(O17:U17)</f>
        <v>7</v>
      </c>
      <c r="W17" s="11">
        <f>_xlfn.IFNA(INDEX(reading[[#This Row],[Memo 01]:[Memo 07]],MATCH(0,reading[[#This Row],[Memo 01]:[Memo 07]],-1)),"")</f>
        <v>45198</v>
      </c>
      <c r="X17" s="11">
        <f ca="1">IFERROR(reading[[#This Row],[Previous]]+OFFSET(reading[[#Headers],[Memo 01]],-1,MATCH(0,reading[[#This Row],[Memo 01]:[Memo 07]],-1)-1),"")</f>
        <v>55198</v>
      </c>
      <c r="Y17" s="10" t="str">
        <f ca="1">IF(reading[[#This Row],[Next]]&lt;&gt;"",IF(reading[[#This Row],[Next]]&gt;TODAY(),"OK",""),"")</f>
        <v>OK</v>
      </c>
      <c r="Z17" s="13">
        <v>3</v>
      </c>
      <c r="AA17" s="13"/>
      <c r="AB17" s="13"/>
      <c r="AC17" s="13"/>
      <c r="AD17" s="13"/>
      <c r="AE17" s="13"/>
      <c r="AF17" s="13"/>
      <c r="AG17" s="16">
        <f>IFERROR(SUMIF(reading[[#This Row],[1st]:[7th]],"&gt;0")/COUNTIF(reading[[#This Row],[1st]:[7th]],"&gt;0"),"")</f>
        <v>3</v>
      </c>
    </row>
    <row r="18" spans="1:33" hidden="1" x14ac:dyDescent="0.2">
      <c r="A18" s="4">
        <f>IF(B18=1,3,IF(D18=1,2,IF(F18=1,1,0)))</f>
        <v>0</v>
      </c>
      <c r="B18" s="4" t="str">
        <f>IF(C18=$L18,1,IF(C18="","",0))</f>
        <v/>
      </c>
      <c r="C18" s="18"/>
      <c r="D18" s="4" t="str">
        <f>IF(E18=$L18,1,IF(E18="","",0))</f>
        <v/>
      </c>
      <c r="E18" s="14"/>
      <c r="F18" s="4" t="str">
        <f>IF(G18=$L18,1,IF(G18="","",0))</f>
        <v/>
      </c>
      <c r="G18" s="14"/>
      <c r="H18" s="6">
        <v>16</v>
      </c>
      <c r="I18" s="15" t="s">
        <v>3120</v>
      </c>
      <c r="J18" s="6" t="s">
        <v>3171</v>
      </c>
      <c r="K18" s="6"/>
      <c r="L18" s="6" t="s">
        <v>160</v>
      </c>
      <c r="M18" s="6" t="s">
        <v>6130</v>
      </c>
      <c r="N18" s="7">
        <f ca="1">RAND()</f>
        <v>4.0820270649765011E-2</v>
      </c>
      <c r="O18" s="8">
        <v>45198</v>
      </c>
      <c r="P18" s="8">
        <v>45198</v>
      </c>
      <c r="Q18" s="8">
        <v>45198</v>
      </c>
      <c r="R18" s="8">
        <v>45198</v>
      </c>
      <c r="S18" s="8">
        <v>45198</v>
      </c>
      <c r="T18" s="8">
        <v>45198</v>
      </c>
      <c r="U18" s="8">
        <v>45198</v>
      </c>
      <c r="V18" s="10">
        <f>COUNTA(O18:U18)</f>
        <v>7</v>
      </c>
      <c r="W18" s="11">
        <f>_xlfn.IFNA(INDEX(reading[[#This Row],[Memo 01]:[Memo 07]],MATCH(0,reading[[#This Row],[Memo 01]:[Memo 07]],-1)),"")</f>
        <v>45198</v>
      </c>
      <c r="X18" s="11">
        <f ca="1">IFERROR(reading[[#This Row],[Previous]]+OFFSET(reading[[#Headers],[Memo 01]],-1,MATCH(0,reading[[#This Row],[Memo 01]:[Memo 07]],-1)-1),"")</f>
        <v>55198</v>
      </c>
      <c r="Y18" s="10" t="str">
        <f ca="1">IF(reading[[#This Row],[Next]]&lt;&gt;"",IF(reading[[#This Row],[Next]]&gt;TODAY(),"OK",""),"")</f>
        <v>OK</v>
      </c>
      <c r="Z18" s="13">
        <v>3</v>
      </c>
      <c r="AA18" s="13"/>
      <c r="AB18" s="13"/>
      <c r="AC18" s="13"/>
      <c r="AD18" s="13"/>
      <c r="AE18" s="13"/>
      <c r="AF18" s="13"/>
      <c r="AG18" s="16">
        <f>IFERROR(SUMIF(reading[[#This Row],[1st]:[7th]],"&gt;0")/COUNTIF(reading[[#This Row],[1st]:[7th]],"&gt;0"),"")</f>
        <v>3</v>
      </c>
    </row>
    <row r="19" spans="1:33" hidden="1" x14ac:dyDescent="0.2">
      <c r="A19" s="4">
        <f>IF(B19=1,3,IF(D19=1,2,IF(F19=1,1,0)))</f>
        <v>0</v>
      </c>
      <c r="B19" s="4" t="str">
        <f>IF(C19=$L19,1,IF(C19="","",0))</f>
        <v/>
      </c>
      <c r="C19" s="42"/>
      <c r="D19" s="4" t="str">
        <f>IF(E19=$L19,1,IF(E19="","",0))</f>
        <v/>
      </c>
      <c r="E19" s="23"/>
      <c r="F19" s="4" t="str">
        <f>IF(G19=$L19,1,IF(G19="","",0))</f>
        <v/>
      </c>
      <c r="G19" s="14"/>
      <c r="H19" s="6">
        <v>2252</v>
      </c>
      <c r="I19" s="15" t="s">
        <v>3120</v>
      </c>
      <c r="J19" s="6" t="s">
        <v>4508</v>
      </c>
      <c r="K19" s="6"/>
      <c r="L19" s="6" t="s">
        <v>2314</v>
      </c>
      <c r="M19" s="6" t="s">
        <v>8357</v>
      </c>
      <c r="N19" s="7">
        <f ca="1">RAND()</f>
        <v>2.4030442557008813E-2</v>
      </c>
      <c r="O19" s="8">
        <v>45215</v>
      </c>
      <c r="P19" s="8">
        <v>45216</v>
      </c>
      <c r="Q19" s="8">
        <v>45218</v>
      </c>
      <c r="R19" s="8">
        <v>45222</v>
      </c>
      <c r="S19" s="8">
        <v>45229</v>
      </c>
      <c r="T19" s="8">
        <v>45820</v>
      </c>
      <c r="U19" s="8"/>
      <c r="V19" s="10">
        <f>COUNTA(O19:U19)</f>
        <v>6</v>
      </c>
      <c r="W19" s="11">
        <f>_xlfn.IFNA(INDEX(reading[[#This Row],[Memo 01]:[Memo 07]],MATCH(0,reading[[#This Row],[Memo 01]:[Memo 07]],-1)),"")</f>
        <v>45820</v>
      </c>
      <c r="X19" s="11">
        <f ca="1">IFERROR(reading[[#This Row],[Previous]]+OFFSET(reading[[#Headers],[Memo 01]],-1,MATCH(0,reading[[#This Row],[Memo 01]:[Memo 07]],-1)-1),"")</f>
        <v>45840</v>
      </c>
      <c r="Y19" s="10" t="str">
        <f ca="1">IF(reading[[#This Row],[Next]]&lt;&gt;"",IF(reading[[#This Row],[Next]]&gt;TODAY(),"OK",""),"")</f>
        <v>OK</v>
      </c>
      <c r="Z19" s="13">
        <v>3</v>
      </c>
      <c r="AA19" s="13">
        <v>3</v>
      </c>
      <c r="AB19" s="13">
        <v>3</v>
      </c>
      <c r="AC19" s="13">
        <v>3</v>
      </c>
      <c r="AD19" s="13">
        <v>3</v>
      </c>
      <c r="AE19" s="13">
        <v>2</v>
      </c>
      <c r="AF19" s="13"/>
      <c r="AG19" s="16">
        <f>IFERROR(SUMIF(reading[[#This Row],[1st]:[7th]],"&gt;0")/COUNTIF(reading[[#This Row],[1st]:[7th]],"&gt;0"),"")</f>
        <v>2.8333333333333335</v>
      </c>
    </row>
    <row r="20" spans="1:33" hidden="1" x14ac:dyDescent="0.2">
      <c r="A20" s="4">
        <f>IF(B20=1,3,IF(D20=1,2,IF(F20=1,1,0)))</f>
        <v>0</v>
      </c>
      <c r="B20" s="4" t="str">
        <f>IF(C20=$L20,1,IF(C20="","",0))</f>
        <v/>
      </c>
      <c r="C20" s="18"/>
      <c r="D20" s="4" t="str">
        <f>IF(E20=$L20,1,IF(E20="","",0))</f>
        <v/>
      </c>
      <c r="E20" s="18"/>
      <c r="F20" s="4" t="str">
        <f>IF(G20=$L20,1,IF(G20="","",0))</f>
        <v/>
      </c>
      <c r="G20" s="18"/>
      <c r="H20" s="6">
        <v>202</v>
      </c>
      <c r="I20" s="15" t="s">
        <v>3120</v>
      </c>
      <c r="J20" s="6" t="s">
        <v>3351</v>
      </c>
      <c r="K20" s="6"/>
      <c r="L20" s="6" t="s">
        <v>338</v>
      </c>
      <c r="M20" s="6" t="s">
        <v>6311</v>
      </c>
      <c r="N20" s="7">
        <f ca="1">RAND()</f>
        <v>0.96083331931179627</v>
      </c>
      <c r="O20" s="8">
        <v>45199</v>
      </c>
      <c r="P20" s="8">
        <v>45200</v>
      </c>
      <c r="Q20" s="8">
        <v>45202</v>
      </c>
      <c r="R20" s="8">
        <v>45206</v>
      </c>
      <c r="S20" s="8">
        <v>45213</v>
      </c>
      <c r="T20" s="8">
        <v>45225</v>
      </c>
      <c r="U20" s="8">
        <v>45250</v>
      </c>
      <c r="V20" s="10">
        <f>COUNTA(O20:U20)</f>
        <v>7</v>
      </c>
      <c r="W20" s="11">
        <f>_xlfn.IFNA(INDEX(reading[[#This Row],[Memo 01]:[Memo 07]],MATCH(0,reading[[#This Row],[Memo 01]:[Memo 07]],-1)),"")</f>
        <v>45250</v>
      </c>
      <c r="X20" s="11">
        <f ca="1">IFERROR(reading[[#This Row],[Previous]]+OFFSET(reading[[#Headers],[Memo 01]],-1,MATCH(0,reading[[#This Row],[Memo 01]:[Memo 07]],-1)-1),"")</f>
        <v>55250</v>
      </c>
      <c r="Y20" s="10" t="str">
        <f ca="1">IF(reading[[#This Row],[Next]]&lt;&gt;"",IF(reading[[#This Row],[Next]]&gt;TODAY(),"OK",""),"")</f>
        <v>OK</v>
      </c>
      <c r="Z20" s="13">
        <v>3</v>
      </c>
      <c r="AA20" s="13">
        <v>3</v>
      </c>
      <c r="AB20" s="13">
        <v>2</v>
      </c>
      <c r="AC20" s="13">
        <v>1</v>
      </c>
      <c r="AD20" s="13">
        <v>2</v>
      </c>
      <c r="AE20" s="13">
        <v>2</v>
      </c>
      <c r="AF20" s="13">
        <v>2</v>
      </c>
      <c r="AG20" s="16">
        <f>IFERROR(SUMIF(reading[[#This Row],[1st]:[7th]],"&gt;0")/COUNTIF(reading[[#This Row],[1st]:[7th]],"&gt;0"),"")</f>
        <v>2.1428571428571428</v>
      </c>
    </row>
    <row r="21" spans="1:33" hidden="1" x14ac:dyDescent="0.2">
      <c r="A21" s="4">
        <f>IF(B21=1,3,IF(D21=1,2,IF(F21=1,1,0)))</f>
        <v>0</v>
      </c>
      <c r="B21" s="4" t="str">
        <f>IF(C21=$L21,1,IF(C21="","",0))</f>
        <v/>
      </c>
      <c r="C21" s="18"/>
      <c r="D21" s="4" t="str">
        <f>IF(E21=$L21,1,IF(E21="","",0))</f>
        <v/>
      </c>
      <c r="E21" s="14"/>
      <c r="F21" s="4" t="str">
        <f>IF(G21=$L21,1,IF(G21="","",0))</f>
        <v/>
      </c>
      <c r="G21" s="14"/>
      <c r="H21" s="6">
        <v>19</v>
      </c>
      <c r="I21" s="15" t="s">
        <v>3120</v>
      </c>
      <c r="J21" s="6" t="s">
        <v>3174</v>
      </c>
      <c r="K21" s="6"/>
      <c r="L21" s="6" t="s">
        <v>103</v>
      </c>
      <c r="M21" s="6" t="s">
        <v>6133</v>
      </c>
      <c r="N21" s="7">
        <f ca="1">RAND()</f>
        <v>0.98332761023724991</v>
      </c>
      <c r="O21" s="8">
        <v>45198</v>
      </c>
      <c r="P21" s="8">
        <v>45198</v>
      </c>
      <c r="Q21" s="8">
        <v>45198</v>
      </c>
      <c r="R21" s="8">
        <v>45198</v>
      </c>
      <c r="S21" s="8">
        <v>45198</v>
      </c>
      <c r="T21" s="8">
        <v>45198</v>
      </c>
      <c r="U21" s="8">
        <v>45198</v>
      </c>
      <c r="V21" s="10">
        <f>COUNTA(O21:U21)</f>
        <v>7</v>
      </c>
      <c r="W21" s="11">
        <f>_xlfn.IFNA(INDEX(reading[[#This Row],[Memo 01]:[Memo 07]],MATCH(0,reading[[#This Row],[Memo 01]:[Memo 07]],-1)),"")</f>
        <v>45198</v>
      </c>
      <c r="X21" s="11">
        <f ca="1">IFERROR(reading[[#This Row],[Previous]]+OFFSET(reading[[#Headers],[Memo 01]],-1,MATCH(0,reading[[#This Row],[Memo 01]:[Memo 07]],-1)-1),"")</f>
        <v>55198</v>
      </c>
      <c r="Y21" s="10" t="str">
        <f ca="1">IF(reading[[#This Row],[Next]]&lt;&gt;"",IF(reading[[#This Row],[Next]]&gt;TODAY(),"OK",""),"")</f>
        <v>OK</v>
      </c>
      <c r="Z21" s="13">
        <v>3</v>
      </c>
      <c r="AA21" s="13"/>
      <c r="AB21" s="13"/>
      <c r="AC21" s="13"/>
      <c r="AD21" s="13"/>
      <c r="AE21" s="13"/>
      <c r="AF21" s="13"/>
      <c r="AG21" s="16">
        <f>IFERROR(SUMIF(reading[[#This Row],[1st]:[7th]],"&gt;0")/COUNTIF(reading[[#This Row],[1st]:[7th]],"&gt;0"),"")</f>
        <v>3</v>
      </c>
    </row>
    <row r="22" spans="1:33" hidden="1" x14ac:dyDescent="0.2">
      <c r="A22" s="4">
        <f>IF(B22=1,3,IF(D22=1,2,IF(F22=1,1,0)))</f>
        <v>0</v>
      </c>
      <c r="B22" s="4" t="str">
        <f>IF(C22=$L22,1,IF(C22="","",0))</f>
        <v/>
      </c>
      <c r="C22" s="41"/>
      <c r="D22" s="4" t="str">
        <f>IF(E22=$L22,1,IF(E22="","",0))</f>
        <v/>
      </c>
      <c r="E22" s="18"/>
      <c r="F22" s="4" t="str">
        <f>IF(G22=$L22,1,IF(G22="","",0))</f>
        <v/>
      </c>
      <c r="G22" s="18"/>
      <c r="H22" s="6">
        <v>759</v>
      </c>
      <c r="I22" s="15" t="s">
        <v>3120</v>
      </c>
      <c r="J22" s="6" t="s">
        <v>3894</v>
      </c>
      <c r="K22" s="6"/>
      <c r="L22" s="6" t="s">
        <v>878</v>
      </c>
      <c r="M22" s="6" t="s">
        <v>6868</v>
      </c>
      <c r="N22" s="7">
        <f ca="1">RAND()</f>
        <v>0.28656501281504898</v>
      </c>
      <c r="O22" s="8">
        <v>45203</v>
      </c>
      <c r="P22" s="8">
        <v>45204</v>
      </c>
      <c r="Q22" s="8">
        <v>45206</v>
      </c>
      <c r="R22" s="8">
        <v>45210</v>
      </c>
      <c r="S22" s="8">
        <v>45217</v>
      </c>
      <c r="T22" s="8">
        <v>45229</v>
      </c>
      <c r="U22" s="8">
        <v>45251</v>
      </c>
      <c r="V22" s="10">
        <f>COUNTA(O22:U22)</f>
        <v>7</v>
      </c>
      <c r="W22" s="11">
        <f>_xlfn.IFNA(INDEX(reading[[#This Row],[Memo 01]:[Memo 07]],MATCH(0,reading[[#This Row],[Memo 01]:[Memo 07]],-1)),"")</f>
        <v>45251</v>
      </c>
      <c r="X22" s="11">
        <f ca="1">IFERROR(reading[[#This Row],[Previous]]+OFFSET(reading[[#Headers],[Memo 01]],-1,MATCH(0,reading[[#This Row],[Memo 01]:[Memo 07]],-1)-1),"")</f>
        <v>55251</v>
      </c>
      <c r="Y22" s="10" t="str">
        <f ca="1">IF(reading[[#This Row],[Next]]&lt;&gt;"",IF(reading[[#This Row],[Next]]&gt;TODAY(),"OK",""),"")</f>
        <v>OK</v>
      </c>
      <c r="Z22" s="13">
        <v>3</v>
      </c>
      <c r="AA22" s="13">
        <v>2</v>
      </c>
      <c r="AB22" s="13">
        <v>1</v>
      </c>
      <c r="AC22" s="13">
        <v>2</v>
      </c>
      <c r="AD22" s="13">
        <v>1</v>
      </c>
      <c r="AE22" s="13">
        <v>3</v>
      </c>
      <c r="AF22" s="13">
        <v>2</v>
      </c>
      <c r="AG22" s="16">
        <f>IFERROR(SUMIF(reading[[#This Row],[1st]:[7th]],"&gt;0")/COUNTIF(reading[[#This Row],[1st]:[7th]],"&gt;0"),"")</f>
        <v>2</v>
      </c>
    </row>
    <row r="23" spans="1:33" hidden="1" x14ac:dyDescent="0.2">
      <c r="A23" s="4">
        <f>IF(B23=1,3,IF(D23=1,2,IF(F23=1,1,0)))</f>
        <v>0</v>
      </c>
      <c r="B23" s="4" t="str">
        <f>IF(C23=$L23,1,IF(C23="","",0))</f>
        <v/>
      </c>
      <c r="C23" s="18"/>
      <c r="D23" s="4" t="str">
        <f>IF(E23=$L23,1,IF(E23="","",0))</f>
        <v/>
      </c>
      <c r="E23" s="14"/>
      <c r="F23" s="4" t="str">
        <f>IF(G23=$L23,1,IF(G23="","",0))</f>
        <v/>
      </c>
      <c r="G23" s="14"/>
      <c r="H23" s="6">
        <v>21</v>
      </c>
      <c r="I23" s="15" t="s">
        <v>3120</v>
      </c>
      <c r="J23" s="6" t="s">
        <v>3176</v>
      </c>
      <c r="K23" s="6"/>
      <c r="L23" s="6" t="s">
        <v>164</v>
      </c>
      <c r="M23" s="6" t="s">
        <v>6135</v>
      </c>
      <c r="N23" s="7">
        <f ca="1">RAND()</f>
        <v>0.19008570220372945</v>
      </c>
      <c r="O23" s="8">
        <v>45198</v>
      </c>
      <c r="P23" s="8">
        <v>45198</v>
      </c>
      <c r="Q23" s="8">
        <v>45198</v>
      </c>
      <c r="R23" s="8">
        <v>45198</v>
      </c>
      <c r="S23" s="8">
        <v>45198</v>
      </c>
      <c r="T23" s="8">
        <v>45198</v>
      </c>
      <c r="U23" s="8">
        <v>45198</v>
      </c>
      <c r="V23" s="10">
        <f>COUNTA(O23:U23)</f>
        <v>7</v>
      </c>
      <c r="W23" s="11">
        <f>_xlfn.IFNA(INDEX(reading[[#This Row],[Memo 01]:[Memo 07]],MATCH(0,reading[[#This Row],[Memo 01]:[Memo 07]],-1)),"")</f>
        <v>45198</v>
      </c>
      <c r="X23" s="11">
        <f ca="1">IFERROR(reading[[#This Row],[Previous]]+OFFSET(reading[[#Headers],[Memo 01]],-1,MATCH(0,reading[[#This Row],[Memo 01]:[Memo 07]],-1)-1),"")</f>
        <v>55198</v>
      </c>
      <c r="Y23" s="10" t="str">
        <f ca="1">IF(reading[[#This Row],[Next]]&lt;&gt;"",IF(reading[[#This Row],[Next]]&gt;TODAY(),"OK",""),"")</f>
        <v>OK</v>
      </c>
      <c r="Z23" s="13">
        <v>3</v>
      </c>
      <c r="AA23" s="13"/>
      <c r="AB23" s="13"/>
      <c r="AC23" s="13"/>
      <c r="AD23" s="13"/>
      <c r="AE23" s="13"/>
      <c r="AF23" s="13"/>
      <c r="AG23" s="16">
        <f>IFERROR(SUMIF(reading[[#This Row],[1st]:[7th]],"&gt;0")/COUNTIF(reading[[#This Row],[1st]:[7th]],"&gt;0"),"")</f>
        <v>3</v>
      </c>
    </row>
    <row r="24" spans="1:33" hidden="1" x14ac:dyDescent="0.2">
      <c r="A24" s="4">
        <f>IF(B24=1,3,IF(D24=1,2,IF(F24=1,1,0)))</f>
        <v>0</v>
      </c>
      <c r="B24" s="4" t="str">
        <f>IF(C24=$L24,1,IF(C24="","",0))</f>
        <v/>
      </c>
      <c r="C24" s="18"/>
      <c r="D24" s="4" t="str">
        <f>IF(E24=$L24,1,IF(E24="","",0))</f>
        <v/>
      </c>
      <c r="E24" s="18"/>
      <c r="F24" s="4" t="str">
        <f>IF(G24=$L24,1,IF(G24="","",0))</f>
        <v/>
      </c>
      <c r="G24" s="18"/>
      <c r="H24" s="6">
        <v>227</v>
      </c>
      <c r="I24" s="15" t="s">
        <v>3120</v>
      </c>
      <c r="J24" s="6" t="s">
        <v>3376</v>
      </c>
      <c r="K24" s="6"/>
      <c r="L24" s="6" t="s">
        <v>362</v>
      </c>
      <c r="M24" s="6" t="s">
        <v>6336</v>
      </c>
      <c r="N24" s="7">
        <f ca="1">RAND()</f>
        <v>0.22358931956350714</v>
      </c>
      <c r="O24" s="8">
        <v>45199</v>
      </c>
      <c r="P24" s="8">
        <v>45200</v>
      </c>
      <c r="Q24" s="8">
        <v>45202</v>
      </c>
      <c r="R24" s="8">
        <v>45206</v>
      </c>
      <c r="S24" s="8">
        <v>45213</v>
      </c>
      <c r="T24" s="8">
        <v>45225</v>
      </c>
      <c r="U24" s="8">
        <v>45248</v>
      </c>
      <c r="V24" s="10">
        <f>COUNTA(O24:U24)</f>
        <v>7</v>
      </c>
      <c r="W24" s="11">
        <f>_xlfn.IFNA(INDEX(reading[[#This Row],[Memo 01]:[Memo 07]],MATCH(0,reading[[#This Row],[Memo 01]:[Memo 07]],-1)),"")</f>
        <v>45248</v>
      </c>
      <c r="X24" s="11">
        <f ca="1">IFERROR(reading[[#This Row],[Previous]]+OFFSET(reading[[#Headers],[Memo 01]],-1,MATCH(0,reading[[#This Row],[Memo 01]:[Memo 07]],-1)-1),"")</f>
        <v>55248</v>
      </c>
      <c r="Y24" s="10" t="str">
        <f ca="1">IF(reading[[#This Row],[Next]]&lt;&gt;"",IF(reading[[#This Row],[Next]]&gt;TODAY(),"OK",""),"")</f>
        <v>OK</v>
      </c>
      <c r="Z24" s="13">
        <v>3</v>
      </c>
      <c r="AA24" s="13">
        <v>2</v>
      </c>
      <c r="AB24" s="13">
        <v>1</v>
      </c>
      <c r="AC24" s="13">
        <v>2</v>
      </c>
      <c r="AD24" s="13">
        <v>2</v>
      </c>
      <c r="AE24" s="13">
        <v>2</v>
      </c>
      <c r="AF24" s="13">
        <v>3</v>
      </c>
      <c r="AG24" s="16">
        <f>IFERROR(SUMIF(reading[[#This Row],[1st]:[7th]],"&gt;0")/COUNTIF(reading[[#This Row],[1st]:[7th]],"&gt;0"),"")</f>
        <v>2.1428571428571428</v>
      </c>
    </row>
    <row r="25" spans="1:33" hidden="1" x14ac:dyDescent="0.2">
      <c r="A25" s="4">
        <f>IF(B25=1,3,IF(D25=1,2,IF(F25=1,1,0)))</f>
        <v>0</v>
      </c>
      <c r="B25" s="4" t="str">
        <f>IF(C25=$L25,1,IF(C25="","",0))</f>
        <v/>
      </c>
      <c r="C25" s="18"/>
      <c r="D25" s="4" t="str">
        <f>IF(E25=$L25,1,IF(E25="","",0))</f>
        <v/>
      </c>
      <c r="E25" s="14"/>
      <c r="F25" s="4" t="str">
        <f>IF(G25=$L25,1,IF(G25="","",0))</f>
        <v/>
      </c>
      <c r="G25" s="14"/>
      <c r="H25" s="6">
        <v>23</v>
      </c>
      <c r="I25" s="15" t="s">
        <v>3120</v>
      </c>
      <c r="J25" s="6" t="s">
        <v>3178</v>
      </c>
      <c r="K25" s="6"/>
      <c r="L25" s="6" t="s">
        <v>166</v>
      </c>
      <c r="M25" s="6" t="s">
        <v>6137</v>
      </c>
      <c r="N25" s="7">
        <f ca="1">RAND()</f>
        <v>0.14926073197477063</v>
      </c>
      <c r="O25" s="8">
        <v>45198</v>
      </c>
      <c r="P25" s="8">
        <v>45198</v>
      </c>
      <c r="Q25" s="8">
        <v>45198</v>
      </c>
      <c r="R25" s="8">
        <v>45198</v>
      </c>
      <c r="S25" s="8">
        <v>45198</v>
      </c>
      <c r="T25" s="8">
        <v>45198</v>
      </c>
      <c r="U25" s="8">
        <v>45198</v>
      </c>
      <c r="V25" s="10">
        <f>COUNTA(O25:U25)</f>
        <v>7</v>
      </c>
      <c r="W25" s="11">
        <f>_xlfn.IFNA(INDEX(reading[[#This Row],[Memo 01]:[Memo 07]],MATCH(0,reading[[#This Row],[Memo 01]:[Memo 07]],-1)),"")</f>
        <v>45198</v>
      </c>
      <c r="X25" s="11">
        <f ca="1">IFERROR(reading[[#This Row],[Previous]]+OFFSET(reading[[#Headers],[Memo 01]],-1,MATCH(0,reading[[#This Row],[Memo 01]:[Memo 07]],-1)-1),"")</f>
        <v>55198</v>
      </c>
      <c r="Y25" s="10" t="str">
        <f ca="1">IF(reading[[#This Row],[Next]]&lt;&gt;"",IF(reading[[#This Row],[Next]]&gt;TODAY(),"OK",""),"")</f>
        <v>OK</v>
      </c>
      <c r="Z25" s="13">
        <v>3</v>
      </c>
      <c r="AA25" s="13"/>
      <c r="AB25" s="13"/>
      <c r="AC25" s="13"/>
      <c r="AD25" s="13"/>
      <c r="AE25" s="13"/>
      <c r="AF25" s="13"/>
      <c r="AG25" s="16">
        <f>IFERROR(SUMIF(reading[[#This Row],[1st]:[7th]],"&gt;0")/COUNTIF(reading[[#This Row],[1st]:[7th]],"&gt;0"),"")</f>
        <v>3</v>
      </c>
    </row>
    <row r="26" spans="1:33" hidden="1" x14ac:dyDescent="0.2">
      <c r="A26" s="4">
        <f>IF(B26=1,3,IF(D26=1,2,IF(F26=1,1,0)))</f>
        <v>0</v>
      </c>
      <c r="B26" s="4" t="str">
        <f>IF(C26=$L26,1,IF(C26="","",0))</f>
        <v/>
      </c>
      <c r="C26" s="41"/>
      <c r="D26" s="4" t="str">
        <f>IF(E26=$L26,1,IF(E26="","",0))</f>
        <v/>
      </c>
      <c r="E26" s="18"/>
      <c r="F26" s="4" t="str">
        <f>IF(G26=$L26,1,IF(G26="","",0))</f>
        <v/>
      </c>
      <c r="G26" s="18"/>
      <c r="H26" s="6">
        <v>581</v>
      </c>
      <c r="I26" s="15" t="s">
        <v>3120</v>
      </c>
      <c r="J26" s="6" t="s">
        <v>3724</v>
      </c>
      <c r="K26" s="6"/>
      <c r="L26" s="6" t="s">
        <v>707</v>
      </c>
      <c r="M26" s="6" t="s">
        <v>6690</v>
      </c>
      <c r="N26" s="7">
        <f ca="1">RAND()</f>
        <v>0.20060093990573591</v>
      </c>
      <c r="O26" s="8">
        <v>45203</v>
      </c>
      <c r="P26" s="8">
        <v>45204</v>
      </c>
      <c r="Q26" s="8">
        <v>45206</v>
      </c>
      <c r="R26" s="8">
        <v>45210</v>
      </c>
      <c r="S26" s="8">
        <v>45217</v>
      </c>
      <c r="T26" s="8">
        <v>45229</v>
      </c>
      <c r="U26" s="8">
        <v>45250</v>
      </c>
      <c r="V26" s="10">
        <f>COUNTA(O26:U26)</f>
        <v>7</v>
      </c>
      <c r="W26" s="11">
        <f>_xlfn.IFNA(INDEX(reading[[#This Row],[Memo 01]:[Memo 07]],MATCH(0,reading[[#This Row],[Memo 01]:[Memo 07]],-1)),"")</f>
        <v>45250</v>
      </c>
      <c r="X26" s="11">
        <f ca="1">IFERROR(reading[[#This Row],[Previous]]+OFFSET(reading[[#Headers],[Memo 01]],-1,MATCH(0,reading[[#This Row],[Memo 01]:[Memo 07]],-1)-1),"")</f>
        <v>55250</v>
      </c>
      <c r="Y26" s="10" t="str">
        <f ca="1">IF(reading[[#This Row],[Next]]&lt;&gt;"",IF(reading[[#This Row],[Next]]&gt;TODAY(),"OK",""),"")</f>
        <v>OK</v>
      </c>
      <c r="Z26" s="13">
        <v>3</v>
      </c>
      <c r="AA26" s="13">
        <v>1</v>
      </c>
      <c r="AB26" s="13">
        <v>3</v>
      </c>
      <c r="AC26" s="13">
        <v>3</v>
      </c>
      <c r="AD26" s="13">
        <v>2</v>
      </c>
      <c r="AE26" s="13">
        <v>1</v>
      </c>
      <c r="AF26" s="13">
        <v>3</v>
      </c>
      <c r="AG26" s="16">
        <f>IFERROR(SUMIF(reading[[#This Row],[1st]:[7th]],"&gt;0")/COUNTIF(reading[[#This Row],[1st]:[7th]],"&gt;0"),"")</f>
        <v>2.2857142857142856</v>
      </c>
    </row>
    <row r="27" spans="1:33" hidden="1" x14ac:dyDescent="0.2">
      <c r="A27" s="4">
        <f>IF(B27=1,3,IF(D27=1,2,IF(F27=1,1,0)))</f>
        <v>0</v>
      </c>
      <c r="B27" s="4" t="str">
        <f>IF(C27=$L27,1,IF(C27="","",0))</f>
        <v/>
      </c>
      <c r="C27" s="42"/>
      <c r="D27" s="4" t="str">
        <f>IF(E27=$L27,1,IF(E27="","",0))</f>
        <v/>
      </c>
      <c r="E27" s="14"/>
      <c r="F27" s="4" t="str">
        <f>IF(G27=$L27,1,IF(G27="","",0))</f>
        <v/>
      </c>
      <c r="G27" s="14"/>
      <c r="H27" s="6">
        <v>2453</v>
      </c>
      <c r="I27" s="15" t="s">
        <v>3120</v>
      </c>
      <c r="J27" s="6" t="s">
        <v>5523</v>
      </c>
      <c r="K27" s="6"/>
      <c r="L27" s="6" t="s">
        <v>2501</v>
      </c>
      <c r="M27" s="6" t="s">
        <v>8558</v>
      </c>
      <c r="N27" s="7">
        <f ca="1">RAND()</f>
        <v>0.91243512062549725</v>
      </c>
      <c r="O27" s="8">
        <v>45218</v>
      </c>
      <c r="P27" s="8">
        <v>45219</v>
      </c>
      <c r="Q27" s="8">
        <v>45221</v>
      </c>
      <c r="R27" s="8">
        <v>45225</v>
      </c>
      <c r="S27" s="8">
        <v>45232</v>
      </c>
      <c r="T27" s="8">
        <v>45819</v>
      </c>
      <c r="U27" s="8"/>
      <c r="V27" s="10">
        <f>COUNTA(O27:U27)</f>
        <v>6</v>
      </c>
      <c r="W27" s="11">
        <f>_xlfn.IFNA(INDEX(reading[[#This Row],[Memo 01]:[Memo 07]],MATCH(0,reading[[#This Row],[Memo 01]:[Memo 07]],-1)),"")</f>
        <v>45819</v>
      </c>
      <c r="X27" s="11">
        <f ca="1">IFERROR(reading[[#This Row],[Previous]]+OFFSET(reading[[#Headers],[Memo 01]],-1,MATCH(0,reading[[#This Row],[Memo 01]:[Memo 07]],-1)-1),"")</f>
        <v>45839</v>
      </c>
      <c r="Y27" s="10" t="str">
        <f ca="1">IF(reading[[#This Row],[Next]]&lt;&gt;"",IF(reading[[#This Row],[Next]]&gt;TODAY(),"OK",""),"")</f>
        <v>OK</v>
      </c>
      <c r="Z27" s="13">
        <v>3</v>
      </c>
      <c r="AA27" s="13">
        <v>3</v>
      </c>
      <c r="AB27" s="13">
        <v>3</v>
      </c>
      <c r="AC27" s="13">
        <v>3</v>
      </c>
      <c r="AD27" s="13">
        <v>3</v>
      </c>
      <c r="AE27" s="13">
        <v>3</v>
      </c>
      <c r="AF27" s="13"/>
      <c r="AG27" s="16">
        <f>IFERROR(SUMIF(reading[[#This Row],[1st]:[7th]],"&gt;0")/COUNTIF(reading[[#This Row],[1st]:[7th]],"&gt;0"),"")</f>
        <v>3</v>
      </c>
    </row>
    <row r="28" spans="1:33" hidden="1" x14ac:dyDescent="0.2">
      <c r="A28" s="4">
        <f>IF(B28=1,3,IF(D28=1,2,IF(F28=1,1,0)))</f>
        <v>0</v>
      </c>
      <c r="B28" s="4" t="str">
        <f>IF(C28=$L28,1,IF(C28="","",0))</f>
        <v/>
      </c>
      <c r="C28" s="40"/>
      <c r="D28" s="4" t="str">
        <f>IF(E28=$L28,1,IF(E28="","",0))</f>
        <v/>
      </c>
      <c r="E28" s="18"/>
      <c r="F28" s="4" t="str">
        <f>IF(G28=$L28,1,IF(G28="","",0))</f>
        <v/>
      </c>
      <c r="G28" s="14"/>
      <c r="H28" s="6">
        <v>176</v>
      </c>
      <c r="I28" s="15" t="s">
        <v>3120</v>
      </c>
      <c r="J28" s="6" t="s">
        <v>3325</v>
      </c>
      <c r="K28" s="6"/>
      <c r="L28" s="6" t="s">
        <v>313</v>
      </c>
      <c r="M28" s="6" t="s">
        <v>6285</v>
      </c>
      <c r="N28" s="7">
        <f ca="1">RAND()</f>
        <v>0.97250875646838231</v>
      </c>
      <c r="O28" s="8">
        <v>45199</v>
      </c>
      <c r="P28" s="8">
        <v>45200</v>
      </c>
      <c r="Q28" s="8">
        <v>45202</v>
      </c>
      <c r="R28" s="8">
        <v>45206</v>
      </c>
      <c r="S28" s="8">
        <v>45213</v>
      </c>
      <c r="T28" s="8">
        <v>45225</v>
      </c>
      <c r="U28" s="8">
        <v>45248</v>
      </c>
      <c r="V28" s="10">
        <f>COUNTA(O28:U28)</f>
        <v>7</v>
      </c>
      <c r="W28" s="11">
        <f>_xlfn.IFNA(INDEX(reading[[#This Row],[Memo 01]:[Memo 07]],MATCH(0,reading[[#This Row],[Memo 01]:[Memo 07]],-1)),"")</f>
        <v>45248</v>
      </c>
      <c r="X28" s="11">
        <f ca="1">IFERROR(reading[[#This Row],[Previous]]+OFFSET(reading[[#Headers],[Memo 01]],-1,MATCH(0,reading[[#This Row],[Memo 01]:[Memo 07]],-1)-1),"")</f>
        <v>55248</v>
      </c>
      <c r="Y28" s="10" t="str">
        <f ca="1">IF(reading[[#This Row],[Next]]&lt;&gt;"",IF(reading[[#This Row],[Next]]&gt;TODAY(),"OK",""),"")</f>
        <v>OK</v>
      </c>
      <c r="Z28" s="13">
        <v>3</v>
      </c>
      <c r="AA28" s="13">
        <v>2</v>
      </c>
      <c r="AB28" s="13">
        <v>2</v>
      </c>
      <c r="AC28" s="13">
        <v>2</v>
      </c>
      <c r="AD28" s="13">
        <v>2</v>
      </c>
      <c r="AE28" s="13">
        <v>2</v>
      </c>
      <c r="AF28" s="13">
        <v>3</v>
      </c>
      <c r="AG28" s="16">
        <f>IFERROR(SUMIF(reading[[#This Row],[1st]:[7th]],"&gt;0")/COUNTIF(reading[[#This Row],[1st]:[7th]],"&gt;0"),"")</f>
        <v>2.2857142857142856</v>
      </c>
    </row>
    <row r="29" spans="1:33" hidden="1" x14ac:dyDescent="0.2">
      <c r="A29" s="4">
        <f>IF(B29=1,3,IF(D29=1,2,IF(F29=1,1,0)))</f>
        <v>0</v>
      </c>
      <c r="B29" s="4" t="str">
        <f>IF(C29=$L29,1,IF(C29="","",0))</f>
        <v/>
      </c>
      <c r="C29" s="41"/>
      <c r="D29" s="4" t="str">
        <f>IF(E29=$L29,1,IF(E29="","",0))</f>
        <v/>
      </c>
      <c r="E29" s="18"/>
      <c r="F29" s="4" t="str">
        <f>IF(G29=$L29,1,IF(G29="","",0))</f>
        <v/>
      </c>
      <c r="G29" s="18"/>
      <c r="H29" s="6">
        <v>739</v>
      </c>
      <c r="I29" s="15" t="s">
        <v>3120</v>
      </c>
      <c r="J29" s="6" t="s">
        <v>3876</v>
      </c>
      <c r="K29" s="6"/>
      <c r="L29" s="6" t="s">
        <v>859</v>
      </c>
      <c r="M29" s="6" t="s">
        <v>6848</v>
      </c>
      <c r="N29" s="7">
        <f ca="1">RAND()</f>
        <v>0.71092268035489348</v>
      </c>
      <c r="O29" s="8">
        <v>45203</v>
      </c>
      <c r="P29" s="8">
        <v>45204</v>
      </c>
      <c r="Q29" s="8">
        <v>45206</v>
      </c>
      <c r="R29" s="8">
        <v>45210</v>
      </c>
      <c r="S29" s="8">
        <v>45217</v>
      </c>
      <c r="T29" s="8">
        <v>45229</v>
      </c>
      <c r="U29" s="8">
        <v>45250</v>
      </c>
      <c r="V29" s="10">
        <f>COUNTA(O29:U29)</f>
        <v>7</v>
      </c>
      <c r="W29" s="11">
        <f>_xlfn.IFNA(INDEX(reading[[#This Row],[Memo 01]:[Memo 07]],MATCH(0,reading[[#This Row],[Memo 01]:[Memo 07]],-1)),"")</f>
        <v>45250</v>
      </c>
      <c r="X29" s="11">
        <f ca="1">IFERROR(reading[[#This Row],[Previous]]+OFFSET(reading[[#Headers],[Memo 01]],-1,MATCH(0,reading[[#This Row],[Memo 01]:[Memo 07]],-1)-1),"")</f>
        <v>55250</v>
      </c>
      <c r="Y29" s="10" t="str">
        <f ca="1">IF(reading[[#This Row],[Next]]&lt;&gt;"",IF(reading[[#This Row],[Next]]&gt;TODAY(),"OK",""),"")</f>
        <v>OK</v>
      </c>
      <c r="Z29" s="13">
        <v>3</v>
      </c>
      <c r="AA29" s="13">
        <v>2</v>
      </c>
      <c r="AB29" s="13">
        <v>2</v>
      </c>
      <c r="AC29" s="13">
        <v>2</v>
      </c>
      <c r="AD29" s="13">
        <v>1</v>
      </c>
      <c r="AE29" s="13">
        <v>3</v>
      </c>
      <c r="AF29" s="13">
        <v>3</v>
      </c>
      <c r="AG29" s="16">
        <f>IFERROR(SUMIF(reading[[#This Row],[1st]:[7th]],"&gt;0")/COUNTIF(reading[[#This Row],[1st]:[7th]],"&gt;0"),"")</f>
        <v>2.2857142857142856</v>
      </c>
    </row>
    <row r="30" spans="1:33" hidden="1" x14ac:dyDescent="0.2">
      <c r="A30" s="4">
        <f>IF(B30=1,3,IF(D30=1,2,IF(F30=1,1,0)))</f>
        <v>0</v>
      </c>
      <c r="B30" s="4" t="str">
        <f>IF(C30=$L30,1,IF(C30="","",0))</f>
        <v/>
      </c>
      <c r="C30" s="18"/>
      <c r="D30" s="4" t="str">
        <f>IF(E30=$L30,1,IF(E30="","",0))</f>
        <v/>
      </c>
      <c r="E30" s="14"/>
      <c r="F30" s="4" t="str">
        <f>IF(G30=$L30,1,IF(G30="","",0))</f>
        <v/>
      </c>
      <c r="G30" s="14"/>
      <c r="H30" s="6">
        <v>28</v>
      </c>
      <c r="I30" s="15" t="s">
        <v>3120</v>
      </c>
      <c r="J30" s="6" t="s">
        <v>3183</v>
      </c>
      <c r="K30" s="6"/>
      <c r="L30" s="6" t="s">
        <v>171</v>
      </c>
      <c r="M30" s="6" t="s">
        <v>6142</v>
      </c>
      <c r="N30" s="7">
        <f ca="1">RAND()</f>
        <v>0.66695479578434147</v>
      </c>
      <c r="O30" s="8">
        <v>45198</v>
      </c>
      <c r="P30" s="8">
        <v>45198</v>
      </c>
      <c r="Q30" s="8">
        <v>45198</v>
      </c>
      <c r="R30" s="8">
        <v>45198</v>
      </c>
      <c r="S30" s="8">
        <v>45198</v>
      </c>
      <c r="T30" s="8">
        <v>45198</v>
      </c>
      <c r="U30" s="8">
        <v>45198</v>
      </c>
      <c r="V30" s="10">
        <f>COUNTA(O30:U30)</f>
        <v>7</v>
      </c>
      <c r="W30" s="11">
        <f>_xlfn.IFNA(INDEX(reading[[#This Row],[Memo 01]:[Memo 07]],MATCH(0,reading[[#This Row],[Memo 01]:[Memo 07]],-1)),"")</f>
        <v>45198</v>
      </c>
      <c r="X30" s="11">
        <f ca="1">IFERROR(reading[[#This Row],[Previous]]+OFFSET(reading[[#Headers],[Memo 01]],-1,MATCH(0,reading[[#This Row],[Memo 01]:[Memo 07]],-1)-1),"")</f>
        <v>55198</v>
      </c>
      <c r="Y30" s="10" t="str">
        <f ca="1">IF(reading[[#This Row],[Next]]&lt;&gt;"",IF(reading[[#This Row],[Next]]&gt;TODAY(),"OK",""),"")</f>
        <v>OK</v>
      </c>
      <c r="Z30" s="13">
        <v>3</v>
      </c>
      <c r="AA30" s="13"/>
      <c r="AB30" s="13"/>
      <c r="AC30" s="13"/>
      <c r="AD30" s="13"/>
      <c r="AE30" s="13"/>
      <c r="AF30" s="13"/>
      <c r="AG30" s="16">
        <f>IFERROR(SUMIF(reading[[#This Row],[1st]:[7th]],"&gt;0")/COUNTIF(reading[[#This Row],[1st]:[7th]],"&gt;0"),"")</f>
        <v>3</v>
      </c>
    </row>
    <row r="31" spans="1:33" hidden="1" x14ac:dyDescent="0.2">
      <c r="A31" s="4">
        <f>IF(B31=1,3,IF(D31=1,2,IF(F31=1,1,0)))</f>
        <v>0</v>
      </c>
      <c r="B31" s="4" t="str">
        <f>IF(C31=$L31,1,IF(C31="","",0))</f>
        <v/>
      </c>
      <c r="C31" s="18"/>
      <c r="D31" s="4" t="str">
        <f>IF(E31=$L31,1,IF(E31="","",0))</f>
        <v/>
      </c>
      <c r="E31" s="14"/>
      <c r="F31" s="4" t="str">
        <f>IF(G31=$L31,1,IF(G31="","",0))</f>
        <v/>
      </c>
      <c r="G31" s="14"/>
      <c r="H31" s="6">
        <v>29</v>
      </c>
      <c r="I31" s="15" t="s">
        <v>3120</v>
      </c>
      <c r="J31" s="6" t="s">
        <v>3184</v>
      </c>
      <c r="K31" s="6"/>
      <c r="L31" s="6" t="s">
        <v>172</v>
      </c>
      <c r="M31" s="6" t="s">
        <v>6143</v>
      </c>
      <c r="N31" s="7">
        <f ca="1">RAND()</f>
        <v>0.71007001692129701</v>
      </c>
      <c r="O31" s="8">
        <v>45198</v>
      </c>
      <c r="P31" s="8">
        <v>45198</v>
      </c>
      <c r="Q31" s="8">
        <v>45198</v>
      </c>
      <c r="R31" s="8">
        <v>45198</v>
      </c>
      <c r="S31" s="8">
        <v>45198</v>
      </c>
      <c r="T31" s="8">
        <v>45198</v>
      </c>
      <c r="U31" s="8">
        <v>45198</v>
      </c>
      <c r="V31" s="10">
        <f>COUNTA(O31:U31)</f>
        <v>7</v>
      </c>
      <c r="W31" s="11">
        <f>_xlfn.IFNA(INDEX(reading[[#This Row],[Memo 01]:[Memo 07]],MATCH(0,reading[[#This Row],[Memo 01]:[Memo 07]],-1)),"")</f>
        <v>45198</v>
      </c>
      <c r="X31" s="11">
        <f ca="1">IFERROR(reading[[#This Row],[Previous]]+OFFSET(reading[[#Headers],[Memo 01]],-1,MATCH(0,reading[[#This Row],[Memo 01]:[Memo 07]],-1)-1),"")</f>
        <v>55198</v>
      </c>
      <c r="Y31" s="10" t="str">
        <f ca="1">IF(reading[[#This Row],[Next]]&lt;&gt;"",IF(reading[[#This Row],[Next]]&gt;TODAY(),"OK",""),"")</f>
        <v>OK</v>
      </c>
      <c r="Z31" s="13">
        <v>3</v>
      </c>
      <c r="AA31" s="13"/>
      <c r="AB31" s="13"/>
      <c r="AC31" s="13"/>
      <c r="AD31" s="13"/>
      <c r="AE31" s="13"/>
      <c r="AF31" s="13"/>
      <c r="AG31" s="16">
        <f>IFERROR(SUMIF(reading[[#This Row],[1st]:[7th]],"&gt;0")/COUNTIF(reading[[#This Row],[1st]:[7th]],"&gt;0"),"")</f>
        <v>3</v>
      </c>
    </row>
    <row r="32" spans="1:33" hidden="1" x14ac:dyDescent="0.2">
      <c r="A32" s="4">
        <f>IF(B32=1,3,IF(D32=1,2,IF(F32=1,1,0)))</f>
        <v>0</v>
      </c>
      <c r="B32" s="4" t="str">
        <f>IF(C32=$L32,1,IF(C32="","",0))</f>
        <v/>
      </c>
      <c r="C32" s="42"/>
      <c r="D32" s="4" t="str">
        <f>IF(E32=$L32,1,IF(E32="","",0))</f>
        <v/>
      </c>
      <c r="E32" s="18"/>
      <c r="F32" s="4" t="str">
        <f>IF(G32=$L32,1,IF(G32="","",0))</f>
        <v/>
      </c>
      <c r="G32" s="18"/>
      <c r="H32" s="6">
        <v>1136</v>
      </c>
      <c r="I32" s="15" t="s">
        <v>3120</v>
      </c>
      <c r="J32" s="6" t="s">
        <v>4257</v>
      </c>
      <c r="K32" s="6"/>
      <c r="L32" s="6" t="s">
        <v>1238</v>
      </c>
      <c r="M32" s="6" t="s">
        <v>7244</v>
      </c>
      <c r="N32" s="7">
        <f ca="1">RAND()</f>
        <v>0.68931498687509329</v>
      </c>
      <c r="O32" s="8">
        <v>45205</v>
      </c>
      <c r="P32" s="8">
        <v>45206</v>
      </c>
      <c r="Q32" s="8">
        <v>45208</v>
      </c>
      <c r="R32" s="8">
        <v>45213</v>
      </c>
      <c r="S32" s="8">
        <v>45220</v>
      </c>
      <c r="T32" s="8">
        <v>45232</v>
      </c>
      <c r="U32" s="8">
        <v>45252</v>
      </c>
      <c r="V32" s="10">
        <f>COUNTA(O32:U32)</f>
        <v>7</v>
      </c>
      <c r="W32" s="11">
        <f>_xlfn.IFNA(INDEX(reading[[#This Row],[Memo 01]:[Memo 07]],MATCH(0,reading[[#This Row],[Memo 01]:[Memo 07]],-1)),"")</f>
        <v>45252</v>
      </c>
      <c r="X32" s="11">
        <f ca="1">IFERROR(reading[[#This Row],[Previous]]+OFFSET(reading[[#Headers],[Memo 01]],-1,MATCH(0,reading[[#This Row],[Memo 01]:[Memo 07]],-1)-1),"")</f>
        <v>55252</v>
      </c>
      <c r="Y32" s="10" t="str">
        <f ca="1">IF(reading[[#This Row],[Next]]&lt;&gt;"",IF(reading[[#This Row],[Next]]&gt;TODAY(),"OK",""),"")</f>
        <v>OK</v>
      </c>
      <c r="Z32" s="13">
        <v>3</v>
      </c>
      <c r="AA32" s="13">
        <v>2</v>
      </c>
      <c r="AB32" s="13">
        <v>2</v>
      </c>
      <c r="AC32" s="13">
        <v>2</v>
      </c>
      <c r="AD32" s="13">
        <v>1</v>
      </c>
      <c r="AE32" s="13">
        <v>2</v>
      </c>
      <c r="AF32" s="13">
        <v>3</v>
      </c>
      <c r="AG32" s="16">
        <f>IFERROR(SUMIF(reading[[#This Row],[1st]:[7th]],"&gt;0")/COUNTIF(reading[[#This Row],[1st]:[7th]],"&gt;0"),"")</f>
        <v>2.1428571428571428</v>
      </c>
    </row>
    <row r="33" spans="1:33" hidden="1" x14ac:dyDescent="0.2">
      <c r="A33" s="4">
        <f>IF(B33=1,3,IF(D33=1,2,IF(F33=1,1,0)))</f>
        <v>0</v>
      </c>
      <c r="B33" s="4" t="str">
        <f>IF(C33=$L33,1,IF(C33="","",0))</f>
        <v/>
      </c>
      <c r="C33" s="40"/>
      <c r="D33" s="4" t="str">
        <f>IF(E33=$L33,1,IF(E33="","",0))</f>
        <v/>
      </c>
      <c r="E33" s="23"/>
      <c r="F33" s="4" t="str">
        <f>IF(G33=$L33,1,IF(G33="","",0))</f>
        <v/>
      </c>
      <c r="G33" s="14"/>
      <c r="H33" s="6">
        <v>643</v>
      </c>
      <c r="I33" s="15" t="s">
        <v>3120</v>
      </c>
      <c r="J33" s="6" t="s">
        <v>3784</v>
      </c>
      <c r="K33" s="6"/>
      <c r="L33" s="6" t="s">
        <v>766</v>
      </c>
      <c r="M33" s="6" t="s">
        <v>6752</v>
      </c>
      <c r="N33" s="7">
        <f ca="1">RAND()</f>
        <v>0.4605625337516055</v>
      </c>
      <c r="O33" s="8">
        <v>45202</v>
      </c>
      <c r="P33" s="8">
        <v>45203</v>
      </c>
      <c r="Q33" s="8">
        <v>45205</v>
      </c>
      <c r="R33" s="8">
        <v>45209</v>
      </c>
      <c r="S33" s="8">
        <v>45216</v>
      </c>
      <c r="T33" s="8">
        <v>45228</v>
      </c>
      <c r="U33" s="8">
        <v>45248</v>
      </c>
      <c r="V33" s="10">
        <f>COUNTA(O33:U33)</f>
        <v>7</v>
      </c>
      <c r="W33" s="11">
        <f>_xlfn.IFNA(INDEX(reading[[#This Row],[Memo 01]:[Memo 07]],MATCH(0,reading[[#This Row],[Memo 01]:[Memo 07]],-1)),"")</f>
        <v>45248</v>
      </c>
      <c r="X33" s="11">
        <f ca="1">IFERROR(reading[[#This Row],[Previous]]+OFFSET(reading[[#Headers],[Memo 01]],-1,MATCH(0,reading[[#This Row],[Memo 01]:[Memo 07]],-1)-1),"")</f>
        <v>55248</v>
      </c>
      <c r="Y33" s="10" t="str">
        <f ca="1">IF(reading[[#This Row],[Next]]&lt;&gt;"",IF(reading[[#This Row],[Next]]&gt;TODAY(),"OK",""),"")</f>
        <v>OK</v>
      </c>
      <c r="Z33" s="13">
        <v>3</v>
      </c>
      <c r="AA33" s="13">
        <v>3</v>
      </c>
      <c r="AB33" s="13">
        <v>2</v>
      </c>
      <c r="AC33" s="13">
        <v>2</v>
      </c>
      <c r="AD33" s="13">
        <v>2</v>
      </c>
      <c r="AE33" s="13">
        <v>1</v>
      </c>
      <c r="AF33" s="13">
        <v>3</v>
      </c>
      <c r="AG33" s="16">
        <f>IFERROR(SUMIF(reading[[#This Row],[1st]:[7th]],"&gt;0")/COUNTIF(reading[[#This Row],[1st]:[7th]],"&gt;0"),"")</f>
        <v>2.2857142857142856</v>
      </c>
    </row>
    <row r="34" spans="1:33" hidden="1" x14ac:dyDescent="0.2">
      <c r="A34" s="4">
        <f>IF(B34=1,3,IF(D34=1,2,IF(F34=1,1,0)))</f>
        <v>0</v>
      </c>
      <c r="B34" s="4" t="str">
        <f>IF(C34=$L34,1,IF(C34="","",0))</f>
        <v/>
      </c>
      <c r="C34" s="42"/>
      <c r="D34" s="4" t="str">
        <f>IF(E34=$L34,1,IF(E34="","",0))</f>
        <v/>
      </c>
      <c r="E34" s="14"/>
      <c r="F34" s="4" t="str">
        <f>IF(G34=$L34,1,IF(G34="","",0))</f>
        <v/>
      </c>
      <c r="G34" s="14"/>
      <c r="H34" s="6">
        <v>644</v>
      </c>
      <c r="I34" s="15" t="s">
        <v>3120</v>
      </c>
      <c r="J34" s="6" t="s">
        <v>3785</v>
      </c>
      <c r="K34" s="6"/>
      <c r="L34" s="6" t="s">
        <v>767</v>
      </c>
      <c r="M34" s="6" t="s">
        <v>6753</v>
      </c>
      <c r="N34" s="7">
        <f ca="1">RAND()</f>
        <v>0.55199974820950726</v>
      </c>
      <c r="O34" s="8">
        <v>45202</v>
      </c>
      <c r="P34" s="8">
        <v>45203</v>
      </c>
      <c r="Q34" s="8">
        <v>45205</v>
      </c>
      <c r="R34" s="8">
        <v>45209</v>
      </c>
      <c r="S34" s="8">
        <v>45216</v>
      </c>
      <c r="T34" s="8">
        <v>45228</v>
      </c>
      <c r="U34" s="8">
        <v>45783</v>
      </c>
      <c r="V34" s="10">
        <f>COUNTA(O34:U34)</f>
        <v>7</v>
      </c>
      <c r="W34" s="11">
        <f>_xlfn.IFNA(INDEX(reading[[#This Row],[Memo 01]:[Memo 07]],MATCH(0,reading[[#This Row],[Memo 01]:[Memo 07]],-1)),"")</f>
        <v>45783</v>
      </c>
      <c r="X34" s="11">
        <f ca="1">IFERROR(reading[[#This Row],[Previous]]+OFFSET(reading[[#Headers],[Memo 01]],-1,MATCH(0,reading[[#This Row],[Memo 01]:[Memo 07]],-1)-1),"")</f>
        <v>55783</v>
      </c>
      <c r="Y34" s="10" t="str">
        <f ca="1">IF(reading[[#This Row],[Next]]&lt;&gt;"",IF(reading[[#This Row],[Next]]&gt;TODAY(),"OK",""),"")</f>
        <v>OK</v>
      </c>
      <c r="Z34" s="13">
        <v>3</v>
      </c>
      <c r="AA34" s="13">
        <v>3</v>
      </c>
      <c r="AB34" s="13">
        <v>3</v>
      </c>
      <c r="AC34" s="13">
        <v>3</v>
      </c>
      <c r="AD34" s="13">
        <v>3</v>
      </c>
      <c r="AE34" s="13">
        <v>3</v>
      </c>
      <c r="AF34" s="13">
        <v>3</v>
      </c>
      <c r="AG34" s="16">
        <f>IFERROR(SUMIF(reading[[#This Row],[1st]:[7th]],"&gt;0")/COUNTIF(reading[[#This Row],[1st]:[7th]],"&gt;0"),"")</f>
        <v>3</v>
      </c>
    </row>
    <row r="35" spans="1:33" hidden="1" x14ac:dyDescent="0.2">
      <c r="A35" s="4">
        <f>IF(B35=1,3,IF(D35=1,2,IF(F35=1,1,0)))</f>
        <v>0</v>
      </c>
      <c r="B35" s="4" t="str">
        <f>IF(C35=$L35,1,IF(C35="","",0))</f>
        <v/>
      </c>
      <c r="C35" s="18"/>
      <c r="D35" s="4" t="str">
        <f>IF(E35=$L35,1,IF(E35="","",0))</f>
        <v/>
      </c>
      <c r="E35" s="14"/>
      <c r="F35" s="4" t="str">
        <f>IF(G35=$L35,1,IF(G35="","",0))</f>
        <v/>
      </c>
      <c r="G35" s="14"/>
      <c r="H35" s="6">
        <v>33</v>
      </c>
      <c r="I35" s="15" t="s">
        <v>3120</v>
      </c>
      <c r="J35" s="6" t="s">
        <v>3188</v>
      </c>
      <c r="K35" s="6"/>
      <c r="L35" s="6" t="s">
        <v>176</v>
      </c>
      <c r="M35" s="6" t="s">
        <v>6147</v>
      </c>
      <c r="N35" s="7">
        <f ca="1">RAND()</f>
        <v>0.4508440371695549</v>
      </c>
      <c r="O35" s="8">
        <v>45198</v>
      </c>
      <c r="P35" s="8">
        <v>45198</v>
      </c>
      <c r="Q35" s="8">
        <v>45198</v>
      </c>
      <c r="R35" s="8">
        <v>45198</v>
      </c>
      <c r="S35" s="8">
        <v>45198</v>
      </c>
      <c r="T35" s="8">
        <v>45198</v>
      </c>
      <c r="U35" s="8">
        <v>45198</v>
      </c>
      <c r="V35" s="10">
        <f>COUNTA(O35:U35)</f>
        <v>7</v>
      </c>
      <c r="W35" s="11">
        <f>_xlfn.IFNA(INDEX(reading[[#This Row],[Memo 01]:[Memo 07]],MATCH(0,reading[[#This Row],[Memo 01]:[Memo 07]],-1)),"")</f>
        <v>45198</v>
      </c>
      <c r="X35" s="11">
        <f ca="1">IFERROR(reading[[#This Row],[Previous]]+OFFSET(reading[[#Headers],[Memo 01]],-1,MATCH(0,reading[[#This Row],[Memo 01]:[Memo 07]],-1)-1),"")</f>
        <v>55198</v>
      </c>
      <c r="Y35" s="10" t="str">
        <f ca="1">IF(reading[[#This Row],[Next]]&lt;&gt;"",IF(reading[[#This Row],[Next]]&gt;TODAY(),"OK",""),"")</f>
        <v>OK</v>
      </c>
      <c r="Z35" s="13">
        <v>3</v>
      </c>
      <c r="AA35" s="13"/>
      <c r="AB35" s="13"/>
      <c r="AC35" s="13"/>
      <c r="AD35" s="13"/>
      <c r="AE35" s="13"/>
      <c r="AF35" s="13"/>
      <c r="AG35" s="16">
        <f>IFERROR(SUMIF(reading[[#This Row],[1st]:[7th]],"&gt;0")/COUNTIF(reading[[#This Row],[1st]:[7th]],"&gt;0"),"")</f>
        <v>3</v>
      </c>
    </row>
    <row r="36" spans="1:33" hidden="1" x14ac:dyDescent="0.2">
      <c r="A36" s="4">
        <f>IF(B36=1,3,IF(D36=1,2,IF(F36=1,1,0)))</f>
        <v>0</v>
      </c>
      <c r="B36" s="4" t="str">
        <f>IF(C36=$L36,1,IF(C36="","",0))</f>
        <v/>
      </c>
      <c r="C36" s="18"/>
      <c r="D36" s="4" t="str">
        <f>IF(E36=$L36,1,IF(E36="","",0))</f>
        <v/>
      </c>
      <c r="E36" s="18"/>
      <c r="F36" s="4" t="str">
        <f>IF(G36=$L36,1,IF(G36="","",0))</f>
        <v/>
      </c>
      <c r="G36" s="18"/>
      <c r="H36" s="6">
        <v>22</v>
      </c>
      <c r="I36" s="15" t="s">
        <v>3120</v>
      </c>
      <c r="J36" s="6" t="s">
        <v>3177</v>
      </c>
      <c r="K36" s="6"/>
      <c r="L36" s="6" t="s">
        <v>165</v>
      </c>
      <c r="M36" s="6" t="s">
        <v>6136</v>
      </c>
      <c r="N36" s="7">
        <f ca="1">RAND()</f>
        <v>0.47321666605722579</v>
      </c>
      <c r="O36" s="8">
        <v>45198</v>
      </c>
      <c r="P36" s="8">
        <v>45199</v>
      </c>
      <c r="Q36" s="8">
        <v>45202</v>
      </c>
      <c r="R36" s="8">
        <v>45206</v>
      </c>
      <c r="S36" s="8">
        <v>45213</v>
      </c>
      <c r="T36" s="8">
        <v>45225</v>
      </c>
      <c r="U36" s="8">
        <v>45248</v>
      </c>
      <c r="V36" s="10">
        <f>COUNTA(O36:U36)</f>
        <v>7</v>
      </c>
      <c r="W36" s="11">
        <f>_xlfn.IFNA(INDEX(reading[[#This Row],[Memo 01]:[Memo 07]],MATCH(0,reading[[#This Row],[Memo 01]:[Memo 07]],-1)),"")</f>
        <v>45248</v>
      </c>
      <c r="X36" s="11">
        <f ca="1">IFERROR(reading[[#This Row],[Previous]]+OFFSET(reading[[#Headers],[Memo 01]],-1,MATCH(0,reading[[#This Row],[Memo 01]:[Memo 07]],-1)-1),"")</f>
        <v>55248</v>
      </c>
      <c r="Y36" s="10" t="str">
        <f ca="1">IF(reading[[#This Row],[Next]]&lt;&gt;"",IF(reading[[#This Row],[Next]]&gt;TODAY(),"OK",""),"")</f>
        <v>OK</v>
      </c>
      <c r="Z36" s="13">
        <v>3</v>
      </c>
      <c r="AA36" s="13">
        <v>2</v>
      </c>
      <c r="AB36" s="13">
        <v>2</v>
      </c>
      <c r="AC36" s="13">
        <v>1</v>
      </c>
      <c r="AD36" s="13">
        <v>2</v>
      </c>
      <c r="AE36" s="13">
        <v>3</v>
      </c>
      <c r="AF36" s="13">
        <v>3</v>
      </c>
      <c r="AG36" s="16">
        <f>IFERROR(SUMIF(reading[[#This Row],[1st]:[7th]],"&gt;0")/COUNTIF(reading[[#This Row],[1st]:[7th]],"&gt;0"),"")</f>
        <v>2.2857142857142856</v>
      </c>
    </row>
    <row r="37" spans="1:33" hidden="1" x14ac:dyDescent="0.2">
      <c r="A37" s="4">
        <f>IF(B37=1,3,IF(D37=1,2,IF(F37=1,1,0)))</f>
        <v>0</v>
      </c>
      <c r="B37" s="4" t="str">
        <f>IF(C37=$L37,1,IF(C37="","",0))</f>
        <v/>
      </c>
      <c r="C37" s="42"/>
      <c r="D37" s="4" t="str">
        <f>IF(E37=$L37,1,IF(E37="","",0))</f>
        <v/>
      </c>
      <c r="E37" s="14"/>
      <c r="F37" s="4" t="str">
        <f>IF(G37=$L37,1,IF(G37="","",0))</f>
        <v/>
      </c>
      <c r="G37" s="14"/>
      <c r="H37" s="6">
        <v>895</v>
      </c>
      <c r="I37" s="15" t="s">
        <v>3120</v>
      </c>
      <c r="J37" s="6" t="s">
        <v>4027</v>
      </c>
      <c r="K37" s="6"/>
      <c r="L37" s="6" t="s">
        <v>1008</v>
      </c>
      <c r="M37" s="6" t="s">
        <v>7004</v>
      </c>
      <c r="N37" s="7">
        <f ca="1">RAND()</f>
        <v>0.43774503856051272</v>
      </c>
      <c r="O37" s="8">
        <v>45204</v>
      </c>
      <c r="P37" s="8">
        <v>45205</v>
      </c>
      <c r="Q37" s="8">
        <v>45207</v>
      </c>
      <c r="R37" s="8">
        <v>45211</v>
      </c>
      <c r="S37" s="8">
        <v>45218</v>
      </c>
      <c r="T37" s="8">
        <v>45230</v>
      </c>
      <c r="U37" s="8">
        <v>45819</v>
      </c>
      <c r="V37" s="10">
        <f>COUNTA(O37:U37)</f>
        <v>7</v>
      </c>
      <c r="W37" s="11">
        <f>_xlfn.IFNA(INDEX(reading[[#This Row],[Memo 01]:[Memo 07]],MATCH(0,reading[[#This Row],[Memo 01]:[Memo 07]],-1)),"")</f>
        <v>45819</v>
      </c>
      <c r="X37" s="11">
        <f ca="1">IFERROR(reading[[#This Row],[Previous]]+OFFSET(reading[[#Headers],[Memo 01]],-1,MATCH(0,reading[[#This Row],[Memo 01]:[Memo 07]],-1)-1),"")</f>
        <v>55819</v>
      </c>
      <c r="Y37" s="10" t="str">
        <f ca="1">IF(reading[[#This Row],[Next]]&lt;&gt;"",IF(reading[[#This Row],[Next]]&gt;TODAY(),"OK",""),"")</f>
        <v>OK</v>
      </c>
      <c r="Z37" s="13">
        <v>3</v>
      </c>
      <c r="AA37" s="13">
        <v>3</v>
      </c>
      <c r="AB37" s="13">
        <v>3</v>
      </c>
      <c r="AC37" s="13">
        <v>3</v>
      </c>
      <c r="AD37" s="13">
        <v>3</v>
      </c>
      <c r="AE37" s="13">
        <v>3</v>
      </c>
      <c r="AF37" s="13">
        <v>3</v>
      </c>
      <c r="AG37" s="16">
        <f>IFERROR(SUMIF(reading[[#This Row],[1st]:[7th]],"&gt;0")/COUNTIF(reading[[#This Row],[1st]:[7th]],"&gt;0"),"")</f>
        <v>3</v>
      </c>
    </row>
    <row r="38" spans="1:33" hidden="1" x14ac:dyDescent="0.2">
      <c r="A38" s="4">
        <f>IF(B38=1,3,IF(D38=1,2,IF(F38=1,1,0)))</f>
        <v>0</v>
      </c>
      <c r="B38" s="4" t="str">
        <f>IF(C38=$L38,1,IF(C38="","",0))</f>
        <v/>
      </c>
      <c r="C38" s="42"/>
      <c r="D38" s="4" t="str">
        <f>IF(E38=$L38,1,IF(E38="","",0))</f>
        <v/>
      </c>
      <c r="E38" s="14"/>
      <c r="F38" s="4" t="str">
        <f>IF(G38=$L38,1,IF(G38="","",0))</f>
        <v/>
      </c>
      <c r="G38" s="14"/>
      <c r="H38" s="6">
        <v>2896</v>
      </c>
      <c r="I38" s="15" t="s">
        <v>3120</v>
      </c>
      <c r="J38" s="6" t="s">
        <v>5932</v>
      </c>
      <c r="K38" s="6"/>
      <c r="L38" s="6" t="s">
        <v>53</v>
      </c>
      <c r="M38" s="6" t="s">
        <v>9000</v>
      </c>
      <c r="N38" s="7">
        <f ca="1">RAND()</f>
        <v>0.12662505099040888</v>
      </c>
      <c r="O38" s="8">
        <v>45222</v>
      </c>
      <c r="P38" s="8">
        <v>45223</v>
      </c>
      <c r="Q38" s="8">
        <v>45225</v>
      </c>
      <c r="R38" s="8">
        <v>45229</v>
      </c>
      <c r="S38" s="8">
        <v>45236</v>
      </c>
      <c r="T38" s="8">
        <v>45818</v>
      </c>
      <c r="U38" s="8"/>
      <c r="V38" s="10">
        <f>COUNTA(O38:U38)</f>
        <v>6</v>
      </c>
      <c r="W38" s="11">
        <f>_xlfn.IFNA(INDEX(reading[[#This Row],[Memo 01]:[Memo 07]],MATCH(0,reading[[#This Row],[Memo 01]:[Memo 07]],-1)),"")</f>
        <v>45818</v>
      </c>
      <c r="X38" s="11">
        <f ca="1">IFERROR(reading[[#This Row],[Previous]]+OFFSET(reading[[#Headers],[Memo 01]],-1,MATCH(0,reading[[#This Row],[Memo 01]:[Memo 07]],-1)-1),"")</f>
        <v>45838</v>
      </c>
      <c r="Y38" s="10" t="str">
        <f ca="1">IF(reading[[#This Row],[Next]]&lt;&gt;"",IF(reading[[#This Row],[Next]]&gt;TODAY(),"OK",""),"")</f>
        <v>OK</v>
      </c>
      <c r="Z38" s="13">
        <v>3</v>
      </c>
      <c r="AA38" s="13">
        <v>3</v>
      </c>
      <c r="AB38" s="13">
        <v>3</v>
      </c>
      <c r="AC38" s="13">
        <v>3</v>
      </c>
      <c r="AD38" s="13">
        <v>3</v>
      </c>
      <c r="AE38" s="13">
        <v>3</v>
      </c>
      <c r="AF38" s="13"/>
      <c r="AG38" s="16">
        <f>IFERROR(SUMIF(reading[[#This Row],[1st]:[7th]],"&gt;0")/COUNTIF(reading[[#This Row],[1st]:[7th]],"&gt;0"),"")</f>
        <v>3</v>
      </c>
    </row>
    <row r="39" spans="1:33" hidden="1" x14ac:dyDescent="0.2">
      <c r="A39" s="4">
        <f>IF(B39=1,3,IF(D39=1,2,IF(F39=1,1,0)))</f>
        <v>0</v>
      </c>
      <c r="B39" s="4" t="str">
        <f>IF(C39=$L39,1,IF(C39="","",0))</f>
        <v/>
      </c>
      <c r="C39" s="18"/>
      <c r="D39" s="4" t="str">
        <f>IF(E39=$L39,1,IF(E39="","",0))</f>
        <v/>
      </c>
      <c r="E39" s="14"/>
      <c r="F39" s="4" t="str">
        <f>IF(G39=$L39,1,IF(G39="","",0))</f>
        <v/>
      </c>
      <c r="G39" s="14"/>
      <c r="H39" s="6">
        <v>37</v>
      </c>
      <c r="I39" s="15" t="s">
        <v>3120</v>
      </c>
      <c r="J39" s="6" t="s">
        <v>3192</v>
      </c>
      <c r="K39" s="6"/>
      <c r="L39" s="6" t="s">
        <v>180</v>
      </c>
      <c r="M39" s="6" t="s">
        <v>6151</v>
      </c>
      <c r="N39" s="7">
        <f ca="1">RAND()</f>
        <v>0.7748908755102436</v>
      </c>
      <c r="O39" s="8">
        <v>45198</v>
      </c>
      <c r="P39" s="8">
        <v>45198</v>
      </c>
      <c r="Q39" s="8">
        <v>45198</v>
      </c>
      <c r="R39" s="8">
        <v>45198</v>
      </c>
      <c r="S39" s="8">
        <v>45198</v>
      </c>
      <c r="T39" s="8">
        <v>45198</v>
      </c>
      <c r="U39" s="8">
        <v>45198</v>
      </c>
      <c r="V39" s="10">
        <f>COUNTA(O39:U39)</f>
        <v>7</v>
      </c>
      <c r="W39" s="11">
        <f>_xlfn.IFNA(INDEX(reading[[#This Row],[Memo 01]:[Memo 07]],MATCH(0,reading[[#This Row],[Memo 01]:[Memo 07]],-1)),"")</f>
        <v>45198</v>
      </c>
      <c r="X39" s="11">
        <f ca="1">IFERROR(reading[[#This Row],[Previous]]+OFFSET(reading[[#Headers],[Memo 01]],-1,MATCH(0,reading[[#This Row],[Memo 01]:[Memo 07]],-1)-1),"")</f>
        <v>55198</v>
      </c>
      <c r="Y39" s="10" t="str">
        <f ca="1">IF(reading[[#This Row],[Next]]&lt;&gt;"",IF(reading[[#This Row],[Next]]&gt;TODAY(),"OK",""),"")</f>
        <v>OK</v>
      </c>
      <c r="Z39" s="13">
        <v>3</v>
      </c>
      <c r="AA39" s="13"/>
      <c r="AB39" s="13"/>
      <c r="AC39" s="13"/>
      <c r="AD39" s="13"/>
      <c r="AE39" s="13"/>
      <c r="AF39" s="13"/>
      <c r="AG39" s="16">
        <f>IFERROR(SUMIF(reading[[#This Row],[1st]:[7th]],"&gt;0")/COUNTIF(reading[[#This Row],[1st]:[7th]],"&gt;0"),"")</f>
        <v>3</v>
      </c>
    </row>
    <row r="40" spans="1:33" hidden="1" x14ac:dyDescent="0.2">
      <c r="A40" s="4">
        <f>IF(B40=1,3,IF(D40=1,2,IF(F40=1,1,0)))</f>
        <v>0</v>
      </c>
      <c r="B40" s="4" t="str">
        <f>IF(C40=$L40,1,IF(C40="","",0))</f>
        <v/>
      </c>
      <c r="C40" s="42"/>
      <c r="D40" s="4" t="str">
        <f>IF(E40=$L40,1,IF(E40="","",0))</f>
        <v/>
      </c>
      <c r="E40" s="14"/>
      <c r="F40" s="4" t="str">
        <f>IF(G40=$L40,1,IF(G40="","",0))</f>
        <v/>
      </c>
      <c r="G40" s="14"/>
      <c r="H40" s="6">
        <v>326</v>
      </c>
      <c r="I40" s="15" t="s">
        <v>3120</v>
      </c>
      <c r="J40" s="6" t="s">
        <v>3473</v>
      </c>
      <c r="K40" s="6"/>
      <c r="L40" s="6" t="s">
        <v>461</v>
      </c>
      <c r="M40" s="6" t="s">
        <v>6435</v>
      </c>
      <c r="N40" s="7">
        <f ca="1">RAND()</f>
        <v>0.83305197534762931</v>
      </c>
      <c r="O40" s="8">
        <v>45200</v>
      </c>
      <c r="P40" s="8">
        <v>45201</v>
      </c>
      <c r="Q40" s="8">
        <v>45203</v>
      </c>
      <c r="R40" s="8">
        <v>45207</v>
      </c>
      <c r="S40" s="8">
        <v>45214</v>
      </c>
      <c r="T40" s="8">
        <v>45226</v>
      </c>
      <c r="U40" s="8">
        <v>45792</v>
      </c>
      <c r="V40" s="10">
        <f>COUNTA(O40:U40)</f>
        <v>7</v>
      </c>
      <c r="W40" s="11">
        <f>_xlfn.IFNA(INDEX(reading[[#This Row],[Memo 01]:[Memo 07]],MATCH(0,reading[[#This Row],[Memo 01]:[Memo 07]],-1)),"")</f>
        <v>45792</v>
      </c>
      <c r="X40" s="11">
        <f ca="1">IFERROR(reading[[#This Row],[Previous]]+OFFSET(reading[[#Headers],[Memo 01]],-1,MATCH(0,reading[[#This Row],[Memo 01]:[Memo 07]],-1)-1),"")</f>
        <v>55792</v>
      </c>
      <c r="Y40" s="10" t="str">
        <f ca="1">IF(reading[[#This Row],[Next]]&lt;&gt;"",IF(reading[[#This Row],[Next]]&gt;TODAY(),"OK",""),"")</f>
        <v>OK</v>
      </c>
      <c r="Z40" s="13">
        <v>3</v>
      </c>
      <c r="AA40" s="13">
        <v>3</v>
      </c>
      <c r="AB40" s="13">
        <v>3</v>
      </c>
      <c r="AC40" s="13">
        <v>3</v>
      </c>
      <c r="AD40" s="13">
        <v>3</v>
      </c>
      <c r="AE40" s="13">
        <v>3</v>
      </c>
      <c r="AF40" s="13">
        <v>3</v>
      </c>
      <c r="AG40" s="16">
        <f>IFERROR(SUMIF(reading[[#This Row],[1st]:[7th]],"&gt;0")/COUNTIF(reading[[#This Row],[1st]:[7th]],"&gt;0"),"")</f>
        <v>3</v>
      </c>
    </row>
    <row r="41" spans="1:33" hidden="1" x14ac:dyDescent="0.2">
      <c r="A41" s="4">
        <f>IF(B41=1,3,IF(D41=1,2,IF(F41=1,1,0)))</f>
        <v>0</v>
      </c>
      <c r="B41" s="4" t="str">
        <f>IF(C41=$L41,1,IF(C41="","",0))</f>
        <v/>
      </c>
      <c r="C41" s="40"/>
      <c r="D41" s="4" t="str">
        <f>IF(E41=$L41,1,IF(E41="","",0))</f>
        <v/>
      </c>
      <c r="E41" s="23"/>
      <c r="F41" s="4" t="str">
        <f>IF(G41=$L41,1,IF(G41="","",0))</f>
        <v/>
      </c>
      <c r="G41" s="14"/>
      <c r="H41" s="6">
        <v>490</v>
      </c>
      <c r="I41" s="15" t="s">
        <v>3120</v>
      </c>
      <c r="J41" s="6" t="s">
        <v>3636</v>
      </c>
      <c r="K41" s="6"/>
      <c r="L41" s="6" t="s">
        <v>618</v>
      </c>
      <c r="M41" s="6" t="s">
        <v>6599</v>
      </c>
      <c r="N41" s="7">
        <f ca="1">RAND()</f>
        <v>0.81529133692520817</v>
      </c>
      <c r="O41" s="8">
        <v>45202</v>
      </c>
      <c r="P41" s="8">
        <v>45203</v>
      </c>
      <c r="Q41" s="8">
        <v>45205</v>
      </c>
      <c r="R41" s="8">
        <v>45209</v>
      </c>
      <c r="S41" s="8">
        <v>45216</v>
      </c>
      <c r="T41" s="8">
        <v>45228</v>
      </c>
      <c r="U41" s="8">
        <v>45248</v>
      </c>
      <c r="V41" s="10">
        <f>COUNTA(O41:U41)</f>
        <v>7</v>
      </c>
      <c r="W41" s="11">
        <f>_xlfn.IFNA(INDEX(reading[[#This Row],[Memo 01]:[Memo 07]],MATCH(0,reading[[#This Row],[Memo 01]:[Memo 07]],-1)),"")</f>
        <v>45248</v>
      </c>
      <c r="X41" s="11">
        <f ca="1">IFERROR(reading[[#This Row],[Previous]]+OFFSET(reading[[#Headers],[Memo 01]],-1,MATCH(0,reading[[#This Row],[Memo 01]:[Memo 07]],-1)-1),"")</f>
        <v>55248</v>
      </c>
      <c r="Y41" s="10" t="str">
        <f ca="1">IF(reading[[#This Row],[Next]]&lt;&gt;"",IF(reading[[#This Row],[Next]]&gt;TODAY(),"OK",""),"")</f>
        <v>OK</v>
      </c>
      <c r="Z41" s="13">
        <v>3</v>
      </c>
      <c r="AA41" s="13">
        <v>1</v>
      </c>
      <c r="AB41" s="13">
        <v>2</v>
      </c>
      <c r="AC41" s="13">
        <v>2</v>
      </c>
      <c r="AD41" s="13">
        <v>2</v>
      </c>
      <c r="AE41" s="13">
        <v>3</v>
      </c>
      <c r="AF41" s="13">
        <v>3</v>
      </c>
      <c r="AG41" s="16">
        <f>IFERROR(SUMIF(reading[[#This Row],[1st]:[7th]],"&gt;0")/COUNTIF(reading[[#This Row],[1st]:[7th]],"&gt;0"),"")</f>
        <v>2.2857142857142856</v>
      </c>
    </row>
    <row r="42" spans="1:33" hidden="1" x14ac:dyDescent="0.2">
      <c r="A42" s="4">
        <f>IF(B42=1,3,IF(D42=1,2,IF(F42=1,1,0)))</f>
        <v>0</v>
      </c>
      <c r="B42" s="4" t="str">
        <f>IF(C42=$L42,1,IF(C42="","",0))</f>
        <v/>
      </c>
      <c r="C42" s="18"/>
      <c r="D42" s="4" t="str">
        <f>IF(E42=$L42,1,IF(E42="","",0))</f>
        <v/>
      </c>
      <c r="E42" s="14"/>
      <c r="F42" s="4" t="str">
        <f>IF(G42=$L42,1,IF(G42="","",0))</f>
        <v/>
      </c>
      <c r="G42" s="14"/>
      <c r="H42" s="6">
        <v>40</v>
      </c>
      <c r="I42" s="15" t="s">
        <v>3120</v>
      </c>
      <c r="J42" s="6" t="s">
        <v>3195</v>
      </c>
      <c r="K42" s="6"/>
      <c r="L42" s="6" t="s">
        <v>183</v>
      </c>
      <c r="M42" s="6" t="s">
        <v>6154</v>
      </c>
      <c r="N42" s="7">
        <f ca="1">RAND()</f>
        <v>0.95479265850818884</v>
      </c>
      <c r="O42" s="8">
        <v>45198</v>
      </c>
      <c r="P42" s="8">
        <v>45198</v>
      </c>
      <c r="Q42" s="8">
        <v>45198</v>
      </c>
      <c r="R42" s="8">
        <v>45198</v>
      </c>
      <c r="S42" s="8">
        <v>45198</v>
      </c>
      <c r="T42" s="8">
        <v>45198</v>
      </c>
      <c r="U42" s="8">
        <v>45198</v>
      </c>
      <c r="V42" s="10">
        <f>COUNTA(O42:U42)</f>
        <v>7</v>
      </c>
      <c r="W42" s="11">
        <f>_xlfn.IFNA(INDEX(reading[[#This Row],[Memo 01]:[Memo 07]],MATCH(0,reading[[#This Row],[Memo 01]:[Memo 07]],-1)),"")</f>
        <v>45198</v>
      </c>
      <c r="X42" s="11">
        <f ca="1">IFERROR(reading[[#This Row],[Previous]]+OFFSET(reading[[#Headers],[Memo 01]],-1,MATCH(0,reading[[#This Row],[Memo 01]:[Memo 07]],-1)-1),"")</f>
        <v>55198</v>
      </c>
      <c r="Y42" s="10" t="str">
        <f ca="1">IF(reading[[#This Row],[Next]]&lt;&gt;"",IF(reading[[#This Row],[Next]]&gt;TODAY(),"OK",""),"")</f>
        <v>OK</v>
      </c>
      <c r="Z42" s="13">
        <v>3</v>
      </c>
      <c r="AA42" s="13"/>
      <c r="AB42" s="13"/>
      <c r="AC42" s="13"/>
      <c r="AD42" s="13"/>
      <c r="AE42" s="13"/>
      <c r="AF42" s="13"/>
      <c r="AG42" s="16">
        <f>IFERROR(SUMIF(reading[[#This Row],[1st]:[7th]],"&gt;0")/COUNTIF(reading[[#This Row],[1st]:[7th]],"&gt;0"),"")</f>
        <v>3</v>
      </c>
    </row>
    <row r="43" spans="1:33" hidden="1" x14ac:dyDescent="0.2">
      <c r="A43" s="4">
        <f>IF(B43=1,3,IF(D43=1,2,IF(F43=1,1,0)))</f>
        <v>0</v>
      </c>
      <c r="B43" s="4" t="str">
        <f>IF(C43=$L43,1,IF(C43="","",0))</f>
        <v/>
      </c>
      <c r="C43" s="18"/>
      <c r="D43" s="4" t="str">
        <f>IF(E43=$L43,1,IF(E43="","",0))</f>
        <v/>
      </c>
      <c r="E43" s="18"/>
      <c r="F43" s="4" t="str">
        <f>IF(G43=$L43,1,IF(G43="","",0))</f>
        <v/>
      </c>
      <c r="G43" s="14"/>
      <c r="H43" s="6">
        <v>169</v>
      </c>
      <c r="I43" s="15" t="s">
        <v>3120</v>
      </c>
      <c r="J43" s="6" t="s">
        <v>3318</v>
      </c>
      <c r="K43" s="15" t="s">
        <v>3155</v>
      </c>
      <c r="L43" s="6" t="s">
        <v>306</v>
      </c>
      <c r="M43" s="6" t="s">
        <v>6278</v>
      </c>
      <c r="N43" s="7">
        <f ca="1">RAND()</f>
        <v>0.77961346182622926</v>
      </c>
      <c r="O43" s="8">
        <v>45199</v>
      </c>
      <c r="P43" s="8">
        <v>45200</v>
      </c>
      <c r="Q43" s="8">
        <v>45202</v>
      </c>
      <c r="R43" s="8">
        <v>45206</v>
      </c>
      <c r="S43" s="8">
        <v>45213</v>
      </c>
      <c r="T43" s="8">
        <v>45225</v>
      </c>
      <c r="U43" s="8">
        <v>45250</v>
      </c>
      <c r="V43" s="10">
        <f>COUNTA(O43:U43)</f>
        <v>7</v>
      </c>
      <c r="W43" s="11">
        <f>_xlfn.IFNA(INDEX(reading[[#This Row],[Memo 01]:[Memo 07]],MATCH(0,reading[[#This Row],[Memo 01]:[Memo 07]],-1)),"")</f>
        <v>45250</v>
      </c>
      <c r="X43" s="11">
        <f ca="1">IFERROR(reading[[#This Row],[Previous]]+OFFSET(reading[[#Headers],[Memo 01]],-1,MATCH(0,reading[[#This Row],[Memo 01]:[Memo 07]],-1)-1),"")</f>
        <v>55250</v>
      </c>
      <c r="Y43" s="10" t="str">
        <f ca="1">IF(reading[[#This Row],[Next]]&lt;&gt;"",IF(reading[[#This Row],[Next]]&gt;TODAY(),"OK",""),"")</f>
        <v>OK</v>
      </c>
      <c r="Z43" s="13">
        <v>3</v>
      </c>
      <c r="AA43" s="13">
        <v>3</v>
      </c>
      <c r="AB43" s="13">
        <v>2</v>
      </c>
      <c r="AC43" s="13">
        <v>2</v>
      </c>
      <c r="AD43" s="13">
        <v>2</v>
      </c>
      <c r="AE43" s="13">
        <v>2</v>
      </c>
      <c r="AF43" s="13">
        <v>2</v>
      </c>
      <c r="AG43" s="16">
        <f>IFERROR(SUMIF(reading[[#This Row],[1st]:[7th]],"&gt;0")/COUNTIF(reading[[#This Row],[1st]:[7th]],"&gt;0"),"")</f>
        <v>2.2857142857142856</v>
      </c>
    </row>
    <row r="44" spans="1:33" hidden="1" x14ac:dyDescent="0.2">
      <c r="A44" s="4">
        <f>IF(B44=1,3,IF(D44=1,2,IF(F44=1,1,0)))</f>
        <v>0</v>
      </c>
      <c r="B44" s="4" t="str">
        <f>IF(C44=$L44,1,IF(C44="","",0))</f>
        <v/>
      </c>
      <c r="C44" s="18"/>
      <c r="D44" s="4" t="str">
        <f>IF(E44=$L44,1,IF(E44="","",0))</f>
        <v/>
      </c>
      <c r="E44" s="14"/>
      <c r="F44" s="4" t="str">
        <f>IF(G44=$L44,1,IF(G44="","",0))</f>
        <v/>
      </c>
      <c r="G44" s="14"/>
      <c r="H44" s="6">
        <v>42</v>
      </c>
      <c r="I44" s="15" t="s">
        <v>3120</v>
      </c>
      <c r="J44" s="6" t="s">
        <v>3197</v>
      </c>
      <c r="K44" s="6"/>
      <c r="L44" s="6" t="s">
        <v>185</v>
      </c>
      <c r="M44" s="6" t="s">
        <v>6156</v>
      </c>
      <c r="N44" s="7">
        <f ca="1">RAND()</f>
        <v>0.42501670195460395</v>
      </c>
      <c r="O44" s="8">
        <v>45198</v>
      </c>
      <c r="P44" s="8">
        <v>45198</v>
      </c>
      <c r="Q44" s="8">
        <v>45198</v>
      </c>
      <c r="R44" s="8">
        <v>45198</v>
      </c>
      <c r="S44" s="8">
        <v>45198</v>
      </c>
      <c r="T44" s="8">
        <v>45198</v>
      </c>
      <c r="U44" s="8">
        <v>45198</v>
      </c>
      <c r="V44" s="10">
        <f>COUNTA(O44:U44)</f>
        <v>7</v>
      </c>
      <c r="W44" s="11">
        <f>_xlfn.IFNA(INDEX(reading[[#This Row],[Memo 01]:[Memo 07]],MATCH(0,reading[[#This Row],[Memo 01]:[Memo 07]],-1)),"")</f>
        <v>45198</v>
      </c>
      <c r="X44" s="11">
        <f ca="1">IFERROR(reading[[#This Row],[Previous]]+OFFSET(reading[[#Headers],[Memo 01]],-1,MATCH(0,reading[[#This Row],[Memo 01]:[Memo 07]],-1)-1),"")</f>
        <v>55198</v>
      </c>
      <c r="Y44" s="10" t="str">
        <f ca="1">IF(reading[[#This Row],[Next]]&lt;&gt;"",IF(reading[[#This Row],[Next]]&gt;TODAY(),"OK",""),"")</f>
        <v>OK</v>
      </c>
      <c r="Z44" s="13">
        <v>3</v>
      </c>
      <c r="AA44" s="13"/>
      <c r="AB44" s="13"/>
      <c r="AC44" s="13"/>
      <c r="AD44" s="13"/>
      <c r="AE44" s="13"/>
      <c r="AF44" s="13"/>
      <c r="AG44" s="16">
        <f>IFERROR(SUMIF(reading[[#This Row],[1st]:[7th]],"&gt;0")/COUNTIF(reading[[#This Row],[1st]:[7th]],"&gt;0"),"")</f>
        <v>3</v>
      </c>
    </row>
    <row r="45" spans="1:33" hidden="1" x14ac:dyDescent="0.2">
      <c r="A45" s="4">
        <f>IF(B45=1,3,IF(D45=1,2,IF(F45=1,1,0)))</f>
        <v>0</v>
      </c>
      <c r="B45" s="4" t="str">
        <f>IF(C45=$L45,1,IF(C45="","",0))</f>
        <v/>
      </c>
      <c r="C45" s="41"/>
      <c r="D45" s="4" t="str">
        <f>IF(E45=$L45,1,IF(E45="","",0))</f>
        <v/>
      </c>
      <c r="E45" s="18"/>
      <c r="F45" s="4" t="str">
        <f>IF(G45=$L45,1,IF(G45="","",0))</f>
        <v/>
      </c>
      <c r="G45" s="18"/>
      <c r="H45" s="6">
        <v>955</v>
      </c>
      <c r="I45" s="15" t="s">
        <v>3120</v>
      </c>
      <c r="J45" s="6" t="s">
        <v>4084</v>
      </c>
      <c r="K45" s="6"/>
      <c r="L45" s="6" t="s">
        <v>1065</v>
      </c>
      <c r="M45" s="6" t="s">
        <v>7063</v>
      </c>
      <c r="N45" s="7">
        <f ca="1">RAND()</f>
        <v>0.25826527657889509</v>
      </c>
      <c r="O45" s="8">
        <v>45204</v>
      </c>
      <c r="P45" s="8">
        <v>45205</v>
      </c>
      <c r="Q45" s="8">
        <v>45207</v>
      </c>
      <c r="R45" s="8">
        <v>45211</v>
      </c>
      <c r="S45" s="8">
        <v>45218</v>
      </c>
      <c r="T45" s="8">
        <v>45230</v>
      </c>
      <c r="U45" s="8">
        <v>45250</v>
      </c>
      <c r="V45" s="10">
        <f>COUNTA(O45:U45)</f>
        <v>7</v>
      </c>
      <c r="W45" s="11">
        <f>_xlfn.IFNA(INDEX(reading[[#This Row],[Memo 01]:[Memo 07]],MATCH(0,reading[[#This Row],[Memo 01]:[Memo 07]],-1)),"")</f>
        <v>45250</v>
      </c>
      <c r="X45" s="11">
        <f ca="1">IFERROR(reading[[#This Row],[Previous]]+OFFSET(reading[[#Headers],[Memo 01]],-1,MATCH(0,reading[[#This Row],[Memo 01]:[Memo 07]],-1)-1),"")</f>
        <v>55250</v>
      </c>
      <c r="Y45" s="10" t="str">
        <f ca="1">IF(reading[[#This Row],[Next]]&lt;&gt;"",IF(reading[[#This Row],[Next]]&gt;TODAY(),"OK",""),"")</f>
        <v>OK</v>
      </c>
      <c r="Z45" s="13">
        <v>3</v>
      </c>
      <c r="AA45" s="13">
        <v>2</v>
      </c>
      <c r="AB45" s="13">
        <v>2</v>
      </c>
      <c r="AC45" s="13">
        <v>3</v>
      </c>
      <c r="AD45" s="13">
        <v>1</v>
      </c>
      <c r="AE45" s="13">
        <v>3</v>
      </c>
      <c r="AF45" s="13">
        <v>3</v>
      </c>
      <c r="AG45" s="16">
        <f>IFERROR(SUMIF(reading[[#This Row],[1st]:[7th]],"&gt;0")/COUNTIF(reading[[#This Row],[1st]:[7th]],"&gt;0"),"")</f>
        <v>2.4285714285714284</v>
      </c>
    </row>
    <row r="46" spans="1:33" hidden="1" x14ac:dyDescent="0.2">
      <c r="A46" s="4">
        <f>IF(B46=1,3,IF(D46=1,2,IF(F46=1,1,0)))</f>
        <v>0</v>
      </c>
      <c r="B46" s="4" t="str">
        <f>IF(C46=$L46,1,IF(C46="","",0))</f>
        <v/>
      </c>
      <c r="C46" s="41"/>
      <c r="D46" s="4" t="str">
        <f>IF(E46=$L46,1,IF(E46="","",0))</f>
        <v/>
      </c>
      <c r="E46" s="18"/>
      <c r="F46" s="4" t="str">
        <f>IF(G46=$L46,1,IF(G46="","",0))</f>
        <v/>
      </c>
      <c r="G46" s="18"/>
      <c r="H46" s="6">
        <v>159</v>
      </c>
      <c r="I46" s="15" t="s">
        <v>3120</v>
      </c>
      <c r="J46" s="6" t="s">
        <v>3308</v>
      </c>
      <c r="K46" s="6"/>
      <c r="L46" s="6" t="s">
        <v>296</v>
      </c>
      <c r="M46" s="6" t="s">
        <v>6268</v>
      </c>
      <c r="N46" s="7">
        <f ca="1">RAND()</f>
        <v>0.70211850279849219</v>
      </c>
      <c r="O46" s="8">
        <v>45199</v>
      </c>
      <c r="P46" s="8">
        <v>45200</v>
      </c>
      <c r="Q46" s="8">
        <v>45202</v>
      </c>
      <c r="R46" s="8">
        <v>45206</v>
      </c>
      <c r="S46" s="8">
        <v>45213</v>
      </c>
      <c r="T46" s="8">
        <v>45226</v>
      </c>
      <c r="U46" s="8">
        <v>45250</v>
      </c>
      <c r="V46" s="10">
        <f>COUNTA(O46:U46)</f>
        <v>7</v>
      </c>
      <c r="W46" s="11">
        <f>_xlfn.IFNA(INDEX(reading[[#This Row],[Memo 01]:[Memo 07]],MATCH(0,reading[[#This Row],[Memo 01]:[Memo 07]],-1)),"")</f>
        <v>45250</v>
      </c>
      <c r="X46" s="11">
        <f ca="1">IFERROR(reading[[#This Row],[Previous]]+OFFSET(reading[[#Headers],[Memo 01]],-1,MATCH(0,reading[[#This Row],[Memo 01]:[Memo 07]],-1)-1),"")</f>
        <v>55250</v>
      </c>
      <c r="Y46" s="10" t="str">
        <f ca="1">IF(reading[[#This Row],[Next]]&lt;&gt;"",IF(reading[[#This Row],[Next]]&gt;TODAY(),"OK",""),"")</f>
        <v>OK</v>
      </c>
      <c r="Z46" s="13">
        <v>3</v>
      </c>
      <c r="AA46" s="13">
        <v>2</v>
      </c>
      <c r="AB46" s="13">
        <v>3</v>
      </c>
      <c r="AC46" s="13">
        <v>2</v>
      </c>
      <c r="AD46" s="13">
        <v>3</v>
      </c>
      <c r="AE46" s="13">
        <v>1</v>
      </c>
      <c r="AF46" s="13">
        <v>2</v>
      </c>
      <c r="AG46" s="16">
        <f>IFERROR(SUMIF(reading[[#This Row],[1st]:[7th]],"&gt;0")/COUNTIF(reading[[#This Row],[1st]:[7th]],"&gt;0"),"")</f>
        <v>2.2857142857142856</v>
      </c>
    </row>
    <row r="47" spans="1:33" hidden="1" x14ac:dyDescent="0.2">
      <c r="A47" s="4">
        <f>IF(B47=1,3,IF(D47=1,2,IF(F47=1,1,0)))</f>
        <v>0</v>
      </c>
      <c r="B47" s="4" t="str">
        <f>IF(C47=$L47,1,IF(C47="","",0))</f>
        <v/>
      </c>
      <c r="C47" s="18"/>
      <c r="D47" s="4" t="str">
        <f>IF(E47=$L47,1,IF(E47="","",0))</f>
        <v/>
      </c>
      <c r="E47" s="14"/>
      <c r="F47" s="4" t="str">
        <f>IF(G47=$L47,1,IF(G47="","",0))</f>
        <v/>
      </c>
      <c r="G47" s="14"/>
      <c r="H47" s="6">
        <v>45</v>
      </c>
      <c r="I47" s="15" t="s">
        <v>3120</v>
      </c>
      <c r="J47" s="6" t="s">
        <v>3200</v>
      </c>
      <c r="K47" s="6"/>
      <c r="L47" s="6" t="s">
        <v>188</v>
      </c>
      <c r="M47" s="6" t="s">
        <v>6159</v>
      </c>
      <c r="N47" s="7">
        <f ca="1">RAND()</f>
        <v>0.26496434360441457</v>
      </c>
      <c r="O47" s="8">
        <v>45198</v>
      </c>
      <c r="P47" s="8">
        <v>45198</v>
      </c>
      <c r="Q47" s="8">
        <v>45198</v>
      </c>
      <c r="R47" s="8">
        <v>45198</v>
      </c>
      <c r="S47" s="8">
        <v>45198</v>
      </c>
      <c r="T47" s="8">
        <v>45198</v>
      </c>
      <c r="U47" s="8">
        <v>45198</v>
      </c>
      <c r="V47" s="10">
        <f>COUNTA(O47:U47)</f>
        <v>7</v>
      </c>
      <c r="W47" s="11">
        <f>_xlfn.IFNA(INDEX(reading[[#This Row],[Memo 01]:[Memo 07]],MATCH(0,reading[[#This Row],[Memo 01]:[Memo 07]],-1)),"")</f>
        <v>45198</v>
      </c>
      <c r="X47" s="11">
        <f ca="1">IFERROR(reading[[#This Row],[Previous]]+OFFSET(reading[[#Headers],[Memo 01]],-1,MATCH(0,reading[[#This Row],[Memo 01]:[Memo 07]],-1)-1),"")</f>
        <v>55198</v>
      </c>
      <c r="Y47" s="10" t="str">
        <f ca="1">IF(reading[[#This Row],[Next]]&lt;&gt;"",IF(reading[[#This Row],[Next]]&gt;TODAY(),"OK",""),"")</f>
        <v>OK</v>
      </c>
      <c r="Z47" s="13">
        <v>3</v>
      </c>
      <c r="AA47" s="13"/>
      <c r="AB47" s="13"/>
      <c r="AC47" s="13"/>
      <c r="AD47" s="13"/>
      <c r="AE47" s="13"/>
      <c r="AF47" s="13"/>
      <c r="AG47" s="16">
        <f>IFERROR(SUMIF(reading[[#This Row],[1st]:[7th]],"&gt;0")/COUNTIF(reading[[#This Row],[1st]:[7th]],"&gt;0"),"")</f>
        <v>3</v>
      </c>
    </row>
    <row r="48" spans="1:33" hidden="1" x14ac:dyDescent="0.2">
      <c r="A48" s="4">
        <f>IF(B48=1,3,IF(D48=1,2,IF(F48=1,1,0)))</f>
        <v>0</v>
      </c>
      <c r="B48" s="4" t="str">
        <f>IF(C48=$L48,1,IF(C48="","",0))</f>
        <v/>
      </c>
      <c r="C48" s="18"/>
      <c r="D48" s="4" t="str">
        <f>IF(E48=$L48,1,IF(E48="","",0))</f>
        <v/>
      </c>
      <c r="E48" s="14"/>
      <c r="F48" s="4" t="str">
        <f>IF(G48=$L48,1,IF(G48="","",0))</f>
        <v/>
      </c>
      <c r="G48" s="14"/>
      <c r="H48" s="6">
        <v>46</v>
      </c>
      <c r="I48" s="15" t="s">
        <v>3120</v>
      </c>
      <c r="J48" s="6" t="s">
        <v>3201</v>
      </c>
      <c r="K48" s="6"/>
      <c r="L48" s="6" t="s">
        <v>189</v>
      </c>
      <c r="M48" s="6" t="s">
        <v>6160</v>
      </c>
      <c r="N48" s="7">
        <f ca="1">RAND()</f>
        <v>0.45736138907017254</v>
      </c>
      <c r="O48" s="8">
        <v>45198</v>
      </c>
      <c r="P48" s="8">
        <v>45198</v>
      </c>
      <c r="Q48" s="8">
        <v>45198</v>
      </c>
      <c r="R48" s="8">
        <v>45198</v>
      </c>
      <c r="S48" s="8">
        <v>45198</v>
      </c>
      <c r="T48" s="8">
        <v>45198</v>
      </c>
      <c r="U48" s="8">
        <v>45198</v>
      </c>
      <c r="V48" s="10">
        <f>COUNTA(O48:U48)</f>
        <v>7</v>
      </c>
      <c r="W48" s="11">
        <f>_xlfn.IFNA(INDEX(reading[[#This Row],[Memo 01]:[Memo 07]],MATCH(0,reading[[#This Row],[Memo 01]:[Memo 07]],-1)),"")</f>
        <v>45198</v>
      </c>
      <c r="X48" s="11">
        <f ca="1">IFERROR(reading[[#This Row],[Previous]]+OFFSET(reading[[#Headers],[Memo 01]],-1,MATCH(0,reading[[#This Row],[Memo 01]:[Memo 07]],-1)-1),"")</f>
        <v>55198</v>
      </c>
      <c r="Y48" s="10" t="str">
        <f ca="1">IF(reading[[#This Row],[Next]]&lt;&gt;"",IF(reading[[#This Row],[Next]]&gt;TODAY(),"OK",""),"")</f>
        <v>OK</v>
      </c>
      <c r="Z48" s="13">
        <v>3</v>
      </c>
      <c r="AA48" s="13"/>
      <c r="AB48" s="13"/>
      <c r="AC48" s="13"/>
      <c r="AD48" s="13"/>
      <c r="AE48" s="13"/>
      <c r="AF48" s="13"/>
      <c r="AG48" s="16">
        <f>IFERROR(SUMIF(reading[[#This Row],[1st]:[7th]],"&gt;0")/COUNTIF(reading[[#This Row],[1st]:[7th]],"&gt;0"),"")</f>
        <v>3</v>
      </c>
    </row>
    <row r="49" spans="1:33" hidden="1" x14ac:dyDescent="0.2">
      <c r="A49" s="4">
        <f>IF(B49=1,3,IF(D49=1,2,IF(F49=1,1,0)))</f>
        <v>0</v>
      </c>
      <c r="B49" s="4" t="str">
        <f>IF(C49=$L49,1,IF(C49="","",0))</f>
        <v/>
      </c>
      <c r="C49" s="42"/>
      <c r="D49" s="4" t="str">
        <f>IF(E49=$L49,1,IF(E49="","",0))</f>
        <v/>
      </c>
      <c r="E49" s="18"/>
      <c r="F49" s="4" t="str">
        <f>IF(G49=$L49,1,IF(G49="","",0))</f>
        <v/>
      </c>
      <c r="G49" s="14"/>
      <c r="H49" s="6">
        <v>2687</v>
      </c>
      <c r="I49" s="15" t="s">
        <v>3120</v>
      </c>
      <c r="J49" s="6" t="s">
        <v>5738</v>
      </c>
      <c r="K49" s="15" t="s">
        <v>3139</v>
      </c>
      <c r="L49" s="6" t="s">
        <v>2726</v>
      </c>
      <c r="M49" s="6" t="s">
        <v>8792</v>
      </c>
      <c r="N49" s="7">
        <f ca="1">RAND()</f>
        <v>0.30845590889827068</v>
      </c>
      <c r="O49" s="8">
        <v>45221</v>
      </c>
      <c r="P49" s="8">
        <v>45222</v>
      </c>
      <c r="Q49" s="8">
        <v>45224</v>
      </c>
      <c r="R49" s="8">
        <v>45228</v>
      </c>
      <c r="S49" s="8">
        <v>45235</v>
      </c>
      <c r="T49" s="8">
        <v>45251</v>
      </c>
      <c r="U49" s="8">
        <v>45792</v>
      </c>
      <c r="V49" s="10">
        <f>COUNTA(O49:U49)</f>
        <v>7</v>
      </c>
      <c r="W49" s="11">
        <f>_xlfn.IFNA(INDEX(reading[[#This Row],[Memo 01]:[Memo 07]],MATCH(0,reading[[#This Row],[Memo 01]:[Memo 07]],-1)),"")</f>
        <v>45792</v>
      </c>
      <c r="X49" s="11">
        <f ca="1">IFERROR(reading[[#This Row],[Previous]]+OFFSET(reading[[#Headers],[Memo 01]],-1,MATCH(0,reading[[#This Row],[Memo 01]:[Memo 07]],-1)-1),"")</f>
        <v>55792</v>
      </c>
      <c r="Y49" s="10" t="str">
        <f ca="1">IF(reading[[#This Row],[Next]]&lt;&gt;"",IF(reading[[#This Row],[Next]]&gt;TODAY(),"OK",""),"")</f>
        <v>OK</v>
      </c>
      <c r="Z49" s="13">
        <v>3</v>
      </c>
      <c r="AA49" s="13">
        <v>3</v>
      </c>
      <c r="AB49" s="13">
        <v>2</v>
      </c>
      <c r="AC49" s="13">
        <v>2</v>
      </c>
      <c r="AD49" s="13">
        <v>3</v>
      </c>
      <c r="AE49" s="13">
        <v>3</v>
      </c>
      <c r="AF49" s="13">
        <v>3</v>
      </c>
      <c r="AG49" s="16">
        <f>IFERROR(SUMIF(reading[[#This Row],[1st]:[7th]],"&gt;0")/COUNTIF(reading[[#This Row],[1st]:[7th]],"&gt;0"),"")</f>
        <v>2.7142857142857144</v>
      </c>
    </row>
    <row r="50" spans="1:33" hidden="1" x14ac:dyDescent="0.2">
      <c r="A50" s="4">
        <f>IF(B50=1,3,IF(D50=1,2,IF(F50=1,1,0)))</f>
        <v>0</v>
      </c>
      <c r="B50" s="4" t="str">
        <f>IF(C50=$L50,1,IF(C50="","",0))</f>
        <v/>
      </c>
      <c r="C50" s="42"/>
      <c r="D50" s="4" t="str">
        <f>IF(E50=$L50,1,IF(E50="","",0))</f>
        <v/>
      </c>
      <c r="E50" s="14"/>
      <c r="F50" s="4" t="str">
        <f>IF(G50=$L50,1,IF(G50="","",0))</f>
        <v/>
      </c>
      <c r="G50" s="14"/>
      <c r="H50" s="6">
        <v>1314</v>
      </c>
      <c r="I50" s="15" t="s">
        <v>3120</v>
      </c>
      <c r="J50" s="6" t="s">
        <v>4431</v>
      </c>
      <c r="K50" s="6"/>
      <c r="L50" s="6" t="s">
        <v>1411</v>
      </c>
      <c r="M50" s="6" t="s">
        <v>7421</v>
      </c>
      <c r="N50" s="7">
        <f ca="1">RAND()</f>
        <v>0.45384833116195966</v>
      </c>
      <c r="O50" s="8">
        <v>45207</v>
      </c>
      <c r="P50" s="8">
        <v>45208</v>
      </c>
      <c r="Q50" s="8">
        <v>45210</v>
      </c>
      <c r="R50" s="8">
        <v>45214</v>
      </c>
      <c r="S50" s="8">
        <v>45221</v>
      </c>
      <c r="T50" s="8">
        <v>45233</v>
      </c>
      <c r="U50" s="8">
        <v>45792</v>
      </c>
      <c r="V50" s="10">
        <f>COUNTA(O50:U50)</f>
        <v>7</v>
      </c>
      <c r="W50" s="11">
        <f>_xlfn.IFNA(INDEX(reading[[#This Row],[Memo 01]:[Memo 07]],MATCH(0,reading[[#This Row],[Memo 01]:[Memo 07]],-1)),"")</f>
        <v>45792</v>
      </c>
      <c r="X50" s="11">
        <f ca="1">IFERROR(reading[[#This Row],[Previous]]+OFFSET(reading[[#Headers],[Memo 01]],-1,MATCH(0,reading[[#This Row],[Memo 01]:[Memo 07]],-1)-1),"")</f>
        <v>55792</v>
      </c>
      <c r="Y50" s="10" t="str">
        <f ca="1">IF(reading[[#This Row],[Next]]&lt;&gt;"",IF(reading[[#This Row],[Next]]&gt;TODAY(),"OK",""),"")</f>
        <v>OK</v>
      </c>
      <c r="Z50" s="13">
        <v>3</v>
      </c>
      <c r="AA50" s="13">
        <v>3</v>
      </c>
      <c r="AB50" s="13">
        <v>3</v>
      </c>
      <c r="AC50" s="13">
        <v>3</v>
      </c>
      <c r="AD50" s="13">
        <v>3</v>
      </c>
      <c r="AE50" s="13">
        <v>3</v>
      </c>
      <c r="AF50" s="13">
        <v>3</v>
      </c>
      <c r="AG50" s="16">
        <f>IFERROR(SUMIF(reading[[#This Row],[1st]:[7th]],"&gt;0")/COUNTIF(reading[[#This Row],[1st]:[7th]],"&gt;0"),"")</f>
        <v>3</v>
      </c>
    </row>
    <row r="51" spans="1:33" hidden="1" x14ac:dyDescent="0.2">
      <c r="A51" s="4">
        <f>IF(B51=1,3,IF(D51=1,2,IF(F51=1,1,0)))</f>
        <v>0</v>
      </c>
      <c r="B51" s="4" t="str">
        <f>IF(C51=$L51,1,IF(C51="","",0))</f>
        <v/>
      </c>
      <c r="C51" s="18"/>
      <c r="D51" s="4" t="str">
        <f>IF(E51=$L51,1,IF(E51="","",0))</f>
        <v/>
      </c>
      <c r="E51" s="14"/>
      <c r="F51" s="4" t="str">
        <f>IF(G51=$L51,1,IF(G51="","",0))</f>
        <v/>
      </c>
      <c r="G51" s="14"/>
      <c r="H51" s="6">
        <v>49</v>
      </c>
      <c r="I51" s="15" t="s">
        <v>3120</v>
      </c>
      <c r="J51" s="6" t="s">
        <v>3204</v>
      </c>
      <c r="K51" s="6"/>
      <c r="L51" s="6" t="s">
        <v>192</v>
      </c>
      <c r="M51" s="6" t="s">
        <v>6163</v>
      </c>
      <c r="N51" s="7">
        <f ca="1">RAND()</f>
        <v>0.79879312185362294</v>
      </c>
      <c r="O51" s="8">
        <v>45198</v>
      </c>
      <c r="P51" s="8">
        <v>45198</v>
      </c>
      <c r="Q51" s="8">
        <v>45198</v>
      </c>
      <c r="R51" s="8">
        <v>45198</v>
      </c>
      <c r="S51" s="8">
        <v>45198</v>
      </c>
      <c r="T51" s="8">
        <v>45198</v>
      </c>
      <c r="U51" s="8">
        <v>45198</v>
      </c>
      <c r="V51" s="10">
        <f>COUNTA(O51:U51)</f>
        <v>7</v>
      </c>
      <c r="W51" s="11">
        <f>_xlfn.IFNA(INDEX(reading[[#This Row],[Memo 01]:[Memo 07]],MATCH(0,reading[[#This Row],[Memo 01]:[Memo 07]],-1)),"")</f>
        <v>45198</v>
      </c>
      <c r="X51" s="11">
        <f ca="1">IFERROR(reading[[#This Row],[Previous]]+OFFSET(reading[[#Headers],[Memo 01]],-1,MATCH(0,reading[[#This Row],[Memo 01]:[Memo 07]],-1)-1),"")</f>
        <v>55198</v>
      </c>
      <c r="Y51" s="10" t="str">
        <f ca="1">IF(reading[[#This Row],[Next]]&lt;&gt;"",IF(reading[[#This Row],[Next]]&gt;TODAY(),"OK",""),"")</f>
        <v>OK</v>
      </c>
      <c r="Z51" s="13">
        <v>3</v>
      </c>
      <c r="AA51" s="13"/>
      <c r="AB51" s="13"/>
      <c r="AC51" s="13"/>
      <c r="AD51" s="13"/>
      <c r="AE51" s="13"/>
      <c r="AF51" s="13"/>
      <c r="AG51" s="16">
        <f>IFERROR(SUMIF(reading[[#This Row],[1st]:[7th]],"&gt;0")/COUNTIF(reading[[#This Row],[1st]:[7th]],"&gt;0"),"")</f>
        <v>3</v>
      </c>
    </row>
    <row r="52" spans="1:33" hidden="1" x14ac:dyDescent="0.2">
      <c r="A52" s="4">
        <f>IF(B52=1,3,IF(D52=1,2,IF(F52=1,1,0)))</f>
        <v>0</v>
      </c>
      <c r="B52" s="4" t="str">
        <f>IF(C52=$L52,1,IF(C52="","",0))</f>
        <v/>
      </c>
      <c r="C52" s="42"/>
      <c r="D52" s="4" t="str">
        <f>IF(E52=$L52,1,IF(E52="","",0))</f>
        <v/>
      </c>
      <c r="E52" s="18"/>
      <c r="F52" s="4" t="str">
        <f>IF(G52=$L52,1,IF(G52="","",0))</f>
        <v/>
      </c>
      <c r="G52" s="14"/>
      <c r="H52" s="6">
        <v>1649</v>
      </c>
      <c r="I52" s="15" t="s">
        <v>3120</v>
      </c>
      <c r="J52" s="6" t="s">
        <v>4761</v>
      </c>
      <c r="K52" s="6"/>
      <c r="L52" s="6" t="s">
        <v>1730</v>
      </c>
      <c r="M52" s="6" t="s">
        <v>7755</v>
      </c>
      <c r="N52" s="7">
        <f ca="1">RAND()</f>
        <v>0.60999809341706401</v>
      </c>
      <c r="O52" s="8">
        <v>45210</v>
      </c>
      <c r="P52" s="8">
        <v>45211</v>
      </c>
      <c r="Q52" s="8">
        <v>45213</v>
      </c>
      <c r="R52" s="8">
        <v>45217</v>
      </c>
      <c r="S52" s="8">
        <v>45224</v>
      </c>
      <c r="T52" s="8">
        <v>45236</v>
      </c>
      <c r="U52" s="8">
        <v>45818</v>
      </c>
      <c r="V52" s="10">
        <f>COUNTA(O52:U52)</f>
        <v>7</v>
      </c>
      <c r="W52" s="11">
        <f>_xlfn.IFNA(INDEX(reading[[#This Row],[Memo 01]:[Memo 07]],MATCH(0,reading[[#This Row],[Memo 01]:[Memo 07]],-1)),"")</f>
        <v>45818</v>
      </c>
      <c r="X52" s="11">
        <f ca="1">IFERROR(reading[[#This Row],[Previous]]+OFFSET(reading[[#Headers],[Memo 01]],-1,MATCH(0,reading[[#This Row],[Memo 01]:[Memo 07]],-1)-1),"")</f>
        <v>55818</v>
      </c>
      <c r="Y52" s="10" t="str">
        <f ca="1">IF(reading[[#This Row],[Next]]&lt;&gt;"",IF(reading[[#This Row],[Next]]&gt;TODAY(),"OK",""),"")</f>
        <v>OK</v>
      </c>
      <c r="Z52" s="13">
        <v>3</v>
      </c>
      <c r="AA52" s="13">
        <v>3</v>
      </c>
      <c r="AB52" s="13">
        <v>2</v>
      </c>
      <c r="AC52" s="13">
        <v>3</v>
      </c>
      <c r="AD52" s="13">
        <v>2</v>
      </c>
      <c r="AE52" s="13">
        <v>3</v>
      </c>
      <c r="AF52" s="13">
        <v>3</v>
      </c>
      <c r="AG52" s="16">
        <f>IFERROR(SUMIF(reading[[#This Row],[1st]:[7th]],"&gt;0")/COUNTIF(reading[[#This Row],[1st]:[7th]],"&gt;0"),"")</f>
        <v>2.7142857142857144</v>
      </c>
    </row>
    <row r="53" spans="1:33" hidden="1" x14ac:dyDescent="0.2">
      <c r="A53" s="4">
        <f>IF(B53=1,3,IF(D53=1,2,IF(F53=1,1,0)))</f>
        <v>0</v>
      </c>
      <c r="B53" s="4" t="str">
        <f>IF(C53=$L53,1,IF(C53="","",0))</f>
        <v/>
      </c>
      <c r="C53" s="41"/>
      <c r="D53" s="4" t="str">
        <f>IF(E53=$L53,1,IF(E53="","",0))</f>
        <v/>
      </c>
      <c r="E53" s="18"/>
      <c r="F53" s="4" t="str">
        <f>IF(G53=$L53,1,IF(G53="","",0))</f>
        <v/>
      </c>
      <c r="G53" s="18"/>
      <c r="H53" s="6">
        <v>164</v>
      </c>
      <c r="I53" s="15" t="s">
        <v>3120</v>
      </c>
      <c r="J53" s="6" t="s">
        <v>3313</v>
      </c>
      <c r="K53" s="15" t="s">
        <v>3138</v>
      </c>
      <c r="L53" s="6" t="s">
        <v>301</v>
      </c>
      <c r="M53" s="6" t="s">
        <v>6273</v>
      </c>
      <c r="N53" s="7">
        <f ca="1">RAND()</f>
        <v>0.43978976030888262</v>
      </c>
      <c r="O53" s="8">
        <v>45199</v>
      </c>
      <c r="P53" s="8">
        <v>45200</v>
      </c>
      <c r="Q53" s="8">
        <v>45202</v>
      </c>
      <c r="R53" s="8">
        <v>45206</v>
      </c>
      <c r="S53" s="8">
        <v>45213</v>
      </c>
      <c r="T53" s="8">
        <v>45226</v>
      </c>
      <c r="U53" s="8">
        <v>45250</v>
      </c>
      <c r="V53" s="10">
        <f>COUNTA(O53:U53)</f>
        <v>7</v>
      </c>
      <c r="W53" s="11">
        <f>_xlfn.IFNA(INDEX(reading[[#This Row],[Memo 01]:[Memo 07]],MATCH(0,reading[[#This Row],[Memo 01]:[Memo 07]],-1)),"")</f>
        <v>45250</v>
      </c>
      <c r="X53" s="11">
        <f ca="1">IFERROR(reading[[#This Row],[Previous]]+OFFSET(reading[[#Headers],[Memo 01]],-1,MATCH(0,reading[[#This Row],[Memo 01]:[Memo 07]],-1)-1),"")</f>
        <v>55250</v>
      </c>
      <c r="Y53" s="10" t="str">
        <f ca="1">IF(reading[[#This Row],[Next]]&lt;&gt;"",IF(reading[[#This Row],[Next]]&gt;TODAY(),"OK",""),"")</f>
        <v>OK</v>
      </c>
      <c r="Z53" s="13">
        <v>2</v>
      </c>
      <c r="AA53" s="13">
        <v>3</v>
      </c>
      <c r="AB53" s="13">
        <v>3</v>
      </c>
      <c r="AC53" s="13">
        <v>3</v>
      </c>
      <c r="AD53" s="13">
        <v>2</v>
      </c>
      <c r="AE53" s="13">
        <v>1</v>
      </c>
      <c r="AF53" s="13">
        <v>2</v>
      </c>
      <c r="AG53" s="16">
        <f>IFERROR(SUMIF(reading[[#This Row],[1st]:[7th]],"&gt;0")/COUNTIF(reading[[#This Row],[1st]:[7th]],"&gt;0"),"")</f>
        <v>2.2857142857142856</v>
      </c>
    </row>
    <row r="54" spans="1:33" hidden="1" x14ac:dyDescent="0.2">
      <c r="A54" s="4">
        <f>IF(B54=1,3,IF(D54=1,2,IF(F54=1,1,0)))</f>
        <v>0</v>
      </c>
      <c r="B54" s="4" t="str">
        <f>IF(C54=$L54,1,IF(C54="","",0))</f>
        <v/>
      </c>
      <c r="C54" s="18"/>
      <c r="D54" s="4" t="str">
        <f>IF(E54=$L54,1,IF(E54="","",0))</f>
        <v/>
      </c>
      <c r="E54" s="14"/>
      <c r="F54" s="4" t="str">
        <f>IF(G54=$L54,1,IF(G54="","",0))</f>
        <v/>
      </c>
      <c r="G54" s="14"/>
      <c r="H54" s="6">
        <v>52</v>
      </c>
      <c r="I54" s="15" t="s">
        <v>3120</v>
      </c>
      <c r="J54" s="6" t="s">
        <v>3207</v>
      </c>
      <c r="K54" s="6"/>
      <c r="L54" s="6" t="s">
        <v>195</v>
      </c>
      <c r="M54" s="6" t="s">
        <v>6166</v>
      </c>
      <c r="N54" s="7">
        <f ca="1">RAND()</f>
        <v>0.65236308568783286</v>
      </c>
      <c r="O54" s="8">
        <v>45198</v>
      </c>
      <c r="P54" s="8">
        <v>45198</v>
      </c>
      <c r="Q54" s="8">
        <v>45198</v>
      </c>
      <c r="R54" s="8">
        <v>45198</v>
      </c>
      <c r="S54" s="8">
        <v>45198</v>
      </c>
      <c r="T54" s="8">
        <v>45198</v>
      </c>
      <c r="U54" s="8">
        <v>45198</v>
      </c>
      <c r="V54" s="10">
        <f>COUNTA(O54:U54)</f>
        <v>7</v>
      </c>
      <c r="W54" s="11">
        <f>_xlfn.IFNA(INDEX(reading[[#This Row],[Memo 01]:[Memo 07]],MATCH(0,reading[[#This Row],[Memo 01]:[Memo 07]],-1)),"")</f>
        <v>45198</v>
      </c>
      <c r="X54" s="11">
        <f ca="1">IFERROR(reading[[#This Row],[Previous]]+OFFSET(reading[[#Headers],[Memo 01]],-1,MATCH(0,reading[[#This Row],[Memo 01]:[Memo 07]],-1)-1),"")</f>
        <v>55198</v>
      </c>
      <c r="Y54" s="10" t="str">
        <f ca="1">IF(reading[[#This Row],[Next]]&lt;&gt;"",IF(reading[[#This Row],[Next]]&gt;TODAY(),"OK",""),"")</f>
        <v>OK</v>
      </c>
      <c r="Z54" s="13">
        <v>3</v>
      </c>
      <c r="AA54" s="13"/>
      <c r="AB54" s="13"/>
      <c r="AC54" s="13"/>
      <c r="AD54" s="13"/>
      <c r="AE54" s="13"/>
      <c r="AF54" s="13"/>
      <c r="AG54" s="16">
        <f>IFERROR(SUMIF(reading[[#This Row],[1st]:[7th]],"&gt;0")/COUNTIF(reading[[#This Row],[1st]:[7th]],"&gt;0"),"")</f>
        <v>3</v>
      </c>
    </row>
    <row r="55" spans="1:33" hidden="1" x14ac:dyDescent="0.2">
      <c r="A55" s="4">
        <f>IF(B55=1,3,IF(D55=1,2,IF(F55=1,1,0)))</f>
        <v>0</v>
      </c>
      <c r="B55" s="4" t="str">
        <f>IF(C55=$L55,1,IF(C55="","",0))</f>
        <v/>
      </c>
      <c r="C55" s="42"/>
      <c r="D55" s="4" t="str">
        <f>IF(E55=$L55,1,IF(E55="","",0))</f>
        <v/>
      </c>
      <c r="E55" s="14"/>
      <c r="F55" s="4" t="str">
        <f>IF(G55=$L55,1,IF(G55="","",0))</f>
        <v/>
      </c>
      <c r="G55" s="14"/>
      <c r="H55" s="6">
        <v>1273</v>
      </c>
      <c r="I55" s="15" t="s">
        <v>3120</v>
      </c>
      <c r="J55" s="6" t="s">
        <v>4390</v>
      </c>
      <c r="K55" s="6"/>
      <c r="L55" s="6" t="s">
        <v>1371</v>
      </c>
      <c r="M55" s="6" t="s">
        <v>7380</v>
      </c>
      <c r="N55" s="7">
        <f ca="1">RAND()</f>
        <v>0.25419925976292035</v>
      </c>
      <c r="O55" s="8">
        <v>45207</v>
      </c>
      <c r="P55" s="8">
        <v>45208</v>
      </c>
      <c r="Q55" s="8">
        <v>45210</v>
      </c>
      <c r="R55" s="8">
        <v>45214</v>
      </c>
      <c r="S55" s="8">
        <v>45221</v>
      </c>
      <c r="T55" s="8">
        <v>45233</v>
      </c>
      <c r="U55" s="8">
        <v>45783</v>
      </c>
      <c r="V55" s="10">
        <f>COUNTA(O55:U55)</f>
        <v>7</v>
      </c>
      <c r="W55" s="11">
        <f>_xlfn.IFNA(INDEX(reading[[#This Row],[Memo 01]:[Memo 07]],MATCH(0,reading[[#This Row],[Memo 01]:[Memo 07]],-1)),"")</f>
        <v>45783</v>
      </c>
      <c r="X55" s="11">
        <f ca="1">IFERROR(reading[[#This Row],[Previous]]+OFFSET(reading[[#Headers],[Memo 01]],-1,MATCH(0,reading[[#This Row],[Memo 01]:[Memo 07]],-1)-1),"")</f>
        <v>55783</v>
      </c>
      <c r="Y55" s="10" t="str">
        <f ca="1">IF(reading[[#This Row],[Next]]&lt;&gt;"",IF(reading[[#This Row],[Next]]&gt;TODAY(),"OK",""),"")</f>
        <v>OK</v>
      </c>
      <c r="Z55" s="13">
        <v>3</v>
      </c>
      <c r="AA55" s="13">
        <v>3</v>
      </c>
      <c r="AB55" s="13">
        <v>3</v>
      </c>
      <c r="AC55" s="13">
        <v>3</v>
      </c>
      <c r="AD55" s="13">
        <v>3</v>
      </c>
      <c r="AE55" s="13">
        <v>3</v>
      </c>
      <c r="AF55" s="13">
        <v>3</v>
      </c>
      <c r="AG55" s="16">
        <f>IFERROR(SUMIF(reading[[#This Row],[1st]:[7th]],"&gt;0")/COUNTIF(reading[[#This Row],[1st]:[7th]],"&gt;0"),"")</f>
        <v>3</v>
      </c>
    </row>
    <row r="56" spans="1:33" hidden="1" x14ac:dyDescent="0.2">
      <c r="A56" s="4">
        <f>IF(B56=1,3,IF(D56=1,2,IF(F56=1,1,0)))</f>
        <v>0</v>
      </c>
      <c r="B56" s="4" t="str">
        <f>IF(C56=$L56,1,IF(C56="","",0))</f>
        <v/>
      </c>
      <c r="C56" s="40"/>
      <c r="D56" s="4" t="str">
        <f>IF(E56=$L56,1,IF(E56="","",0))</f>
        <v/>
      </c>
      <c r="E56" s="18"/>
      <c r="F56" s="4" t="str">
        <f>IF(G56=$L56,1,IF(G56="","",0))</f>
        <v/>
      </c>
      <c r="G56" s="18"/>
      <c r="H56" s="6">
        <v>141</v>
      </c>
      <c r="I56" s="15" t="s">
        <v>3120</v>
      </c>
      <c r="J56" s="6" t="s">
        <v>3290</v>
      </c>
      <c r="K56" s="6"/>
      <c r="L56" s="6" t="s">
        <v>278</v>
      </c>
      <c r="M56" s="6" t="s">
        <v>6250</v>
      </c>
      <c r="N56" s="7">
        <f ca="1">RAND()</f>
        <v>0.49552337128909785</v>
      </c>
      <c r="O56" s="8">
        <v>45199</v>
      </c>
      <c r="P56" s="8">
        <v>45200</v>
      </c>
      <c r="Q56" s="8">
        <v>45202</v>
      </c>
      <c r="R56" s="8">
        <v>45206</v>
      </c>
      <c r="S56" s="8">
        <v>45213</v>
      </c>
      <c r="T56" s="8">
        <v>45225</v>
      </c>
      <c r="U56" s="8">
        <v>45250</v>
      </c>
      <c r="V56" s="10">
        <f>COUNTA(O56:U56)</f>
        <v>7</v>
      </c>
      <c r="W56" s="11">
        <f>_xlfn.IFNA(INDEX(reading[[#This Row],[Memo 01]:[Memo 07]],MATCH(0,reading[[#This Row],[Memo 01]:[Memo 07]],-1)),"")</f>
        <v>45250</v>
      </c>
      <c r="X56" s="11">
        <f ca="1">IFERROR(reading[[#This Row],[Previous]]+OFFSET(reading[[#Headers],[Memo 01]],-1,MATCH(0,reading[[#This Row],[Memo 01]:[Memo 07]],-1)-1),"")</f>
        <v>55250</v>
      </c>
      <c r="Y56" s="10" t="str">
        <f ca="1">IF(reading[[#This Row],[Next]]&lt;&gt;"",IF(reading[[#This Row],[Next]]&gt;TODAY(),"OK",""),"")</f>
        <v>OK</v>
      </c>
      <c r="Z56" s="13">
        <v>3</v>
      </c>
      <c r="AA56" s="13">
        <v>3</v>
      </c>
      <c r="AB56" s="13">
        <v>2</v>
      </c>
      <c r="AC56" s="13">
        <v>2</v>
      </c>
      <c r="AD56" s="13">
        <v>2</v>
      </c>
      <c r="AE56" s="13">
        <v>2</v>
      </c>
      <c r="AF56" s="13">
        <v>2</v>
      </c>
      <c r="AG56" s="16">
        <f>IFERROR(SUMIF(reading[[#This Row],[1st]:[7th]],"&gt;0")/COUNTIF(reading[[#This Row],[1st]:[7th]],"&gt;0"),"")</f>
        <v>2.2857142857142856</v>
      </c>
    </row>
    <row r="57" spans="1:33" hidden="1" x14ac:dyDescent="0.2">
      <c r="A57" s="4">
        <f>IF(B57=1,3,IF(D57=1,2,IF(F57=1,1,0)))</f>
        <v>0</v>
      </c>
      <c r="B57" s="4" t="str">
        <f>IF(C57=$L57,1,IF(C57="","",0))</f>
        <v/>
      </c>
      <c r="C57" s="42"/>
      <c r="D57" s="4" t="str">
        <f>IF(E57=$L57,1,IF(E57="","",0))</f>
        <v/>
      </c>
      <c r="E57" s="18"/>
      <c r="F57" s="4" t="str">
        <f>IF(G57=$L57,1,IF(G57="","",0))</f>
        <v/>
      </c>
      <c r="G57" s="14"/>
      <c r="H57" s="6">
        <v>318</v>
      </c>
      <c r="I57" s="15" t="s">
        <v>3120</v>
      </c>
      <c r="J57" s="6" t="s">
        <v>3465</v>
      </c>
      <c r="K57" s="15" t="s">
        <v>3138</v>
      </c>
      <c r="L57" s="6" t="s">
        <v>453</v>
      </c>
      <c r="M57" s="6" t="s">
        <v>6427</v>
      </c>
      <c r="N57" s="7">
        <f ca="1">RAND()</f>
        <v>0.46387080065158681</v>
      </c>
      <c r="O57" s="8">
        <v>45200</v>
      </c>
      <c r="P57" s="8">
        <v>45202</v>
      </c>
      <c r="Q57" s="8">
        <v>45204</v>
      </c>
      <c r="R57" s="8">
        <v>45208</v>
      </c>
      <c r="S57" s="8">
        <v>45215</v>
      </c>
      <c r="T57" s="8">
        <v>45227</v>
      </c>
      <c r="U57" s="8">
        <v>45783</v>
      </c>
      <c r="V57" s="10">
        <f>COUNTA(O57:U57)</f>
        <v>7</v>
      </c>
      <c r="W57" s="11">
        <f>_xlfn.IFNA(INDEX(reading[[#This Row],[Memo 01]:[Memo 07]],MATCH(0,reading[[#This Row],[Memo 01]:[Memo 07]],-1)),"")</f>
        <v>45783</v>
      </c>
      <c r="X57" s="11">
        <f ca="1">IFERROR(reading[[#This Row],[Previous]]+OFFSET(reading[[#Headers],[Memo 01]],-1,MATCH(0,reading[[#This Row],[Memo 01]:[Memo 07]],-1)-1),"")</f>
        <v>55783</v>
      </c>
      <c r="Y57" s="10" t="str">
        <f ca="1">IF(reading[[#This Row],[Next]]&lt;&gt;"",IF(reading[[#This Row],[Next]]&gt;TODAY(),"OK",""),"")</f>
        <v>OK</v>
      </c>
      <c r="Z57" s="13">
        <v>3</v>
      </c>
      <c r="AA57" s="13">
        <v>2</v>
      </c>
      <c r="AB57" s="13">
        <v>3</v>
      </c>
      <c r="AC57" s="13">
        <v>3</v>
      </c>
      <c r="AD57" s="13">
        <v>2</v>
      </c>
      <c r="AE57" s="13">
        <v>3</v>
      </c>
      <c r="AF57" s="13">
        <v>3</v>
      </c>
      <c r="AG57" s="16">
        <f>IFERROR(SUMIF(reading[[#This Row],[1st]:[7th]],"&gt;0")/COUNTIF(reading[[#This Row],[1st]:[7th]],"&gt;0"),"")</f>
        <v>2.7142857142857144</v>
      </c>
    </row>
    <row r="58" spans="1:33" hidden="1" x14ac:dyDescent="0.2">
      <c r="A58" s="4">
        <f>IF(B58=1,3,IF(D58=1,2,IF(F58=1,1,0)))</f>
        <v>0</v>
      </c>
      <c r="B58" s="4" t="str">
        <f>IF(C58=$L58,1,IF(C58="","",0))</f>
        <v/>
      </c>
      <c r="C58" s="18"/>
      <c r="D58" s="4" t="str">
        <f>IF(E58=$L58,1,IF(E58="","",0))</f>
        <v/>
      </c>
      <c r="E58" s="14"/>
      <c r="F58" s="4" t="str">
        <f>IF(G58=$L58,1,IF(G58="","",0))</f>
        <v/>
      </c>
      <c r="G58" s="14"/>
      <c r="H58" s="6">
        <v>57</v>
      </c>
      <c r="I58" s="15" t="s">
        <v>3120</v>
      </c>
      <c r="J58" s="6" t="s">
        <v>3211</v>
      </c>
      <c r="K58" s="6"/>
      <c r="L58" s="6" t="s">
        <v>199</v>
      </c>
      <c r="M58" s="6" t="s">
        <v>6170</v>
      </c>
      <c r="N58" s="7">
        <f ca="1">RAND()</f>
        <v>0.1812126049943511</v>
      </c>
      <c r="O58" s="8">
        <v>45198</v>
      </c>
      <c r="P58" s="8">
        <v>45198</v>
      </c>
      <c r="Q58" s="8">
        <v>45198</v>
      </c>
      <c r="R58" s="8">
        <v>45198</v>
      </c>
      <c r="S58" s="8">
        <v>45198</v>
      </c>
      <c r="T58" s="8">
        <v>45198</v>
      </c>
      <c r="U58" s="8">
        <v>45198</v>
      </c>
      <c r="V58" s="10">
        <f>COUNTA(O58:U58)</f>
        <v>7</v>
      </c>
      <c r="W58" s="11">
        <f>_xlfn.IFNA(INDEX(reading[[#This Row],[Memo 01]:[Memo 07]],MATCH(0,reading[[#This Row],[Memo 01]:[Memo 07]],-1)),"")</f>
        <v>45198</v>
      </c>
      <c r="X58" s="11">
        <f ca="1">IFERROR(reading[[#This Row],[Previous]]+OFFSET(reading[[#Headers],[Memo 01]],-1,MATCH(0,reading[[#This Row],[Memo 01]:[Memo 07]],-1)-1),"")</f>
        <v>55198</v>
      </c>
      <c r="Y58" s="10" t="str">
        <f ca="1">IF(reading[[#This Row],[Next]]&lt;&gt;"",IF(reading[[#This Row],[Next]]&gt;TODAY(),"OK",""),"")</f>
        <v>OK</v>
      </c>
      <c r="Z58" s="13">
        <v>3</v>
      </c>
      <c r="AA58" s="13"/>
      <c r="AB58" s="13"/>
      <c r="AC58" s="13"/>
      <c r="AD58" s="13"/>
      <c r="AE58" s="13"/>
      <c r="AF58" s="13"/>
      <c r="AG58" s="16">
        <f>IFERROR(SUMIF(reading[[#This Row],[1st]:[7th]],"&gt;0")/COUNTIF(reading[[#This Row],[1st]:[7th]],"&gt;0"),"")</f>
        <v>3</v>
      </c>
    </row>
    <row r="59" spans="1:33" hidden="1" x14ac:dyDescent="0.2">
      <c r="A59" s="4">
        <f>IF(B59=1,3,IF(D59=1,2,IF(F59=1,1,0)))</f>
        <v>0</v>
      </c>
      <c r="B59" s="4" t="str">
        <f>IF(C59=$L59,1,IF(C59="","",0))</f>
        <v/>
      </c>
      <c r="C59" s="18"/>
      <c r="D59" s="4" t="str">
        <f>IF(E59=$L59,1,IF(E59="","",0))</f>
        <v/>
      </c>
      <c r="E59" s="14"/>
      <c r="F59" s="4" t="str">
        <f>IF(G59=$L59,1,IF(G59="","",0))</f>
        <v/>
      </c>
      <c r="G59" s="14"/>
      <c r="H59" s="6">
        <v>58</v>
      </c>
      <c r="I59" s="15" t="s">
        <v>3120</v>
      </c>
      <c r="J59" s="6" t="s">
        <v>3212</v>
      </c>
      <c r="K59" s="6"/>
      <c r="L59" s="6" t="s">
        <v>200</v>
      </c>
      <c r="M59" s="6" t="s">
        <v>6171</v>
      </c>
      <c r="N59" s="7">
        <f ca="1">RAND()</f>
        <v>0.27035723433251779</v>
      </c>
      <c r="O59" s="8">
        <v>45198</v>
      </c>
      <c r="P59" s="8">
        <v>45198</v>
      </c>
      <c r="Q59" s="8">
        <v>45198</v>
      </c>
      <c r="R59" s="8">
        <v>45198</v>
      </c>
      <c r="S59" s="8">
        <v>45198</v>
      </c>
      <c r="T59" s="8">
        <v>45198</v>
      </c>
      <c r="U59" s="8">
        <v>45198</v>
      </c>
      <c r="V59" s="10">
        <f>COUNTA(O59:U59)</f>
        <v>7</v>
      </c>
      <c r="W59" s="11">
        <f>_xlfn.IFNA(INDEX(reading[[#This Row],[Memo 01]:[Memo 07]],MATCH(0,reading[[#This Row],[Memo 01]:[Memo 07]],-1)),"")</f>
        <v>45198</v>
      </c>
      <c r="X59" s="11">
        <f ca="1">IFERROR(reading[[#This Row],[Previous]]+OFFSET(reading[[#Headers],[Memo 01]],-1,MATCH(0,reading[[#This Row],[Memo 01]:[Memo 07]],-1)-1),"")</f>
        <v>55198</v>
      </c>
      <c r="Y59" s="10" t="str">
        <f ca="1">IF(reading[[#This Row],[Next]]&lt;&gt;"",IF(reading[[#This Row],[Next]]&gt;TODAY(),"OK",""),"")</f>
        <v>OK</v>
      </c>
      <c r="Z59" s="13">
        <v>3</v>
      </c>
      <c r="AA59" s="13"/>
      <c r="AB59" s="13"/>
      <c r="AC59" s="13"/>
      <c r="AD59" s="13"/>
      <c r="AE59" s="13"/>
      <c r="AF59" s="13"/>
      <c r="AG59" s="16">
        <f>IFERROR(SUMIF(reading[[#This Row],[1st]:[7th]],"&gt;0")/COUNTIF(reading[[#This Row],[1st]:[7th]],"&gt;0"),"")</f>
        <v>3</v>
      </c>
    </row>
    <row r="60" spans="1:33" hidden="1" x14ac:dyDescent="0.2">
      <c r="A60" s="4">
        <f>IF(B60=1,3,IF(D60=1,2,IF(F60=1,1,0)))</f>
        <v>0</v>
      </c>
      <c r="B60" s="4" t="str">
        <f>IF(C60=$L60,1,IF(C60="","",0))</f>
        <v/>
      </c>
      <c r="C60" s="41"/>
      <c r="D60" s="4" t="str">
        <f>IF(E60=$L60,1,IF(E60="","",0))</f>
        <v/>
      </c>
      <c r="E60" s="18"/>
      <c r="F60" s="4" t="str">
        <f>IF(G60=$L60,1,IF(G60="","",0))</f>
        <v/>
      </c>
      <c r="G60" s="18"/>
      <c r="H60" s="6">
        <v>670</v>
      </c>
      <c r="I60" s="15" t="s">
        <v>3120</v>
      </c>
      <c r="J60" s="6" t="s">
        <v>3809</v>
      </c>
      <c r="K60" s="6"/>
      <c r="L60" s="6" t="s">
        <v>793</v>
      </c>
      <c r="M60" s="6" t="s">
        <v>6779</v>
      </c>
      <c r="N60" s="7">
        <f ca="1">RAND()</f>
        <v>0.15374754196610174</v>
      </c>
      <c r="O60" s="8">
        <v>45203</v>
      </c>
      <c r="P60" s="8">
        <v>45204</v>
      </c>
      <c r="Q60" s="8">
        <v>45206</v>
      </c>
      <c r="R60" s="8">
        <v>45210</v>
      </c>
      <c r="S60" s="8">
        <v>45217</v>
      </c>
      <c r="T60" s="8">
        <v>45229</v>
      </c>
      <c r="U60" s="8">
        <v>45251</v>
      </c>
      <c r="V60" s="10">
        <f>COUNTA(O60:U60)</f>
        <v>7</v>
      </c>
      <c r="W60" s="11">
        <f>_xlfn.IFNA(INDEX(reading[[#This Row],[Memo 01]:[Memo 07]],MATCH(0,reading[[#This Row],[Memo 01]:[Memo 07]],-1)),"")</f>
        <v>45251</v>
      </c>
      <c r="X60" s="11">
        <f ca="1">IFERROR(reading[[#This Row],[Previous]]+OFFSET(reading[[#Headers],[Memo 01]],-1,MATCH(0,reading[[#This Row],[Memo 01]:[Memo 07]],-1)-1),"")</f>
        <v>55251</v>
      </c>
      <c r="Y60" s="10" t="str">
        <f ca="1">IF(reading[[#This Row],[Next]]&lt;&gt;"",IF(reading[[#This Row],[Next]]&gt;TODAY(),"OK",""),"")</f>
        <v>OK</v>
      </c>
      <c r="Z60" s="13">
        <v>3</v>
      </c>
      <c r="AA60" s="13">
        <v>2</v>
      </c>
      <c r="AB60" s="13">
        <v>2</v>
      </c>
      <c r="AC60" s="13">
        <v>3</v>
      </c>
      <c r="AD60" s="13">
        <v>2</v>
      </c>
      <c r="AE60" s="13">
        <v>1</v>
      </c>
      <c r="AF60" s="13">
        <v>2</v>
      </c>
      <c r="AG60" s="16">
        <f>IFERROR(SUMIF(reading[[#This Row],[1st]:[7th]],"&gt;0")/COUNTIF(reading[[#This Row],[1st]:[7th]],"&gt;0"),"")</f>
        <v>2.1428571428571428</v>
      </c>
    </row>
    <row r="61" spans="1:33" hidden="1" x14ac:dyDescent="0.2">
      <c r="A61" s="4">
        <f>IF(B61=1,3,IF(D61=1,2,IF(F61=1,1,0)))</f>
        <v>0</v>
      </c>
      <c r="B61" s="4" t="str">
        <f>IF(C61=$L61,1,IF(C61="","",0))</f>
        <v/>
      </c>
      <c r="C61" s="18"/>
      <c r="D61" s="4" t="str">
        <f>IF(E61=$L61,1,IF(E61="","",0))</f>
        <v/>
      </c>
      <c r="E61" s="14"/>
      <c r="F61" s="4" t="str">
        <f>IF(G61=$L61,1,IF(G61="","",0))</f>
        <v/>
      </c>
      <c r="G61" s="14"/>
      <c r="H61" s="6">
        <v>61</v>
      </c>
      <c r="I61" s="15" t="s">
        <v>3120</v>
      </c>
      <c r="J61" s="6" t="s">
        <v>3214</v>
      </c>
      <c r="K61" s="6"/>
      <c r="L61" s="6" t="s">
        <v>202</v>
      </c>
      <c r="M61" s="6" t="s">
        <v>6173</v>
      </c>
      <c r="N61" s="7">
        <f ca="1">RAND()</f>
        <v>0.61288220402992288</v>
      </c>
      <c r="O61" s="8">
        <v>45198</v>
      </c>
      <c r="P61" s="8">
        <v>45198</v>
      </c>
      <c r="Q61" s="8">
        <v>45198</v>
      </c>
      <c r="R61" s="8">
        <v>45198</v>
      </c>
      <c r="S61" s="8">
        <v>45198</v>
      </c>
      <c r="T61" s="8">
        <v>45198</v>
      </c>
      <c r="U61" s="8">
        <v>45198</v>
      </c>
      <c r="V61" s="10">
        <f>COUNTA(O61:U61)</f>
        <v>7</v>
      </c>
      <c r="W61" s="11">
        <f>_xlfn.IFNA(INDEX(reading[[#This Row],[Memo 01]:[Memo 07]],MATCH(0,reading[[#This Row],[Memo 01]:[Memo 07]],-1)),"")</f>
        <v>45198</v>
      </c>
      <c r="X61" s="11">
        <f ca="1">IFERROR(reading[[#This Row],[Previous]]+OFFSET(reading[[#Headers],[Memo 01]],-1,MATCH(0,reading[[#This Row],[Memo 01]:[Memo 07]],-1)-1),"")</f>
        <v>55198</v>
      </c>
      <c r="Y61" s="10" t="str">
        <f ca="1">IF(reading[[#This Row],[Next]]&lt;&gt;"",IF(reading[[#This Row],[Next]]&gt;TODAY(),"OK",""),"")</f>
        <v>OK</v>
      </c>
      <c r="Z61" s="13">
        <v>3</v>
      </c>
      <c r="AA61" s="13"/>
      <c r="AB61" s="13"/>
      <c r="AC61" s="13"/>
      <c r="AD61" s="13"/>
      <c r="AE61" s="13"/>
      <c r="AF61" s="13"/>
      <c r="AG61" s="16">
        <f>IFERROR(SUMIF(reading[[#This Row],[1st]:[7th]],"&gt;0")/COUNTIF(reading[[#This Row],[1st]:[7th]],"&gt;0"),"")</f>
        <v>3</v>
      </c>
    </row>
    <row r="62" spans="1:33" hidden="1" x14ac:dyDescent="0.2">
      <c r="A62" s="4">
        <f>IF(B62=1,3,IF(D62=1,2,IF(F62=1,1,0)))</f>
        <v>0</v>
      </c>
      <c r="B62" s="4" t="str">
        <f>IF(C62=$L62,1,IF(C62="","",0))</f>
        <v/>
      </c>
      <c r="C62" s="42"/>
      <c r="D62" s="4" t="str">
        <f>IF(E62=$L62,1,IF(E62="","",0))</f>
        <v/>
      </c>
      <c r="E62" s="43"/>
      <c r="F62" s="4" t="str">
        <f>IF(G62=$L62,1,IF(G62="","",0))</f>
        <v/>
      </c>
      <c r="G62" s="14"/>
      <c r="H62" s="6">
        <v>771</v>
      </c>
      <c r="I62" s="15" t="s">
        <v>3120</v>
      </c>
      <c r="J62" s="6" t="s">
        <v>3906</v>
      </c>
      <c r="K62" s="6"/>
      <c r="L62" s="6" t="s">
        <v>890</v>
      </c>
      <c r="M62" s="6" t="s">
        <v>6880</v>
      </c>
      <c r="N62" s="7">
        <f ca="1">RAND()</f>
        <v>0.49903493533980636</v>
      </c>
      <c r="O62" s="8">
        <v>45203</v>
      </c>
      <c r="P62" s="8">
        <v>45204</v>
      </c>
      <c r="Q62" s="8">
        <v>45206</v>
      </c>
      <c r="R62" s="8">
        <v>45210</v>
      </c>
      <c r="S62" s="8">
        <v>45217</v>
      </c>
      <c r="T62" s="8">
        <v>45229</v>
      </c>
      <c r="U62" s="8">
        <v>45801</v>
      </c>
      <c r="V62" s="10">
        <f>COUNTA(O62:U62)</f>
        <v>7</v>
      </c>
      <c r="W62" s="11">
        <f>_xlfn.IFNA(INDEX(reading[[#This Row],[Memo 01]:[Memo 07]],MATCH(0,reading[[#This Row],[Memo 01]:[Memo 07]],-1)),"")</f>
        <v>45801</v>
      </c>
      <c r="X62" s="11">
        <f ca="1">IFERROR(reading[[#This Row],[Previous]]+OFFSET(reading[[#Headers],[Memo 01]],-1,MATCH(0,reading[[#This Row],[Memo 01]:[Memo 07]],-1)-1),"")</f>
        <v>55801</v>
      </c>
      <c r="Y62" s="10" t="str">
        <f ca="1">IF(reading[[#This Row],[Next]]&lt;&gt;"",IF(reading[[#This Row],[Next]]&gt;TODAY(),"OK",""),"")</f>
        <v>OK</v>
      </c>
      <c r="Z62" s="13">
        <v>3</v>
      </c>
      <c r="AA62" s="13">
        <v>2</v>
      </c>
      <c r="AB62" s="13">
        <v>3</v>
      </c>
      <c r="AC62" s="13">
        <v>3</v>
      </c>
      <c r="AD62" s="13">
        <v>3</v>
      </c>
      <c r="AE62" s="13">
        <v>3</v>
      </c>
      <c r="AF62" s="13">
        <v>3</v>
      </c>
      <c r="AG62" s="16">
        <f>IFERROR(SUMIF(reading[[#This Row],[1st]:[7th]],"&gt;0")/COUNTIF(reading[[#This Row],[1st]:[7th]],"&gt;0"),"")</f>
        <v>2.8571428571428572</v>
      </c>
    </row>
    <row r="63" spans="1:33" hidden="1" x14ac:dyDescent="0.2">
      <c r="A63" s="4">
        <f>IF(B63=1,3,IF(D63=1,2,IF(F63=1,1,0)))</f>
        <v>0</v>
      </c>
      <c r="B63" s="4" t="str">
        <f>IF(C63=$L63,1,IF(C63="","",0))</f>
        <v/>
      </c>
      <c r="C63" s="18"/>
      <c r="D63" s="4" t="str">
        <f>IF(E63=$L63,1,IF(E63="","",0))</f>
        <v/>
      </c>
      <c r="E63" s="14"/>
      <c r="F63" s="4" t="str">
        <f>IF(G63=$L63,1,IF(G63="","",0))</f>
        <v/>
      </c>
      <c r="G63" s="14"/>
      <c r="H63" s="6">
        <v>64</v>
      </c>
      <c r="I63" s="15" t="s">
        <v>3120</v>
      </c>
      <c r="J63" s="6" t="s">
        <v>3216</v>
      </c>
      <c r="K63" s="6"/>
      <c r="L63" s="6" t="s">
        <v>204</v>
      </c>
      <c r="M63" s="6" t="s">
        <v>6175</v>
      </c>
      <c r="N63" s="7">
        <f ca="1">RAND()</f>
        <v>0.16900857689324145</v>
      </c>
      <c r="O63" s="8">
        <v>45198</v>
      </c>
      <c r="P63" s="8">
        <v>45198</v>
      </c>
      <c r="Q63" s="8">
        <v>45198</v>
      </c>
      <c r="R63" s="8">
        <v>45198</v>
      </c>
      <c r="S63" s="8">
        <v>45198</v>
      </c>
      <c r="T63" s="8">
        <v>45198</v>
      </c>
      <c r="U63" s="8">
        <v>45198</v>
      </c>
      <c r="V63" s="10">
        <f>COUNTA(O63:U63)</f>
        <v>7</v>
      </c>
      <c r="W63" s="11">
        <f>_xlfn.IFNA(INDEX(reading[[#This Row],[Memo 01]:[Memo 07]],MATCH(0,reading[[#This Row],[Memo 01]:[Memo 07]],-1)),"")</f>
        <v>45198</v>
      </c>
      <c r="X63" s="11">
        <f ca="1">IFERROR(reading[[#This Row],[Previous]]+OFFSET(reading[[#Headers],[Memo 01]],-1,MATCH(0,reading[[#This Row],[Memo 01]:[Memo 07]],-1)-1),"")</f>
        <v>55198</v>
      </c>
      <c r="Y63" s="10" t="str">
        <f ca="1">IF(reading[[#This Row],[Next]]&lt;&gt;"",IF(reading[[#This Row],[Next]]&gt;TODAY(),"OK",""),"")</f>
        <v>OK</v>
      </c>
      <c r="Z63" s="13">
        <v>3</v>
      </c>
      <c r="AA63" s="13"/>
      <c r="AB63" s="13"/>
      <c r="AC63" s="13"/>
      <c r="AD63" s="13"/>
      <c r="AE63" s="13"/>
      <c r="AF63" s="13"/>
      <c r="AG63" s="16">
        <f>IFERROR(SUMIF(reading[[#This Row],[1st]:[7th]],"&gt;0")/COUNTIF(reading[[#This Row],[1st]:[7th]],"&gt;0"),"")</f>
        <v>3</v>
      </c>
    </row>
    <row r="64" spans="1:33" hidden="1" x14ac:dyDescent="0.2">
      <c r="A64" s="4">
        <f>IF(B64=1,3,IF(D64=1,2,IF(F64=1,1,0)))</f>
        <v>0</v>
      </c>
      <c r="B64" s="4" t="str">
        <f>IF(C64=$L64,1,IF(C64="","",0))</f>
        <v/>
      </c>
      <c r="C64" s="18"/>
      <c r="D64" s="4" t="str">
        <f>IF(E64=$L64,1,IF(E64="","",0))</f>
        <v/>
      </c>
      <c r="E64" s="14"/>
      <c r="F64" s="4" t="str">
        <f>IF(G64=$L64,1,IF(G64="","",0))</f>
        <v/>
      </c>
      <c r="G64" s="14"/>
      <c r="H64" s="6">
        <v>66</v>
      </c>
      <c r="I64" s="15" t="s">
        <v>3120</v>
      </c>
      <c r="J64" s="6" t="s">
        <v>3217</v>
      </c>
      <c r="K64" s="6"/>
      <c r="L64" s="6" t="s">
        <v>205</v>
      </c>
      <c r="M64" s="6" t="s">
        <v>6176</v>
      </c>
      <c r="N64" s="7">
        <f ca="1">RAND()</f>
        <v>0.35299515791981584</v>
      </c>
      <c r="O64" s="8">
        <v>45198</v>
      </c>
      <c r="P64" s="8">
        <v>45198</v>
      </c>
      <c r="Q64" s="8">
        <v>45198</v>
      </c>
      <c r="R64" s="8">
        <v>45198</v>
      </c>
      <c r="S64" s="8">
        <v>45198</v>
      </c>
      <c r="T64" s="8">
        <v>45198</v>
      </c>
      <c r="U64" s="8">
        <v>45198</v>
      </c>
      <c r="V64" s="10">
        <f>COUNTA(O64:U64)</f>
        <v>7</v>
      </c>
      <c r="W64" s="11">
        <f>_xlfn.IFNA(INDEX(reading[[#This Row],[Memo 01]:[Memo 07]],MATCH(0,reading[[#This Row],[Memo 01]:[Memo 07]],-1)),"")</f>
        <v>45198</v>
      </c>
      <c r="X64" s="11">
        <f ca="1">IFERROR(reading[[#This Row],[Previous]]+OFFSET(reading[[#Headers],[Memo 01]],-1,MATCH(0,reading[[#This Row],[Memo 01]:[Memo 07]],-1)-1),"")</f>
        <v>55198</v>
      </c>
      <c r="Y64" s="10" t="str">
        <f ca="1">IF(reading[[#This Row],[Next]]&lt;&gt;"",IF(reading[[#This Row],[Next]]&gt;TODAY(),"OK",""),"")</f>
        <v>OK</v>
      </c>
      <c r="Z64" s="13">
        <v>3</v>
      </c>
      <c r="AA64" s="13"/>
      <c r="AB64" s="13"/>
      <c r="AC64" s="13"/>
      <c r="AD64" s="13"/>
      <c r="AE64" s="13"/>
      <c r="AF64" s="13"/>
      <c r="AG64" s="16">
        <f>IFERROR(SUMIF(reading[[#This Row],[1st]:[7th]],"&gt;0")/COUNTIF(reading[[#This Row],[1st]:[7th]],"&gt;0"),"")</f>
        <v>3</v>
      </c>
    </row>
    <row r="65" spans="1:33" hidden="1" x14ac:dyDescent="0.2">
      <c r="A65" s="4">
        <f>IF(B65=1,3,IF(D65=1,2,IF(F65=1,1,0)))</f>
        <v>0</v>
      </c>
      <c r="B65" s="4" t="str">
        <f>IF(C65=$L65,1,IF(C65="","",0))</f>
        <v/>
      </c>
      <c r="C65" s="41"/>
      <c r="D65" s="4" t="str">
        <f>IF(E65=$L65,1,IF(E65="","",0))</f>
        <v/>
      </c>
      <c r="E65" s="23"/>
      <c r="F65" s="4" t="str">
        <f>IF(G65=$L65,1,IF(G65="","",0))</f>
        <v/>
      </c>
      <c r="G65" s="18"/>
      <c r="H65" s="6">
        <v>624</v>
      </c>
      <c r="I65" s="15" t="s">
        <v>3120</v>
      </c>
      <c r="J65" s="6" t="s">
        <v>3766</v>
      </c>
      <c r="K65" s="6"/>
      <c r="L65" s="6" t="s">
        <v>747</v>
      </c>
      <c r="M65" s="6" t="s">
        <v>6733</v>
      </c>
      <c r="N65" s="7">
        <f ca="1">RAND()</f>
        <v>0.16220465865807077</v>
      </c>
      <c r="O65" s="8">
        <v>45203</v>
      </c>
      <c r="P65" s="8">
        <v>45204</v>
      </c>
      <c r="Q65" s="8">
        <v>45206</v>
      </c>
      <c r="R65" s="8">
        <v>45210</v>
      </c>
      <c r="S65" s="8">
        <v>45217</v>
      </c>
      <c r="T65" s="8">
        <v>45229</v>
      </c>
      <c r="U65" s="8">
        <v>45250</v>
      </c>
      <c r="V65" s="10">
        <f>COUNTA(O65:U65)</f>
        <v>7</v>
      </c>
      <c r="W65" s="11">
        <f>_xlfn.IFNA(INDEX(reading[[#This Row],[Memo 01]:[Memo 07]],MATCH(0,reading[[#This Row],[Memo 01]:[Memo 07]],-1)),"")</f>
        <v>45250</v>
      </c>
      <c r="X65" s="11">
        <f ca="1">IFERROR(reading[[#This Row],[Previous]]+OFFSET(reading[[#Headers],[Memo 01]],-1,MATCH(0,reading[[#This Row],[Memo 01]:[Memo 07]],-1)-1),"")</f>
        <v>55250</v>
      </c>
      <c r="Y65" s="10" t="str">
        <f ca="1">IF(reading[[#This Row],[Next]]&lt;&gt;"",IF(reading[[#This Row],[Next]]&gt;TODAY(),"OK",""),"")</f>
        <v>OK</v>
      </c>
      <c r="Z65" s="13">
        <v>3</v>
      </c>
      <c r="AA65" s="13">
        <v>3</v>
      </c>
      <c r="AB65" s="13">
        <v>1</v>
      </c>
      <c r="AC65" s="13">
        <v>2</v>
      </c>
      <c r="AD65" s="13">
        <v>2</v>
      </c>
      <c r="AE65" s="13">
        <v>3</v>
      </c>
      <c r="AF65" s="13">
        <v>3</v>
      </c>
      <c r="AG65" s="16">
        <f>IFERROR(SUMIF(reading[[#This Row],[1st]:[7th]],"&gt;0")/COUNTIF(reading[[#This Row],[1st]:[7th]],"&gt;0"),"")</f>
        <v>2.4285714285714284</v>
      </c>
    </row>
    <row r="66" spans="1:33" hidden="1" x14ac:dyDescent="0.2">
      <c r="A66" s="4">
        <f>IF(B66=1,3,IF(D66=1,2,IF(F66=1,1,0)))</f>
        <v>0</v>
      </c>
      <c r="B66" s="4" t="str">
        <f>IF(C66=$L66,1,IF(C66="","",0))</f>
        <v/>
      </c>
      <c r="C66" s="41"/>
      <c r="D66" s="4" t="str">
        <f>IF(E66=$L66,1,IF(E66="","",0))</f>
        <v/>
      </c>
      <c r="E66" s="18"/>
      <c r="F66" s="4" t="str">
        <f>IF(G66=$L66,1,IF(G66="","",0))</f>
        <v/>
      </c>
      <c r="G66" s="18"/>
      <c r="H66" s="6">
        <v>733</v>
      </c>
      <c r="I66" s="15" t="s">
        <v>3120</v>
      </c>
      <c r="J66" s="6" t="s">
        <v>3273</v>
      </c>
      <c r="K66" s="24" t="s">
        <v>3136</v>
      </c>
      <c r="L66" s="6" t="s">
        <v>853</v>
      </c>
      <c r="M66" s="6" t="s">
        <v>6842</v>
      </c>
      <c r="N66" s="7">
        <f ca="1">RAND()</f>
        <v>0.56610196417890024</v>
      </c>
      <c r="O66" s="8">
        <v>45203</v>
      </c>
      <c r="P66" s="8">
        <v>45204</v>
      </c>
      <c r="Q66" s="8">
        <v>45206</v>
      </c>
      <c r="R66" s="8">
        <v>45210</v>
      </c>
      <c r="S66" s="8">
        <v>45217</v>
      </c>
      <c r="T66" s="8">
        <v>45229</v>
      </c>
      <c r="U66" s="8">
        <v>45250</v>
      </c>
      <c r="V66" s="10">
        <f>COUNTA(O66:U66)</f>
        <v>7</v>
      </c>
      <c r="W66" s="11">
        <f>_xlfn.IFNA(INDEX(reading[[#This Row],[Memo 01]:[Memo 07]],MATCH(0,reading[[#This Row],[Memo 01]:[Memo 07]],-1)),"")</f>
        <v>45250</v>
      </c>
      <c r="X66" s="11">
        <f ca="1">IFERROR(reading[[#This Row],[Previous]]+OFFSET(reading[[#Headers],[Memo 01]],-1,MATCH(0,reading[[#This Row],[Memo 01]:[Memo 07]],-1)-1),"")</f>
        <v>55250</v>
      </c>
      <c r="Y66" s="10" t="str">
        <f ca="1">IF(reading[[#This Row],[Next]]&lt;&gt;"",IF(reading[[#This Row],[Next]]&gt;TODAY(),"OK",""),"")</f>
        <v>OK</v>
      </c>
      <c r="Z66" s="13">
        <v>3</v>
      </c>
      <c r="AA66" s="13">
        <v>2</v>
      </c>
      <c r="AB66" s="13">
        <v>1</v>
      </c>
      <c r="AC66" s="13">
        <v>2</v>
      </c>
      <c r="AD66" s="13">
        <v>3</v>
      </c>
      <c r="AE66" s="13">
        <v>3</v>
      </c>
      <c r="AF66" s="13">
        <v>3</v>
      </c>
      <c r="AG66" s="16">
        <f>IFERROR(SUMIF(reading[[#This Row],[1st]:[7th]],"&gt;0")/COUNTIF(reading[[#This Row],[1st]:[7th]],"&gt;0"),"")</f>
        <v>2.4285714285714284</v>
      </c>
    </row>
    <row r="67" spans="1:33" hidden="1" x14ac:dyDescent="0.2">
      <c r="A67" s="4">
        <f>IF(B67=1,3,IF(D67=1,2,IF(F67=1,1,0)))</f>
        <v>0</v>
      </c>
      <c r="B67" s="4" t="str">
        <f>IF(C67=$L67,1,IF(C67="","",0))</f>
        <v/>
      </c>
      <c r="C67" s="41"/>
      <c r="D67" s="4" t="str">
        <f>IF(E67=$L67,1,IF(E67="","",0))</f>
        <v/>
      </c>
      <c r="E67" s="18"/>
      <c r="F67" s="4" t="str">
        <f>IF(G67=$L67,1,IF(G67="","",0))</f>
        <v/>
      </c>
      <c r="G67" s="18"/>
      <c r="H67" s="6">
        <v>302</v>
      </c>
      <c r="I67" s="15" t="s">
        <v>3120</v>
      </c>
      <c r="J67" s="6" t="s">
        <v>3450</v>
      </c>
      <c r="K67" s="6"/>
      <c r="L67" s="6" t="s">
        <v>437</v>
      </c>
      <c r="M67" s="6" t="s">
        <v>6411</v>
      </c>
      <c r="N67" s="7">
        <f ca="1">RAND()</f>
        <v>0.53600164490631774</v>
      </c>
      <c r="O67" s="8">
        <v>45200</v>
      </c>
      <c r="P67" s="8">
        <v>45201</v>
      </c>
      <c r="Q67" s="8">
        <v>45203</v>
      </c>
      <c r="R67" s="8">
        <v>45207</v>
      </c>
      <c r="S67" s="8">
        <v>45214</v>
      </c>
      <c r="T67" s="8">
        <v>45226</v>
      </c>
      <c r="U67" s="8">
        <v>45250</v>
      </c>
      <c r="V67" s="10">
        <f>COUNTA(O67:U67)</f>
        <v>7</v>
      </c>
      <c r="W67" s="11">
        <f>_xlfn.IFNA(INDEX(reading[[#This Row],[Memo 01]:[Memo 07]],MATCH(0,reading[[#This Row],[Memo 01]:[Memo 07]],-1)),"")</f>
        <v>45250</v>
      </c>
      <c r="X67" s="11">
        <f ca="1">IFERROR(reading[[#This Row],[Previous]]+OFFSET(reading[[#Headers],[Memo 01]],-1,MATCH(0,reading[[#This Row],[Memo 01]:[Memo 07]],-1)-1),"")</f>
        <v>55250</v>
      </c>
      <c r="Y67" s="10" t="str">
        <f ca="1">IF(reading[[#This Row],[Next]]&lt;&gt;"",IF(reading[[#This Row],[Next]]&gt;TODAY(),"OK",""),"")</f>
        <v>OK</v>
      </c>
      <c r="Z67" s="13">
        <v>3</v>
      </c>
      <c r="AA67" s="13">
        <v>3</v>
      </c>
      <c r="AB67" s="13">
        <v>3</v>
      </c>
      <c r="AC67" s="13">
        <v>1</v>
      </c>
      <c r="AD67" s="13">
        <v>2</v>
      </c>
      <c r="AE67" s="13">
        <v>2</v>
      </c>
      <c r="AF67" s="13">
        <v>2</v>
      </c>
      <c r="AG67" s="16">
        <f>IFERROR(SUMIF(reading[[#This Row],[1st]:[7th]],"&gt;0")/COUNTIF(reading[[#This Row],[1st]:[7th]],"&gt;0"),"")</f>
        <v>2.2857142857142856</v>
      </c>
    </row>
    <row r="68" spans="1:33" hidden="1" x14ac:dyDescent="0.2">
      <c r="A68" s="4">
        <f>IF(B68=1,3,IF(D68=1,2,IF(F68=1,1,0)))</f>
        <v>0</v>
      </c>
      <c r="B68" s="4" t="str">
        <f>IF(C68=$L68,1,IF(C68="","",0))</f>
        <v/>
      </c>
      <c r="C68" s="18"/>
      <c r="D68" s="4" t="str">
        <f>IF(E68=$L68,1,IF(E68="","",0))</f>
        <v/>
      </c>
      <c r="E68" s="14"/>
      <c r="F68" s="4" t="str">
        <f>IF(G68=$L68,1,IF(G68="","",0))</f>
        <v/>
      </c>
      <c r="G68" s="14"/>
      <c r="H68" s="6">
        <v>71</v>
      </c>
      <c r="I68" s="15" t="s">
        <v>3120</v>
      </c>
      <c r="J68" s="6" t="s">
        <v>3221</v>
      </c>
      <c r="K68" s="6"/>
      <c r="L68" s="6" t="s">
        <v>209</v>
      </c>
      <c r="M68" s="6" t="s">
        <v>6180</v>
      </c>
      <c r="N68" s="7">
        <f ca="1">RAND()</f>
        <v>0.92383066167714711</v>
      </c>
      <c r="O68" s="8">
        <v>45198</v>
      </c>
      <c r="P68" s="8">
        <v>45198</v>
      </c>
      <c r="Q68" s="8">
        <v>45198</v>
      </c>
      <c r="R68" s="8">
        <v>45198</v>
      </c>
      <c r="S68" s="8">
        <v>45198</v>
      </c>
      <c r="T68" s="8">
        <v>45198</v>
      </c>
      <c r="U68" s="8">
        <v>45198</v>
      </c>
      <c r="V68" s="10">
        <f>COUNTA(O68:U68)</f>
        <v>7</v>
      </c>
      <c r="W68" s="11">
        <f>_xlfn.IFNA(INDEX(reading[[#This Row],[Memo 01]:[Memo 07]],MATCH(0,reading[[#This Row],[Memo 01]:[Memo 07]],-1)),"")</f>
        <v>45198</v>
      </c>
      <c r="X68" s="11">
        <f ca="1">IFERROR(reading[[#This Row],[Previous]]+OFFSET(reading[[#Headers],[Memo 01]],-1,MATCH(0,reading[[#This Row],[Memo 01]:[Memo 07]],-1)-1),"")</f>
        <v>55198</v>
      </c>
      <c r="Y68" s="10" t="str">
        <f ca="1">IF(reading[[#This Row],[Next]]&lt;&gt;"",IF(reading[[#This Row],[Next]]&gt;TODAY(),"OK",""),"")</f>
        <v>OK</v>
      </c>
      <c r="Z68" s="13">
        <v>3</v>
      </c>
      <c r="AA68" s="13"/>
      <c r="AB68" s="13"/>
      <c r="AC68" s="13"/>
      <c r="AD68" s="13"/>
      <c r="AE68" s="13"/>
      <c r="AF68" s="13"/>
      <c r="AG68" s="16">
        <f>IFERROR(SUMIF(reading[[#This Row],[1st]:[7th]],"&gt;0")/COUNTIF(reading[[#This Row],[1st]:[7th]],"&gt;0"),"")</f>
        <v>3</v>
      </c>
    </row>
    <row r="69" spans="1:33" hidden="1" x14ac:dyDescent="0.2">
      <c r="A69" s="4">
        <f>IF(B69=1,3,IF(D69=1,2,IF(F69=1,1,0)))</f>
        <v>0</v>
      </c>
      <c r="B69" s="4" t="str">
        <f>IF(C69=$L69,1,IF(C69="","",0))</f>
        <v/>
      </c>
      <c r="C69" s="40"/>
      <c r="D69" s="4" t="str">
        <f>IF(E69=$L69,1,IF(E69="","",0))</f>
        <v/>
      </c>
      <c r="E69" s="18"/>
      <c r="F69" s="4" t="str">
        <f>IF(G69=$L69,1,IF(G69="","",0))</f>
        <v/>
      </c>
      <c r="G69" s="18"/>
      <c r="H69" s="6">
        <v>127</v>
      </c>
      <c r="I69" s="15" t="s">
        <v>3120</v>
      </c>
      <c r="J69" s="6" t="s">
        <v>3276</v>
      </c>
      <c r="K69" s="6"/>
      <c r="L69" s="6" t="s">
        <v>264</v>
      </c>
      <c r="M69" s="6" t="s">
        <v>6236</v>
      </c>
      <c r="N69" s="7">
        <f ca="1">RAND()</f>
        <v>0.63730364363339076</v>
      </c>
      <c r="O69" s="8">
        <v>45199</v>
      </c>
      <c r="P69" s="8">
        <v>45200</v>
      </c>
      <c r="Q69" s="8">
        <v>45202</v>
      </c>
      <c r="R69" s="8">
        <v>45206</v>
      </c>
      <c r="S69" s="8">
        <v>45213</v>
      </c>
      <c r="T69" s="8">
        <v>45226</v>
      </c>
      <c r="U69" s="8">
        <v>45248</v>
      </c>
      <c r="V69" s="10">
        <f>COUNTA(O69:U69)</f>
        <v>7</v>
      </c>
      <c r="W69" s="11">
        <f>_xlfn.IFNA(INDEX(reading[[#This Row],[Memo 01]:[Memo 07]],MATCH(0,reading[[#This Row],[Memo 01]:[Memo 07]],-1)),"")</f>
        <v>45248</v>
      </c>
      <c r="X69" s="11">
        <f ca="1">IFERROR(reading[[#This Row],[Previous]]+OFFSET(reading[[#Headers],[Memo 01]],-1,MATCH(0,reading[[#This Row],[Memo 01]:[Memo 07]],-1)-1),"")</f>
        <v>55248</v>
      </c>
      <c r="Y69" s="10" t="str">
        <f ca="1">IF(reading[[#This Row],[Next]]&lt;&gt;"",IF(reading[[#This Row],[Next]]&gt;TODAY(),"OK",""),"")</f>
        <v>OK</v>
      </c>
      <c r="Z69" s="13">
        <v>2</v>
      </c>
      <c r="AA69" s="13">
        <v>2</v>
      </c>
      <c r="AB69" s="13">
        <v>3</v>
      </c>
      <c r="AC69" s="13">
        <v>3</v>
      </c>
      <c r="AD69" s="13">
        <v>3</v>
      </c>
      <c r="AE69" s="13">
        <v>1</v>
      </c>
      <c r="AF69" s="13">
        <v>3</v>
      </c>
      <c r="AG69" s="16">
        <f>IFERROR(SUMIF(reading[[#This Row],[1st]:[7th]],"&gt;0")/COUNTIF(reading[[#This Row],[1st]:[7th]],"&gt;0"),"")</f>
        <v>2.4285714285714284</v>
      </c>
    </row>
    <row r="70" spans="1:33" hidden="1" x14ac:dyDescent="0.2">
      <c r="A70" s="4">
        <f>IF(B70=1,3,IF(D70=1,2,IF(F70=1,1,0)))</f>
        <v>0</v>
      </c>
      <c r="B70" s="4" t="str">
        <f>IF(C70=$L70,1,IF(C70="","",0))</f>
        <v/>
      </c>
      <c r="C70" s="41"/>
      <c r="D70" s="4" t="str">
        <f>IF(E70=$L70,1,IF(E70="","",0))</f>
        <v/>
      </c>
      <c r="E70" s="18"/>
      <c r="F70" s="4" t="str">
        <f>IF(G70=$L70,1,IF(G70="","",0))</f>
        <v/>
      </c>
      <c r="G70" s="18"/>
      <c r="H70" s="6">
        <v>48</v>
      </c>
      <c r="I70" s="15" t="s">
        <v>3120</v>
      </c>
      <c r="J70" s="6" t="s">
        <v>3203</v>
      </c>
      <c r="K70" s="6"/>
      <c r="L70" s="6" t="s">
        <v>191</v>
      </c>
      <c r="M70" s="6" t="s">
        <v>6162</v>
      </c>
      <c r="N70" s="7">
        <f ca="1">RAND()</f>
        <v>0.97283401317770091</v>
      </c>
      <c r="O70" s="8">
        <v>45199</v>
      </c>
      <c r="P70" s="8">
        <v>45200</v>
      </c>
      <c r="Q70" s="8">
        <v>45202</v>
      </c>
      <c r="R70" s="8">
        <v>45206</v>
      </c>
      <c r="S70" s="8">
        <v>45213</v>
      </c>
      <c r="T70" s="8">
        <v>45226</v>
      </c>
      <c r="U70" s="8">
        <v>45248</v>
      </c>
      <c r="V70" s="10">
        <f>COUNTA(O70:U70)</f>
        <v>7</v>
      </c>
      <c r="W70" s="11">
        <f>_xlfn.IFNA(INDEX(reading[[#This Row],[Memo 01]:[Memo 07]],MATCH(0,reading[[#This Row],[Memo 01]:[Memo 07]],-1)),"")</f>
        <v>45248</v>
      </c>
      <c r="X70" s="11">
        <f ca="1">IFERROR(reading[[#This Row],[Previous]]+OFFSET(reading[[#Headers],[Memo 01]],-1,MATCH(0,reading[[#This Row],[Memo 01]:[Memo 07]],-1)-1),"")</f>
        <v>55248</v>
      </c>
      <c r="Y70" s="10" t="str">
        <f ca="1">IF(reading[[#This Row],[Next]]&lt;&gt;"",IF(reading[[#This Row],[Next]]&gt;TODAY(),"OK",""),"")</f>
        <v>OK</v>
      </c>
      <c r="Z70" s="13">
        <v>3</v>
      </c>
      <c r="AA70" s="13">
        <v>2</v>
      </c>
      <c r="AB70" s="13">
        <v>3</v>
      </c>
      <c r="AC70" s="13">
        <v>3</v>
      </c>
      <c r="AD70" s="13">
        <v>2</v>
      </c>
      <c r="AE70" s="13">
        <v>1</v>
      </c>
      <c r="AF70" s="13">
        <v>3</v>
      </c>
      <c r="AG70" s="16">
        <f>IFERROR(SUMIF(reading[[#This Row],[1st]:[7th]],"&gt;0")/COUNTIF(reading[[#This Row],[1st]:[7th]],"&gt;0"),"")</f>
        <v>2.4285714285714284</v>
      </c>
    </row>
    <row r="71" spans="1:33" hidden="1" x14ac:dyDescent="0.2">
      <c r="A71" s="4">
        <f>IF(B71=1,3,IF(D71=1,2,IF(F71=1,1,0)))</f>
        <v>0</v>
      </c>
      <c r="B71" s="4" t="str">
        <f>IF(C71=$L71,1,IF(C71="","",0))</f>
        <v/>
      </c>
      <c r="C71" s="42"/>
      <c r="D71" s="4" t="str">
        <f>IF(E71=$L71,1,IF(E71="","",0))</f>
        <v/>
      </c>
      <c r="E71" s="14"/>
      <c r="F71" s="4" t="str">
        <f>IF(G71=$L71,1,IF(G71="","",0))</f>
        <v/>
      </c>
      <c r="G71" s="14"/>
      <c r="H71" s="6">
        <v>553</v>
      </c>
      <c r="I71" s="15" t="s">
        <v>3120</v>
      </c>
      <c r="J71" s="6" t="s">
        <v>3698</v>
      </c>
      <c r="K71" s="6"/>
      <c r="L71" s="6" t="s">
        <v>680</v>
      </c>
      <c r="M71" s="6" t="s">
        <v>6662</v>
      </c>
      <c r="N71" s="7">
        <f ca="1">RAND()</f>
        <v>0.4296556921097392</v>
      </c>
      <c r="O71" s="8">
        <v>45202</v>
      </c>
      <c r="P71" s="8">
        <v>45203</v>
      </c>
      <c r="Q71" s="8">
        <v>45205</v>
      </c>
      <c r="R71" s="8">
        <v>45209</v>
      </c>
      <c r="S71" s="8">
        <v>45216</v>
      </c>
      <c r="T71" s="8">
        <v>45228</v>
      </c>
      <c r="U71" s="8">
        <v>45792</v>
      </c>
      <c r="V71" s="10">
        <f>COUNTA(O71:U71)</f>
        <v>7</v>
      </c>
      <c r="W71" s="11">
        <f>_xlfn.IFNA(INDEX(reading[[#This Row],[Memo 01]:[Memo 07]],MATCH(0,reading[[#This Row],[Memo 01]:[Memo 07]],-1)),"")</f>
        <v>45792</v>
      </c>
      <c r="X71" s="11">
        <f ca="1">IFERROR(reading[[#This Row],[Previous]]+OFFSET(reading[[#Headers],[Memo 01]],-1,MATCH(0,reading[[#This Row],[Memo 01]:[Memo 07]],-1)-1),"")</f>
        <v>55792</v>
      </c>
      <c r="Y71" s="10" t="str">
        <f ca="1">IF(reading[[#This Row],[Next]]&lt;&gt;"",IF(reading[[#This Row],[Next]]&gt;TODAY(),"OK",""),"")</f>
        <v>OK</v>
      </c>
      <c r="Z71" s="13">
        <v>3</v>
      </c>
      <c r="AA71" s="13">
        <v>3</v>
      </c>
      <c r="AB71" s="13">
        <v>2</v>
      </c>
      <c r="AC71" s="13">
        <v>3</v>
      </c>
      <c r="AD71" s="13">
        <v>3</v>
      </c>
      <c r="AE71" s="13">
        <v>3</v>
      </c>
      <c r="AF71" s="13">
        <v>3</v>
      </c>
      <c r="AG71" s="16">
        <f>IFERROR(SUMIF(reading[[#This Row],[1st]:[7th]],"&gt;0")/COUNTIF(reading[[#This Row],[1st]:[7th]],"&gt;0"),"")</f>
        <v>2.8571428571428572</v>
      </c>
    </row>
    <row r="72" spans="1:33" hidden="1" x14ac:dyDescent="0.2">
      <c r="A72" s="4">
        <f>IF(B72=1,3,IF(D72=1,2,IF(F72=1,1,0)))</f>
        <v>0</v>
      </c>
      <c r="B72" s="4" t="str">
        <f>IF(C72=$L72,1,IF(C72="","",0))</f>
        <v/>
      </c>
      <c r="C72" s="41"/>
      <c r="D72" s="4" t="str">
        <f>IF(E72=$L72,1,IF(E72="","",0))</f>
        <v/>
      </c>
      <c r="E72" s="18"/>
      <c r="F72" s="4" t="str">
        <f>IF(G72=$L72,1,IF(G72="","",0))</f>
        <v/>
      </c>
      <c r="G72" s="14"/>
      <c r="H72" s="6">
        <v>369</v>
      </c>
      <c r="I72" s="15" t="s">
        <v>3120</v>
      </c>
      <c r="J72" s="6" t="s">
        <v>3516</v>
      </c>
      <c r="K72" s="15" t="s">
        <v>3138</v>
      </c>
      <c r="L72" s="6" t="s">
        <v>502</v>
      </c>
      <c r="M72" s="6" t="s">
        <v>6478</v>
      </c>
      <c r="N72" s="7">
        <f ca="1">RAND()</f>
        <v>0.3571942920134461</v>
      </c>
      <c r="O72" s="8">
        <v>45201</v>
      </c>
      <c r="P72" s="8">
        <v>45202</v>
      </c>
      <c r="Q72" s="8">
        <v>45204</v>
      </c>
      <c r="R72" s="8">
        <v>45208</v>
      </c>
      <c r="S72" s="8">
        <v>45215</v>
      </c>
      <c r="T72" s="8">
        <v>45227</v>
      </c>
      <c r="U72" s="8">
        <v>45248</v>
      </c>
      <c r="V72" s="10">
        <f>COUNTA(O72:U72)</f>
        <v>7</v>
      </c>
      <c r="W72" s="11">
        <f>_xlfn.IFNA(INDEX(reading[[#This Row],[Memo 01]:[Memo 07]],MATCH(0,reading[[#This Row],[Memo 01]:[Memo 07]],-1)),"")</f>
        <v>45248</v>
      </c>
      <c r="X72" s="11">
        <f ca="1">IFERROR(reading[[#This Row],[Previous]]+OFFSET(reading[[#Headers],[Memo 01]],-1,MATCH(0,reading[[#This Row],[Memo 01]:[Memo 07]],-1)-1),"")</f>
        <v>55248</v>
      </c>
      <c r="Y72" s="10" t="str">
        <f ca="1">IF(reading[[#This Row],[Next]]&lt;&gt;"",IF(reading[[#This Row],[Next]]&gt;TODAY(),"OK",""),"")</f>
        <v>OK</v>
      </c>
      <c r="Z72" s="13">
        <v>3</v>
      </c>
      <c r="AA72" s="13">
        <v>3</v>
      </c>
      <c r="AB72" s="13">
        <v>2</v>
      </c>
      <c r="AC72" s="13">
        <v>2</v>
      </c>
      <c r="AD72" s="13">
        <v>2</v>
      </c>
      <c r="AE72" s="13">
        <v>2</v>
      </c>
      <c r="AF72" s="13">
        <v>3</v>
      </c>
      <c r="AG72" s="16">
        <f>IFERROR(SUMIF(reading[[#This Row],[1st]:[7th]],"&gt;0")/COUNTIF(reading[[#This Row],[1st]:[7th]],"&gt;0"),"")</f>
        <v>2.4285714285714284</v>
      </c>
    </row>
    <row r="73" spans="1:33" hidden="1" x14ac:dyDescent="0.2">
      <c r="A73" s="4">
        <f>IF(B73=1,3,IF(D73=1,2,IF(F73=1,1,0)))</f>
        <v>0</v>
      </c>
      <c r="B73" s="4" t="str">
        <f>IF(C73=$L73,1,IF(C73="","",0))</f>
        <v/>
      </c>
      <c r="C73" s="18"/>
      <c r="D73" s="4" t="str">
        <f>IF(E73=$L73,1,IF(E73="","",0))</f>
        <v/>
      </c>
      <c r="E73" s="14"/>
      <c r="F73" s="4" t="str">
        <f>IF(G73=$L73,1,IF(G73="","",0))</f>
        <v/>
      </c>
      <c r="G73" s="14"/>
      <c r="H73" s="6">
        <v>76</v>
      </c>
      <c r="I73" s="15" t="s">
        <v>3120</v>
      </c>
      <c r="J73" s="6" t="s">
        <v>3226</v>
      </c>
      <c r="K73" s="6"/>
      <c r="L73" s="6" t="s">
        <v>214</v>
      </c>
      <c r="M73" s="6" t="s">
        <v>6185</v>
      </c>
      <c r="N73" s="7">
        <f ca="1">RAND()</f>
        <v>0.85676414604541862</v>
      </c>
      <c r="O73" s="8">
        <v>45198</v>
      </c>
      <c r="P73" s="8">
        <v>45198</v>
      </c>
      <c r="Q73" s="8">
        <v>45198</v>
      </c>
      <c r="R73" s="8">
        <v>45198</v>
      </c>
      <c r="S73" s="8">
        <v>45198</v>
      </c>
      <c r="T73" s="8">
        <v>45198</v>
      </c>
      <c r="U73" s="8">
        <v>45198</v>
      </c>
      <c r="V73" s="10">
        <f>COUNTA(O73:U73)</f>
        <v>7</v>
      </c>
      <c r="W73" s="11">
        <f>_xlfn.IFNA(INDEX(reading[[#This Row],[Memo 01]:[Memo 07]],MATCH(0,reading[[#This Row],[Memo 01]:[Memo 07]],-1)),"")</f>
        <v>45198</v>
      </c>
      <c r="X73" s="11">
        <f ca="1">IFERROR(reading[[#This Row],[Previous]]+OFFSET(reading[[#Headers],[Memo 01]],-1,MATCH(0,reading[[#This Row],[Memo 01]:[Memo 07]],-1)-1),"")</f>
        <v>55198</v>
      </c>
      <c r="Y73" s="10" t="str">
        <f ca="1">IF(reading[[#This Row],[Next]]&lt;&gt;"",IF(reading[[#This Row],[Next]]&gt;TODAY(),"OK",""),"")</f>
        <v>OK</v>
      </c>
      <c r="Z73" s="13">
        <v>3</v>
      </c>
      <c r="AA73" s="13"/>
      <c r="AB73" s="13"/>
      <c r="AC73" s="13"/>
      <c r="AD73" s="13"/>
      <c r="AE73" s="13"/>
      <c r="AF73" s="13"/>
      <c r="AG73" s="16">
        <f>IFERROR(SUMIF(reading[[#This Row],[1st]:[7th]],"&gt;0")/COUNTIF(reading[[#This Row],[1st]:[7th]],"&gt;0"),"")</f>
        <v>3</v>
      </c>
    </row>
    <row r="74" spans="1:33" hidden="1" x14ac:dyDescent="0.2">
      <c r="A74" s="4">
        <f>IF(B74=1,3,IF(D74=1,2,IF(F74=1,1,0)))</f>
        <v>0</v>
      </c>
      <c r="B74" s="4" t="str">
        <f>IF(C74=$L74,1,IF(C74="","",0))</f>
        <v/>
      </c>
      <c r="C74" s="41"/>
      <c r="D74" s="4" t="str">
        <f>IF(E74=$L74,1,IF(E74="","",0))</f>
        <v/>
      </c>
      <c r="E74" s="18"/>
      <c r="F74" s="4" t="str">
        <f>IF(G74=$L74,1,IF(G74="","",0))</f>
        <v/>
      </c>
      <c r="G74" s="18"/>
      <c r="H74" s="6">
        <v>325</v>
      </c>
      <c r="I74" s="15" t="s">
        <v>3120</v>
      </c>
      <c r="J74" s="6" t="s">
        <v>3472</v>
      </c>
      <c r="K74" s="6"/>
      <c r="L74" s="6" t="s">
        <v>460</v>
      </c>
      <c r="M74" s="6" t="s">
        <v>6434</v>
      </c>
      <c r="N74" s="7">
        <f ca="1">RAND()</f>
        <v>0.1624220755880631</v>
      </c>
      <c r="O74" s="8">
        <v>45200</v>
      </c>
      <c r="P74" s="8">
        <v>45202</v>
      </c>
      <c r="Q74" s="8">
        <v>45204</v>
      </c>
      <c r="R74" s="8">
        <v>45208</v>
      </c>
      <c r="S74" s="8">
        <v>45215</v>
      </c>
      <c r="T74" s="8">
        <v>45227</v>
      </c>
      <c r="U74" s="8">
        <v>45248</v>
      </c>
      <c r="V74" s="10">
        <f>COUNTA(O74:U74)</f>
        <v>7</v>
      </c>
      <c r="W74" s="11">
        <f>_xlfn.IFNA(INDEX(reading[[#This Row],[Memo 01]:[Memo 07]],MATCH(0,reading[[#This Row],[Memo 01]:[Memo 07]],-1)),"")</f>
        <v>45248</v>
      </c>
      <c r="X74" s="11">
        <f ca="1">IFERROR(reading[[#This Row],[Previous]]+OFFSET(reading[[#Headers],[Memo 01]],-1,MATCH(0,reading[[#This Row],[Memo 01]:[Memo 07]],-1)-1),"")</f>
        <v>55248</v>
      </c>
      <c r="Y74" s="10" t="str">
        <f ca="1">IF(reading[[#This Row],[Next]]&lt;&gt;"",IF(reading[[#This Row],[Next]]&gt;TODAY(),"OK",""),"")</f>
        <v>OK</v>
      </c>
      <c r="Z74" s="13">
        <v>3</v>
      </c>
      <c r="AA74" s="13">
        <v>1</v>
      </c>
      <c r="AB74" s="13">
        <v>3</v>
      </c>
      <c r="AC74" s="13">
        <v>3</v>
      </c>
      <c r="AD74" s="13">
        <v>3</v>
      </c>
      <c r="AE74" s="13">
        <v>1</v>
      </c>
      <c r="AF74" s="13">
        <v>3</v>
      </c>
      <c r="AG74" s="16">
        <f>IFERROR(SUMIF(reading[[#This Row],[1st]:[7th]],"&gt;0")/COUNTIF(reading[[#This Row],[1st]:[7th]],"&gt;0"),"")</f>
        <v>2.4285714285714284</v>
      </c>
    </row>
    <row r="75" spans="1:33" hidden="1" x14ac:dyDescent="0.2">
      <c r="A75" s="4">
        <f>IF(B75=1,3,IF(D75=1,2,IF(F75=1,1,0)))</f>
        <v>0</v>
      </c>
      <c r="B75" s="4" t="str">
        <f>IF(C75=$L75,1,IF(C75="","",0))</f>
        <v/>
      </c>
      <c r="C75" s="41"/>
      <c r="D75" s="4" t="str">
        <f>IF(E75=$L75,1,IF(E75="","",0))</f>
        <v/>
      </c>
      <c r="E75" s="23"/>
      <c r="F75" s="4" t="str">
        <f>IF(G75=$L75,1,IF(G75="","",0))</f>
        <v/>
      </c>
      <c r="G75" s="14"/>
      <c r="H75" s="6">
        <v>572</v>
      </c>
      <c r="I75" s="15" t="s">
        <v>3120</v>
      </c>
      <c r="J75" s="6" t="s">
        <v>3715</v>
      </c>
      <c r="K75" s="6"/>
      <c r="L75" s="6" t="s">
        <v>699</v>
      </c>
      <c r="M75" s="6" t="s">
        <v>6681</v>
      </c>
      <c r="N75" s="7">
        <f ca="1">RAND()</f>
        <v>8.2046878286078817E-2</v>
      </c>
      <c r="O75" s="8">
        <v>45202</v>
      </c>
      <c r="P75" s="8">
        <v>45203</v>
      </c>
      <c r="Q75" s="8">
        <v>45205</v>
      </c>
      <c r="R75" s="8">
        <v>45209</v>
      </c>
      <c r="S75" s="8">
        <v>45216</v>
      </c>
      <c r="T75" s="8">
        <v>45228</v>
      </c>
      <c r="U75" s="8">
        <v>45248</v>
      </c>
      <c r="V75" s="10">
        <f>COUNTA(O75:U75)</f>
        <v>7</v>
      </c>
      <c r="W75" s="11">
        <f>_xlfn.IFNA(INDEX(reading[[#This Row],[Memo 01]:[Memo 07]],MATCH(0,reading[[#This Row],[Memo 01]:[Memo 07]],-1)),"")</f>
        <v>45248</v>
      </c>
      <c r="X75" s="11">
        <f ca="1">IFERROR(reading[[#This Row],[Previous]]+OFFSET(reading[[#Headers],[Memo 01]],-1,MATCH(0,reading[[#This Row],[Memo 01]:[Memo 07]],-1)-1),"")</f>
        <v>55248</v>
      </c>
      <c r="Y75" s="10" t="str">
        <f ca="1">IF(reading[[#This Row],[Next]]&lt;&gt;"",IF(reading[[#This Row],[Next]]&gt;TODAY(),"OK",""),"")</f>
        <v>OK</v>
      </c>
      <c r="Z75" s="13">
        <v>3</v>
      </c>
      <c r="AA75" s="13">
        <v>2</v>
      </c>
      <c r="AB75" s="13">
        <v>2</v>
      </c>
      <c r="AC75" s="13">
        <v>2</v>
      </c>
      <c r="AD75" s="13">
        <v>2</v>
      </c>
      <c r="AE75" s="13">
        <v>3</v>
      </c>
      <c r="AF75" s="13">
        <v>3</v>
      </c>
      <c r="AG75" s="16">
        <f>IFERROR(SUMIF(reading[[#This Row],[1st]:[7th]],"&gt;0")/COUNTIF(reading[[#This Row],[1st]:[7th]],"&gt;0"),"")</f>
        <v>2.4285714285714284</v>
      </c>
    </row>
    <row r="76" spans="1:33" hidden="1" x14ac:dyDescent="0.2">
      <c r="A76" s="4">
        <f>IF(B76=1,3,IF(D76=1,2,IF(F76=1,1,0)))</f>
        <v>0</v>
      </c>
      <c r="B76" s="4" t="str">
        <f>IF(C76=$L76,1,IF(C76="","",0))</f>
        <v/>
      </c>
      <c r="C76" s="41"/>
      <c r="D76" s="4" t="str">
        <f>IF(E76=$L76,1,IF(E76="","",0))</f>
        <v/>
      </c>
      <c r="E76" s="18"/>
      <c r="F76" s="4" t="str">
        <f>IF(G76=$L76,1,IF(G76="","",0))</f>
        <v/>
      </c>
      <c r="G76" s="14"/>
      <c r="H76" s="6">
        <v>393</v>
      </c>
      <c r="I76" s="15" t="s">
        <v>3120</v>
      </c>
      <c r="J76" s="6" t="s">
        <v>3539</v>
      </c>
      <c r="K76" s="6"/>
      <c r="L76" s="6" t="s">
        <v>524</v>
      </c>
      <c r="M76" s="6" t="s">
        <v>6502</v>
      </c>
      <c r="N76" s="7">
        <f ca="1">RAND()</f>
        <v>0.43997314392698816</v>
      </c>
      <c r="O76" s="8">
        <v>45201</v>
      </c>
      <c r="P76" s="8">
        <v>45202</v>
      </c>
      <c r="Q76" s="8">
        <v>45204</v>
      </c>
      <c r="R76" s="8">
        <v>45208</v>
      </c>
      <c r="S76" s="8">
        <v>45215</v>
      </c>
      <c r="T76" s="8">
        <v>45227</v>
      </c>
      <c r="U76" s="8">
        <v>45248</v>
      </c>
      <c r="V76" s="10">
        <f>COUNTA(O76:U76)</f>
        <v>7</v>
      </c>
      <c r="W76" s="11">
        <f>_xlfn.IFNA(INDEX(reading[[#This Row],[Memo 01]:[Memo 07]],MATCH(0,reading[[#This Row],[Memo 01]:[Memo 07]],-1)),"")</f>
        <v>45248</v>
      </c>
      <c r="X76" s="11">
        <f ca="1">IFERROR(reading[[#This Row],[Previous]]+OFFSET(reading[[#Headers],[Memo 01]],-1,MATCH(0,reading[[#This Row],[Memo 01]:[Memo 07]],-1)-1),"")</f>
        <v>55248</v>
      </c>
      <c r="Y76" s="10" t="str">
        <f ca="1">IF(reading[[#This Row],[Next]]&lt;&gt;"",IF(reading[[#This Row],[Next]]&gt;TODAY(),"OK",""),"")</f>
        <v>OK</v>
      </c>
      <c r="Z76" s="13">
        <v>3</v>
      </c>
      <c r="AA76" s="13">
        <v>3</v>
      </c>
      <c r="AB76" s="13">
        <v>2</v>
      </c>
      <c r="AC76" s="13">
        <v>3</v>
      </c>
      <c r="AD76" s="13">
        <v>2</v>
      </c>
      <c r="AE76" s="13">
        <v>1</v>
      </c>
      <c r="AF76" s="13">
        <v>3</v>
      </c>
      <c r="AG76" s="16">
        <f>IFERROR(SUMIF(reading[[#This Row],[1st]:[7th]],"&gt;0")/COUNTIF(reading[[#This Row],[1st]:[7th]],"&gt;0"),"")</f>
        <v>2.4285714285714284</v>
      </c>
    </row>
    <row r="77" spans="1:33" hidden="1" x14ac:dyDescent="0.2">
      <c r="A77" s="4">
        <f>IF(B77=1,3,IF(D77=1,2,IF(F77=1,1,0)))</f>
        <v>0</v>
      </c>
      <c r="B77" s="4" t="str">
        <f>IF(C77=$L77,1,IF(C77="","",0))</f>
        <v/>
      </c>
      <c r="C77" s="18"/>
      <c r="D77" s="4" t="str">
        <f>IF(E77=$L77,1,IF(E77="","",0))</f>
        <v/>
      </c>
      <c r="E77" s="14"/>
      <c r="F77" s="4" t="str">
        <f>IF(G77=$L77,1,IF(G77="","",0))</f>
        <v/>
      </c>
      <c r="G77" s="14"/>
      <c r="H77" s="6">
        <v>80</v>
      </c>
      <c r="I77" s="15" t="s">
        <v>3120</v>
      </c>
      <c r="J77" s="6" t="s">
        <v>3230</v>
      </c>
      <c r="K77" s="6"/>
      <c r="L77" s="6" t="s">
        <v>218</v>
      </c>
      <c r="M77" s="6" t="s">
        <v>6189</v>
      </c>
      <c r="N77" s="7">
        <f ca="1">RAND()</f>
        <v>8.974693637811848E-2</v>
      </c>
      <c r="O77" s="8">
        <v>45198</v>
      </c>
      <c r="P77" s="8">
        <v>45198</v>
      </c>
      <c r="Q77" s="8">
        <v>45198</v>
      </c>
      <c r="R77" s="8">
        <v>45198</v>
      </c>
      <c r="S77" s="8">
        <v>45198</v>
      </c>
      <c r="T77" s="8">
        <v>45198</v>
      </c>
      <c r="U77" s="8">
        <v>45198</v>
      </c>
      <c r="V77" s="10">
        <f>COUNTA(O77:U77)</f>
        <v>7</v>
      </c>
      <c r="W77" s="11">
        <f>_xlfn.IFNA(INDEX(reading[[#This Row],[Memo 01]:[Memo 07]],MATCH(0,reading[[#This Row],[Memo 01]:[Memo 07]],-1)),"")</f>
        <v>45198</v>
      </c>
      <c r="X77" s="11">
        <f ca="1">IFERROR(reading[[#This Row],[Previous]]+OFFSET(reading[[#Headers],[Memo 01]],-1,MATCH(0,reading[[#This Row],[Memo 01]:[Memo 07]],-1)-1),"")</f>
        <v>55198</v>
      </c>
      <c r="Y77" s="10" t="str">
        <f ca="1">IF(reading[[#This Row],[Next]]&lt;&gt;"",IF(reading[[#This Row],[Next]]&gt;TODAY(),"OK",""),"")</f>
        <v>OK</v>
      </c>
      <c r="Z77" s="13">
        <v>3</v>
      </c>
      <c r="AA77" s="13"/>
      <c r="AB77" s="13"/>
      <c r="AC77" s="13"/>
      <c r="AD77" s="13"/>
      <c r="AE77" s="13"/>
      <c r="AF77" s="13"/>
      <c r="AG77" s="16">
        <f>IFERROR(SUMIF(reading[[#This Row],[1st]:[7th]],"&gt;0")/COUNTIF(reading[[#This Row],[1st]:[7th]],"&gt;0"),"")</f>
        <v>3</v>
      </c>
    </row>
    <row r="78" spans="1:33" hidden="1" x14ac:dyDescent="0.2">
      <c r="A78" s="4">
        <f>IF(B78=1,3,IF(D78=1,2,IF(F78=1,1,0)))</f>
        <v>0</v>
      </c>
      <c r="B78" s="4" t="str">
        <f>IF(C78=$L78,1,IF(C78="","",0))</f>
        <v/>
      </c>
      <c r="C78" s="18"/>
      <c r="D78" s="4" t="str">
        <f>IF(E78=$L78,1,IF(E78="","",0))</f>
        <v/>
      </c>
      <c r="E78" s="14"/>
      <c r="F78" s="4" t="str">
        <f>IF(G78=$L78,1,IF(G78="","",0))</f>
        <v/>
      </c>
      <c r="G78" s="14"/>
      <c r="H78" s="6">
        <v>81</v>
      </c>
      <c r="I78" s="15" t="s">
        <v>3120</v>
      </c>
      <c r="J78" s="6" t="s">
        <v>3231</v>
      </c>
      <c r="K78" s="6"/>
      <c r="L78" s="6" t="s">
        <v>219</v>
      </c>
      <c r="M78" s="6" t="s">
        <v>6190</v>
      </c>
      <c r="N78" s="7">
        <f ca="1">RAND()</f>
        <v>0.12969443635633504</v>
      </c>
      <c r="O78" s="8">
        <v>45198</v>
      </c>
      <c r="P78" s="8">
        <v>45198</v>
      </c>
      <c r="Q78" s="8">
        <v>45198</v>
      </c>
      <c r="R78" s="8">
        <v>45198</v>
      </c>
      <c r="S78" s="8">
        <v>45198</v>
      </c>
      <c r="T78" s="8">
        <v>45198</v>
      </c>
      <c r="U78" s="8">
        <v>45198</v>
      </c>
      <c r="V78" s="10">
        <f>COUNTA(O78:U78)</f>
        <v>7</v>
      </c>
      <c r="W78" s="11">
        <f>_xlfn.IFNA(INDEX(reading[[#This Row],[Memo 01]:[Memo 07]],MATCH(0,reading[[#This Row],[Memo 01]:[Memo 07]],-1)),"")</f>
        <v>45198</v>
      </c>
      <c r="X78" s="11">
        <f ca="1">IFERROR(reading[[#This Row],[Previous]]+OFFSET(reading[[#Headers],[Memo 01]],-1,MATCH(0,reading[[#This Row],[Memo 01]:[Memo 07]],-1)-1),"")</f>
        <v>55198</v>
      </c>
      <c r="Y78" s="10" t="str">
        <f ca="1">IF(reading[[#This Row],[Next]]&lt;&gt;"",IF(reading[[#This Row],[Next]]&gt;TODAY(),"OK",""),"")</f>
        <v>OK</v>
      </c>
      <c r="Z78" s="13">
        <v>3</v>
      </c>
      <c r="AA78" s="13"/>
      <c r="AB78" s="13"/>
      <c r="AC78" s="13"/>
      <c r="AD78" s="13"/>
      <c r="AE78" s="13"/>
      <c r="AF78" s="13"/>
      <c r="AG78" s="16">
        <f>IFERROR(SUMIF(reading[[#This Row],[1st]:[7th]],"&gt;0")/COUNTIF(reading[[#This Row],[1st]:[7th]],"&gt;0"),"")</f>
        <v>3</v>
      </c>
    </row>
    <row r="79" spans="1:33" hidden="1" x14ac:dyDescent="0.2">
      <c r="A79" s="4">
        <f>IF(B79=1,3,IF(D79=1,2,IF(F79=1,1,0)))</f>
        <v>0</v>
      </c>
      <c r="B79" s="4" t="str">
        <f>IF(C79=$L79,1,IF(C79="","",0))</f>
        <v/>
      </c>
      <c r="C79" s="42"/>
      <c r="D79" s="4" t="str">
        <f>IF(E79=$L79,1,IF(E79="","",0))</f>
        <v/>
      </c>
      <c r="E79" s="18"/>
      <c r="F79" s="4" t="str">
        <f>IF(G79=$L79,1,IF(G79="","",0))</f>
        <v/>
      </c>
      <c r="G79" s="14"/>
      <c r="H79" s="6">
        <v>120</v>
      </c>
      <c r="I79" s="15" t="s">
        <v>3120</v>
      </c>
      <c r="J79" s="6" t="s">
        <v>3269</v>
      </c>
      <c r="K79" s="6"/>
      <c r="L79" s="6" t="s">
        <v>257</v>
      </c>
      <c r="M79" s="6" t="s">
        <v>6229</v>
      </c>
      <c r="N79" s="7">
        <f ca="1">RAND()</f>
        <v>0.68204863844893771</v>
      </c>
      <c r="O79" s="8">
        <v>45199</v>
      </c>
      <c r="P79" s="8">
        <v>45200</v>
      </c>
      <c r="Q79" s="8">
        <v>45202</v>
      </c>
      <c r="R79" s="8">
        <v>45206</v>
      </c>
      <c r="S79" s="8">
        <v>45213</v>
      </c>
      <c r="T79" s="8">
        <v>45225</v>
      </c>
      <c r="U79" s="8">
        <v>45783</v>
      </c>
      <c r="V79" s="10">
        <f>COUNTA(O79:U79)</f>
        <v>7</v>
      </c>
      <c r="W79" s="11">
        <f>_xlfn.IFNA(INDEX(reading[[#This Row],[Memo 01]:[Memo 07]],MATCH(0,reading[[#This Row],[Memo 01]:[Memo 07]],-1)),"")</f>
        <v>45783</v>
      </c>
      <c r="X79" s="11">
        <f ca="1">IFERROR(reading[[#This Row],[Previous]]+OFFSET(reading[[#Headers],[Memo 01]],-1,MATCH(0,reading[[#This Row],[Memo 01]:[Memo 07]],-1)-1),"")</f>
        <v>55783</v>
      </c>
      <c r="Y79" s="10" t="str">
        <f ca="1">IF(reading[[#This Row],[Next]]&lt;&gt;"",IF(reading[[#This Row],[Next]]&gt;TODAY(),"OK",""),"")</f>
        <v>OK</v>
      </c>
      <c r="Z79" s="13">
        <v>3</v>
      </c>
      <c r="AA79" s="13">
        <v>2</v>
      </c>
      <c r="AB79" s="13">
        <v>3</v>
      </c>
      <c r="AC79" s="13">
        <v>3</v>
      </c>
      <c r="AD79" s="13">
        <v>3</v>
      </c>
      <c r="AE79" s="13">
        <v>2</v>
      </c>
      <c r="AF79" s="13">
        <v>3</v>
      </c>
      <c r="AG79" s="16">
        <f>IFERROR(SUMIF(reading[[#This Row],[1st]:[7th]],"&gt;0")/COUNTIF(reading[[#This Row],[1st]:[7th]],"&gt;0"),"")</f>
        <v>2.7142857142857144</v>
      </c>
    </row>
    <row r="80" spans="1:33" hidden="1" x14ac:dyDescent="0.2">
      <c r="A80" s="4">
        <f>IF(B80=1,3,IF(D80=1,2,IF(F80=1,1,0)))</f>
        <v>0</v>
      </c>
      <c r="B80" s="4" t="str">
        <f>IF(C80=$L80,1,IF(C80="","",0))</f>
        <v/>
      </c>
      <c r="C80" s="41"/>
      <c r="D80" s="4" t="str">
        <f>IF(E80=$L80,1,IF(E80="","",0))</f>
        <v/>
      </c>
      <c r="E80" s="18"/>
      <c r="F80" s="4" t="str">
        <f>IF(G80=$L80,1,IF(G80="","",0))</f>
        <v/>
      </c>
      <c r="G80" s="14"/>
      <c r="H80" s="6">
        <v>199</v>
      </c>
      <c r="I80" s="15" t="s">
        <v>3120</v>
      </c>
      <c r="J80" s="6" t="s">
        <v>3348</v>
      </c>
      <c r="K80" s="24" t="s">
        <v>3137</v>
      </c>
      <c r="L80" s="6" t="s">
        <v>335</v>
      </c>
      <c r="M80" s="6" t="s">
        <v>6308</v>
      </c>
      <c r="N80" s="7">
        <f ca="1">RAND()</f>
        <v>0.32729992774170347</v>
      </c>
      <c r="O80" s="8">
        <v>45199</v>
      </c>
      <c r="P80" s="8">
        <v>45200</v>
      </c>
      <c r="Q80" s="8">
        <v>45202</v>
      </c>
      <c r="R80" s="8">
        <v>45206</v>
      </c>
      <c r="S80" s="8">
        <v>45213</v>
      </c>
      <c r="T80" s="8">
        <v>45225</v>
      </c>
      <c r="U80" s="8">
        <v>45248</v>
      </c>
      <c r="V80" s="10">
        <f>COUNTA(O80:U80)</f>
        <v>7</v>
      </c>
      <c r="W80" s="11">
        <f>_xlfn.IFNA(INDEX(reading[[#This Row],[Memo 01]:[Memo 07]],MATCH(0,reading[[#This Row],[Memo 01]:[Memo 07]],-1)),"")</f>
        <v>45248</v>
      </c>
      <c r="X80" s="11">
        <f ca="1">IFERROR(reading[[#This Row],[Previous]]+OFFSET(reading[[#Headers],[Memo 01]],-1,MATCH(0,reading[[#This Row],[Memo 01]:[Memo 07]],-1)-1),"")</f>
        <v>55248</v>
      </c>
      <c r="Y80" s="10" t="str">
        <f ca="1">IF(reading[[#This Row],[Next]]&lt;&gt;"",IF(reading[[#This Row],[Next]]&gt;TODAY(),"OK",""),"")</f>
        <v>OK</v>
      </c>
      <c r="Z80" s="13">
        <v>3</v>
      </c>
      <c r="AA80" s="13">
        <v>3</v>
      </c>
      <c r="AB80" s="13">
        <v>2</v>
      </c>
      <c r="AC80" s="13">
        <v>2</v>
      </c>
      <c r="AD80" s="13">
        <v>2</v>
      </c>
      <c r="AE80" s="13">
        <v>2</v>
      </c>
      <c r="AF80" s="13">
        <v>3</v>
      </c>
      <c r="AG80" s="16">
        <f>IFERROR(SUMIF(reading[[#This Row],[1st]:[7th]],"&gt;0")/COUNTIF(reading[[#This Row],[1st]:[7th]],"&gt;0"),"")</f>
        <v>2.4285714285714284</v>
      </c>
    </row>
    <row r="81" spans="1:33" hidden="1" x14ac:dyDescent="0.2">
      <c r="A81" s="4">
        <f>IF(B81=1,3,IF(D81=1,2,IF(F81=1,1,0)))</f>
        <v>0</v>
      </c>
      <c r="B81" s="4" t="str">
        <f>IF(C81=$L81,1,IF(C81="","",0))</f>
        <v/>
      </c>
      <c r="C81" s="41"/>
      <c r="D81" s="4" t="str">
        <f>IF(E81=$L81,1,IF(E81="","",0))</f>
        <v/>
      </c>
      <c r="E81" s="18"/>
      <c r="F81" s="4" t="str">
        <f>IF(G81=$L81,1,IF(G81="","",0))</f>
        <v/>
      </c>
      <c r="G81" s="18"/>
      <c r="H81" s="6">
        <v>663</v>
      </c>
      <c r="I81" s="15" t="s">
        <v>3120</v>
      </c>
      <c r="J81" s="6" t="s">
        <v>3802</v>
      </c>
      <c r="K81" s="6"/>
      <c r="L81" s="6" t="s">
        <v>786</v>
      </c>
      <c r="M81" s="6" t="s">
        <v>6772</v>
      </c>
      <c r="N81" s="7">
        <f ca="1">RAND()</f>
        <v>0.70731851535024504</v>
      </c>
      <c r="O81" s="8">
        <v>45203</v>
      </c>
      <c r="P81" s="8">
        <v>45204</v>
      </c>
      <c r="Q81" s="8">
        <v>45206</v>
      </c>
      <c r="R81" s="8">
        <v>45210</v>
      </c>
      <c r="S81" s="8">
        <v>45217</v>
      </c>
      <c r="T81" s="8">
        <v>45229</v>
      </c>
      <c r="U81" s="8">
        <v>45251</v>
      </c>
      <c r="V81" s="10">
        <f>COUNTA(O81:U81)</f>
        <v>7</v>
      </c>
      <c r="W81" s="11">
        <f>_xlfn.IFNA(INDEX(reading[[#This Row],[Memo 01]:[Memo 07]],MATCH(0,reading[[#This Row],[Memo 01]:[Memo 07]],-1)),"")</f>
        <v>45251</v>
      </c>
      <c r="X81" s="11">
        <f ca="1">IFERROR(reading[[#This Row],[Previous]]+OFFSET(reading[[#Headers],[Memo 01]],-1,MATCH(0,reading[[#This Row],[Memo 01]:[Memo 07]],-1)-1),"")</f>
        <v>55251</v>
      </c>
      <c r="Y81" s="10" t="str">
        <f ca="1">IF(reading[[#This Row],[Next]]&lt;&gt;"",IF(reading[[#This Row],[Next]]&gt;TODAY(),"OK",""),"")</f>
        <v>OK</v>
      </c>
      <c r="Z81" s="13">
        <v>3</v>
      </c>
      <c r="AA81" s="13">
        <v>3</v>
      </c>
      <c r="AB81" s="13">
        <v>2</v>
      </c>
      <c r="AC81" s="13">
        <v>3</v>
      </c>
      <c r="AD81" s="13">
        <v>1</v>
      </c>
      <c r="AE81" s="13">
        <v>2</v>
      </c>
      <c r="AF81" s="13">
        <v>2</v>
      </c>
      <c r="AG81" s="16">
        <f>IFERROR(SUMIF(reading[[#This Row],[1st]:[7th]],"&gt;0")/COUNTIF(reading[[#This Row],[1st]:[7th]],"&gt;0"),"")</f>
        <v>2.2857142857142856</v>
      </c>
    </row>
    <row r="82" spans="1:33" hidden="1" x14ac:dyDescent="0.2">
      <c r="A82" s="4">
        <f>IF(B82=1,3,IF(D82=1,2,IF(F82=1,1,0)))</f>
        <v>0</v>
      </c>
      <c r="B82" s="4" t="str">
        <f>IF(C82=$L82,1,IF(C82="","",0))</f>
        <v/>
      </c>
      <c r="C82" s="41"/>
      <c r="D82" s="4" t="str">
        <f>IF(E82=$L82,1,IF(E82="","",0))</f>
        <v/>
      </c>
      <c r="E82" s="23"/>
      <c r="F82" s="4" t="str">
        <f>IF(G82=$L82,1,IF(G82="","",0))</f>
        <v/>
      </c>
      <c r="G82" s="14"/>
      <c r="H82" s="6">
        <v>590</v>
      </c>
      <c r="I82" s="15" t="s">
        <v>3120</v>
      </c>
      <c r="J82" s="6" t="s">
        <v>3733</v>
      </c>
      <c r="K82" s="6"/>
      <c r="L82" s="6" t="s">
        <v>716</v>
      </c>
      <c r="M82" s="6" t="s">
        <v>6699</v>
      </c>
      <c r="N82" s="7">
        <f ca="1">RAND()</f>
        <v>0.85179536521375299</v>
      </c>
      <c r="O82" s="8">
        <v>45202</v>
      </c>
      <c r="P82" s="8">
        <v>45203</v>
      </c>
      <c r="Q82" s="8">
        <v>45205</v>
      </c>
      <c r="R82" s="8">
        <v>45209</v>
      </c>
      <c r="S82" s="8">
        <v>45216</v>
      </c>
      <c r="T82" s="8">
        <v>45228</v>
      </c>
      <c r="U82" s="8">
        <v>45248</v>
      </c>
      <c r="V82" s="10">
        <f>COUNTA(O82:U82)</f>
        <v>7</v>
      </c>
      <c r="W82" s="11">
        <f>_xlfn.IFNA(INDEX(reading[[#This Row],[Memo 01]:[Memo 07]],MATCH(0,reading[[#This Row],[Memo 01]:[Memo 07]],-1)),"")</f>
        <v>45248</v>
      </c>
      <c r="X82" s="11">
        <f ca="1">IFERROR(reading[[#This Row],[Previous]]+OFFSET(reading[[#Headers],[Memo 01]],-1,MATCH(0,reading[[#This Row],[Memo 01]:[Memo 07]],-1)-1),"")</f>
        <v>55248</v>
      </c>
      <c r="Y82" s="10" t="str">
        <f ca="1">IF(reading[[#This Row],[Next]]&lt;&gt;"",IF(reading[[#This Row],[Next]]&gt;TODAY(),"OK",""),"")</f>
        <v>OK</v>
      </c>
      <c r="Z82" s="13">
        <v>3</v>
      </c>
      <c r="AA82" s="13">
        <v>3</v>
      </c>
      <c r="AB82" s="13">
        <v>2</v>
      </c>
      <c r="AC82" s="13">
        <v>2</v>
      </c>
      <c r="AD82" s="13">
        <v>2</v>
      </c>
      <c r="AE82" s="13">
        <v>2</v>
      </c>
      <c r="AF82" s="13">
        <v>3</v>
      </c>
      <c r="AG82" s="16">
        <f>IFERROR(SUMIF(reading[[#This Row],[1st]:[7th]],"&gt;0")/COUNTIF(reading[[#This Row],[1st]:[7th]],"&gt;0"),"")</f>
        <v>2.4285714285714284</v>
      </c>
    </row>
    <row r="83" spans="1:33" hidden="1" x14ac:dyDescent="0.2">
      <c r="A83" s="4">
        <f>IF(B83=1,3,IF(D83=1,2,IF(F83=1,1,0)))</f>
        <v>0</v>
      </c>
      <c r="B83" s="4" t="str">
        <f>IF(C83=$L83,1,IF(C83="","",0))</f>
        <v/>
      </c>
      <c r="C83" s="18"/>
      <c r="D83" s="4" t="str">
        <f>IF(E83=$L83,1,IF(E83="","",0))</f>
        <v/>
      </c>
      <c r="E83" s="14"/>
      <c r="F83" s="4" t="str">
        <f>IF(G83=$L83,1,IF(G83="","",0))</f>
        <v/>
      </c>
      <c r="G83" s="14"/>
      <c r="H83" s="6">
        <v>86</v>
      </c>
      <c r="I83" s="15" t="s">
        <v>3120</v>
      </c>
      <c r="J83" s="6" t="s">
        <v>3236</v>
      </c>
      <c r="K83" s="6"/>
      <c r="L83" s="6" t="s">
        <v>224</v>
      </c>
      <c r="M83" s="6" t="s">
        <v>6195</v>
      </c>
      <c r="N83" s="7">
        <f ca="1">RAND()</f>
        <v>0.77662183795851747</v>
      </c>
      <c r="O83" s="8">
        <v>45198</v>
      </c>
      <c r="P83" s="8">
        <v>45198</v>
      </c>
      <c r="Q83" s="8">
        <v>45198</v>
      </c>
      <c r="R83" s="8">
        <v>45198</v>
      </c>
      <c r="S83" s="8">
        <v>45198</v>
      </c>
      <c r="T83" s="8">
        <v>45198</v>
      </c>
      <c r="U83" s="8">
        <v>45198</v>
      </c>
      <c r="V83" s="10">
        <f>COUNTA(O83:U83)</f>
        <v>7</v>
      </c>
      <c r="W83" s="11">
        <f>_xlfn.IFNA(INDEX(reading[[#This Row],[Memo 01]:[Memo 07]],MATCH(0,reading[[#This Row],[Memo 01]:[Memo 07]],-1)),"")</f>
        <v>45198</v>
      </c>
      <c r="X83" s="11">
        <f ca="1">IFERROR(reading[[#This Row],[Previous]]+OFFSET(reading[[#Headers],[Memo 01]],-1,MATCH(0,reading[[#This Row],[Memo 01]:[Memo 07]],-1)-1),"")</f>
        <v>55198</v>
      </c>
      <c r="Y83" s="10" t="str">
        <f ca="1">IF(reading[[#This Row],[Next]]&lt;&gt;"",IF(reading[[#This Row],[Next]]&gt;TODAY(),"OK",""),"")</f>
        <v>OK</v>
      </c>
      <c r="Z83" s="13">
        <v>3</v>
      </c>
      <c r="AA83" s="13"/>
      <c r="AB83" s="13"/>
      <c r="AC83" s="13"/>
      <c r="AD83" s="13"/>
      <c r="AE83" s="13"/>
      <c r="AF83" s="13"/>
      <c r="AG83" s="16">
        <f>IFERROR(SUMIF(reading[[#This Row],[1st]:[7th]],"&gt;0")/COUNTIF(reading[[#This Row],[1st]:[7th]],"&gt;0"),"")</f>
        <v>3</v>
      </c>
    </row>
    <row r="84" spans="1:33" hidden="1" x14ac:dyDescent="0.2">
      <c r="A84" s="4">
        <f>IF(B84=1,3,IF(D84=1,2,IF(F84=1,1,0)))</f>
        <v>0</v>
      </c>
      <c r="B84" s="4" t="str">
        <f>IF(C84=$L84,1,IF(C84="","",0))</f>
        <v/>
      </c>
      <c r="C84" s="18"/>
      <c r="D84" s="4" t="str">
        <f>IF(E84=$L84,1,IF(E84="","",0))</f>
        <v/>
      </c>
      <c r="E84" s="14"/>
      <c r="F84" s="4" t="str">
        <f>IF(G84=$L84,1,IF(G84="","",0))</f>
        <v/>
      </c>
      <c r="G84" s="14"/>
      <c r="H84" s="6">
        <v>87</v>
      </c>
      <c r="I84" s="15" t="s">
        <v>3120</v>
      </c>
      <c r="J84" s="6" t="s">
        <v>3237</v>
      </c>
      <c r="K84" s="6"/>
      <c r="L84" s="6" t="s">
        <v>225</v>
      </c>
      <c r="M84" s="6" t="s">
        <v>6196</v>
      </c>
      <c r="N84" s="7">
        <f ca="1">RAND()</f>
        <v>0.572191217985902</v>
      </c>
      <c r="O84" s="8">
        <v>45198</v>
      </c>
      <c r="P84" s="8">
        <v>45198</v>
      </c>
      <c r="Q84" s="8">
        <v>45198</v>
      </c>
      <c r="R84" s="8">
        <v>45198</v>
      </c>
      <c r="S84" s="8">
        <v>45198</v>
      </c>
      <c r="T84" s="8">
        <v>45198</v>
      </c>
      <c r="U84" s="8">
        <v>45198</v>
      </c>
      <c r="V84" s="10">
        <f>COUNTA(O84:U84)</f>
        <v>7</v>
      </c>
      <c r="W84" s="11">
        <f>_xlfn.IFNA(INDEX(reading[[#This Row],[Memo 01]:[Memo 07]],MATCH(0,reading[[#This Row],[Memo 01]:[Memo 07]],-1)),"")</f>
        <v>45198</v>
      </c>
      <c r="X84" s="11">
        <f ca="1">IFERROR(reading[[#This Row],[Previous]]+OFFSET(reading[[#Headers],[Memo 01]],-1,MATCH(0,reading[[#This Row],[Memo 01]:[Memo 07]],-1)-1),"")</f>
        <v>55198</v>
      </c>
      <c r="Y84" s="10" t="str">
        <f ca="1">IF(reading[[#This Row],[Next]]&lt;&gt;"",IF(reading[[#This Row],[Next]]&gt;TODAY(),"OK",""),"")</f>
        <v>OK</v>
      </c>
      <c r="Z84" s="13">
        <v>3</v>
      </c>
      <c r="AA84" s="13"/>
      <c r="AB84" s="13"/>
      <c r="AC84" s="13"/>
      <c r="AD84" s="13"/>
      <c r="AE84" s="13"/>
      <c r="AF84" s="13"/>
      <c r="AG84" s="16">
        <f>IFERROR(SUMIF(reading[[#This Row],[1st]:[7th]],"&gt;0")/COUNTIF(reading[[#This Row],[1st]:[7th]],"&gt;0"),"")</f>
        <v>3</v>
      </c>
    </row>
    <row r="85" spans="1:33" hidden="1" x14ac:dyDescent="0.2">
      <c r="A85" s="4">
        <f>IF(B85=1,3,IF(D85=1,2,IF(F85=1,1,0)))</f>
        <v>0</v>
      </c>
      <c r="B85" s="4" t="str">
        <f>IF(C85=$L85,1,IF(C85="","",0))</f>
        <v/>
      </c>
      <c r="C85" s="18"/>
      <c r="D85" s="4" t="str">
        <f>IF(E85=$L85,1,IF(E85="","",0))</f>
        <v/>
      </c>
      <c r="E85" s="14"/>
      <c r="F85" s="4" t="str">
        <f>IF(G85=$L85,1,IF(G85="","",0))</f>
        <v/>
      </c>
      <c r="G85" s="14"/>
      <c r="H85" s="6">
        <v>88</v>
      </c>
      <c r="I85" s="15" t="s">
        <v>3120</v>
      </c>
      <c r="J85" s="6" t="s">
        <v>3238</v>
      </c>
      <c r="K85" s="6"/>
      <c r="L85" s="6" t="s">
        <v>226</v>
      </c>
      <c r="M85" s="6" t="s">
        <v>6197</v>
      </c>
      <c r="N85" s="7">
        <f ca="1">RAND()</f>
        <v>0.80139765517958683</v>
      </c>
      <c r="O85" s="8">
        <v>45198</v>
      </c>
      <c r="P85" s="8">
        <v>45198</v>
      </c>
      <c r="Q85" s="8">
        <v>45198</v>
      </c>
      <c r="R85" s="8">
        <v>45198</v>
      </c>
      <c r="S85" s="8">
        <v>45198</v>
      </c>
      <c r="T85" s="8">
        <v>45198</v>
      </c>
      <c r="U85" s="8">
        <v>45198</v>
      </c>
      <c r="V85" s="10">
        <f>COUNTA(O85:U85)</f>
        <v>7</v>
      </c>
      <c r="W85" s="11">
        <f>_xlfn.IFNA(INDEX(reading[[#This Row],[Memo 01]:[Memo 07]],MATCH(0,reading[[#This Row],[Memo 01]:[Memo 07]],-1)),"")</f>
        <v>45198</v>
      </c>
      <c r="X85" s="11">
        <f ca="1">IFERROR(reading[[#This Row],[Previous]]+OFFSET(reading[[#Headers],[Memo 01]],-1,MATCH(0,reading[[#This Row],[Memo 01]:[Memo 07]],-1)-1),"")</f>
        <v>55198</v>
      </c>
      <c r="Y85" s="10" t="str">
        <f ca="1">IF(reading[[#This Row],[Next]]&lt;&gt;"",IF(reading[[#This Row],[Next]]&gt;TODAY(),"OK",""),"")</f>
        <v>OK</v>
      </c>
      <c r="Z85" s="13">
        <v>3</v>
      </c>
      <c r="AA85" s="13"/>
      <c r="AB85" s="13"/>
      <c r="AC85" s="13"/>
      <c r="AD85" s="13"/>
      <c r="AE85" s="13"/>
      <c r="AF85" s="13"/>
      <c r="AG85" s="16">
        <f>IFERROR(SUMIF(reading[[#This Row],[1st]:[7th]],"&gt;0")/COUNTIF(reading[[#This Row],[1st]:[7th]],"&gt;0"),"")</f>
        <v>3</v>
      </c>
    </row>
    <row r="86" spans="1:33" hidden="1" x14ac:dyDescent="0.2">
      <c r="A86" s="4">
        <f>IF(B86=1,3,IF(D86=1,2,IF(F86=1,1,0)))</f>
        <v>0</v>
      </c>
      <c r="B86" s="4" t="str">
        <f>IF(C86=$L86,1,IF(C86="","",0))</f>
        <v/>
      </c>
      <c r="C86" s="42"/>
      <c r="D86" s="4" t="str">
        <f>IF(E86=$L86,1,IF(E86="","",0))</f>
        <v/>
      </c>
      <c r="E86" s="18"/>
      <c r="F86" s="4" t="str">
        <f>IF(G86=$L86,1,IF(G86="","",0))</f>
        <v/>
      </c>
      <c r="G86" s="14"/>
      <c r="H86" s="6">
        <v>1933</v>
      </c>
      <c r="I86" s="15" t="s">
        <v>3120</v>
      </c>
      <c r="J86" s="6" t="s">
        <v>5032</v>
      </c>
      <c r="K86" s="6" t="s">
        <v>3139</v>
      </c>
      <c r="L86" s="6" t="s">
        <v>2009</v>
      </c>
      <c r="M86" s="6" t="s">
        <v>8039</v>
      </c>
      <c r="N86" s="7">
        <f ca="1">RAND()</f>
        <v>0.6134109322744955</v>
      </c>
      <c r="O86" s="8">
        <v>45212</v>
      </c>
      <c r="P86" s="8">
        <v>45213</v>
      </c>
      <c r="Q86" s="8">
        <v>45215</v>
      </c>
      <c r="R86" s="8">
        <v>45219</v>
      </c>
      <c r="S86" s="8">
        <v>45226</v>
      </c>
      <c r="T86" s="8">
        <v>45818</v>
      </c>
      <c r="U86" s="8"/>
      <c r="V86" s="10">
        <f>COUNTA(O86:U86)</f>
        <v>6</v>
      </c>
      <c r="W86" s="11">
        <f>_xlfn.IFNA(INDEX(reading[[#This Row],[Memo 01]:[Memo 07]],MATCH(0,reading[[#This Row],[Memo 01]:[Memo 07]],-1)),"")</f>
        <v>45818</v>
      </c>
      <c r="X86" s="11">
        <f ca="1">IFERROR(reading[[#This Row],[Previous]]+OFFSET(reading[[#Headers],[Memo 01]],-1,MATCH(0,reading[[#This Row],[Memo 01]:[Memo 07]],-1)-1),"")</f>
        <v>45838</v>
      </c>
      <c r="Y86" s="10" t="str">
        <f ca="1">IF(reading[[#This Row],[Next]]&lt;&gt;"",IF(reading[[#This Row],[Next]]&gt;TODAY(),"OK",""),"")</f>
        <v>OK</v>
      </c>
      <c r="Z86" s="13">
        <v>3</v>
      </c>
      <c r="AA86" s="13">
        <v>3</v>
      </c>
      <c r="AB86" s="13">
        <v>3</v>
      </c>
      <c r="AC86" s="13">
        <v>3</v>
      </c>
      <c r="AD86" s="13">
        <v>2</v>
      </c>
      <c r="AE86" s="13">
        <v>3</v>
      </c>
      <c r="AF86" s="13"/>
      <c r="AG86" s="16">
        <f>IFERROR(SUMIF(reading[[#This Row],[1st]:[7th]],"&gt;0")/COUNTIF(reading[[#This Row],[1st]:[7th]],"&gt;0"),"")</f>
        <v>2.8333333333333335</v>
      </c>
    </row>
    <row r="87" spans="1:33" hidden="1" x14ac:dyDescent="0.2">
      <c r="A87" s="4">
        <f>IF(B87=1,3,IF(D87=1,2,IF(F87=1,1,0)))</f>
        <v>0</v>
      </c>
      <c r="B87" s="4" t="str">
        <f>IF(C87=$L87,1,IF(C87="","",0))</f>
        <v/>
      </c>
      <c r="C87" s="41"/>
      <c r="D87" s="4" t="str">
        <f>IF(E87=$L87,1,IF(E87="","",0))</f>
        <v/>
      </c>
      <c r="E87" s="18"/>
      <c r="F87" s="4" t="str">
        <f>IF(G87=$L87,1,IF(G87="","",0))</f>
        <v/>
      </c>
      <c r="G87" s="14"/>
      <c r="H87" s="6">
        <v>384</v>
      </c>
      <c r="I87" s="15" t="s">
        <v>3120</v>
      </c>
      <c r="J87" s="6" t="s">
        <v>3531</v>
      </c>
      <c r="K87" s="6"/>
      <c r="L87" s="6" t="s">
        <v>516</v>
      </c>
      <c r="M87" s="6" t="s">
        <v>6493</v>
      </c>
      <c r="N87" s="7">
        <f ca="1">RAND()</f>
        <v>0.11440596214847454</v>
      </c>
      <c r="O87" s="8">
        <v>45201</v>
      </c>
      <c r="P87" s="8">
        <v>45202</v>
      </c>
      <c r="Q87" s="8">
        <v>45204</v>
      </c>
      <c r="R87" s="8">
        <v>45208</v>
      </c>
      <c r="S87" s="8">
        <v>45215</v>
      </c>
      <c r="T87" s="8">
        <v>45227</v>
      </c>
      <c r="U87" s="8">
        <v>45248</v>
      </c>
      <c r="V87" s="10">
        <f>COUNTA(O87:U87)</f>
        <v>7</v>
      </c>
      <c r="W87" s="11">
        <f>_xlfn.IFNA(INDEX(reading[[#This Row],[Memo 01]:[Memo 07]],MATCH(0,reading[[#This Row],[Memo 01]:[Memo 07]],-1)),"")</f>
        <v>45248</v>
      </c>
      <c r="X87" s="11">
        <f ca="1">IFERROR(reading[[#This Row],[Previous]]+OFFSET(reading[[#Headers],[Memo 01]],-1,MATCH(0,reading[[#This Row],[Memo 01]:[Memo 07]],-1)-1),"")</f>
        <v>55248</v>
      </c>
      <c r="Y87" s="10" t="str">
        <f ca="1">IF(reading[[#This Row],[Next]]&lt;&gt;"",IF(reading[[#This Row],[Next]]&gt;TODAY(),"OK",""),"")</f>
        <v>OK</v>
      </c>
      <c r="Z87" s="13">
        <v>3</v>
      </c>
      <c r="AA87" s="13">
        <v>3</v>
      </c>
      <c r="AB87" s="13">
        <v>2</v>
      </c>
      <c r="AC87" s="13">
        <v>2</v>
      </c>
      <c r="AD87" s="13">
        <v>2</v>
      </c>
      <c r="AE87" s="13">
        <v>2</v>
      </c>
      <c r="AF87" s="13">
        <v>3</v>
      </c>
      <c r="AG87" s="16">
        <f>IFERROR(SUMIF(reading[[#This Row],[1st]:[7th]],"&gt;0")/COUNTIF(reading[[#This Row],[1st]:[7th]],"&gt;0"),"")</f>
        <v>2.4285714285714284</v>
      </c>
    </row>
    <row r="88" spans="1:33" hidden="1" x14ac:dyDescent="0.2">
      <c r="A88" s="4">
        <f>IF(B88=1,3,IF(D88=1,2,IF(F88=1,1,0)))</f>
        <v>0</v>
      </c>
      <c r="B88" s="4" t="str">
        <f>IF(C88=$L88,1,IF(C88="","",0))</f>
        <v/>
      </c>
      <c r="C88" s="18"/>
      <c r="D88" s="4" t="str">
        <f>IF(E88=$L88,1,IF(E88="","",0))</f>
        <v/>
      </c>
      <c r="E88" s="14"/>
      <c r="F88" s="4" t="str">
        <f>IF(G88=$L88,1,IF(G88="","",0))</f>
        <v/>
      </c>
      <c r="G88" s="14"/>
      <c r="H88" s="6">
        <v>91</v>
      </c>
      <c r="I88" s="15" t="s">
        <v>3120</v>
      </c>
      <c r="J88" s="6" t="s">
        <v>3241</v>
      </c>
      <c r="K88" s="6"/>
      <c r="L88" s="6" t="s">
        <v>229</v>
      </c>
      <c r="M88" s="6" t="s">
        <v>6200</v>
      </c>
      <c r="N88" s="7">
        <f ca="1">RAND()</f>
        <v>7.305092348092268E-2</v>
      </c>
      <c r="O88" s="8">
        <v>45198</v>
      </c>
      <c r="P88" s="8">
        <v>45198</v>
      </c>
      <c r="Q88" s="8">
        <v>45198</v>
      </c>
      <c r="R88" s="8">
        <v>45198</v>
      </c>
      <c r="S88" s="8">
        <v>45198</v>
      </c>
      <c r="T88" s="8">
        <v>45198</v>
      </c>
      <c r="U88" s="8">
        <v>45198</v>
      </c>
      <c r="V88" s="10">
        <f>COUNTA(O88:U88)</f>
        <v>7</v>
      </c>
      <c r="W88" s="11">
        <f>_xlfn.IFNA(INDEX(reading[[#This Row],[Memo 01]:[Memo 07]],MATCH(0,reading[[#This Row],[Memo 01]:[Memo 07]],-1)),"")</f>
        <v>45198</v>
      </c>
      <c r="X88" s="11">
        <f ca="1">IFERROR(reading[[#This Row],[Previous]]+OFFSET(reading[[#Headers],[Memo 01]],-1,MATCH(0,reading[[#This Row],[Memo 01]:[Memo 07]],-1)-1),"")</f>
        <v>55198</v>
      </c>
      <c r="Y88" s="10" t="str">
        <f ca="1">IF(reading[[#This Row],[Next]]&lt;&gt;"",IF(reading[[#This Row],[Next]]&gt;TODAY(),"OK",""),"")</f>
        <v>OK</v>
      </c>
      <c r="Z88" s="13">
        <v>3</v>
      </c>
      <c r="AA88" s="13"/>
      <c r="AB88" s="13"/>
      <c r="AC88" s="13"/>
      <c r="AD88" s="13"/>
      <c r="AE88" s="13"/>
      <c r="AF88" s="13"/>
      <c r="AG88" s="16">
        <f>IFERROR(SUMIF(reading[[#This Row],[1st]:[7th]],"&gt;0")/COUNTIF(reading[[#This Row],[1st]:[7th]],"&gt;0"),"")</f>
        <v>3</v>
      </c>
    </row>
    <row r="89" spans="1:33" hidden="1" x14ac:dyDescent="0.2">
      <c r="A89" s="4">
        <f>IF(B89=1,3,IF(D89=1,2,IF(F89=1,1,0)))</f>
        <v>0</v>
      </c>
      <c r="B89" s="4" t="str">
        <f>IF(C89=$L89,1,IF(C89="","",0))</f>
        <v/>
      </c>
      <c r="C89" s="42"/>
      <c r="D89" s="4" t="str">
        <f>IF(E89=$L89,1,IF(E89="","",0))</f>
        <v/>
      </c>
      <c r="E89" s="18"/>
      <c r="F89" s="4" t="str">
        <f>IF(G89=$L89,1,IF(G89="","",0))</f>
        <v/>
      </c>
      <c r="G89" s="14"/>
      <c r="H89" s="6">
        <v>607</v>
      </c>
      <c r="I89" s="15" t="s">
        <v>3120</v>
      </c>
      <c r="J89" s="6" t="s">
        <v>3749</v>
      </c>
      <c r="K89" s="6"/>
      <c r="L89" s="6" t="s">
        <v>732</v>
      </c>
      <c r="M89" s="6" t="s">
        <v>6716</v>
      </c>
      <c r="N89" s="7">
        <f ca="1">RAND()</f>
        <v>0.80587385333916561</v>
      </c>
      <c r="O89" s="8">
        <v>45202</v>
      </c>
      <c r="P89" s="8">
        <v>45203</v>
      </c>
      <c r="Q89" s="8">
        <v>45205</v>
      </c>
      <c r="R89" s="8">
        <v>45209</v>
      </c>
      <c r="S89" s="8">
        <v>45216</v>
      </c>
      <c r="T89" s="8">
        <v>45228</v>
      </c>
      <c r="U89" s="8">
        <v>45818</v>
      </c>
      <c r="V89" s="10">
        <f>COUNTA(O89:U89)</f>
        <v>7</v>
      </c>
      <c r="W89" s="11">
        <f>_xlfn.IFNA(INDEX(reading[[#This Row],[Memo 01]:[Memo 07]],MATCH(0,reading[[#This Row],[Memo 01]:[Memo 07]],-1)),"")</f>
        <v>45818</v>
      </c>
      <c r="X89" s="11">
        <f ca="1">IFERROR(reading[[#This Row],[Previous]]+OFFSET(reading[[#Headers],[Memo 01]],-1,MATCH(0,reading[[#This Row],[Memo 01]:[Memo 07]],-1)-1),"")</f>
        <v>55818</v>
      </c>
      <c r="Y89" s="10" t="str">
        <f ca="1">IF(reading[[#This Row],[Next]]&lt;&gt;"",IF(reading[[#This Row],[Next]]&gt;TODAY(),"OK",""),"")</f>
        <v>OK</v>
      </c>
      <c r="Z89" s="13">
        <v>3</v>
      </c>
      <c r="AA89" s="13">
        <v>3</v>
      </c>
      <c r="AB89" s="13">
        <v>3</v>
      </c>
      <c r="AC89" s="13">
        <v>3</v>
      </c>
      <c r="AD89" s="13">
        <v>2</v>
      </c>
      <c r="AE89" s="13">
        <v>3</v>
      </c>
      <c r="AF89" s="13">
        <v>3</v>
      </c>
      <c r="AG89" s="16">
        <f>IFERROR(SUMIF(reading[[#This Row],[1st]:[7th]],"&gt;0")/COUNTIF(reading[[#This Row],[1st]:[7th]],"&gt;0"),"")</f>
        <v>2.8571428571428572</v>
      </c>
    </row>
    <row r="90" spans="1:33" hidden="1" x14ac:dyDescent="0.2">
      <c r="A90" s="4">
        <f>IF(B90=1,3,IF(D90=1,2,IF(F90=1,1,0)))</f>
        <v>0</v>
      </c>
      <c r="B90" s="4" t="str">
        <f>IF(C90=$L90,1,IF(C90="","",0))</f>
        <v/>
      </c>
      <c r="C90" s="42"/>
      <c r="D90" s="4" t="str">
        <f>IF(E90=$L90,1,IF(E90="","",0))</f>
        <v/>
      </c>
      <c r="E90" s="18"/>
      <c r="F90" s="4" t="str">
        <f>IF(G90=$L90,1,IF(G90="","",0))</f>
        <v/>
      </c>
      <c r="G90" s="14"/>
      <c r="H90" s="6">
        <v>1837</v>
      </c>
      <c r="I90" s="15" t="s">
        <v>3120</v>
      </c>
      <c r="J90" s="6" t="s">
        <v>4942</v>
      </c>
      <c r="K90" s="6"/>
      <c r="L90" s="6" t="s">
        <v>1915</v>
      </c>
      <c r="M90" s="6" t="s">
        <v>7943</v>
      </c>
      <c r="N90" s="7">
        <f ca="1">RAND()</f>
        <v>0.68520755552299839</v>
      </c>
      <c r="O90" s="8">
        <v>45213</v>
      </c>
      <c r="P90" s="8">
        <v>45214</v>
      </c>
      <c r="Q90" s="8">
        <v>45216</v>
      </c>
      <c r="R90" s="8">
        <v>45220</v>
      </c>
      <c r="S90" s="8">
        <v>45227</v>
      </c>
      <c r="T90" s="8">
        <v>45252</v>
      </c>
      <c r="U90" s="8">
        <v>45783</v>
      </c>
      <c r="V90" s="10">
        <f>COUNTA(O90:U90)</f>
        <v>7</v>
      </c>
      <c r="W90" s="11">
        <f>_xlfn.IFNA(INDEX(reading[[#This Row],[Memo 01]:[Memo 07]],MATCH(0,reading[[#This Row],[Memo 01]:[Memo 07]],-1)),"")</f>
        <v>45783</v>
      </c>
      <c r="X90" s="11">
        <f ca="1">IFERROR(reading[[#This Row],[Previous]]+OFFSET(reading[[#Headers],[Memo 01]],-1,MATCH(0,reading[[#This Row],[Memo 01]:[Memo 07]],-1)-1),"")</f>
        <v>55783</v>
      </c>
      <c r="Y90" s="10" t="str">
        <f ca="1">IF(reading[[#This Row],[Next]]&lt;&gt;"",IF(reading[[#This Row],[Next]]&gt;TODAY(),"OK",""),"")</f>
        <v>OK</v>
      </c>
      <c r="Z90" s="13">
        <v>3</v>
      </c>
      <c r="AA90" s="13">
        <v>3</v>
      </c>
      <c r="AB90" s="13">
        <v>3</v>
      </c>
      <c r="AC90" s="13">
        <v>2</v>
      </c>
      <c r="AD90" s="13">
        <v>2</v>
      </c>
      <c r="AE90" s="13">
        <v>2</v>
      </c>
      <c r="AF90" s="13">
        <v>3</v>
      </c>
      <c r="AG90" s="16">
        <f>IFERROR(SUMIF(reading[[#This Row],[1st]:[7th]],"&gt;0")/COUNTIF(reading[[#This Row],[1st]:[7th]],"&gt;0"),"")</f>
        <v>2.5714285714285716</v>
      </c>
    </row>
    <row r="91" spans="1:33" hidden="1" x14ac:dyDescent="0.2">
      <c r="A91" s="4">
        <f>IF(B91=1,3,IF(D91=1,2,IF(F91=1,1,0)))</f>
        <v>0</v>
      </c>
      <c r="B91" s="4" t="str">
        <f>IF(C91=$L91,1,IF(C91="","",0))</f>
        <v/>
      </c>
      <c r="C91" s="42"/>
      <c r="D91" s="4" t="str">
        <f>IF(E91=$L91,1,IF(E91="","",0))</f>
        <v/>
      </c>
      <c r="E91" s="14"/>
      <c r="F91" s="4" t="str">
        <f>IF(G91=$L91,1,IF(G91="","",0))</f>
        <v/>
      </c>
      <c r="G91" s="14"/>
      <c r="H91" s="6">
        <v>2794</v>
      </c>
      <c r="I91" s="15" t="s">
        <v>3120</v>
      </c>
      <c r="J91" s="6" t="s">
        <v>5837</v>
      </c>
      <c r="K91" s="6"/>
      <c r="L91" s="6" t="s">
        <v>2831</v>
      </c>
      <c r="M91" s="6" t="s">
        <v>8898</v>
      </c>
      <c r="N91" s="7">
        <f ca="1">RAND()</f>
        <v>0.16067709067198843</v>
      </c>
      <c r="O91" s="8">
        <v>45222</v>
      </c>
      <c r="P91" s="8">
        <v>45223</v>
      </c>
      <c r="Q91" s="8">
        <v>45225</v>
      </c>
      <c r="R91" s="8">
        <v>45229</v>
      </c>
      <c r="S91" s="8">
        <v>45236</v>
      </c>
      <c r="T91" s="8">
        <v>45801</v>
      </c>
      <c r="U91" s="8">
        <v>45824</v>
      </c>
      <c r="V91" s="10">
        <f>COUNTA(O91:U91)</f>
        <v>7</v>
      </c>
      <c r="W91" s="11">
        <f>_xlfn.IFNA(INDEX(reading[[#This Row],[Memo 01]:[Memo 07]],MATCH(0,reading[[#This Row],[Memo 01]:[Memo 07]],-1)),"")</f>
        <v>45824</v>
      </c>
      <c r="X91" s="11">
        <f ca="1">IFERROR(reading[[#This Row],[Previous]]+OFFSET(reading[[#Headers],[Memo 01]],-1,MATCH(0,reading[[#This Row],[Memo 01]:[Memo 07]],-1)-1),"")</f>
        <v>55824</v>
      </c>
      <c r="Y91" s="10" t="str">
        <f ca="1">IF(reading[[#This Row],[Next]]&lt;&gt;"",IF(reading[[#This Row],[Next]]&gt;TODAY(),"OK",""),"")</f>
        <v>OK</v>
      </c>
      <c r="Z91" s="13">
        <v>3</v>
      </c>
      <c r="AA91" s="13">
        <v>3</v>
      </c>
      <c r="AB91" s="13">
        <v>3</v>
      </c>
      <c r="AC91" s="13">
        <v>3</v>
      </c>
      <c r="AD91" s="13">
        <v>3</v>
      </c>
      <c r="AE91" s="13">
        <v>3</v>
      </c>
      <c r="AF91" s="13">
        <v>3</v>
      </c>
      <c r="AG91" s="16">
        <f>IFERROR(SUMIF(reading[[#This Row],[1st]:[7th]],"&gt;0")/COUNTIF(reading[[#This Row],[1st]:[7th]],"&gt;0"),"")</f>
        <v>3</v>
      </c>
    </row>
    <row r="92" spans="1:33" hidden="1" x14ac:dyDescent="0.2">
      <c r="A92" s="4">
        <f>IF(B92=1,3,IF(D92=1,2,IF(F92=1,1,0)))</f>
        <v>0</v>
      </c>
      <c r="B92" s="4" t="str">
        <f>IF(C92=$L92,1,IF(C92="","",0))</f>
        <v/>
      </c>
      <c r="C92" s="41"/>
      <c r="D92" s="4" t="str">
        <f>IF(E92=$L92,1,IF(E92="","",0))</f>
        <v/>
      </c>
      <c r="E92" s="18"/>
      <c r="F92" s="4" t="str">
        <f>IF(G92=$L92,1,IF(G92="","",0))</f>
        <v/>
      </c>
      <c r="G92" s="18"/>
      <c r="H92" s="6">
        <v>324</v>
      </c>
      <c r="I92" s="15" t="s">
        <v>3120</v>
      </c>
      <c r="J92" s="6" t="s">
        <v>3471</v>
      </c>
      <c r="K92" s="6"/>
      <c r="L92" s="6" t="s">
        <v>459</v>
      </c>
      <c r="M92" s="6" t="s">
        <v>6433</v>
      </c>
      <c r="N92" s="7">
        <f ca="1">RAND()</f>
        <v>0.75537529994372188</v>
      </c>
      <c r="O92" s="8">
        <v>45200</v>
      </c>
      <c r="P92" s="8">
        <v>45202</v>
      </c>
      <c r="Q92" s="8">
        <v>45204</v>
      </c>
      <c r="R92" s="8">
        <v>45208</v>
      </c>
      <c r="S92" s="8">
        <v>45215</v>
      </c>
      <c r="T92" s="8">
        <v>45227</v>
      </c>
      <c r="U92" s="8">
        <v>45248</v>
      </c>
      <c r="V92" s="10">
        <f>COUNTA(O92:U92)</f>
        <v>7</v>
      </c>
      <c r="W92" s="11">
        <f>_xlfn.IFNA(INDEX(reading[[#This Row],[Memo 01]:[Memo 07]],MATCH(0,reading[[#This Row],[Memo 01]:[Memo 07]],-1)),"")</f>
        <v>45248</v>
      </c>
      <c r="X92" s="11">
        <f ca="1">IFERROR(reading[[#This Row],[Previous]]+OFFSET(reading[[#Headers],[Memo 01]],-1,MATCH(0,reading[[#This Row],[Memo 01]:[Memo 07]],-1)-1),"")</f>
        <v>55248</v>
      </c>
      <c r="Y92" s="10" t="str">
        <f ca="1">IF(reading[[#This Row],[Next]]&lt;&gt;"",IF(reading[[#This Row],[Next]]&gt;TODAY(),"OK",""),"")</f>
        <v>OK</v>
      </c>
      <c r="Z92" s="13">
        <v>3</v>
      </c>
      <c r="AA92" s="13">
        <v>2</v>
      </c>
      <c r="AB92" s="13">
        <v>3</v>
      </c>
      <c r="AC92" s="13">
        <v>2</v>
      </c>
      <c r="AD92" s="13">
        <v>1</v>
      </c>
      <c r="AE92" s="13">
        <v>3</v>
      </c>
      <c r="AF92" s="13">
        <v>3</v>
      </c>
      <c r="AG92" s="16">
        <f>IFERROR(SUMIF(reading[[#This Row],[1st]:[7th]],"&gt;0")/COUNTIF(reading[[#This Row],[1st]:[7th]],"&gt;0"),"")</f>
        <v>2.4285714285714284</v>
      </c>
    </row>
    <row r="93" spans="1:33" hidden="1" x14ac:dyDescent="0.2">
      <c r="A93" s="4">
        <f>IF(B93=1,3,IF(D93=1,2,IF(F93=1,1,0)))</f>
        <v>0</v>
      </c>
      <c r="B93" s="4" t="str">
        <f>IF(C93=$L93,1,IF(C93="","",0))</f>
        <v/>
      </c>
      <c r="C93" s="42"/>
      <c r="D93" s="4" t="str">
        <f>IF(E93=$L93,1,IF(E93="","",0))</f>
        <v/>
      </c>
      <c r="E93" s="14"/>
      <c r="F93" s="4" t="str">
        <f>IF(G93=$L93,1,IF(G93="","",0))</f>
        <v/>
      </c>
      <c r="G93" s="14"/>
      <c r="H93" s="6">
        <v>1641</v>
      </c>
      <c r="I93" s="15" t="s">
        <v>3120</v>
      </c>
      <c r="J93" s="6" t="s">
        <v>4753</v>
      </c>
      <c r="K93" s="6"/>
      <c r="L93" s="6" t="s">
        <v>1723</v>
      </c>
      <c r="M93" s="6" t="s">
        <v>7747</v>
      </c>
      <c r="N93" s="7">
        <f ca="1">RAND()</f>
        <v>1.9742561356078214E-2</v>
      </c>
      <c r="O93" s="8">
        <v>45210</v>
      </c>
      <c r="P93" s="8">
        <v>45211</v>
      </c>
      <c r="Q93" s="8">
        <v>45213</v>
      </c>
      <c r="R93" s="8">
        <v>45217</v>
      </c>
      <c r="S93" s="8">
        <v>45224</v>
      </c>
      <c r="T93" s="8">
        <v>45236</v>
      </c>
      <c r="U93" s="8">
        <v>45783</v>
      </c>
      <c r="V93" s="10">
        <f>COUNTA(O93:U93)</f>
        <v>7</v>
      </c>
      <c r="W93" s="11">
        <f>_xlfn.IFNA(INDEX(reading[[#This Row],[Memo 01]:[Memo 07]],MATCH(0,reading[[#This Row],[Memo 01]:[Memo 07]],-1)),"")</f>
        <v>45783</v>
      </c>
      <c r="X93" s="11">
        <f ca="1">IFERROR(reading[[#This Row],[Previous]]+OFFSET(reading[[#Headers],[Memo 01]],-1,MATCH(0,reading[[#This Row],[Memo 01]:[Memo 07]],-1)-1),"")</f>
        <v>55783</v>
      </c>
      <c r="Y93" s="10" t="str">
        <f ca="1">IF(reading[[#This Row],[Next]]&lt;&gt;"",IF(reading[[#This Row],[Next]]&gt;TODAY(),"OK",""),"")</f>
        <v>OK</v>
      </c>
      <c r="Z93" s="13">
        <v>3</v>
      </c>
      <c r="AA93" s="13">
        <v>3</v>
      </c>
      <c r="AB93" s="13">
        <v>3</v>
      </c>
      <c r="AC93" s="13">
        <v>3</v>
      </c>
      <c r="AD93" s="13">
        <v>3</v>
      </c>
      <c r="AE93" s="13">
        <v>3</v>
      </c>
      <c r="AF93" s="13">
        <v>3</v>
      </c>
      <c r="AG93" s="16">
        <f>IFERROR(SUMIF(reading[[#This Row],[1st]:[7th]],"&gt;0")/COUNTIF(reading[[#This Row],[1st]:[7th]],"&gt;0"),"")</f>
        <v>3</v>
      </c>
    </row>
    <row r="94" spans="1:33" hidden="1" x14ac:dyDescent="0.2">
      <c r="A94" s="4">
        <f>IF(B94=1,3,IF(D94=1,2,IF(F94=1,1,0)))</f>
        <v>0</v>
      </c>
      <c r="B94" s="4" t="str">
        <f>IF(C94=$L94,1,IF(C94="","",0))</f>
        <v/>
      </c>
      <c r="C94" s="18"/>
      <c r="D94" s="4" t="str">
        <f>IF(E94=$L94,1,IF(E94="","",0))</f>
        <v/>
      </c>
      <c r="E94" s="18"/>
      <c r="F94" s="4" t="str">
        <f>IF(G94=$L94,1,IF(G94="","",0))</f>
        <v/>
      </c>
      <c r="G94" s="14"/>
      <c r="H94" s="6">
        <v>75</v>
      </c>
      <c r="I94" s="15" t="s">
        <v>3120</v>
      </c>
      <c r="J94" s="6" t="s">
        <v>3225</v>
      </c>
      <c r="K94" s="6"/>
      <c r="L94" s="6" t="s">
        <v>213</v>
      </c>
      <c r="M94" s="6" t="s">
        <v>6184</v>
      </c>
      <c r="N94" s="7">
        <f ca="1">RAND()</f>
        <v>0.42791151299010932</v>
      </c>
      <c r="O94" s="8">
        <v>45198</v>
      </c>
      <c r="P94" s="8">
        <v>45199</v>
      </c>
      <c r="Q94" s="8">
        <v>45202</v>
      </c>
      <c r="R94" s="8">
        <v>45206</v>
      </c>
      <c r="S94" s="8">
        <v>45213</v>
      </c>
      <c r="T94" s="8">
        <v>45225</v>
      </c>
      <c r="U94" s="8">
        <v>45248</v>
      </c>
      <c r="V94" s="10">
        <f>COUNTA(O94:U94)</f>
        <v>7</v>
      </c>
      <c r="W94" s="11">
        <f>_xlfn.IFNA(INDEX(reading[[#This Row],[Memo 01]:[Memo 07]],MATCH(0,reading[[#This Row],[Memo 01]:[Memo 07]],-1)),"")</f>
        <v>45248</v>
      </c>
      <c r="X94" s="11">
        <f ca="1">IFERROR(reading[[#This Row],[Previous]]+OFFSET(reading[[#Headers],[Memo 01]],-1,MATCH(0,reading[[#This Row],[Memo 01]:[Memo 07]],-1)-1),"")</f>
        <v>55248</v>
      </c>
      <c r="Y94" s="10" t="str">
        <f ca="1">IF(reading[[#This Row],[Next]]&lt;&gt;"",IF(reading[[#This Row],[Next]]&gt;TODAY(),"OK",""),"")</f>
        <v>OK</v>
      </c>
      <c r="Z94" s="13">
        <v>3</v>
      </c>
      <c r="AA94" s="13">
        <v>3</v>
      </c>
      <c r="AB94" s="13">
        <v>2</v>
      </c>
      <c r="AC94" s="13">
        <v>2</v>
      </c>
      <c r="AD94" s="13">
        <v>2</v>
      </c>
      <c r="AE94" s="13">
        <v>2</v>
      </c>
      <c r="AF94" s="13">
        <v>3</v>
      </c>
      <c r="AG94" s="16">
        <f>IFERROR(SUMIF(reading[[#This Row],[1st]:[7th]],"&gt;0")/COUNTIF(reading[[#This Row],[1st]:[7th]],"&gt;0"),"")</f>
        <v>2.4285714285714284</v>
      </c>
    </row>
    <row r="95" spans="1:33" hidden="1" x14ac:dyDescent="0.2">
      <c r="A95" s="4">
        <f>IF(B95=1,3,IF(D95=1,2,IF(F95=1,1,0)))</f>
        <v>0</v>
      </c>
      <c r="B95" s="4" t="str">
        <f>IF(C95=$L95,1,IF(C95="","",0))</f>
        <v/>
      </c>
      <c r="C95" s="42"/>
      <c r="D95" s="4" t="str">
        <f>IF(E95=$L95,1,IF(E95="","",0))</f>
        <v/>
      </c>
      <c r="E95" s="14"/>
      <c r="F95" s="4" t="str">
        <f>IF(G95=$L95,1,IF(G95="","",0))</f>
        <v/>
      </c>
      <c r="G95" s="14"/>
      <c r="H95" s="6">
        <v>1689</v>
      </c>
      <c r="I95" s="15" t="s">
        <v>3120</v>
      </c>
      <c r="J95" s="6" t="s">
        <v>4799</v>
      </c>
      <c r="K95" s="6" t="s">
        <v>3138</v>
      </c>
      <c r="L95" s="6" t="s">
        <v>1769</v>
      </c>
      <c r="M95" s="6" t="s">
        <v>7795</v>
      </c>
      <c r="N95" s="7">
        <f ca="1">RAND()</f>
        <v>0.96860156384759832</v>
      </c>
      <c r="O95" s="8">
        <v>45210</v>
      </c>
      <c r="P95" s="8">
        <v>45211</v>
      </c>
      <c r="Q95" s="8">
        <v>45213</v>
      </c>
      <c r="R95" s="8">
        <v>45217</v>
      </c>
      <c r="S95" s="8">
        <v>45224</v>
      </c>
      <c r="T95" s="8">
        <v>45236</v>
      </c>
      <c r="U95" s="8">
        <v>45783</v>
      </c>
      <c r="V95" s="10">
        <f>COUNTA(O95:U95)</f>
        <v>7</v>
      </c>
      <c r="W95" s="11">
        <f>_xlfn.IFNA(INDEX(reading[[#This Row],[Memo 01]:[Memo 07]],MATCH(0,reading[[#This Row],[Memo 01]:[Memo 07]],-1)),"")</f>
        <v>45783</v>
      </c>
      <c r="X95" s="11">
        <f ca="1">IFERROR(reading[[#This Row],[Previous]]+OFFSET(reading[[#Headers],[Memo 01]],-1,MATCH(0,reading[[#This Row],[Memo 01]:[Memo 07]],-1)-1),"")</f>
        <v>55783</v>
      </c>
      <c r="Y95" s="10" t="str">
        <f ca="1">IF(reading[[#This Row],[Next]]&lt;&gt;"",IF(reading[[#This Row],[Next]]&gt;TODAY(),"OK",""),"")</f>
        <v>OK</v>
      </c>
      <c r="Z95" s="13">
        <v>3</v>
      </c>
      <c r="AA95" s="13">
        <v>3</v>
      </c>
      <c r="AB95" s="13">
        <v>3</v>
      </c>
      <c r="AC95" s="13">
        <v>3</v>
      </c>
      <c r="AD95" s="13">
        <v>3</v>
      </c>
      <c r="AE95" s="13">
        <v>3</v>
      </c>
      <c r="AF95" s="13">
        <v>3</v>
      </c>
      <c r="AG95" s="16">
        <f>IFERROR(SUMIF(reading[[#This Row],[1st]:[7th]],"&gt;0")/COUNTIF(reading[[#This Row],[1st]:[7th]],"&gt;0"),"")</f>
        <v>3</v>
      </c>
    </row>
    <row r="96" spans="1:33" hidden="1" x14ac:dyDescent="0.2">
      <c r="A96" s="4">
        <f>IF(B96=1,3,IF(D96=1,2,IF(F96=1,1,0)))</f>
        <v>0</v>
      </c>
      <c r="B96" s="4" t="str">
        <f>IF(C96=$L96,1,IF(C96="","",0))</f>
        <v/>
      </c>
      <c r="C96" s="42"/>
      <c r="D96" s="4" t="str">
        <f>IF(E96=$L96,1,IF(E96="","",0))</f>
        <v/>
      </c>
      <c r="E96" s="14"/>
      <c r="F96" s="4" t="str">
        <f>IF(G96=$L96,1,IF(G96="","",0))</f>
        <v/>
      </c>
      <c r="G96" s="14"/>
      <c r="H96" s="6">
        <v>1709</v>
      </c>
      <c r="I96" s="15" t="s">
        <v>3120</v>
      </c>
      <c r="J96" s="6" t="s">
        <v>4818</v>
      </c>
      <c r="K96" s="6" t="s">
        <v>3138</v>
      </c>
      <c r="L96" s="6" t="s">
        <v>1789</v>
      </c>
      <c r="M96" s="6" t="s">
        <v>7815</v>
      </c>
      <c r="N96" s="7">
        <f ca="1">RAND()</f>
        <v>0.96786020606129575</v>
      </c>
      <c r="O96" s="8">
        <v>45211</v>
      </c>
      <c r="P96" s="8">
        <v>45212</v>
      </c>
      <c r="Q96" s="8">
        <v>45214</v>
      </c>
      <c r="R96" s="8">
        <v>45218</v>
      </c>
      <c r="S96" s="8">
        <v>45225</v>
      </c>
      <c r="T96" s="8">
        <v>45237</v>
      </c>
      <c r="U96" s="8">
        <v>45783</v>
      </c>
      <c r="V96" s="10">
        <f>COUNTA(O96:U96)</f>
        <v>7</v>
      </c>
      <c r="W96" s="11">
        <f>_xlfn.IFNA(INDEX(reading[[#This Row],[Memo 01]:[Memo 07]],MATCH(0,reading[[#This Row],[Memo 01]:[Memo 07]],-1)),"")</f>
        <v>45783</v>
      </c>
      <c r="X96" s="11">
        <f ca="1">IFERROR(reading[[#This Row],[Previous]]+OFFSET(reading[[#Headers],[Memo 01]],-1,MATCH(0,reading[[#This Row],[Memo 01]:[Memo 07]],-1)-1),"")</f>
        <v>55783</v>
      </c>
      <c r="Y96" s="10" t="str">
        <f ca="1">IF(reading[[#This Row],[Next]]&lt;&gt;"",IF(reading[[#This Row],[Next]]&gt;TODAY(),"OK",""),"")</f>
        <v>OK</v>
      </c>
      <c r="Z96" s="13">
        <v>3</v>
      </c>
      <c r="AA96" s="13">
        <v>3</v>
      </c>
      <c r="AB96" s="13">
        <v>3</v>
      </c>
      <c r="AC96" s="13">
        <v>3</v>
      </c>
      <c r="AD96" s="13">
        <v>3</v>
      </c>
      <c r="AE96" s="13">
        <v>3</v>
      </c>
      <c r="AF96" s="13">
        <v>3</v>
      </c>
      <c r="AG96" s="16">
        <f>IFERROR(SUMIF(reading[[#This Row],[1st]:[7th]],"&gt;0")/COUNTIF(reading[[#This Row],[1st]:[7th]],"&gt;0"),"")</f>
        <v>3</v>
      </c>
    </row>
    <row r="97" spans="1:33" hidden="1" x14ac:dyDescent="0.2">
      <c r="A97" s="4">
        <f>IF(B97=1,3,IF(D97=1,2,IF(F97=1,1,0)))</f>
        <v>0</v>
      </c>
      <c r="B97" s="4" t="str">
        <f>IF(C97=$L97,1,IF(C97="","",0))</f>
        <v/>
      </c>
      <c r="C97" s="41"/>
      <c r="D97" s="4" t="str">
        <f>IF(E97=$L97,1,IF(E97="","",0))</f>
        <v/>
      </c>
      <c r="E97" s="23"/>
      <c r="F97" s="4" t="str">
        <f>IF(G97=$L97,1,IF(G97="","",0))</f>
        <v/>
      </c>
      <c r="G97" s="14"/>
      <c r="H97" s="6">
        <v>434</v>
      </c>
      <c r="I97" s="15" t="s">
        <v>3120</v>
      </c>
      <c r="J97" s="6" t="s">
        <v>3580</v>
      </c>
      <c r="K97" s="6"/>
      <c r="L97" s="6" t="s">
        <v>564</v>
      </c>
      <c r="M97" s="6" t="s">
        <v>6543</v>
      </c>
      <c r="N97" s="7">
        <f ca="1">RAND()</f>
        <v>0.68366180978507962</v>
      </c>
      <c r="O97" s="8">
        <v>45202</v>
      </c>
      <c r="P97" s="8">
        <v>45203</v>
      </c>
      <c r="Q97" s="8">
        <v>45205</v>
      </c>
      <c r="R97" s="8">
        <v>45209</v>
      </c>
      <c r="S97" s="8">
        <v>45216</v>
      </c>
      <c r="T97" s="8">
        <v>45228</v>
      </c>
      <c r="U97" s="8">
        <v>45248</v>
      </c>
      <c r="V97" s="10">
        <f>COUNTA(O97:U97)</f>
        <v>7</v>
      </c>
      <c r="W97" s="11">
        <f>_xlfn.IFNA(INDEX(reading[[#This Row],[Memo 01]:[Memo 07]],MATCH(0,reading[[#This Row],[Memo 01]:[Memo 07]],-1)),"")</f>
        <v>45248</v>
      </c>
      <c r="X97" s="11">
        <f ca="1">IFERROR(reading[[#This Row],[Previous]]+OFFSET(reading[[#Headers],[Memo 01]],-1,MATCH(0,reading[[#This Row],[Memo 01]:[Memo 07]],-1)-1),"")</f>
        <v>55248</v>
      </c>
      <c r="Y97" s="10" t="str">
        <f ca="1">IF(reading[[#This Row],[Next]]&lt;&gt;"",IF(reading[[#This Row],[Next]]&gt;TODAY(),"OK",""),"")</f>
        <v>OK</v>
      </c>
      <c r="Z97" s="13">
        <v>3</v>
      </c>
      <c r="AA97" s="13">
        <v>3</v>
      </c>
      <c r="AB97" s="13">
        <v>2</v>
      </c>
      <c r="AC97" s="13">
        <v>2</v>
      </c>
      <c r="AD97" s="13">
        <v>2</v>
      </c>
      <c r="AE97" s="13">
        <v>2</v>
      </c>
      <c r="AF97" s="13">
        <v>3</v>
      </c>
      <c r="AG97" s="16">
        <f>IFERROR(SUMIF(reading[[#This Row],[1st]:[7th]],"&gt;0")/COUNTIF(reading[[#This Row],[1st]:[7th]],"&gt;0"),"")</f>
        <v>2.4285714285714284</v>
      </c>
    </row>
    <row r="98" spans="1:33" hidden="1" x14ac:dyDescent="0.2">
      <c r="A98" s="4">
        <f>IF(B98=1,3,IF(D98=1,2,IF(F98=1,1,0)))</f>
        <v>0</v>
      </c>
      <c r="B98" s="4" t="str">
        <f>IF(C98=$L98,1,IF(C98="","",0))</f>
        <v/>
      </c>
      <c r="C98" s="18"/>
      <c r="D98" s="4" t="str">
        <f>IF(E98=$L98,1,IF(E98="","",0))</f>
        <v/>
      </c>
      <c r="E98" s="18"/>
      <c r="F98" s="4" t="str">
        <f>IF(G98=$L98,1,IF(G98="","",0))</f>
        <v/>
      </c>
      <c r="G98" s="18"/>
      <c r="H98" s="6">
        <v>51</v>
      </c>
      <c r="I98" s="15" t="s">
        <v>3120</v>
      </c>
      <c r="J98" s="6" t="s">
        <v>3206</v>
      </c>
      <c r="K98" s="6"/>
      <c r="L98" s="6" t="s">
        <v>194</v>
      </c>
      <c r="M98" s="6" t="s">
        <v>6165</v>
      </c>
      <c r="N98" s="7">
        <f ca="1">RAND()</f>
        <v>0.26176334479719732</v>
      </c>
      <c r="O98" s="8">
        <v>45198</v>
      </c>
      <c r="P98" s="8">
        <v>45199</v>
      </c>
      <c r="Q98" s="8">
        <v>45202</v>
      </c>
      <c r="R98" s="8">
        <v>45206</v>
      </c>
      <c r="S98" s="8">
        <v>45213</v>
      </c>
      <c r="T98" s="8">
        <v>45225</v>
      </c>
      <c r="U98" s="8">
        <v>45248</v>
      </c>
      <c r="V98" s="10">
        <f>COUNTA(O98:U98)</f>
        <v>7</v>
      </c>
      <c r="W98" s="11">
        <f>_xlfn.IFNA(INDEX(reading[[#This Row],[Memo 01]:[Memo 07]],MATCH(0,reading[[#This Row],[Memo 01]:[Memo 07]],-1)),"")</f>
        <v>45248</v>
      </c>
      <c r="X98" s="11">
        <f ca="1">IFERROR(reading[[#This Row],[Previous]]+OFFSET(reading[[#Headers],[Memo 01]],-1,MATCH(0,reading[[#This Row],[Memo 01]:[Memo 07]],-1)-1),"")</f>
        <v>55248</v>
      </c>
      <c r="Y98" s="10" t="str">
        <f ca="1">IF(reading[[#This Row],[Next]]&lt;&gt;"",IF(reading[[#This Row],[Next]]&gt;TODAY(),"OK",""),"")</f>
        <v>OK</v>
      </c>
      <c r="Z98" s="13">
        <v>3</v>
      </c>
      <c r="AA98" s="13">
        <v>3</v>
      </c>
      <c r="AB98" s="13">
        <v>2</v>
      </c>
      <c r="AC98" s="13">
        <v>3</v>
      </c>
      <c r="AD98" s="13">
        <v>1</v>
      </c>
      <c r="AE98" s="13">
        <v>2</v>
      </c>
      <c r="AF98" s="13">
        <v>3</v>
      </c>
      <c r="AG98" s="16">
        <f>IFERROR(SUMIF(reading[[#This Row],[1st]:[7th]],"&gt;0")/COUNTIF(reading[[#This Row],[1st]:[7th]],"&gt;0"),"")</f>
        <v>2.4285714285714284</v>
      </c>
    </row>
    <row r="99" spans="1:33" hidden="1" x14ac:dyDescent="0.2">
      <c r="A99" s="4">
        <f>IF(B99=1,3,IF(D99=1,2,IF(F99=1,1,0)))</f>
        <v>0</v>
      </c>
      <c r="B99" s="4" t="str">
        <f>IF(C99=$L99,1,IF(C99="","",0))</f>
        <v/>
      </c>
      <c r="C99" s="41"/>
      <c r="D99" s="4" t="str">
        <f>IF(E99=$L99,1,IF(E99="","",0))</f>
        <v/>
      </c>
      <c r="E99" s="18"/>
      <c r="F99" s="4" t="str">
        <f>IF(G99=$L99,1,IF(G99="","",0))</f>
        <v/>
      </c>
      <c r="G99" s="18"/>
      <c r="H99" s="6">
        <v>175</v>
      </c>
      <c r="I99" s="15" t="s">
        <v>3120</v>
      </c>
      <c r="J99" s="6" t="s">
        <v>3324</v>
      </c>
      <c r="K99" s="15" t="s">
        <v>3138</v>
      </c>
      <c r="L99" s="6" t="s">
        <v>312</v>
      </c>
      <c r="M99" s="6" t="s">
        <v>6284</v>
      </c>
      <c r="N99" s="7">
        <f ca="1">RAND()</f>
        <v>0.21469780941409544</v>
      </c>
      <c r="O99" s="8">
        <v>45199</v>
      </c>
      <c r="P99" s="8">
        <v>45200</v>
      </c>
      <c r="Q99" s="8">
        <v>45202</v>
      </c>
      <c r="R99" s="8">
        <v>45206</v>
      </c>
      <c r="S99" s="8">
        <v>45213</v>
      </c>
      <c r="T99" s="8">
        <v>45226</v>
      </c>
      <c r="U99" s="8">
        <v>45248</v>
      </c>
      <c r="V99" s="10">
        <f>COUNTA(O99:U99)</f>
        <v>7</v>
      </c>
      <c r="W99" s="11">
        <f>_xlfn.IFNA(INDEX(reading[[#This Row],[Memo 01]:[Memo 07]],MATCH(0,reading[[#This Row],[Memo 01]:[Memo 07]],-1)),"")</f>
        <v>45248</v>
      </c>
      <c r="X99" s="11">
        <f ca="1">IFERROR(reading[[#This Row],[Previous]]+OFFSET(reading[[#Headers],[Memo 01]],-1,MATCH(0,reading[[#This Row],[Memo 01]:[Memo 07]],-1)-1),"")</f>
        <v>55248</v>
      </c>
      <c r="Y99" s="10" t="str">
        <f ca="1">IF(reading[[#This Row],[Next]]&lt;&gt;"",IF(reading[[#This Row],[Next]]&gt;TODAY(),"OK",""),"")</f>
        <v>OK</v>
      </c>
      <c r="Z99" s="13">
        <v>3</v>
      </c>
      <c r="AA99" s="13">
        <v>2</v>
      </c>
      <c r="AB99" s="13">
        <v>3</v>
      </c>
      <c r="AC99" s="13">
        <v>3</v>
      </c>
      <c r="AD99" s="13">
        <v>2</v>
      </c>
      <c r="AE99" s="13">
        <v>1</v>
      </c>
      <c r="AF99" s="13">
        <v>3</v>
      </c>
      <c r="AG99" s="16">
        <f>IFERROR(SUMIF(reading[[#This Row],[1st]:[7th]],"&gt;0")/COUNTIF(reading[[#This Row],[1st]:[7th]],"&gt;0"),"")</f>
        <v>2.4285714285714284</v>
      </c>
    </row>
    <row r="100" spans="1:33" hidden="1" x14ac:dyDescent="0.2">
      <c r="A100" s="4">
        <f>IF(B100=1,3,IF(D100=1,2,IF(F100=1,1,0)))</f>
        <v>0</v>
      </c>
      <c r="B100" s="4" t="str">
        <f>IF(C100=$L100,1,IF(C100="","",0))</f>
        <v/>
      </c>
      <c r="C100" s="41"/>
      <c r="D100" s="4" t="str">
        <f>IF(E100=$L100,1,IF(E100="","",0))</f>
        <v/>
      </c>
      <c r="E100" s="23"/>
      <c r="F100" s="4" t="str">
        <f>IF(G100=$L100,1,IF(G100="","",0))</f>
        <v/>
      </c>
      <c r="G100" s="14"/>
      <c r="H100" s="6">
        <v>178</v>
      </c>
      <c r="I100" s="15" t="s">
        <v>3120</v>
      </c>
      <c r="J100" s="6" t="s">
        <v>3327</v>
      </c>
      <c r="K100" s="15" t="s">
        <v>3138</v>
      </c>
      <c r="L100" s="6" t="s">
        <v>315</v>
      </c>
      <c r="M100" s="6" t="s">
        <v>6287</v>
      </c>
      <c r="N100" s="7">
        <f ca="1">RAND()</f>
        <v>0.93213249767192663</v>
      </c>
      <c r="O100" s="8">
        <v>45199</v>
      </c>
      <c r="P100" s="8">
        <v>45200</v>
      </c>
      <c r="Q100" s="8">
        <v>45202</v>
      </c>
      <c r="R100" s="8">
        <v>45206</v>
      </c>
      <c r="S100" s="8">
        <v>45213</v>
      </c>
      <c r="T100" s="8">
        <v>45225</v>
      </c>
      <c r="U100" s="8">
        <v>45250</v>
      </c>
      <c r="V100" s="10">
        <f>COUNTA(O100:U100)</f>
        <v>7</v>
      </c>
      <c r="W100" s="11">
        <f>_xlfn.IFNA(INDEX(reading[[#This Row],[Memo 01]:[Memo 07]],MATCH(0,reading[[#This Row],[Memo 01]:[Memo 07]],-1)),"")</f>
        <v>45250</v>
      </c>
      <c r="X100" s="11">
        <f ca="1">IFERROR(reading[[#This Row],[Previous]]+OFFSET(reading[[#Headers],[Memo 01]],-1,MATCH(0,reading[[#This Row],[Memo 01]:[Memo 07]],-1)-1),"")</f>
        <v>55250</v>
      </c>
      <c r="Y100" s="10" t="str">
        <f ca="1">IF(reading[[#This Row],[Next]]&lt;&gt;"",IF(reading[[#This Row],[Next]]&gt;TODAY(),"OK",""),"")</f>
        <v>OK</v>
      </c>
      <c r="Z100" s="13">
        <v>3</v>
      </c>
      <c r="AA100" s="13">
        <v>3</v>
      </c>
      <c r="AB100" s="13">
        <v>3</v>
      </c>
      <c r="AC100" s="13">
        <v>2</v>
      </c>
      <c r="AD100" s="13">
        <v>2</v>
      </c>
      <c r="AE100" s="13">
        <v>2</v>
      </c>
      <c r="AF100" s="13">
        <v>2</v>
      </c>
      <c r="AG100" s="16">
        <f>IFERROR(SUMIF(reading[[#This Row],[1st]:[7th]],"&gt;0")/COUNTIF(reading[[#This Row],[1st]:[7th]],"&gt;0"),"")</f>
        <v>2.4285714285714284</v>
      </c>
    </row>
    <row r="101" spans="1:33" hidden="1" x14ac:dyDescent="0.2">
      <c r="A101" s="4">
        <f>IF(B101=1,3,IF(D101=1,2,IF(F101=1,1,0)))</f>
        <v>3</v>
      </c>
      <c r="B101" s="4">
        <f>IF(C101=$L101,1,IF(C101="","",0))</f>
        <v>1</v>
      </c>
      <c r="C101" s="20" t="s">
        <v>241</v>
      </c>
      <c r="D101" s="4" t="str">
        <f>IF(E101=$L101,1,IF(E101="","",0))</f>
        <v/>
      </c>
      <c r="E101" s="14"/>
      <c r="F101" s="4" t="str">
        <f>IF(G101=$L101,1,IF(G101="","",0))</f>
        <v/>
      </c>
      <c r="G101" s="14"/>
      <c r="H101" s="6">
        <v>104</v>
      </c>
      <c r="I101" s="15" t="s">
        <v>3120</v>
      </c>
      <c r="J101" s="6" t="s">
        <v>3253</v>
      </c>
      <c r="K101" s="6"/>
      <c r="L101" s="6" t="s">
        <v>241</v>
      </c>
      <c r="M101" s="6" t="s">
        <v>6213</v>
      </c>
      <c r="N101" s="7">
        <f ca="1">RAND()</f>
        <v>0.53266909840822207</v>
      </c>
      <c r="O101" s="8">
        <v>45199</v>
      </c>
      <c r="P101" s="8">
        <v>45199</v>
      </c>
      <c r="Q101" s="8">
        <v>45199</v>
      </c>
      <c r="R101" s="8">
        <v>45199</v>
      </c>
      <c r="S101" s="8">
        <v>45199</v>
      </c>
      <c r="T101" s="8">
        <v>45199</v>
      </c>
      <c r="U101" s="8">
        <v>45199</v>
      </c>
      <c r="V101" s="10">
        <f>COUNTA(O101:U101)</f>
        <v>7</v>
      </c>
      <c r="W101" s="11">
        <f>_xlfn.IFNA(INDEX(reading[[#This Row],[Memo 01]:[Memo 07]],MATCH(0,reading[[#This Row],[Memo 01]:[Memo 07]],-1)),"")</f>
        <v>45199</v>
      </c>
      <c r="X101" s="11">
        <f ca="1">IFERROR(reading[[#This Row],[Previous]]+OFFSET(reading[[#Headers],[Memo 01]],-1,MATCH(0,reading[[#This Row],[Memo 01]:[Memo 07]],-1)-1),"")</f>
        <v>55199</v>
      </c>
      <c r="Y101" s="10" t="str">
        <f ca="1">IF(reading[[#This Row],[Next]]&lt;&gt;"",IF(reading[[#This Row],[Next]]&gt;TODAY(),"OK",""),"")</f>
        <v>OK</v>
      </c>
      <c r="Z101" s="13">
        <v>3</v>
      </c>
      <c r="AA101" s="13"/>
      <c r="AB101" s="13"/>
      <c r="AC101" s="13"/>
      <c r="AD101" s="13"/>
      <c r="AE101" s="13"/>
      <c r="AF101" s="13"/>
      <c r="AG101" s="16">
        <f>IFERROR(SUMIF(reading[[#This Row],[1st]:[7th]],"&gt;0")/COUNTIF(reading[[#This Row],[1st]:[7th]],"&gt;0"),"")</f>
        <v>3</v>
      </c>
    </row>
    <row r="102" spans="1:33" hidden="1" x14ac:dyDescent="0.2">
      <c r="A102" s="4">
        <f>IF(B102=1,3,IF(D102=1,2,IF(F102=1,1,0)))</f>
        <v>3</v>
      </c>
      <c r="B102" s="4">
        <f>IF(C102=$L102,1,IF(C102="","",0))</f>
        <v>1</v>
      </c>
      <c r="C102" s="20" t="s">
        <v>242</v>
      </c>
      <c r="D102" s="4" t="str">
        <f>IF(E102=$L102,1,IF(E102="","",0))</f>
        <v/>
      </c>
      <c r="E102" s="14"/>
      <c r="F102" s="4" t="str">
        <f>IF(G102=$L102,1,IF(G102="","",0))</f>
        <v/>
      </c>
      <c r="G102" s="14"/>
      <c r="H102" s="6">
        <v>105</v>
      </c>
      <c r="I102" s="15" t="s">
        <v>3120</v>
      </c>
      <c r="J102" s="6" t="s">
        <v>3254</v>
      </c>
      <c r="K102" s="6"/>
      <c r="L102" s="6" t="s">
        <v>242</v>
      </c>
      <c r="M102" s="6" t="s">
        <v>6214</v>
      </c>
      <c r="N102" s="7">
        <f ca="1">RAND()</f>
        <v>0.76368894925899622</v>
      </c>
      <c r="O102" s="8">
        <v>45199</v>
      </c>
      <c r="P102" s="8">
        <v>45199</v>
      </c>
      <c r="Q102" s="8">
        <v>45199</v>
      </c>
      <c r="R102" s="8">
        <v>45199</v>
      </c>
      <c r="S102" s="8">
        <v>45199</v>
      </c>
      <c r="T102" s="8">
        <v>45199</v>
      </c>
      <c r="U102" s="8">
        <v>45199</v>
      </c>
      <c r="V102" s="10">
        <f>COUNTA(O102:U102)</f>
        <v>7</v>
      </c>
      <c r="W102" s="11">
        <f>_xlfn.IFNA(INDEX(reading[[#This Row],[Memo 01]:[Memo 07]],MATCH(0,reading[[#This Row],[Memo 01]:[Memo 07]],-1)),"")</f>
        <v>45199</v>
      </c>
      <c r="X102" s="11">
        <f ca="1">IFERROR(reading[[#This Row],[Previous]]+OFFSET(reading[[#Headers],[Memo 01]],-1,MATCH(0,reading[[#This Row],[Memo 01]:[Memo 07]],-1)-1),"")</f>
        <v>55199</v>
      </c>
      <c r="Y102" s="10" t="str">
        <f ca="1">IF(reading[[#This Row],[Next]]&lt;&gt;"",IF(reading[[#This Row],[Next]]&gt;TODAY(),"OK",""),"")</f>
        <v>OK</v>
      </c>
      <c r="Z102" s="13">
        <v>3</v>
      </c>
      <c r="AA102" s="13"/>
      <c r="AB102" s="13"/>
      <c r="AC102" s="13"/>
      <c r="AD102" s="13"/>
      <c r="AE102" s="13"/>
      <c r="AF102" s="13"/>
      <c r="AG102" s="16">
        <f>IFERROR(SUMIF(reading[[#This Row],[1st]:[7th]],"&gt;0")/COUNTIF(reading[[#This Row],[1st]:[7th]],"&gt;0"),"")</f>
        <v>3</v>
      </c>
    </row>
    <row r="103" spans="1:33" hidden="1" x14ac:dyDescent="0.2">
      <c r="A103" s="4">
        <f>IF(B103=1,3,IF(D103=1,2,IF(F103=1,1,0)))</f>
        <v>0</v>
      </c>
      <c r="B103" s="4" t="str">
        <f>IF(C103=$L103,1,IF(C103="","",0))</f>
        <v/>
      </c>
      <c r="C103" s="42"/>
      <c r="D103" s="4" t="str">
        <f>IF(E103=$L103,1,IF(E103="","",0))</f>
        <v/>
      </c>
      <c r="E103" s="14"/>
      <c r="F103" s="4" t="str">
        <f>IF(G103=$L103,1,IF(G103="","",0))</f>
        <v/>
      </c>
      <c r="G103" s="14"/>
      <c r="H103" s="6">
        <v>1593</v>
      </c>
      <c r="I103" s="15" t="s">
        <v>3120</v>
      </c>
      <c r="J103" s="6" t="s">
        <v>4705</v>
      </c>
      <c r="K103" s="6"/>
      <c r="L103" s="6" t="s">
        <v>1676</v>
      </c>
      <c r="M103" s="6" t="s">
        <v>7699</v>
      </c>
      <c r="N103" s="7">
        <f ca="1">RAND()</f>
        <v>0.6195726045549057</v>
      </c>
      <c r="O103" s="8">
        <v>45209</v>
      </c>
      <c r="P103" s="8">
        <v>45210</v>
      </c>
      <c r="Q103" s="8">
        <v>45212</v>
      </c>
      <c r="R103" s="8">
        <v>45216</v>
      </c>
      <c r="S103" s="8">
        <v>45223</v>
      </c>
      <c r="T103" s="8">
        <v>45235</v>
      </c>
      <c r="U103" s="8">
        <v>45783</v>
      </c>
      <c r="V103" s="10">
        <f>COUNTA(O103:U103)</f>
        <v>7</v>
      </c>
      <c r="W103" s="11">
        <f>_xlfn.IFNA(INDEX(reading[[#This Row],[Memo 01]:[Memo 07]],MATCH(0,reading[[#This Row],[Memo 01]:[Memo 07]],-1)),"")</f>
        <v>45783</v>
      </c>
      <c r="X103" s="11">
        <f ca="1">IFERROR(reading[[#This Row],[Previous]]+OFFSET(reading[[#Headers],[Memo 01]],-1,MATCH(0,reading[[#This Row],[Memo 01]:[Memo 07]],-1)-1),"")</f>
        <v>55783</v>
      </c>
      <c r="Y103" s="10" t="str">
        <f ca="1">IF(reading[[#This Row],[Next]]&lt;&gt;"",IF(reading[[#This Row],[Next]]&gt;TODAY(),"OK",""),"")</f>
        <v>OK</v>
      </c>
      <c r="Z103" s="13">
        <v>3</v>
      </c>
      <c r="AA103" s="13">
        <v>3</v>
      </c>
      <c r="AB103" s="13">
        <v>3</v>
      </c>
      <c r="AC103" s="13">
        <v>3</v>
      </c>
      <c r="AD103" s="13">
        <v>3</v>
      </c>
      <c r="AE103" s="13">
        <v>3</v>
      </c>
      <c r="AF103" s="13">
        <v>3</v>
      </c>
      <c r="AG103" s="16">
        <f>IFERROR(SUMIF(reading[[#This Row],[1st]:[7th]],"&gt;0")/COUNTIF(reading[[#This Row],[1st]:[7th]],"&gt;0"),"")</f>
        <v>3</v>
      </c>
    </row>
    <row r="104" spans="1:33" hidden="1" x14ac:dyDescent="0.2">
      <c r="A104" s="4">
        <f>IF(B104=1,3,IF(D104=1,2,IF(F104=1,1,0)))</f>
        <v>3</v>
      </c>
      <c r="B104" s="4">
        <f>IF(C104=$L104,1,IF(C104="","",0))</f>
        <v>1</v>
      </c>
      <c r="C104" s="20" t="s">
        <v>244</v>
      </c>
      <c r="D104" s="4" t="str">
        <f>IF(E104=$L104,1,IF(E104="","",0))</f>
        <v/>
      </c>
      <c r="E104" s="14"/>
      <c r="F104" s="4" t="str">
        <f>IF(G104=$L104,1,IF(G104="","",0))</f>
        <v/>
      </c>
      <c r="G104" s="14"/>
      <c r="H104" s="6">
        <v>107</v>
      </c>
      <c r="I104" s="15" t="s">
        <v>3120</v>
      </c>
      <c r="J104" s="6" t="s">
        <v>3256</v>
      </c>
      <c r="K104" s="6"/>
      <c r="L104" s="6" t="s">
        <v>244</v>
      </c>
      <c r="M104" s="6" t="s">
        <v>6216</v>
      </c>
      <c r="N104" s="7">
        <f ca="1">RAND()</f>
        <v>0.68552757873239756</v>
      </c>
      <c r="O104" s="8">
        <v>45199</v>
      </c>
      <c r="P104" s="8">
        <v>45199</v>
      </c>
      <c r="Q104" s="8">
        <v>45199</v>
      </c>
      <c r="R104" s="8">
        <v>45199</v>
      </c>
      <c r="S104" s="8">
        <v>45199</v>
      </c>
      <c r="T104" s="8">
        <v>45199</v>
      </c>
      <c r="U104" s="8">
        <v>45199</v>
      </c>
      <c r="V104" s="10">
        <f>COUNTA(O104:U104)</f>
        <v>7</v>
      </c>
      <c r="W104" s="11">
        <f>_xlfn.IFNA(INDEX(reading[[#This Row],[Memo 01]:[Memo 07]],MATCH(0,reading[[#This Row],[Memo 01]:[Memo 07]],-1)),"")</f>
        <v>45199</v>
      </c>
      <c r="X104" s="11">
        <f ca="1">IFERROR(reading[[#This Row],[Previous]]+OFFSET(reading[[#Headers],[Memo 01]],-1,MATCH(0,reading[[#This Row],[Memo 01]:[Memo 07]],-1)-1),"")</f>
        <v>55199</v>
      </c>
      <c r="Y104" s="10" t="str">
        <f ca="1">IF(reading[[#This Row],[Next]]&lt;&gt;"",IF(reading[[#This Row],[Next]]&gt;TODAY(),"OK",""),"")</f>
        <v>OK</v>
      </c>
      <c r="Z104" s="13">
        <v>3</v>
      </c>
      <c r="AA104" s="13"/>
      <c r="AB104" s="13"/>
      <c r="AC104" s="13"/>
      <c r="AD104" s="13"/>
      <c r="AE104" s="13"/>
      <c r="AF104" s="13"/>
      <c r="AG104" s="16">
        <f>IFERROR(SUMIF(reading[[#This Row],[1st]:[7th]],"&gt;0")/COUNTIF(reading[[#This Row],[1st]:[7th]],"&gt;0"),"")</f>
        <v>3</v>
      </c>
    </row>
    <row r="105" spans="1:33" hidden="1" x14ac:dyDescent="0.2">
      <c r="A105" s="4">
        <f>IF(B105=1,3,IF(D105=1,2,IF(F105=1,1,0)))</f>
        <v>0</v>
      </c>
      <c r="B105" s="4" t="str">
        <f>IF(C105=$L105,1,IF(C105="","",0))</f>
        <v/>
      </c>
      <c r="C105" s="18"/>
      <c r="D105" s="4" t="str">
        <f>IF(E105=$L105,1,IF(E105="","",0))</f>
        <v/>
      </c>
      <c r="E105" s="18"/>
      <c r="F105" s="4" t="str">
        <f>IF(G105=$L105,1,IF(G105="","",0))</f>
        <v/>
      </c>
      <c r="G105" s="14"/>
      <c r="H105" s="6">
        <v>183</v>
      </c>
      <c r="I105" s="15" t="s">
        <v>3120</v>
      </c>
      <c r="J105" s="6" t="s">
        <v>3332</v>
      </c>
      <c r="K105" s="6"/>
      <c r="L105" s="6" t="s">
        <v>320</v>
      </c>
      <c r="M105" s="6" t="s">
        <v>6292</v>
      </c>
      <c r="N105" s="7">
        <f ca="1">RAND()</f>
        <v>0.18060199798518872</v>
      </c>
      <c r="O105" s="8">
        <v>45199</v>
      </c>
      <c r="P105" s="8">
        <v>45200</v>
      </c>
      <c r="Q105" s="8">
        <v>45202</v>
      </c>
      <c r="R105" s="8">
        <v>45206</v>
      </c>
      <c r="S105" s="8">
        <v>45213</v>
      </c>
      <c r="T105" s="8">
        <v>45225</v>
      </c>
      <c r="U105" s="8">
        <v>45248</v>
      </c>
      <c r="V105" s="10">
        <f>COUNTA(O105:U105)</f>
        <v>7</v>
      </c>
      <c r="W105" s="11">
        <f>_xlfn.IFNA(INDEX(reading[[#This Row],[Memo 01]:[Memo 07]],MATCH(0,reading[[#This Row],[Memo 01]:[Memo 07]],-1)),"")</f>
        <v>45248</v>
      </c>
      <c r="X105" s="11">
        <f ca="1">IFERROR(reading[[#This Row],[Previous]]+OFFSET(reading[[#Headers],[Memo 01]],-1,MATCH(0,reading[[#This Row],[Memo 01]:[Memo 07]],-1)-1),"")</f>
        <v>55248</v>
      </c>
      <c r="Y105" s="10" t="str">
        <f ca="1">IF(reading[[#This Row],[Next]]&lt;&gt;"",IF(reading[[#This Row],[Next]]&gt;TODAY(),"OK",""),"")</f>
        <v>OK</v>
      </c>
      <c r="Z105" s="13">
        <v>3</v>
      </c>
      <c r="AA105" s="13">
        <v>2</v>
      </c>
      <c r="AB105" s="13">
        <v>3</v>
      </c>
      <c r="AC105" s="13">
        <v>2</v>
      </c>
      <c r="AD105" s="13">
        <v>2</v>
      </c>
      <c r="AE105" s="13">
        <v>2</v>
      </c>
      <c r="AF105" s="13">
        <v>3</v>
      </c>
      <c r="AG105" s="16">
        <f>IFERROR(SUMIF(reading[[#This Row],[1st]:[7th]],"&gt;0")/COUNTIF(reading[[#This Row],[1st]:[7th]],"&gt;0"),"")</f>
        <v>2.4285714285714284</v>
      </c>
    </row>
    <row r="106" spans="1:33" hidden="1" x14ac:dyDescent="0.2">
      <c r="A106" s="4">
        <f>IF(B106=1,3,IF(D106=1,2,IF(F106=1,1,0)))</f>
        <v>3</v>
      </c>
      <c r="B106" s="4">
        <f>IF(C106=$L106,1,IF(C106="","",0))</f>
        <v>1</v>
      </c>
      <c r="C106" s="20" t="s">
        <v>246</v>
      </c>
      <c r="D106" s="4" t="str">
        <f>IF(E106=$L106,1,IF(E106="","",0))</f>
        <v/>
      </c>
      <c r="E106" s="14"/>
      <c r="F106" s="4" t="str">
        <f>IF(G106=$L106,1,IF(G106="","",0))</f>
        <v/>
      </c>
      <c r="G106" s="14"/>
      <c r="H106" s="6">
        <v>109</v>
      </c>
      <c r="I106" s="15" t="s">
        <v>3120</v>
      </c>
      <c r="J106" s="6" t="s">
        <v>3258</v>
      </c>
      <c r="K106" s="6"/>
      <c r="L106" s="6" t="s">
        <v>246</v>
      </c>
      <c r="M106" s="6" t="s">
        <v>6218</v>
      </c>
      <c r="N106" s="7">
        <f ca="1">RAND()</f>
        <v>0.94445884891428611</v>
      </c>
      <c r="O106" s="8">
        <v>45199</v>
      </c>
      <c r="P106" s="8">
        <v>45199</v>
      </c>
      <c r="Q106" s="8">
        <v>45199</v>
      </c>
      <c r="R106" s="8">
        <v>45199</v>
      </c>
      <c r="S106" s="8">
        <v>45199</v>
      </c>
      <c r="T106" s="8">
        <v>45199</v>
      </c>
      <c r="U106" s="8">
        <v>45199</v>
      </c>
      <c r="V106" s="10">
        <f>COUNTA(O106:U106)</f>
        <v>7</v>
      </c>
      <c r="W106" s="11">
        <f>_xlfn.IFNA(INDEX(reading[[#This Row],[Memo 01]:[Memo 07]],MATCH(0,reading[[#This Row],[Memo 01]:[Memo 07]],-1)),"")</f>
        <v>45199</v>
      </c>
      <c r="X106" s="11">
        <f ca="1">IFERROR(reading[[#This Row],[Previous]]+OFFSET(reading[[#Headers],[Memo 01]],-1,MATCH(0,reading[[#This Row],[Memo 01]:[Memo 07]],-1)-1),"")</f>
        <v>55199</v>
      </c>
      <c r="Y106" s="10" t="str">
        <f ca="1">IF(reading[[#This Row],[Next]]&lt;&gt;"",IF(reading[[#This Row],[Next]]&gt;TODAY(),"OK",""),"")</f>
        <v>OK</v>
      </c>
      <c r="Z106" s="13">
        <v>3</v>
      </c>
      <c r="AA106" s="13"/>
      <c r="AB106" s="13"/>
      <c r="AC106" s="13"/>
      <c r="AD106" s="13"/>
      <c r="AE106" s="13"/>
      <c r="AF106" s="13"/>
      <c r="AG106" s="16">
        <f>IFERROR(SUMIF(reading[[#This Row],[1st]:[7th]],"&gt;0")/COUNTIF(reading[[#This Row],[1st]:[7th]],"&gt;0"),"")</f>
        <v>3</v>
      </c>
    </row>
    <row r="107" spans="1:33" hidden="1" x14ac:dyDescent="0.2">
      <c r="A107" s="4">
        <f>IF(B107=1,3,IF(D107=1,2,IF(F107=1,1,0)))</f>
        <v>0</v>
      </c>
      <c r="B107" s="4" t="str">
        <f>IF(C107=$L107,1,IF(C107="","",0))</f>
        <v/>
      </c>
      <c r="C107" s="42"/>
      <c r="D107" s="4" t="str">
        <f>IF(E107=$L107,1,IF(E107="","",0))</f>
        <v/>
      </c>
      <c r="E107" s="23"/>
      <c r="F107" s="4" t="str">
        <f>IF(G107=$L107,1,IF(G107="","",0))</f>
        <v/>
      </c>
      <c r="G107" s="14"/>
      <c r="H107" s="6">
        <v>533</v>
      </c>
      <c r="I107" s="15" t="s">
        <v>3120</v>
      </c>
      <c r="J107" s="6" t="s">
        <v>3678</v>
      </c>
      <c r="K107" s="6"/>
      <c r="L107" s="6" t="s">
        <v>661</v>
      </c>
      <c r="M107" s="6" t="s">
        <v>6642</v>
      </c>
      <c r="N107" s="7">
        <f ca="1">RAND()</f>
        <v>0.61658096808300555</v>
      </c>
      <c r="O107" s="8">
        <v>45202</v>
      </c>
      <c r="P107" s="8">
        <v>45203</v>
      </c>
      <c r="Q107" s="8">
        <v>45205</v>
      </c>
      <c r="R107" s="8">
        <v>45209</v>
      </c>
      <c r="S107" s="8">
        <v>45216</v>
      </c>
      <c r="T107" s="8">
        <v>45228</v>
      </c>
      <c r="U107" s="8">
        <v>45811</v>
      </c>
      <c r="V107" s="10">
        <f>COUNTA(O107:U107)</f>
        <v>7</v>
      </c>
      <c r="W107" s="11">
        <f>_xlfn.IFNA(INDEX(reading[[#This Row],[Memo 01]:[Memo 07]],MATCH(0,reading[[#This Row],[Memo 01]:[Memo 07]],-1)),"")</f>
        <v>45811</v>
      </c>
      <c r="X107" s="11">
        <f ca="1">IFERROR(reading[[#This Row],[Previous]]+OFFSET(reading[[#Headers],[Memo 01]],-1,MATCH(0,reading[[#This Row],[Memo 01]:[Memo 07]],-1)-1),"")</f>
        <v>55811</v>
      </c>
      <c r="Y107" s="10" t="str">
        <f ca="1">IF(reading[[#This Row],[Next]]&lt;&gt;"",IF(reading[[#This Row],[Next]]&gt;TODAY(),"OK",""),"")</f>
        <v>OK</v>
      </c>
      <c r="Z107" s="13">
        <v>3</v>
      </c>
      <c r="AA107" s="13">
        <v>3</v>
      </c>
      <c r="AB107" s="13">
        <v>2</v>
      </c>
      <c r="AC107" s="13">
        <v>3</v>
      </c>
      <c r="AD107" s="13">
        <v>3</v>
      </c>
      <c r="AE107" s="13">
        <v>3</v>
      </c>
      <c r="AF107" s="13">
        <v>2</v>
      </c>
      <c r="AG107" s="16">
        <f>IFERROR(SUMIF(reading[[#This Row],[1st]:[7th]],"&gt;0")/COUNTIF(reading[[#This Row],[1st]:[7th]],"&gt;0"),"")</f>
        <v>2.7142857142857144</v>
      </c>
    </row>
    <row r="108" spans="1:33" hidden="1" x14ac:dyDescent="0.2">
      <c r="A108" s="4">
        <f>IF(B108=1,3,IF(D108=1,2,IF(F108=1,1,0)))</f>
        <v>0</v>
      </c>
      <c r="B108" s="4" t="str">
        <f>IF(C108=$L108,1,IF(C108="","",0))</f>
        <v/>
      </c>
      <c r="C108" s="42"/>
      <c r="D108" s="4" t="str">
        <f>IF(E108=$L108,1,IF(E108="","",0))</f>
        <v/>
      </c>
      <c r="E108" s="14"/>
      <c r="F108" s="4" t="str">
        <f>IF(G108=$L108,1,IF(G108="","",0))</f>
        <v/>
      </c>
      <c r="G108" s="14"/>
      <c r="H108" s="6">
        <v>1698</v>
      </c>
      <c r="I108" s="15" t="s">
        <v>3120</v>
      </c>
      <c r="J108" s="6" t="s">
        <v>4808</v>
      </c>
      <c r="K108" s="6"/>
      <c r="L108" s="6" t="s">
        <v>1778</v>
      </c>
      <c r="M108" s="6" t="s">
        <v>7804</v>
      </c>
      <c r="N108" s="7">
        <f ca="1">RAND()</f>
        <v>3.4742017948196313E-2</v>
      </c>
      <c r="O108" s="8">
        <v>45210</v>
      </c>
      <c r="P108" s="8">
        <v>45211</v>
      </c>
      <c r="Q108" s="8">
        <v>45213</v>
      </c>
      <c r="R108" s="8">
        <v>45217</v>
      </c>
      <c r="S108" s="8">
        <v>45224</v>
      </c>
      <c r="T108" s="8">
        <v>45236</v>
      </c>
      <c r="U108" s="8">
        <v>45783</v>
      </c>
      <c r="V108" s="10">
        <f>COUNTA(O108:U108)</f>
        <v>7</v>
      </c>
      <c r="W108" s="11">
        <f>_xlfn.IFNA(INDEX(reading[[#This Row],[Memo 01]:[Memo 07]],MATCH(0,reading[[#This Row],[Memo 01]:[Memo 07]],-1)),"")</f>
        <v>45783</v>
      </c>
      <c r="X108" s="11">
        <f ca="1">IFERROR(reading[[#This Row],[Previous]]+OFFSET(reading[[#Headers],[Memo 01]],-1,MATCH(0,reading[[#This Row],[Memo 01]:[Memo 07]],-1)-1),"")</f>
        <v>55783</v>
      </c>
      <c r="Y108" s="10" t="str">
        <f ca="1">IF(reading[[#This Row],[Next]]&lt;&gt;"",IF(reading[[#This Row],[Next]]&gt;TODAY(),"OK",""),"")</f>
        <v>OK</v>
      </c>
      <c r="Z108" s="13">
        <v>3</v>
      </c>
      <c r="AA108" s="13">
        <v>3</v>
      </c>
      <c r="AB108" s="13">
        <v>3</v>
      </c>
      <c r="AC108" s="13">
        <v>3</v>
      </c>
      <c r="AD108" s="13">
        <v>3</v>
      </c>
      <c r="AE108" s="13">
        <v>3</v>
      </c>
      <c r="AF108" s="13">
        <v>3</v>
      </c>
      <c r="AG108" s="16">
        <f>IFERROR(SUMIF(reading[[#This Row],[1st]:[7th]],"&gt;0")/COUNTIF(reading[[#This Row],[1st]:[7th]],"&gt;0"),"")</f>
        <v>3</v>
      </c>
    </row>
    <row r="109" spans="1:33" hidden="1" x14ac:dyDescent="0.2">
      <c r="A109" s="4">
        <f>IF(B109=1,3,IF(D109=1,2,IF(F109=1,1,0)))</f>
        <v>0</v>
      </c>
      <c r="B109" s="4" t="str">
        <f>IF(C109=$L109,1,IF(C109="","",0))</f>
        <v/>
      </c>
      <c r="C109" s="41"/>
      <c r="D109" s="4" t="str">
        <f>IF(E109=$L109,1,IF(E109="","",0))</f>
        <v/>
      </c>
      <c r="E109" s="23"/>
      <c r="F109" s="4" t="str">
        <f>IF(G109=$L109,1,IF(G109="","",0))</f>
        <v/>
      </c>
      <c r="G109" s="14"/>
      <c r="H109" s="6">
        <v>311</v>
      </c>
      <c r="I109" s="15" t="s">
        <v>3120</v>
      </c>
      <c r="J109" s="6" t="s">
        <v>3425</v>
      </c>
      <c r="K109" s="6"/>
      <c r="L109" s="6" t="s">
        <v>446</v>
      </c>
      <c r="M109" s="6" t="s">
        <v>6420</v>
      </c>
      <c r="N109" s="7">
        <f ca="1">RAND()</f>
        <v>0.34866883876096666</v>
      </c>
      <c r="O109" s="8">
        <v>45202</v>
      </c>
      <c r="P109" s="8">
        <v>45203</v>
      </c>
      <c r="Q109" s="8">
        <v>45205</v>
      </c>
      <c r="R109" s="8">
        <v>45209</v>
      </c>
      <c r="S109" s="8">
        <v>45216</v>
      </c>
      <c r="T109" s="8">
        <v>45228</v>
      </c>
      <c r="U109" s="8">
        <v>45250</v>
      </c>
      <c r="V109" s="10">
        <f>COUNTA(O109:U109)</f>
        <v>7</v>
      </c>
      <c r="W109" s="11">
        <f>_xlfn.IFNA(INDEX(reading[[#This Row],[Memo 01]:[Memo 07]],MATCH(0,reading[[#This Row],[Memo 01]:[Memo 07]],-1)),"")</f>
        <v>45250</v>
      </c>
      <c r="X109" s="11">
        <f ca="1">IFERROR(reading[[#This Row],[Previous]]+OFFSET(reading[[#Headers],[Memo 01]],-1,MATCH(0,reading[[#This Row],[Memo 01]:[Memo 07]],-1)-1),"")</f>
        <v>55250</v>
      </c>
      <c r="Y109" s="10" t="str">
        <f ca="1">IF(reading[[#This Row],[Next]]&lt;&gt;"",IF(reading[[#This Row],[Next]]&gt;TODAY(),"OK",""),"")</f>
        <v>OK</v>
      </c>
      <c r="Z109" s="13">
        <v>3</v>
      </c>
      <c r="AA109" s="13">
        <v>3</v>
      </c>
      <c r="AB109" s="13">
        <v>2</v>
      </c>
      <c r="AC109" s="13">
        <v>2</v>
      </c>
      <c r="AD109" s="13">
        <v>2</v>
      </c>
      <c r="AE109" s="13">
        <v>3</v>
      </c>
      <c r="AF109" s="13">
        <v>3</v>
      </c>
      <c r="AG109" s="16">
        <f>IFERROR(SUMIF(reading[[#This Row],[1st]:[7th]],"&gt;0")/COUNTIF(reading[[#This Row],[1st]:[7th]],"&gt;0"),"")</f>
        <v>2.5714285714285716</v>
      </c>
    </row>
    <row r="110" spans="1:33" hidden="1" x14ac:dyDescent="0.2">
      <c r="A110" s="4">
        <f>IF(B110=1,3,IF(D110=1,2,IF(F110=1,1,0)))</f>
        <v>0</v>
      </c>
      <c r="B110" s="4" t="str">
        <f>IF(C110=$L110,1,IF(C110="","",0))</f>
        <v/>
      </c>
      <c r="C110" s="41"/>
      <c r="D110" s="4" t="str">
        <f>IF(E110=$L110,1,IF(E110="","",0))</f>
        <v/>
      </c>
      <c r="E110" s="18"/>
      <c r="F110" s="4" t="str">
        <f>IF(G110=$L110,1,IF(G110="","",0))</f>
        <v/>
      </c>
      <c r="G110" s="18"/>
      <c r="H110" s="6">
        <v>757</v>
      </c>
      <c r="I110" s="15" t="s">
        <v>3120</v>
      </c>
      <c r="J110" s="6" t="s">
        <v>3892</v>
      </c>
      <c r="K110" s="6"/>
      <c r="L110" s="6" t="s">
        <v>876</v>
      </c>
      <c r="M110" s="6" t="s">
        <v>6866</v>
      </c>
      <c r="N110" s="7">
        <f ca="1">RAND()</f>
        <v>0.1711429440234925</v>
      </c>
      <c r="O110" s="8">
        <v>45203</v>
      </c>
      <c r="P110" s="8">
        <v>45204</v>
      </c>
      <c r="Q110" s="8">
        <v>45206</v>
      </c>
      <c r="R110" s="8">
        <v>45210</v>
      </c>
      <c r="S110" s="8">
        <v>45217</v>
      </c>
      <c r="T110" s="8">
        <v>45229</v>
      </c>
      <c r="U110" s="8">
        <v>45250</v>
      </c>
      <c r="V110" s="10">
        <f>COUNTA(O110:U110)</f>
        <v>7</v>
      </c>
      <c r="W110" s="11">
        <f>_xlfn.IFNA(INDEX(reading[[#This Row],[Memo 01]:[Memo 07]],MATCH(0,reading[[#This Row],[Memo 01]:[Memo 07]],-1)),"")</f>
        <v>45250</v>
      </c>
      <c r="X110" s="11">
        <f ca="1">IFERROR(reading[[#This Row],[Previous]]+OFFSET(reading[[#Headers],[Memo 01]],-1,MATCH(0,reading[[#This Row],[Memo 01]:[Memo 07]],-1)-1),"")</f>
        <v>55250</v>
      </c>
      <c r="Y110" s="10" t="str">
        <f ca="1">IF(reading[[#This Row],[Next]]&lt;&gt;"",IF(reading[[#This Row],[Next]]&gt;TODAY(),"OK",""),"")</f>
        <v>OK</v>
      </c>
      <c r="Z110" s="13">
        <v>3</v>
      </c>
      <c r="AA110" s="13">
        <v>1</v>
      </c>
      <c r="AB110" s="13">
        <v>2</v>
      </c>
      <c r="AC110" s="13">
        <v>3</v>
      </c>
      <c r="AD110" s="13">
        <v>3</v>
      </c>
      <c r="AE110" s="13">
        <v>3</v>
      </c>
      <c r="AF110" s="13">
        <v>3</v>
      </c>
      <c r="AG110" s="16">
        <f>IFERROR(SUMIF(reading[[#This Row],[1st]:[7th]],"&gt;0")/COUNTIF(reading[[#This Row],[1st]:[7th]],"&gt;0"),"")</f>
        <v>2.5714285714285716</v>
      </c>
    </row>
    <row r="111" spans="1:33" hidden="1" x14ac:dyDescent="0.2">
      <c r="A111" s="4">
        <f>IF(B111=1,3,IF(D111=1,2,IF(F111=1,1,0)))</f>
        <v>0</v>
      </c>
      <c r="B111" s="4" t="str">
        <f>IF(C111=$L111,1,IF(C111="","",0))</f>
        <v/>
      </c>
      <c r="C111" s="41"/>
      <c r="D111" s="4" t="str">
        <f>IF(E111=$L111,1,IF(E111="","",0))</f>
        <v/>
      </c>
      <c r="E111" s="18"/>
      <c r="F111" s="4" t="str">
        <f>IF(G111=$L111,1,IF(G111="","",0))</f>
        <v/>
      </c>
      <c r="G111" s="18"/>
      <c r="H111" s="6">
        <v>751</v>
      </c>
      <c r="I111" s="15" t="s">
        <v>3120</v>
      </c>
      <c r="J111" s="6" t="s">
        <v>3886</v>
      </c>
      <c r="K111" s="6"/>
      <c r="L111" s="6" t="s">
        <v>870</v>
      </c>
      <c r="M111" s="6" t="s">
        <v>6860</v>
      </c>
      <c r="N111" s="7">
        <f ca="1">RAND()</f>
        <v>0.32304268465334207</v>
      </c>
      <c r="O111" s="8">
        <v>45203</v>
      </c>
      <c r="P111" s="8">
        <v>45204</v>
      </c>
      <c r="Q111" s="8">
        <v>45206</v>
      </c>
      <c r="R111" s="8">
        <v>45210</v>
      </c>
      <c r="S111" s="8">
        <v>45217</v>
      </c>
      <c r="T111" s="8">
        <v>45229</v>
      </c>
      <c r="U111" s="8">
        <v>45250</v>
      </c>
      <c r="V111" s="10">
        <f>COUNTA(O111:U111)</f>
        <v>7</v>
      </c>
      <c r="W111" s="11">
        <f>_xlfn.IFNA(INDEX(reading[[#This Row],[Memo 01]:[Memo 07]],MATCH(0,reading[[#This Row],[Memo 01]:[Memo 07]],-1)),"")</f>
        <v>45250</v>
      </c>
      <c r="X111" s="11">
        <f ca="1">IFERROR(reading[[#This Row],[Previous]]+OFFSET(reading[[#Headers],[Memo 01]],-1,MATCH(0,reading[[#This Row],[Memo 01]:[Memo 07]],-1)-1),"")</f>
        <v>55250</v>
      </c>
      <c r="Y111" s="10" t="str">
        <f ca="1">IF(reading[[#This Row],[Next]]&lt;&gt;"",IF(reading[[#This Row],[Next]]&gt;TODAY(),"OK",""),"")</f>
        <v>OK</v>
      </c>
      <c r="Z111" s="13">
        <v>3</v>
      </c>
      <c r="AA111" s="13">
        <v>1</v>
      </c>
      <c r="AB111" s="13">
        <v>3</v>
      </c>
      <c r="AC111" s="13">
        <v>3</v>
      </c>
      <c r="AD111" s="13">
        <v>3</v>
      </c>
      <c r="AE111" s="13">
        <v>2</v>
      </c>
      <c r="AF111" s="13">
        <v>3</v>
      </c>
      <c r="AG111" s="16">
        <f>IFERROR(SUMIF(reading[[#This Row],[1st]:[7th]],"&gt;0")/COUNTIF(reading[[#This Row],[1st]:[7th]],"&gt;0"),"")</f>
        <v>2.5714285714285716</v>
      </c>
    </row>
    <row r="112" spans="1:33" hidden="1" x14ac:dyDescent="0.2">
      <c r="A112" s="4">
        <f>IF(B112=1,3,IF(D112=1,2,IF(F112=1,1,0)))</f>
        <v>0</v>
      </c>
      <c r="B112" s="4" t="str">
        <f>IF(C112=$L112,1,IF(C112="","",0))</f>
        <v/>
      </c>
      <c r="C112" s="41"/>
      <c r="D112" s="4" t="str">
        <f>IF(E112=$L112,1,IF(E112="","",0))</f>
        <v/>
      </c>
      <c r="E112" s="23"/>
      <c r="F112" s="4" t="str">
        <f>IF(G112=$L112,1,IF(G112="","",0))</f>
        <v/>
      </c>
      <c r="G112" s="14"/>
      <c r="H112" s="6">
        <v>402</v>
      </c>
      <c r="I112" s="15" t="s">
        <v>3120</v>
      </c>
      <c r="J112" s="6" t="s">
        <v>3548</v>
      </c>
      <c r="K112" s="24" t="s">
        <v>3150</v>
      </c>
      <c r="L112" s="6" t="s">
        <v>533</v>
      </c>
      <c r="M112" s="6" t="s">
        <v>6511</v>
      </c>
      <c r="N112" s="7">
        <f ca="1">RAND()</f>
        <v>0.65299008068364528</v>
      </c>
      <c r="O112" s="8">
        <v>45202</v>
      </c>
      <c r="P112" s="8">
        <v>45203</v>
      </c>
      <c r="Q112" s="8">
        <v>45205</v>
      </c>
      <c r="R112" s="8">
        <v>45209</v>
      </c>
      <c r="S112" s="8">
        <v>45216</v>
      </c>
      <c r="T112" s="8">
        <v>45228</v>
      </c>
      <c r="U112" s="8">
        <v>45250</v>
      </c>
      <c r="V112" s="10">
        <f>COUNTA(O112:U112)</f>
        <v>7</v>
      </c>
      <c r="W112" s="11">
        <f>_xlfn.IFNA(INDEX(reading[[#This Row],[Memo 01]:[Memo 07]],MATCH(0,reading[[#This Row],[Memo 01]:[Memo 07]],-1)),"")</f>
        <v>45250</v>
      </c>
      <c r="X112" s="11">
        <f ca="1">IFERROR(reading[[#This Row],[Previous]]+OFFSET(reading[[#Headers],[Memo 01]],-1,MATCH(0,reading[[#This Row],[Memo 01]:[Memo 07]],-1)-1),"")</f>
        <v>55250</v>
      </c>
      <c r="Y112" s="10" t="str">
        <f ca="1">IF(reading[[#This Row],[Next]]&lt;&gt;"",IF(reading[[#This Row],[Next]]&gt;TODAY(),"OK",""),"")</f>
        <v>OK</v>
      </c>
      <c r="Z112" s="13">
        <v>3</v>
      </c>
      <c r="AA112" s="13">
        <v>3</v>
      </c>
      <c r="AB112" s="13">
        <v>2</v>
      </c>
      <c r="AC112" s="13">
        <v>2</v>
      </c>
      <c r="AD112" s="13">
        <v>3</v>
      </c>
      <c r="AE112" s="13">
        <v>2</v>
      </c>
      <c r="AF112" s="13">
        <v>3</v>
      </c>
      <c r="AG112" s="16">
        <f>IFERROR(SUMIF(reading[[#This Row],[1st]:[7th]],"&gt;0")/COUNTIF(reading[[#This Row],[1st]:[7th]],"&gt;0"),"")</f>
        <v>2.5714285714285716</v>
      </c>
    </row>
    <row r="113" spans="1:33" hidden="1" x14ac:dyDescent="0.2">
      <c r="A113" s="4">
        <f>IF(B113=1,3,IF(D113=1,2,IF(F113=1,1,0)))</f>
        <v>3</v>
      </c>
      <c r="B113" s="4">
        <f>IF(C113=$L113,1,IF(C113="","",0))</f>
        <v>1</v>
      </c>
      <c r="C113" s="20" t="s">
        <v>253</v>
      </c>
      <c r="D113" s="4" t="str">
        <f>IF(E113=$L113,1,IF(E113="","",0))</f>
        <v/>
      </c>
      <c r="E113" s="14"/>
      <c r="F113" s="4" t="str">
        <f>IF(G113=$L113,1,IF(G113="","",0))</f>
        <v/>
      </c>
      <c r="G113" s="14"/>
      <c r="H113" s="6">
        <v>116</v>
      </c>
      <c r="I113" s="15" t="s">
        <v>3120</v>
      </c>
      <c r="J113" s="6" t="s">
        <v>3265</v>
      </c>
      <c r="K113" s="6"/>
      <c r="L113" s="6" t="s">
        <v>253</v>
      </c>
      <c r="M113" s="6" t="s">
        <v>6225</v>
      </c>
      <c r="N113" s="7">
        <f ca="1">RAND()</f>
        <v>0.41145796339688523</v>
      </c>
      <c r="O113" s="8">
        <v>45199</v>
      </c>
      <c r="P113" s="8">
        <v>45199</v>
      </c>
      <c r="Q113" s="8">
        <v>45199</v>
      </c>
      <c r="R113" s="8">
        <v>45199</v>
      </c>
      <c r="S113" s="8">
        <v>45199</v>
      </c>
      <c r="T113" s="8">
        <v>45199</v>
      </c>
      <c r="U113" s="8">
        <v>45199</v>
      </c>
      <c r="V113" s="10">
        <f>COUNTA(O113:U113)</f>
        <v>7</v>
      </c>
      <c r="W113" s="11">
        <f>_xlfn.IFNA(INDEX(reading[[#This Row],[Memo 01]:[Memo 07]],MATCH(0,reading[[#This Row],[Memo 01]:[Memo 07]],-1)),"")</f>
        <v>45199</v>
      </c>
      <c r="X113" s="11">
        <f ca="1">IFERROR(reading[[#This Row],[Previous]]+OFFSET(reading[[#Headers],[Memo 01]],-1,MATCH(0,reading[[#This Row],[Memo 01]:[Memo 07]],-1)-1),"")</f>
        <v>55199</v>
      </c>
      <c r="Y113" s="10" t="str">
        <f ca="1">IF(reading[[#This Row],[Next]]&lt;&gt;"",IF(reading[[#This Row],[Next]]&gt;TODAY(),"OK",""),"")</f>
        <v>OK</v>
      </c>
      <c r="Z113" s="13">
        <v>3</v>
      </c>
      <c r="AA113" s="13"/>
      <c r="AB113" s="13"/>
      <c r="AC113" s="13"/>
      <c r="AD113" s="13"/>
      <c r="AE113" s="13"/>
      <c r="AF113" s="13"/>
      <c r="AG113" s="16">
        <f>IFERROR(SUMIF(reading[[#This Row],[1st]:[7th]],"&gt;0")/COUNTIF(reading[[#This Row],[1st]:[7th]],"&gt;0"),"")</f>
        <v>3</v>
      </c>
    </row>
    <row r="114" spans="1:33" hidden="1" x14ac:dyDescent="0.2">
      <c r="A114" s="4">
        <f>IF(B114=1,3,IF(D114=1,2,IF(F114=1,1,0)))</f>
        <v>0</v>
      </c>
      <c r="B114" s="4" t="str">
        <f>IF(C114=$L114,1,IF(C114="","",0))</f>
        <v/>
      </c>
      <c r="C114" s="41"/>
      <c r="D114" s="4" t="str">
        <f>IF(E114=$L114,1,IF(E114="","",0))</f>
        <v/>
      </c>
      <c r="E114" s="18"/>
      <c r="F114" s="4" t="str">
        <f>IF(G114=$L114,1,IF(G114="","",0))</f>
        <v/>
      </c>
      <c r="G114" s="14"/>
      <c r="H114" s="6">
        <v>372</v>
      </c>
      <c r="I114" s="15" t="s">
        <v>3120</v>
      </c>
      <c r="J114" s="6" t="s">
        <v>3519</v>
      </c>
      <c r="K114" s="15" t="s">
        <v>3138</v>
      </c>
      <c r="L114" s="6" t="s">
        <v>505</v>
      </c>
      <c r="M114" s="6" t="s">
        <v>6481</v>
      </c>
      <c r="N114" s="7">
        <f ca="1">RAND()</f>
        <v>0.71774756850931687</v>
      </c>
      <c r="O114" s="8">
        <v>45201</v>
      </c>
      <c r="P114" s="8">
        <v>45202</v>
      </c>
      <c r="Q114" s="8">
        <v>45204</v>
      </c>
      <c r="R114" s="8">
        <v>45208</v>
      </c>
      <c r="S114" s="8">
        <v>45215</v>
      </c>
      <c r="T114" s="8">
        <v>45227</v>
      </c>
      <c r="U114" s="8">
        <v>45250</v>
      </c>
      <c r="V114" s="10">
        <f>COUNTA(O114:U114)</f>
        <v>7</v>
      </c>
      <c r="W114" s="11">
        <f>_xlfn.IFNA(INDEX(reading[[#This Row],[Memo 01]:[Memo 07]],MATCH(0,reading[[#This Row],[Memo 01]:[Memo 07]],-1)),"")</f>
        <v>45250</v>
      </c>
      <c r="X114" s="11">
        <f ca="1">IFERROR(reading[[#This Row],[Previous]]+OFFSET(reading[[#Headers],[Memo 01]],-1,MATCH(0,reading[[#This Row],[Memo 01]:[Memo 07]],-1)-1),"")</f>
        <v>55250</v>
      </c>
      <c r="Y114" s="10" t="str">
        <f ca="1">IF(reading[[#This Row],[Next]]&lt;&gt;"",IF(reading[[#This Row],[Next]]&gt;TODAY(),"OK",""),"")</f>
        <v>OK</v>
      </c>
      <c r="Z114" s="13">
        <v>3</v>
      </c>
      <c r="AA114" s="13">
        <v>3</v>
      </c>
      <c r="AB114" s="13">
        <v>2</v>
      </c>
      <c r="AC114" s="13">
        <v>3</v>
      </c>
      <c r="AD114" s="13">
        <v>2</v>
      </c>
      <c r="AE114" s="13">
        <v>2</v>
      </c>
      <c r="AF114" s="13">
        <v>3</v>
      </c>
      <c r="AG114" s="16">
        <f>IFERROR(SUMIF(reading[[#This Row],[1st]:[7th]],"&gt;0")/COUNTIF(reading[[#This Row],[1st]:[7th]],"&gt;0"),"")</f>
        <v>2.5714285714285716</v>
      </c>
    </row>
    <row r="115" spans="1:33" hidden="1" x14ac:dyDescent="0.2">
      <c r="A115" s="4">
        <f>IF(B115=1,3,IF(D115=1,2,IF(F115=1,1,0)))</f>
        <v>0</v>
      </c>
      <c r="B115" s="4" t="str">
        <f>IF(C115=$L115,1,IF(C115="","",0))</f>
        <v/>
      </c>
      <c r="C115" s="41"/>
      <c r="D115" s="4" t="str">
        <f>IF(E115=$L115,1,IF(E115="","",0))</f>
        <v/>
      </c>
      <c r="E115" s="18"/>
      <c r="F115" s="4" t="str">
        <f>IF(G115=$L115,1,IF(G115="","",0))</f>
        <v/>
      </c>
      <c r="G115" s="18"/>
      <c r="H115" s="6">
        <v>111</v>
      </c>
      <c r="I115" s="15" t="s">
        <v>3120</v>
      </c>
      <c r="J115" s="6" t="s">
        <v>3260</v>
      </c>
      <c r="K115" s="15" t="s">
        <v>3139</v>
      </c>
      <c r="L115" s="6" t="s">
        <v>248</v>
      </c>
      <c r="M115" s="6" t="s">
        <v>6220</v>
      </c>
      <c r="N115" s="7">
        <f ca="1">RAND()</f>
        <v>0.96415982542346734</v>
      </c>
      <c r="O115" s="8">
        <v>45199</v>
      </c>
      <c r="P115" s="8">
        <v>45200</v>
      </c>
      <c r="Q115" s="8">
        <v>45202</v>
      </c>
      <c r="R115" s="8">
        <v>45206</v>
      </c>
      <c r="S115" s="8">
        <v>45213</v>
      </c>
      <c r="T115" s="8">
        <v>45225</v>
      </c>
      <c r="U115" s="8">
        <v>45250</v>
      </c>
      <c r="V115" s="10">
        <f>COUNTA(O115:U115)</f>
        <v>7</v>
      </c>
      <c r="W115" s="11">
        <f>_xlfn.IFNA(INDEX(reading[[#This Row],[Memo 01]:[Memo 07]],MATCH(0,reading[[#This Row],[Memo 01]:[Memo 07]],-1)),"")</f>
        <v>45250</v>
      </c>
      <c r="X115" s="11">
        <f ca="1">IFERROR(reading[[#This Row],[Previous]]+OFFSET(reading[[#Headers],[Memo 01]],-1,MATCH(0,reading[[#This Row],[Memo 01]:[Memo 07]],-1)-1),"")</f>
        <v>55250</v>
      </c>
      <c r="Y115" s="10" t="str">
        <f ca="1">IF(reading[[#This Row],[Next]]&lt;&gt;"",IF(reading[[#This Row],[Next]]&gt;TODAY(),"OK",""),"")</f>
        <v>OK</v>
      </c>
      <c r="Z115" s="13">
        <v>3</v>
      </c>
      <c r="AA115" s="13">
        <v>3</v>
      </c>
      <c r="AB115" s="13">
        <v>3</v>
      </c>
      <c r="AC115" s="13">
        <v>3</v>
      </c>
      <c r="AD115" s="13">
        <v>1</v>
      </c>
      <c r="AE115" s="13">
        <v>2</v>
      </c>
      <c r="AF115" s="13">
        <v>3</v>
      </c>
      <c r="AG115" s="16">
        <f>IFERROR(SUMIF(reading[[#This Row],[1st]:[7th]],"&gt;0")/COUNTIF(reading[[#This Row],[1st]:[7th]],"&gt;0"),"")</f>
        <v>2.5714285714285716</v>
      </c>
    </row>
    <row r="116" spans="1:33" hidden="1" x14ac:dyDescent="0.2">
      <c r="A116" s="4">
        <f>IF(B116=1,3,IF(D116=1,2,IF(F116=1,1,0)))</f>
        <v>0</v>
      </c>
      <c r="B116" s="4" t="str">
        <f>IF(C116=$L116,1,IF(C116="","",0))</f>
        <v/>
      </c>
      <c r="C116" s="42"/>
      <c r="D116" s="4" t="str">
        <f>IF(E116=$L116,1,IF(E116="","",0))</f>
        <v/>
      </c>
      <c r="E116" s="14"/>
      <c r="F116" s="4" t="str">
        <f>IF(G116=$L116,1,IF(G116="","",0))</f>
        <v/>
      </c>
      <c r="G116" s="14"/>
      <c r="H116" s="6">
        <v>1579</v>
      </c>
      <c r="I116" s="15" t="s">
        <v>3120</v>
      </c>
      <c r="J116" s="6" t="s">
        <v>4691</v>
      </c>
      <c r="K116" s="6"/>
      <c r="L116" s="6" t="s">
        <v>1662</v>
      </c>
      <c r="M116" s="6" t="s">
        <v>7685</v>
      </c>
      <c r="N116" s="7">
        <f ca="1">RAND()</f>
        <v>0.39004766734777385</v>
      </c>
      <c r="O116" s="8">
        <v>45209</v>
      </c>
      <c r="P116" s="8">
        <v>45210</v>
      </c>
      <c r="Q116" s="8">
        <v>45212</v>
      </c>
      <c r="R116" s="8">
        <v>45216</v>
      </c>
      <c r="S116" s="8">
        <v>45223</v>
      </c>
      <c r="T116" s="8">
        <v>45235</v>
      </c>
      <c r="U116" s="8">
        <v>45783</v>
      </c>
      <c r="V116" s="10">
        <f>COUNTA(O116:U116)</f>
        <v>7</v>
      </c>
      <c r="W116" s="11">
        <f>_xlfn.IFNA(INDEX(reading[[#This Row],[Memo 01]:[Memo 07]],MATCH(0,reading[[#This Row],[Memo 01]:[Memo 07]],-1)),"")</f>
        <v>45783</v>
      </c>
      <c r="X116" s="11">
        <f ca="1">IFERROR(reading[[#This Row],[Previous]]+OFFSET(reading[[#Headers],[Memo 01]],-1,MATCH(0,reading[[#This Row],[Memo 01]:[Memo 07]],-1)-1),"")</f>
        <v>55783</v>
      </c>
      <c r="Y116" s="10" t="str">
        <f ca="1">IF(reading[[#This Row],[Next]]&lt;&gt;"",IF(reading[[#This Row],[Next]]&gt;TODAY(),"OK",""),"")</f>
        <v>OK</v>
      </c>
      <c r="Z116" s="13">
        <v>3</v>
      </c>
      <c r="AA116" s="13">
        <v>3</v>
      </c>
      <c r="AB116" s="13">
        <v>3</v>
      </c>
      <c r="AC116" s="13">
        <v>3</v>
      </c>
      <c r="AD116" s="13">
        <v>3</v>
      </c>
      <c r="AE116" s="13">
        <v>3</v>
      </c>
      <c r="AF116" s="13">
        <v>3</v>
      </c>
      <c r="AG116" s="16">
        <f>IFERROR(SUMIF(reading[[#This Row],[1st]:[7th]],"&gt;0")/COUNTIF(reading[[#This Row],[1st]:[7th]],"&gt;0"),"")</f>
        <v>3</v>
      </c>
    </row>
    <row r="117" spans="1:33" hidden="1" x14ac:dyDescent="0.2">
      <c r="A117" s="4">
        <f>IF(B117=1,3,IF(D117=1,2,IF(F117=1,1,0)))</f>
        <v>0</v>
      </c>
      <c r="B117" s="4" t="str">
        <f>IF(C117=$L117,1,IF(C117="","",0))</f>
        <v/>
      </c>
      <c r="C117" s="42"/>
      <c r="D117" s="4" t="str">
        <f>IF(E117=$L117,1,IF(E117="","",0))</f>
        <v/>
      </c>
      <c r="E117" s="18"/>
      <c r="F117" s="4" t="str">
        <f>IF(G117=$L117,1,IF(G117="","",0))</f>
        <v/>
      </c>
      <c r="G117" s="14"/>
      <c r="H117" s="6">
        <v>301</v>
      </c>
      <c r="I117" s="15" t="s">
        <v>3120</v>
      </c>
      <c r="J117" s="6" t="s">
        <v>3449</v>
      </c>
      <c r="K117" s="6"/>
      <c r="L117" s="6" t="s">
        <v>436</v>
      </c>
      <c r="M117" s="6" t="s">
        <v>6410</v>
      </c>
      <c r="N117" s="7">
        <f ca="1">RAND()</f>
        <v>0.72777913542407391</v>
      </c>
      <c r="O117" s="8">
        <v>45200</v>
      </c>
      <c r="P117" s="8">
        <v>45201</v>
      </c>
      <c r="Q117" s="8">
        <v>45203</v>
      </c>
      <c r="R117" s="8">
        <v>45207</v>
      </c>
      <c r="S117" s="8">
        <v>45214</v>
      </c>
      <c r="T117" s="8">
        <v>45226</v>
      </c>
      <c r="U117" s="8">
        <v>45783</v>
      </c>
      <c r="V117" s="10">
        <f>COUNTA(O117:U117)</f>
        <v>7</v>
      </c>
      <c r="W117" s="11">
        <f>_xlfn.IFNA(INDEX(reading[[#This Row],[Memo 01]:[Memo 07]],MATCH(0,reading[[#This Row],[Memo 01]:[Memo 07]],-1)),"")</f>
        <v>45783</v>
      </c>
      <c r="X117" s="11">
        <f ca="1">IFERROR(reading[[#This Row],[Previous]]+OFFSET(reading[[#Headers],[Memo 01]],-1,MATCH(0,reading[[#This Row],[Memo 01]:[Memo 07]],-1)-1),"")</f>
        <v>55783</v>
      </c>
      <c r="Y117" s="10" t="str">
        <f ca="1">IF(reading[[#This Row],[Next]]&lt;&gt;"",IF(reading[[#This Row],[Next]]&gt;TODAY(),"OK",""),"")</f>
        <v>OK</v>
      </c>
      <c r="Z117" s="13">
        <v>3</v>
      </c>
      <c r="AA117" s="13">
        <v>3</v>
      </c>
      <c r="AB117" s="13">
        <v>3</v>
      </c>
      <c r="AC117" s="13">
        <v>2</v>
      </c>
      <c r="AD117" s="13">
        <v>3</v>
      </c>
      <c r="AE117" s="13">
        <v>3</v>
      </c>
      <c r="AF117" s="13">
        <v>3</v>
      </c>
      <c r="AG117" s="16">
        <f>IFERROR(SUMIF(reading[[#This Row],[1st]:[7th]],"&gt;0")/COUNTIF(reading[[#This Row],[1st]:[7th]],"&gt;0"),"")</f>
        <v>2.8571428571428572</v>
      </c>
    </row>
    <row r="118" spans="1:33" hidden="1" x14ac:dyDescent="0.2">
      <c r="A118" s="4">
        <f>IF(B118=1,3,IF(D118=1,2,IF(F118=1,1,0)))</f>
        <v>3</v>
      </c>
      <c r="B118" s="4">
        <f>IF(C118=$L118,1,IF(C118="","",0))</f>
        <v>1</v>
      </c>
      <c r="C118" s="20" t="s">
        <v>258</v>
      </c>
      <c r="D118" s="4" t="str">
        <f>IF(E118=$L118,1,IF(E118="","",0))</f>
        <v/>
      </c>
      <c r="E118" s="14"/>
      <c r="F118" s="4" t="str">
        <f>IF(G118=$L118,1,IF(G118="","",0))</f>
        <v/>
      </c>
      <c r="G118" s="14"/>
      <c r="H118" s="6">
        <v>121</v>
      </c>
      <c r="I118" s="15" t="s">
        <v>3120</v>
      </c>
      <c r="J118" s="6" t="s">
        <v>3270</v>
      </c>
      <c r="K118" s="6"/>
      <c r="L118" s="6" t="s">
        <v>258</v>
      </c>
      <c r="M118" s="6" t="s">
        <v>6230</v>
      </c>
      <c r="N118" s="7">
        <f ca="1">RAND()</f>
        <v>0.44486541671865432</v>
      </c>
      <c r="O118" s="8">
        <v>45199</v>
      </c>
      <c r="P118" s="8">
        <v>45199</v>
      </c>
      <c r="Q118" s="8">
        <v>45199</v>
      </c>
      <c r="R118" s="8">
        <v>45199</v>
      </c>
      <c r="S118" s="8">
        <v>45199</v>
      </c>
      <c r="T118" s="8">
        <v>45199</v>
      </c>
      <c r="U118" s="8">
        <v>45199</v>
      </c>
      <c r="V118" s="10">
        <f>COUNTA(O118:U118)</f>
        <v>7</v>
      </c>
      <c r="W118" s="11">
        <f>_xlfn.IFNA(INDEX(reading[[#This Row],[Memo 01]:[Memo 07]],MATCH(0,reading[[#This Row],[Memo 01]:[Memo 07]],-1)),"")</f>
        <v>45199</v>
      </c>
      <c r="X118" s="11">
        <f ca="1">IFERROR(reading[[#This Row],[Previous]]+OFFSET(reading[[#Headers],[Memo 01]],-1,MATCH(0,reading[[#This Row],[Memo 01]:[Memo 07]],-1)-1),"")</f>
        <v>55199</v>
      </c>
      <c r="Y118" s="10" t="str">
        <f ca="1">IF(reading[[#This Row],[Next]]&lt;&gt;"",IF(reading[[#This Row],[Next]]&gt;TODAY(),"OK",""),"")</f>
        <v>OK</v>
      </c>
      <c r="Z118" s="13">
        <v>2</v>
      </c>
      <c r="AA118" s="13"/>
      <c r="AB118" s="13"/>
      <c r="AC118" s="13"/>
      <c r="AD118" s="13"/>
      <c r="AE118" s="13"/>
      <c r="AF118" s="13"/>
      <c r="AG118" s="16">
        <f>IFERROR(SUMIF(reading[[#This Row],[1st]:[7th]],"&gt;0")/COUNTIF(reading[[#This Row],[1st]:[7th]],"&gt;0"),"")</f>
        <v>2</v>
      </c>
    </row>
    <row r="119" spans="1:33" hidden="1" x14ac:dyDescent="0.2">
      <c r="A119" s="4">
        <f>IF(B119=1,3,IF(D119=1,2,IF(F119=1,1,0)))</f>
        <v>3</v>
      </c>
      <c r="B119" s="4">
        <f>IF(C119=$L119,1,IF(C119="","",0))</f>
        <v>1</v>
      </c>
      <c r="C119" s="20" t="s">
        <v>259</v>
      </c>
      <c r="D119" s="4" t="str">
        <f>IF(E119=$L119,1,IF(E119="","",0))</f>
        <v/>
      </c>
      <c r="E119" s="14"/>
      <c r="F119" s="4" t="str">
        <f>IF(G119=$L119,1,IF(G119="","",0))</f>
        <v/>
      </c>
      <c r="G119" s="14"/>
      <c r="H119" s="6">
        <v>122</v>
      </c>
      <c r="I119" s="15" t="s">
        <v>3120</v>
      </c>
      <c r="J119" s="6" t="s">
        <v>3271</v>
      </c>
      <c r="K119" s="6"/>
      <c r="L119" s="6" t="s">
        <v>259</v>
      </c>
      <c r="M119" s="6" t="s">
        <v>6231</v>
      </c>
      <c r="N119" s="7">
        <f ca="1">RAND()</f>
        <v>9.5420936238307275E-2</v>
      </c>
      <c r="O119" s="8">
        <v>45199</v>
      </c>
      <c r="P119" s="8">
        <v>45199</v>
      </c>
      <c r="Q119" s="8">
        <v>45199</v>
      </c>
      <c r="R119" s="8">
        <v>45199</v>
      </c>
      <c r="S119" s="8">
        <v>45199</v>
      </c>
      <c r="T119" s="8">
        <v>45199</v>
      </c>
      <c r="U119" s="8">
        <v>45199</v>
      </c>
      <c r="V119" s="10">
        <f>COUNTA(O119:U119)</f>
        <v>7</v>
      </c>
      <c r="W119" s="11">
        <f>_xlfn.IFNA(INDEX(reading[[#This Row],[Memo 01]:[Memo 07]],MATCH(0,reading[[#This Row],[Memo 01]:[Memo 07]],-1)),"")</f>
        <v>45199</v>
      </c>
      <c r="X119" s="11">
        <f ca="1">IFERROR(reading[[#This Row],[Previous]]+OFFSET(reading[[#Headers],[Memo 01]],-1,MATCH(0,reading[[#This Row],[Memo 01]:[Memo 07]],-1)-1),"")</f>
        <v>55199</v>
      </c>
      <c r="Y119" s="10" t="str">
        <f ca="1">IF(reading[[#This Row],[Next]]&lt;&gt;"",IF(reading[[#This Row],[Next]]&gt;TODAY(),"OK",""),"")</f>
        <v>OK</v>
      </c>
      <c r="Z119" s="13">
        <v>3</v>
      </c>
      <c r="AA119" s="13"/>
      <c r="AB119" s="13"/>
      <c r="AC119" s="13"/>
      <c r="AD119" s="13"/>
      <c r="AE119" s="13"/>
      <c r="AF119" s="13"/>
      <c r="AG119" s="16">
        <f>IFERROR(SUMIF(reading[[#This Row],[1st]:[7th]],"&gt;0")/COUNTIF(reading[[#This Row],[1st]:[7th]],"&gt;0"),"")</f>
        <v>3</v>
      </c>
    </row>
    <row r="120" spans="1:33" hidden="1" x14ac:dyDescent="0.2">
      <c r="A120" s="4">
        <f>IF(B120=1,3,IF(D120=1,2,IF(F120=1,1,0)))</f>
        <v>0</v>
      </c>
      <c r="B120" s="4" t="str">
        <f>IF(C120=$L120,1,IF(C120="","",0))</f>
        <v/>
      </c>
      <c r="C120" s="41"/>
      <c r="D120" s="4" t="str">
        <f>IF(E120=$L120,1,IF(E120="","",0))</f>
        <v/>
      </c>
      <c r="E120" s="18"/>
      <c r="F120" s="4" t="str">
        <f>IF(G120=$L120,1,IF(G120="","",0))</f>
        <v/>
      </c>
      <c r="G120" s="14"/>
      <c r="H120" s="6">
        <v>976</v>
      </c>
      <c r="I120" s="15" t="s">
        <v>3120</v>
      </c>
      <c r="J120" s="6" t="s">
        <v>4105</v>
      </c>
      <c r="K120" s="6"/>
      <c r="L120" s="6" t="s">
        <v>1086</v>
      </c>
      <c r="M120" s="6" t="s">
        <v>7084</v>
      </c>
      <c r="N120" s="7">
        <f ca="1">RAND()</f>
        <v>2.1405710104263065E-3</v>
      </c>
      <c r="O120" s="8">
        <v>45204</v>
      </c>
      <c r="P120" s="8">
        <v>45205</v>
      </c>
      <c r="Q120" s="8">
        <v>45207</v>
      </c>
      <c r="R120" s="8">
        <v>45211</v>
      </c>
      <c r="S120" s="8">
        <v>45218</v>
      </c>
      <c r="T120" s="8">
        <v>45230</v>
      </c>
      <c r="U120" s="8">
        <v>45250</v>
      </c>
      <c r="V120" s="10">
        <f>COUNTA(O120:U120)</f>
        <v>7</v>
      </c>
      <c r="W120" s="11">
        <f>_xlfn.IFNA(INDEX(reading[[#This Row],[Memo 01]:[Memo 07]],MATCH(0,reading[[#This Row],[Memo 01]:[Memo 07]],-1)),"")</f>
        <v>45250</v>
      </c>
      <c r="X120" s="11">
        <f ca="1">IFERROR(reading[[#This Row],[Previous]]+OFFSET(reading[[#Headers],[Memo 01]],-1,MATCH(0,reading[[#This Row],[Memo 01]:[Memo 07]],-1)-1),"")</f>
        <v>55250</v>
      </c>
      <c r="Y120" s="10" t="str">
        <f ca="1">IF(reading[[#This Row],[Next]]&lt;&gt;"",IF(reading[[#This Row],[Next]]&gt;TODAY(),"OK",""),"")</f>
        <v>OK</v>
      </c>
      <c r="Z120" s="13">
        <v>3</v>
      </c>
      <c r="AA120" s="13">
        <v>2</v>
      </c>
      <c r="AB120" s="13">
        <v>3</v>
      </c>
      <c r="AC120" s="13">
        <v>3</v>
      </c>
      <c r="AD120" s="13">
        <v>2</v>
      </c>
      <c r="AE120" s="13">
        <v>2</v>
      </c>
      <c r="AF120" s="13">
        <v>3</v>
      </c>
      <c r="AG120" s="16">
        <f>IFERROR(SUMIF(reading[[#This Row],[1st]:[7th]],"&gt;0")/COUNTIF(reading[[#This Row],[1st]:[7th]],"&gt;0"),"")</f>
        <v>2.5714285714285716</v>
      </c>
    </row>
    <row r="121" spans="1:33" hidden="1" x14ac:dyDescent="0.2">
      <c r="A121" s="4">
        <f>IF(B121=1,3,IF(D121=1,2,IF(F121=1,1,0)))</f>
        <v>0</v>
      </c>
      <c r="B121" s="4" t="str">
        <f>IF(C121=$L121,1,IF(C121="","",0))</f>
        <v/>
      </c>
      <c r="C121" s="41"/>
      <c r="D121" s="4" t="str">
        <f>IF(E121=$L121,1,IF(E121="","",0))</f>
        <v/>
      </c>
      <c r="E121" s="18"/>
      <c r="F121" s="4" t="str">
        <f>IF(G121=$L121,1,IF(G121="","",0))</f>
        <v/>
      </c>
      <c r="G121" s="14"/>
      <c r="H121" s="6">
        <v>559</v>
      </c>
      <c r="I121" s="15" t="s">
        <v>3120</v>
      </c>
      <c r="J121" s="6" t="s">
        <v>3703</v>
      </c>
      <c r="K121" s="6"/>
      <c r="L121" s="6" t="s">
        <v>686</v>
      </c>
      <c r="M121" s="6" t="s">
        <v>6668</v>
      </c>
      <c r="N121" s="7">
        <f ca="1">RAND()</f>
        <v>0.15469560990387499</v>
      </c>
      <c r="O121" s="8">
        <v>45202</v>
      </c>
      <c r="P121" s="8">
        <v>45203</v>
      </c>
      <c r="Q121" s="8">
        <v>45205</v>
      </c>
      <c r="R121" s="8">
        <v>45209</v>
      </c>
      <c r="S121" s="8">
        <v>45216</v>
      </c>
      <c r="T121" s="8">
        <v>45228</v>
      </c>
      <c r="U121" s="8">
        <v>45250</v>
      </c>
      <c r="V121" s="10">
        <f>COUNTA(O121:U121)</f>
        <v>7</v>
      </c>
      <c r="W121" s="11">
        <f>_xlfn.IFNA(INDEX(reading[[#This Row],[Memo 01]:[Memo 07]],MATCH(0,reading[[#This Row],[Memo 01]:[Memo 07]],-1)),"")</f>
        <v>45250</v>
      </c>
      <c r="X121" s="11">
        <f ca="1">IFERROR(reading[[#This Row],[Previous]]+OFFSET(reading[[#Headers],[Memo 01]],-1,MATCH(0,reading[[#This Row],[Memo 01]:[Memo 07]],-1)-1),"")</f>
        <v>55250</v>
      </c>
      <c r="Y121" s="10" t="str">
        <f ca="1">IF(reading[[#This Row],[Next]]&lt;&gt;"",IF(reading[[#This Row],[Next]]&gt;TODAY(),"OK",""),"")</f>
        <v>OK</v>
      </c>
      <c r="Z121" s="13">
        <v>3</v>
      </c>
      <c r="AA121" s="13">
        <v>2</v>
      </c>
      <c r="AB121" s="13">
        <v>2</v>
      </c>
      <c r="AC121" s="13">
        <v>3</v>
      </c>
      <c r="AD121" s="13">
        <v>2</v>
      </c>
      <c r="AE121" s="13">
        <v>3</v>
      </c>
      <c r="AF121" s="13">
        <v>3</v>
      </c>
      <c r="AG121" s="16">
        <f>IFERROR(SUMIF(reading[[#This Row],[1st]:[7th]],"&gt;0")/COUNTIF(reading[[#This Row],[1st]:[7th]],"&gt;0"),"")</f>
        <v>2.5714285714285716</v>
      </c>
    </row>
    <row r="122" spans="1:33" hidden="1" x14ac:dyDescent="0.2">
      <c r="A122" s="4">
        <f>IF(B122=1,3,IF(D122=1,2,IF(F122=1,1,0)))</f>
        <v>0</v>
      </c>
      <c r="B122" s="4" t="str">
        <f>IF(C122=$L122,1,IF(C122="","",0))</f>
        <v/>
      </c>
      <c r="C122" s="42"/>
      <c r="D122" s="4" t="str">
        <f>IF(E122=$L122,1,IF(E122="","",0))</f>
        <v/>
      </c>
      <c r="E122" s="14"/>
      <c r="F122" s="4" t="str">
        <f>IF(G122=$L122,1,IF(G122="","",0))</f>
        <v/>
      </c>
      <c r="G122" s="14"/>
      <c r="H122" s="6">
        <v>1808</v>
      </c>
      <c r="I122" s="15" t="s">
        <v>3120</v>
      </c>
      <c r="J122" s="6" t="s">
        <v>4914</v>
      </c>
      <c r="K122" s="6"/>
      <c r="L122" s="6" t="s">
        <v>1887</v>
      </c>
      <c r="M122" s="6" t="s">
        <v>7914</v>
      </c>
      <c r="N122" s="7">
        <f ca="1">RAND()</f>
        <v>0.25702571552250453</v>
      </c>
      <c r="O122" s="8">
        <v>45212</v>
      </c>
      <c r="P122" s="8">
        <v>45213</v>
      </c>
      <c r="Q122" s="8">
        <v>45215</v>
      </c>
      <c r="R122" s="8">
        <v>45219</v>
      </c>
      <c r="S122" s="8">
        <v>45226</v>
      </c>
      <c r="T122" s="8">
        <v>45792</v>
      </c>
      <c r="U122" s="8">
        <v>45818</v>
      </c>
      <c r="V122" s="10">
        <f>COUNTA(O122:U122)</f>
        <v>7</v>
      </c>
      <c r="W122" s="11">
        <f>_xlfn.IFNA(INDEX(reading[[#This Row],[Memo 01]:[Memo 07]],MATCH(0,reading[[#This Row],[Memo 01]:[Memo 07]],-1)),"")</f>
        <v>45818</v>
      </c>
      <c r="X122" s="11">
        <f ca="1">IFERROR(reading[[#This Row],[Previous]]+OFFSET(reading[[#Headers],[Memo 01]],-1,MATCH(0,reading[[#This Row],[Memo 01]:[Memo 07]],-1)-1),"")</f>
        <v>55818</v>
      </c>
      <c r="Y122" s="10" t="str">
        <f ca="1">IF(reading[[#This Row],[Next]]&lt;&gt;"",IF(reading[[#This Row],[Next]]&gt;TODAY(),"OK",""),"")</f>
        <v>OK</v>
      </c>
      <c r="Z122" s="13">
        <v>3</v>
      </c>
      <c r="AA122" s="13">
        <v>3</v>
      </c>
      <c r="AB122" s="13">
        <v>3</v>
      </c>
      <c r="AC122" s="13">
        <v>3</v>
      </c>
      <c r="AD122" s="13">
        <v>3</v>
      </c>
      <c r="AE122" s="13">
        <v>3</v>
      </c>
      <c r="AF122" s="13">
        <v>3</v>
      </c>
      <c r="AG122" s="16">
        <f>IFERROR(SUMIF(reading[[#This Row],[1st]:[7th]],"&gt;0")/COUNTIF(reading[[#This Row],[1st]:[7th]],"&gt;0"),"")</f>
        <v>3</v>
      </c>
    </row>
    <row r="123" spans="1:33" hidden="1" x14ac:dyDescent="0.2">
      <c r="A123" s="4">
        <f>IF(B123=1,3,IF(D123=1,2,IF(F123=1,1,0)))</f>
        <v>3</v>
      </c>
      <c r="B123" s="4">
        <f>IF(C123=$L123,1,IF(C123="","",0))</f>
        <v>1</v>
      </c>
      <c r="C123" s="20" t="s">
        <v>263</v>
      </c>
      <c r="D123" s="4" t="str">
        <f>IF(E123=$L123,1,IF(E123="","",0))</f>
        <v/>
      </c>
      <c r="E123" s="14"/>
      <c r="F123" s="4" t="str">
        <f>IF(G123=$L123,1,IF(G123="","",0))</f>
        <v/>
      </c>
      <c r="G123" s="14"/>
      <c r="H123" s="6">
        <v>126</v>
      </c>
      <c r="I123" s="15" t="s">
        <v>3120</v>
      </c>
      <c r="J123" s="6" t="s">
        <v>3275</v>
      </c>
      <c r="K123" s="6"/>
      <c r="L123" s="6" t="s">
        <v>263</v>
      </c>
      <c r="M123" s="6" t="s">
        <v>6235</v>
      </c>
      <c r="N123" s="7">
        <f ca="1">RAND()</f>
        <v>0.10550902656470995</v>
      </c>
      <c r="O123" s="8">
        <v>45199</v>
      </c>
      <c r="P123" s="8">
        <v>45199</v>
      </c>
      <c r="Q123" s="8">
        <v>45199</v>
      </c>
      <c r="R123" s="8">
        <v>45199</v>
      </c>
      <c r="S123" s="8">
        <v>45199</v>
      </c>
      <c r="T123" s="8">
        <v>45199</v>
      </c>
      <c r="U123" s="8">
        <v>45199</v>
      </c>
      <c r="V123" s="10">
        <f>COUNTA(O123:U123)</f>
        <v>7</v>
      </c>
      <c r="W123" s="11">
        <f>_xlfn.IFNA(INDEX(reading[[#This Row],[Memo 01]:[Memo 07]],MATCH(0,reading[[#This Row],[Memo 01]:[Memo 07]],-1)),"")</f>
        <v>45199</v>
      </c>
      <c r="X123" s="11">
        <f ca="1">IFERROR(reading[[#This Row],[Previous]]+OFFSET(reading[[#Headers],[Memo 01]],-1,MATCH(0,reading[[#This Row],[Memo 01]:[Memo 07]],-1)-1),"")</f>
        <v>55199</v>
      </c>
      <c r="Y123" s="10" t="str">
        <f ca="1">IF(reading[[#This Row],[Next]]&lt;&gt;"",IF(reading[[#This Row],[Next]]&gt;TODAY(),"OK",""),"")</f>
        <v>OK</v>
      </c>
      <c r="Z123" s="13">
        <v>3</v>
      </c>
      <c r="AA123" s="13"/>
      <c r="AB123" s="13"/>
      <c r="AC123" s="13"/>
      <c r="AD123" s="13"/>
      <c r="AE123" s="13"/>
      <c r="AF123" s="13"/>
      <c r="AG123" s="16">
        <f>IFERROR(SUMIF(reading[[#This Row],[1st]:[7th]],"&gt;0")/COUNTIF(reading[[#This Row],[1st]:[7th]],"&gt;0"),"")</f>
        <v>3</v>
      </c>
    </row>
    <row r="124" spans="1:33" hidden="1" x14ac:dyDescent="0.2">
      <c r="A124" s="4">
        <f>IF(B124=1,3,IF(D124=1,2,IF(F124=1,1,0)))</f>
        <v>0</v>
      </c>
      <c r="B124" s="4" t="str">
        <f>IF(C124=$L124,1,IF(C124="","",0))</f>
        <v/>
      </c>
      <c r="C124" s="41"/>
      <c r="D124" s="4" t="str">
        <f>IF(E124=$L124,1,IF(E124="","",0))</f>
        <v/>
      </c>
      <c r="E124" s="18"/>
      <c r="F124" s="4" t="str">
        <f>IF(G124=$L124,1,IF(G124="","",0))</f>
        <v/>
      </c>
      <c r="G124" s="14"/>
      <c r="H124" s="6">
        <v>706</v>
      </c>
      <c r="I124" s="15" t="s">
        <v>3120</v>
      </c>
      <c r="J124" s="6" t="s">
        <v>3845</v>
      </c>
      <c r="K124" s="6"/>
      <c r="L124" s="6" t="s">
        <v>828</v>
      </c>
      <c r="M124" s="6" t="s">
        <v>6815</v>
      </c>
      <c r="N124" s="7">
        <f ca="1">RAND()</f>
        <v>2.5659032901843459E-2</v>
      </c>
      <c r="O124" s="8">
        <v>45203</v>
      </c>
      <c r="P124" s="8">
        <v>45204</v>
      </c>
      <c r="Q124" s="8">
        <v>45206</v>
      </c>
      <c r="R124" s="8">
        <v>45210</v>
      </c>
      <c r="S124" s="8">
        <v>45217</v>
      </c>
      <c r="T124" s="8">
        <v>45229</v>
      </c>
      <c r="U124" s="8">
        <v>45251</v>
      </c>
      <c r="V124" s="10">
        <f>COUNTA(O124:U124)</f>
        <v>7</v>
      </c>
      <c r="W124" s="11">
        <f>_xlfn.IFNA(INDEX(reading[[#This Row],[Memo 01]:[Memo 07]],MATCH(0,reading[[#This Row],[Memo 01]:[Memo 07]],-1)),"")</f>
        <v>45251</v>
      </c>
      <c r="X124" s="11">
        <f ca="1">IFERROR(reading[[#This Row],[Previous]]+OFFSET(reading[[#Headers],[Memo 01]],-1,MATCH(0,reading[[#This Row],[Memo 01]:[Memo 07]],-1)-1),"")</f>
        <v>55251</v>
      </c>
      <c r="Y124" s="10" t="str">
        <f ca="1">IF(reading[[#This Row],[Next]]&lt;&gt;"",IF(reading[[#This Row],[Next]]&gt;TODAY(),"OK",""),"")</f>
        <v>OK</v>
      </c>
      <c r="Z124" s="13">
        <v>3</v>
      </c>
      <c r="AA124" s="13">
        <v>2</v>
      </c>
      <c r="AB124" s="13">
        <v>2</v>
      </c>
      <c r="AC124" s="13">
        <v>3</v>
      </c>
      <c r="AD124" s="13">
        <v>2</v>
      </c>
      <c r="AE124" s="13">
        <v>2</v>
      </c>
      <c r="AF124" s="13">
        <v>2</v>
      </c>
      <c r="AG124" s="16">
        <f>IFERROR(SUMIF(reading[[#This Row],[1st]:[7th]],"&gt;0")/COUNTIF(reading[[#This Row],[1st]:[7th]],"&gt;0"),"")</f>
        <v>2.2857142857142856</v>
      </c>
    </row>
    <row r="125" spans="1:33" hidden="1" x14ac:dyDescent="0.2">
      <c r="A125" s="4">
        <f>IF(B125=1,3,IF(D125=1,2,IF(F125=1,1,0)))</f>
        <v>0</v>
      </c>
      <c r="B125" s="4" t="str">
        <f>IF(C125=$L125,1,IF(C125="","",0))</f>
        <v/>
      </c>
      <c r="C125" s="42"/>
      <c r="D125" s="4" t="str">
        <f>IF(E125=$L125,1,IF(E125="","",0))</f>
        <v/>
      </c>
      <c r="E125" s="18"/>
      <c r="F125" s="4" t="str">
        <f>IF(G125=$L125,1,IF(G125="","",0))</f>
        <v/>
      </c>
      <c r="G125" s="18"/>
      <c r="H125" s="6">
        <v>2920</v>
      </c>
      <c r="I125" s="15" t="s">
        <v>3120</v>
      </c>
      <c r="J125" s="6" t="s">
        <v>5955</v>
      </c>
      <c r="K125" s="6"/>
      <c r="L125" s="6" t="s">
        <v>2950</v>
      </c>
      <c r="M125" s="6" t="s">
        <v>9024</v>
      </c>
      <c r="N125" s="7">
        <f ca="1">RAND()</f>
        <v>2.8085876952429367E-2</v>
      </c>
      <c r="O125" s="8">
        <v>45223</v>
      </c>
      <c r="P125" s="8">
        <v>45224</v>
      </c>
      <c r="Q125" s="8">
        <v>45226</v>
      </c>
      <c r="R125" s="8">
        <v>45230</v>
      </c>
      <c r="S125" s="8">
        <v>45237</v>
      </c>
      <c r="T125" s="8">
        <v>45252</v>
      </c>
      <c r="U125" s="8">
        <v>45819</v>
      </c>
      <c r="V125" s="10">
        <f>COUNTA(O125:U125)</f>
        <v>7</v>
      </c>
      <c r="W125" s="11">
        <f>_xlfn.IFNA(INDEX(reading[[#This Row],[Memo 01]:[Memo 07]],MATCH(0,reading[[#This Row],[Memo 01]:[Memo 07]],-1)),"")</f>
        <v>45819</v>
      </c>
      <c r="X125" s="11">
        <f ca="1">IFERROR(reading[[#This Row],[Previous]]+OFFSET(reading[[#Headers],[Memo 01]],-1,MATCH(0,reading[[#This Row],[Memo 01]:[Memo 07]],-1)-1),"")</f>
        <v>55819</v>
      </c>
      <c r="Y125" s="10" t="str">
        <f ca="1">IF(reading[[#This Row],[Next]]&lt;&gt;"",IF(reading[[#This Row],[Next]]&gt;TODAY(),"OK",""),"")</f>
        <v>OK</v>
      </c>
      <c r="Z125" s="13">
        <v>3</v>
      </c>
      <c r="AA125" s="13">
        <v>1</v>
      </c>
      <c r="AB125" s="13">
        <v>3</v>
      </c>
      <c r="AC125" s="13">
        <v>3</v>
      </c>
      <c r="AD125" s="13">
        <v>3</v>
      </c>
      <c r="AE125" s="13">
        <v>2</v>
      </c>
      <c r="AF125" s="13">
        <v>3</v>
      </c>
      <c r="AG125" s="16">
        <f>IFERROR(SUMIF(reading[[#This Row],[1st]:[7th]],"&gt;0")/COUNTIF(reading[[#This Row],[1st]:[7th]],"&gt;0"),"")</f>
        <v>2.5714285714285716</v>
      </c>
    </row>
    <row r="126" spans="1:33" hidden="1" x14ac:dyDescent="0.2">
      <c r="A126" s="4">
        <f>IF(B126=1,3,IF(D126=1,2,IF(F126=1,1,0)))</f>
        <v>0</v>
      </c>
      <c r="B126" s="4" t="str">
        <f>IF(C126=$L126,1,IF(C126="","",0))</f>
        <v/>
      </c>
      <c r="C126" s="42"/>
      <c r="D126" s="4" t="str">
        <f>IF(E126=$L126,1,IF(E126="","",0))</f>
        <v/>
      </c>
      <c r="E126" s="18"/>
      <c r="F126" s="4" t="str">
        <f>IF(G126=$L126,1,IF(G126="","",0))</f>
        <v/>
      </c>
      <c r="G126" s="14"/>
      <c r="H126" s="6">
        <v>1298</v>
      </c>
      <c r="I126" s="15" t="s">
        <v>3120</v>
      </c>
      <c r="J126" s="6" t="s">
        <v>4415</v>
      </c>
      <c r="K126" s="6"/>
      <c r="L126" s="6" t="s">
        <v>1395</v>
      </c>
      <c r="M126" s="6" t="s">
        <v>7405</v>
      </c>
      <c r="N126" s="7">
        <f ca="1">RAND()</f>
        <v>0.69035897770256682</v>
      </c>
      <c r="O126" s="8">
        <v>45207</v>
      </c>
      <c r="P126" s="8">
        <v>45208</v>
      </c>
      <c r="Q126" s="8">
        <v>45210</v>
      </c>
      <c r="R126" s="8">
        <v>45214</v>
      </c>
      <c r="S126" s="8">
        <v>45221</v>
      </c>
      <c r="T126" s="8">
        <v>45233</v>
      </c>
      <c r="U126" s="8">
        <v>45792</v>
      </c>
      <c r="V126" s="10">
        <f>COUNTA(O126:U126)</f>
        <v>7</v>
      </c>
      <c r="W126" s="11">
        <f>_xlfn.IFNA(INDEX(reading[[#This Row],[Memo 01]:[Memo 07]],MATCH(0,reading[[#This Row],[Memo 01]:[Memo 07]],-1)),"")</f>
        <v>45792</v>
      </c>
      <c r="X126" s="11">
        <f ca="1">IFERROR(reading[[#This Row],[Previous]]+OFFSET(reading[[#Headers],[Memo 01]],-1,MATCH(0,reading[[#This Row],[Memo 01]:[Memo 07]],-1)-1),"")</f>
        <v>55792</v>
      </c>
      <c r="Y126" s="10" t="str">
        <f ca="1">IF(reading[[#This Row],[Next]]&lt;&gt;"",IF(reading[[#This Row],[Next]]&gt;TODAY(),"OK",""),"")</f>
        <v>OK</v>
      </c>
      <c r="Z126" s="13">
        <v>3</v>
      </c>
      <c r="AA126" s="13">
        <v>3</v>
      </c>
      <c r="AB126" s="13">
        <v>2</v>
      </c>
      <c r="AC126" s="13">
        <v>3</v>
      </c>
      <c r="AD126" s="13">
        <v>3</v>
      </c>
      <c r="AE126" s="13">
        <v>3</v>
      </c>
      <c r="AF126" s="13">
        <v>3</v>
      </c>
      <c r="AG126" s="16">
        <f>IFERROR(SUMIF(reading[[#This Row],[1st]:[7th]],"&gt;0")/COUNTIF(reading[[#This Row],[1st]:[7th]],"&gt;0"),"")</f>
        <v>2.8571428571428572</v>
      </c>
    </row>
    <row r="127" spans="1:33" hidden="1" x14ac:dyDescent="0.2">
      <c r="A127" s="4">
        <f>IF(B127=1,3,IF(D127=1,2,IF(F127=1,1,0)))</f>
        <v>3</v>
      </c>
      <c r="B127" s="4">
        <f>IF(C127=$L127,1,IF(C127="","",0))</f>
        <v>1</v>
      </c>
      <c r="C127" s="20" t="s">
        <v>267</v>
      </c>
      <c r="D127" s="4" t="str">
        <f>IF(E127=$L127,1,IF(E127="","",0))</f>
        <v/>
      </c>
      <c r="E127" s="14"/>
      <c r="F127" s="4" t="str">
        <f>IF(G127=$L127,1,IF(G127="","",0))</f>
        <v/>
      </c>
      <c r="G127" s="14"/>
      <c r="H127" s="6">
        <v>130</v>
      </c>
      <c r="I127" s="15" t="s">
        <v>3120</v>
      </c>
      <c r="J127" s="6" t="s">
        <v>3279</v>
      </c>
      <c r="K127" s="6"/>
      <c r="L127" s="6" t="s">
        <v>267</v>
      </c>
      <c r="M127" s="6" t="s">
        <v>6239</v>
      </c>
      <c r="N127" s="7">
        <f ca="1">RAND()</f>
        <v>0.14047386459076538</v>
      </c>
      <c r="O127" s="8">
        <v>45199</v>
      </c>
      <c r="P127" s="8">
        <v>45199</v>
      </c>
      <c r="Q127" s="8">
        <v>45199</v>
      </c>
      <c r="R127" s="8">
        <v>45199</v>
      </c>
      <c r="S127" s="8">
        <v>45199</v>
      </c>
      <c r="T127" s="8">
        <v>45199</v>
      </c>
      <c r="U127" s="8">
        <v>45199</v>
      </c>
      <c r="V127" s="10">
        <f>COUNTA(O127:U127)</f>
        <v>7</v>
      </c>
      <c r="W127" s="11">
        <f>_xlfn.IFNA(INDEX(reading[[#This Row],[Memo 01]:[Memo 07]],MATCH(0,reading[[#This Row],[Memo 01]:[Memo 07]],-1)),"")</f>
        <v>45199</v>
      </c>
      <c r="X127" s="11">
        <f ca="1">IFERROR(reading[[#This Row],[Previous]]+OFFSET(reading[[#Headers],[Memo 01]],-1,MATCH(0,reading[[#This Row],[Memo 01]:[Memo 07]],-1)-1),"")</f>
        <v>55199</v>
      </c>
      <c r="Y127" s="10" t="str">
        <f ca="1">IF(reading[[#This Row],[Next]]&lt;&gt;"",IF(reading[[#This Row],[Next]]&gt;TODAY(),"OK",""),"")</f>
        <v>OK</v>
      </c>
      <c r="Z127" s="13">
        <v>3</v>
      </c>
      <c r="AA127" s="13"/>
      <c r="AB127" s="13"/>
      <c r="AC127" s="13"/>
      <c r="AD127" s="13"/>
      <c r="AE127" s="13"/>
      <c r="AF127" s="13"/>
      <c r="AG127" s="16">
        <f>IFERROR(SUMIF(reading[[#This Row],[1st]:[7th]],"&gt;0")/COUNTIF(reading[[#This Row],[1st]:[7th]],"&gt;0"),"")</f>
        <v>3</v>
      </c>
    </row>
    <row r="128" spans="1:33" hidden="1" x14ac:dyDescent="0.2">
      <c r="A128" s="4">
        <f>IF(B128=1,3,IF(D128=1,2,IF(F128=1,1,0)))</f>
        <v>0</v>
      </c>
      <c r="B128" s="4" t="str">
        <f>IF(C128=$L128,1,IF(C128="","",0))</f>
        <v/>
      </c>
      <c r="C128" s="43"/>
      <c r="D128" s="4" t="str">
        <f>IF(E128=$L128,1,IF(E128="","",0))</f>
        <v/>
      </c>
      <c r="E128" s="18"/>
      <c r="F128" s="4" t="str">
        <f>IF(G128=$L128,1,IF(G128="","",0))</f>
        <v/>
      </c>
      <c r="G128" s="14"/>
      <c r="H128" s="6">
        <v>84</v>
      </c>
      <c r="I128" s="15" t="s">
        <v>3120</v>
      </c>
      <c r="J128" s="6" t="s">
        <v>3234</v>
      </c>
      <c r="K128" s="6"/>
      <c r="L128" s="6" t="s">
        <v>222</v>
      </c>
      <c r="M128" s="6" t="s">
        <v>6193</v>
      </c>
      <c r="N128" s="7">
        <f ca="1">RAND()</f>
        <v>3.5160036022179653E-2</v>
      </c>
      <c r="O128" s="8">
        <v>45198</v>
      </c>
      <c r="P128" s="8">
        <v>45199</v>
      </c>
      <c r="Q128" s="8">
        <v>45202</v>
      </c>
      <c r="R128" s="8">
        <v>45206</v>
      </c>
      <c r="S128" s="8">
        <v>45213</v>
      </c>
      <c r="T128" s="8">
        <v>45225</v>
      </c>
      <c r="U128" s="8">
        <v>45792</v>
      </c>
      <c r="V128" s="10">
        <f>COUNTA(O128:U128)</f>
        <v>7</v>
      </c>
      <c r="W128" s="11">
        <f>_xlfn.IFNA(INDEX(reading[[#This Row],[Memo 01]:[Memo 07]],MATCH(0,reading[[#This Row],[Memo 01]:[Memo 07]],-1)),"")</f>
        <v>45792</v>
      </c>
      <c r="X128" s="11">
        <f ca="1">IFERROR(reading[[#This Row],[Previous]]+OFFSET(reading[[#Headers],[Memo 01]],-1,MATCH(0,reading[[#This Row],[Memo 01]:[Memo 07]],-1)-1),"")</f>
        <v>55792</v>
      </c>
      <c r="Y128" s="10" t="str">
        <f ca="1">IF(reading[[#This Row],[Next]]&lt;&gt;"",IF(reading[[#This Row],[Next]]&gt;TODAY(),"OK",""),"")</f>
        <v>OK</v>
      </c>
      <c r="Z128" s="13">
        <v>3</v>
      </c>
      <c r="AA128" s="13">
        <v>3</v>
      </c>
      <c r="AB128" s="13">
        <v>2</v>
      </c>
      <c r="AC128" s="13">
        <v>3</v>
      </c>
      <c r="AD128" s="13">
        <v>3</v>
      </c>
      <c r="AE128" s="13">
        <v>3</v>
      </c>
      <c r="AF128" s="13">
        <v>3</v>
      </c>
      <c r="AG128" s="16">
        <f>IFERROR(SUMIF(reading[[#This Row],[1st]:[7th]],"&gt;0")/COUNTIF(reading[[#This Row],[1st]:[7th]],"&gt;0"),"")</f>
        <v>2.8571428571428572</v>
      </c>
    </row>
    <row r="129" spans="1:33" hidden="1" x14ac:dyDescent="0.2">
      <c r="A129" s="4">
        <f>IF(B129=1,3,IF(D129=1,2,IF(F129=1,1,0)))</f>
        <v>0</v>
      </c>
      <c r="B129" s="4" t="str">
        <f>IF(C129=$L129,1,IF(C129="","",0))</f>
        <v/>
      </c>
      <c r="C129" s="42"/>
      <c r="D129" s="4" t="str">
        <f>IF(E129=$L129,1,IF(E129="","",0))</f>
        <v/>
      </c>
      <c r="E129" s="14"/>
      <c r="F129" s="4" t="str">
        <f>IF(G129=$L129,1,IF(G129="","",0))</f>
        <v/>
      </c>
      <c r="G129" s="14"/>
      <c r="H129" s="6">
        <v>556</v>
      </c>
      <c r="I129" s="15" t="s">
        <v>3120</v>
      </c>
      <c r="J129" s="6" t="s">
        <v>3701</v>
      </c>
      <c r="K129" s="6"/>
      <c r="L129" s="6" t="s">
        <v>683</v>
      </c>
      <c r="M129" s="6" t="s">
        <v>6665</v>
      </c>
      <c r="N129" s="7">
        <f ca="1">RAND()</f>
        <v>0.3333779877769566</v>
      </c>
      <c r="O129" s="8">
        <v>45202</v>
      </c>
      <c r="P129" s="8">
        <v>45203</v>
      </c>
      <c r="Q129" s="8">
        <v>45205</v>
      </c>
      <c r="R129" s="8">
        <v>45209</v>
      </c>
      <c r="S129" s="8">
        <v>45216</v>
      </c>
      <c r="T129" s="8">
        <v>45228</v>
      </c>
      <c r="U129" s="8">
        <v>45818</v>
      </c>
      <c r="V129" s="10">
        <f>COUNTA(O129:U129)</f>
        <v>7</v>
      </c>
      <c r="W129" s="11">
        <f>_xlfn.IFNA(INDEX(reading[[#This Row],[Memo 01]:[Memo 07]],MATCH(0,reading[[#This Row],[Memo 01]:[Memo 07]],-1)),"")</f>
        <v>45818</v>
      </c>
      <c r="X129" s="11">
        <f ca="1">IFERROR(reading[[#This Row],[Previous]]+OFFSET(reading[[#Headers],[Memo 01]],-1,MATCH(0,reading[[#This Row],[Memo 01]:[Memo 07]],-1)-1),"")</f>
        <v>55818</v>
      </c>
      <c r="Y129" s="10" t="str">
        <f ca="1">IF(reading[[#This Row],[Next]]&lt;&gt;"",IF(reading[[#This Row],[Next]]&gt;TODAY(),"OK",""),"")</f>
        <v>OK</v>
      </c>
      <c r="Z129" s="13">
        <v>3</v>
      </c>
      <c r="AA129" s="13">
        <v>3</v>
      </c>
      <c r="AB129" s="13">
        <v>3</v>
      </c>
      <c r="AC129" s="13">
        <v>3</v>
      </c>
      <c r="AD129" s="13">
        <v>3</v>
      </c>
      <c r="AE129" s="13">
        <v>3</v>
      </c>
      <c r="AF129" s="13">
        <v>3</v>
      </c>
      <c r="AG129" s="16">
        <f>IFERROR(SUMIF(reading[[#This Row],[1st]:[7th]],"&gt;0")/COUNTIF(reading[[#This Row],[1st]:[7th]],"&gt;0"),"")</f>
        <v>3</v>
      </c>
    </row>
    <row r="130" spans="1:33" hidden="1" x14ac:dyDescent="0.2">
      <c r="A130" s="4">
        <f>IF(B130=1,3,IF(D130=1,2,IF(F130=1,1,0)))</f>
        <v>0</v>
      </c>
      <c r="B130" s="4" t="str">
        <f>IF(C130=$L130,1,IF(C130="","",0))</f>
        <v/>
      </c>
      <c r="C130" s="42"/>
      <c r="D130" s="4" t="str">
        <f>IF(E130=$L130,1,IF(E130="","",0))</f>
        <v/>
      </c>
      <c r="E130" s="14"/>
      <c r="F130" s="4" t="str">
        <f>IF(G130=$L130,1,IF(G130="","",0))</f>
        <v/>
      </c>
      <c r="G130" s="14"/>
      <c r="H130" s="6">
        <v>482</v>
      </c>
      <c r="I130" s="15" t="s">
        <v>3120</v>
      </c>
      <c r="J130" s="6" t="s">
        <v>3628</v>
      </c>
      <c r="K130" s="6"/>
      <c r="L130" s="6" t="s">
        <v>610</v>
      </c>
      <c r="M130" s="6" t="s">
        <v>6591</v>
      </c>
      <c r="N130" s="7">
        <f ca="1">RAND()</f>
        <v>0.38361165352651572</v>
      </c>
      <c r="O130" s="8">
        <v>45202</v>
      </c>
      <c r="P130" s="8">
        <v>45203</v>
      </c>
      <c r="Q130" s="8">
        <v>45205</v>
      </c>
      <c r="R130" s="8">
        <v>45209</v>
      </c>
      <c r="S130" s="8">
        <v>45216</v>
      </c>
      <c r="T130" s="8">
        <v>45228</v>
      </c>
      <c r="U130" s="8">
        <v>45783</v>
      </c>
      <c r="V130" s="10">
        <f>COUNTA(O130:U130)</f>
        <v>7</v>
      </c>
      <c r="W130" s="11">
        <f>_xlfn.IFNA(INDEX(reading[[#This Row],[Memo 01]:[Memo 07]],MATCH(0,reading[[#This Row],[Memo 01]:[Memo 07]],-1)),"")</f>
        <v>45783</v>
      </c>
      <c r="X130" s="11">
        <f ca="1">IFERROR(reading[[#This Row],[Previous]]+OFFSET(reading[[#Headers],[Memo 01]],-1,MATCH(0,reading[[#This Row],[Memo 01]:[Memo 07]],-1)-1),"")</f>
        <v>55783</v>
      </c>
      <c r="Y130" s="10" t="str">
        <f ca="1">IF(reading[[#This Row],[Next]]&lt;&gt;"",IF(reading[[#This Row],[Next]]&gt;TODAY(),"OK",""),"")</f>
        <v>OK</v>
      </c>
      <c r="Z130" s="13">
        <v>3</v>
      </c>
      <c r="AA130" s="13">
        <v>3</v>
      </c>
      <c r="AB130" s="13">
        <v>3</v>
      </c>
      <c r="AC130" s="13">
        <v>3</v>
      </c>
      <c r="AD130" s="13">
        <v>3</v>
      </c>
      <c r="AE130" s="13">
        <v>3</v>
      </c>
      <c r="AF130" s="13">
        <v>3</v>
      </c>
      <c r="AG130" s="16">
        <f>IFERROR(SUMIF(reading[[#This Row],[1st]:[7th]],"&gt;0")/COUNTIF(reading[[#This Row],[1st]:[7th]],"&gt;0"),"")</f>
        <v>3</v>
      </c>
    </row>
    <row r="131" spans="1:33" hidden="1" x14ac:dyDescent="0.2">
      <c r="A131" s="4">
        <f>IF(B131=1,3,IF(D131=1,2,IF(F131=1,1,0)))</f>
        <v>3</v>
      </c>
      <c r="B131" s="4">
        <f>IF(C131=$L131,1,IF(C131="","",0))</f>
        <v>1</v>
      </c>
      <c r="C131" s="20" t="s">
        <v>271</v>
      </c>
      <c r="D131" s="4" t="str">
        <f>IF(E131=$L131,1,IF(E131="","",0))</f>
        <v/>
      </c>
      <c r="E131" s="14"/>
      <c r="F131" s="4" t="str">
        <f>IF(G131=$L131,1,IF(G131="","",0))</f>
        <v/>
      </c>
      <c r="G131" s="14"/>
      <c r="H131" s="6">
        <v>134</v>
      </c>
      <c r="I131" s="15" t="s">
        <v>3120</v>
      </c>
      <c r="J131" s="6" t="s">
        <v>3283</v>
      </c>
      <c r="K131" s="6"/>
      <c r="L131" s="6" t="s">
        <v>271</v>
      </c>
      <c r="M131" s="6" t="s">
        <v>6243</v>
      </c>
      <c r="N131" s="7">
        <f ca="1">RAND()</f>
        <v>0.70258217344396134</v>
      </c>
      <c r="O131" s="8">
        <v>45199</v>
      </c>
      <c r="P131" s="8">
        <v>45199</v>
      </c>
      <c r="Q131" s="8">
        <v>45199</v>
      </c>
      <c r="R131" s="8">
        <v>45199</v>
      </c>
      <c r="S131" s="8">
        <v>45199</v>
      </c>
      <c r="T131" s="8">
        <v>45199</v>
      </c>
      <c r="U131" s="8">
        <v>45199</v>
      </c>
      <c r="V131" s="10">
        <f>COUNTA(O131:U131)</f>
        <v>7</v>
      </c>
      <c r="W131" s="11">
        <f>_xlfn.IFNA(INDEX(reading[[#This Row],[Memo 01]:[Memo 07]],MATCH(0,reading[[#This Row],[Memo 01]:[Memo 07]],-1)),"")</f>
        <v>45199</v>
      </c>
      <c r="X131" s="11">
        <f ca="1">IFERROR(reading[[#This Row],[Previous]]+OFFSET(reading[[#Headers],[Memo 01]],-1,MATCH(0,reading[[#This Row],[Memo 01]:[Memo 07]],-1)-1),"")</f>
        <v>55199</v>
      </c>
      <c r="Y131" s="10" t="str">
        <f ca="1">IF(reading[[#This Row],[Next]]&lt;&gt;"",IF(reading[[#This Row],[Next]]&gt;TODAY(),"OK",""),"")</f>
        <v>OK</v>
      </c>
      <c r="Z131" s="13">
        <v>3</v>
      </c>
      <c r="AA131" s="13"/>
      <c r="AB131" s="13"/>
      <c r="AC131" s="13"/>
      <c r="AD131" s="13"/>
      <c r="AE131" s="13"/>
      <c r="AF131" s="13"/>
      <c r="AG131" s="16">
        <f>IFERROR(SUMIF(reading[[#This Row],[1st]:[7th]],"&gt;0")/COUNTIF(reading[[#This Row],[1st]:[7th]],"&gt;0"),"")</f>
        <v>3</v>
      </c>
    </row>
    <row r="132" spans="1:33" hidden="1" x14ac:dyDescent="0.2">
      <c r="A132" s="4">
        <f>IF(B132=1,3,IF(D132=1,2,IF(F132=1,1,0)))</f>
        <v>3</v>
      </c>
      <c r="B132" s="4">
        <f>IF(C132=$L132,1,IF(C132="","",0))</f>
        <v>1</v>
      </c>
      <c r="C132" s="20" t="s">
        <v>272</v>
      </c>
      <c r="D132" s="4" t="str">
        <f>IF(E132=$L132,1,IF(E132="","",0))</f>
        <v/>
      </c>
      <c r="E132" s="14"/>
      <c r="F132" s="4" t="str">
        <f>IF(G132=$L132,1,IF(G132="","",0))</f>
        <v/>
      </c>
      <c r="G132" s="14"/>
      <c r="H132" s="6">
        <v>135</v>
      </c>
      <c r="I132" s="15" t="s">
        <v>3120</v>
      </c>
      <c r="J132" s="6" t="s">
        <v>3284</v>
      </c>
      <c r="K132" s="6"/>
      <c r="L132" s="6" t="s">
        <v>272</v>
      </c>
      <c r="M132" s="6" t="s">
        <v>6244</v>
      </c>
      <c r="N132" s="7">
        <f ca="1">RAND()</f>
        <v>0.86640466828990403</v>
      </c>
      <c r="O132" s="8">
        <v>45199</v>
      </c>
      <c r="P132" s="8">
        <v>45199</v>
      </c>
      <c r="Q132" s="8">
        <v>45199</v>
      </c>
      <c r="R132" s="8">
        <v>45199</v>
      </c>
      <c r="S132" s="8">
        <v>45199</v>
      </c>
      <c r="T132" s="8">
        <v>45199</v>
      </c>
      <c r="U132" s="8">
        <v>45199</v>
      </c>
      <c r="V132" s="10">
        <f>COUNTA(O132:U132)</f>
        <v>7</v>
      </c>
      <c r="W132" s="11">
        <f>_xlfn.IFNA(INDEX(reading[[#This Row],[Memo 01]:[Memo 07]],MATCH(0,reading[[#This Row],[Memo 01]:[Memo 07]],-1)),"")</f>
        <v>45199</v>
      </c>
      <c r="X132" s="11">
        <f ca="1">IFERROR(reading[[#This Row],[Previous]]+OFFSET(reading[[#Headers],[Memo 01]],-1,MATCH(0,reading[[#This Row],[Memo 01]:[Memo 07]],-1)-1),"")</f>
        <v>55199</v>
      </c>
      <c r="Y132" s="10" t="str">
        <f ca="1">IF(reading[[#This Row],[Next]]&lt;&gt;"",IF(reading[[#This Row],[Next]]&gt;TODAY(),"OK",""),"")</f>
        <v>OK</v>
      </c>
      <c r="Z132" s="13">
        <v>3</v>
      </c>
      <c r="AA132" s="13"/>
      <c r="AB132" s="13"/>
      <c r="AC132" s="13"/>
      <c r="AD132" s="13"/>
      <c r="AE132" s="13"/>
      <c r="AF132" s="13"/>
      <c r="AG132" s="16">
        <f>IFERROR(SUMIF(reading[[#This Row],[1st]:[7th]],"&gt;0")/COUNTIF(reading[[#This Row],[1st]:[7th]],"&gt;0"),"")</f>
        <v>3</v>
      </c>
    </row>
    <row r="133" spans="1:33" hidden="1" x14ac:dyDescent="0.2">
      <c r="A133" s="4">
        <f>IF(B133=1,3,IF(D133=1,2,IF(F133=1,1,0)))</f>
        <v>0</v>
      </c>
      <c r="B133" s="4" t="str">
        <f>IF(C133=$L133,1,IF(C133="","",0))</f>
        <v/>
      </c>
      <c r="C133" s="42"/>
      <c r="D133" s="4" t="str">
        <f>IF(E133=$L133,1,IF(E133="","",0))</f>
        <v/>
      </c>
      <c r="E133" s="14"/>
      <c r="F133" s="4" t="str">
        <f>IF(G133=$L133,1,IF(G133="","",0))</f>
        <v/>
      </c>
      <c r="G133" s="14"/>
      <c r="H133" s="6">
        <v>562</v>
      </c>
      <c r="I133" s="15" t="s">
        <v>3120</v>
      </c>
      <c r="J133" s="6" t="s">
        <v>3705</v>
      </c>
      <c r="K133" s="6"/>
      <c r="L133" s="6" t="s">
        <v>689</v>
      </c>
      <c r="M133" s="6" t="s">
        <v>6671</v>
      </c>
      <c r="N133" s="7">
        <f ca="1">RAND()</f>
        <v>0.58338991359686687</v>
      </c>
      <c r="O133" s="8">
        <v>45202</v>
      </c>
      <c r="P133" s="8">
        <v>45203</v>
      </c>
      <c r="Q133" s="8">
        <v>45205</v>
      </c>
      <c r="R133" s="8">
        <v>45209</v>
      </c>
      <c r="S133" s="8">
        <v>45216</v>
      </c>
      <c r="T133" s="8">
        <v>45228</v>
      </c>
      <c r="U133" s="8">
        <v>45792</v>
      </c>
      <c r="V133" s="10">
        <f>COUNTA(O133:U133)</f>
        <v>7</v>
      </c>
      <c r="W133" s="11">
        <f>_xlfn.IFNA(INDEX(reading[[#This Row],[Memo 01]:[Memo 07]],MATCH(0,reading[[#This Row],[Memo 01]:[Memo 07]],-1)),"")</f>
        <v>45792</v>
      </c>
      <c r="X133" s="11">
        <f ca="1">IFERROR(reading[[#This Row],[Previous]]+OFFSET(reading[[#Headers],[Memo 01]],-1,MATCH(0,reading[[#This Row],[Memo 01]:[Memo 07]],-1)-1),"")</f>
        <v>55792</v>
      </c>
      <c r="Y133" s="10" t="str">
        <f ca="1">IF(reading[[#This Row],[Next]]&lt;&gt;"",IF(reading[[#This Row],[Next]]&gt;TODAY(),"OK",""),"")</f>
        <v>OK</v>
      </c>
      <c r="Z133" s="13">
        <v>3</v>
      </c>
      <c r="AA133" s="13">
        <v>3</v>
      </c>
      <c r="AB133" s="13">
        <v>3</v>
      </c>
      <c r="AC133" s="13">
        <v>3</v>
      </c>
      <c r="AD133" s="13">
        <v>3</v>
      </c>
      <c r="AE133" s="13">
        <v>3</v>
      </c>
      <c r="AF133" s="13">
        <v>3</v>
      </c>
      <c r="AG133" s="16">
        <f>IFERROR(SUMIF(reading[[#This Row],[1st]:[7th]],"&gt;0")/COUNTIF(reading[[#This Row],[1st]:[7th]],"&gt;0"),"")</f>
        <v>3</v>
      </c>
    </row>
    <row r="134" spans="1:33" hidden="1" x14ac:dyDescent="0.2">
      <c r="A134" s="4">
        <f>IF(B134=1,3,IF(D134=1,2,IF(F134=1,1,0)))</f>
        <v>0</v>
      </c>
      <c r="B134" s="4" t="str">
        <f>IF(C134=$L134,1,IF(C134="","",0))</f>
        <v/>
      </c>
      <c r="C134" s="42"/>
      <c r="D134" s="4" t="str">
        <f>IF(E134=$L134,1,IF(E134="","",0))</f>
        <v/>
      </c>
      <c r="E134" s="18"/>
      <c r="F134" s="4" t="str">
        <f>IF(G134=$L134,1,IF(G134="","",0))</f>
        <v/>
      </c>
      <c r="G134" s="14"/>
      <c r="H134" s="6">
        <v>1079</v>
      </c>
      <c r="I134" s="15" t="s">
        <v>3120</v>
      </c>
      <c r="J134" s="6" t="s">
        <v>3373</v>
      </c>
      <c r="K134" s="15" t="s">
        <v>3138</v>
      </c>
      <c r="L134" s="6" t="s">
        <v>1186</v>
      </c>
      <c r="M134" s="6" t="s">
        <v>7187</v>
      </c>
      <c r="N134" s="7">
        <f ca="1">RAND()</f>
        <v>0.34391981887240974</v>
      </c>
      <c r="O134" s="8">
        <v>45205</v>
      </c>
      <c r="P134" s="8">
        <v>45206</v>
      </c>
      <c r="Q134" s="8">
        <v>45208</v>
      </c>
      <c r="R134" s="8">
        <v>45213</v>
      </c>
      <c r="S134" s="8">
        <v>45220</v>
      </c>
      <c r="T134" s="8">
        <v>45232</v>
      </c>
      <c r="U134" s="8">
        <v>45252</v>
      </c>
      <c r="V134" s="10">
        <f>COUNTA(O134:U134)</f>
        <v>7</v>
      </c>
      <c r="W134" s="11">
        <f>_xlfn.IFNA(INDEX(reading[[#This Row],[Memo 01]:[Memo 07]],MATCH(0,reading[[#This Row],[Memo 01]:[Memo 07]],-1)),"")</f>
        <v>45252</v>
      </c>
      <c r="X134" s="11">
        <f ca="1">IFERROR(reading[[#This Row],[Previous]]+OFFSET(reading[[#Headers],[Memo 01]],-1,MATCH(0,reading[[#This Row],[Memo 01]:[Memo 07]],-1)-1),"")</f>
        <v>55252</v>
      </c>
      <c r="Y134" s="10" t="str">
        <f ca="1">IF(reading[[#This Row],[Next]]&lt;&gt;"",IF(reading[[#This Row],[Next]]&gt;TODAY(),"OK",""),"")</f>
        <v>OK</v>
      </c>
      <c r="Z134" s="13">
        <v>3</v>
      </c>
      <c r="AA134" s="13">
        <v>3</v>
      </c>
      <c r="AB134" s="13">
        <v>2</v>
      </c>
      <c r="AC134" s="13">
        <v>1</v>
      </c>
      <c r="AD134" s="13">
        <v>2</v>
      </c>
      <c r="AE134" s="13">
        <v>2</v>
      </c>
      <c r="AF134" s="13">
        <v>3</v>
      </c>
      <c r="AG134" s="16">
        <f>IFERROR(SUMIF(reading[[#This Row],[1st]:[7th]],"&gt;0")/COUNTIF(reading[[#This Row],[1st]:[7th]],"&gt;0"),"")</f>
        <v>2.2857142857142856</v>
      </c>
    </row>
    <row r="135" spans="1:33" hidden="1" x14ac:dyDescent="0.2">
      <c r="A135" s="4">
        <f>IF(B135=1,3,IF(D135=1,2,IF(F135=1,1,0)))</f>
        <v>0</v>
      </c>
      <c r="B135" s="4" t="str">
        <f>IF(C135=$L135,1,IF(C135="","",0))</f>
        <v/>
      </c>
      <c r="C135" s="42"/>
      <c r="D135" s="4" t="str">
        <f>IF(E135=$L135,1,IF(E135="","",0))</f>
        <v/>
      </c>
      <c r="E135" s="14"/>
      <c r="F135" s="4" t="str">
        <f>IF(G135=$L135,1,IF(G135="","",0))</f>
        <v/>
      </c>
      <c r="G135" s="14"/>
      <c r="H135" s="6">
        <v>2645</v>
      </c>
      <c r="I135" s="15" t="s">
        <v>3120</v>
      </c>
      <c r="J135" s="6" t="s">
        <v>5699</v>
      </c>
      <c r="K135" s="6"/>
      <c r="L135" s="6" t="s">
        <v>2685</v>
      </c>
      <c r="M135" s="6" t="s">
        <v>8750</v>
      </c>
      <c r="N135" s="7">
        <f ca="1">RAND()</f>
        <v>0.17025242093967008</v>
      </c>
      <c r="O135" s="8">
        <v>45220</v>
      </c>
      <c r="P135" s="8">
        <v>45221</v>
      </c>
      <c r="Q135" s="8">
        <v>45223</v>
      </c>
      <c r="R135" s="8">
        <v>45227</v>
      </c>
      <c r="S135" s="8">
        <v>45234</v>
      </c>
      <c r="T135" s="8">
        <v>45818</v>
      </c>
      <c r="U135" s="8"/>
      <c r="V135" s="10">
        <f>COUNTA(O135:U135)</f>
        <v>6</v>
      </c>
      <c r="W135" s="11">
        <f>_xlfn.IFNA(INDEX(reading[[#This Row],[Memo 01]:[Memo 07]],MATCH(0,reading[[#This Row],[Memo 01]:[Memo 07]],-1)),"")</f>
        <v>45818</v>
      </c>
      <c r="X135" s="11">
        <f ca="1">IFERROR(reading[[#This Row],[Previous]]+OFFSET(reading[[#Headers],[Memo 01]],-1,MATCH(0,reading[[#This Row],[Memo 01]:[Memo 07]],-1)-1),"")</f>
        <v>45838</v>
      </c>
      <c r="Y135" s="10" t="str">
        <f ca="1">IF(reading[[#This Row],[Next]]&lt;&gt;"",IF(reading[[#This Row],[Next]]&gt;TODAY(),"OK",""),"")</f>
        <v>OK</v>
      </c>
      <c r="Z135" s="13">
        <v>3</v>
      </c>
      <c r="AA135" s="13">
        <v>3</v>
      </c>
      <c r="AB135" s="13">
        <v>3</v>
      </c>
      <c r="AC135" s="13">
        <v>3</v>
      </c>
      <c r="AD135" s="13">
        <v>3</v>
      </c>
      <c r="AE135" s="13">
        <v>3</v>
      </c>
      <c r="AF135" s="13"/>
      <c r="AG135" s="16">
        <f>IFERROR(SUMIF(reading[[#This Row],[1st]:[7th]],"&gt;0")/COUNTIF(reading[[#This Row],[1st]:[7th]],"&gt;0"),"")</f>
        <v>3</v>
      </c>
    </row>
    <row r="136" spans="1:33" hidden="1" x14ac:dyDescent="0.2">
      <c r="A136" s="4">
        <f>IF(B136=1,3,IF(D136=1,2,IF(F136=1,1,0)))</f>
        <v>3</v>
      </c>
      <c r="B136" s="4">
        <f>IF(C136=$L136,1,IF(C136="","",0))</f>
        <v>1</v>
      </c>
      <c r="C136" s="20" t="s">
        <v>276</v>
      </c>
      <c r="D136" s="4" t="str">
        <f>IF(E136=$L136,1,IF(E136="","",0))</f>
        <v/>
      </c>
      <c r="E136" s="14"/>
      <c r="F136" s="4" t="str">
        <f>IF(G136=$L136,1,IF(G136="","",0))</f>
        <v/>
      </c>
      <c r="G136" s="14"/>
      <c r="H136" s="6">
        <v>139</v>
      </c>
      <c r="I136" s="15" t="s">
        <v>3120</v>
      </c>
      <c r="J136" s="6" t="s">
        <v>3288</v>
      </c>
      <c r="K136" s="6"/>
      <c r="L136" s="6" t="s">
        <v>276</v>
      </c>
      <c r="M136" s="6" t="s">
        <v>6248</v>
      </c>
      <c r="N136" s="7">
        <f ca="1">RAND()</f>
        <v>0.42011503380114867</v>
      </c>
      <c r="O136" s="8">
        <v>45199</v>
      </c>
      <c r="P136" s="8">
        <v>45199</v>
      </c>
      <c r="Q136" s="8">
        <v>45199</v>
      </c>
      <c r="R136" s="8">
        <v>45199</v>
      </c>
      <c r="S136" s="8">
        <v>45199</v>
      </c>
      <c r="T136" s="8">
        <v>45199</v>
      </c>
      <c r="U136" s="8">
        <v>45199</v>
      </c>
      <c r="V136" s="10">
        <f>COUNTA(O136:U136)</f>
        <v>7</v>
      </c>
      <c r="W136" s="11">
        <f>_xlfn.IFNA(INDEX(reading[[#This Row],[Memo 01]:[Memo 07]],MATCH(0,reading[[#This Row],[Memo 01]:[Memo 07]],-1)),"")</f>
        <v>45199</v>
      </c>
      <c r="X136" s="11">
        <f ca="1">IFERROR(reading[[#This Row],[Previous]]+OFFSET(reading[[#Headers],[Memo 01]],-1,MATCH(0,reading[[#This Row],[Memo 01]:[Memo 07]],-1)-1),"")</f>
        <v>55199</v>
      </c>
      <c r="Y136" s="10" t="str">
        <f ca="1">IF(reading[[#This Row],[Next]]&lt;&gt;"",IF(reading[[#This Row],[Next]]&gt;TODAY(),"OK",""),"")</f>
        <v>OK</v>
      </c>
      <c r="Z136" s="13">
        <v>3</v>
      </c>
      <c r="AA136" s="13"/>
      <c r="AB136" s="13"/>
      <c r="AC136" s="13"/>
      <c r="AD136" s="13"/>
      <c r="AE136" s="13"/>
      <c r="AF136" s="13"/>
      <c r="AG136" s="16">
        <f>IFERROR(SUMIF(reading[[#This Row],[1st]:[7th]],"&gt;0")/COUNTIF(reading[[#This Row],[1st]:[7th]],"&gt;0"),"")</f>
        <v>3</v>
      </c>
    </row>
    <row r="137" spans="1:33" hidden="1" x14ac:dyDescent="0.2">
      <c r="A137" s="4">
        <f>IF(B137=1,3,IF(D137=1,2,IF(F137=1,1,0)))</f>
        <v>0</v>
      </c>
      <c r="B137" s="4" t="str">
        <f>IF(C137=$L137,1,IF(C137="","",0))</f>
        <v/>
      </c>
      <c r="C137" s="43"/>
      <c r="D137" s="4" t="str">
        <f>IF(E137=$L137,1,IF(E137="","",0))</f>
        <v/>
      </c>
      <c r="E137" s="14"/>
      <c r="F137" s="4" t="str">
        <f>IF(G137=$L137,1,IF(G137="","",0))</f>
        <v/>
      </c>
      <c r="G137" s="14"/>
      <c r="H137" s="6">
        <v>18</v>
      </c>
      <c r="I137" s="15" t="s">
        <v>3120</v>
      </c>
      <c r="J137" s="6" t="s">
        <v>3173</v>
      </c>
      <c r="K137" s="6"/>
      <c r="L137" s="6" t="s">
        <v>162</v>
      </c>
      <c r="M137" s="6" t="s">
        <v>6132</v>
      </c>
      <c r="N137" s="7">
        <f ca="1">RAND()</f>
        <v>0.69742959921984671</v>
      </c>
      <c r="O137" s="8">
        <v>45198</v>
      </c>
      <c r="P137" s="8">
        <v>45199</v>
      </c>
      <c r="Q137" s="8">
        <v>45201</v>
      </c>
      <c r="R137" s="8">
        <v>45205</v>
      </c>
      <c r="S137" s="8">
        <v>45212</v>
      </c>
      <c r="T137" s="8">
        <v>45224</v>
      </c>
      <c r="U137" s="8">
        <v>45783</v>
      </c>
      <c r="V137" s="10">
        <f>COUNTA(O137:U137)</f>
        <v>7</v>
      </c>
      <c r="W137" s="11">
        <f>_xlfn.IFNA(INDEX(reading[[#This Row],[Memo 01]:[Memo 07]],MATCH(0,reading[[#This Row],[Memo 01]:[Memo 07]],-1)),"")</f>
        <v>45783</v>
      </c>
      <c r="X137" s="11">
        <f ca="1">IFERROR(reading[[#This Row],[Previous]]+OFFSET(reading[[#Headers],[Memo 01]],-1,MATCH(0,reading[[#This Row],[Memo 01]:[Memo 07]],-1)-1),"")</f>
        <v>55783</v>
      </c>
      <c r="Y137" s="10" t="str">
        <f ca="1">IF(reading[[#This Row],[Next]]&lt;&gt;"",IF(reading[[#This Row],[Next]]&gt;TODAY(),"OK",""),"")</f>
        <v>OK</v>
      </c>
      <c r="Z137" s="13">
        <v>3</v>
      </c>
      <c r="AA137" s="13">
        <v>3</v>
      </c>
      <c r="AB137" s="13">
        <v>3</v>
      </c>
      <c r="AC137" s="13">
        <v>3</v>
      </c>
      <c r="AD137" s="13">
        <v>3</v>
      </c>
      <c r="AE137" s="13">
        <v>3</v>
      </c>
      <c r="AF137" s="13">
        <v>3</v>
      </c>
      <c r="AG137" s="16">
        <f>IFERROR(SUMIF(reading[[#This Row],[1st]:[7th]],"&gt;0")/COUNTIF(reading[[#This Row],[1st]:[7th]],"&gt;0"),"")</f>
        <v>3</v>
      </c>
    </row>
    <row r="138" spans="1:33" hidden="1" x14ac:dyDescent="0.2">
      <c r="A138" s="4">
        <f>IF(B138=1,3,IF(D138=1,2,IF(F138=1,1,0)))</f>
        <v>0</v>
      </c>
      <c r="B138" s="4" t="str">
        <f>IF(C138=$L138,1,IF(C138="","",0))</f>
        <v/>
      </c>
      <c r="C138" s="41"/>
      <c r="D138" s="4" t="str">
        <f>IF(E138=$L138,1,IF(E138="","",0))</f>
        <v/>
      </c>
      <c r="E138" s="18"/>
      <c r="F138" s="4" t="str">
        <f>IF(G138=$L138,1,IF(G138="","",0))</f>
        <v/>
      </c>
      <c r="G138" s="14"/>
      <c r="H138" s="6">
        <v>635</v>
      </c>
      <c r="I138" s="15" t="s">
        <v>3120</v>
      </c>
      <c r="J138" s="6" t="s">
        <v>3776</v>
      </c>
      <c r="K138" s="6"/>
      <c r="L138" s="6" t="s">
        <v>758</v>
      </c>
      <c r="M138" s="6" t="s">
        <v>6744</v>
      </c>
      <c r="N138" s="7">
        <f ca="1">RAND()</f>
        <v>0.35529937106973908</v>
      </c>
      <c r="O138" s="8">
        <v>45203</v>
      </c>
      <c r="P138" s="8">
        <v>45204</v>
      </c>
      <c r="Q138" s="8">
        <v>45206</v>
      </c>
      <c r="R138" s="8">
        <v>45210</v>
      </c>
      <c r="S138" s="8">
        <v>45217</v>
      </c>
      <c r="T138" s="8">
        <v>45229</v>
      </c>
      <c r="U138" s="8">
        <v>45250</v>
      </c>
      <c r="V138" s="10">
        <f>COUNTA(O138:U138)</f>
        <v>7</v>
      </c>
      <c r="W138" s="11">
        <f>_xlfn.IFNA(INDEX(reading[[#This Row],[Memo 01]:[Memo 07]],MATCH(0,reading[[#This Row],[Memo 01]:[Memo 07]],-1)),"")</f>
        <v>45250</v>
      </c>
      <c r="X138" s="11">
        <f ca="1">IFERROR(reading[[#This Row],[Previous]]+OFFSET(reading[[#Headers],[Memo 01]],-1,MATCH(0,reading[[#This Row],[Memo 01]:[Memo 07]],-1)-1),"")</f>
        <v>55250</v>
      </c>
      <c r="Y138" s="10" t="str">
        <f ca="1">IF(reading[[#This Row],[Next]]&lt;&gt;"",IF(reading[[#This Row],[Next]]&gt;TODAY(),"OK",""),"")</f>
        <v>OK</v>
      </c>
      <c r="Z138" s="13">
        <v>3</v>
      </c>
      <c r="AA138" s="13">
        <v>3</v>
      </c>
      <c r="AB138" s="13">
        <v>3</v>
      </c>
      <c r="AC138" s="13">
        <v>2</v>
      </c>
      <c r="AD138" s="13">
        <v>2</v>
      </c>
      <c r="AE138" s="13">
        <v>2</v>
      </c>
      <c r="AF138" s="13">
        <v>3</v>
      </c>
      <c r="AG138" s="16">
        <f>IFERROR(SUMIF(reading[[#This Row],[1st]:[7th]],"&gt;0")/COUNTIF(reading[[#This Row],[1st]:[7th]],"&gt;0"),"")</f>
        <v>2.5714285714285716</v>
      </c>
    </row>
    <row r="139" spans="1:33" hidden="1" x14ac:dyDescent="0.2">
      <c r="A139" s="4">
        <f>IF(B139=1,3,IF(D139=1,2,IF(F139=1,1,0)))</f>
        <v>3</v>
      </c>
      <c r="B139" s="4">
        <f>IF(C139=$L139,1,IF(C139="","",0))</f>
        <v>1</v>
      </c>
      <c r="C139" s="20" t="s">
        <v>279</v>
      </c>
      <c r="D139" s="4" t="str">
        <f>IF(E139=$L139,1,IF(E139="","",0))</f>
        <v/>
      </c>
      <c r="E139" s="14"/>
      <c r="F139" s="4" t="str">
        <f>IF(G139=$L139,1,IF(G139="","",0))</f>
        <v/>
      </c>
      <c r="G139" s="14"/>
      <c r="H139" s="6">
        <v>142</v>
      </c>
      <c r="I139" s="15" t="s">
        <v>3120</v>
      </c>
      <c r="J139" s="6" t="s">
        <v>3291</v>
      </c>
      <c r="K139" s="6"/>
      <c r="L139" s="6" t="s">
        <v>279</v>
      </c>
      <c r="M139" s="6" t="s">
        <v>6251</v>
      </c>
      <c r="N139" s="7">
        <f ca="1">RAND()</f>
        <v>0.47728699025462618</v>
      </c>
      <c r="O139" s="8">
        <v>45199</v>
      </c>
      <c r="P139" s="8">
        <v>45199</v>
      </c>
      <c r="Q139" s="8">
        <v>45199</v>
      </c>
      <c r="R139" s="8">
        <v>45199</v>
      </c>
      <c r="S139" s="8">
        <v>45199</v>
      </c>
      <c r="T139" s="8">
        <v>45199</v>
      </c>
      <c r="U139" s="8">
        <v>45199</v>
      </c>
      <c r="V139" s="10">
        <f>COUNTA(O139:U139)</f>
        <v>7</v>
      </c>
      <c r="W139" s="11">
        <f>_xlfn.IFNA(INDEX(reading[[#This Row],[Memo 01]:[Memo 07]],MATCH(0,reading[[#This Row],[Memo 01]:[Memo 07]],-1)),"")</f>
        <v>45199</v>
      </c>
      <c r="X139" s="11">
        <f ca="1">IFERROR(reading[[#This Row],[Previous]]+OFFSET(reading[[#Headers],[Memo 01]],-1,MATCH(0,reading[[#This Row],[Memo 01]:[Memo 07]],-1)-1),"")</f>
        <v>55199</v>
      </c>
      <c r="Y139" s="10" t="str">
        <f ca="1">IF(reading[[#This Row],[Next]]&lt;&gt;"",IF(reading[[#This Row],[Next]]&gt;TODAY(),"OK",""),"")</f>
        <v>OK</v>
      </c>
      <c r="Z139" s="13">
        <v>3</v>
      </c>
      <c r="AA139" s="13"/>
      <c r="AB139" s="13"/>
      <c r="AC139" s="13"/>
      <c r="AD139" s="13"/>
      <c r="AE139" s="13"/>
      <c r="AF139" s="13"/>
      <c r="AG139" s="16">
        <f>IFERROR(SUMIF(reading[[#This Row],[1st]:[7th]],"&gt;0")/COUNTIF(reading[[#This Row],[1st]:[7th]],"&gt;0"),"")</f>
        <v>3</v>
      </c>
    </row>
    <row r="140" spans="1:33" hidden="1" x14ac:dyDescent="0.2">
      <c r="A140" s="4">
        <f>IF(B140=1,3,IF(D140=1,2,IF(F140=1,1,0)))</f>
        <v>0</v>
      </c>
      <c r="B140" s="4" t="str">
        <f>IF(C140=$L140,1,IF(C140="","",0))</f>
        <v/>
      </c>
      <c r="C140" s="43"/>
      <c r="D140" s="4" t="str">
        <f>IF(E140=$L140,1,IF(E140="","",0))</f>
        <v/>
      </c>
      <c r="E140" s="18"/>
      <c r="F140" s="4" t="str">
        <f>IF(G140=$L140,1,IF(G140="","",0))</f>
        <v/>
      </c>
      <c r="G140" s="14"/>
      <c r="H140" s="6">
        <v>267</v>
      </c>
      <c r="I140" s="15" t="s">
        <v>3120</v>
      </c>
      <c r="J140" s="6" t="s">
        <v>3416</v>
      </c>
      <c r="K140" s="15" t="s">
        <v>3139</v>
      </c>
      <c r="L140" s="6" t="s">
        <v>402</v>
      </c>
      <c r="M140" s="6" t="s">
        <v>6376</v>
      </c>
      <c r="N140" s="7">
        <f ca="1">RAND()</f>
        <v>0.9431772038422318</v>
      </c>
      <c r="O140" s="8">
        <v>45199</v>
      </c>
      <c r="P140" s="8">
        <v>45200</v>
      </c>
      <c r="Q140" s="8">
        <v>45202</v>
      </c>
      <c r="R140" s="8">
        <v>45206</v>
      </c>
      <c r="S140" s="8">
        <v>45213</v>
      </c>
      <c r="T140" s="8">
        <v>45225</v>
      </c>
      <c r="U140" s="8">
        <v>45783</v>
      </c>
      <c r="V140" s="10">
        <f>COUNTA(O140:U140)</f>
        <v>7</v>
      </c>
      <c r="W140" s="11">
        <f>_xlfn.IFNA(INDEX(reading[[#This Row],[Memo 01]:[Memo 07]],MATCH(0,reading[[#This Row],[Memo 01]:[Memo 07]],-1)),"")</f>
        <v>45783</v>
      </c>
      <c r="X140" s="11">
        <f ca="1">IFERROR(reading[[#This Row],[Previous]]+OFFSET(reading[[#Headers],[Memo 01]],-1,MATCH(0,reading[[#This Row],[Memo 01]:[Memo 07]],-1)-1),"")</f>
        <v>55783</v>
      </c>
      <c r="Y140" s="10" t="str">
        <f ca="1">IF(reading[[#This Row],[Next]]&lt;&gt;"",IF(reading[[#This Row],[Next]]&gt;TODAY(),"OK",""),"")</f>
        <v>OK</v>
      </c>
      <c r="Z140" s="13">
        <v>3</v>
      </c>
      <c r="AA140" s="13">
        <v>3</v>
      </c>
      <c r="AB140" s="13">
        <v>3</v>
      </c>
      <c r="AC140" s="13">
        <v>3</v>
      </c>
      <c r="AD140" s="13">
        <v>3</v>
      </c>
      <c r="AE140" s="13">
        <v>2</v>
      </c>
      <c r="AF140" s="13">
        <v>3</v>
      </c>
      <c r="AG140" s="16">
        <f>IFERROR(SUMIF(reading[[#This Row],[1st]:[7th]],"&gt;0")/COUNTIF(reading[[#This Row],[1st]:[7th]],"&gt;0"),"")</f>
        <v>2.8571428571428572</v>
      </c>
    </row>
    <row r="141" spans="1:33" hidden="1" x14ac:dyDescent="0.2">
      <c r="A141" s="4">
        <f>IF(B141=1,3,IF(D141=1,2,IF(F141=1,1,0)))</f>
        <v>0</v>
      </c>
      <c r="B141" s="4" t="str">
        <f>IF(C141=$L141,1,IF(C141="","",0))</f>
        <v/>
      </c>
      <c r="C141" s="42"/>
      <c r="D141" s="4" t="str">
        <f>IF(E141=$L141,1,IF(E141="","",0))</f>
        <v/>
      </c>
      <c r="E141" s="18"/>
      <c r="F141" s="4" t="str">
        <f>IF(G141=$L141,1,IF(G141="","",0))</f>
        <v/>
      </c>
      <c r="G141" s="14"/>
      <c r="H141" s="6">
        <v>1628</v>
      </c>
      <c r="I141" s="15" t="s">
        <v>3120</v>
      </c>
      <c r="J141" s="6" t="s">
        <v>4740</v>
      </c>
      <c r="K141" s="6"/>
      <c r="L141" s="6" t="s">
        <v>1710</v>
      </c>
      <c r="M141" s="6" t="s">
        <v>7734</v>
      </c>
      <c r="N141" s="7">
        <f ca="1">RAND()</f>
        <v>0.68462744107047135</v>
      </c>
      <c r="O141" s="8">
        <v>45210</v>
      </c>
      <c r="P141" s="8">
        <v>45211</v>
      </c>
      <c r="Q141" s="8">
        <v>45213</v>
      </c>
      <c r="R141" s="8">
        <v>45217</v>
      </c>
      <c r="S141" s="8">
        <v>45224</v>
      </c>
      <c r="T141" s="8">
        <v>45236</v>
      </c>
      <c r="U141" s="8">
        <v>45792</v>
      </c>
      <c r="V141" s="10">
        <f>COUNTA(O141:U141)</f>
        <v>7</v>
      </c>
      <c r="W141" s="11">
        <f>_xlfn.IFNA(INDEX(reading[[#This Row],[Memo 01]:[Memo 07]],MATCH(0,reading[[#This Row],[Memo 01]:[Memo 07]],-1)),"")</f>
        <v>45792</v>
      </c>
      <c r="X141" s="11">
        <f ca="1">IFERROR(reading[[#This Row],[Previous]]+OFFSET(reading[[#Headers],[Memo 01]],-1,MATCH(0,reading[[#This Row],[Memo 01]:[Memo 07]],-1)-1),"")</f>
        <v>55792</v>
      </c>
      <c r="Y141" s="10" t="str">
        <f ca="1">IF(reading[[#This Row],[Next]]&lt;&gt;"",IF(reading[[#This Row],[Next]]&gt;TODAY(),"OK",""),"")</f>
        <v>OK</v>
      </c>
      <c r="Z141" s="13">
        <v>3</v>
      </c>
      <c r="AA141" s="13">
        <v>3</v>
      </c>
      <c r="AB141" s="13">
        <v>3</v>
      </c>
      <c r="AC141" s="13">
        <v>2</v>
      </c>
      <c r="AD141" s="13">
        <v>3</v>
      </c>
      <c r="AE141" s="13">
        <v>3</v>
      </c>
      <c r="AF141" s="13">
        <v>3</v>
      </c>
      <c r="AG141" s="16">
        <f>IFERROR(SUMIF(reading[[#This Row],[1st]:[7th]],"&gt;0")/COUNTIF(reading[[#This Row],[1st]:[7th]],"&gt;0"),"")</f>
        <v>2.8571428571428572</v>
      </c>
    </row>
    <row r="142" spans="1:33" hidden="1" x14ac:dyDescent="0.2">
      <c r="A142" s="4">
        <f>IF(B142=1,3,IF(D142=1,2,IF(F142=1,1,0)))</f>
        <v>3</v>
      </c>
      <c r="B142" s="4">
        <f>IF(C142=$L142,1,IF(C142="","",0))</f>
        <v>1</v>
      </c>
      <c r="C142" s="20" t="s">
        <v>282</v>
      </c>
      <c r="D142" s="4" t="str">
        <f>IF(E142=$L142,1,IF(E142="","",0))</f>
        <v/>
      </c>
      <c r="E142" s="14"/>
      <c r="F142" s="4" t="str">
        <f>IF(G142=$L142,1,IF(G142="","",0))</f>
        <v/>
      </c>
      <c r="G142" s="14"/>
      <c r="H142" s="6">
        <v>145</v>
      </c>
      <c r="I142" s="15" t="s">
        <v>3120</v>
      </c>
      <c r="J142" s="6" t="s">
        <v>3294</v>
      </c>
      <c r="K142" s="6"/>
      <c r="L142" s="6" t="s">
        <v>282</v>
      </c>
      <c r="M142" s="6" t="s">
        <v>6254</v>
      </c>
      <c r="N142" s="7">
        <f ca="1">RAND()</f>
        <v>0.14413155688691359</v>
      </c>
      <c r="O142" s="8">
        <v>45199</v>
      </c>
      <c r="P142" s="8">
        <v>45199</v>
      </c>
      <c r="Q142" s="8">
        <v>45199</v>
      </c>
      <c r="R142" s="8">
        <v>45199</v>
      </c>
      <c r="S142" s="8">
        <v>45199</v>
      </c>
      <c r="T142" s="8">
        <v>45199</v>
      </c>
      <c r="U142" s="8">
        <v>45199</v>
      </c>
      <c r="V142" s="10">
        <f>COUNTA(O142:U142)</f>
        <v>7</v>
      </c>
      <c r="W142" s="11">
        <f>_xlfn.IFNA(INDEX(reading[[#This Row],[Memo 01]:[Memo 07]],MATCH(0,reading[[#This Row],[Memo 01]:[Memo 07]],-1)),"")</f>
        <v>45199</v>
      </c>
      <c r="X142" s="11">
        <f ca="1">IFERROR(reading[[#This Row],[Previous]]+OFFSET(reading[[#Headers],[Memo 01]],-1,MATCH(0,reading[[#This Row],[Memo 01]:[Memo 07]],-1)-1),"")</f>
        <v>55199</v>
      </c>
      <c r="Y142" s="10" t="str">
        <f ca="1">IF(reading[[#This Row],[Next]]&lt;&gt;"",IF(reading[[#This Row],[Next]]&gt;TODAY(),"OK",""),"")</f>
        <v>OK</v>
      </c>
      <c r="Z142" s="13">
        <v>3</v>
      </c>
      <c r="AA142" s="13"/>
      <c r="AB142" s="13"/>
      <c r="AC142" s="13"/>
      <c r="AD142" s="13"/>
      <c r="AE142" s="13"/>
      <c r="AF142" s="13"/>
      <c r="AG142" s="16">
        <f>IFERROR(SUMIF(reading[[#This Row],[1st]:[7th]],"&gt;0")/COUNTIF(reading[[#This Row],[1st]:[7th]],"&gt;0"),"")</f>
        <v>3</v>
      </c>
    </row>
    <row r="143" spans="1:33" hidden="1" x14ac:dyDescent="0.2">
      <c r="A143" s="4">
        <f>IF(B143=1,3,IF(D143=1,2,IF(F143=1,1,0)))</f>
        <v>0</v>
      </c>
      <c r="B143" s="4" t="str">
        <f>IF(C143=$L143,1,IF(C143="","",0))</f>
        <v/>
      </c>
      <c r="C143" s="41"/>
      <c r="D143" s="4" t="str">
        <f>IF(E143=$L143,1,IF(E143="","",0))</f>
        <v/>
      </c>
      <c r="E143" s="23"/>
      <c r="F143" s="4" t="str">
        <f>IF(G143=$L143,1,IF(G143="","",0))</f>
        <v/>
      </c>
      <c r="G143" s="18"/>
      <c r="H143" s="6">
        <v>802</v>
      </c>
      <c r="I143" s="15" t="s">
        <v>3120</v>
      </c>
      <c r="J143" s="6" t="s">
        <v>3936</v>
      </c>
      <c r="K143" s="24" t="s">
        <v>3136</v>
      </c>
      <c r="L143" s="6" t="s">
        <v>919</v>
      </c>
      <c r="M143" s="6" t="s">
        <v>6911</v>
      </c>
      <c r="N143" s="7">
        <f ca="1">RAND()</f>
        <v>0.91148868808702743</v>
      </c>
      <c r="O143" s="8">
        <v>45203</v>
      </c>
      <c r="P143" s="8">
        <v>45204</v>
      </c>
      <c r="Q143" s="8">
        <v>45206</v>
      </c>
      <c r="R143" s="8">
        <v>45210</v>
      </c>
      <c r="S143" s="8">
        <v>45217</v>
      </c>
      <c r="T143" s="8">
        <v>45229</v>
      </c>
      <c r="U143" s="8">
        <v>45250</v>
      </c>
      <c r="V143" s="10">
        <f>COUNTA(O143:U143)</f>
        <v>7</v>
      </c>
      <c r="W143" s="11">
        <f>_xlfn.IFNA(INDEX(reading[[#This Row],[Memo 01]:[Memo 07]],MATCH(0,reading[[#This Row],[Memo 01]:[Memo 07]],-1)),"")</f>
        <v>45250</v>
      </c>
      <c r="X143" s="11">
        <f ca="1">IFERROR(reading[[#This Row],[Previous]]+OFFSET(reading[[#Headers],[Memo 01]],-1,MATCH(0,reading[[#This Row],[Memo 01]:[Memo 07]],-1)-1),"")</f>
        <v>55250</v>
      </c>
      <c r="Y143" s="10" t="str">
        <f ca="1">IF(reading[[#This Row],[Next]]&lt;&gt;"",IF(reading[[#This Row],[Next]]&gt;TODAY(),"OK",""),"")</f>
        <v>OK</v>
      </c>
      <c r="Z143" s="13">
        <v>3</v>
      </c>
      <c r="AA143" s="13">
        <v>3</v>
      </c>
      <c r="AB143" s="13">
        <v>1</v>
      </c>
      <c r="AC143" s="13">
        <v>2</v>
      </c>
      <c r="AD143" s="13">
        <v>3</v>
      </c>
      <c r="AE143" s="13">
        <v>3</v>
      </c>
      <c r="AF143" s="13">
        <v>3</v>
      </c>
      <c r="AG143" s="16">
        <f>IFERROR(SUMIF(reading[[#This Row],[1st]:[7th]],"&gt;0")/COUNTIF(reading[[#This Row],[1st]:[7th]],"&gt;0"),"")</f>
        <v>2.5714285714285716</v>
      </c>
    </row>
    <row r="144" spans="1:33" hidden="1" x14ac:dyDescent="0.2">
      <c r="A144" s="4">
        <f>IF(B144=1,3,IF(D144=1,2,IF(F144=1,1,0)))</f>
        <v>0</v>
      </c>
      <c r="B144" s="4" t="str">
        <f>IF(C144=$L144,1,IF(C144="","",0))</f>
        <v/>
      </c>
      <c r="C144" s="42"/>
      <c r="D144" s="4" t="str">
        <f>IF(E144=$L144,1,IF(E144="","",0))</f>
        <v/>
      </c>
      <c r="E144" s="14"/>
      <c r="F144" s="4" t="str">
        <f>IF(G144=$L144,1,IF(G144="","",0))</f>
        <v/>
      </c>
      <c r="G144" s="14"/>
      <c r="H144" s="6">
        <v>447</v>
      </c>
      <c r="I144" s="15" t="s">
        <v>3120</v>
      </c>
      <c r="J144" s="6" t="s">
        <v>3593</v>
      </c>
      <c r="K144" s="6"/>
      <c r="L144" s="6" t="s">
        <v>576</v>
      </c>
      <c r="M144" s="6" t="s">
        <v>6556</v>
      </c>
      <c r="N144" s="7">
        <f ca="1">RAND()</f>
        <v>0.49815471941569112</v>
      </c>
      <c r="O144" s="8">
        <v>45202</v>
      </c>
      <c r="P144" s="8">
        <v>45203</v>
      </c>
      <c r="Q144" s="8">
        <v>45205</v>
      </c>
      <c r="R144" s="8">
        <v>45209</v>
      </c>
      <c r="S144" s="8">
        <v>45216</v>
      </c>
      <c r="T144" s="8">
        <v>45228</v>
      </c>
      <c r="U144" s="8">
        <v>45783</v>
      </c>
      <c r="V144" s="10">
        <f>COUNTA(O144:U144)</f>
        <v>7</v>
      </c>
      <c r="W144" s="11">
        <f>_xlfn.IFNA(INDEX(reading[[#This Row],[Memo 01]:[Memo 07]],MATCH(0,reading[[#This Row],[Memo 01]:[Memo 07]],-1)),"")</f>
        <v>45783</v>
      </c>
      <c r="X144" s="11">
        <f ca="1">IFERROR(reading[[#This Row],[Previous]]+OFFSET(reading[[#Headers],[Memo 01]],-1,MATCH(0,reading[[#This Row],[Memo 01]:[Memo 07]],-1)-1),"")</f>
        <v>55783</v>
      </c>
      <c r="Y144" s="10" t="str">
        <f ca="1">IF(reading[[#This Row],[Next]]&lt;&gt;"",IF(reading[[#This Row],[Next]]&gt;TODAY(),"OK",""),"")</f>
        <v>OK</v>
      </c>
      <c r="Z144" s="13">
        <v>3</v>
      </c>
      <c r="AA144" s="13">
        <v>3</v>
      </c>
      <c r="AB144" s="13">
        <v>3</v>
      </c>
      <c r="AC144" s="13">
        <v>3</v>
      </c>
      <c r="AD144" s="13">
        <v>3</v>
      </c>
      <c r="AE144" s="13">
        <v>3</v>
      </c>
      <c r="AF144" s="13">
        <v>3</v>
      </c>
      <c r="AG144" s="16">
        <f>IFERROR(SUMIF(reading[[#This Row],[1st]:[7th]],"&gt;0")/COUNTIF(reading[[#This Row],[1st]:[7th]],"&gt;0"),"")</f>
        <v>3</v>
      </c>
    </row>
    <row r="145" spans="1:33" hidden="1" x14ac:dyDescent="0.2">
      <c r="A145" s="4">
        <f>IF(B145=1,3,IF(D145=1,2,IF(F145=1,1,0)))</f>
        <v>0</v>
      </c>
      <c r="B145" s="4" t="str">
        <f>IF(C145=$L145,1,IF(C145="","",0))</f>
        <v/>
      </c>
      <c r="C145" s="42"/>
      <c r="D145" s="4" t="str">
        <f>IF(E145=$L145,1,IF(E145="","",0))</f>
        <v/>
      </c>
      <c r="E145" s="14"/>
      <c r="F145" s="4" t="str">
        <f>IF(G145=$L145,1,IF(G145="","",0))</f>
        <v/>
      </c>
      <c r="G145" s="14"/>
      <c r="H145" s="6">
        <v>1445</v>
      </c>
      <c r="I145" s="15" t="s">
        <v>3120</v>
      </c>
      <c r="J145" s="6" t="s">
        <v>4559</v>
      </c>
      <c r="K145" s="6"/>
      <c r="L145" s="6" t="s">
        <v>1535</v>
      </c>
      <c r="M145" s="6" t="s">
        <v>7552</v>
      </c>
      <c r="N145" s="7">
        <f ca="1">RAND()</f>
        <v>0.38073851897778477</v>
      </c>
      <c r="O145" s="8">
        <v>45208</v>
      </c>
      <c r="P145" s="8">
        <v>45209</v>
      </c>
      <c r="Q145" s="8">
        <v>45211</v>
      </c>
      <c r="R145" s="8">
        <v>45215</v>
      </c>
      <c r="S145" s="8">
        <v>45222</v>
      </c>
      <c r="T145" s="8">
        <v>45234</v>
      </c>
      <c r="U145" s="8">
        <v>45818</v>
      </c>
      <c r="V145" s="10">
        <f>COUNTA(O145:U145)</f>
        <v>7</v>
      </c>
      <c r="W145" s="11">
        <f>_xlfn.IFNA(INDEX(reading[[#This Row],[Memo 01]:[Memo 07]],MATCH(0,reading[[#This Row],[Memo 01]:[Memo 07]],-1)),"")</f>
        <v>45818</v>
      </c>
      <c r="X145" s="11">
        <f ca="1">IFERROR(reading[[#This Row],[Previous]]+OFFSET(reading[[#Headers],[Memo 01]],-1,MATCH(0,reading[[#This Row],[Memo 01]:[Memo 07]],-1)-1),"")</f>
        <v>55818</v>
      </c>
      <c r="Y145" s="10" t="str">
        <f ca="1">IF(reading[[#This Row],[Next]]&lt;&gt;"",IF(reading[[#This Row],[Next]]&gt;TODAY(),"OK",""),"")</f>
        <v>OK</v>
      </c>
      <c r="Z145" s="13">
        <v>3</v>
      </c>
      <c r="AA145" s="13">
        <v>3</v>
      </c>
      <c r="AB145" s="13">
        <v>3</v>
      </c>
      <c r="AC145" s="13">
        <v>3</v>
      </c>
      <c r="AD145" s="13">
        <v>3</v>
      </c>
      <c r="AE145" s="13">
        <v>3</v>
      </c>
      <c r="AF145" s="13">
        <v>3</v>
      </c>
      <c r="AG145" s="16">
        <f>IFERROR(SUMIF(reading[[#This Row],[1st]:[7th]],"&gt;0")/COUNTIF(reading[[#This Row],[1st]:[7th]],"&gt;0"),"")</f>
        <v>3</v>
      </c>
    </row>
    <row r="146" spans="1:33" hidden="1" x14ac:dyDescent="0.2">
      <c r="A146" s="4">
        <f>IF(B146=1,3,IF(D146=1,2,IF(F146=1,1,0)))</f>
        <v>0</v>
      </c>
      <c r="B146" s="4" t="str">
        <f>IF(C146=$L146,1,IF(C146="","",0))</f>
        <v/>
      </c>
      <c r="C146" s="42"/>
      <c r="D146" s="4" t="str">
        <f>IF(E146=$L146,1,IF(E146="","",0))</f>
        <v/>
      </c>
      <c r="E146" s="18"/>
      <c r="F146" s="4" t="str">
        <f>IF(G146=$L146,1,IF(G146="","",0))</f>
        <v/>
      </c>
      <c r="G146" s="14"/>
      <c r="H146" s="6">
        <v>1172</v>
      </c>
      <c r="I146" s="15" t="s">
        <v>3120</v>
      </c>
      <c r="J146" s="6" t="s">
        <v>4291</v>
      </c>
      <c r="K146" s="6"/>
      <c r="L146" s="6" t="s">
        <v>1274</v>
      </c>
      <c r="M146" s="6" t="s">
        <v>7280</v>
      </c>
      <c r="N146" s="7">
        <f ca="1">RAND()</f>
        <v>0.63613955998193916</v>
      </c>
      <c r="O146" s="8">
        <v>45206</v>
      </c>
      <c r="P146" s="8">
        <v>45207</v>
      </c>
      <c r="Q146" s="8">
        <v>45209</v>
      </c>
      <c r="R146" s="8">
        <v>45213</v>
      </c>
      <c r="S146" s="8">
        <v>45220</v>
      </c>
      <c r="T146" s="8">
        <v>45232</v>
      </c>
      <c r="U146" s="8">
        <v>45818</v>
      </c>
      <c r="V146" s="10">
        <f>COUNTA(O146:U146)</f>
        <v>7</v>
      </c>
      <c r="W146" s="11">
        <f>_xlfn.IFNA(INDEX(reading[[#This Row],[Memo 01]:[Memo 07]],MATCH(0,reading[[#This Row],[Memo 01]:[Memo 07]],-1)),"")</f>
        <v>45818</v>
      </c>
      <c r="X146" s="11">
        <f ca="1">IFERROR(reading[[#This Row],[Previous]]+OFFSET(reading[[#Headers],[Memo 01]],-1,MATCH(0,reading[[#This Row],[Memo 01]:[Memo 07]],-1)-1),"")</f>
        <v>55818</v>
      </c>
      <c r="Y146" s="10" t="str">
        <f ca="1">IF(reading[[#This Row],[Next]]&lt;&gt;"",IF(reading[[#This Row],[Next]]&gt;TODAY(),"OK",""),"")</f>
        <v>OK</v>
      </c>
      <c r="Z146" s="13">
        <v>3</v>
      </c>
      <c r="AA146" s="13">
        <v>3</v>
      </c>
      <c r="AB146" s="13">
        <v>3</v>
      </c>
      <c r="AC146" s="13">
        <v>3</v>
      </c>
      <c r="AD146" s="13">
        <v>2</v>
      </c>
      <c r="AE146" s="13">
        <v>3</v>
      </c>
      <c r="AF146" s="13">
        <v>3</v>
      </c>
      <c r="AG146" s="16">
        <f>IFERROR(SUMIF(reading[[#This Row],[1st]:[7th]],"&gt;0")/COUNTIF(reading[[#This Row],[1st]:[7th]],"&gt;0"),"")</f>
        <v>2.8571428571428572</v>
      </c>
    </row>
    <row r="147" spans="1:33" hidden="1" x14ac:dyDescent="0.2">
      <c r="A147" s="4">
        <f>IF(B147=1,3,IF(D147=1,2,IF(F147=1,1,0)))</f>
        <v>3</v>
      </c>
      <c r="B147" s="4">
        <f>IF(C147=$L147,1,IF(C147="","",0))</f>
        <v>1</v>
      </c>
      <c r="C147" s="20" t="s">
        <v>287</v>
      </c>
      <c r="D147" s="4" t="str">
        <f>IF(E147=$L147,1,IF(E147="","",0))</f>
        <v/>
      </c>
      <c r="E147" s="14"/>
      <c r="F147" s="4" t="str">
        <f>IF(G147=$L147,1,IF(G147="","",0))</f>
        <v/>
      </c>
      <c r="G147" s="14"/>
      <c r="H147" s="6">
        <v>150</v>
      </c>
      <c r="I147" s="15" t="s">
        <v>3120</v>
      </c>
      <c r="J147" s="6" t="s">
        <v>3299</v>
      </c>
      <c r="K147" s="6"/>
      <c r="L147" s="6" t="s">
        <v>287</v>
      </c>
      <c r="M147" s="6" t="s">
        <v>6259</v>
      </c>
      <c r="N147" s="7">
        <f ca="1">RAND()</f>
        <v>0.73172768254389697</v>
      </c>
      <c r="O147" s="8">
        <v>45199</v>
      </c>
      <c r="P147" s="8">
        <v>45199</v>
      </c>
      <c r="Q147" s="8">
        <v>45199</v>
      </c>
      <c r="R147" s="8">
        <v>45199</v>
      </c>
      <c r="S147" s="8">
        <v>45199</v>
      </c>
      <c r="T147" s="8">
        <v>45199</v>
      </c>
      <c r="U147" s="8">
        <v>45199</v>
      </c>
      <c r="V147" s="10">
        <f>COUNTA(O147:U147)</f>
        <v>7</v>
      </c>
      <c r="W147" s="11">
        <f>_xlfn.IFNA(INDEX(reading[[#This Row],[Memo 01]:[Memo 07]],MATCH(0,reading[[#This Row],[Memo 01]:[Memo 07]],-1)),"")</f>
        <v>45199</v>
      </c>
      <c r="X147" s="11">
        <f ca="1">IFERROR(reading[[#This Row],[Previous]]+OFFSET(reading[[#Headers],[Memo 01]],-1,MATCH(0,reading[[#This Row],[Memo 01]:[Memo 07]],-1)-1),"")</f>
        <v>55199</v>
      </c>
      <c r="Y147" s="10" t="str">
        <f ca="1">IF(reading[[#This Row],[Next]]&lt;&gt;"",IF(reading[[#This Row],[Next]]&gt;TODAY(),"OK",""),"")</f>
        <v>OK</v>
      </c>
      <c r="Z147" s="13">
        <v>3</v>
      </c>
      <c r="AA147" s="13"/>
      <c r="AB147" s="13"/>
      <c r="AC147" s="13"/>
      <c r="AD147" s="13"/>
      <c r="AE147" s="13"/>
      <c r="AF147" s="13"/>
      <c r="AG147" s="16">
        <f>IFERROR(SUMIF(reading[[#This Row],[1st]:[7th]],"&gt;0")/COUNTIF(reading[[#This Row],[1st]:[7th]],"&gt;0"),"")</f>
        <v>3</v>
      </c>
    </row>
    <row r="148" spans="1:33" hidden="1" x14ac:dyDescent="0.2">
      <c r="A148" s="4">
        <f>IF(B148=1,3,IF(D148=1,2,IF(F148=1,1,0)))</f>
        <v>0</v>
      </c>
      <c r="B148" s="4" t="str">
        <f>IF(C148=$L148,1,IF(C148="","",0))</f>
        <v/>
      </c>
      <c r="C148" s="42"/>
      <c r="D148" s="4" t="str">
        <f>IF(E148=$L148,1,IF(E148="","",0))</f>
        <v/>
      </c>
      <c r="E148" s="43"/>
      <c r="F148" s="4" t="str">
        <f>IF(G148=$L148,1,IF(G148="","",0))</f>
        <v/>
      </c>
      <c r="G148" s="23"/>
      <c r="H148" s="6">
        <v>2115</v>
      </c>
      <c r="I148" s="15" t="s">
        <v>3120</v>
      </c>
      <c r="J148" s="6" t="s">
        <v>5203</v>
      </c>
      <c r="K148" s="6"/>
      <c r="L148" s="6" t="s">
        <v>2183</v>
      </c>
      <c r="M148" s="6" t="s">
        <v>8221</v>
      </c>
      <c r="N148" s="7">
        <f ca="1">RAND()</f>
        <v>0.85613542006101861</v>
      </c>
      <c r="O148" s="8">
        <v>45214</v>
      </c>
      <c r="P148" s="8">
        <v>45215</v>
      </c>
      <c r="Q148" s="8">
        <v>45217</v>
      </c>
      <c r="R148" s="8">
        <v>45221</v>
      </c>
      <c r="S148" s="8">
        <v>45228</v>
      </c>
      <c r="T148" s="8">
        <v>45816</v>
      </c>
      <c r="U148" s="8"/>
      <c r="V148" s="10">
        <f>COUNTA(O148:U148)</f>
        <v>6</v>
      </c>
      <c r="W148" s="11">
        <f>_xlfn.IFNA(INDEX(reading[[#This Row],[Memo 01]:[Memo 07]],MATCH(0,reading[[#This Row],[Memo 01]:[Memo 07]],-1)),"")</f>
        <v>45816</v>
      </c>
      <c r="X148" s="11">
        <f ca="1">IFERROR(reading[[#This Row],[Previous]]+OFFSET(reading[[#Headers],[Memo 01]],-1,MATCH(0,reading[[#This Row],[Memo 01]:[Memo 07]],-1)-1),"")</f>
        <v>45836</v>
      </c>
      <c r="Y148" s="10" t="str">
        <f ca="1">IF(reading[[#This Row],[Next]]&lt;&gt;"",IF(reading[[#This Row],[Next]]&gt;TODAY(),"OK",""),"")</f>
        <v>OK</v>
      </c>
      <c r="Z148" s="13">
        <v>3</v>
      </c>
      <c r="AA148" s="13">
        <v>3</v>
      </c>
      <c r="AB148" s="13">
        <v>3</v>
      </c>
      <c r="AC148" s="13">
        <v>2</v>
      </c>
      <c r="AD148" s="13">
        <v>3</v>
      </c>
      <c r="AE148" s="13">
        <v>1</v>
      </c>
      <c r="AF148" s="13"/>
      <c r="AG148" s="16">
        <f>IFERROR(SUMIF(reading[[#This Row],[1st]:[7th]],"&gt;0")/COUNTIF(reading[[#This Row],[1st]:[7th]],"&gt;0"),"")</f>
        <v>2.5</v>
      </c>
    </row>
    <row r="149" spans="1:33" hidden="1" x14ac:dyDescent="0.2">
      <c r="A149" s="4">
        <f>IF(B149=1,3,IF(D149=1,2,IF(F149=1,1,0)))</f>
        <v>3</v>
      </c>
      <c r="B149" s="4">
        <f>IF(C149=$L149,1,IF(C149="","",0))</f>
        <v>1</v>
      </c>
      <c r="C149" s="20" t="s">
        <v>289</v>
      </c>
      <c r="D149" s="4" t="str">
        <f>IF(E149=$L149,1,IF(E149="","",0))</f>
        <v/>
      </c>
      <c r="E149" s="14"/>
      <c r="F149" s="4" t="str">
        <f>IF(G149=$L149,1,IF(G149="","",0))</f>
        <v/>
      </c>
      <c r="G149" s="14"/>
      <c r="H149" s="6">
        <v>152</v>
      </c>
      <c r="I149" s="15" t="s">
        <v>3120</v>
      </c>
      <c r="J149" s="6" t="s">
        <v>3301</v>
      </c>
      <c r="K149" s="6"/>
      <c r="L149" s="6" t="s">
        <v>289</v>
      </c>
      <c r="M149" s="6" t="s">
        <v>6261</v>
      </c>
      <c r="N149" s="7">
        <f ca="1">RAND()</f>
        <v>0.81968624698587356</v>
      </c>
      <c r="O149" s="8">
        <v>45199</v>
      </c>
      <c r="P149" s="8">
        <v>45199</v>
      </c>
      <c r="Q149" s="8">
        <v>45199</v>
      </c>
      <c r="R149" s="8">
        <v>45199</v>
      </c>
      <c r="S149" s="8">
        <v>45199</v>
      </c>
      <c r="T149" s="8">
        <v>45199</v>
      </c>
      <c r="U149" s="8">
        <v>45199</v>
      </c>
      <c r="V149" s="10">
        <f>COUNTA(O149:U149)</f>
        <v>7</v>
      </c>
      <c r="W149" s="11">
        <f>_xlfn.IFNA(INDEX(reading[[#This Row],[Memo 01]:[Memo 07]],MATCH(0,reading[[#This Row],[Memo 01]:[Memo 07]],-1)),"")</f>
        <v>45199</v>
      </c>
      <c r="X149" s="11">
        <f ca="1">IFERROR(reading[[#This Row],[Previous]]+OFFSET(reading[[#Headers],[Memo 01]],-1,MATCH(0,reading[[#This Row],[Memo 01]:[Memo 07]],-1)-1),"")</f>
        <v>55199</v>
      </c>
      <c r="Y149" s="10" t="str">
        <f ca="1">IF(reading[[#This Row],[Next]]&lt;&gt;"",IF(reading[[#This Row],[Next]]&gt;TODAY(),"OK",""),"")</f>
        <v>OK</v>
      </c>
      <c r="Z149" s="13">
        <v>3</v>
      </c>
      <c r="AA149" s="13"/>
      <c r="AB149" s="13"/>
      <c r="AC149" s="13"/>
      <c r="AD149" s="13"/>
      <c r="AE149" s="13"/>
      <c r="AF149" s="13"/>
      <c r="AG149" s="16">
        <f>IFERROR(SUMIF(reading[[#This Row],[1st]:[7th]],"&gt;0")/COUNTIF(reading[[#This Row],[1st]:[7th]],"&gt;0"),"")</f>
        <v>3</v>
      </c>
    </row>
    <row r="150" spans="1:33" hidden="1" x14ac:dyDescent="0.2">
      <c r="A150" s="4">
        <f>IF(B150=1,3,IF(D150=1,2,IF(F150=1,1,0)))</f>
        <v>3</v>
      </c>
      <c r="B150" s="4">
        <f>IF(C150=$L150,1,IF(C150="","",0))</f>
        <v>1</v>
      </c>
      <c r="C150" s="20" t="s">
        <v>290</v>
      </c>
      <c r="D150" s="4" t="str">
        <f>IF(E150=$L150,1,IF(E150="","",0))</f>
        <v/>
      </c>
      <c r="E150" s="14"/>
      <c r="F150" s="4" t="str">
        <f>IF(G150=$L150,1,IF(G150="","",0))</f>
        <v/>
      </c>
      <c r="G150" s="14"/>
      <c r="H150" s="6">
        <v>153</v>
      </c>
      <c r="I150" s="15" t="s">
        <v>3120</v>
      </c>
      <c r="J150" s="6" t="s">
        <v>3302</v>
      </c>
      <c r="K150" s="6"/>
      <c r="L150" s="6" t="s">
        <v>290</v>
      </c>
      <c r="M150" s="6" t="s">
        <v>6262</v>
      </c>
      <c r="N150" s="7">
        <f ca="1">RAND()</f>
        <v>0.64711235581606419</v>
      </c>
      <c r="O150" s="8">
        <v>45199</v>
      </c>
      <c r="P150" s="8">
        <v>45199</v>
      </c>
      <c r="Q150" s="8">
        <v>45199</v>
      </c>
      <c r="R150" s="8">
        <v>45199</v>
      </c>
      <c r="S150" s="8">
        <v>45199</v>
      </c>
      <c r="T150" s="8">
        <v>45199</v>
      </c>
      <c r="U150" s="8">
        <v>45199</v>
      </c>
      <c r="V150" s="10">
        <f>COUNTA(O150:U150)</f>
        <v>7</v>
      </c>
      <c r="W150" s="11">
        <f>_xlfn.IFNA(INDEX(reading[[#This Row],[Memo 01]:[Memo 07]],MATCH(0,reading[[#This Row],[Memo 01]:[Memo 07]],-1)),"")</f>
        <v>45199</v>
      </c>
      <c r="X150" s="11">
        <f ca="1">IFERROR(reading[[#This Row],[Previous]]+OFFSET(reading[[#Headers],[Memo 01]],-1,MATCH(0,reading[[#This Row],[Memo 01]:[Memo 07]],-1)-1),"")</f>
        <v>55199</v>
      </c>
      <c r="Y150" s="10" t="str">
        <f ca="1">IF(reading[[#This Row],[Next]]&lt;&gt;"",IF(reading[[#This Row],[Next]]&gt;TODAY(),"OK",""),"")</f>
        <v>OK</v>
      </c>
      <c r="Z150" s="13">
        <v>3</v>
      </c>
      <c r="AA150" s="13"/>
      <c r="AB150" s="13"/>
      <c r="AC150" s="13"/>
      <c r="AD150" s="13"/>
      <c r="AE150" s="13"/>
      <c r="AF150" s="13"/>
      <c r="AG150" s="16">
        <f>IFERROR(SUMIF(reading[[#This Row],[1st]:[7th]],"&gt;0")/COUNTIF(reading[[#This Row],[1st]:[7th]],"&gt;0"),"")</f>
        <v>3</v>
      </c>
    </row>
    <row r="151" spans="1:33" hidden="1" x14ac:dyDescent="0.2">
      <c r="A151" s="4">
        <f>IF(B151=1,3,IF(D151=1,2,IF(F151=1,1,0)))</f>
        <v>3</v>
      </c>
      <c r="B151" s="4">
        <f>IF(C151=$L151,1,IF(C151="","",0))</f>
        <v>1</v>
      </c>
      <c r="C151" s="20" t="s">
        <v>291</v>
      </c>
      <c r="D151" s="4" t="str">
        <f>IF(E151=$L151,1,IF(E151="","",0))</f>
        <v/>
      </c>
      <c r="E151" s="14"/>
      <c r="F151" s="4" t="str">
        <f>IF(G151=$L151,1,IF(G151="","",0))</f>
        <v/>
      </c>
      <c r="G151" s="14"/>
      <c r="H151" s="6">
        <v>154</v>
      </c>
      <c r="I151" s="15" t="s">
        <v>3120</v>
      </c>
      <c r="J151" s="6" t="s">
        <v>3303</v>
      </c>
      <c r="K151" s="6"/>
      <c r="L151" s="6" t="s">
        <v>291</v>
      </c>
      <c r="M151" s="6" t="s">
        <v>6263</v>
      </c>
      <c r="N151" s="7">
        <f ca="1">RAND()</f>
        <v>0.67702044527073557</v>
      </c>
      <c r="O151" s="8">
        <v>45199</v>
      </c>
      <c r="P151" s="8">
        <v>45199</v>
      </c>
      <c r="Q151" s="8">
        <v>45199</v>
      </c>
      <c r="R151" s="8">
        <v>45199</v>
      </c>
      <c r="S151" s="8">
        <v>45199</v>
      </c>
      <c r="T151" s="8">
        <v>45199</v>
      </c>
      <c r="U151" s="8">
        <v>45199</v>
      </c>
      <c r="V151" s="10">
        <f>COUNTA(O151:U151)</f>
        <v>7</v>
      </c>
      <c r="W151" s="11">
        <f>_xlfn.IFNA(INDEX(reading[[#This Row],[Memo 01]:[Memo 07]],MATCH(0,reading[[#This Row],[Memo 01]:[Memo 07]],-1)),"")</f>
        <v>45199</v>
      </c>
      <c r="X151" s="11">
        <f ca="1">IFERROR(reading[[#This Row],[Previous]]+OFFSET(reading[[#Headers],[Memo 01]],-1,MATCH(0,reading[[#This Row],[Memo 01]:[Memo 07]],-1)-1),"")</f>
        <v>55199</v>
      </c>
      <c r="Y151" s="10" t="str">
        <f ca="1">IF(reading[[#This Row],[Next]]&lt;&gt;"",IF(reading[[#This Row],[Next]]&gt;TODAY(),"OK",""),"")</f>
        <v>OK</v>
      </c>
      <c r="Z151" s="13">
        <v>3</v>
      </c>
      <c r="AA151" s="13"/>
      <c r="AB151" s="13"/>
      <c r="AC151" s="13"/>
      <c r="AD151" s="13"/>
      <c r="AE151" s="13"/>
      <c r="AF151" s="13"/>
      <c r="AG151" s="16">
        <f>IFERROR(SUMIF(reading[[#This Row],[1st]:[7th]],"&gt;0")/COUNTIF(reading[[#This Row],[1st]:[7th]],"&gt;0"),"")</f>
        <v>3</v>
      </c>
    </row>
    <row r="152" spans="1:33" hidden="1" x14ac:dyDescent="0.2">
      <c r="A152" s="4">
        <f>IF(B152=1,3,IF(D152=1,2,IF(F152=1,1,0)))</f>
        <v>0</v>
      </c>
      <c r="B152" s="4" t="str">
        <f>IF(C152=$L152,1,IF(C152="","",0))</f>
        <v/>
      </c>
      <c r="C152" s="42"/>
      <c r="D152" s="4" t="str">
        <f>IF(E152=$L152,1,IF(E152="","",0))</f>
        <v/>
      </c>
      <c r="E152" s="23"/>
      <c r="F152" s="4" t="str">
        <f>IF(G152=$L152,1,IF(G152="","",0))</f>
        <v/>
      </c>
      <c r="G152" s="14"/>
      <c r="H152" s="6">
        <v>2899</v>
      </c>
      <c r="I152" s="15" t="s">
        <v>3120</v>
      </c>
      <c r="J152" s="6" t="s">
        <v>5935</v>
      </c>
      <c r="K152" s="6"/>
      <c r="L152" s="6" t="s">
        <v>2929</v>
      </c>
      <c r="M152" s="6" t="s">
        <v>9003</v>
      </c>
      <c r="N152" s="7">
        <f ca="1">RAND()</f>
        <v>0.29298623152177117</v>
      </c>
      <c r="O152" s="8">
        <v>45222</v>
      </c>
      <c r="P152" s="8">
        <v>45223</v>
      </c>
      <c r="Q152" s="8">
        <v>45225</v>
      </c>
      <c r="R152" s="8">
        <v>45229</v>
      </c>
      <c r="S152" s="8">
        <v>45236</v>
      </c>
      <c r="T152" s="8">
        <v>45820</v>
      </c>
      <c r="U152" s="8"/>
      <c r="V152" s="10">
        <f>COUNTA(O152:U152)</f>
        <v>6</v>
      </c>
      <c r="W152" s="11">
        <f>_xlfn.IFNA(INDEX(reading[[#This Row],[Memo 01]:[Memo 07]],MATCH(0,reading[[#This Row],[Memo 01]:[Memo 07]],-1)),"")</f>
        <v>45820</v>
      </c>
      <c r="X152" s="11">
        <f ca="1">IFERROR(reading[[#This Row],[Previous]]+OFFSET(reading[[#Headers],[Memo 01]],-1,MATCH(0,reading[[#This Row],[Memo 01]:[Memo 07]],-1)-1),"")</f>
        <v>45840</v>
      </c>
      <c r="Y152" s="10" t="str">
        <f ca="1">IF(reading[[#This Row],[Next]]&lt;&gt;"",IF(reading[[#This Row],[Next]]&gt;TODAY(),"OK",""),"")</f>
        <v>OK</v>
      </c>
      <c r="Z152" s="13">
        <v>3</v>
      </c>
      <c r="AA152" s="13">
        <v>3</v>
      </c>
      <c r="AB152" s="13">
        <v>3</v>
      </c>
      <c r="AC152" s="13">
        <v>3</v>
      </c>
      <c r="AD152" s="13">
        <v>3</v>
      </c>
      <c r="AE152" s="13">
        <v>2</v>
      </c>
      <c r="AF152" s="13"/>
      <c r="AG152" s="16">
        <f>IFERROR(SUMIF(reading[[#This Row],[1st]:[7th]],"&gt;0")/COUNTIF(reading[[#This Row],[1st]:[7th]],"&gt;0"),"")</f>
        <v>2.8333333333333335</v>
      </c>
    </row>
    <row r="153" spans="1:33" hidden="1" x14ac:dyDescent="0.2">
      <c r="A153" s="4">
        <f>IF(B153=1,3,IF(D153=1,2,IF(F153=1,1,0)))</f>
        <v>3</v>
      </c>
      <c r="B153" s="4">
        <f>IF(C153=$L153,1,IF(C153="","",0))</f>
        <v>1</v>
      </c>
      <c r="C153" s="20" t="s">
        <v>293</v>
      </c>
      <c r="D153" s="4" t="str">
        <f>IF(E153=$L153,1,IF(E153="","",0))</f>
        <v/>
      </c>
      <c r="E153" s="14"/>
      <c r="F153" s="4" t="str">
        <f>IF(G153=$L153,1,IF(G153="","",0))</f>
        <v/>
      </c>
      <c r="G153" s="14"/>
      <c r="H153" s="6">
        <v>156</v>
      </c>
      <c r="I153" s="15" t="s">
        <v>3120</v>
      </c>
      <c r="J153" s="6" t="s">
        <v>3305</v>
      </c>
      <c r="K153" s="6"/>
      <c r="L153" s="6" t="s">
        <v>293</v>
      </c>
      <c r="M153" s="6" t="s">
        <v>6265</v>
      </c>
      <c r="N153" s="7">
        <f ca="1">RAND()</f>
        <v>6.6467671657275407E-3</v>
      </c>
      <c r="O153" s="8">
        <v>45199</v>
      </c>
      <c r="P153" s="8">
        <v>45199</v>
      </c>
      <c r="Q153" s="8">
        <v>45199</v>
      </c>
      <c r="R153" s="8">
        <v>45199</v>
      </c>
      <c r="S153" s="8">
        <v>45199</v>
      </c>
      <c r="T153" s="8">
        <v>45199</v>
      </c>
      <c r="U153" s="8">
        <v>45199</v>
      </c>
      <c r="V153" s="10">
        <f>COUNTA(O153:U153)</f>
        <v>7</v>
      </c>
      <c r="W153" s="11">
        <f>_xlfn.IFNA(INDEX(reading[[#This Row],[Memo 01]:[Memo 07]],MATCH(0,reading[[#This Row],[Memo 01]:[Memo 07]],-1)),"")</f>
        <v>45199</v>
      </c>
      <c r="X153" s="11">
        <f ca="1">IFERROR(reading[[#This Row],[Previous]]+OFFSET(reading[[#Headers],[Memo 01]],-1,MATCH(0,reading[[#This Row],[Memo 01]:[Memo 07]],-1)-1),"")</f>
        <v>55199</v>
      </c>
      <c r="Y153" s="10" t="str">
        <f ca="1">IF(reading[[#This Row],[Next]]&lt;&gt;"",IF(reading[[#This Row],[Next]]&gt;TODAY(),"OK",""),"")</f>
        <v>OK</v>
      </c>
      <c r="Z153" s="13">
        <v>3</v>
      </c>
      <c r="AA153" s="13"/>
      <c r="AB153" s="13"/>
      <c r="AC153" s="13"/>
      <c r="AD153" s="13"/>
      <c r="AE153" s="13"/>
      <c r="AF153" s="13"/>
      <c r="AG153" s="16">
        <f>IFERROR(SUMIF(reading[[#This Row],[1st]:[7th]],"&gt;0")/COUNTIF(reading[[#This Row],[1st]:[7th]],"&gt;0"),"")</f>
        <v>3</v>
      </c>
    </row>
    <row r="154" spans="1:33" hidden="1" x14ac:dyDescent="0.2">
      <c r="A154" s="4">
        <f>IF(B154=1,3,IF(D154=1,2,IF(F154=1,1,0)))</f>
        <v>0</v>
      </c>
      <c r="B154" s="4" t="str">
        <f>IF(C154=$L154,1,IF(C154="","",0))</f>
        <v/>
      </c>
      <c r="C154" s="42"/>
      <c r="D154" s="4" t="str">
        <f>IF(E154=$L154,1,IF(E154="","",0))</f>
        <v/>
      </c>
      <c r="E154" s="14"/>
      <c r="F154" s="4" t="str">
        <f>IF(G154=$L154,1,IF(G154="","",0))</f>
        <v/>
      </c>
      <c r="G154" s="14"/>
      <c r="H154" s="6">
        <v>620</v>
      </c>
      <c r="I154" s="15" t="s">
        <v>3120</v>
      </c>
      <c r="J154" s="6" t="s">
        <v>3762</v>
      </c>
      <c r="K154" s="6"/>
      <c r="L154" s="6" t="s">
        <v>743</v>
      </c>
      <c r="M154" s="6" t="s">
        <v>6729</v>
      </c>
      <c r="N154" s="7">
        <f ca="1">RAND()</f>
        <v>0.53912745977503318</v>
      </c>
      <c r="O154" s="8">
        <v>45202</v>
      </c>
      <c r="P154" s="8">
        <v>45203</v>
      </c>
      <c r="Q154" s="8">
        <v>45205</v>
      </c>
      <c r="R154" s="8">
        <v>45209</v>
      </c>
      <c r="S154" s="8">
        <v>45216</v>
      </c>
      <c r="T154" s="8">
        <v>45228</v>
      </c>
      <c r="U154" s="8">
        <v>45783</v>
      </c>
      <c r="V154" s="10">
        <f>COUNTA(O154:U154)</f>
        <v>7</v>
      </c>
      <c r="W154" s="11">
        <f>_xlfn.IFNA(INDEX(reading[[#This Row],[Memo 01]:[Memo 07]],MATCH(0,reading[[#This Row],[Memo 01]:[Memo 07]],-1)),"")</f>
        <v>45783</v>
      </c>
      <c r="X154" s="11">
        <f ca="1">IFERROR(reading[[#This Row],[Previous]]+OFFSET(reading[[#Headers],[Memo 01]],-1,MATCH(0,reading[[#This Row],[Memo 01]:[Memo 07]],-1)-1),"")</f>
        <v>55783</v>
      </c>
      <c r="Y154" s="10" t="str">
        <f ca="1">IF(reading[[#This Row],[Next]]&lt;&gt;"",IF(reading[[#This Row],[Next]]&gt;TODAY(),"OK",""),"")</f>
        <v>OK</v>
      </c>
      <c r="Z154" s="13">
        <v>3</v>
      </c>
      <c r="AA154" s="13">
        <v>3</v>
      </c>
      <c r="AB154" s="13">
        <v>3</v>
      </c>
      <c r="AC154" s="13">
        <v>3</v>
      </c>
      <c r="AD154" s="13">
        <v>3</v>
      </c>
      <c r="AE154" s="13">
        <v>3</v>
      </c>
      <c r="AF154" s="13">
        <v>3</v>
      </c>
      <c r="AG154" s="16">
        <f>IFERROR(SUMIF(reading[[#This Row],[1st]:[7th]],"&gt;0")/COUNTIF(reading[[#This Row],[1st]:[7th]],"&gt;0"),"")</f>
        <v>3</v>
      </c>
    </row>
    <row r="155" spans="1:33" hidden="1" x14ac:dyDescent="0.2">
      <c r="A155" s="4">
        <f>IF(B155=1,3,IF(D155=1,2,IF(F155=1,1,0)))</f>
        <v>0</v>
      </c>
      <c r="B155" s="4" t="str">
        <f>IF(C155=$L155,1,IF(C155="","",0))</f>
        <v/>
      </c>
      <c r="C155" s="41"/>
      <c r="D155" s="4" t="str">
        <f>IF(E155=$L155,1,IF(E155="","",0))</f>
        <v/>
      </c>
      <c r="E155" s="18"/>
      <c r="F155" s="4" t="str">
        <f>IF(G155=$L155,1,IF(G155="","",0))</f>
        <v/>
      </c>
      <c r="G155" s="18"/>
      <c r="H155" s="6">
        <v>314</v>
      </c>
      <c r="I155" s="15" t="s">
        <v>3120</v>
      </c>
      <c r="J155" s="6" t="s">
        <v>3461</v>
      </c>
      <c r="K155" s="15" t="s">
        <v>3139</v>
      </c>
      <c r="L155" s="6" t="s">
        <v>449</v>
      </c>
      <c r="M155" s="6" t="s">
        <v>6423</v>
      </c>
      <c r="N155" s="7">
        <f ca="1">RAND()</f>
        <v>0.47914525172983713</v>
      </c>
      <c r="O155" s="8">
        <v>45200</v>
      </c>
      <c r="P155" s="8">
        <v>45201</v>
      </c>
      <c r="Q155" s="8">
        <v>45203</v>
      </c>
      <c r="R155" s="8">
        <v>45207</v>
      </c>
      <c r="S155" s="8">
        <v>45214</v>
      </c>
      <c r="T155" s="8">
        <v>45226</v>
      </c>
      <c r="U155" s="8">
        <v>45250</v>
      </c>
      <c r="V155" s="10">
        <f>COUNTA(O155:U155)</f>
        <v>7</v>
      </c>
      <c r="W155" s="11">
        <f>_xlfn.IFNA(INDEX(reading[[#This Row],[Memo 01]:[Memo 07]],MATCH(0,reading[[#This Row],[Memo 01]:[Memo 07]],-1)),"")</f>
        <v>45250</v>
      </c>
      <c r="X155" s="11">
        <f ca="1">IFERROR(reading[[#This Row],[Previous]]+OFFSET(reading[[#Headers],[Memo 01]],-1,MATCH(0,reading[[#This Row],[Memo 01]:[Memo 07]],-1)-1),"")</f>
        <v>55250</v>
      </c>
      <c r="Y155" s="10" t="str">
        <f ca="1">IF(reading[[#This Row],[Next]]&lt;&gt;"",IF(reading[[#This Row],[Next]]&gt;TODAY(),"OK",""),"")</f>
        <v>OK</v>
      </c>
      <c r="Z155" s="13">
        <v>3</v>
      </c>
      <c r="AA155" s="13">
        <v>3</v>
      </c>
      <c r="AB155" s="13">
        <v>3</v>
      </c>
      <c r="AC155" s="13">
        <v>3</v>
      </c>
      <c r="AD155" s="13">
        <v>1</v>
      </c>
      <c r="AE155" s="13">
        <v>2</v>
      </c>
      <c r="AF155" s="13">
        <v>3</v>
      </c>
      <c r="AG155" s="16">
        <f>IFERROR(SUMIF(reading[[#This Row],[1st]:[7th]],"&gt;0")/COUNTIF(reading[[#This Row],[1st]:[7th]],"&gt;0"),"")</f>
        <v>2.5714285714285716</v>
      </c>
    </row>
    <row r="156" spans="1:33" hidden="1" x14ac:dyDescent="0.2">
      <c r="A156" s="4">
        <f>IF(B156=1,3,IF(D156=1,2,IF(F156=1,1,0)))</f>
        <v>0</v>
      </c>
      <c r="B156" s="4" t="str">
        <f>IF(C156=$L156,1,IF(C156="","",0))</f>
        <v/>
      </c>
      <c r="C156" s="42"/>
      <c r="D156" s="4" t="str">
        <f>IF(E156=$L156,1,IF(E156="","",0))</f>
        <v/>
      </c>
      <c r="E156" s="14"/>
      <c r="F156" s="4" t="str">
        <f>IF(G156=$L156,1,IF(G156="","",0))</f>
        <v/>
      </c>
      <c r="G156" s="14"/>
      <c r="H156" s="6">
        <v>2632</v>
      </c>
      <c r="I156" s="15" t="s">
        <v>3120</v>
      </c>
      <c r="J156" s="6" t="s">
        <v>5687</v>
      </c>
      <c r="K156" s="6"/>
      <c r="L156" s="6" t="s">
        <v>2673</v>
      </c>
      <c r="M156" s="6" t="s">
        <v>8737</v>
      </c>
      <c r="N156" s="7">
        <f ca="1">RAND()</f>
        <v>0.81317832916658916</v>
      </c>
      <c r="O156" s="8">
        <v>45220</v>
      </c>
      <c r="P156" s="8">
        <v>45221</v>
      </c>
      <c r="Q156" s="8">
        <v>45223</v>
      </c>
      <c r="R156" s="8">
        <v>45227</v>
      </c>
      <c r="S156" s="8">
        <v>45234</v>
      </c>
      <c r="T156" s="8">
        <v>45818</v>
      </c>
      <c r="U156" s="8"/>
      <c r="V156" s="10">
        <f>COUNTA(O156:U156)</f>
        <v>6</v>
      </c>
      <c r="W156" s="11">
        <f>_xlfn.IFNA(INDEX(reading[[#This Row],[Memo 01]:[Memo 07]],MATCH(0,reading[[#This Row],[Memo 01]:[Memo 07]],-1)),"")</f>
        <v>45818</v>
      </c>
      <c r="X156" s="11">
        <f ca="1">IFERROR(reading[[#This Row],[Previous]]+OFFSET(reading[[#Headers],[Memo 01]],-1,MATCH(0,reading[[#This Row],[Memo 01]:[Memo 07]],-1)-1),"")</f>
        <v>45838</v>
      </c>
      <c r="Y156" s="10" t="str">
        <f ca="1">IF(reading[[#This Row],[Next]]&lt;&gt;"",IF(reading[[#This Row],[Next]]&gt;TODAY(),"OK",""),"")</f>
        <v>OK</v>
      </c>
      <c r="Z156" s="13">
        <v>3</v>
      </c>
      <c r="AA156" s="13">
        <v>3</v>
      </c>
      <c r="AB156" s="13">
        <v>3</v>
      </c>
      <c r="AC156" s="13">
        <v>3</v>
      </c>
      <c r="AD156" s="13">
        <v>3</v>
      </c>
      <c r="AE156" s="13">
        <v>3</v>
      </c>
      <c r="AF156" s="13"/>
      <c r="AG156" s="16">
        <f>IFERROR(SUMIF(reading[[#This Row],[1st]:[7th]],"&gt;0")/COUNTIF(reading[[#This Row],[1st]:[7th]],"&gt;0"),"")</f>
        <v>3</v>
      </c>
    </row>
    <row r="157" spans="1:33" hidden="1" x14ac:dyDescent="0.2">
      <c r="A157" s="4">
        <f>IF(B157=1,3,IF(D157=1,2,IF(F157=1,1,0)))</f>
        <v>0</v>
      </c>
      <c r="B157" s="4" t="str">
        <f>IF(C157=$L157,1,IF(C157="","",0))</f>
        <v/>
      </c>
      <c r="C157" s="42"/>
      <c r="D157" s="4" t="str">
        <f>IF(E157=$L157,1,IF(E157="","",0))</f>
        <v/>
      </c>
      <c r="E157" s="14"/>
      <c r="F157" s="4" t="str">
        <f>IF(G157=$L157,1,IF(G157="","",0))</f>
        <v/>
      </c>
      <c r="G157" s="14"/>
      <c r="H157" s="6">
        <v>1475</v>
      </c>
      <c r="I157" s="15" t="s">
        <v>3120</v>
      </c>
      <c r="J157" s="6" t="s">
        <v>4589</v>
      </c>
      <c r="K157" s="6"/>
      <c r="L157" s="6" t="s">
        <v>40</v>
      </c>
      <c r="M157" s="6" t="s">
        <v>7582</v>
      </c>
      <c r="N157" s="7">
        <f ca="1">RAND()</f>
        <v>2.9205464882740895E-2</v>
      </c>
      <c r="O157" s="8">
        <v>45208</v>
      </c>
      <c r="P157" s="8">
        <v>45209</v>
      </c>
      <c r="Q157" s="8">
        <v>45211</v>
      </c>
      <c r="R157" s="8">
        <v>45215</v>
      </c>
      <c r="S157" s="8">
        <v>45222</v>
      </c>
      <c r="T157" s="8">
        <v>45234</v>
      </c>
      <c r="U157" s="8">
        <v>45792</v>
      </c>
      <c r="V157" s="10">
        <f>COUNTA(O157:U157)</f>
        <v>7</v>
      </c>
      <c r="W157" s="11">
        <f>_xlfn.IFNA(INDEX(reading[[#This Row],[Memo 01]:[Memo 07]],MATCH(0,reading[[#This Row],[Memo 01]:[Memo 07]],-1)),"")</f>
        <v>45792</v>
      </c>
      <c r="X157" s="11">
        <f ca="1">IFERROR(reading[[#This Row],[Previous]]+OFFSET(reading[[#Headers],[Memo 01]],-1,MATCH(0,reading[[#This Row],[Memo 01]:[Memo 07]],-1)-1),"")</f>
        <v>55792</v>
      </c>
      <c r="Y157" s="10" t="str">
        <f ca="1">IF(reading[[#This Row],[Next]]&lt;&gt;"",IF(reading[[#This Row],[Next]]&gt;TODAY(),"OK",""),"")</f>
        <v>OK</v>
      </c>
      <c r="Z157" s="13">
        <v>3</v>
      </c>
      <c r="AA157" s="13">
        <v>3</v>
      </c>
      <c r="AB157" s="13">
        <v>3</v>
      </c>
      <c r="AC157" s="13">
        <v>3</v>
      </c>
      <c r="AD157" s="13">
        <v>3</v>
      </c>
      <c r="AE157" s="13">
        <v>3</v>
      </c>
      <c r="AF157" s="13">
        <v>3</v>
      </c>
      <c r="AG157" s="16">
        <f>IFERROR(SUMIF(reading[[#This Row],[1st]:[7th]],"&gt;0")/COUNTIF(reading[[#This Row],[1st]:[7th]],"&gt;0"),"")</f>
        <v>3</v>
      </c>
    </row>
    <row r="158" spans="1:33" hidden="1" x14ac:dyDescent="0.2">
      <c r="A158" s="4">
        <f>IF(B158=1,3,IF(D158=1,2,IF(F158=1,1,0)))</f>
        <v>0</v>
      </c>
      <c r="B158" s="4" t="str">
        <f>IF(C158=$L158,1,IF(C158="","",0))</f>
        <v/>
      </c>
      <c r="C158" s="41"/>
      <c r="D158" s="4" t="str">
        <f>IF(E158=$L158,1,IF(E158="","",0))</f>
        <v/>
      </c>
      <c r="E158" s="18"/>
      <c r="F158" s="4" t="str">
        <f>IF(G158=$L158,1,IF(G158="","",0))</f>
        <v/>
      </c>
      <c r="G158" s="14"/>
      <c r="H158" s="6">
        <v>184</v>
      </c>
      <c r="I158" s="15" t="s">
        <v>3120</v>
      </c>
      <c r="J158" s="6" t="s">
        <v>3333</v>
      </c>
      <c r="K158" s="15" t="s">
        <v>3138</v>
      </c>
      <c r="L158" s="6" t="s">
        <v>321</v>
      </c>
      <c r="M158" s="6" t="s">
        <v>6293</v>
      </c>
      <c r="N158" s="7">
        <f ca="1">RAND()</f>
        <v>0.85042601951286056</v>
      </c>
      <c r="O158" s="8">
        <v>45199</v>
      </c>
      <c r="P158" s="8">
        <v>45200</v>
      </c>
      <c r="Q158" s="8">
        <v>45202</v>
      </c>
      <c r="R158" s="8">
        <v>45206</v>
      </c>
      <c r="S158" s="8">
        <v>45213</v>
      </c>
      <c r="T158" s="8">
        <v>45225</v>
      </c>
      <c r="U158" s="8">
        <v>45250</v>
      </c>
      <c r="V158" s="10">
        <f>COUNTA(O158:U158)</f>
        <v>7</v>
      </c>
      <c r="W158" s="11">
        <f>_xlfn.IFNA(INDEX(reading[[#This Row],[Memo 01]:[Memo 07]],MATCH(0,reading[[#This Row],[Memo 01]:[Memo 07]],-1)),"")</f>
        <v>45250</v>
      </c>
      <c r="X158" s="11">
        <f ca="1">IFERROR(reading[[#This Row],[Previous]]+OFFSET(reading[[#Headers],[Memo 01]],-1,MATCH(0,reading[[#This Row],[Memo 01]:[Memo 07]],-1)-1),"")</f>
        <v>55250</v>
      </c>
      <c r="Y158" s="10" t="str">
        <f ca="1">IF(reading[[#This Row],[Next]]&lt;&gt;"",IF(reading[[#This Row],[Next]]&gt;TODAY(),"OK",""),"")</f>
        <v>OK</v>
      </c>
      <c r="Z158" s="13">
        <v>2</v>
      </c>
      <c r="AA158" s="13">
        <v>3</v>
      </c>
      <c r="AB158" s="13">
        <v>3</v>
      </c>
      <c r="AC158" s="13">
        <v>2</v>
      </c>
      <c r="AD158" s="13">
        <v>3</v>
      </c>
      <c r="AE158" s="13">
        <v>2</v>
      </c>
      <c r="AF158" s="13">
        <v>3</v>
      </c>
      <c r="AG158" s="16">
        <f>IFERROR(SUMIF(reading[[#This Row],[1st]:[7th]],"&gt;0")/COUNTIF(reading[[#This Row],[1st]:[7th]],"&gt;0"),"")</f>
        <v>2.5714285714285716</v>
      </c>
    </row>
    <row r="159" spans="1:33" hidden="1" x14ac:dyDescent="0.2">
      <c r="A159" s="4">
        <f>IF(B159=1,3,IF(D159=1,2,IF(F159=1,1,0)))</f>
        <v>0</v>
      </c>
      <c r="B159" s="4" t="str">
        <f>IF(C159=$L159,1,IF(C159="","",0))</f>
        <v/>
      </c>
      <c r="C159" s="41"/>
      <c r="D159" s="4" t="str">
        <f>IF(E159=$L159,1,IF(E159="","",0))</f>
        <v/>
      </c>
      <c r="E159" s="18"/>
      <c r="F159" s="4" t="str">
        <f>IF(G159=$L159,1,IF(G159="","",0))</f>
        <v/>
      </c>
      <c r="G159" s="14"/>
      <c r="H159" s="6">
        <v>689</v>
      </c>
      <c r="I159" s="15" t="s">
        <v>3120</v>
      </c>
      <c r="J159" s="6" t="s">
        <v>3828</v>
      </c>
      <c r="K159" s="6"/>
      <c r="L159" s="6" t="s">
        <v>812</v>
      </c>
      <c r="M159" s="6" t="s">
        <v>6798</v>
      </c>
      <c r="N159" s="7">
        <f ca="1">RAND()</f>
        <v>0.44071441377031129</v>
      </c>
      <c r="O159" s="8">
        <v>45203</v>
      </c>
      <c r="P159" s="8">
        <v>45204</v>
      </c>
      <c r="Q159" s="8">
        <v>45206</v>
      </c>
      <c r="R159" s="8">
        <v>45210</v>
      </c>
      <c r="S159" s="8">
        <v>45217</v>
      </c>
      <c r="T159" s="8">
        <v>45229</v>
      </c>
      <c r="U159" s="8">
        <v>45250</v>
      </c>
      <c r="V159" s="10">
        <f>COUNTA(O159:U159)</f>
        <v>7</v>
      </c>
      <c r="W159" s="11">
        <f>_xlfn.IFNA(INDEX(reading[[#This Row],[Memo 01]:[Memo 07]],MATCH(0,reading[[#This Row],[Memo 01]:[Memo 07]],-1)),"")</f>
        <v>45250</v>
      </c>
      <c r="X159" s="11">
        <f ca="1">IFERROR(reading[[#This Row],[Previous]]+OFFSET(reading[[#Headers],[Memo 01]],-1,MATCH(0,reading[[#This Row],[Memo 01]:[Memo 07]],-1)-1),"")</f>
        <v>55250</v>
      </c>
      <c r="Y159" s="10" t="str">
        <f ca="1">IF(reading[[#This Row],[Next]]&lt;&gt;"",IF(reading[[#This Row],[Next]]&gt;TODAY(),"OK",""),"")</f>
        <v>OK</v>
      </c>
      <c r="Z159" s="13">
        <v>3</v>
      </c>
      <c r="AA159" s="13">
        <v>2</v>
      </c>
      <c r="AB159" s="13">
        <v>2</v>
      </c>
      <c r="AC159" s="13">
        <v>2</v>
      </c>
      <c r="AD159" s="13">
        <v>3</v>
      </c>
      <c r="AE159" s="13">
        <v>3</v>
      </c>
      <c r="AF159" s="13">
        <v>3</v>
      </c>
      <c r="AG159" s="16">
        <f>IFERROR(SUMIF(reading[[#This Row],[1st]:[7th]],"&gt;0")/COUNTIF(reading[[#This Row],[1st]:[7th]],"&gt;0"),"")</f>
        <v>2.5714285714285716</v>
      </c>
    </row>
    <row r="160" spans="1:33" hidden="1" x14ac:dyDescent="0.2">
      <c r="A160" s="4">
        <f>IF(B160=1,3,IF(D160=1,2,IF(F160=1,1,0)))</f>
        <v>0</v>
      </c>
      <c r="B160" s="4" t="str">
        <f>IF(C160=$L160,1,IF(C160="","",0))</f>
        <v/>
      </c>
      <c r="C160" s="18"/>
      <c r="D160" s="4" t="str">
        <f>IF(E160=$L160,1,IF(E160="","",0))</f>
        <v/>
      </c>
      <c r="E160" s="18"/>
      <c r="F160" s="4" t="str">
        <f>IF(G160=$L160,1,IF(G160="","",0))</f>
        <v/>
      </c>
      <c r="G160" s="14"/>
      <c r="H160" s="6">
        <v>38</v>
      </c>
      <c r="I160" s="15" t="s">
        <v>3120</v>
      </c>
      <c r="J160" s="6" t="s">
        <v>3193</v>
      </c>
      <c r="K160" s="6"/>
      <c r="L160" s="6" t="s">
        <v>181</v>
      </c>
      <c r="M160" s="6" t="s">
        <v>6152</v>
      </c>
      <c r="N160" s="7">
        <f ca="1">RAND()</f>
        <v>0.83420829845302746</v>
      </c>
      <c r="O160" s="8">
        <v>45198</v>
      </c>
      <c r="P160" s="8">
        <v>45199</v>
      </c>
      <c r="Q160" s="8">
        <v>45202</v>
      </c>
      <c r="R160" s="8">
        <v>45206</v>
      </c>
      <c r="S160" s="8">
        <v>45213</v>
      </c>
      <c r="T160" s="8">
        <v>45225</v>
      </c>
      <c r="U160" s="8">
        <v>45250</v>
      </c>
      <c r="V160" s="10">
        <f>COUNTA(O160:U160)</f>
        <v>7</v>
      </c>
      <c r="W160" s="11">
        <f>_xlfn.IFNA(INDEX(reading[[#This Row],[Memo 01]:[Memo 07]],MATCH(0,reading[[#This Row],[Memo 01]:[Memo 07]],-1)),"")</f>
        <v>45250</v>
      </c>
      <c r="X160" s="11">
        <f ca="1">IFERROR(reading[[#This Row],[Previous]]+OFFSET(reading[[#Headers],[Memo 01]],-1,MATCH(0,reading[[#This Row],[Memo 01]:[Memo 07]],-1)-1),"")</f>
        <v>55250</v>
      </c>
      <c r="Y160" s="10" t="str">
        <f ca="1">IF(reading[[#This Row],[Next]]&lt;&gt;"",IF(reading[[#This Row],[Next]]&gt;TODAY(),"OK",""),"")</f>
        <v>OK</v>
      </c>
      <c r="Z160" s="13">
        <v>2</v>
      </c>
      <c r="AA160" s="13">
        <v>3</v>
      </c>
      <c r="AB160" s="13">
        <v>2</v>
      </c>
      <c r="AC160" s="13">
        <v>3</v>
      </c>
      <c r="AD160" s="13">
        <v>2</v>
      </c>
      <c r="AE160" s="13">
        <v>3</v>
      </c>
      <c r="AF160" s="13">
        <v>3</v>
      </c>
      <c r="AG160" s="16">
        <f>IFERROR(SUMIF(reading[[#This Row],[1st]:[7th]],"&gt;0")/COUNTIF(reading[[#This Row],[1st]:[7th]],"&gt;0"),"")</f>
        <v>2.5714285714285716</v>
      </c>
    </row>
    <row r="161" spans="1:33" hidden="1" x14ac:dyDescent="0.2">
      <c r="A161" s="4">
        <f>IF(B161=1,3,IF(D161=1,2,IF(F161=1,1,0)))</f>
        <v>0</v>
      </c>
      <c r="B161" s="4" t="str">
        <f>IF(C161=$L161,1,IF(C161="","",0))</f>
        <v/>
      </c>
      <c r="C161" s="42"/>
      <c r="D161" s="4" t="str">
        <f>IF(E161=$L161,1,IF(E161="","",0))</f>
        <v/>
      </c>
      <c r="E161" s="18"/>
      <c r="F161" s="4" t="str">
        <f>IF(G161=$L161,1,IF(G161="","",0))</f>
        <v/>
      </c>
      <c r="G161" s="14"/>
      <c r="H161" s="6">
        <v>1350</v>
      </c>
      <c r="I161" s="15" t="s">
        <v>3120</v>
      </c>
      <c r="J161" s="6" t="s">
        <v>4464</v>
      </c>
      <c r="K161" s="6"/>
      <c r="L161" s="6" t="s">
        <v>1445</v>
      </c>
      <c r="M161" s="6" t="s">
        <v>7457</v>
      </c>
      <c r="N161" s="7">
        <f ca="1">RAND()</f>
        <v>7.546739179106754E-2</v>
      </c>
      <c r="O161" s="8">
        <v>45207</v>
      </c>
      <c r="P161" s="8">
        <v>45208</v>
      </c>
      <c r="Q161" s="8">
        <v>45210</v>
      </c>
      <c r="R161" s="8">
        <v>45214</v>
      </c>
      <c r="S161" s="8">
        <v>45221</v>
      </c>
      <c r="T161" s="8">
        <v>45233</v>
      </c>
      <c r="U161" s="8">
        <v>45777</v>
      </c>
      <c r="V161" s="10">
        <f>COUNTA(O161:U161)</f>
        <v>7</v>
      </c>
      <c r="W161" s="11">
        <f>_xlfn.IFNA(INDEX(reading[[#This Row],[Memo 01]:[Memo 07]],MATCH(0,reading[[#This Row],[Memo 01]:[Memo 07]],-1)),"")</f>
        <v>45777</v>
      </c>
      <c r="X161" s="11">
        <f ca="1">IFERROR(reading[[#This Row],[Previous]]+OFFSET(reading[[#Headers],[Memo 01]],-1,MATCH(0,reading[[#This Row],[Memo 01]:[Memo 07]],-1)-1),"")</f>
        <v>55777</v>
      </c>
      <c r="Y161" s="10" t="str">
        <f ca="1">IF(reading[[#This Row],[Next]]&lt;&gt;"",IF(reading[[#This Row],[Next]]&gt;TODAY(),"OK",""),"")</f>
        <v>OK</v>
      </c>
      <c r="Z161" s="13">
        <v>3</v>
      </c>
      <c r="AA161" s="13">
        <v>2</v>
      </c>
      <c r="AB161" s="13">
        <v>3</v>
      </c>
      <c r="AC161" s="13">
        <v>2</v>
      </c>
      <c r="AD161" s="13">
        <v>2</v>
      </c>
      <c r="AE161" s="13">
        <v>2</v>
      </c>
      <c r="AF161" s="13">
        <v>3</v>
      </c>
      <c r="AG161" s="16">
        <f>IFERROR(SUMIF(reading[[#This Row],[1st]:[7th]],"&gt;0")/COUNTIF(reading[[#This Row],[1st]:[7th]],"&gt;0"),"")</f>
        <v>2.4285714285714284</v>
      </c>
    </row>
    <row r="162" spans="1:33" hidden="1" x14ac:dyDescent="0.2">
      <c r="A162" s="4">
        <f>IF(B162=1,3,IF(D162=1,2,IF(F162=1,1,0)))</f>
        <v>0</v>
      </c>
      <c r="B162" s="4" t="str">
        <f>IF(C162=$L162,1,IF(C162="","",0))</f>
        <v/>
      </c>
      <c r="C162" s="41"/>
      <c r="D162" s="4" t="str">
        <f>IF(E162=$L162,1,IF(E162="","",0))</f>
        <v/>
      </c>
      <c r="E162" s="18"/>
      <c r="F162" s="4" t="str">
        <f>IF(G162=$L162,1,IF(G162="","",0))</f>
        <v/>
      </c>
      <c r="G162" s="18"/>
      <c r="H162" s="6">
        <v>640</v>
      </c>
      <c r="I162" s="15" t="s">
        <v>3120</v>
      </c>
      <c r="J162" s="6" t="s">
        <v>3781</v>
      </c>
      <c r="K162" s="6"/>
      <c r="L162" s="6" t="s">
        <v>763</v>
      </c>
      <c r="M162" s="6" t="s">
        <v>6749</v>
      </c>
      <c r="N162" s="7">
        <f ca="1">RAND()</f>
        <v>0.30662365108385892</v>
      </c>
      <c r="O162" s="8">
        <v>45203</v>
      </c>
      <c r="P162" s="8">
        <v>45204</v>
      </c>
      <c r="Q162" s="8">
        <v>45206</v>
      </c>
      <c r="R162" s="8">
        <v>45210</v>
      </c>
      <c r="S162" s="8">
        <v>45217</v>
      </c>
      <c r="T162" s="8">
        <v>45229</v>
      </c>
      <c r="U162" s="8">
        <v>45251</v>
      </c>
      <c r="V162" s="10">
        <f>COUNTA(O162:U162)</f>
        <v>7</v>
      </c>
      <c r="W162" s="11">
        <f>_xlfn.IFNA(INDEX(reading[[#This Row],[Memo 01]:[Memo 07]],MATCH(0,reading[[#This Row],[Memo 01]:[Memo 07]],-1)),"")</f>
        <v>45251</v>
      </c>
      <c r="X162" s="11">
        <f ca="1">IFERROR(reading[[#This Row],[Previous]]+OFFSET(reading[[#Headers],[Memo 01]],-1,MATCH(0,reading[[#This Row],[Memo 01]:[Memo 07]],-1)-1),"")</f>
        <v>55251</v>
      </c>
      <c r="Y162" s="10" t="str">
        <f ca="1">IF(reading[[#This Row],[Next]]&lt;&gt;"",IF(reading[[#This Row],[Next]]&gt;TODAY(),"OK",""),"")</f>
        <v>OK</v>
      </c>
      <c r="Z162" s="13">
        <v>3</v>
      </c>
      <c r="AA162" s="13">
        <v>3</v>
      </c>
      <c r="AB162" s="13">
        <v>1</v>
      </c>
      <c r="AC162" s="13">
        <v>2</v>
      </c>
      <c r="AD162" s="13">
        <v>3</v>
      </c>
      <c r="AE162" s="13">
        <v>3</v>
      </c>
      <c r="AF162" s="13">
        <v>2</v>
      </c>
      <c r="AG162" s="16">
        <f>IFERROR(SUMIF(reading[[#This Row],[1st]:[7th]],"&gt;0")/COUNTIF(reading[[#This Row],[1st]:[7th]],"&gt;0"),"")</f>
        <v>2.4285714285714284</v>
      </c>
    </row>
    <row r="163" spans="1:33" hidden="1" x14ac:dyDescent="0.2">
      <c r="A163" s="4">
        <f>IF(B163=1,3,IF(D163=1,2,IF(F163=1,1,0)))</f>
        <v>0</v>
      </c>
      <c r="B163" s="4" t="str">
        <f>IF(C163=$L163,1,IF(C163="","",0))</f>
        <v/>
      </c>
      <c r="C163" s="41"/>
      <c r="D163" s="4" t="str">
        <f>IF(E163=$L163,1,IF(E163="","",0))</f>
        <v/>
      </c>
      <c r="E163" s="18"/>
      <c r="F163" s="4" t="str">
        <f>IF(G163=$L163,1,IF(G163="","",0))</f>
        <v/>
      </c>
      <c r="G163" s="18"/>
      <c r="H163" s="6">
        <v>380</v>
      </c>
      <c r="I163" s="15" t="s">
        <v>3120</v>
      </c>
      <c r="J163" s="6" t="s">
        <v>3527</v>
      </c>
      <c r="K163" s="15" t="s">
        <v>3138</v>
      </c>
      <c r="L163" s="6" t="s">
        <v>513</v>
      </c>
      <c r="M163" s="6" t="s">
        <v>6489</v>
      </c>
      <c r="N163" s="7">
        <f ca="1">RAND()</f>
        <v>0.1395322250907951</v>
      </c>
      <c r="O163" s="8">
        <v>45201</v>
      </c>
      <c r="P163" s="8">
        <v>45202</v>
      </c>
      <c r="Q163" s="8">
        <v>45204</v>
      </c>
      <c r="R163" s="8">
        <v>45208</v>
      </c>
      <c r="S163" s="8">
        <v>45215</v>
      </c>
      <c r="T163" s="8">
        <v>45227</v>
      </c>
      <c r="U163" s="8">
        <v>45250</v>
      </c>
      <c r="V163" s="10">
        <f>COUNTA(O163:U163)</f>
        <v>7</v>
      </c>
      <c r="W163" s="11">
        <f>_xlfn.IFNA(INDEX(reading[[#This Row],[Memo 01]:[Memo 07]],MATCH(0,reading[[#This Row],[Memo 01]:[Memo 07]],-1)),"")</f>
        <v>45250</v>
      </c>
      <c r="X163" s="11">
        <f ca="1">IFERROR(reading[[#This Row],[Previous]]+OFFSET(reading[[#Headers],[Memo 01]],-1,MATCH(0,reading[[#This Row],[Memo 01]:[Memo 07]],-1)-1),"")</f>
        <v>55250</v>
      </c>
      <c r="Y163" s="10" t="str">
        <f ca="1">IF(reading[[#This Row],[Next]]&lt;&gt;"",IF(reading[[#This Row],[Next]]&gt;TODAY(),"OK",""),"")</f>
        <v>OK</v>
      </c>
      <c r="Z163" s="13">
        <v>3</v>
      </c>
      <c r="AA163" s="13">
        <v>3</v>
      </c>
      <c r="AB163" s="13">
        <v>1</v>
      </c>
      <c r="AC163" s="13">
        <v>3</v>
      </c>
      <c r="AD163" s="13">
        <v>3</v>
      </c>
      <c r="AE163" s="13">
        <v>2</v>
      </c>
      <c r="AF163" s="13">
        <v>3</v>
      </c>
      <c r="AG163" s="16">
        <f>IFERROR(SUMIF(reading[[#This Row],[1st]:[7th]],"&gt;0")/COUNTIF(reading[[#This Row],[1st]:[7th]],"&gt;0"),"")</f>
        <v>2.5714285714285716</v>
      </c>
    </row>
    <row r="164" spans="1:33" hidden="1" x14ac:dyDescent="0.2">
      <c r="A164" s="4">
        <f>IF(B164=1,3,IF(D164=1,2,IF(F164=1,1,0)))</f>
        <v>0</v>
      </c>
      <c r="B164" s="4" t="str">
        <f>IF(C164=$L164,1,IF(C164="","",0))</f>
        <v/>
      </c>
      <c r="C164" s="41"/>
      <c r="D164" s="4" t="str">
        <f>IF(E164=$L164,1,IF(E164="","",0))</f>
        <v/>
      </c>
      <c r="E164" s="18"/>
      <c r="F164" s="4" t="str">
        <f>IF(G164=$L164,1,IF(G164="","",0))</f>
        <v/>
      </c>
      <c r="G164" s="18"/>
      <c r="H164" s="6">
        <v>864</v>
      </c>
      <c r="I164" s="15" t="s">
        <v>3120</v>
      </c>
      <c r="J164" s="6" t="s">
        <v>3996</v>
      </c>
      <c r="K164" s="6"/>
      <c r="L164" s="6" t="s">
        <v>979</v>
      </c>
      <c r="M164" s="6" t="s">
        <v>6973</v>
      </c>
      <c r="N164" s="7">
        <f ca="1">RAND()</f>
        <v>0.60580406866963932</v>
      </c>
      <c r="O164" s="8">
        <v>45203</v>
      </c>
      <c r="P164" s="8">
        <v>45204</v>
      </c>
      <c r="Q164" s="8">
        <v>45206</v>
      </c>
      <c r="R164" s="8">
        <v>45210</v>
      </c>
      <c r="S164" s="8">
        <v>45217</v>
      </c>
      <c r="T164" s="8">
        <v>45229</v>
      </c>
      <c r="U164" s="8">
        <v>45250</v>
      </c>
      <c r="V164" s="10">
        <f>COUNTA(O164:U164)</f>
        <v>7</v>
      </c>
      <c r="W164" s="11">
        <f>_xlfn.IFNA(INDEX(reading[[#This Row],[Memo 01]:[Memo 07]],MATCH(0,reading[[#This Row],[Memo 01]:[Memo 07]],-1)),"")</f>
        <v>45250</v>
      </c>
      <c r="X164" s="11">
        <f ca="1">IFERROR(reading[[#This Row],[Previous]]+OFFSET(reading[[#Headers],[Memo 01]],-1,MATCH(0,reading[[#This Row],[Memo 01]:[Memo 07]],-1)-1),"")</f>
        <v>55250</v>
      </c>
      <c r="Y164" s="10" t="str">
        <f ca="1">IF(reading[[#This Row],[Next]]&lt;&gt;"",IF(reading[[#This Row],[Next]]&gt;TODAY(),"OK",""),"")</f>
        <v>OK</v>
      </c>
      <c r="Z164" s="13">
        <v>3</v>
      </c>
      <c r="AA164" s="13">
        <v>3</v>
      </c>
      <c r="AB164" s="13">
        <v>3</v>
      </c>
      <c r="AC164" s="13">
        <v>3</v>
      </c>
      <c r="AD164" s="13">
        <v>2</v>
      </c>
      <c r="AE164" s="13">
        <v>1</v>
      </c>
      <c r="AF164" s="13">
        <v>3</v>
      </c>
      <c r="AG164" s="16">
        <f>IFERROR(SUMIF(reading[[#This Row],[1st]:[7th]],"&gt;0")/COUNTIF(reading[[#This Row],[1st]:[7th]],"&gt;0"),"")</f>
        <v>2.5714285714285716</v>
      </c>
    </row>
    <row r="165" spans="1:33" hidden="1" x14ac:dyDescent="0.2">
      <c r="A165" s="4">
        <f>IF(B165=1,3,IF(D165=1,2,IF(F165=1,1,0)))</f>
        <v>0</v>
      </c>
      <c r="B165" s="4" t="str">
        <f>IF(C165=$L165,1,IF(C165="","",0))</f>
        <v/>
      </c>
      <c r="C165" s="41"/>
      <c r="D165" s="4" t="str">
        <f>IF(E165=$L165,1,IF(E165="","",0))</f>
        <v/>
      </c>
      <c r="E165" s="18"/>
      <c r="F165" s="4" t="str">
        <f>IF(G165=$L165,1,IF(G165="","",0))</f>
        <v/>
      </c>
      <c r="G165" s="14"/>
      <c r="H165" s="6">
        <v>167</v>
      </c>
      <c r="I165" s="15" t="s">
        <v>3120</v>
      </c>
      <c r="J165" s="6" t="s">
        <v>3316</v>
      </c>
      <c r="K165" s="6"/>
      <c r="L165" s="6" t="s">
        <v>304</v>
      </c>
      <c r="M165" s="6" t="s">
        <v>6276</v>
      </c>
      <c r="N165" s="7">
        <f ca="1">RAND()</f>
        <v>0.32754838297250044</v>
      </c>
      <c r="O165" s="8">
        <v>45199</v>
      </c>
      <c r="P165" s="8">
        <v>45200</v>
      </c>
      <c r="Q165" s="8">
        <v>45202</v>
      </c>
      <c r="R165" s="8">
        <v>45206</v>
      </c>
      <c r="S165" s="8">
        <v>45213</v>
      </c>
      <c r="T165" s="8">
        <v>45225</v>
      </c>
      <c r="U165" s="8">
        <v>45250</v>
      </c>
      <c r="V165" s="10">
        <f>COUNTA(O165:U165)</f>
        <v>7</v>
      </c>
      <c r="W165" s="11">
        <f>_xlfn.IFNA(INDEX(reading[[#This Row],[Memo 01]:[Memo 07]],MATCH(0,reading[[#This Row],[Memo 01]:[Memo 07]],-1)),"")</f>
        <v>45250</v>
      </c>
      <c r="X165" s="11">
        <f ca="1">IFERROR(reading[[#This Row],[Previous]]+OFFSET(reading[[#Headers],[Memo 01]],-1,MATCH(0,reading[[#This Row],[Memo 01]:[Memo 07]],-1)-1),"")</f>
        <v>55250</v>
      </c>
      <c r="Y165" s="10" t="str">
        <f ca="1">IF(reading[[#This Row],[Next]]&lt;&gt;"",IF(reading[[#This Row],[Next]]&gt;TODAY(),"OK",""),"")</f>
        <v>OK</v>
      </c>
      <c r="Z165" s="13">
        <v>3</v>
      </c>
      <c r="AA165" s="13">
        <v>2</v>
      </c>
      <c r="AB165" s="13">
        <v>3</v>
      </c>
      <c r="AC165" s="13">
        <v>2</v>
      </c>
      <c r="AD165" s="13">
        <v>3</v>
      </c>
      <c r="AE165" s="13">
        <v>2</v>
      </c>
      <c r="AF165" s="13">
        <v>3</v>
      </c>
      <c r="AG165" s="16">
        <f>IFERROR(SUMIF(reading[[#This Row],[1st]:[7th]],"&gt;0")/COUNTIF(reading[[#This Row],[1st]:[7th]],"&gt;0"),"")</f>
        <v>2.5714285714285716</v>
      </c>
    </row>
    <row r="166" spans="1:33" hidden="1" x14ac:dyDescent="0.2">
      <c r="A166" s="4">
        <f>IF(B166=1,3,IF(D166=1,2,IF(F166=1,1,0)))</f>
        <v>0</v>
      </c>
      <c r="B166" s="4" t="str">
        <f>IF(C166=$L166,1,IF(C166="","",0))</f>
        <v/>
      </c>
      <c r="C166" s="41"/>
      <c r="D166" s="4" t="str">
        <f>IF(E166=$L166,1,IF(E166="","",0))</f>
        <v/>
      </c>
      <c r="E166" s="18"/>
      <c r="F166" s="4" t="str">
        <f>IF(G166=$L166,1,IF(G166="","",0))</f>
        <v/>
      </c>
      <c r="G166" s="18"/>
      <c r="H166" s="6">
        <v>1029</v>
      </c>
      <c r="I166" s="15" t="s">
        <v>3120</v>
      </c>
      <c r="J166" s="6" t="s">
        <v>4156</v>
      </c>
      <c r="K166" s="15" t="s">
        <v>3138</v>
      </c>
      <c r="L166" s="6" t="s">
        <v>1138</v>
      </c>
      <c r="M166" s="6" t="s">
        <v>7137</v>
      </c>
      <c r="N166" s="7">
        <f ca="1">RAND()</f>
        <v>0.40123510064339563</v>
      </c>
      <c r="O166" s="8">
        <v>45205</v>
      </c>
      <c r="P166" s="8">
        <v>45206</v>
      </c>
      <c r="Q166" s="8">
        <v>45208</v>
      </c>
      <c r="R166" s="8">
        <v>45212</v>
      </c>
      <c r="S166" s="8">
        <v>45219</v>
      </c>
      <c r="T166" s="8">
        <v>45231</v>
      </c>
      <c r="U166" s="8">
        <v>45251</v>
      </c>
      <c r="V166" s="10">
        <f>COUNTA(O166:U166)</f>
        <v>7</v>
      </c>
      <c r="W166" s="11">
        <f>_xlfn.IFNA(INDEX(reading[[#This Row],[Memo 01]:[Memo 07]],MATCH(0,reading[[#This Row],[Memo 01]:[Memo 07]],-1)),"")</f>
        <v>45251</v>
      </c>
      <c r="X166" s="11">
        <f ca="1">IFERROR(reading[[#This Row],[Previous]]+OFFSET(reading[[#Headers],[Memo 01]],-1,MATCH(0,reading[[#This Row],[Memo 01]:[Memo 07]],-1)-1),"")</f>
        <v>55251</v>
      </c>
      <c r="Y166" s="10" t="str">
        <f ca="1">IF(reading[[#This Row],[Next]]&lt;&gt;"",IF(reading[[#This Row],[Next]]&gt;TODAY(),"OK",""),"")</f>
        <v>OK</v>
      </c>
      <c r="Z166" s="13">
        <v>3</v>
      </c>
      <c r="AA166" s="13">
        <v>1</v>
      </c>
      <c r="AB166" s="13">
        <v>3</v>
      </c>
      <c r="AC166" s="13">
        <v>3</v>
      </c>
      <c r="AD166" s="13">
        <v>2</v>
      </c>
      <c r="AE166" s="13">
        <v>3</v>
      </c>
      <c r="AF166" s="13">
        <v>3</v>
      </c>
      <c r="AG166" s="16">
        <f>IFERROR(SUMIF(reading[[#This Row],[1st]:[7th]],"&gt;0")/COUNTIF(reading[[#This Row],[1st]:[7th]],"&gt;0"),"")</f>
        <v>2.5714285714285716</v>
      </c>
    </row>
    <row r="167" spans="1:33" hidden="1" x14ac:dyDescent="0.2">
      <c r="A167" s="4">
        <f>IF(B167=1,3,IF(D167=1,2,IF(F167=1,1,0)))</f>
        <v>0</v>
      </c>
      <c r="B167" s="4" t="str">
        <f>IF(C167=$L167,1,IF(C167="","",0))</f>
        <v/>
      </c>
      <c r="C167" s="42"/>
      <c r="D167" s="4" t="str">
        <f>IF(E167=$L167,1,IF(E167="","",0))</f>
        <v/>
      </c>
      <c r="E167" s="14"/>
      <c r="F167" s="4" t="str">
        <f>IF(G167=$L167,1,IF(G167="","",0))</f>
        <v/>
      </c>
      <c r="G167" s="14"/>
      <c r="H167" s="6">
        <v>879</v>
      </c>
      <c r="I167" s="15" t="s">
        <v>3120</v>
      </c>
      <c r="J167" s="6" t="s">
        <v>4011</v>
      </c>
      <c r="K167" s="15" t="s">
        <v>3139</v>
      </c>
      <c r="L167" s="6" t="s">
        <v>993</v>
      </c>
      <c r="M167" s="6" t="s">
        <v>6988</v>
      </c>
      <c r="N167" s="7">
        <f ca="1">RAND()</f>
        <v>0.2947193851899691</v>
      </c>
      <c r="O167" s="8">
        <v>45204</v>
      </c>
      <c r="P167" s="8">
        <v>45205</v>
      </c>
      <c r="Q167" s="8">
        <v>45207</v>
      </c>
      <c r="R167" s="8">
        <v>45211</v>
      </c>
      <c r="S167" s="8">
        <v>45218</v>
      </c>
      <c r="T167" s="8">
        <v>45230</v>
      </c>
      <c r="U167" s="8">
        <v>45818</v>
      </c>
      <c r="V167" s="10">
        <f>COUNTA(O167:U167)</f>
        <v>7</v>
      </c>
      <c r="W167" s="11">
        <f>_xlfn.IFNA(INDEX(reading[[#This Row],[Memo 01]:[Memo 07]],MATCH(0,reading[[#This Row],[Memo 01]:[Memo 07]],-1)),"")</f>
        <v>45818</v>
      </c>
      <c r="X167" s="11">
        <f ca="1">IFERROR(reading[[#This Row],[Previous]]+OFFSET(reading[[#Headers],[Memo 01]],-1,MATCH(0,reading[[#This Row],[Memo 01]:[Memo 07]],-1)-1),"")</f>
        <v>55818</v>
      </c>
      <c r="Y167" s="10" t="str">
        <f ca="1">IF(reading[[#This Row],[Next]]&lt;&gt;"",IF(reading[[#This Row],[Next]]&gt;TODAY(),"OK",""),"")</f>
        <v>OK</v>
      </c>
      <c r="Z167" s="13">
        <v>3</v>
      </c>
      <c r="AA167" s="13">
        <v>3</v>
      </c>
      <c r="AB167" s="13">
        <v>3</v>
      </c>
      <c r="AC167" s="13">
        <v>3</v>
      </c>
      <c r="AD167" s="13">
        <v>3</v>
      </c>
      <c r="AE167" s="13">
        <v>3</v>
      </c>
      <c r="AF167" s="13">
        <v>3</v>
      </c>
      <c r="AG167" s="16">
        <f>IFERROR(SUMIF(reading[[#This Row],[1st]:[7th]],"&gt;0")/COUNTIF(reading[[#This Row],[1st]:[7th]],"&gt;0"),"")</f>
        <v>3</v>
      </c>
    </row>
    <row r="168" spans="1:33" hidden="1" x14ac:dyDescent="0.2">
      <c r="A168" s="4">
        <f>IF(B168=1,3,IF(D168=1,2,IF(F168=1,1,0)))</f>
        <v>0</v>
      </c>
      <c r="B168" s="4" t="str">
        <f>IF(C168=$L168,1,IF(C168="","",0))</f>
        <v/>
      </c>
      <c r="C168" s="41"/>
      <c r="D168" s="4" t="str">
        <f>IF(E168=$L168,1,IF(E168="","",0))</f>
        <v/>
      </c>
      <c r="E168" s="18"/>
      <c r="F168" s="4" t="str">
        <f>IF(G168=$L168,1,IF(G168="","",0))</f>
        <v/>
      </c>
      <c r="G168" s="18"/>
      <c r="H168" s="6">
        <v>467</v>
      </c>
      <c r="I168" s="15" t="s">
        <v>3120</v>
      </c>
      <c r="J168" s="6" t="s">
        <v>3613</v>
      </c>
      <c r="K168" s="6"/>
      <c r="L168" s="6" t="s">
        <v>596</v>
      </c>
      <c r="M168" s="6" t="s">
        <v>6576</v>
      </c>
      <c r="N168" s="7">
        <f ca="1">RAND()</f>
        <v>0.64591159006805787</v>
      </c>
      <c r="O168" s="8">
        <v>45202</v>
      </c>
      <c r="P168" s="8">
        <v>45203</v>
      </c>
      <c r="Q168" s="8">
        <v>45205</v>
      </c>
      <c r="R168" s="8">
        <v>45209</v>
      </c>
      <c r="S168" s="8">
        <v>45216</v>
      </c>
      <c r="T168" s="8">
        <v>45228</v>
      </c>
      <c r="U168" s="8">
        <v>45250</v>
      </c>
      <c r="V168" s="10">
        <f>COUNTA(O168:U168)</f>
        <v>7</v>
      </c>
      <c r="W168" s="11">
        <f>_xlfn.IFNA(INDEX(reading[[#This Row],[Memo 01]:[Memo 07]],MATCH(0,reading[[#This Row],[Memo 01]:[Memo 07]],-1)),"")</f>
        <v>45250</v>
      </c>
      <c r="X168" s="11">
        <f ca="1">IFERROR(reading[[#This Row],[Previous]]+OFFSET(reading[[#Headers],[Memo 01]],-1,MATCH(0,reading[[#This Row],[Memo 01]:[Memo 07]],-1)-1),"")</f>
        <v>55250</v>
      </c>
      <c r="Y168" s="10" t="str">
        <f ca="1">IF(reading[[#This Row],[Next]]&lt;&gt;"",IF(reading[[#This Row],[Next]]&gt;TODAY(),"OK",""),"")</f>
        <v>OK</v>
      </c>
      <c r="Z168" s="13">
        <v>3</v>
      </c>
      <c r="AA168" s="13">
        <v>3</v>
      </c>
      <c r="AB168" s="13">
        <v>2</v>
      </c>
      <c r="AC168" s="13">
        <v>3</v>
      </c>
      <c r="AD168" s="13">
        <v>1</v>
      </c>
      <c r="AE168" s="13">
        <v>3</v>
      </c>
      <c r="AF168" s="13">
        <v>3</v>
      </c>
      <c r="AG168" s="16">
        <f>IFERROR(SUMIF(reading[[#This Row],[1st]:[7th]],"&gt;0")/COUNTIF(reading[[#This Row],[1st]:[7th]],"&gt;0"),"")</f>
        <v>2.5714285714285716</v>
      </c>
    </row>
    <row r="169" spans="1:33" hidden="1" x14ac:dyDescent="0.2">
      <c r="A169" s="4">
        <f>IF(B169=1,3,IF(D169=1,2,IF(F169=1,1,0)))</f>
        <v>0</v>
      </c>
      <c r="B169" s="4" t="str">
        <f>IF(C169=$L169,1,IF(C169="","",0))</f>
        <v/>
      </c>
      <c r="C169" s="42"/>
      <c r="D169" s="4" t="str">
        <f>IF(E169=$L169,1,IF(E169="","",0))</f>
        <v/>
      </c>
      <c r="E169" s="14"/>
      <c r="F169" s="4" t="str">
        <f>IF(G169=$L169,1,IF(G169="","",0))</f>
        <v/>
      </c>
      <c r="G169" s="14"/>
      <c r="H169" s="6">
        <v>574</v>
      </c>
      <c r="I169" s="15" t="s">
        <v>3120</v>
      </c>
      <c r="J169" s="6" t="s">
        <v>3717</v>
      </c>
      <c r="K169" s="6"/>
      <c r="L169" s="6" t="s">
        <v>701</v>
      </c>
      <c r="M169" s="6" t="s">
        <v>6683</v>
      </c>
      <c r="N169" s="7">
        <f ca="1">RAND()</f>
        <v>0.6290844972853642</v>
      </c>
      <c r="O169" s="8">
        <v>45202</v>
      </c>
      <c r="P169" s="8">
        <v>45203</v>
      </c>
      <c r="Q169" s="8">
        <v>45205</v>
      </c>
      <c r="R169" s="8">
        <v>45209</v>
      </c>
      <c r="S169" s="8">
        <v>45216</v>
      </c>
      <c r="T169" s="8">
        <v>45228</v>
      </c>
      <c r="U169" s="8">
        <v>45783</v>
      </c>
      <c r="V169" s="10">
        <f>COUNTA(O169:U169)</f>
        <v>7</v>
      </c>
      <c r="W169" s="11">
        <f>_xlfn.IFNA(INDEX(reading[[#This Row],[Memo 01]:[Memo 07]],MATCH(0,reading[[#This Row],[Memo 01]:[Memo 07]],-1)),"")</f>
        <v>45783</v>
      </c>
      <c r="X169" s="11">
        <f ca="1">IFERROR(reading[[#This Row],[Previous]]+OFFSET(reading[[#Headers],[Memo 01]],-1,MATCH(0,reading[[#This Row],[Memo 01]:[Memo 07]],-1)-1),"")</f>
        <v>55783</v>
      </c>
      <c r="Y169" s="10" t="str">
        <f ca="1">IF(reading[[#This Row],[Next]]&lt;&gt;"",IF(reading[[#This Row],[Next]]&gt;TODAY(),"OK",""),"")</f>
        <v>OK</v>
      </c>
      <c r="Z169" s="13">
        <v>3</v>
      </c>
      <c r="AA169" s="13">
        <v>3</v>
      </c>
      <c r="AB169" s="13">
        <v>3</v>
      </c>
      <c r="AC169" s="13">
        <v>3</v>
      </c>
      <c r="AD169" s="13">
        <v>3</v>
      </c>
      <c r="AE169" s="13">
        <v>3</v>
      </c>
      <c r="AF169" s="13">
        <v>3</v>
      </c>
      <c r="AG169" s="16">
        <f>IFERROR(SUMIF(reading[[#This Row],[1st]:[7th]],"&gt;0")/COUNTIF(reading[[#This Row],[1st]:[7th]],"&gt;0"),"")</f>
        <v>3</v>
      </c>
    </row>
    <row r="170" spans="1:33" hidden="1" x14ac:dyDescent="0.2">
      <c r="A170" s="4">
        <f>IF(B170=1,3,IF(D170=1,2,IF(F170=1,1,0)))</f>
        <v>0</v>
      </c>
      <c r="B170" s="4" t="str">
        <f>IF(C170=$L170,1,IF(C170="","",0))</f>
        <v/>
      </c>
      <c r="C170" s="18"/>
      <c r="D170" s="4" t="str">
        <f>IF(E170=$L170,1,IF(E170="","",0))</f>
        <v/>
      </c>
      <c r="E170" s="18"/>
      <c r="F170" s="4" t="str">
        <f>IF(G170=$L170,1,IF(G170="","",0))</f>
        <v/>
      </c>
      <c r="G170" s="14"/>
      <c r="H170" s="6">
        <v>36</v>
      </c>
      <c r="I170" s="15" t="s">
        <v>3120</v>
      </c>
      <c r="J170" s="6" t="s">
        <v>3191</v>
      </c>
      <c r="K170" s="24" t="s">
        <v>3137</v>
      </c>
      <c r="L170" s="6" t="s">
        <v>179</v>
      </c>
      <c r="M170" s="6" t="s">
        <v>6150</v>
      </c>
      <c r="N170" s="7">
        <f ca="1">RAND()</f>
        <v>0.83220851249467731</v>
      </c>
      <c r="O170" s="8">
        <v>45198</v>
      </c>
      <c r="P170" s="8">
        <v>45199</v>
      </c>
      <c r="Q170" s="8">
        <v>45202</v>
      </c>
      <c r="R170" s="8">
        <v>45206</v>
      </c>
      <c r="S170" s="8">
        <v>45213</v>
      </c>
      <c r="T170" s="8">
        <v>45225</v>
      </c>
      <c r="U170" s="8">
        <v>45248</v>
      </c>
      <c r="V170" s="10">
        <f>COUNTA(O170:U170)</f>
        <v>7</v>
      </c>
      <c r="W170" s="11">
        <f>_xlfn.IFNA(INDEX(reading[[#This Row],[Memo 01]:[Memo 07]],MATCH(0,reading[[#This Row],[Memo 01]:[Memo 07]],-1)),"")</f>
        <v>45248</v>
      </c>
      <c r="X170" s="11">
        <f ca="1">IFERROR(reading[[#This Row],[Previous]]+OFFSET(reading[[#Headers],[Memo 01]],-1,MATCH(0,reading[[#This Row],[Memo 01]:[Memo 07]],-1)-1),"")</f>
        <v>55248</v>
      </c>
      <c r="Y170" s="10" t="str">
        <f ca="1">IF(reading[[#This Row],[Next]]&lt;&gt;"",IF(reading[[#This Row],[Next]]&gt;TODAY(),"OK",""),"")</f>
        <v>OK</v>
      </c>
      <c r="Z170" s="13">
        <v>3</v>
      </c>
      <c r="AA170" s="13">
        <v>3</v>
      </c>
      <c r="AB170" s="13">
        <v>2</v>
      </c>
      <c r="AC170" s="13">
        <v>2</v>
      </c>
      <c r="AD170" s="13">
        <v>3</v>
      </c>
      <c r="AE170" s="13">
        <v>2</v>
      </c>
      <c r="AF170" s="13">
        <v>3</v>
      </c>
      <c r="AG170" s="16">
        <f>IFERROR(SUMIF(reading[[#This Row],[1st]:[7th]],"&gt;0")/COUNTIF(reading[[#This Row],[1st]:[7th]],"&gt;0"),"")</f>
        <v>2.5714285714285716</v>
      </c>
    </row>
    <row r="171" spans="1:33" hidden="1" x14ac:dyDescent="0.2">
      <c r="A171" s="4">
        <f>IF(B171=1,3,IF(D171=1,2,IF(F171=1,1,0)))</f>
        <v>0</v>
      </c>
      <c r="B171" s="4" t="str">
        <f>IF(C171=$L171,1,IF(C171="","",0))</f>
        <v/>
      </c>
      <c r="C171" s="41"/>
      <c r="D171" s="4" t="str">
        <f>IF(E171=$L171,1,IF(E171="","",0))</f>
        <v/>
      </c>
      <c r="E171" s="23"/>
      <c r="F171" s="4" t="str">
        <f>IF(G171=$L171,1,IF(G171="","",0))</f>
        <v/>
      </c>
      <c r="G171" s="14"/>
      <c r="H171" s="6">
        <v>399</v>
      </c>
      <c r="I171" s="15" t="s">
        <v>3120</v>
      </c>
      <c r="J171" s="6" t="s">
        <v>3545</v>
      </c>
      <c r="K171" s="6"/>
      <c r="L171" s="6" t="s">
        <v>530</v>
      </c>
      <c r="M171" s="6" t="s">
        <v>6508</v>
      </c>
      <c r="N171" s="7">
        <f ca="1">RAND()</f>
        <v>6.9400326807496526E-2</v>
      </c>
      <c r="O171" s="8">
        <v>45202</v>
      </c>
      <c r="P171" s="8">
        <v>45203</v>
      </c>
      <c r="Q171" s="8">
        <v>45205</v>
      </c>
      <c r="R171" s="8">
        <v>45209</v>
      </c>
      <c r="S171" s="8">
        <v>45216</v>
      </c>
      <c r="T171" s="8">
        <v>45228</v>
      </c>
      <c r="U171" s="8">
        <v>45248</v>
      </c>
      <c r="V171" s="10">
        <f>COUNTA(O171:U171)</f>
        <v>7</v>
      </c>
      <c r="W171" s="11">
        <f>_xlfn.IFNA(INDEX(reading[[#This Row],[Memo 01]:[Memo 07]],MATCH(0,reading[[#This Row],[Memo 01]:[Memo 07]],-1)),"")</f>
        <v>45248</v>
      </c>
      <c r="X171" s="11">
        <f ca="1">IFERROR(reading[[#This Row],[Previous]]+OFFSET(reading[[#Headers],[Memo 01]],-1,MATCH(0,reading[[#This Row],[Memo 01]:[Memo 07]],-1)-1),"")</f>
        <v>55248</v>
      </c>
      <c r="Y171" s="10" t="str">
        <f ca="1">IF(reading[[#This Row],[Next]]&lt;&gt;"",IF(reading[[#This Row],[Next]]&gt;TODAY(),"OK",""),"")</f>
        <v>OK</v>
      </c>
      <c r="Z171" s="13">
        <v>3</v>
      </c>
      <c r="AA171" s="13">
        <v>3</v>
      </c>
      <c r="AB171" s="13">
        <v>2</v>
      </c>
      <c r="AC171" s="13">
        <v>2</v>
      </c>
      <c r="AD171" s="13">
        <v>2</v>
      </c>
      <c r="AE171" s="13">
        <v>3</v>
      </c>
      <c r="AF171" s="13">
        <v>3</v>
      </c>
      <c r="AG171" s="16">
        <f>IFERROR(SUMIF(reading[[#This Row],[1st]:[7th]],"&gt;0")/COUNTIF(reading[[#This Row],[1st]:[7th]],"&gt;0"),"")</f>
        <v>2.5714285714285716</v>
      </c>
    </row>
    <row r="172" spans="1:33" hidden="1" x14ac:dyDescent="0.2">
      <c r="A172" s="4">
        <f>IF(B172=1,3,IF(D172=1,2,IF(F172=1,1,0)))</f>
        <v>0</v>
      </c>
      <c r="B172" s="4" t="str">
        <f>IF(C172=$L172,1,IF(C172="","",0))</f>
        <v/>
      </c>
      <c r="C172" s="18"/>
      <c r="D172" s="4" t="str">
        <f>IF(E172=$L172,1,IF(E172="","",0))</f>
        <v/>
      </c>
      <c r="E172" s="18"/>
      <c r="F172" s="4" t="str">
        <f>IF(G172=$L172,1,IF(G172="","",0))</f>
        <v/>
      </c>
      <c r="G172" s="14"/>
      <c r="H172" s="6">
        <v>85</v>
      </c>
      <c r="I172" s="15" t="s">
        <v>3120</v>
      </c>
      <c r="J172" s="6" t="s">
        <v>3235</v>
      </c>
      <c r="K172" s="6"/>
      <c r="L172" s="6" t="s">
        <v>223</v>
      </c>
      <c r="M172" s="6" t="s">
        <v>6194</v>
      </c>
      <c r="N172" s="7">
        <f ca="1">RAND()</f>
        <v>0.49054470344254419</v>
      </c>
      <c r="O172" s="8">
        <v>45198</v>
      </c>
      <c r="P172" s="8">
        <v>45199</v>
      </c>
      <c r="Q172" s="8">
        <v>45202</v>
      </c>
      <c r="R172" s="8">
        <v>45206</v>
      </c>
      <c r="S172" s="8">
        <v>45213</v>
      </c>
      <c r="T172" s="8">
        <v>45225</v>
      </c>
      <c r="U172" s="8">
        <v>45248</v>
      </c>
      <c r="V172" s="10">
        <f>COUNTA(O172:U172)</f>
        <v>7</v>
      </c>
      <c r="W172" s="11">
        <f>_xlfn.IFNA(INDEX(reading[[#This Row],[Memo 01]:[Memo 07]],MATCH(0,reading[[#This Row],[Memo 01]:[Memo 07]],-1)),"")</f>
        <v>45248</v>
      </c>
      <c r="X172" s="11">
        <f ca="1">IFERROR(reading[[#This Row],[Previous]]+OFFSET(reading[[#Headers],[Memo 01]],-1,MATCH(0,reading[[#This Row],[Memo 01]:[Memo 07]],-1)-1),"")</f>
        <v>55248</v>
      </c>
      <c r="Y172" s="10" t="str">
        <f ca="1">IF(reading[[#This Row],[Next]]&lt;&gt;"",IF(reading[[#This Row],[Next]]&gt;TODAY(),"OK",""),"")</f>
        <v>OK</v>
      </c>
      <c r="Z172" s="13">
        <v>3</v>
      </c>
      <c r="AA172" s="13">
        <v>3</v>
      </c>
      <c r="AB172" s="13">
        <v>2</v>
      </c>
      <c r="AC172" s="13">
        <v>2</v>
      </c>
      <c r="AD172" s="13">
        <v>3</v>
      </c>
      <c r="AE172" s="13">
        <v>2</v>
      </c>
      <c r="AF172" s="13">
        <v>3</v>
      </c>
      <c r="AG172" s="16">
        <f>IFERROR(SUMIF(reading[[#This Row],[1st]:[7th]],"&gt;0")/COUNTIF(reading[[#This Row],[1st]:[7th]],"&gt;0"),"")</f>
        <v>2.5714285714285716</v>
      </c>
    </row>
    <row r="173" spans="1:33" hidden="1" x14ac:dyDescent="0.2">
      <c r="A173" s="4">
        <f>IF(B173=1,3,IF(D173=1,2,IF(F173=1,1,0)))</f>
        <v>0</v>
      </c>
      <c r="B173" s="4" t="str">
        <f>IF(C173=$L173,1,IF(C173="","",0))</f>
        <v/>
      </c>
      <c r="C173" s="41"/>
      <c r="D173" s="4" t="str">
        <f>IF(E173=$L173,1,IF(E173="","",0))</f>
        <v/>
      </c>
      <c r="E173" s="18"/>
      <c r="F173" s="4" t="str">
        <f>IF(G173=$L173,1,IF(G173="","",0))</f>
        <v/>
      </c>
      <c r="G173" s="14"/>
      <c r="H173" s="6">
        <v>125</v>
      </c>
      <c r="I173" s="15" t="s">
        <v>3120</v>
      </c>
      <c r="J173" s="6" t="s">
        <v>3274</v>
      </c>
      <c r="K173" s="24" t="s">
        <v>3137</v>
      </c>
      <c r="L173" s="6" t="s">
        <v>262</v>
      </c>
      <c r="M173" s="6" t="s">
        <v>6234</v>
      </c>
      <c r="N173" s="7">
        <f ca="1">RAND()</f>
        <v>0.50051096057975053</v>
      </c>
      <c r="O173" s="8">
        <v>45199</v>
      </c>
      <c r="P173" s="8">
        <v>45200</v>
      </c>
      <c r="Q173" s="8">
        <v>45202</v>
      </c>
      <c r="R173" s="8">
        <v>45206</v>
      </c>
      <c r="S173" s="8">
        <v>45213</v>
      </c>
      <c r="T173" s="8">
        <v>45225</v>
      </c>
      <c r="U173" s="8">
        <v>45250</v>
      </c>
      <c r="V173" s="10">
        <f>COUNTA(O173:U173)</f>
        <v>7</v>
      </c>
      <c r="W173" s="11">
        <f>_xlfn.IFNA(INDEX(reading[[#This Row],[Memo 01]:[Memo 07]],MATCH(0,reading[[#This Row],[Memo 01]:[Memo 07]],-1)),"")</f>
        <v>45250</v>
      </c>
      <c r="X173" s="11">
        <f ca="1">IFERROR(reading[[#This Row],[Previous]]+OFFSET(reading[[#Headers],[Memo 01]],-1,MATCH(0,reading[[#This Row],[Memo 01]:[Memo 07]],-1)-1),"")</f>
        <v>55250</v>
      </c>
      <c r="Y173" s="10" t="str">
        <f ca="1">IF(reading[[#This Row],[Next]]&lt;&gt;"",IF(reading[[#This Row],[Next]]&gt;TODAY(),"OK",""),"")</f>
        <v>OK</v>
      </c>
      <c r="Z173" s="13">
        <v>2</v>
      </c>
      <c r="AA173" s="13">
        <v>3</v>
      </c>
      <c r="AB173" s="13">
        <v>3</v>
      </c>
      <c r="AC173" s="13">
        <v>2</v>
      </c>
      <c r="AD173" s="13">
        <v>3</v>
      </c>
      <c r="AE173" s="13">
        <v>2</v>
      </c>
      <c r="AF173" s="13">
        <v>3</v>
      </c>
      <c r="AG173" s="16">
        <f>IFERROR(SUMIF(reading[[#This Row],[1st]:[7th]],"&gt;0")/COUNTIF(reading[[#This Row],[1st]:[7th]],"&gt;0"),"")</f>
        <v>2.5714285714285716</v>
      </c>
    </row>
    <row r="174" spans="1:33" hidden="1" x14ac:dyDescent="0.2">
      <c r="A174" s="4">
        <f>IF(B174=1,3,IF(D174=1,2,IF(F174=1,1,0)))</f>
        <v>3</v>
      </c>
      <c r="B174" s="4">
        <f>IF(C174=$L174,1,IF(C174="","",0))</f>
        <v>1</v>
      </c>
      <c r="C174" s="20" t="s">
        <v>314</v>
      </c>
      <c r="D174" s="4" t="str">
        <f>IF(E174=$L174,1,IF(E174="","",0))</f>
        <v/>
      </c>
      <c r="E174" s="14"/>
      <c r="F174" s="4" t="str">
        <f>IF(G174=$L174,1,IF(G174="","",0))</f>
        <v/>
      </c>
      <c r="G174" s="14"/>
      <c r="H174" s="6">
        <v>177</v>
      </c>
      <c r="I174" s="15" t="s">
        <v>3120</v>
      </c>
      <c r="J174" s="6" t="s">
        <v>3326</v>
      </c>
      <c r="K174" s="6"/>
      <c r="L174" s="6" t="s">
        <v>314</v>
      </c>
      <c r="M174" s="6" t="s">
        <v>6286</v>
      </c>
      <c r="N174" s="7">
        <f ca="1">RAND()</f>
        <v>0.505319981702678</v>
      </c>
      <c r="O174" s="8">
        <v>45199</v>
      </c>
      <c r="P174" s="8">
        <v>45199</v>
      </c>
      <c r="Q174" s="8">
        <v>45199</v>
      </c>
      <c r="R174" s="8">
        <v>45199</v>
      </c>
      <c r="S174" s="8">
        <v>45199</v>
      </c>
      <c r="T174" s="8">
        <v>45199</v>
      </c>
      <c r="U174" s="8">
        <v>45199</v>
      </c>
      <c r="V174" s="10">
        <f>COUNTA(O174:U174)</f>
        <v>7</v>
      </c>
      <c r="W174" s="11">
        <f>_xlfn.IFNA(INDEX(reading[[#This Row],[Memo 01]:[Memo 07]],MATCH(0,reading[[#This Row],[Memo 01]:[Memo 07]],-1)),"")</f>
        <v>45199</v>
      </c>
      <c r="X174" s="11">
        <f ca="1">IFERROR(reading[[#This Row],[Previous]]+OFFSET(reading[[#Headers],[Memo 01]],-1,MATCH(0,reading[[#This Row],[Memo 01]:[Memo 07]],-1)-1),"")</f>
        <v>55199</v>
      </c>
      <c r="Y174" s="10" t="str">
        <f ca="1">IF(reading[[#This Row],[Next]]&lt;&gt;"",IF(reading[[#This Row],[Next]]&gt;TODAY(),"OK",""),"")</f>
        <v>OK</v>
      </c>
      <c r="Z174" s="13">
        <v>3</v>
      </c>
      <c r="AA174" s="13"/>
      <c r="AB174" s="13"/>
      <c r="AC174" s="13"/>
      <c r="AD174" s="13"/>
      <c r="AE174" s="13"/>
      <c r="AF174" s="13"/>
      <c r="AG174" s="16">
        <f>IFERROR(SUMIF(reading[[#This Row],[1st]:[7th]],"&gt;0")/COUNTIF(reading[[#This Row],[1st]:[7th]],"&gt;0"),"")</f>
        <v>3</v>
      </c>
    </row>
    <row r="175" spans="1:33" hidden="1" x14ac:dyDescent="0.2">
      <c r="A175" s="4">
        <f>IF(B175=1,3,IF(D175=1,2,IF(F175=1,1,0)))</f>
        <v>0</v>
      </c>
      <c r="B175" s="4" t="str">
        <f>IF(C175=$L175,1,IF(C175="","",0))</f>
        <v/>
      </c>
      <c r="C175" s="41"/>
      <c r="D175" s="4" t="str">
        <f>IF(E175=$L175,1,IF(E175="","",0))</f>
        <v/>
      </c>
      <c r="E175" s="23"/>
      <c r="F175" s="4" t="str">
        <f>IF(G175=$L175,1,IF(G175="","",0))</f>
        <v/>
      </c>
      <c r="G175" s="14"/>
      <c r="H175" s="6">
        <v>641</v>
      </c>
      <c r="I175" s="15" t="s">
        <v>3120</v>
      </c>
      <c r="J175" s="6" t="s">
        <v>3782</v>
      </c>
      <c r="K175" s="6"/>
      <c r="L175" s="6" t="s">
        <v>764</v>
      </c>
      <c r="M175" s="6" t="s">
        <v>6750</v>
      </c>
      <c r="N175" s="7">
        <f ca="1">RAND()</f>
        <v>0.92320306932395801</v>
      </c>
      <c r="O175" s="8">
        <v>45202</v>
      </c>
      <c r="P175" s="8">
        <v>45203</v>
      </c>
      <c r="Q175" s="8">
        <v>45205</v>
      </c>
      <c r="R175" s="8">
        <v>45209</v>
      </c>
      <c r="S175" s="8">
        <v>45216</v>
      </c>
      <c r="T175" s="8">
        <v>45228</v>
      </c>
      <c r="U175" s="8">
        <v>45248</v>
      </c>
      <c r="V175" s="10">
        <f>COUNTA(O175:U175)</f>
        <v>7</v>
      </c>
      <c r="W175" s="11">
        <f>_xlfn.IFNA(INDEX(reading[[#This Row],[Memo 01]:[Memo 07]],MATCH(0,reading[[#This Row],[Memo 01]:[Memo 07]],-1)),"")</f>
        <v>45248</v>
      </c>
      <c r="X175" s="11">
        <f ca="1">IFERROR(reading[[#This Row],[Previous]]+OFFSET(reading[[#Headers],[Memo 01]],-1,MATCH(0,reading[[#This Row],[Memo 01]:[Memo 07]],-1)-1),"")</f>
        <v>55248</v>
      </c>
      <c r="Y175" s="10" t="str">
        <f ca="1">IF(reading[[#This Row],[Next]]&lt;&gt;"",IF(reading[[#This Row],[Next]]&gt;TODAY(),"OK",""),"")</f>
        <v>OK</v>
      </c>
      <c r="Z175" s="13">
        <v>3</v>
      </c>
      <c r="AA175" s="13">
        <v>3</v>
      </c>
      <c r="AB175" s="13">
        <v>2</v>
      </c>
      <c r="AC175" s="13">
        <v>2</v>
      </c>
      <c r="AD175" s="13">
        <v>3</v>
      </c>
      <c r="AE175" s="13">
        <v>2</v>
      </c>
      <c r="AF175" s="13">
        <v>3</v>
      </c>
      <c r="AG175" s="16">
        <f>IFERROR(SUMIF(reading[[#This Row],[1st]:[7th]],"&gt;0")/COUNTIF(reading[[#This Row],[1st]:[7th]],"&gt;0"),"")</f>
        <v>2.5714285714285716</v>
      </c>
    </row>
    <row r="176" spans="1:33" hidden="1" x14ac:dyDescent="0.2">
      <c r="A176" s="4">
        <f>IF(B176=1,3,IF(D176=1,2,IF(F176=1,1,0)))</f>
        <v>3</v>
      </c>
      <c r="B176" s="4">
        <f>IF(C176=$L176,1,IF(C176="","",0))</f>
        <v>1</v>
      </c>
      <c r="C176" s="20" t="s">
        <v>316</v>
      </c>
      <c r="D176" s="4" t="str">
        <f>IF(E176=$L176,1,IF(E176="","",0))</f>
        <v/>
      </c>
      <c r="E176" s="14"/>
      <c r="F176" s="4" t="str">
        <f>IF(G176=$L176,1,IF(G176="","",0))</f>
        <v/>
      </c>
      <c r="G176" s="14"/>
      <c r="H176" s="6">
        <v>179</v>
      </c>
      <c r="I176" s="15" t="s">
        <v>3120</v>
      </c>
      <c r="J176" s="6" t="s">
        <v>3328</v>
      </c>
      <c r="K176" s="6"/>
      <c r="L176" s="6" t="s">
        <v>316</v>
      </c>
      <c r="M176" s="6" t="s">
        <v>6288</v>
      </c>
      <c r="N176" s="7">
        <f ca="1">RAND()</f>
        <v>9.2397934692040828E-2</v>
      </c>
      <c r="O176" s="8">
        <v>45199</v>
      </c>
      <c r="P176" s="8">
        <v>45199</v>
      </c>
      <c r="Q176" s="8">
        <v>45199</v>
      </c>
      <c r="R176" s="8">
        <v>45199</v>
      </c>
      <c r="S176" s="8">
        <v>45199</v>
      </c>
      <c r="T176" s="8">
        <v>45199</v>
      </c>
      <c r="U176" s="8">
        <v>45199</v>
      </c>
      <c r="V176" s="10">
        <f>COUNTA(O176:U176)</f>
        <v>7</v>
      </c>
      <c r="W176" s="11">
        <f>_xlfn.IFNA(INDEX(reading[[#This Row],[Memo 01]:[Memo 07]],MATCH(0,reading[[#This Row],[Memo 01]:[Memo 07]],-1)),"")</f>
        <v>45199</v>
      </c>
      <c r="X176" s="11">
        <f ca="1">IFERROR(reading[[#This Row],[Previous]]+OFFSET(reading[[#Headers],[Memo 01]],-1,MATCH(0,reading[[#This Row],[Memo 01]:[Memo 07]],-1)-1),"")</f>
        <v>55199</v>
      </c>
      <c r="Y176" s="10" t="str">
        <f ca="1">IF(reading[[#This Row],[Next]]&lt;&gt;"",IF(reading[[#This Row],[Next]]&gt;TODAY(),"OK",""),"")</f>
        <v>OK</v>
      </c>
      <c r="Z176" s="13">
        <v>3</v>
      </c>
      <c r="AA176" s="13"/>
      <c r="AB176" s="13"/>
      <c r="AC176" s="13"/>
      <c r="AD176" s="13"/>
      <c r="AE176" s="13"/>
      <c r="AF176" s="13"/>
      <c r="AG176" s="16">
        <f>IFERROR(SUMIF(reading[[#This Row],[1st]:[7th]],"&gt;0")/COUNTIF(reading[[#This Row],[1st]:[7th]],"&gt;0"),"")</f>
        <v>3</v>
      </c>
    </row>
    <row r="177" spans="1:33" hidden="1" x14ac:dyDescent="0.2">
      <c r="A177" s="4">
        <f>IF(B177=1,3,IF(D177=1,2,IF(F177=1,1,0)))</f>
        <v>0</v>
      </c>
      <c r="B177" s="4" t="str">
        <f>IF(C177=$L177,1,IF(C177="","",0))</f>
        <v/>
      </c>
      <c r="C177" s="41"/>
      <c r="D177" s="4" t="str">
        <f>IF(E177=$L177,1,IF(E177="","",0))</f>
        <v/>
      </c>
      <c r="E177" s="18"/>
      <c r="F177" s="4" t="str">
        <f>IF(G177=$L177,1,IF(G177="","",0))</f>
        <v/>
      </c>
      <c r="G177" s="18"/>
      <c r="H177" s="6">
        <v>758</v>
      </c>
      <c r="I177" s="15" t="s">
        <v>3120</v>
      </c>
      <c r="J177" s="6" t="s">
        <v>3893</v>
      </c>
      <c r="K177" s="6"/>
      <c r="L177" s="6" t="s">
        <v>877</v>
      </c>
      <c r="M177" s="6" t="s">
        <v>6867</v>
      </c>
      <c r="N177" s="7">
        <f ca="1">RAND()</f>
        <v>0.73595589077300294</v>
      </c>
      <c r="O177" s="8">
        <v>45203</v>
      </c>
      <c r="P177" s="8">
        <v>45204</v>
      </c>
      <c r="Q177" s="8">
        <v>45206</v>
      </c>
      <c r="R177" s="8">
        <v>45210</v>
      </c>
      <c r="S177" s="8">
        <v>45217</v>
      </c>
      <c r="T177" s="8">
        <v>45229</v>
      </c>
      <c r="U177" s="8">
        <v>45251</v>
      </c>
      <c r="V177" s="10">
        <f>COUNTA(O177:U177)</f>
        <v>7</v>
      </c>
      <c r="W177" s="11">
        <f>_xlfn.IFNA(INDEX(reading[[#This Row],[Memo 01]:[Memo 07]],MATCH(0,reading[[#This Row],[Memo 01]:[Memo 07]],-1)),"")</f>
        <v>45251</v>
      </c>
      <c r="X177" s="11">
        <f ca="1">IFERROR(reading[[#This Row],[Previous]]+OFFSET(reading[[#Headers],[Memo 01]],-1,MATCH(0,reading[[#This Row],[Memo 01]:[Memo 07]],-1)-1),"")</f>
        <v>55251</v>
      </c>
      <c r="Y177" s="10" t="str">
        <f ca="1">IF(reading[[#This Row],[Next]]&lt;&gt;"",IF(reading[[#This Row],[Next]]&gt;TODAY(),"OK",""),"")</f>
        <v>OK</v>
      </c>
      <c r="Z177" s="13">
        <v>3</v>
      </c>
      <c r="AA177" s="13">
        <v>3</v>
      </c>
      <c r="AB177" s="13">
        <v>2</v>
      </c>
      <c r="AC177" s="13">
        <v>3</v>
      </c>
      <c r="AD177" s="13">
        <v>1</v>
      </c>
      <c r="AE177" s="13">
        <v>3</v>
      </c>
      <c r="AF177" s="13">
        <v>2</v>
      </c>
      <c r="AG177" s="16">
        <f>IFERROR(SUMIF(reading[[#This Row],[1st]:[7th]],"&gt;0")/COUNTIF(reading[[#This Row],[1st]:[7th]],"&gt;0"),"")</f>
        <v>2.4285714285714284</v>
      </c>
    </row>
    <row r="178" spans="1:33" hidden="1" x14ac:dyDescent="0.2">
      <c r="A178" s="4">
        <f>IF(B178=1,3,IF(D178=1,2,IF(F178=1,1,0)))</f>
        <v>0</v>
      </c>
      <c r="B178" s="4" t="str">
        <f>IF(C178=$L178,1,IF(C178="","",0))</f>
        <v/>
      </c>
      <c r="C178" s="41"/>
      <c r="D178" s="4" t="str">
        <f>IF(E178=$L178,1,IF(E178="","",0))</f>
        <v/>
      </c>
      <c r="E178" s="18"/>
      <c r="F178" s="4" t="str">
        <f>IF(G178=$L178,1,IF(G178="","",0))</f>
        <v/>
      </c>
      <c r="G178" s="18"/>
      <c r="H178" s="6">
        <v>764</v>
      </c>
      <c r="I178" s="15" t="s">
        <v>3120</v>
      </c>
      <c r="J178" s="6" t="s">
        <v>3899</v>
      </c>
      <c r="K178" s="24" t="s">
        <v>3137</v>
      </c>
      <c r="L178" s="6" t="s">
        <v>883</v>
      </c>
      <c r="M178" s="6" t="s">
        <v>6873</v>
      </c>
      <c r="N178" s="7">
        <f ca="1">RAND()</f>
        <v>2.4798701345054464E-2</v>
      </c>
      <c r="O178" s="8">
        <v>45203</v>
      </c>
      <c r="P178" s="8">
        <v>45204</v>
      </c>
      <c r="Q178" s="8">
        <v>45206</v>
      </c>
      <c r="R178" s="8">
        <v>45210</v>
      </c>
      <c r="S178" s="8">
        <v>45217</v>
      </c>
      <c r="T178" s="8">
        <v>45229</v>
      </c>
      <c r="U178" s="8">
        <v>45250</v>
      </c>
      <c r="V178" s="10">
        <f>COUNTA(O178:U178)</f>
        <v>7</v>
      </c>
      <c r="W178" s="11">
        <f>_xlfn.IFNA(INDEX(reading[[#This Row],[Memo 01]:[Memo 07]],MATCH(0,reading[[#This Row],[Memo 01]:[Memo 07]],-1)),"")</f>
        <v>45250</v>
      </c>
      <c r="X178" s="11">
        <f ca="1">IFERROR(reading[[#This Row],[Previous]]+OFFSET(reading[[#Headers],[Memo 01]],-1,MATCH(0,reading[[#This Row],[Memo 01]:[Memo 07]],-1)-1),"")</f>
        <v>55250</v>
      </c>
      <c r="Y178" s="10" t="str">
        <f ca="1">IF(reading[[#This Row],[Next]]&lt;&gt;"",IF(reading[[#This Row],[Next]]&gt;TODAY(),"OK",""),"")</f>
        <v>OK</v>
      </c>
      <c r="Z178" s="13">
        <v>3</v>
      </c>
      <c r="AA178" s="13">
        <v>3</v>
      </c>
      <c r="AB178" s="13">
        <v>1</v>
      </c>
      <c r="AC178" s="13">
        <v>3</v>
      </c>
      <c r="AD178" s="13">
        <v>2</v>
      </c>
      <c r="AE178" s="13">
        <v>3</v>
      </c>
      <c r="AF178" s="13">
        <v>3</v>
      </c>
      <c r="AG178" s="16">
        <f>IFERROR(SUMIF(reading[[#This Row],[1st]:[7th]],"&gt;0")/COUNTIF(reading[[#This Row],[1st]:[7th]],"&gt;0"),"")</f>
        <v>2.5714285714285716</v>
      </c>
    </row>
    <row r="179" spans="1:33" hidden="1" x14ac:dyDescent="0.2">
      <c r="A179" s="4">
        <f>IF(B179=1,3,IF(D179=1,2,IF(F179=1,1,0)))</f>
        <v>0</v>
      </c>
      <c r="B179" s="4" t="str">
        <f>IF(C179=$L179,1,IF(C179="","",0))</f>
        <v/>
      </c>
      <c r="C179" s="41"/>
      <c r="D179" s="4" t="str">
        <f>IF(E179=$L179,1,IF(E179="","",0))</f>
        <v/>
      </c>
      <c r="E179" s="18"/>
      <c r="F179" s="4" t="str">
        <f>IF(G179=$L179,1,IF(G179="","",0))</f>
        <v/>
      </c>
      <c r="G179" s="14"/>
      <c r="H179" s="6">
        <v>745</v>
      </c>
      <c r="I179" s="15" t="s">
        <v>3120</v>
      </c>
      <c r="J179" s="6" t="s">
        <v>3881</v>
      </c>
      <c r="K179" s="6"/>
      <c r="L179" s="6" t="s">
        <v>864</v>
      </c>
      <c r="M179" s="6" t="s">
        <v>6854</v>
      </c>
      <c r="N179" s="7">
        <f ca="1">RAND()</f>
        <v>0.1326384077388425</v>
      </c>
      <c r="O179" s="8">
        <v>45203</v>
      </c>
      <c r="P179" s="8">
        <v>45204</v>
      </c>
      <c r="Q179" s="8">
        <v>45206</v>
      </c>
      <c r="R179" s="8">
        <v>45210</v>
      </c>
      <c r="S179" s="8">
        <v>45217</v>
      </c>
      <c r="T179" s="8">
        <v>45229</v>
      </c>
      <c r="U179" s="8">
        <v>45251</v>
      </c>
      <c r="V179" s="10">
        <f>COUNTA(O179:U179)</f>
        <v>7</v>
      </c>
      <c r="W179" s="11">
        <f>_xlfn.IFNA(INDEX(reading[[#This Row],[Memo 01]:[Memo 07]],MATCH(0,reading[[#This Row],[Memo 01]:[Memo 07]],-1)),"")</f>
        <v>45251</v>
      </c>
      <c r="X179" s="11">
        <f ca="1">IFERROR(reading[[#This Row],[Previous]]+OFFSET(reading[[#Headers],[Memo 01]],-1,MATCH(0,reading[[#This Row],[Memo 01]:[Memo 07]],-1)-1),"")</f>
        <v>55251</v>
      </c>
      <c r="Y179" s="10" t="str">
        <f ca="1">IF(reading[[#This Row],[Next]]&lt;&gt;"",IF(reading[[#This Row],[Next]]&gt;TODAY(),"OK",""),"")</f>
        <v>OK</v>
      </c>
      <c r="Z179" s="13">
        <v>3</v>
      </c>
      <c r="AA179" s="13">
        <v>2</v>
      </c>
      <c r="AB179" s="13">
        <v>3</v>
      </c>
      <c r="AC179" s="13">
        <v>2</v>
      </c>
      <c r="AD179" s="13">
        <v>2</v>
      </c>
      <c r="AE179" s="13">
        <v>3</v>
      </c>
      <c r="AF179" s="13">
        <v>2</v>
      </c>
      <c r="AG179" s="16">
        <f>IFERROR(SUMIF(reading[[#This Row],[1st]:[7th]],"&gt;0")/COUNTIF(reading[[#This Row],[1st]:[7th]],"&gt;0"),"")</f>
        <v>2.4285714285714284</v>
      </c>
    </row>
    <row r="180" spans="1:33" hidden="1" x14ac:dyDescent="0.2">
      <c r="A180" s="4">
        <f>IF(B180=1,3,IF(D180=1,2,IF(F180=1,1,0)))</f>
        <v>0</v>
      </c>
      <c r="B180" s="4" t="str">
        <f>IF(C180=$L180,1,IF(C180="","",0))</f>
        <v/>
      </c>
      <c r="C180" s="41"/>
      <c r="D180" s="4" t="str">
        <f>IF(E180=$L180,1,IF(E180="","",0))</f>
        <v/>
      </c>
      <c r="E180" s="18"/>
      <c r="F180" s="4" t="str">
        <f>IF(G180=$L180,1,IF(G180="","",0))</f>
        <v/>
      </c>
      <c r="G180" s="14"/>
      <c r="H180" s="6">
        <v>155</v>
      </c>
      <c r="I180" s="15" t="s">
        <v>3120</v>
      </c>
      <c r="J180" s="6" t="s">
        <v>3304</v>
      </c>
      <c r="K180" s="6"/>
      <c r="L180" s="6" t="s">
        <v>292</v>
      </c>
      <c r="M180" s="6" t="s">
        <v>6264</v>
      </c>
      <c r="N180" s="7">
        <f ca="1">RAND()</f>
        <v>0.90350312633865726</v>
      </c>
      <c r="O180" s="8">
        <v>45199</v>
      </c>
      <c r="P180" s="8">
        <v>45200</v>
      </c>
      <c r="Q180" s="8">
        <v>45202</v>
      </c>
      <c r="R180" s="8">
        <v>45206</v>
      </c>
      <c r="S180" s="8">
        <v>45213</v>
      </c>
      <c r="T180" s="8">
        <v>45225</v>
      </c>
      <c r="U180" s="8">
        <v>45248</v>
      </c>
      <c r="V180" s="10">
        <f>COUNTA(O180:U180)</f>
        <v>7</v>
      </c>
      <c r="W180" s="11">
        <f>_xlfn.IFNA(INDEX(reading[[#This Row],[Memo 01]:[Memo 07]],MATCH(0,reading[[#This Row],[Memo 01]:[Memo 07]],-1)),"")</f>
        <v>45248</v>
      </c>
      <c r="X180" s="11">
        <f ca="1">IFERROR(reading[[#This Row],[Previous]]+OFFSET(reading[[#Headers],[Memo 01]],-1,MATCH(0,reading[[#This Row],[Memo 01]:[Memo 07]],-1)-1),"")</f>
        <v>55248</v>
      </c>
      <c r="Y180" s="10" t="str">
        <f ca="1">IF(reading[[#This Row],[Next]]&lt;&gt;"",IF(reading[[#This Row],[Next]]&gt;TODAY(),"OK",""),"")</f>
        <v>OK</v>
      </c>
      <c r="Z180" s="13">
        <v>3</v>
      </c>
      <c r="AA180" s="13">
        <v>3</v>
      </c>
      <c r="AB180" s="13">
        <v>2</v>
      </c>
      <c r="AC180" s="13">
        <v>2</v>
      </c>
      <c r="AD180" s="13">
        <v>3</v>
      </c>
      <c r="AE180" s="13">
        <v>2</v>
      </c>
      <c r="AF180" s="13">
        <v>3</v>
      </c>
      <c r="AG180" s="16">
        <f>IFERROR(SUMIF(reading[[#This Row],[1st]:[7th]],"&gt;0")/COUNTIF(reading[[#This Row],[1st]:[7th]],"&gt;0"),"")</f>
        <v>2.5714285714285716</v>
      </c>
    </row>
    <row r="181" spans="1:33" hidden="1" x14ac:dyDescent="0.2">
      <c r="A181" s="4">
        <f>IF(B181=1,3,IF(D181=1,2,IF(F181=1,1,0)))</f>
        <v>0</v>
      </c>
      <c r="B181" s="4" t="str">
        <f>IF(C181=$L181,1,IF(C181="","",0))</f>
        <v/>
      </c>
      <c r="C181" s="42"/>
      <c r="D181" s="4" t="str">
        <f>IF(E181=$L181,1,IF(E181="","",0))</f>
        <v/>
      </c>
      <c r="E181" s="14"/>
      <c r="F181" s="4" t="str">
        <f>IF(G181=$L181,1,IF(G181="","",0))</f>
        <v/>
      </c>
      <c r="G181" s="14"/>
      <c r="H181" s="6">
        <v>1037</v>
      </c>
      <c r="I181" s="15" t="s">
        <v>3120</v>
      </c>
      <c r="J181" s="6" t="s">
        <v>4164</v>
      </c>
      <c r="K181" s="6"/>
      <c r="L181" s="6" t="s">
        <v>1146</v>
      </c>
      <c r="M181" s="6" t="s">
        <v>7145</v>
      </c>
      <c r="N181" s="7">
        <f ca="1">RAND()</f>
        <v>0.38202291823807721</v>
      </c>
      <c r="O181" s="8">
        <v>45205</v>
      </c>
      <c r="P181" s="8">
        <v>45206</v>
      </c>
      <c r="Q181" s="8">
        <v>45208</v>
      </c>
      <c r="R181" s="8">
        <v>45212</v>
      </c>
      <c r="S181" s="8">
        <v>45219</v>
      </c>
      <c r="T181" s="8">
        <v>45231</v>
      </c>
      <c r="U181" s="8">
        <v>45783</v>
      </c>
      <c r="V181" s="10">
        <f>COUNTA(O181:U181)</f>
        <v>7</v>
      </c>
      <c r="W181" s="11">
        <f>_xlfn.IFNA(INDEX(reading[[#This Row],[Memo 01]:[Memo 07]],MATCH(0,reading[[#This Row],[Memo 01]:[Memo 07]],-1)),"")</f>
        <v>45783</v>
      </c>
      <c r="X181" s="11">
        <f ca="1">IFERROR(reading[[#This Row],[Previous]]+OFFSET(reading[[#Headers],[Memo 01]],-1,MATCH(0,reading[[#This Row],[Memo 01]:[Memo 07]],-1)-1),"")</f>
        <v>55783</v>
      </c>
      <c r="Y181" s="10" t="str">
        <f ca="1">IF(reading[[#This Row],[Next]]&lt;&gt;"",IF(reading[[#This Row],[Next]]&gt;TODAY(),"OK",""),"")</f>
        <v>OK</v>
      </c>
      <c r="Z181" s="13">
        <v>3</v>
      </c>
      <c r="AA181" s="13">
        <v>3</v>
      </c>
      <c r="AB181" s="13">
        <v>3</v>
      </c>
      <c r="AC181" s="13">
        <v>3</v>
      </c>
      <c r="AD181" s="13">
        <v>3</v>
      </c>
      <c r="AE181" s="13">
        <v>3</v>
      </c>
      <c r="AF181" s="13">
        <v>3</v>
      </c>
      <c r="AG181" s="16">
        <f>IFERROR(SUMIF(reading[[#This Row],[1st]:[7th]],"&gt;0")/COUNTIF(reading[[#This Row],[1st]:[7th]],"&gt;0"),"")</f>
        <v>3</v>
      </c>
    </row>
    <row r="182" spans="1:33" hidden="1" x14ac:dyDescent="0.2">
      <c r="A182" s="4">
        <f>IF(B182=1,3,IF(D182=1,2,IF(F182=1,1,0)))</f>
        <v>0</v>
      </c>
      <c r="B182" s="4" t="str">
        <f>IF(C182=$L182,1,IF(C182="","",0))</f>
        <v/>
      </c>
      <c r="C182" s="41"/>
      <c r="D182" s="4" t="str">
        <f>IF(E182=$L182,1,IF(E182="","",0))</f>
        <v/>
      </c>
      <c r="E182" s="18"/>
      <c r="F182" s="4" t="str">
        <f>IF(G182=$L182,1,IF(G182="","",0))</f>
        <v/>
      </c>
      <c r="G182" s="14"/>
      <c r="H182" s="6">
        <v>645</v>
      </c>
      <c r="I182" s="15" t="s">
        <v>3120</v>
      </c>
      <c r="J182" s="6" t="s">
        <v>3786</v>
      </c>
      <c r="K182" s="6"/>
      <c r="L182" s="6" t="s">
        <v>768</v>
      </c>
      <c r="M182" s="6" t="s">
        <v>6754</v>
      </c>
      <c r="N182" s="7">
        <f ca="1">RAND()</f>
        <v>0.53679496029893736</v>
      </c>
      <c r="O182" s="8">
        <v>45202</v>
      </c>
      <c r="P182" s="8">
        <v>45203</v>
      </c>
      <c r="Q182" s="8">
        <v>45205</v>
      </c>
      <c r="R182" s="8">
        <v>45209</v>
      </c>
      <c r="S182" s="8">
        <v>45216</v>
      </c>
      <c r="T182" s="8">
        <v>45228</v>
      </c>
      <c r="U182" s="8">
        <v>45250</v>
      </c>
      <c r="V182" s="10">
        <f>COUNTA(O182:U182)</f>
        <v>7</v>
      </c>
      <c r="W182" s="11">
        <f>_xlfn.IFNA(INDEX(reading[[#This Row],[Memo 01]:[Memo 07]],MATCH(0,reading[[#This Row],[Memo 01]:[Memo 07]],-1)),"")</f>
        <v>45250</v>
      </c>
      <c r="X182" s="11">
        <f ca="1">IFERROR(reading[[#This Row],[Previous]]+OFFSET(reading[[#Headers],[Memo 01]],-1,MATCH(0,reading[[#This Row],[Memo 01]:[Memo 07]],-1)-1),"")</f>
        <v>55250</v>
      </c>
      <c r="Y182" s="10" t="str">
        <f ca="1">IF(reading[[#This Row],[Next]]&lt;&gt;"",IF(reading[[#This Row],[Next]]&gt;TODAY(),"OK",""),"")</f>
        <v>OK</v>
      </c>
      <c r="Z182" s="13">
        <v>3</v>
      </c>
      <c r="AA182" s="13">
        <v>3</v>
      </c>
      <c r="AB182" s="13">
        <v>2</v>
      </c>
      <c r="AC182" s="13">
        <v>3</v>
      </c>
      <c r="AD182" s="13">
        <v>2</v>
      </c>
      <c r="AE182" s="13">
        <v>2</v>
      </c>
      <c r="AF182" s="13">
        <v>3</v>
      </c>
      <c r="AG182" s="16">
        <f>IFERROR(SUMIF(reading[[#This Row],[1st]:[7th]],"&gt;0")/COUNTIF(reading[[#This Row],[1st]:[7th]],"&gt;0"),"")</f>
        <v>2.5714285714285716</v>
      </c>
    </row>
    <row r="183" spans="1:33" hidden="1" x14ac:dyDescent="0.2">
      <c r="A183" s="4">
        <f>IF(B183=1,3,IF(D183=1,2,IF(F183=1,1,0)))</f>
        <v>3</v>
      </c>
      <c r="B183" s="4">
        <f>IF(C183=$L183,1,IF(C183="","",0))</f>
        <v>1</v>
      </c>
      <c r="C183" s="20" t="s">
        <v>59</v>
      </c>
      <c r="D183" s="4" t="str">
        <f>IF(E183=$L183,1,IF(E183="","",0))</f>
        <v/>
      </c>
      <c r="E183" s="14"/>
      <c r="F183" s="4" t="str">
        <f>IF(G183=$L183,1,IF(G183="","",0))</f>
        <v/>
      </c>
      <c r="G183" s="14"/>
      <c r="H183" s="6">
        <v>186</v>
      </c>
      <c r="I183" s="15" t="s">
        <v>3120</v>
      </c>
      <c r="J183" s="6" t="s">
        <v>3335</v>
      </c>
      <c r="K183" s="6"/>
      <c r="L183" s="6" t="s">
        <v>59</v>
      </c>
      <c r="M183" s="6" t="s">
        <v>6295</v>
      </c>
      <c r="N183" s="7">
        <f ca="1">RAND()</f>
        <v>0.94918614686334357</v>
      </c>
      <c r="O183" s="8">
        <v>45199</v>
      </c>
      <c r="P183" s="8">
        <v>45199</v>
      </c>
      <c r="Q183" s="8">
        <v>45199</v>
      </c>
      <c r="R183" s="8">
        <v>45199</v>
      </c>
      <c r="S183" s="8">
        <v>45199</v>
      </c>
      <c r="T183" s="8">
        <v>45199</v>
      </c>
      <c r="U183" s="8">
        <v>45199</v>
      </c>
      <c r="V183" s="10">
        <f>COUNTA(O183:U183)</f>
        <v>7</v>
      </c>
      <c r="W183" s="11">
        <f>_xlfn.IFNA(INDEX(reading[[#This Row],[Memo 01]:[Memo 07]],MATCH(0,reading[[#This Row],[Memo 01]:[Memo 07]],-1)),"")</f>
        <v>45199</v>
      </c>
      <c r="X183" s="11">
        <f ca="1">IFERROR(reading[[#This Row],[Previous]]+OFFSET(reading[[#Headers],[Memo 01]],-1,MATCH(0,reading[[#This Row],[Memo 01]:[Memo 07]],-1)-1),"")</f>
        <v>55199</v>
      </c>
      <c r="Y183" s="10" t="str">
        <f ca="1">IF(reading[[#This Row],[Next]]&lt;&gt;"",IF(reading[[#This Row],[Next]]&gt;TODAY(),"OK",""),"")</f>
        <v>OK</v>
      </c>
      <c r="Z183" s="13">
        <v>3</v>
      </c>
      <c r="AA183" s="13"/>
      <c r="AB183" s="13"/>
      <c r="AC183" s="13"/>
      <c r="AD183" s="13"/>
      <c r="AE183" s="13"/>
      <c r="AF183" s="13"/>
      <c r="AG183" s="16">
        <f>IFERROR(SUMIF(reading[[#This Row],[1st]:[7th]],"&gt;0")/COUNTIF(reading[[#This Row],[1st]:[7th]],"&gt;0"),"")</f>
        <v>3</v>
      </c>
    </row>
    <row r="184" spans="1:33" hidden="1" x14ac:dyDescent="0.2">
      <c r="A184" s="4">
        <f>IF(B184=1,3,IF(D184=1,2,IF(F184=1,1,0)))</f>
        <v>0</v>
      </c>
      <c r="B184" s="4" t="str">
        <f>IF(C184=$L184,1,IF(C184="","",0))</f>
        <v/>
      </c>
      <c r="C184" s="41"/>
      <c r="D184" s="4" t="str">
        <f>IF(E184=$L184,1,IF(E184="","",0))</f>
        <v/>
      </c>
      <c r="E184" s="18"/>
      <c r="F184" s="4" t="str">
        <f>IF(G184=$L184,1,IF(G184="","",0))</f>
        <v/>
      </c>
      <c r="G184" s="18"/>
      <c r="H184" s="6">
        <v>682</v>
      </c>
      <c r="I184" s="15" t="s">
        <v>3120</v>
      </c>
      <c r="J184" s="6" t="s">
        <v>3821</v>
      </c>
      <c r="K184" s="6"/>
      <c r="L184" s="6" t="s">
        <v>805</v>
      </c>
      <c r="M184" s="6" t="s">
        <v>6791</v>
      </c>
      <c r="N184" s="7">
        <f ca="1">RAND()</f>
        <v>5.4594020063612803E-2</v>
      </c>
      <c r="O184" s="8">
        <v>45203</v>
      </c>
      <c r="P184" s="8">
        <v>45204</v>
      </c>
      <c r="Q184" s="8">
        <v>45206</v>
      </c>
      <c r="R184" s="8">
        <v>45210</v>
      </c>
      <c r="S184" s="8">
        <v>45217</v>
      </c>
      <c r="T184" s="8">
        <v>45229</v>
      </c>
      <c r="U184" s="8">
        <v>45250</v>
      </c>
      <c r="V184" s="10">
        <f>COUNTA(O184:U184)</f>
        <v>7</v>
      </c>
      <c r="W184" s="11">
        <f>_xlfn.IFNA(INDEX(reading[[#This Row],[Memo 01]:[Memo 07]],MATCH(0,reading[[#This Row],[Memo 01]:[Memo 07]],-1)),"")</f>
        <v>45250</v>
      </c>
      <c r="X184" s="11">
        <f ca="1">IFERROR(reading[[#This Row],[Previous]]+OFFSET(reading[[#Headers],[Memo 01]],-1,MATCH(0,reading[[#This Row],[Memo 01]:[Memo 07]],-1)-1),"")</f>
        <v>55250</v>
      </c>
      <c r="Y184" s="10" t="str">
        <f ca="1">IF(reading[[#This Row],[Next]]&lt;&gt;"",IF(reading[[#This Row],[Next]]&gt;TODAY(),"OK",""),"")</f>
        <v>OK</v>
      </c>
      <c r="Z184" s="13">
        <v>3</v>
      </c>
      <c r="AA184" s="13">
        <v>1</v>
      </c>
      <c r="AB184" s="13">
        <v>3</v>
      </c>
      <c r="AC184" s="13">
        <v>3</v>
      </c>
      <c r="AD184" s="13">
        <v>2</v>
      </c>
      <c r="AE184" s="13">
        <v>3</v>
      </c>
      <c r="AF184" s="13">
        <v>3</v>
      </c>
      <c r="AG184" s="16">
        <f>IFERROR(SUMIF(reading[[#This Row],[1st]:[7th]],"&gt;0")/COUNTIF(reading[[#This Row],[1st]:[7th]],"&gt;0"),"")</f>
        <v>2.5714285714285716</v>
      </c>
    </row>
    <row r="185" spans="1:33" hidden="1" x14ac:dyDescent="0.2">
      <c r="A185" s="4">
        <f>IF(B185=1,3,IF(D185=1,2,IF(F185=1,1,0)))</f>
        <v>0</v>
      </c>
      <c r="B185" s="4" t="str">
        <f>IF(C185=$L185,1,IF(C185="","",0))</f>
        <v/>
      </c>
      <c r="C185" s="41"/>
      <c r="D185" s="4" t="str">
        <f>IF(E185=$L185,1,IF(E185="","",0))</f>
        <v/>
      </c>
      <c r="E185" s="18"/>
      <c r="F185" s="4" t="str">
        <f>IF(G185=$L185,1,IF(G185="","",0))</f>
        <v/>
      </c>
      <c r="G185" s="18"/>
      <c r="H185" s="6">
        <v>636</v>
      </c>
      <c r="I185" s="15" t="s">
        <v>3120</v>
      </c>
      <c r="J185" s="6" t="s">
        <v>3777</v>
      </c>
      <c r="K185" s="6"/>
      <c r="L185" s="6" t="s">
        <v>759</v>
      </c>
      <c r="M185" s="6" t="s">
        <v>6745</v>
      </c>
      <c r="N185" s="7">
        <f ca="1">RAND()</f>
        <v>0.13007895204150288</v>
      </c>
      <c r="O185" s="8">
        <v>45202</v>
      </c>
      <c r="P185" s="8">
        <v>45203</v>
      </c>
      <c r="Q185" s="8">
        <v>45205</v>
      </c>
      <c r="R185" s="8">
        <v>45209</v>
      </c>
      <c r="S185" s="8">
        <v>45216</v>
      </c>
      <c r="T185" s="8">
        <v>45228</v>
      </c>
      <c r="U185" s="8">
        <v>45250</v>
      </c>
      <c r="V185" s="10">
        <f>COUNTA(O185:U185)</f>
        <v>7</v>
      </c>
      <c r="W185" s="11">
        <f>_xlfn.IFNA(INDEX(reading[[#This Row],[Memo 01]:[Memo 07]],MATCH(0,reading[[#This Row],[Memo 01]:[Memo 07]],-1)),"")</f>
        <v>45250</v>
      </c>
      <c r="X185" s="11">
        <f ca="1">IFERROR(reading[[#This Row],[Previous]]+OFFSET(reading[[#Headers],[Memo 01]],-1,MATCH(0,reading[[#This Row],[Memo 01]:[Memo 07]],-1)-1),"")</f>
        <v>55250</v>
      </c>
      <c r="Y185" s="10" t="str">
        <f ca="1">IF(reading[[#This Row],[Next]]&lt;&gt;"",IF(reading[[#This Row],[Next]]&gt;TODAY(),"OK",""),"")</f>
        <v>OK</v>
      </c>
      <c r="Z185" s="13">
        <v>3</v>
      </c>
      <c r="AA185" s="13">
        <v>2</v>
      </c>
      <c r="AB185" s="13">
        <v>3</v>
      </c>
      <c r="AC185" s="13">
        <v>3</v>
      </c>
      <c r="AD185" s="13">
        <v>1</v>
      </c>
      <c r="AE185" s="13">
        <v>3</v>
      </c>
      <c r="AF185" s="13">
        <v>1</v>
      </c>
      <c r="AG185" s="16">
        <f>IFERROR(SUMIF(reading[[#This Row],[1st]:[7th]],"&gt;0")/COUNTIF(reading[[#This Row],[1st]:[7th]],"&gt;0"),"")</f>
        <v>2.2857142857142856</v>
      </c>
    </row>
    <row r="186" spans="1:33" hidden="1" x14ac:dyDescent="0.2">
      <c r="A186" s="4">
        <f>IF(B186=1,3,IF(D186=1,2,IF(F186=1,1,0)))</f>
        <v>0</v>
      </c>
      <c r="B186" s="4" t="str">
        <f>IF(C186=$L186,1,IF(C186="","",0))</f>
        <v/>
      </c>
      <c r="C186" s="42"/>
      <c r="D186" s="4" t="str">
        <f>IF(E186=$L186,1,IF(E186="","",0))</f>
        <v/>
      </c>
      <c r="E186" s="23"/>
      <c r="F186" s="4" t="str">
        <f>IF(G186=$L186,1,IF(G186="","",0))</f>
        <v/>
      </c>
      <c r="G186" s="14"/>
      <c r="H186" s="6">
        <v>1570</v>
      </c>
      <c r="I186" s="15" t="s">
        <v>3120</v>
      </c>
      <c r="J186" s="6" t="s">
        <v>4683</v>
      </c>
      <c r="K186" s="6"/>
      <c r="L186" s="6" t="s">
        <v>1655</v>
      </c>
      <c r="M186" s="6" t="s">
        <v>7676</v>
      </c>
      <c r="N186" s="7">
        <f ca="1">RAND()</f>
        <v>0.67092043603522467</v>
      </c>
      <c r="O186" s="8">
        <v>45209</v>
      </c>
      <c r="P186" s="8">
        <v>45210</v>
      </c>
      <c r="Q186" s="8">
        <v>45213</v>
      </c>
      <c r="R186" s="8">
        <v>45217</v>
      </c>
      <c r="S186" s="8">
        <v>45224</v>
      </c>
      <c r="T186" s="8">
        <v>45236</v>
      </c>
      <c r="U186" s="8">
        <v>45811</v>
      </c>
      <c r="V186" s="10">
        <f>COUNTA(O186:U186)</f>
        <v>7</v>
      </c>
      <c r="W186" s="11">
        <f>_xlfn.IFNA(INDEX(reading[[#This Row],[Memo 01]:[Memo 07]],MATCH(0,reading[[#This Row],[Memo 01]:[Memo 07]],-1)),"")</f>
        <v>45811</v>
      </c>
      <c r="X186" s="11">
        <f ca="1">IFERROR(reading[[#This Row],[Previous]]+OFFSET(reading[[#Headers],[Memo 01]],-1,MATCH(0,reading[[#This Row],[Memo 01]:[Memo 07]],-1)-1),"")</f>
        <v>55811</v>
      </c>
      <c r="Y186" s="10" t="str">
        <f ca="1">IF(reading[[#This Row],[Next]]&lt;&gt;"",IF(reading[[#This Row],[Next]]&gt;TODAY(),"OK",""),"")</f>
        <v>OK</v>
      </c>
      <c r="Z186" s="13">
        <v>3</v>
      </c>
      <c r="AA186" s="13">
        <v>3</v>
      </c>
      <c r="AB186" s="13">
        <v>1</v>
      </c>
      <c r="AC186" s="13">
        <v>3</v>
      </c>
      <c r="AD186" s="13">
        <v>3</v>
      </c>
      <c r="AE186" s="13">
        <v>3</v>
      </c>
      <c r="AF186" s="13">
        <v>2</v>
      </c>
      <c r="AG186" s="16">
        <f>IFERROR(SUMIF(reading[[#This Row],[1st]:[7th]],"&gt;0")/COUNTIF(reading[[#This Row],[1st]:[7th]],"&gt;0"),"")</f>
        <v>2.5714285714285716</v>
      </c>
    </row>
    <row r="187" spans="1:33" hidden="1" x14ac:dyDescent="0.2">
      <c r="A187" s="4">
        <f>IF(B187=1,3,IF(D187=1,2,IF(F187=1,1,0)))</f>
        <v>0</v>
      </c>
      <c r="B187" s="4" t="str">
        <f>IF(C187=$L187,1,IF(C187="","",0))</f>
        <v/>
      </c>
      <c r="C187" s="41"/>
      <c r="D187" s="4" t="str">
        <f>IF(E187=$L187,1,IF(E187="","",0))</f>
        <v/>
      </c>
      <c r="E187" s="18"/>
      <c r="F187" s="4" t="str">
        <f>IF(G187=$L187,1,IF(G187="","",0))</f>
        <v/>
      </c>
      <c r="G187" s="14"/>
      <c r="H187" s="6">
        <v>197</v>
      </c>
      <c r="I187" s="15" t="s">
        <v>3120</v>
      </c>
      <c r="J187" s="6" t="s">
        <v>3346</v>
      </c>
      <c r="K187" s="6"/>
      <c r="L187" s="6" t="s">
        <v>333</v>
      </c>
      <c r="M187" s="6" t="s">
        <v>6306</v>
      </c>
      <c r="N187" s="7">
        <f ca="1">RAND()</f>
        <v>0.49165370855604207</v>
      </c>
      <c r="O187" s="8">
        <v>45199</v>
      </c>
      <c r="P187" s="8">
        <v>45200</v>
      </c>
      <c r="Q187" s="8">
        <v>45202</v>
      </c>
      <c r="R187" s="8">
        <v>45206</v>
      </c>
      <c r="S187" s="8">
        <v>45213</v>
      </c>
      <c r="T187" s="8">
        <v>45225</v>
      </c>
      <c r="U187" s="8">
        <v>45250</v>
      </c>
      <c r="V187" s="10">
        <f>COUNTA(O187:U187)</f>
        <v>7</v>
      </c>
      <c r="W187" s="11">
        <f>_xlfn.IFNA(INDEX(reading[[#This Row],[Memo 01]:[Memo 07]],MATCH(0,reading[[#This Row],[Memo 01]:[Memo 07]],-1)),"")</f>
        <v>45250</v>
      </c>
      <c r="X187" s="11">
        <f ca="1">IFERROR(reading[[#This Row],[Previous]]+OFFSET(reading[[#Headers],[Memo 01]],-1,MATCH(0,reading[[#This Row],[Memo 01]:[Memo 07]],-1)-1),"")</f>
        <v>55250</v>
      </c>
      <c r="Y187" s="10" t="str">
        <f ca="1">IF(reading[[#This Row],[Next]]&lt;&gt;"",IF(reading[[#This Row],[Next]]&gt;TODAY(),"OK",""),"")</f>
        <v>OK</v>
      </c>
      <c r="Z187" s="13">
        <v>3</v>
      </c>
      <c r="AA187" s="13">
        <v>2</v>
      </c>
      <c r="AB187" s="13">
        <v>3</v>
      </c>
      <c r="AC187" s="13">
        <v>3</v>
      </c>
      <c r="AD187" s="13">
        <v>2</v>
      </c>
      <c r="AE187" s="13">
        <v>2</v>
      </c>
      <c r="AF187" s="13">
        <v>2</v>
      </c>
      <c r="AG187" s="16">
        <f>IFERROR(SUMIF(reading[[#This Row],[1st]:[7th]],"&gt;0")/COUNTIF(reading[[#This Row],[1st]:[7th]],"&gt;0"),"")</f>
        <v>2.4285714285714284</v>
      </c>
    </row>
    <row r="188" spans="1:33" hidden="1" x14ac:dyDescent="0.2">
      <c r="A188" s="4">
        <f>IF(B188=1,3,IF(D188=1,2,IF(F188=1,1,0)))</f>
        <v>0</v>
      </c>
      <c r="B188" s="4" t="str">
        <f>IF(C188=$L188,1,IF(C188="","",0))</f>
        <v/>
      </c>
      <c r="C188" s="41"/>
      <c r="D188" s="4" t="str">
        <f>IF(E188=$L188,1,IF(E188="","",0))</f>
        <v/>
      </c>
      <c r="E188" s="18"/>
      <c r="F188" s="4" t="str">
        <f>IF(G188=$L188,1,IF(G188="","",0))</f>
        <v/>
      </c>
      <c r="G188" s="18"/>
      <c r="H188" s="6">
        <v>605</v>
      </c>
      <c r="I188" s="15" t="s">
        <v>3120</v>
      </c>
      <c r="J188" s="6" t="s">
        <v>3747</v>
      </c>
      <c r="K188" s="6"/>
      <c r="L188" s="6" t="s">
        <v>730</v>
      </c>
      <c r="M188" s="6" t="s">
        <v>6714</v>
      </c>
      <c r="N188" s="7">
        <f ca="1">RAND()</f>
        <v>5.6290817626366785E-2</v>
      </c>
      <c r="O188" s="8">
        <v>45203</v>
      </c>
      <c r="P188" s="8">
        <v>45204</v>
      </c>
      <c r="Q188" s="8">
        <v>45206</v>
      </c>
      <c r="R188" s="8">
        <v>45210</v>
      </c>
      <c r="S188" s="8">
        <v>45217</v>
      </c>
      <c r="T188" s="8">
        <v>45229</v>
      </c>
      <c r="U188" s="8">
        <v>45251</v>
      </c>
      <c r="V188" s="10">
        <f>COUNTA(O188:U188)</f>
        <v>7</v>
      </c>
      <c r="W188" s="11">
        <f>_xlfn.IFNA(INDEX(reading[[#This Row],[Memo 01]:[Memo 07]],MATCH(0,reading[[#This Row],[Memo 01]:[Memo 07]],-1)),"")</f>
        <v>45251</v>
      </c>
      <c r="X188" s="11">
        <f ca="1">IFERROR(reading[[#This Row],[Previous]]+OFFSET(reading[[#Headers],[Memo 01]],-1,MATCH(0,reading[[#This Row],[Memo 01]:[Memo 07]],-1)-1),"")</f>
        <v>55251</v>
      </c>
      <c r="Y188" s="10" t="str">
        <f ca="1">IF(reading[[#This Row],[Next]]&lt;&gt;"",IF(reading[[#This Row],[Next]]&gt;TODAY(),"OK",""),"")</f>
        <v>OK</v>
      </c>
      <c r="Z188" s="13">
        <v>3</v>
      </c>
      <c r="AA188" s="13">
        <v>3</v>
      </c>
      <c r="AB188" s="13">
        <v>3</v>
      </c>
      <c r="AC188" s="13">
        <v>3</v>
      </c>
      <c r="AD188" s="13">
        <v>2</v>
      </c>
      <c r="AE188" s="13">
        <v>1</v>
      </c>
      <c r="AF188" s="13">
        <v>2</v>
      </c>
      <c r="AG188" s="16">
        <f>IFERROR(SUMIF(reading[[#This Row],[1st]:[7th]],"&gt;0")/COUNTIF(reading[[#This Row],[1st]:[7th]],"&gt;0"),"")</f>
        <v>2.4285714285714284</v>
      </c>
    </row>
    <row r="189" spans="1:33" hidden="1" x14ac:dyDescent="0.2">
      <c r="A189" s="4">
        <f>IF(B189=1,3,IF(D189=1,2,IF(F189=1,1,0)))</f>
        <v>0</v>
      </c>
      <c r="B189" s="4" t="str">
        <f>IF(C189=$L189,1,IF(C189="","",0))</f>
        <v/>
      </c>
      <c r="C189" s="41"/>
      <c r="D189" s="4" t="str">
        <f>IF(E189=$L189,1,IF(E189="","",0))</f>
        <v/>
      </c>
      <c r="E189" s="18"/>
      <c r="F189" s="4" t="str">
        <f>IF(G189=$L189,1,IF(G189="","",0))</f>
        <v/>
      </c>
      <c r="G189" s="14"/>
      <c r="H189" s="6">
        <v>695</v>
      </c>
      <c r="I189" s="15" t="s">
        <v>3120</v>
      </c>
      <c r="J189" s="6" t="s">
        <v>3834</v>
      </c>
      <c r="K189" s="6"/>
      <c r="L189" s="6" t="s">
        <v>818</v>
      </c>
      <c r="M189" s="6" t="s">
        <v>6804</v>
      </c>
      <c r="N189" s="7">
        <f ca="1">RAND()</f>
        <v>0.22202138670308036</v>
      </c>
      <c r="O189" s="8">
        <v>45203</v>
      </c>
      <c r="P189" s="8">
        <v>45204</v>
      </c>
      <c r="Q189" s="8">
        <v>45206</v>
      </c>
      <c r="R189" s="8">
        <v>45210</v>
      </c>
      <c r="S189" s="8">
        <v>45217</v>
      </c>
      <c r="T189" s="8">
        <v>45229</v>
      </c>
      <c r="U189" s="8">
        <v>45250</v>
      </c>
      <c r="V189" s="10">
        <f>COUNTA(O189:U189)</f>
        <v>7</v>
      </c>
      <c r="W189" s="11">
        <f>_xlfn.IFNA(INDEX(reading[[#This Row],[Memo 01]:[Memo 07]],MATCH(0,reading[[#This Row],[Memo 01]:[Memo 07]],-1)),"")</f>
        <v>45250</v>
      </c>
      <c r="X189" s="11">
        <f ca="1">IFERROR(reading[[#This Row],[Previous]]+OFFSET(reading[[#Headers],[Memo 01]],-1,MATCH(0,reading[[#This Row],[Memo 01]:[Memo 07]],-1)-1),"")</f>
        <v>55250</v>
      </c>
      <c r="Y189" s="10" t="str">
        <f ca="1">IF(reading[[#This Row],[Next]]&lt;&gt;"",IF(reading[[#This Row],[Next]]&gt;TODAY(),"OK",""),"")</f>
        <v>OK</v>
      </c>
      <c r="Z189" s="13">
        <v>3</v>
      </c>
      <c r="AA189" s="13">
        <v>2</v>
      </c>
      <c r="AB189" s="13">
        <v>3</v>
      </c>
      <c r="AC189" s="13">
        <v>2</v>
      </c>
      <c r="AD189" s="13">
        <v>2</v>
      </c>
      <c r="AE189" s="13">
        <v>3</v>
      </c>
      <c r="AF189" s="13">
        <v>3</v>
      </c>
      <c r="AG189" s="16">
        <f>IFERROR(SUMIF(reading[[#This Row],[1st]:[7th]],"&gt;0")/COUNTIF(reading[[#This Row],[1st]:[7th]],"&gt;0"),"")</f>
        <v>2.5714285714285716</v>
      </c>
    </row>
    <row r="190" spans="1:33" hidden="1" x14ac:dyDescent="0.2">
      <c r="A190" s="4">
        <f>IF(B190=1,3,IF(D190=1,2,IF(F190=1,1,0)))</f>
        <v>0</v>
      </c>
      <c r="B190" s="4" t="str">
        <f>IF(C190=$L190,1,IF(C190="","",0))</f>
        <v/>
      </c>
      <c r="C190" s="41"/>
      <c r="D190" s="4" t="str">
        <f>IF(E190=$L190,1,IF(E190="","",0))</f>
        <v/>
      </c>
      <c r="E190" s="18"/>
      <c r="F190" s="4" t="str">
        <f>IF(G190=$L190,1,IF(G190="","",0))</f>
        <v/>
      </c>
      <c r="G190" s="14"/>
      <c r="H190" s="6">
        <v>481</v>
      </c>
      <c r="I190" s="15" t="s">
        <v>3120</v>
      </c>
      <c r="J190" s="6" t="s">
        <v>3627</v>
      </c>
      <c r="K190" s="6"/>
      <c r="L190" s="6" t="s">
        <v>609</v>
      </c>
      <c r="M190" s="6" t="s">
        <v>6590</v>
      </c>
      <c r="N190" s="7">
        <f ca="1">RAND()</f>
        <v>0.31128256067585536</v>
      </c>
      <c r="O190" s="8">
        <v>45202</v>
      </c>
      <c r="P190" s="8">
        <v>45203</v>
      </c>
      <c r="Q190" s="8">
        <v>45205</v>
      </c>
      <c r="R190" s="8">
        <v>45209</v>
      </c>
      <c r="S190" s="8">
        <v>45216</v>
      </c>
      <c r="T190" s="8">
        <v>45228</v>
      </c>
      <c r="U190" s="8">
        <v>45250</v>
      </c>
      <c r="V190" s="10">
        <f>COUNTA(O190:U190)</f>
        <v>7</v>
      </c>
      <c r="W190" s="11">
        <f>_xlfn.IFNA(INDEX(reading[[#This Row],[Memo 01]:[Memo 07]],MATCH(0,reading[[#This Row],[Memo 01]:[Memo 07]],-1)),"")</f>
        <v>45250</v>
      </c>
      <c r="X190" s="11">
        <f ca="1">IFERROR(reading[[#This Row],[Previous]]+OFFSET(reading[[#Headers],[Memo 01]],-1,MATCH(0,reading[[#This Row],[Memo 01]:[Memo 07]],-1)-1),"")</f>
        <v>55250</v>
      </c>
      <c r="Y190" s="10" t="str">
        <f ca="1">IF(reading[[#This Row],[Next]]&lt;&gt;"",IF(reading[[#This Row],[Next]]&gt;TODAY(),"OK",""),"")</f>
        <v>OK</v>
      </c>
      <c r="Z190" s="13">
        <v>3</v>
      </c>
      <c r="AA190" s="13">
        <v>3</v>
      </c>
      <c r="AB190" s="13">
        <v>3</v>
      </c>
      <c r="AC190" s="13">
        <v>3</v>
      </c>
      <c r="AD190" s="13">
        <v>2</v>
      </c>
      <c r="AE190" s="13">
        <v>1</v>
      </c>
      <c r="AF190" s="13">
        <v>3</v>
      </c>
      <c r="AG190" s="16">
        <f>IFERROR(SUMIF(reading[[#This Row],[1st]:[7th]],"&gt;0")/COUNTIF(reading[[#This Row],[1st]:[7th]],"&gt;0"),"")</f>
        <v>2.5714285714285716</v>
      </c>
    </row>
    <row r="191" spans="1:33" hidden="1" x14ac:dyDescent="0.2">
      <c r="A191" s="4">
        <f>IF(B191=1,3,IF(D191=1,2,IF(F191=1,1,0)))</f>
        <v>0</v>
      </c>
      <c r="B191" s="4" t="str">
        <f>IF(C191=$L191,1,IF(C191="","",0))</f>
        <v/>
      </c>
      <c r="C191" s="42"/>
      <c r="D191" s="4" t="str">
        <f>IF(E191=$L191,1,IF(E191="","",0))</f>
        <v/>
      </c>
      <c r="E191" s="14"/>
      <c r="F191" s="4" t="str">
        <f>IF(G191=$L191,1,IF(G191="","",0))</f>
        <v/>
      </c>
      <c r="G191" s="14"/>
      <c r="H191" s="6">
        <v>1546</v>
      </c>
      <c r="I191" s="15" t="s">
        <v>3120</v>
      </c>
      <c r="J191" s="6" t="s">
        <v>4659</v>
      </c>
      <c r="K191" s="6"/>
      <c r="L191" s="6" t="s">
        <v>1631</v>
      </c>
      <c r="M191" s="6" t="s">
        <v>7653</v>
      </c>
      <c r="N191" s="7">
        <f ca="1">RAND()</f>
        <v>0.18333998864703049</v>
      </c>
      <c r="O191" s="8">
        <v>45209</v>
      </c>
      <c r="P191" s="8">
        <v>45210</v>
      </c>
      <c r="Q191" s="8">
        <v>45212</v>
      </c>
      <c r="R191" s="8">
        <v>45216</v>
      </c>
      <c r="S191" s="8">
        <v>45223</v>
      </c>
      <c r="T191" s="8">
        <v>45235</v>
      </c>
      <c r="U191" s="8">
        <v>45783</v>
      </c>
      <c r="V191" s="10">
        <f>COUNTA(O191:U191)</f>
        <v>7</v>
      </c>
      <c r="W191" s="11">
        <f>_xlfn.IFNA(INDEX(reading[[#This Row],[Memo 01]:[Memo 07]],MATCH(0,reading[[#This Row],[Memo 01]:[Memo 07]],-1)),"")</f>
        <v>45783</v>
      </c>
      <c r="X191" s="11">
        <f ca="1">IFERROR(reading[[#This Row],[Previous]]+OFFSET(reading[[#Headers],[Memo 01]],-1,MATCH(0,reading[[#This Row],[Memo 01]:[Memo 07]],-1)-1),"")</f>
        <v>55783</v>
      </c>
      <c r="Y191" s="10" t="str">
        <f ca="1">IF(reading[[#This Row],[Next]]&lt;&gt;"",IF(reading[[#This Row],[Next]]&gt;TODAY(),"OK",""),"")</f>
        <v>OK</v>
      </c>
      <c r="Z191" s="13">
        <v>3</v>
      </c>
      <c r="AA191" s="13">
        <v>3</v>
      </c>
      <c r="AB191" s="13">
        <v>3</v>
      </c>
      <c r="AC191" s="13">
        <v>3</v>
      </c>
      <c r="AD191" s="13">
        <v>3</v>
      </c>
      <c r="AE191" s="13">
        <v>3</v>
      </c>
      <c r="AF191" s="13">
        <v>3</v>
      </c>
      <c r="AG191" s="16">
        <f>IFERROR(SUMIF(reading[[#This Row],[1st]:[7th]],"&gt;0")/COUNTIF(reading[[#This Row],[1st]:[7th]],"&gt;0"),"")</f>
        <v>3</v>
      </c>
    </row>
    <row r="192" spans="1:33" hidden="1" x14ac:dyDescent="0.2">
      <c r="A192" s="4">
        <f>IF(B192=1,3,IF(D192=1,2,IF(F192=1,1,0)))</f>
        <v>0</v>
      </c>
      <c r="B192" s="4" t="str">
        <f>IF(C192=$L192,1,IF(C192="","",0))</f>
        <v/>
      </c>
      <c r="C192" s="41"/>
      <c r="D192" s="4" t="str">
        <f>IF(E192=$L192,1,IF(E192="","",0))</f>
        <v/>
      </c>
      <c r="E192" s="23"/>
      <c r="F192" s="4" t="str">
        <f>IF(G192=$L192,1,IF(G192="","",0))</f>
        <v/>
      </c>
      <c r="G192" s="14"/>
      <c r="H192" s="6">
        <v>374</v>
      </c>
      <c r="I192" s="15" t="s">
        <v>3120</v>
      </c>
      <c r="J192" s="6" t="s">
        <v>3521</v>
      </c>
      <c r="K192" s="6"/>
      <c r="L192" s="6" t="s">
        <v>507</v>
      </c>
      <c r="M192" s="6" t="s">
        <v>6483</v>
      </c>
      <c r="N192" s="7">
        <f ca="1">RAND()</f>
        <v>0.54046577761501979</v>
      </c>
      <c r="O192" s="8">
        <v>45202</v>
      </c>
      <c r="P192" s="8">
        <v>45203</v>
      </c>
      <c r="Q192" s="8">
        <v>45205</v>
      </c>
      <c r="R192" s="8">
        <v>45209</v>
      </c>
      <c r="S192" s="8">
        <v>45216</v>
      </c>
      <c r="T192" s="8">
        <v>45228</v>
      </c>
      <c r="U192" s="8">
        <v>45250</v>
      </c>
      <c r="V192" s="10">
        <f>COUNTA(O192:U192)</f>
        <v>7</v>
      </c>
      <c r="W192" s="11">
        <f>_xlfn.IFNA(INDEX(reading[[#This Row],[Memo 01]:[Memo 07]],MATCH(0,reading[[#This Row],[Memo 01]:[Memo 07]],-1)),"")</f>
        <v>45250</v>
      </c>
      <c r="X192" s="11">
        <f ca="1">IFERROR(reading[[#This Row],[Previous]]+OFFSET(reading[[#Headers],[Memo 01]],-1,MATCH(0,reading[[#This Row],[Memo 01]:[Memo 07]],-1)-1),"")</f>
        <v>55250</v>
      </c>
      <c r="Y192" s="10" t="str">
        <f ca="1">IF(reading[[#This Row],[Next]]&lt;&gt;"",IF(reading[[#This Row],[Next]]&gt;TODAY(),"OK",""),"")</f>
        <v>OK</v>
      </c>
      <c r="Z192" s="13">
        <v>3</v>
      </c>
      <c r="AA192" s="13">
        <v>2</v>
      </c>
      <c r="AB192" s="13">
        <v>3</v>
      </c>
      <c r="AC192" s="13">
        <v>2</v>
      </c>
      <c r="AD192" s="13">
        <v>2</v>
      </c>
      <c r="AE192" s="13">
        <v>3</v>
      </c>
      <c r="AF192" s="13">
        <v>3</v>
      </c>
      <c r="AG192" s="16">
        <f>IFERROR(SUMIF(reading[[#This Row],[1st]:[7th]],"&gt;0")/COUNTIF(reading[[#This Row],[1st]:[7th]],"&gt;0"),"")</f>
        <v>2.5714285714285716</v>
      </c>
    </row>
    <row r="193" spans="1:33" hidden="1" x14ac:dyDescent="0.2">
      <c r="A193" s="4">
        <f>IF(B193=1,3,IF(D193=1,2,IF(F193=1,1,0)))</f>
        <v>0</v>
      </c>
      <c r="B193" s="4" t="str">
        <f>IF(C193=$L193,1,IF(C193="","",0))</f>
        <v/>
      </c>
      <c r="C193" s="41"/>
      <c r="D193" s="4" t="str">
        <f>IF(E193=$L193,1,IF(E193="","",0))</f>
        <v/>
      </c>
      <c r="E193" s="18"/>
      <c r="F193" s="4" t="str">
        <f>IF(G193=$L193,1,IF(G193="","",0))</f>
        <v/>
      </c>
      <c r="G193" s="14"/>
      <c r="H193" s="6">
        <v>770</v>
      </c>
      <c r="I193" s="15" t="s">
        <v>3120</v>
      </c>
      <c r="J193" s="6" t="s">
        <v>3905</v>
      </c>
      <c r="K193" s="24" t="s">
        <v>3137</v>
      </c>
      <c r="L193" s="6" t="s">
        <v>889</v>
      </c>
      <c r="M193" s="6" t="s">
        <v>6879</v>
      </c>
      <c r="N193" s="7">
        <f ca="1">RAND()</f>
        <v>6.3382290268873653E-2</v>
      </c>
      <c r="O193" s="8">
        <v>45203</v>
      </c>
      <c r="P193" s="8">
        <v>45204</v>
      </c>
      <c r="Q193" s="8">
        <v>45206</v>
      </c>
      <c r="R193" s="8">
        <v>45210</v>
      </c>
      <c r="S193" s="8">
        <v>45217</v>
      </c>
      <c r="T193" s="8">
        <v>45229</v>
      </c>
      <c r="U193" s="8">
        <v>45251</v>
      </c>
      <c r="V193" s="10">
        <f>COUNTA(O193:U193)</f>
        <v>7</v>
      </c>
      <c r="W193" s="11">
        <f>_xlfn.IFNA(INDEX(reading[[#This Row],[Memo 01]:[Memo 07]],MATCH(0,reading[[#This Row],[Memo 01]:[Memo 07]],-1)),"")</f>
        <v>45251</v>
      </c>
      <c r="X193" s="11">
        <f ca="1">IFERROR(reading[[#This Row],[Previous]]+OFFSET(reading[[#Headers],[Memo 01]],-1,MATCH(0,reading[[#This Row],[Memo 01]:[Memo 07]],-1)-1),"")</f>
        <v>55251</v>
      </c>
      <c r="Y193" s="10" t="str">
        <f ca="1">IF(reading[[#This Row],[Next]]&lt;&gt;"",IF(reading[[#This Row],[Next]]&gt;TODAY(),"OK",""),"")</f>
        <v>OK</v>
      </c>
      <c r="Z193" s="13">
        <v>3</v>
      </c>
      <c r="AA193" s="13">
        <v>2</v>
      </c>
      <c r="AB193" s="13">
        <v>2</v>
      </c>
      <c r="AC193" s="13">
        <v>3</v>
      </c>
      <c r="AD193" s="13">
        <v>3</v>
      </c>
      <c r="AE193" s="13">
        <v>2</v>
      </c>
      <c r="AF193" s="13">
        <v>2</v>
      </c>
      <c r="AG193" s="16">
        <f>IFERROR(SUMIF(reading[[#This Row],[1st]:[7th]],"&gt;0")/COUNTIF(reading[[#This Row],[1st]:[7th]],"&gt;0"),"")</f>
        <v>2.4285714285714284</v>
      </c>
    </row>
    <row r="194" spans="1:33" hidden="1" x14ac:dyDescent="0.2">
      <c r="A194" s="4">
        <f>IF(B194=1,3,IF(D194=1,2,IF(F194=1,1,0)))</f>
        <v>0</v>
      </c>
      <c r="B194" s="4" t="str">
        <f>IF(C194=$L194,1,IF(C194="","",0))</f>
        <v/>
      </c>
      <c r="C194" s="18"/>
      <c r="D194" s="4" t="str">
        <f>IF(E194=$L194,1,IF(E194="","",0))</f>
        <v/>
      </c>
      <c r="E194" s="18"/>
      <c r="F194" s="4" t="str">
        <f>IF(G194=$L194,1,IF(G194="","",0))</f>
        <v/>
      </c>
      <c r="G194" s="14"/>
      <c r="H194" s="6">
        <v>92</v>
      </c>
      <c r="I194" s="15" t="s">
        <v>3120</v>
      </c>
      <c r="J194" s="6" t="s">
        <v>3242</v>
      </c>
      <c r="K194" s="6"/>
      <c r="L194" s="6" t="s">
        <v>230</v>
      </c>
      <c r="M194" s="6" t="s">
        <v>6201</v>
      </c>
      <c r="N194" s="7">
        <f ca="1">RAND()</f>
        <v>0.31825126769204037</v>
      </c>
      <c r="O194" s="8">
        <v>45198</v>
      </c>
      <c r="P194" s="8">
        <v>45199</v>
      </c>
      <c r="Q194" s="8">
        <v>45202</v>
      </c>
      <c r="R194" s="8">
        <v>45206</v>
      </c>
      <c r="S194" s="8">
        <v>45213</v>
      </c>
      <c r="T194" s="8">
        <v>45225</v>
      </c>
      <c r="U194" s="8">
        <v>45250</v>
      </c>
      <c r="V194" s="10">
        <f>COUNTA(O194:U194)</f>
        <v>7</v>
      </c>
      <c r="W194" s="11">
        <f>_xlfn.IFNA(INDEX(reading[[#This Row],[Memo 01]:[Memo 07]],MATCH(0,reading[[#This Row],[Memo 01]:[Memo 07]],-1)),"")</f>
        <v>45250</v>
      </c>
      <c r="X194" s="11">
        <f ca="1">IFERROR(reading[[#This Row],[Previous]]+OFFSET(reading[[#Headers],[Memo 01]],-1,MATCH(0,reading[[#This Row],[Memo 01]:[Memo 07]],-1)-1),"")</f>
        <v>55250</v>
      </c>
      <c r="Y194" s="10" t="str">
        <f ca="1">IF(reading[[#This Row],[Next]]&lt;&gt;"",IF(reading[[#This Row],[Next]]&gt;TODAY(),"OK",""),"")</f>
        <v>OK</v>
      </c>
      <c r="Z194" s="13">
        <v>2</v>
      </c>
      <c r="AA194" s="13">
        <v>2</v>
      </c>
      <c r="AB194" s="13">
        <v>2</v>
      </c>
      <c r="AC194" s="13">
        <v>3</v>
      </c>
      <c r="AD194" s="13">
        <v>3</v>
      </c>
      <c r="AE194" s="13">
        <v>3</v>
      </c>
      <c r="AF194" s="13">
        <v>3</v>
      </c>
      <c r="AG194" s="16">
        <f>IFERROR(SUMIF(reading[[#This Row],[1st]:[7th]],"&gt;0")/COUNTIF(reading[[#This Row],[1st]:[7th]],"&gt;0"),"")</f>
        <v>2.5714285714285716</v>
      </c>
    </row>
    <row r="195" spans="1:33" hidden="1" x14ac:dyDescent="0.2">
      <c r="A195" s="4">
        <f>IF(B195=1,3,IF(D195=1,2,IF(F195=1,1,0)))</f>
        <v>0</v>
      </c>
      <c r="B195" s="4" t="str">
        <f>IF(C195=$L195,1,IF(C195="","",0))</f>
        <v/>
      </c>
      <c r="C195" s="42"/>
      <c r="D195" s="4" t="str">
        <f>IF(E195=$L195,1,IF(E195="","",0))</f>
        <v/>
      </c>
      <c r="E195" s="18"/>
      <c r="F195" s="4" t="str">
        <f>IF(G195=$L195,1,IF(G195="","",0))</f>
        <v/>
      </c>
      <c r="G195" s="18"/>
      <c r="H195" s="6">
        <v>1146</v>
      </c>
      <c r="I195" s="15" t="s">
        <v>3120</v>
      </c>
      <c r="J195" s="6" t="s">
        <v>4267</v>
      </c>
      <c r="K195" s="6"/>
      <c r="L195" s="6" t="s">
        <v>1248</v>
      </c>
      <c r="M195" s="6" t="s">
        <v>7254</v>
      </c>
      <c r="N195" s="7">
        <f ca="1">RAND()</f>
        <v>0.973578753660017</v>
      </c>
      <c r="O195" s="8">
        <v>45205</v>
      </c>
      <c r="P195" s="8">
        <v>45206</v>
      </c>
      <c r="Q195" s="8">
        <v>45208</v>
      </c>
      <c r="R195" s="8">
        <v>45213</v>
      </c>
      <c r="S195" s="8">
        <v>45220</v>
      </c>
      <c r="T195" s="8">
        <v>45232</v>
      </c>
      <c r="U195" s="8">
        <v>45252</v>
      </c>
      <c r="V195" s="10">
        <f>COUNTA(O195:U195)</f>
        <v>7</v>
      </c>
      <c r="W195" s="11">
        <f>_xlfn.IFNA(INDEX(reading[[#This Row],[Memo 01]:[Memo 07]],MATCH(0,reading[[#This Row],[Memo 01]:[Memo 07]],-1)),"")</f>
        <v>45252</v>
      </c>
      <c r="X195" s="11">
        <f ca="1">IFERROR(reading[[#This Row],[Previous]]+OFFSET(reading[[#Headers],[Memo 01]],-1,MATCH(0,reading[[#This Row],[Memo 01]:[Memo 07]],-1)-1),"")</f>
        <v>55252</v>
      </c>
      <c r="Y195" s="10" t="str">
        <f ca="1">IF(reading[[#This Row],[Next]]&lt;&gt;"",IF(reading[[#This Row],[Next]]&gt;TODAY(),"OK",""),"")</f>
        <v>OK</v>
      </c>
      <c r="Z195" s="13">
        <v>3</v>
      </c>
      <c r="AA195" s="13">
        <v>1</v>
      </c>
      <c r="AB195" s="13">
        <v>3</v>
      </c>
      <c r="AC195" s="13">
        <v>2</v>
      </c>
      <c r="AD195" s="13">
        <v>2</v>
      </c>
      <c r="AE195" s="13">
        <v>3</v>
      </c>
      <c r="AF195" s="13">
        <v>3</v>
      </c>
      <c r="AG195" s="16">
        <f>IFERROR(SUMIF(reading[[#This Row],[1st]:[7th]],"&gt;0")/COUNTIF(reading[[#This Row],[1st]:[7th]],"&gt;0"),"")</f>
        <v>2.4285714285714284</v>
      </c>
    </row>
    <row r="196" spans="1:33" hidden="1" x14ac:dyDescent="0.2">
      <c r="A196" s="4">
        <f>IF(B196=1,3,IF(D196=1,2,IF(F196=1,1,0)))</f>
        <v>0</v>
      </c>
      <c r="B196" s="4" t="str">
        <f>IF(C196=$L196,1,IF(C196="","",0))</f>
        <v/>
      </c>
      <c r="C196" s="41"/>
      <c r="D196" s="4" t="str">
        <f>IF(E196=$L196,1,IF(E196="","",0))</f>
        <v/>
      </c>
      <c r="E196" s="18"/>
      <c r="F196" s="4" t="str">
        <f>IF(G196=$L196,1,IF(G196="","",0))</f>
        <v/>
      </c>
      <c r="G196" s="18"/>
      <c r="H196" s="6">
        <v>819</v>
      </c>
      <c r="I196" s="15" t="s">
        <v>3120</v>
      </c>
      <c r="J196" s="6" t="s">
        <v>3952</v>
      </c>
      <c r="K196" s="6"/>
      <c r="L196" s="6" t="s">
        <v>935</v>
      </c>
      <c r="M196" s="6" t="s">
        <v>6928</v>
      </c>
      <c r="N196" s="7">
        <f ca="1">RAND()</f>
        <v>1.1383111070413454E-2</v>
      </c>
      <c r="O196" s="8">
        <v>45203</v>
      </c>
      <c r="P196" s="8">
        <v>45204</v>
      </c>
      <c r="Q196" s="8">
        <v>45206</v>
      </c>
      <c r="R196" s="8">
        <v>45210</v>
      </c>
      <c r="S196" s="8">
        <v>45217</v>
      </c>
      <c r="T196" s="8">
        <v>45229</v>
      </c>
      <c r="U196" s="8">
        <v>45251</v>
      </c>
      <c r="V196" s="10">
        <f>COUNTA(O196:U196)</f>
        <v>7</v>
      </c>
      <c r="W196" s="11">
        <f>_xlfn.IFNA(INDEX(reading[[#This Row],[Memo 01]:[Memo 07]],MATCH(0,reading[[#This Row],[Memo 01]:[Memo 07]],-1)),"")</f>
        <v>45251</v>
      </c>
      <c r="X196" s="11">
        <f ca="1">IFERROR(reading[[#This Row],[Previous]]+OFFSET(reading[[#Headers],[Memo 01]],-1,MATCH(0,reading[[#This Row],[Memo 01]:[Memo 07]],-1)-1),"")</f>
        <v>55251</v>
      </c>
      <c r="Y196" s="10" t="str">
        <f ca="1">IF(reading[[#This Row],[Next]]&lt;&gt;"",IF(reading[[#This Row],[Next]]&gt;TODAY(),"OK",""),"")</f>
        <v>OK</v>
      </c>
      <c r="Z196" s="13">
        <v>3</v>
      </c>
      <c r="AA196" s="13">
        <v>3</v>
      </c>
      <c r="AB196" s="13">
        <v>3</v>
      </c>
      <c r="AC196" s="13">
        <v>3</v>
      </c>
      <c r="AD196" s="13">
        <v>2</v>
      </c>
      <c r="AE196" s="13">
        <v>1</v>
      </c>
      <c r="AF196" s="13">
        <v>2</v>
      </c>
      <c r="AG196" s="16">
        <f>IFERROR(SUMIF(reading[[#This Row],[1st]:[7th]],"&gt;0")/COUNTIF(reading[[#This Row],[1st]:[7th]],"&gt;0"),"")</f>
        <v>2.4285714285714284</v>
      </c>
    </row>
    <row r="197" spans="1:33" hidden="1" x14ac:dyDescent="0.2">
      <c r="A197" s="4">
        <f>IF(B197=1,3,IF(D197=1,2,IF(F197=1,1,0)))</f>
        <v>3</v>
      </c>
      <c r="B197" s="4">
        <f>IF(C197=$L197,1,IF(C197="","",0))</f>
        <v>1</v>
      </c>
      <c r="C197" s="20" t="s">
        <v>336</v>
      </c>
      <c r="D197" s="4" t="str">
        <f>IF(E197=$L197,1,IF(E197="","",0))</f>
        <v/>
      </c>
      <c r="E197" s="14"/>
      <c r="F197" s="4" t="str">
        <f>IF(G197=$L197,1,IF(G197="","",0))</f>
        <v/>
      </c>
      <c r="G197" s="14"/>
      <c r="H197" s="6">
        <v>200</v>
      </c>
      <c r="I197" s="15" t="s">
        <v>3120</v>
      </c>
      <c r="J197" s="6" t="s">
        <v>3349</v>
      </c>
      <c r="K197" s="6"/>
      <c r="L197" s="6" t="s">
        <v>336</v>
      </c>
      <c r="M197" s="6" t="s">
        <v>6309</v>
      </c>
      <c r="N197" s="7">
        <f ca="1">RAND()</f>
        <v>0.31720995553398934</v>
      </c>
      <c r="O197" s="8">
        <v>45199</v>
      </c>
      <c r="P197" s="8">
        <v>45199</v>
      </c>
      <c r="Q197" s="8">
        <v>45199</v>
      </c>
      <c r="R197" s="8">
        <v>45199</v>
      </c>
      <c r="S197" s="8">
        <v>45199</v>
      </c>
      <c r="T197" s="8">
        <v>45199</v>
      </c>
      <c r="U197" s="8">
        <v>45199</v>
      </c>
      <c r="V197" s="10">
        <f>COUNTA(O197:U197)</f>
        <v>7</v>
      </c>
      <c r="W197" s="11">
        <f>_xlfn.IFNA(INDEX(reading[[#This Row],[Memo 01]:[Memo 07]],MATCH(0,reading[[#This Row],[Memo 01]:[Memo 07]],-1)),"")</f>
        <v>45199</v>
      </c>
      <c r="X197" s="11">
        <f ca="1">IFERROR(reading[[#This Row],[Previous]]+OFFSET(reading[[#Headers],[Memo 01]],-1,MATCH(0,reading[[#This Row],[Memo 01]:[Memo 07]],-1)-1),"")</f>
        <v>55199</v>
      </c>
      <c r="Y197" s="10" t="str">
        <f ca="1">IF(reading[[#This Row],[Next]]&lt;&gt;"",IF(reading[[#This Row],[Next]]&gt;TODAY(),"OK",""),"")</f>
        <v>OK</v>
      </c>
      <c r="Z197" s="13">
        <v>3</v>
      </c>
      <c r="AA197" s="13"/>
      <c r="AB197" s="13"/>
      <c r="AC197" s="13"/>
      <c r="AD197" s="13"/>
      <c r="AE197" s="13"/>
      <c r="AF197" s="13"/>
      <c r="AG197" s="16">
        <f>IFERROR(SUMIF(reading[[#This Row],[1st]:[7th]],"&gt;0")/COUNTIF(reading[[#This Row],[1st]:[7th]],"&gt;0"),"")</f>
        <v>3</v>
      </c>
    </row>
    <row r="198" spans="1:33" hidden="1" x14ac:dyDescent="0.2">
      <c r="A198" s="4">
        <f>IF(B198=1,3,IF(D198=1,2,IF(F198=1,1,0)))</f>
        <v>0</v>
      </c>
      <c r="B198" s="4" t="str">
        <f>IF(C198=$L198,1,IF(C198="","",0))</f>
        <v/>
      </c>
      <c r="C198" s="18"/>
      <c r="D198" s="4" t="str">
        <f>IF(E198=$L198,1,IF(E198="","",0))</f>
        <v/>
      </c>
      <c r="E198" s="18"/>
      <c r="F198" s="4" t="str">
        <f>IF(G198=$L198,1,IF(G198="","",0))</f>
        <v/>
      </c>
      <c r="G198" s="14"/>
      <c r="H198" s="6">
        <v>243</v>
      </c>
      <c r="I198" s="15" t="s">
        <v>3120</v>
      </c>
      <c r="J198" s="6" t="s">
        <v>3392</v>
      </c>
      <c r="K198" s="6"/>
      <c r="L198" s="6" t="s">
        <v>378</v>
      </c>
      <c r="M198" s="6" t="s">
        <v>6352</v>
      </c>
      <c r="N198" s="7">
        <f ca="1">RAND()</f>
        <v>0.60532634002366625</v>
      </c>
      <c r="O198" s="8">
        <v>45199</v>
      </c>
      <c r="P198" s="8">
        <v>45200</v>
      </c>
      <c r="Q198" s="8">
        <v>45202</v>
      </c>
      <c r="R198" s="8">
        <v>45206</v>
      </c>
      <c r="S198" s="8">
        <v>45213</v>
      </c>
      <c r="T198" s="8">
        <v>45225</v>
      </c>
      <c r="U198" s="8">
        <v>45250</v>
      </c>
      <c r="V198" s="10">
        <f>COUNTA(O198:U198)</f>
        <v>7</v>
      </c>
      <c r="W198" s="11">
        <f>_xlfn.IFNA(INDEX(reading[[#This Row],[Memo 01]:[Memo 07]],MATCH(0,reading[[#This Row],[Memo 01]:[Memo 07]],-1)),"")</f>
        <v>45250</v>
      </c>
      <c r="X198" s="11">
        <f ca="1">IFERROR(reading[[#This Row],[Previous]]+OFFSET(reading[[#Headers],[Memo 01]],-1,MATCH(0,reading[[#This Row],[Memo 01]:[Memo 07]],-1)-1),"")</f>
        <v>55250</v>
      </c>
      <c r="Y198" s="10" t="str">
        <f ca="1">IF(reading[[#This Row],[Next]]&lt;&gt;"",IF(reading[[#This Row],[Next]]&gt;TODAY(),"OK",""),"")</f>
        <v>OK</v>
      </c>
      <c r="Z198" s="13">
        <v>2</v>
      </c>
      <c r="AA198" s="13">
        <v>2</v>
      </c>
      <c r="AB198" s="13">
        <v>3</v>
      </c>
      <c r="AC198" s="13">
        <v>3</v>
      </c>
      <c r="AD198" s="13">
        <v>2</v>
      </c>
      <c r="AE198" s="13">
        <v>3</v>
      </c>
      <c r="AF198" s="13">
        <v>3</v>
      </c>
      <c r="AG198" s="16">
        <f>IFERROR(SUMIF(reading[[#This Row],[1st]:[7th]],"&gt;0")/COUNTIF(reading[[#This Row],[1st]:[7th]],"&gt;0"),"")</f>
        <v>2.5714285714285716</v>
      </c>
    </row>
    <row r="199" spans="1:33" hidden="1" x14ac:dyDescent="0.2">
      <c r="A199" s="4">
        <f>IF(B199=1,3,IF(D199=1,2,IF(F199=1,1,0)))</f>
        <v>0</v>
      </c>
      <c r="B199" s="4" t="str">
        <f>IF(C199=$L199,1,IF(C199="","",0))</f>
        <v/>
      </c>
      <c r="C199" s="41"/>
      <c r="D199" s="4" t="str">
        <f>IF(E199=$L199,1,IF(E199="","",0))</f>
        <v/>
      </c>
      <c r="E199" s="18"/>
      <c r="F199" s="4" t="str">
        <f>IF(G199=$L199,1,IF(G199="","",0))</f>
        <v/>
      </c>
      <c r="G199" s="14"/>
      <c r="H199" s="6">
        <v>743</v>
      </c>
      <c r="I199" s="15" t="s">
        <v>3120</v>
      </c>
      <c r="J199" s="6" t="s">
        <v>3880</v>
      </c>
      <c r="K199" s="6" t="s">
        <v>3138</v>
      </c>
      <c r="L199" s="6" t="s">
        <v>86</v>
      </c>
      <c r="M199" s="6" t="s">
        <v>6852</v>
      </c>
      <c r="N199" s="7">
        <f ca="1">RAND()</f>
        <v>0.75581131771394439</v>
      </c>
      <c r="O199" s="8">
        <v>45203</v>
      </c>
      <c r="P199" s="8">
        <v>45204</v>
      </c>
      <c r="Q199" s="8">
        <v>45206</v>
      </c>
      <c r="R199" s="8">
        <v>45210</v>
      </c>
      <c r="S199" s="8">
        <v>45217</v>
      </c>
      <c r="T199" s="8">
        <v>45229</v>
      </c>
      <c r="U199" s="8">
        <v>45251</v>
      </c>
      <c r="V199" s="10">
        <f>COUNTA(O199:U199)</f>
        <v>7</v>
      </c>
      <c r="W199" s="11">
        <f>_xlfn.IFNA(INDEX(reading[[#This Row],[Memo 01]:[Memo 07]],MATCH(0,reading[[#This Row],[Memo 01]:[Memo 07]],-1)),"")</f>
        <v>45251</v>
      </c>
      <c r="X199" s="11">
        <f ca="1">IFERROR(reading[[#This Row],[Previous]]+OFFSET(reading[[#Headers],[Memo 01]],-1,MATCH(0,reading[[#This Row],[Memo 01]:[Memo 07]],-1)-1),"")</f>
        <v>55251</v>
      </c>
      <c r="Y199" s="10" t="str">
        <f ca="1">IF(reading[[#This Row],[Next]]&lt;&gt;"",IF(reading[[#This Row],[Next]]&gt;TODAY(),"OK",""),"")</f>
        <v>OK</v>
      </c>
      <c r="Z199" s="13">
        <v>3</v>
      </c>
      <c r="AA199" s="13">
        <v>2</v>
      </c>
      <c r="AB199" s="13">
        <v>3</v>
      </c>
      <c r="AC199" s="13">
        <v>3</v>
      </c>
      <c r="AD199" s="13">
        <v>2</v>
      </c>
      <c r="AE199" s="13">
        <v>2</v>
      </c>
      <c r="AF199" s="13">
        <v>2</v>
      </c>
      <c r="AG199" s="16">
        <f>IFERROR(SUMIF(reading[[#This Row],[1st]:[7th]],"&gt;0")/COUNTIF(reading[[#This Row],[1st]:[7th]],"&gt;0"),"")</f>
        <v>2.4285714285714284</v>
      </c>
    </row>
    <row r="200" spans="1:33" hidden="1" x14ac:dyDescent="0.2">
      <c r="A200" s="4">
        <f>IF(B200=1,3,IF(D200=1,2,IF(F200=1,1,0)))</f>
        <v>0</v>
      </c>
      <c r="B200" s="4" t="str">
        <f>IF(C200=$L200,1,IF(C200="","",0))</f>
        <v/>
      </c>
      <c r="C200" s="42"/>
      <c r="D200" s="4" t="str">
        <f>IF(E200=$L200,1,IF(E200="","",0))</f>
        <v/>
      </c>
      <c r="E200" s="18"/>
      <c r="F200" s="4" t="str">
        <f>IF(G200=$L200,1,IF(G200="","",0))</f>
        <v/>
      </c>
      <c r="G200" s="14"/>
      <c r="H200" s="6">
        <v>329</v>
      </c>
      <c r="I200" s="15" t="s">
        <v>3120</v>
      </c>
      <c r="J200" s="6" t="s">
        <v>3476</v>
      </c>
      <c r="K200" s="6"/>
      <c r="L200" s="6" t="s">
        <v>464</v>
      </c>
      <c r="M200" s="6" t="s">
        <v>6438</v>
      </c>
      <c r="N200" s="7">
        <f ca="1">RAND()</f>
        <v>0.48173936351758795</v>
      </c>
      <c r="O200" s="8">
        <v>45200</v>
      </c>
      <c r="P200" s="8">
        <v>45201</v>
      </c>
      <c r="Q200" s="8">
        <v>45203</v>
      </c>
      <c r="R200" s="8">
        <v>45207</v>
      </c>
      <c r="S200" s="8">
        <v>45214</v>
      </c>
      <c r="T200" s="8">
        <v>45226</v>
      </c>
      <c r="U200" s="8">
        <v>45818</v>
      </c>
      <c r="V200" s="10">
        <f>COUNTA(O200:U200)</f>
        <v>7</v>
      </c>
      <c r="W200" s="11">
        <f>_xlfn.IFNA(INDEX(reading[[#This Row],[Memo 01]:[Memo 07]],MATCH(0,reading[[#This Row],[Memo 01]:[Memo 07]],-1)),"")</f>
        <v>45818</v>
      </c>
      <c r="X200" s="11">
        <f ca="1">IFERROR(reading[[#This Row],[Previous]]+OFFSET(reading[[#Headers],[Memo 01]],-1,MATCH(0,reading[[#This Row],[Memo 01]:[Memo 07]],-1)-1),"")</f>
        <v>55818</v>
      </c>
      <c r="Y200" s="10" t="str">
        <f ca="1">IF(reading[[#This Row],[Next]]&lt;&gt;"",IF(reading[[#This Row],[Next]]&gt;TODAY(),"OK",""),"")</f>
        <v>OK</v>
      </c>
      <c r="Z200" s="13">
        <v>3</v>
      </c>
      <c r="AA200" s="13">
        <v>3</v>
      </c>
      <c r="AB200" s="13">
        <v>3</v>
      </c>
      <c r="AC200" s="13">
        <v>3</v>
      </c>
      <c r="AD200" s="13">
        <v>3</v>
      </c>
      <c r="AE200" s="13">
        <v>2</v>
      </c>
      <c r="AF200" s="13">
        <v>3</v>
      </c>
      <c r="AG200" s="16">
        <f>IFERROR(SUMIF(reading[[#This Row],[1st]:[7th]],"&gt;0")/COUNTIF(reading[[#This Row],[1st]:[7th]],"&gt;0"),"")</f>
        <v>2.8571428571428572</v>
      </c>
    </row>
    <row r="201" spans="1:33" hidden="1" x14ac:dyDescent="0.2">
      <c r="A201" s="4">
        <f>IF(B201=1,3,IF(D201=1,2,IF(F201=1,1,0)))</f>
        <v>0</v>
      </c>
      <c r="B201" s="4" t="str">
        <f>IF(C201=$L201,1,IF(C201="","",0))</f>
        <v/>
      </c>
      <c r="C201" s="18"/>
      <c r="D201" s="4" t="str">
        <f>IF(E201=$L201,1,IF(E201="","",0))</f>
        <v/>
      </c>
      <c r="E201" s="18"/>
      <c r="F201" s="4" t="str">
        <f>IF(G201=$L201,1,IF(G201="","",0))</f>
        <v/>
      </c>
      <c r="G201" s="14"/>
      <c r="H201" s="6">
        <v>232</v>
      </c>
      <c r="I201" s="15" t="s">
        <v>3120</v>
      </c>
      <c r="J201" s="6" t="s">
        <v>3381</v>
      </c>
      <c r="K201" s="6"/>
      <c r="L201" s="6" t="s">
        <v>367</v>
      </c>
      <c r="M201" s="6" t="s">
        <v>6341</v>
      </c>
      <c r="N201" s="7">
        <f ca="1">RAND()</f>
        <v>3.5014417216462479E-2</v>
      </c>
      <c r="O201" s="8">
        <v>45199</v>
      </c>
      <c r="P201" s="8">
        <v>45200</v>
      </c>
      <c r="Q201" s="8">
        <v>45202</v>
      </c>
      <c r="R201" s="8">
        <v>45206</v>
      </c>
      <c r="S201" s="8">
        <v>45213</v>
      </c>
      <c r="T201" s="8">
        <v>45225</v>
      </c>
      <c r="U201" s="8">
        <v>45251</v>
      </c>
      <c r="V201" s="10">
        <f>COUNTA(O201:U201)</f>
        <v>7</v>
      </c>
      <c r="W201" s="11">
        <f>_xlfn.IFNA(INDEX(reading[[#This Row],[Memo 01]:[Memo 07]],MATCH(0,reading[[#This Row],[Memo 01]:[Memo 07]],-1)),"")</f>
        <v>45251</v>
      </c>
      <c r="X201" s="11">
        <f ca="1">IFERROR(reading[[#This Row],[Previous]]+OFFSET(reading[[#Headers],[Memo 01]],-1,MATCH(0,reading[[#This Row],[Memo 01]:[Memo 07]],-1)-1),"")</f>
        <v>55251</v>
      </c>
      <c r="Y201" s="10" t="str">
        <f ca="1">IF(reading[[#This Row],[Next]]&lt;&gt;"",IF(reading[[#This Row],[Next]]&gt;TODAY(),"OK",""),"")</f>
        <v>OK</v>
      </c>
      <c r="Z201" s="13">
        <v>3</v>
      </c>
      <c r="AA201" s="13">
        <v>2</v>
      </c>
      <c r="AB201" s="13">
        <v>3</v>
      </c>
      <c r="AC201" s="13">
        <v>2</v>
      </c>
      <c r="AD201" s="13">
        <v>2</v>
      </c>
      <c r="AE201" s="13">
        <v>3</v>
      </c>
      <c r="AF201" s="13">
        <v>2</v>
      </c>
      <c r="AG201" s="16">
        <f>IFERROR(SUMIF(reading[[#This Row],[1st]:[7th]],"&gt;0")/COUNTIF(reading[[#This Row],[1st]:[7th]],"&gt;0"),"")</f>
        <v>2.4285714285714284</v>
      </c>
    </row>
    <row r="202" spans="1:33" hidden="1" x14ac:dyDescent="0.2">
      <c r="A202" s="4">
        <f>IF(B202=1,3,IF(D202=1,2,IF(F202=1,1,0)))</f>
        <v>0</v>
      </c>
      <c r="B202" s="4" t="str">
        <f>IF(C202=$L202,1,IF(C202="","",0))</f>
        <v/>
      </c>
      <c r="C202" s="18"/>
      <c r="D202" s="4" t="str">
        <f>IF(E202=$L202,1,IF(E202="","",0))</f>
        <v/>
      </c>
      <c r="E202" s="18"/>
      <c r="F202" s="4" t="str">
        <f>IF(G202=$L202,1,IF(G202="","",0))</f>
        <v/>
      </c>
      <c r="G202" s="14"/>
      <c r="H202" s="6">
        <v>99</v>
      </c>
      <c r="I202" s="15" t="s">
        <v>3120</v>
      </c>
      <c r="J202" s="6" t="s">
        <v>3248</v>
      </c>
      <c r="K202" s="6"/>
      <c r="L202" s="6" t="s">
        <v>236</v>
      </c>
      <c r="M202" s="6" t="s">
        <v>6208</v>
      </c>
      <c r="N202" s="7">
        <f ca="1">RAND()</f>
        <v>0.33638602745593749</v>
      </c>
      <c r="O202" s="8">
        <v>45199</v>
      </c>
      <c r="P202" s="8">
        <v>45200</v>
      </c>
      <c r="Q202" s="8">
        <v>45202</v>
      </c>
      <c r="R202" s="8">
        <v>45206</v>
      </c>
      <c r="S202" s="8">
        <v>45213</v>
      </c>
      <c r="T202" s="8">
        <v>45225</v>
      </c>
      <c r="U202" s="8">
        <v>45251</v>
      </c>
      <c r="V202" s="10">
        <f>COUNTA(O202:U202)</f>
        <v>7</v>
      </c>
      <c r="W202" s="11">
        <f>_xlfn.IFNA(INDEX(reading[[#This Row],[Memo 01]:[Memo 07]],MATCH(0,reading[[#This Row],[Memo 01]:[Memo 07]],-1)),"")</f>
        <v>45251</v>
      </c>
      <c r="X202" s="11">
        <f ca="1">IFERROR(reading[[#This Row],[Previous]]+OFFSET(reading[[#Headers],[Memo 01]],-1,MATCH(0,reading[[#This Row],[Memo 01]:[Memo 07]],-1)-1),"")</f>
        <v>55251</v>
      </c>
      <c r="Y202" s="10" t="str">
        <f ca="1">IF(reading[[#This Row],[Next]]&lt;&gt;"",IF(reading[[#This Row],[Next]]&gt;TODAY(),"OK",""),"")</f>
        <v>OK</v>
      </c>
      <c r="Z202" s="13">
        <v>3</v>
      </c>
      <c r="AA202" s="13">
        <v>2</v>
      </c>
      <c r="AB202" s="13">
        <v>3</v>
      </c>
      <c r="AC202" s="13">
        <v>2</v>
      </c>
      <c r="AD202" s="13">
        <v>2</v>
      </c>
      <c r="AE202" s="13">
        <v>3</v>
      </c>
      <c r="AF202" s="13">
        <v>2</v>
      </c>
      <c r="AG202" s="16">
        <f>IFERROR(SUMIF(reading[[#This Row],[1st]:[7th]],"&gt;0")/COUNTIF(reading[[#This Row],[1st]:[7th]],"&gt;0"),"")</f>
        <v>2.4285714285714284</v>
      </c>
    </row>
    <row r="203" spans="1:33" hidden="1" x14ac:dyDescent="0.2">
      <c r="A203" s="4">
        <f>IF(B203=1,3,IF(D203=1,2,IF(F203=1,1,0)))</f>
        <v>0</v>
      </c>
      <c r="B203" s="4" t="str">
        <f>IF(C203=$L203,1,IF(C203="","",0))</f>
        <v/>
      </c>
      <c r="C203" s="18"/>
      <c r="D203" s="4" t="str">
        <f>IF(E203=$L203,1,IF(E203="","",0))</f>
        <v/>
      </c>
      <c r="E203" s="18"/>
      <c r="F203" s="4" t="str">
        <f>IF(G203=$L203,1,IF(G203="","",0))</f>
        <v/>
      </c>
      <c r="G203" s="14"/>
      <c r="H203" s="6">
        <v>62</v>
      </c>
      <c r="I203" s="15" t="s">
        <v>3120</v>
      </c>
      <c r="J203" s="6" t="s">
        <v>3215</v>
      </c>
      <c r="K203" s="6"/>
      <c r="L203" s="6" t="s">
        <v>203</v>
      </c>
      <c r="M203" s="6" t="s">
        <v>6174</v>
      </c>
      <c r="N203" s="7">
        <f ca="1">RAND()</f>
        <v>1.0661238107009585E-2</v>
      </c>
      <c r="O203" s="8">
        <v>45199</v>
      </c>
      <c r="P203" s="8">
        <v>45200</v>
      </c>
      <c r="Q203" s="8">
        <v>45202</v>
      </c>
      <c r="R203" s="8">
        <v>45206</v>
      </c>
      <c r="S203" s="8">
        <v>45213</v>
      </c>
      <c r="T203" s="8">
        <v>45225</v>
      </c>
      <c r="U203" s="8">
        <v>45250</v>
      </c>
      <c r="V203" s="10">
        <f>COUNTA(O203:U203)</f>
        <v>7</v>
      </c>
      <c r="W203" s="11">
        <f>_xlfn.IFNA(INDEX(reading[[#This Row],[Memo 01]:[Memo 07]],MATCH(0,reading[[#This Row],[Memo 01]:[Memo 07]],-1)),"")</f>
        <v>45250</v>
      </c>
      <c r="X203" s="11">
        <f ca="1">IFERROR(reading[[#This Row],[Previous]]+OFFSET(reading[[#Headers],[Memo 01]],-1,MATCH(0,reading[[#This Row],[Memo 01]:[Memo 07]],-1)-1),"")</f>
        <v>55250</v>
      </c>
      <c r="Y203" s="10" t="str">
        <f ca="1">IF(reading[[#This Row],[Next]]&lt;&gt;"",IF(reading[[#This Row],[Next]]&gt;TODAY(),"OK",""),"")</f>
        <v>OK</v>
      </c>
      <c r="Z203" s="13">
        <v>3</v>
      </c>
      <c r="AA203" s="13">
        <v>2</v>
      </c>
      <c r="AB203" s="13">
        <v>3</v>
      </c>
      <c r="AC203" s="13">
        <v>2</v>
      </c>
      <c r="AD203" s="13">
        <v>2</v>
      </c>
      <c r="AE203" s="13">
        <v>3</v>
      </c>
      <c r="AF203" s="13">
        <v>3</v>
      </c>
      <c r="AG203" s="16">
        <f>IFERROR(SUMIF(reading[[#This Row],[1st]:[7th]],"&gt;0")/COUNTIF(reading[[#This Row],[1st]:[7th]],"&gt;0"),"")</f>
        <v>2.5714285714285716</v>
      </c>
    </row>
    <row r="204" spans="1:33" hidden="1" x14ac:dyDescent="0.2">
      <c r="A204" s="4">
        <f>IF(B204=1,3,IF(D204=1,2,IF(F204=1,1,0)))</f>
        <v>0</v>
      </c>
      <c r="B204" s="4" t="str">
        <f>IF(C204=$L204,1,IF(C204="","",0))</f>
        <v/>
      </c>
      <c r="C204" s="41"/>
      <c r="D204" s="4" t="str">
        <f>IF(E204=$L204,1,IF(E204="","",0))</f>
        <v/>
      </c>
      <c r="E204" s="18"/>
      <c r="F204" s="4" t="str">
        <f>IF(G204=$L204,1,IF(G204="","",0))</f>
        <v/>
      </c>
      <c r="G204" s="14"/>
      <c r="H204" s="6">
        <v>466</v>
      </c>
      <c r="I204" s="15" t="s">
        <v>3120</v>
      </c>
      <c r="J204" s="6" t="s">
        <v>3612</v>
      </c>
      <c r="K204" s="6"/>
      <c r="L204" s="6" t="s">
        <v>595</v>
      </c>
      <c r="M204" s="6" t="s">
        <v>6575</v>
      </c>
      <c r="N204" s="7">
        <f ca="1">RAND()</f>
        <v>0.46635264446817382</v>
      </c>
      <c r="O204" s="8">
        <v>45202</v>
      </c>
      <c r="P204" s="8">
        <v>45203</v>
      </c>
      <c r="Q204" s="8">
        <v>45205</v>
      </c>
      <c r="R204" s="8">
        <v>45209</v>
      </c>
      <c r="S204" s="8">
        <v>45216</v>
      </c>
      <c r="T204" s="8">
        <v>45228</v>
      </c>
      <c r="U204" s="8">
        <v>45248</v>
      </c>
      <c r="V204" s="10">
        <f>COUNTA(O204:U204)</f>
        <v>7</v>
      </c>
      <c r="W204" s="11">
        <f>_xlfn.IFNA(INDEX(reading[[#This Row],[Memo 01]:[Memo 07]],MATCH(0,reading[[#This Row],[Memo 01]:[Memo 07]],-1)),"")</f>
        <v>45248</v>
      </c>
      <c r="X204" s="11">
        <f ca="1">IFERROR(reading[[#This Row],[Previous]]+OFFSET(reading[[#Headers],[Memo 01]],-1,MATCH(0,reading[[#This Row],[Memo 01]:[Memo 07]],-1)-1),"")</f>
        <v>55248</v>
      </c>
      <c r="Y204" s="10" t="str">
        <f ca="1">IF(reading[[#This Row],[Next]]&lt;&gt;"",IF(reading[[#This Row],[Next]]&gt;TODAY(),"OK",""),"")</f>
        <v>OK</v>
      </c>
      <c r="Z204" s="13">
        <v>3</v>
      </c>
      <c r="AA204" s="13">
        <v>3</v>
      </c>
      <c r="AB204" s="13">
        <v>3</v>
      </c>
      <c r="AC204" s="13">
        <v>3</v>
      </c>
      <c r="AD204" s="13">
        <v>2</v>
      </c>
      <c r="AE204" s="13">
        <v>1</v>
      </c>
      <c r="AF204" s="13">
        <v>3</v>
      </c>
      <c r="AG204" s="16">
        <f>IFERROR(SUMIF(reading[[#This Row],[1st]:[7th]],"&gt;0")/COUNTIF(reading[[#This Row],[1st]:[7th]],"&gt;0"),"")</f>
        <v>2.5714285714285716</v>
      </c>
    </row>
    <row r="205" spans="1:33" hidden="1" x14ac:dyDescent="0.2">
      <c r="A205" s="4">
        <f>IF(B205=1,3,IF(D205=1,2,IF(F205=1,1,0)))</f>
        <v>0</v>
      </c>
      <c r="B205" s="4" t="str">
        <f>IF(C205=$L205,1,IF(C205="","",0))</f>
        <v/>
      </c>
      <c r="C205" s="41"/>
      <c r="D205" s="4" t="str">
        <f>IF(E205=$L205,1,IF(E205="","",0))</f>
        <v/>
      </c>
      <c r="E205" s="18"/>
      <c r="F205" s="4" t="str">
        <f>IF(G205=$L205,1,IF(G205="","",0))</f>
        <v/>
      </c>
      <c r="G205" s="14"/>
      <c r="H205" s="6">
        <v>824</v>
      </c>
      <c r="I205" s="15" t="s">
        <v>3120</v>
      </c>
      <c r="J205" s="6" t="s">
        <v>3957</v>
      </c>
      <c r="K205" s="6"/>
      <c r="L205" s="6" t="s">
        <v>940</v>
      </c>
      <c r="M205" s="6" t="s">
        <v>6933</v>
      </c>
      <c r="N205" s="7">
        <f ca="1">RAND()</f>
        <v>1.9353096737844133E-3</v>
      </c>
      <c r="O205" s="8">
        <v>45203</v>
      </c>
      <c r="P205" s="8">
        <v>45204</v>
      </c>
      <c r="Q205" s="8">
        <v>45206</v>
      </c>
      <c r="R205" s="8">
        <v>45210</v>
      </c>
      <c r="S205" s="8">
        <v>45217</v>
      </c>
      <c r="T205" s="8">
        <v>45229</v>
      </c>
      <c r="U205" s="8">
        <v>45251</v>
      </c>
      <c r="V205" s="10">
        <f>COUNTA(O205:U205)</f>
        <v>7</v>
      </c>
      <c r="W205" s="11">
        <f>_xlfn.IFNA(INDEX(reading[[#This Row],[Memo 01]:[Memo 07]],MATCH(0,reading[[#This Row],[Memo 01]:[Memo 07]],-1)),"")</f>
        <v>45251</v>
      </c>
      <c r="X205" s="11">
        <f ca="1">IFERROR(reading[[#This Row],[Previous]]+OFFSET(reading[[#Headers],[Memo 01]],-1,MATCH(0,reading[[#This Row],[Memo 01]:[Memo 07]],-1)-1),"")</f>
        <v>55251</v>
      </c>
      <c r="Y205" s="10" t="str">
        <f ca="1">IF(reading[[#This Row],[Next]]&lt;&gt;"",IF(reading[[#This Row],[Next]]&gt;TODAY(),"OK",""),"")</f>
        <v>OK</v>
      </c>
      <c r="Z205" s="13">
        <v>3</v>
      </c>
      <c r="AA205" s="13">
        <v>3</v>
      </c>
      <c r="AB205" s="13">
        <v>2</v>
      </c>
      <c r="AC205" s="13">
        <v>3</v>
      </c>
      <c r="AD205" s="13">
        <v>2</v>
      </c>
      <c r="AE205" s="13">
        <v>2</v>
      </c>
      <c r="AF205" s="13">
        <v>2</v>
      </c>
      <c r="AG205" s="16">
        <f>IFERROR(SUMIF(reading[[#This Row],[1st]:[7th]],"&gt;0")/COUNTIF(reading[[#This Row],[1st]:[7th]],"&gt;0"),"")</f>
        <v>2.4285714285714284</v>
      </c>
    </row>
    <row r="206" spans="1:33" hidden="1" x14ac:dyDescent="0.2">
      <c r="A206" s="4">
        <f>IF(B206=1,3,IF(D206=1,2,IF(F206=1,1,0)))</f>
        <v>0</v>
      </c>
      <c r="B206" s="4" t="str">
        <f>IF(C206=$L206,1,IF(C206="","",0))</f>
        <v/>
      </c>
      <c r="C206" s="41"/>
      <c r="D206" s="4" t="str">
        <f>IF(E206=$L206,1,IF(E206="","",0))</f>
        <v/>
      </c>
      <c r="E206" s="18"/>
      <c r="F206" s="4" t="str">
        <f>IF(G206=$L206,1,IF(G206="","",0))</f>
        <v/>
      </c>
      <c r="G206" s="14"/>
      <c r="H206" s="6">
        <v>328</v>
      </c>
      <c r="I206" s="15" t="s">
        <v>3120</v>
      </c>
      <c r="J206" s="6" t="s">
        <v>3475</v>
      </c>
      <c r="K206" s="6"/>
      <c r="L206" s="6" t="s">
        <v>463</v>
      </c>
      <c r="M206" s="6" t="s">
        <v>6437</v>
      </c>
      <c r="N206" s="7">
        <f ca="1">RAND()</f>
        <v>0.72046981605252636</v>
      </c>
      <c r="O206" s="8">
        <v>45200</v>
      </c>
      <c r="P206" s="8">
        <v>45201</v>
      </c>
      <c r="Q206" s="8">
        <v>45203</v>
      </c>
      <c r="R206" s="8">
        <v>45207</v>
      </c>
      <c r="S206" s="8">
        <v>45214</v>
      </c>
      <c r="T206" s="8">
        <v>45226</v>
      </c>
      <c r="U206" s="8">
        <v>45250</v>
      </c>
      <c r="V206" s="10">
        <f>COUNTA(O206:U206)</f>
        <v>7</v>
      </c>
      <c r="W206" s="11">
        <f>_xlfn.IFNA(INDEX(reading[[#This Row],[Memo 01]:[Memo 07]],MATCH(0,reading[[#This Row],[Memo 01]:[Memo 07]],-1)),"")</f>
        <v>45250</v>
      </c>
      <c r="X206" s="11">
        <f ca="1">IFERROR(reading[[#This Row],[Previous]]+OFFSET(reading[[#Headers],[Memo 01]],-1,MATCH(0,reading[[#This Row],[Memo 01]:[Memo 07]],-1)-1),"")</f>
        <v>55250</v>
      </c>
      <c r="Y206" s="10" t="str">
        <f ca="1">IF(reading[[#This Row],[Next]]&lt;&gt;"",IF(reading[[#This Row],[Next]]&gt;TODAY(),"OK",""),"")</f>
        <v>OK</v>
      </c>
      <c r="Z206" s="13">
        <v>3</v>
      </c>
      <c r="AA206" s="13">
        <v>3</v>
      </c>
      <c r="AB206" s="13">
        <v>2</v>
      </c>
      <c r="AC206" s="13">
        <v>3</v>
      </c>
      <c r="AD206" s="13">
        <v>2</v>
      </c>
      <c r="AE206" s="13">
        <v>2</v>
      </c>
      <c r="AF206" s="13">
        <v>3</v>
      </c>
      <c r="AG206" s="16">
        <f>IFERROR(SUMIF(reading[[#This Row],[1st]:[7th]],"&gt;0")/COUNTIF(reading[[#This Row],[1st]:[7th]],"&gt;0"),"")</f>
        <v>2.5714285714285716</v>
      </c>
    </row>
    <row r="207" spans="1:33" hidden="1" x14ac:dyDescent="0.2">
      <c r="A207" s="4">
        <f>IF(B207=1,3,IF(D207=1,2,IF(F207=1,1,0)))</f>
        <v>3</v>
      </c>
      <c r="B207" s="4">
        <f>IF(C207=$L207,1,IF(C207="","",0))</f>
        <v>1</v>
      </c>
      <c r="C207" s="18" t="s">
        <v>346</v>
      </c>
      <c r="D207" s="4" t="str">
        <f>IF(E207=$L207,1,IF(E207="","",0))</f>
        <v/>
      </c>
      <c r="E207" s="14"/>
      <c r="F207" s="4" t="str">
        <f>IF(G207=$L207,1,IF(G207="","",0))</f>
        <v/>
      </c>
      <c r="G207" s="14"/>
      <c r="H207" s="6">
        <v>210</v>
      </c>
      <c r="I207" s="15" t="s">
        <v>3120</v>
      </c>
      <c r="J207" s="6" t="s">
        <v>3359</v>
      </c>
      <c r="K207" s="6"/>
      <c r="L207" s="6" t="s">
        <v>346</v>
      </c>
      <c r="M207" s="6" t="s">
        <v>6319</v>
      </c>
      <c r="N207" s="7">
        <f ca="1">RAND()</f>
        <v>0.93297958310534523</v>
      </c>
      <c r="O207" s="8">
        <v>45199</v>
      </c>
      <c r="P207" s="8">
        <v>45199</v>
      </c>
      <c r="Q207" s="8">
        <v>45199</v>
      </c>
      <c r="R207" s="8">
        <v>45199</v>
      </c>
      <c r="S207" s="8">
        <v>45199</v>
      </c>
      <c r="T207" s="8">
        <v>45199</v>
      </c>
      <c r="U207" s="8">
        <v>45199</v>
      </c>
      <c r="V207" s="10">
        <f>COUNTA(O207:U207)</f>
        <v>7</v>
      </c>
      <c r="W207" s="11">
        <f>_xlfn.IFNA(INDEX(reading[[#This Row],[Memo 01]:[Memo 07]],MATCH(0,reading[[#This Row],[Memo 01]:[Memo 07]],-1)),"")</f>
        <v>45199</v>
      </c>
      <c r="X207" s="11">
        <f ca="1">IFERROR(reading[[#This Row],[Previous]]+OFFSET(reading[[#Headers],[Memo 01]],-1,MATCH(0,reading[[#This Row],[Memo 01]:[Memo 07]],-1)-1),"")</f>
        <v>55199</v>
      </c>
      <c r="Y207" s="10" t="str">
        <f ca="1">IF(reading[[#This Row],[Next]]&lt;&gt;"",IF(reading[[#This Row],[Next]]&gt;TODAY(),"OK",""),"")</f>
        <v>OK</v>
      </c>
      <c r="Z207" s="13">
        <v>3</v>
      </c>
      <c r="AA207" s="13"/>
      <c r="AB207" s="13"/>
      <c r="AC207" s="13"/>
      <c r="AD207" s="13"/>
      <c r="AE207" s="13"/>
      <c r="AF207" s="13"/>
      <c r="AG207" s="16">
        <f>IFERROR(SUMIF(reading[[#This Row],[1st]:[7th]],"&gt;0")/COUNTIF(reading[[#This Row],[1st]:[7th]],"&gt;0"),"")</f>
        <v>3</v>
      </c>
    </row>
    <row r="208" spans="1:33" hidden="1" x14ac:dyDescent="0.2">
      <c r="A208" s="4">
        <f>IF(B208=1,3,IF(D208=1,2,IF(F208=1,1,0)))</f>
        <v>0</v>
      </c>
      <c r="B208" s="4" t="str">
        <f>IF(C208=$L208,1,IF(C208="","",0))</f>
        <v/>
      </c>
      <c r="C208" s="41"/>
      <c r="D208" s="4" t="str">
        <f>IF(E208=$L208,1,IF(E208="","",0))</f>
        <v/>
      </c>
      <c r="E208" s="18"/>
      <c r="F208" s="4" t="str">
        <f>IF(G208=$L208,1,IF(G208="","",0))</f>
        <v/>
      </c>
      <c r="G208" s="14"/>
      <c r="H208" s="6">
        <v>857</v>
      </c>
      <c r="I208" s="15" t="s">
        <v>3120</v>
      </c>
      <c r="J208" s="6" t="s">
        <v>3989</v>
      </c>
      <c r="K208" s="6"/>
      <c r="L208" s="6" t="s">
        <v>973</v>
      </c>
      <c r="M208" s="6" t="s">
        <v>6966</v>
      </c>
      <c r="N208" s="7">
        <f ca="1">RAND()</f>
        <v>0.54541491203416781</v>
      </c>
      <c r="O208" s="8">
        <v>45203</v>
      </c>
      <c r="P208" s="8">
        <v>45204</v>
      </c>
      <c r="Q208" s="8">
        <v>45206</v>
      </c>
      <c r="R208" s="8">
        <v>45210</v>
      </c>
      <c r="S208" s="8">
        <v>45217</v>
      </c>
      <c r="T208" s="8">
        <v>45229</v>
      </c>
      <c r="U208" s="8">
        <v>45251</v>
      </c>
      <c r="V208" s="10">
        <f>COUNTA(O208:U208)</f>
        <v>7</v>
      </c>
      <c r="W208" s="11">
        <f>_xlfn.IFNA(INDEX(reading[[#This Row],[Memo 01]:[Memo 07]],MATCH(0,reading[[#This Row],[Memo 01]:[Memo 07]],-1)),"")</f>
        <v>45251</v>
      </c>
      <c r="X208" s="11">
        <f ca="1">IFERROR(reading[[#This Row],[Previous]]+OFFSET(reading[[#Headers],[Memo 01]],-1,MATCH(0,reading[[#This Row],[Memo 01]:[Memo 07]],-1)-1),"")</f>
        <v>55251</v>
      </c>
      <c r="Y208" s="10" t="str">
        <f ca="1">IF(reading[[#This Row],[Next]]&lt;&gt;"",IF(reading[[#This Row],[Next]]&gt;TODAY(),"OK",""),"")</f>
        <v>OK</v>
      </c>
      <c r="Z208" s="13">
        <v>3</v>
      </c>
      <c r="AA208" s="13">
        <v>2</v>
      </c>
      <c r="AB208" s="13">
        <v>2</v>
      </c>
      <c r="AC208" s="13">
        <v>3</v>
      </c>
      <c r="AD208" s="13">
        <v>3</v>
      </c>
      <c r="AE208" s="13">
        <v>2</v>
      </c>
      <c r="AF208" s="13">
        <v>2</v>
      </c>
      <c r="AG208" s="16">
        <f>IFERROR(SUMIF(reading[[#This Row],[1st]:[7th]],"&gt;0")/COUNTIF(reading[[#This Row],[1st]:[7th]],"&gt;0"),"")</f>
        <v>2.4285714285714284</v>
      </c>
    </row>
    <row r="209" spans="1:33" hidden="1" x14ac:dyDescent="0.2">
      <c r="A209" s="4">
        <f>IF(B209=1,3,IF(D209=1,2,IF(F209=1,1,0)))</f>
        <v>3</v>
      </c>
      <c r="B209" s="4">
        <f>IF(C209=$L209,1,IF(C209="","",0))</f>
        <v>1</v>
      </c>
      <c r="C209" s="18" t="s">
        <v>35</v>
      </c>
      <c r="D209" s="4" t="str">
        <f>IF(E209=$L209,1,IF(E209="","",0))</f>
        <v/>
      </c>
      <c r="E209" s="14"/>
      <c r="F209" s="4" t="str">
        <f>IF(G209=$L209,1,IF(G209="","",0))</f>
        <v/>
      </c>
      <c r="G209" s="14"/>
      <c r="H209" s="6">
        <v>212</v>
      </c>
      <c r="I209" s="15" t="s">
        <v>3120</v>
      </c>
      <c r="J209" s="6" t="s">
        <v>3361</v>
      </c>
      <c r="K209" s="6"/>
      <c r="L209" s="6" t="s">
        <v>35</v>
      </c>
      <c r="M209" s="6" t="s">
        <v>6321</v>
      </c>
      <c r="N209" s="7">
        <f ca="1">RAND()</f>
        <v>3.174437878876013E-2</v>
      </c>
      <c r="O209" s="8">
        <v>45199</v>
      </c>
      <c r="P209" s="8">
        <v>45199</v>
      </c>
      <c r="Q209" s="8">
        <v>45199</v>
      </c>
      <c r="R209" s="8">
        <v>45199</v>
      </c>
      <c r="S209" s="8">
        <v>45199</v>
      </c>
      <c r="T209" s="8">
        <v>45199</v>
      </c>
      <c r="U209" s="8">
        <v>45199</v>
      </c>
      <c r="V209" s="10">
        <f>COUNTA(O209:U209)</f>
        <v>7</v>
      </c>
      <c r="W209" s="11">
        <f>_xlfn.IFNA(INDEX(reading[[#This Row],[Memo 01]:[Memo 07]],MATCH(0,reading[[#This Row],[Memo 01]:[Memo 07]],-1)),"")</f>
        <v>45199</v>
      </c>
      <c r="X209" s="11">
        <f ca="1">IFERROR(reading[[#This Row],[Previous]]+OFFSET(reading[[#Headers],[Memo 01]],-1,MATCH(0,reading[[#This Row],[Memo 01]:[Memo 07]],-1)-1),"")</f>
        <v>55199</v>
      </c>
      <c r="Y209" s="10" t="str">
        <f ca="1">IF(reading[[#This Row],[Next]]&lt;&gt;"",IF(reading[[#This Row],[Next]]&gt;TODAY(),"OK",""),"")</f>
        <v>OK</v>
      </c>
      <c r="Z209" s="13">
        <v>3</v>
      </c>
      <c r="AA209" s="13"/>
      <c r="AB209" s="13"/>
      <c r="AC209" s="13"/>
      <c r="AD209" s="13"/>
      <c r="AE209" s="13"/>
      <c r="AF209" s="13"/>
      <c r="AG209" s="16">
        <f>IFERROR(SUMIF(reading[[#This Row],[1st]:[7th]],"&gt;0")/COUNTIF(reading[[#This Row],[1st]:[7th]],"&gt;0"),"")</f>
        <v>3</v>
      </c>
    </row>
    <row r="210" spans="1:33" hidden="1" x14ac:dyDescent="0.2">
      <c r="A210" s="4">
        <f>IF(B210=1,3,IF(D210=1,2,IF(F210=1,1,0)))</f>
        <v>3</v>
      </c>
      <c r="B210" s="4">
        <f>IF(C210=$L210,1,IF(C210="","",0))</f>
        <v>1</v>
      </c>
      <c r="C210" s="18" t="s">
        <v>348</v>
      </c>
      <c r="D210" s="4" t="str">
        <f>IF(E210=$L210,1,IF(E210="","",0))</f>
        <v/>
      </c>
      <c r="E210" s="14"/>
      <c r="F210" s="4" t="str">
        <f>IF(G210=$L210,1,IF(G210="","",0))</f>
        <v/>
      </c>
      <c r="G210" s="14"/>
      <c r="H210" s="6">
        <v>213</v>
      </c>
      <c r="I210" s="15" t="s">
        <v>3120</v>
      </c>
      <c r="J210" s="6" t="s">
        <v>3362</v>
      </c>
      <c r="K210" s="6"/>
      <c r="L210" s="6" t="s">
        <v>348</v>
      </c>
      <c r="M210" s="6" t="s">
        <v>6322</v>
      </c>
      <c r="N210" s="7">
        <f ca="1">RAND()</f>
        <v>0.7187609220021498</v>
      </c>
      <c r="O210" s="8">
        <v>45199</v>
      </c>
      <c r="P210" s="8">
        <v>45199</v>
      </c>
      <c r="Q210" s="8">
        <v>45199</v>
      </c>
      <c r="R210" s="8">
        <v>45199</v>
      </c>
      <c r="S210" s="8">
        <v>45199</v>
      </c>
      <c r="T210" s="8">
        <v>45199</v>
      </c>
      <c r="U210" s="8">
        <v>45199</v>
      </c>
      <c r="V210" s="10">
        <f>COUNTA(O210:U210)</f>
        <v>7</v>
      </c>
      <c r="W210" s="11">
        <f>_xlfn.IFNA(INDEX(reading[[#This Row],[Memo 01]:[Memo 07]],MATCH(0,reading[[#This Row],[Memo 01]:[Memo 07]],-1)),"")</f>
        <v>45199</v>
      </c>
      <c r="X210" s="11">
        <f ca="1">IFERROR(reading[[#This Row],[Previous]]+OFFSET(reading[[#Headers],[Memo 01]],-1,MATCH(0,reading[[#This Row],[Memo 01]:[Memo 07]],-1)-1),"")</f>
        <v>55199</v>
      </c>
      <c r="Y210" s="10" t="str">
        <f ca="1">IF(reading[[#This Row],[Next]]&lt;&gt;"",IF(reading[[#This Row],[Next]]&gt;TODAY(),"OK",""),"")</f>
        <v>OK</v>
      </c>
      <c r="Z210" s="13">
        <v>3</v>
      </c>
      <c r="AA210" s="13"/>
      <c r="AB210" s="13"/>
      <c r="AC210" s="13"/>
      <c r="AD210" s="13"/>
      <c r="AE210" s="13"/>
      <c r="AF210" s="13"/>
      <c r="AG210" s="16">
        <f>IFERROR(SUMIF(reading[[#This Row],[1st]:[7th]],"&gt;0")/COUNTIF(reading[[#This Row],[1st]:[7th]],"&gt;0"),"")</f>
        <v>3</v>
      </c>
    </row>
    <row r="211" spans="1:33" hidden="1" x14ac:dyDescent="0.2">
      <c r="A211" s="4">
        <f>IF(B211=1,3,IF(D211=1,2,IF(F211=1,1,0)))</f>
        <v>3</v>
      </c>
      <c r="B211" s="4">
        <f>IF(C211=$L211,1,IF(C211="","",0))</f>
        <v>1</v>
      </c>
      <c r="C211" s="18" t="s">
        <v>349</v>
      </c>
      <c r="D211" s="4" t="str">
        <f>IF(E211=$L211,1,IF(E211="","",0))</f>
        <v/>
      </c>
      <c r="E211" s="14"/>
      <c r="F211" s="4" t="str">
        <f>IF(G211=$L211,1,IF(G211="","",0))</f>
        <v/>
      </c>
      <c r="G211" s="14"/>
      <c r="H211" s="6">
        <v>214</v>
      </c>
      <c r="I211" s="15" t="s">
        <v>3120</v>
      </c>
      <c r="J211" s="6" t="s">
        <v>3363</v>
      </c>
      <c r="K211" s="6"/>
      <c r="L211" s="6" t="s">
        <v>349</v>
      </c>
      <c r="M211" s="6" t="s">
        <v>6323</v>
      </c>
      <c r="N211" s="7">
        <f ca="1">RAND()</f>
        <v>0.16736289807638183</v>
      </c>
      <c r="O211" s="8">
        <v>45199</v>
      </c>
      <c r="P211" s="8">
        <v>45199</v>
      </c>
      <c r="Q211" s="8">
        <v>45199</v>
      </c>
      <c r="R211" s="8">
        <v>45199</v>
      </c>
      <c r="S211" s="8">
        <v>45199</v>
      </c>
      <c r="T211" s="8">
        <v>45199</v>
      </c>
      <c r="U211" s="8">
        <v>45199</v>
      </c>
      <c r="V211" s="10">
        <f>COUNTA(O211:U211)</f>
        <v>7</v>
      </c>
      <c r="W211" s="11">
        <f>_xlfn.IFNA(INDEX(reading[[#This Row],[Memo 01]:[Memo 07]],MATCH(0,reading[[#This Row],[Memo 01]:[Memo 07]],-1)),"")</f>
        <v>45199</v>
      </c>
      <c r="X211" s="11">
        <f ca="1">IFERROR(reading[[#This Row],[Previous]]+OFFSET(reading[[#Headers],[Memo 01]],-1,MATCH(0,reading[[#This Row],[Memo 01]:[Memo 07]],-1)-1),"")</f>
        <v>55199</v>
      </c>
      <c r="Y211" s="10" t="str">
        <f ca="1">IF(reading[[#This Row],[Next]]&lt;&gt;"",IF(reading[[#This Row],[Next]]&gt;TODAY(),"OK",""),"")</f>
        <v>OK</v>
      </c>
      <c r="Z211" s="13">
        <v>3</v>
      </c>
      <c r="AA211" s="13"/>
      <c r="AB211" s="13"/>
      <c r="AC211" s="13"/>
      <c r="AD211" s="13"/>
      <c r="AE211" s="13"/>
      <c r="AF211" s="13"/>
      <c r="AG211" s="16">
        <f>IFERROR(SUMIF(reading[[#This Row],[1st]:[7th]],"&gt;0")/COUNTIF(reading[[#This Row],[1st]:[7th]],"&gt;0"),"")</f>
        <v>3</v>
      </c>
    </row>
    <row r="212" spans="1:33" hidden="1" x14ac:dyDescent="0.2">
      <c r="A212" s="4">
        <f>IF(B212=1,3,IF(D212=1,2,IF(F212=1,1,0)))</f>
        <v>3</v>
      </c>
      <c r="B212" s="4">
        <f>IF(C212=$L212,1,IF(C212="","",0))</f>
        <v>1</v>
      </c>
      <c r="C212" s="18" t="s">
        <v>350</v>
      </c>
      <c r="D212" s="4" t="str">
        <f>IF(E212=$L212,1,IF(E212="","",0))</f>
        <v/>
      </c>
      <c r="E212" s="14"/>
      <c r="F212" s="4" t="str">
        <f>IF(G212=$L212,1,IF(G212="","",0))</f>
        <v/>
      </c>
      <c r="G212" s="14"/>
      <c r="H212" s="6">
        <v>215</v>
      </c>
      <c r="I212" s="15" t="s">
        <v>3120</v>
      </c>
      <c r="J212" s="6" t="s">
        <v>3364</v>
      </c>
      <c r="K212" s="6"/>
      <c r="L212" s="6" t="s">
        <v>350</v>
      </c>
      <c r="M212" s="6" t="s">
        <v>6324</v>
      </c>
      <c r="N212" s="7">
        <f ca="1">RAND()</f>
        <v>5.1264215513358025E-2</v>
      </c>
      <c r="O212" s="8">
        <v>45199</v>
      </c>
      <c r="P212" s="8">
        <v>45199</v>
      </c>
      <c r="Q212" s="8">
        <v>45199</v>
      </c>
      <c r="R212" s="8">
        <v>45199</v>
      </c>
      <c r="S212" s="8">
        <v>45199</v>
      </c>
      <c r="T212" s="8">
        <v>45199</v>
      </c>
      <c r="U212" s="8">
        <v>45199</v>
      </c>
      <c r="V212" s="10">
        <f>COUNTA(O212:U212)</f>
        <v>7</v>
      </c>
      <c r="W212" s="11">
        <f>_xlfn.IFNA(INDEX(reading[[#This Row],[Memo 01]:[Memo 07]],MATCH(0,reading[[#This Row],[Memo 01]:[Memo 07]],-1)),"")</f>
        <v>45199</v>
      </c>
      <c r="X212" s="11">
        <f ca="1">IFERROR(reading[[#This Row],[Previous]]+OFFSET(reading[[#Headers],[Memo 01]],-1,MATCH(0,reading[[#This Row],[Memo 01]:[Memo 07]],-1)-1),"")</f>
        <v>55199</v>
      </c>
      <c r="Y212" s="10" t="str">
        <f ca="1">IF(reading[[#This Row],[Next]]&lt;&gt;"",IF(reading[[#This Row],[Next]]&gt;TODAY(),"OK",""),"")</f>
        <v>OK</v>
      </c>
      <c r="Z212" s="13">
        <v>3</v>
      </c>
      <c r="AA212" s="13"/>
      <c r="AB212" s="13"/>
      <c r="AC212" s="13"/>
      <c r="AD212" s="13"/>
      <c r="AE212" s="13"/>
      <c r="AF212" s="13"/>
      <c r="AG212" s="16">
        <f>IFERROR(SUMIF(reading[[#This Row],[1st]:[7th]],"&gt;0")/COUNTIF(reading[[#This Row],[1st]:[7th]],"&gt;0"),"")</f>
        <v>3</v>
      </c>
    </row>
    <row r="213" spans="1:33" hidden="1" x14ac:dyDescent="0.2">
      <c r="A213" s="4">
        <f>IF(B213=1,3,IF(D213=1,2,IF(F213=1,1,0)))</f>
        <v>0</v>
      </c>
      <c r="B213" s="4" t="str">
        <f>IF(C213=$L213,1,IF(C213="","",0))</f>
        <v/>
      </c>
      <c r="C213" s="41"/>
      <c r="D213" s="4" t="str">
        <f>IF(E213=$L213,1,IF(E213="","",0))</f>
        <v/>
      </c>
      <c r="E213" s="23"/>
      <c r="F213" s="4" t="str">
        <f>IF(G213=$L213,1,IF(G213="","",0))</f>
        <v/>
      </c>
      <c r="G213" s="18"/>
      <c r="H213" s="6">
        <v>1058</v>
      </c>
      <c r="I213" s="15" t="s">
        <v>3120</v>
      </c>
      <c r="J213" s="6" t="s">
        <v>4185</v>
      </c>
      <c r="K213" s="6"/>
      <c r="L213" s="6" t="s">
        <v>1166</v>
      </c>
      <c r="M213" s="6" t="s">
        <v>7166</v>
      </c>
      <c r="N213" s="7">
        <f ca="1">RAND()</f>
        <v>0.2562022916212503</v>
      </c>
      <c r="O213" s="8">
        <v>45205</v>
      </c>
      <c r="P213" s="8">
        <v>45206</v>
      </c>
      <c r="Q213" s="8">
        <v>45208</v>
      </c>
      <c r="R213" s="8">
        <v>45212</v>
      </c>
      <c r="S213" s="8">
        <v>45219</v>
      </c>
      <c r="T213" s="8">
        <v>45231</v>
      </c>
      <c r="U213" s="8">
        <v>45251</v>
      </c>
      <c r="V213" s="10">
        <f>COUNTA(O213:U213)</f>
        <v>7</v>
      </c>
      <c r="W213" s="11">
        <f>_xlfn.IFNA(INDEX(reading[[#This Row],[Memo 01]:[Memo 07]],MATCH(0,reading[[#This Row],[Memo 01]:[Memo 07]],-1)),"")</f>
        <v>45251</v>
      </c>
      <c r="X213" s="11">
        <f ca="1">IFERROR(reading[[#This Row],[Previous]]+OFFSET(reading[[#Headers],[Memo 01]],-1,MATCH(0,reading[[#This Row],[Memo 01]:[Memo 07]],-1)-1),"")</f>
        <v>55251</v>
      </c>
      <c r="Y213" s="10" t="str">
        <f ca="1">IF(reading[[#This Row],[Next]]&lt;&gt;"",IF(reading[[#This Row],[Next]]&gt;TODAY(),"OK",""),"")</f>
        <v>OK</v>
      </c>
      <c r="Z213" s="13">
        <v>3</v>
      </c>
      <c r="AA213" s="13">
        <v>1</v>
      </c>
      <c r="AB213" s="13">
        <v>3</v>
      </c>
      <c r="AC213" s="13">
        <v>3</v>
      </c>
      <c r="AD213" s="13">
        <v>2</v>
      </c>
      <c r="AE213" s="13">
        <v>3</v>
      </c>
      <c r="AF213" s="13">
        <v>3</v>
      </c>
      <c r="AG213" s="16">
        <f>IFERROR(SUMIF(reading[[#This Row],[1st]:[7th]],"&gt;0")/COUNTIF(reading[[#This Row],[1st]:[7th]],"&gt;0"),"")</f>
        <v>2.5714285714285716</v>
      </c>
    </row>
    <row r="214" spans="1:33" hidden="1" x14ac:dyDescent="0.2">
      <c r="A214" s="4">
        <f>IF(B214=1,3,IF(D214=1,2,IF(F214=1,1,0)))</f>
        <v>0</v>
      </c>
      <c r="B214" s="4" t="str">
        <f>IF(C214=$L214,1,IF(C214="","",0))</f>
        <v/>
      </c>
      <c r="C214" s="18"/>
      <c r="D214" s="4" t="str">
        <f>IF(E214=$L214,1,IF(E214="","",0))</f>
        <v/>
      </c>
      <c r="E214" s="14"/>
      <c r="F214" s="4" t="str">
        <f>IF(G214=$L214,1,IF(G214="","",0))</f>
        <v/>
      </c>
      <c r="G214" s="14"/>
      <c r="H214" s="6">
        <v>217</v>
      </c>
      <c r="I214" s="15" t="s">
        <v>3120</v>
      </c>
      <c r="J214" s="6" t="s">
        <v>3366</v>
      </c>
      <c r="K214" s="6"/>
      <c r="L214" s="6" t="s">
        <v>352</v>
      </c>
      <c r="M214" s="6" t="s">
        <v>6326</v>
      </c>
      <c r="N214" s="7">
        <f ca="1">RAND()</f>
        <v>0.68752736629784184</v>
      </c>
      <c r="O214" s="8">
        <v>45199</v>
      </c>
      <c r="P214" s="8">
        <v>45199</v>
      </c>
      <c r="Q214" s="8">
        <v>45199</v>
      </c>
      <c r="R214" s="8">
        <v>45199</v>
      </c>
      <c r="S214" s="8">
        <v>45199</v>
      </c>
      <c r="T214" s="8">
        <v>45199</v>
      </c>
      <c r="U214" s="8">
        <v>45199</v>
      </c>
      <c r="V214" s="10">
        <f>COUNTA(O214:U214)</f>
        <v>7</v>
      </c>
      <c r="W214" s="11">
        <f>_xlfn.IFNA(INDEX(reading[[#This Row],[Memo 01]:[Memo 07]],MATCH(0,reading[[#This Row],[Memo 01]:[Memo 07]],-1)),"")</f>
        <v>45199</v>
      </c>
      <c r="X214" s="11">
        <f ca="1">IFERROR(reading[[#This Row],[Previous]]+OFFSET(reading[[#Headers],[Memo 01]],-1,MATCH(0,reading[[#This Row],[Memo 01]:[Memo 07]],-1)-1),"")</f>
        <v>55199</v>
      </c>
      <c r="Y214" s="10" t="str">
        <f ca="1">IF(reading[[#This Row],[Next]]&lt;&gt;"",IF(reading[[#This Row],[Next]]&gt;TODAY(),"OK",""),"")</f>
        <v>OK</v>
      </c>
      <c r="Z214" s="13">
        <v>3</v>
      </c>
      <c r="AA214" s="13"/>
      <c r="AB214" s="13"/>
      <c r="AC214" s="13"/>
      <c r="AD214" s="13"/>
      <c r="AE214" s="13"/>
      <c r="AF214" s="13"/>
      <c r="AG214" s="16">
        <f>IFERROR(SUMIF(reading[[#This Row],[1st]:[7th]],"&gt;0")/COUNTIF(reading[[#This Row],[1st]:[7th]],"&gt;0"),"")</f>
        <v>3</v>
      </c>
    </row>
    <row r="215" spans="1:33" hidden="1" x14ac:dyDescent="0.2">
      <c r="A215" s="4">
        <f>IF(B215=1,3,IF(D215=1,2,IF(F215=1,1,0)))</f>
        <v>0</v>
      </c>
      <c r="B215" s="4" t="str">
        <f>IF(C215=$L215,1,IF(C215="","",0))</f>
        <v/>
      </c>
      <c r="C215" s="18"/>
      <c r="D215" s="4" t="str">
        <f>IF(E215=$L215,1,IF(E215="","",0))</f>
        <v/>
      </c>
      <c r="E215" s="18"/>
      <c r="F215" s="4" t="str">
        <f>IF(G215=$L215,1,IF(G215="","",0))</f>
        <v/>
      </c>
      <c r="G215" s="14"/>
      <c r="H215" s="6">
        <v>146</v>
      </c>
      <c r="I215" s="15" t="s">
        <v>3120</v>
      </c>
      <c r="J215" s="6" t="s">
        <v>3295</v>
      </c>
      <c r="K215" s="6"/>
      <c r="L215" s="6" t="s">
        <v>283</v>
      </c>
      <c r="M215" s="6" t="s">
        <v>6255</v>
      </c>
      <c r="N215" s="7">
        <f ca="1">RAND()</f>
        <v>0.44003745726087851</v>
      </c>
      <c r="O215" s="8">
        <v>45199</v>
      </c>
      <c r="P215" s="8">
        <v>45200</v>
      </c>
      <c r="Q215" s="8">
        <v>45202</v>
      </c>
      <c r="R215" s="8">
        <v>45206</v>
      </c>
      <c r="S215" s="8">
        <v>45213</v>
      </c>
      <c r="T215" s="8">
        <v>45225</v>
      </c>
      <c r="U215" s="8">
        <v>45250</v>
      </c>
      <c r="V215" s="10">
        <f>COUNTA(O215:U215)</f>
        <v>7</v>
      </c>
      <c r="W215" s="11">
        <f>_xlfn.IFNA(INDEX(reading[[#This Row],[Memo 01]:[Memo 07]],MATCH(0,reading[[#This Row],[Memo 01]:[Memo 07]],-1)),"")</f>
        <v>45250</v>
      </c>
      <c r="X215" s="11">
        <f ca="1">IFERROR(reading[[#This Row],[Previous]]+OFFSET(reading[[#Headers],[Memo 01]],-1,MATCH(0,reading[[#This Row],[Memo 01]:[Memo 07]],-1)-1),"")</f>
        <v>55250</v>
      </c>
      <c r="Y215" s="10" t="str">
        <f ca="1">IF(reading[[#This Row],[Next]]&lt;&gt;"",IF(reading[[#This Row],[Next]]&gt;TODAY(),"OK",""),"")</f>
        <v>OK</v>
      </c>
      <c r="Z215" s="13">
        <v>2</v>
      </c>
      <c r="AA215" s="13">
        <v>2</v>
      </c>
      <c r="AB215" s="13">
        <v>3</v>
      </c>
      <c r="AC215" s="13">
        <v>3</v>
      </c>
      <c r="AD215" s="13">
        <v>3</v>
      </c>
      <c r="AE215" s="13">
        <v>2</v>
      </c>
      <c r="AF215" s="13">
        <v>3</v>
      </c>
      <c r="AG215" s="16">
        <f>IFERROR(SUMIF(reading[[#This Row],[1st]:[7th]],"&gt;0")/COUNTIF(reading[[#This Row],[1st]:[7th]],"&gt;0"),"")</f>
        <v>2.5714285714285716</v>
      </c>
    </row>
    <row r="216" spans="1:33" hidden="1" x14ac:dyDescent="0.2">
      <c r="A216" s="4">
        <f>IF(B216=1,3,IF(D216=1,2,IF(F216=1,1,0)))</f>
        <v>0</v>
      </c>
      <c r="B216" s="4" t="str">
        <f>IF(C216=$L216,1,IF(C216="","",0))</f>
        <v/>
      </c>
      <c r="C216" s="41"/>
      <c r="D216" s="4" t="str">
        <f>IF(E216=$L216,1,IF(E216="","",0))</f>
        <v/>
      </c>
      <c r="E216" s="18"/>
      <c r="F216" s="4" t="str">
        <f>IF(G216=$L216,1,IF(G216="","",0))</f>
        <v/>
      </c>
      <c r="G216" s="14"/>
      <c r="H216" s="6">
        <v>914</v>
      </c>
      <c r="I216" s="15" t="s">
        <v>3120</v>
      </c>
      <c r="J216" s="6" t="s">
        <v>4046</v>
      </c>
      <c r="K216" s="6"/>
      <c r="L216" s="6" t="s">
        <v>1026</v>
      </c>
      <c r="M216" s="6" t="s">
        <v>7023</v>
      </c>
      <c r="N216" s="7">
        <f ca="1">RAND()</f>
        <v>0.66403018695450378</v>
      </c>
      <c r="O216" s="8">
        <v>45204</v>
      </c>
      <c r="P216" s="8">
        <v>45205</v>
      </c>
      <c r="Q216" s="8">
        <v>45207</v>
      </c>
      <c r="R216" s="8">
        <v>45212</v>
      </c>
      <c r="S216" s="8">
        <v>45219</v>
      </c>
      <c r="T216" s="8">
        <v>45231</v>
      </c>
      <c r="U216" s="8">
        <v>45251</v>
      </c>
      <c r="V216" s="10">
        <f>COUNTA(O216:U216)</f>
        <v>7</v>
      </c>
      <c r="W216" s="11">
        <f>_xlfn.IFNA(INDEX(reading[[#This Row],[Memo 01]:[Memo 07]],MATCH(0,reading[[#This Row],[Memo 01]:[Memo 07]],-1)),"")</f>
        <v>45251</v>
      </c>
      <c r="X216" s="11">
        <f ca="1">IFERROR(reading[[#This Row],[Previous]]+OFFSET(reading[[#Headers],[Memo 01]],-1,MATCH(0,reading[[#This Row],[Memo 01]:[Memo 07]],-1)-1),"")</f>
        <v>55251</v>
      </c>
      <c r="Y216" s="10" t="str">
        <f ca="1">IF(reading[[#This Row],[Next]]&lt;&gt;"",IF(reading[[#This Row],[Next]]&gt;TODAY(),"OK",""),"")</f>
        <v>OK</v>
      </c>
      <c r="Z216" s="13">
        <v>3</v>
      </c>
      <c r="AA216" s="13">
        <v>2</v>
      </c>
      <c r="AB216" s="13">
        <v>3</v>
      </c>
      <c r="AC216" s="13">
        <v>2</v>
      </c>
      <c r="AD216" s="13">
        <v>2</v>
      </c>
      <c r="AE216" s="13">
        <v>3</v>
      </c>
      <c r="AF216" s="13">
        <v>3</v>
      </c>
      <c r="AG216" s="16">
        <f>IFERROR(SUMIF(reading[[#This Row],[1st]:[7th]],"&gt;0")/COUNTIF(reading[[#This Row],[1st]:[7th]],"&gt;0"),"")</f>
        <v>2.5714285714285716</v>
      </c>
    </row>
    <row r="217" spans="1:33" hidden="1" x14ac:dyDescent="0.2">
      <c r="A217" s="4">
        <f>IF(B217=1,3,IF(D217=1,2,IF(F217=1,1,0)))</f>
        <v>3</v>
      </c>
      <c r="B217" s="4">
        <f>IF(C217=$L217,1,IF(C217="","",0))</f>
        <v>1</v>
      </c>
      <c r="C217" s="18" t="s">
        <v>355</v>
      </c>
      <c r="D217" s="4" t="str">
        <f>IF(E217=$L217,1,IF(E217="","",0))</f>
        <v/>
      </c>
      <c r="E217" s="14"/>
      <c r="F217" s="4" t="str">
        <f>IF(G217=$L217,1,IF(G217="","",0))</f>
        <v/>
      </c>
      <c r="G217" s="14"/>
      <c r="H217" s="6">
        <v>220</v>
      </c>
      <c r="I217" s="15" t="s">
        <v>3120</v>
      </c>
      <c r="J217" s="6" t="s">
        <v>3369</v>
      </c>
      <c r="K217" s="6"/>
      <c r="L217" s="6" t="s">
        <v>355</v>
      </c>
      <c r="M217" s="6" t="s">
        <v>6329</v>
      </c>
      <c r="N217" s="7">
        <f ca="1">RAND()</f>
        <v>0.92201149493418932</v>
      </c>
      <c r="O217" s="8">
        <v>45199</v>
      </c>
      <c r="P217" s="8">
        <v>45199</v>
      </c>
      <c r="Q217" s="8">
        <v>45199</v>
      </c>
      <c r="R217" s="8">
        <v>45199</v>
      </c>
      <c r="S217" s="8">
        <v>45199</v>
      </c>
      <c r="T217" s="8">
        <v>45199</v>
      </c>
      <c r="U217" s="8">
        <v>45199</v>
      </c>
      <c r="V217" s="10">
        <f>COUNTA(O217:U217)</f>
        <v>7</v>
      </c>
      <c r="W217" s="11">
        <f>_xlfn.IFNA(INDEX(reading[[#This Row],[Memo 01]:[Memo 07]],MATCH(0,reading[[#This Row],[Memo 01]:[Memo 07]],-1)),"")</f>
        <v>45199</v>
      </c>
      <c r="X217" s="11">
        <f ca="1">IFERROR(reading[[#This Row],[Previous]]+OFFSET(reading[[#Headers],[Memo 01]],-1,MATCH(0,reading[[#This Row],[Memo 01]:[Memo 07]],-1)-1),"")</f>
        <v>55199</v>
      </c>
      <c r="Y217" s="10" t="str">
        <f ca="1">IF(reading[[#This Row],[Next]]&lt;&gt;"",IF(reading[[#This Row],[Next]]&gt;TODAY(),"OK",""),"")</f>
        <v>OK</v>
      </c>
      <c r="Z217" s="13">
        <v>3</v>
      </c>
      <c r="AA217" s="13"/>
      <c r="AB217" s="13"/>
      <c r="AC217" s="13"/>
      <c r="AD217" s="13"/>
      <c r="AE217" s="13"/>
      <c r="AF217" s="13"/>
      <c r="AG217" s="16">
        <f>IFERROR(SUMIF(reading[[#This Row],[1st]:[7th]],"&gt;0")/COUNTIF(reading[[#This Row],[1st]:[7th]],"&gt;0"),"")</f>
        <v>3</v>
      </c>
    </row>
    <row r="218" spans="1:33" hidden="1" x14ac:dyDescent="0.2">
      <c r="A218" s="4">
        <f>IF(B218=1,3,IF(D218=1,2,IF(F218=1,1,0)))</f>
        <v>0</v>
      </c>
      <c r="B218" s="4" t="str">
        <f>IF(C218=$L218,1,IF(C218="","",0))</f>
        <v/>
      </c>
      <c r="C218" s="42"/>
      <c r="D218" s="4" t="str">
        <f>IF(E218=$L218,1,IF(E218="","",0))</f>
        <v/>
      </c>
      <c r="E218" s="14"/>
      <c r="F218" s="4" t="str">
        <f>IF(G218=$L218,1,IF(G218="","",0))</f>
        <v/>
      </c>
      <c r="G218" s="14"/>
      <c r="H218" s="6">
        <v>275</v>
      </c>
      <c r="I218" s="15" t="s">
        <v>3120</v>
      </c>
      <c r="J218" s="6" t="s">
        <v>3424</v>
      </c>
      <c r="K218" s="6"/>
      <c r="L218" s="6" t="s">
        <v>410</v>
      </c>
      <c r="M218" s="6" t="s">
        <v>6384</v>
      </c>
      <c r="N218" s="7">
        <f ca="1">RAND()</f>
        <v>0.29471226089736502</v>
      </c>
      <c r="O218" s="8">
        <v>45200</v>
      </c>
      <c r="P218" s="8">
        <v>45201</v>
      </c>
      <c r="Q218" s="8">
        <v>45203</v>
      </c>
      <c r="R218" s="8">
        <v>45207</v>
      </c>
      <c r="S218" s="8">
        <v>45214</v>
      </c>
      <c r="T218" s="8">
        <v>45226</v>
      </c>
      <c r="U218" s="8">
        <v>45783</v>
      </c>
      <c r="V218" s="10">
        <f>COUNTA(O218:U218)</f>
        <v>7</v>
      </c>
      <c r="W218" s="11">
        <f>_xlfn.IFNA(INDEX(reading[[#This Row],[Memo 01]:[Memo 07]],MATCH(0,reading[[#This Row],[Memo 01]:[Memo 07]],-1)),"")</f>
        <v>45783</v>
      </c>
      <c r="X218" s="11">
        <f ca="1">IFERROR(reading[[#This Row],[Previous]]+OFFSET(reading[[#Headers],[Memo 01]],-1,MATCH(0,reading[[#This Row],[Memo 01]:[Memo 07]],-1)-1),"")</f>
        <v>55783</v>
      </c>
      <c r="Y218" s="10" t="str">
        <f ca="1">IF(reading[[#This Row],[Next]]&lt;&gt;"",IF(reading[[#This Row],[Next]]&gt;TODAY(),"OK",""),"")</f>
        <v>OK</v>
      </c>
      <c r="Z218" s="13">
        <v>3</v>
      </c>
      <c r="AA218" s="13">
        <v>3</v>
      </c>
      <c r="AB218" s="13">
        <v>3</v>
      </c>
      <c r="AC218" s="13">
        <v>3</v>
      </c>
      <c r="AD218" s="13">
        <v>3</v>
      </c>
      <c r="AE218" s="13">
        <v>3</v>
      </c>
      <c r="AF218" s="13">
        <v>3</v>
      </c>
      <c r="AG218" s="16">
        <f>IFERROR(SUMIF(reading[[#This Row],[1st]:[7th]],"&gt;0")/COUNTIF(reading[[#This Row],[1st]:[7th]],"&gt;0"),"")</f>
        <v>3</v>
      </c>
    </row>
    <row r="219" spans="1:33" hidden="1" x14ac:dyDescent="0.2">
      <c r="A219" s="4">
        <f>IF(B219=1,3,IF(D219=1,2,IF(F219=1,1,0)))</f>
        <v>3</v>
      </c>
      <c r="B219" s="4">
        <f>IF(C219=$L219,1,IF(C219="","",0))</f>
        <v>1</v>
      </c>
      <c r="C219" s="18" t="s">
        <v>357</v>
      </c>
      <c r="D219" s="4" t="str">
        <f>IF(E219=$L219,1,IF(E219="","",0))</f>
        <v/>
      </c>
      <c r="E219" s="14"/>
      <c r="F219" s="4" t="str">
        <f>IF(G219=$L219,1,IF(G219="","",0))</f>
        <v/>
      </c>
      <c r="G219" s="14"/>
      <c r="H219" s="6">
        <v>222</v>
      </c>
      <c r="I219" s="15" t="s">
        <v>3120</v>
      </c>
      <c r="J219" s="6" t="s">
        <v>3371</v>
      </c>
      <c r="K219" s="6"/>
      <c r="L219" s="6" t="s">
        <v>357</v>
      </c>
      <c r="M219" s="6" t="s">
        <v>6331</v>
      </c>
      <c r="N219" s="7">
        <f ca="1">RAND()</f>
        <v>0.38160790996238536</v>
      </c>
      <c r="O219" s="8">
        <v>45199</v>
      </c>
      <c r="P219" s="8">
        <v>45199</v>
      </c>
      <c r="Q219" s="8">
        <v>45199</v>
      </c>
      <c r="R219" s="8">
        <v>45199</v>
      </c>
      <c r="S219" s="8">
        <v>45199</v>
      </c>
      <c r="T219" s="8">
        <v>45199</v>
      </c>
      <c r="U219" s="8">
        <v>45199</v>
      </c>
      <c r="V219" s="10">
        <f>COUNTA(O219:U219)</f>
        <v>7</v>
      </c>
      <c r="W219" s="11">
        <f>_xlfn.IFNA(INDEX(reading[[#This Row],[Memo 01]:[Memo 07]],MATCH(0,reading[[#This Row],[Memo 01]:[Memo 07]],-1)),"")</f>
        <v>45199</v>
      </c>
      <c r="X219" s="11">
        <f ca="1">IFERROR(reading[[#This Row],[Previous]]+OFFSET(reading[[#Headers],[Memo 01]],-1,MATCH(0,reading[[#This Row],[Memo 01]:[Memo 07]],-1)-1),"")</f>
        <v>55199</v>
      </c>
      <c r="Y219" s="10" t="str">
        <f ca="1">IF(reading[[#This Row],[Next]]&lt;&gt;"",IF(reading[[#This Row],[Next]]&gt;TODAY(),"OK",""),"")</f>
        <v>OK</v>
      </c>
      <c r="Z219" s="13">
        <v>3</v>
      </c>
      <c r="AA219" s="13"/>
      <c r="AB219" s="13"/>
      <c r="AC219" s="13"/>
      <c r="AD219" s="13"/>
      <c r="AE219" s="13"/>
      <c r="AF219" s="13"/>
      <c r="AG219" s="16">
        <f>IFERROR(SUMIF(reading[[#This Row],[1st]:[7th]],"&gt;0")/COUNTIF(reading[[#This Row],[1st]:[7th]],"&gt;0"),"")</f>
        <v>3</v>
      </c>
    </row>
    <row r="220" spans="1:33" hidden="1" x14ac:dyDescent="0.2">
      <c r="A220" s="4">
        <f>IF(B220=1,3,IF(D220=1,2,IF(F220=1,1,0)))</f>
        <v>0</v>
      </c>
      <c r="B220" s="4" t="str">
        <f>IF(C220=$L220,1,IF(C220="","",0))</f>
        <v/>
      </c>
      <c r="C220" s="42"/>
      <c r="D220" s="4" t="str">
        <f>IF(E220=$L220,1,IF(E220="","",0))</f>
        <v/>
      </c>
      <c r="E220" s="18"/>
      <c r="F220" s="4" t="str">
        <f>IF(G220=$L220,1,IF(G220="","",0))</f>
        <v/>
      </c>
      <c r="G220" s="14"/>
      <c r="H220" s="6">
        <v>2315</v>
      </c>
      <c r="I220" s="15" t="s">
        <v>3120</v>
      </c>
      <c r="J220" s="6" t="s">
        <v>5393</v>
      </c>
      <c r="K220" s="6"/>
      <c r="L220" s="6" t="s">
        <v>55</v>
      </c>
      <c r="M220" s="6" t="s">
        <v>8420</v>
      </c>
      <c r="N220" s="7">
        <f ca="1">RAND()</f>
        <v>0.65968197098454595</v>
      </c>
      <c r="O220" s="8">
        <v>45216</v>
      </c>
      <c r="P220" s="8">
        <v>45217</v>
      </c>
      <c r="Q220" s="8">
        <v>45219</v>
      </c>
      <c r="R220" s="8">
        <v>45223</v>
      </c>
      <c r="S220" s="8">
        <v>45231</v>
      </c>
      <c r="T220" s="8">
        <v>45248</v>
      </c>
      <c r="U220" s="8">
        <v>45818</v>
      </c>
      <c r="V220" s="10">
        <f>COUNTA(O220:U220)</f>
        <v>7</v>
      </c>
      <c r="W220" s="11">
        <f>_xlfn.IFNA(INDEX(reading[[#This Row],[Memo 01]:[Memo 07]],MATCH(0,reading[[#This Row],[Memo 01]:[Memo 07]],-1)),"")</f>
        <v>45818</v>
      </c>
      <c r="X220" s="11">
        <f ca="1">IFERROR(reading[[#This Row],[Previous]]+OFFSET(reading[[#Headers],[Memo 01]],-1,MATCH(0,reading[[#This Row],[Memo 01]:[Memo 07]],-1)-1),"")</f>
        <v>55818</v>
      </c>
      <c r="Y220" s="10" t="str">
        <f ca="1">IF(reading[[#This Row],[Next]]&lt;&gt;"",IF(reading[[#This Row],[Next]]&gt;TODAY(),"OK",""),"")</f>
        <v>OK</v>
      </c>
      <c r="Z220" s="13">
        <v>3</v>
      </c>
      <c r="AA220" s="13">
        <v>3</v>
      </c>
      <c r="AB220" s="13">
        <v>3</v>
      </c>
      <c r="AC220" s="13">
        <v>2</v>
      </c>
      <c r="AD220" s="13">
        <v>1</v>
      </c>
      <c r="AE220" s="13">
        <v>3</v>
      </c>
      <c r="AF220" s="13">
        <v>3</v>
      </c>
      <c r="AG220" s="16">
        <f>IFERROR(SUMIF(reading[[#This Row],[1st]:[7th]],"&gt;0")/COUNTIF(reading[[#This Row],[1st]:[7th]],"&gt;0"),"")</f>
        <v>2.5714285714285716</v>
      </c>
    </row>
    <row r="221" spans="1:33" hidden="1" x14ac:dyDescent="0.2">
      <c r="A221" s="4">
        <f>IF(B221=1,3,IF(D221=1,2,IF(F221=1,1,0)))</f>
        <v>0</v>
      </c>
      <c r="B221" s="4" t="str">
        <f>IF(C221=$L221,1,IF(C221="","",0))</f>
        <v/>
      </c>
      <c r="C221" s="41"/>
      <c r="D221" s="4" t="str">
        <f>IF(E221=$L221,1,IF(E221="","",0))</f>
        <v/>
      </c>
      <c r="E221" s="23"/>
      <c r="F221" s="4" t="str">
        <f>IF(G221=$L221,1,IF(G221="","",0))</f>
        <v/>
      </c>
      <c r="G221" s="14"/>
      <c r="H221" s="6">
        <v>527</v>
      </c>
      <c r="I221" s="15" t="s">
        <v>3120</v>
      </c>
      <c r="J221" s="6" t="s">
        <v>3672</v>
      </c>
      <c r="K221" s="6"/>
      <c r="L221" s="6" t="s">
        <v>655</v>
      </c>
      <c r="M221" s="6" t="s">
        <v>6636</v>
      </c>
      <c r="N221" s="7">
        <f ca="1">RAND()</f>
        <v>0.41785856974613333</v>
      </c>
      <c r="O221" s="8">
        <v>45202</v>
      </c>
      <c r="P221" s="8">
        <v>45203</v>
      </c>
      <c r="Q221" s="8">
        <v>45205</v>
      </c>
      <c r="R221" s="8">
        <v>45209</v>
      </c>
      <c r="S221" s="8">
        <v>45216</v>
      </c>
      <c r="T221" s="8">
        <v>45228</v>
      </c>
      <c r="U221" s="8">
        <v>45250</v>
      </c>
      <c r="V221" s="10">
        <f>COUNTA(O221:U221)</f>
        <v>7</v>
      </c>
      <c r="W221" s="11">
        <f>_xlfn.IFNA(INDEX(reading[[#This Row],[Memo 01]:[Memo 07]],MATCH(0,reading[[#This Row],[Memo 01]:[Memo 07]],-1)),"")</f>
        <v>45250</v>
      </c>
      <c r="X221" s="11">
        <f ca="1">IFERROR(reading[[#This Row],[Previous]]+OFFSET(reading[[#Headers],[Memo 01]],-1,MATCH(0,reading[[#This Row],[Memo 01]:[Memo 07]],-1)-1),"")</f>
        <v>55250</v>
      </c>
      <c r="Y221" s="10" t="str">
        <f ca="1">IF(reading[[#This Row],[Next]]&lt;&gt;"",IF(reading[[#This Row],[Next]]&gt;TODAY(),"OK",""),"")</f>
        <v>OK</v>
      </c>
      <c r="Z221" s="13">
        <v>3</v>
      </c>
      <c r="AA221" s="13">
        <v>2</v>
      </c>
      <c r="AB221" s="13">
        <v>2</v>
      </c>
      <c r="AC221" s="13">
        <v>2</v>
      </c>
      <c r="AD221" s="13">
        <v>3</v>
      </c>
      <c r="AE221" s="13">
        <v>3</v>
      </c>
      <c r="AF221" s="13">
        <v>3</v>
      </c>
      <c r="AG221" s="16">
        <f>IFERROR(SUMIF(reading[[#This Row],[1st]:[7th]],"&gt;0")/COUNTIF(reading[[#This Row],[1st]:[7th]],"&gt;0"),"")</f>
        <v>2.5714285714285716</v>
      </c>
    </row>
    <row r="222" spans="1:33" hidden="1" x14ac:dyDescent="0.2">
      <c r="A222" s="4">
        <f>IF(B222=1,3,IF(D222=1,2,IF(F222=1,1,0)))</f>
        <v>0</v>
      </c>
      <c r="B222" s="4" t="str">
        <f>IF(C222=$L222,1,IF(C222="","",0))</f>
        <v/>
      </c>
      <c r="C222" s="42"/>
      <c r="D222" s="4" t="str">
        <f>IF(E222=$L222,1,IF(E222="","",0))</f>
        <v/>
      </c>
      <c r="E222" s="18"/>
      <c r="F222" s="4" t="str">
        <f>IF(G222=$L222,1,IF(G222="","",0))</f>
        <v/>
      </c>
      <c r="G222" s="14"/>
      <c r="H222" s="6">
        <v>1054</v>
      </c>
      <c r="I222" s="15" t="s">
        <v>3120</v>
      </c>
      <c r="J222" s="6" t="s">
        <v>4181</v>
      </c>
      <c r="K222" s="24" t="s">
        <v>3137</v>
      </c>
      <c r="L222" s="6" t="s">
        <v>1162</v>
      </c>
      <c r="M222" s="6" t="s">
        <v>7162</v>
      </c>
      <c r="N222" s="7">
        <f ca="1">RAND()</f>
        <v>0.8399767488041513</v>
      </c>
      <c r="O222" s="8">
        <v>45205</v>
      </c>
      <c r="P222" s="8">
        <v>45206</v>
      </c>
      <c r="Q222" s="8">
        <v>45208</v>
      </c>
      <c r="R222" s="8">
        <v>45213</v>
      </c>
      <c r="S222" s="8">
        <v>45220</v>
      </c>
      <c r="T222" s="8">
        <v>45232</v>
      </c>
      <c r="U222" s="8">
        <v>45252</v>
      </c>
      <c r="V222" s="10">
        <f>COUNTA(O222:U222)</f>
        <v>7</v>
      </c>
      <c r="W222" s="11">
        <f>_xlfn.IFNA(INDEX(reading[[#This Row],[Memo 01]:[Memo 07]],MATCH(0,reading[[#This Row],[Memo 01]:[Memo 07]],-1)),"")</f>
        <v>45252</v>
      </c>
      <c r="X222" s="11">
        <f ca="1">IFERROR(reading[[#This Row],[Previous]]+OFFSET(reading[[#Headers],[Memo 01]],-1,MATCH(0,reading[[#This Row],[Memo 01]:[Memo 07]],-1)-1),"")</f>
        <v>55252</v>
      </c>
      <c r="Y222" s="10" t="str">
        <f ca="1">IF(reading[[#This Row],[Next]]&lt;&gt;"",IF(reading[[#This Row],[Next]]&gt;TODAY(),"OK",""),"")</f>
        <v>OK</v>
      </c>
      <c r="Z222" s="13">
        <v>3</v>
      </c>
      <c r="AA222" s="13">
        <v>2</v>
      </c>
      <c r="AB222" s="13">
        <v>2</v>
      </c>
      <c r="AC222" s="13">
        <v>2</v>
      </c>
      <c r="AD222" s="13">
        <v>2</v>
      </c>
      <c r="AE222" s="13">
        <v>3</v>
      </c>
      <c r="AF222" s="13">
        <v>3</v>
      </c>
      <c r="AG222" s="16">
        <f>IFERROR(SUMIF(reading[[#This Row],[1st]:[7th]],"&gt;0")/COUNTIF(reading[[#This Row],[1st]:[7th]],"&gt;0"),"")</f>
        <v>2.4285714285714284</v>
      </c>
    </row>
    <row r="223" spans="1:33" hidden="1" x14ac:dyDescent="0.2">
      <c r="A223" s="4">
        <f>IF(B223=1,3,IF(D223=1,2,IF(F223=1,1,0)))</f>
        <v>0</v>
      </c>
      <c r="B223" s="4" t="str">
        <f>IF(C223=$L223,1,IF(C223="","",0))</f>
        <v/>
      </c>
      <c r="C223" s="42"/>
      <c r="D223" s="4" t="str">
        <f>IF(E223=$L223,1,IF(E223="","",0))</f>
        <v/>
      </c>
      <c r="E223" s="23"/>
      <c r="F223" s="4" t="str">
        <f>IF(G223=$L223,1,IF(G223="","",0))</f>
        <v/>
      </c>
      <c r="G223" s="18"/>
      <c r="H223" s="6">
        <v>1208</v>
      </c>
      <c r="I223" s="15" t="s">
        <v>3120</v>
      </c>
      <c r="J223" s="6" t="s">
        <v>4327</v>
      </c>
      <c r="K223" s="6"/>
      <c r="L223" s="6" t="s">
        <v>1310</v>
      </c>
      <c r="M223" s="6" t="s">
        <v>7315</v>
      </c>
      <c r="N223" s="7">
        <f ca="1">RAND()</f>
        <v>6.2030505266982283E-2</v>
      </c>
      <c r="O223" s="8">
        <v>45206</v>
      </c>
      <c r="P223" s="8">
        <v>45207</v>
      </c>
      <c r="Q223" s="8">
        <v>45209</v>
      </c>
      <c r="R223" s="8">
        <v>45213</v>
      </c>
      <c r="S223" s="8">
        <v>45220</v>
      </c>
      <c r="T223" s="8">
        <v>45232</v>
      </c>
      <c r="U223" s="8">
        <v>45252</v>
      </c>
      <c r="V223" s="10">
        <f>COUNTA(O223:U223)</f>
        <v>7</v>
      </c>
      <c r="W223" s="11">
        <f>_xlfn.IFNA(INDEX(reading[[#This Row],[Memo 01]:[Memo 07]],MATCH(0,reading[[#This Row],[Memo 01]:[Memo 07]],-1)),"")</f>
        <v>45252</v>
      </c>
      <c r="X223" s="11">
        <f ca="1">IFERROR(reading[[#This Row],[Previous]]+OFFSET(reading[[#Headers],[Memo 01]],-1,MATCH(0,reading[[#This Row],[Memo 01]:[Memo 07]],-1)-1),"")</f>
        <v>55252</v>
      </c>
      <c r="Y223" s="10" t="str">
        <f ca="1">IF(reading[[#This Row],[Next]]&lt;&gt;"",IF(reading[[#This Row],[Next]]&gt;TODAY(),"OK",""),"")</f>
        <v>OK</v>
      </c>
      <c r="Z223" s="13">
        <v>3</v>
      </c>
      <c r="AA223" s="13">
        <v>3</v>
      </c>
      <c r="AB223" s="13">
        <v>1</v>
      </c>
      <c r="AC223" s="13">
        <v>1</v>
      </c>
      <c r="AD223" s="13">
        <v>3</v>
      </c>
      <c r="AE223" s="13">
        <v>3</v>
      </c>
      <c r="AF223" s="13">
        <v>3</v>
      </c>
      <c r="AG223" s="16">
        <f>IFERROR(SUMIF(reading[[#This Row],[1st]:[7th]],"&gt;0")/COUNTIF(reading[[#This Row],[1st]:[7th]],"&gt;0"),"")</f>
        <v>2.4285714285714284</v>
      </c>
    </row>
    <row r="224" spans="1:33" hidden="1" x14ac:dyDescent="0.2">
      <c r="A224" s="4">
        <f>IF(B224=1,3,IF(D224=1,2,IF(F224=1,1,0)))</f>
        <v>0</v>
      </c>
      <c r="B224" s="4" t="str">
        <f>IF(C224=$L224,1,IF(C224="","",0))</f>
        <v/>
      </c>
      <c r="C224" s="42"/>
      <c r="D224" s="4" t="str">
        <f>IF(E224=$L224,1,IF(E224="","",0))</f>
        <v/>
      </c>
      <c r="E224" s="14"/>
      <c r="F224" s="4" t="str">
        <f>IF(G224=$L224,1,IF(G224="","",0))</f>
        <v/>
      </c>
      <c r="G224" s="14"/>
      <c r="H224" s="6">
        <v>444</v>
      </c>
      <c r="I224" s="15" t="s">
        <v>3120</v>
      </c>
      <c r="J224" s="6" t="s">
        <v>3590</v>
      </c>
      <c r="K224" s="6"/>
      <c r="L224" s="6" t="s">
        <v>573</v>
      </c>
      <c r="M224" s="6" t="s">
        <v>6553</v>
      </c>
      <c r="N224" s="7">
        <f ca="1">RAND()</f>
        <v>1.5426982078753371E-2</v>
      </c>
      <c r="O224" s="8">
        <v>45202</v>
      </c>
      <c r="P224" s="8">
        <v>45203</v>
      </c>
      <c r="Q224" s="8">
        <v>45205</v>
      </c>
      <c r="R224" s="8">
        <v>45209</v>
      </c>
      <c r="S224" s="8">
        <v>45216</v>
      </c>
      <c r="T224" s="8">
        <v>45228</v>
      </c>
      <c r="U224" s="8">
        <v>45818</v>
      </c>
      <c r="V224" s="10">
        <f>COUNTA(O224:U224)</f>
        <v>7</v>
      </c>
      <c r="W224" s="11">
        <f>_xlfn.IFNA(INDEX(reading[[#This Row],[Memo 01]:[Memo 07]],MATCH(0,reading[[#This Row],[Memo 01]:[Memo 07]],-1)),"")</f>
        <v>45818</v>
      </c>
      <c r="X224" s="11">
        <f ca="1">IFERROR(reading[[#This Row],[Previous]]+OFFSET(reading[[#Headers],[Memo 01]],-1,MATCH(0,reading[[#This Row],[Memo 01]:[Memo 07]],-1)-1),"")</f>
        <v>55818</v>
      </c>
      <c r="Y224" s="10" t="str">
        <f ca="1">IF(reading[[#This Row],[Next]]&lt;&gt;"",IF(reading[[#This Row],[Next]]&gt;TODAY(),"OK",""),"")</f>
        <v>OK</v>
      </c>
      <c r="Z224" s="13">
        <v>3</v>
      </c>
      <c r="AA224" s="13">
        <v>3</v>
      </c>
      <c r="AB224" s="13">
        <v>3</v>
      </c>
      <c r="AC224" s="13">
        <v>3</v>
      </c>
      <c r="AD224" s="13">
        <v>3</v>
      </c>
      <c r="AE224" s="13">
        <v>3</v>
      </c>
      <c r="AF224" s="13">
        <v>3</v>
      </c>
      <c r="AG224" s="16">
        <f>IFERROR(SUMIF(reading[[#This Row],[1st]:[7th]],"&gt;0")/COUNTIF(reading[[#This Row],[1st]:[7th]],"&gt;0"),"")</f>
        <v>3</v>
      </c>
    </row>
    <row r="225" spans="1:33" hidden="1" x14ac:dyDescent="0.2">
      <c r="A225" s="4">
        <f>IF(B225=1,3,IF(D225=1,2,IF(F225=1,1,0)))</f>
        <v>0</v>
      </c>
      <c r="B225" s="4" t="str">
        <f>IF(C225=$L225,1,IF(C225="","",0))</f>
        <v/>
      </c>
      <c r="C225" s="41"/>
      <c r="D225" s="4" t="str">
        <f>IF(E225=$L225,1,IF(E225="","",0))</f>
        <v/>
      </c>
      <c r="E225" s="18"/>
      <c r="F225" s="4" t="str">
        <f>IF(G225=$L225,1,IF(G225="","",0))</f>
        <v/>
      </c>
      <c r="G225" s="14"/>
      <c r="H225" s="6">
        <v>889</v>
      </c>
      <c r="I225" s="15" t="s">
        <v>3120</v>
      </c>
      <c r="J225" s="6" t="s">
        <v>4021</v>
      </c>
      <c r="K225" s="15" t="s">
        <v>3139</v>
      </c>
      <c r="L225" s="6" t="s">
        <v>81</v>
      </c>
      <c r="M225" s="6" t="s">
        <v>6998</v>
      </c>
      <c r="N225" s="7">
        <f ca="1">RAND()</f>
        <v>0.75626800489192381</v>
      </c>
      <c r="O225" s="8">
        <v>45204</v>
      </c>
      <c r="P225" s="8">
        <v>45205</v>
      </c>
      <c r="Q225" s="8">
        <v>45207</v>
      </c>
      <c r="R225" s="8">
        <v>45211</v>
      </c>
      <c r="S225" s="8">
        <v>45218</v>
      </c>
      <c r="T225" s="8">
        <v>45230</v>
      </c>
      <c r="U225" s="8">
        <v>45251</v>
      </c>
      <c r="V225" s="10">
        <f>COUNTA(O225:U225)</f>
        <v>7</v>
      </c>
      <c r="W225" s="11">
        <f>_xlfn.IFNA(INDEX(reading[[#This Row],[Memo 01]:[Memo 07]],MATCH(0,reading[[#This Row],[Memo 01]:[Memo 07]],-1)),"")</f>
        <v>45251</v>
      </c>
      <c r="X225" s="11">
        <f ca="1">IFERROR(reading[[#This Row],[Previous]]+OFFSET(reading[[#Headers],[Memo 01]],-1,MATCH(0,reading[[#This Row],[Memo 01]:[Memo 07]],-1)-1),"")</f>
        <v>55251</v>
      </c>
      <c r="Y225" s="10" t="str">
        <f ca="1">IF(reading[[#This Row],[Next]]&lt;&gt;"",IF(reading[[#This Row],[Next]]&gt;TODAY(),"OK",""),"")</f>
        <v>OK</v>
      </c>
      <c r="Z225" s="13">
        <v>3</v>
      </c>
      <c r="AA225" s="13">
        <v>2</v>
      </c>
      <c r="AB225" s="13">
        <v>2</v>
      </c>
      <c r="AC225" s="13">
        <v>3</v>
      </c>
      <c r="AD225" s="13">
        <v>2</v>
      </c>
      <c r="AE225" s="13">
        <v>3</v>
      </c>
      <c r="AF225" s="13">
        <v>2</v>
      </c>
      <c r="AG225" s="16">
        <f>IFERROR(SUMIF(reading[[#This Row],[1st]:[7th]],"&gt;0")/COUNTIF(reading[[#This Row],[1st]:[7th]],"&gt;0"),"")</f>
        <v>2.4285714285714284</v>
      </c>
    </row>
    <row r="226" spans="1:33" hidden="1" x14ac:dyDescent="0.2">
      <c r="A226" s="4">
        <f>IF(B226=1,3,IF(D226=1,2,IF(F226=1,1,0)))</f>
        <v>0</v>
      </c>
      <c r="B226" s="4" t="str">
        <f>IF(C226=$L226,1,IF(C226="","",0))</f>
        <v/>
      </c>
      <c r="C226" s="42"/>
      <c r="D226" s="4" t="str">
        <f>IF(E226=$L226,1,IF(E226="","",0))</f>
        <v/>
      </c>
      <c r="E226" s="18"/>
      <c r="F226" s="4" t="str">
        <f>IF(G226=$L226,1,IF(G226="","",0))</f>
        <v/>
      </c>
      <c r="G226" s="14"/>
      <c r="H226" s="6">
        <v>2323</v>
      </c>
      <c r="I226" s="15" t="s">
        <v>3120</v>
      </c>
      <c r="J226" s="6" t="s">
        <v>5400</v>
      </c>
      <c r="K226" s="6"/>
      <c r="L226" s="6" t="s">
        <v>2378</v>
      </c>
      <c r="M226" s="6" t="s">
        <v>8428</v>
      </c>
      <c r="N226" s="7">
        <f ca="1">RAND()</f>
        <v>0.62320709079123171</v>
      </c>
      <c r="O226" s="8">
        <v>45216</v>
      </c>
      <c r="P226" s="8">
        <v>45217</v>
      </c>
      <c r="Q226" s="8">
        <v>45219</v>
      </c>
      <c r="R226" s="8">
        <v>45223</v>
      </c>
      <c r="S226" s="8">
        <v>45230</v>
      </c>
      <c r="T226" s="8">
        <v>45818</v>
      </c>
      <c r="U226" s="8"/>
      <c r="V226" s="10">
        <f>COUNTA(O226:U226)</f>
        <v>6</v>
      </c>
      <c r="W226" s="11">
        <f>_xlfn.IFNA(INDEX(reading[[#This Row],[Memo 01]:[Memo 07]],MATCH(0,reading[[#This Row],[Memo 01]:[Memo 07]],-1)),"")</f>
        <v>45818</v>
      </c>
      <c r="X226" s="11">
        <f ca="1">IFERROR(reading[[#This Row],[Previous]]+OFFSET(reading[[#Headers],[Memo 01]],-1,MATCH(0,reading[[#This Row],[Memo 01]:[Memo 07]],-1)-1),"")</f>
        <v>45838</v>
      </c>
      <c r="Y226" s="10" t="str">
        <f ca="1">IF(reading[[#This Row],[Next]]&lt;&gt;"",IF(reading[[#This Row],[Next]]&gt;TODAY(),"OK",""),"")</f>
        <v>OK</v>
      </c>
      <c r="Z226" s="13">
        <v>3</v>
      </c>
      <c r="AA226" s="13">
        <v>3</v>
      </c>
      <c r="AB226" s="13">
        <v>2</v>
      </c>
      <c r="AC226" s="13">
        <v>3</v>
      </c>
      <c r="AD226" s="13">
        <v>3</v>
      </c>
      <c r="AE226" s="13">
        <v>3</v>
      </c>
      <c r="AF226" s="13"/>
      <c r="AG226" s="16">
        <f>IFERROR(SUMIF(reading[[#This Row],[1st]:[7th]],"&gt;0")/COUNTIF(reading[[#This Row],[1st]:[7th]],"&gt;0"),"")</f>
        <v>2.8333333333333335</v>
      </c>
    </row>
    <row r="227" spans="1:33" hidden="1" x14ac:dyDescent="0.2">
      <c r="A227" s="4">
        <f>IF(B227=1,3,IF(D227=1,2,IF(F227=1,1,0)))</f>
        <v>0</v>
      </c>
      <c r="B227" s="4" t="str">
        <f>IF(C227=$L227,1,IF(C227="","",0))</f>
        <v/>
      </c>
      <c r="C227" s="42"/>
      <c r="D227" s="4" t="str">
        <f>IF(E227=$L227,1,IF(E227="","",0))</f>
        <v/>
      </c>
      <c r="E227" s="14"/>
      <c r="F227" s="4" t="str">
        <f>IF(G227=$L227,1,IF(G227="","",0))</f>
        <v/>
      </c>
      <c r="G227" s="14"/>
      <c r="H227" s="6">
        <v>876</v>
      </c>
      <c r="I227" s="15" t="s">
        <v>3120</v>
      </c>
      <c r="J227" s="6" t="s">
        <v>4008</v>
      </c>
      <c r="K227" s="6" t="s">
        <v>3139</v>
      </c>
      <c r="L227" s="6" t="s">
        <v>991</v>
      </c>
      <c r="M227" s="6" t="s">
        <v>6985</v>
      </c>
      <c r="N227" s="7">
        <f ca="1">RAND()</f>
        <v>0.62411162668055142</v>
      </c>
      <c r="O227" s="8">
        <v>45204</v>
      </c>
      <c r="P227" s="8">
        <v>45205</v>
      </c>
      <c r="Q227" s="8">
        <v>45207</v>
      </c>
      <c r="R227" s="8">
        <v>45212</v>
      </c>
      <c r="S227" s="8">
        <v>45219</v>
      </c>
      <c r="T227" s="8">
        <v>45231</v>
      </c>
      <c r="U227" s="8">
        <v>45783</v>
      </c>
      <c r="V227" s="10">
        <f>COUNTA(O227:U227)</f>
        <v>7</v>
      </c>
      <c r="W227" s="11">
        <f>_xlfn.IFNA(INDEX(reading[[#This Row],[Memo 01]:[Memo 07]],MATCH(0,reading[[#This Row],[Memo 01]:[Memo 07]],-1)),"")</f>
        <v>45783</v>
      </c>
      <c r="X227" s="11">
        <f ca="1">IFERROR(reading[[#This Row],[Previous]]+OFFSET(reading[[#Headers],[Memo 01]],-1,MATCH(0,reading[[#This Row],[Memo 01]:[Memo 07]],-1)-1),"")</f>
        <v>55783</v>
      </c>
      <c r="Y227" s="10" t="str">
        <f ca="1">IF(reading[[#This Row],[Next]]&lt;&gt;"",IF(reading[[#This Row],[Next]]&gt;TODAY(),"OK",""),"")</f>
        <v>OK</v>
      </c>
      <c r="Z227" s="13">
        <v>3</v>
      </c>
      <c r="AA227" s="13">
        <v>3</v>
      </c>
      <c r="AB227" s="13">
        <v>3</v>
      </c>
      <c r="AC227" s="13">
        <v>2</v>
      </c>
      <c r="AD227" s="13">
        <v>3</v>
      </c>
      <c r="AE227" s="13">
        <v>3</v>
      </c>
      <c r="AF227" s="13">
        <v>3</v>
      </c>
      <c r="AG227" s="16">
        <f>IFERROR(SUMIF(reading[[#This Row],[1st]:[7th]],"&gt;0")/COUNTIF(reading[[#This Row],[1st]:[7th]],"&gt;0"),"")</f>
        <v>2.8571428571428572</v>
      </c>
    </row>
    <row r="228" spans="1:33" hidden="1" x14ac:dyDescent="0.2">
      <c r="A228" s="4">
        <f>IF(B228=1,3,IF(D228=1,2,IF(F228=1,1,0)))</f>
        <v>0</v>
      </c>
      <c r="B228" s="4" t="str">
        <f>IF(C228=$L228,1,IF(C228="","",0))</f>
        <v/>
      </c>
      <c r="C228" s="42"/>
      <c r="D228" s="4" t="str">
        <f>IF(E228=$L228,1,IF(E228="","",0))</f>
        <v/>
      </c>
      <c r="E228" s="18"/>
      <c r="F228" s="4" t="str">
        <f>IF(G228=$L228,1,IF(G228="","",0))</f>
        <v/>
      </c>
      <c r="G228" s="14"/>
      <c r="H228" s="6">
        <v>1240</v>
      </c>
      <c r="I228" s="15" t="s">
        <v>3120</v>
      </c>
      <c r="J228" s="6" t="s">
        <v>4357</v>
      </c>
      <c r="K228" s="6"/>
      <c r="L228" s="6" t="s">
        <v>1340</v>
      </c>
      <c r="M228" s="6" t="s">
        <v>7347</v>
      </c>
      <c r="N228" s="7">
        <f ca="1">RAND()</f>
        <v>0.5753101183430821</v>
      </c>
      <c r="O228" s="8">
        <v>45206</v>
      </c>
      <c r="P228" s="8">
        <v>45207</v>
      </c>
      <c r="Q228" s="8">
        <v>45209</v>
      </c>
      <c r="R228" s="8">
        <v>45213</v>
      </c>
      <c r="S228" s="8">
        <v>45220</v>
      </c>
      <c r="T228" s="8">
        <v>45232</v>
      </c>
      <c r="U228" s="8">
        <v>45252</v>
      </c>
      <c r="V228" s="10">
        <f>COUNTA(O228:U228)</f>
        <v>7</v>
      </c>
      <c r="W228" s="11">
        <f>_xlfn.IFNA(INDEX(reading[[#This Row],[Memo 01]:[Memo 07]],MATCH(0,reading[[#This Row],[Memo 01]:[Memo 07]],-1)),"")</f>
        <v>45252</v>
      </c>
      <c r="X228" s="11">
        <f ca="1">IFERROR(reading[[#This Row],[Previous]]+OFFSET(reading[[#Headers],[Memo 01]],-1,MATCH(0,reading[[#This Row],[Memo 01]:[Memo 07]],-1)-1),"")</f>
        <v>55252</v>
      </c>
      <c r="Y228" s="10" t="str">
        <f ca="1">IF(reading[[#This Row],[Next]]&lt;&gt;"",IF(reading[[#This Row],[Next]]&gt;TODAY(),"OK",""),"")</f>
        <v>OK</v>
      </c>
      <c r="Z228" s="13">
        <v>3</v>
      </c>
      <c r="AA228" s="13">
        <v>2</v>
      </c>
      <c r="AB228" s="13">
        <v>2</v>
      </c>
      <c r="AC228" s="13">
        <v>2</v>
      </c>
      <c r="AD228" s="13">
        <v>2</v>
      </c>
      <c r="AE228" s="13">
        <v>3</v>
      </c>
      <c r="AF228" s="13">
        <v>3</v>
      </c>
      <c r="AG228" s="16">
        <f>IFERROR(SUMIF(reading[[#This Row],[1st]:[7th]],"&gt;0")/COUNTIF(reading[[#This Row],[1st]:[7th]],"&gt;0"),"")</f>
        <v>2.4285714285714284</v>
      </c>
    </row>
    <row r="229" spans="1:33" hidden="1" x14ac:dyDescent="0.2">
      <c r="A229" s="4">
        <f>IF(B229=1,3,IF(D229=1,2,IF(F229=1,1,0)))</f>
        <v>0</v>
      </c>
      <c r="B229" s="4" t="str">
        <f>IF(C229=$L229,1,IF(C229="","",0))</f>
        <v/>
      </c>
      <c r="C229" s="41"/>
      <c r="D229" s="4" t="str">
        <f>IF(E229=$L229,1,IF(E229="","",0))</f>
        <v/>
      </c>
      <c r="E229" s="23"/>
      <c r="F229" s="4" t="str">
        <f>IF(G229=$L229,1,IF(G229="","",0))</f>
        <v/>
      </c>
      <c r="G229" s="14"/>
      <c r="H229" s="6">
        <v>676</v>
      </c>
      <c r="I229" s="15" t="s">
        <v>3120</v>
      </c>
      <c r="J229" s="6" t="s">
        <v>3815</v>
      </c>
      <c r="K229" s="6"/>
      <c r="L229" s="6" t="s">
        <v>799</v>
      </c>
      <c r="M229" s="6" t="s">
        <v>6785</v>
      </c>
      <c r="N229" s="7">
        <f ca="1">RAND()</f>
        <v>0.75496234788173644</v>
      </c>
      <c r="O229" s="8">
        <v>45203</v>
      </c>
      <c r="P229" s="8">
        <v>45204</v>
      </c>
      <c r="Q229" s="8">
        <v>45206</v>
      </c>
      <c r="R229" s="8">
        <v>45210</v>
      </c>
      <c r="S229" s="8">
        <v>45217</v>
      </c>
      <c r="T229" s="8">
        <v>45229</v>
      </c>
      <c r="U229" s="8">
        <v>45251</v>
      </c>
      <c r="V229" s="10">
        <f>COUNTA(O229:U229)</f>
        <v>7</v>
      </c>
      <c r="W229" s="11">
        <f>_xlfn.IFNA(INDEX(reading[[#This Row],[Memo 01]:[Memo 07]],MATCH(0,reading[[#This Row],[Memo 01]:[Memo 07]],-1)),"")</f>
        <v>45251</v>
      </c>
      <c r="X229" s="11">
        <f ca="1">IFERROR(reading[[#This Row],[Previous]]+OFFSET(reading[[#Headers],[Memo 01]],-1,MATCH(0,reading[[#This Row],[Memo 01]:[Memo 07]],-1)-1),"")</f>
        <v>55251</v>
      </c>
      <c r="Y229" s="10" t="str">
        <f ca="1">IF(reading[[#This Row],[Next]]&lt;&gt;"",IF(reading[[#This Row],[Next]]&gt;TODAY(),"OK",""),"")</f>
        <v>OK</v>
      </c>
      <c r="Z229" s="13">
        <v>3</v>
      </c>
      <c r="AA229" s="13">
        <v>3</v>
      </c>
      <c r="AB229" s="13">
        <v>2</v>
      </c>
      <c r="AC229" s="13">
        <v>2</v>
      </c>
      <c r="AD229" s="13">
        <v>3</v>
      </c>
      <c r="AE229" s="13">
        <v>2</v>
      </c>
      <c r="AF229" s="13">
        <v>2</v>
      </c>
      <c r="AG229" s="16">
        <f>IFERROR(SUMIF(reading[[#This Row],[1st]:[7th]],"&gt;0")/COUNTIF(reading[[#This Row],[1st]:[7th]],"&gt;0"),"")</f>
        <v>2.4285714285714284</v>
      </c>
    </row>
    <row r="230" spans="1:33" hidden="1" x14ac:dyDescent="0.2">
      <c r="A230" s="4">
        <f>IF(B230=1,3,IF(D230=1,2,IF(F230=1,1,0)))</f>
        <v>0</v>
      </c>
      <c r="B230" s="4" t="str">
        <f>IF(C230=$L230,1,IF(C230="","",0))</f>
        <v/>
      </c>
      <c r="C230" s="42"/>
      <c r="D230" s="4" t="str">
        <f>IF(E230=$L230,1,IF(E230="","",0))</f>
        <v/>
      </c>
      <c r="E230" s="23"/>
      <c r="F230" s="4" t="str">
        <f>IF(G230=$L230,1,IF(G230="","",0))</f>
        <v/>
      </c>
      <c r="G230" s="14"/>
      <c r="H230" s="6">
        <v>1167</v>
      </c>
      <c r="I230" s="15" t="s">
        <v>3120</v>
      </c>
      <c r="J230" s="6" t="s">
        <v>4286</v>
      </c>
      <c r="K230" s="6"/>
      <c r="L230" s="6" t="s">
        <v>1269</v>
      </c>
      <c r="M230" s="6" t="s">
        <v>7275</v>
      </c>
      <c r="N230" s="7">
        <f ca="1">RAND()</f>
        <v>0.95057057260639799</v>
      </c>
      <c r="O230" s="8">
        <v>45206</v>
      </c>
      <c r="P230" s="8">
        <v>45207</v>
      </c>
      <c r="Q230" s="8">
        <v>45209</v>
      </c>
      <c r="R230" s="8">
        <v>45213</v>
      </c>
      <c r="S230" s="8">
        <v>45220</v>
      </c>
      <c r="T230" s="8">
        <v>45232</v>
      </c>
      <c r="U230" s="8">
        <v>45253</v>
      </c>
      <c r="V230" s="10">
        <f>COUNTA(O230:U230)</f>
        <v>7</v>
      </c>
      <c r="W230" s="11">
        <f>_xlfn.IFNA(INDEX(reading[[#This Row],[Memo 01]:[Memo 07]],MATCH(0,reading[[#This Row],[Memo 01]:[Memo 07]],-1)),"")</f>
        <v>45253</v>
      </c>
      <c r="X230" s="11">
        <f ca="1">IFERROR(reading[[#This Row],[Previous]]+OFFSET(reading[[#Headers],[Memo 01]],-1,MATCH(0,reading[[#This Row],[Memo 01]:[Memo 07]],-1)-1),"")</f>
        <v>55253</v>
      </c>
      <c r="Y230" s="10" t="str">
        <f ca="1">IF(reading[[#This Row],[Next]]&lt;&gt;"",IF(reading[[#This Row],[Next]]&gt;TODAY(),"OK",""),"")</f>
        <v>OK</v>
      </c>
      <c r="Z230" s="13">
        <v>3</v>
      </c>
      <c r="AA230" s="13">
        <v>3</v>
      </c>
      <c r="AB230" s="13">
        <v>1</v>
      </c>
      <c r="AC230" s="13">
        <v>3</v>
      </c>
      <c r="AD230" s="13">
        <v>3</v>
      </c>
      <c r="AE230" s="13">
        <v>2</v>
      </c>
      <c r="AF230" s="13">
        <v>2</v>
      </c>
      <c r="AG230" s="16">
        <f>IFERROR(SUMIF(reading[[#This Row],[1st]:[7th]],"&gt;0")/COUNTIF(reading[[#This Row],[1st]:[7th]],"&gt;0"),"")</f>
        <v>2.4285714285714284</v>
      </c>
    </row>
    <row r="231" spans="1:33" hidden="1" x14ac:dyDescent="0.2">
      <c r="A231" s="4">
        <f>IF(B231=1,3,IF(D231=1,2,IF(F231=1,1,0)))</f>
        <v>0</v>
      </c>
      <c r="B231" s="4" t="str">
        <f>IF(C231=$L231,1,IF(C231="","",0))</f>
        <v/>
      </c>
      <c r="C231" s="42"/>
      <c r="D231" s="4" t="str">
        <f>IF(E231=$L231,1,IF(E231="","",0))</f>
        <v/>
      </c>
      <c r="E231" s="23"/>
      <c r="F231" s="4" t="str">
        <f>IF(G231=$L231,1,IF(G231="","",0))</f>
        <v/>
      </c>
      <c r="G231" s="18"/>
      <c r="H231" s="6">
        <v>1177</v>
      </c>
      <c r="I231" s="15" t="s">
        <v>3120</v>
      </c>
      <c r="J231" s="6" t="s">
        <v>4296</v>
      </c>
      <c r="K231" s="15" t="s">
        <v>3139</v>
      </c>
      <c r="L231" s="6" t="s">
        <v>1279</v>
      </c>
      <c r="M231" s="6" t="s">
        <v>7285</v>
      </c>
      <c r="N231" s="7">
        <f ca="1">RAND()</f>
        <v>0.8817388002487947</v>
      </c>
      <c r="O231" s="8">
        <v>45206</v>
      </c>
      <c r="P231" s="8">
        <v>45207</v>
      </c>
      <c r="Q231" s="8">
        <v>45209</v>
      </c>
      <c r="R231" s="8">
        <v>45213</v>
      </c>
      <c r="S231" s="8">
        <v>45220</v>
      </c>
      <c r="T231" s="8">
        <v>45232</v>
      </c>
      <c r="U231" s="8">
        <v>45252</v>
      </c>
      <c r="V231" s="10">
        <f>COUNTA(O231:U231)</f>
        <v>7</v>
      </c>
      <c r="W231" s="11">
        <f>_xlfn.IFNA(INDEX(reading[[#This Row],[Memo 01]:[Memo 07]],MATCH(0,reading[[#This Row],[Memo 01]:[Memo 07]],-1)),"")</f>
        <v>45252</v>
      </c>
      <c r="X231" s="11">
        <f ca="1">IFERROR(reading[[#This Row],[Previous]]+OFFSET(reading[[#Headers],[Memo 01]],-1,MATCH(0,reading[[#This Row],[Memo 01]:[Memo 07]],-1)-1),"")</f>
        <v>55252</v>
      </c>
      <c r="Y231" s="10" t="str">
        <f ca="1">IF(reading[[#This Row],[Next]]&lt;&gt;"",IF(reading[[#This Row],[Next]]&gt;TODAY(),"OK",""),"")</f>
        <v>OK</v>
      </c>
      <c r="Z231" s="13">
        <v>3</v>
      </c>
      <c r="AA231" s="13">
        <v>3</v>
      </c>
      <c r="AB231" s="13">
        <v>2</v>
      </c>
      <c r="AC231" s="13">
        <v>1</v>
      </c>
      <c r="AD231" s="13">
        <v>3</v>
      </c>
      <c r="AE231" s="13">
        <v>3</v>
      </c>
      <c r="AF231" s="13">
        <v>3</v>
      </c>
      <c r="AG231" s="16">
        <f>IFERROR(SUMIF(reading[[#This Row],[1st]:[7th]],"&gt;0")/COUNTIF(reading[[#This Row],[1st]:[7th]],"&gt;0"),"")</f>
        <v>2.5714285714285716</v>
      </c>
    </row>
    <row r="232" spans="1:33" hidden="1" x14ac:dyDescent="0.2">
      <c r="A232" s="4">
        <f>IF(B232=1,3,IF(D232=1,2,IF(F232=1,1,0)))</f>
        <v>0</v>
      </c>
      <c r="B232" s="4" t="str">
        <f>IF(C232=$L232,1,IF(C232="","",0))</f>
        <v/>
      </c>
      <c r="C232" s="41"/>
      <c r="D232" s="4" t="str">
        <f>IF(E232=$L232,1,IF(E232="","",0))</f>
        <v/>
      </c>
      <c r="E232" s="18"/>
      <c r="F232" s="4" t="str">
        <f>IF(G232=$L232,1,IF(G232="","",0))</f>
        <v/>
      </c>
      <c r="G232" s="14"/>
      <c r="H232" s="6">
        <v>761</v>
      </c>
      <c r="I232" s="15" t="s">
        <v>3120</v>
      </c>
      <c r="J232" s="6" t="s">
        <v>3896</v>
      </c>
      <c r="K232" s="6"/>
      <c r="L232" s="6" t="s">
        <v>880</v>
      </c>
      <c r="M232" s="6" t="s">
        <v>6870</v>
      </c>
      <c r="N232" s="7">
        <f ca="1">RAND()</f>
        <v>0.8391740595442021</v>
      </c>
      <c r="O232" s="8">
        <v>45203</v>
      </c>
      <c r="P232" s="8">
        <v>45204</v>
      </c>
      <c r="Q232" s="8">
        <v>45206</v>
      </c>
      <c r="R232" s="8">
        <v>45210</v>
      </c>
      <c r="S232" s="8">
        <v>45217</v>
      </c>
      <c r="T232" s="8">
        <v>45229</v>
      </c>
      <c r="U232" s="8">
        <v>45251</v>
      </c>
      <c r="V232" s="10">
        <f>COUNTA(O232:U232)</f>
        <v>7</v>
      </c>
      <c r="W232" s="11">
        <f>_xlfn.IFNA(INDEX(reading[[#This Row],[Memo 01]:[Memo 07]],MATCH(0,reading[[#This Row],[Memo 01]:[Memo 07]],-1)),"")</f>
        <v>45251</v>
      </c>
      <c r="X232" s="11">
        <f ca="1">IFERROR(reading[[#This Row],[Previous]]+OFFSET(reading[[#Headers],[Memo 01]],-1,MATCH(0,reading[[#This Row],[Memo 01]:[Memo 07]],-1)-1),"")</f>
        <v>55251</v>
      </c>
      <c r="Y232" s="10" t="str">
        <f ca="1">IF(reading[[#This Row],[Next]]&lt;&gt;"",IF(reading[[#This Row],[Next]]&gt;TODAY(),"OK",""),"")</f>
        <v>OK</v>
      </c>
      <c r="Z232" s="13">
        <v>3</v>
      </c>
      <c r="AA232" s="13">
        <v>3</v>
      </c>
      <c r="AB232" s="13">
        <v>2</v>
      </c>
      <c r="AC232" s="13">
        <v>2</v>
      </c>
      <c r="AD232" s="13">
        <v>3</v>
      </c>
      <c r="AE232" s="13">
        <v>2</v>
      </c>
      <c r="AF232" s="13">
        <v>2</v>
      </c>
      <c r="AG232" s="16">
        <f>IFERROR(SUMIF(reading[[#This Row],[1st]:[7th]],"&gt;0")/COUNTIF(reading[[#This Row],[1st]:[7th]],"&gt;0"),"")</f>
        <v>2.4285714285714284</v>
      </c>
    </row>
    <row r="233" spans="1:33" hidden="1" x14ac:dyDescent="0.2">
      <c r="A233" s="4">
        <f>IF(B233=1,3,IF(D233=1,2,IF(F233=1,1,0)))</f>
        <v>3</v>
      </c>
      <c r="B233" s="4">
        <f>IF(C233=$L233,1,IF(C233="","",0))</f>
        <v>1</v>
      </c>
      <c r="C233" s="18" t="s">
        <v>371</v>
      </c>
      <c r="D233" s="4" t="str">
        <f>IF(E233=$L233,1,IF(E233="","",0))</f>
        <v/>
      </c>
      <c r="E233" s="14"/>
      <c r="F233" s="4" t="str">
        <f>IF(G233=$L233,1,IF(G233="","",0))</f>
        <v/>
      </c>
      <c r="G233" s="14"/>
      <c r="H233" s="6">
        <v>236</v>
      </c>
      <c r="I233" s="15" t="s">
        <v>3120</v>
      </c>
      <c r="J233" s="6" t="s">
        <v>3385</v>
      </c>
      <c r="K233" s="6"/>
      <c r="L233" s="6" t="s">
        <v>371</v>
      </c>
      <c r="M233" s="6" t="s">
        <v>6345</v>
      </c>
      <c r="N233" s="7">
        <f ca="1">RAND()</f>
        <v>0.18275971465975172</v>
      </c>
      <c r="O233" s="8">
        <v>45199</v>
      </c>
      <c r="P233" s="8">
        <v>45199</v>
      </c>
      <c r="Q233" s="8">
        <v>45199</v>
      </c>
      <c r="R233" s="8">
        <v>45199</v>
      </c>
      <c r="S233" s="8">
        <v>45199</v>
      </c>
      <c r="T233" s="8">
        <v>45199</v>
      </c>
      <c r="U233" s="8">
        <v>45199</v>
      </c>
      <c r="V233" s="10">
        <f>COUNTA(O233:U233)</f>
        <v>7</v>
      </c>
      <c r="W233" s="11">
        <f>_xlfn.IFNA(INDEX(reading[[#This Row],[Memo 01]:[Memo 07]],MATCH(0,reading[[#This Row],[Memo 01]:[Memo 07]],-1)),"")</f>
        <v>45199</v>
      </c>
      <c r="X233" s="11">
        <f ca="1">IFERROR(reading[[#This Row],[Previous]]+OFFSET(reading[[#Headers],[Memo 01]],-1,MATCH(0,reading[[#This Row],[Memo 01]:[Memo 07]],-1)-1),"")</f>
        <v>55199</v>
      </c>
      <c r="Y233" s="10" t="str">
        <f ca="1">IF(reading[[#This Row],[Next]]&lt;&gt;"",IF(reading[[#This Row],[Next]]&gt;TODAY(),"OK",""),"")</f>
        <v>OK</v>
      </c>
      <c r="Z233" s="13">
        <v>3</v>
      </c>
      <c r="AA233" s="13"/>
      <c r="AB233" s="13"/>
      <c r="AC233" s="13"/>
      <c r="AD233" s="13"/>
      <c r="AE233" s="13"/>
      <c r="AF233" s="13"/>
      <c r="AG233" s="16">
        <f>IFERROR(SUMIF(reading[[#This Row],[1st]:[7th]],"&gt;0")/COUNTIF(reading[[#This Row],[1st]:[7th]],"&gt;0"),"")</f>
        <v>3</v>
      </c>
    </row>
    <row r="234" spans="1:33" hidden="1" x14ac:dyDescent="0.2">
      <c r="A234" s="4">
        <f>IF(B234=1,3,IF(D234=1,2,IF(F234=1,1,0)))</f>
        <v>0</v>
      </c>
      <c r="B234" s="4" t="str">
        <f>IF(C234=$L234,1,IF(C234="","",0))</f>
        <v/>
      </c>
      <c r="C234" s="42"/>
      <c r="D234" s="4" t="str">
        <f>IF(E234=$L234,1,IF(E234="","",0))</f>
        <v/>
      </c>
      <c r="E234" s="14"/>
      <c r="F234" s="4" t="str">
        <f>IF(G234=$L234,1,IF(G234="","",0))</f>
        <v/>
      </c>
      <c r="G234" s="14"/>
      <c r="H234" s="6">
        <v>375</v>
      </c>
      <c r="I234" s="15" t="s">
        <v>3120</v>
      </c>
      <c r="J234" s="6" t="s">
        <v>3522</v>
      </c>
      <c r="K234" s="15" t="s">
        <v>3138</v>
      </c>
      <c r="L234" s="6" t="s">
        <v>508</v>
      </c>
      <c r="M234" s="6" t="s">
        <v>6484</v>
      </c>
      <c r="N234" s="7">
        <f ca="1">RAND()</f>
        <v>0.61405586560215797</v>
      </c>
      <c r="O234" s="8">
        <v>45201</v>
      </c>
      <c r="P234" s="8">
        <v>45202</v>
      </c>
      <c r="Q234" s="8">
        <v>45204</v>
      </c>
      <c r="R234" s="8">
        <v>45208</v>
      </c>
      <c r="S234" s="8">
        <v>45215</v>
      </c>
      <c r="T234" s="8">
        <v>45227</v>
      </c>
      <c r="U234" s="8">
        <v>45801</v>
      </c>
      <c r="V234" s="10">
        <f>COUNTA(O234:U234)</f>
        <v>7</v>
      </c>
      <c r="W234" s="11">
        <f>_xlfn.IFNA(INDEX(reading[[#This Row],[Memo 01]:[Memo 07]],MATCH(0,reading[[#This Row],[Memo 01]:[Memo 07]],-1)),"")</f>
        <v>45801</v>
      </c>
      <c r="X234" s="11">
        <f ca="1">IFERROR(reading[[#This Row],[Previous]]+OFFSET(reading[[#Headers],[Memo 01]],-1,MATCH(0,reading[[#This Row],[Memo 01]:[Memo 07]],-1)-1),"")</f>
        <v>55801</v>
      </c>
      <c r="Y234" s="10" t="str">
        <f ca="1">IF(reading[[#This Row],[Next]]&lt;&gt;"",IF(reading[[#This Row],[Next]]&gt;TODAY(),"OK",""),"")</f>
        <v>OK</v>
      </c>
      <c r="Z234" s="13">
        <v>3</v>
      </c>
      <c r="AA234" s="13">
        <v>3</v>
      </c>
      <c r="AB234" s="13">
        <v>3</v>
      </c>
      <c r="AC234" s="13">
        <v>3</v>
      </c>
      <c r="AD234" s="13">
        <v>3</v>
      </c>
      <c r="AE234" s="13">
        <v>3</v>
      </c>
      <c r="AF234" s="13">
        <v>3</v>
      </c>
      <c r="AG234" s="16">
        <f>IFERROR(SUMIF(reading[[#This Row],[1st]:[7th]],"&gt;0")/COUNTIF(reading[[#This Row],[1st]:[7th]],"&gt;0"),"")</f>
        <v>3</v>
      </c>
    </row>
    <row r="235" spans="1:33" hidden="1" x14ac:dyDescent="0.2">
      <c r="A235" s="4">
        <f>IF(B235=1,3,IF(D235=1,2,IF(F235=1,1,0)))</f>
        <v>0</v>
      </c>
      <c r="B235" s="4" t="str">
        <f>IF(C235=$L235,1,IF(C235="","",0))</f>
        <v/>
      </c>
      <c r="C235" s="41"/>
      <c r="D235" s="4" t="str">
        <f>IF(E235=$L235,1,IF(E235="","",0))</f>
        <v/>
      </c>
      <c r="E235" s="18"/>
      <c r="F235" s="4" t="str">
        <f>IF(G235=$L235,1,IF(G235="","",0))</f>
        <v/>
      </c>
      <c r="G235" s="14"/>
      <c r="H235" s="6">
        <v>849</v>
      </c>
      <c r="I235" s="15" t="s">
        <v>3120</v>
      </c>
      <c r="J235" s="6" t="s">
        <v>3981</v>
      </c>
      <c r="K235" s="6"/>
      <c r="L235" s="6" t="s">
        <v>965</v>
      </c>
      <c r="M235" s="6" t="s">
        <v>6958</v>
      </c>
      <c r="N235" s="7">
        <f ca="1">RAND()</f>
        <v>0.19472589651659777</v>
      </c>
      <c r="O235" s="8">
        <v>45204</v>
      </c>
      <c r="P235" s="8">
        <v>45205</v>
      </c>
      <c r="Q235" s="8">
        <v>45207</v>
      </c>
      <c r="R235" s="8">
        <v>45212</v>
      </c>
      <c r="S235" s="8">
        <v>45219</v>
      </c>
      <c r="T235" s="8">
        <v>45231</v>
      </c>
      <c r="U235" s="8">
        <v>45251</v>
      </c>
      <c r="V235" s="10">
        <f>COUNTA(O235:U235)</f>
        <v>7</v>
      </c>
      <c r="W235" s="11">
        <f>_xlfn.IFNA(INDEX(reading[[#This Row],[Memo 01]:[Memo 07]],MATCH(0,reading[[#This Row],[Memo 01]:[Memo 07]],-1)),"")</f>
        <v>45251</v>
      </c>
      <c r="X235" s="11">
        <f ca="1">IFERROR(reading[[#This Row],[Previous]]+OFFSET(reading[[#Headers],[Memo 01]],-1,MATCH(0,reading[[#This Row],[Memo 01]:[Memo 07]],-1)-1),"")</f>
        <v>55251</v>
      </c>
      <c r="Y235" s="10" t="str">
        <f ca="1">IF(reading[[#This Row],[Next]]&lt;&gt;"",IF(reading[[#This Row],[Next]]&gt;TODAY(),"OK",""),"")</f>
        <v>OK</v>
      </c>
      <c r="Z235" s="13">
        <v>3</v>
      </c>
      <c r="AA235" s="13">
        <v>3</v>
      </c>
      <c r="AB235" s="13">
        <v>2</v>
      </c>
      <c r="AC235" s="13">
        <v>2</v>
      </c>
      <c r="AD235" s="13">
        <v>3</v>
      </c>
      <c r="AE235" s="13">
        <v>2</v>
      </c>
      <c r="AF235" s="13">
        <v>3</v>
      </c>
      <c r="AG235" s="16">
        <f>IFERROR(SUMIF(reading[[#This Row],[1st]:[7th]],"&gt;0")/COUNTIF(reading[[#This Row],[1st]:[7th]],"&gt;0"),"")</f>
        <v>2.5714285714285716</v>
      </c>
    </row>
    <row r="236" spans="1:33" hidden="1" x14ac:dyDescent="0.2">
      <c r="A236" s="4">
        <f>IF(B236=1,3,IF(D236=1,2,IF(F236=1,1,0)))</f>
        <v>0</v>
      </c>
      <c r="B236" s="4" t="str">
        <f>IF(C236=$L236,1,IF(C236="","",0))</f>
        <v/>
      </c>
      <c r="C236" s="43"/>
      <c r="D236" s="4" t="str">
        <f>IF(E236=$L236,1,IF(E236="","",0))</f>
        <v/>
      </c>
      <c r="E236" s="18"/>
      <c r="F236" s="4" t="str">
        <f>IF(G236=$L236,1,IF(G236="","",0))</f>
        <v/>
      </c>
      <c r="G236" s="14"/>
      <c r="H236" s="6">
        <v>67</v>
      </c>
      <c r="I236" s="15" t="s">
        <v>3120</v>
      </c>
      <c r="J236" s="6" t="s">
        <v>3218</v>
      </c>
      <c r="K236" s="6"/>
      <c r="L236" s="6" t="s">
        <v>206</v>
      </c>
      <c r="M236" s="6" t="s">
        <v>6177</v>
      </c>
      <c r="N236" s="7">
        <f ca="1">RAND()</f>
        <v>0.8145381407849156</v>
      </c>
      <c r="O236" s="8">
        <v>45198</v>
      </c>
      <c r="P236" s="8">
        <v>45199</v>
      </c>
      <c r="Q236" s="8">
        <v>45202</v>
      </c>
      <c r="R236" s="8">
        <v>45206</v>
      </c>
      <c r="S236" s="8">
        <v>45213</v>
      </c>
      <c r="T236" s="8">
        <v>45225</v>
      </c>
      <c r="U236" s="8">
        <v>45783</v>
      </c>
      <c r="V236" s="10">
        <f>COUNTA(O236:U236)</f>
        <v>7</v>
      </c>
      <c r="W236" s="11">
        <f>_xlfn.IFNA(INDEX(reading[[#This Row],[Memo 01]:[Memo 07]],MATCH(0,reading[[#This Row],[Memo 01]:[Memo 07]],-1)),"")</f>
        <v>45783</v>
      </c>
      <c r="X236" s="11">
        <f ca="1">IFERROR(reading[[#This Row],[Previous]]+OFFSET(reading[[#Headers],[Memo 01]],-1,MATCH(0,reading[[#This Row],[Memo 01]:[Memo 07]],-1)-1),"")</f>
        <v>55783</v>
      </c>
      <c r="Y236" s="10" t="str">
        <f ca="1">IF(reading[[#This Row],[Next]]&lt;&gt;"",IF(reading[[#This Row],[Next]]&gt;TODAY(),"OK",""),"")</f>
        <v>OK</v>
      </c>
      <c r="Z236" s="13">
        <v>3</v>
      </c>
      <c r="AA236" s="13">
        <v>3</v>
      </c>
      <c r="AB236" s="13">
        <v>2</v>
      </c>
      <c r="AC236" s="13">
        <v>3</v>
      </c>
      <c r="AD236" s="13">
        <v>3</v>
      </c>
      <c r="AE236" s="13">
        <v>3</v>
      </c>
      <c r="AF236" s="13">
        <v>3</v>
      </c>
      <c r="AG236" s="16">
        <f>IFERROR(SUMIF(reading[[#This Row],[1st]:[7th]],"&gt;0")/COUNTIF(reading[[#This Row],[1st]:[7th]],"&gt;0"),"")</f>
        <v>2.8571428571428572</v>
      </c>
    </row>
    <row r="237" spans="1:33" hidden="1" x14ac:dyDescent="0.2">
      <c r="A237" s="4">
        <f>IF(B237=1,3,IF(D237=1,2,IF(F237=1,1,0)))</f>
        <v>0</v>
      </c>
      <c r="B237" s="4" t="str">
        <f>IF(C237=$L237,1,IF(C237="","",0))</f>
        <v/>
      </c>
      <c r="C237" s="41"/>
      <c r="D237" s="4" t="str">
        <f>IF(E237=$L237,1,IF(E237="","",0))</f>
        <v/>
      </c>
      <c r="E237" s="18"/>
      <c r="F237" s="4" t="str">
        <f>IF(G237=$L237,1,IF(G237="","",0))</f>
        <v/>
      </c>
      <c r="G237" s="14"/>
      <c r="H237" s="6">
        <v>649</v>
      </c>
      <c r="I237" s="15" t="s">
        <v>3120</v>
      </c>
      <c r="J237" s="6" t="s">
        <v>3789</v>
      </c>
      <c r="K237" s="6"/>
      <c r="L237" s="6" t="s">
        <v>772</v>
      </c>
      <c r="M237" s="6" t="s">
        <v>6758</v>
      </c>
      <c r="N237" s="7">
        <f ca="1">RAND()</f>
        <v>0.4808330839146322</v>
      </c>
      <c r="O237" s="8">
        <v>45203</v>
      </c>
      <c r="P237" s="8">
        <v>45204</v>
      </c>
      <c r="Q237" s="8">
        <v>45206</v>
      </c>
      <c r="R237" s="8">
        <v>45210</v>
      </c>
      <c r="S237" s="8">
        <v>45217</v>
      </c>
      <c r="T237" s="8">
        <v>45229</v>
      </c>
      <c r="U237" s="8">
        <v>45251</v>
      </c>
      <c r="V237" s="10">
        <f>COUNTA(O237:U237)</f>
        <v>7</v>
      </c>
      <c r="W237" s="11">
        <f>_xlfn.IFNA(INDEX(reading[[#This Row],[Memo 01]:[Memo 07]],MATCH(0,reading[[#This Row],[Memo 01]:[Memo 07]],-1)),"")</f>
        <v>45251</v>
      </c>
      <c r="X237" s="11">
        <f ca="1">IFERROR(reading[[#This Row],[Previous]]+OFFSET(reading[[#Headers],[Memo 01]],-1,MATCH(0,reading[[#This Row],[Memo 01]:[Memo 07]],-1)-1),"")</f>
        <v>55251</v>
      </c>
      <c r="Y237" s="10" t="str">
        <f ca="1">IF(reading[[#This Row],[Next]]&lt;&gt;"",IF(reading[[#This Row],[Next]]&gt;TODAY(),"OK",""),"")</f>
        <v>OK</v>
      </c>
      <c r="Z237" s="13">
        <v>3</v>
      </c>
      <c r="AA237" s="13">
        <v>3</v>
      </c>
      <c r="AB237" s="13">
        <v>2</v>
      </c>
      <c r="AC237" s="13">
        <v>2</v>
      </c>
      <c r="AD237" s="13">
        <v>2</v>
      </c>
      <c r="AE237" s="13">
        <v>3</v>
      </c>
      <c r="AF237" s="13">
        <v>2</v>
      </c>
      <c r="AG237" s="16">
        <f>IFERROR(SUMIF(reading[[#This Row],[1st]:[7th]],"&gt;0")/COUNTIF(reading[[#This Row],[1st]:[7th]],"&gt;0"),"")</f>
        <v>2.4285714285714284</v>
      </c>
    </row>
    <row r="238" spans="1:33" hidden="1" x14ac:dyDescent="0.2">
      <c r="A238" s="4">
        <f>IF(B238=1,3,IF(D238=1,2,IF(F238=1,1,0)))</f>
        <v>0</v>
      </c>
      <c r="B238" s="4" t="str">
        <f>IF(C238=$L238,1,IF(C238="","",0))</f>
        <v/>
      </c>
      <c r="C238" s="41"/>
      <c r="D238" s="4" t="str">
        <f>IF(E238=$L238,1,IF(E238="","",0))</f>
        <v/>
      </c>
      <c r="E238" s="18"/>
      <c r="F238" s="4" t="str">
        <f>IF(G238=$L238,1,IF(G238="","",0))</f>
        <v/>
      </c>
      <c r="G238" s="18"/>
      <c r="H238" s="6">
        <v>747</v>
      </c>
      <c r="I238" s="15" t="s">
        <v>3120</v>
      </c>
      <c r="J238" s="6" t="s">
        <v>3883</v>
      </c>
      <c r="K238" s="6"/>
      <c r="L238" s="6" t="s">
        <v>866</v>
      </c>
      <c r="M238" s="6" t="s">
        <v>6856</v>
      </c>
      <c r="N238" s="7">
        <f ca="1">RAND()</f>
        <v>0.23561281267074963</v>
      </c>
      <c r="O238" s="8">
        <v>45203</v>
      </c>
      <c r="P238" s="8">
        <v>45204</v>
      </c>
      <c r="Q238" s="8">
        <v>45206</v>
      </c>
      <c r="R238" s="8">
        <v>45210</v>
      </c>
      <c r="S238" s="8">
        <v>45217</v>
      </c>
      <c r="T238" s="8">
        <v>45229</v>
      </c>
      <c r="U238" s="8">
        <v>45251</v>
      </c>
      <c r="V238" s="10">
        <f>COUNTA(O238:U238)</f>
        <v>7</v>
      </c>
      <c r="W238" s="11">
        <f>_xlfn.IFNA(INDEX(reading[[#This Row],[Memo 01]:[Memo 07]],MATCH(0,reading[[#This Row],[Memo 01]:[Memo 07]],-1)),"")</f>
        <v>45251</v>
      </c>
      <c r="X238" s="11">
        <f ca="1">IFERROR(reading[[#This Row],[Previous]]+OFFSET(reading[[#Headers],[Memo 01]],-1,MATCH(0,reading[[#This Row],[Memo 01]:[Memo 07]],-1)-1),"")</f>
        <v>55251</v>
      </c>
      <c r="Y238" s="10" t="str">
        <f ca="1">IF(reading[[#This Row],[Next]]&lt;&gt;"",IF(reading[[#This Row],[Next]]&gt;TODAY(),"OK",""),"")</f>
        <v>OK</v>
      </c>
      <c r="Z238" s="13">
        <v>3</v>
      </c>
      <c r="AA238" s="13">
        <v>1</v>
      </c>
      <c r="AB238" s="13">
        <v>3</v>
      </c>
      <c r="AC238" s="13">
        <v>3</v>
      </c>
      <c r="AD238" s="13">
        <v>2</v>
      </c>
      <c r="AE238" s="13">
        <v>3</v>
      </c>
      <c r="AF238" s="13">
        <v>2</v>
      </c>
      <c r="AG238" s="16">
        <f>IFERROR(SUMIF(reading[[#This Row],[1st]:[7th]],"&gt;0")/COUNTIF(reading[[#This Row],[1st]:[7th]],"&gt;0"),"")</f>
        <v>2.4285714285714284</v>
      </c>
    </row>
    <row r="239" spans="1:33" hidden="1" x14ac:dyDescent="0.2">
      <c r="A239" s="4">
        <f>IF(B239=1,3,IF(D239=1,2,IF(F239=1,1,0)))</f>
        <v>0</v>
      </c>
      <c r="B239" s="4" t="str">
        <f>IF(C239=$L239,1,IF(C239="","",0))</f>
        <v/>
      </c>
      <c r="C239" s="42"/>
      <c r="D239" s="4" t="str">
        <f>IF(E239=$L239,1,IF(E239="","",0))</f>
        <v/>
      </c>
      <c r="E239" s="23"/>
      <c r="F239" s="4" t="str">
        <f>IF(G239=$L239,1,IF(G239="","",0))</f>
        <v/>
      </c>
      <c r="G239" s="14"/>
      <c r="H239" s="6">
        <v>1020</v>
      </c>
      <c r="I239" s="15" t="s">
        <v>3120</v>
      </c>
      <c r="J239" s="6" t="s">
        <v>4148</v>
      </c>
      <c r="K239" s="6"/>
      <c r="L239" s="6" t="s">
        <v>1130</v>
      </c>
      <c r="M239" s="6" t="s">
        <v>7128</v>
      </c>
      <c r="N239" s="7">
        <f ca="1">RAND()</f>
        <v>0.42185928701941189</v>
      </c>
      <c r="O239" s="8">
        <v>45205</v>
      </c>
      <c r="P239" s="8">
        <v>45206</v>
      </c>
      <c r="Q239" s="8">
        <v>45208</v>
      </c>
      <c r="R239" s="8">
        <v>45213</v>
      </c>
      <c r="S239" s="8">
        <v>45220</v>
      </c>
      <c r="T239" s="8">
        <v>45232</v>
      </c>
      <c r="U239" s="8">
        <v>45252</v>
      </c>
      <c r="V239" s="10">
        <f>COUNTA(O239:U239)</f>
        <v>7</v>
      </c>
      <c r="W239" s="11">
        <f>_xlfn.IFNA(INDEX(reading[[#This Row],[Memo 01]:[Memo 07]],MATCH(0,reading[[#This Row],[Memo 01]:[Memo 07]],-1)),"")</f>
        <v>45252</v>
      </c>
      <c r="X239" s="11">
        <f ca="1">IFERROR(reading[[#This Row],[Previous]]+OFFSET(reading[[#Headers],[Memo 01]],-1,MATCH(0,reading[[#This Row],[Memo 01]:[Memo 07]],-1)-1),"")</f>
        <v>55252</v>
      </c>
      <c r="Y239" s="10" t="str">
        <f ca="1">IF(reading[[#This Row],[Next]]&lt;&gt;"",IF(reading[[#This Row],[Next]]&gt;TODAY(),"OK",""),"")</f>
        <v>OK</v>
      </c>
      <c r="Z239" s="13">
        <v>3</v>
      </c>
      <c r="AA239" s="13">
        <v>2</v>
      </c>
      <c r="AB239" s="13">
        <v>3</v>
      </c>
      <c r="AC239" s="13">
        <v>1</v>
      </c>
      <c r="AD239" s="13">
        <v>3</v>
      </c>
      <c r="AE239" s="13">
        <v>3</v>
      </c>
      <c r="AF239" s="13">
        <v>3</v>
      </c>
      <c r="AG239" s="16">
        <f>IFERROR(SUMIF(reading[[#This Row],[1st]:[7th]],"&gt;0")/COUNTIF(reading[[#This Row],[1st]:[7th]],"&gt;0"),"")</f>
        <v>2.5714285714285716</v>
      </c>
    </row>
    <row r="240" spans="1:33" hidden="1" x14ac:dyDescent="0.2">
      <c r="A240" s="4">
        <f>IF(B240=1,3,IF(D240=1,2,IF(F240=1,1,0)))</f>
        <v>0</v>
      </c>
      <c r="B240" s="4" t="str">
        <f>IF(C240=$L240,1,IF(C240="","",0))</f>
        <v/>
      </c>
      <c r="C240" s="41"/>
      <c r="D240" s="4" t="str">
        <f>IF(E240=$L240,1,IF(E240="","",0))</f>
        <v/>
      </c>
      <c r="E240" s="23"/>
      <c r="F240" s="4" t="str">
        <f>IF(G240=$L240,1,IF(G240="","",0))</f>
        <v/>
      </c>
      <c r="G240" s="18"/>
      <c r="H240" s="6">
        <v>1099</v>
      </c>
      <c r="I240" s="15" t="s">
        <v>3120</v>
      </c>
      <c r="J240" s="6" t="s">
        <v>4223</v>
      </c>
      <c r="K240" s="6"/>
      <c r="L240" s="6" t="s">
        <v>1205</v>
      </c>
      <c r="M240" s="6" t="s">
        <v>7207</v>
      </c>
      <c r="N240" s="7">
        <f ca="1">RAND()</f>
        <v>0.28446344563000636</v>
      </c>
      <c r="O240" s="8">
        <v>45205</v>
      </c>
      <c r="P240" s="8">
        <v>45206</v>
      </c>
      <c r="Q240" s="8">
        <v>45208</v>
      </c>
      <c r="R240" s="8">
        <v>45212</v>
      </c>
      <c r="S240" s="8">
        <v>45219</v>
      </c>
      <c r="T240" s="8">
        <v>45231</v>
      </c>
      <c r="U240" s="8">
        <v>45251</v>
      </c>
      <c r="V240" s="10">
        <f>COUNTA(O240:U240)</f>
        <v>7</v>
      </c>
      <c r="W240" s="11">
        <f>_xlfn.IFNA(INDEX(reading[[#This Row],[Memo 01]:[Memo 07]],MATCH(0,reading[[#This Row],[Memo 01]:[Memo 07]],-1)),"")</f>
        <v>45251</v>
      </c>
      <c r="X240" s="11">
        <f ca="1">IFERROR(reading[[#This Row],[Previous]]+OFFSET(reading[[#Headers],[Memo 01]],-1,MATCH(0,reading[[#This Row],[Memo 01]:[Memo 07]],-1)-1),"")</f>
        <v>55251</v>
      </c>
      <c r="Y240" s="10" t="str">
        <f ca="1">IF(reading[[#This Row],[Next]]&lt;&gt;"",IF(reading[[#This Row],[Next]]&gt;TODAY(),"OK",""),"")</f>
        <v>OK</v>
      </c>
      <c r="Z240" s="13">
        <v>3</v>
      </c>
      <c r="AA240" s="13">
        <v>1</v>
      </c>
      <c r="AB240" s="13">
        <v>3</v>
      </c>
      <c r="AC240" s="13">
        <v>3</v>
      </c>
      <c r="AD240" s="13">
        <v>3</v>
      </c>
      <c r="AE240" s="13">
        <v>2</v>
      </c>
      <c r="AF240" s="13">
        <v>3</v>
      </c>
      <c r="AG240" s="16">
        <f>IFERROR(SUMIF(reading[[#This Row],[1st]:[7th]],"&gt;0")/COUNTIF(reading[[#This Row],[1st]:[7th]],"&gt;0"),"")</f>
        <v>2.5714285714285716</v>
      </c>
    </row>
    <row r="241" spans="1:33" hidden="1" x14ac:dyDescent="0.2">
      <c r="A241" s="4">
        <f>IF(B241=1,3,IF(D241=1,2,IF(F241=1,1,0)))</f>
        <v>0</v>
      </c>
      <c r="B241" s="4" t="str">
        <f>IF(C241=$L241,1,IF(C241="","",0))</f>
        <v/>
      </c>
      <c r="C241" s="41"/>
      <c r="D241" s="4" t="str">
        <f>IF(E241=$L241,1,IF(E241="","",0))</f>
        <v/>
      </c>
      <c r="E241" s="14"/>
      <c r="F241" s="4" t="str">
        <f>IF(G241=$L241,1,IF(G241="","",0))</f>
        <v/>
      </c>
      <c r="G241" s="14"/>
      <c r="H241" s="6">
        <v>936</v>
      </c>
      <c r="I241" s="15" t="s">
        <v>3120</v>
      </c>
      <c r="J241" s="6" t="s">
        <v>4066</v>
      </c>
      <c r="K241" s="6"/>
      <c r="L241" s="6" t="s">
        <v>1047</v>
      </c>
      <c r="M241" s="6" t="s">
        <v>7044</v>
      </c>
      <c r="N241" s="7">
        <f ca="1">RAND()</f>
        <v>0.66791370734693034</v>
      </c>
      <c r="O241" s="8">
        <v>45204</v>
      </c>
      <c r="P241" s="8">
        <v>45205</v>
      </c>
      <c r="Q241" s="8">
        <v>45207</v>
      </c>
      <c r="R241" s="8">
        <v>45212</v>
      </c>
      <c r="S241" s="8">
        <v>45219</v>
      </c>
      <c r="T241" s="8">
        <v>45231</v>
      </c>
      <c r="U241" s="8">
        <v>45251</v>
      </c>
      <c r="V241" s="10">
        <f>COUNTA(O241:U241)</f>
        <v>7</v>
      </c>
      <c r="W241" s="11">
        <f>_xlfn.IFNA(INDEX(reading[[#This Row],[Memo 01]:[Memo 07]],MATCH(0,reading[[#This Row],[Memo 01]:[Memo 07]],-1)),"")</f>
        <v>45251</v>
      </c>
      <c r="X241" s="11">
        <f ca="1">IFERROR(reading[[#This Row],[Previous]]+OFFSET(reading[[#Headers],[Memo 01]],-1,MATCH(0,reading[[#This Row],[Memo 01]:[Memo 07]],-1)-1),"")</f>
        <v>55251</v>
      </c>
      <c r="Y241" s="10" t="str">
        <f ca="1">IF(reading[[#This Row],[Next]]&lt;&gt;"",IF(reading[[#This Row],[Next]]&gt;TODAY(),"OK",""),"")</f>
        <v>OK</v>
      </c>
      <c r="Z241" s="13">
        <v>3</v>
      </c>
      <c r="AA241" s="13">
        <v>3</v>
      </c>
      <c r="AB241" s="13">
        <v>3</v>
      </c>
      <c r="AC241" s="13">
        <v>1</v>
      </c>
      <c r="AD241" s="13">
        <v>3</v>
      </c>
      <c r="AE241" s="13">
        <v>2</v>
      </c>
      <c r="AF241" s="13">
        <v>3</v>
      </c>
      <c r="AG241" s="16">
        <f>IFERROR(SUMIF(reading[[#This Row],[1st]:[7th]],"&gt;0")/COUNTIF(reading[[#This Row],[1st]:[7th]],"&gt;0"),"")</f>
        <v>2.5714285714285716</v>
      </c>
    </row>
    <row r="242" spans="1:33" hidden="1" x14ac:dyDescent="0.2">
      <c r="A242" s="4">
        <f>IF(B242=1,3,IF(D242=1,2,IF(F242=1,1,0)))</f>
        <v>3</v>
      </c>
      <c r="B242" s="4">
        <f>IF(C242=$L242,1,IF(C242="","",0))</f>
        <v>1</v>
      </c>
      <c r="C242" s="18" t="s">
        <v>380</v>
      </c>
      <c r="D242" s="4" t="str">
        <f>IF(E242=$L242,1,IF(E242="","",0))</f>
        <v/>
      </c>
      <c r="E242" s="14"/>
      <c r="F242" s="4" t="str">
        <f>IF(G242=$L242,1,IF(G242="","",0))</f>
        <v/>
      </c>
      <c r="G242" s="14"/>
      <c r="H242" s="6">
        <v>245</v>
      </c>
      <c r="I242" s="15" t="s">
        <v>3120</v>
      </c>
      <c r="J242" s="6" t="s">
        <v>3394</v>
      </c>
      <c r="K242" s="6"/>
      <c r="L242" s="6" t="s">
        <v>380</v>
      </c>
      <c r="M242" s="6" t="s">
        <v>6354</v>
      </c>
      <c r="N242" s="7">
        <f ca="1">RAND()</f>
        <v>0.47667745977488407</v>
      </c>
      <c r="O242" s="8">
        <v>45199</v>
      </c>
      <c r="P242" s="8">
        <v>45199</v>
      </c>
      <c r="Q242" s="8">
        <v>45199</v>
      </c>
      <c r="R242" s="8">
        <v>45199</v>
      </c>
      <c r="S242" s="8">
        <v>45199</v>
      </c>
      <c r="T242" s="8">
        <v>45199</v>
      </c>
      <c r="U242" s="8">
        <v>45199</v>
      </c>
      <c r="V242" s="10">
        <f>COUNTA(O242:U242)</f>
        <v>7</v>
      </c>
      <c r="W242" s="11">
        <f>_xlfn.IFNA(INDEX(reading[[#This Row],[Memo 01]:[Memo 07]],MATCH(0,reading[[#This Row],[Memo 01]:[Memo 07]],-1)),"")</f>
        <v>45199</v>
      </c>
      <c r="X242" s="11">
        <f ca="1">IFERROR(reading[[#This Row],[Previous]]+OFFSET(reading[[#Headers],[Memo 01]],-1,MATCH(0,reading[[#This Row],[Memo 01]:[Memo 07]],-1)-1),"")</f>
        <v>55199</v>
      </c>
      <c r="Y242" s="10" t="str">
        <f ca="1">IF(reading[[#This Row],[Next]]&lt;&gt;"",IF(reading[[#This Row],[Next]]&gt;TODAY(),"OK",""),"")</f>
        <v>OK</v>
      </c>
      <c r="Z242" s="13">
        <v>3</v>
      </c>
      <c r="AA242" s="13"/>
      <c r="AB242" s="13"/>
      <c r="AC242" s="13"/>
      <c r="AD242" s="13"/>
      <c r="AE242" s="13"/>
      <c r="AF242" s="13"/>
      <c r="AG242" s="16">
        <f>IFERROR(SUMIF(reading[[#This Row],[1st]:[7th]],"&gt;0")/COUNTIF(reading[[#This Row],[1st]:[7th]],"&gt;0"),"")</f>
        <v>3</v>
      </c>
    </row>
    <row r="243" spans="1:33" hidden="1" x14ac:dyDescent="0.2">
      <c r="A243" s="4">
        <f>IF(B243=1,3,IF(D243=1,2,IF(F243=1,1,0)))</f>
        <v>0</v>
      </c>
      <c r="B243" s="4" t="str">
        <f>IF(C243=$L243,1,IF(C243="","",0))</f>
        <v/>
      </c>
      <c r="C243" s="42"/>
      <c r="D243" s="4" t="str">
        <f>IF(E243=$L243,1,IF(E243="","",0))</f>
        <v/>
      </c>
      <c r="E243" s="18"/>
      <c r="F243" s="4" t="str">
        <f>IF(G243=$L243,1,IF(G243="","",0))</f>
        <v/>
      </c>
      <c r="G243" s="14"/>
      <c r="H243" s="6">
        <v>1027</v>
      </c>
      <c r="I243" s="15" t="s">
        <v>3120</v>
      </c>
      <c r="J243" s="6" t="s">
        <v>3188</v>
      </c>
      <c r="K243" s="6"/>
      <c r="L243" s="6" t="s">
        <v>1136</v>
      </c>
      <c r="M243" s="6" t="s">
        <v>7135</v>
      </c>
      <c r="N243" s="7">
        <f ca="1">RAND()</f>
        <v>0.64377222529986056</v>
      </c>
      <c r="O243" s="8">
        <v>45205</v>
      </c>
      <c r="P243" s="8">
        <v>45206</v>
      </c>
      <c r="Q243" s="8">
        <v>45208</v>
      </c>
      <c r="R243" s="8">
        <v>45213</v>
      </c>
      <c r="S243" s="8">
        <v>45220</v>
      </c>
      <c r="T243" s="8">
        <v>45232</v>
      </c>
      <c r="U243" s="8">
        <v>45252</v>
      </c>
      <c r="V243" s="10">
        <f>COUNTA(O243:U243)</f>
        <v>7</v>
      </c>
      <c r="W243" s="11">
        <f>_xlfn.IFNA(INDEX(reading[[#This Row],[Memo 01]:[Memo 07]],MATCH(0,reading[[#This Row],[Memo 01]:[Memo 07]],-1)),"")</f>
        <v>45252</v>
      </c>
      <c r="X243" s="11">
        <f ca="1">IFERROR(reading[[#This Row],[Previous]]+OFFSET(reading[[#Headers],[Memo 01]],-1,MATCH(0,reading[[#This Row],[Memo 01]:[Memo 07]],-1)-1),"")</f>
        <v>55252</v>
      </c>
      <c r="Y243" s="10" t="str">
        <f ca="1">IF(reading[[#This Row],[Next]]&lt;&gt;"",IF(reading[[#This Row],[Next]]&gt;TODAY(),"OK",""),"")</f>
        <v>OK</v>
      </c>
      <c r="Z243" s="13">
        <v>3</v>
      </c>
      <c r="AA243" s="13">
        <v>2</v>
      </c>
      <c r="AB243" s="13">
        <v>2</v>
      </c>
      <c r="AC243" s="13">
        <v>2</v>
      </c>
      <c r="AD243" s="13">
        <v>3</v>
      </c>
      <c r="AE243" s="13">
        <v>3</v>
      </c>
      <c r="AF243" s="13">
        <v>3</v>
      </c>
      <c r="AG243" s="16">
        <f>IFERROR(SUMIF(reading[[#This Row],[1st]:[7th]],"&gt;0")/COUNTIF(reading[[#This Row],[1st]:[7th]],"&gt;0"),"")</f>
        <v>2.5714285714285716</v>
      </c>
    </row>
    <row r="244" spans="1:33" hidden="1" x14ac:dyDescent="0.2">
      <c r="A244" s="4">
        <f>IF(B244=1,3,IF(D244=1,2,IF(F244=1,1,0)))</f>
        <v>0</v>
      </c>
      <c r="B244" s="4" t="str">
        <f>IF(C244=$L244,1,IF(C244="","",0))</f>
        <v/>
      </c>
      <c r="C244" s="42"/>
      <c r="D244" s="4" t="str">
        <f>IF(E244=$L244,1,IF(E244="","",0))</f>
        <v/>
      </c>
      <c r="E244" s="23"/>
      <c r="F244" s="4" t="str">
        <f>IF(G244=$L244,1,IF(G244="","",0))</f>
        <v/>
      </c>
      <c r="G244" s="14"/>
      <c r="H244" s="6">
        <v>1072</v>
      </c>
      <c r="I244" s="15" t="s">
        <v>3120</v>
      </c>
      <c r="J244" s="6" t="s">
        <v>4198</v>
      </c>
      <c r="K244" s="6"/>
      <c r="L244" s="6" t="s">
        <v>1179</v>
      </c>
      <c r="M244" s="6" t="s">
        <v>7180</v>
      </c>
      <c r="N244" s="7">
        <f ca="1">RAND()</f>
        <v>0.66661513062160371</v>
      </c>
      <c r="O244" s="8">
        <v>45205</v>
      </c>
      <c r="P244" s="8">
        <v>45206</v>
      </c>
      <c r="Q244" s="8">
        <v>45208</v>
      </c>
      <c r="R244" s="8">
        <v>45213</v>
      </c>
      <c r="S244" s="8">
        <v>45220</v>
      </c>
      <c r="T244" s="8">
        <v>45232</v>
      </c>
      <c r="U244" s="8">
        <v>45252</v>
      </c>
      <c r="V244" s="10">
        <f>COUNTA(O244:U244)</f>
        <v>7</v>
      </c>
      <c r="W244" s="11">
        <f>_xlfn.IFNA(INDEX(reading[[#This Row],[Memo 01]:[Memo 07]],MATCH(0,reading[[#This Row],[Memo 01]:[Memo 07]],-1)),"")</f>
        <v>45252</v>
      </c>
      <c r="X244" s="11">
        <f ca="1">IFERROR(reading[[#This Row],[Previous]]+OFFSET(reading[[#Headers],[Memo 01]],-1,MATCH(0,reading[[#This Row],[Memo 01]:[Memo 07]],-1)-1),"")</f>
        <v>55252</v>
      </c>
      <c r="Y244" s="10" t="str">
        <f ca="1">IF(reading[[#This Row],[Next]]&lt;&gt;"",IF(reading[[#This Row],[Next]]&gt;TODAY(),"OK",""),"")</f>
        <v>OK</v>
      </c>
      <c r="Z244" s="13">
        <v>3</v>
      </c>
      <c r="AA244" s="13">
        <v>2</v>
      </c>
      <c r="AB244" s="13">
        <v>2</v>
      </c>
      <c r="AC244" s="13">
        <v>2</v>
      </c>
      <c r="AD244" s="13">
        <v>3</v>
      </c>
      <c r="AE244" s="13">
        <v>3</v>
      </c>
      <c r="AF244" s="13">
        <v>3</v>
      </c>
      <c r="AG244" s="16">
        <f>IFERROR(SUMIF(reading[[#This Row],[1st]:[7th]],"&gt;0")/COUNTIF(reading[[#This Row],[1st]:[7th]],"&gt;0"),"")</f>
        <v>2.5714285714285716</v>
      </c>
    </row>
    <row r="245" spans="1:33" hidden="1" x14ac:dyDescent="0.2">
      <c r="A245" s="4">
        <f>IF(B245=1,3,IF(D245=1,2,IF(F245=1,1,0)))</f>
        <v>0</v>
      </c>
      <c r="B245" s="4" t="str">
        <f>IF(C245=$L245,1,IF(C245="","",0))</f>
        <v/>
      </c>
      <c r="C245" s="41"/>
      <c r="D245" s="4" t="str">
        <f>IF(E245=$L245,1,IF(E245="","",0))</f>
        <v/>
      </c>
      <c r="E245" s="18"/>
      <c r="F245" s="4" t="str">
        <f>IF(G245=$L245,1,IF(G245="","",0))</f>
        <v/>
      </c>
      <c r="G245" s="14"/>
      <c r="H245" s="6">
        <v>874</v>
      </c>
      <c r="I245" s="15" t="s">
        <v>3120</v>
      </c>
      <c r="J245" s="6" t="s">
        <v>4006</v>
      </c>
      <c r="K245" s="6"/>
      <c r="L245" s="6" t="s">
        <v>989</v>
      </c>
      <c r="M245" s="6" t="s">
        <v>6983</v>
      </c>
      <c r="N245" s="7">
        <f ca="1">RAND()</f>
        <v>0.73034670348377917</v>
      </c>
      <c r="O245" s="8">
        <v>45204</v>
      </c>
      <c r="P245" s="8">
        <v>45205</v>
      </c>
      <c r="Q245" s="8">
        <v>45207</v>
      </c>
      <c r="R245" s="8">
        <v>45211</v>
      </c>
      <c r="S245" s="8">
        <v>45218</v>
      </c>
      <c r="T245" s="8">
        <v>45230</v>
      </c>
      <c r="U245" s="8">
        <v>45251</v>
      </c>
      <c r="V245" s="10">
        <f>COUNTA(O245:U245)</f>
        <v>7</v>
      </c>
      <c r="W245" s="11">
        <f>_xlfn.IFNA(INDEX(reading[[#This Row],[Memo 01]:[Memo 07]],MATCH(0,reading[[#This Row],[Memo 01]:[Memo 07]],-1)),"")</f>
        <v>45251</v>
      </c>
      <c r="X245" s="11">
        <f ca="1">IFERROR(reading[[#This Row],[Previous]]+OFFSET(reading[[#Headers],[Memo 01]],-1,MATCH(0,reading[[#This Row],[Memo 01]:[Memo 07]],-1)-1),"")</f>
        <v>55251</v>
      </c>
      <c r="Y245" s="10" t="str">
        <f ca="1">IF(reading[[#This Row],[Next]]&lt;&gt;"",IF(reading[[#This Row],[Next]]&gt;TODAY(),"OK",""),"")</f>
        <v>OK</v>
      </c>
      <c r="Z245" s="13">
        <v>3</v>
      </c>
      <c r="AA245" s="13">
        <v>2</v>
      </c>
      <c r="AB245" s="13">
        <v>2</v>
      </c>
      <c r="AC245" s="13">
        <v>3</v>
      </c>
      <c r="AD245" s="13">
        <v>3</v>
      </c>
      <c r="AE245" s="13">
        <v>2</v>
      </c>
      <c r="AF245" s="13">
        <v>2</v>
      </c>
      <c r="AG245" s="16">
        <f>IFERROR(SUMIF(reading[[#This Row],[1st]:[7th]],"&gt;0")/COUNTIF(reading[[#This Row],[1st]:[7th]],"&gt;0"),"")</f>
        <v>2.4285714285714284</v>
      </c>
    </row>
    <row r="246" spans="1:33" hidden="1" x14ac:dyDescent="0.2">
      <c r="A246" s="4">
        <f>IF(B246=1,3,IF(D246=1,2,IF(F246=1,1,0)))</f>
        <v>0</v>
      </c>
      <c r="B246" s="4" t="str">
        <f>IF(C246=$L246,1,IF(C246="","",0))</f>
        <v/>
      </c>
      <c r="C246" s="41"/>
      <c r="D246" s="4" t="str">
        <f>IF(E246=$L246,1,IF(E246="","",0))</f>
        <v/>
      </c>
      <c r="E246" s="23"/>
      <c r="F246" s="4" t="str">
        <f>IF(G246=$L246,1,IF(G246="","",0))</f>
        <v/>
      </c>
      <c r="G246" s="14"/>
      <c r="H246" s="6">
        <v>599</v>
      </c>
      <c r="I246" s="15" t="s">
        <v>3120</v>
      </c>
      <c r="J246" s="6" t="s">
        <v>3188</v>
      </c>
      <c r="K246" s="6"/>
      <c r="L246" s="6" t="s">
        <v>725</v>
      </c>
      <c r="M246" s="6" t="s">
        <v>6708</v>
      </c>
      <c r="N246" s="7">
        <f ca="1">RAND()</f>
        <v>0.10417246994357976</v>
      </c>
      <c r="O246" s="8">
        <v>45202</v>
      </c>
      <c r="P246" s="8">
        <v>45203</v>
      </c>
      <c r="Q246" s="8">
        <v>45205</v>
      </c>
      <c r="R246" s="8">
        <v>45209</v>
      </c>
      <c r="S246" s="8">
        <v>45216</v>
      </c>
      <c r="T246" s="8">
        <v>45228</v>
      </c>
      <c r="U246" s="8">
        <v>45251</v>
      </c>
      <c r="V246" s="10">
        <f>COUNTA(O246:U246)</f>
        <v>7</v>
      </c>
      <c r="W246" s="11">
        <f>_xlfn.IFNA(INDEX(reading[[#This Row],[Memo 01]:[Memo 07]],MATCH(0,reading[[#This Row],[Memo 01]:[Memo 07]],-1)),"")</f>
        <v>45251</v>
      </c>
      <c r="X246" s="11">
        <f ca="1">IFERROR(reading[[#This Row],[Previous]]+OFFSET(reading[[#Headers],[Memo 01]],-1,MATCH(0,reading[[#This Row],[Memo 01]:[Memo 07]],-1)-1),"")</f>
        <v>55251</v>
      </c>
      <c r="Y246" s="10" t="str">
        <f ca="1">IF(reading[[#This Row],[Next]]&lt;&gt;"",IF(reading[[#This Row],[Next]]&gt;TODAY(),"OK",""),"")</f>
        <v>OK</v>
      </c>
      <c r="Z246" s="13">
        <v>3</v>
      </c>
      <c r="AA246" s="13">
        <v>3</v>
      </c>
      <c r="AB246" s="13">
        <v>3</v>
      </c>
      <c r="AC246" s="13">
        <v>2</v>
      </c>
      <c r="AD246" s="13">
        <v>2</v>
      </c>
      <c r="AE246" s="13">
        <v>2</v>
      </c>
      <c r="AF246" s="13">
        <v>2</v>
      </c>
      <c r="AG246" s="16">
        <f>IFERROR(SUMIF(reading[[#This Row],[1st]:[7th]],"&gt;0")/COUNTIF(reading[[#This Row],[1st]:[7th]],"&gt;0"),"")</f>
        <v>2.4285714285714284</v>
      </c>
    </row>
    <row r="247" spans="1:33" hidden="1" x14ac:dyDescent="0.2">
      <c r="A247" s="4">
        <f>IF(B247=1,3,IF(D247=1,2,IF(F247=1,1,0)))</f>
        <v>0</v>
      </c>
      <c r="B247" s="4" t="str">
        <f>IF(C247=$L247,1,IF(C247="","",0))</f>
        <v/>
      </c>
      <c r="C247" s="18"/>
      <c r="D247" s="4" t="str">
        <f>IF(E247=$L247,1,IF(E247="","",0))</f>
        <v/>
      </c>
      <c r="E247" s="18"/>
      <c r="F247" s="4" t="str">
        <f>IF(G247=$L247,1,IF(G247="","",0))</f>
        <v/>
      </c>
      <c r="G247" s="14"/>
      <c r="H247" s="6">
        <v>244</v>
      </c>
      <c r="I247" s="15" t="s">
        <v>3120</v>
      </c>
      <c r="J247" s="6" t="s">
        <v>3393</v>
      </c>
      <c r="K247" s="6"/>
      <c r="L247" s="6" t="s">
        <v>379</v>
      </c>
      <c r="M247" s="6" t="s">
        <v>6353</v>
      </c>
      <c r="N247" s="7">
        <f ca="1">RAND()</f>
        <v>0.2925149857106395</v>
      </c>
      <c r="O247" s="8">
        <v>45199</v>
      </c>
      <c r="P247" s="8">
        <v>45200</v>
      </c>
      <c r="Q247" s="8">
        <v>45202</v>
      </c>
      <c r="R247" s="8">
        <v>45206</v>
      </c>
      <c r="S247" s="8">
        <v>45213</v>
      </c>
      <c r="T247" s="8">
        <v>45225</v>
      </c>
      <c r="U247" s="8">
        <v>45251</v>
      </c>
      <c r="V247" s="10">
        <f>COUNTA(O247:U247)</f>
        <v>7</v>
      </c>
      <c r="W247" s="11">
        <f>_xlfn.IFNA(INDEX(reading[[#This Row],[Memo 01]:[Memo 07]],MATCH(0,reading[[#This Row],[Memo 01]:[Memo 07]],-1)),"")</f>
        <v>45251</v>
      </c>
      <c r="X247" s="11">
        <f ca="1">IFERROR(reading[[#This Row],[Previous]]+OFFSET(reading[[#Headers],[Memo 01]],-1,MATCH(0,reading[[#This Row],[Memo 01]:[Memo 07]],-1)-1),"")</f>
        <v>55251</v>
      </c>
      <c r="Y247" s="10" t="str">
        <f ca="1">IF(reading[[#This Row],[Next]]&lt;&gt;"",IF(reading[[#This Row],[Next]]&gt;TODAY(),"OK",""),"")</f>
        <v>OK</v>
      </c>
      <c r="Z247" s="13">
        <v>3</v>
      </c>
      <c r="AA247" s="13">
        <v>2</v>
      </c>
      <c r="AB247" s="13">
        <v>3</v>
      </c>
      <c r="AC247" s="13">
        <v>2</v>
      </c>
      <c r="AD247" s="13">
        <v>3</v>
      </c>
      <c r="AE247" s="13">
        <v>2</v>
      </c>
      <c r="AF247" s="13">
        <v>2</v>
      </c>
      <c r="AG247" s="16">
        <f>IFERROR(SUMIF(reading[[#This Row],[1st]:[7th]],"&gt;0")/COUNTIF(reading[[#This Row],[1st]:[7th]],"&gt;0"),"")</f>
        <v>2.4285714285714284</v>
      </c>
    </row>
    <row r="248" spans="1:33" hidden="1" x14ac:dyDescent="0.2">
      <c r="A248" s="4">
        <f>IF(B248=1,3,IF(D248=1,2,IF(F248=1,1,0)))</f>
        <v>0</v>
      </c>
      <c r="B248" s="4" t="str">
        <f>IF(C248=$L248,1,IF(C248="","",0))</f>
        <v/>
      </c>
      <c r="C248" s="41"/>
      <c r="D248" s="4" t="str">
        <f>IF(E248=$L248,1,IF(E248="","",0))</f>
        <v/>
      </c>
      <c r="E248" s="23"/>
      <c r="F248" s="4" t="str">
        <f>IF(G248=$L248,1,IF(G248="","",0))</f>
        <v/>
      </c>
      <c r="G248" s="14"/>
      <c r="H248" s="6">
        <v>458</v>
      </c>
      <c r="I248" s="15" t="s">
        <v>3120</v>
      </c>
      <c r="J248" s="6" t="s">
        <v>3604</v>
      </c>
      <c r="K248" s="6"/>
      <c r="L248" s="6" t="s">
        <v>587</v>
      </c>
      <c r="M248" s="6" t="s">
        <v>6567</v>
      </c>
      <c r="N248" s="7">
        <f ca="1">RAND()</f>
        <v>0.62908111959829871</v>
      </c>
      <c r="O248" s="8">
        <v>45202</v>
      </c>
      <c r="P248" s="8">
        <v>45203</v>
      </c>
      <c r="Q248" s="8">
        <v>45205</v>
      </c>
      <c r="R248" s="8">
        <v>45209</v>
      </c>
      <c r="S248" s="8">
        <v>45216</v>
      </c>
      <c r="T248" s="8">
        <v>45228</v>
      </c>
      <c r="U248" s="8">
        <v>45251</v>
      </c>
      <c r="V248" s="10">
        <f>COUNTA(O248:U248)</f>
        <v>7</v>
      </c>
      <c r="W248" s="11">
        <f>_xlfn.IFNA(INDEX(reading[[#This Row],[Memo 01]:[Memo 07]],MATCH(0,reading[[#This Row],[Memo 01]:[Memo 07]],-1)),"")</f>
        <v>45251</v>
      </c>
      <c r="X248" s="11">
        <f ca="1">IFERROR(reading[[#This Row],[Previous]]+OFFSET(reading[[#Headers],[Memo 01]],-1,MATCH(0,reading[[#This Row],[Memo 01]:[Memo 07]],-1)-1),"")</f>
        <v>55251</v>
      </c>
      <c r="Y248" s="10" t="str">
        <f ca="1">IF(reading[[#This Row],[Next]]&lt;&gt;"",IF(reading[[#This Row],[Next]]&gt;TODAY(),"OK",""),"")</f>
        <v>OK</v>
      </c>
      <c r="Z248" s="13">
        <v>3</v>
      </c>
      <c r="AA248" s="13">
        <v>3</v>
      </c>
      <c r="AB248" s="13">
        <v>3</v>
      </c>
      <c r="AC248" s="13">
        <v>1</v>
      </c>
      <c r="AD248" s="13">
        <v>2</v>
      </c>
      <c r="AE248" s="13">
        <v>3</v>
      </c>
      <c r="AF248" s="13">
        <v>2</v>
      </c>
      <c r="AG248" s="16">
        <f>IFERROR(SUMIF(reading[[#This Row],[1st]:[7th]],"&gt;0")/COUNTIF(reading[[#This Row],[1st]:[7th]],"&gt;0"),"")</f>
        <v>2.4285714285714284</v>
      </c>
    </row>
    <row r="249" spans="1:33" hidden="1" x14ac:dyDescent="0.2">
      <c r="A249" s="4">
        <f>IF(B249=1,3,IF(D249=1,2,IF(F249=1,1,0)))</f>
        <v>0</v>
      </c>
      <c r="B249" s="4" t="str">
        <f>IF(C249=$L249,1,IF(C249="","",0))</f>
        <v/>
      </c>
      <c r="C249" s="42"/>
      <c r="D249" s="4" t="str">
        <f>IF(E249=$L249,1,IF(E249="","",0))</f>
        <v/>
      </c>
      <c r="E249" s="14"/>
      <c r="F249" s="4" t="str">
        <f>IF(G249=$L249,1,IF(G249="","",0))</f>
        <v/>
      </c>
      <c r="G249" s="14"/>
      <c r="H249" s="6">
        <v>1632</v>
      </c>
      <c r="I249" s="15" t="s">
        <v>3120</v>
      </c>
      <c r="J249" s="6" t="s">
        <v>4744</v>
      </c>
      <c r="K249" s="6"/>
      <c r="L249" s="6" t="s">
        <v>1714</v>
      </c>
      <c r="M249" s="6" t="s">
        <v>7738</v>
      </c>
      <c r="N249" s="7">
        <f ca="1">RAND()</f>
        <v>0.81872833709355286</v>
      </c>
      <c r="O249" s="8">
        <v>45210</v>
      </c>
      <c r="P249" s="8">
        <v>45211</v>
      </c>
      <c r="Q249" s="8">
        <v>45213</v>
      </c>
      <c r="R249" s="8">
        <v>45217</v>
      </c>
      <c r="S249" s="8">
        <v>45224</v>
      </c>
      <c r="T249" s="8">
        <v>45236</v>
      </c>
      <c r="U249" s="8">
        <v>45818</v>
      </c>
      <c r="V249" s="10">
        <f>COUNTA(O249:U249)</f>
        <v>7</v>
      </c>
      <c r="W249" s="11">
        <f>_xlfn.IFNA(INDEX(reading[[#This Row],[Memo 01]:[Memo 07]],MATCH(0,reading[[#This Row],[Memo 01]:[Memo 07]],-1)),"")</f>
        <v>45818</v>
      </c>
      <c r="X249" s="11">
        <f ca="1">IFERROR(reading[[#This Row],[Previous]]+OFFSET(reading[[#Headers],[Memo 01]],-1,MATCH(0,reading[[#This Row],[Memo 01]:[Memo 07]],-1)-1),"")</f>
        <v>55818</v>
      </c>
      <c r="Y249" s="10" t="str">
        <f ca="1">IF(reading[[#This Row],[Next]]&lt;&gt;"",IF(reading[[#This Row],[Next]]&gt;TODAY(),"OK",""),"")</f>
        <v>OK</v>
      </c>
      <c r="Z249" s="13">
        <v>3</v>
      </c>
      <c r="AA249" s="13">
        <v>3</v>
      </c>
      <c r="AB249" s="13">
        <v>3</v>
      </c>
      <c r="AC249" s="13">
        <v>3</v>
      </c>
      <c r="AD249" s="13">
        <v>3</v>
      </c>
      <c r="AE249" s="13">
        <v>3</v>
      </c>
      <c r="AF249" s="13">
        <v>3</v>
      </c>
      <c r="AG249" s="16">
        <f>IFERROR(SUMIF(reading[[#This Row],[1st]:[7th]],"&gt;0")/COUNTIF(reading[[#This Row],[1st]:[7th]],"&gt;0"),"")</f>
        <v>3</v>
      </c>
    </row>
    <row r="250" spans="1:33" hidden="1" x14ac:dyDescent="0.2">
      <c r="A250" s="4">
        <f>IF(B250=1,3,IF(D250=1,2,IF(F250=1,1,0)))</f>
        <v>0</v>
      </c>
      <c r="B250" s="4" t="str">
        <f>IF(C250=$L250,1,IF(C250="","",0))</f>
        <v/>
      </c>
      <c r="C250" s="42"/>
      <c r="D250" s="4" t="str">
        <f>IF(E250=$L250,1,IF(E250="","",0))</f>
        <v/>
      </c>
      <c r="E250" s="18"/>
      <c r="F250" s="4" t="str">
        <f>IF(G250=$L250,1,IF(G250="","",0))</f>
        <v/>
      </c>
      <c r="G250" s="14"/>
      <c r="H250" s="6">
        <v>2925</v>
      </c>
      <c r="I250" s="15" t="s">
        <v>3120</v>
      </c>
      <c r="J250" s="6" t="s">
        <v>5960</v>
      </c>
      <c r="K250" s="6"/>
      <c r="L250" s="6" t="s">
        <v>2955</v>
      </c>
      <c r="M250" s="6" t="s">
        <v>9029</v>
      </c>
      <c r="N250" s="7">
        <f ca="1">RAND()</f>
        <v>0.34597524831198556</v>
      </c>
      <c r="O250" s="8">
        <v>45223</v>
      </c>
      <c r="P250" s="8">
        <v>45224</v>
      </c>
      <c r="Q250" s="8">
        <v>45226</v>
      </c>
      <c r="R250" s="8">
        <v>45230</v>
      </c>
      <c r="S250" s="8">
        <v>45237</v>
      </c>
      <c r="T250" s="8">
        <v>45824</v>
      </c>
      <c r="U250" s="8"/>
      <c r="V250" s="10">
        <f>COUNTA(O250:U250)</f>
        <v>6</v>
      </c>
      <c r="W250" s="11">
        <f>_xlfn.IFNA(INDEX(reading[[#This Row],[Memo 01]:[Memo 07]],MATCH(0,reading[[#This Row],[Memo 01]:[Memo 07]],-1)),"")</f>
        <v>45824</v>
      </c>
      <c r="X250" s="11">
        <f ca="1">IFERROR(reading[[#This Row],[Previous]]+OFFSET(reading[[#Headers],[Memo 01]],-1,MATCH(0,reading[[#This Row],[Memo 01]:[Memo 07]],-1)-1),"")</f>
        <v>45844</v>
      </c>
      <c r="Y250" s="10" t="str">
        <f ca="1">IF(reading[[#This Row],[Next]]&lt;&gt;"",IF(reading[[#This Row],[Next]]&gt;TODAY(),"OK",""),"")</f>
        <v>OK</v>
      </c>
      <c r="Z250" s="13">
        <v>3</v>
      </c>
      <c r="AA250" s="13">
        <v>2</v>
      </c>
      <c r="AB250" s="13">
        <v>3</v>
      </c>
      <c r="AC250" s="13">
        <v>3</v>
      </c>
      <c r="AD250" s="13">
        <v>3</v>
      </c>
      <c r="AE250" s="13">
        <v>3</v>
      </c>
      <c r="AF250" s="13"/>
      <c r="AG250" s="16">
        <f>IFERROR(SUMIF(reading[[#This Row],[1st]:[7th]],"&gt;0")/COUNTIF(reading[[#This Row],[1st]:[7th]],"&gt;0"),"")</f>
        <v>2.8333333333333335</v>
      </c>
    </row>
    <row r="251" spans="1:33" hidden="1" x14ac:dyDescent="0.2">
      <c r="A251" s="4">
        <f>IF(B251=1,3,IF(D251=1,2,IF(F251=1,1,0)))</f>
        <v>0</v>
      </c>
      <c r="B251" s="4" t="str">
        <f>IF(C251=$L251,1,IF(C251="","",0))</f>
        <v/>
      </c>
      <c r="C251" s="42"/>
      <c r="D251" s="4" t="str">
        <f>IF(E251=$L251,1,IF(E251="","",0))</f>
        <v/>
      </c>
      <c r="E251" s="18"/>
      <c r="F251" s="4" t="str">
        <f>IF(G251=$L251,1,IF(G251="","",0))</f>
        <v/>
      </c>
      <c r="G251" s="14"/>
      <c r="H251" s="6">
        <v>477</v>
      </c>
      <c r="I251" s="15" t="s">
        <v>3120</v>
      </c>
      <c r="J251" s="6" t="s">
        <v>3623</v>
      </c>
      <c r="K251" s="15" t="s">
        <v>3138</v>
      </c>
      <c r="L251" s="6" t="s">
        <v>606</v>
      </c>
      <c r="M251" s="6" t="s">
        <v>6586</v>
      </c>
      <c r="N251" s="7">
        <f ca="1">RAND()</f>
        <v>0.87385278697711311</v>
      </c>
      <c r="O251" s="8">
        <v>45202</v>
      </c>
      <c r="P251" s="8">
        <v>45205</v>
      </c>
      <c r="Q251" s="8">
        <v>45207</v>
      </c>
      <c r="R251" s="8">
        <v>45211</v>
      </c>
      <c r="S251" s="8">
        <v>45218</v>
      </c>
      <c r="T251" s="8">
        <v>45230</v>
      </c>
      <c r="U251" s="8">
        <v>45783</v>
      </c>
      <c r="V251" s="10">
        <f>COUNTA(O251:U251)</f>
        <v>7</v>
      </c>
      <c r="W251" s="11">
        <f>_xlfn.IFNA(INDEX(reading[[#This Row],[Memo 01]:[Memo 07]],MATCH(0,reading[[#This Row],[Memo 01]:[Memo 07]],-1)),"")</f>
        <v>45783</v>
      </c>
      <c r="X251" s="11">
        <f ca="1">IFERROR(reading[[#This Row],[Previous]]+OFFSET(reading[[#Headers],[Memo 01]],-1,MATCH(0,reading[[#This Row],[Memo 01]:[Memo 07]],-1)-1),"")</f>
        <v>55783</v>
      </c>
      <c r="Y251" s="10" t="str">
        <f ca="1">IF(reading[[#This Row],[Next]]&lt;&gt;"",IF(reading[[#This Row],[Next]]&gt;TODAY(),"OK",""),"")</f>
        <v>OK</v>
      </c>
      <c r="Z251" s="13">
        <v>3</v>
      </c>
      <c r="AA251" s="13">
        <v>3</v>
      </c>
      <c r="AB251" s="13">
        <v>2</v>
      </c>
      <c r="AC251" s="13">
        <v>3</v>
      </c>
      <c r="AD251" s="13">
        <v>3</v>
      </c>
      <c r="AE251" s="13">
        <v>3</v>
      </c>
      <c r="AF251" s="13">
        <v>3</v>
      </c>
      <c r="AG251" s="16">
        <f>IFERROR(SUMIF(reading[[#This Row],[1st]:[7th]],"&gt;0")/COUNTIF(reading[[#This Row],[1st]:[7th]],"&gt;0"),"")</f>
        <v>2.8571428571428572</v>
      </c>
    </row>
    <row r="252" spans="1:33" hidden="1" x14ac:dyDescent="0.2">
      <c r="A252" s="4">
        <f>IF(B252=1,3,IF(D252=1,2,IF(F252=1,1,0)))</f>
        <v>3</v>
      </c>
      <c r="B252" s="4">
        <f>IF(C252=$L252,1,IF(C252="","",0))</f>
        <v>1</v>
      </c>
      <c r="C252" s="18" t="s">
        <v>390</v>
      </c>
      <c r="D252" s="4" t="str">
        <f>IF(E252=$L252,1,IF(E252="","",0))</f>
        <v/>
      </c>
      <c r="E252" s="14"/>
      <c r="F252" s="4" t="str">
        <f>IF(G252=$L252,1,IF(G252="","",0))</f>
        <v/>
      </c>
      <c r="G252" s="14"/>
      <c r="H252" s="6">
        <v>255</v>
      </c>
      <c r="I252" s="15" t="s">
        <v>3120</v>
      </c>
      <c r="J252" s="6" t="s">
        <v>3404</v>
      </c>
      <c r="K252" s="6"/>
      <c r="L252" s="6" t="s">
        <v>390</v>
      </c>
      <c r="M252" s="6" t="s">
        <v>6364</v>
      </c>
      <c r="N252" s="7">
        <f ca="1">RAND()</f>
        <v>0.49663163465598659</v>
      </c>
      <c r="O252" s="8">
        <v>45199</v>
      </c>
      <c r="P252" s="8">
        <v>45199</v>
      </c>
      <c r="Q252" s="8">
        <v>45199</v>
      </c>
      <c r="R252" s="8">
        <v>45199</v>
      </c>
      <c r="S252" s="8">
        <v>45199</v>
      </c>
      <c r="T252" s="8">
        <v>45199</v>
      </c>
      <c r="U252" s="8">
        <v>45199</v>
      </c>
      <c r="V252" s="10">
        <f>COUNTA(O252:U252)</f>
        <v>7</v>
      </c>
      <c r="W252" s="11">
        <f>_xlfn.IFNA(INDEX(reading[[#This Row],[Memo 01]:[Memo 07]],MATCH(0,reading[[#This Row],[Memo 01]:[Memo 07]],-1)),"")</f>
        <v>45199</v>
      </c>
      <c r="X252" s="11">
        <f ca="1">IFERROR(reading[[#This Row],[Previous]]+OFFSET(reading[[#Headers],[Memo 01]],-1,MATCH(0,reading[[#This Row],[Memo 01]:[Memo 07]],-1)-1),"")</f>
        <v>55199</v>
      </c>
      <c r="Y252" s="10" t="str">
        <f ca="1">IF(reading[[#This Row],[Next]]&lt;&gt;"",IF(reading[[#This Row],[Next]]&gt;TODAY(),"OK",""),"")</f>
        <v>OK</v>
      </c>
      <c r="Z252" s="13">
        <v>3</v>
      </c>
      <c r="AA252" s="13"/>
      <c r="AB252" s="13"/>
      <c r="AC252" s="13"/>
      <c r="AD252" s="13"/>
      <c r="AE252" s="13"/>
      <c r="AF252" s="13"/>
      <c r="AG252" s="16">
        <f>IFERROR(SUMIF(reading[[#This Row],[1st]:[7th]],"&gt;0")/COUNTIF(reading[[#This Row],[1st]:[7th]],"&gt;0"),"")</f>
        <v>3</v>
      </c>
    </row>
    <row r="253" spans="1:33" hidden="1" x14ac:dyDescent="0.2">
      <c r="A253" s="4">
        <f>IF(B253=1,3,IF(D253=1,2,IF(F253=1,1,0)))</f>
        <v>0</v>
      </c>
      <c r="B253" s="4" t="str">
        <f>IF(C253=$L253,1,IF(C253="","",0))</f>
        <v/>
      </c>
      <c r="C253" s="42"/>
      <c r="D253" s="4" t="str">
        <f>IF(E253=$L253,1,IF(E253="","",0))</f>
        <v/>
      </c>
      <c r="E253" s="14"/>
      <c r="F253" s="4" t="str">
        <f>IF(G253=$L253,1,IF(G253="","",0))</f>
        <v/>
      </c>
      <c r="G253" s="14"/>
      <c r="H253" s="6">
        <v>565</v>
      </c>
      <c r="I253" s="15" t="s">
        <v>3120</v>
      </c>
      <c r="J253" s="6" t="s">
        <v>3708</v>
      </c>
      <c r="K253" s="6"/>
      <c r="L253" s="6" t="s">
        <v>692</v>
      </c>
      <c r="M253" s="6" t="s">
        <v>6674</v>
      </c>
      <c r="N253" s="7">
        <f ca="1">RAND()</f>
        <v>0.32956562039956494</v>
      </c>
      <c r="O253" s="8">
        <v>45202</v>
      </c>
      <c r="P253" s="8">
        <v>45203</v>
      </c>
      <c r="Q253" s="8">
        <v>45205</v>
      </c>
      <c r="R253" s="8">
        <v>45209</v>
      </c>
      <c r="S253" s="8">
        <v>45216</v>
      </c>
      <c r="T253" s="8">
        <v>45228</v>
      </c>
      <c r="U253" s="8">
        <v>45783</v>
      </c>
      <c r="V253" s="10">
        <f>COUNTA(O253:U253)</f>
        <v>7</v>
      </c>
      <c r="W253" s="11">
        <f>_xlfn.IFNA(INDEX(reading[[#This Row],[Memo 01]:[Memo 07]],MATCH(0,reading[[#This Row],[Memo 01]:[Memo 07]],-1)),"")</f>
        <v>45783</v>
      </c>
      <c r="X253" s="11">
        <f ca="1">IFERROR(reading[[#This Row],[Previous]]+OFFSET(reading[[#Headers],[Memo 01]],-1,MATCH(0,reading[[#This Row],[Memo 01]:[Memo 07]],-1)-1),"")</f>
        <v>55783</v>
      </c>
      <c r="Y253" s="10" t="str">
        <f ca="1">IF(reading[[#This Row],[Next]]&lt;&gt;"",IF(reading[[#This Row],[Next]]&gt;TODAY(),"OK",""),"")</f>
        <v>OK</v>
      </c>
      <c r="Z253" s="13">
        <v>3</v>
      </c>
      <c r="AA253" s="13">
        <v>3</v>
      </c>
      <c r="AB253" s="13">
        <v>3</v>
      </c>
      <c r="AC253" s="13">
        <v>3</v>
      </c>
      <c r="AD253" s="13">
        <v>3</v>
      </c>
      <c r="AE253" s="13">
        <v>3</v>
      </c>
      <c r="AF253" s="13">
        <v>3</v>
      </c>
      <c r="AG253" s="16">
        <f>IFERROR(SUMIF(reading[[#This Row],[1st]:[7th]],"&gt;0")/COUNTIF(reading[[#This Row],[1st]:[7th]],"&gt;0"),"")</f>
        <v>3</v>
      </c>
    </row>
    <row r="254" spans="1:33" hidden="1" x14ac:dyDescent="0.2">
      <c r="A254" s="4">
        <f>IF(B254=1,3,IF(D254=1,2,IF(F254=1,1,0)))</f>
        <v>3</v>
      </c>
      <c r="B254" s="4">
        <f>IF(C254=$L254,1,IF(C254="","",0))</f>
        <v>1</v>
      </c>
      <c r="C254" s="18" t="s">
        <v>392</v>
      </c>
      <c r="D254" s="4" t="str">
        <f>IF(E254=$L254,1,IF(E254="","",0))</f>
        <v/>
      </c>
      <c r="E254" s="14"/>
      <c r="F254" s="4" t="str">
        <f>IF(G254=$L254,1,IF(G254="","",0))</f>
        <v/>
      </c>
      <c r="G254" s="14"/>
      <c r="H254" s="6">
        <v>257</v>
      </c>
      <c r="I254" s="15" t="s">
        <v>3120</v>
      </c>
      <c r="J254" s="6" t="s">
        <v>3406</v>
      </c>
      <c r="K254" s="6"/>
      <c r="L254" s="6" t="s">
        <v>392</v>
      </c>
      <c r="M254" s="6" t="s">
        <v>6366</v>
      </c>
      <c r="N254" s="7">
        <f ca="1">RAND()</f>
        <v>0.34327854010822256</v>
      </c>
      <c r="O254" s="8">
        <v>45199</v>
      </c>
      <c r="P254" s="8">
        <v>45199</v>
      </c>
      <c r="Q254" s="8">
        <v>45199</v>
      </c>
      <c r="R254" s="8">
        <v>45199</v>
      </c>
      <c r="S254" s="8">
        <v>45199</v>
      </c>
      <c r="T254" s="8">
        <v>45199</v>
      </c>
      <c r="U254" s="8">
        <v>45199</v>
      </c>
      <c r="V254" s="10">
        <f>COUNTA(O254:U254)</f>
        <v>7</v>
      </c>
      <c r="W254" s="11">
        <f>_xlfn.IFNA(INDEX(reading[[#This Row],[Memo 01]:[Memo 07]],MATCH(0,reading[[#This Row],[Memo 01]:[Memo 07]],-1)),"")</f>
        <v>45199</v>
      </c>
      <c r="X254" s="11">
        <f ca="1">IFERROR(reading[[#This Row],[Previous]]+OFFSET(reading[[#Headers],[Memo 01]],-1,MATCH(0,reading[[#This Row],[Memo 01]:[Memo 07]],-1)-1),"")</f>
        <v>55199</v>
      </c>
      <c r="Y254" s="10" t="str">
        <f ca="1">IF(reading[[#This Row],[Next]]&lt;&gt;"",IF(reading[[#This Row],[Next]]&gt;TODAY(),"OK",""),"")</f>
        <v>OK</v>
      </c>
      <c r="Z254" s="13">
        <v>3</v>
      </c>
      <c r="AA254" s="13"/>
      <c r="AB254" s="13"/>
      <c r="AC254" s="13"/>
      <c r="AD254" s="13"/>
      <c r="AE254" s="13"/>
      <c r="AF254" s="13"/>
      <c r="AG254" s="16">
        <f>IFERROR(SUMIF(reading[[#This Row],[1st]:[7th]],"&gt;0")/COUNTIF(reading[[#This Row],[1st]:[7th]],"&gt;0"),"")</f>
        <v>3</v>
      </c>
    </row>
    <row r="255" spans="1:33" hidden="1" x14ac:dyDescent="0.2">
      <c r="A255" s="4">
        <f>IF(B255=1,3,IF(D255=1,2,IF(F255=1,1,0)))</f>
        <v>0</v>
      </c>
      <c r="B255" s="4" t="str">
        <f>IF(C255=$L255,1,IF(C255="","",0))</f>
        <v/>
      </c>
      <c r="C255" s="42"/>
      <c r="D255" s="4" t="str">
        <f>IF(E255=$L255,1,IF(E255="","",0))</f>
        <v/>
      </c>
      <c r="E255" s="18"/>
      <c r="F255" s="4" t="str">
        <f>IF(G255=$L255,1,IF(G255="","",0))</f>
        <v/>
      </c>
      <c r="G255" s="14"/>
      <c r="H255" s="6">
        <v>1768</v>
      </c>
      <c r="I255" s="15" t="s">
        <v>3120</v>
      </c>
      <c r="J255" s="6" t="s">
        <v>4875</v>
      </c>
      <c r="K255" s="6"/>
      <c r="L255" s="6" t="s">
        <v>1848</v>
      </c>
      <c r="M255" s="6" t="s">
        <v>7874</v>
      </c>
      <c r="N255" s="7">
        <f ca="1">RAND()</f>
        <v>0.65337906375467192</v>
      </c>
      <c r="O255" s="8">
        <v>45211</v>
      </c>
      <c r="P255" s="8">
        <v>45213</v>
      </c>
      <c r="Q255" s="8">
        <v>45215</v>
      </c>
      <c r="R255" s="8">
        <v>45219</v>
      </c>
      <c r="S255" s="8">
        <v>45226</v>
      </c>
      <c r="T255" s="8">
        <v>45252</v>
      </c>
      <c r="U255" s="8">
        <v>45783</v>
      </c>
      <c r="V255" s="10">
        <f>COUNTA(O255:U255)</f>
        <v>7</v>
      </c>
      <c r="W255" s="11">
        <f>_xlfn.IFNA(INDEX(reading[[#This Row],[Memo 01]:[Memo 07]],MATCH(0,reading[[#This Row],[Memo 01]:[Memo 07]],-1)),"")</f>
        <v>45783</v>
      </c>
      <c r="X255" s="11">
        <f ca="1">IFERROR(reading[[#This Row],[Previous]]+OFFSET(reading[[#Headers],[Memo 01]],-1,MATCH(0,reading[[#This Row],[Memo 01]:[Memo 07]],-1)-1),"")</f>
        <v>55783</v>
      </c>
      <c r="Y255" s="10" t="str">
        <f ca="1">IF(reading[[#This Row],[Next]]&lt;&gt;"",IF(reading[[#This Row],[Next]]&gt;TODAY(),"OK",""),"")</f>
        <v>OK</v>
      </c>
      <c r="Z255" s="13">
        <v>3</v>
      </c>
      <c r="AA255" s="13">
        <v>2</v>
      </c>
      <c r="AB255" s="13">
        <v>3</v>
      </c>
      <c r="AC255" s="13">
        <v>2</v>
      </c>
      <c r="AD255" s="13">
        <v>3</v>
      </c>
      <c r="AE255" s="13">
        <v>2</v>
      </c>
      <c r="AF255" s="13">
        <v>3</v>
      </c>
      <c r="AG255" s="16">
        <f>IFERROR(SUMIF(reading[[#This Row],[1st]:[7th]],"&gt;0")/COUNTIF(reading[[#This Row],[1st]:[7th]],"&gt;0"),"")</f>
        <v>2.5714285714285716</v>
      </c>
    </row>
    <row r="256" spans="1:33" hidden="1" x14ac:dyDescent="0.2">
      <c r="A256" s="4">
        <f>IF(B256=1,3,IF(D256=1,2,IF(F256=1,1,0)))</f>
        <v>0</v>
      </c>
      <c r="B256" s="4" t="str">
        <f>IF(C256=$L256,1,IF(C256="","",0))</f>
        <v/>
      </c>
      <c r="C256" s="42"/>
      <c r="D256" s="4" t="str">
        <f>IF(E256=$L256,1,IF(E256="","",0))</f>
        <v/>
      </c>
      <c r="E256" s="14"/>
      <c r="F256" s="4" t="str">
        <f>IF(G256=$L256,1,IF(G256="","",0))</f>
        <v/>
      </c>
      <c r="G256" s="14"/>
      <c r="H256" s="6">
        <v>735</v>
      </c>
      <c r="I256" s="15" t="s">
        <v>3120</v>
      </c>
      <c r="J256" s="6" t="s">
        <v>3872</v>
      </c>
      <c r="K256" s="6"/>
      <c r="L256" s="6" t="s">
        <v>855</v>
      </c>
      <c r="M256" s="6" t="s">
        <v>6844</v>
      </c>
      <c r="N256" s="7">
        <f ca="1">RAND()</f>
        <v>0.15239912562582647</v>
      </c>
      <c r="O256" s="8">
        <v>45203</v>
      </c>
      <c r="P256" s="8">
        <v>45204</v>
      </c>
      <c r="Q256" s="8">
        <v>45206</v>
      </c>
      <c r="R256" s="8">
        <v>45210</v>
      </c>
      <c r="S256" s="8">
        <v>45217</v>
      </c>
      <c r="T256" s="8">
        <v>45229</v>
      </c>
      <c r="U256" s="8">
        <v>45818</v>
      </c>
      <c r="V256" s="10">
        <f>COUNTA(O256:U256)</f>
        <v>7</v>
      </c>
      <c r="W256" s="11">
        <f>_xlfn.IFNA(INDEX(reading[[#This Row],[Memo 01]:[Memo 07]],MATCH(0,reading[[#This Row],[Memo 01]:[Memo 07]],-1)),"")</f>
        <v>45818</v>
      </c>
      <c r="X256" s="11">
        <f ca="1">IFERROR(reading[[#This Row],[Previous]]+OFFSET(reading[[#Headers],[Memo 01]],-1,MATCH(0,reading[[#This Row],[Memo 01]:[Memo 07]],-1)-1),"")</f>
        <v>55818</v>
      </c>
      <c r="Y256" s="10" t="str">
        <f ca="1">IF(reading[[#This Row],[Next]]&lt;&gt;"",IF(reading[[#This Row],[Next]]&gt;TODAY(),"OK",""),"")</f>
        <v>OK</v>
      </c>
      <c r="Z256" s="13">
        <v>3</v>
      </c>
      <c r="AA256" s="13">
        <v>3</v>
      </c>
      <c r="AB256" s="13">
        <v>3</v>
      </c>
      <c r="AC256" s="13">
        <v>3</v>
      </c>
      <c r="AD256" s="13">
        <v>3</v>
      </c>
      <c r="AE256" s="13">
        <v>3</v>
      </c>
      <c r="AF256" s="13">
        <v>3</v>
      </c>
      <c r="AG256" s="16">
        <f>IFERROR(SUMIF(reading[[#This Row],[1st]:[7th]],"&gt;0")/COUNTIF(reading[[#This Row],[1st]:[7th]],"&gt;0"),"")</f>
        <v>3</v>
      </c>
    </row>
    <row r="257" spans="1:33" hidden="1" x14ac:dyDescent="0.2">
      <c r="A257" s="4">
        <f>IF(B257=1,3,IF(D257=1,2,IF(F257=1,1,0)))</f>
        <v>0</v>
      </c>
      <c r="B257" s="4" t="str">
        <f>IF(C257=$L257,1,IF(C257="","",0))</f>
        <v/>
      </c>
      <c r="C257" s="42"/>
      <c r="D257" s="4" t="str">
        <f>IF(E257=$L257,1,IF(E257="","",0))</f>
        <v/>
      </c>
      <c r="E257" s="14"/>
      <c r="F257" s="4" t="str">
        <f>IF(G257=$L257,1,IF(G257="","",0))</f>
        <v/>
      </c>
      <c r="G257" s="14"/>
      <c r="H257" s="6">
        <v>1429</v>
      </c>
      <c r="I257" s="15" t="s">
        <v>3120</v>
      </c>
      <c r="J257" s="6" t="s">
        <v>4543</v>
      </c>
      <c r="K257" s="15" t="s">
        <v>3138</v>
      </c>
      <c r="L257" s="6" t="s">
        <v>1520</v>
      </c>
      <c r="M257" s="6" t="s">
        <v>7536</v>
      </c>
      <c r="N257" s="7">
        <f ca="1">RAND()</f>
        <v>0.64834316148164539</v>
      </c>
      <c r="O257" s="8">
        <v>45208</v>
      </c>
      <c r="P257" s="8">
        <v>45209</v>
      </c>
      <c r="Q257" s="8">
        <v>45211</v>
      </c>
      <c r="R257" s="8">
        <v>45215</v>
      </c>
      <c r="S257" s="8">
        <v>45222</v>
      </c>
      <c r="T257" s="8">
        <v>45235</v>
      </c>
      <c r="U257" s="8">
        <v>45783</v>
      </c>
      <c r="V257" s="10">
        <f>COUNTA(O257:U257)</f>
        <v>7</v>
      </c>
      <c r="W257" s="11">
        <f>_xlfn.IFNA(INDEX(reading[[#This Row],[Memo 01]:[Memo 07]],MATCH(0,reading[[#This Row],[Memo 01]:[Memo 07]],-1)),"")</f>
        <v>45783</v>
      </c>
      <c r="X257" s="11">
        <f ca="1">IFERROR(reading[[#This Row],[Previous]]+OFFSET(reading[[#Headers],[Memo 01]],-1,MATCH(0,reading[[#This Row],[Memo 01]:[Memo 07]],-1)-1),"")</f>
        <v>55783</v>
      </c>
      <c r="Y257" s="10" t="str">
        <f ca="1">IF(reading[[#This Row],[Next]]&lt;&gt;"",IF(reading[[#This Row],[Next]]&gt;TODAY(),"OK",""),"")</f>
        <v>OK</v>
      </c>
      <c r="Z257" s="13">
        <v>3</v>
      </c>
      <c r="AA257" s="13">
        <v>3</v>
      </c>
      <c r="AB257" s="13">
        <v>3</v>
      </c>
      <c r="AC257" s="13">
        <v>3</v>
      </c>
      <c r="AD257" s="13">
        <v>3</v>
      </c>
      <c r="AE257" s="13">
        <v>2</v>
      </c>
      <c r="AF257" s="13">
        <v>3</v>
      </c>
      <c r="AG257" s="16">
        <f>IFERROR(SUMIF(reading[[#This Row],[1st]:[7th]],"&gt;0")/COUNTIF(reading[[#This Row],[1st]:[7th]],"&gt;0"),"")</f>
        <v>2.8571428571428572</v>
      </c>
    </row>
    <row r="258" spans="1:33" hidden="1" x14ac:dyDescent="0.2">
      <c r="A258" s="4">
        <f>IF(B258=1,3,IF(D258=1,2,IF(F258=1,1,0)))</f>
        <v>0</v>
      </c>
      <c r="B258" s="4" t="str">
        <f>IF(C258=$L258,1,IF(C258="","",0))</f>
        <v/>
      </c>
      <c r="C258" s="42"/>
      <c r="D258" s="4" t="str">
        <f>IF(E258=$L258,1,IF(E258="","",0))</f>
        <v/>
      </c>
      <c r="E258" s="14"/>
      <c r="F258" s="4" t="str">
        <f>IF(G258=$L258,1,IF(G258="","",0))</f>
        <v/>
      </c>
      <c r="G258" s="14"/>
      <c r="H258" s="6">
        <v>942</v>
      </c>
      <c r="I258" s="15" t="s">
        <v>3120</v>
      </c>
      <c r="J258" s="6" t="s">
        <v>4072</v>
      </c>
      <c r="K258" s="6"/>
      <c r="L258" s="6" t="s">
        <v>87</v>
      </c>
      <c r="M258" s="6" t="s">
        <v>7050</v>
      </c>
      <c r="N258" s="7">
        <f ca="1">RAND()</f>
        <v>0.50661541839055835</v>
      </c>
      <c r="O258" s="8">
        <v>45204</v>
      </c>
      <c r="P258" s="8">
        <v>45205</v>
      </c>
      <c r="Q258" s="8">
        <v>45207</v>
      </c>
      <c r="R258" s="8">
        <v>45211</v>
      </c>
      <c r="S258" s="8">
        <v>45218</v>
      </c>
      <c r="T258" s="8">
        <v>45230</v>
      </c>
      <c r="U258" s="8">
        <v>45783</v>
      </c>
      <c r="V258" s="10">
        <f>COUNTA(O258:U258)</f>
        <v>7</v>
      </c>
      <c r="W258" s="11">
        <f>_xlfn.IFNA(INDEX(reading[[#This Row],[Memo 01]:[Memo 07]],MATCH(0,reading[[#This Row],[Memo 01]:[Memo 07]],-1)),"")</f>
        <v>45783</v>
      </c>
      <c r="X258" s="11">
        <f ca="1">IFERROR(reading[[#This Row],[Previous]]+OFFSET(reading[[#Headers],[Memo 01]],-1,MATCH(0,reading[[#This Row],[Memo 01]:[Memo 07]],-1)-1),"")</f>
        <v>55783</v>
      </c>
      <c r="Y258" s="10" t="str">
        <f ca="1">IF(reading[[#This Row],[Next]]&lt;&gt;"",IF(reading[[#This Row],[Next]]&gt;TODAY(),"OK",""),"")</f>
        <v>OK</v>
      </c>
      <c r="Z258" s="13">
        <v>3</v>
      </c>
      <c r="AA258" s="13">
        <v>3</v>
      </c>
      <c r="AB258" s="13">
        <v>3</v>
      </c>
      <c r="AC258" s="13">
        <v>3</v>
      </c>
      <c r="AD258" s="13">
        <v>3</v>
      </c>
      <c r="AE258" s="13">
        <v>3</v>
      </c>
      <c r="AF258" s="13">
        <v>3</v>
      </c>
      <c r="AG258" s="16">
        <f>IFERROR(SUMIF(reading[[#This Row],[1st]:[7th]],"&gt;0")/COUNTIF(reading[[#This Row],[1st]:[7th]],"&gt;0"),"")</f>
        <v>3</v>
      </c>
    </row>
    <row r="259" spans="1:33" hidden="1" x14ac:dyDescent="0.2">
      <c r="A259" s="4">
        <f>IF(B259=1,3,IF(D259=1,2,IF(F259=1,1,0)))</f>
        <v>3</v>
      </c>
      <c r="B259" s="4">
        <f>IF(C259=$L259,1,IF(C259="","",0))</f>
        <v>1</v>
      </c>
      <c r="C259" s="18" t="s">
        <v>397</v>
      </c>
      <c r="D259" s="4" t="str">
        <f>IF(E259=$L259,1,IF(E259="","",0))</f>
        <v/>
      </c>
      <c r="E259" s="14"/>
      <c r="F259" s="4" t="str">
        <f>IF(G259=$L259,1,IF(G259="","",0))</f>
        <v/>
      </c>
      <c r="G259" s="14"/>
      <c r="H259" s="6">
        <v>262</v>
      </c>
      <c r="I259" s="15" t="s">
        <v>3120</v>
      </c>
      <c r="J259" s="6" t="s">
        <v>3411</v>
      </c>
      <c r="K259" s="6"/>
      <c r="L259" s="6" t="s">
        <v>397</v>
      </c>
      <c r="M259" s="6" t="s">
        <v>6371</v>
      </c>
      <c r="N259" s="7">
        <f ca="1">RAND()</f>
        <v>0.72818672458248945</v>
      </c>
      <c r="O259" s="8">
        <v>45199</v>
      </c>
      <c r="P259" s="8">
        <v>45199</v>
      </c>
      <c r="Q259" s="8">
        <v>45199</v>
      </c>
      <c r="R259" s="8">
        <v>45199</v>
      </c>
      <c r="S259" s="8">
        <v>45199</v>
      </c>
      <c r="T259" s="8">
        <v>45199</v>
      </c>
      <c r="U259" s="8">
        <v>45199</v>
      </c>
      <c r="V259" s="10">
        <f>COUNTA(O259:U259)</f>
        <v>7</v>
      </c>
      <c r="W259" s="11">
        <f>_xlfn.IFNA(INDEX(reading[[#This Row],[Memo 01]:[Memo 07]],MATCH(0,reading[[#This Row],[Memo 01]:[Memo 07]],-1)),"")</f>
        <v>45199</v>
      </c>
      <c r="X259" s="11">
        <f ca="1">IFERROR(reading[[#This Row],[Previous]]+OFFSET(reading[[#Headers],[Memo 01]],-1,MATCH(0,reading[[#This Row],[Memo 01]:[Memo 07]],-1)-1),"")</f>
        <v>55199</v>
      </c>
      <c r="Y259" s="10" t="str">
        <f ca="1">IF(reading[[#This Row],[Next]]&lt;&gt;"",IF(reading[[#This Row],[Next]]&gt;TODAY(),"OK",""),"")</f>
        <v>OK</v>
      </c>
      <c r="Z259" s="13">
        <v>3</v>
      </c>
      <c r="AA259" s="13"/>
      <c r="AB259" s="13"/>
      <c r="AC259" s="13"/>
      <c r="AD259" s="13"/>
      <c r="AE259" s="13"/>
      <c r="AF259" s="13"/>
      <c r="AG259" s="16">
        <f>IFERROR(SUMIF(reading[[#This Row],[1st]:[7th]],"&gt;0")/COUNTIF(reading[[#This Row],[1st]:[7th]],"&gt;0"),"")</f>
        <v>3</v>
      </c>
    </row>
    <row r="260" spans="1:33" hidden="1" x14ac:dyDescent="0.2">
      <c r="A260" s="4">
        <f>IF(B260=1,3,IF(D260=1,2,IF(F260=1,1,0)))</f>
        <v>0</v>
      </c>
      <c r="B260" s="4" t="str">
        <f>IF(C260=$L260,1,IF(C260="","",0))</f>
        <v/>
      </c>
      <c r="C260" s="42"/>
      <c r="D260" s="4" t="str">
        <f>IF(E260=$L260,1,IF(E260="","",0))</f>
        <v/>
      </c>
      <c r="E260" s="23"/>
      <c r="F260" s="4" t="str">
        <f>IF(G260=$L260,1,IF(G260="","",0))</f>
        <v/>
      </c>
      <c r="G260" s="14"/>
      <c r="H260" s="6">
        <v>1947</v>
      </c>
      <c r="I260" s="15" t="s">
        <v>3120</v>
      </c>
      <c r="J260" s="6" t="s">
        <v>5046</v>
      </c>
      <c r="K260" s="6"/>
      <c r="L260" s="6" t="s">
        <v>2022</v>
      </c>
      <c r="M260" s="6" t="s">
        <v>8053</v>
      </c>
      <c r="N260" s="7">
        <f ca="1">RAND()</f>
        <v>0.98381575550613576</v>
      </c>
      <c r="O260" s="8">
        <v>45212</v>
      </c>
      <c r="P260" s="8">
        <v>45213</v>
      </c>
      <c r="Q260" s="8">
        <v>45215</v>
      </c>
      <c r="R260" s="8">
        <v>45219</v>
      </c>
      <c r="S260" s="8">
        <v>45226</v>
      </c>
      <c r="T260" s="8">
        <v>45811</v>
      </c>
      <c r="U260" s="8"/>
      <c r="V260" s="10">
        <f>COUNTA(O260:U260)</f>
        <v>6</v>
      </c>
      <c r="W260" s="11">
        <f>_xlfn.IFNA(INDEX(reading[[#This Row],[Memo 01]:[Memo 07]],MATCH(0,reading[[#This Row],[Memo 01]:[Memo 07]],-1)),"")</f>
        <v>45811</v>
      </c>
      <c r="X260" s="11">
        <f ca="1">IFERROR(reading[[#This Row],[Previous]]+OFFSET(reading[[#Headers],[Memo 01]],-1,MATCH(0,reading[[#This Row],[Memo 01]:[Memo 07]],-1)-1),"")</f>
        <v>45831</v>
      </c>
      <c r="Y260" s="10" t="str">
        <f ca="1">IF(reading[[#This Row],[Next]]&lt;&gt;"",IF(reading[[#This Row],[Next]]&gt;TODAY(),"OK",""),"")</f>
        <v/>
      </c>
      <c r="Z260" s="13">
        <v>3</v>
      </c>
      <c r="AA260" s="13">
        <v>3</v>
      </c>
      <c r="AB260" s="13">
        <v>3</v>
      </c>
      <c r="AC260" s="13">
        <v>3</v>
      </c>
      <c r="AD260" s="13">
        <v>3</v>
      </c>
      <c r="AE260" s="13">
        <v>2</v>
      </c>
      <c r="AF260" s="13"/>
      <c r="AG260" s="16">
        <f>IFERROR(SUMIF(reading[[#This Row],[1st]:[7th]],"&gt;0")/COUNTIF(reading[[#This Row],[1st]:[7th]],"&gt;0"),"")</f>
        <v>2.8333333333333335</v>
      </c>
    </row>
    <row r="261" spans="1:33" hidden="1" x14ac:dyDescent="0.2">
      <c r="A261" s="4">
        <f>IF(B261=1,3,IF(D261=1,2,IF(F261=1,1,0)))</f>
        <v>0</v>
      </c>
      <c r="B261" s="4" t="str">
        <f>IF(C261=$L261,1,IF(C261="","",0))</f>
        <v/>
      </c>
      <c r="C261" s="42"/>
      <c r="D261" s="4" t="str">
        <f>IF(E261=$L261,1,IF(E261="","",0))</f>
        <v/>
      </c>
      <c r="E261" s="14"/>
      <c r="F261" s="4" t="str">
        <f>IF(G261=$L261,1,IF(G261="","",0))</f>
        <v/>
      </c>
      <c r="G261" s="14"/>
      <c r="H261" s="6">
        <v>290</v>
      </c>
      <c r="I261" s="15" t="s">
        <v>3120</v>
      </c>
      <c r="J261" s="6" t="s">
        <v>3438</v>
      </c>
      <c r="K261" s="6"/>
      <c r="L261" s="6" t="s">
        <v>425</v>
      </c>
      <c r="M261" s="6" t="s">
        <v>6399</v>
      </c>
      <c r="N261" s="7">
        <f ca="1">RAND()</f>
        <v>0.77836981057774923</v>
      </c>
      <c r="O261" s="8">
        <v>45200</v>
      </c>
      <c r="P261" s="8">
        <v>45201</v>
      </c>
      <c r="Q261" s="8">
        <v>45203</v>
      </c>
      <c r="R261" s="8">
        <v>45207</v>
      </c>
      <c r="S261" s="8">
        <v>45214</v>
      </c>
      <c r="T261" s="8">
        <v>45226</v>
      </c>
      <c r="U261" s="8">
        <v>45783</v>
      </c>
      <c r="V261" s="10">
        <f>COUNTA(O261:U261)</f>
        <v>7</v>
      </c>
      <c r="W261" s="11">
        <f>_xlfn.IFNA(INDEX(reading[[#This Row],[Memo 01]:[Memo 07]],MATCH(0,reading[[#This Row],[Memo 01]:[Memo 07]],-1)),"")</f>
        <v>45783</v>
      </c>
      <c r="X261" s="11">
        <f ca="1">IFERROR(reading[[#This Row],[Previous]]+OFFSET(reading[[#Headers],[Memo 01]],-1,MATCH(0,reading[[#This Row],[Memo 01]:[Memo 07]],-1)-1),"")</f>
        <v>55783</v>
      </c>
      <c r="Y261" s="10" t="str">
        <f ca="1">IF(reading[[#This Row],[Next]]&lt;&gt;"",IF(reading[[#This Row],[Next]]&gt;TODAY(),"OK",""),"")</f>
        <v>OK</v>
      </c>
      <c r="Z261" s="13">
        <v>3</v>
      </c>
      <c r="AA261" s="13">
        <v>3</v>
      </c>
      <c r="AB261" s="13">
        <v>3</v>
      </c>
      <c r="AC261" s="13">
        <v>3</v>
      </c>
      <c r="AD261" s="13">
        <v>3</v>
      </c>
      <c r="AE261" s="13">
        <v>3</v>
      </c>
      <c r="AF261" s="13">
        <v>3</v>
      </c>
      <c r="AG261" s="16">
        <f>IFERROR(SUMIF(reading[[#This Row],[1st]:[7th]],"&gt;0")/COUNTIF(reading[[#This Row],[1st]:[7th]],"&gt;0"),"")</f>
        <v>3</v>
      </c>
    </row>
    <row r="262" spans="1:33" hidden="1" x14ac:dyDescent="0.2">
      <c r="A262" s="4">
        <f>IF(B262=1,3,IF(D262=1,2,IF(F262=1,1,0)))</f>
        <v>0</v>
      </c>
      <c r="B262" s="4" t="str">
        <f>IF(C262=$L262,1,IF(C262="","",0))</f>
        <v/>
      </c>
      <c r="C262" s="42"/>
      <c r="D262" s="4" t="str">
        <f>IF(E262=$L262,1,IF(E262="","",0))</f>
        <v/>
      </c>
      <c r="E262" s="14"/>
      <c r="F262" s="4" t="str">
        <f>IF(G262=$L262,1,IF(G262="","",0))</f>
        <v/>
      </c>
      <c r="G262" s="14"/>
      <c r="H262" s="6">
        <v>1144</v>
      </c>
      <c r="I262" s="15" t="s">
        <v>3120</v>
      </c>
      <c r="J262" s="6" t="s">
        <v>4265</v>
      </c>
      <c r="K262" s="6"/>
      <c r="L262" s="6" t="s">
        <v>1246</v>
      </c>
      <c r="M262" s="6" t="s">
        <v>7252</v>
      </c>
      <c r="N262" s="7">
        <f ca="1">RAND()</f>
        <v>0.88336043272950926</v>
      </c>
      <c r="O262" s="8">
        <v>45205</v>
      </c>
      <c r="P262" s="8">
        <v>45206</v>
      </c>
      <c r="Q262" s="8">
        <v>45208</v>
      </c>
      <c r="R262" s="8">
        <v>45212</v>
      </c>
      <c r="S262" s="8">
        <v>45219</v>
      </c>
      <c r="T262" s="8">
        <v>45231</v>
      </c>
      <c r="U262" s="8">
        <v>45783</v>
      </c>
      <c r="V262" s="10">
        <f>COUNTA(O262:U262)</f>
        <v>7</v>
      </c>
      <c r="W262" s="11">
        <f>_xlfn.IFNA(INDEX(reading[[#This Row],[Memo 01]:[Memo 07]],MATCH(0,reading[[#This Row],[Memo 01]:[Memo 07]],-1)),"")</f>
        <v>45783</v>
      </c>
      <c r="X262" s="11">
        <f ca="1">IFERROR(reading[[#This Row],[Previous]]+OFFSET(reading[[#Headers],[Memo 01]],-1,MATCH(0,reading[[#This Row],[Memo 01]:[Memo 07]],-1)-1),"")</f>
        <v>55783</v>
      </c>
      <c r="Y262" s="10" t="str">
        <f ca="1">IF(reading[[#This Row],[Next]]&lt;&gt;"",IF(reading[[#This Row],[Next]]&gt;TODAY(),"OK",""),"")</f>
        <v>OK</v>
      </c>
      <c r="Z262" s="13">
        <v>3</v>
      </c>
      <c r="AA262" s="13">
        <v>3</v>
      </c>
      <c r="AB262" s="13">
        <v>3</v>
      </c>
      <c r="AC262" s="13">
        <v>3</v>
      </c>
      <c r="AD262" s="13">
        <v>3</v>
      </c>
      <c r="AE262" s="13">
        <v>3</v>
      </c>
      <c r="AF262" s="13">
        <v>3</v>
      </c>
      <c r="AG262" s="16">
        <f>IFERROR(SUMIF(reading[[#This Row],[1st]:[7th]],"&gt;0")/COUNTIF(reading[[#This Row],[1st]:[7th]],"&gt;0"),"")</f>
        <v>3</v>
      </c>
    </row>
    <row r="263" spans="1:33" hidden="1" x14ac:dyDescent="0.2">
      <c r="A263" s="4">
        <f>IF(B263=1,3,IF(D263=1,2,IF(F263=1,1,0)))</f>
        <v>0</v>
      </c>
      <c r="B263" s="4" t="str">
        <f>IF(C263=$L263,1,IF(C263="","",0))</f>
        <v/>
      </c>
      <c r="C263" s="42"/>
      <c r="D263" s="4" t="str">
        <f>IF(E263=$L263,1,IF(E263="","",0))</f>
        <v/>
      </c>
      <c r="E263" s="14"/>
      <c r="F263" s="4" t="str">
        <f>IF(G263=$L263,1,IF(G263="","",0))</f>
        <v/>
      </c>
      <c r="G263" s="14"/>
      <c r="H263" s="6">
        <v>954</v>
      </c>
      <c r="I263" s="15" t="s">
        <v>3120</v>
      </c>
      <c r="J263" s="6" t="s">
        <v>4083</v>
      </c>
      <c r="K263" s="6"/>
      <c r="L263" s="6" t="s">
        <v>1064</v>
      </c>
      <c r="M263" s="6" t="s">
        <v>7062</v>
      </c>
      <c r="N263" s="7">
        <f ca="1">RAND()</f>
        <v>0.95447535766084013</v>
      </c>
      <c r="O263" s="8">
        <v>45204</v>
      </c>
      <c r="P263" s="8">
        <v>45205</v>
      </c>
      <c r="Q263" s="8">
        <v>45207</v>
      </c>
      <c r="R263" s="8">
        <v>45211</v>
      </c>
      <c r="S263" s="8">
        <v>45218</v>
      </c>
      <c r="T263" s="8">
        <v>45230</v>
      </c>
      <c r="U263" s="8">
        <v>45818</v>
      </c>
      <c r="V263" s="10">
        <f>COUNTA(O263:U263)</f>
        <v>7</v>
      </c>
      <c r="W263" s="11">
        <f>_xlfn.IFNA(INDEX(reading[[#This Row],[Memo 01]:[Memo 07]],MATCH(0,reading[[#This Row],[Memo 01]:[Memo 07]],-1)),"")</f>
        <v>45818</v>
      </c>
      <c r="X263" s="11">
        <f ca="1">IFERROR(reading[[#This Row],[Previous]]+OFFSET(reading[[#Headers],[Memo 01]],-1,MATCH(0,reading[[#This Row],[Memo 01]:[Memo 07]],-1)-1),"")</f>
        <v>55818</v>
      </c>
      <c r="Y263" s="10" t="str">
        <f ca="1">IF(reading[[#This Row],[Next]]&lt;&gt;"",IF(reading[[#This Row],[Next]]&gt;TODAY(),"OK",""),"")</f>
        <v>OK</v>
      </c>
      <c r="Z263" s="13">
        <v>3</v>
      </c>
      <c r="AA263" s="13">
        <v>3</v>
      </c>
      <c r="AB263" s="13">
        <v>3</v>
      </c>
      <c r="AC263" s="13">
        <v>3</v>
      </c>
      <c r="AD263" s="13">
        <v>3</v>
      </c>
      <c r="AE263" s="13">
        <v>3</v>
      </c>
      <c r="AF263" s="13">
        <v>3</v>
      </c>
      <c r="AG263" s="16">
        <f>IFERROR(SUMIF(reading[[#This Row],[1st]:[7th]],"&gt;0")/COUNTIF(reading[[#This Row],[1st]:[7th]],"&gt;0"),"")</f>
        <v>3</v>
      </c>
    </row>
    <row r="264" spans="1:33" hidden="1" x14ac:dyDescent="0.2">
      <c r="A264" s="4">
        <f>IF(B264=1,3,IF(D264=1,2,IF(F264=1,1,0)))</f>
        <v>0</v>
      </c>
      <c r="B264" s="4" t="str">
        <f>IF(C264=$L264,1,IF(C264="","",0))</f>
        <v/>
      </c>
      <c r="C264" s="42"/>
      <c r="D264" s="4" t="str">
        <f>IF(E264=$L264,1,IF(E264="","",0))</f>
        <v/>
      </c>
      <c r="E264" s="18"/>
      <c r="F264" s="4" t="str">
        <f>IF(G264=$L264,1,IF(G264="","",0))</f>
        <v/>
      </c>
      <c r="G264" s="18"/>
      <c r="H264" s="6">
        <v>1327</v>
      </c>
      <c r="I264" s="15" t="s">
        <v>3120</v>
      </c>
      <c r="J264" s="6" t="s">
        <v>4443</v>
      </c>
      <c r="K264" s="6"/>
      <c r="L264" s="6" t="s">
        <v>1424</v>
      </c>
      <c r="M264" s="6" t="s">
        <v>7434</v>
      </c>
      <c r="N264" s="7">
        <f ca="1">RAND()</f>
        <v>0.75967780889635528</v>
      </c>
      <c r="O264" s="8">
        <v>45207</v>
      </c>
      <c r="P264" s="8">
        <v>45208</v>
      </c>
      <c r="Q264" s="8">
        <v>45210</v>
      </c>
      <c r="R264" s="8">
        <v>45214</v>
      </c>
      <c r="S264" s="8">
        <v>45221</v>
      </c>
      <c r="T264" s="8">
        <v>45233</v>
      </c>
      <c r="U264" s="8">
        <v>45777</v>
      </c>
      <c r="V264" s="10">
        <f>COUNTA(O264:U264)</f>
        <v>7</v>
      </c>
      <c r="W264" s="11">
        <f>_xlfn.IFNA(INDEX(reading[[#This Row],[Memo 01]:[Memo 07]],MATCH(0,reading[[#This Row],[Memo 01]:[Memo 07]],-1)),"")</f>
        <v>45777</v>
      </c>
      <c r="X264" s="11">
        <f ca="1">IFERROR(reading[[#This Row],[Previous]]+OFFSET(reading[[#Headers],[Memo 01]],-1,MATCH(0,reading[[#This Row],[Memo 01]:[Memo 07]],-1)-1),"")</f>
        <v>55777</v>
      </c>
      <c r="Y264" s="10" t="str">
        <f ca="1">IF(reading[[#This Row],[Next]]&lt;&gt;"",IF(reading[[#This Row],[Next]]&gt;TODAY(),"OK",""),"")</f>
        <v>OK</v>
      </c>
      <c r="Z264" s="13">
        <v>3</v>
      </c>
      <c r="AA264" s="13">
        <v>3</v>
      </c>
      <c r="AB264" s="13">
        <v>3</v>
      </c>
      <c r="AC264" s="13">
        <v>2</v>
      </c>
      <c r="AD264" s="13">
        <v>1</v>
      </c>
      <c r="AE264" s="13">
        <v>3</v>
      </c>
      <c r="AF264" s="13">
        <v>3</v>
      </c>
      <c r="AG264" s="16">
        <f>IFERROR(SUMIF(reading[[#This Row],[1st]:[7th]],"&gt;0")/COUNTIF(reading[[#This Row],[1st]:[7th]],"&gt;0"),"")</f>
        <v>2.5714285714285716</v>
      </c>
    </row>
    <row r="265" spans="1:33" hidden="1" x14ac:dyDescent="0.2">
      <c r="A265" s="4">
        <f>IF(B265=1,3,IF(D265=1,2,IF(F265=1,1,0)))</f>
        <v>0</v>
      </c>
      <c r="B265" s="4" t="str">
        <f>IF(C265=$L265,1,IF(C265="","",0))</f>
        <v/>
      </c>
      <c r="C265" s="42"/>
      <c r="D265" s="4" t="str">
        <f>IF(E265=$L265,1,IF(E265="","",0))</f>
        <v/>
      </c>
      <c r="E265" s="14"/>
      <c r="F265" s="4" t="str">
        <f>IF(G265=$L265,1,IF(G265="","",0))</f>
        <v/>
      </c>
      <c r="G265" s="14"/>
      <c r="H265" s="6">
        <v>504</v>
      </c>
      <c r="I265" s="15" t="s">
        <v>3120</v>
      </c>
      <c r="J265" s="6" t="s">
        <v>3649</v>
      </c>
      <c r="K265" s="6"/>
      <c r="L265" s="6" t="s">
        <v>632</v>
      </c>
      <c r="M265" s="6" t="s">
        <v>6613</v>
      </c>
      <c r="N265" s="7">
        <f ca="1">RAND()</f>
        <v>0.27383411731800866</v>
      </c>
      <c r="O265" s="8">
        <v>45202</v>
      </c>
      <c r="P265" s="8">
        <v>45203</v>
      </c>
      <c r="Q265" s="8">
        <v>45205</v>
      </c>
      <c r="R265" s="8">
        <v>45209</v>
      </c>
      <c r="S265" s="8">
        <v>45216</v>
      </c>
      <c r="T265" s="8">
        <v>45228</v>
      </c>
      <c r="U265" s="8">
        <v>45783</v>
      </c>
      <c r="V265" s="10">
        <f>COUNTA(O265:U265)</f>
        <v>7</v>
      </c>
      <c r="W265" s="11">
        <f>_xlfn.IFNA(INDEX(reading[[#This Row],[Memo 01]:[Memo 07]],MATCH(0,reading[[#This Row],[Memo 01]:[Memo 07]],-1)),"")</f>
        <v>45783</v>
      </c>
      <c r="X265" s="11">
        <f ca="1">IFERROR(reading[[#This Row],[Previous]]+OFFSET(reading[[#Headers],[Memo 01]],-1,MATCH(0,reading[[#This Row],[Memo 01]:[Memo 07]],-1)-1),"")</f>
        <v>55783</v>
      </c>
      <c r="Y265" s="10" t="str">
        <f ca="1">IF(reading[[#This Row],[Next]]&lt;&gt;"",IF(reading[[#This Row],[Next]]&gt;TODAY(),"OK",""),"")</f>
        <v>OK</v>
      </c>
      <c r="Z265" s="13">
        <v>3</v>
      </c>
      <c r="AA265" s="13">
        <v>3</v>
      </c>
      <c r="AB265" s="13">
        <v>3</v>
      </c>
      <c r="AC265" s="13">
        <v>3</v>
      </c>
      <c r="AD265" s="13">
        <v>3</v>
      </c>
      <c r="AE265" s="13">
        <v>3</v>
      </c>
      <c r="AF265" s="13">
        <v>3</v>
      </c>
      <c r="AG265" s="16">
        <f>IFERROR(SUMIF(reading[[#This Row],[1st]:[7th]],"&gt;0")/COUNTIF(reading[[#This Row],[1st]:[7th]],"&gt;0"),"")</f>
        <v>3</v>
      </c>
    </row>
    <row r="266" spans="1:33" hidden="1" x14ac:dyDescent="0.2">
      <c r="A266" s="4">
        <f>IF(B266=1,3,IF(D266=1,2,IF(F266=1,1,0)))</f>
        <v>0</v>
      </c>
      <c r="B266" s="4" t="str">
        <f>IF(C266=$L266,1,IF(C266="","",0))</f>
        <v/>
      </c>
      <c r="C266" s="42"/>
      <c r="D266" s="4" t="str">
        <f>IF(E266=$L266,1,IF(E266="","",0))</f>
        <v/>
      </c>
      <c r="E266" s="14"/>
      <c r="F266" s="4" t="str">
        <f>IF(G266=$L266,1,IF(G266="","",0))</f>
        <v/>
      </c>
      <c r="G266" s="14"/>
      <c r="H266" s="6">
        <v>1116</v>
      </c>
      <c r="I266" s="15" t="s">
        <v>3120</v>
      </c>
      <c r="J266" s="6" t="s">
        <v>4239</v>
      </c>
      <c r="K266" s="6"/>
      <c r="L266" s="6" t="s">
        <v>1222</v>
      </c>
      <c r="M266" s="6" t="s">
        <v>7224</v>
      </c>
      <c r="N266" s="7">
        <f ca="1">RAND()</f>
        <v>0.9241124175180665</v>
      </c>
      <c r="O266" s="8">
        <v>45205</v>
      </c>
      <c r="P266" s="8">
        <v>45206</v>
      </c>
      <c r="Q266" s="8">
        <v>45208</v>
      </c>
      <c r="R266" s="8">
        <v>45212</v>
      </c>
      <c r="S266" s="8">
        <v>45219</v>
      </c>
      <c r="T266" s="8">
        <v>45232</v>
      </c>
      <c r="U266" s="8">
        <v>45252</v>
      </c>
      <c r="V266" s="10">
        <f>COUNTA(O266:U266)</f>
        <v>7</v>
      </c>
      <c r="W266" s="11">
        <f>_xlfn.IFNA(INDEX(reading[[#This Row],[Memo 01]:[Memo 07]],MATCH(0,reading[[#This Row],[Memo 01]:[Memo 07]],-1)),"")</f>
        <v>45252</v>
      </c>
      <c r="X266" s="11">
        <f ca="1">IFERROR(reading[[#This Row],[Previous]]+OFFSET(reading[[#Headers],[Memo 01]],-1,MATCH(0,reading[[#This Row],[Memo 01]:[Memo 07]],-1)-1),"")</f>
        <v>55252</v>
      </c>
      <c r="Y266" s="10" t="str">
        <f ca="1">IF(reading[[#This Row],[Next]]&lt;&gt;"",IF(reading[[#This Row],[Next]]&gt;TODAY(),"OK",""),"")</f>
        <v>OK</v>
      </c>
      <c r="Z266" s="13">
        <v>3</v>
      </c>
      <c r="AA266" s="13">
        <v>3</v>
      </c>
      <c r="AB266" s="13">
        <v>2</v>
      </c>
      <c r="AC266" s="13">
        <v>3</v>
      </c>
      <c r="AD266" s="13">
        <v>3</v>
      </c>
      <c r="AE266" s="13">
        <v>1</v>
      </c>
      <c r="AF266" s="13">
        <v>3</v>
      </c>
      <c r="AG266" s="16">
        <f>IFERROR(SUMIF(reading[[#This Row],[1st]:[7th]],"&gt;0")/COUNTIF(reading[[#This Row],[1st]:[7th]],"&gt;0"),"")</f>
        <v>2.5714285714285716</v>
      </c>
    </row>
    <row r="267" spans="1:33" hidden="1" x14ac:dyDescent="0.2">
      <c r="A267" s="4">
        <f>IF(B267=1,3,IF(D267=1,2,IF(F267=1,1,0)))</f>
        <v>0</v>
      </c>
      <c r="B267" s="4" t="str">
        <f>IF(C267=$L267,1,IF(C267="","",0))</f>
        <v/>
      </c>
      <c r="C267" s="42"/>
      <c r="D267" s="4" t="str">
        <f>IF(E267=$L267,1,IF(E267="","",0))</f>
        <v/>
      </c>
      <c r="E267" s="14"/>
      <c r="F267" s="4" t="str">
        <f>IF(G267=$L267,1,IF(G267="","",0))</f>
        <v/>
      </c>
      <c r="G267" s="14"/>
      <c r="H267" s="6">
        <v>1424</v>
      </c>
      <c r="I267" s="15" t="s">
        <v>3120</v>
      </c>
      <c r="J267" s="6" t="s">
        <v>4538</v>
      </c>
      <c r="K267" s="6"/>
      <c r="L267" s="6" t="s">
        <v>1515</v>
      </c>
      <c r="M267" s="6" t="s">
        <v>7531</v>
      </c>
      <c r="N267" s="7">
        <f ca="1">RAND()</f>
        <v>7.2136180197381439E-2</v>
      </c>
      <c r="O267" s="8">
        <v>45208</v>
      </c>
      <c r="P267" s="8">
        <v>45209</v>
      </c>
      <c r="Q267" s="8">
        <v>45211</v>
      </c>
      <c r="R267" s="8">
        <v>45215</v>
      </c>
      <c r="S267" s="8">
        <v>45222</v>
      </c>
      <c r="T267" s="8">
        <v>45235</v>
      </c>
      <c r="U267" s="8">
        <v>45783</v>
      </c>
      <c r="V267" s="10">
        <f>COUNTA(O267:U267)</f>
        <v>7</v>
      </c>
      <c r="W267" s="11">
        <f>_xlfn.IFNA(INDEX(reading[[#This Row],[Memo 01]:[Memo 07]],MATCH(0,reading[[#This Row],[Memo 01]:[Memo 07]],-1)),"")</f>
        <v>45783</v>
      </c>
      <c r="X267" s="11">
        <f ca="1">IFERROR(reading[[#This Row],[Previous]]+OFFSET(reading[[#Headers],[Memo 01]],-1,MATCH(0,reading[[#This Row],[Memo 01]:[Memo 07]],-1)-1),"")</f>
        <v>55783</v>
      </c>
      <c r="Y267" s="10" t="str">
        <f ca="1">IF(reading[[#This Row],[Next]]&lt;&gt;"",IF(reading[[#This Row],[Next]]&gt;TODAY(),"OK",""),"")</f>
        <v>OK</v>
      </c>
      <c r="Z267" s="13">
        <v>3</v>
      </c>
      <c r="AA267" s="13">
        <v>3</v>
      </c>
      <c r="AB267" s="13">
        <v>3</v>
      </c>
      <c r="AC267" s="13">
        <v>3</v>
      </c>
      <c r="AD267" s="13">
        <v>3</v>
      </c>
      <c r="AE267" s="13">
        <v>2</v>
      </c>
      <c r="AF267" s="13">
        <v>3</v>
      </c>
      <c r="AG267" s="16">
        <f>IFERROR(SUMIF(reading[[#This Row],[1st]:[7th]],"&gt;0")/COUNTIF(reading[[#This Row],[1st]:[7th]],"&gt;0"),"")</f>
        <v>2.8571428571428572</v>
      </c>
    </row>
    <row r="268" spans="1:33" hidden="1" x14ac:dyDescent="0.2">
      <c r="A268" s="4">
        <f>IF(B268=1,3,IF(D268=1,2,IF(F268=1,1,0)))</f>
        <v>0</v>
      </c>
      <c r="B268" s="4" t="str">
        <f>IF(C268=$L268,1,IF(C268="","",0))</f>
        <v/>
      </c>
      <c r="C268" s="42"/>
      <c r="D268" s="4" t="str">
        <f>IF(E268=$L268,1,IF(E268="","",0))</f>
        <v/>
      </c>
      <c r="E268" s="14"/>
      <c r="F268" s="4" t="str">
        <f>IF(G268=$L268,1,IF(G268="","",0))</f>
        <v/>
      </c>
      <c r="G268" s="14"/>
      <c r="H268" s="6">
        <v>1120</v>
      </c>
      <c r="I268" s="15" t="s">
        <v>3120</v>
      </c>
      <c r="J268" s="6" t="s">
        <v>4242</v>
      </c>
      <c r="K268" s="6"/>
      <c r="L268" s="6" t="s">
        <v>1225</v>
      </c>
      <c r="M268" s="6" t="s">
        <v>7228</v>
      </c>
      <c r="N268" s="7">
        <f ca="1">RAND()</f>
        <v>0.20255852222053372</v>
      </c>
      <c r="O268" s="8">
        <v>45205</v>
      </c>
      <c r="P268" s="8">
        <v>45206</v>
      </c>
      <c r="Q268" s="8">
        <v>45208</v>
      </c>
      <c r="R268" s="8">
        <v>45212</v>
      </c>
      <c r="S268" s="8">
        <v>45219</v>
      </c>
      <c r="T268" s="8">
        <v>45231</v>
      </c>
      <c r="U268" s="8">
        <v>45783</v>
      </c>
      <c r="V268" s="10">
        <f>COUNTA(O268:U268)</f>
        <v>7</v>
      </c>
      <c r="W268" s="11">
        <f>_xlfn.IFNA(INDEX(reading[[#This Row],[Memo 01]:[Memo 07]],MATCH(0,reading[[#This Row],[Memo 01]:[Memo 07]],-1)),"")</f>
        <v>45783</v>
      </c>
      <c r="X268" s="11">
        <f ca="1">IFERROR(reading[[#This Row],[Previous]]+OFFSET(reading[[#Headers],[Memo 01]],-1,MATCH(0,reading[[#This Row],[Memo 01]:[Memo 07]],-1)-1),"")</f>
        <v>55783</v>
      </c>
      <c r="Y268" s="10" t="str">
        <f ca="1">IF(reading[[#This Row],[Next]]&lt;&gt;"",IF(reading[[#This Row],[Next]]&gt;TODAY(),"OK",""),"")</f>
        <v>OK</v>
      </c>
      <c r="Z268" s="13">
        <v>3</v>
      </c>
      <c r="AA268" s="13">
        <v>3</v>
      </c>
      <c r="AB268" s="13">
        <v>3</v>
      </c>
      <c r="AC268" s="13">
        <v>3</v>
      </c>
      <c r="AD268" s="13">
        <v>3</v>
      </c>
      <c r="AE268" s="13">
        <v>3</v>
      </c>
      <c r="AF268" s="13">
        <v>3</v>
      </c>
      <c r="AG268" s="16">
        <f>IFERROR(SUMIF(reading[[#This Row],[1st]:[7th]],"&gt;0")/COUNTIF(reading[[#This Row],[1st]:[7th]],"&gt;0"),"")</f>
        <v>3</v>
      </c>
    </row>
    <row r="269" spans="1:33" hidden="1" x14ac:dyDescent="0.2">
      <c r="A269" s="4">
        <f>IF(B269=1,3,IF(D269=1,2,IF(F269=1,1,0)))</f>
        <v>0</v>
      </c>
      <c r="B269" s="4" t="str">
        <f>IF(C269=$L269,1,IF(C269="","",0))</f>
        <v/>
      </c>
      <c r="C269" s="42"/>
      <c r="D269" s="4" t="str">
        <f>IF(E269=$L269,1,IF(E269="","",0))</f>
        <v/>
      </c>
      <c r="E269" s="23"/>
      <c r="F269" s="4" t="str">
        <f>IF(G269=$L269,1,IF(G269="","",0))</f>
        <v/>
      </c>
      <c r="G269" s="14"/>
      <c r="H269" s="6">
        <v>2257</v>
      </c>
      <c r="I269" s="15" t="s">
        <v>3120</v>
      </c>
      <c r="J269" s="6" t="s">
        <v>5339</v>
      </c>
      <c r="K269" s="24" t="s">
        <v>3136</v>
      </c>
      <c r="L269" s="6" t="s">
        <v>37</v>
      </c>
      <c r="M269" s="6" t="s">
        <v>8362</v>
      </c>
      <c r="N269" s="7">
        <f ca="1">RAND()</f>
        <v>0.30888654381871417</v>
      </c>
      <c r="O269" s="8">
        <v>45215</v>
      </c>
      <c r="P269" s="8">
        <v>45216</v>
      </c>
      <c r="Q269" s="8">
        <v>45218</v>
      </c>
      <c r="R269" s="8">
        <v>45222</v>
      </c>
      <c r="S269" s="8">
        <v>45229</v>
      </c>
      <c r="T269" s="8">
        <v>45811</v>
      </c>
      <c r="U269" s="8"/>
      <c r="V269" s="10">
        <f>COUNTA(O269:U269)</f>
        <v>6</v>
      </c>
      <c r="W269" s="11">
        <f>_xlfn.IFNA(INDEX(reading[[#This Row],[Memo 01]:[Memo 07]],MATCH(0,reading[[#This Row],[Memo 01]:[Memo 07]],-1)),"")</f>
        <v>45811</v>
      </c>
      <c r="X269" s="11">
        <f ca="1">IFERROR(reading[[#This Row],[Previous]]+OFFSET(reading[[#Headers],[Memo 01]],-1,MATCH(0,reading[[#This Row],[Memo 01]:[Memo 07]],-1)-1),"")</f>
        <v>45831</v>
      </c>
      <c r="Y269" s="10" t="str">
        <f ca="1">IF(reading[[#This Row],[Next]]&lt;&gt;"",IF(reading[[#This Row],[Next]]&gt;TODAY(),"OK",""),"")</f>
        <v/>
      </c>
      <c r="Z269" s="13">
        <v>3</v>
      </c>
      <c r="AA269" s="13">
        <v>3</v>
      </c>
      <c r="AB269" s="13">
        <v>3</v>
      </c>
      <c r="AC269" s="13">
        <v>3</v>
      </c>
      <c r="AD269" s="13">
        <v>3</v>
      </c>
      <c r="AE269" s="13">
        <v>2</v>
      </c>
      <c r="AF269" s="13"/>
      <c r="AG269" s="16">
        <f>IFERROR(SUMIF(reading[[#This Row],[1st]:[7th]],"&gt;0")/COUNTIF(reading[[#This Row],[1st]:[7th]],"&gt;0"),"")</f>
        <v>2.8333333333333335</v>
      </c>
    </row>
    <row r="270" spans="1:33" hidden="1" x14ac:dyDescent="0.2">
      <c r="A270" s="4">
        <f>IF(B270=1,3,IF(D270=1,2,IF(F270=1,1,0)))</f>
        <v>0</v>
      </c>
      <c r="B270" s="4" t="str">
        <f>IF(C270=$L270,1,IF(C270="","",0))</f>
        <v/>
      </c>
      <c r="C270" s="42"/>
      <c r="D270" s="4" t="str">
        <f>IF(E270=$L270,1,IF(E270="","",0))</f>
        <v/>
      </c>
      <c r="E270" s="18"/>
      <c r="F270" s="4" t="str">
        <f>IF(G270=$L270,1,IF(G270="","",0))</f>
        <v/>
      </c>
      <c r="G270" s="14"/>
      <c r="H270" s="6">
        <v>1202</v>
      </c>
      <c r="I270" s="15" t="s">
        <v>3120</v>
      </c>
      <c r="J270" s="6" t="s">
        <v>4321</v>
      </c>
      <c r="K270" s="6"/>
      <c r="L270" s="6" t="s">
        <v>1304</v>
      </c>
      <c r="M270" s="6" t="s">
        <v>7309</v>
      </c>
      <c r="N270" s="7">
        <f ca="1">RAND()</f>
        <v>0.42370430429495298</v>
      </c>
      <c r="O270" s="8">
        <v>45206</v>
      </c>
      <c r="P270" s="8">
        <v>45207</v>
      </c>
      <c r="Q270" s="8">
        <v>45209</v>
      </c>
      <c r="R270" s="8">
        <v>45213</v>
      </c>
      <c r="S270" s="8">
        <v>45220</v>
      </c>
      <c r="T270" s="8">
        <v>45232</v>
      </c>
      <c r="U270" s="8">
        <v>45252</v>
      </c>
      <c r="V270" s="10">
        <f>COUNTA(O270:U270)</f>
        <v>7</v>
      </c>
      <c r="W270" s="11">
        <f>_xlfn.IFNA(INDEX(reading[[#This Row],[Memo 01]:[Memo 07]],MATCH(0,reading[[#This Row],[Memo 01]:[Memo 07]],-1)),"")</f>
        <v>45252</v>
      </c>
      <c r="X270" s="11">
        <f ca="1">IFERROR(reading[[#This Row],[Previous]]+OFFSET(reading[[#Headers],[Memo 01]],-1,MATCH(0,reading[[#This Row],[Memo 01]:[Memo 07]],-1)-1),"")</f>
        <v>55252</v>
      </c>
      <c r="Y270" s="10" t="str">
        <f ca="1">IF(reading[[#This Row],[Next]]&lt;&gt;"",IF(reading[[#This Row],[Next]]&gt;TODAY(),"OK",""),"")</f>
        <v>OK</v>
      </c>
      <c r="Z270" s="13">
        <v>3</v>
      </c>
      <c r="AA270" s="13">
        <v>2</v>
      </c>
      <c r="AB270" s="13">
        <v>2</v>
      </c>
      <c r="AC270" s="13">
        <v>3</v>
      </c>
      <c r="AD270" s="13">
        <v>3</v>
      </c>
      <c r="AE270" s="13">
        <v>2</v>
      </c>
      <c r="AF270" s="13">
        <v>3</v>
      </c>
      <c r="AG270" s="16">
        <f>IFERROR(SUMIF(reading[[#This Row],[1st]:[7th]],"&gt;0")/COUNTIF(reading[[#This Row],[1st]:[7th]],"&gt;0"),"")</f>
        <v>2.5714285714285716</v>
      </c>
    </row>
    <row r="271" spans="1:33" hidden="1" x14ac:dyDescent="0.2">
      <c r="A271" s="4">
        <f>IF(B271=1,3,IF(D271=1,2,IF(F271=1,1,0)))</f>
        <v>0</v>
      </c>
      <c r="B271" s="4" t="str">
        <f>IF(C271=$L271,1,IF(C271="","",0))</f>
        <v/>
      </c>
      <c r="C271" s="42"/>
      <c r="D271" s="4" t="str">
        <f>IF(E271=$L271,1,IF(E271="","",0))</f>
        <v/>
      </c>
      <c r="E271" s="14"/>
      <c r="F271" s="4" t="str">
        <f>IF(G271=$L271,1,IF(G271="","",0))</f>
        <v/>
      </c>
      <c r="G271" s="14"/>
      <c r="H271" s="6">
        <v>1672</v>
      </c>
      <c r="I271" s="15" t="s">
        <v>3120</v>
      </c>
      <c r="J271" s="6" t="s">
        <v>4783</v>
      </c>
      <c r="K271" s="6" t="s">
        <v>3138</v>
      </c>
      <c r="L271" s="6" t="s">
        <v>1753</v>
      </c>
      <c r="M271" s="6" t="s">
        <v>7778</v>
      </c>
      <c r="N271" s="7">
        <f ca="1">RAND()</f>
        <v>8.2473412668905399E-2</v>
      </c>
      <c r="O271" s="8">
        <v>45211</v>
      </c>
      <c r="P271" s="8">
        <v>45212</v>
      </c>
      <c r="Q271" s="8">
        <v>45214</v>
      </c>
      <c r="R271" s="8">
        <v>45218</v>
      </c>
      <c r="S271" s="8">
        <v>45225</v>
      </c>
      <c r="T271" s="8">
        <v>45237</v>
      </c>
      <c r="U271" s="8">
        <v>45818</v>
      </c>
      <c r="V271" s="10">
        <f>COUNTA(O271:U271)</f>
        <v>7</v>
      </c>
      <c r="W271" s="11">
        <f>_xlfn.IFNA(INDEX(reading[[#This Row],[Memo 01]:[Memo 07]],MATCH(0,reading[[#This Row],[Memo 01]:[Memo 07]],-1)),"")</f>
        <v>45818</v>
      </c>
      <c r="X271" s="11">
        <f ca="1">IFERROR(reading[[#This Row],[Previous]]+OFFSET(reading[[#Headers],[Memo 01]],-1,MATCH(0,reading[[#This Row],[Memo 01]:[Memo 07]],-1)-1),"")</f>
        <v>55818</v>
      </c>
      <c r="Y271" s="10" t="str">
        <f ca="1">IF(reading[[#This Row],[Next]]&lt;&gt;"",IF(reading[[#This Row],[Next]]&gt;TODAY(),"OK",""),"")</f>
        <v>OK</v>
      </c>
      <c r="Z271" s="13">
        <v>3</v>
      </c>
      <c r="AA271" s="13">
        <v>3</v>
      </c>
      <c r="AB271" s="13">
        <v>3</v>
      </c>
      <c r="AC271" s="13">
        <v>3</v>
      </c>
      <c r="AD271" s="13">
        <v>3</v>
      </c>
      <c r="AE271" s="13">
        <v>3</v>
      </c>
      <c r="AF271" s="13">
        <v>3</v>
      </c>
      <c r="AG271" s="16">
        <f>IFERROR(SUMIF(reading[[#This Row],[1st]:[7th]],"&gt;0")/COUNTIF(reading[[#This Row],[1st]:[7th]],"&gt;0"),"")</f>
        <v>3</v>
      </c>
    </row>
    <row r="272" spans="1:33" hidden="1" x14ac:dyDescent="0.2">
      <c r="A272" s="4">
        <f>IF(B272=1,3,IF(D272=1,2,IF(F272=1,1,0)))</f>
        <v>0</v>
      </c>
      <c r="B272" s="4" t="str">
        <f>IF(C272=$L272,1,IF(C272="","",0))</f>
        <v/>
      </c>
      <c r="C272" s="42"/>
      <c r="D272" s="4" t="str">
        <f>IF(E272=$L272,1,IF(E272="","",0))</f>
        <v/>
      </c>
      <c r="E272" s="14"/>
      <c r="F272" s="4" t="str">
        <f>IF(G272=$L272,1,IF(G272="","",0))</f>
        <v/>
      </c>
      <c r="G272" s="14"/>
      <c r="H272" s="6">
        <v>472</v>
      </c>
      <c r="I272" s="15" t="s">
        <v>3120</v>
      </c>
      <c r="J272" s="6" t="s">
        <v>3618</v>
      </c>
      <c r="K272" s="6"/>
      <c r="L272" s="6" t="s">
        <v>601</v>
      </c>
      <c r="M272" s="6" t="s">
        <v>6581</v>
      </c>
      <c r="N272" s="7">
        <f ca="1">RAND()</f>
        <v>0.52057927768782586</v>
      </c>
      <c r="O272" s="8">
        <v>45202</v>
      </c>
      <c r="P272" s="8">
        <v>45203</v>
      </c>
      <c r="Q272" s="8">
        <v>45205</v>
      </c>
      <c r="R272" s="8">
        <v>45209</v>
      </c>
      <c r="S272" s="8">
        <v>45216</v>
      </c>
      <c r="T272" s="8">
        <v>45228</v>
      </c>
      <c r="U272" s="8">
        <v>45783</v>
      </c>
      <c r="V272" s="10">
        <f>COUNTA(O272:U272)</f>
        <v>7</v>
      </c>
      <c r="W272" s="11">
        <f>_xlfn.IFNA(INDEX(reading[[#This Row],[Memo 01]:[Memo 07]],MATCH(0,reading[[#This Row],[Memo 01]:[Memo 07]],-1)),"")</f>
        <v>45783</v>
      </c>
      <c r="X272" s="11">
        <f ca="1">IFERROR(reading[[#This Row],[Previous]]+OFFSET(reading[[#Headers],[Memo 01]],-1,MATCH(0,reading[[#This Row],[Memo 01]:[Memo 07]],-1)-1),"")</f>
        <v>55783</v>
      </c>
      <c r="Y272" s="10" t="str">
        <f ca="1">IF(reading[[#This Row],[Next]]&lt;&gt;"",IF(reading[[#This Row],[Next]]&gt;TODAY(),"OK",""),"")</f>
        <v>OK</v>
      </c>
      <c r="Z272" s="13">
        <v>3</v>
      </c>
      <c r="AA272" s="13">
        <v>2</v>
      </c>
      <c r="AB272" s="13">
        <v>3</v>
      </c>
      <c r="AC272" s="13">
        <v>3</v>
      </c>
      <c r="AD272" s="13">
        <v>3</v>
      </c>
      <c r="AE272" s="13">
        <v>3</v>
      </c>
      <c r="AF272" s="13">
        <v>3</v>
      </c>
      <c r="AG272" s="16">
        <f>IFERROR(SUMIF(reading[[#This Row],[1st]:[7th]],"&gt;0")/COUNTIF(reading[[#This Row],[1st]:[7th]],"&gt;0"),"")</f>
        <v>2.8571428571428572</v>
      </c>
    </row>
    <row r="273" spans="1:33" hidden="1" x14ac:dyDescent="0.2">
      <c r="A273" s="4">
        <f>IF(B273=1,3,IF(D273=1,2,IF(F273=1,1,0)))</f>
        <v>0</v>
      </c>
      <c r="B273" s="4" t="str">
        <f>IF(C273=$L273,1,IF(C273="","",0))</f>
        <v/>
      </c>
      <c r="C273" s="42"/>
      <c r="D273" s="4" t="str">
        <f>IF(E273=$L273,1,IF(E273="","",0))</f>
        <v/>
      </c>
      <c r="E273" s="18"/>
      <c r="F273" s="4" t="str">
        <f>IF(G273=$L273,1,IF(G273="","",0))</f>
        <v/>
      </c>
      <c r="G273" s="14"/>
      <c r="H273" s="6">
        <v>1220</v>
      </c>
      <c r="I273" s="15" t="s">
        <v>3120</v>
      </c>
      <c r="J273" s="6" t="s">
        <v>4337</v>
      </c>
      <c r="K273" s="6"/>
      <c r="L273" s="6" t="s">
        <v>1321</v>
      </c>
      <c r="M273" s="6" t="s">
        <v>7327</v>
      </c>
      <c r="N273" s="7">
        <f ca="1">RAND()</f>
        <v>0.88127493855319128</v>
      </c>
      <c r="O273" s="8">
        <v>45206</v>
      </c>
      <c r="P273" s="8">
        <v>45207</v>
      </c>
      <c r="Q273" s="8">
        <v>45209</v>
      </c>
      <c r="R273" s="8">
        <v>45213</v>
      </c>
      <c r="S273" s="8">
        <v>45220</v>
      </c>
      <c r="T273" s="8">
        <v>45232</v>
      </c>
      <c r="U273" s="8">
        <v>45252</v>
      </c>
      <c r="V273" s="10">
        <f>COUNTA(O273:U273)</f>
        <v>7</v>
      </c>
      <c r="W273" s="11">
        <f>_xlfn.IFNA(INDEX(reading[[#This Row],[Memo 01]:[Memo 07]],MATCH(0,reading[[#This Row],[Memo 01]:[Memo 07]],-1)),"")</f>
        <v>45252</v>
      </c>
      <c r="X273" s="11">
        <f ca="1">IFERROR(reading[[#This Row],[Previous]]+OFFSET(reading[[#Headers],[Memo 01]],-1,MATCH(0,reading[[#This Row],[Memo 01]:[Memo 07]],-1)-1),"")</f>
        <v>55252</v>
      </c>
      <c r="Y273" s="10" t="str">
        <f ca="1">IF(reading[[#This Row],[Next]]&lt;&gt;"",IF(reading[[#This Row],[Next]]&gt;TODAY(),"OK",""),"")</f>
        <v>OK</v>
      </c>
      <c r="Z273" s="13">
        <v>3</v>
      </c>
      <c r="AA273" s="13">
        <v>2</v>
      </c>
      <c r="AB273" s="13">
        <v>3</v>
      </c>
      <c r="AC273" s="13">
        <v>3</v>
      </c>
      <c r="AD273" s="13">
        <v>2</v>
      </c>
      <c r="AE273" s="13">
        <v>2</v>
      </c>
      <c r="AF273" s="13">
        <v>3</v>
      </c>
      <c r="AG273" s="16">
        <f>IFERROR(SUMIF(reading[[#This Row],[1st]:[7th]],"&gt;0")/COUNTIF(reading[[#This Row],[1st]:[7th]],"&gt;0"),"")</f>
        <v>2.5714285714285716</v>
      </c>
    </row>
    <row r="274" spans="1:33" hidden="1" x14ac:dyDescent="0.2">
      <c r="A274" s="4">
        <f>IF(B274=1,3,IF(D274=1,2,IF(F274=1,1,0)))</f>
        <v>0</v>
      </c>
      <c r="B274" s="4" t="str">
        <f>IF(C274=$L274,1,IF(C274="","",0))</f>
        <v/>
      </c>
      <c r="C274" s="42"/>
      <c r="D274" s="4" t="str">
        <f>IF(E274=$L274,1,IF(E274="","",0))</f>
        <v/>
      </c>
      <c r="E274" s="14"/>
      <c r="F274" s="4" t="str">
        <f>IF(G274=$L274,1,IF(G274="","",0))</f>
        <v/>
      </c>
      <c r="G274" s="14"/>
      <c r="H274" s="6">
        <v>1630</v>
      </c>
      <c r="I274" s="15" t="s">
        <v>3120</v>
      </c>
      <c r="J274" s="6" t="s">
        <v>4742</v>
      </c>
      <c r="K274" s="15" t="s">
        <v>3138</v>
      </c>
      <c r="L274" s="6" t="s">
        <v>1712</v>
      </c>
      <c r="M274" s="6" t="s">
        <v>7736</v>
      </c>
      <c r="N274" s="7">
        <f ca="1">RAND()</f>
        <v>0.34706547424891454</v>
      </c>
      <c r="O274" s="8">
        <v>45210</v>
      </c>
      <c r="P274" s="8">
        <v>45212</v>
      </c>
      <c r="Q274" s="8">
        <v>45214</v>
      </c>
      <c r="R274" s="8">
        <v>45218</v>
      </c>
      <c r="S274" s="8">
        <v>45225</v>
      </c>
      <c r="T274" s="8">
        <v>45237</v>
      </c>
      <c r="U274" s="8">
        <v>45818</v>
      </c>
      <c r="V274" s="10">
        <f>COUNTA(O274:U274)</f>
        <v>7</v>
      </c>
      <c r="W274" s="11">
        <f>_xlfn.IFNA(INDEX(reading[[#This Row],[Memo 01]:[Memo 07]],MATCH(0,reading[[#This Row],[Memo 01]:[Memo 07]],-1)),"")</f>
        <v>45818</v>
      </c>
      <c r="X274" s="11">
        <f ca="1">IFERROR(reading[[#This Row],[Previous]]+OFFSET(reading[[#Headers],[Memo 01]],-1,MATCH(0,reading[[#This Row],[Memo 01]:[Memo 07]],-1)-1),"")</f>
        <v>55818</v>
      </c>
      <c r="Y274" s="10" t="str">
        <f ca="1">IF(reading[[#This Row],[Next]]&lt;&gt;"",IF(reading[[#This Row],[Next]]&gt;TODAY(),"OK",""),"")</f>
        <v>OK</v>
      </c>
      <c r="Z274" s="13">
        <v>3</v>
      </c>
      <c r="AA274" s="13">
        <v>2</v>
      </c>
      <c r="AB274" s="13">
        <v>3</v>
      </c>
      <c r="AC274" s="13">
        <v>3</v>
      </c>
      <c r="AD274" s="13">
        <v>3</v>
      </c>
      <c r="AE274" s="13">
        <v>3</v>
      </c>
      <c r="AF274" s="13">
        <v>3</v>
      </c>
      <c r="AG274" s="16">
        <f>IFERROR(SUMIF(reading[[#This Row],[1st]:[7th]],"&gt;0")/COUNTIF(reading[[#This Row],[1st]:[7th]],"&gt;0"),"")</f>
        <v>2.8571428571428572</v>
      </c>
    </row>
    <row r="275" spans="1:33" hidden="1" x14ac:dyDescent="0.2">
      <c r="A275" s="4">
        <f>IF(B275=1,3,IF(D275=1,2,IF(F275=1,1,0)))</f>
        <v>0</v>
      </c>
      <c r="B275" s="4" t="str">
        <f>IF(C275=$L275,1,IF(C275="","",0))</f>
        <v/>
      </c>
      <c r="C275" s="20"/>
      <c r="D275" s="4" t="str">
        <f>IF(E275=$L275,1,IF(E275="","",0))</f>
        <v/>
      </c>
      <c r="E275" s="14"/>
      <c r="F275" s="4" t="str">
        <f>IF(G275=$L275,1,IF(G275="","",0))</f>
        <v/>
      </c>
      <c r="G275" s="14"/>
      <c r="H275" s="6">
        <v>278</v>
      </c>
      <c r="I275" s="15" t="s">
        <v>3120</v>
      </c>
      <c r="J275" s="6" t="s">
        <v>3427</v>
      </c>
      <c r="K275" s="6"/>
      <c r="L275" s="6" t="s">
        <v>413</v>
      </c>
      <c r="M275" s="6" t="s">
        <v>6387</v>
      </c>
      <c r="N275" s="7">
        <f ca="1">RAND()</f>
        <v>0.83731019942383011</v>
      </c>
      <c r="O275" s="8">
        <v>45200</v>
      </c>
      <c r="P275" s="8">
        <v>45200</v>
      </c>
      <c r="Q275" s="8">
        <v>45200</v>
      </c>
      <c r="R275" s="8">
        <v>45200</v>
      </c>
      <c r="S275" s="8">
        <v>45200</v>
      </c>
      <c r="T275" s="8">
        <v>45200</v>
      </c>
      <c r="U275" s="8">
        <v>45200</v>
      </c>
      <c r="V275" s="10">
        <f>COUNTA(O275:U275)</f>
        <v>7</v>
      </c>
      <c r="W275" s="11">
        <f>_xlfn.IFNA(INDEX(reading[[#This Row],[Memo 01]:[Memo 07]],MATCH(0,reading[[#This Row],[Memo 01]:[Memo 07]],-1)),"")</f>
        <v>45200</v>
      </c>
      <c r="X275" s="11">
        <f ca="1">IFERROR(reading[[#This Row],[Previous]]+OFFSET(reading[[#Headers],[Memo 01]],-1,MATCH(0,reading[[#This Row],[Memo 01]:[Memo 07]],-1)-1),"")</f>
        <v>55200</v>
      </c>
      <c r="Y275" s="10" t="str">
        <f ca="1">IF(reading[[#This Row],[Next]]&lt;&gt;"",IF(reading[[#This Row],[Next]]&gt;TODAY(),"OK",""),"")</f>
        <v>OK</v>
      </c>
      <c r="Z275" s="13">
        <v>3</v>
      </c>
      <c r="AA275" s="13"/>
      <c r="AB275" s="13"/>
      <c r="AC275" s="13"/>
      <c r="AD275" s="13"/>
      <c r="AE275" s="13"/>
      <c r="AF275" s="13"/>
      <c r="AG275" s="16">
        <f>IFERROR(SUMIF(reading[[#This Row],[1st]:[7th]],"&gt;0")/COUNTIF(reading[[#This Row],[1st]:[7th]],"&gt;0"),"")</f>
        <v>3</v>
      </c>
    </row>
    <row r="276" spans="1:33" hidden="1" x14ac:dyDescent="0.2">
      <c r="A276" s="4">
        <f>IF(B276=1,3,IF(D276=1,2,IF(F276=1,1,0)))</f>
        <v>0</v>
      </c>
      <c r="B276" s="4" t="str">
        <f>IF(C276=$L276,1,IF(C276="","",0))</f>
        <v/>
      </c>
      <c r="C276" s="42"/>
      <c r="D276" s="4" t="str">
        <f>IF(E276=$L276,1,IF(E276="","",0))</f>
        <v/>
      </c>
      <c r="E276" s="23"/>
      <c r="F276" s="4" t="str">
        <f>IF(G276=$L276,1,IF(G276="","",0))</f>
        <v/>
      </c>
      <c r="G276" s="14"/>
      <c r="H276" s="6">
        <v>1725</v>
      </c>
      <c r="I276" s="15" t="s">
        <v>3120</v>
      </c>
      <c r="J276" s="6" t="s">
        <v>4833</v>
      </c>
      <c r="K276" s="6"/>
      <c r="L276" s="6" t="s">
        <v>1805</v>
      </c>
      <c r="M276" s="6" t="s">
        <v>7831</v>
      </c>
      <c r="N276" s="7">
        <f ca="1">RAND()</f>
        <v>0.85723302271761925</v>
      </c>
      <c r="O276" s="8">
        <v>45211</v>
      </c>
      <c r="P276" s="8">
        <v>45212</v>
      </c>
      <c r="Q276" s="8">
        <v>45214</v>
      </c>
      <c r="R276" s="8">
        <v>45218</v>
      </c>
      <c r="S276" s="8">
        <v>45225</v>
      </c>
      <c r="T276" s="8">
        <v>45237</v>
      </c>
      <c r="U276" s="8">
        <v>45811</v>
      </c>
      <c r="V276" s="10">
        <f>COUNTA(O276:U276)</f>
        <v>7</v>
      </c>
      <c r="W276" s="11">
        <f>_xlfn.IFNA(INDEX(reading[[#This Row],[Memo 01]:[Memo 07]],MATCH(0,reading[[#This Row],[Memo 01]:[Memo 07]],-1)),"")</f>
        <v>45811</v>
      </c>
      <c r="X276" s="11">
        <f ca="1">IFERROR(reading[[#This Row],[Previous]]+OFFSET(reading[[#Headers],[Memo 01]],-1,MATCH(0,reading[[#This Row],[Memo 01]:[Memo 07]],-1)-1),"")</f>
        <v>55811</v>
      </c>
      <c r="Y276" s="10" t="str">
        <f ca="1">IF(reading[[#This Row],[Next]]&lt;&gt;"",IF(reading[[#This Row],[Next]]&gt;TODAY(),"OK",""),"")</f>
        <v>OK</v>
      </c>
      <c r="Z276" s="13">
        <v>3</v>
      </c>
      <c r="AA276" s="13">
        <v>3</v>
      </c>
      <c r="AB276" s="13">
        <v>3</v>
      </c>
      <c r="AC276" s="13">
        <v>3</v>
      </c>
      <c r="AD276" s="13">
        <v>3</v>
      </c>
      <c r="AE276" s="13">
        <v>3</v>
      </c>
      <c r="AF276" s="13">
        <v>2</v>
      </c>
      <c r="AG276" s="16">
        <f>IFERROR(SUMIF(reading[[#This Row],[1st]:[7th]],"&gt;0")/COUNTIF(reading[[#This Row],[1st]:[7th]],"&gt;0"),"")</f>
        <v>2.8571428571428572</v>
      </c>
    </row>
    <row r="277" spans="1:33" hidden="1" x14ac:dyDescent="0.2">
      <c r="A277" s="4">
        <f>IF(B277=1,3,IF(D277=1,2,IF(F277=1,1,0)))</f>
        <v>0</v>
      </c>
      <c r="B277" s="4" t="str">
        <f>IF(C277=$L277,1,IF(C277="","",0))</f>
        <v/>
      </c>
      <c r="C277" s="42"/>
      <c r="D277" s="4" t="str">
        <f>IF(E277=$L277,1,IF(E277="","",0))</f>
        <v/>
      </c>
      <c r="E277" s="18"/>
      <c r="F277" s="4" t="str">
        <f>IF(G277=$L277,1,IF(G277="","",0))</f>
        <v/>
      </c>
      <c r="G277" s="14"/>
      <c r="H277" s="6">
        <v>2379</v>
      </c>
      <c r="I277" s="15" t="s">
        <v>3120</v>
      </c>
      <c r="J277" s="6" t="s">
        <v>5452</v>
      </c>
      <c r="K277" s="6"/>
      <c r="L277" s="6" t="s">
        <v>2430</v>
      </c>
      <c r="M277" s="6" t="s">
        <v>8484</v>
      </c>
      <c r="N277" s="7">
        <f ca="1">RAND()</f>
        <v>0.78597931339294302</v>
      </c>
      <c r="O277" s="8">
        <v>45216</v>
      </c>
      <c r="P277" s="8">
        <v>45217</v>
      </c>
      <c r="Q277" s="8">
        <v>45219</v>
      </c>
      <c r="R277" s="8">
        <v>45223</v>
      </c>
      <c r="S277" s="8">
        <v>45230</v>
      </c>
      <c r="T277" s="8">
        <v>45818</v>
      </c>
      <c r="U277" s="8"/>
      <c r="V277" s="10">
        <f>COUNTA(O277:U277)</f>
        <v>6</v>
      </c>
      <c r="W277" s="11">
        <f>_xlfn.IFNA(INDEX(reading[[#This Row],[Memo 01]:[Memo 07]],MATCH(0,reading[[#This Row],[Memo 01]:[Memo 07]],-1)),"")</f>
        <v>45818</v>
      </c>
      <c r="X277" s="11">
        <f ca="1">IFERROR(reading[[#This Row],[Previous]]+OFFSET(reading[[#Headers],[Memo 01]],-1,MATCH(0,reading[[#This Row],[Memo 01]:[Memo 07]],-1)-1),"")</f>
        <v>45838</v>
      </c>
      <c r="Y277" s="10" t="str">
        <f ca="1">IF(reading[[#This Row],[Next]]&lt;&gt;"",IF(reading[[#This Row],[Next]]&gt;TODAY(),"OK",""),"")</f>
        <v>OK</v>
      </c>
      <c r="Z277" s="13">
        <v>3</v>
      </c>
      <c r="AA277" s="13">
        <v>3</v>
      </c>
      <c r="AB277" s="13">
        <v>3</v>
      </c>
      <c r="AC277" s="13">
        <v>3</v>
      </c>
      <c r="AD277" s="13">
        <v>2</v>
      </c>
      <c r="AE277" s="13">
        <v>3</v>
      </c>
      <c r="AF277" s="13"/>
      <c r="AG277" s="16">
        <f>IFERROR(SUMIF(reading[[#This Row],[1st]:[7th]],"&gt;0")/COUNTIF(reading[[#This Row],[1st]:[7th]],"&gt;0"),"")</f>
        <v>2.8333333333333335</v>
      </c>
    </row>
    <row r="278" spans="1:33" hidden="1" x14ac:dyDescent="0.2">
      <c r="A278" s="4">
        <f>IF(B278=1,3,IF(D278=1,2,IF(F278=1,1,0)))</f>
        <v>0</v>
      </c>
      <c r="B278" s="4" t="str">
        <f>IF(C278=$L278,1,IF(C278="","",0))</f>
        <v/>
      </c>
      <c r="C278" s="42"/>
      <c r="D278" s="4" t="str">
        <f>IF(E278=$L278,1,IF(E278="","",0))</f>
        <v/>
      </c>
      <c r="E278" s="18"/>
      <c r="F278" s="4" t="str">
        <f>IF(G278=$L278,1,IF(G278="","",0))</f>
        <v/>
      </c>
      <c r="G278" s="14"/>
      <c r="H278" s="6">
        <v>668</v>
      </c>
      <c r="I278" s="15" t="s">
        <v>3120</v>
      </c>
      <c r="J278" s="6" t="s">
        <v>3807</v>
      </c>
      <c r="K278" s="6"/>
      <c r="L278" s="6" t="s">
        <v>791</v>
      </c>
      <c r="M278" s="6" t="s">
        <v>6777</v>
      </c>
      <c r="N278" s="7">
        <f ca="1">RAND()</f>
        <v>0.54898970245598899</v>
      </c>
      <c r="O278" s="8">
        <v>45203</v>
      </c>
      <c r="P278" s="8">
        <v>45204</v>
      </c>
      <c r="Q278" s="8">
        <v>45206</v>
      </c>
      <c r="R278" s="8">
        <v>45210</v>
      </c>
      <c r="S278" s="8">
        <v>45217</v>
      </c>
      <c r="T278" s="8">
        <v>45229</v>
      </c>
      <c r="U278" s="8">
        <v>45824</v>
      </c>
      <c r="V278" s="10">
        <f>COUNTA(O278:U278)</f>
        <v>7</v>
      </c>
      <c r="W278" s="11">
        <f>_xlfn.IFNA(INDEX(reading[[#This Row],[Memo 01]:[Memo 07]],MATCH(0,reading[[#This Row],[Memo 01]:[Memo 07]],-1)),"")</f>
        <v>45824</v>
      </c>
      <c r="X278" s="11">
        <f ca="1">IFERROR(reading[[#This Row],[Previous]]+OFFSET(reading[[#Headers],[Memo 01]],-1,MATCH(0,reading[[#This Row],[Memo 01]:[Memo 07]],-1)-1),"")</f>
        <v>55824</v>
      </c>
      <c r="Y278" s="10" t="str">
        <f ca="1">IF(reading[[#This Row],[Next]]&lt;&gt;"",IF(reading[[#This Row],[Next]]&gt;TODAY(),"OK",""),"")</f>
        <v>OK</v>
      </c>
      <c r="Z278" s="13">
        <v>3</v>
      </c>
      <c r="AA278" s="13">
        <v>3</v>
      </c>
      <c r="AB278" s="13">
        <v>3</v>
      </c>
      <c r="AC278" s="13">
        <v>3</v>
      </c>
      <c r="AD278" s="13">
        <v>3</v>
      </c>
      <c r="AE278" s="13">
        <v>2</v>
      </c>
      <c r="AF278" s="13">
        <v>3</v>
      </c>
      <c r="AG278" s="16">
        <f>IFERROR(SUMIF(reading[[#This Row],[1st]:[7th]],"&gt;0")/COUNTIF(reading[[#This Row],[1st]:[7th]],"&gt;0"),"")</f>
        <v>2.8571428571428572</v>
      </c>
    </row>
    <row r="279" spans="1:33" hidden="1" x14ac:dyDescent="0.2">
      <c r="A279" s="4">
        <f>IF(B279=1,3,IF(D279=1,2,IF(F279=1,1,0)))</f>
        <v>0</v>
      </c>
      <c r="B279" s="4" t="str">
        <f>IF(C279=$L279,1,IF(C279="","",0))</f>
        <v/>
      </c>
      <c r="C279" s="42"/>
      <c r="D279" s="4" t="str">
        <f>IF(E279=$L279,1,IF(E279="","",0))</f>
        <v/>
      </c>
      <c r="E279" s="14"/>
      <c r="F279" s="4" t="str">
        <f>IF(G279=$L279,1,IF(G279="","",0))</f>
        <v/>
      </c>
      <c r="G279" s="14"/>
      <c r="H279" s="6">
        <v>1703</v>
      </c>
      <c r="I279" s="15" t="s">
        <v>3120</v>
      </c>
      <c r="J279" s="6" t="s">
        <v>4813</v>
      </c>
      <c r="K279" s="6"/>
      <c r="L279" s="6" t="s">
        <v>1783</v>
      </c>
      <c r="M279" s="6" t="s">
        <v>7809</v>
      </c>
      <c r="N279" s="7">
        <f ca="1">RAND()</f>
        <v>0.46455436834799035</v>
      </c>
      <c r="O279" s="8">
        <v>45211</v>
      </c>
      <c r="P279" s="8">
        <v>45212</v>
      </c>
      <c r="Q279" s="8">
        <v>45214</v>
      </c>
      <c r="R279" s="8">
        <v>45218</v>
      </c>
      <c r="S279" s="8">
        <v>45225</v>
      </c>
      <c r="T279" s="8">
        <v>45237</v>
      </c>
      <c r="U279" s="8">
        <v>45818</v>
      </c>
      <c r="V279" s="10">
        <f>COUNTA(O279:U279)</f>
        <v>7</v>
      </c>
      <c r="W279" s="11">
        <f>_xlfn.IFNA(INDEX(reading[[#This Row],[Memo 01]:[Memo 07]],MATCH(0,reading[[#This Row],[Memo 01]:[Memo 07]],-1)),"")</f>
        <v>45818</v>
      </c>
      <c r="X279" s="11">
        <f ca="1">IFERROR(reading[[#This Row],[Previous]]+OFFSET(reading[[#Headers],[Memo 01]],-1,MATCH(0,reading[[#This Row],[Memo 01]:[Memo 07]],-1)-1),"")</f>
        <v>55818</v>
      </c>
      <c r="Y279" s="10" t="str">
        <f ca="1">IF(reading[[#This Row],[Next]]&lt;&gt;"",IF(reading[[#This Row],[Next]]&gt;TODAY(),"OK",""),"")</f>
        <v>OK</v>
      </c>
      <c r="Z279" s="13">
        <v>3</v>
      </c>
      <c r="AA279" s="13">
        <v>3</v>
      </c>
      <c r="AB279" s="13">
        <v>3</v>
      </c>
      <c r="AC279" s="13">
        <v>3</v>
      </c>
      <c r="AD279" s="13">
        <v>3</v>
      </c>
      <c r="AE279" s="13">
        <v>3</v>
      </c>
      <c r="AF279" s="13">
        <v>3</v>
      </c>
      <c r="AG279" s="16">
        <f>IFERROR(SUMIF(reading[[#This Row],[1st]:[7th]],"&gt;0")/COUNTIF(reading[[#This Row],[1st]:[7th]],"&gt;0"),"")</f>
        <v>3</v>
      </c>
    </row>
    <row r="280" spans="1:33" hidden="1" x14ac:dyDescent="0.2">
      <c r="A280" s="4">
        <f>IF(B280=1,3,IF(D280=1,2,IF(F280=1,1,0)))</f>
        <v>0</v>
      </c>
      <c r="B280" s="4" t="str">
        <f>IF(C280=$L280,1,IF(C280="","",0))</f>
        <v/>
      </c>
      <c r="C280" s="42"/>
      <c r="D280" s="4" t="str">
        <f>IF(E280=$L280,1,IF(E280="","",0))</f>
        <v/>
      </c>
      <c r="E280" s="23"/>
      <c r="F280" s="4" t="str">
        <f>IF(G280=$L280,1,IF(G280="","",0))</f>
        <v/>
      </c>
      <c r="G280" s="14"/>
      <c r="H280" s="6">
        <v>2425</v>
      </c>
      <c r="I280" s="15" t="s">
        <v>3120</v>
      </c>
      <c r="J280" s="6" t="s">
        <v>5495</v>
      </c>
      <c r="K280" s="6"/>
      <c r="L280" s="6" t="s">
        <v>2475</v>
      </c>
      <c r="M280" s="6" t="s">
        <v>8530</v>
      </c>
      <c r="N280" s="7">
        <f ca="1">RAND()</f>
        <v>0.23458497391043875</v>
      </c>
      <c r="O280" s="8">
        <v>45217</v>
      </c>
      <c r="P280" s="8">
        <v>45218</v>
      </c>
      <c r="Q280" s="8">
        <v>45220</v>
      </c>
      <c r="R280" s="8">
        <v>45224</v>
      </c>
      <c r="S280" s="8">
        <v>45231</v>
      </c>
      <c r="T280" s="8">
        <v>45811</v>
      </c>
      <c r="U280" s="8"/>
      <c r="V280" s="10">
        <f>COUNTA(O280:U280)</f>
        <v>6</v>
      </c>
      <c r="W280" s="11">
        <f>_xlfn.IFNA(INDEX(reading[[#This Row],[Memo 01]:[Memo 07]],MATCH(0,reading[[#This Row],[Memo 01]:[Memo 07]],-1)),"")</f>
        <v>45811</v>
      </c>
      <c r="X280" s="11">
        <f ca="1">IFERROR(reading[[#This Row],[Previous]]+OFFSET(reading[[#Headers],[Memo 01]],-1,MATCH(0,reading[[#This Row],[Memo 01]:[Memo 07]],-1)-1),"")</f>
        <v>45831</v>
      </c>
      <c r="Y280" s="10" t="str">
        <f ca="1">IF(reading[[#This Row],[Next]]&lt;&gt;"",IF(reading[[#This Row],[Next]]&gt;TODAY(),"OK",""),"")</f>
        <v/>
      </c>
      <c r="Z280" s="13">
        <v>3</v>
      </c>
      <c r="AA280" s="13">
        <v>3</v>
      </c>
      <c r="AB280" s="13">
        <v>3</v>
      </c>
      <c r="AC280" s="13">
        <v>3</v>
      </c>
      <c r="AD280" s="13">
        <v>3</v>
      </c>
      <c r="AE280" s="13">
        <v>2</v>
      </c>
      <c r="AF280" s="13"/>
      <c r="AG280" s="16">
        <f>IFERROR(SUMIF(reading[[#This Row],[1st]:[7th]],"&gt;0")/COUNTIF(reading[[#This Row],[1st]:[7th]],"&gt;0"),"")</f>
        <v>2.8333333333333335</v>
      </c>
    </row>
    <row r="281" spans="1:33" hidden="1" x14ac:dyDescent="0.2">
      <c r="A281" s="4">
        <f>IF(B281=1,3,IF(D281=1,2,IF(F281=1,1,0)))</f>
        <v>0</v>
      </c>
      <c r="B281" s="4" t="str">
        <f>IF(C281=$L281,1,IF(C281="","",0))</f>
        <v/>
      </c>
      <c r="C281" s="42"/>
      <c r="D281" s="4" t="str">
        <f>IF(E281=$L281,1,IF(E281="","",0))</f>
        <v/>
      </c>
      <c r="E281" s="18"/>
      <c r="F281" s="4" t="str">
        <f>IF(G281=$L281,1,IF(G281="","",0))</f>
        <v/>
      </c>
      <c r="G281" s="14"/>
      <c r="H281" s="6">
        <v>958</v>
      </c>
      <c r="I281" s="15" t="s">
        <v>3120</v>
      </c>
      <c r="J281" s="6" t="s">
        <v>4087</v>
      </c>
      <c r="K281" s="6"/>
      <c r="L281" s="6" t="s">
        <v>1068</v>
      </c>
      <c r="M281" s="6" t="s">
        <v>7066</v>
      </c>
      <c r="N281" s="7">
        <f ca="1">RAND()</f>
        <v>5.6780394322244576E-2</v>
      </c>
      <c r="O281" s="8">
        <v>45204</v>
      </c>
      <c r="P281" s="8">
        <v>45205</v>
      </c>
      <c r="Q281" s="8">
        <v>45207</v>
      </c>
      <c r="R281" s="8">
        <v>45212</v>
      </c>
      <c r="S281" s="8">
        <v>45219</v>
      </c>
      <c r="T281" s="8">
        <v>45231</v>
      </c>
      <c r="U281" s="8">
        <v>45801</v>
      </c>
      <c r="V281" s="10">
        <f>COUNTA(O281:U281)</f>
        <v>7</v>
      </c>
      <c r="W281" s="11">
        <f>_xlfn.IFNA(INDEX(reading[[#This Row],[Memo 01]:[Memo 07]],MATCH(0,reading[[#This Row],[Memo 01]:[Memo 07]],-1)),"")</f>
        <v>45801</v>
      </c>
      <c r="X281" s="11">
        <f ca="1">IFERROR(reading[[#This Row],[Previous]]+OFFSET(reading[[#Headers],[Memo 01]],-1,MATCH(0,reading[[#This Row],[Memo 01]:[Memo 07]],-1)-1),"")</f>
        <v>55801</v>
      </c>
      <c r="Y281" s="10" t="str">
        <f ca="1">IF(reading[[#This Row],[Next]]&lt;&gt;"",IF(reading[[#This Row],[Next]]&gt;TODAY(),"OK",""),"")</f>
        <v>OK</v>
      </c>
      <c r="Z281" s="13">
        <v>3</v>
      </c>
      <c r="AA281" s="13">
        <v>3</v>
      </c>
      <c r="AB281" s="13">
        <v>2</v>
      </c>
      <c r="AC281" s="13">
        <v>2</v>
      </c>
      <c r="AD281" s="13">
        <v>3</v>
      </c>
      <c r="AE281" s="13">
        <v>3</v>
      </c>
      <c r="AF281" s="13">
        <v>3</v>
      </c>
      <c r="AG281" s="16">
        <f>IFERROR(SUMIF(reading[[#This Row],[1st]:[7th]],"&gt;0")/COUNTIF(reading[[#This Row],[1st]:[7th]],"&gt;0"),"")</f>
        <v>2.7142857142857144</v>
      </c>
    </row>
    <row r="282" spans="1:33" hidden="1" x14ac:dyDescent="0.2">
      <c r="A282" s="4">
        <f>IF(B282=1,3,IF(D282=1,2,IF(F282=1,1,0)))</f>
        <v>0</v>
      </c>
      <c r="B282" s="4" t="str">
        <f>IF(C282=$L282,1,IF(C282="","",0))</f>
        <v/>
      </c>
      <c r="C282" s="42"/>
      <c r="D282" s="4" t="str">
        <f>IF(E282=$L282,1,IF(E282="","",0))</f>
        <v/>
      </c>
      <c r="E282" s="14"/>
      <c r="F282" s="4" t="str">
        <f>IF(G282=$L282,1,IF(G282="","",0))</f>
        <v/>
      </c>
      <c r="G282" s="14"/>
      <c r="H282" s="6">
        <v>452</v>
      </c>
      <c r="I282" s="15" t="s">
        <v>3120</v>
      </c>
      <c r="J282" s="6" t="s">
        <v>3598</v>
      </c>
      <c r="K282" s="15" t="s">
        <v>3140</v>
      </c>
      <c r="L282" s="6" t="s">
        <v>581</v>
      </c>
      <c r="M282" s="6" t="s">
        <v>6561</v>
      </c>
      <c r="N282" s="7">
        <f ca="1">RAND()</f>
        <v>0.66069166062439666</v>
      </c>
      <c r="O282" s="8">
        <v>45202</v>
      </c>
      <c r="P282" s="8">
        <v>45203</v>
      </c>
      <c r="Q282" s="8">
        <v>45205</v>
      </c>
      <c r="R282" s="8">
        <v>45209</v>
      </c>
      <c r="S282" s="8">
        <v>45216</v>
      </c>
      <c r="T282" s="8">
        <v>45228</v>
      </c>
      <c r="U282" s="8">
        <v>45819</v>
      </c>
      <c r="V282" s="10">
        <f>COUNTA(O282:U282)</f>
        <v>7</v>
      </c>
      <c r="W282" s="11">
        <f>_xlfn.IFNA(INDEX(reading[[#This Row],[Memo 01]:[Memo 07]],MATCH(0,reading[[#This Row],[Memo 01]:[Memo 07]],-1)),"")</f>
        <v>45819</v>
      </c>
      <c r="X282" s="11">
        <f ca="1">IFERROR(reading[[#This Row],[Previous]]+OFFSET(reading[[#Headers],[Memo 01]],-1,MATCH(0,reading[[#This Row],[Memo 01]:[Memo 07]],-1)-1),"")</f>
        <v>55819</v>
      </c>
      <c r="Y282" s="10" t="str">
        <f ca="1">IF(reading[[#This Row],[Next]]&lt;&gt;"",IF(reading[[#This Row],[Next]]&gt;TODAY(),"OK",""),"")</f>
        <v>OK</v>
      </c>
      <c r="Z282" s="13">
        <v>3</v>
      </c>
      <c r="AA282" s="13">
        <v>3</v>
      </c>
      <c r="AB282" s="13">
        <v>3</v>
      </c>
      <c r="AC282" s="13">
        <v>3</v>
      </c>
      <c r="AD282" s="13">
        <v>3</v>
      </c>
      <c r="AE282" s="13">
        <v>3</v>
      </c>
      <c r="AF282" s="13">
        <v>3</v>
      </c>
      <c r="AG282" s="16">
        <f>IFERROR(SUMIF(reading[[#This Row],[1st]:[7th]],"&gt;0")/COUNTIF(reading[[#This Row],[1st]:[7th]],"&gt;0"),"")</f>
        <v>3</v>
      </c>
    </row>
    <row r="283" spans="1:33" hidden="1" x14ac:dyDescent="0.2">
      <c r="A283" s="4">
        <f>IF(B283=1,3,IF(D283=1,2,IF(F283=1,1,0)))</f>
        <v>0</v>
      </c>
      <c r="B283" s="4" t="str">
        <f>IF(C283=$L283,1,IF(C283="","",0))</f>
        <v/>
      </c>
      <c r="C283" s="42"/>
      <c r="D283" s="4" t="str">
        <f>IF(E283=$L283,1,IF(E283="","",0))</f>
        <v/>
      </c>
      <c r="E283" s="14"/>
      <c r="F283" s="4" t="str">
        <f>IF(G283=$L283,1,IF(G283="","",0))</f>
        <v/>
      </c>
      <c r="G283" s="14"/>
      <c r="H283" s="6">
        <v>506</v>
      </c>
      <c r="I283" s="15" t="s">
        <v>3120</v>
      </c>
      <c r="J283" s="6" t="s">
        <v>3651</v>
      </c>
      <c r="K283" s="6"/>
      <c r="L283" s="6" t="s">
        <v>634</v>
      </c>
      <c r="M283" s="6" t="s">
        <v>6615</v>
      </c>
      <c r="N283" s="7">
        <f ca="1">RAND()</f>
        <v>0.3841522345439482</v>
      </c>
      <c r="O283" s="8">
        <v>45202</v>
      </c>
      <c r="P283" s="8">
        <v>45203</v>
      </c>
      <c r="Q283" s="8">
        <v>45205</v>
      </c>
      <c r="R283" s="8">
        <v>45209</v>
      </c>
      <c r="S283" s="8">
        <v>45216</v>
      </c>
      <c r="T283" s="8">
        <v>45228</v>
      </c>
      <c r="U283" s="8">
        <v>45792</v>
      </c>
      <c r="V283" s="10">
        <f>COUNTA(O283:U283)</f>
        <v>7</v>
      </c>
      <c r="W283" s="11">
        <f>_xlfn.IFNA(INDEX(reading[[#This Row],[Memo 01]:[Memo 07]],MATCH(0,reading[[#This Row],[Memo 01]:[Memo 07]],-1)),"")</f>
        <v>45792</v>
      </c>
      <c r="X283" s="11">
        <f ca="1">IFERROR(reading[[#This Row],[Previous]]+OFFSET(reading[[#Headers],[Memo 01]],-1,MATCH(0,reading[[#This Row],[Memo 01]:[Memo 07]],-1)-1),"")</f>
        <v>55792</v>
      </c>
      <c r="Y283" s="10" t="str">
        <f ca="1">IF(reading[[#This Row],[Next]]&lt;&gt;"",IF(reading[[#This Row],[Next]]&gt;TODAY(),"OK",""),"")</f>
        <v>OK</v>
      </c>
      <c r="Z283" s="13">
        <v>3</v>
      </c>
      <c r="AA283" s="13">
        <v>3</v>
      </c>
      <c r="AB283" s="13">
        <v>3</v>
      </c>
      <c r="AC283" s="13">
        <v>3</v>
      </c>
      <c r="AD283" s="13">
        <v>3</v>
      </c>
      <c r="AE283" s="13">
        <v>2</v>
      </c>
      <c r="AF283" s="13">
        <v>3</v>
      </c>
      <c r="AG283" s="16">
        <f>IFERROR(SUMIF(reading[[#This Row],[1st]:[7th]],"&gt;0")/COUNTIF(reading[[#This Row],[1st]:[7th]],"&gt;0"),"")</f>
        <v>2.8571428571428572</v>
      </c>
    </row>
    <row r="284" spans="1:33" hidden="1" x14ac:dyDescent="0.2">
      <c r="A284" s="4">
        <f>IF(B284=1,3,IF(D284=1,2,IF(F284=1,1,0)))</f>
        <v>0</v>
      </c>
      <c r="B284" s="4" t="str">
        <f>IF(C284=$L284,1,IF(C284="","",0))</f>
        <v/>
      </c>
      <c r="C284" s="42"/>
      <c r="D284" s="4" t="str">
        <f>IF(E284=$L284,1,IF(E284="","",0))</f>
        <v/>
      </c>
      <c r="E284" s="14"/>
      <c r="F284" s="4" t="str">
        <f>IF(G284=$L284,1,IF(G284="","",0))</f>
        <v/>
      </c>
      <c r="G284" s="14"/>
      <c r="H284" s="6">
        <v>1157</v>
      </c>
      <c r="I284" s="15" t="s">
        <v>3120</v>
      </c>
      <c r="J284" s="6" t="s">
        <v>4277</v>
      </c>
      <c r="K284" s="6"/>
      <c r="L284" s="6" t="s">
        <v>1259</v>
      </c>
      <c r="M284" s="6" t="s">
        <v>7265</v>
      </c>
      <c r="N284" s="7">
        <f ca="1">RAND()</f>
        <v>0.97280367296532388</v>
      </c>
      <c r="O284" s="8">
        <v>45206</v>
      </c>
      <c r="P284" s="8">
        <v>45207</v>
      </c>
      <c r="Q284" s="8">
        <v>45209</v>
      </c>
      <c r="R284" s="8">
        <v>45213</v>
      </c>
      <c r="S284" s="8">
        <v>45220</v>
      </c>
      <c r="T284" s="8">
        <v>45232</v>
      </c>
      <c r="U284" s="8">
        <v>45783</v>
      </c>
      <c r="V284" s="10">
        <f>COUNTA(O284:U284)</f>
        <v>7</v>
      </c>
      <c r="W284" s="11">
        <f>_xlfn.IFNA(INDEX(reading[[#This Row],[Memo 01]:[Memo 07]],MATCH(0,reading[[#This Row],[Memo 01]:[Memo 07]],-1)),"")</f>
        <v>45783</v>
      </c>
      <c r="X284" s="11">
        <f ca="1">IFERROR(reading[[#This Row],[Previous]]+OFFSET(reading[[#Headers],[Memo 01]],-1,MATCH(0,reading[[#This Row],[Memo 01]:[Memo 07]],-1)-1),"")</f>
        <v>55783</v>
      </c>
      <c r="Y284" s="10" t="str">
        <f ca="1">IF(reading[[#This Row],[Next]]&lt;&gt;"",IF(reading[[#This Row],[Next]]&gt;TODAY(),"OK",""),"")</f>
        <v>OK</v>
      </c>
      <c r="Z284" s="13">
        <v>3</v>
      </c>
      <c r="AA284" s="13">
        <v>3</v>
      </c>
      <c r="AB284" s="13">
        <v>3</v>
      </c>
      <c r="AC284" s="13">
        <v>3</v>
      </c>
      <c r="AD284" s="13">
        <v>3</v>
      </c>
      <c r="AE284" s="13">
        <v>2</v>
      </c>
      <c r="AF284" s="13">
        <v>3</v>
      </c>
      <c r="AG284" s="16">
        <f>IFERROR(SUMIF(reading[[#This Row],[1st]:[7th]],"&gt;0")/COUNTIF(reading[[#This Row],[1st]:[7th]],"&gt;0"),"")</f>
        <v>2.8571428571428572</v>
      </c>
    </row>
    <row r="285" spans="1:33" hidden="1" x14ac:dyDescent="0.2">
      <c r="A285" s="4">
        <f>IF(B285=1,3,IF(D285=1,2,IF(F285=1,1,0)))</f>
        <v>0</v>
      </c>
      <c r="B285" s="4" t="str">
        <f>IF(C285=$L285,1,IF(C285="","",0))</f>
        <v/>
      </c>
      <c r="C285" s="42"/>
      <c r="D285" s="4" t="str">
        <f>IF(E285=$L285,1,IF(E285="","",0))</f>
        <v/>
      </c>
      <c r="E285" s="14"/>
      <c r="F285" s="4" t="str">
        <f>IF(G285=$L285,1,IF(G285="","",0))</f>
        <v/>
      </c>
      <c r="G285" s="14"/>
      <c r="H285" s="6">
        <v>2962</v>
      </c>
      <c r="I285" s="15" t="s">
        <v>3120</v>
      </c>
      <c r="J285" s="6" t="s">
        <v>5993</v>
      </c>
      <c r="K285" s="6"/>
      <c r="L285" s="6" t="s">
        <v>2992</v>
      </c>
      <c r="M285" s="6" t="s">
        <v>9066</v>
      </c>
      <c r="N285" s="7">
        <f ca="1">RAND()</f>
        <v>0.97739615065810714</v>
      </c>
      <c r="O285" s="8">
        <v>45223</v>
      </c>
      <c r="P285" s="8">
        <v>45224</v>
      </c>
      <c r="Q285" s="8">
        <v>45226</v>
      </c>
      <c r="R285" s="8">
        <v>45230</v>
      </c>
      <c r="S285" s="8">
        <v>45237</v>
      </c>
      <c r="T285" s="8">
        <v>45819</v>
      </c>
      <c r="U285" s="8"/>
      <c r="V285" s="10">
        <f>COUNTA(O285:U285)</f>
        <v>6</v>
      </c>
      <c r="W285" s="11">
        <f>_xlfn.IFNA(INDEX(reading[[#This Row],[Memo 01]:[Memo 07]],MATCH(0,reading[[#This Row],[Memo 01]:[Memo 07]],-1)),"")</f>
        <v>45819</v>
      </c>
      <c r="X285" s="11">
        <f ca="1">IFERROR(reading[[#This Row],[Previous]]+OFFSET(reading[[#Headers],[Memo 01]],-1,MATCH(0,reading[[#This Row],[Memo 01]:[Memo 07]],-1)-1),"")</f>
        <v>45839</v>
      </c>
      <c r="Y285" s="10" t="str">
        <f ca="1">IF(reading[[#This Row],[Next]]&lt;&gt;"",IF(reading[[#This Row],[Next]]&gt;TODAY(),"OK",""),"")</f>
        <v>OK</v>
      </c>
      <c r="Z285" s="13">
        <v>3</v>
      </c>
      <c r="AA285" s="13">
        <v>3</v>
      </c>
      <c r="AB285" s="13">
        <v>3</v>
      </c>
      <c r="AC285" s="13">
        <v>3</v>
      </c>
      <c r="AD285" s="13">
        <v>3</v>
      </c>
      <c r="AE285" s="13">
        <v>3</v>
      </c>
      <c r="AF285" s="13"/>
      <c r="AG285" s="16">
        <f>IFERROR(SUMIF(reading[[#This Row],[1st]:[7th]],"&gt;0")/COUNTIF(reading[[#This Row],[1st]:[7th]],"&gt;0"),"")</f>
        <v>3</v>
      </c>
    </row>
    <row r="286" spans="1:33" hidden="1" x14ac:dyDescent="0.2">
      <c r="A286" s="4">
        <f>IF(B286=1,3,IF(D286=1,2,IF(F286=1,1,0)))</f>
        <v>0</v>
      </c>
      <c r="B286" s="4" t="str">
        <f>IF(C286=$L286,1,IF(C286="","",0))</f>
        <v/>
      </c>
      <c r="C286" s="42"/>
      <c r="D286" s="4" t="str">
        <f>IF(E286=$L286,1,IF(E286="","",0))</f>
        <v/>
      </c>
      <c r="E286" s="18"/>
      <c r="F286" s="4" t="str">
        <f>IF(G286=$L286,1,IF(G286="","",0))</f>
        <v/>
      </c>
      <c r="G286" s="14"/>
      <c r="H286" s="6">
        <v>1526</v>
      </c>
      <c r="I286" s="15" t="s">
        <v>3120</v>
      </c>
      <c r="J286" s="6" t="s">
        <v>4639</v>
      </c>
      <c r="K286" s="6"/>
      <c r="L286" s="6" t="s">
        <v>1611</v>
      </c>
      <c r="M286" s="6" t="s">
        <v>7633</v>
      </c>
      <c r="N286" s="7">
        <f ca="1">RAND()</f>
        <v>0.80699001251727287</v>
      </c>
      <c r="O286" s="8">
        <v>45209</v>
      </c>
      <c r="P286" s="8">
        <v>45210</v>
      </c>
      <c r="Q286" s="8">
        <v>45212</v>
      </c>
      <c r="R286" s="8">
        <v>45216</v>
      </c>
      <c r="S286" s="8">
        <v>45223</v>
      </c>
      <c r="T286" s="8">
        <v>45235</v>
      </c>
      <c r="U286" s="8">
        <v>45819</v>
      </c>
      <c r="V286" s="10">
        <f>COUNTA(O286:U286)</f>
        <v>7</v>
      </c>
      <c r="W286" s="11">
        <f>_xlfn.IFNA(INDEX(reading[[#This Row],[Memo 01]:[Memo 07]],MATCH(0,reading[[#This Row],[Memo 01]:[Memo 07]],-1)),"")</f>
        <v>45819</v>
      </c>
      <c r="X286" s="11">
        <f ca="1">IFERROR(reading[[#This Row],[Previous]]+OFFSET(reading[[#Headers],[Memo 01]],-1,MATCH(0,reading[[#This Row],[Memo 01]:[Memo 07]],-1)-1),"")</f>
        <v>55819</v>
      </c>
      <c r="Y286" s="10" t="str">
        <f ca="1">IF(reading[[#This Row],[Next]]&lt;&gt;"",IF(reading[[#This Row],[Next]]&gt;TODAY(),"OK",""),"")</f>
        <v>OK</v>
      </c>
      <c r="Z286" s="13">
        <v>3</v>
      </c>
      <c r="AA286" s="13">
        <v>3</v>
      </c>
      <c r="AB286" s="13">
        <v>3</v>
      </c>
      <c r="AC286" s="13">
        <v>3</v>
      </c>
      <c r="AD286" s="13">
        <v>2</v>
      </c>
      <c r="AE286" s="13">
        <v>3</v>
      </c>
      <c r="AF286" s="13">
        <v>3</v>
      </c>
      <c r="AG286" s="16">
        <f>IFERROR(SUMIF(reading[[#This Row],[1st]:[7th]],"&gt;0")/COUNTIF(reading[[#This Row],[1st]:[7th]],"&gt;0"),"")</f>
        <v>2.8571428571428572</v>
      </c>
    </row>
    <row r="287" spans="1:33" hidden="1" x14ac:dyDescent="0.2">
      <c r="A287" s="4">
        <f>IF(B287=1,3,IF(D287=1,2,IF(F287=1,1,0)))</f>
        <v>0</v>
      </c>
      <c r="B287" s="4" t="str">
        <f>IF(C287=$L287,1,IF(C287="","",0))</f>
        <v/>
      </c>
      <c r="C287" s="18"/>
      <c r="D287" s="4" t="str">
        <f>IF(E287=$L287,1,IF(E287="","",0))</f>
        <v/>
      </c>
      <c r="E287" s="18"/>
      <c r="F287" s="4" t="str">
        <f>IF(G287=$L287,1,IF(G287="","",0))</f>
        <v/>
      </c>
      <c r="G287" s="18"/>
      <c r="H287" s="6">
        <v>27</v>
      </c>
      <c r="I287" s="15" t="s">
        <v>3120</v>
      </c>
      <c r="J287" s="6" t="s">
        <v>3182</v>
      </c>
      <c r="K287" s="6"/>
      <c r="L287" s="6" t="s">
        <v>170</v>
      </c>
      <c r="M287" s="6" t="s">
        <v>6141</v>
      </c>
      <c r="N287" s="7">
        <f ca="1">RAND()</f>
        <v>0.12815217595458561</v>
      </c>
      <c r="O287" s="8">
        <v>45199</v>
      </c>
      <c r="P287" s="8">
        <v>45200</v>
      </c>
      <c r="Q287" s="8">
        <v>45202</v>
      </c>
      <c r="R287" s="8">
        <v>45206</v>
      </c>
      <c r="S287" s="8">
        <v>45213</v>
      </c>
      <c r="T287" s="8">
        <v>45225</v>
      </c>
      <c r="U287" s="8">
        <v>45249</v>
      </c>
      <c r="V287" s="10">
        <f>COUNTA(O287:U287)</f>
        <v>7</v>
      </c>
      <c r="W287" s="11">
        <f>_xlfn.IFNA(INDEX(reading[[#This Row],[Memo 01]:[Memo 07]],MATCH(0,reading[[#This Row],[Memo 01]:[Memo 07]],-1)),"")</f>
        <v>45249</v>
      </c>
      <c r="X287" s="11">
        <f ca="1">IFERROR(reading[[#This Row],[Previous]]+OFFSET(reading[[#Headers],[Memo 01]],-1,MATCH(0,reading[[#This Row],[Memo 01]:[Memo 07]],-1)-1),"")</f>
        <v>55249</v>
      </c>
      <c r="Y287" s="10" t="str">
        <f ca="1">IF(reading[[#This Row],[Next]]&lt;&gt;"",IF(reading[[#This Row],[Next]]&gt;TODAY(),"OK",""),"")</f>
        <v>OK</v>
      </c>
      <c r="Z287" s="13">
        <v>2</v>
      </c>
      <c r="AA287" s="13">
        <v>3</v>
      </c>
      <c r="AB287" s="13">
        <v>1</v>
      </c>
      <c r="AC287" s="13">
        <v>2</v>
      </c>
      <c r="AD287" s="13">
        <v>2</v>
      </c>
      <c r="AE287" s="13">
        <v>2</v>
      </c>
      <c r="AF287" s="13">
        <v>2</v>
      </c>
      <c r="AG287" s="16">
        <f>IFERROR(SUMIF(reading[[#This Row],[1st]:[7th]],"&gt;0")/COUNTIF(reading[[#This Row],[1st]:[7th]],"&gt;0"),"")</f>
        <v>2</v>
      </c>
    </row>
    <row r="288" spans="1:33" hidden="1" x14ac:dyDescent="0.2">
      <c r="A288" s="4">
        <f>IF(B288=1,3,IF(D288=1,2,IF(F288=1,1,0)))</f>
        <v>0</v>
      </c>
      <c r="B288" s="4" t="str">
        <f>IF(C288=$L288,1,IF(C288="","",0))</f>
        <v/>
      </c>
      <c r="C288" s="42"/>
      <c r="D288" s="4" t="str">
        <f>IF(E288=$L288,1,IF(E288="","",0))</f>
        <v/>
      </c>
      <c r="E288" s="14"/>
      <c r="F288" s="4" t="str">
        <f>IF(G288=$L288,1,IF(G288="","",0))</f>
        <v/>
      </c>
      <c r="G288" s="14"/>
      <c r="H288" s="6">
        <v>349</v>
      </c>
      <c r="I288" s="15" t="s">
        <v>3120</v>
      </c>
      <c r="J288" s="6" t="s">
        <v>3496</v>
      </c>
      <c r="K288" s="6"/>
      <c r="L288" s="6" t="s">
        <v>483</v>
      </c>
      <c r="M288" s="6" t="s">
        <v>6458</v>
      </c>
      <c r="N288" s="7">
        <f ca="1">RAND()</f>
        <v>0.90596930135690412</v>
      </c>
      <c r="O288" s="8">
        <v>45200</v>
      </c>
      <c r="P288" s="8">
        <v>45201</v>
      </c>
      <c r="Q288" s="8">
        <v>45203</v>
      </c>
      <c r="R288" s="8">
        <v>45207</v>
      </c>
      <c r="S288" s="8">
        <v>45214</v>
      </c>
      <c r="T288" s="8">
        <v>45226</v>
      </c>
      <c r="U288" s="8">
        <v>45792</v>
      </c>
      <c r="V288" s="10">
        <f>COUNTA(O288:U288)</f>
        <v>7</v>
      </c>
      <c r="W288" s="11">
        <f>_xlfn.IFNA(INDEX(reading[[#This Row],[Memo 01]:[Memo 07]],MATCH(0,reading[[#This Row],[Memo 01]:[Memo 07]],-1)),"")</f>
        <v>45792</v>
      </c>
      <c r="X288" s="11">
        <f ca="1">IFERROR(reading[[#This Row],[Previous]]+OFFSET(reading[[#Headers],[Memo 01]],-1,MATCH(0,reading[[#This Row],[Memo 01]:[Memo 07]],-1)-1),"")</f>
        <v>55792</v>
      </c>
      <c r="Y288" s="10" t="str">
        <f ca="1">IF(reading[[#This Row],[Next]]&lt;&gt;"",IF(reading[[#This Row],[Next]]&gt;TODAY(),"OK",""),"")</f>
        <v>OK</v>
      </c>
      <c r="Z288" s="13">
        <v>3</v>
      </c>
      <c r="AA288" s="13">
        <v>3</v>
      </c>
      <c r="AB288" s="13">
        <v>3</v>
      </c>
      <c r="AC288" s="13">
        <v>3</v>
      </c>
      <c r="AD288" s="13">
        <v>3</v>
      </c>
      <c r="AE288" s="13">
        <v>3</v>
      </c>
      <c r="AF288" s="13">
        <v>3</v>
      </c>
      <c r="AG288" s="16">
        <f>IFERROR(SUMIF(reading[[#This Row],[1st]:[7th]],"&gt;0")/COUNTIF(reading[[#This Row],[1st]:[7th]],"&gt;0"),"")</f>
        <v>3</v>
      </c>
    </row>
    <row r="289" spans="1:33" hidden="1" x14ac:dyDescent="0.2">
      <c r="A289" s="4">
        <f>IF(B289=1,3,IF(D289=1,2,IF(F289=1,1,0)))</f>
        <v>0</v>
      </c>
      <c r="B289" s="4" t="str">
        <f>IF(C289=$L289,1,IF(C289="","",0))</f>
        <v/>
      </c>
      <c r="C289" s="18"/>
      <c r="D289" s="4" t="str">
        <f>IF(E289=$L289,1,IF(E289="","",0))</f>
        <v/>
      </c>
      <c r="E289" s="14"/>
      <c r="F289" s="4" t="str">
        <f>IF(G289=$L289,1,IF(G289="","",0))</f>
        <v/>
      </c>
      <c r="G289" s="14"/>
      <c r="H289" s="6">
        <v>31</v>
      </c>
      <c r="I289" s="15" t="s">
        <v>3120</v>
      </c>
      <c r="J289" s="6" t="s">
        <v>3186</v>
      </c>
      <c r="K289" s="6"/>
      <c r="L289" s="6" t="s">
        <v>174</v>
      </c>
      <c r="M289" s="6" t="s">
        <v>6145</v>
      </c>
      <c r="N289" s="7">
        <f ca="1">RAND()</f>
        <v>0.76541331430208837</v>
      </c>
      <c r="O289" s="8">
        <v>45198</v>
      </c>
      <c r="P289" s="8">
        <v>45199</v>
      </c>
      <c r="Q289" s="8">
        <v>45201</v>
      </c>
      <c r="R289" s="8">
        <v>45205</v>
      </c>
      <c r="S289" s="8">
        <v>45213</v>
      </c>
      <c r="T289" s="8">
        <v>45225</v>
      </c>
      <c r="U289" s="8">
        <v>45777</v>
      </c>
      <c r="V289" s="10">
        <f>COUNTA(O289:U289)</f>
        <v>7</v>
      </c>
      <c r="W289" s="11">
        <f>_xlfn.IFNA(INDEX(reading[[#This Row],[Memo 01]:[Memo 07]],MATCH(0,reading[[#This Row],[Memo 01]:[Memo 07]],-1)),"")</f>
        <v>45777</v>
      </c>
      <c r="X289" s="11">
        <f ca="1">IFERROR(reading[[#This Row],[Previous]]+OFFSET(reading[[#Headers],[Memo 01]],-1,MATCH(0,reading[[#This Row],[Memo 01]:[Memo 07]],-1)-1),"")</f>
        <v>55777</v>
      </c>
      <c r="Y289" s="10" t="str">
        <f ca="1">IF(reading[[#This Row],[Next]]&lt;&gt;"",IF(reading[[#This Row],[Next]]&gt;TODAY(),"OK",""),"")</f>
        <v>OK</v>
      </c>
      <c r="Z289" s="13">
        <v>3</v>
      </c>
      <c r="AA289" s="13">
        <v>3</v>
      </c>
      <c r="AB289" s="13">
        <v>3</v>
      </c>
      <c r="AC289" s="13">
        <v>2</v>
      </c>
      <c r="AD289" s="13">
        <v>2</v>
      </c>
      <c r="AE289" s="13">
        <v>3</v>
      </c>
      <c r="AF289" s="13">
        <v>3</v>
      </c>
      <c r="AG289" s="16">
        <f>IFERROR(SUMIF(reading[[#This Row],[1st]:[7th]],"&gt;0")/COUNTIF(reading[[#This Row],[1st]:[7th]],"&gt;0"),"")</f>
        <v>2.7142857142857144</v>
      </c>
    </row>
    <row r="290" spans="1:33" hidden="1" x14ac:dyDescent="0.2">
      <c r="A290" s="4">
        <f>IF(B290=1,3,IF(D290=1,2,IF(F290=1,1,0)))</f>
        <v>0</v>
      </c>
      <c r="B290" s="4" t="str">
        <f>IF(C290=$L290,1,IF(C290="","",0))</f>
        <v/>
      </c>
      <c r="C290" s="43"/>
      <c r="D290" s="4" t="str">
        <f>IF(E290=$L290,1,IF(E290="","",0))</f>
        <v/>
      </c>
      <c r="E290" s="14"/>
      <c r="F290" s="4" t="str">
        <f>IF(G290=$L290,1,IF(G290="","",0))</f>
        <v/>
      </c>
      <c r="G290" s="14"/>
      <c r="H290" s="6">
        <v>229</v>
      </c>
      <c r="I290" s="15" t="s">
        <v>3120</v>
      </c>
      <c r="J290" s="6" t="s">
        <v>3378</v>
      </c>
      <c r="K290" s="6"/>
      <c r="L290" s="6" t="s">
        <v>364</v>
      </c>
      <c r="M290" s="6" t="s">
        <v>6338</v>
      </c>
      <c r="N290" s="7">
        <f ca="1">RAND()</f>
        <v>0.30834028784781031</v>
      </c>
      <c r="O290" s="8">
        <v>45199</v>
      </c>
      <c r="P290" s="8">
        <v>45200</v>
      </c>
      <c r="Q290" s="8">
        <v>45202</v>
      </c>
      <c r="R290" s="8">
        <v>45206</v>
      </c>
      <c r="S290" s="8">
        <v>45213</v>
      </c>
      <c r="T290" s="8">
        <v>45225</v>
      </c>
      <c r="U290" s="8">
        <v>45783</v>
      </c>
      <c r="V290" s="10">
        <f>COUNTA(O290:U290)</f>
        <v>7</v>
      </c>
      <c r="W290" s="11">
        <f>_xlfn.IFNA(INDEX(reading[[#This Row],[Memo 01]:[Memo 07]],MATCH(0,reading[[#This Row],[Memo 01]:[Memo 07]],-1)),"")</f>
        <v>45783</v>
      </c>
      <c r="X290" s="11">
        <f ca="1">IFERROR(reading[[#This Row],[Previous]]+OFFSET(reading[[#Headers],[Memo 01]],-1,MATCH(0,reading[[#This Row],[Memo 01]:[Memo 07]],-1)-1),"")</f>
        <v>55783</v>
      </c>
      <c r="Y290" s="10" t="str">
        <f ca="1">IF(reading[[#This Row],[Next]]&lt;&gt;"",IF(reading[[#This Row],[Next]]&gt;TODAY(),"OK",""),"")</f>
        <v>OK</v>
      </c>
      <c r="Z290" s="13">
        <v>3</v>
      </c>
      <c r="AA290" s="13">
        <v>3</v>
      </c>
      <c r="AB290" s="13">
        <v>3</v>
      </c>
      <c r="AC290" s="13">
        <v>3</v>
      </c>
      <c r="AD290" s="13">
        <v>3</v>
      </c>
      <c r="AE290" s="13">
        <v>3</v>
      </c>
      <c r="AF290" s="13">
        <v>3</v>
      </c>
      <c r="AG290" s="16">
        <f>IFERROR(SUMIF(reading[[#This Row],[1st]:[7th]],"&gt;0")/COUNTIF(reading[[#This Row],[1st]:[7th]],"&gt;0"),"")</f>
        <v>3</v>
      </c>
    </row>
    <row r="291" spans="1:33" hidden="1" x14ac:dyDescent="0.2">
      <c r="A291" s="4">
        <f>IF(B291=1,3,IF(D291=1,2,IF(F291=1,1,0)))</f>
        <v>0</v>
      </c>
      <c r="B291" s="4" t="str">
        <f>IF(C291=$L291,1,IF(C291="","",0))</f>
        <v/>
      </c>
      <c r="C291" s="42"/>
      <c r="D291" s="4" t="str">
        <f>IF(E291=$L291,1,IF(E291="","",0))</f>
        <v/>
      </c>
      <c r="E291" s="18"/>
      <c r="F291" s="4" t="str">
        <f>IF(G291=$L291,1,IF(G291="","",0))</f>
        <v/>
      </c>
      <c r="G291" s="14"/>
      <c r="H291" s="6">
        <v>1381</v>
      </c>
      <c r="I291" s="15" t="s">
        <v>3120</v>
      </c>
      <c r="J291" s="6" t="s">
        <v>4495</v>
      </c>
      <c r="K291" s="6"/>
      <c r="L291" s="6" t="s">
        <v>1475</v>
      </c>
      <c r="M291" s="6" t="s">
        <v>7488</v>
      </c>
      <c r="N291" s="7">
        <f ca="1">RAND()</f>
        <v>0.27977706969452376</v>
      </c>
      <c r="O291" s="8">
        <v>45207</v>
      </c>
      <c r="P291" s="8">
        <v>45208</v>
      </c>
      <c r="Q291" s="8">
        <v>45210</v>
      </c>
      <c r="R291" s="8">
        <v>45214</v>
      </c>
      <c r="S291" s="8">
        <v>45221</v>
      </c>
      <c r="T291" s="8">
        <v>45233</v>
      </c>
      <c r="U291" s="8">
        <v>45777</v>
      </c>
      <c r="V291" s="10">
        <f>COUNTA(O291:U291)</f>
        <v>7</v>
      </c>
      <c r="W291" s="11">
        <f>_xlfn.IFNA(INDEX(reading[[#This Row],[Memo 01]:[Memo 07]],MATCH(0,reading[[#This Row],[Memo 01]:[Memo 07]],-1)),"")</f>
        <v>45777</v>
      </c>
      <c r="X291" s="11">
        <f ca="1">IFERROR(reading[[#This Row],[Previous]]+OFFSET(reading[[#Headers],[Memo 01]],-1,MATCH(0,reading[[#This Row],[Memo 01]:[Memo 07]],-1)-1),"")</f>
        <v>55777</v>
      </c>
      <c r="Y291" s="10" t="str">
        <f ca="1">IF(reading[[#This Row],[Next]]&lt;&gt;"",IF(reading[[#This Row],[Next]]&gt;TODAY(),"OK",""),"")</f>
        <v>OK</v>
      </c>
      <c r="Z291" s="13">
        <v>3</v>
      </c>
      <c r="AA291" s="13">
        <v>3</v>
      </c>
      <c r="AB291" s="13">
        <v>3</v>
      </c>
      <c r="AC291" s="13">
        <v>2</v>
      </c>
      <c r="AD291" s="13">
        <v>3</v>
      </c>
      <c r="AE291" s="13">
        <v>2</v>
      </c>
      <c r="AF291" s="13">
        <v>3</v>
      </c>
      <c r="AG291" s="16">
        <f>IFERROR(SUMIF(reading[[#This Row],[1st]:[7th]],"&gt;0")/COUNTIF(reading[[#This Row],[1st]:[7th]],"&gt;0"),"")</f>
        <v>2.7142857142857144</v>
      </c>
    </row>
    <row r="292" spans="1:33" hidden="1" x14ac:dyDescent="0.2">
      <c r="A292" s="4">
        <f>IF(B292=1,3,IF(D292=1,2,IF(F292=1,1,0)))</f>
        <v>0</v>
      </c>
      <c r="B292" s="4" t="str">
        <f>IF(C292=$L292,1,IF(C292="","",0))</f>
        <v/>
      </c>
      <c r="C292" s="41"/>
      <c r="D292" s="4" t="str">
        <f>IF(E292=$L292,1,IF(E292="","",0))</f>
        <v/>
      </c>
      <c r="E292" s="18"/>
      <c r="F292" s="4" t="str">
        <f>IF(G292=$L292,1,IF(G292="","",0))</f>
        <v/>
      </c>
      <c r="G292" s="14"/>
      <c r="H292" s="6">
        <v>985</v>
      </c>
      <c r="I292" s="15" t="s">
        <v>3120</v>
      </c>
      <c r="J292" s="6" t="s">
        <v>4114</v>
      </c>
      <c r="K292" s="6"/>
      <c r="L292" s="6" t="s">
        <v>1095</v>
      </c>
      <c r="M292" s="6" t="s">
        <v>7093</v>
      </c>
      <c r="N292" s="7">
        <f ca="1">RAND()</f>
        <v>0.21185615946101466</v>
      </c>
      <c r="O292" s="8">
        <v>45204</v>
      </c>
      <c r="P292" s="8">
        <v>45205</v>
      </c>
      <c r="Q292" s="8">
        <v>45207</v>
      </c>
      <c r="R292" s="8">
        <v>45212</v>
      </c>
      <c r="S292" s="8">
        <v>45219</v>
      </c>
      <c r="T292" s="8">
        <v>45231</v>
      </c>
      <c r="U292" s="8">
        <v>45252</v>
      </c>
      <c r="V292" s="10">
        <f>COUNTA(O292:U292)</f>
        <v>7</v>
      </c>
      <c r="W292" s="11">
        <f>_xlfn.IFNA(INDEX(reading[[#This Row],[Memo 01]:[Memo 07]],MATCH(0,reading[[#This Row],[Memo 01]:[Memo 07]],-1)),"")</f>
        <v>45252</v>
      </c>
      <c r="X292" s="11">
        <f ca="1">IFERROR(reading[[#This Row],[Previous]]+OFFSET(reading[[#Headers],[Memo 01]],-1,MATCH(0,reading[[#This Row],[Memo 01]:[Memo 07]],-1)-1),"")</f>
        <v>55252</v>
      </c>
      <c r="Y292" s="10" t="str">
        <f ca="1">IF(reading[[#This Row],[Next]]&lt;&gt;"",IF(reading[[#This Row],[Next]]&gt;TODAY(),"OK",""),"")</f>
        <v>OK</v>
      </c>
      <c r="Z292" s="13">
        <v>3</v>
      </c>
      <c r="AA292" s="13">
        <v>3</v>
      </c>
      <c r="AB292" s="13">
        <v>3</v>
      </c>
      <c r="AC292" s="13">
        <v>1</v>
      </c>
      <c r="AD292" s="13">
        <v>3</v>
      </c>
      <c r="AE292" s="13">
        <v>2</v>
      </c>
      <c r="AF292" s="13">
        <v>2</v>
      </c>
      <c r="AG292" s="16">
        <f>IFERROR(SUMIF(reading[[#This Row],[1st]:[7th]],"&gt;0")/COUNTIF(reading[[#This Row],[1st]:[7th]],"&gt;0"),"")</f>
        <v>2.4285714285714284</v>
      </c>
    </row>
    <row r="293" spans="1:33" hidden="1" x14ac:dyDescent="0.2">
      <c r="A293" s="4">
        <f>IF(B293=1,3,IF(D293=1,2,IF(F293=1,1,0)))</f>
        <v>0</v>
      </c>
      <c r="B293" s="4" t="str">
        <f>IF(C293=$L293,1,IF(C293="","",0))</f>
        <v/>
      </c>
      <c r="C293" s="42"/>
      <c r="D293" s="4" t="str">
        <f>IF(E293=$L293,1,IF(E293="","",0))</f>
        <v/>
      </c>
      <c r="E293" s="14"/>
      <c r="F293" s="4" t="str">
        <f>IF(G293=$L293,1,IF(G293="","",0))</f>
        <v/>
      </c>
      <c r="G293" s="14"/>
      <c r="H293" s="6">
        <v>570</v>
      </c>
      <c r="I293" s="15" t="s">
        <v>3120</v>
      </c>
      <c r="J293" s="6" t="s">
        <v>3713</v>
      </c>
      <c r="K293" s="6"/>
      <c r="L293" s="6" t="s">
        <v>697</v>
      </c>
      <c r="M293" s="6" t="s">
        <v>6679</v>
      </c>
      <c r="N293" s="7">
        <f ca="1">RAND()</f>
        <v>0.31960746561092956</v>
      </c>
      <c r="O293" s="8">
        <v>45202</v>
      </c>
      <c r="P293" s="8">
        <v>45203</v>
      </c>
      <c r="Q293" s="8">
        <v>45205</v>
      </c>
      <c r="R293" s="8">
        <v>45209</v>
      </c>
      <c r="S293" s="8">
        <v>45216</v>
      </c>
      <c r="T293" s="8">
        <v>45228</v>
      </c>
      <c r="U293" s="8">
        <v>45252</v>
      </c>
      <c r="V293" s="10">
        <f>COUNTA(O293:U293)</f>
        <v>7</v>
      </c>
      <c r="W293" s="11">
        <f>_xlfn.IFNA(INDEX(reading[[#This Row],[Memo 01]:[Memo 07]],MATCH(0,reading[[#This Row],[Memo 01]:[Memo 07]],-1)),"")</f>
        <v>45252</v>
      </c>
      <c r="X293" s="11">
        <f ca="1">IFERROR(reading[[#This Row],[Previous]]+OFFSET(reading[[#Headers],[Memo 01]],-1,MATCH(0,reading[[#This Row],[Memo 01]:[Memo 07]],-1)-1),"")</f>
        <v>55252</v>
      </c>
      <c r="Y293" s="10" t="str">
        <f ca="1">IF(reading[[#This Row],[Next]]&lt;&gt;"",IF(reading[[#This Row],[Next]]&gt;TODAY(),"OK",""),"")</f>
        <v>OK</v>
      </c>
      <c r="Z293" s="13">
        <v>3</v>
      </c>
      <c r="AA293" s="13">
        <v>3</v>
      </c>
      <c r="AB293" s="13">
        <v>2</v>
      </c>
      <c r="AC293" s="13">
        <v>3</v>
      </c>
      <c r="AD293" s="13">
        <v>3</v>
      </c>
      <c r="AE293" s="13">
        <v>2</v>
      </c>
      <c r="AF293" s="13">
        <v>3</v>
      </c>
      <c r="AG293" s="16">
        <f>IFERROR(SUMIF(reading[[#This Row],[1st]:[7th]],"&gt;0")/COUNTIF(reading[[#This Row],[1st]:[7th]],"&gt;0"),"")</f>
        <v>2.7142857142857144</v>
      </c>
    </row>
    <row r="294" spans="1:33" hidden="1" x14ac:dyDescent="0.2">
      <c r="A294" s="4">
        <f>IF(B294=1,3,IF(D294=1,2,IF(F294=1,1,0)))</f>
        <v>0</v>
      </c>
      <c r="B294" s="4" t="str">
        <f>IF(C294=$L294,1,IF(C294="","",0))</f>
        <v/>
      </c>
      <c r="C294" s="42"/>
      <c r="D294" s="4" t="str">
        <f>IF(E294=$L294,1,IF(E294="","",0))</f>
        <v/>
      </c>
      <c r="E294" s="14"/>
      <c r="F294" s="4" t="str">
        <f>IF(G294=$L294,1,IF(G294="","",0))</f>
        <v/>
      </c>
      <c r="G294" s="14"/>
      <c r="H294" s="6">
        <v>303</v>
      </c>
      <c r="I294" s="15" t="s">
        <v>3120</v>
      </c>
      <c r="J294" s="6" t="s">
        <v>3451</v>
      </c>
      <c r="K294" s="6"/>
      <c r="L294" s="6" t="s">
        <v>438</v>
      </c>
      <c r="M294" s="6" t="s">
        <v>6412</v>
      </c>
      <c r="N294" s="7">
        <f ca="1">RAND()</f>
        <v>0.38225480801484524</v>
      </c>
      <c r="O294" s="8">
        <v>45200</v>
      </c>
      <c r="P294" s="8">
        <v>45201</v>
      </c>
      <c r="Q294" s="8">
        <v>45203</v>
      </c>
      <c r="R294" s="8">
        <v>45207</v>
      </c>
      <c r="S294" s="8">
        <v>45214</v>
      </c>
      <c r="T294" s="8">
        <v>45226</v>
      </c>
      <c r="U294" s="8">
        <v>45792</v>
      </c>
      <c r="V294" s="10">
        <f>COUNTA(O294:U294)</f>
        <v>7</v>
      </c>
      <c r="W294" s="11">
        <f>_xlfn.IFNA(INDEX(reading[[#This Row],[Memo 01]:[Memo 07]],MATCH(0,reading[[#This Row],[Memo 01]:[Memo 07]],-1)),"")</f>
        <v>45792</v>
      </c>
      <c r="X294" s="11">
        <f ca="1">IFERROR(reading[[#This Row],[Previous]]+OFFSET(reading[[#Headers],[Memo 01]],-1,MATCH(0,reading[[#This Row],[Memo 01]:[Memo 07]],-1)-1),"")</f>
        <v>55792</v>
      </c>
      <c r="Y294" s="10" t="str">
        <f ca="1">IF(reading[[#This Row],[Next]]&lt;&gt;"",IF(reading[[#This Row],[Next]]&gt;TODAY(),"OK",""),"")</f>
        <v>OK</v>
      </c>
      <c r="Z294" s="13">
        <v>3</v>
      </c>
      <c r="AA294" s="13">
        <v>3</v>
      </c>
      <c r="AB294" s="13">
        <v>3</v>
      </c>
      <c r="AC294" s="13">
        <v>3</v>
      </c>
      <c r="AD294" s="13">
        <v>3</v>
      </c>
      <c r="AE294" s="13">
        <v>3</v>
      </c>
      <c r="AF294" s="13">
        <v>3</v>
      </c>
      <c r="AG294" s="16">
        <f>IFERROR(SUMIF(reading[[#This Row],[1st]:[7th]],"&gt;0")/COUNTIF(reading[[#This Row],[1st]:[7th]],"&gt;0"),"")</f>
        <v>3</v>
      </c>
    </row>
    <row r="295" spans="1:33" hidden="1" x14ac:dyDescent="0.2">
      <c r="A295" s="4">
        <f>IF(B295=1,3,IF(D295=1,2,IF(F295=1,1,0)))</f>
        <v>0</v>
      </c>
      <c r="B295" s="4" t="str">
        <f>IF(C295=$L295,1,IF(C295="","",0))</f>
        <v/>
      </c>
      <c r="C295" s="42"/>
      <c r="D295" s="4" t="str">
        <f>IF(E295=$L295,1,IF(E295="","",0))</f>
        <v/>
      </c>
      <c r="E295" s="14"/>
      <c r="F295" s="4" t="str">
        <f>IF(G295=$L295,1,IF(G295="","",0))</f>
        <v/>
      </c>
      <c r="G295" s="14"/>
      <c r="H295" s="6">
        <v>396</v>
      </c>
      <c r="I295" s="15" t="s">
        <v>3120</v>
      </c>
      <c r="J295" s="6" t="s">
        <v>3542</v>
      </c>
      <c r="K295" s="6"/>
      <c r="L295" s="6" t="s">
        <v>527</v>
      </c>
      <c r="M295" s="6" t="s">
        <v>6505</v>
      </c>
      <c r="N295" s="7">
        <f ca="1">RAND()</f>
        <v>0.54230793382543896</v>
      </c>
      <c r="O295" s="8">
        <v>45201</v>
      </c>
      <c r="P295" s="8">
        <v>45202</v>
      </c>
      <c r="Q295" s="8">
        <v>45204</v>
      </c>
      <c r="R295" s="8">
        <v>45208</v>
      </c>
      <c r="S295" s="8">
        <v>45215</v>
      </c>
      <c r="T295" s="8">
        <v>45227</v>
      </c>
      <c r="U295" s="8">
        <v>45818</v>
      </c>
      <c r="V295" s="10">
        <f>COUNTA(O295:U295)</f>
        <v>7</v>
      </c>
      <c r="W295" s="11">
        <f>_xlfn.IFNA(INDEX(reading[[#This Row],[Memo 01]:[Memo 07]],MATCH(0,reading[[#This Row],[Memo 01]:[Memo 07]],-1)),"")</f>
        <v>45818</v>
      </c>
      <c r="X295" s="11">
        <f ca="1">IFERROR(reading[[#This Row],[Previous]]+OFFSET(reading[[#Headers],[Memo 01]],-1,MATCH(0,reading[[#This Row],[Memo 01]:[Memo 07]],-1)-1),"")</f>
        <v>55818</v>
      </c>
      <c r="Y295" s="10" t="str">
        <f ca="1">IF(reading[[#This Row],[Next]]&lt;&gt;"",IF(reading[[#This Row],[Next]]&gt;TODAY(),"OK",""),"")</f>
        <v>OK</v>
      </c>
      <c r="Z295" s="13">
        <v>3</v>
      </c>
      <c r="AA295" s="13">
        <v>3</v>
      </c>
      <c r="AB295" s="13">
        <v>3</v>
      </c>
      <c r="AC295" s="13">
        <v>3</v>
      </c>
      <c r="AD295" s="13">
        <v>3</v>
      </c>
      <c r="AE295" s="13">
        <v>3</v>
      </c>
      <c r="AF295" s="13">
        <v>3</v>
      </c>
      <c r="AG295" s="16">
        <f>IFERROR(SUMIF(reading[[#This Row],[1st]:[7th]],"&gt;0")/COUNTIF(reading[[#This Row],[1st]:[7th]],"&gt;0"),"")</f>
        <v>3</v>
      </c>
    </row>
    <row r="296" spans="1:33" hidden="1" x14ac:dyDescent="0.2">
      <c r="A296" s="4">
        <f>IF(B296=1,3,IF(D296=1,2,IF(F296=1,1,0)))</f>
        <v>0</v>
      </c>
      <c r="B296" s="4" t="str">
        <f>IF(C296=$L296,1,IF(C296="","",0))</f>
        <v/>
      </c>
      <c r="C296" s="42"/>
      <c r="D296" s="4" t="str">
        <f>IF(E296=$L296,1,IF(E296="","",0))</f>
        <v/>
      </c>
      <c r="E296" s="14"/>
      <c r="F296" s="4" t="str">
        <f>IF(G296=$L296,1,IF(G296="","",0))</f>
        <v/>
      </c>
      <c r="G296" s="14"/>
      <c r="H296" s="6">
        <v>2381</v>
      </c>
      <c r="I296" s="15" t="s">
        <v>3120</v>
      </c>
      <c r="J296" s="6" t="s">
        <v>5454</v>
      </c>
      <c r="K296" s="15" t="s">
        <v>3139</v>
      </c>
      <c r="L296" s="6" t="s">
        <v>2432</v>
      </c>
      <c r="M296" s="6" t="s">
        <v>8486</v>
      </c>
      <c r="N296" s="7">
        <f ca="1">RAND()</f>
        <v>0.19797608260307997</v>
      </c>
      <c r="O296" s="8">
        <v>45217</v>
      </c>
      <c r="P296" s="8">
        <v>45218</v>
      </c>
      <c r="Q296" s="8">
        <v>45220</v>
      </c>
      <c r="R296" s="8">
        <v>45224</v>
      </c>
      <c r="S296" s="8">
        <v>45231</v>
      </c>
      <c r="T296" s="8">
        <v>45818</v>
      </c>
      <c r="U296" s="8"/>
      <c r="V296" s="10">
        <f>COUNTA(O296:U296)</f>
        <v>6</v>
      </c>
      <c r="W296" s="11">
        <f>_xlfn.IFNA(INDEX(reading[[#This Row],[Memo 01]:[Memo 07]],MATCH(0,reading[[#This Row],[Memo 01]:[Memo 07]],-1)),"")</f>
        <v>45818</v>
      </c>
      <c r="X296" s="11">
        <f ca="1">IFERROR(reading[[#This Row],[Previous]]+OFFSET(reading[[#Headers],[Memo 01]],-1,MATCH(0,reading[[#This Row],[Memo 01]:[Memo 07]],-1)-1),"")</f>
        <v>45838</v>
      </c>
      <c r="Y296" s="10" t="str">
        <f ca="1">IF(reading[[#This Row],[Next]]&lt;&gt;"",IF(reading[[#This Row],[Next]]&gt;TODAY(),"OK",""),"")</f>
        <v>OK</v>
      </c>
      <c r="Z296" s="13">
        <v>3</v>
      </c>
      <c r="AA296" s="13">
        <v>3</v>
      </c>
      <c r="AB296" s="13">
        <v>3</v>
      </c>
      <c r="AC296" s="13">
        <v>3</v>
      </c>
      <c r="AD296" s="13">
        <v>3</v>
      </c>
      <c r="AE296" s="13">
        <v>3</v>
      </c>
      <c r="AF296" s="13"/>
      <c r="AG296" s="16">
        <f>IFERROR(SUMIF(reading[[#This Row],[1st]:[7th]],"&gt;0")/COUNTIF(reading[[#This Row],[1st]:[7th]],"&gt;0"),"")</f>
        <v>3</v>
      </c>
    </row>
    <row r="297" spans="1:33" hidden="1" x14ac:dyDescent="0.2">
      <c r="A297" s="4">
        <f>IF(B297=1,3,IF(D297=1,2,IF(F297=1,1,0)))</f>
        <v>0</v>
      </c>
      <c r="B297" s="4" t="str">
        <f>IF(C297=$L297,1,IF(C297="","",0))</f>
        <v/>
      </c>
      <c r="C297" s="42"/>
      <c r="D297" s="4" t="str">
        <f>IF(E297=$L297,1,IF(E297="","",0))</f>
        <v/>
      </c>
      <c r="E297" s="18"/>
      <c r="F297" s="4" t="str">
        <f>IF(G297=$L297,1,IF(G297="","",0))</f>
        <v/>
      </c>
      <c r="G297" s="18"/>
      <c r="H297" s="6">
        <v>115</v>
      </c>
      <c r="I297" s="15" t="s">
        <v>3120</v>
      </c>
      <c r="J297" s="6" t="s">
        <v>3264</v>
      </c>
      <c r="K297" s="6"/>
      <c r="L297" s="6" t="s">
        <v>252</v>
      </c>
      <c r="M297" s="6" t="s">
        <v>6224</v>
      </c>
      <c r="N297" s="7">
        <f ca="1">RAND()</f>
        <v>0.86571021292701422</v>
      </c>
      <c r="O297" s="8">
        <v>45199</v>
      </c>
      <c r="P297" s="8">
        <v>45200</v>
      </c>
      <c r="Q297" s="8">
        <v>45202</v>
      </c>
      <c r="R297" s="8">
        <v>45206</v>
      </c>
      <c r="S297" s="8">
        <v>45226</v>
      </c>
      <c r="T297" s="8">
        <v>45818</v>
      </c>
      <c r="U297" s="8"/>
      <c r="V297" s="10">
        <f>COUNTA(O297:U297)</f>
        <v>6</v>
      </c>
      <c r="W297" s="11">
        <f>_xlfn.IFNA(INDEX(reading[[#This Row],[Memo 01]:[Memo 07]],MATCH(0,reading[[#This Row],[Memo 01]:[Memo 07]],-1)),"")</f>
        <v>45818</v>
      </c>
      <c r="X297" s="11">
        <f ca="1">IFERROR(reading[[#This Row],[Previous]]+OFFSET(reading[[#Headers],[Memo 01]],-1,MATCH(0,reading[[#This Row],[Memo 01]:[Memo 07]],-1)-1),"")</f>
        <v>45838</v>
      </c>
      <c r="Y297" s="10" t="str">
        <f ca="1">IF(reading[[#This Row],[Next]]&lt;&gt;"",IF(reading[[#This Row],[Next]]&gt;TODAY(),"OK",""),"")</f>
        <v>OK</v>
      </c>
      <c r="Z297" s="13">
        <v>3</v>
      </c>
      <c r="AA297" s="13">
        <v>3</v>
      </c>
      <c r="AB297" s="13">
        <v>3</v>
      </c>
      <c r="AC297" s="13">
        <v>3</v>
      </c>
      <c r="AD297" s="13">
        <v>3</v>
      </c>
      <c r="AE297" s="13">
        <v>3</v>
      </c>
      <c r="AF297" s="13"/>
      <c r="AG297" s="16">
        <f>IFERROR(SUMIF(reading[[#This Row],[1st]:[7th]],"&gt;0")/COUNTIF(reading[[#This Row],[1st]:[7th]],"&gt;0"),"")</f>
        <v>3</v>
      </c>
    </row>
    <row r="298" spans="1:33" hidden="1" x14ac:dyDescent="0.2">
      <c r="A298" s="4">
        <f>IF(B298=1,3,IF(D298=1,2,IF(F298=1,1,0)))</f>
        <v>0</v>
      </c>
      <c r="B298" s="4" t="str">
        <f>IF(C298=$L298,1,IF(C298="","",0))</f>
        <v/>
      </c>
      <c r="C298" s="42"/>
      <c r="D298" s="4" t="str">
        <f>IF(E298=$L298,1,IF(E298="","",0))</f>
        <v/>
      </c>
      <c r="E298" s="43"/>
      <c r="F298" s="4" t="str">
        <f>IF(G298=$L298,1,IF(G298="","",0))</f>
        <v/>
      </c>
      <c r="G298" s="23"/>
      <c r="H298" s="6">
        <v>1705</v>
      </c>
      <c r="I298" s="15" t="s">
        <v>3120</v>
      </c>
      <c r="J298" s="24" t="s">
        <v>9212</v>
      </c>
      <c r="K298" s="6" t="s">
        <v>3139</v>
      </c>
      <c r="L298" s="6" t="s">
        <v>1785</v>
      </c>
      <c r="M298" s="6" t="s">
        <v>7811</v>
      </c>
      <c r="N298" s="7">
        <f ca="1">RAND()</f>
        <v>0.79576778795674474</v>
      </c>
      <c r="O298" s="8">
        <v>45211</v>
      </c>
      <c r="P298" s="8">
        <v>45212</v>
      </c>
      <c r="Q298" s="8">
        <v>45214</v>
      </c>
      <c r="R298" s="8">
        <v>45218</v>
      </c>
      <c r="S298" s="8">
        <v>45225</v>
      </c>
      <c r="T298" s="8">
        <v>45237</v>
      </c>
      <c r="U298" s="8">
        <v>45811</v>
      </c>
      <c r="V298" s="10">
        <f>COUNTA(O298:U298)</f>
        <v>7</v>
      </c>
      <c r="W298" s="11">
        <f>_xlfn.IFNA(INDEX(reading[[#This Row],[Memo 01]:[Memo 07]],MATCH(0,reading[[#This Row],[Memo 01]:[Memo 07]],-1)),"")</f>
        <v>45811</v>
      </c>
      <c r="X298" s="11">
        <f ca="1">IFERROR(reading[[#This Row],[Previous]]+OFFSET(reading[[#Headers],[Memo 01]],-1,MATCH(0,reading[[#This Row],[Memo 01]:[Memo 07]],-1)-1),"")</f>
        <v>55811</v>
      </c>
      <c r="Y298" s="10" t="str">
        <f ca="1">IF(reading[[#This Row],[Next]]&lt;&gt;"",IF(reading[[#This Row],[Next]]&gt;TODAY(),"OK",""),"")</f>
        <v>OK</v>
      </c>
      <c r="Z298" s="13">
        <v>3</v>
      </c>
      <c r="AA298" s="13">
        <v>3</v>
      </c>
      <c r="AB298" s="13">
        <v>3</v>
      </c>
      <c r="AC298" s="13">
        <v>2</v>
      </c>
      <c r="AD298" s="13">
        <v>3</v>
      </c>
      <c r="AE298" s="13">
        <v>3</v>
      </c>
      <c r="AF298" s="13">
        <v>1</v>
      </c>
      <c r="AG298" s="16">
        <f>IFERROR(SUMIF(reading[[#This Row],[1st]:[7th]],"&gt;0")/COUNTIF(reading[[#This Row],[1st]:[7th]],"&gt;0"),"")</f>
        <v>2.5714285714285716</v>
      </c>
    </row>
    <row r="299" spans="1:33" hidden="1" x14ac:dyDescent="0.2">
      <c r="A299" s="4">
        <f>IF(B299=1,3,IF(D299=1,2,IF(F299=1,1,0)))</f>
        <v>0</v>
      </c>
      <c r="B299" s="4" t="str">
        <f>IF(C299=$L299,1,IF(C299="","",0))</f>
        <v/>
      </c>
      <c r="C299" s="42"/>
      <c r="D299" s="4" t="str">
        <f>IF(E299=$L299,1,IF(E299="","",0))</f>
        <v/>
      </c>
      <c r="E299" s="18"/>
      <c r="F299" s="4" t="str">
        <f>IF(G299=$L299,1,IF(G299="","",0))</f>
        <v/>
      </c>
      <c r="G299" s="14"/>
      <c r="H299" s="6">
        <v>103</v>
      </c>
      <c r="I299" s="15" t="s">
        <v>3120</v>
      </c>
      <c r="J299" s="6" t="s">
        <v>3252</v>
      </c>
      <c r="K299" s="6"/>
      <c r="L299" s="6" t="s">
        <v>240</v>
      </c>
      <c r="M299" s="6" t="s">
        <v>6212</v>
      </c>
      <c r="N299" s="7">
        <f ca="1">RAND()</f>
        <v>0.626525571729728</v>
      </c>
      <c r="O299" s="8">
        <v>45199</v>
      </c>
      <c r="P299" s="8">
        <v>45200</v>
      </c>
      <c r="Q299" s="8">
        <v>45202</v>
      </c>
      <c r="R299" s="8">
        <v>45206</v>
      </c>
      <c r="S299" s="8">
        <v>45213</v>
      </c>
      <c r="T299" s="8">
        <v>45225</v>
      </c>
      <c r="U299" s="8">
        <v>45252</v>
      </c>
      <c r="V299" s="10">
        <f>COUNTA(O299:U299)</f>
        <v>7</v>
      </c>
      <c r="W299" s="11">
        <f>_xlfn.IFNA(INDEX(reading[[#This Row],[Memo 01]:[Memo 07]],MATCH(0,reading[[#This Row],[Memo 01]:[Memo 07]],-1)),"")</f>
        <v>45252</v>
      </c>
      <c r="X299" s="11">
        <f ca="1">IFERROR(reading[[#This Row],[Previous]]+OFFSET(reading[[#Headers],[Memo 01]],-1,MATCH(0,reading[[#This Row],[Memo 01]:[Memo 07]],-1)-1),"")</f>
        <v>55252</v>
      </c>
      <c r="Y299" s="10" t="str">
        <f ca="1">IF(reading[[#This Row],[Next]]&lt;&gt;"",IF(reading[[#This Row],[Next]]&gt;TODAY(),"OK",""),"")</f>
        <v>OK</v>
      </c>
      <c r="Z299" s="13">
        <v>2</v>
      </c>
      <c r="AA299" s="13">
        <v>3</v>
      </c>
      <c r="AB299" s="13">
        <v>3</v>
      </c>
      <c r="AC299" s="13">
        <v>3</v>
      </c>
      <c r="AD299" s="13">
        <v>3</v>
      </c>
      <c r="AE299" s="13">
        <v>2</v>
      </c>
      <c r="AF299" s="13">
        <v>3</v>
      </c>
      <c r="AG299" s="16">
        <f>IFERROR(SUMIF(reading[[#This Row],[1st]:[7th]],"&gt;0")/COUNTIF(reading[[#This Row],[1st]:[7th]],"&gt;0"),"")</f>
        <v>2.7142857142857144</v>
      </c>
    </row>
    <row r="300" spans="1:33" hidden="1" x14ac:dyDescent="0.2">
      <c r="A300" s="4">
        <f>IF(B300=1,3,IF(D300=1,2,IF(F300=1,1,0)))</f>
        <v>0</v>
      </c>
      <c r="B300" s="4" t="str">
        <f>IF(C300=$L300,1,IF(C300="","",0))</f>
        <v/>
      </c>
      <c r="C300" s="42"/>
      <c r="D300" s="4" t="str">
        <f>IF(E300=$L300,1,IF(E300="","",0))</f>
        <v/>
      </c>
      <c r="E300" s="14"/>
      <c r="F300" s="4" t="str">
        <f>IF(G300=$L300,1,IF(G300="","",0))</f>
        <v/>
      </c>
      <c r="G300" s="14"/>
      <c r="H300" s="6">
        <v>1073</v>
      </c>
      <c r="I300" s="15" t="s">
        <v>3120</v>
      </c>
      <c r="J300" s="6" t="s">
        <v>4199</v>
      </c>
      <c r="K300" s="6"/>
      <c r="L300" s="6" t="s">
        <v>1180</v>
      </c>
      <c r="M300" s="6" t="s">
        <v>7181</v>
      </c>
      <c r="N300" s="7">
        <f ca="1">RAND()</f>
        <v>0.31447771569926219</v>
      </c>
      <c r="O300" s="8">
        <v>45205</v>
      </c>
      <c r="P300" s="8">
        <v>45206</v>
      </c>
      <c r="Q300" s="8">
        <v>45208</v>
      </c>
      <c r="R300" s="8">
        <v>45212</v>
      </c>
      <c r="S300" s="8">
        <v>45219</v>
      </c>
      <c r="T300" s="8">
        <v>45231</v>
      </c>
      <c r="U300" s="8">
        <v>45801</v>
      </c>
      <c r="V300" s="10">
        <f>COUNTA(O300:U300)</f>
        <v>7</v>
      </c>
      <c r="W300" s="11">
        <f>_xlfn.IFNA(INDEX(reading[[#This Row],[Memo 01]:[Memo 07]],MATCH(0,reading[[#This Row],[Memo 01]:[Memo 07]],-1)),"")</f>
        <v>45801</v>
      </c>
      <c r="X300" s="11">
        <f ca="1">IFERROR(reading[[#This Row],[Previous]]+OFFSET(reading[[#Headers],[Memo 01]],-1,MATCH(0,reading[[#This Row],[Memo 01]:[Memo 07]],-1)-1),"")</f>
        <v>55801</v>
      </c>
      <c r="Y300" s="10" t="str">
        <f ca="1">IF(reading[[#This Row],[Next]]&lt;&gt;"",IF(reading[[#This Row],[Next]]&gt;TODAY(),"OK",""),"")</f>
        <v>OK</v>
      </c>
      <c r="Z300" s="13">
        <v>3</v>
      </c>
      <c r="AA300" s="13">
        <v>3</v>
      </c>
      <c r="AB300" s="13">
        <v>3</v>
      </c>
      <c r="AC300" s="13">
        <v>3</v>
      </c>
      <c r="AD300" s="13">
        <v>3</v>
      </c>
      <c r="AE300" s="13">
        <v>3</v>
      </c>
      <c r="AF300" s="13">
        <v>3</v>
      </c>
      <c r="AG300" s="16">
        <f>IFERROR(SUMIF(reading[[#This Row],[1st]:[7th]],"&gt;0")/COUNTIF(reading[[#This Row],[1st]:[7th]],"&gt;0"),"")</f>
        <v>3</v>
      </c>
    </row>
    <row r="301" spans="1:33" hidden="1" x14ac:dyDescent="0.2">
      <c r="A301" s="4">
        <f>IF(B301=1,3,IF(D301=1,2,IF(F301=1,1,0)))</f>
        <v>0</v>
      </c>
      <c r="B301" s="4" t="str">
        <f>IF(C301=$L301,1,IF(C301="","",0))</f>
        <v/>
      </c>
      <c r="C301" s="42"/>
      <c r="D301" s="4" t="str">
        <f>IF(E301=$L301,1,IF(E301="","",0))</f>
        <v/>
      </c>
      <c r="E301" s="18"/>
      <c r="F301" s="4" t="str">
        <f>IF(G301=$L301,1,IF(G301="","",0))</f>
        <v/>
      </c>
      <c r="G301" s="14"/>
      <c r="H301" s="6">
        <v>858</v>
      </c>
      <c r="I301" s="15" t="s">
        <v>3120</v>
      </c>
      <c r="J301" s="6" t="s">
        <v>3990</v>
      </c>
      <c r="K301" s="6"/>
      <c r="L301" s="6" t="s">
        <v>974</v>
      </c>
      <c r="M301" s="6" t="s">
        <v>6967</v>
      </c>
      <c r="N301" s="7">
        <f ca="1">RAND()</f>
        <v>0.27679705582369718</v>
      </c>
      <c r="O301" s="8">
        <v>45204</v>
      </c>
      <c r="P301" s="8">
        <v>45205</v>
      </c>
      <c r="Q301" s="8">
        <v>45207</v>
      </c>
      <c r="R301" s="8">
        <v>45211</v>
      </c>
      <c r="S301" s="8">
        <v>45218</v>
      </c>
      <c r="T301" s="8">
        <v>45230</v>
      </c>
      <c r="U301" s="8">
        <v>45252</v>
      </c>
      <c r="V301" s="10">
        <f>COUNTA(O301:U301)</f>
        <v>7</v>
      </c>
      <c r="W301" s="11">
        <f>_xlfn.IFNA(INDEX(reading[[#This Row],[Memo 01]:[Memo 07]],MATCH(0,reading[[#This Row],[Memo 01]:[Memo 07]],-1)),"")</f>
        <v>45252</v>
      </c>
      <c r="X301" s="11">
        <f ca="1">IFERROR(reading[[#This Row],[Previous]]+OFFSET(reading[[#Headers],[Memo 01]],-1,MATCH(0,reading[[#This Row],[Memo 01]:[Memo 07]],-1)-1),"")</f>
        <v>55252</v>
      </c>
      <c r="Y301" s="10" t="str">
        <f ca="1">IF(reading[[#This Row],[Next]]&lt;&gt;"",IF(reading[[#This Row],[Next]]&gt;TODAY(),"OK",""),"")</f>
        <v>OK</v>
      </c>
      <c r="Z301" s="13">
        <v>3</v>
      </c>
      <c r="AA301" s="13">
        <v>2</v>
      </c>
      <c r="AB301" s="13">
        <v>3</v>
      </c>
      <c r="AC301" s="13">
        <v>3</v>
      </c>
      <c r="AD301" s="13">
        <v>2</v>
      </c>
      <c r="AE301" s="13">
        <v>3</v>
      </c>
      <c r="AF301" s="13">
        <v>3</v>
      </c>
      <c r="AG301" s="16">
        <f>IFERROR(SUMIF(reading[[#This Row],[1st]:[7th]],"&gt;0")/COUNTIF(reading[[#This Row],[1st]:[7th]],"&gt;0"),"")</f>
        <v>2.7142857142857144</v>
      </c>
    </row>
    <row r="302" spans="1:33" hidden="1" x14ac:dyDescent="0.2">
      <c r="A302" s="4">
        <f>IF(B302=1,3,IF(D302=1,2,IF(F302=1,1,0)))</f>
        <v>0</v>
      </c>
      <c r="B302" s="4" t="str">
        <f>IF(C302=$L302,1,IF(C302="","",0))</f>
        <v/>
      </c>
      <c r="C302" s="42"/>
      <c r="D302" s="4" t="str">
        <f>IF(E302=$L302,1,IF(E302="","",0))</f>
        <v/>
      </c>
      <c r="E302" s="18"/>
      <c r="F302" s="4" t="str">
        <f>IF(G302=$L302,1,IF(G302="","",0))</f>
        <v/>
      </c>
      <c r="G302" s="14"/>
      <c r="H302" s="6">
        <v>1292</v>
      </c>
      <c r="I302" s="15" t="s">
        <v>3120</v>
      </c>
      <c r="J302" s="6" t="s">
        <v>4409</v>
      </c>
      <c r="K302" s="6"/>
      <c r="L302" s="6" t="s">
        <v>1390</v>
      </c>
      <c r="M302" s="6" t="s">
        <v>7399</v>
      </c>
      <c r="N302" s="7">
        <f ca="1">RAND()</f>
        <v>0.52427754915954627</v>
      </c>
      <c r="O302" s="8">
        <v>45207</v>
      </c>
      <c r="P302" s="8">
        <v>45208</v>
      </c>
      <c r="Q302" s="8">
        <v>45210</v>
      </c>
      <c r="R302" s="8">
        <v>45214</v>
      </c>
      <c r="S302" s="8">
        <v>45221</v>
      </c>
      <c r="T302" s="8">
        <v>45233</v>
      </c>
      <c r="U302" s="8">
        <v>45777</v>
      </c>
      <c r="V302" s="10">
        <f>COUNTA(O302:U302)</f>
        <v>7</v>
      </c>
      <c r="W302" s="11">
        <f>_xlfn.IFNA(INDEX(reading[[#This Row],[Memo 01]:[Memo 07]],MATCH(0,reading[[#This Row],[Memo 01]:[Memo 07]],-1)),"")</f>
        <v>45777</v>
      </c>
      <c r="X302" s="11">
        <f ca="1">IFERROR(reading[[#This Row],[Previous]]+OFFSET(reading[[#Headers],[Memo 01]],-1,MATCH(0,reading[[#This Row],[Memo 01]:[Memo 07]],-1)-1),"")</f>
        <v>55777</v>
      </c>
      <c r="Y302" s="10" t="str">
        <f ca="1">IF(reading[[#This Row],[Next]]&lt;&gt;"",IF(reading[[#This Row],[Next]]&gt;TODAY(),"OK",""),"")</f>
        <v>OK</v>
      </c>
      <c r="Z302" s="13">
        <v>3</v>
      </c>
      <c r="AA302" s="13">
        <v>3</v>
      </c>
      <c r="AB302" s="13">
        <v>2</v>
      </c>
      <c r="AC302" s="13">
        <v>3</v>
      </c>
      <c r="AD302" s="13">
        <v>2</v>
      </c>
      <c r="AE302" s="13">
        <v>3</v>
      </c>
      <c r="AF302" s="13">
        <v>3</v>
      </c>
      <c r="AG302" s="16">
        <f>IFERROR(SUMIF(reading[[#This Row],[1st]:[7th]],"&gt;0")/COUNTIF(reading[[#This Row],[1st]:[7th]],"&gt;0"),"")</f>
        <v>2.7142857142857144</v>
      </c>
    </row>
    <row r="303" spans="1:33" hidden="1" x14ac:dyDescent="0.2">
      <c r="A303" s="4">
        <f>IF(B303=1,3,IF(D303=1,2,IF(F303=1,1,0)))</f>
        <v>0</v>
      </c>
      <c r="B303" s="4" t="str">
        <f>IF(C303=$L303,1,IF(C303="","",0))</f>
        <v/>
      </c>
      <c r="C303" s="42"/>
      <c r="D303" s="4" t="str">
        <f>IF(E303=$L303,1,IF(E303="","",0))</f>
        <v/>
      </c>
      <c r="E303" s="23"/>
      <c r="F303" s="4" t="str">
        <f>IF(G303=$L303,1,IF(G303="","",0))</f>
        <v/>
      </c>
      <c r="G303" s="14"/>
      <c r="H303" s="6">
        <v>578</v>
      </c>
      <c r="I303" s="15" t="s">
        <v>3120</v>
      </c>
      <c r="J303" s="6" t="s">
        <v>3721</v>
      </c>
      <c r="K303" s="24" t="s">
        <v>3150</v>
      </c>
      <c r="L303" s="6" t="s">
        <v>705</v>
      </c>
      <c r="M303" s="6" t="s">
        <v>6687</v>
      </c>
      <c r="N303" s="7">
        <f ca="1">RAND()</f>
        <v>0.66321809611360916</v>
      </c>
      <c r="O303" s="8">
        <v>45202</v>
      </c>
      <c r="P303" s="8">
        <v>45203</v>
      </c>
      <c r="Q303" s="8">
        <v>45205</v>
      </c>
      <c r="R303" s="8">
        <v>45209</v>
      </c>
      <c r="S303" s="8">
        <v>45216</v>
      </c>
      <c r="T303" s="8">
        <v>45228</v>
      </c>
      <c r="U303" s="8">
        <v>45777</v>
      </c>
      <c r="V303" s="10">
        <f>COUNTA(O303:U303)</f>
        <v>7</v>
      </c>
      <c r="W303" s="11">
        <f>_xlfn.IFNA(INDEX(reading[[#This Row],[Memo 01]:[Memo 07]],MATCH(0,reading[[#This Row],[Memo 01]:[Memo 07]],-1)),"")</f>
        <v>45777</v>
      </c>
      <c r="X303" s="11">
        <f ca="1">IFERROR(reading[[#This Row],[Previous]]+OFFSET(reading[[#Headers],[Memo 01]],-1,MATCH(0,reading[[#This Row],[Memo 01]:[Memo 07]],-1)-1),"")</f>
        <v>55777</v>
      </c>
      <c r="Y303" s="10" t="str">
        <f ca="1">IF(reading[[#This Row],[Next]]&lt;&gt;"",IF(reading[[#This Row],[Next]]&gt;TODAY(),"OK",""),"")</f>
        <v>OK</v>
      </c>
      <c r="Z303" s="13">
        <v>3</v>
      </c>
      <c r="AA303" s="13">
        <v>3</v>
      </c>
      <c r="AB303" s="13">
        <v>2</v>
      </c>
      <c r="AC303" s="13">
        <v>2</v>
      </c>
      <c r="AD303" s="13">
        <v>3</v>
      </c>
      <c r="AE303" s="13">
        <v>3</v>
      </c>
      <c r="AF303" s="13">
        <v>3</v>
      </c>
      <c r="AG303" s="16">
        <f>IFERROR(SUMIF(reading[[#This Row],[1st]:[7th]],"&gt;0")/COUNTIF(reading[[#This Row],[1st]:[7th]],"&gt;0"),"")</f>
        <v>2.7142857142857144</v>
      </c>
    </row>
    <row r="304" spans="1:33" hidden="1" x14ac:dyDescent="0.2">
      <c r="A304" s="4">
        <f>IF(B304=1,3,IF(D304=1,2,IF(F304=1,1,0)))</f>
        <v>0</v>
      </c>
      <c r="B304" s="4" t="str">
        <f>IF(C304=$L304,1,IF(C304="","",0))</f>
        <v/>
      </c>
      <c r="C304" s="42"/>
      <c r="D304" s="4" t="str">
        <f>IF(E304=$L304,1,IF(E304="","",0))</f>
        <v/>
      </c>
      <c r="E304" s="14"/>
      <c r="F304" s="4" t="str">
        <f>IF(G304=$L304,1,IF(G304="","",0))</f>
        <v/>
      </c>
      <c r="G304" s="14"/>
      <c r="H304" s="6">
        <v>331</v>
      </c>
      <c r="I304" s="15" t="s">
        <v>3120</v>
      </c>
      <c r="J304" s="6" t="s">
        <v>3478</v>
      </c>
      <c r="K304" s="6"/>
      <c r="L304" s="6" t="s">
        <v>466</v>
      </c>
      <c r="M304" s="6" t="s">
        <v>6440</v>
      </c>
      <c r="N304" s="7">
        <f ca="1">RAND()</f>
        <v>0.34783880201754613</v>
      </c>
      <c r="O304" s="8">
        <v>45200</v>
      </c>
      <c r="P304" s="8">
        <v>45201</v>
      </c>
      <c r="Q304" s="8">
        <v>45203</v>
      </c>
      <c r="R304" s="8">
        <v>45207</v>
      </c>
      <c r="S304" s="8">
        <v>45214</v>
      </c>
      <c r="T304" s="8">
        <v>45226</v>
      </c>
      <c r="U304" s="8">
        <v>45783</v>
      </c>
      <c r="V304" s="10">
        <f>COUNTA(O304:U304)</f>
        <v>7</v>
      </c>
      <c r="W304" s="11">
        <f>_xlfn.IFNA(INDEX(reading[[#This Row],[Memo 01]:[Memo 07]],MATCH(0,reading[[#This Row],[Memo 01]:[Memo 07]],-1)),"")</f>
        <v>45783</v>
      </c>
      <c r="X304" s="11">
        <f ca="1">IFERROR(reading[[#This Row],[Previous]]+OFFSET(reading[[#Headers],[Memo 01]],-1,MATCH(0,reading[[#This Row],[Memo 01]:[Memo 07]],-1)-1),"")</f>
        <v>55783</v>
      </c>
      <c r="Y304" s="10" t="str">
        <f ca="1">IF(reading[[#This Row],[Next]]&lt;&gt;"",IF(reading[[#This Row],[Next]]&gt;TODAY(),"OK",""),"")</f>
        <v>OK</v>
      </c>
      <c r="Z304" s="13">
        <v>3</v>
      </c>
      <c r="AA304" s="13">
        <v>3</v>
      </c>
      <c r="AB304" s="13">
        <v>2</v>
      </c>
      <c r="AC304" s="13">
        <v>3</v>
      </c>
      <c r="AD304" s="13">
        <v>3</v>
      </c>
      <c r="AE304" s="13">
        <v>3</v>
      </c>
      <c r="AF304" s="13">
        <v>3</v>
      </c>
      <c r="AG304" s="16">
        <f>IFERROR(SUMIF(reading[[#This Row],[1st]:[7th]],"&gt;0")/COUNTIF(reading[[#This Row],[1st]:[7th]],"&gt;0"),"")</f>
        <v>2.8571428571428572</v>
      </c>
    </row>
    <row r="305" spans="1:33" hidden="1" x14ac:dyDescent="0.2">
      <c r="A305" s="4">
        <f>IF(B305=1,3,IF(D305=1,2,IF(F305=1,1,0)))</f>
        <v>0</v>
      </c>
      <c r="B305" s="4" t="str">
        <f>IF(C305=$L305,1,IF(C305="","",0))</f>
        <v/>
      </c>
      <c r="C305" s="42"/>
      <c r="D305" s="4" t="str">
        <f>IF(E305=$L305,1,IF(E305="","",0))</f>
        <v/>
      </c>
      <c r="E305" s="14"/>
      <c r="F305" s="4" t="str">
        <f>IF(G305=$L305,1,IF(G305="","",0))</f>
        <v/>
      </c>
      <c r="G305" s="14"/>
      <c r="H305" s="6">
        <v>602</v>
      </c>
      <c r="I305" s="15" t="s">
        <v>3120</v>
      </c>
      <c r="J305" s="6" t="s">
        <v>3744</v>
      </c>
      <c r="K305" s="6"/>
      <c r="L305" s="6" t="s">
        <v>727</v>
      </c>
      <c r="M305" s="6" t="s">
        <v>6711</v>
      </c>
      <c r="N305" s="7">
        <f ca="1">RAND()</f>
        <v>5.99103062855596E-2</v>
      </c>
      <c r="O305" s="8">
        <v>45202</v>
      </c>
      <c r="P305" s="8">
        <v>45203</v>
      </c>
      <c r="Q305" s="8">
        <v>45205</v>
      </c>
      <c r="R305" s="8">
        <v>45209</v>
      </c>
      <c r="S305" s="8">
        <v>45216</v>
      </c>
      <c r="T305" s="8">
        <v>45228</v>
      </c>
      <c r="U305" s="8">
        <v>45819</v>
      </c>
      <c r="V305" s="10">
        <f>COUNTA(O305:U305)</f>
        <v>7</v>
      </c>
      <c r="W305" s="11">
        <f>_xlfn.IFNA(INDEX(reading[[#This Row],[Memo 01]:[Memo 07]],MATCH(0,reading[[#This Row],[Memo 01]:[Memo 07]],-1)),"")</f>
        <v>45819</v>
      </c>
      <c r="X305" s="11">
        <f ca="1">IFERROR(reading[[#This Row],[Previous]]+OFFSET(reading[[#Headers],[Memo 01]],-1,MATCH(0,reading[[#This Row],[Memo 01]:[Memo 07]],-1)-1),"")</f>
        <v>55819</v>
      </c>
      <c r="Y305" s="10" t="str">
        <f ca="1">IF(reading[[#This Row],[Next]]&lt;&gt;"",IF(reading[[#This Row],[Next]]&gt;TODAY(),"OK",""),"")</f>
        <v>OK</v>
      </c>
      <c r="Z305" s="13">
        <v>3</v>
      </c>
      <c r="AA305" s="13">
        <v>3</v>
      </c>
      <c r="AB305" s="13">
        <v>3</v>
      </c>
      <c r="AC305" s="13">
        <v>3</v>
      </c>
      <c r="AD305" s="13">
        <v>3</v>
      </c>
      <c r="AE305" s="13">
        <v>3</v>
      </c>
      <c r="AF305" s="13">
        <v>3</v>
      </c>
      <c r="AG305" s="16">
        <f>IFERROR(SUMIF(reading[[#This Row],[1st]:[7th]],"&gt;0")/COUNTIF(reading[[#This Row],[1st]:[7th]],"&gt;0"),"")</f>
        <v>3</v>
      </c>
    </row>
    <row r="306" spans="1:33" hidden="1" x14ac:dyDescent="0.2">
      <c r="A306" s="4">
        <f>IF(B306=1,3,IF(D306=1,2,IF(F306=1,1,0)))</f>
        <v>0</v>
      </c>
      <c r="B306" s="4" t="str">
        <f>IF(C306=$L306,1,IF(C306="","",0))</f>
        <v/>
      </c>
      <c r="C306" s="42"/>
      <c r="D306" s="4" t="str">
        <f>IF(E306=$L306,1,IF(E306="","",0))</f>
        <v/>
      </c>
      <c r="E306" s="18"/>
      <c r="F306" s="4" t="str">
        <f>IF(G306=$L306,1,IF(G306="","",0))</f>
        <v/>
      </c>
      <c r="G306" s="14"/>
      <c r="H306" s="6">
        <v>319</v>
      </c>
      <c r="I306" s="15" t="s">
        <v>3120</v>
      </c>
      <c r="J306" s="6" t="s">
        <v>3466</v>
      </c>
      <c r="K306" s="6"/>
      <c r="L306" s="6" t="s">
        <v>454</v>
      </c>
      <c r="M306" s="6" t="s">
        <v>6428</v>
      </c>
      <c r="N306" s="7">
        <f ca="1">RAND()</f>
        <v>0.71405349591722433</v>
      </c>
      <c r="O306" s="8">
        <v>45200</v>
      </c>
      <c r="P306" s="8">
        <v>45201</v>
      </c>
      <c r="Q306" s="8">
        <v>45203</v>
      </c>
      <c r="R306" s="8">
        <v>45207</v>
      </c>
      <c r="S306" s="8">
        <v>45214</v>
      </c>
      <c r="T306" s="8">
        <v>45226</v>
      </c>
      <c r="U306" s="8">
        <v>45252</v>
      </c>
      <c r="V306" s="10">
        <f>COUNTA(O306:U306)</f>
        <v>7</v>
      </c>
      <c r="W306" s="11">
        <f>_xlfn.IFNA(INDEX(reading[[#This Row],[Memo 01]:[Memo 07]],MATCH(0,reading[[#This Row],[Memo 01]:[Memo 07]],-1)),"")</f>
        <v>45252</v>
      </c>
      <c r="X306" s="11">
        <f ca="1">IFERROR(reading[[#This Row],[Previous]]+OFFSET(reading[[#Headers],[Memo 01]],-1,MATCH(0,reading[[#This Row],[Memo 01]:[Memo 07]],-1)-1),"")</f>
        <v>55252</v>
      </c>
      <c r="Y306" s="10" t="str">
        <f ca="1">IF(reading[[#This Row],[Next]]&lt;&gt;"",IF(reading[[#This Row],[Next]]&gt;TODAY(),"OK",""),"")</f>
        <v>OK</v>
      </c>
      <c r="Z306" s="13">
        <v>3</v>
      </c>
      <c r="AA306" s="13">
        <v>3</v>
      </c>
      <c r="AB306" s="13">
        <v>2</v>
      </c>
      <c r="AC306" s="13">
        <v>3</v>
      </c>
      <c r="AD306" s="13">
        <v>3</v>
      </c>
      <c r="AE306" s="13">
        <v>2</v>
      </c>
      <c r="AF306" s="13">
        <v>3</v>
      </c>
      <c r="AG306" s="16">
        <f>IFERROR(SUMIF(reading[[#This Row],[1st]:[7th]],"&gt;0")/COUNTIF(reading[[#This Row],[1st]:[7th]],"&gt;0"),"")</f>
        <v>2.7142857142857144</v>
      </c>
    </row>
    <row r="307" spans="1:33" hidden="1" x14ac:dyDescent="0.2">
      <c r="A307" s="4">
        <f>IF(B307=1,3,IF(D307=1,2,IF(F307=1,1,0)))</f>
        <v>0</v>
      </c>
      <c r="B307" s="4" t="str">
        <f>IF(C307=$L307,1,IF(C307="","",0))</f>
        <v/>
      </c>
      <c r="C307" s="20"/>
      <c r="D307" s="4" t="str">
        <f>IF(E307=$L307,1,IF(E307="","",0))</f>
        <v/>
      </c>
      <c r="E307" s="14"/>
      <c r="F307" s="4" t="str">
        <f>IF(G307=$L307,1,IF(G307="","",0))</f>
        <v/>
      </c>
      <c r="G307" s="14"/>
      <c r="H307" s="6">
        <v>310</v>
      </c>
      <c r="I307" s="15" t="s">
        <v>3120</v>
      </c>
      <c r="J307" s="6" t="s">
        <v>3458</v>
      </c>
      <c r="K307" s="6"/>
      <c r="L307" s="6" t="s">
        <v>445</v>
      </c>
      <c r="M307" s="6" t="s">
        <v>6419</v>
      </c>
      <c r="N307" s="7">
        <f ca="1">RAND()</f>
        <v>7.9149287864697437E-2</v>
      </c>
      <c r="O307" s="8">
        <v>45200</v>
      </c>
      <c r="P307" s="8">
        <v>45200</v>
      </c>
      <c r="Q307" s="8">
        <v>45200</v>
      </c>
      <c r="R307" s="8">
        <v>45200</v>
      </c>
      <c r="S307" s="8">
        <v>45200</v>
      </c>
      <c r="T307" s="8">
        <v>45200</v>
      </c>
      <c r="U307" s="8">
        <v>45200</v>
      </c>
      <c r="V307" s="10">
        <f>COUNTA(O307:U307)</f>
        <v>7</v>
      </c>
      <c r="W307" s="11">
        <f>_xlfn.IFNA(INDEX(reading[[#This Row],[Memo 01]:[Memo 07]],MATCH(0,reading[[#This Row],[Memo 01]:[Memo 07]],-1)),"")</f>
        <v>45200</v>
      </c>
      <c r="X307" s="11">
        <f ca="1">IFERROR(reading[[#This Row],[Previous]]+OFFSET(reading[[#Headers],[Memo 01]],-1,MATCH(0,reading[[#This Row],[Memo 01]:[Memo 07]],-1)-1),"")</f>
        <v>55200</v>
      </c>
      <c r="Y307" s="10" t="str">
        <f ca="1">IF(reading[[#This Row],[Next]]&lt;&gt;"",IF(reading[[#This Row],[Next]]&gt;TODAY(),"OK",""),"")</f>
        <v>OK</v>
      </c>
      <c r="Z307" s="13">
        <v>3</v>
      </c>
      <c r="AA307" s="13"/>
      <c r="AB307" s="13"/>
      <c r="AC307" s="13"/>
      <c r="AD307" s="13"/>
      <c r="AE307" s="13"/>
      <c r="AF307" s="13"/>
      <c r="AG307" s="16">
        <f>IFERROR(SUMIF(reading[[#This Row],[1st]:[7th]],"&gt;0")/COUNTIF(reading[[#This Row],[1st]:[7th]],"&gt;0"),"")</f>
        <v>3</v>
      </c>
    </row>
    <row r="308" spans="1:33" hidden="1" x14ac:dyDescent="0.2">
      <c r="A308" s="4">
        <f>IF(B308=1,3,IF(D308=1,2,IF(F308=1,1,0)))</f>
        <v>0</v>
      </c>
      <c r="B308" s="4" t="str">
        <f>IF(C308=$L308,1,IF(C308="","",0))</f>
        <v/>
      </c>
      <c r="C308" s="42"/>
      <c r="D308" s="4" t="str">
        <f>IF(E308=$L308,1,IF(E308="","",0))</f>
        <v/>
      </c>
      <c r="E308" s="18"/>
      <c r="F308" s="4" t="str">
        <f>IF(G308=$L308,1,IF(G308="","",0))</f>
        <v/>
      </c>
      <c r="G308" s="14"/>
      <c r="H308" s="6">
        <v>801</v>
      </c>
      <c r="I308" s="15" t="s">
        <v>3120</v>
      </c>
      <c r="J308" s="6" t="s">
        <v>3935</v>
      </c>
      <c r="K308" s="6"/>
      <c r="L308" s="6" t="s">
        <v>918</v>
      </c>
      <c r="M308" s="6" t="s">
        <v>6910</v>
      </c>
      <c r="N308" s="7">
        <f ca="1">RAND()</f>
        <v>0.77289824762458104</v>
      </c>
      <c r="O308" s="8">
        <v>45203</v>
      </c>
      <c r="P308" s="8">
        <v>45204</v>
      </c>
      <c r="Q308" s="8">
        <v>45206</v>
      </c>
      <c r="R308" s="8">
        <v>45210</v>
      </c>
      <c r="S308" s="8">
        <v>45217</v>
      </c>
      <c r="T308" s="8">
        <v>45229</v>
      </c>
      <c r="U308" s="8">
        <v>45252</v>
      </c>
      <c r="V308" s="10">
        <f>COUNTA(O308:U308)</f>
        <v>7</v>
      </c>
      <c r="W308" s="11">
        <f>_xlfn.IFNA(INDEX(reading[[#This Row],[Memo 01]:[Memo 07]],MATCH(0,reading[[#This Row],[Memo 01]:[Memo 07]],-1)),"")</f>
        <v>45252</v>
      </c>
      <c r="X308" s="11">
        <f ca="1">IFERROR(reading[[#This Row],[Previous]]+OFFSET(reading[[#Headers],[Memo 01]],-1,MATCH(0,reading[[#This Row],[Memo 01]:[Memo 07]],-1)-1),"")</f>
        <v>55252</v>
      </c>
      <c r="Y308" s="10" t="str">
        <f ca="1">IF(reading[[#This Row],[Next]]&lt;&gt;"",IF(reading[[#This Row],[Next]]&gt;TODAY(),"OK",""),"")</f>
        <v>OK</v>
      </c>
      <c r="Z308" s="13">
        <v>3</v>
      </c>
      <c r="AA308" s="13">
        <v>2</v>
      </c>
      <c r="AB308" s="13">
        <v>3</v>
      </c>
      <c r="AC308" s="13">
        <v>2</v>
      </c>
      <c r="AD308" s="13">
        <v>3</v>
      </c>
      <c r="AE308" s="13">
        <v>3</v>
      </c>
      <c r="AF308" s="13">
        <v>3</v>
      </c>
      <c r="AG308" s="16">
        <f>IFERROR(SUMIF(reading[[#This Row],[1st]:[7th]],"&gt;0")/COUNTIF(reading[[#This Row],[1st]:[7th]],"&gt;0"),"")</f>
        <v>2.7142857142857144</v>
      </c>
    </row>
    <row r="309" spans="1:33" hidden="1" x14ac:dyDescent="0.2">
      <c r="A309" s="4">
        <f>IF(B309=1,3,IF(D309=1,2,IF(F309=1,1,0)))</f>
        <v>0</v>
      </c>
      <c r="B309" s="4" t="str">
        <f>IF(C309=$L309,1,IF(C309="","",0))</f>
        <v/>
      </c>
      <c r="C309" s="42"/>
      <c r="D309" s="4" t="str">
        <f>IF(E309=$L309,1,IF(E309="","",0))</f>
        <v/>
      </c>
      <c r="E309" s="14"/>
      <c r="F309" s="4" t="str">
        <f>IF(G309=$L309,1,IF(G309="","",0))</f>
        <v/>
      </c>
      <c r="G309" s="14"/>
      <c r="H309" s="6">
        <v>964</v>
      </c>
      <c r="I309" s="15" t="s">
        <v>3120</v>
      </c>
      <c r="J309" s="6" t="s">
        <v>4093</v>
      </c>
      <c r="K309" s="6"/>
      <c r="L309" s="6" t="s">
        <v>1074</v>
      </c>
      <c r="M309" s="6" t="s">
        <v>7072</v>
      </c>
      <c r="N309" s="7">
        <f ca="1">RAND()</f>
        <v>0.14227905311432332</v>
      </c>
      <c r="O309" s="8">
        <v>45204</v>
      </c>
      <c r="P309" s="8">
        <v>45205</v>
      </c>
      <c r="Q309" s="8">
        <v>45207</v>
      </c>
      <c r="R309" s="8">
        <v>45211</v>
      </c>
      <c r="S309" s="8">
        <v>45218</v>
      </c>
      <c r="T309" s="8">
        <v>45230</v>
      </c>
      <c r="U309" s="8">
        <v>45818</v>
      </c>
      <c r="V309" s="10">
        <f>COUNTA(O309:U309)</f>
        <v>7</v>
      </c>
      <c r="W309" s="11">
        <f>_xlfn.IFNA(INDEX(reading[[#This Row],[Memo 01]:[Memo 07]],MATCH(0,reading[[#This Row],[Memo 01]:[Memo 07]],-1)),"")</f>
        <v>45818</v>
      </c>
      <c r="X309" s="11">
        <f ca="1">IFERROR(reading[[#This Row],[Previous]]+OFFSET(reading[[#Headers],[Memo 01]],-1,MATCH(0,reading[[#This Row],[Memo 01]:[Memo 07]],-1)-1),"")</f>
        <v>55818</v>
      </c>
      <c r="Y309" s="10" t="str">
        <f ca="1">IF(reading[[#This Row],[Next]]&lt;&gt;"",IF(reading[[#This Row],[Next]]&gt;TODAY(),"OK",""),"")</f>
        <v>OK</v>
      </c>
      <c r="Z309" s="13">
        <v>3</v>
      </c>
      <c r="AA309" s="13">
        <v>3</v>
      </c>
      <c r="AB309" s="13">
        <v>3</v>
      </c>
      <c r="AC309" s="13">
        <v>3</v>
      </c>
      <c r="AD309" s="13">
        <v>3</v>
      </c>
      <c r="AE309" s="13">
        <v>3</v>
      </c>
      <c r="AF309" s="13">
        <v>3</v>
      </c>
      <c r="AG309" s="16">
        <f>IFERROR(SUMIF(reading[[#This Row],[1st]:[7th]],"&gt;0")/COUNTIF(reading[[#This Row],[1st]:[7th]],"&gt;0"),"")</f>
        <v>3</v>
      </c>
    </row>
    <row r="310" spans="1:33" hidden="1" x14ac:dyDescent="0.2">
      <c r="A310" s="4">
        <f>IF(B310=1,3,IF(D310=1,2,IF(F310=1,1,0)))</f>
        <v>0</v>
      </c>
      <c r="B310" s="4" t="str">
        <f>IF(C310=$L310,1,IF(C310="","",0))</f>
        <v/>
      </c>
      <c r="C310" s="42"/>
      <c r="D310" s="4" t="str">
        <f>IF(E310=$L310,1,IF(E310="","",0))</f>
        <v/>
      </c>
      <c r="E310" s="18"/>
      <c r="F310" s="4" t="str">
        <f>IF(G310=$L310,1,IF(G310="","",0))</f>
        <v/>
      </c>
      <c r="G310" s="14"/>
      <c r="H310" s="6">
        <v>765</v>
      </c>
      <c r="I310" s="15" t="s">
        <v>3120</v>
      </c>
      <c r="J310" s="6" t="s">
        <v>3900</v>
      </c>
      <c r="K310" s="6"/>
      <c r="L310" s="6" t="s">
        <v>884</v>
      </c>
      <c r="M310" s="6" t="s">
        <v>6874</v>
      </c>
      <c r="N310" s="7">
        <f ca="1">RAND()</f>
        <v>0.18292100543786638</v>
      </c>
      <c r="O310" s="8">
        <v>45203</v>
      </c>
      <c r="P310" s="8">
        <v>45204</v>
      </c>
      <c r="Q310" s="8">
        <v>45206</v>
      </c>
      <c r="R310" s="8">
        <v>45210</v>
      </c>
      <c r="S310" s="8">
        <v>45217</v>
      </c>
      <c r="T310" s="8">
        <v>45229</v>
      </c>
      <c r="U310" s="8">
        <v>45252</v>
      </c>
      <c r="V310" s="10">
        <f>COUNTA(O310:U310)</f>
        <v>7</v>
      </c>
      <c r="W310" s="11">
        <f>_xlfn.IFNA(INDEX(reading[[#This Row],[Memo 01]:[Memo 07]],MATCH(0,reading[[#This Row],[Memo 01]:[Memo 07]],-1)),"")</f>
        <v>45252</v>
      </c>
      <c r="X310" s="11">
        <f ca="1">IFERROR(reading[[#This Row],[Previous]]+OFFSET(reading[[#Headers],[Memo 01]],-1,MATCH(0,reading[[#This Row],[Memo 01]:[Memo 07]],-1)-1),"")</f>
        <v>55252</v>
      </c>
      <c r="Y310" s="10" t="str">
        <f ca="1">IF(reading[[#This Row],[Next]]&lt;&gt;"",IF(reading[[#This Row],[Next]]&gt;TODAY(),"OK",""),"")</f>
        <v>OK</v>
      </c>
      <c r="Z310" s="13">
        <v>3</v>
      </c>
      <c r="AA310" s="13">
        <v>2</v>
      </c>
      <c r="AB310" s="13">
        <v>3</v>
      </c>
      <c r="AC310" s="13">
        <v>3</v>
      </c>
      <c r="AD310" s="13">
        <v>3</v>
      </c>
      <c r="AE310" s="13">
        <v>2</v>
      </c>
      <c r="AF310" s="13">
        <v>3</v>
      </c>
      <c r="AG310" s="16">
        <f>IFERROR(SUMIF(reading[[#This Row],[1st]:[7th]],"&gt;0")/COUNTIF(reading[[#This Row],[1st]:[7th]],"&gt;0"),"")</f>
        <v>2.7142857142857144</v>
      </c>
    </row>
    <row r="311" spans="1:33" hidden="1" x14ac:dyDescent="0.2">
      <c r="A311" s="4">
        <f>IF(B311=1,3,IF(D311=1,2,IF(F311=1,1,0)))</f>
        <v>0</v>
      </c>
      <c r="B311" s="4" t="str">
        <f>IF(C311=$L311,1,IF(C311="","",0))</f>
        <v/>
      </c>
      <c r="C311" s="42"/>
      <c r="D311" s="4" t="str">
        <f>IF(E311=$L311,1,IF(E311="","",0))</f>
        <v/>
      </c>
      <c r="E311" s="23"/>
      <c r="F311" s="4" t="str">
        <f>IF(G311=$L311,1,IF(G311="","",0))</f>
        <v/>
      </c>
      <c r="G311" s="14"/>
      <c r="H311" s="6">
        <v>528</v>
      </c>
      <c r="I311" s="15" t="s">
        <v>3120</v>
      </c>
      <c r="J311" s="6" t="s">
        <v>3673</v>
      </c>
      <c r="K311" s="6"/>
      <c r="L311" s="6" t="s">
        <v>656</v>
      </c>
      <c r="M311" s="6" t="s">
        <v>6637</v>
      </c>
      <c r="N311" s="7">
        <f ca="1">RAND()</f>
        <v>0.85636488935269262</v>
      </c>
      <c r="O311" s="8">
        <v>45202</v>
      </c>
      <c r="P311" s="8">
        <v>45203</v>
      </c>
      <c r="Q311" s="8">
        <v>45205</v>
      </c>
      <c r="R311" s="8">
        <v>45209</v>
      </c>
      <c r="S311" s="8">
        <v>45216</v>
      </c>
      <c r="T311" s="8">
        <v>45228</v>
      </c>
      <c r="U311" s="8">
        <v>45252</v>
      </c>
      <c r="V311" s="10">
        <f>COUNTA(O311:U311)</f>
        <v>7</v>
      </c>
      <c r="W311" s="11">
        <f>_xlfn.IFNA(INDEX(reading[[#This Row],[Memo 01]:[Memo 07]],MATCH(0,reading[[#This Row],[Memo 01]:[Memo 07]],-1)),"")</f>
        <v>45252</v>
      </c>
      <c r="X311" s="11">
        <f ca="1">IFERROR(reading[[#This Row],[Previous]]+OFFSET(reading[[#Headers],[Memo 01]],-1,MATCH(0,reading[[#This Row],[Memo 01]:[Memo 07]],-1)-1),"")</f>
        <v>55252</v>
      </c>
      <c r="Y311" s="10" t="str">
        <f ca="1">IF(reading[[#This Row],[Next]]&lt;&gt;"",IF(reading[[#This Row],[Next]]&gt;TODAY(),"OK",""),"")</f>
        <v>OK</v>
      </c>
      <c r="Z311" s="13">
        <v>3</v>
      </c>
      <c r="AA311" s="13">
        <v>3</v>
      </c>
      <c r="AB311" s="13">
        <v>3</v>
      </c>
      <c r="AC311" s="13">
        <v>2</v>
      </c>
      <c r="AD311" s="13">
        <v>3</v>
      </c>
      <c r="AE311" s="13">
        <v>2</v>
      </c>
      <c r="AF311" s="13">
        <v>3</v>
      </c>
      <c r="AG311" s="16">
        <f>IFERROR(SUMIF(reading[[#This Row],[1st]:[7th]],"&gt;0")/COUNTIF(reading[[#This Row],[1st]:[7th]],"&gt;0"),"")</f>
        <v>2.7142857142857144</v>
      </c>
    </row>
    <row r="312" spans="1:33" hidden="1" x14ac:dyDescent="0.2">
      <c r="A312" s="4">
        <f>IF(B312=1,3,IF(D312=1,2,IF(F312=1,1,0)))</f>
        <v>0</v>
      </c>
      <c r="B312" s="4" t="str">
        <f>IF(C312=$L312,1,IF(C312="","",0))</f>
        <v/>
      </c>
      <c r="C312" s="20"/>
      <c r="D312" s="4" t="str">
        <f>IF(E312=$L312,1,IF(E312="","",0))</f>
        <v/>
      </c>
      <c r="E312" s="14"/>
      <c r="F312" s="4" t="str">
        <f>IF(G312=$L312,1,IF(G312="","",0))</f>
        <v/>
      </c>
      <c r="G312" s="14"/>
      <c r="H312" s="6">
        <v>315</v>
      </c>
      <c r="I312" s="15" t="s">
        <v>3120</v>
      </c>
      <c r="J312" s="6" t="s">
        <v>3462</v>
      </c>
      <c r="K312" s="6"/>
      <c r="L312" s="6" t="s">
        <v>450</v>
      </c>
      <c r="M312" s="6" t="s">
        <v>6424</v>
      </c>
      <c r="N312" s="7">
        <f ca="1">RAND()</f>
        <v>0.32600235645556896</v>
      </c>
      <c r="O312" s="8">
        <v>45200</v>
      </c>
      <c r="P312" s="8">
        <v>45200</v>
      </c>
      <c r="Q312" s="8">
        <v>45200</v>
      </c>
      <c r="R312" s="8">
        <v>45200</v>
      </c>
      <c r="S312" s="8">
        <v>45200</v>
      </c>
      <c r="T312" s="8">
        <v>45200</v>
      </c>
      <c r="U312" s="8">
        <v>45200</v>
      </c>
      <c r="V312" s="10">
        <f>COUNTA(O312:U312)</f>
        <v>7</v>
      </c>
      <c r="W312" s="11">
        <f>_xlfn.IFNA(INDEX(reading[[#This Row],[Memo 01]:[Memo 07]],MATCH(0,reading[[#This Row],[Memo 01]:[Memo 07]],-1)),"")</f>
        <v>45200</v>
      </c>
      <c r="X312" s="11">
        <f ca="1">IFERROR(reading[[#This Row],[Previous]]+OFFSET(reading[[#Headers],[Memo 01]],-1,MATCH(0,reading[[#This Row],[Memo 01]:[Memo 07]],-1)-1),"")</f>
        <v>55200</v>
      </c>
      <c r="Y312" s="10" t="str">
        <f ca="1">IF(reading[[#This Row],[Next]]&lt;&gt;"",IF(reading[[#This Row],[Next]]&gt;TODAY(),"OK",""),"")</f>
        <v>OK</v>
      </c>
      <c r="Z312" s="13">
        <v>3</v>
      </c>
      <c r="AA312" s="13"/>
      <c r="AB312" s="13"/>
      <c r="AC312" s="13"/>
      <c r="AD312" s="13"/>
      <c r="AE312" s="13"/>
      <c r="AF312" s="13"/>
      <c r="AG312" s="16">
        <f>IFERROR(SUMIF(reading[[#This Row],[1st]:[7th]],"&gt;0")/COUNTIF(reading[[#This Row],[1st]:[7th]],"&gt;0"),"")</f>
        <v>3</v>
      </c>
    </row>
    <row r="313" spans="1:33" hidden="1" x14ac:dyDescent="0.2">
      <c r="A313" s="4">
        <f>IF(B313=1,3,IF(D313=1,2,IF(F313=1,1,0)))</f>
        <v>0</v>
      </c>
      <c r="B313" s="4" t="str">
        <f>IF(C313=$L313,1,IF(C313="","",0))</f>
        <v/>
      </c>
      <c r="C313" s="42"/>
      <c r="D313" s="4" t="str">
        <f>IF(E313=$L313,1,IF(E313="","",0))</f>
        <v/>
      </c>
      <c r="E313" s="18"/>
      <c r="F313" s="4" t="str">
        <f>IF(G313=$L313,1,IF(G313="","",0))</f>
        <v/>
      </c>
      <c r="G313" s="14"/>
      <c r="H313" s="6">
        <v>541</v>
      </c>
      <c r="I313" s="15" t="s">
        <v>3120</v>
      </c>
      <c r="J313" s="6" t="s">
        <v>3686</v>
      </c>
      <c r="K313" s="6"/>
      <c r="L313" s="6" t="s">
        <v>669</v>
      </c>
      <c r="M313" s="6" t="s">
        <v>6650</v>
      </c>
      <c r="N313" s="7">
        <f ca="1">RAND()</f>
        <v>0.52536552306570716</v>
      </c>
      <c r="O313" s="8">
        <v>45202</v>
      </c>
      <c r="P313" s="8">
        <v>45203</v>
      </c>
      <c r="Q313" s="8">
        <v>45205</v>
      </c>
      <c r="R313" s="8">
        <v>45209</v>
      </c>
      <c r="S313" s="8">
        <v>45216</v>
      </c>
      <c r="T313" s="8">
        <v>45228</v>
      </c>
      <c r="U313" s="8">
        <v>45252</v>
      </c>
      <c r="V313" s="10">
        <f>COUNTA(O313:U313)</f>
        <v>7</v>
      </c>
      <c r="W313" s="11">
        <f>_xlfn.IFNA(INDEX(reading[[#This Row],[Memo 01]:[Memo 07]],MATCH(0,reading[[#This Row],[Memo 01]:[Memo 07]],-1)),"")</f>
        <v>45252</v>
      </c>
      <c r="X313" s="11">
        <f ca="1">IFERROR(reading[[#This Row],[Previous]]+OFFSET(reading[[#Headers],[Memo 01]],-1,MATCH(0,reading[[#This Row],[Memo 01]:[Memo 07]],-1)-1),"")</f>
        <v>55252</v>
      </c>
      <c r="Y313" s="10" t="str">
        <f ca="1">IF(reading[[#This Row],[Next]]&lt;&gt;"",IF(reading[[#This Row],[Next]]&gt;TODAY(),"OK",""),"")</f>
        <v>OK</v>
      </c>
      <c r="Z313" s="13">
        <v>3</v>
      </c>
      <c r="AA313" s="13">
        <v>3</v>
      </c>
      <c r="AB313" s="13">
        <v>2</v>
      </c>
      <c r="AC313" s="13">
        <v>3</v>
      </c>
      <c r="AD313" s="13">
        <v>2</v>
      </c>
      <c r="AE313" s="13">
        <v>3</v>
      </c>
      <c r="AF313" s="13">
        <v>3</v>
      </c>
      <c r="AG313" s="16">
        <f>IFERROR(SUMIF(reading[[#This Row],[1st]:[7th]],"&gt;0")/COUNTIF(reading[[#This Row],[1st]:[7th]],"&gt;0"),"")</f>
        <v>2.7142857142857144</v>
      </c>
    </row>
    <row r="314" spans="1:33" hidden="1" x14ac:dyDescent="0.2">
      <c r="A314" s="4">
        <f>IF(B314=1,3,IF(D314=1,2,IF(F314=1,1,0)))</f>
        <v>0</v>
      </c>
      <c r="B314" s="4" t="str">
        <f>IF(C314=$L314,1,IF(C314="","",0))</f>
        <v/>
      </c>
      <c r="C314" s="42"/>
      <c r="D314" s="4" t="str">
        <f>IF(E314=$L314,1,IF(E314="","",0))</f>
        <v/>
      </c>
      <c r="E314" s="18"/>
      <c r="F314" s="4" t="str">
        <f>IF(G314=$L314,1,IF(G314="","",0))</f>
        <v/>
      </c>
      <c r="G314" s="14"/>
      <c r="H314" s="6">
        <v>411</v>
      </c>
      <c r="I314" s="15" t="s">
        <v>3120</v>
      </c>
      <c r="J314" s="6" t="s">
        <v>3557</v>
      </c>
      <c r="K314" s="6"/>
      <c r="L314" s="6" t="s">
        <v>542</v>
      </c>
      <c r="M314" s="6" t="s">
        <v>6520</v>
      </c>
      <c r="N314" s="7">
        <f ca="1">RAND()</f>
        <v>0.77876352733972176</v>
      </c>
      <c r="O314" s="8">
        <v>45201</v>
      </c>
      <c r="P314" s="8">
        <v>45202</v>
      </c>
      <c r="Q314" s="8">
        <v>45204</v>
      </c>
      <c r="R314" s="8">
        <v>45208</v>
      </c>
      <c r="S314" s="8">
        <v>45215</v>
      </c>
      <c r="T314" s="8">
        <v>45227</v>
      </c>
      <c r="U314" s="8">
        <v>45783</v>
      </c>
      <c r="V314" s="10">
        <f>COUNTA(O314:U314)</f>
        <v>7</v>
      </c>
      <c r="W314" s="11">
        <f>_xlfn.IFNA(INDEX(reading[[#This Row],[Memo 01]:[Memo 07]],MATCH(0,reading[[#This Row],[Memo 01]:[Memo 07]],-1)),"")</f>
        <v>45783</v>
      </c>
      <c r="X314" s="11">
        <f ca="1">IFERROR(reading[[#This Row],[Previous]]+OFFSET(reading[[#Headers],[Memo 01]],-1,MATCH(0,reading[[#This Row],[Memo 01]:[Memo 07]],-1)-1),"")</f>
        <v>55783</v>
      </c>
      <c r="Y314" s="10" t="str">
        <f ca="1">IF(reading[[#This Row],[Next]]&lt;&gt;"",IF(reading[[#This Row],[Next]]&gt;TODAY(),"OK",""),"")</f>
        <v>OK</v>
      </c>
      <c r="Z314" s="13">
        <v>3</v>
      </c>
      <c r="AA314" s="13">
        <v>3</v>
      </c>
      <c r="AB314" s="13">
        <v>3</v>
      </c>
      <c r="AC314" s="13">
        <v>3</v>
      </c>
      <c r="AD314" s="13">
        <v>3</v>
      </c>
      <c r="AE314" s="13">
        <v>2</v>
      </c>
      <c r="AF314" s="13">
        <v>3</v>
      </c>
      <c r="AG314" s="16">
        <f>IFERROR(SUMIF(reading[[#This Row],[1st]:[7th]],"&gt;0")/COUNTIF(reading[[#This Row],[1st]:[7th]],"&gt;0"),"")</f>
        <v>2.8571428571428572</v>
      </c>
    </row>
    <row r="315" spans="1:33" hidden="1" x14ac:dyDescent="0.2">
      <c r="A315" s="4">
        <f>IF(B315=1,3,IF(D315=1,2,IF(F315=1,1,0)))</f>
        <v>0</v>
      </c>
      <c r="B315" s="4" t="str">
        <f>IF(C315=$L315,1,IF(C315="","",0))</f>
        <v/>
      </c>
      <c r="C315" s="42"/>
      <c r="D315" s="4" t="str">
        <f>IF(E315=$L315,1,IF(E315="","",0))</f>
        <v/>
      </c>
      <c r="E315" s="14"/>
      <c r="F315" s="4" t="str">
        <f>IF(G315=$L315,1,IF(G315="","",0))</f>
        <v/>
      </c>
      <c r="G315" s="14"/>
      <c r="H315" s="6">
        <v>1065</v>
      </c>
      <c r="I315" s="15" t="s">
        <v>3120</v>
      </c>
      <c r="J315" s="6" t="s">
        <v>4191</v>
      </c>
      <c r="K315" s="6"/>
      <c r="L315" s="6" t="s">
        <v>1173</v>
      </c>
      <c r="M315" s="6" t="s">
        <v>7173</v>
      </c>
      <c r="N315" s="7">
        <f ca="1">RAND()</f>
        <v>0.98178672571517323</v>
      </c>
      <c r="O315" s="8">
        <v>45205</v>
      </c>
      <c r="P315" s="8">
        <v>45206</v>
      </c>
      <c r="Q315" s="8">
        <v>45208</v>
      </c>
      <c r="R315" s="8">
        <v>45213</v>
      </c>
      <c r="S315" s="8">
        <v>45220</v>
      </c>
      <c r="T315" s="8">
        <v>45232</v>
      </c>
      <c r="U315" s="8">
        <v>45252</v>
      </c>
      <c r="V315" s="10">
        <f>COUNTA(O315:U315)</f>
        <v>7</v>
      </c>
      <c r="W315" s="11">
        <f>_xlfn.IFNA(INDEX(reading[[#This Row],[Memo 01]:[Memo 07]],MATCH(0,reading[[#This Row],[Memo 01]:[Memo 07]],-1)),"")</f>
        <v>45252</v>
      </c>
      <c r="X315" s="11">
        <f ca="1">IFERROR(reading[[#This Row],[Previous]]+OFFSET(reading[[#Headers],[Memo 01]],-1,MATCH(0,reading[[#This Row],[Memo 01]:[Memo 07]],-1)-1),"")</f>
        <v>55252</v>
      </c>
      <c r="Y315" s="10" t="str">
        <f ca="1">IF(reading[[#This Row],[Next]]&lt;&gt;"",IF(reading[[#This Row],[Next]]&gt;TODAY(),"OK",""),"")</f>
        <v>OK</v>
      </c>
      <c r="Z315" s="13">
        <v>3</v>
      </c>
      <c r="AA315" s="13">
        <v>3</v>
      </c>
      <c r="AB315" s="13">
        <v>3</v>
      </c>
      <c r="AC315" s="13">
        <v>2</v>
      </c>
      <c r="AD315" s="13">
        <v>3</v>
      </c>
      <c r="AE315" s="13">
        <v>2</v>
      </c>
      <c r="AF315" s="13">
        <v>3</v>
      </c>
      <c r="AG315" s="16">
        <f>IFERROR(SUMIF(reading[[#This Row],[1st]:[7th]],"&gt;0")/COUNTIF(reading[[#This Row],[1st]:[7th]],"&gt;0"),"")</f>
        <v>2.7142857142857144</v>
      </c>
    </row>
    <row r="316" spans="1:33" hidden="1" x14ac:dyDescent="0.2">
      <c r="A316" s="4">
        <f>IF(B316=1,3,IF(D316=1,2,IF(F316=1,1,0)))</f>
        <v>0</v>
      </c>
      <c r="B316" s="4" t="str">
        <f>IF(C316=$L316,1,IF(C316="","",0))</f>
        <v/>
      </c>
      <c r="C316" s="42"/>
      <c r="D316" s="4" t="str">
        <f>IF(E316=$L316,1,IF(E316="","",0))</f>
        <v/>
      </c>
      <c r="E316" s="14"/>
      <c r="F316" s="4" t="str">
        <f>IF(G316=$L316,1,IF(G316="","",0))</f>
        <v/>
      </c>
      <c r="G316" s="14"/>
      <c r="H316" s="6">
        <v>2564</v>
      </c>
      <c r="I316" s="15" t="s">
        <v>3120</v>
      </c>
      <c r="J316" s="6" t="s">
        <v>5624</v>
      </c>
      <c r="K316" s="6" t="s">
        <v>3139</v>
      </c>
      <c r="L316" s="6" t="s">
        <v>2609</v>
      </c>
      <c r="M316" s="6" t="s">
        <v>8669</v>
      </c>
      <c r="N316" s="7">
        <f ca="1">RAND()</f>
        <v>0.82527514542411584</v>
      </c>
      <c r="O316" s="8">
        <v>45219</v>
      </c>
      <c r="P316" s="8">
        <v>45220</v>
      </c>
      <c r="Q316" s="8">
        <v>45222</v>
      </c>
      <c r="R316" s="8">
        <v>45226</v>
      </c>
      <c r="S316" s="8">
        <v>45233</v>
      </c>
      <c r="T316" s="8">
        <v>45783</v>
      </c>
      <c r="U316" s="8">
        <v>45818</v>
      </c>
      <c r="V316" s="10">
        <f>COUNTA(O316:U316)</f>
        <v>7</v>
      </c>
      <c r="W316" s="11">
        <f>_xlfn.IFNA(INDEX(reading[[#This Row],[Memo 01]:[Memo 07]],MATCH(0,reading[[#This Row],[Memo 01]:[Memo 07]],-1)),"")</f>
        <v>45818</v>
      </c>
      <c r="X316" s="11">
        <f ca="1">IFERROR(reading[[#This Row],[Previous]]+OFFSET(reading[[#Headers],[Memo 01]],-1,MATCH(0,reading[[#This Row],[Memo 01]:[Memo 07]],-1)-1),"")</f>
        <v>55818</v>
      </c>
      <c r="Y316" s="10" t="str">
        <f ca="1">IF(reading[[#This Row],[Next]]&lt;&gt;"",IF(reading[[#This Row],[Next]]&gt;TODAY(),"OK",""),"")</f>
        <v>OK</v>
      </c>
      <c r="Z316" s="13">
        <v>3</v>
      </c>
      <c r="AA316" s="13">
        <v>3</v>
      </c>
      <c r="AB316" s="13">
        <v>3</v>
      </c>
      <c r="AC316" s="13">
        <v>3</v>
      </c>
      <c r="AD316" s="13">
        <v>3</v>
      </c>
      <c r="AE316" s="13">
        <v>3</v>
      </c>
      <c r="AF316" s="13">
        <v>3</v>
      </c>
      <c r="AG316" s="16">
        <f>IFERROR(SUMIF(reading[[#This Row],[1st]:[7th]],"&gt;0")/COUNTIF(reading[[#This Row],[1st]:[7th]],"&gt;0"),"")</f>
        <v>3</v>
      </c>
    </row>
    <row r="317" spans="1:33" hidden="1" x14ac:dyDescent="0.2">
      <c r="A317" s="4">
        <f>IF(B317=1,3,IF(D317=1,2,IF(F317=1,1,0)))</f>
        <v>0</v>
      </c>
      <c r="B317" s="4" t="str">
        <f>IF(C317=$L317,1,IF(C317="","",0))</f>
        <v/>
      </c>
      <c r="C317" s="20"/>
      <c r="D317" s="4" t="str">
        <f>IF(E317=$L317,1,IF(E317="","",0))</f>
        <v/>
      </c>
      <c r="E317" s="14"/>
      <c r="F317" s="4" t="str">
        <f>IF(G317=$L317,1,IF(G317="","",0))</f>
        <v/>
      </c>
      <c r="G317" s="14"/>
      <c r="H317" s="6">
        <v>320</v>
      </c>
      <c r="I317" s="15" t="s">
        <v>3120</v>
      </c>
      <c r="J317" s="6" t="s">
        <v>3467</v>
      </c>
      <c r="K317" s="6"/>
      <c r="L317" s="6" t="s">
        <v>455</v>
      </c>
      <c r="M317" s="6" t="s">
        <v>6429</v>
      </c>
      <c r="N317" s="7">
        <f ca="1">RAND()</f>
        <v>0.8027996489688678</v>
      </c>
      <c r="O317" s="8">
        <v>45200</v>
      </c>
      <c r="P317" s="8">
        <v>45200</v>
      </c>
      <c r="Q317" s="8">
        <v>45200</v>
      </c>
      <c r="R317" s="8">
        <v>45200</v>
      </c>
      <c r="S317" s="8">
        <v>45200</v>
      </c>
      <c r="T317" s="8">
        <v>45200</v>
      </c>
      <c r="U317" s="8">
        <v>45200</v>
      </c>
      <c r="V317" s="10">
        <f>COUNTA(O317:U317)</f>
        <v>7</v>
      </c>
      <c r="W317" s="11">
        <f>_xlfn.IFNA(INDEX(reading[[#This Row],[Memo 01]:[Memo 07]],MATCH(0,reading[[#This Row],[Memo 01]:[Memo 07]],-1)),"")</f>
        <v>45200</v>
      </c>
      <c r="X317" s="11">
        <f ca="1">IFERROR(reading[[#This Row],[Previous]]+OFFSET(reading[[#Headers],[Memo 01]],-1,MATCH(0,reading[[#This Row],[Memo 01]:[Memo 07]],-1)-1),"")</f>
        <v>55200</v>
      </c>
      <c r="Y317" s="10" t="str">
        <f ca="1">IF(reading[[#This Row],[Next]]&lt;&gt;"",IF(reading[[#This Row],[Next]]&gt;TODAY(),"OK",""),"")</f>
        <v>OK</v>
      </c>
      <c r="Z317" s="13">
        <v>3</v>
      </c>
      <c r="AA317" s="13"/>
      <c r="AB317" s="13"/>
      <c r="AC317" s="13"/>
      <c r="AD317" s="13"/>
      <c r="AE317" s="13"/>
      <c r="AF317" s="13"/>
      <c r="AG317" s="16">
        <f>IFERROR(SUMIF(reading[[#This Row],[1st]:[7th]],"&gt;0")/COUNTIF(reading[[#This Row],[1st]:[7th]],"&gt;0"),"")</f>
        <v>3</v>
      </c>
    </row>
    <row r="318" spans="1:33" hidden="1" x14ac:dyDescent="0.2">
      <c r="A318" s="4">
        <f>IF(B318=1,3,IF(D318=1,2,IF(F318=1,1,0)))</f>
        <v>0</v>
      </c>
      <c r="B318" s="4" t="str">
        <f>IF(C318=$L318,1,IF(C318="","",0))</f>
        <v/>
      </c>
      <c r="C318" s="42"/>
      <c r="D318" s="4" t="str">
        <f>IF(E318=$L318,1,IF(E318="","",0))</f>
        <v/>
      </c>
      <c r="E318" s="14"/>
      <c r="F318" s="4" t="str">
        <f>IF(G318=$L318,1,IF(G318="","",0))</f>
        <v/>
      </c>
      <c r="G318" s="14"/>
      <c r="H318" s="6">
        <v>3058</v>
      </c>
      <c r="I318" s="15" t="s">
        <v>3120</v>
      </c>
      <c r="J318" s="6" t="s">
        <v>6079</v>
      </c>
      <c r="K318" s="6"/>
      <c r="L318" s="6" t="s">
        <v>3084</v>
      </c>
      <c r="M318" s="6" t="s">
        <v>9161</v>
      </c>
      <c r="N318" s="7">
        <f ca="1">RAND()</f>
        <v>0.59518667968908712</v>
      </c>
      <c r="O318" s="8">
        <v>45224</v>
      </c>
      <c r="P318" s="8">
        <v>45225</v>
      </c>
      <c r="Q318" s="8">
        <v>45227</v>
      </c>
      <c r="R318" s="8">
        <v>45231</v>
      </c>
      <c r="S318" s="8">
        <v>45251</v>
      </c>
      <c r="T318" s="8">
        <v>45783</v>
      </c>
      <c r="U318" s="8">
        <v>45824</v>
      </c>
      <c r="V318" s="10">
        <f>COUNTA(O318:U318)</f>
        <v>7</v>
      </c>
      <c r="W318" s="11">
        <f>_xlfn.IFNA(INDEX(reading[[#This Row],[Memo 01]:[Memo 07]],MATCH(0,reading[[#This Row],[Memo 01]:[Memo 07]],-1)),"")</f>
        <v>45824</v>
      </c>
      <c r="X318" s="11">
        <f ca="1">IFERROR(reading[[#This Row],[Previous]]+OFFSET(reading[[#Headers],[Memo 01]],-1,MATCH(0,reading[[#This Row],[Memo 01]:[Memo 07]],-1)-1),"")</f>
        <v>55824</v>
      </c>
      <c r="Y318" s="10" t="str">
        <f ca="1">IF(reading[[#This Row],[Next]]&lt;&gt;"",IF(reading[[#This Row],[Next]]&gt;TODAY(),"OK",""),"")</f>
        <v>OK</v>
      </c>
      <c r="Z318" s="13">
        <v>3</v>
      </c>
      <c r="AA318" s="13">
        <v>3</v>
      </c>
      <c r="AB318" s="13">
        <v>3</v>
      </c>
      <c r="AC318" s="13">
        <v>3</v>
      </c>
      <c r="AD318" s="13">
        <v>3</v>
      </c>
      <c r="AE318" s="13">
        <v>3</v>
      </c>
      <c r="AF318" s="13">
        <v>3</v>
      </c>
      <c r="AG318" s="16">
        <f>IFERROR(SUMIF(reading[[#This Row],[1st]:[7th]],"&gt;0")/COUNTIF(reading[[#This Row],[1st]:[7th]],"&gt;0"),"")</f>
        <v>3</v>
      </c>
    </row>
    <row r="319" spans="1:33" hidden="1" x14ac:dyDescent="0.2">
      <c r="A319" s="4">
        <f>IF(B319=1,3,IF(D319=1,2,IF(F319=1,1,0)))</f>
        <v>0</v>
      </c>
      <c r="B319" s="4" t="str">
        <f>IF(C319=$L319,1,IF(C319="","",0))</f>
        <v/>
      </c>
      <c r="C319" s="20"/>
      <c r="D319" s="4" t="str">
        <f>IF(E319=$L319,1,IF(E319="","",0))</f>
        <v/>
      </c>
      <c r="E319" s="14"/>
      <c r="F319" s="4" t="str">
        <f>IF(G319=$L319,1,IF(G319="","",0))</f>
        <v/>
      </c>
      <c r="G319" s="14"/>
      <c r="H319" s="6">
        <v>322</v>
      </c>
      <c r="I319" s="15" t="s">
        <v>3120</v>
      </c>
      <c r="J319" s="6" t="s">
        <v>3469</v>
      </c>
      <c r="K319" s="6"/>
      <c r="L319" s="6" t="s">
        <v>457</v>
      </c>
      <c r="M319" s="6" t="s">
        <v>6431</v>
      </c>
      <c r="N319" s="7">
        <f ca="1">RAND()</f>
        <v>0.58859379592767924</v>
      </c>
      <c r="O319" s="8">
        <v>45200</v>
      </c>
      <c r="P319" s="8">
        <v>45200</v>
      </c>
      <c r="Q319" s="8">
        <v>45200</v>
      </c>
      <c r="R319" s="8">
        <v>45200</v>
      </c>
      <c r="S319" s="8">
        <v>45200</v>
      </c>
      <c r="T319" s="8">
        <v>45200</v>
      </c>
      <c r="U319" s="8">
        <v>45200</v>
      </c>
      <c r="V319" s="10">
        <f>COUNTA(O319:U319)</f>
        <v>7</v>
      </c>
      <c r="W319" s="11">
        <f>_xlfn.IFNA(INDEX(reading[[#This Row],[Memo 01]:[Memo 07]],MATCH(0,reading[[#This Row],[Memo 01]:[Memo 07]],-1)),"")</f>
        <v>45200</v>
      </c>
      <c r="X319" s="11">
        <f ca="1">IFERROR(reading[[#This Row],[Previous]]+OFFSET(reading[[#Headers],[Memo 01]],-1,MATCH(0,reading[[#This Row],[Memo 01]:[Memo 07]],-1)-1),"")</f>
        <v>55200</v>
      </c>
      <c r="Y319" s="10" t="str">
        <f ca="1">IF(reading[[#This Row],[Next]]&lt;&gt;"",IF(reading[[#This Row],[Next]]&gt;TODAY(),"OK",""),"")</f>
        <v>OK</v>
      </c>
      <c r="Z319" s="13">
        <v>3</v>
      </c>
      <c r="AA319" s="13"/>
      <c r="AB319" s="13"/>
      <c r="AC319" s="13"/>
      <c r="AD319" s="13"/>
      <c r="AE319" s="13"/>
      <c r="AF319" s="13"/>
      <c r="AG319" s="16">
        <f>IFERROR(SUMIF(reading[[#This Row],[1st]:[7th]],"&gt;0")/COUNTIF(reading[[#This Row],[1st]:[7th]],"&gt;0"),"")</f>
        <v>3</v>
      </c>
    </row>
    <row r="320" spans="1:33" hidden="1" x14ac:dyDescent="0.2">
      <c r="A320" s="4">
        <f>IF(B320=1,3,IF(D320=1,2,IF(F320=1,1,0)))</f>
        <v>0</v>
      </c>
      <c r="B320" s="4" t="str">
        <f>IF(C320=$L320,1,IF(C320="","",0))</f>
        <v/>
      </c>
      <c r="C320" s="42"/>
      <c r="D320" s="4" t="str">
        <f>IF(E320=$L320,1,IF(E320="","",0))</f>
        <v/>
      </c>
      <c r="E320" s="23"/>
      <c r="F320" s="4" t="str">
        <f>IF(G320=$L320,1,IF(G320="","",0))</f>
        <v/>
      </c>
      <c r="G320" s="14"/>
      <c r="H320" s="6">
        <v>1244</v>
      </c>
      <c r="I320" s="15" t="s">
        <v>3120</v>
      </c>
      <c r="J320" s="6" t="s">
        <v>4361</v>
      </c>
      <c r="K320" s="24" t="s">
        <v>3142</v>
      </c>
      <c r="L320" s="6" t="s">
        <v>1344</v>
      </c>
      <c r="M320" s="6" t="s">
        <v>7351</v>
      </c>
      <c r="N320" s="7">
        <f ca="1">RAND()</f>
        <v>0.28688213815362795</v>
      </c>
      <c r="O320" s="8">
        <v>45206</v>
      </c>
      <c r="P320" s="8">
        <v>45207</v>
      </c>
      <c r="Q320" s="8">
        <v>45209</v>
      </c>
      <c r="R320" s="8">
        <v>45213</v>
      </c>
      <c r="S320" s="8">
        <v>45220</v>
      </c>
      <c r="T320" s="8">
        <v>45232</v>
      </c>
      <c r="U320" s="8">
        <v>45777</v>
      </c>
      <c r="V320" s="10">
        <f>COUNTA(O320:U320)</f>
        <v>7</v>
      </c>
      <c r="W320" s="11">
        <f>_xlfn.IFNA(INDEX(reading[[#This Row],[Memo 01]:[Memo 07]],MATCH(0,reading[[#This Row],[Memo 01]:[Memo 07]],-1)),"")</f>
        <v>45777</v>
      </c>
      <c r="X320" s="11">
        <f ca="1">IFERROR(reading[[#This Row],[Previous]]+OFFSET(reading[[#Headers],[Memo 01]],-1,MATCH(0,reading[[#This Row],[Memo 01]:[Memo 07]],-1)-1),"")</f>
        <v>55777</v>
      </c>
      <c r="Y320" s="10" t="str">
        <f ca="1">IF(reading[[#This Row],[Next]]&lt;&gt;"",IF(reading[[#This Row],[Next]]&gt;TODAY(),"OK",""),"")</f>
        <v>OK</v>
      </c>
      <c r="Z320" s="13">
        <v>3</v>
      </c>
      <c r="AA320" s="13">
        <v>3</v>
      </c>
      <c r="AB320" s="13">
        <v>2</v>
      </c>
      <c r="AC320" s="13">
        <v>3</v>
      </c>
      <c r="AD320" s="13">
        <v>2</v>
      </c>
      <c r="AE320" s="13">
        <v>3</v>
      </c>
      <c r="AF320" s="13">
        <v>3</v>
      </c>
      <c r="AG320" s="16">
        <f>IFERROR(SUMIF(reading[[#This Row],[1st]:[7th]],"&gt;0")/COUNTIF(reading[[#This Row],[1st]:[7th]],"&gt;0"),"")</f>
        <v>2.7142857142857144</v>
      </c>
    </row>
    <row r="321" spans="1:33" hidden="1" x14ac:dyDescent="0.2">
      <c r="A321" s="4">
        <f>IF(B321=1,3,IF(D321=1,2,IF(F321=1,1,0)))</f>
        <v>0</v>
      </c>
      <c r="B321" s="4" t="str">
        <f>IF(C321=$L321,1,IF(C321="","",0))</f>
        <v/>
      </c>
      <c r="C321" s="42"/>
      <c r="D321" s="4" t="str">
        <f>IF(E321=$L321,1,IF(E321="","",0))</f>
        <v/>
      </c>
      <c r="E321" s="14"/>
      <c r="F321" s="4" t="str">
        <f>IF(G321=$L321,1,IF(G321="","",0))</f>
        <v/>
      </c>
      <c r="G321" s="14"/>
      <c r="H321" s="6">
        <v>1673</v>
      </c>
      <c r="I321" s="15" t="s">
        <v>3120</v>
      </c>
      <c r="J321" s="6" t="s">
        <v>4784</v>
      </c>
      <c r="K321" s="6"/>
      <c r="L321" s="6" t="s">
        <v>49</v>
      </c>
      <c r="M321" s="6" t="s">
        <v>7779</v>
      </c>
      <c r="N321" s="7">
        <f ca="1">RAND()</f>
        <v>0.38455885890180808</v>
      </c>
      <c r="O321" s="8">
        <v>45210</v>
      </c>
      <c r="P321" s="8">
        <v>45211</v>
      </c>
      <c r="Q321" s="8">
        <v>45213</v>
      </c>
      <c r="R321" s="8">
        <v>45217</v>
      </c>
      <c r="S321" s="8">
        <v>45224</v>
      </c>
      <c r="T321" s="8">
        <v>45236</v>
      </c>
      <c r="U321" s="8">
        <v>45818</v>
      </c>
      <c r="V321" s="10">
        <f>COUNTA(O321:U321)</f>
        <v>7</v>
      </c>
      <c r="W321" s="11">
        <f>_xlfn.IFNA(INDEX(reading[[#This Row],[Memo 01]:[Memo 07]],MATCH(0,reading[[#This Row],[Memo 01]:[Memo 07]],-1)),"")</f>
        <v>45818</v>
      </c>
      <c r="X321" s="11">
        <f ca="1">IFERROR(reading[[#This Row],[Previous]]+OFFSET(reading[[#Headers],[Memo 01]],-1,MATCH(0,reading[[#This Row],[Memo 01]:[Memo 07]],-1)-1),"")</f>
        <v>55818</v>
      </c>
      <c r="Y321" s="10" t="str">
        <f ca="1">IF(reading[[#This Row],[Next]]&lt;&gt;"",IF(reading[[#This Row],[Next]]&gt;TODAY(),"OK",""),"")</f>
        <v>OK</v>
      </c>
      <c r="Z321" s="13">
        <v>3</v>
      </c>
      <c r="AA321" s="13">
        <v>3</v>
      </c>
      <c r="AB321" s="13">
        <v>3</v>
      </c>
      <c r="AC321" s="13">
        <v>3</v>
      </c>
      <c r="AD321" s="13">
        <v>3</v>
      </c>
      <c r="AE321" s="13">
        <v>3</v>
      </c>
      <c r="AF321" s="13">
        <v>3</v>
      </c>
      <c r="AG321" s="16">
        <f>IFERROR(SUMIF(reading[[#This Row],[1st]:[7th]],"&gt;0")/COUNTIF(reading[[#This Row],[1st]:[7th]],"&gt;0"),"")</f>
        <v>3</v>
      </c>
    </row>
    <row r="322" spans="1:33" hidden="1" x14ac:dyDescent="0.2">
      <c r="A322" s="4">
        <f>IF(B322=1,3,IF(D322=1,2,IF(F322=1,1,0)))</f>
        <v>0</v>
      </c>
      <c r="B322" s="4" t="str">
        <f>IF(C322=$L322,1,IF(C322="","",0))</f>
        <v/>
      </c>
      <c r="C322" s="42"/>
      <c r="D322" s="4" t="str">
        <f>IF(E322=$L322,1,IF(E322="","",0))</f>
        <v/>
      </c>
      <c r="E322" s="43"/>
      <c r="F322" s="4" t="str">
        <f>IF(G322=$L322,1,IF(G322="","",0))</f>
        <v/>
      </c>
      <c r="G322" s="43"/>
      <c r="H322" s="6">
        <v>2455</v>
      </c>
      <c r="I322" s="15" t="s">
        <v>3120</v>
      </c>
      <c r="J322" s="6" t="s">
        <v>5525</v>
      </c>
      <c r="K322" s="6"/>
      <c r="L322" s="6" t="s">
        <v>2503</v>
      </c>
      <c r="M322" s="6" t="s">
        <v>8560</v>
      </c>
      <c r="N322" s="7">
        <f ca="1">RAND()</f>
        <v>0.48613063432805503</v>
      </c>
      <c r="O322" s="8">
        <v>45218</v>
      </c>
      <c r="P322" s="8">
        <v>45219</v>
      </c>
      <c r="Q322" s="8">
        <v>45221</v>
      </c>
      <c r="R322" s="8">
        <v>45225</v>
      </c>
      <c r="S322" s="8">
        <v>45232</v>
      </c>
      <c r="T322" s="8">
        <v>45248</v>
      </c>
      <c r="U322" s="8">
        <v>45811</v>
      </c>
      <c r="V322" s="10">
        <f>COUNTA(O322:U322)</f>
        <v>7</v>
      </c>
      <c r="W322" s="11">
        <f>_xlfn.IFNA(INDEX(reading[[#This Row],[Memo 01]:[Memo 07]],MATCH(0,reading[[#This Row],[Memo 01]:[Memo 07]],-1)),"")</f>
        <v>45811</v>
      </c>
      <c r="X322" s="11">
        <f ca="1">IFERROR(reading[[#This Row],[Previous]]+OFFSET(reading[[#Headers],[Memo 01]],-1,MATCH(0,reading[[#This Row],[Memo 01]:[Memo 07]],-1)-1),"")</f>
        <v>55811</v>
      </c>
      <c r="Y322" s="10" t="str">
        <f ca="1">IF(reading[[#This Row],[Next]]&lt;&gt;"",IF(reading[[#This Row],[Next]]&gt;TODAY(),"OK",""),"")</f>
        <v>OK</v>
      </c>
      <c r="Z322" s="13">
        <v>3</v>
      </c>
      <c r="AA322" s="13">
        <v>3</v>
      </c>
      <c r="AB322" s="13">
        <v>1</v>
      </c>
      <c r="AC322" s="13">
        <v>2</v>
      </c>
      <c r="AD322" s="13">
        <v>3</v>
      </c>
      <c r="AE322" s="13">
        <v>3</v>
      </c>
      <c r="AF322" s="13">
        <v>1</v>
      </c>
      <c r="AG322" s="16">
        <f>IFERROR(SUMIF(reading[[#This Row],[1st]:[7th]],"&gt;0")/COUNTIF(reading[[#This Row],[1st]:[7th]],"&gt;0"),"")</f>
        <v>2.2857142857142856</v>
      </c>
    </row>
    <row r="323" spans="1:33" hidden="1" x14ac:dyDescent="0.2">
      <c r="A323" s="4">
        <f>IF(B323=1,3,IF(D323=1,2,IF(F323=1,1,0)))</f>
        <v>0</v>
      </c>
      <c r="B323" s="4" t="str">
        <f>IF(C323=$L323,1,IF(C323="","",0))</f>
        <v/>
      </c>
      <c r="C323" s="42"/>
      <c r="D323" s="4" t="str">
        <f>IF(E323=$L323,1,IF(E323="","",0))</f>
        <v/>
      </c>
      <c r="E323" s="23"/>
      <c r="F323" s="4" t="str">
        <f>IF(G323=$L323,1,IF(G323="","",0))</f>
        <v/>
      </c>
      <c r="G323" s="14"/>
      <c r="H323" s="6">
        <v>1499</v>
      </c>
      <c r="I323" s="15" t="s">
        <v>3120</v>
      </c>
      <c r="J323" s="6" t="s">
        <v>4613</v>
      </c>
      <c r="K323" s="24" t="s">
        <v>3142</v>
      </c>
      <c r="L323" s="6" t="s">
        <v>1585</v>
      </c>
      <c r="M323" s="6" t="s">
        <v>7606</v>
      </c>
      <c r="N323" s="7">
        <f ca="1">RAND()</f>
        <v>0.84404023373749981</v>
      </c>
      <c r="O323" s="8">
        <v>45209</v>
      </c>
      <c r="P323" s="8">
        <v>45210</v>
      </c>
      <c r="Q323" s="8">
        <v>45213</v>
      </c>
      <c r="R323" s="8">
        <v>45217</v>
      </c>
      <c r="S323" s="8">
        <v>45224</v>
      </c>
      <c r="T323" s="8">
        <v>45236</v>
      </c>
      <c r="U323" s="8">
        <v>45792</v>
      </c>
      <c r="V323" s="10">
        <f>COUNTA(O323:U323)</f>
        <v>7</v>
      </c>
      <c r="W323" s="11">
        <f>_xlfn.IFNA(INDEX(reading[[#This Row],[Memo 01]:[Memo 07]],MATCH(0,reading[[#This Row],[Memo 01]:[Memo 07]],-1)),"")</f>
        <v>45792</v>
      </c>
      <c r="X323" s="11">
        <f ca="1">IFERROR(reading[[#This Row],[Previous]]+OFFSET(reading[[#Headers],[Memo 01]],-1,MATCH(0,reading[[#This Row],[Memo 01]:[Memo 07]],-1)-1),"")</f>
        <v>55792</v>
      </c>
      <c r="Y323" s="10" t="str">
        <f ca="1">IF(reading[[#This Row],[Next]]&lt;&gt;"",IF(reading[[#This Row],[Next]]&gt;TODAY(),"OK",""),"")</f>
        <v>OK</v>
      </c>
      <c r="Z323" s="13">
        <v>3</v>
      </c>
      <c r="AA323" s="13">
        <v>2</v>
      </c>
      <c r="AB323" s="13">
        <v>2</v>
      </c>
      <c r="AC323" s="13">
        <v>2</v>
      </c>
      <c r="AD323" s="13">
        <v>2</v>
      </c>
      <c r="AE323" s="13">
        <v>3</v>
      </c>
      <c r="AF323" s="13">
        <v>3</v>
      </c>
      <c r="AG323" s="16">
        <f>IFERROR(SUMIF(reading[[#This Row],[1st]:[7th]],"&gt;0")/COUNTIF(reading[[#This Row],[1st]:[7th]],"&gt;0"),"")</f>
        <v>2.4285714285714284</v>
      </c>
    </row>
    <row r="324" spans="1:33" hidden="1" x14ac:dyDescent="0.2">
      <c r="A324" s="4">
        <f>IF(B324=1,3,IF(D324=1,2,IF(F324=1,1,0)))</f>
        <v>0</v>
      </c>
      <c r="B324" s="4" t="str">
        <f>IF(C324=$L324,1,IF(C324="","",0))</f>
        <v/>
      </c>
      <c r="C324" s="42"/>
      <c r="D324" s="4" t="str">
        <f>IF(E324=$L324,1,IF(E324="","",0))</f>
        <v/>
      </c>
      <c r="E324" s="23"/>
      <c r="F324" s="4" t="str">
        <f>IF(G324=$L324,1,IF(G324="","",0))</f>
        <v/>
      </c>
      <c r="G324" s="23"/>
      <c r="H324" s="6">
        <v>2249</v>
      </c>
      <c r="I324" s="15" t="s">
        <v>3120</v>
      </c>
      <c r="J324" s="6" t="s">
        <v>5333</v>
      </c>
      <c r="K324" s="6"/>
      <c r="L324" s="6" t="s">
        <v>2311</v>
      </c>
      <c r="M324" s="6" t="s">
        <v>8354</v>
      </c>
      <c r="N324" s="7">
        <f ca="1">RAND()</f>
        <v>0.84839689685567909</v>
      </c>
      <c r="O324" s="8">
        <v>45216</v>
      </c>
      <c r="P324" s="8">
        <v>45217</v>
      </c>
      <c r="Q324" s="8">
        <v>45219</v>
      </c>
      <c r="R324" s="8">
        <v>45223</v>
      </c>
      <c r="S324" s="8">
        <v>45230</v>
      </c>
      <c r="T324" s="8">
        <v>45811</v>
      </c>
      <c r="U324" s="8"/>
      <c r="V324" s="10">
        <f>COUNTA(O324:U324)</f>
        <v>6</v>
      </c>
      <c r="W324" s="11">
        <f>_xlfn.IFNA(INDEX(reading[[#This Row],[Memo 01]:[Memo 07]],MATCH(0,reading[[#This Row],[Memo 01]:[Memo 07]],-1)),"")</f>
        <v>45811</v>
      </c>
      <c r="X324" s="11">
        <f ca="1">IFERROR(reading[[#This Row],[Previous]]+OFFSET(reading[[#Headers],[Memo 01]],-1,MATCH(0,reading[[#This Row],[Memo 01]:[Memo 07]],-1)-1),"")</f>
        <v>45831</v>
      </c>
      <c r="Y324" s="10" t="str">
        <f ca="1">IF(reading[[#This Row],[Next]]&lt;&gt;"",IF(reading[[#This Row],[Next]]&gt;TODAY(),"OK",""),"")</f>
        <v/>
      </c>
      <c r="Z324" s="13">
        <v>3</v>
      </c>
      <c r="AA324" s="13">
        <v>3</v>
      </c>
      <c r="AB324" s="13">
        <v>3</v>
      </c>
      <c r="AC324" s="13">
        <v>3</v>
      </c>
      <c r="AD324" s="13">
        <v>3</v>
      </c>
      <c r="AE324" s="13">
        <v>1</v>
      </c>
      <c r="AF324" s="13"/>
      <c r="AG324" s="16">
        <f>IFERROR(SUMIF(reading[[#This Row],[1st]:[7th]],"&gt;0")/COUNTIF(reading[[#This Row],[1st]:[7th]],"&gt;0"),"")</f>
        <v>2.6666666666666665</v>
      </c>
    </row>
    <row r="325" spans="1:33" hidden="1" x14ac:dyDescent="0.2">
      <c r="A325" s="4">
        <f>IF(B325=1,3,IF(D325=1,2,IF(F325=1,1,0)))</f>
        <v>0</v>
      </c>
      <c r="B325" s="4" t="str">
        <f>IF(C325=$L325,1,IF(C325="","",0))</f>
        <v/>
      </c>
      <c r="C325" s="42"/>
      <c r="D325" s="4" t="str">
        <f>IF(E325=$L325,1,IF(E325="","",0))</f>
        <v/>
      </c>
      <c r="E325" s="14"/>
      <c r="F325" s="4" t="str">
        <f>IF(G325=$L325,1,IF(G325="","",0))</f>
        <v/>
      </c>
      <c r="G325" s="14"/>
      <c r="H325" s="6">
        <v>1608</v>
      </c>
      <c r="I325" s="15" t="s">
        <v>3120</v>
      </c>
      <c r="J325" s="6" t="s">
        <v>4720</v>
      </c>
      <c r="K325" s="6"/>
      <c r="L325" s="6" t="s">
        <v>1690</v>
      </c>
      <c r="M325" s="6" t="s">
        <v>7714</v>
      </c>
      <c r="N325" s="7">
        <f ca="1">RAND()</f>
        <v>0.64160689747750077</v>
      </c>
      <c r="O325" s="8">
        <v>45210</v>
      </c>
      <c r="P325" s="8">
        <v>45211</v>
      </c>
      <c r="Q325" s="8">
        <v>45213</v>
      </c>
      <c r="R325" s="8">
        <v>45217</v>
      </c>
      <c r="S325" s="8">
        <v>45224</v>
      </c>
      <c r="T325" s="8">
        <v>45236</v>
      </c>
      <c r="U325" s="8">
        <v>45818</v>
      </c>
      <c r="V325" s="10">
        <f>COUNTA(O325:U325)</f>
        <v>7</v>
      </c>
      <c r="W325" s="11">
        <f>_xlfn.IFNA(INDEX(reading[[#This Row],[Memo 01]:[Memo 07]],MATCH(0,reading[[#This Row],[Memo 01]:[Memo 07]],-1)),"")</f>
        <v>45818</v>
      </c>
      <c r="X325" s="11">
        <f ca="1">IFERROR(reading[[#This Row],[Previous]]+OFFSET(reading[[#Headers],[Memo 01]],-1,MATCH(0,reading[[#This Row],[Memo 01]:[Memo 07]],-1)-1),"")</f>
        <v>55818</v>
      </c>
      <c r="Y325" s="10" t="str">
        <f ca="1">IF(reading[[#This Row],[Next]]&lt;&gt;"",IF(reading[[#This Row],[Next]]&gt;TODAY(),"OK",""),"")</f>
        <v>OK</v>
      </c>
      <c r="Z325" s="13">
        <v>3</v>
      </c>
      <c r="AA325" s="13">
        <v>3</v>
      </c>
      <c r="AB325" s="13">
        <v>3</v>
      </c>
      <c r="AC325" s="13">
        <v>3</v>
      </c>
      <c r="AD325" s="13">
        <v>3</v>
      </c>
      <c r="AE325" s="13">
        <v>3</v>
      </c>
      <c r="AF325" s="13">
        <v>3</v>
      </c>
      <c r="AG325" s="16">
        <f>IFERROR(SUMIF(reading[[#This Row],[1st]:[7th]],"&gt;0")/COUNTIF(reading[[#This Row],[1st]:[7th]],"&gt;0"),"")</f>
        <v>3</v>
      </c>
    </row>
    <row r="326" spans="1:33" hidden="1" x14ac:dyDescent="0.2">
      <c r="A326" s="4">
        <f>IF(B326=1,3,IF(D326=1,2,IF(F326=1,1,0)))</f>
        <v>0</v>
      </c>
      <c r="B326" s="4" t="str">
        <f>IF(C326=$L326,1,IF(C326="","",0))</f>
        <v/>
      </c>
      <c r="C326" s="42"/>
      <c r="D326" s="4" t="str">
        <f>IF(E326=$L326,1,IF(E326="","",0))</f>
        <v/>
      </c>
      <c r="E326" s="18"/>
      <c r="F326" s="4" t="str">
        <f>IF(G326=$L326,1,IF(G326="","",0))</f>
        <v/>
      </c>
      <c r="G326" s="14"/>
      <c r="H326" s="6">
        <v>778</v>
      </c>
      <c r="I326" s="15" t="s">
        <v>3120</v>
      </c>
      <c r="J326" s="6" t="s">
        <v>3912</v>
      </c>
      <c r="K326" s="6"/>
      <c r="L326" s="6" t="s">
        <v>897</v>
      </c>
      <c r="M326" s="6" t="s">
        <v>6887</v>
      </c>
      <c r="N326" s="7">
        <f ca="1">RAND()</f>
        <v>0.95355506054443606</v>
      </c>
      <c r="O326" s="8">
        <v>45203</v>
      </c>
      <c r="P326" s="8">
        <v>45204</v>
      </c>
      <c r="Q326" s="8">
        <v>45206</v>
      </c>
      <c r="R326" s="8">
        <v>45210</v>
      </c>
      <c r="S326" s="8">
        <v>45217</v>
      </c>
      <c r="T326" s="8">
        <v>45229</v>
      </c>
      <c r="U326" s="8">
        <v>45777</v>
      </c>
      <c r="V326" s="10">
        <f>COUNTA(O326:U326)</f>
        <v>7</v>
      </c>
      <c r="W326" s="11">
        <f>_xlfn.IFNA(INDEX(reading[[#This Row],[Memo 01]:[Memo 07]],MATCH(0,reading[[#This Row],[Memo 01]:[Memo 07]],-1)),"")</f>
        <v>45777</v>
      </c>
      <c r="X326" s="11">
        <f ca="1">IFERROR(reading[[#This Row],[Previous]]+OFFSET(reading[[#Headers],[Memo 01]],-1,MATCH(0,reading[[#This Row],[Memo 01]:[Memo 07]],-1)-1),"")</f>
        <v>55777</v>
      </c>
      <c r="Y326" s="10" t="str">
        <f ca="1">IF(reading[[#This Row],[Next]]&lt;&gt;"",IF(reading[[#This Row],[Next]]&gt;TODAY(),"OK",""),"")</f>
        <v>OK</v>
      </c>
      <c r="Z326" s="13">
        <v>3</v>
      </c>
      <c r="AA326" s="13">
        <v>3</v>
      </c>
      <c r="AB326" s="13">
        <v>3</v>
      </c>
      <c r="AC326" s="13">
        <v>2</v>
      </c>
      <c r="AD326" s="13">
        <v>2</v>
      </c>
      <c r="AE326" s="13">
        <v>3</v>
      </c>
      <c r="AF326" s="13">
        <v>3</v>
      </c>
      <c r="AG326" s="16">
        <f>IFERROR(SUMIF(reading[[#This Row],[1st]:[7th]],"&gt;0")/COUNTIF(reading[[#This Row],[1st]:[7th]],"&gt;0"),"")</f>
        <v>2.7142857142857144</v>
      </c>
    </row>
    <row r="327" spans="1:33" hidden="1" x14ac:dyDescent="0.2">
      <c r="A327" s="4">
        <f>IF(B327=1,3,IF(D327=1,2,IF(F327=1,1,0)))</f>
        <v>0</v>
      </c>
      <c r="B327" s="4" t="str">
        <f>IF(C327=$L327,1,IF(C327="","",0))</f>
        <v/>
      </c>
      <c r="C327" s="18"/>
      <c r="D327" s="4" t="str">
        <f>IF(E327=$L327,1,IF(E327="","",0))</f>
        <v/>
      </c>
      <c r="E327" s="18"/>
      <c r="F327" s="4" t="str">
        <f>IF(G327=$L327,1,IF(G327="","",0))</f>
        <v/>
      </c>
      <c r="G327" s="18"/>
      <c r="H327" s="6">
        <v>147</v>
      </c>
      <c r="I327" s="15" t="s">
        <v>3120</v>
      </c>
      <c r="J327" s="6" t="s">
        <v>3296</v>
      </c>
      <c r="K327" s="6"/>
      <c r="L327" s="6" t="s">
        <v>284</v>
      </c>
      <c r="M327" s="6" t="s">
        <v>6256</v>
      </c>
      <c r="N327" s="7">
        <f ca="1">RAND()</f>
        <v>0.80259825933651618</v>
      </c>
      <c r="O327" s="8">
        <v>45199</v>
      </c>
      <c r="P327" s="8">
        <v>45200</v>
      </c>
      <c r="Q327" s="8">
        <v>45202</v>
      </c>
      <c r="R327" s="8">
        <v>45206</v>
      </c>
      <c r="S327" s="8">
        <v>45213</v>
      </c>
      <c r="T327" s="8">
        <v>45226</v>
      </c>
      <c r="U327" s="8">
        <v>45252</v>
      </c>
      <c r="V327" s="10">
        <f>COUNTA(O327:U327)</f>
        <v>7</v>
      </c>
      <c r="W327" s="11">
        <f>_xlfn.IFNA(INDEX(reading[[#This Row],[Memo 01]:[Memo 07]],MATCH(0,reading[[#This Row],[Memo 01]:[Memo 07]],-1)),"")</f>
        <v>45252</v>
      </c>
      <c r="X327" s="11">
        <f ca="1">IFERROR(reading[[#This Row],[Previous]]+OFFSET(reading[[#Headers],[Memo 01]],-1,MATCH(0,reading[[#This Row],[Memo 01]:[Memo 07]],-1)-1),"")</f>
        <v>55252</v>
      </c>
      <c r="Y327" s="10" t="str">
        <f ca="1">IF(reading[[#This Row],[Next]]&lt;&gt;"",IF(reading[[#This Row],[Next]]&gt;TODAY(),"OK",""),"")</f>
        <v>OK</v>
      </c>
      <c r="Z327" s="13">
        <v>3</v>
      </c>
      <c r="AA327" s="13">
        <v>3</v>
      </c>
      <c r="AB327" s="13">
        <v>3</v>
      </c>
      <c r="AC327" s="13">
        <v>3</v>
      </c>
      <c r="AD327" s="13">
        <v>3</v>
      </c>
      <c r="AE327" s="13">
        <v>1</v>
      </c>
      <c r="AF327" s="13">
        <v>3</v>
      </c>
      <c r="AG327" s="16">
        <f>IFERROR(SUMIF(reading[[#This Row],[1st]:[7th]],"&gt;0")/COUNTIF(reading[[#This Row],[1st]:[7th]],"&gt;0"),"")</f>
        <v>2.7142857142857144</v>
      </c>
    </row>
    <row r="328" spans="1:33" hidden="1" x14ac:dyDescent="0.2">
      <c r="A328" s="4">
        <f>IF(B328=1,3,IF(D328=1,2,IF(F328=1,1,0)))</f>
        <v>0</v>
      </c>
      <c r="B328" s="4" t="str">
        <f>IF(C328=$L328,1,IF(C328="","",0))</f>
        <v/>
      </c>
      <c r="C328" s="42"/>
      <c r="D328" s="4" t="str">
        <f>IF(E328=$L328,1,IF(E328="","",0))</f>
        <v/>
      </c>
      <c r="E328" s="18"/>
      <c r="F328" s="4" t="str">
        <f>IF(G328=$L328,1,IF(G328="","",0))</f>
        <v/>
      </c>
      <c r="G328" s="14"/>
      <c r="H328" s="6">
        <v>818</v>
      </c>
      <c r="I328" s="15" t="s">
        <v>3120</v>
      </c>
      <c r="J328" s="6" t="s">
        <v>3951</v>
      </c>
      <c r="K328" s="15" t="s">
        <v>3139</v>
      </c>
      <c r="L328" s="6" t="s">
        <v>934</v>
      </c>
      <c r="M328" s="6" t="s">
        <v>6927</v>
      </c>
      <c r="N328" s="7">
        <f ca="1">RAND()</f>
        <v>0.91852974171482871</v>
      </c>
      <c r="O328" s="8">
        <v>45203</v>
      </c>
      <c r="P328" s="8">
        <v>45204</v>
      </c>
      <c r="Q328" s="8">
        <v>45206</v>
      </c>
      <c r="R328" s="8">
        <v>45210</v>
      </c>
      <c r="S328" s="8">
        <v>45217</v>
      </c>
      <c r="T328" s="8">
        <v>45229</v>
      </c>
      <c r="U328" s="8">
        <v>45252</v>
      </c>
      <c r="V328" s="10">
        <f>COUNTA(O328:U328)</f>
        <v>7</v>
      </c>
      <c r="W328" s="11">
        <f>_xlfn.IFNA(INDEX(reading[[#This Row],[Memo 01]:[Memo 07]],MATCH(0,reading[[#This Row],[Memo 01]:[Memo 07]],-1)),"")</f>
        <v>45252</v>
      </c>
      <c r="X328" s="11">
        <f ca="1">IFERROR(reading[[#This Row],[Previous]]+OFFSET(reading[[#Headers],[Memo 01]],-1,MATCH(0,reading[[#This Row],[Memo 01]:[Memo 07]],-1)-1),"")</f>
        <v>55252</v>
      </c>
      <c r="Y328" s="10" t="str">
        <f ca="1">IF(reading[[#This Row],[Next]]&lt;&gt;"",IF(reading[[#This Row],[Next]]&gt;TODAY(),"OK",""),"")</f>
        <v>OK</v>
      </c>
      <c r="Z328" s="13">
        <v>3</v>
      </c>
      <c r="AA328" s="13">
        <v>2</v>
      </c>
      <c r="AB328" s="13">
        <v>3</v>
      </c>
      <c r="AC328" s="13">
        <v>2</v>
      </c>
      <c r="AD328" s="13">
        <v>3</v>
      </c>
      <c r="AE328" s="13">
        <v>3</v>
      </c>
      <c r="AF328" s="13">
        <v>3</v>
      </c>
      <c r="AG328" s="16">
        <f>IFERROR(SUMIF(reading[[#This Row],[1st]:[7th]],"&gt;0")/COUNTIF(reading[[#This Row],[1st]:[7th]],"&gt;0"),"")</f>
        <v>2.7142857142857144</v>
      </c>
    </row>
    <row r="329" spans="1:33" hidden="1" x14ac:dyDescent="0.2">
      <c r="A329" s="4">
        <f>IF(B329=1,3,IF(D329=1,2,IF(F329=1,1,0)))</f>
        <v>0</v>
      </c>
      <c r="B329" s="4" t="str">
        <f>IF(C329=$L329,1,IF(C329="","",0))</f>
        <v/>
      </c>
      <c r="C329" s="42"/>
      <c r="D329" s="4" t="str">
        <f>IF(E329=$L329,1,IF(E329="","",0))</f>
        <v/>
      </c>
      <c r="E329" s="18"/>
      <c r="F329" s="4" t="str">
        <f>IF(G329=$L329,1,IF(G329="","",0))</f>
        <v/>
      </c>
      <c r="G329" s="14"/>
      <c r="H329" s="6">
        <v>55</v>
      </c>
      <c r="I329" s="15" t="s">
        <v>3120</v>
      </c>
      <c r="J329" s="6" t="s">
        <v>3209</v>
      </c>
      <c r="K329" s="6"/>
      <c r="L329" s="6" t="s">
        <v>197</v>
      </c>
      <c r="M329" s="6" t="s">
        <v>6168</v>
      </c>
      <c r="N329" s="7">
        <f ca="1">RAND()</f>
        <v>0.91211592680915765</v>
      </c>
      <c r="O329" s="8">
        <v>45199</v>
      </c>
      <c r="P329" s="8">
        <v>45200</v>
      </c>
      <c r="Q329" s="8">
        <v>45202</v>
      </c>
      <c r="R329" s="8">
        <v>45206</v>
      </c>
      <c r="S329" s="8">
        <v>45213</v>
      </c>
      <c r="T329" s="8">
        <v>45225</v>
      </c>
      <c r="U329" s="8">
        <v>45252</v>
      </c>
      <c r="V329" s="10">
        <f>COUNTA(O329:U329)</f>
        <v>7</v>
      </c>
      <c r="W329" s="11">
        <f>_xlfn.IFNA(INDEX(reading[[#This Row],[Memo 01]:[Memo 07]],MATCH(0,reading[[#This Row],[Memo 01]:[Memo 07]],-1)),"")</f>
        <v>45252</v>
      </c>
      <c r="X329" s="11">
        <f ca="1">IFERROR(reading[[#This Row],[Previous]]+OFFSET(reading[[#Headers],[Memo 01]],-1,MATCH(0,reading[[#This Row],[Memo 01]:[Memo 07]],-1)-1),"")</f>
        <v>55252</v>
      </c>
      <c r="Y329" s="10" t="str">
        <f ca="1">IF(reading[[#This Row],[Next]]&lt;&gt;"",IF(reading[[#This Row],[Next]]&gt;TODAY(),"OK",""),"")</f>
        <v>OK</v>
      </c>
      <c r="Z329" s="13">
        <v>3</v>
      </c>
      <c r="AA329" s="13">
        <v>2</v>
      </c>
      <c r="AB329" s="13">
        <v>3</v>
      </c>
      <c r="AC329" s="13">
        <v>2</v>
      </c>
      <c r="AD329" s="13">
        <v>3</v>
      </c>
      <c r="AE329" s="13">
        <v>3</v>
      </c>
      <c r="AF329" s="13">
        <v>3</v>
      </c>
      <c r="AG329" s="16">
        <f>IFERROR(SUMIF(reading[[#This Row],[1st]:[7th]],"&gt;0")/COUNTIF(reading[[#This Row],[1st]:[7th]],"&gt;0"),"")</f>
        <v>2.7142857142857144</v>
      </c>
    </row>
    <row r="330" spans="1:33" hidden="1" x14ac:dyDescent="0.2">
      <c r="A330" s="4">
        <f>IF(B330=1,3,IF(D330=1,2,IF(F330=1,1,0)))</f>
        <v>0</v>
      </c>
      <c r="B330" s="4" t="str">
        <f>IF(C330=$L330,1,IF(C330="","",0))</f>
        <v/>
      </c>
      <c r="C330" s="42"/>
      <c r="D330" s="4" t="str">
        <f>IF(E330=$L330,1,IF(E330="","",0))</f>
        <v/>
      </c>
      <c r="E330" s="18"/>
      <c r="F330" s="4" t="str">
        <f>IF(G330=$L330,1,IF(G330="","",0))</f>
        <v/>
      </c>
      <c r="G330" s="14"/>
      <c r="H330" s="6">
        <v>782</v>
      </c>
      <c r="I330" s="15" t="s">
        <v>3120</v>
      </c>
      <c r="J330" s="6" t="s">
        <v>3916</v>
      </c>
      <c r="K330" s="6"/>
      <c r="L330" s="6" t="s">
        <v>901</v>
      </c>
      <c r="M330" s="6" t="s">
        <v>6891</v>
      </c>
      <c r="N330" s="7">
        <f ca="1">RAND()</f>
        <v>0.81258593784197519</v>
      </c>
      <c r="O330" s="8">
        <v>45203</v>
      </c>
      <c r="P330" s="8">
        <v>45204</v>
      </c>
      <c r="Q330" s="8">
        <v>45206</v>
      </c>
      <c r="R330" s="8">
        <v>45210</v>
      </c>
      <c r="S330" s="8">
        <v>45217</v>
      </c>
      <c r="T330" s="8">
        <v>45229</v>
      </c>
      <c r="U330" s="8">
        <v>45252</v>
      </c>
      <c r="V330" s="10">
        <f>COUNTA(O330:U330)</f>
        <v>7</v>
      </c>
      <c r="W330" s="11">
        <f>_xlfn.IFNA(INDEX(reading[[#This Row],[Memo 01]:[Memo 07]],MATCH(0,reading[[#This Row],[Memo 01]:[Memo 07]],-1)),"")</f>
        <v>45252</v>
      </c>
      <c r="X330" s="11">
        <f ca="1">IFERROR(reading[[#This Row],[Previous]]+OFFSET(reading[[#Headers],[Memo 01]],-1,MATCH(0,reading[[#This Row],[Memo 01]:[Memo 07]],-1)-1),"")</f>
        <v>55252</v>
      </c>
      <c r="Y330" s="10" t="str">
        <f ca="1">IF(reading[[#This Row],[Next]]&lt;&gt;"",IF(reading[[#This Row],[Next]]&gt;TODAY(),"OK",""),"")</f>
        <v>OK</v>
      </c>
      <c r="Z330" s="13">
        <v>3</v>
      </c>
      <c r="AA330" s="13">
        <v>3</v>
      </c>
      <c r="AB330" s="13">
        <v>2</v>
      </c>
      <c r="AC330" s="13">
        <v>3</v>
      </c>
      <c r="AD330" s="13">
        <v>3</v>
      </c>
      <c r="AE330" s="13">
        <v>2</v>
      </c>
      <c r="AF330" s="13">
        <v>3</v>
      </c>
      <c r="AG330" s="16">
        <f>IFERROR(SUMIF(reading[[#This Row],[1st]:[7th]],"&gt;0")/COUNTIF(reading[[#This Row],[1st]:[7th]],"&gt;0"),"")</f>
        <v>2.7142857142857144</v>
      </c>
    </row>
    <row r="331" spans="1:33" hidden="1" x14ac:dyDescent="0.2">
      <c r="A331" s="4">
        <f>IF(B331=1,3,IF(D331=1,2,IF(F331=1,1,0)))</f>
        <v>0</v>
      </c>
      <c r="B331" s="4" t="str">
        <f>IF(C331=$L331,1,IF(C331="","",0))</f>
        <v/>
      </c>
      <c r="C331" s="42"/>
      <c r="D331" s="4" t="str">
        <f>IF(E331=$L331,1,IF(E331="","",0))</f>
        <v/>
      </c>
      <c r="E331" s="18"/>
      <c r="F331" s="4" t="str">
        <f>IF(G331=$L331,1,IF(G331="","",0))</f>
        <v/>
      </c>
      <c r="G331" s="14"/>
      <c r="H331" s="6">
        <v>1035</v>
      </c>
      <c r="I331" s="15" t="s">
        <v>3120</v>
      </c>
      <c r="J331" s="6" t="s">
        <v>4162</v>
      </c>
      <c r="K331" s="6"/>
      <c r="L331" s="6" t="s">
        <v>1144</v>
      </c>
      <c r="M331" s="6" t="s">
        <v>7143</v>
      </c>
      <c r="N331" s="7">
        <f ca="1">RAND()</f>
        <v>0.69306593456891152</v>
      </c>
      <c r="O331" s="8">
        <v>45205</v>
      </c>
      <c r="P331" s="8">
        <v>45206</v>
      </c>
      <c r="Q331" s="8">
        <v>45208</v>
      </c>
      <c r="R331" s="8">
        <v>45213</v>
      </c>
      <c r="S331" s="8">
        <v>45220</v>
      </c>
      <c r="T331" s="8">
        <v>45232</v>
      </c>
      <c r="U331" s="8">
        <v>45252</v>
      </c>
      <c r="V331" s="10">
        <f>COUNTA(O331:U331)</f>
        <v>7</v>
      </c>
      <c r="W331" s="11">
        <f>_xlfn.IFNA(INDEX(reading[[#This Row],[Memo 01]:[Memo 07]],MATCH(0,reading[[#This Row],[Memo 01]:[Memo 07]],-1)),"")</f>
        <v>45252</v>
      </c>
      <c r="X331" s="11">
        <f ca="1">IFERROR(reading[[#This Row],[Previous]]+OFFSET(reading[[#Headers],[Memo 01]],-1,MATCH(0,reading[[#This Row],[Memo 01]:[Memo 07]],-1)-1),"")</f>
        <v>55252</v>
      </c>
      <c r="Y331" s="10" t="str">
        <f ca="1">IF(reading[[#This Row],[Next]]&lt;&gt;"",IF(reading[[#This Row],[Next]]&gt;TODAY(),"OK",""),"")</f>
        <v>OK</v>
      </c>
      <c r="Z331" s="13">
        <v>3</v>
      </c>
      <c r="AA331" s="13">
        <v>3</v>
      </c>
      <c r="AB331" s="13">
        <v>3</v>
      </c>
      <c r="AC331" s="13">
        <v>2</v>
      </c>
      <c r="AD331" s="13">
        <v>2</v>
      </c>
      <c r="AE331" s="13">
        <v>3</v>
      </c>
      <c r="AF331" s="13">
        <v>3</v>
      </c>
      <c r="AG331" s="16">
        <f>IFERROR(SUMIF(reading[[#This Row],[1st]:[7th]],"&gt;0")/COUNTIF(reading[[#This Row],[1st]:[7th]],"&gt;0"),"")</f>
        <v>2.7142857142857144</v>
      </c>
    </row>
    <row r="332" spans="1:33" hidden="1" x14ac:dyDescent="0.2">
      <c r="A332" s="4">
        <f>IF(B332=1,3,IF(D332=1,2,IF(F332=1,1,0)))</f>
        <v>0</v>
      </c>
      <c r="B332" s="4" t="str">
        <f>IF(C332=$L332,1,IF(C332="","",0))</f>
        <v/>
      </c>
      <c r="C332" s="42"/>
      <c r="D332" s="4" t="str">
        <f>IF(E332=$L332,1,IF(E332="","",0))</f>
        <v/>
      </c>
      <c r="E332" s="18"/>
      <c r="F332" s="4" t="str">
        <f>IF(G332=$L332,1,IF(G332="","",0))</f>
        <v/>
      </c>
      <c r="G332" s="14"/>
      <c r="H332" s="6">
        <v>686</v>
      </c>
      <c r="I332" s="15" t="s">
        <v>3120</v>
      </c>
      <c r="J332" s="6" t="s">
        <v>3825</v>
      </c>
      <c r="K332" s="6"/>
      <c r="L332" s="6" t="s">
        <v>809</v>
      </c>
      <c r="M332" s="6" t="s">
        <v>6795</v>
      </c>
      <c r="N332" s="7">
        <f ca="1">RAND()</f>
        <v>0.71593267783671122</v>
      </c>
      <c r="O332" s="8">
        <v>45203</v>
      </c>
      <c r="P332" s="8">
        <v>45204</v>
      </c>
      <c r="Q332" s="8">
        <v>45206</v>
      </c>
      <c r="R332" s="8">
        <v>45210</v>
      </c>
      <c r="S332" s="8">
        <v>45217</v>
      </c>
      <c r="T332" s="8">
        <v>45229</v>
      </c>
      <c r="U332" s="8">
        <v>45819</v>
      </c>
      <c r="V332" s="10">
        <f>COUNTA(O332:U332)</f>
        <v>7</v>
      </c>
      <c r="W332" s="11">
        <f>_xlfn.IFNA(INDEX(reading[[#This Row],[Memo 01]:[Memo 07]],MATCH(0,reading[[#This Row],[Memo 01]:[Memo 07]],-1)),"")</f>
        <v>45819</v>
      </c>
      <c r="X332" s="11">
        <f ca="1">IFERROR(reading[[#This Row],[Previous]]+OFFSET(reading[[#Headers],[Memo 01]],-1,MATCH(0,reading[[#This Row],[Memo 01]:[Memo 07]],-1)-1),"")</f>
        <v>55819</v>
      </c>
      <c r="Y332" s="10" t="str">
        <f ca="1">IF(reading[[#This Row],[Next]]&lt;&gt;"",IF(reading[[#This Row],[Next]]&gt;TODAY(),"OK",""),"")</f>
        <v>OK</v>
      </c>
      <c r="Z332" s="13">
        <v>3</v>
      </c>
      <c r="AA332" s="13">
        <v>3</v>
      </c>
      <c r="AB332" s="13">
        <v>3</v>
      </c>
      <c r="AC332" s="13">
        <v>3</v>
      </c>
      <c r="AD332" s="13">
        <v>2</v>
      </c>
      <c r="AE332" s="13">
        <v>3</v>
      </c>
      <c r="AF332" s="13">
        <v>3</v>
      </c>
      <c r="AG332" s="16">
        <f>IFERROR(SUMIF(reading[[#This Row],[1st]:[7th]],"&gt;0")/COUNTIF(reading[[#This Row],[1st]:[7th]],"&gt;0"),"")</f>
        <v>2.8571428571428572</v>
      </c>
    </row>
    <row r="333" spans="1:33" hidden="1" x14ac:dyDescent="0.2">
      <c r="A333" s="4">
        <f>IF(B333=1,3,IF(D333=1,2,IF(F333=1,1,0)))</f>
        <v>0</v>
      </c>
      <c r="B333" s="4" t="str">
        <f>IF(C333=$L333,1,IF(C333="","",0))</f>
        <v/>
      </c>
      <c r="C333" s="42"/>
      <c r="D333" s="4" t="str">
        <f>IF(E333=$L333,1,IF(E333="","",0))</f>
        <v/>
      </c>
      <c r="E333" s="14"/>
      <c r="F333" s="4" t="str">
        <f>IF(G333=$L333,1,IF(G333="","",0))</f>
        <v/>
      </c>
      <c r="G333" s="14"/>
      <c r="H333" s="6">
        <v>1490</v>
      </c>
      <c r="I333" s="15" t="s">
        <v>3120</v>
      </c>
      <c r="J333" s="6" t="s">
        <v>4604</v>
      </c>
      <c r="K333" s="6" t="s">
        <v>3139</v>
      </c>
      <c r="L333" s="6" t="s">
        <v>1576</v>
      </c>
      <c r="M333" s="6" t="s">
        <v>7597</v>
      </c>
      <c r="N333" s="7">
        <f ca="1">RAND()</f>
        <v>0.91233026306179621</v>
      </c>
      <c r="O333" s="8">
        <v>45208</v>
      </c>
      <c r="P333" s="8">
        <v>45209</v>
      </c>
      <c r="Q333" s="8">
        <v>45212</v>
      </c>
      <c r="R333" s="8">
        <v>45216</v>
      </c>
      <c r="S333" s="8">
        <v>45223</v>
      </c>
      <c r="T333" s="8">
        <v>45235</v>
      </c>
      <c r="U333" s="8">
        <v>45819</v>
      </c>
      <c r="V333" s="10">
        <f>COUNTA(O333:U333)</f>
        <v>7</v>
      </c>
      <c r="W333" s="11">
        <f>_xlfn.IFNA(INDEX(reading[[#This Row],[Memo 01]:[Memo 07]],MATCH(0,reading[[#This Row],[Memo 01]:[Memo 07]],-1)),"")</f>
        <v>45819</v>
      </c>
      <c r="X333" s="11">
        <f ca="1">IFERROR(reading[[#This Row],[Previous]]+OFFSET(reading[[#Headers],[Memo 01]],-1,MATCH(0,reading[[#This Row],[Memo 01]:[Memo 07]],-1)-1),"")</f>
        <v>55819</v>
      </c>
      <c r="Y333" s="10" t="str">
        <f ca="1">IF(reading[[#This Row],[Next]]&lt;&gt;"",IF(reading[[#This Row],[Next]]&gt;TODAY(),"OK",""),"")</f>
        <v>OK</v>
      </c>
      <c r="Z333" s="13">
        <v>3</v>
      </c>
      <c r="AA333" s="13">
        <v>3</v>
      </c>
      <c r="AB333" s="13">
        <v>2</v>
      </c>
      <c r="AC333" s="13">
        <v>3</v>
      </c>
      <c r="AD333" s="13">
        <v>3</v>
      </c>
      <c r="AE333" s="13">
        <v>3</v>
      </c>
      <c r="AF333" s="13">
        <v>3</v>
      </c>
      <c r="AG333" s="16">
        <f>IFERROR(SUMIF(reading[[#This Row],[1st]:[7th]],"&gt;0")/COUNTIF(reading[[#This Row],[1st]:[7th]],"&gt;0"),"")</f>
        <v>2.8571428571428572</v>
      </c>
    </row>
    <row r="334" spans="1:33" hidden="1" x14ac:dyDescent="0.2">
      <c r="A334" s="4">
        <f>IF(B334=1,3,IF(D334=1,2,IF(F334=1,1,0)))</f>
        <v>0</v>
      </c>
      <c r="B334" s="4" t="str">
        <f>IF(C334=$L334,1,IF(C334="","",0))</f>
        <v/>
      </c>
      <c r="C334" s="20"/>
      <c r="D334" s="4" t="str">
        <f>IF(E334=$L334,1,IF(E334="","",0))</f>
        <v/>
      </c>
      <c r="E334" s="14"/>
      <c r="F334" s="4" t="str">
        <f>IF(G334=$L334,1,IF(G334="","",0))</f>
        <v/>
      </c>
      <c r="G334" s="14"/>
      <c r="H334" s="6">
        <v>337</v>
      </c>
      <c r="I334" s="15" t="s">
        <v>3120</v>
      </c>
      <c r="J334" s="6" t="s">
        <v>3484</v>
      </c>
      <c r="K334" s="6"/>
      <c r="L334" s="6" t="s">
        <v>472</v>
      </c>
      <c r="M334" s="6" t="s">
        <v>6446</v>
      </c>
      <c r="N334" s="7">
        <f ca="1">RAND()</f>
        <v>0.65934515187057419</v>
      </c>
      <c r="O334" s="8">
        <v>45200</v>
      </c>
      <c r="P334" s="8">
        <v>45200</v>
      </c>
      <c r="Q334" s="8">
        <v>45200</v>
      </c>
      <c r="R334" s="8">
        <v>45200</v>
      </c>
      <c r="S334" s="8">
        <v>45200</v>
      </c>
      <c r="T334" s="8">
        <v>45200</v>
      </c>
      <c r="U334" s="8">
        <v>45200</v>
      </c>
      <c r="V334" s="10">
        <f>COUNTA(O334:U334)</f>
        <v>7</v>
      </c>
      <c r="W334" s="11">
        <f>_xlfn.IFNA(INDEX(reading[[#This Row],[Memo 01]:[Memo 07]],MATCH(0,reading[[#This Row],[Memo 01]:[Memo 07]],-1)),"")</f>
        <v>45200</v>
      </c>
      <c r="X334" s="11">
        <f ca="1">IFERROR(reading[[#This Row],[Previous]]+OFFSET(reading[[#Headers],[Memo 01]],-1,MATCH(0,reading[[#This Row],[Memo 01]:[Memo 07]],-1)-1),"")</f>
        <v>55200</v>
      </c>
      <c r="Y334" s="10" t="str">
        <f ca="1">IF(reading[[#This Row],[Next]]&lt;&gt;"",IF(reading[[#This Row],[Next]]&gt;TODAY(),"OK",""),"")</f>
        <v>OK</v>
      </c>
      <c r="Z334" s="13">
        <v>3</v>
      </c>
      <c r="AA334" s="13"/>
      <c r="AB334" s="13"/>
      <c r="AC334" s="13"/>
      <c r="AD334" s="13"/>
      <c r="AE334" s="13"/>
      <c r="AF334" s="13"/>
      <c r="AG334" s="16">
        <f>IFERROR(SUMIF(reading[[#This Row],[1st]:[7th]],"&gt;0")/COUNTIF(reading[[#This Row],[1st]:[7th]],"&gt;0"),"")</f>
        <v>3</v>
      </c>
    </row>
    <row r="335" spans="1:33" hidden="1" x14ac:dyDescent="0.2">
      <c r="A335" s="4">
        <f>IF(B335=1,3,IF(D335=1,2,IF(F335=1,1,0)))</f>
        <v>0</v>
      </c>
      <c r="B335" s="4" t="str">
        <f>IF(C335=$L335,1,IF(C335="","",0))</f>
        <v/>
      </c>
      <c r="C335" s="42"/>
      <c r="D335" s="4" t="str">
        <f>IF(E335=$L335,1,IF(E335="","",0))</f>
        <v/>
      </c>
      <c r="E335" s="23"/>
      <c r="F335" s="4" t="str">
        <f>IF(G335=$L335,1,IF(G335="","",0))</f>
        <v/>
      </c>
      <c r="G335" s="14"/>
      <c r="H335" s="6">
        <v>1238</v>
      </c>
      <c r="I335" s="15" t="s">
        <v>3120</v>
      </c>
      <c r="J335" s="6" t="s">
        <v>4355</v>
      </c>
      <c r="K335" s="6"/>
      <c r="L335" s="6" t="s">
        <v>1338</v>
      </c>
      <c r="M335" s="6" t="s">
        <v>7345</v>
      </c>
      <c r="N335" s="7">
        <f ca="1">RAND()</f>
        <v>0.4684786707334182</v>
      </c>
      <c r="O335" s="8">
        <v>45206</v>
      </c>
      <c r="P335" s="8">
        <v>45207</v>
      </c>
      <c r="Q335" s="8">
        <v>45209</v>
      </c>
      <c r="R335" s="8">
        <v>45213</v>
      </c>
      <c r="S335" s="8">
        <v>45220</v>
      </c>
      <c r="T335" s="8">
        <v>45232</v>
      </c>
      <c r="U335" s="8">
        <v>45777</v>
      </c>
      <c r="V335" s="10">
        <f>COUNTA(O335:U335)</f>
        <v>7</v>
      </c>
      <c r="W335" s="11">
        <f>_xlfn.IFNA(INDEX(reading[[#This Row],[Memo 01]:[Memo 07]],MATCH(0,reading[[#This Row],[Memo 01]:[Memo 07]],-1)),"")</f>
        <v>45777</v>
      </c>
      <c r="X335" s="11">
        <f ca="1">IFERROR(reading[[#This Row],[Previous]]+OFFSET(reading[[#Headers],[Memo 01]],-1,MATCH(0,reading[[#This Row],[Memo 01]:[Memo 07]],-1)-1),"")</f>
        <v>55777</v>
      </c>
      <c r="Y335" s="10" t="str">
        <f ca="1">IF(reading[[#This Row],[Next]]&lt;&gt;"",IF(reading[[#This Row],[Next]]&gt;TODAY(),"OK",""),"")</f>
        <v>OK</v>
      </c>
      <c r="Z335" s="13">
        <v>3</v>
      </c>
      <c r="AA335" s="13">
        <v>3</v>
      </c>
      <c r="AB335" s="13">
        <v>2</v>
      </c>
      <c r="AC335" s="13">
        <v>2</v>
      </c>
      <c r="AD335" s="13">
        <v>3</v>
      </c>
      <c r="AE335" s="13">
        <v>3</v>
      </c>
      <c r="AF335" s="13">
        <v>3</v>
      </c>
      <c r="AG335" s="16">
        <f>IFERROR(SUMIF(reading[[#This Row],[1st]:[7th]],"&gt;0")/COUNTIF(reading[[#This Row],[1st]:[7th]],"&gt;0"),"")</f>
        <v>2.7142857142857144</v>
      </c>
    </row>
    <row r="336" spans="1:33" hidden="1" x14ac:dyDescent="0.2">
      <c r="A336" s="4">
        <f>IF(B336=1,3,IF(D336=1,2,IF(F336=1,1,0)))</f>
        <v>0</v>
      </c>
      <c r="B336" s="4" t="str">
        <f>IF(C336=$L336,1,IF(C336="","",0))</f>
        <v/>
      </c>
      <c r="C336" s="42"/>
      <c r="D336" s="4" t="str">
        <f>IF(E336=$L336,1,IF(E336="","",0))</f>
        <v/>
      </c>
      <c r="E336" s="18"/>
      <c r="F336" s="4" t="str">
        <f>IF(G336=$L336,1,IF(G336="","",0))</f>
        <v/>
      </c>
      <c r="G336" s="14"/>
      <c r="H336" s="6">
        <v>957</v>
      </c>
      <c r="I336" s="15" t="s">
        <v>3120</v>
      </c>
      <c r="J336" s="6" t="s">
        <v>4086</v>
      </c>
      <c r="K336" s="15" t="s">
        <v>3139</v>
      </c>
      <c r="L336" s="6" t="s">
        <v>1067</v>
      </c>
      <c r="M336" s="6" t="s">
        <v>7065</v>
      </c>
      <c r="N336" s="7">
        <f ca="1">RAND()</f>
        <v>0.21223754430946506</v>
      </c>
      <c r="O336" s="8">
        <v>45204</v>
      </c>
      <c r="P336" s="8">
        <v>45205</v>
      </c>
      <c r="Q336" s="8">
        <v>45207</v>
      </c>
      <c r="R336" s="8">
        <v>45211</v>
      </c>
      <c r="S336" s="8">
        <v>45218</v>
      </c>
      <c r="T336" s="8">
        <v>45230</v>
      </c>
      <c r="U336" s="8">
        <v>45777</v>
      </c>
      <c r="V336" s="10">
        <f>COUNTA(O336:U336)</f>
        <v>7</v>
      </c>
      <c r="W336" s="11">
        <f>_xlfn.IFNA(INDEX(reading[[#This Row],[Memo 01]:[Memo 07]],MATCH(0,reading[[#This Row],[Memo 01]:[Memo 07]],-1)),"")</f>
        <v>45777</v>
      </c>
      <c r="X336" s="11">
        <f ca="1">IFERROR(reading[[#This Row],[Previous]]+OFFSET(reading[[#Headers],[Memo 01]],-1,MATCH(0,reading[[#This Row],[Memo 01]:[Memo 07]],-1)-1),"")</f>
        <v>55777</v>
      </c>
      <c r="Y336" s="10" t="str">
        <f ca="1">IF(reading[[#This Row],[Next]]&lt;&gt;"",IF(reading[[#This Row],[Next]]&gt;TODAY(),"OK",""),"")</f>
        <v>OK</v>
      </c>
      <c r="Z336" s="13">
        <v>3</v>
      </c>
      <c r="AA336" s="13">
        <v>3</v>
      </c>
      <c r="AB336" s="13">
        <v>2</v>
      </c>
      <c r="AC336" s="13">
        <v>3</v>
      </c>
      <c r="AD336" s="13">
        <v>3</v>
      </c>
      <c r="AE336" s="13">
        <v>2</v>
      </c>
      <c r="AF336" s="13">
        <v>3</v>
      </c>
      <c r="AG336" s="16">
        <f>IFERROR(SUMIF(reading[[#This Row],[1st]:[7th]],"&gt;0")/COUNTIF(reading[[#This Row],[1st]:[7th]],"&gt;0"),"")</f>
        <v>2.7142857142857144</v>
      </c>
    </row>
    <row r="337" spans="1:33" hidden="1" x14ac:dyDescent="0.2">
      <c r="A337" s="4">
        <f>IF(B337=1,3,IF(D337=1,2,IF(F337=1,1,0)))</f>
        <v>0</v>
      </c>
      <c r="B337" s="4" t="str">
        <f>IF(C337=$L337,1,IF(C337="","",0))</f>
        <v/>
      </c>
      <c r="C337" s="43"/>
      <c r="D337" s="4" t="str">
        <f>IF(E337=$L337,1,IF(E337="","",0))</f>
        <v/>
      </c>
      <c r="E337" s="18"/>
      <c r="F337" s="4" t="str">
        <f>IF(G337=$L337,1,IF(G337="","",0))</f>
        <v/>
      </c>
      <c r="G337" s="14"/>
      <c r="H337" s="6">
        <v>230</v>
      </c>
      <c r="I337" s="15" t="s">
        <v>3120</v>
      </c>
      <c r="J337" s="6" t="s">
        <v>3379</v>
      </c>
      <c r="K337" s="6"/>
      <c r="L337" s="6" t="s">
        <v>365</v>
      </c>
      <c r="M337" s="6" t="s">
        <v>6339</v>
      </c>
      <c r="N337" s="7">
        <f ca="1">RAND()</f>
        <v>5.5006466450202351E-2</v>
      </c>
      <c r="O337" s="8">
        <v>45199</v>
      </c>
      <c r="P337" s="8">
        <v>45200</v>
      </c>
      <c r="Q337" s="8">
        <v>45202</v>
      </c>
      <c r="R337" s="8">
        <v>45206</v>
      </c>
      <c r="S337" s="8">
        <v>45213</v>
      </c>
      <c r="T337" s="8">
        <v>45225</v>
      </c>
      <c r="U337" s="8">
        <v>45783</v>
      </c>
      <c r="V337" s="10">
        <f>COUNTA(O337:U337)</f>
        <v>7</v>
      </c>
      <c r="W337" s="11">
        <f>_xlfn.IFNA(INDEX(reading[[#This Row],[Memo 01]:[Memo 07]],MATCH(0,reading[[#This Row],[Memo 01]:[Memo 07]],-1)),"")</f>
        <v>45783</v>
      </c>
      <c r="X337" s="11">
        <f ca="1">IFERROR(reading[[#This Row],[Previous]]+OFFSET(reading[[#Headers],[Memo 01]],-1,MATCH(0,reading[[#This Row],[Memo 01]:[Memo 07]],-1)-1),"")</f>
        <v>55783</v>
      </c>
      <c r="Y337" s="10" t="str">
        <f ca="1">IF(reading[[#This Row],[Next]]&lt;&gt;"",IF(reading[[#This Row],[Next]]&gt;TODAY(),"OK",""),"")</f>
        <v>OK</v>
      </c>
      <c r="Z337" s="13">
        <v>3</v>
      </c>
      <c r="AA337" s="13">
        <v>3</v>
      </c>
      <c r="AB337" s="13">
        <v>2</v>
      </c>
      <c r="AC337" s="13">
        <v>3</v>
      </c>
      <c r="AD337" s="13">
        <v>3</v>
      </c>
      <c r="AE337" s="13">
        <v>3</v>
      </c>
      <c r="AF337" s="13">
        <v>3</v>
      </c>
      <c r="AG337" s="16">
        <f>IFERROR(SUMIF(reading[[#This Row],[1st]:[7th]],"&gt;0")/COUNTIF(reading[[#This Row],[1st]:[7th]],"&gt;0"),"")</f>
        <v>2.8571428571428572</v>
      </c>
    </row>
    <row r="338" spans="1:33" hidden="1" x14ac:dyDescent="0.2">
      <c r="A338" s="4">
        <f>IF(B338=1,3,IF(D338=1,2,IF(F338=1,1,0)))</f>
        <v>0</v>
      </c>
      <c r="B338" s="4" t="str">
        <f>IF(C338=$L338,1,IF(C338="","",0))</f>
        <v/>
      </c>
      <c r="C338" s="42"/>
      <c r="D338" s="4" t="str">
        <f>IF(E338=$L338,1,IF(E338="","",0))</f>
        <v/>
      </c>
      <c r="E338" s="18"/>
      <c r="F338" s="4" t="str">
        <f>IF(G338=$L338,1,IF(G338="","",0))</f>
        <v/>
      </c>
      <c r="G338" s="18"/>
      <c r="H338" s="6">
        <v>1299</v>
      </c>
      <c r="I338" s="15" t="s">
        <v>3120</v>
      </c>
      <c r="J338" s="6" t="s">
        <v>4416</v>
      </c>
      <c r="K338" s="6"/>
      <c r="L338" s="6" t="s">
        <v>1396</v>
      </c>
      <c r="M338" s="6" t="s">
        <v>7406</v>
      </c>
      <c r="N338" s="7">
        <f ca="1">RAND()</f>
        <v>0.31807448638576663</v>
      </c>
      <c r="O338" s="8">
        <v>45207</v>
      </c>
      <c r="P338" s="8">
        <v>45208</v>
      </c>
      <c r="Q338" s="8">
        <v>45210</v>
      </c>
      <c r="R338" s="8">
        <v>45214</v>
      </c>
      <c r="S338" s="8">
        <v>45221</v>
      </c>
      <c r="T338" s="8">
        <v>45233</v>
      </c>
      <c r="U338" s="8">
        <v>45777</v>
      </c>
      <c r="V338" s="10">
        <f>COUNTA(O338:U338)</f>
        <v>7</v>
      </c>
      <c r="W338" s="11">
        <f>_xlfn.IFNA(INDEX(reading[[#This Row],[Memo 01]:[Memo 07]],MATCH(0,reading[[#This Row],[Memo 01]:[Memo 07]],-1)),"")</f>
        <v>45777</v>
      </c>
      <c r="X338" s="11">
        <f ca="1">IFERROR(reading[[#This Row],[Previous]]+OFFSET(reading[[#Headers],[Memo 01]],-1,MATCH(0,reading[[#This Row],[Memo 01]:[Memo 07]],-1)-1),"")</f>
        <v>55777</v>
      </c>
      <c r="Y338" s="10" t="str">
        <f ca="1">IF(reading[[#This Row],[Next]]&lt;&gt;"",IF(reading[[#This Row],[Next]]&gt;TODAY(),"OK",""),"")</f>
        <v>OK</v>
      </c>
      <c r="Z338" s="13">
        <v>3</v>
      </c>
      <c r="AA338" s="13">
        <v>3</v>
      </c>
      <c r="AB338" s="13">
        <v>3</v>
      </c>
      <c r="AC338" s="13">
        <v>1</v>
      </c>
      <c r="AD338" s="13">
        <v>3</v>
      </c>
      <c r="AE338" s="13">
        <v>3</v>
      </c>
      <c r="AF338" s="13">
        <v>3</v>
      </c>
      <c r="AG338" s="16">
        <f>IFERROR(SUMIF(reading[[#This Row],[1st]:[7th]],"&gt;0")/COUNTIF(reading[[#This Row],[1st]:[7th]],"&gt;0"),"")</f>
        <v>2.7142857142857144</v>
      </c>
    </row>
    <row r="339" spans="1:33" hidden="1" x14ac:dyDescent="0.2">
      <c r="A339" s="4">
        <f>IF(B339=1,3,IF(D339=1,2,IF(F339=1,1,0)))</f>
        <v>0</v>
      </c>
      <c r="B339" s="4" t="str">
        <f>IF(C339=$L339,1,IF(C339="","",0))</f>
        <v/>
      </c>
      <c r="C339" s="42"/>
      <c r="D339" s="4" t="str">
        <f>IF(E339=$L339,1,IF(E339="","",0))</f>
        <v/>
      </c>
      <c r="E339" s="23"/>
      <c r="F339" s="4" t="str">
        <f>IF(G339=$L339,1,IF(G339="","",0))</f>
        <v/>
      </c>
      <c r="G339" s="23"/>
      <c r="H339" s="6">
        <v>3033</v>
      </c>
      <c r="I339" s="15" t="s">
        <v>3120</v>
      </c>
      <c r="J339" s="6" t="s">
        <v>6055</v>
      </c>
      <c r="K339" s="6"/>
      <c r="L339" s="6" t="s">
        <v>3060</v>
      </c>
      <c r="M339" s="6" t="s">
        <v>9136</v>
      </c>
      <c r="N339" s="7">
        <f ca="1">RAND()</f>
        <v>0.83929449702914272</v>
      </c>
      <c r="O339" s="8">
        <v>45224</v>
      </c>
      <c r="P339" s="8">
        <v>45225</v>
      </c>
      <c r="Q339" s="8">
        <v>45227</v>
      </c>
      <c r="R339" s="8">
        <v>45231</v>
      </c>
      <c r="S339" s="8">
        <v>45251</v>
      </c>
      <c r="T339" s="8">
        <v>45811</v>
      </c>
      <c r="U339" s="8"/>
      <c r="V339" s="10">
        <f>COUNTA(O339:U339)</f>
        <v>6</v>
      </c>
      <c r="W339" s="11">
        <f>_xlfn.IFNA(INDEX(reading[[#This Row],[Memo 01]:[Memo 07]],MATCH(0,reading[[#This Row],[Memo 01]:[Memo 07]],-1)),"")</f>
        <v>45811</v>
      </c>
      <c r="X339" s="11">
        <f ca="1">IFERROR(reading[[#This Row],[Previous]]+OFFSET(reading[[#Headers],[Memo 01]],-1,MATCH(0,reading[[#This Row],[Memo 01]:[Memo 07]],-1)-1),"")</f>
        <v>45831</v>
      </c>
      <c r="Y339" s="10" t="str">
        <f ca="1">IF(reading[[#This Row],[Next]]&lt;&gt;"",IF(reading[[#This Row],[Next]]&gt;TODAY(),"OK",""),"")</f>
        <v/>
      </c>
      <c r="Z339" s="13">
        <v>3</v>
      </c>
      <c r="AA339" s="13">
        <v>3</v>
      </c>
      <c r="AB339" s="13">
        <v>3</v>
      </c>
      <c r="AC339" s="13">
        <v>3</v>
      </c>
      <c r="AD339" s="13">
        <v>3</v>
      </c>
      <c r="AE339" s="13">
        <v>1</v>
      </c>
      <c r="AF339" s="13"/>
      <c r="AG339" s="16">
        <f>IFERROR(SUMIF(reading[[#This Row],[1st]:[7th]],"&gt;0")/COUNTIF(reading[[#This Row],[1st]:[7th]],"&gt;0"),"")</f>
        <v>2.6666666666666665</v>
      </c>
    </row>
    <row r="340" spans="1:33" hidden="1" x14ac:dyDescent="0.2">
      <c r="A340" s="4">
        <f>IF(B340=1,3,IF(D340=1,2,IF(F340=1,1,0)))</f>
        <v>0</v>
      </c>
      <c r="B340" s="4" t="str">
        <f>IF(C340=$L340,1,IF(C340="","",0))</f>
        <v/>
      </c>
      <c r="C340" s="42"/>
      <c r="D340" s="4" t="str">
        <f>IF(E340=$L340,1,IF(E340="","",0))</f>
        <v/>
      </c>
      <c r="E340" s="18"/>
      <c r="F340" s="4" t="str">
        <f>IF(G340=$L340,1,IF(G340="","",0))</f>
        <v/>
      </c>
      <c r="G340" s="14"/>
      <c r="H340" s="6">
        <v>1140</v>
      </c>
      <c r="I340" s="15" t="s">
        <v>3120</v>
      </c>
      <c r="J340" s="6" t="s">
        <v>4261</v>
      </c>
      <c r="K340" s="24" t="s">
        <v>3137</v>
      </c>
      <c r="L340" s="6" t="s">
        <v>1242</v>
      </c>
      <c r="M340" s="6" t="s">
        <v>7248</v>
      </c>
      <c r="N340" s="7">
        <f ca="1">RAND()</f>
        <v>3.7943317162951296E-2</v>
      </c>
      <c r="O340" s="8">
        <v>45205</v>
      </c>
      <c r="P340" s="8">
        <v>45206</v>
      </c>
      <c r="Q340" s="8">
        <v>45208</v>
      </c>
      <c r="R340" s="8">
        <v>45213</v>
      </c>
      <c r="S340" s="8">
        <v>45220</v>
      </c>
      <c r="T340" s="8">
        <v>45232</v>
      </c>
      <c r="U340" s="8">
        <v>45777</v>
      </c>
      <c r="V340" s="10">
        <f>COUNTA(O340:U340)</f>
        <v>7</v>
      </c>
      <c r="W340" s="11">
        <f>_xlfn.IFNA(INDEX(reading[[#This Row],[Memo 01]:[Memo 07]],MATCH(0,reading[[#This Row],[Memo 01]:[Memo 07]],-1)),"")</f>
        <v>45777</v>
      </c>
      <c r="X340" s="11">
        <f ca="1">IFERROR(reading[[#This Row],[Previous]]+OFFSET(reading[[#Headers],[Memo 01]],-1,MATCH(0,reading[[#This Row],[Memo 01]:[Memo 07]],-1)-1),"")</f>
        <v>55777</v>
      </c>
      <c r="Y340" s="10" t="str">
        <f ca="1">IF(reading[[#This Row],[Next]]&lt;&gt;"",IF(reading[[#This Row],[Next]]&gt;TODAY(),"OK",""),"")</f>
        <v>OK</v>
      </c>
      <c r="Z340" s="13">
        <v>3</v>
      </c>
      <c r="AA340" s="13">
        <v>2</v>
      </c>
      <c r="AB340" s="13">
        <v>3</v>
      </c>
      <c r="AC340" s="13">
        <v>2</v>
      </c>
      <c r="AD340" s="13">
        <v>3</v>
      </c>
      <c r="AE340" s="13">
        <v>3</v>
      </c>
      <c r="AF340" s="13">
        <v>3</v>
      </c>
      <c r="AG340" s="16">
        <f>IFERROR(SUMIF(reading[[#This Row],[1st]:[7th]],"&gt;0")/COUNTIF(reading[[#This Row],[1st]:[7th]],"&gt;0"),"")</f>
        <v>2.7142857142857144</v>
      </c>
    </row>
    <row r="341" spans="1:33" hidden="1" x14ac:dyDescent="0.2">
      <c r="A341" s="4">
        <f>IF(B341=1,3,IF(D341=1,2,IF(F341=1,1,0)))</f>
        <v>0</v>
      </c>
      <c r="B341" s="4" t="str">
        <f>IF(C341=$L341,1,IF(C341="","",0))</f>
        <v/>
      </c>
      <c r="C341" s="42"/>
      <c r="D341" s="4" t="str">
        <f>IF(E341=$L341,1,IF(E341="","",0))</f>
        <v/>
      </c>
      <c r="E341" s="18"/>
      <c r="F341" s="4" t="str">
        <f>IF(G341=$L341,1,IF(G341="","",0))</f>
        <v/>
      </c>
      <c r="G341" s="18"/>
      <c r="H341" s="6">
        <v>2987</v>
      </c>
      <c r="I341" s="15" t="s">
        <v>3120</v>
      </c>
      <c r="J341" s="6" t="s">
        <v>6014</v>
      </c>
      <c r="K341" s="6"/>
      <c r="L341" s="6" t="s">
        <v>3016</v>
      </c>
      <c r="M341" s="6" t="s">
        <v>9091</v>
      </c>
      <c r="N341" s="7">
        <f ca="1">RAND()</f>
        <v>0.93538155257693989</v>
      </c>
      <c r="O341" s="8">
        <v>45223</v>
      </c>
      <c r="P341" s="8">
        <v>45224</v>
      </c>
      <c r="Q341" s="8">
        <v>45226</v>
      </c>
      <c r="R341" s="8">
        <v>45230</v>
      </c>
      <c r="S341" s="8">
        <v>45237</v>
      </c>
      <c r="T341" s="8">
        <v>45251</v>
      </c>
      <c r="U341" s="8">
        <v>45792</v>
      </c>
      <c r="V341" s="10">
        <f>COUNTA(O341:U341)</f>
        <v>7</v>
      </c>
      <c r="W341" s="11">
        <f>_xlfn.IFNA(INDEX(reading[[#This Row],[Memo 01]:[Memo 07]],MATCH(0,reading[[#This Row],[Memo 01]:[Memo 07]],-1)),"")</f>
        <v>45792</v>
      </c>
      <c r="X341" s="11">
        <f ca="1">IFERROR(reading[[#This Row],[Previous]]+OFFSET(reading[[#Headers],[Memo 01]],-1,MATCH(0,reading[[#This Row],[Memo 01]:[Memo 07]],-1)-1),"")</f>
        <v>55792</v>
      </c>
      <c r="Y341" s="10" t="str">
        <f ca="1">IF(reading[[#This Row],[Next]]&lt;&gt;"",IF(reading[[#This Row],[Next]]&gt;TODAY(),"OK",""),"")</f>
        <v>OK</v>
      </c>
      <c r="Z341" s="13">
        <v>3</v>
      </c>
      <c r="AA341" s="13">
        <v>1</v>
      </c>
      <c r="AB341" s="13">
        <v>3</v>
      </c>
      <c r="AC341" s="13">
        <v>3</v>
      </c>
      <c r="AD341" s="13">
        <v>3</v>
      </c>
      <c r="AE341" s="13">
        <v>3</v>
      </c>
      <c r="AF341" s="13">
        <v>3</v>
      </c>
      <c r="AG341" s="16">
        <f>IFERROR(SUMIF(reading[[#This Row],[1st]:[7th]],"&gt;0")/COUNTIF(reading[[#This Row],[1st]:[7th]],"&gt;0"),"")</f>
        <v>2.7142857142857144</v>
      </c>
    </row>
    <row r="342" spans="1:33" hidden="1" x14ac:dyDescent="0.2">
      <c r="A342" s="4">
        <f>IF(B342=1,3,IF(D342=1,2,IF(F342=1,1,0)))</f>
        <v>0</v>
      </c>
      <c r="B342" s="4" t="str">
        <f>IF(C342=$L342,1,IF(C342="","",0))</f>
        <v/>
      </c>
      <c r="C342" s="42"/>
      <c r="D342" s="4" t="str">
        <f>IF(E342=$L342,1,IF(E342="","",0))</f>
        <v/>
      </c>
      <c r="E342" s="23"/>
      <c r="F342" s="4" t="str">
        <f>IF(G342=$L342,1,IF(G342="","",0))</f>
        <v/>
      </c>
      <c r="G342" s="14"/>
      <c r="H342" s="6">
        <v>1763</v>
      </c>
      <c r="I342" s="15" t="s">
        <v>3120</v>
      </c>
      <c r="J342" s="6" t="s">
        <v>4870</v>
      </c>
      <c r="K342" s="6"/>
      <c r="L342" s="6" t="s">
        <v>1843</v>
      </c>
      <c r="M342" s="6" t="s">
        <v>7869</v>
      </c>
      <c r="N342" s="7">
        <f ca="1">RAND()</f>
        <v>0.61894471714142252</v>
      </c>
      <c r="O342" s="8">
        <v>45211</v>
      </c>
      <c r="P342" s="8">
        <v>45212</v>
      </c>
      <c r="Q342" s="8">
        <v>45214</v>
      </c>
      <c r="R342" s="8">
        <v>45218</v>
      </c>
      <c r="S342" s="8">
        <v>45225</v>
      </c>
      <c r="T342" s="8">
        <v>45237</v>
      </c>
      <c r="U342" s="8">
        <v>45820</v>
      </c>
      <c r="V342" s="10">
        <f>COUNTA(O342:U342)</f>
        <v>7</v>
      </c>
      <c r="W342" s="11">
        <f>_xlfn.IFNA(INDEX(reading[[#This Row],[Memo 01]:[Memo 07]],MATCH(0,reading[[#This Row],[Memo 01]:[Memo 07]],-1)),"")</f>
        <v>45820</v>
      </c>
      <c r="X342" s="11">
        <f ca="1">IFERROR(reading[[#This Row],[Previous]]+OFFSET(reading[[#Headers],[Memo 01]],-1,MATCH(0,reading[[#This Row],[Memo 01]:[Memo 07]],-1)-1),"")</f>
        <v>55820</v>
      </c>
      <c r="Y342" s="10" t="str">
        <f ca="1">IF(reading[[#This Row],[Next]]&lt;&gt;"",IF(reading[[#This Row],[Next]]&gt;TODAY(),"OK",""),"")</f>
        <v>OK</v>
      </c>
      <c r="Z342" s="13">
        <v>3</v>
      </c>
      <c r="AA342" s="13">
        <v>3</v>
      </c>
      <c r="AB342" s="13">
        <v>3</v>
      </c>
      <c r="AC342" s="13">
        <v>3</v>
      </c>
      <c r="AD342" s="13">
        <v>3</v>
      </c>
      <c r="AE342" s="13">
        <v>3</v>
      </c>
      <c r="AF342" s="13">
        <v>2</v>
      </c>
      <c r="AG342" s="16">
        <f>IFERROR(SUMIF(reading[[#This Row],[1st]:[7th]],"&gt;0")/COUNTIF(reading[[#This Row],[1st]:[7th]],"&gt;0"),"")</f>
        <v>2.8571428571428572</v>
      </c>
    </row>
    <row r="343" spans="1:33" hidden="1" x14ac:dyDescent="0.2">
      <c r="A343" s="4">
        <f>IF(B343=1,3,IF(D343=1,2,IF(F343=1,1,0)))</f>
        <v>0</v>
      </c>
      <c r="B343" s="4" t="str">
        <f>IF(C343=$L343,1,IF(C343="","",0))</f>
        <v/>
      </c>
      <c r="C343" s="42"/>
      <c r="D343" s="4" t="str">
        <f>IF(E343=$L343,1,IF(E343="","",0))</f>
        <v/>
      </c>
      <c r="E343" s="14"/>
      <c r="F343" s="4" t="str">
        <f>IF(G343=$L343,1,IF(G343="","",0))</f>
        <v/>
      </c>
      <c r="G343" s="14"/>
      <c r="H343" s="6">
        <v>1323</v>
      </c>
      <c r="I343" s="15" t="s">
        <v>3120</v>
      </c>
      <c r="J343" s="6" t="s">
        <v>4439</v>
      </c>
      <c r="K343" s="6"/>
      <c r="L343" s="6" t="s">
        <v>1420</v>
      </c>
      <c r="M343" s="6" t="s">
        <v>7430</v>
      </c>
      <c r="N343" s="7">
        <f ca="1">RAND()</f>
        <v>0.20781635378903507</v>
      </c>
      <c r="O343" s="8">
        <v>45207</v>
      </c>
      <c r="P343" s="8">
        <v>45208</v>
      </c>
      <c r="Q343" s="8">
        <v>45210</v>
      </c>
      <c r="R343" s="8">
        <v>45214</v>
      </c>
      <c r="S343" s="8">
        <v>45221</v>
      </c>
      <c r="T343" s="8">
        <v>45233</v>
      </c>
      <c r="U343" s="8">
        <v>45783</v>
      </c>
      <c r="V343" s="10">
        <f>COUNTA(O343:U343)</f>
        <v>7</v>
      </c>
      <c r="W343" s="11">
        <f>_xlfn.IFNA(INDEX(reading[[#This Row],[Memo 01]:[Memo 07]],MATCH(0,reading[[#This Row],[Memo 01]:[Memo 07]],-1)),"")</f>
        <v>45783</v>
      </c>
      <c r="X343" s="11">
        <f ca="1">IFERROR(reading[[#This Row],[Previous]]+OFFSET(reading[[#Headers],[Memo 01]],-1,MATCH(0,reading[[#This Row],[Memo 01]:[Memo 07]],-1)-1),"")</f>
        <v>55783</v>
      </c>
      <c r="Y343" s="10" t="str">
        <f ca="1">IF(reading[[#This Row],[Next]]&lt;&gt;"",IF(reading[[#This Row],[Next]]&gt;TODAY(),"OK",""),"")</f>
        <v>OK</v>
      </c>
      <c r="Z343" s="13">
        <v>3</v>
      </c>
      <c r="AA343" s="13">
        <v>3</v>
      </c>
      <c r="AB343" s="13">
        <v>3</v>
      </c>
      <c r="AC343" s="13">
        <v>3</v>
      </c>
      <c r="AD343" s="13">
        <v>3</v>
      </c>
      <c r="AE343" s="13">
        <v>3</v>
      </c>
      <c r="AF343" s="13">
        <v>3</v>
      </c>
      <c r="AG343" s="16">
        <f>IFERROR(SUMIF(reading[[#This Row],[1st]:[7th]],"&gt;0")/COUNTIF(reading[[#This Row],[1st]:[7th]],"&gt;0"),"")</f>
        <v>3</v>
      </c>
    </row>
    <row r="344" spans="1:33" hidden="1" x14ac:dyDescent="0.2">
      <c r="A344" s="4">
        <f>IF(B344=1,3,IF(D344=1,2,IF(F344=1,1,0)))</f>
        <v>0</v>
      </c>
      <c r="B344" s="4" t="str">
        <f>IF(C344=$L344,1,IF(C344="","",0))</f>
        <v/>
      </c>
      <c r="C344" s="42"/>
      <c r="D344" s="4" t="str">
        <f>IF(E344=$L344,1,IF(E344="","",0))</f>
        <v/>
      </c>
      <c r="E344" s="18"/>
      <c r="F344" s="4" t="str">
        <f>IF(G344=$L344,1,IF(G344="","",0))</f>
        <v/>
      </c>
      <c r="G344" s="14"/>
      <c r="H344" s="6">
        <v>3040</v>
      </c>
      <c r="I344" s="15" t="s">
        <v>3120</v>
      </c>
      <c r="J344" s="6" t="s">
        <v>6062</v>
      </c>
      <c r="K344" s="15" t="s">
        <v>3139</v>
      </c>
      <c r="L344" s="6" t="s">
        <v>3066</v>
      </c>
      <c r="M344" s="6" t="s">
        <v>9143</v>
      </c>
      <c r="N344" s="7">
        <f ca="1">RAND()</f>
        <v>0.10923941916258939</v>
      </c>
      <c r="O344" s="8">
        <v>45224</v>
      </c>
      <c r="P344" s="8">
        <v>45225</v>
      </c>
      <c r="Q344" s="8">
        <v>45227</v>
      </c>
      <c r="R344" s="8">
        <v>45231</v>
      </c>
      <c r="S344" s="8">
        <v>45252</v>
      </c>
      <c r="T344" s="8">
        <v>45824</v>
      </c>
      <c r="U344" s="8"/>
      <c r="V344" s="10">
        <f>COUNTA(O344:U344)</f>
        <v>6</v>
      </c>
      <c r="W344" s="11">
        <f>_xlfn.IFNA(INDEX(reading[[#This Row],[Memo 01]:[Memo 07]],MATCH(0,reading[[#This Row],[Memo 01]:[Memo 07]],-1)),"")</f>
        <v>45824</v>
      </c>
      <c r="X344" s="11">
        <f ca="1">IFERROR(reading[[#This Row],[Previous]]+OFFSET(reading[[#Headers],[Memo 01]],-1,MATCH(0,reading[[#This Row],[Memo 01]:[Memo 07]],-1)-1),"")</f>
        <v>45844</v>
      </c>
      <c r="Y344" s="10" t="str">
        <f ca="1">IF(reading[[#This Row],[Next]]&lt;&gt;"",IF(reading[[#This Row],[Next]]&gt;TODAY(),"OK",""),"")</f>
        <v>OK</v>
      </c>
      <c r="Z344" s="13">
        <v>3</v>
      </c>
      <c r="AA344" s="13">
        <v>3</v>
      </c>
      <c r="AB344" s="13">
        <v>3</v>
      </c>
      <c r="AC344" s="13">
        <v>3</v>
      </c>
      <c r="AD344" s="13">
        <v>2</v>
      </c>
      <c r="AE344" s="13">
        <v>3</v>
      </c>
      <c r="AF344" s="13"/>
      <c r="AG344" s="16">
        <f>IFERROR(SUMIF(reading[[#This Row],[1st]:[7th]],"&gt;0")/COUNTIF(reading[[#This Row],[1st]:[7th]],"&gt;0"),"")</f>
        <v>2.8333333333333335</v>
      </c>
    </row>
    <row r="345" spans="1:33" hidden="1" x14ac:dyDescent="0.2">
      <c r="A345" s="4">
        <f>IF(B345=1,3,IF(D345=1,2,IF(F345=1,1,0)))</f>
        <v>0</v>
      </c>
      <c r="B345" s="4" t="str">
        <f>IF(C345=$L345,1,IF(C345="","",0))</f>
        <v/>
      </c>
      <c r="C345" s="42"/>
      <c r="D345" s="4" t="str">
        <f>IF(E345=$L345,1,IF(E345="","",0))</f>
        <v/>
      </c>
      <c r="E345" s="18"/>
      <c r="F345" s="4" t="str">
        <f>IF(G345=$L345,1,IF(G345="","",0))</f>
        <v/>
      </c>
      <c r="G345" s="14"/>
      <c r="H345" s="6">
        <v>697</v>
      </c>
      <c r="I345" s="15" t="s">
        <v>3120</v>
      </c>
      <c r="J345" s="6" t="s">
        <v>3836</v>
      </c>
      <c r="K345" s="6"/>
      <c r="L345" s="6" t="s">
        <v>820</v>
      </c>
      <c r="M345" s="6" t="s">
        <v>6806</v>
      </c>
      <c r="N345" s="7">
        <f ca="1">RAND()</f>
        <v>0.11055501067490692</v>
      </c>
      <c r="O345" s="8">
        <v>45203</v>
      </c>
      <c r="P345" s="8">
        <v>45204</v>
      </c>
      <c r="Q345" s="8">
        <v>45206</v>
      </c>
      <c r="R345" s="8">
        <v>45210</v>
      </c>
      <c r="S345" s="8">
        <v>45217</v>
      </c>
      <c r="T345" s="8">
        <v>45229</v>
      </c>
      <c r="U345" s="8">
        <v>45823</v>
      </c>
      <c r="V345" s="10">
        <f>COUNTA(O345:U345)</f>
        <v>7</v>
      </c>
      <c r="W345" s="11">
        <f>_xlfn.IFNA(INDEX(reading[[#This Row],[Memo 01]:[Memo 07]],MATCH(0,reading[[#This Row],[Memo 01]:[Memo 07]],-1)),"")</f>
        <v>45823</v>
      </c>
      <c r="X345" s="11">
        <f ca="1">IFERROR(reading[[#This Row],[Previous]]+OFFSET(reading[[#Headers],[Memo 01]],-1,MATCH(0,reading[[#This Row],[Memo 01]:[Memo 07]],-1)-1),"")</f>
        <v>55823</v>
      </c>
      <c r="Y345" s="10" t="str">
        <f ca="1">IF(reading[[#This Row],[Next]]&lt;&gt;"",IF(reading[[#This Row],[Next]]&gt;TODAY(),"OK",""),"")</f>
        <v>OK</v>
      </c>
      <c r="Z345" s="13">
        <v>3</v>
      </c>
      <c r="AA345" s="13">
        <v>3</v>
      </c>
      <c r="AB345" s="13">
        <v>3</v>
      </c>
      <c r="AC345" s="13">
        <v>3</v>
      </c>
      <c r="AD345" s="13">
        <v>2</v>
      </c>
      <c r="AE345" s="13">
        <v>3</v>
      </c>
      <c r="AF345" s="13">
        <v>3</v>
      </c>
      <c r="AG345" s="16">
        <f>IFERROR(SUMIF(reading[[#This Row],[1st]:[7th]],"&gt;0")/COUNTIF(reading[[#This Row],[1st]:[7th]],"&gt;0"),"")</f>
        <v>2.8571428571428572</v>
      </c>
    </row>
    <row r="346" spans="1:33" hidden="1" x14ac:dyDescent="0.2">
      <c r="A346" s="4">
        <f>IF(B346=1,3,IF(D346=1,2,IF(F346=1,1,0)))</f>
        <v>0</v>
      </c>
      <c r="B346" s="4" t="str">
        <f>IF(C346=$L346,1,IF(C346="","",0))</f>
        <v/>
      </c>
      <c r="C346" s="42"/>
      <c r="D346" s="4" t="str">
        <f>IF(E346=$L346,1,IF(E346="","",0))</f>
        <v/>
      </c>
      <c r="E346" s="14"/>
      <c r="F346" s="4" t="str">
        <f>IF(G346=$L346,1,IF(G346="","",0))</f>
        <v/>
      </c>
      <c r="G346" s="14"/>
      <c r="H346" s="6">
        <v>1446</v>
      </c>
      <c r="I346" s="15" t="s">
        <v>3120</v>
      </c>
      <c r="J346" s="6" t="s">
        <v>4560</v>
      </c>
      <c r="K346" s="6"/>
      <c r="L346" s="6" t="s">
        <v>1536</v>
      </c>
      <c r="M346" s="6" t="s">
        <v>7553</v>
      </c>
      <c r="N346" s="7">
        <f ca="1">RAND()</f>
        <v>0.28310533840258056</v>
      </c>
      <c r="O346" s="8">
        <v>45208</v>
      </c>
      <c r="P346" s="8">
        <v>45209</v>
      </c>
      <c r="Q346" s="8">
        <v>45211</v>
      </c>
      <c r="R346" s="8">
        <v>45215</v>
      </c>
      <c r="S346" s="8">
        <v>45222</v>
      </c>
      <c r="T346" s="8">
        <v>45234</v>
      </c>
      <c r="U346" s="8">
        <v>45783</v>
      </c>
      <c r="V346" s="10">
        <f>COUNTA(O346:U346)</f>
        <v>7</v>
      </c>
      <c r="W346" s="11">
        <f>_xlfn.IFNA(INDEX(reading[[#This Row],[Memo 01]:[Memo 07]],MATCH(0,reading[[#This Row],[Memo 01]:[Memo 07]],-1)),"")</f>
        <v>45783</v>
      </c>
      <c r="X346" s="11">
        <f ca="1">IFERROR(reading[[#This Row],[Previous]]+OFFSET(reading[[#Headers],[Memo 01]],-1,MATCH(0,reading[[#This Row],[Memo 01]:[Memo 07]],-1)-1),"")</f>
        <v>55783</v>
      </c>
      <c r="Y346" s="10" t="str">
        <f ca="1">IF(reading[[#This Row],[Next]]&lt;&gt;"",IF(reading[[#This Row],[Next]]&gt;TODAY(),"OK",""),"")</f>
        <v>OK</v>
      </c>
      <c r="Z346" s="13">
        <v>3</v>
      </c>
      <c r="AA346" s="13">
        <v>3</v>
      </c>
      <c r="AB346" s="13">
        <v>3</v>
      </c>
      <c r="AC346" s="13">
        <v>3</v>
      </c>
      <c r="AD346" s="13">
        <v>3</v>
      </c>
      <c r="AE346" s="13">
        <v>3</v>
      </c>
      <c r="AF346" s="13">
        <v>3</v>
      </c>
      <c r="AG346" s="16">
        <f>IFERROR(SUMIF(reading[[#This Row],[1st]:[7th]],"&gt;0")/COUNTIF(reading[[#This Row],[1st]:[7th]],"&gt;0"),"")</f>
        <v>3</v>
      </c>
    </row>
    <row r="347" spans="1:33" hidden="1" x14ac:dyDescent="0.2">
      <c r="A347" s="4">
        <f>IF(B347=1,3,IF(D347=1,2,IF(F347=1,1,0)))</f>
        <v>0</v>
      </c>
      <c r="B347" s="4" t="str">
        <f>IF(C347=$L347,1,IF(C347="","",0))</f>
        <v/>
      </c>
      <c r="C347" s="42"/>
      <c r="D347" s="4" t="str">
        <f>IF(E347=$L347,1,IF(E347="","",0))</f>
        <v/>
      </c>
      <c r="E347" s="14"/>
      <c r="F347" s="4" t="str">
        <f>IF(G347=$L347,1,IF(G347="","",0))</f>
        <v/>
      </c>
      <c r="G347" s="14"/>
      <c r="H347" s="6">
        <v>1532</v>
      </c>
      <c r="I347" s="15" t="s">
        <v>3120</v>
      </c>
      <c r="J347" s="6" t="s">
        <v>4645</v>
      </c>
      <c r="K347" s="6"/>
      <c r="L347" s="6" t="s">
        <v>1617</v>
      </c>
      <c r="M347" s="6" t="s">
        <v>7639</v>
      </c>
      <c r="N347" s="7">
        <f ca="1">RAND()</f>
        <v>0.89263629110687237</v>
      </c>
      <c r="O347" s="8">
        <v>45209</v>
      </c>
      <c r="P347" s="8">
        <v>45210</v>
      </c>
      <c r="Q347" s="8">
        <v>45212</v>
      </c>
      <c r="R347" s="8">
        <v>45216</v>
      </c>
      <c r="S347" s="8">
        <v>45223</v>
      </c>
      <c r="T347" s="8">
        <v>45235</v>
      </c>
      <c r="U347" s="8">
        <v>45818</v>
      </c>
      <c r="V347" s="10">
        <f>COUNTA(O347:U347)</f>
        <v>7</v>
      </c>
      <c r="W347" s="11">
        <f>_xlfn.IFNA(INDEX(reading[[#This Row],[Memo 01]:[Memo 07]],MATCH(0,reading[[#This Row],[Memo 01]:[Memo 07]],-1)),"")</f>
        <v>45818</v>
      </c>
      <c r="X347" s="11">
        <f ca="1">IFERROR(reading[[#This Row],[Previous]]+OFFSET(reading[[#Headers],[Memo 01]],-1,MATCH(0,reading[[#This Row],[Memo 01]:[Memo 07]],-1)-1),"")</f>
        <v>55818</v>
      </c>
      <c r="Y347" s="10" t="str">
        <f ca="1">IF(reading[[#This Row],[Next]]&lt;&gt;"",IF(reading[[#This Row],[Next]]&gt;TODAY(),"OK",""),"")</f>
        <v>OK</v>
      </c>
      <c r="Z347" s="13">
        <v>3</v>
      </c>
      <c r="AA347" s="13">
        <v>3</v>
      </c>
      <c r="AB347" s="13">
        <v>3</v>
      </c>
      <c r="AC347" s="13">
        <v>3</v>
      </c>
      <c r="AD347" s="13">
        <v>3</v>
      </c>
      <c r="AE347" s="13">
        <v>3</v>
      </c>
      <c r="AF347" s="13">
        <v>3</v>
      </c>
      <c r="AG347" s="16">
        <f>IFERROR(SUMIF(reading[[#This Row],[1st]:[7th]],"&gt;0")/COUNTIF(reading[[#This Row],[1st]:[7th]],"&gt;0"),"")</f>
        <v>3</v>
      </c>
    </row>
    <row r="348" spans="1:33" hidden="1" x14ac:dyDescent="0.2">
      <c r="A348" s="4">
        <f>IF(B348=1,3,IF(D348=1,2,IF(F348=1,1,0)))</f>
        <v>0</v>
      </c>
      <c r="B348" s="4" t="str">
        <f>IF(C348=$L348,1,IF(C348="","",0))</f>
        <v/>
      </c>
      <c r="C348" s="41"/>
      <c r="D348" s="4" t="str">
        <f>IF(E348=$L348,1,IF(E348="","",0))</f>
        <v/>
      </c>
      <c r="E348" s="18"/>
      <c r="F348" s="4" t="str">
        <f>IF(G348=$L348,1,IF(G348="","",0))</f>
        <v/>
      </c>
      <c r="G348" s="18"/>
      <c r="H348" s="6">
        <v>853</v>
      </c>
      <c r="I348" s="15" t="s">
        <v>3120</v>
      </c>
      <c r="J348" s="6" t="s">
        <v>3985</v>
      </c>
      <c r="K348" s="6"/>
      <c r="L348" s="6" t="s">
        <v>969</v>
      </c>
      <c r="M348" s="6" t="s">
        <v>6962</v>
      </c>
      <c r="N348" s="7">
        <f ca="1">RAND()</f>
        <v>0.85067440377789649</v>
      </c>
      <c r="O348" s="8">
        <v>45204</v>
      </c>
      <c r="P348" s="8">
        <v>45205</v>
      </c>
      <c r="Q348" s="8">
        <v>45207</v>
      </c>
      <c r="R348" s="8">
        <v>45212</v>
      </c>
      <c r="S348" s="8">
        <v>45219</v>
      </c>
      <c r="T348" s="8">
        <v>45231</v>
      </c>
      <c r="U348" s="8">
        <v>45252</v>
      </c>
      <c r="V348" s="10">
        <f>COUNTA(O348:U348)</f>
        <v>7</v>
      </c>
      <c r="W348" s="11">
        <f>_xlfn.IFNA(INDEX(reading[[#This Row],[Memo 01]:[Memo 07]],MATCH(0,reading[[#This Row],[Memo 01]:[Memo 07]],-1)),"")</f>
        <v>45252</v>
      </c>
      <c r="X348" s="11">
        <f ca="1">IFERROR(reading[[#This Row],[Previous]]+OFFSET(reading[[#Headers],[Memo 01]],-1,MATCH(0,reading[[#This Row],[Memo 01]:[Memo 07]],-1)-1),"")</f>
        <v>55252</v>
      </c>
      <c r="Y348" s="10" t="str">
        <f ca="1">IF(reading[[#This Row],[Next]]&lt;&gt;"",IF(reading[[#This Row],[Next]]&gt;TODAY(),"OK",""),"")</f>
        <v>OK</v>
      </c>
      <c r="Z348" s="13">
        <v>3</v>
      </c>
      <c r="AA348" s="13">
        <v>2</v>
      </c>
      <c r="AB348" s="13">
        <v>3</v>
      </c>
      <c r="AC348" s="13">
        <v>1</v>
      </c>
      <c r="AD348" s="13">
        <v>1</v>
      </c>
      <c r="AE348" s="13">
        <v>2</v>
      </c>
      <c r="AF348" s="13">
        <v>2</v>
      </c>
      <c r="AG348" s="16">
        <f>IFERROR(SUMIF(reading[[#This Row],[1st]:[7th]],"&gt;0")/COUNTIF(reading[[#This Row],[1st]:[7th]],"&gt;0"),"")</f>
        <v>2</v>
      </c>
    </row>
    <row r="349" spans="1:33" hidden="1" x14ac:dyDescent="0.2">
      <c r="A349" s="4">
        <f>IF(B349=1,3,IF(D349=1,2,IF(F349=1,1,0)))</f>
        <v>0</v>
      </c>
      <c r="B349" s="4" t="str">
        <f>IF(C349=$L349,1,IF(C349="","",0))</f>
        <v/>
      </c>
      <c r="C349" s="42"/>
      <c r="D349" s="4" t="str">
        <f>IF(E349=$L349,1,IF(E349="","",0))</f>
        <v/>
      </c>
      <c r="E349" s="14"/>
      <c r="F349" s="4" t="str">
        <f>IF(G349=$L349,1,IF(G349="","",0))</f>
        <v/>
      </c>
      <c r="G349" s="14"/>
      <c r="H349" s="6">
        <v>1179</v>
      </c>
      <c r="I349" s="15" t="s">
        <v>3120</v>
      </c>
      <c r="J349" s="6" t="s">
        <v>4298</v>
      </c>
      <c r="K349" s="6"/>
      <c r="L349" s="6" t="s">
        <v>1281</v>
      </c>
      <c r="M349" s="6" t="s">
        <v>7287</v>
      </c>
      <c r="N349" s="7">
        <f ca="1">RAND()</f>
        <v>0.66848504739672154</v>
      </c>
      <c r="O349" s="8">
        <v>45206</v>
      </c>
      <c r="P349" s="8">
        <v>45207</v>
      </c>
      <c r="Q349" s="8">
        <v>45209</v>
      </c>
      <c r="R349" s="8">
        <v>45213</v>
      </c>
      <c r="S349" s="8">
        <v>45220</v>
      </c>
      <c r="T349" s="8">
        <v>45232</v>
      </c>
      <c r="U349" s="8">
        <v>45818</v>
      </c>
      <c r="V349" s="10">
        <f>COUNTA(O349:U349)</f>
        <v>7</v>
      </c>
      <c r="W349" s="11">
        <f>_xlfn.IFNA(INDEX(reading[[#This Row],[Memo 01]:[Memo 07]],MATCH(0,reading[[#This Row],[Memo 01]:[Memo 07]],-1)),"")</f>
        <v>45818</v>
      </c>
      <c r="X349" s="11">
        <f ca="1">IFERROR(reading[[#This Row],[Previous]]+OFFSET(reading[[#Headers],[Memo 01]],-1,MATCH(0,reading[[#This Row],[Memo 01]:[Memo 07]],-1)-1),"")</f>
        <v>55818</v>
      </c>
      <c r="Y349" s="10" t="str">
        <f ca="1">IF(reading[[#This Row],[Next]]&lt;&gt;"",IF(reading[[#This Row],[Next]]&gt;TODAY(),"OK",""),"")</f>
        <v>OK</v>
      </c>
      <c r="Z349" s="13">
        <v>3</v>
      </c>
      <c r="AA349" s="13">
        <v>3</v>
      </c>
      <c r="AB349" s="13">
        <v>3</v>
      </c>
      <c r="AC349" s="13">
        <v>3</v>
      </c>
      <c r="AD349" s="13">
        <v>3</v>
      </c>
      <c r="AE349" s="13">
        <v>3</v>
      </c>
      <c r="AF349" s="13">
        <v>3</v>
      </c>
      <c r="AG349" s="16">
        <f>IFERROR(SUMIF(reading[[#This Row],[1st]:[7th]],"&gt;0")/COUNTIF(reading[[#This Row],[1st]:[7th]],"&gt;0"),"")</f>
        <v>3</v>
      </c>
    </row>
    <row r="350" spans="1:33" hidden="1" x14ac:dyDescent="0.2">
      <c r="A350" s="4">
        <f>IF(B350=1,3,IF(D350=1,2,IF(F350=1,1,0)))</f>
        <v>0</v>
      </c>
      <c r="B350" s="4" t="str">
        <f>IF(C350=$L350,1,IF(C350="","",0))</f>
        <v/>
      </c>
      <c r="C350" s="42"/>
      <c r="D350" s="4" t="str">
        <f>IF(E350=$L350,1,IF(E350="","",0))</f>
        <v/>
      </c>
      <c r="E350" s="23"/>
      <c r="F350" s="4" t="str">
        <f>IF(G350=$L350,1,IF(G350="","",0))</f>
        <v/>
      </c>
      <c r="G350" s="14"/>
      <c r="H350" s="6">
        <v>2154</v>
      </c>
      <c r="I350" s="15" t="s">
        <v>3120</v>
      </c>
      <c r="J350" s="6" t="s">
        <v>5242</v>
      </c>
      <c r="K350" s="6"/>
      <c r="L350" s="6" t="s">
        <v>2220</v>
      </c>
      <c r="M350" s="6" t="s">
        <v>8260</v>
      </c>
      <c r="N350" s="7">
        <f ca="1">RAND()</f>
        <v>0.54569555440055018</v>
      </c>
      <c r="O350" s="8">
        <v>45214</v>
      </c>
      <c r="P350" s="8">
        <v>45215</v>
      </c>
      <c r="Q350" s="8">
        <v>45217</v>
      </c>
      <c r="R350" s="8">
        <v>45221</v>
      </c>
      <c r="S350" s="8">
        <v>45228</v>
      </c>
      <c r="T350" s="8">
        <v>45820</v>
      </c>
      <c r="U350" s="8"/>
      <c r="V350" s="10">
        <f>COUNTA(O350:U350)</f>
        <v>6</v>
      </c>
      <c r="W350" s="11">
        <f>_xlfn.IFNA(INDEX(reading[[#This Row],[Memo 01]:[Memo 07]],MATCH(0,reading[[#This Row],[Memo 01]:[Memo 07]],-1)),"")</f>
        <v>45820</v>
      </c>
      <c r="X350" s="11">
        <f ca="1">IFERROR(reading[[#This Row],[Previous]]+OFFSET(reading[[#Headers],[Memo 01]],-1,MATCH(0,reading[[#This Row],[Memo 01]:[Memo 07]],-1)-1),"")</f>
        <v>45840</v>
      </c>
      <c r="Y350" s="10" t="str">
        <f ca="1">IF(reading[[#This Row],[Next]]&lt;&gt;"",IF(reading[[#This Row],[Next]]&gt;TODAY(),"OK",""),"")</f>
        <v>OK</v>
      </c>
      <c r="Z350" s="13">
        <v>3</v>
      </c>
      <c r="AA350" s="13">
        <v>3</v>
      </c>
      <c r="AB350" s="13">
        <v>3</v>
      </c>
      <c r="AC350" s="13">
        <v>3</v>
      </c>
      <c r="AD350" s="13">
        <v>3</v>
      </c>
      <c r="AE350" s="13">
        <v>2</v>
      </c>
      <c r="AF350" s="13"/>
      <c r="AG350" s="16">
        <f>IFERROR(SUMIF(reading[[#This Row],[1st]:[7th]],"&gt;0")/COUNTIF(reading[[#This Row],[1st]:[7th]],"&gt;0"),"")</f>
        <v>2.8333333333333335</v>
      </c>
    </row>
    <row r="351" spans="1:33" hidden="1" x14ac:dyDescent="0.2">
      <c r="A351" s="4">
        <f>IF(B351=1,3,IF(D351=1,2,IF(F351=1,1,0)))</f>
        <v>0</v>
      </c>
      <c r="B351" s="4" t="str">
        <f>IF(C351=$L351,1,IF(C351="","",0))</f>
        <v/>
      </c>
      <c r="C351" s="42"/>
      <c r="D351" s="4" t="str">
        <f>IF(E351=$L351,1,IF(E351="","",0))</f>
        <v/>
      </c>
      <c r="E351" s="14"/>
      <c r="F351" s="4" t="str">
        <f>IF(G351=$L351,1,IF(G351="","",0))</f>
        <v/>
      </c>
      <c r="G351" s="14"/>
      <c r="H351" s="6">
        <v>951</v>
      </c>
      <c r="I351" s="15" t="s">
        <v>3120</v>
      </c>
      <c r="J351" s="6" t="s">
        <v>4080</v>
      </c>
      <c r="K351" s="6"/>
      <c r="L351" s="6" t="s">
        <v>1061</v>
      </c>
      <c r="M351" s="6" t="s">
        <v>7059</v>
      </c>
      <c r="N351" s="7">
        <f ca="1">RAND()</f>
        <v>0.52227436859247156</v>
      </c>
      <c r="O351" s="8">
        <v>45204</v>
      </c>
      <c r="P351" s="8">
        <v>45205</v>
      </c>
      <c r="Q351" s="8">
        <v>45207</v>
      </c>
      <c r="R351" s="8">
        <v>45211</v>
      </c>
      <c r="S351" s="8">
        <v>45218</v>
      </c>
      <c r="T351" s="8">
        <v>45230</v>
      </c>
      <c r="U351" s="8">
        <v>45801</v>
      </c>
      <c r="V351" s="10">
        <f>COUNTA(O351:U351)</f>
        <v>7</v>
      </c>
      <c r="W351" s="11">
        <f>_xlfn.IFNA(INDEX(reading[[#This Row],[Memo 01]:[Memo 07]],MATCH(0,reading[[#This Row],[Memo 01]:[Memo 07]],-1)),"")</f>
        <v>45801</v>
      </c>
      <c r="X351" s="11">
        <f ca="1">IFERROR(reading[[#This Row],[Previous]]+OFFSET(reading[[#Headers],[Memo 01]],-1,MATCH(0,reading[[#This Row],[Memo 01]:[Memo 07]],-1)-1),"")</f>
        <v>55801</v>
      </c>
      <c r="Y351" s="10" t="str">
        <f ca="1">IF(reading[[#This Row],[Next]]&lt;&gt;"",IF(reading[[#This Row],[Next]]&gt;TODAY(),"OK",""),"")</f>
        <v>OK</v>
      </c>
      <c r="Z351" s="13">
        <v>3</v>
      </c>
      <c r="AA351" s="13">
        <v>3</v>
      </c>
      <c r="AB351" s="13">
        <v>3</v>
      </c>
      <c r="AC351" s="13">
        <v>3</v>
      </c>
      <c r="AD351" s="13">
        <v>3</v>
      </c>
      <c r="AE351" s="13">
        <v>3</v>
      </c>
      <c r="AF351" s="13">
        <v>3</v>
      </c>
      <c r="AG351" s="16">
        <f>IFERROR(SUMIF(reading[[#This Row],[1st]:[7th]],"&gt;0")/COUNTIF(reading[[#This Row],[1st]:[7th]],"&gt;0"),"")</f>
        <v>3</v>
      </c>
    </row>
    <row r="352" spans="1:33" hidden="1" x14ac:dyDescent="0.2">
      <c r="A352" s="4">
        <f>IF(B352=1,3,IF(D352=1,2,IF(F352=1,1,0)))</f>
        <v>0</v>
      </c>
      <c r="B352" s="4" t="str">
        <f>IF(C352=$L352,1,IF(C352="","",0))</f>
        <v/>
      </c>
      <c r="C352" s="42"/>
      <c r="D352" s="4" t="str">
        <f>IF(E352=$L352,1,IF(E352="","",0))</f>
        <v/>
      </c>
      <c r="E352" s="23"/>
      <c r="F352" s="4" t="str">
        <f>IF(G352=$L352,1,IF(G352="","",0))</f>
        <v/>
      </c>
      <c r="G352" s="14"/>
      <c r="H352" s="6">
        <v>655</v>
      </c>
      <c r="I352" s="15" t="s">
        <v>3120</v>
      </c>
      <c r="J352" s="6" t="s">
        <v>3795</v>
      </c>
      <c r="K352" s="6"/>
      <c r="L352" s="6" t="s">
        <v>778</v>
      </c>
      <c r="M352" s="6" t="s">
        <v>6764</v>
      </c>
      <c r="N352" s="7">
        <f ca="1">RAND()</f>
        <v>0.89529740349246845</v>
      </c>
      <c r="O352" s="8">
        <v>45202</v>
      </c>
      <c r="P352" s="8">
        <v>45203</v>
      </c>
      <c r="Q352" s="8">
        <v>45205</v>
      </c>
      <c r="R352" s="8">
        <v>45209</v>
      </c>
      <c r="S352" s="8">
        <v>45216</v>
      </c>
      <c r="T352" s="8">
        <v>45228</v>
      </c>
      <c r="U352" s="8">
        <v>45777</v>
      </c>
      <c r="V352" s="10">
        <f>COUNTA(O352:U352)</f>
        <v>7</v>
      </c>
      <c r="W352" s="11">
        <f>_xlfn.IFNA(INDEX(reading[[#This Row],[Memo 01]:[Memo 07]],MATCH(0,reading[[#This Row],[Memo 01]:[Memo 07]],-1)),"")</f>
        <v>45777</v>
      </c>
      <c r="X352" s="11">
        <f ca="1">IFERROR(reading[[#This Row],[Previous]]+OFFSET(reading[[#Headers],[Memo 01]],-1,MATCH(0,reading[[#This Row],[Memo 01]:[Memo 07]],-1)-1),"")</f>
        <v>55777</v>
      </c>
      <c r="Y352" s="10" t="str">
        <f ca="1">IF(reading[[#This Row],[Next]]&lt;&gt;"",IF(reading[[#This Row],[Next]]&gt;TODAY(),"OK",""),"")</f>
        <v>OK</v>
      </c>
      <c r="Z352" s="13">
        <v>3</v>
      </c>
      <c r="AA352" s="13">
        <v>3</v>
      </c>
      <c r="AB352" s="13">
        <v>3</v>
      </c>
      <c r="AC352" s="13">
        <v>1</v>
      </c>
      <c r="AD352" s="13">
        <v>3</v>
      </c>
      <c r="AE352" s="13">
        <v>3</v>
      </c>
      <c r="AF352" s="13">
        <v>3</v>
      </c>
      <c r="AG352" s="16">
        <f>IFERROR(SUMIF(reading[[#This Row],[1st]:[7th]],"&gt;0")/COUNTIF(reading[[#This Row],[1st]:[7th]],"&gt;0"),"")</f>
        <v>2.7142857142857144</v>
      </c>
    </row>
    <row r="353" spans="1:33" hidden="1" x14ac:dyDescent="0.2">
      <c r="A353" s="4">
        <f>IF(B353=1,3,IF(D353=1,2,IF(F353=1,1,0)))</f>
        <v>0</v>
      </c>
      <c r="B353" s="4" t="str">
        <f>IF(C353=$L353,1,IF(C353="","",0))</f>
        <v/>
      </c>
      <c r="C353" s="42"/>
      <c r="D353" s="4" t="str">
        <f>IF(E353=$L353,1,IF(E353="","",0))</f>
        <v/>
      </c>
      <c r="E353" s="43"/>
      <c r="F353" s="4" t="str">
        <f>IF(G353=$L353,1,IF(G353="","",0))</f>
        <v/>
      </c>
      <c r="G353" s="18"/>
      <c r="H353" s="6">
        <v>1519</v>
      </c>
      <c r="I353" s="15" t="s">
        <v>3120</v>
      </c>
      <c r="J353" s="6" t="s">
        <v>4632</v>
      </c>
      <c r="K353" s="6"/>
      <c r="L353" s="6" t="s">
        <v>1604</v>
      </c>
      <c r="M353" s="6" t="s">
        <v>7626</v>
      </c>
      <c r="N353" s="7">
        <f ca="1">RAND()</f>
        <v>4.4588788359956277E-2</v>
      </c>
      <c r="O353" s="8">
        <v>45209</v>
      </c>
      <c r="P353" s="8">
        <v>45210</v>
      </c>
      <c r="Q353" s="8">
        <v>45212</v>
      </c>
      <c r="R353" s="8">
        <v>45216</v>
      </c>
      <c r="S353" s="8">
        <v>45223</v>
      </c>
      <c r="T353" s="8">
        <v>45235</v>
      </c>
      <c r="U353" s="8">
        <v>45820</v>
      </c>
      <c r="V353" s="10">
        <f>COUNTA(O353:U353)</f>
        <v>7</v>
      </c>
      <c r="W353" s="11">
        <f>_xlfn.IFNA(INDEX(reading[[#This Row],[Memo 01]:[Memo 07]],MATCH(0,reading[[#This Row],[Memo 01]:[Memo 07]],-1)),"")</f>
        <v>45820</v>
      </c>
      <c r="X353" s="11">
        <f ca="1">IFERROR(reading[[#This Row],[Previous]]+OFFSET(reading[[#Headers],[Memo 01]],-1,MATCH(0,reading[[#This Row],[Memo 01]:[Memo 07]],-1)-1),"")</f>
        <v>55820</v>
      </c>
      <c r="Y353" s="10" t="str">
        <f ca="1">IF(reading[[#This Row],[Next]]&lt;&gt;"",IF(reading[[#This Row],[Next]]&gt;TODAY(),"OK",""),"")</f>
        <v>OK</v>
      </c>
      <c r="Z353" s="13">
        <v>3</v>
      </c>
      <c r="AA353" s="13">
        <v>3</v>
      </c>
      <c r="AB353" s="13">
        <v>3</v>
      </c>
      <c r="AC353" s="13">
        <v>3</v>
      </c>
      <c r="AD353" s="13">
        <v>1</v>
      </c>
      <c r="AE353" s="13">
        <v>3</v>
      </c>
      <c r="AF353" s="13">
        <v>2</v>
      </c>
      <c r="AG353" s="16">
        <f>IFERROR(SUMIF(reading[[#This Row],[1st]:[7th]],"&gt;0")/COUNTIF(reading[[#This Row],[1st]:[7th]],"&gt;0"),"")</f>
        <v>2.5714285714285716</v>
      </c>
    </row>
    <row r="354" spans="1:33" hidden="1" x14ac:dyDescent="0.2">
      <c r="A354" s="4">
        <f>IF(B354=1,3,IF(D354=1,2,IF(F354=1,1,0)))</f>
        <v>0</v>
      </c>
      <c r="B354" s="4" t="str">
        <f>IF(C354=$L354,1,IF(C354="","",0))</f>
        <v/>
      </c>
      <c r="C354" s="20"/>
      <c r="D354" s="4" t="str">
        <f>IF(E354=$L354,1,IF(E354="","",0))</f>
        <v/>
      </c>
      <c r="E354" s="14"/>
      <c r="F354" s="4" t="str">
        <f>IF(G354=$L354,1,IF(G354="","",0))</f>
        <v/>
      </c>
      <c r="G354" s="14"/>
      <c r="H354" s="6">
        <v>357</v>
      </c>
      <c r="I354" s="15" t="s">
        <v>3120</v>
      </c>
      <c r="J354" s="6" t="s">
        <v>3504</v>
      </c>
      <c r="K354" s="6"/>
      <c r="L354" s="6" t="s">
        <v>491</v>
      </c>
      <c r="M354" s="6" t="s">
        <v>6466</v>
      </c>
      <c r="N354" s="7">
        <f ca="1">RAND()</f>
        <v>0.80176784632416775</v>
      </c>
      <c r="O354" s="8">
        <v>45200</v>
      </c>
      <c r="P354" s="8">
        <v>45200</v>
      </c>
      <c r="Q354" s="8">
        <v>45200</v>
      </c>
      <c r="R354" s="8">
        <v>45200</v>
      </c>
      <c r="S354" s="8">
        <v>45200</v>
      </c>
      <c r="T354" s="8">
        <v>45200</v>
      </c>
      <c r="U354" s="8">
        <v>45200</v>
      </c>
      <c r="V354" s="10">
        <f>COUNTA(O354:U354)</f>
        <v>7</v>
      </c>
      <c r="W354" s="11">
        <f>_xlfn.IFNA(INDEX(reading[[#This Row],[Memo 01]:[Memo 07]],MATCH(0,reading[[#This Row],[Memo 01]:[Memo 07]],-1)),"")</f>
        <v>45200</v>
      </c>
      <c r="X354" s="11">
        <f ca="1">IFERROR(reading[[#This Row],[Previous]]+OFFSET(reading[[#Headers],[Memo 01]],-1,MATCH(0,reading[[#This Row],[Memo 01]:[Memo 07]],-1)-1),"")</f>
        <v>55200</v>
      </c>
      <c r="Y354" s="10" t="str">
        <f ca="1">IF(reading[[#This Row],[Next]]&lt;&gt;"",IF(reading[[#This Row],[Next]]&gt;TODAY(),"OK",""),"")</f>
        <v>OK</v>
      </c>
      <c r="Z354" s="13">
        <v>3</v>
      </c>
      <c r="AA354" s="13"/>
      <c r="AB354" s="13"/>
      <c r="AC354" s="13"/>
      <c r="AD354" s="13"/>
      <c r="AE354" s="13"/>
      <c r="AF354" s="13"/>
      <c r="AG354" s="16">
        <f>IFERROR(SUMIF(reading[[#This Row],[1st]:[7th]],"&gt;0")/COUNTIF(reading[[#This Row],[1st]:[7th]],"&gt;0"),"")</f>
        <v>3</v>
      </c>
    </row>
    <row r="355" spans="1:33" hidden="1" x14ac:dyDescent="0.2">
      <c r="A355" s="4">
        <f>IF(B355=1,3,IF(D355=1,2,IF(F355=1,1,0)))</f>
        <v>0</v>
      </c>
      <c r="B355" s="4" t="str">
        <f>IF(C355=$L355,1,IF(C355="","",0))</f>
        <v/>
      </c>
      <c r="C355" s="42"/>
      <c r="D355" s="4" t="str">
        <f>IF(E355=$L355,1,IF(E355="","",0))</f>
        <v/>
      </c>
      <c r="E355" s="14"/>
      <c r="F355" s="4" t="str">
        <f>IF(G355=$L355,1,IF(G355="","",0))</f>
        <v/>
      </c>
      <c r="G355" s="14"/>
      <c r="H355" s="6">
        <v>575</v>
      </c>
      <c r="I355" s="15" t="s">
        <v>3120</v>
      </c>
      <c r="J355" s="6" t="s">
        <v>3718</v>
      </c>
      <c r="K355" s="6"/>
      <c r="L355" s="6" t="s">
        <v>702</v>
      </c>
      <c r="M355" s="6" t="s">
        <v>6684</v>
      </c>
      <c r="N355" s="7">
        <f ca="1">RAND()</f>
        <v>0.17640554764830185</v>
      </c>
      <c r="O355" s="8">
        <v>45202</v>
      </c>
      <c r="P355" s="8">
        <v>45203</v>
      </c>
      <c r="Q355" s="8">
        <v>45205</v>
      </c>
      <c r="R355" s="8">
        <v>45209</v>
      </c>
      <c r="S355" s="8">
        <v>45216</v>
      </c>
      <c r="T355" s="8">
        <v>45228</v>
      </c>
      <c r="U355" s="8">
        <v>45252</v>
      </c>
      <c r="V355" s="10">
        <f>COUNTA(O355:U355)</f>
        <v>7</v>
      </c>
      <c r="W355" s="11">
        <f>_xlfn.IFNA(INDEX(reading[[#This Row],[Memo 01]:[Memo 07]],MATCH(0,reading[[#This Row],[Memo 01]:[Memo 07]],-1)),"")</f>
        <v>45252</v>
      </c>
      <c r="X355" s="11">
        <f ca="1">IFERROR(reading[[#This Row],[Previous]]+OFFSET(reading[[#Headers],[Memo 01]],-1,MATCH(0,reading[[#This Row],[Memo 01]:[Memo 07]],-1)-1),"")</f>
        <v>55252</v>
      </c>
      <c r="Y355" s="10" t="str">
        <f ca="1">IF(reading[[#This Row],[Next]]&lt;&gt;"",IF(reading[[#This Row],[Next]]&gt;TODAY(),"OK",""),"")</f>
        <v>OK</v>
      </c>
      <c r="Z355" s="13">
        <v>3</v>
      </c>
      <c r="AA355" s="13">
        <v>2</v>
      </c>
      <c r="AB355" s="13">
        <v>3</v>
      </c>
      <c r="AC355" s="13">
        <v>3</v>
      </c>
      <c r="AD355" s="13">
        <v>3</v>
      </c>
      <c r="AE355" s="13">
        <v>2</v>
      </c>
      <c r="AF355" s="13">
        <v>3</v>
      </c>
      <c r="AG355" s="16">
        <f>IFERROR(SUMIF(reading[[#This Row],[1st]:[7th]],"&gt;0")/COUNTIF(reading[[#This Row],[1st]:[7th]],"&gt;0"),"")</f>
        <v>2.7142857142857144</v>
      </c>
    </row>
    <row r="356" spans="1:33" hidden="1" x14ac:dyDescent="0.2">
      <c r="A356" s="4">
        <f>IF(B356=1,3,IF(D356=1,2,IF(F356=1,1,0)))</f>
        <v>0</v>
      </c>
      <c r="B356" s="4" t="str">
        <f>IF(C356=$L356,1,IF(C356="","",0))</f>
        <v/>
      </c>
      <c r="C356" s="42"/>
      <c r="D356" s="4" t="str">
        <f>IF(E356=$L356,1,IF(E356="","",0))</f>
        <v/>
      </c>
      <c r="E356" s="14"/>
      <c r="F356" s="4" t="str">
        <f>IF(G356=$L356,1,IF(G356="","",0))</f>
        <v/>
      </c>
      <c r="G356" s="14"/>
      <c r="H356" s="6">
        <v>1117</v>
      </c>
      <c r="I356" s="15" t="s">
        <v>3120</v>
      </c>
      <c r="J356" s="6" t="s">
        <v>4240</v>
      </c>
      <c r="K356" s="6"/>
      <c r="L356" s="6" t="s">
        <v>1223</v>
      </c>
      <c r="M356" s="6" t="s">
        <v>7225</v>
      </c>
      <c r="N356" s="7">
        <f ca="1">RAND()</f>
        <v>0.89328575857968584</v>
      </c>
      <c r="O356" s="8">
        <v>45205</v>
      </c>
      <c r="P356" s="8">
        <v>45206</v>
      </c>
      <c r="Q356" s="8">
        <v>45208</v>
      </c>
      <c r="R356" s="8">
        <v>45212</v>
      </c>
      <c r="S356" s="8">
        <v>45219</v>
      </c>
      <c r="T356" s="8">
        <v>45231</v>
      </c>
      <c r="U356" s="8">
        <v>45783</v>
      </c>
      <c r="V356" s="10">
        <f>COUNTA(O356:U356)</f>
        <v>7</v>
      </c>
      <c r="W356" s="11">
        <f>_xlfn.IFNA(INDEX(reading[[#This Row],[Memo 01]:[Memo 07]],MATCH(0,reading[[#This Row],[Memo 01]:[Memo 07]],-1)),"")</f>
        <v>45783</v>
      </c>
      <c r="X356" s="11">
        <f ca="1">IFERROR(reading[[#This Row],[Previous]]+OFFSET(reading[[#Headers],[Memo 01]],-1,MATCH(0,reading[[#This Row],[Memo 01]:[Memo 07]],-1)-1),"")</f>
        <v>55783</v>
      </c>
      <c r="Y356" s="10" t="str">
        <f ca="1">IF(reading[[#This Row],[Next]]&lt;&gt;"",IF(reading[[#This Row],[Next]]&gt;TODAY(),"OK",""),"")</f>
        <v>OK</v>
      </c>
      <c r="Z356" s="13">
        <v>3</v>
      </c>
      <c r="AA356" s="13">
        <v>3</v>
      </c>
      <c r="AB356" s="13">
        <v>3</v>
      </c>
      <c r="AC356" s="13">
        <v>3</v>
      </c>
      <c r="AD356" s="13">
        <v>3</v>
      </c>
      <c r="AE356" s="13">
        <v>3</v>
      </c>
      <c r="AF356" s="13">
        <v>3</v>
      </c>
      <c r="AG356" s="16">
        <f>IFERROR(SUMIF(reading[[#This Row],[1st]:[7th]],"&gt;0")/COUNTIF(reading[[#This Row],[1st]:[7th]],"&gt;0"),"")</f>
        <v>3</v>
      </c>
    </row>
    <row r="357" spans="1:33" hidden="1" x14ac:dyDescent="0.2">
      <c r="A357" s="4">
        <f>IF(B357=1,3,IF(D357=1,2,IF(F357=1,1,0)))</f>
        <v>0</v>
      </c>
      <c r="B357" s="4" t="str">
        <f>IF(C357=$L357,1,IF(C357="","",0))</f>
        <v/>
      </c>
      <c r="C357" s="43"/>
      <c r="D357" s="4" t="str">
        <f>IF(E357=$L357,1,IF(E357="","",0))</f>
        <v/>
      </c>
      <c r="E357" s="14"/>
      <c r="F357" s="4" t="str">
        <f>IF(G357=$L357,1,IF(G357="","",0))</f>
        <v/>
      </c>
      <c r="G357" s="14"/>
      <c r="H357" s="6">
        <v>3</v>
      </c>
      <c r="I357" s="15" t="s">
        <v>3120</v>
      </c>
      <c r="J357" s="6" t="s">
        <v>3158</v>
      </c>
      <c r="K357" s="6"/>
      <c r="L357" s="6" t="s">
        <v>148</v>
      </c>
      <c r="M357" s="6" t="s">
        <v>6117</v>
      </c>
      <c r="N357" s="7">
        <f ca="1">RAND()</f>
        <v>0.49506355224992504</v>
      </c>
      <c r="O357" s="8">
        <v>45198</v>
      </c>
      <c r="P357" s="8">
        <v>45199</v>
      </c>
      <c r="Q357" s="8">
        <v>45201</v>
      </c>
      <c r="R357" s="8">
        <v>45205</v>
      </c>
      <c r="S357" s="8">
        <v>45212</v>
      </c>
      <c r="T357" s="8">
        <v>45224</v>
      </c>
      <c r="U357" s="8">
        <v>45783</v>
      </c>
      <c r="V357" s="10">
        <f>COUNTA(O357:U357)</f>
        <v>7</v>
      </c>
      <c r="W357" s="11">
        <f>_xlfn.IFNA(INDEX(reading[[#This Row],[Memo 01]:[Memo 07]],MATCH(0,reading[[#This Row],[Memo 01]:[Memo 07]],-1)),"")</f>
        <v>45783</v>
      </c>
      <c r="X357" s="11">
        <f ca="1">IFERROR(reading[[#This Row],[Previous]]+OFFSET(reading[[#Headers],[Memo 01]],-1,MATCH(0,reading[[#This Row],[Memo 01]:[Memo 07]],-1)-1),"")</f>
        <v>55783</v>
      </c>
      <c r="Y357" s="10" t="str">
        <f ca="1">IF(reading[[#This Row],[Next]]&lt;&gt;"",IF(reading[[#This Row],[Next]]&gt;TODAY(),"OK",""),"")</f>
        <v>OK</v>
      </c>
      <c r="Z357" s="13">
        <v>3</v>
      </c>
      <c r="AA357" s="13">
        <v>3</v>
      </c>
      <c r="AB357" s="13">
        <v>3</v>
      </c>
      <c r="AC357" s="13">
        <v>3</v>
      </c>
      <c r="AD357" s="13">
        <v>3</v>
      </c>
      <c r="AE357" s="13">
        <v>3</v>
      </c>
      <c r="AF357" s="13">
        <v>3</v>
      </c>
      <c r="AG357" s="16">
        <f>IFERROR(SUMIF(reading[[#This Row],[1st]:[7th]],"&gt;0")/COUNTIF(reading[[#This Row],[1st]:[7th]],"&gt;0"),"")</f>
        <v>3</v>
      </c>
    </row>
    <row r="358" spans="1:33" hidden="1" x14ac:dyDescent="0.2">
      <c r="A358" s="4">
        <f>IF(B358=1,3,IF(D358=1,2,IF(F358=1,1,0)))</f>
        <v>0</v>
      </c>
      <c r="B358" s="4" t="str">
        <f>IF(C358=$L358,1,IF(C358="","",0))</f>
        <v/>
      </c>
      <c r="C358" s="42"/>
      <c r="D358" s="4" t="str">
        <f>IF(E358=$L358,1,IF(E358="","",0))</f>
        <v/>
      </c>
      <c r="E358" s="18"/>
      <c r="F358" s="4" t="str">
        <f>IF(G358=$L358,1,IF(G358="","",0))</f>
        <v/>
      </c>
      <c r="G358" s="14"/>
      <c r="H358" s="6">
        <v>1671</v>
      </c>
      <c r="I358" s="15" t="s">
        <v>3120</v>
      </c>
      <c r="J358" s="6" t="s">
        <v>4782</v>
      </c>
      <c r="K358" s="6"/>
      <c r="L358" s="6" t="s">
        <v>1752</v>
      </c>
      <c r="M358" s="6" t="s">
        <v>7777</v>
      </c>
      <c r="N358" s="7">
        <f ca="1">RAND()</f>
        <v>0.38507733941962763</v>
      </c>
      <c r="O358" s="8">
        <v>45210</v>
      </c>
      <c r="P358" s="8">
        <v>45211</v>
      </c>
      <c r="Q358" s="8">
        <v>45213</v>
      </c>
      <c r="R358" s="8">
        <v>45217</v>
      </c>
      <c r="S358" s="8">
        <v>45224</v>
      </c>
      <c r="T358" s="8">
        <v>45236</v>
      </c>
      <c r="U358" s="8">
        <v>45783</v>
      </c>
      <c r="V358" s="10">
        <f>COUNTA(O358:U358)</f>
        <v>7</v>
      </c>
      <c r="W358" s="11">
        <f>_xlfn.IFNA(INDEX(reading[[#This Row],[Memo 01]:[Memo 07]],MATCH(0,reading[[#This Row],[Memo 01]:[Memo 07]],-1)),"")</f>
        <v>45783</v>
      </c>
      <c r="X358" s="11">
        <f ca="1">IFERROR(reading[[#This Row],[Previous]]+OFFSET(reading[[#Headers],[Memo 01]],-1,MATCH(0,reading[[#This Row],[Memo 01]:[Memo 07]],-1)-1),"")</f>
        <v>55783</v>
      </c>
      <c r="Y358" s="10" t="str">
        <f ca="1">IF(reading[[#This Row],[Next]]&lt;&gt;"",IF(reading[[#This Row],[Next]]&gt;TODAY(),"OK",""),"")</f>
        <v>OK</v>
      </c>
      <c r="Z358" s="13">
        <v>3</v>
      </c>
      <c r="AA358" s="13">
        <v>3</v>
      </c>
      <c r="AB358" s="13">
        <v>3</v>
      </c>
      <c r="AC358" s="13">
        <v>2</v>
      </c>
      <c r="AD358" s="13">
        <v>3</v>
      </c>
      <c r="AE358" s="13">
        <v>3</v>
      </c>
      <c r="AF358" s="13">
        <v>3</v>
      </c>
      <c r="AG358" s="16">
        <f>IFERROR(SUMIF(reading[[#This Row],[1st]:[7th]],"&gt;0")/COUNTIF(reading[[#This Row],[1st]:[7th]],"&gt;0"),"")</f>
        <v>2.8571428571428572</v>
      </c>
    </row>
    <row r="359" spans="1:33" hidden="1" x14ac:dyDescent="0.2">
      <c r="A359" s="4">
        <f>IF(B359=1,3,IF(D359=1,2,IF(F359=1,1,0)))</f>
        <v>0</v>
      </c>
      <c r="B359" s="4" t="str">
        <f>IF(C359=$L359,1,IF(C359="","",0))</f>
        <v/>
      </c>
      <c r="C359" s="42"/>
      <c r="D359" s="4" t="str">
        <f>IF(E359=$L359,1,IF(E359="","",0))</f>
        <v/>
      </c>
      <c r="E359" s="43"/>
      <c r="F359" s="4" t="str">
        <f>IF(G359=$L359,1,IF(G359="","",0))</f>
        <v/>
      </c>
      <c r="G359" s="14"/>
      <c r="H359" s="6">
        <v>1748</v>
      </c>
      <c r="I359" s="15" t="s">
        <v>3120</v>
      </c>
      <c r="J359" s="6" t="s">
        <v>4856</v>
      </c>
      <c r="K359" s="6"/>
      <c r="L359" s="6" t="s">
        <v>1828</v>
      </c>
      <c r="M359" s="6" t="s">
        <v>7854</v>
      </c>
      <c r="N359" s="7">
        <f ca="1">RAND()</f>
        <v>0.74136544612591004</v>
      </c>
      <c r="O359" s="8">
        <v>45211</v>
      </c>
      <c r="P359" s="8">
        <v>45212</v>
      </c>
      <c r="Q359" s="8">
        <v>45214</v>
      </c>
      <c r="R359" s="8">
        <v>45218</v>
      </c>
      <c r="S359" s="8">
        <v>45225</v>
      </c>
      <c r="T359" s="8">
        <v>45237</v>
      </c>
      <c r="U359" s="8">
        <v>45811</v>
      </c>
      <c r="V359" s="10">
        <f>COUNTA(O359:U359)</f>
        <v>7</v>
      </c>
      <c r="W359" s="11">
        <f>_xlfn.IFNA(INDEX(reading[[#This Row],[Memo 01]:[Memo 07]],MATCH(0,reading[[#This Row],[Memo 01]:[Memo 07]],-1)),"")</f>
        <v>45811</v>
      </c>
      <c r="X359" s="11">
        <f ca="1">IFERROR(reading[[#This Row],[Previous]]+OFFSET(reading[[#Headers],[Memo 01]],-1,MATCH(0,reading[[#This Row],[Memo 01]:[Memo 07]],-1)-1),"")</f>
        <v>55811</v>
      </c>
      <c r="Y359" s="10" t="str">
        <f ca="1">IF(reading[[#This Row],[Next]]&lt;&gt;"",IF(reading[[#This Row],[Next]]&gt;TODAY(),"OK",""),"")</f>
        <v>OK</v>
      </c>
      <c r="Z359" s="13">
        <v>3</v>
      </c>
      <c r="AA359" s="13">
        <v>3</v>
      </c>
      <c r="AB359" s="13">
        <v>3</v>
      </c>
      <c r="AC359" s="13">
        <v>3</v>
      </c>
      <c r="AD359" s="13">
        <v>2</v>
      </c>
      <c r="AE359" s="13">
        <v>3</v>
      </c>
      <c r="AF359" s="13">
        <v>2</v>
      </c>
      <c r="AG359" s="16">
        <f>IFERROR(SUMIF(reading[[#This Row],[1st]:[7th]],"&gt;0")/COUNTIF(reading[[#This Row],[1st]:[7th]],"&gt;0"),"")</f>
        <v>2.7142857142857144</v>
      </c>
    </row>
    <row r="360" spans="1:33" hidden="1" x14ac:dyDescent="0.2">
      <c r="A360" s="4">
        <f>IF(B360=1,3,IF(D360=1,2,IF(F360=1,1,0)))</f>
        <v>0</v>
      </c>
      <c r="B360" s="4" t="str">
        <f>IF(C360=$L360,1,IF(C360="","",0))</f>
        <v/>
      </c>
      <c r="C360" s="42"/>
      <c r="D360" s="4" t="str">
        <f>IF(E360=$L360,1,IF(E360="","",0))</f>
        <v/>
      </c>
      <c r="E360" s="18"/>
      <c r="F360" s="4" t="str">
        <f>IF(G360=$L360,1,IF(G360="","",0))</f>
        <v/>
      </c>
      <c r="G360" s="14"/>
      <c r="H360" s="6">
        <v>1067</v>
      </c>
      <c r="I360" s="15" t="s">
        <v>3120</v>
      </c>
      <c r="J360" s="6" t="s">
        <v>4193</v>
      </c>
      <c r="K360" s="6"/>
      <c r="L360" s="6" t="s">
        <v>1175</v>
      </c>
      <c r="M360" s="6" t="s">
        <v>7175</v>
      </c>
      <c r="N360" s="7">
        <f ca="1">RAND()</f>
        <v>0.13925196816044427</v>
      </c>
      <c r="O360" s="8">
        <v>45205</v>
      </c>
      <c r="P360" s="8">
        <v>45206</v>
      </c>
      <c r="Q360" s="8">
        <v>45208</v>
      </c>
      <c r="R360" s="8">
        <v>45213</v>
      </c>
      <c r="S360" s="8">
        <v>45220</v>
      </c>
      <c r="T360" s="8">
        <v>45232</v>
      </c>
      <c r="U360" s="8">
        <v>45777</v>
      </c>
      <c r="V360" s="10">
        <f>COUNTA(O360:U360)</f>
        <v>7</v>
      </c>
      <c r="W360" s="11">
        <f>_xlfn.IFNA(INDEX(reading[[#This Row],[Memo 01]:[Memo 07]],MATCH(0,reading[[#This Row],[Memo 01]:[Memo 07]],-1)),"")</f>
        <v>45777</v>
      </c>
      <c r="X360" s="11">
        <f ca="1">IFERROR(reading[[#This Row],[Previous]]+OFFSET(reading[[#Headers],[Memo 01]],-1,MATCH(0,reading[[#This Row],[Memo 01]:[Memo 07]],-1)-1),"")</f>
        <v>55777</v>
      </c>
      <c r="Y360" s="10" t="str">
        <f ca="1">IF(reading[[#This Row],[Next]]&lt;&gt;"",IF(reading[[#This Row],[Next]]&gt;TODAY(),"OK",""),"")</f>
        <v>OK</v>
      </c>
      <c r="Z360" s="13">
        <v>3</v>
      </c>
      <c r="AA360" s="13">
        <v>2</v>
      </c>
      <c r="AB360" s="13">
        <v>3</v>
      </c>
      <c r="AC360" s="13">
        <v>2</v>
      </c>
      <c r="AD360" s="13">
        <v>3</v>
      </c>
      <c r="AE360" s="13">
        <v>3</v>
      </c>
      <c r="AF360" s="13">
        <v>3</v>
      </c>
      <c r="AG360" s="16">
        <f>IFERROR(SUMIF(reading[[#This Row],[1st]:[7th]],"&gt;0")/COUNTIF(reading[[#This Row],[1st]:[7th]],"&gt;0"),"")</f>
        <v>2.7142857142857144</v>
      </c>
    </row>
    <row r="361" spans="1:33" hidden="1" x14ac:dyDescent="0.2">
      <c r="A361" s="4">
        <f>IF(B361=1,3,IF(D361=1,2,IF(F361=1,1,0)))</f>
        <v>0</v>
      </c>
      <c r="B361" s="4" t="str">
        <f>IF(C361=$L361,1,IF(C361="","",0))</f>
        <v/>
      </c>
      <c r="C361" s="42"/>
      <c r="D361" s="4" t="str">
        <f>IF(E361=$L361,1,IF(E361="","",0))</f>
        <v/>
      </c>
      <c r="E361" s="14"/>
      <c r="F361" s="4" t="str">
        <f>IF(G361=$L361,1,IF(G361="","",0))</f>
        <v/>
      </c>
      <c r="G361" s="14"/>
      <c r="H361" s="6">
        <v>1548</v>
      </c>
      <c r="I361" s="15" t="s">
        <v>3120</v>
      </c>
      <c r="J361" s="6" t="s">
        <v>4661</v>
      </c>
      <c r="K361" s="6"/>
      <c r="L361" s="6" t="s">
        <v>1633</v>
      </c>
      <c r="M361" s="6" t="s">
        <v>7655</v>
      </c>
      <c r="N361" s="7">
        <f ca="1">RAND()</f>
        <v>0.9105312854337364</v>
      </c>
      <c r="O361" s="8">
        <v>45209</v>
      </c>
      <c r="P361" s="8">
        <v>45210</v>
      </c>
      <c r="Q361" s="8">
        <v>45212</v>
      </c>
      <c r="R361" s="8">
        <v>45216</v>
      </c>
      <c r="S361" s="8">
        <v>45223</v>
      </c>
      <c r="T361" s="8">
        <v>45235</v>
      </c>
      <c r="U361" s="8">
        <v>45783</v>
      </c>
      <c r="V361" s="10">
        <f>COUNTA(O361:U361)</f>
        <v>7</v>
      </c>
      <c r="W361" s="11">
        <f>_xlfn.IFNA(INDEX(reading[[#This Row],[Memo 01]:[Memo 07]],MATCH(0,reading[[#This Row],[Memo 01]:[Memo 07]],-1)),"")</f>
        <v>45783</v>
      </c>
      <c r="X361" s="11">
        <f ca="1">IFERROR(reading[[#This Row],[Previous]]+OFFSET(reading[[#Headers],[Memo 01]],-1,MATCH(0,reading[[#This Row],[Memo 01]:[Memo 07]],-1)-1),"")</f>
        <v>55783</v>
      </c>
      <c r="Y361" s="10" t="str">
        <f ca="1">IF(reading[[#This Row],[Next]]&lt;&gt;"",IF(reading[[#This Row],[Next]]&gt;TODAY(),"OK",""),"")</f>
        <v>OK</v>
      </c>
      <c r="Z361" s="13">
        <v>3</v>
      </c>
      <c r="AA361" s="13">
        <v>2</v>
      </c>
      <c r="AB361" s="13">
        <v>3</v>
      </c>
      <c r="AC361" s="13">
        <v>3</v>
      </c>
      <c r="AD361" s="13">
        <v>3</v>
      </c>
      <c r="AE361" s="13">
        <v>3</v>
      </c>
      <c r="AF361" s="13">
        <v>3</v>
      </c>
      <c r="AG361" s="16">
        <f>IFERROR(SUMIF(reading[[#This Row],[1st]:[7th]],"&gt;0")/COUNTIF(reading[[#This Row],[1st]:[7th]],"&gt;0"),"")</f>
        <v>2.8571428571428572</v>
      </c>
    </row>
    <row r="362" spans="1:33" hidden="1" x14ac:dyDescent="0.2">
      <c r="A362" s="4">
        <f>IF(B362=1,3,IF(D362=1,2,IF(F362=1,1,0)))</f>
        <v>0</v>
      </c>
      <c r="B362" s="4" t="str">
        <f>IF(C362=$L362,1,IF(C362="","",0))</f>
        <v/>
      </c>
      <c r="C362" s="42"/>
      <c r="D362" s="4" t="str">
        <f>IF(E362=$L362,1,IF(E362="","",0))</f>
        <v/>
      </c>
      <c r="E362" s="14"/>
      <c r="F362" s="4" t="str">
        <f>IF(G362=$L362,1,IF(G362="","",0))</f>
        <v/>
      </c>
      <c r="G362" s="14"/>
      <c r="H362" s="6">
        <v>2789</v>
      </c>
      <c r="I362" s="15" t="s">
        <v>3120</v>
      </c>
      <c r="J362" s="6" t="s">
        <v>5832</v>
      </c>
      <c r="K362" s="15" t="s">
        <v>3139</v>
      </c>
      <c r="L362" s="6" t="s">
        <v>2826</v>
      </c>
      <c r="M362" s="6" t="s">
        <v>8893</v>
      </c>
      <c r="N362" s="7">
        <f ca="1">RAND()</f>
        <v>0.91118630059233519</v>
      </c>
      <c r="O362" s="8">
        <v>45221</v>
      </c>
      <c r="P362" s="8">
        <v>45222</v>
      </c>
      <c r="Q362" s="8">
        <v>45224</v>
      </c>
      <c r="R362" s="8">
        <v>45228</v>
      </c>
      <c r="S362" s="8">
        <v>45235</v>
      </c>
      <c r="T362" s="8">
        <v>45792</v>
      </c>
      <c r="U362" s="8">
        <v>45819</v>
      </c>
      <c r="V362" s="10">
        <f>COUNTA(O362:U362)</f>
        <v>7</v>
      </c>
      <c r="W362" s="11">
        <f>_xlfn.IFNA(INDEX(reading[[#This Row],[Memo 01]:[Memo 07]],MATCH(0,reading[[#This Row],[Memo 01]:[Memo 07]],-1)),"")</f>
        <v>45819</v>
      </c>
      <c r="X362" s="11">
        <f ca="1">IFERROR(reading[[#This Row],[Previous]]+OFFSET(reading[[#Headers],[Memo 01]],-1,MATCH(0,reading[[#This Row],[Memo 01]:[Memo 07]],-1)-1),"")</f>
        <v>55819</v>
      </c>
      <c r="Y362" s="10" t="str">
        <f ca="1">IF(reading[[#This Row],[Next]]&lt;&gt;"",IF(reading[[#This Row],[Next]]&gt;TODAY(),"OK",""),"")</f>
        <v>OK</v>
      </c>
      <c r="Z362" s="13">
        <v>3</v>
      </c>
      <c r="AA362" s="13">
        <v>3</v>
      </c>
      <c r="AB362" s="13">
        <v>3</v>
      </c>
      <c r="AC362" s="13">
        <v>3</v>
      </c>
      <c r="AD362" s="13">
        <v>3</v>
      </c>
      <c r="AE362" s="13">
        <v>3</v>
      </c>
      <c r="AF362" s="13">
        <v>3</v>
      </c>
      <c r="AG362" s="16">
        <f>IFERROR(SUMIF(reading[[#This Row],[1st]:[7th]],"&gt;0")/COUNTIF(reading[[#This Row],[1st]:[7th]],"&gt;0"),"")</f>
        <v>3</v>
      </c>
    </row>
    <row r="363" spans="1:33" hidden="1" x14ac:dyDescent="0.2">
      <c r="A363" s="4">
        <f>IF(B363=1,3,IF(D363=1,2,IF(F363=1,1,0)))</f>
        <v>0</v>
      </c>
      <c r="B363" s="4" t="str">
        <f>IF(C363=$L363,1,IF(C363="","",0))</f>
        <v/>
      </c>
      <c r="C363" s="43"/>
      <c r="D363" s="4" t="str">
        <f>IF(E363=$L363,1,IF(E363="","",0))</f>
        <v/>
      </c>
      <c r="E363" s="43"/>
      <c r="F363" s="4" t="str">
        <f>IF(G363=$L363,1,IF(G363="","",0))</f>
        <v/>
      </c>
      <c r="G363" s="23"/>
      <c r="H363" s="6">
        <v>240</v>
      </c>
      <c r="I363" s="15" t="s">
        <v>3120</v>
      </c>
      <c r="J363" s="6" t="s">
        <v>3389</v>
      </c>
      <c r="K363" s="6"/>
      <c r="L363" s="6" t="s">
        <v>375</v>
      </c>
      <c r="M363" s="6" t="s">
        <v>6349</v>
      </c>
      <c r="N363" s="7">
        <f ca="1">RAND()</f>
        <v>0.86445260413913672</v>
      </c>
      <c r="O363" s="8">
        <v>45199</v>
      </c>
      <c r="P363" s="8">
        <v>45200</v>
      </c>
      <c r="Q363" s="8">
        <v>45202</v>
      </c>
      <c r="R363" s="8">
        <v>45206</v>
      </c>
      <c r="S363" s="8">
        <v>45213</v>
      </c>
      <c r="T363" s="8">
        <v>45225</v>
      </c>
      <c r="U363" s="8">
        <v>45811</v>
      </c>
      <c r="V363" s="10">
        <f>COUNTA(O363:U363)</f>
        <v>7</v>
      </c>
      <c r="W363" s="11">
        <f>_xlfn.IFNA(INDEX(reading[[#This Row],[Memo 01]:[Memo 07]],MATCH(0,reading[[#This Row],[Memo 01]:[Memo 07]],-1)),"")</f>
        <v>45811</v>
      </c>
      <c r="X363" s="11">
        <f ca="1">IFERROR(reading[[#This Row],[Previous]]+OFFSET(reading[[#Headers],[Memo 01]],-1,MATCH(0,reading[[#This Row],[Memo 01]:[Memo 07]],-1)-1),"")</f>
        <v>55811</v>
      </c>
      <c r="Y363" s="10" t="str">
        <f ca="1">IF(reading[[#This Row],[Next]]&lt;&gt;"",IF(reading[[#This Row],[Next]]&gt;TODAY(),"OK",""),"")</f>
        <v>OK</v>
      </c>
      <c r="Z363" s="13">
        <v>3</v>
      </c>
      <c r="AA363" s="13">
        <v>3</v>
      </c>
      <c r="AB363" s="13">
        <v>3</v>
      </c>
      <c r="AC363" s="13">
        <v>3</v>
      </c>
      <c r="AD363" s="13">
        <v>2</v>
      </c>
      <c r="AE363" s="13">
        <v>2</v>
      </c>
      <c r="AF363" s="13">
        <v>1</v>
      </c>
      <c r="AG363" s="16">
        <f>IFERROR(SUMIF(reading[[#This Row],[1st]:[7th]],"&gt;0")/COUNTIF(reading[[#This Row],[1st]:[7th]],"&gt;0"),"")</f>
        <v>2.4285714285714284</v>
      </c>
    </row>
    <row r="364" spans="1:33" hidden="1" x14ac:dyDescent="0.2">
      <c r="A364" s="4">
        <f>IF(B364=1,3,IF(D364=1,2,IF(F364=1,1,0)))</f>
        <v>0</v>
      </c>
      <c r="B364" s="4" t="str">
        <f>IF(C364=$L364,1,IF(C364="","",0))</f>
        <v/>
      </c>
      <c r="C364" s="18"/>
      <c r="D364" s="4" t="str">
        <f>IF(E364=$L364,1,IF(E364="","",0))</f>
        <v/>
      </c>
      <c r="E364" s="18"/>
      <c r="F364" s="4" t="str">
        <f>IF(G364=$L364,1,IF(G364="","",0))</f>
        <v/>
      </c>
      <c r="G364" s="14"/>
      <c r="H364" s="6">
        <v>32</v>
      </c>
      <c r="I364" s="15" t="s">
        <v>3120</v>
      </c>
      <c r="J364" s="6" t="s">
        <v>3187</v>
      </c>
      <c r="K364" s="6"/>
      <c r="L364" s="15" t="s">
        <v>175</v>
      </c>
      <c r="M364" s="6" t="s">
        <v>6146</v>
      </c>
      <c r="N364" s="7">
        <f ca="1">RAND()</f>
        <v>7.2053673144953923E-2</v>
      </c>
      <c r="O364" s="8">
        <v>45198</v>
      </c>
      <c r="P364" s="8">
        <v>45199</v>
      </c>
      <c r="Q364" s="8">
        <v>45202</v>
      </c>
      <c r="R364" s="8">
        <v>45206</v>
      </c>
      <c r="S364" s="8">
        <v>45213</v>
      </c>
      <c r="T364" s="8">
        <v>45225</v>
      </c>
      <c r="U364" s="8">
        <v>45252</v>
      </c>
      <c r="V364" s="10">
        <f>COUNTA(O364:U364)</f>
        <v>7</v>
      </c>
      <c r="W364" s="11">
        <f>_xlfn.IFNA(INDEX(reading[[#This Row],[Memo 01]:[Memo 07]],MATCH(0,reading[[#This Row],[Memo 01]:[Memo 07]],-1)),"")</f>
        <v>45252</v>
      </c>
      <c r="X364" s="11">
        <f ca="1">IFERROR(reading[[#This Row],[Previous]]+OFFSET(reading[[#Headers],[Memo 01]],-1,MATCH(0,reading[[#This Row],[Memo 01]:[Memo 07]],-1)-1),"")</f>
        <v>55252</v>
      </c>
      <c r="Y364" s="10" t="str">
        <f ca="1">IF(reading[[#This Row],[Next]]&lt;&gt;"",IF(reading[[#This Row],[Next]]&gt;TODAY(),"OK",""),"")</f>
        <v>OK</v>
      </c>
      <c r="Z364" s="13">
        <v>3</v>
      </c>
      <c r="AA364" s="13">
        <v>3</v>
      </c>
      <c r="AB364" s="13">
        <v>2</v>
      </c>
      <c r="AC364" s="13">
        <v>2</v>
      </c>
      <c r="AD364" s="13">
        <v>3</v>
      </c>
      <c r="AE364" s="13">
        <v>3</v>
      </c>
      <c r="AF364" s="13">
        <v>3</v>
      </c>
      <c r="AG364" s="16">
        <f>IFERROR(SUMIF(reading[[#This Row],[1st]:[7th]],"&gt;0")/COUNTIF(reading[[#This Row],[1st]:[7th]],"&gt;0"),"")</f>
        <v>2.7142857142857144</v>
      </c>
    </row>
    <row r="365" spans="1:33" hidden="1" x14ac:dyDescent="0.2">
      <c r="A365" s="4">
        <f>IF(B365=1,3,IF(D365=1,2,IF(F365=1,1,0)))</f>
        <v>0</v>
      </c>
      <c r="B365" s="4" t="str">
        <f>IF(C365=$L365,1,IF(C365="","",0))</f>
        <v/>
      </c>
      <c r="C365" s="21"/>
      <c r="D365" s="4" t="str">
        <f>IF(E365=$L365,1,IF(E365="","",0))</f>
        <v/>
      </c>
      <c r="E365" s="14"/>
      <c r="F365" s="4" t="str">
        <f>IF(G365=$L365,1,IF(G365="","",0))</f>
        <v/>
      </c>
      <c r="G365" s="14"/>
      <c r="H365" s="6">
        <v>368</v>
      </c>
      <c r="I365" s="15" t="s">
        <v>3120</v>
      </c>
      <c r="J365" s="6" t="s">
        <v>3515</v>
      </c>
      <c r="K365" s="6"/>
      <c r="L365" s="6" t="s">
        <v>501</v>
      </c>
      <c r="M365" s="6" t="s">
        <v>6477</v>
      </c>
      <c r="N365" s="7">
        <f ca="1">RAND()</f>
        <v>0.29730490397133369</v>
      </c>
      <c r="O365" s="8">
        <v>45201</v>
      </c>
      <c r="P365" s="8">
        <v>45201</v>
      </c>
      <c r="Q365" s="8">
        <v>45201</v>
      </c>
      <c r="R365" s="8">
        <v>45201</v>
      </c>
      <c r="S365" s="8">
        <v>45201</v>
      </c>
      <c r="T365" s="8">
        <v>45201</v>
      </c>
      <c r="U365" s="8">
        <v>45201</v>
      </c>
      <c r="V365" s="10">
        <f>COUNTA(O365:U365)</f>
        <v>7</v>
      </c>
      <c r="W365" s="11">
        <f>_xlfn.IFNA(INDEX(reading[[#This Row],[Memo 01]:[Memo 07]],MATCH(0,reading[[#This Row],[Memo 01]:[Memo 07]],-1)),"")</f>
        <v>45201</v>
      </c>
      <c r="X365" s="11">
        <f ca="1">IFERROR(reading[[#This Row],[Previous]]+OFFSET(reading[[#Headers],[Memo 01]],-1,MATCH(0,reading[[#This Row],[Memo 01]:[Memo 07]],-1)-1),"")</f>
        <v>55201</v>
      </c>
      <c r="Y365" s="10" t="str">
        <f ca="1">IF(reading[[#This Row],[Next]]&lt;&gt;"",IF(reading[[#This Row],[Next]]&gt;TODAY(),"OK",""),"")</f>
        <v>OK</v>
      </c>
      <c r="Z365" s="13">
        <v>3</v>
      </c>
      <c r="AA365" s="13"/>
      <c r="AB365" s="13"/>
      <c r="AC365" s="13"/>
      <c r="AD365" s="13"/>
      <c r="AE365" s="13"/>
      <c r="AF365" s="13"/>
      <c r="AG365" s="16">
        <f>IFERROR(SUMIF(reading[[#This Row],[1st]:[7th]],"&gt;0")/COUNTIF(reading[[#This Row],[1st]:[7th]],"&gt;0"),"")</f>
        <v>3</v>
      </c>
    </row>
    <row r="366" spans="1:33" hidden="1" x14ac:dyDescent="0.2">
      <c r="A366" s="4">
        <f>IF(B366=1,3,IF(D366=1,2,IF(F366=1,1,0)))</f>
        <v>0</v>
      </c>
      <c r="B366" s="4" t="str">
        <f>IF(C366=$L366,1,IF(C366="","",0))</f>
        <v/>
      </c>
      <c r="C366" s="42"/>
      <c r="D366" s="4" t="str">
        <f>IF(E366=$L366,1,IF(E366="","",0))</f>
        <v/>
      </c>
      <c r="E366" s="14"/>
      <c r="F366" s="4" t="str">
        <f>IF(G366=$L366,1,IF(G366="","",0))</f>
        <v/>
      </c>
      <c r="G366" s="14"/>
      <c r="H366" s="6">
        <v>2028</v>
      </c>
      <c r="I366" s="15" t="s">
        <v>3120</v>
      </c>
      <c r="J366" s="6" t="s">
        <v>5125</v>
      </c>
      <c r="K366" s="6"/>
      <c r="L366" s="6" t="s">
        <v>2103</v>
      </c>
      <c r="M366" s="6" t="s">
        <v>8134</v>
      </c>
      <c r="N366" s="7">
        <f ca="1">RAND()</f>
        <v>0.72386780550701302</v>
      </c>
      <c r="O366" s="8">
        <v>45213</v>
      </c>
      <c r="P366" s="8">
        <v>45214</v>
      </c>
      <c r="Q366" s="8">
        <v>45216</v>
      </c>
      <c r="R366" s="8">
        <v>45220</v>
      </c>
      <c r="S366" s="8">
        <v>45227</v>
      </c>
      <c r="T366" s="8">
        <v>45819</v>
      </c>
      <c r="U366" s="8"/>
      <c r="V366" s="10">
        <f>COUNTA(O366:U366)</f>
        <v>6</v>
      </c>
      <c r="W366" s="11">
        <f>_xlfn.IFNA(INDEX(reading[[#This Row],[Memo 01]:[Memo 07]],MATCH(0,reading[[#This Row],[Memo 01]:[Memo 07]],-1)),"")</f>
        <v>45819</v>
      </c>
      <c r="X366" s="11">
        <f ca="1">IFERROR(reading[[#This Row],[Previous]]+OFFSET(reading[[#Headers],[Memo 01]],-1,MATCH(0,reading[[#This Row],[Memo 01]:[Memo 07]],-1)-1),"")</f>
        <v>45839</v>
      </c>
      <c r="Y366" s="10" t="str">
        <f ca="1">IF(reading[[#This Row],[Next]]&lt;&gt;"",IF(reading[[#This Row],[Next]]&gt;TODAY(),"OK",""),"")</f>
        <v>OK</v>
      </c>
      <c r="Z366" s="13">
        <v>3</v>
      </c>
      <c r="AA366" s="13">
        <v>3</v>
      </c>
      <c r="AB366" s="13">
        <v>3</v>
      </c>
      <c r="AC366" s="13">
        <v>3</v>
      </c>
      <c r="AD366" s="13">
        <v>3</v>
      </c>
      <c r="AE366" s="13">
        <v>3</v>
      </c>
      <c r="AF366" s="13"/>
      <c r="AG366" s="16">
        <f>IFERROR(SUMIF(reading[[#This Row],[1st]:[7th]],"&gt;0")/COUNTIF(reading[[#This Row],[1st]:[7th]],"&gt;0"),"")</f>
        <v>3</v>
      </c>
    </row>
    <row r="367" spans="1:33" hidden="1" x14ac:dyDescent="0.2">
      <c r="A367" s="4">
        <f>IF(B367=1,3,IF(D367=1,2,IF(F367=1,1,0)))</f>
        <v>0</v>
      </c>
      <c r="B367" s="4" t="str">
        <f>IF(C367=$L367,1,IF(C367="","",0))</f>
        <v/>
      </c>
      <c r="C367" s="42"/>
      <c r="D367" s="4" t="str">
        <f>IF(E367=$L367,1,IF(E367="","",0))</f>
        <v/>
      </c>
      <c r="E367" s="14"/>
      <c r="F367" s="4" t="str">
        <f>IF(G367=$L367,1,IF(G367="","",0))</f>
        <v/>
      </c>
      <c r="G367" s="14"/>
      <c r="H367" s="6">
        <v>1467</v>
      </c>
      <c r="I367" s="15" t="s">
        <v>3120</v>
      </c>
      <c r="J367" s="6" t="s">
        <v>4581</v>
      </c>
      <c r="K367" s="6"/>
      <c r="L367" s="6" t="s">
        <v>1554</v>
      </c>
      <c r="M367" s="6" t="s">
        <v>7574</v>
      </c>
      <c r="N367" s="7">
        <f ca="1">RAND()</f>
        <v>0.48445636590781949</v>
      </c>
      <c r="O367" s="8">
        <v>45208</v>
      </c>
      <c r="P367" s="8">
        <v>45209</v>
      </c>
      <c r="Q367" s="8">
        <v>45211</v>
      </c>
      <c r="R367" s="8">
        <v>45215</v>
      </c>
      <c r="S367" s="8">
        <v>45222</v>
      </c>
      <c r="T367" s="8">
        <v>45234</v>
      </c>
      <c r="U367" s="8">
        <v>45792</v>
      </c>
      <c r="V367" s="10">
        <f>COUNTA(O367:U367)</f>
        <v>7</v>
      </c>
      <c r="W367" s="11">
        <f>_xlfn.IFNA(INDEX(reading[[#This Row],[Memo 01]:[Memo 07]],MATCH(0,reading[[#This Row],[Memo 01]:[Memo 07]],-1)),"")</f>
        <v>45792</v>
      </c>
      <c r="X367" s="11">
        <f ca="1">IFERROR(reading[[#This Row],[Previous]]+OFFSET(reading[[#Headers],[Memo 01]],-1,MATCH(0,reading[[#This Row],[Memo 01]:[Memo 07]],-1)-1),"")</f>
        <v>55792</v>
      </c>
      <c r="Y367" s="10" t="str">
        <f ca="1">IF(reading[[#This Row],[Next]]&lt;&gt;"",IF(reading[[#This Row],[Next]]&gt;TODAY(),"OK",""),"")</f>
        <v>OK</v>
      </c>
      <c r="Z367" s="13">
        <v>3</v>
      </c>
      <c r="AA367" s="13">
        <v>3</v>
      </c>
      <c r="AB367" s="13">
        <v>3</v>
      </c>
      <c r="AC367" s="13">
        <v>3</v>
      </c>
      <c r="AD367" s="13">
        <v>3</v>
      </c>
      <c r="AE367" s="13">
        <v>3</v>
      </c>
      <c r="AF367" s="13">
        <v>3</v>
      </c>
      <c r="AG367" s="16">
        <f>IFERROR(SUMIF(reading[[#This Row],[1st]:[7th]],"&gt;0")/COUNTIF(reading[[#This Row],[1st]:[7th]],"&gt;0"),"")</f>
        <v>3</v>
      </c>
    </row>
    <row r="368" spans="1:33" hidden="1" x14ac:dyDescent="0.2">
      <c r="A368" s="4">
        <f>IF(B368=1,3,IF(D368=1,2,IF(F368=1,1,0)))</f>
        <v>0</v>
      </c>
      <c r="B368" s="4" t="str">
        <f>IF(C368=$L368,1,IF(C368="","",0))</f>
        <v/>
      </c>
      <c r="C368" s="42"/>
      <c r="D368" s="4" t="str">
        <f>IF(E368=$L368,1,IF(E368="","",0))</f>
        <v/>
      </c>
      <c r="E368" s="14"/>
      <c r="F368" s="4" t="str">
        <f>IF(G368=$L368,1,IF(G368="","",0))</f>
        <v/>
      </c>
      <c r="G368" s="14"/>
      <c r="H368" s="6">
        <v>1062</v>
      </c>
      <c r="I368" s="15" t="s">
        <v>3120</v>
      </c>
      <c r="J368" s="6" t="s">
        <v>4188</v>
      </c>
      <c r="K368" s="6"/>
      <c r="L368" s="6" t="s">
        <v>1170</v>
      </c>
      <c r="M368" s="6" t="s">
        <v>7170</v>
      </c>
      <c r="N368" s="7">
        <f ca="1">RAND()</f>
        <v>0.36557180706559245</v>
      </c>
      <c r="O368" s="8">
        <v>45205</v>
      </c>
      <c r="P368" s="8">
        <v>45206</v>
      </c>
      <c r="Q368" s="8">
        <v>45208</v>
      </c>
      <c r="R368" s="8">
        <v>45212</v>
      </c>
      <c r="S368" s="8">
        <v>45219</v>
      </c>
      <c r="T368" s="8">
        <v>45231</v>
      </c>
      <c r="U368" s="8">
        <v>45801</v>
      </c>
      <c r="V368" s="10">
        <f>COUNTA(O368:U368)</f>
        <v>7</v>
      </c>
      <c r="W368" s="11">
        <f>_xlfn.IFNA(INDEX(reading[[#This Row],[Memo 01]:[Memo 07]],MATCH(0,reading[[#This Row],[Memo 01]:[Memo 07]],-1)),"")</f>
        <v>45801</v>
      </c>
      <c r="X368" s="11">
        <f ca="1">IFERROR(reading[[#This Row],[Previous]]+OFFSET(reading[[#Headers],[Memo 01]],-1,MATCH(0,reading[[#This Row],[Memo 01]:[Memo 07]],-1)-1),"")</f>
        <v>55801</v>
      </c>
      <c r="Y368" s="10" t="str">
        <f ca="1">IF(reading[[#This Row],[Next]]&lt;&gt;"",IF(reading[[#This Row],[Next]]&gt;TODAY(),"OK",""),"")</f>
        <v>OK</v>
      </c>
      <c r="Z368" s="13">
        <v>3</v>
      </c>
      <c r="AA368" s="13">
        <v>3</v>
      </c>
      <c r="AB368" s="13">
        <v>3</v>
      </c>
      <c r="AC368" s="13">
        <v>3</v>
      </c>
      <c r="AD368" s="13">
        <v>3</v>
      </c>
      <c r="AE368" s="13">
        <v>3</v>
      </c>
      <c r="AF368" s="13">
        <v>3</v>
      </c>
      <c r="AG368" s="16">
        <f>IFERROR(SUMIF(reading[[#This Row],[1st]:[7th]],"&gt;0")/COUNTIF(reading[[#This Row],[1st]:[7th]],"&gt;0"),"")</f>
        <v>3</v>
      </c>
    </row>
    <row r="369" spans="1:33" hidden="1" x14ac:dyDescent="0.2">
      <c r="A369" s="4">
        <f>IF(B369=1,3,IF(D369=1,2,IF(F369=1,1,0)))</f>
        <v>0</v>
      </c>
      <c r="B369" s="4" t="str">
        <f>IF(C369=$L369,1,IF(C369="","",0))</f>
        <v/>
      </c>
      <c r="C369" s="42"/>
      <c r="D369" s="4" t="str">
        <f>IF(E369=$L369,1,IF(E369="","",0))</f>
        <v/>
      </c>
      <c r="E369" s="18"/>
      <c r="F369" s="4" t="str">
        <f>IF(G369=$L369,1,IF(G369="","",0))</f>
        <v/>
      </c>
      <c r="G369" s="14"/>
      <c r="H369" s="6">
        <v>182</v>
      </c>
      <c r="I369" s="15" t="s">
        <v>3120</v>
      </c>
      <c r="J369" s="6" t="s">
        <v>3331</v>
      </c>
      <c r="K369" s="6"/>
      <c r="L369" s="6" t="s">
        <v>319</v>
      </c>
      <c r="M369" s="6" t="s">
        <v>6291</v>
      </c>
      <c r="N369" s="7">
        <f ca="1">RAND()</f>
        <v>0.50892891924264105</v>
      </c>
      <c r="O369" s="8">
        <v>45199</v>
      </c>
      <c r="P369" s="8">
        <v>45202</v>
      </c>
      <c r="Q369" s="8">
        <v>45204</v>
      </c>
      <c r="R369" s="8">
        <v>45208</v>
      </c>
      <c r="S369" s="8">
        <v>45215</v>
      </c>
      <c r="T369" s="8">
        <v>45227</v>
      </c>
      <c r="U369" s="8">
        <v>45253</v>
      </c>
      <c r="V369" s="10">
        <f>COUNTA(O369:U369)</f>
        <v>7</v>
      </c>
      <c r="W369" s="11">
        <f>_xlfn.IFNA(INDEX(reading[[#This Row],[Memo 01]:[Memo 07]],MATCH(0,reading[[#This Row],[Memo 01]:[Memo 07]],-1)),"")</f>
        <v>45253</v>
      </c>
      <c r="X369" s="11">
        <f ca="1">IFERROR(reading[[#This Row],[Previous]]+OFFSET(reading[[#Headers],[Memo 01]],-1,MATCH(0,reading[[#This Row],[Memo 01]:[Memo 07]],-1)-1),"")</f>
        <v>55253</v>
      </c>
      <c r="Y369" s="10" t="str">
        <f ca="1">IF(reading[[#This Row],[Next]]&lt;&gt;"",IF(reading[[#This Row],[Next]]&gt;TODAY(),"OK",""),"")</f>
        <v>OK</v>
      </c>
      <c r="Z369" s="13">
        <v>3</v>
      </c>
      <c r="AA369" s="13">
        <v>2</v>
      </c>
      <c r="AB369" s="13">
        <v>3</v>
      </c>
      <c r="AC369" s="13">
        <v>3</v>
      </c>
      <c r="AD369" s="13">
        <v>2</v>
      </c>
      <c r="AE369" s="13">
        <v>3</v>
      </c>
      <c r="AF369" s="13">
        <v>2</v>
      </c>
      <c r="AG369" s="16">
        <f>IFERROR(SUMIF(reading[[#This Row],[1st]:[7th]],"&gt;0")/COUNTIF(reading[[#This Row],[1st]:[7th]],"&gt;0"),"")</f>
        <v>2.5714285714285716</v>
      </c>
    </row>
    <row r="370" spans="1:33" hidden="1" x14ac:dyDescent="0.2">
      <c r="A370" s="4">
        <f>IF(B370=1,3,IF(D370=1,2,IF(F370=1,1,0)))</f>
        <v>0</v>
      </c>
      <c r="B370" s="4" t="str">
        <f>IF(C370=$L370,1,IF(C370="","",0))</f>
        <v/>
      </c>
      <c r="C370" s="42"/>
      <c r="D370" s="4" t="str">
        <f>IF(E370=$L370,1,IF(E370="","",0))</f>
        <v/>
      </c>
      <c r="E370" s="14"/>
      <c r="F370" s="4" t="str">
        <f>IF(G370=$L370,1,IF(G370="","",0))</f>
        <v/>
      </c>
      <c r="G370" s="14"/>
      <c r="H370" s="6">
        <v>489</v>
      </c>
      <c r="I370" s="15" t="s">
        <v>3120</v>
      </c>
      <c r="J370" s="6" t="s">
        <v>3635</v>
      </c>
      <c r="K370" s="6"/>
      <c r="L370" s="6" t="s">
        <v>617</v>
      </c>
      <c r="M370" s="6" t="s">
        <v>6598</v>
      </c>
      <c r="N370" s="7">
        <f ca="1">RAND()</f>
        <v>1.2518509019755819E-2</v>
      </c>
      <c r="O370" s="8">
        <v>45202</v>
      </c>
      <c r="P370" s="8">
        <v>45203</v>
      </c>
      <c r="Q370" s="8">
        <v>45205</v>
      </c>
      <c r="R370" s="8">
        <v>45209</v>
      </c>
      <c r="S370" s="8">
        <v>45216</v>
      </c>
      <c r="T370" s="8">
        <v>45228</v>
      </c>
      <c r="U370" s="8">
        <v>45783</v>
      </c>
      <c r="V370" s="10">
        <f>COUNTA(O370:U370)</f>
        <v>7</v>
      </c>
      <c r="W370" s="11">
        <f>_xlfn.IFNA(INDEX(reading[[#This Row],[Memo 01]:[Memo 07]],MATCH(0,reading[[#This Row],[Memo 01]:[Memo 07]],-1)),"")</f>
        <v>45783</v>
      </c>
      <c r="X370" s="11">
        <f ca="1">IFERROR(reading[[#This Row],[Previous]]+OFFSET(reading[[#Headers],[Memo 01]],-1,MATCH(0,reading[[#This Row],[Memo 01]:[Memo 07]],-1)-1),"")</f>
        <v>55783</v>
      </c>
      <c r="Y370" s="10" t="str">
        <f ca="1">IF(reading[[#This Row],[Next]]&lt;&gt;"",IF(reading[[#This Row],[Next]]&gt;TODAY(),"OK",""),"")</f>
        <v>OK</v>
      </c>
      <c r="Z370" s="13">
        <v>3</v>
      </c>
      <c r="AA370" s="13">
        <v>3</v>
      </c>
      <c r="AB370" s="13">
        <v>3</v>
      </c>
      <c r="AC370" s="13">
        <v>3</v>
      </c>
      <c r="AD370" s="13">
        <v>3</v>
      </c>
      <c r="AE370" s="13">
        <v>3</v>
      </c>
      <c r="AF370" s="13">
        <v>3</v>
      </c>
      <c r="AG370" s="16">
        <f>IFERROR(SUMIF(reading[[#This Row],[1st]:[7th]],"&gt;0")/COUNTIF(reading[[#This Row],[1st]:[7th]],"&gt;0"),"")</f>
        <v>3</v>
      </c>
    </row>
    <row r="371" spans="1:33" hidden="1" x14ac:dyDescent="0.2">
      <c r="A371" s="4">
        <f>IF(B371=1,3,IF(D371=1,2,IF(F371=1,1,0)))</f>
        <v>0</v>
      </c>
      <c r="B371" s="4" t="str">
        <f>IF(C371=$L371,1,IF(C371="","",0))</f>
        <v/>
      </c>
      <c r="C371" s="42"/>
      <c r="D371" s="4" t="str">
        <f>IF(E371=$L371,1,IF(E371="","",0))</f>
        <v/>
      </c>
      <c r="E371" s="18"/>
      <c r="F371" s="4" t="str">
        <f>IF(G371=$L371,1,IF(G371="","",0))</f>
        <v/>
      </c>
      <c r="G371" s="18"/>
      <c r="H371" s="6">
        <v>870</v>
      </c>
      <c r="I371" s="15" t="s">
        <v>3120</v>
      </c>
      <c r="J371" s="6" t="s">
        <v>4002</v>
      </c>
      <c r="K371" s="6"/>
      <c r="L371" s="6" t="s">
        <v>985</v>
      </c>
      <c r="M371" s="6" t="s">
        <v>6979</v>
      </c>
      <c r="N371" s="7">
        <f ca="1">RAND()</f>
        <v>0.98831120812651085</v>
      </c>
      <c r="O371" s="8">
        <v>45203</v>
      </c>
      <c r="P371" s="8">
        <v>45204</v>
      </c>
      <c r="Q371" s="8">
        <v>45206</v>
      </c>
      <c r="R371" s="8">
        <v>45210</v>
      </c>
      <c r="S371" s="8">
        <v>45217</v>
      </c>
      <c r="T371" s="8">
        <v>45229</v>
      </c>
      <c r="U371" s="8">
        <v>45777</v>
      </c>
      <c r="V371" s="10">
        <f>COUNTA(O371:U371)</f>
        <v>7</v>
      </c>
      <c r="W371" s="11">
        <f>_xlfn.IFNA(INDEX(reading[[#This Row],[Memo 01]:[Memo 07]],MATCH(0,reading[[#This Row],[Memo 01]:[Memo 07]],-1)),"")</f>
        <v>45777</v>
      </c>
      <c r="X371" s="11">
        <f ca="1">IFERROR(reading[[#This Row],[Previous]]+OFFSET(reading[[#Headers],[Memo 01]],-1,MATCH(0,reading[[#This Row],[Memo 01]:[Memo 07]],-1)-1),"")</f>
        <v>55777</v>
      </c>
      <c r="Y371" s="10" t="str">
        <f ca="1">IF(reading[[#This Row],[Next]]&lt;&gt;"",IF(reading[[#This Row],[Next]]&gt;TODAY(),"OK",""),"")</f>
        <v>OK</v>
      </c>
      <c r="Z371" s="13">
        <v>3</v>
      </c>
      <c r="AA371" s="13">
        <v>3</v>
      </c>
      <c r="AB371" s="13">
        <v>3</v>
      </c>
      <c r="AC371" s="13">
        <v>3</v>
      </c>
      <c r="AD371" s="13">
        <v>1</v>
      </c>
      <c r="AE371" s="13">
        <v>3</v>
      </c>
      <c r="AF371" s="13">
        <v>3</v>
      </c>
      <c r="AG371" s="16">
        <f>IFERROR(SUMIF(reading[[#This Row],[1st]:[7th]],"&gt;0")/COUNTIF(reading[[#This Row],[1st]:[7th]],"&gt;0"),"")</f>
        <v>2.7142857142857144</v>
      </c>
    </row>
    <row r="372" spans="1:33" hidden="1" x14ac:dyDescent="0.2">
      <c r="A372" s="4">
        <f>IF(B372=1,3,IF(D372=1,2,IF(F372=1,1,0)))</f>
        <v>0</v>
      </c>
      <c r="B372" s="4" t="str">
        <f>IF(C372=$L372,1,IF(C372="","",0))</f>
        <v/>
      </c>
      <c r="C372" s="42"/>
      <c r="D372" s="4" t="str">
        <f>IF(E372=$L372,1,IF(E372="","",0))</f>
        <v/>
      </c>
      <c r="E372" s="18"/>
      <c r="F372" s="4" t="str">
        <f>IF(G372=$L372,1,IF(G372="","",0))</f>
        <v/>
      </c>
      <c r="G372" s="14"/>
      <c r="H372" s="6">
        <v>286</v>
      </c>
      <c r="I372" s="15" t="s">
        <v>3120</v>
      </c>
      <c r="J372" s="6" t="s">
        <v>3434</v>
      </c>
      <c r="K372" s="6"/>
      <c r="L372" s="6" t="s">
        <v>421</v>
      </c>
      <c r="M372" s="6" t="s">
        <v>6395</v>
      </c>
      <c r="N372" s="7">
        <f ca="1">RAND()</f>
        <v>0.78886236298267287</v>
      </c>
      <c r="O372" s="8">
        <v>45200</v>
      </c>
      <c r="P372" s="8">
        <v>45201</v>
      </c>
      <c r="Q372" s="8">
        <v>45203</v>
      </c>
      <c r="R372" s="8">
        <v>45207</v>
      </c>
      <c r="S372" s="8">
        <v>45214</v>
      </c>
      <c r="T372" s="8">
        <v>45226</v>
      </c>
      <c r="U372" s="8">
        <v>45252</v>
      </c>
      <c r="V372" s="10">
        <f>COUNTA(O372:U372)</f>
        <v>7</v>
      </c>
      <c r="W372" s="11">
        <f>_xlfn.IFNA(INDEX(reading[[#This Row],[Memo 01]:[Memo 07]],MATCH(0,reading[[#This Row],[Memo 01]:[Memo 07]],-1)),"")</f>
        <v>45252</v>
      </c>
      <c r="X372" s="11">
        <f ca="1">IFERROR(reading[[#This Row],[Previous]]+OFFSET(reading[[#Headers],[Memo 01]],-1,MATCH(0,reading[[#This Row],[Memo 01]:[Memo 07]],-1)-1),"")</f>
        <v>55252</v>
      </c>
      <c r="Y372" s="10" t="str">
        <f ca="1">IF(reading[[#This Row],[Next]]&lt;&gt;"",IF(reading[[#This Row],[Next]]&gt;TODAY(),"OK",""),"")</f>
        <v>OK</v>
      </c>
      <c r="Z372" s="13">
        <v>3</v>
      </c>
      <c r="AA372" s="13">
        <v>3</v>
      </c>
      <c r="AB372" s="13">
        <v>2</v>
      </c>
      <c r="AC372" s="13">
        <v>3</v>
      </c>
      <c r="AD372" s="13">
        <v>3</v>
      </c>
      <c r="AE372" s="13">
        <v>2</v>
      </c>
      <c r="AF372" s="13">
        <v>3</v>
      </c>
      <c r="AG372" s="16">
        <f>IFERROR(SUMIF(reading[[#This Row],[1st]:[7th]],"&gt;0")/COUNTIF(reading[[#This Row],[1st]:[7th]],"&gt;0"),"")</f>
        <v>2.7142857142857144</v>
      </c>
    </row>
    <row r="373" spans="1:33" hidden="1" x14ac:dyDescent="0.2">
      <c r="A373" s="4">
        <f>IF(B373=1,3,IF(D373=1,2,IF(F373=1,1,0)))</f>
        <v>0</v>
      </c>
      <c r="B373" s="4" t="str">
        <f>IF(C373=$L373,1,IF(C373="","",0))</f>
        <v/>
      </c>
      <c r="C373" s="42"/>
      <c r="D373" s="4" t="str">
        <f>IF(E373=$L373,1,IF(E373="","",0))</f>
        <v/>
      </c>
      <c r="E373" s="14"/>
      <c r="F373" s="4" t="str">
        <f>IF(G373=$L373,1,IF(G373="","",0))</f>
        <v/>
      </c>
      <c r="G373" s="14"/>
      <c r="H373" s="6">
        <v>1482</v>
      </c>
      <c r="I373" s="15" t="s">
        <v>3120</v>
      </c>
      <c r="J373" s="6" t="s">
        <v>4596</v>
      </c>
      <c r="K373" s="6" t="s">
        <v>3139</v>
      </c>
      <c r="L373" s="6" t="s">
        <v>1568</v>
      </c>
      <c r="M373" s="6" t="s">
        <v>7589</v>
      </c>
      <c r="N373" s="7">
        <f ca="1">RAND()</f>
        <v>0.13730684234927981</v>
      </c>
      <c r="O373" s="8">
        <v>45208</v>
      </c>
      <c r="P373" s="8">
        <v>45209</v>
      </c>
      <c r="Q373" s="8">
        <v>45211</v>
      </c>
      <c r="R373" s="8">
        <v>45215</v>
      </c>
      <c r="S373" s="8">
        <v>45222</v>
      </c>
      <c r="T373" s="8">
        <v>45234</v>
      </c>
      <c r="U373" s="8">
        <v>45783</v>
      </c>
      <c r="V373" s="10">
        <f>COUNTA(O373:U373)</f>
        <v>7</v>
      </c>
      <c r="W373" s="11">
        <f>_xlfn.IFNA(INDEX(reading[[#This Row],[Memo 01]:[Memo 07]],MATCH(0,reading[[#This Row],[Memo 01]:[Memo 07]],-1)),"")</f>
        <v>45783</v>
      </c>
      <c r="X373" s="11">
        <f ca="1">IFERROR(reading[[#This Row],[Previous]]+OFFSET(reading[[#Headers],[Memo 01]],-1,MATCH(0,reading[[#This Row],[Memo 01]:[Memo 07]],-1)-1),"")</f>
        <v>55783</v>
      </c>
      <c r="Y373" s="10" t="str">
        <f ca="1">IF(reading[[#This Row],[Next]]&lt;&gt;"",IF(reading[[#This Row],[Next]]&gt;TODAY(),"OK",""),"")</f>
        <v>OK</v>
      </c>
      <c r="Z373" s="13">
        <v>3</v>
      </c>
      <c r="AA373" s="13">
        <v>3</v>
      </c>
      <c r="AB373" s="13">
        <v>3</v>
      </c>
      <c r="AC373" s="13">
        <v>3</v>
      </c>
      <c r="AD373" s="13">
        <v>3</v>
      </c>
      <c r="AE373" s="13">
        <v>3</v>
      </c>
      <c r="AF373" s="13">
        <v>3</v>
      </c>
      <c r="AG373" s="16">
        <f>IFERROR(SUMIF(reading[[#This Row],[1st]:[7th]],"&gt;0")/COUNTIF(reading[[#This Row],[1st]:[7th]],"&gt;0"),"")</f>
        <v>3</v>
      </c>
    </row>
    <row r="374" spans="1:33" hidden="1" x14ac:dyDescent="0.2">
      <c r="A374" s="4">
        <f>IF(B374=1,3,IF(D374=1,2,IF(F374=1,1,0)))</f>
        <v>0</v>
      </c>
      <c r="B374" s="4" t="str">
        <f>IF(C374=$L374,1,IF(C374="","",0))</f>
        <v/>
      </c>
      <c r="C374" s="21"/>
      <c r="D374" s="4" t="str">
        <f>IF(E374=$L374,1,IF(E374="","",0))</f>
        <v/>
      </c>
      <c r="E374" s="14"/>
      <c r="F374" s="4" t="str">
        <f>IF(G374=$L374,1,IF(G374="","",0))</f>
        <v/>
      </c>
      <c r="G374" s="14"/>
      <c r="H374" s="6">
        <v>377</v>
      </c>
      <c r="I374" s="15" t="s">
        <v>3120</v>
      </c>
      <c r="J374" s="6" t="s">
        <v>3524</v>
      </c>
      <c r="K374" s="6"/>
      <c r="L374" s="6" t="s">
        <v>510</v>
      </c>
      <c r="M374" s="6" t="s">
        <v>6486</v>
      </c>
      <c r="N374" s="7">
        <f ca="1">RAND()</f>
        <v>0.92653669891327051</v>
      </c>
      <c r="O374" s="8">
        <v>45201</v>
      </c>
      <c r="P374" s="8">
        <v>45201</v>
      </c>
      <c r="Q374" s="8">
        <v>45201</v>
      </c>
      <c r="R374" s="8">
        <v>45201</v>
      </c>
      <c r="S374" s="8">
        <v>45201</v>
      </c>
      <c r="T374" s="8">
        <v>45201</v>
      </c>
      <c r="U374" s="8">
        <v>45201</v>
      </c>
      <c r="V374" s="10">
        <f>COUNTA(O374:U374)</f>
        <v>7</v>
      </c>
      <c r="W374" s="11">
        <f>_xlfn.IFNA(INDEX(reading[[#This Row],[Memo 01]:[Memo 07]],MATCH(0,reading[[#This Row],[Memo 01]:[Memo 07]],-1)),"")</f>
        <v>45201</v>
      </c>
      <c r="X374" s="11">
        <f ca="1">IFERROR(reading[[#This Row],[Previous]]+OFFSET(reading[[#Headers],[Memo 01]],-1,MATCH(0,reading[[#This Row],[Memo 01]:[Memo 07]],-1)-1),"")</f>
        <v>55201</v>
      </c>
      <c r="Y374" s="10" t="str">
        <f ca="1">IF(reading[[#This Row],[Next]]&lt;&gt;"",IF(reading[[#This Row],[Next]]&gt;TODAY(),"OK",""),"")</f>
        <v>OK</v>
      </c>
      <c r="Z374" s="13">
        <v>3</v>
      </c>
      <c r="AA374" s="13"/>
      <c r="AB374" s="13"/>
      <c r="AC374" s="13"/>
      <c r="AD374" s="13"/>
      <c r="AE374" s="13"/>
      <c r="AF374" s="13"/>
      <c r="AG374" s="16">
        <f>IFERROR(SUMIF(reading[[#This Row],[1st]:[7th]],"&gt;0")/COUNTIF(reading[[#This Row],[1st]:[7th]],"&gt;0"),"")</f>
        <v>3</v>
      </c>
    </row>
    <row r="375" spans="1:33" hidden="1" x14ac:dyDescent="0.2">
      <c r="A375" s="4">
        <f>IF(B375=1,3,IF(D375=1,2,IF(F375=1,1,0)))</f>
        <v>0</v>
      </c>
      <c r="B375" s="4">
        <f>IF(C375=$L375,1,IF(C375="","",0))</f>
        <v>0</v>
      </c>
      <c r="C375" s="42" t="s">
        <v>9200</v>
      </c>
      <c r="D375" s="4">
        <f>IF(E375=$L375,1,IF(E375="","",0))</f>
        <v>0</v>
      </c>
      <c r="E375" s="43" t="s">
        <v>9200</v>
      </c>
      <c r="F375" s="4" t="str">
        <f>IF(G375=$L375,1,IF(G375="","",0))</f>
        <v/>
      </c>
      <c r="G375" s="14"/>
      <c r="H375" s="6">
        <v>2614</v>
      </c>
      <c r="I375" s="15" t="s">
        <v>3120</v>
      </c>
      <c r="J375" s="6" t="s">
        <v>5669</v>
      </c>
      <c r="K375" s="15" t="s">
        <v>3139</v>
      </c>
      <c r="L375" s="6" t="s">
        <v>2657</v>
      </c>
      <c r="M375" s="6" t="s">
        <v>8719</v>
      </c>
      <c r="N375" s="7">
        <f ca="1">RAND()</f>
        <v>0.34077647017810631</v>
      </c>
      <c r="O375" s="8">
        <v>45220</v>
      </c>
      <c r="P375" s="8">
        <v>45221</v>
      </c>
      <c r="Q375" s="8">
        <v>45223</v>
      </c>
      <c r="R375" s="8">
        <v>45227</v>
      </c>
      <c r="S375" s="8">
        <v>45234</v>
      </c>
      <c r="T375" s="8"/>
      <c r="U375" s="8"/>
      <c r="V375" s="10">
        <f>COUNTA(O375:U375)</f>
        <v>5</v>
      </c>
      <c r="W375" s="11">
        <f>_xlfn.IFNA(INDEX(reading[[#This Row],[Memo 01]:[Memo 07]],MATCH(0,reading[[#This Row],[Memo 01]:[Memo 07]],-1)),"")</f>
        <v>45234</v>
      </c>
      <c r="X375" s="11">
        <f ca="1">IFERROR(reading[[#This Row],[Previous]]+OFFSET(reading[[#Headers],[Memo 01]],-1,MATCH(0,reading[[#This Row],[Memo 01]:[Memo 07]],-1)-1),"")</f>
        <v>45246</v>
      </c>
      <c r="Y375" s="10" t="str">
        <f ca="1">IF(reading[[#This Row],[Next]]&lt;&gt;"",IF(reading[[#This Row],[Next]]&gt;TODAY(),"OK",""),"")</f>
        <v/>
      </c>
      <c r="Z375" s="13">
        <v>3</v>
      </c>
      <c r="AA375" s="13">
        <v>3</v>
      </c>
      <c r="AB375" s="13">
        <v>3</v>
      </c>
      <c r="AC375" s="13">
        <v>2</v>
      </c>
      <c r="AD375" s="13">
        <v>3</v>
      </c>
      <c r="AE375" s="13"/>
      <c r="AF375" s="13"/>
      <c r="AG375" s="16">
        <f>IFERROR(SUMIF(reading[[#This Row],[1st]:[7th]],"&gt;0")/COUNTIF(reading[[#This Row],[1st]:[7th]],"&gt;0"),"")</f>
        <v>2.8</v>
      </c>
    </row>
    <row r="376" spans="1:33" hidden="1" x14ac:dyDescent="0.2">
      <c r="A376" s="4">
        <f>IF(B376=1,3,IF(D376=1,2,IF(F376=1,1,0)))</f>
        <v>0</v>
      </c>
      <c r="B376" s="4" t="str">
        <f>IF(C376=$L376,1,IF(C376="","",0))</f>
        <v/>
      </c>
      <c r="C376" s="42"/>
      <c r="D376" s="4" t="str">
        <f>IF(E376=$L376,1,IF(E376="","",0))</f>
        <v/>
      </c>
      <c r="E376" s="18"/>
      <c r="F376" s="4" t="str">
        <f>IF(G376=$L376,1,IF(G376="","",0))</f>
        <v/>
      </c>
      <c r="G376" s="14"/>
      <c r="H376" s="6">
        <v>1106</v>
      </c>
      <c r="I376" s="15" t="s">
        <v>3120</v>
      </c>
      <c r="J376" s="6" t="s">
        <v>4229</v>
      </c>
      <c r="K376" s="6"/>
      <c r="L376" s="6" t="s">
        <v>1212</v>
      </c>
      <c r="M376" s="6" t="s">
        <v>7214</v>
      </c>
      <c r="N376" s="7">
        <f ca="1">RAND()</f>
        <v>0.34689082367494573</v>
      </c>
      <c r="O376" s="8">
        <v>45205</v>
      </c>
      <c r="P376" s="8">
        <v>45206</v>
      </c>
      <c r="Q376" s="8">
        <v>45208</v>
      </c>
      <c r="R376" s="8">
        <v>45212</v>
      </c>
      <c r="S376" s="8">
        <v>45219</v>
      </c>
      <c r="T376" s="8">
        <v>45231</v>
      </c>
      <c r="U376" s="8">
        <v>45777</v>
      </c>
      <c r="V376" s="10">
        <f>COUNTA(O376:U376)</f>
        <v>7</v>
      </c>
      <c r="W376" s="11">
        <f>_xlfn.IFNA(INDEX(reading[[#This Row],[Memo 01]:[Memo 07]],MATCH(0,reading[[#This Row],[Memo 01]:[Memo 07]],-1)),"")</f>
        <v>45777</v>
      </c>
      <c r="X376" s="11">
        <f ca="1">IFERROR(reading[[#This Row],[Previous]]+OFFSET(reading[[#Headers],[Memo 01]],-1,MATCH(0,reading[[#This Row],[Memo 01]:[Memo 07]],-1)-1),"")</f>
        <v>55777</v>
      </c>
      <c r="Y376" s="10" t="str">
        <f ca="1">IF(reading[[#This Row],[Next]]&lt;&gt;"",IF(reading[[#This Row],[Next]]&gt;TODAY(),"OK",""),"")</f>
        <v>OK</v>
      </c>
      <c r="Z376" s="13">
        <v>3</v>
      </c>
      <c r="AA376" s="13">
        <v>3</v>
      </c>
      <c r="AB376" s="13">
        <v>3</v>
      </c>
      <c r="AC376" s="13">
        <v>3</v>
      </c>
      <c r="AD376" s="13">
        <v>2</v>
      </c>
      <c r="AE376" s="13">
        <v>2</v>
      </c>
      <c r="AF376" s="13">
        <v>3</v>
      </c>
      <c r="AG376" s="16">
        <f>IFERROR(SUMIF(reading[[#This Row],[1st]:[7th]],"&gt;0")/COUNTIF(reading[[#This Row],[1st]:[7th]],"&gt;0"),"")</f>
        <v>2.7142857142857144</v>
      </c>
    </row>
    <row r="377" spans="1:33" hidden="1" x14ac:dyDescent="0.2">
      <c r="A377" s="4">
        <f>IF(B377=1,3,IF(D377=1,2,IF(F377=1,1,0)))</f>
        <v>0</v>
      </c>
      <c r="B377" s="4" t="str">
        <f>IF(C377=$L377,1,IF(C377="","",0))</f>
        <v/>
      </c>
      <c r="C377" s="42"/>
      <c r="D377" s="4" t="str">
        <f>IF(E377=$L377,1,IF(E377="","",0))</f>
        <v/>
      </c>
      <c r="E377" s="18"/>
      <c r="F377" s="4" t="str">
        <f>IF(G377=$L377,1,IF(G377="","",0))</f>
        <v/>
      </c>
      <c r="G377" s="14"/>
      <c r="H377" s="6">
        <v>187</v>
      </c>
      <c r="I377" s="15" t="s">
        <v>3120</v>
      </c>
      <c r="J377" s="6" t="s">
        <v>3336</v>
      </c>
      <c r="K377" s="6"/>
      <c r="L377" s="6" t="s">
        <v>323</v>
      </c>
      <c r="M377" s="6" t="s">
        <v>6296</v>
      </c>
      <c r="N377" s="7">
        <f ca="1">RAND()</f>
        <v>0.88165888693780259</v>
      </c>
      <c r="O377" s="8">
        <v>45199</v>
      </c>
      <c r="P377" s="8">
        <v>45200</v>
      </c>
      <c r="Q377" s="8">
        <v>45202</v>
      </c>
      <c r="R377" s="8">
        <v>45206</v>
      </c>
      <c r="S377" s="8">
        <v>45213</v>
      </c>
      <c r="T377" s="8">
        <v>45225</v>
      </c>
      <c r="U377" s="8">
        <v>45777</v>
      </c>
      <c r="V377" s="10">
        <f>COUNTA(O377:U377)</f>
        <v>7</v>
      </c>
      <c r="W377" s="11">
        <f>_xlfn.IFNA(INDEX(reading[[#This Row],[Memo 01]:[Memo 07]],MATCH(0,reading[[#This Row],[Memo 01]:[Memo 07]],-1)),"")</f>
        <v>45777</v>
      </c>
      <c r="X377" s="11">
        <f ca="1">IFERROR(reading[[#This Row],[Previous]]+OFFSET(reading[[#Headers],[Memo 01]],-1,MATCH(0,reading[[#This Row],[Memo 01]:[Memo 07]],-1)-1),"")</f>
        <v>55777</v>
      </c>
      <c r="Y377" s="10" t="str">
        <f ca="1">IF(reading[[#This Row],[Next]]&lt;&gt;"",IF(reading[[#This Row],[Next]]&gt;TODAY(),"OK",""),"")</f>
        <v>OK</v>
      </c>
      <c r="Z377" s="13">
        <v>3</v>
      </c>
      <c r="AA377" s="13">
        <v>2</v>
      </c>
      <c r="AB377" s="13">
        <v>3</v>
      </c>
      <c r="AC377" s="13">
        <v>2</v>
      </c>
      <c r="AD377" s="13">
        <v>3</v>
      </c>
      <c r="AE377" s="13">
        <v>3</v>
      </c>
      <c r="AF377" s="13">
        <v>3</v>
      </c>
      <c r="AG377" s="16">
        <f>IFERROR(SUMIF(reading[[#This Row],[1st]:[7th]],"&gt;0")/COUNTIF(reading[[#This Row],[1st]:[7th]],"&gt;0"),"")</f>
        <v>2.7142857142857144</v>
      </c>
    </row>
    <row r="378" spans="1:33" hidden="1" x14ac:dyDescent="0.2">
      <c r="A378" s="4">
        <f>IF(B378=1,3,IF(D378=1,2,IF(F378=1,1,0)))</f>
        <v>0</v>
      </c>
      <c r="B378" s="4" t="str">
        <f>IF(C378=$L378,1,IF(C378="","",0))</f>
        <v/>
      </c>
      <c r="C378" s="42"/>
      <c r="D378" s="4" t="str">
        <f>IF(E378=$L378,1,IF(E378="","",0))</f>
        <v/>
      </c>
      <c r="E378" s="14"/>
      <c r="F378" s="4" t="str">
        <f>IF(G378=$L378,1,IF(G378="","",0))</f>
        <v/>
      </c>
      <c r="G378" s="14"/>
      <c r="H378" s="6">
        <v>1092</v>
      </c>
      <c r="I378" s="15" t="s">
        <v>3120</v>
      </c>
      <c r="J378" s="6" t="s">
        <v>4216</v>
      </c>
      <c r="K378" s="6" t="s">
        <v>3138</v>
      </c>
      <c r="L378" s="6" t="s">
        <v>1198</v>
      </c>
      <c r="M378" s="6" t="s">
        <v>7200</v>
      </c>
      <c r="N378" s="7">
        <f ca="1">RAND()</f>
        <v>0.93772233689609519</v>
      </c>
      <c r="O378" s="8">
        <v>45205</v>
      </c>
      <c r="P378" s="8">
        <v>45206</v>
      </c>
      <c r="Q378" s="8">
        <v>45208</v>
      </c>
      <c r="R378" s="8">
        <v>45213</v>
      </c>
      <c r="S378" s="8">
        <v>45220</v>
      </c>
      <c r="T378" s="8">
        <v>45232</v>
      </c>
      <c r="U378" s="8">
        <v>45252</v>
      </c>
      <c r="V378" s="10">
        <f>COUNTA(O378:U378)</f>
        <v>7</v>
      </c>
      <c r="W378" s="11">
        <f>_xlfn.IFNA(INDEX(reading[[#This Row],[Memo 01]:[Memo 07]],MATCH(0,reading[[#This Row],[Memo 01]:[Memo 07]],-1)),"")</f>
        <v>45252</v>
      </c>
      <c r="X378" s="11">
        <f ca="1">IFERROR(reading[[#This Row],[Previous]]+OFFSET(reading[[#Headers],[Memo 01]],-1,MATCH(0,reading[[#This Row],[Memo 01]:[Memo 07]],-1)-1),"")</f>
        <v>55252</v>
      </c>
      <c r="Y378" s="10" t="str">
        <f ca="1">IF(reading[[#This Row],[Next]]&lt;&gt;"",IF(reading[[#This Row],[Next]]&gt;TODAY(),"OK",""),"")</f>
        <v>OK</v>
      </c>
      <c r="Z378" s="13">
        <v>3</v>
      </c>
      <c r="AA378" s="13">
        <v>3</v>
      </c>
      <c r="AB378" s="13">
        <v>3</v>
      </c>
      <c r="AC378" s="13">
        <v>1</v>
      </c>
      <c r="AD378" s="13">
        <v>3</v>
      </c>
      <c r="AE378" s="13">
        <v>3</v>
      </c>
      <c r="AF378" s="13">
        <v>3</v>
      </c>
      <c r="AG378" s="16">
        <f>IFERROR(SUMIF(reading[[#This Row],[1st]:[7th]],"&gt;0")/COUNTIF(reading[[#This Row],[1st]:[7th]],"&gt;0"),"")</f>
        <v>2.7142857142857144</v>
      </c>
    </row>
    <row r="379" spans="1:33" hidden="1" x14ac:dyDescent="0.2">
      <c r="A379" s="4">
        <f>IF(B379=1,3,IF(D379=1,2,IF(F379=1,1,0)))</f>
        <v>0</v>
      </c>
      <c r="B379" s="4" t="str">
        <f>IF(C379=$L379,1,IF(C379="","",0))</f>
        <v/>
      </c>
      <c r="C379" s="42"/>
      <c r="D379" s="4" t="str">
        <f>IF(E379=$L379,1,IF(E379="","",0))</f>
        <v/>
      </c>
      <c r="E379" s="14"/>
      <c r="F379" s="4" t="str">
        <f>IF(G379=$L379,1,IF(G379="","",0))</f>
        <v/>
      </c>
      <c r="G379" s="14"/>
      <c r="H379" s="6">
        <v>571</v>
      </c>
      <c r="I379" s="15" t="s">
        <v>3120</v>
      </c>
      <c r="J379" s="6" t="s">
        <v>3714</v>
      </c>
      <c r="K379" s="6"/>
      <c r="L379" s="6" t="s">
        <v>698</v>
      </c>
      <c r="M379" s="6" t="s">
        <v>6680</v>
      </c>
      <c r="N379" s="7">
        <f ca="1">RAND()</f>
        <v>0.61682520976678434</v>
      </c>
      <c r="O379" s="8">
        <v>45202</v>
      </c>
      <c r="P379" s="8">
        <v>45203</v>
      </c>
      <c r="Q379" s="8">
        <v>45205</v>
      </c>
      <c r="R379" s="8">
        <v>45209</v>
      </c>
      <c r="S379" s="8">
        <v>45216</v>
      </c>
      <c r="T379" s="8">
        <v>45228</v>
      </c>
      <c r="U379" s="8">
        <v>45783</v>
      </c>
      <c r="V379" s="10">
        <f>COUNTA(O379:U379)</f>
        <v>7</v>
      </c>
      <c r="W379" s="11">
        <f>_xlfn.IFNA(INDEX(reading[[#This Row],[Memo 01]:[Memo 07]],MATCH(0,reading[[#This Row],[Memo 01]:[Memo 07]],-1)),"")</f>
        <v>45783</v>
      </c>
      <c r="X379" s="11">
        <f ca="1">IFERROR(reading[[#This Row],[Previous]]+OFFSET(reading[[#Headers],[Memo 01]],-1,MATCH(0,reading[[#This Row],[Memo 01]:[Memo 07]],-1)-1),"")</f>
        <v>55783</v>
      </c>
      <c r="Y379" s="10" t="str">
        <f ca="1">IF(reading[[#This Row],[Next]]&lt;&gt;"",IF(reading[[#This Row],[Next]]&gt;TODAY(),"OK",""),"")</f>
        <v>OK</v>
      </c>
      <c r="Z379" s="13">
        <v>3</v>
      </c>
      <c r="AA379" s="13">
        <v>3</v>
      </c>
      <c r="AB379" s="13">
        <v>3</v>
      </c>
      <c r="AC379" s="13">
        <v>3</v>
      </c>
      <c r="AD379" s="13">
        <v>3</v>
      </c>
      <c r="AE379" s="13">
        <v>3</v>
      </c>
      <c r="AF379" s="13">
        <v>3</v>
      </c>
      <c r="AG379" s="16">
        <f>IFERROR(SUMIF(reading[[#This Row],[1st]:[7th]],"&gt;0")/COUNTIF(reading[[#This Row],[1st]:[7th]],"&gt;0"),"")</f>
        <v>3</v>
      </c>
    </row>
    <row r="380" spans="1:33" hidden="1" x14ac:dyDescent="0.2">
      <c r="A380" s="4">
        <f>IF(B380=1,3,IF(D380=1,2,IF(F380=1,1,0)))</f>
        <v>0</v>
      </c>
      <c r="B380" s="4" t="str">
        <f>IF(C380=$L380,1,IF(C380="","",0))</f>
        <v/>
      </c>
      <c r="C380" s="18"/>
      <c r="D380" s="4" t="str">
        <f>IF(E380=$L380,1,IF(E380="","",0))</f>
        <v/>
      </c>
      <c r="E380" s="18"/>
      <c r="F380" s="4" t="str">
        <f>IF(G380=$L380,1,IF(G380="","",0))</f>
        <v/>
      </c>
      <c r="G380" s="18"/>
      <c r="H380" s="6">
        <v>73</v>
      </c>
      <c r="I380" s="15" t="s">
        <v>3120</v>
      </c>
      <c r="J380" s="6" t="s">
        <v>3223</v>
      </c>
      <c r="K380" s="6"/>
      <c r="L380" s="6" t="s">
        <v>211</v>
      </c>
      <c r="M380" s="6" t="s">
        <v>6182</v>
      </c>
      <c r="N380" s="7">
        <f ca="1">RAND()</f>
        <v>0.10293234700872078</v>
      </c>
      <c r="O380" s="8">
        <v>45198</v>
      </c>
      <c r="P380" s="8">
        <v>45199</v>
      </c>
      <c r="Q380" s="8">
        <v>45202</v>
      </c>
      <c r="R380" s="8">
        <v>45206</v>
      </c>
      <c r="S380" s="8">
        <v>45213</v>
      </c>
      <c r="T380" s="8">
        <v>45226</v>
      </c>
      <c r="U380" s="8">
        <v>45250</v>
      </c>
      <c r="V380" s="10">
        <f>COUNTA(O380:U380)</f>
        <v>7</v>
      </c>
      <c r="W380" s="11">
        <f>_xlfn.IFNA(INDEX(reading[[#This Row],[Memo 01]:[Memo 07]],MATCH(0,reading[[#This Row],[Memo 01]:[Memo 07]],-1)),"")</f>
        <v>45250</v>
      </c>
      <c r="X380" s="11">
        <f ca="1">IFERROR(reading[[#This Row],[Previous]]+OFFSET(reading[[#Headers],[Memo 01]],-1,MATCH(0,reading[[#This Row],[Memo 01]:[Memo 07]],-1)-1),"")</f>
        <v>55250</v>
      </c>
      <c r="Y380" s="10" t="str">
        <f ca="1">IF(reading[[#This Row],[Next]]&lt;&gt;"",IF(reading[[#This Row],[Next]]&gt;TODAY(),"OK",""),"")</f>
        <v>OK</v>
      </c>
      <c r="Z380" s="13">
        <v>3</v>
      </c>
      <c r="AA380" s="13">
        <v>3</v>
      </c>
      <c r="AB380" s="13">
        <v>2</v>
      </c>
      <c r="AC380" s="13">
        <v>2</v>
      </c>
      <c r="AD380" s="13">
        <v>2</v>
      </c>
      <c r="AE380" s="13">
        <v>1</v>
      </c>
      <c r="AF380" s="13">
        <v>1</v>
      </c>
      <c r="AG380" s="16">
        <f>IFERROR(SUMIF(reading[[#This Row],[1st]:[7th]],"&gt;0")/COUNTIF(reading[[#This Row],[1st]:[7th]],"&gt;0"),"")</f>
        <v>2</v>
      </c>
    </row>
    <row r="381" spans="1:33" hidden="1" x14ac:dyDescent="0.2">
      <c r="A381" s="4">
        <f>IF(B381=1,3,IF(D381=1,2,IF(F381=1,1,0)))</f>
        <v>0</v>
      </c>
      <c r="B381" s="4" t="str">
        <f>IF(C381=$L381,1,IF(C381="","",0))</f>
        <v/>
      </c>
      <c r="C381" s="42"/>
      <c r="D381" s="4" t="str">
        <f>IF(E381=$L381,1,IF(E381="","",0))</f>
        <v/>
      </c>
      <c r="E381" s="18"/>
      <c r="F381" s="4" t="str">
        <f>IF(G381=$L381,1,IF(G381="","",0))</f>
        <v/>
      </c>
      <c r="G381" s="14"/>
      <c r="H381" s="6">
        <v>173</v>
      </c>
      <c r="I381" s="15" t="s">
        <v>3120</v>
      </c>
      <c r="J381" s="6" t="s">
        <v>3322</v>
      </c>
      <c r="K381" s="6"/>
      <c r="L381" s="6" t="s">
        <v>310</v>
      </c>
      <c r="M381" s="6" t="s">
        <v>6282</v>
      </c>
      <c r="N381" s="7">
        <f ca="1">RAND()</f>
        <v>0.27626394369975682</v>
      </c>
      <c r="O381" s="8">
        <v>45199</v>
      </c>
      <c r="P381" s="8">
        <v>45200</v>
      </c>
      <c r="Q381" s="8">
        <v>45202</v>
      </c>
      <c r="R381" s="8">
        <v>45206</v>
      </c>
      <c r="S381" s="8">
        <v>45213</v>
      </c>
      <c r="T381" s="8">
        <v>45225</v>
      </c>
      <c r="U381" s="8">
        <v>45777</v>
      </c>
      <c r="V381" s="10">
        <f>COUNTA(O381:U381)</f>
        <v>7</v>
      </c>
      <c r="W381" s="11">
        <f>_xlfn.IFNA(INDEX(reading[[#This Row],[Memo 01]:[Memo 07]],MATCH(0,reading[[#This Row],[Memo 01]:[Memo 07]],-1)),"")</f>
        <v>45777</v>
      </c>
      <c r="X381" s="11">
        <f ca="1">IFERROR(reading[[#This Row],[Previous]]+OFFSET(reading[[#Headers],[Memo 01]],-1,MATCH(0,reading[[#This Row],[Memo 01]:[Memo 07]],-1)-1),"")</f>
        <v>55777</v>
      </c>
      <c r="Y381" s="10" t="str">
        <f ca="1">IF(reading[[#This Row],[Next]]&lt;&gt;"",IF(reading[[#This Row],[Next]]&gt;TODAY(),"OK",""),"")</f>
        <v>OK</v>
      </c>
      <c r="Z381" s="13">
        <v>2</v>
      </c>
      <c r="AA381" s="13">
        <v>2</v>
      </c>
      <c r="AB381" s="13">
        <v>3</v>
      </c>
      <c r="AC381" s="13">
        <v>3</v>
      </c>
      <c r="AD381" s="13">
        <v>3</v>
      </c>
      <c r="AE381" s="13">
        <v>3</v>
      </c>
      <c r="AF381" s="13">
        <v>3</v>
      </c>
      <c r="AG381" s="16">
        <f>IFERROR(SUMIF(reading[[#This Row],[1st]:[7th]],"&gt;0")/COUNTIF(reading[[#This Row],[1st]:[7th]],"&gt;0"),"")</f>
        <v>2.7142857142857144</v>
      </c>
    </row>
    <row r="382" spans="1:33" hidden="1" x14ac:dyDescent="0.2">
      <c r="A382" s="4">
        <f>IF(B382=1,3,IF(D382=1,2,IF(F382=1,1,0)))</f>
        <v>0</v>
      </c>
      <c r="B382" s="4" t="str">
        <f>IF(C382=$L382,1,IF(C382="","",0))</f>
        <v/>
      </c>
      <c r="C382" s="42"/>
      <c r="D382" s="4" t="str">
        <f>IF(E382=$L382,1,IF(E382="","",0))</f>
        <v/>
      </c>
      <c r="E382" s="14"/>
      <c r="F382" s="4" t="str">
        <f>IF(G382=$L382,1,IF(G382="","",0))</f>
        <v/>
      </c>
      <c r="G382" s="14"/>
      <c r="H382" s="6">
        <v>2065</v>
      </c>
      <c r="I382" s="15" t="s">
        <v>3120</v>
      </c>
      <c r="J382" s="6" t="s">
        <v>5160</v>
      </c>
      <c r="K382" s="6"/>
      <c r="L382" s="6" t="s">
        <v>60</v>
      </c>
      <c r="M382" s="6" t="s">
        <v>8171</v>
      </c>
      <c r="N382" s="7">
        <f ca="1">RAND()</f>
        <v>0.9306953800413057</v>
      </c>
      <c r="O382" s="8">
        <v>45214</v>
      </c>
      <c r="P382" s="8">
        <v>45215</v>
      </c>
      <c r="Q382" s="8">
        <v>45217</v>
      </c>
      <c r="R382" s="8">
        <v>45221</v>
      </c>
      <c r="S382" s="8">
        <v>45228</v>
      </c>
      <c r="T382" s="8">
        <v>45819</v>
      </c>
      <c r="U382" s="8"/>
      <c r="V382" s="10">
        <f>COUNTA(O382:U382)</f>
        <v>6</v>
      </c>
      <c r="W382" s="11">
        <f>_xlfn.IFNA(INDEX(reading[[#This Row],[Memo 01]:[Memo 07]],MATCH(0,reading[[#This Row],[Memo 01]:[Memo 07]],-1)),"")</f>
        <v>45819</v>
      </c>
      <c r="X382" s="11">
        <f ca="1">IFERROR(reading[[#This Row],[Previous]]+OFFSET(reading[[#Headers],[Memo 01]],-1,MATCH(0,reading[[#This Row],[Memo 01]:[Memo 07]],-1)-1),"")</f>
        <v>45839</v>
      </c>
      <c r="Y382" s="10" t="str">
        <f ca="1">IF(reading[[#This Row],[Next]]&lt;&gt;"",IF(reading[[#This Row],[Next]]&gt;TODAY(),"OK",""),"")</f>
        <v>OK</v>
      </c>
      <c r="Z382" s="13">
        <v>3</v>
      </c>
      <c r="AA382" s="13">
        <v>3</v>
      </c>
      <c r="AB382" s="13">
        <v>3</v>
      </c>
      <c r="AC382" s="13">
        <v>3</v>
      </c>
      <c r="AD382" s="13">
        <v>3</v>
      </c>
      <c r="AE382" s="13">
        <v>3</v>
      </c>
      <c r="AF382" s="13"/>
      <c r="AG382" s="16">
        <f>IFERROR(SUMIF(reading[[#This Row],[1st]:[7th]],"&gt;0")/COUNTIF(reading[[#This Row],[1st]:[7th]],"&gt;0"),"")</f>
        <v>3</v>
      </c>
    </row>
    <row r="383" spans="1:33" hidden="1" x14ac:dyDescent="0.2">
      <c r="A383" s="4">
        <f>IF(B383=1,3,IF(D383=1,2,IF(F383=1,1,0)))</f>
        <v>0</v>
      </c>
      <c r="B383" s="4" t="str">
        <f>IF(C383=$L383,1,IF(C383="","",0))</f>
        <v/>
      </c>
      <c r="C383" s="42"/>
      <c r="D383" s="4" t="str">
        <f>IF(E383=$L383,1,IF(E383="","",0))</f>
        <v/>
      </c>
      <c r="E383" s="18"/>
      <c r="F383" s="4" t="str">
        <f>IF(G383=$L383,1,IF(G383="","",0))</f>
        <v/>
      </c>
      <c r="G383" s="14"/>
      <c r="H383" s="6">
        <v>633</v>
      </c>
      <c r="I383" s="15" t="s">
        <v>3120</v>
      </c>
      <c r="J383" s="6" t="s">
        <v>3774</v>
      </c>
      <c r="K383" s="6"/>
      <c r="L383" s="6" t="s">
        <v>756</v>
      </c>
      <c r="M383" s="6" t="s">
        <v>6742</v>
      </c>
      <c r="N383" s="7">
        <f ca="1">RAND()</f>
        <v>0.64445569180078377</v>
      </c>
      <c r="O383" s="8">
        <v>45202</v>
      </c>
      <c r="P383" s="8">
        <v>45203</v>
      </c>
      <c r="Q383" s="8">
        <v>45205</v>
      </c>
      <c r="R383" s="8">
        <v>45209</v>
      </c>
      <c r="S383" s="8">
        <v>45216</v>
      </c>
      <c r="T383" s="8">
        <v>45228</v>
      </c>
      <c r="U383" s="8">
        <v>45777</v>
      </c>
      <c r="V383" s="10">
        <f>COUNTA(O383:U383)</f>
        <v>7</v>
      </c>
      <c r="W383" s="11">
        <f>_xlfn.IFNA(INDEX(reading[[#This Row],[Memo 01]:[Memo 07]],MATCH(0,reading[[#This Row],[Memo 01]:[Memo 07]],-1)),"")</f>
        <v>45777</v>
      </c>
      <c r="X383" s="11">
        <f ca="1">IFERROR(reading[[#This Row],[Previous]]+OFFSET(reading[[#Headers],[Memo 01]],-1,MATCH(0,reading[[#This Row],[Memo 01]:[Memo 07]],-1)-1),"")</f>
        <v>55777</v>
      </c>
      <c r="Y383" s="10" t="str">
        <f ca="1">IF(reading[[#This Row],[Next]]&lt;&gt;"",IF(reading[[#This Row],[Next]]&gt;TODAY(),"OK",""),"")</f>
        <v>OK</v>
      </c>
      <c r="Z383" s="13">
        <v>3</v>
      </c>
      <c r="AA383" s="13">
        <v>3</v>
      </c>
      <c r="AB383" s="13">
        <v>2</v>
      </c>
      <c r="AC383" s="13">
        <v>3</v>
      </c>
      <c r="AD383" s="13">
        <v>2</v>
      </c>
      <c r="AE383" s="13">
        <v>3</v>
      </c>
      <c r="AF383" s="13">
        <v>3</v>
      </c>
      <c r="AG383" s="16">
        <f>IFERROR(SUMIF(reading[[#This Row],[1st]:[7th]],"&gt;0")/COUNTIF(reading[[#This Row],[1st]:[7th]],"&gt;0"),"")</f>
        <v>2.7142857142857144</v>
      </c>
    </row>
    <row r="384" spans="1:33" hidden="1" x14ac:dyDescent="0.2">
      <c r="A384" s="4">
        <f>IF(B384=1,3,IF(D384=1,2,IF(F384=1,1,0)))</f>
        <v>0</v>
      </c>
      <c r="B384" s="4" t="str">
        <f>IF(C384=$L384,1,IF(C384="","",0))</f>
        <v/>
      </c>
      <c r="C384" s="42"/>
      <c r="D384" s="4" t="str">
        <f>IF(E384=$L384,1,IF(E384="","",0))</f>
        <v/>
      </c>
      <c r="E384" s="18"/>
      <c r="F384" s="4" t="str">
        <f>IF(G384=$L384,1,IF(G384="","",0))</f>
        <v/>
      </c>
      <c r="G384" s="18"/>
      <c r="H384" s="6">
        <v>586</v>
      </c>
      <c r="I384" s="15" t="s">
        <v>3120</v>
      </c>
      <c r="J384" s="6" t="s">
        <v>3729</v>
      </c>
      <c r="K384" s="15" t="s">
        <v>3151</v>
      </c>
      <c r="L384" s="6" t="s">
        <v>712</v>
      </c>
      <c r="M384" s="6" t="s">
        <v>6695</v>
      </c>
      <c r="N384" s="7">
        <f ca="1">RAND()</f>
        <v>8.153402007025079E-3</v>
      </c>
      <c r="O384" s="8">
        <v>45202</v>
      </c>
      <c r="P384" s="8">
        <v>45203</v>
      </c>
      <c r="Q384" s="8">
        <v>45205</v>
      </c>
      <c r="R384" s="8">
        <v>45209</v>
      </c>
      <c r="S384" s="8">
        <v>45216</v>
      </c>
      <c r="T384" s="8">
        <v>45228</v>
      </c>
      <c r="U384" s="8">
        <v>45252</v>
      </c>
      <c r="V384" s="10">
        <f>COUNTA(O384:U384)</f>
        <v>7</v>
      </c>
      <c r="W384" s="11">
        <f>_xlfn.IFNA(INDEX(reading[[#This Row],[Memo 01]:[Memo 07]],MATCH(0,reading[[#This Row],[Memo 01]:[Memo 07]],-1)),"")</f>
        <v>45252</v>
      </c>
      <c r="X384" s="11">
        <f ca="1">IFERROR(reading[[#This Row],[Previous]]+OFFSET(reading[[#Headers],[Memo 01]],-1,MATCH(0,reading[[#This Row],[Memo 01]:[Memo 07]],-1)-1),"")</f>
        <v>55252</v>
      </c>
      <c r="Y384" s="10" t="str">
        <f ca="1">IF(reading[[#This Row],[Next]]&lt;&gt;"",IF(reading[[#This Row],[Next]]&gt;TODAY(),"OK",""),"")</f>
        <v>OK</v>
      </c>
      <c r="Z384" s="13">
        <v>3</v>
      </c>
      <c r="AA384" s="13">
        <v>3</v>
      </c>
      <c r="AB384" s="13">
        <v>3</v>
      </c>
      <c r="AC384" s="13">
        <v>3</v>
      </c>
      <c r="AD384" s="13">
        <v>1</v>
      </c>
      <c r="AE384" s="13">
        <v>3</v>
      </c>
      <c r="AF384" s="13">
        <v>3</v>
      </c>
      <c r="AG384" s="16">
        <f>IFERROR(SUMIF(reading[[#This Row],[1st]:[7th]],"&gt;0")/COUNTIF(reading[[#This Row],[1st]:[7th]],"&gt;0"),"")</f>
        <v>2.7142857142857144</v>
      </c>
    </row>
    <row r="385" spans="1:33" hidden="1" x14ac:dyDescent="0.2">
      <c r="A385" s="4">
        <f>IF(B385=1,3,IF(D385=1,2,IF(F385=1,1,0)))</f>
        <v>0</v>
      </c>
      <c r="B385" s="4" t="str">
        <f>IF(C385=$L385,1,IF(C385="","",0))</f>
        <v/>
      </c>
      <c r="C385" s="42"/>
      <c r="D385" s="4" t="str">
        <f>IF(E385=$L385,1,IF(E385="","",0))</f>
        <v/>
      </c>
      <c r="E385" s="18"/>
      <c r="F385" s="4" t="str">
        <f>IF(G385=$L385,1,IF(G385="","",0))</f>
        <v/>
      </c>
      <c r="G385" s="14"/>
      <c r="H385" s="6">
        <v>1892</v>
      </c>
      <c r="I385" s="15" t="s">
        <v>3120</v>
      </c>
      <c r="J385" s="6" t="s">
        <v>4994</v>
      </c>
      <c r="K385" s="6"/>
      <c r="L385" s="6" t="s">
        <v>1968</v>
      </c>
      <c r="M385" s="6" t="s">
        <v>7998</v>
      </c>
      <c r="N385" s="7">
        <f ca="1">RAND()</f>
        <v>0.64020203098668793</v>
      </c>
      <c r="O385" s="8">
        <v>45213</v>
      </c>
      <c r="P385" s="8">
        <v>45214</v>
      </c>
      <c r="Q385" s="8">
        <v>45216</v>
      </c>
      <c r="R385" s="8">
        <v>45220</v>
      </c>
      <c r="S385" s="8">
        <v>45227</v>
      </c>
      <c r="T385" s="8">
        <v>45819</v>
      </c>
      <c r="U385" s="8"/>
      <c r="V385" s="10">
        <f>COUNTA(O385:U385)</f>
        <v>6</v>
      </c>
      <c r="W385" s="11">
        <f>_xlfn.IFNA(INDEX(reading[[#This Row],[Memo 01]:[Memo 07]],MATCH(0,reading[[#This Row],[Memo 01]:[Memo 07]],-1)),"")</f>
        <v>45819</v>
      </c>
      <c r="X385" s="11">
        <f ca="1">IFERROR(reading[[#This Row],[Previous]]+OFFSET(reading[[#Headers],[Memo 01]],-1,MATCH(0,reading[[#This Row],[Memo 01]:[Memo 07]],-1)-1),"")</f>
        <v>45839</v>
      </c>
      <c r="Y385" s="10" t="str">
        <f ca="1">IF(reading[[#This Row],[Next]]&lt;&gt;"",IF(reading[[#This Row],[Next]]&gt;TODAY(),"OK",""),"")</f>
        <v>OK</v>
      </c>
      <c r="Z385" s="13">
        <v>3</v>
      </c>
      <c r="AA385" s="13">
        <v>3</v>
      </c>
      <c r="AB385" s="13">
        <v>2</v>
      </c>
      <c r="AC385" s="13">
        <v>3</v>
      </c>
      <c r="AD385" s="13">
        <v>3</v>
      </c>
      <c r="AE385" s="13">
        <v>3</v>
      </c>
      <c r="AF385" s="13"/>
      <c r="AG385" s="16">
        <f>IFERROR(SUMIF(reading[[#This Row],[1st]:[7th]],"&gt;0")/COUNTIF(reading[[#This Row],[1st]:[7th]],"&gt;0"),"")</f>
        <v>2.8333333333333335</v>
      </c>
    </row>
    <row r="386" spans="1:33" hidden="1" x14ac:dyDescent="0.2">
      <c r="A386" s="4">
        <f>IF(B386=1,3,IF(D386=1,2,IF(F386=1,1,0)))</f>
        <v>0</v>
      </c>
      <c r="B386" s="4" t="str">
        <f>IF(C386=$L386,1,IF(C386="","",0))</f>
        <v/>
      </c>
      <c r="C386" s="42"/>
      <c r="D386" s="4" t="str">
        <f>IF(E386=$L386,1,IF(E386="","",0))</f>
        <v/>
      </c>
      <c r="E386" s="14"/>
      <c r="F386" s="4" t="str">
        <f>IF(G386=$L386,1,IF(G386="","",0))</f>
        <v/>
      </c>
      <c r="G386" s="14"/>
      <c r="H386" s="6">
        <v>1420</v>
      </c>
      <c r="I386" s="15" t="s">
        <v>3120</v>
      </c>
      <c r="J386" s="6" t="s">
        <v>4534</v>
      </c>
      <c r="K386" s="6" t="s">
        <v>3138</v>
      </c>
      <c r="L386" s="6" t="s">
        <v>1511</v>
      </c>
      <c r="M386" s="6" t="s">
        <v>7527</v>
      </c>
      <c r="N386" s="7">
        <f ca="1">RAND()</f>
        <v>0.28242329563199975</v>
      </c>
      <c r="O386" s="8">
        <v>45208</v>
      </c>
      <c r="P386" s="8">
        <v>45209</v>
      </c>
      <c r="Q386" s="8">
        <v>45211</v>
      </c>
      <c r="R386" s="8">
        <v>45215</v>
      </c>
      <c r="S386" s="8">
        <v>45222</v>
      </c>
      <c r="T386" s="8">
        <v>45234</v>
      </c>
      <c r="U386" s="8">
        <v>45783</v>
      </c>
      <c r="V386" s="10">
        <f>COUNTA(O386:U386)</f>
        <v>7</v>
      </c>
      <c r="W386" s="11">
        <f>_xlfn.IFNA(INDEX(reading[[#This Row],[Memo 01]:[Memo 07]],MATCH(0,reading[[#This Row],[Memo 01]:[Memo 07]],-1)),"")</f>
        <v>45783</v>
      </c>
      <c r="X386" s="11">
        <f ca="1">IFERROR(reading[[#This Row],[Previous]]+OFFSET(reading[[#Headers],[Memo 01]],-1,MATCH(0,reading[[#This Row],[Memo 01]:[Memo 07]],-1)-1),"")</f>
        <v>55783</v>
      </c>
      <c r="Y386" s="10" t="str">
        <f ca="1">IF(reading[[#This Row],[Next]]&lt;&gt;"",IF(reading[[#This Row],[Next]]&gt;TODAY(),"OK",""),"")</f>
        <v>OK</v>
      </c>
      <c r="Z386" s="13">
        <v>3</v>
      </c>
      <c r="AA386" s="13">
        <v>3</v>
      </c>
      <c r="AB386" s="13">
        <v>3</v>
      </c>
      <c r="AC386" s="13">
        <v>3</v>
      </c>
      <c r="AD386" s="13">
        <v>3</v>
      </c>
      <c r="AE386" s="13">
        <v>3</v>
      </c>
      <c r="AF386" s="13">
        <v>3</v>
      </c>
      <c r="AG386" s="16">
        <f>IFERROR(SUMIF(reading[[#This Row],[1st]:[7th]],"&gt;0")/COUNTIF(reading[[#This Row],[1st]:[7th]],"&gt;0"),"")</f>
        <v>3</v>
      </c>
    </row>
    <row r="387" spans="1:33" hidden="1" x14ac:dyDescent="0.2">
      <c r="A387" s="4">
        <f>IF(B387=1,3,IF(D387=1,2,IF(F387=1,1,0)))</f>
        <v>0</v>
      </c>
      <c r="B387" s="4" t="str">
        <f>IF(C387=$L387,1,IF(C387="","",0))</f>
        <v/>
      </c>
      <c r="C387" s="21"/>
      <c r="D387" s="4" t="str">
        <f>IF(E387=$L387,1,IF(E387="","",0))</f>
        <v/>
      </c>
      <c r="E387" s="14"/>
      <c r="F387" s="4" t="str">
        <f>IF(G387=$L387,1,IF(G387="","",0))</f>
        <v/>
      </c>
      <c r="G387" s="14"/>
      <c r="H387" s="6">
        <v>390</v>
      </c>
      <c r="I387" s="15" t="s">
        <v>3120</v>
      </c>
      <c r="J387" s="6" t="s">
        <v>3536</v>
      </c>
      <c r="K387" s="6"/>
      <c r="L387" s="6" t="s">
        <v>522</v>
      </c>
      <c r="M387" s="6" t="s">
        <v>6499</v>
      </c>
      <c r="N387" s="7">
        <f ca="1">RAND()</f>
        <v>0.12189847194677605</v>
      </c>
      <c r="O387" s="8">
        <v>45201</v>
      </c>
      <c r="P387" s="8">
        <v>45201</v>
      </c>
      <c r="Q387" s="8">
        <v>45201</v>
      </c>
      <c r="R387" s="8">
        <v>45201</v>
      </c>
      <c r="S387" s="8">
        <v>45201</v>
      </c>
      <c r="T387" s="8">
        <v>45201</v>
      </c>
      <c r="U387" s="8">
        <v>45201</v>
      </c>
      <c r="V387" s="10">
        <f>COUNTA(O387:U387)</f>
        <v>7</v>
      </c>
      <c r="W387" s="11">
        <f>_xlfn.IFNA(INDEX(reading[[#This Row],[Memo 01]:[Memo 07]],MATCH(0,reading[[#This Row],[Memo 01]:[Memo 07]],-1)),"")</f>
        <v>45201</v>
      </c>
      <c r="X387" s="11">
        <f ca="1">IFERROR(reading[[#This Row],[Previous]]+OFFSET(reading[[#Headers],[Memo 01]],-1,MATCH(0,reading[[#This Row],[Memo 01]:[Memo 07]],-1)-1),"")</f>
        <v>55201</v>
      </c>
      <c r="Y387" s="10" t="str">
        <f ca="1">IF(reading[[#This Row],[Next]]&lt;&gt;"",IF(reading[[#This Row],[Next]]&gt;TODAY(),"OK",""),"")</f>
        <v>OK</v>
      </c>
      <c r="Z387" s="13">
        <v>3</v>
      </c>
      <c r="AA387" s="13"/>
      <c r="AB387" s="13"/>
      <c r="AC387" s="13"/>
      <c r="AD387" s="13"/>
      <c r="AE387" s="13"/>
      <c r="AF387" s="13"/>
      <c r="AG387" s="16">
        <f>IFERROR(SUMIF(reading[[#This Row],[1st]:[7th]],"&gt;0")/COUNTIF(reading[[#This Row],[1st]:[7th]],"&gt;0"),"")</f>
        <v>3</v>
      </c>
    </row>
    <row r="388" spans="1:33" hidden="1" x14ac:dyDescent="0.2">
      <c r="A388" s="4">
        <f>IF(B388=1,3,IF(D388=1,2,IF(F388=1,1,0)))</f>
        <v>0</v>
      </c>
      <c r="B388" s="4" t="str">
        <f>IF(C388=$L388,1,IF(C388="","",0))</f>
        <v/>
      </c>
      <c r="C388" s="42"/>
      <c r="D388" s="4" t="str">
        <f>IF(E388=$L388,1,IF(E388="","",0))</f>
        <v/>
      </c>
      <c r="E388" s="18"/>
      <c r="F388" s="4" t="str">
        <f>IF(G388=$L388,1,IF(G388="","",0))</f>
        <v/>
      </c>
      <c r="G388" s="14"/>
      <c r="H388" s="6">
        <v>160</v>
      </c>
      <c r="I388" s="15" t="s">
        <v>3120</v>
      </c>
      <c r="J388" s="6" t="s">
        <v>3309</v>
      </c>
      <c r="K388" s="6"/>
      <c r="L388" s="6" t="s">
        <v>297</v>
      </c>
      <c r="M388" s="6" t="s">
        <v>6269</v>
      </c>
      <c r="N388" s="7">
        <f ca="1">RAND()</f>
        <v>0.95517257780056208</v>
      </c>
      <c r="O388" s="8">
        <v>45199</v>
      </c>
      <c r="P388" s="8">
        <v>45200</v>
      </c>
      <c r="Q388" s="8">
        <v>45202</v>
      </c>
      <c r="R388" s="8">
        <v>45206</v>
      </c>
      <c r="S388" s="8">
        <v>45213</v>
      </c>
      <c r="T388" s="8">
        <v>45225</v>
      </c>
      <c r="U388" s="8">
        <v>45252</v>
      </c>
      <c r="V388" s="10">
        <f>COUNTA(O388:U388)</f>
        <v>7</v>
      </c>
      <c r="W388" s="11">
        <f>_xlfn.IFNA(INDEX(reading[[#This Row],[Memo 01]:[Memo 07]],MATCH(0,reading[[#This Row],[Memo 01]:[Memo 07]],-1)),"")</f>
        <v>45252</v>
      </c>
      <c r="X388" s="11">
        <f ca="1">IFERROR(reading[[#This Row],[Previous]]+OFFSET(reading[[#Headers],[Memo 01]],-1,MATCH(0,reading[[#This Row],[Memo 01]:[Memo 07]],-1)-1),"")</f>
        <v>55252</v>
      </c>
      <c r="Y388" s="10" t="str">
        <f ca="1">IF(reading[[#This Row],[Next]]&lt;&gt;"",IF(reading[[#This Row],[Next]]&gt;TODAY(),"OK",""),"")</f>
        <v>OK</v>
      </c>
      <c r="Z388" s="13">
        <v>3</v>
      </c>
      <c r="AA388" s="13">
        <v>2</v>
      </c>
      <c r="AB388" s="13">
        <v>3</v>
      </c>
      <c r="AC388" s="13">
        <v>3</v>
      </c>
      <c r="AD388" s="13">
        <v>2</v>
      </c>
      <c r="AE388" s="13">
        <v>3</v>
      </c>
      <c r="AF388" s="13">
        <v>3</v>
      </c>
      <c r="AG388" s="16">
        <f>IFERROR(SUMIF(reading[[#This Row],[1st]:[7th]],"&gt;0")/COUNTIF(reading[[#This Row],[1st]:[7th]],"&gt;0"),"")</f>
        <v>2.7142857142857144</v>
      </c>
    </row>
    <row r="389" spans="1:33" hidden="1" x14ac:dyDescent="0.2">
      <c r="A389" s="4">
        <f>IF(B389=1,3,IF(D389=1,2,IF(F389=1,1,0)))</f>
        <v>0</v>
      </c>
      <c r="B389" s="4" t="str">
        <f>IF(C389=$L389,1,IF(C389="","",0))</f>
        <v/>
      </c>
      <c r="C389" s="42"/>
      <c r="D389" s="4" t="str">
        <f>IF(E389=$L389,1,IF(E389="","",0))</f>
        <v/>
      </c>
      <c r="E389" s="14"/>
      <c r="F389" s="4" t="str">
        <f>IF(G389=$L389,1,IF(G389="","",0))</f>
        <v/>
      </c>
      <c r="G389" s="14"/>
      <c r="H389" s="6">
        <v>926</v>
      </c>
      <c r="I389" s="15" t="s">
        <v>3120</v>
      </c>
      <c r="J389" s="6" t="s">
        <v>4057</v>
      </c>
      <c r="K389" s="6" t="s">
        <v>3139</v>
      </c>
      <c r="L389" s="6" t="s">
        <v>1037</v>
      </c>
      <c r="M389" s="6" t="s">
        <v>7034</v>
      </c>
      <c r="N389" s="7">
        <f ca="1">RAND()</f>
        <v>0.5959639857620217</v>
      </c>
      <c r="O389" s="8">
        <v>45204</v>
      </c>
      <c r="P389" s="8">
        <v>45205</v>
      </c>
      <c r="Q389" s="8">
        <v>45207</v>
      </c>
      <c r="R389" s="8">
        <v>45212</v>
      </c>
      <c r="S389" s="8">
        <v>45219</v>
      </c>
      <c r="T389" s="8">
        <v>45231</v>
      </c>
      <c r="U389" s="8">
        <v>45252</v>
      </c>
      <c r="V389" s="10">
        <f>COUNTA(O389:U389)</f>
        <v>7</v>
      </c>
      <c r="W389" s="11">
        <f>_xlfn.IFNA(INDEX(reading[[#This Row],[Memo 01]:[Memo 07]],MATCH(0,reading[[#This Row],[Memo 01]:[Memo 07]],-1)),"")</f>
        <v>45252</v>
      </c>
      <c r="X389" s="11">
        <f ca="1">IFERROR(reading[[#This Row],[Previous]]+OFFSET(reading[[#Headers],[Memo 01]],-1,MATCH(0,reading[[#This Row],[Memo 01]:[Memo 07]],-1)-1),"")</f>
        <v>55252</v>
      </c>
      <c r="Y389" s="10" t="str">
        <f ca="1">IF(reading[[#This Row],[Next]]&lt;&gt;"",IF(reading[[#This Row],[Next]]&gt;TODAY(),"OK",""),"")</f>
        <v>OK</v>
      </c>
      <c r="Z389" s="13">
        <v>3</v>
      </c>
      <c r="AA389" s="13">
        <v>3</v>
      </c>
      <c r="AB389" s="13">
        <v>3</v>
      </c>
      <c r="AC389" s="13">
        <v>1</v>
      </c>
      <c r="AD389" s="13">
        <v>3</v>
      </c>
      <c r="AE389" s="13">
        <v>3</v>
      </c>
      <c r="AF389" s="13">
        <v>3</v>
      </c>
      <c r="AG389" s="16">
        <f>IFERROR(SUMIF(reading[[#This Row],[1st]:[7th]],"&gt;0")/COUNTIF(reading[[#This Row],[1st]:[7th]],"&gt;0"),"")</f>
        <v>2.7142857142857144</v>
      </c>
    </row>
    <row r="390" spans="1:33" hidden="1" x14ac:dyDescent="0.2">
      <c r="A390" s="4">
        <f>IF(B390=1,3,IF(D390=1,2,IF(F390=1,1,0)))</f>
        <v>0</v>
      </c>
      <c r="B390" s="4" t="str">
        <f>IF(C390=$L390,1,IF(C390="","",0))</f>
        <v/>
      </c>
      <c r="C390" s="42"/>
      <c r="D390" s="4" t="str">
        <f>IF(E390=$L390,1,IF(E390="","",0))</f>
        <v/>
      </c>
      <c r="E390" s="14"/>
      <c r="F390" s="4" t="str">
        <f>IF(G390=$L390,1,IF(G390="","",0))</f>
        <v/>
      </c>
      <c r="G390" s="14"/>
      <c r="H390" s="6">
        <v>1047</v>
      </c>
      <c r="I390" s="15" t="s">
        <v>3120</v>
      </c>
      <c r="J390" s="6" t="s">
        <v>4174</v>
      </c>
      <c r="K390" s="6" t="s">
        <v>3138</v>
      </c>
      <c r="L390" s="6" t="s">
        <v>1156</v>
      </c>
      <c r="M390" s="6" t="s">
        <v>7155</v>
      </c>
      <c r="N390" s="7">
        <f ca="1">RAND()</f>
        <v>0.45982384905631046</v>
      </c>
      <c r="O390" s="8">
        <v>45205</v>
      </c>
      <c r="P390" s="8">
        <v>45206</v>
      </c>
      <c r="Q390" s="8">
        <v>45208</v>
      </c>
      <c r="R390" s="8">
        <v>45213</v>
      </c>
      <c r="S390" s="8">
        <v>45220</v>
      </c>
      <c r="T390" s="8">
        <v>45232</v>
      </c>
      <c r="U390" s="8">
        <v>45252</v>
      </c>
      <c r="V390" s="10">
        <f>COUNTA(O390:U390)</f>
        <v>7</v>
      </c>
      <c r="W390" s="11">
        <f>_xlfn.IFNA(INDEX(reading[[#This Row],[Memo 01]:[Memo 07]],MATCH(0,reading[[#This Row],[Memo 01]:[Memo 07]],-1)),"")</f>
        <v>45252</v>
      </c>
      <c r="X390" s="11">
        <f ca="1">IFERROR(reading[[#This Row],[Previous]]+OFFSET(reading[[#Headers],[Memo 01]],-1,MATCH(0,reading[[#This Row],[Memo 01]:[Memo 07]],-1)-1),"")</f>
        <v>55252</v>
      </c>
      <c r="Y390" s="10" t="str">
        <f ca="1">IF(reading[[#This Row],[Next]]&lt;&gt;"",IF(reading[[#This Row],[Next]]&gt;TODAY(),"OK",""),"")</f>
        <v>OK</v>
      </c>
      <c r="Z390" s="13">
        <v>3</v>
      </c>
      <c r="AA390" s="13">
        <v>3</v>
      </c>
      <c r="AB390" s="13">
        <v>3</v>
      </c>
      <c r="AC390" s="13">
        <v>2</v>
      </c>
      <c r="AD390" s="13">
        <v>3</v>
      </c>
      <c r="AE390" s="13">
        <v>2</v>
      </c>
      <c r="AF390" s="13">
        <v>3</v>
      </c>
      <c r="AG390" s="16">
        <f>IFERROR(SUMIF(reading[[#This Row],[1st]:[7th]],"&gt;0")/COUNTIF(reading[[#This Row],[1st]:[7th]],"&gt;0"),"")</f>
        <v>2.7142857142857144</v>
      </c>
    </row>
    <row r="391" spans="1:33" hidden="1" x14ac:dyDescent="0.2">
      <c r="A391" s="4">
        <f>IF(B391=1,3,IF(D391=1,2,IF(F391=1,1,0)))</f>
        <v>0</v>
      </c>
      <c r="B391" s="4" t="str">
        <f>IF(C391=$L391,1,IF(C391="","",0))</f>
        <v/>
      </c>
      <c r="C391" s="42"/>
      <c r="D391" s="4" t="str">
        <f>IF(E391=$L391,1,IF(E391="","",0))</f>
        <v/>
      </c>
      <c r="E391" s="18"/>
      <c r="F391" s="4" t="str">
        <f>IF(G391=$L391,1,IF(G391="","",0))</f>
        <v/>
      </c>
      <c r="G391" s="14"/>
      <c r="H391" s="6">
        <v>1242</v>
      </c>
      <c r="I391" s="15" t="s">
        <v>3120</v>
      </c>
      <c r="J391" s="6" t="s">
        <v>4359</v>
      </c>
      <c r="K391" s="6"/>
      <c r="L391" s="6" t="s">
        <v>1342</v>
      </c>
      <c r="M391" s="6" t="s">
        <v>7349</v>
      </c>
      <c r="N391" s="7">
        <f ca="1">RAND()</f>
        <v>0.16785037640135581</v>
      </c>
      <c r="O391" s="8">
        <v>45206</v>
      </c>
      <c r="P391" s="8">
        <v>45207</v>
      </c>
      <c r="Q391" s="8">
        <v>45209</v>
      </c>
      <c r="R391" s="8">
        <v>45213</v>
      </c>
      <c r="S391" s="8">
        <v>45220</v>
      </c>
      <c r="T391" s="8">
        <v>45232</v>
      </c>
      <c r="U391" s="8">
        <v>45252</v>
      </c>
      <c r="V391" s="10">
        <f>COUNTA(O391:U391)</f>
        <v>7</v>
      </c>
      <c r="W391" s="11">
        <f>_xlfn.IFNA(INDEX(reading[[#This Row],[Memo 01]:[Memo 07]],MATCH(0,reading[[#This Row],[Memo 01]:[Memo 07]],-1)),"")</f>
        <v>45252</v>
      </c>
      <c r="X391" s="11">
        <f ca="1">IFERROR(reading[[#This Row],[Previous]]+OFFSET(reading[[#Headers],[Memo 01]],-1,MATCH(0,reading[[#This Row],[Memo 01]:[Memo 07]],-1)-1),"")</f>
        <v>55252</v>
      </c>
      <c r="Y391" s="10" t="str">
        <f ca="1">IF(reading[[#This Row],[Next]]&lt;&gt;"",IF(reading[[#This Row],[Next]]&gt;TODAY(),"OK",""),"")</f>
        <v>OK</v>
      </c>
      <c r="Z391" s="13">
        <v>3</v>
      </c>
      <c r="AA391" s="13">
        <v>3</v>
      </c>
      <c r="AB391" s="13">
        <v>3</v>
      </c>
      <c r="AC391" s="13">
        <v>2</v>
      </c>
      <c r="AD391" s="13">
        <v>2</v>
      </c>
      <c r="AE391" s="13">
        <v>3</v>
      </c>
      <c r="AF391" s="13">
        <v>3</v>
      </c>
      <c r="AG391" s="16">
        <f>IFERROR(SUMIF(reading[[#This Row],[1st]:[7th]],"&gt;0")/COUNTIF(reading[[#This Row],[1st]:[7th]],"&gt;0"),"")</f>
        <v>2.7142857142857144</v>
      </c>
    </row>
    <row r="392" spans="1:33" hidden="1" x14ac:dyDescent="0.2">
      <c r="A392" s="4">
        <f>IF(B392=1,3,IF(D392=1,2,IF(F392=1,1,0)))</f>
        <v>0</v>
      </c>
      <c r="B392" s="4" t="str">
        <f>IF(C392=$L392,1,IF(C392="","",0))</f>
        <v/>
      </c>
      <c r="C392" s="42"/>
      <c r="D392" s="4" t="str">
        <f>IF(E392=$L392,1,IF(E392="","",0))</f>
        <v/>
      </c>
      <c r="E392" s="18"/>
      <c r="F392" s="4" t="str">
        <f>IF(G392=$L392,1,IF(G392="","",0))</f>
        <v/>
      </c>
      <c r="G392" s="14"/>
      <c r="H392" s="6">
        <v>651</v>
      </c>
      <c r="I392" s="15" t="s">
        <v>3120</v>
      </c>
      <c r="J392" s="6" t="s">
        <v>3791</v>
      </c>
      <c r="K392" s="6"/>
      <c r="L392" s="6" t="s">
        <v>774</v>
      </c>
      <c r="M392" s="6" t="s">
        <v>6760</v>
      </c>
      <c r="N392" s="7">
        <f ca="1">RAND()</f>
        <v>0.86631002760948028</v>
      </c>
      <c r="O392" s="8">
        <v>45202</v>
      </c>
      <c r="P392" s="8">
        <v>45203</v>
      </c>
      <c r="Q392" s="8">
        <v>45205</v>
      </c>
      <c r="R392" s="8">
        <v>45209</v>
      </c>
      <c r="S392" s="8">
        <v>45216</v>
      </c>
      <c r="T392" s="8">
        <v>45228</v>
      </c>
      <c r="U392" s="8">
        <v>45252</v>
      </c>
      <c r="V392" s="10">
        <f>COUNTA(O392:U392)</f>
        <v>7</v>
      </c>
      <c r="W392" s="11">
        <f>_xlfn.IFNA(INDEX(reading[[#This Row],[Memo 01]:[Memo 07]],MATCH(0,reading[[#This Row],[Memo 01]:[Memo 07]],-1)),"")</f>
        <v>45252</v>
      </c>
      <c r="X392" s="11">
        <f ca="1">IFERROR(reading[[#This Row],[Previous]]+OFFSET(reading[[#Headers],[Memo 01]],-1,MATCH(0,reading[[#This Row],[Memo 01]:[Memo 07]],-1)-1),"")</f>
        <v>55252</v>
      </c>
      <c r="Y392" s="10" t="str">
        <f ca="1">IF(reading[[#This Row],[Next]]&lt;&gt;"",IF(reading[[#This Row],[Next]]&gt;TODAY(),"OK",""),"")</f>
        <v>OK</v>
      </c>
      <c r="Z392" s="13">
        <v>3</v>
      </c>
      <c r="AA392" s="13">
        <v>3</v>
      </c>
      <c r="AB392" s="13">
        <v>3</v>
      </c>
      <c r="AC392" s="13">
        <v>3</v>
      </c>
      <c r="AD392" s="13">
        <v>2</v>
      </c>
      <c r="AE392" s="13">
        <v>2</v>
      </c>
      <c r="AF392" s="13">
        <v>3</v>
      </c>
      <c r="AG392" s="16">
        <f>IFERROR(SUMIF(reading[[#This Row],[1st]:[7th]],"&gt;0")/COUNTIF(reading[[#This Row],[1st]:[7th]],"&gt;0"),"")</f>
        <v>2.7142857142857144</v>
      </c>
    </row>
    <row r="393" spans="1:33" hidden="1" x14ac:dyDescent="0.2">
      <c r="A393" s="4">
        <f>IF(B393=1,3,IF(D393=1,2,IF(F393=1,1,0)))</f>
        <v>0</v>
      </c>
      <c r="B393" s="4" t="str">
        <f>IF(C393=$L393,1,IF(C393="","",0))</f>
        <v/>
      </c>
      <c r="C393" s="42"/>
      <c r="D393" s="4" t="str">
        <f>IF(E393=$L393,1,IF(E393="","",0))</f>
        <v/>
      </c>
      <c r="E393" s="14"/>
      <c r="F393" s="4" t="str">
        <f>IF(G393=$L393,1,IF(G393="","",0))</f>
        <v/>
      </c>
      <c r="G393" s="14"/>
      <c r="H393" s="6">
        <v>3053</v>
      </c>
      <c r="I393" s="15" t="s">
        <v>3120</v>
      </c>
      <c r="J393" s="6" t="s">
        <v>6074</v>
      </c>
      <c r="K393" s="6"/>
      <c r="L393" s="6" t="s">
        <v>3079</v>
      </c>
      <c r="M393" s="6" t="s">
        <v>9156</v>
      </c>
      <c r="N393" s="7">
        <f ca="1">RAND()</f>
        <v>0.2609628368336655</v>
      </c>
      <c r="O393" s="8">
        <v>45229</v>
      </c>
      <c r="P393" s="8">
        <v>45230</v>
      </c>
      <c r="Q393" s="8">
        <v>45232</v>
      </c>
      <c r="R393" s="8">
        <v>45236</v>
      </c>
      <c r="S393" s="8">
        <v>45251</v>
      </c>
      <c r="T393" s="8">
        <v>45819</v>
      </c>
      <c r="U393" s="8"/>
      <c r="V393" s="10">
        <f>COUNTA(O393:U393)</f>
        <v>6</v>
      </c>
      <c r="W393" s="11">
        <f>_xlfn.IFNA(INDEX(reading[[#This Row],[Memo 01]:[Memo 07]],MATCH(0,reading[[#This Row],[Memo 01]:[Memo 07]],-1)),"")</f>
        <v>45819</v>
      </c>
      <c r="X393" s="11">
        <f ca="1">IFERROR(reading[[#This Row],[Previous]]+OFFSET(reading[[#Headers],[Memo 01]],-1,MATCH(0,reading[[#This Row],[Memo 01]:[Memo 07]],-1)-1),"")</f>
        <v>45839</v>
      </c>
      <c r="Y393" s="10" t="str">
        <f ca="1">IF(reading[[#This Row],[Next]]&lt;&gt;"",IF(reading[[#This Row],[Next]]&gt;TODAY(),"OK",""),"")</f>
        <v>OK</v>
      </c>
      <c r="Z393" s="13">
        <v>3</v>
      </c>
      <c r="AA393" s="13">
        <v>3</v>
      </c>
      <c r="AB393" s="13">
        <v>3</v>
      </c>
      <c r="AC393" s="13">
        <v>2</v>
      </c>
      <c r="AD393" s="13">
        <v>3</v>
      </c>
      <c r="AE393" s="13">
        <v>3</v>
      </c>
      <c r="AF393" s="13"/>
      <c r="AG393" s="16">
        <f>IFERROR(SUMIF(reading[[#This Row],[1st]:[7th]],"&gt;0")/COUNTIF(reading[[#This Row],[1st]:[7th]],"&gt;0"),"")</f>
        <v>2.8333333333333335</v>
      </c>
    </row>
    <row r="394" spans="1:33" hidden="1" x14ac:dyDescent="0.2">
      <c r="A394" s="4">
        <f>IF(B394=1,3,IF(D394=1,2,IF(F394=1,1,0)))</f>
        <v>0</v>
      </c>
      <c r="B394" s="4" t="str">
        <f>IF(C394=$L394,1,IF(C394="","",0))</f>
        <v/>
      </c>
      <c r="C394" s="42"/>
      <c r="D394" s="4" t="str">
        <f>IF(E394=$L394,1,IF(E394="","",0))</f>
        <v/>
      </c>
      <c r="E394" s="23"/>
      <c r="F394" s="4" t="str">
        <f>IF(G394=$L394,1,IF(G394="","",0))</f>
        <v/>
      </c>
      <c r="G394" s="14"/>
      <c r="H394" s="6">
        <v>1232</v>
      </c>
      <c r="I394" s="15" t="s">
        <v>3120</v>
      </c>
      <c r="J394" s="6" t="s">
        <v>4349</v>
      </c>
      <c r="K394" s="15" t="s">
        <v>3140</v>
      </c>
      <c r="L394" s="6" t="s">
        <v>1332</v>
      </c>
      <c r="M394" s="6" t="s">
        <v>7339</v>
      </c>
      <c r="N394" s="7">
        <f ca="1">RAND()</f>
        <v>0.16838412103387246</v>
      </c>
      <c r="O394" s="8">
        <v>45206</v>
      </c>
      <c r="P394" s="8">
        <v>45207</v>
      </c>
      <c r="Q394" s="8">
        <v>45209</v>
      </c>
      <c r="R394" s="8">
        <v>45213</v>
      </c>
      <c r="S394" s="8">
        <v>45220</v>
      </c>
      <c r="T394" s="8">
        <v>45232</v>
      </c>
      <c r="U394" s="8">
        <v>45252</v>
      </c>
      <c r="V394" s="10">
        <f>COUNTA(O394:U394)</f>
        <v>7</v>
      </c>
      <c r="W394" s="11">
        <f>_xlfn.IFNA(INDEX(reading[[#This Row],[Memo 01]:[Memo 07]],MATCH(0,reading[[#This Row],[Memo 01]:[Memo 07]],-1)),"")</f>
        <v>45252</v>
      </c>
      <c r="X394" s="11">
        <f ca="1">IFERROR(reading[[#This Row],[Previous]]+OFFSET(reading[[#Headers],[Memo 01]],-1,MATCH(0,reading[[#This Row],[Memo 01]:[Memo 07]],-1)-1),"")</f>
        <v>55252</v>
      </c>
      <c r="Y394" s="10" t="str">
        <f ca="1">IF(reading[[#This Row],[Next]]&lt;&gt;"",IF(reading[[#This Row],[Next]]&gt;TODAY(),"OK",""),"")</f>
        <v>OK</v>
      </c>
      <c r="Z394" s="13">
        <v>3</v>
      </c>
      <c r="AA394" s="13">
        <v>3</v>
      </c>
      <c r="AB394" s="13">
        <v>2</v>
      </c>
      <c r="AC394" s="13">
        <v>3</v>
      </c>
      <c r="AD394" s="13">
        <v>2</v>
      </c>
      <c r="AE394" s="13">
        <v>3</v>
      </c>
      <c r="AF394" s="13">
        <v>3</v>
      </c>
      <c r="AG394" s="16">
        <f>IFERROR(SUMIF(reading[[#This Row],[1st]:[7th]],"&gt;0")/COUNTIF(reading[[#This Row],[1st]:[7th]],"&gt;0"),"")</f>
        <v>2.7142857142857144</v>
      </c>
    </row>
    <row r="395" spans="1:33" hidden="1" x14ac:dyDescent="0.2">
      <c r="A395" s="4">
        <f>IF(B395=1,3,IF(D395=1,2,IF(F395=1,1,0)))</f>
        <v>0</v>
      </c>
      <c r="B395" s="4" t="str">
        <f>IF(C395=$L395,1,IF(C395="","",0))</f>
        <v/>
      </c>
      <c r="C395" s="42"/>
      <c r="D395" s="4" t="str">
        <f>IF(E395=$L395,1,IF(E395="","",0))</f>
        <v/>
      </c>
      <c r="E395" s="18"/>
      <c r="F395" s="4" t="str">
        <f>IF(G395=$L395,1,IF(G395="","",0))</f>
        <v/>
      </c>
      <c r="G395" s="14"/>
      <c r="H395" s="6">
        <v>1212</v>
      </c>
      <c r="I395" s="15" t="s">
        <v>3120</v>
      </c>
      <c r="J395" s="6" t="s">
        <v>4331</v>
      </c>
      <c r="K395" s="6"/>
      <c r="L395" s="6" t="s">
        <v>1314</v>
      </c>
      <c r="M395" s="6" t="s">
        <v>7319</v>
      </c>
      <c r="N395" s="7">
        <f ca="1">RAND()</f>
        <v>0.87526065263037167</v>
      </c>
      <c r="O395" s="8">
        <v>45206</v>
      </c>
      <c r="P395" s="8">
        <v>45207</v>
      </c>
      <c r="Q395" s="8">
        <v>45209</v>
      </c>
      <c r="R395" s="8">
        <v>45213</v>
      </c>
      <c r="S395" s="8">
        <v>45220</v>
      </c>
      <c r="T395" s="8">
        <v>45232</v>
      </c>
      <c r="U395" s="8">
        <v>45252</v>
      </c>
      <c r="V395" s="10">
        <f>COUNTA(O395:U395)</f>
        <v>7</v>
      </c>
      <c r="W395" s="11">
        <f>_xlfn.IFNA(INDEX(reading[[#This Row],[Memo 01]:[Memo 07]],MATCH(0,reading[[#This Row],[Memo 01]:[Memo 07]],-1)),"")</f>
        <v>45252</v>
      </c>
      <c r="X395" s="11">
        <f ca="1">IFERROR(reading[[#This Row],[Previous]]+OFFSET(reading[[#Headers],[Memo 01]],-1,MATCH(0,reading[[#This Row],[Memo 01]:[Memo 07]],-1)-1),"")</f>
        <v>55252</v>
      </c>
      <c r="Y395" s="10" t="str">
        <f ca="1">IF(reading[[#This Row],[Next]]&lt;&gt;"",IF(reading[[#This Row],[Next]]&gt;TODAY(),"OK",""),"")</f>
        <v>OK</v>
      </c>
      <c r="Z395" s="13">
        <v>3</v>
      </c>
      <c r="AA395" s="13">
        <v>2</v>
      </c>
      <c r="AB395" s="13">
        <v>3</v>
      </c>
      <c r="AC395" s="13">
        <v>3</v>
      </c>
      <c r="AD395" s="13">
        <v>2</v>
      </c>
      <c r="AE395" s="13">
        <v>3</v>
      </c>
      <c r="AF395" s="13">
        <v>3</v>
      </c>
      <c r="AG395" s="16">
        <f>IFERROR(SUMIF(reading[[#This Row],[1st]:[7th]],"&gt;0")/COUNTIF(reading[[#This Row],[1st]:[7th]],"&gt;0"),"")</f>
        <v>2.7142857142857144</v>
      </c>
    </row>
    <row r="396" spans="1:33" hidden="1" x14ac:dyDescent="0.2">
      <c r="A396" s="4">
        <f>IF(B396=1,3,IF(D396=1,2,IF(F396=1,1,0)))</f>
        <v>0</v>
      </c>
      <c r="B396" s="4" t="str">
        <f>IF(C396=$L396,1,IF(C396="","",0))</f>
        <v/>
      </c>
      <c r="C396" s="42"/>
      <c r="D396" s="4" t="str">
        <f>IF(E396=$L396,1,IF(E396="","",0))</f>
        <v/>
      </c>
      <c r="E396" s="18"/>
      <c r="F396" s="4" t="str">
        <f>IF(G396=$L396,1,IF(G396="","",0))</f>
        <v/>
      </c>
      <c r="G396" s="14"/>
      <c r="H396" s="6">
        <v>365</v>
      </c>
      <c r="I396" s="15" t="s">
        <v>3120</v>
      </c>
      <c r="J396" s="6" t="s">
        <v>3512</v>
      </c>
      <c r="K396" s="6"/>
      <c r="L396" s="6" t="s">
        <v>498</v>
      </c>
      <c r="M396" s="6" t="s">
        <v>6474</v>
      </c>
      <c r="N396" s="7">
        <f ca="1">RAND()</f>
        <v>0.74678042913606923</v>
      </c>
      <c r="O396" s="8">
        <v>45201</v>
      </c>
      <c r="P396" s="8">
        <v>45202</v>
      </c>
      <c r="Q396" s="8">
        <v>45204</v>
      </c>
      <c r="R396" s="8">
        <v>45208</v>
      </c>
      <c r="S396" s="8">
        <v>45215</v>
      </c>
      <c r="T396" s="8">
        <v>45227</v>
      </c>
      <c r="U396" s="8">
        <v>45252</v>
      </c>
      <c r="V396" s="10">
        <f>COUNTA(O396:U396)</f>
        <v>7</v>
      </c>
      <c r="W396" s="11">
        <f>_xlfn.IFNA(INDEX(reading[[#This Row],[Memo 01]:[Memo 07]],MATCH(0,reading[[#This Row],[Memo 01]:[Memo 07]],-1)),"")</f>
        <v>45252</v>
      </c>
      <c r="X396" s="11">
        <f ca="1">IFERROR(reading[[#This Row],[Previous]]+OFFSET(reading[[#Headers],[Memo 01]],-1,MATCH(0,reading[[#This Row],[Memo 01]:[Memo 07]],-1)-1),"")</f>
        <v>55252</v>
      </c>
      <c r="Y396" s="10" t="str">
        <f ca="1">IF(reading[[#This Row],[Next]]&lt;&gt;"",IF(reading[[#This Row],[Next]]&gt;TODAY(),"OK",""),"")</f>
        <v>OK</v>
      </c>
      <c r="Z396" s="13">
        <v>3</v>
      </c>
      <c r="AA396" s="13">
        <v>3</v>
      </c>
      <c r="AB396" s="13">
        <v>2</v>
      </c>
      <c r="AC396" s="13">
        <v>3</v>
      </c>
      <c r="AD396" s="13">
        <v>2</v>
      </c>
      <c r="AE396" s="13">
        <v>3</v>
      </c>
      <c r="AF396" s="13">
        <v>3</v>
      </c>
      <c r="AG396" s="16">
        <f>IFERROR(SUMIF(reading[[#This Row],[1st]:[7th]],"&gt;0")/COUNTIF(reading[[#This Row],[1st]:[7th]],"&gt;0"),"")</f>
        <v>2.7142857142857144</v>
      </c>
    </row>
    <row r="397" spans="1:33" hidden="1" x14ac:dyDescent="0.2">
      <c r="A397" s="4">
        <f>IF(B397=1,3,IF(D397=1,2,IF(F397=1,1,0)))</f>
        <v>0</v>
      </c>
      <c r="B397" s="4" t="str">
        <f>IF(C397=$L397,1,IF(C397="","",0))</f>
        <v/>
      </c>
      <c r="C397" s="42"/>
      <c r="D397" s="4" t="str">
        <f>IF(E397=$L397,1,IF(E397="","",0))</f>
        <v/>
      </c>
      <c r="E397" s="18"/>
      <c r="F397" s="4" t="str">
        <f>IF(G397=$L397,1,IF(G397="","",0))</f>
        <v/>
      </c>
      <c r="G397" s="14"/>
      <c r="H397" s="6">
        <v>196</v>
      </c>
      <c r="I397" s="15" t="s">
        <v>3120</v>
      </c>
      <c r="J397" s="6" t="s">
        <v>3345</v>
      </c>
      <c r="K397" s="6"/>
      <c r="L397" s="6" t="s">
        <v>332</v>
      </c>
      <c r="M397" s="6" t="s">
        <v>6305</v>
      </c>
      <c r="N397" s="7">
        <f ca="1">RAND()</f>
        <v>0.23722542498340837</v>
      </c>
      <c r="O397" s="8">
        <v>45199</v>
      </c>
      <c r="P397" s="8">
        <v>45200</v>
      </c>
      <c r="Q397" s="8">
        <v>45202</v>
      </c>
      <c r="R397" s="8">
        <v>45206</v>
      </c>
      <c r="S397" s="8">
        <v>45213</v>
      </c>
      <c r="T397" s="8">
        <v>45225</v>
      </c>
      <c r="U397" s="8">
        <v>45252</v>
      </c>
      <c r="V397" s="10">
        <f>COUNTA(O397:U397)</f>
        <v>7</v>
      </c>
      <c r="W397" s="11">
        <f>_xlfn.IFNA(INDEX(reading[[#This Row],[Memo 01]:[Memo 07]],MATCH(0,reading[[#This Row],[Memo 01]:[Memo 07]],-1)),"")</f>
        <v>45252</v>
      </c>
      <c r="X397" s="11">
        <f ca="1">IFERROR(reading[[#This Row],[Previous]]+OFFSET(reading[[#Headers],[Memo 01]],-1,MATCH(0,reading[[#This Row],[Memo 01]:[Memo 07]],-1)-1),"")</f>
        <v>55252</v>
      </c>
      <c r="Y397" s="10" t="str">
        <f ca="1">IF(reading[[#This Row],[Next]]&lt;&gt;"",IF(reading[[#This Row],[Next]]&gt;TODAY(),"OK",""),"")</f>
        <v>OK</v>
      </c>
      <c r="Z397" s="13">
        <v>3</v>
      </c>
      <c r="AA397" s="13">
        <v>2</v>
      </c>
      <c r="AB397" s="13">
        <v>3</v>
      </c>
      <c r="AC397" s="13">
        <v>3</v>
      </c>
      <c r="AD397" s="13">
        <v>2</v>
      </c>
      <c r="AE397" s="13">
        <v>3</v>
      </c>
      <c r="AF397" s="13">
        <v>3</v>
      </c>
      <c r="AG397" s="16">
        <f>IFERROR(SUMIF(reading[[#This Row],[1st]:[7th]],"&gt;0")/COUNTIF(reading[[#This Row],[1st]:[7th]],"&gt;0"),"")</f>
        <v>2.7142857142857144</v>
      </c>
    </row>
    <row r="398" spans="1:33" hidden="1" x14ac:dyDescent="0.2">
      <c r="A398" s="4">
        <f>IF(B398=1,3,IF(D398=1,2,IF(F398=1,1,0)))</f>
        <v>0</v>
      </c>
      <c r="B398" s="4" t="str">
        <f>IF(C398=$L398,1,IF(C398="","",0))</f>
        <v/>
      </c>
      <c r="C398" s="42"/>
      <c r="D398" s="4" t="str">
        <f>IF(E398=$L398,1,IF(E398="","",0))</f>
        <v/>
      </c>
      <c r="E398" s="18"/>
      <c r="F398" s="4" t="str">
        <f>IF(G398=$L398,1,IF(G398="","",0))</f>
        <v/>
      </c>
      <c r="G398" s="14"/>
      <c r="H398" s="6">
        <v>718</v>
      </c>
      <c r="I398" s="15" t="s">
        <v>3120</v>
      </c>
      <c r="J398" s="6" t="s">
        <v>3856</v>
      </c>
      <c r="K398" s="6"/>
      <c r="L398" s="6" t="s">
        <v>839</v>
      </c>
      <c r="M398" s="6" t="s">
        <v>6827</v>
      </c>
      <c r="N398" s="7">
        <f ca="1">RAND()</f>
        <v>0.64435678403777119</v>
      </c>
      <c r="O398" s="8">
        <v>45204</v>
      </c>
      <c r="P398" s="8">
        <v>45205</v>
      </c>
      <c r="Q398" s="8">
        <v>45207</v>
      </c>
      <c r="R398" s="8">
        <v>45212</v>
      </c>
      <c r="S398" s="8">
        <v>45219</v>
      </c>
      <c r="T398" s="8">
        <v>45231</v>
      </c>
      <c r="U398" s="8">
        <v>45252</v>
      </c>
      <c r="V398" s="10">
        <f>COUNTA(O398:U398)</f>
        <v>7</v>
      </c>
      <c r="W398" s="11">
        <f>_xlfn.IFNA(INDEX(reading[[#This Row],[Memo 01]:[Memo 07]],MATCH(0,reading[[#This Row],[Memo 01]:[Memo 07]],-1)),"")</f>
        <v>45252</v>
      </c>
      <c r="X398" s="11">
        <f ca="1">IFERROR(reading[[#This Row],[Previous]]+OFFSET(reading[[#Headers],[Memo 01]],-1,MATCH(0,reading[[#This Row],[Memo 01]:[Memo 07]],-1)-1),"")</f>
        <v>55252</v>
      </c>
      <c r="Y398" s="10" t="str">
        <f ca="1">IF(reading[[#This Row],[Next]]&lt;&gt;"",IF(reading[[#This Row],[Next]]&gt;TODAY(),"OK",""),"")</f>
        <v>OK</v>
      </c>
      <c r="Z398" s="13">
        <v>3</v>
      </c>
      <c r="AA398" s="13">
        <v>3</v>
      </c>
      <c r="AB398" s="13">
        <v>2</v>
      </c>
      <c r="AC398" s="13">
        <v>2</v>
      </c>
      <c r="AD398" s="13">
        <v>3</v>
      </c>
      <c r="AE398" s="13">
        <v>3</v>
      </c>
      <c r="AF398" s="13">
        <v>3</v>
      </c>
      <c r="AG398" s="16">
        <f>IFERROR(SUMIF(reading[[#This Row],[1st]:[7th]],"&gt;0")/COUNTIF(reading[[#This Row],[1st]:[7th]],"&gt;0"),"")</f>
        <v>2.7142857142857144</v>
      </c>
    </row>
    <row r="399" spans="1:33" hidden="1" x14ac:dyDescent="0.2">
      <c r="A399" s="4">
        <f>IF(B399=1,3,IF(D399=1,2,IF(F399=1,1,0)))</f>
        <v>0</v>
      </c>
      <c r="B399" s="4" t="str">
        <f>IF(C399=$L399,1,IF(C399="","",0))</f>
        <v/>
      </c>
      <c r="C399" s="42"/>
      <c r="D399" s="4" t="str">
        <f>IF(E399=$L399,1,IF(E399="","",0))</f>
        <v/>
      </c>
      <c r="E399" s="18"/>
      <c r="F399" s="4" t="str">
        <f>IF(G399=$L399,1,IF(G399="","",0))</f>
        <v/>
      </c>
      <c r="G399" s="14"/>
      <c r="H399" s="6">
        <v>405</v>
      </c>
      <c r="I399" s="15" t="s">
        <v>3120</v>
      </c>
      <c r="J399" s="6" t="s">
        <v>3551</v>
      </c>
      <c r="K399" s="6"/>
      <c r="L399" s="6" t="s">
        <v>536</v>
      </c>
      <c r="M399" s="6" t="s">
        <v>6514</v>
      </c>
      <c r="N399" s="7">
        <f ca="1">RAND()</f>
        <v>0.5480984311713375</v>
      </c>
      <c r="O399" s="8">
        <v>45201</v>
      </c>
      <c r="P399" s="8">
        <v>45202</v>
      </c>
      <c r="Q399" s="8">
        <v>45204</v>
      </c>
      <c r="R399" s="8">
        <v>45208</v>
      </c>
      <c r="S399" s="8">
        <v>45215</v>
      </c>
      <c r="T399" s="8">
        <v>45227</v>
      </c>
      <c r="U399" s="8">
        <v>45252</v>
      </c>
      <c r="V399" s="10">
        <f>COUNTA(O399:U399)</f>
        <v>7</v>
      </c>
      <c r="W399" s="11">
        <f>_xlfn.IFNA(INDEX(reading[[#This Row],[Memo 01]:[Memo 07]],MATCH(0,reading[[#This Row],[Memo 01]:[Memo 07]],-1)),"")</f>
        <v>45252</v>
      </c>
      <c r="X399" s="11">
        <f ca="1">IFERROR(reading[[#This Row],[Previous]]+OFFSET(reading[[#Headers],[Memo 01]],-1,MATCH(0,reading[[#This Row],[Memo 01]:[Memo 07]],-1)-1),"")</f>
        <v>55252</v>
      </c>
      <c r="Y399" s="10" t="str">
        <f ca="1">IF(reading[[#This Row],[Next]]&lt;&gt;"",IF(reading[[#This Row],[Next]]&gt;TODAY(),"OK",""),"")</f>
        <v>OK</v>
      </c>
      <c r="Z399" s="13">
        <v>3</v>
      </c>
      <c r="AA399" s="13">
        <v>2</v>
      </c>
      <c r="AB399" s="13">
        <v>2</v>
      </c>
      <c r="AC399" s="13">
        <v>3</v>
      </c>
      <c r="AD399" s="13">
        <v>3</v>
      </c>
      <c r="AE399" s="13">
        <v>3</v>
      </c>
      <c r="AF399" s="13">
        <v>3</v>
      </c>
      <c r="AG399" s="16">
        <f>IFERROR(SUMIF(reading[[#This Row],[1st]:[7th]],"&gt;0")/COUNTIF(reading[[#This Row],[1st]:[7th]],"&gt;0"),"")</f>
        <v>2.7142857142857144</v>
      </c>
    </row>
    <row r="400" spans="1:33" hidden="1" x14ac:dyDescent="0.2">
      <c r="A400" s="4">
        <f>IF(B400=1,3,IF(D400=1,2,IF(F400=1,1,0)))</f>
        <v>0</v>
      </c>
      <c r="B400" s="4" t="str">
        <f>IF(C400=$L400,1,IF(C400="","",0))</f>
        <v/>
      </c>
      <c r="C400" s="42"/>
      <c r="D400" s="4" t="str">
        <f>IF(E400=$L400,1,IF(E400="","",0))</f>
        <v/>
      </c>
      <c r="E400" s="14"/>
      <c r="F400" s="4" t="str">
        <f>IF(G400=$L400,1,IF(G400="","",0))</f>
        <v/>
      </c>
      <c r="G400" s="14"/>
      <c r="H400" s="6">
        <v>2044</v>
      </c>
      <c r="I400" s="15" t="s">
        <v>3120</v>
      </c>
      <c r="J400" s="6" t="s">
        <v>5140</v>
      </c>
      <c r="K400" s="6"/>
      <c r="L400" s="6" t="s">
        <v>2119</v>
      </c>
      <c r="M400" s="6" t="s">
        <v>8150</v>
      </c>
      <c r="N400" s="7">
        <f ca="1">RAND()</f>
        <v>0.71199216902048967</v>
      </c>
      <c r="O400" s="8">
        <v>45213</v>
      </c>
      <c r="P400" s="8">
        <v>45214</v>
      </c>
      <c r="Q400" s="8">
        <v>45216</v>
      </c>
      <c r="R400" s="8">
        <v>45220</v>
      </c>
      <c r="S400" s="8">
        <v>45227</v>
      </c>
      <c r="T400" s="8">
        <v>45818</v>
      </c>
      <c r="U400" s="8"/>
      <c r="V400" s="10">
        <f>COUNTA(O400:U400)</f>
        <v>6</v>
      </c>
      <c r="W400" s="11">
        <f>_xlfn.IFNA(INDEX(reading[[#This Row],[Memo 01]:[Memo 07]],MATCH(0,reading[[#This Row],[Memo 01]:[Memo 07]],-1)),"")</f>
        <v>45818</v>
      </c>
      <c r="X400" s="11">
        <f ca="1">IFERROR(reading[[#This Row],[Previous]]+OFFSET(reading[[#Headers],[Memo 01]],-1,MATCH(0,reading[[#This Row],[Memo 01]:[Memo 07]],-1)-1),"")</f>
        <v>45838</v>
      </c>
      <c r="Y400" s="10" t="str">
        <f ca="1">IF(reading[[#This Row],[Next]]&lt;&gt;"",IF(reading[[#This Row],[Next]]&gt;TODAY(),"OK",""),"")</f>
        <v>OK</v>
      </c>
      <c r="Z400" s="13">
        <v>3</v>
      </c>
      <c r="AA400" s="13">
        <v>3</v>
      </c>
      <c r="AB400" s="13">
        <v>3</v>
      </c>
      <c r="AC400" s="13">
        <v>3</v>
      </c>
      <c r="AD400" s="13">
        <v>3</v>
      </c>
      <c r="AE400" s="13">
        <v>3</v>
      </c>
      <c r="AF400" s="13"/>
      <c r="AG400" s="16">
        <f>IFERROR(SUMIF(reading[[#This Row],[1st]:[7th]],"&gt;0")/COUNTIF(reading[[#This Row],[1st]:[7th]],"&gt;0"),"")</f>
        <v>3</v>
      </c>
    </row>
    <row r="401" spans="1:33" hidden="1" x14ac:dyDescent="0.2">
      <c r="A401" s="4">
        <f>IF(B401=1,3,IF(D401=1,2,IF(F401=1,1,0)))</f>
        <v>0</v>
      </c>
      <c r="B401" s="4" t="str">
        <f>IF(C401=$L401,1,IF(C401="","",0))</f>
        <v/>
      </c>
      <c r="C401" s="42"/>
      <c r="D401" s="4" t="str">
        <f>IF(E401=$L401,1,IF(E401="","",0))</f>
        <v/>
      </c>
      <c r="E401" s="18"/>
      <c r="F401" s="4" t="str">
        <f>IF(G401=$L401,1,IF(G401="","",0))</f>
        <v/>
      </c>
      <c r="G401" s="18"/>
      <c r="H401" s="6">
        <v>306</v>
      </c>
      <c r="I401" s="15" t="s">
        <v>3120</v>
      </c>
      <c r="J401" s="6" t="s">
        <v>3454</v>
      </c>
      <c r="K401" s="15" t="s">
        <v>3138</v>
      </c>
      <c r="L401" s="6" t="s">
        <v>441</v>
      </c>
      <c r="M401" s="6" t="s">
        <v>6415</v>
      </c>
      <c r="N401" s="7">
        <f ca="1">RAND()</f>
        <v>0.92447440584032337</v>
      </c>
      <c r="O401" s="8">
        <v>45200</v>
      </c>
      <c r="P401" s="8">
        <v>45201</v>
      </c>
      <c r="Q401" s="8">
        <v>45203</v>
      </c>
      <c r="R401" s="8">
        <v>45207</v>
      </c>
      <c r="S401" s="8">
        <v>45214</v>
      </c>
      <c r="T401" s="8">
        <v>45226</v>
      </c>
      <c r="U401" s="8">
        <v>45252</v>
      </c>
      <c r="V401" s="10">
        <f>COUNTA(O401:U401)</f>
        <v>7</v>
      </c>
      <c r="W401" s="11">
        <f>_xlfn.IFNA(INDEX(reading[[#This Row],[Memo 01]:[Memo 07]],MATCH(0,reading[[#This Row],[Memo 01]:[Memo 07]],-1)),"")</f>
        <v>45252</v>
      </c>
      <c r="X401" s="11">
        <f ca="1">IFERROR(reading[[#This Row],[Previous]]+OFFSET(reading[[#Headers],[Memo 01]],-1,MATCH(0,reading[[#This Row],[Memo 01]:[Memo 07]],-1)-1),"")</f>
        <v>55252</v>
      </c>
      <c r="Y401" s="10" t="str">
        <f ca="1">IF(reading[[#This Row],[Next]]&lt;&gt;"",IF(reading[[#This Row],[Next]]&gt;TODAY(),"OK",""),"")</f>
        <v>OK</v>
      </c>
      <c r="Z401" s="13">
        <v>3</v>
      </c>
      <c r="AA401" s="13">
        <v>3</v>
      </c>
      <c r="AB401" s="13">
        <v>3</v>
      </c>
      <c r="AC401" s="13">
        <v>3</v>
      </c>
      <c r="AD401" s="13">
        <v>3</v>
      </c>
      <c r="AE401" s="13">
        <v>1</v>
      </c>
      <c r="AF401" s="13">
        <v>3</v>
      </c>
      <c r="AG401" s="16">
        <f>IFERROR(SUMIF(reading[[#This Row],[1st]:[7th]],"&gt;0")/COUNTIF(reading[[#This Row],[1st]:[7th]],"&gt;0"),"")</f>
        <v>2.7142857142857144</v>
      </c>
    </row>
    <row r="402" spans="1:33" hidden="1" x14ac:dyDescent="0.2">
      <c r="A402" s="4">
        <f>IF(B402=1,3,IF(D402=1,2,IF(F402=1,1,0)))</f>
        <v>0</v>
      </c>
      <c r="B402" s="4" t="str">
        <f>IF(C402=$L402,1,IF(C402="","",0))</f>
        <v/>
      </c>
      <c r="C402" s="18"/>
      <c r="D402" s="4" t="str">
        <f>IF(E402=$L402,1,IF(E402="","",0))</f>
        <v/>
      </c>
      <c r="E402" s="18"/>
      <c r="F402" s="4" t="str">
        <f>IF(G402=$L402,1,IF(G402="","",0))</f>
        <v/>
      </c>
      <c r="G402" s="14"/>
      <c r="H402" s="6">
        <v>209</v>
      </c>
      <c r="I402" s="15" t="s">
        <v>3120</v>
      </c>
      <c r="J402" s="6" t="s">
        <v>3358</v>
      </c>
      <c r="K402" s="6"/>
      <c r="L402" s="6" t="s">
        <v>345</v>
      </c>
      <c r="M402" s="6" t="s">
        <v>6318</v>
      </c>
      <c r="N402" s="7">
        <f ca="1">RAND()</f>
        <v>0.27627951742225976</v>
      </c>
      <c r="O402" s="8">
        <v>45199</v>
      </c>
      <c r="P402" s="8">
        <v>45200</v>
      </c>
      <c r="Q402" s="8">
        <v>45202</v>
      </c>
      <c r="R402" s="8">
        <v>45206</v>
      </c>
      <c r="S402" s="8">
        <v>45213</v>
      </c>
      <c r="T402" s="8">
        <v>45225</v>
      </c>
      <c r="U402" s="8">
        <v>45252</v>
      </c>
      <c r="V402" s="10">
        <f>COUNTA(O402:U402)</f>
        <v>7</v>
      </c>
      <c r="W402" s="11">
        <f>_xlfn.IFNA(INDEX(reading[[#This Row],[Memo 01]:[Memo 07]],MATCH(0,reading[[#This Row],[Memo 01]:[Memo 07]],-1)),"")</f>
        <v>45252</v>
      </c>
      <c r="X402" s="11">
        <f ca="1">IFERROR(reading[[#This Row],[Previous]]+OFFSET(reading[[#Headers],[Memo 01]],-1,MATCH(0,reading[[#This Row],[Memo 01]:[Memo 07]],-1)-1),"")</f>
        <v>55252</v>
      </c>
      <c r="Y402" s="10" t="str">
        <f ca="1">IF(reading[[#This Row],[Next]]&lt;&gt;"",IF(reading[[#This Row],[Next]]&gt;TODAY(),"OK",""),"")</f>
        <v>OK</v>
      </c>
      <c r="Z402" s="13">
        <v>3</v>
      </c>
      <c r="AA402" s="13">
        <v>2</v>
      </c>
      <c r="AB402" s="13">
        <v>3</v>
      </c>
      <c r="AC402" s="13">
        <v>2</v>
      </c>
      <c r="AD402" s="13">
        <v>3</v>
      </c>
      <c r="AE402" s="13">
        <v>3</v>
      </c>
      <c r="AF402" s="13">
        <v>3</v>
      </c>
      <c r="AG402" s="16">
        <f>IFERROR(SUMIF(reading[[#This Row],[1st]:[7th]],"&gt;0")/COUNTIF(reading[[#This Row],[1st]:[7th]],"&gt;0"),"")</f>
        <v>2.7142857142857144</v>
      </c>
    </row>
    <row r="403" spans="1:33" hidden="1" x14ac:dyDescent="0.2">
      <c r="A403" s="4">
        <f>IF(B403=1,3,IF(D403=1,2,IF(F403=1,1,0)))</f>
        <v>0</v>
      </c>
      <c r="B403" s="4" t="str">
        <f>IF(C403=$L403,1,IF(C403="","",0))</f>
        <v/>
      </c>
      <c r="C403" s="42"/>
      <c r="D403" s="4" t="str">
        <f>IF(E403=$L403,1,IF(E403="","",0))</f>
        <v/>
      </c>
      <c r="E403" s="14"/>
      <c r="F403" s="4" t="str">
        <f>IF(G403=$L403,1,IF(G403="","",0))</f>
        <v/>
      </c>
      <c r="G403" s="14"/>
      <c r="H403" s="6">
        <v>1001</v>
      </c>
      <c r="I403" s="15" t="s">
        <v>3120</v>
      </c>
      <c r="J403" s="6" t="s">
        <v>4130</v>
      </c>
      <c r="K403" s="6"/>
      <c r="L403" s="6" t="s">
        <v>1111</v>
      </c>
      <c r="M403" s="6" t="s">
        <v>7109</v>
      </c>
      <c r="N403" s="7">
        <f ca="1">RAND()</f>
        <v>0.48142043483052166</v>
      </c>
      <c r="O403" s="8">
        <v>45205</v>
      </c>
      <c r="P403" s="8">
        <v>45206</v>
      </c>
      <c r="Q403" s="8">
        <v>45208</v>
      </c>
      <c r="R403" s="8">
        <v>45212</v>
      </c>
      <c r="S403" s="8">
        <v>45219</v>
      </c>
      <c r="T403" s="8">
        <v>45231</v>
      </c>
      <c r="U403" s="8">
        <v>45252</v>
      </c>
      <c r="V403" s="10">
        <f>COUNTA(O403:U403)</f>
        <v>7</v>
      </c>
      <c r="W403" s="11">
        <f>_xlfn.IFNA(INDEX(reading[[#This Row],[Memo 01]:[Memo 07]],MATCH(0,reading[[#This Row],[Memo 01]:[Memo 07]],-1)),"")</f>
        <v>45252</v>
      </c>
      <c r="X403" s="11">
        <f ca="1">IFERROR(reading[[#This Row],[Previous]]+OFFSET(reading[[#Headers],[Memo 01]],-1,MATCH(0,reading[[#This Row],[Memo 01]:[Memo 07]],-1)-1),"")</f>
        <v>55252</v>
      </c>
      <c r="Y403" s="10" t="str">
        <f ca="1">IF(reading[[#This Row],[Next]]&lt;&gt;"",IF(reading[[#This Row],[Next]]&gt;TODAY(),"OK",""),"")</f>
        <v>OK</v>
      </c>
      <c r="Z403" s="13">
        <v>3</v>
      </c>
      <c r="AA403" s="13">
        <v>3</v>
      </c>
      <c r="AB403" s="13">
        <v>3</v>
      </c>
      <c r="AC403" s="13">
        <v>3</v>
      </c>
      <c r="AD403" s="13">
        <v>3</v>
      </c>
      <c r="AE403" s="13">
        <v>1</v>
      </c>
      <c r="AF403" s="13">
        <v>3</v>
      </c>
      <c r="AG403" s="16">
        <f>IFERROR(SUMIF(reading[[#This Row],[1st]:[7th]],"&gt;0")/COUNTIF(reading[[#This Row],[1st]:[7th]],"&gt;0"),"")</f>
        <v>2.7142857142857144</v>
      </c>
    </row>
    <row r="404" spans="1:33" hidden="1" x14ac:dyDescent="0.2">
      <c r="A404" s="4">
        <f>IF(B404=1,3,IF(D404=1,2,IF(F404=1,1,0)))</f>
        <v>0</v>
      </c>
      <c r="B404" s="4" t="str">
        <f>IF(C404=$L404,1,IF(C404="","",0))</f>
        <v/>
      </c>
      <c r="C404" s="42"/>
      <c r="D404" s="4" t="str">
        <f>IF(E404=$L404,1,IF(E404="","",0))</f>
        <v/>
      </c>
      <c r="E404" s="14"/>
      <c r="F404" s="4" t="str">
        <f>IF(G404=$L404,1,IF(G404="","",0))</f>
        <v/>
      </c>
      <c r="G404" s="14"/>
      <c r="H404" s="6">
        <v>1728</v>
      </c>
      <c r="I404" s="15" t="s">
        <v>3120</v>
      </c>
      <c r="J404" s="6" t="s">
        <v>4836</v>
      </c>
      <c r="K404" s="6"/>
      <c r="L404" s="6" t="s">
        <v>1808</v>
      </c>
      <c r="M404" s="6" t="s">
        <v>7834</v>
      </c>
      <c r="N404" s="7">
        <f ca="1">RAND()</f>
        <v>0.28162478250798562</v>
      </c>
      <c r="O404" s="8">
        <v>45211</v>
      </c>
      <c r="P404" s="8">
        <v>45212</v>
      </c>
      <c r="Q404" s="8">
        <v>45214</v>
      </c>
      <c r="R404" s="8">
        <v>45218</v>
      </c>
      <c r="S404" s="8">
        <v>45225</v>
      </c>
      <c r="T404" s="8">
        <v>45237</v>
      </c>
      <c r="U404" s="8">
        <v>45783</v>
      </c>
      <c r="V404" s="10">
        <f>COUNTA(O404:U404)</f>
        <v>7</v>
      </c>
      <c r="W404" s="11">
        <f>_xlfn.IFNA(INDEX(reading[[#This Row],[Memo 01]:[Memo 07]],MATCH(0,reading[[#This Row],[Memo 01]:[Memo 07]],-1)),"")</f>
        <v>45783</v>
      </c>
      <c r="X404" s="11">
        <f ca="1">IFERROR(reading[[#This Row],[Previous]]+OFFSET(reading[[#Headers],[Memo 01]],-1,MATCH(0,reading[[#This Row],[Memo 01]:[Memo 07]],-1)-1),"")</f>
        <v>55783</v>
      </c>
      <c r="Y404" s="10" t="str">
        <f ca="1">IF(reading[[#This Row],[Next]]&lt;&gt;"",IF(reading[[#This Row],[Next]]&gt;TODAY(),"OK",""),"")</f>
        <v>OK</v>
      </c>
      <c r="Z404" s="13">
        <v>3</v>
      </c>
      <c r="AA404" s="13">
        <v>3</v>
      </c>
      <c r="AB404" s="13">
        <v>3</v>
      </c>
      <c r="AC404" s="13">
        <v>3</v>
      </c>
      <c r="AD404" s="13">
        <v>3</v>
      </c>
      <c r="AE404" s="13">
        <v>3</v>
      </c>
      <c r="AF404" s="13">
        <v>3</v>
      </c>
      <c r="AG404" s="16">
        <f>IFERROR(SUMIF(reading[[#This Row],[1st]:[7th]],"&gt;0")/COUNTIF(reading[[#This Row],[1st]:[7th]],"&gt;0"),"")</f>
        <v>3</v>
      </c>
    </row>
    <row r="405" spans="1:33" hidden="1" x14ac:dyDescent="0.2">
      <c r="A405" s="4">
        <f>IF(B405=1,3,IF(D405=1,2,IF(F405=1,1,0)))</f>
        <v>0</v>
      </c>
      <c r="B405" s="4" t="str">
        <f>IF(C405=$L405,1,IF(C405="","",0))</f>
        <v/>
      </c>
      <c r="C405" s="42"/>
      <c r="D405" s="4" t="str">
        <f>IF(E405=$L405,1,IF(E405="","",0))</f>
        <v/>
      </c>
      <c r="E405" s="23"/>
      <c r="F405" s="4" t="str">
        <f>IF(G405=$L405,1,IF(G405="","",0))</f>
        <v/>
      </c>
      <c r="G405" s="14"/>
      <c r="H405" s="6">
        <v>2495</v>
      </c>
      <c r="I405" s="15" t="s">
        <v>3120</v>
      </c>
      <c r="J405" s="6" t="s">
        <v>5562</v>
      </c>
      <c r="K405" s="6"/>
      <c r="L405" s="6" t="s">
        <v>2541</v>
      </c>
      <c r="M405" s="6" t="s">
        <v>8600</v>
      </c>
      <c r="N405" s="7">
        <f ca="1">RAND()</f>
        <v>0.99801193756184081</v>
      </c>
      <c r="O405" s="8">
        <v>45218</v>
      </c>
      <c r="P405" s="8">
        <v>45219</v>
      </c>
      <c r="Q405" s="8">
        <v>45221</v>
      </c>
      <c r="R405" s="8">
        <v>45225</v>
      </c>
      <c r="S405" s="8">
        <v>45232</v>
      </c>
      <c r="T405" s="8">
        <v>45820</v>
      </c>
      <c r="U405" s="8"/>
      <c r="V405" s="10">
        <f>COUNTA(O405:U405)</f>
        <v>6</v>
      </c>
      <c r="W405" s="11">
        <f>_xlfn.IFNA(INDEX(reading[[#This Row],[Memo 01]:[Memo 07]],MATCH(0,reading[[#This Row],[Memo 01]:[Memo 07]],-1)),"")</f>
        <v>45820</v>
      </c>
      <c r="X405" s="11">
        <f ca="1">IFERROR(reading[[#This Row],[Previous]]+OFFSET(reading[[#Headers],[Memo 01]],-1,MATCH(0,reading[[#This Row],[Memo 01]:[Memo 07]],-1)-1),"")</f>
        <v>45840</v>
      </c>
      <c r="Y405" s="10" t="str">
        <f ca="1">IF(reading[[#This Row],[Next]]&lt;&gt;"",IF(reading[[#This Row],[Next]]&gt;TODAY(),"OK",""),"")</f>
        <v>OK</v>
      </c>
      <c r="Z405" s="13">
        <v>3</v>
      </c>
      <c r="AA405" s="13">
        <v>3</v>
      </c>
      <c r="AB405" s="13">
        <v>3</v>
      </c>
      <c r="AC405" s="13">
        <v>3</v>
      </c>
      <c r="AD405" s="13">
        <v>3</v>
      </c>
      <c r="AE405" s="13">
        <v>2</v>
      </c>
      <c r="AF405" s="13"/>
      <c r="AG405" s="16">
        <f>IFERROR(SUMIF(reading[[#This Row],[1st]:[7th]],"&gt;0")/COUNTIF(reading[[#This Row],[1st]:[7th]],"&gt;0"),"")</f>
        <v>2.8333333333333335</v>
      </c>
    </row>
    <row r="406" spans="1:33" hidden="1" x14ac:dyDescent="0.2">
      <c r="A406" s="4">
        <f>IF(B406=1,3,IF(D406=1,2,IF(F406=1,1,0)))</f>
        <v>0</v>
      </c>
      <c r="B406" s="4" t="str">
        <f>IF(C406=$L406,1,IF(C406="","",0))</f>
        <v/>
      </c>
      <c r="C406" s="18"/>
      <c r="D406" s="4" t="str">
        <f>IF(E406=$L406,1,IF(E406="","",0))</f>
        <v/>
      </c>
      <c r="E406" s="18"/>
      <c r="F406" s="4" t="str">
        <f>IF(G406=$L406,1,IF(G406="","",0))</f>
        <v/>
      </c>
      <c r="G406" s="14"/>
      <c r="H406" s="6">
        <v>70</v>
      </c>
      <c r="I406" s="15" t="s">
        <v>3120</v>
      </c>
      <c r="J406" s="6" t="s">
        <v>3220</v>
      </c>
      <c r="K406" s="24" t="s">
        <v>3137</v>
      </c>
      <c r="L406" s="6" t="s">
        <v>208</v>
      </c>
      <c r="M406" s="6" t="s">
        <v>6179</v>
      </c>
      <c r="N406" s="7">
        <f ca="1">RAND()</f>
        <v>9.9293756897981589E-2</v>
      </c>
      <c r="O406" s="8">
        <v>45198</v>
      </c>
      <c r="P406" s="8">
        <v>45199</v>
      </c>
      <c r="Q406" s="8">
        <v>45202</v>
      </c>
      <c r="R406" s="8">
        <v>45206</v>
      </c>
      <c r="S406" s="8">
        <v>45213</v>
      </c>
      <c r="T406" s="8">
        <v>45225</v>
      </c>
      <c r="U406" s="8">
        <v>45253</v>
      </c>
      <c r="V406" s="10">
        <f>COUNTA(O406:U406)</f>
        <v>7</v>
      </c>
      <c r="W406" s="11">
        <f>_xlfn.IFNA(INDEX(reading[[#This Row],[Memo 01]:[Memo 07]],MATCH(0,reading[[#This Row],[Memo 01]:[Memo 07]],-1)),"")</f>
        <v>45253</v>
      </c>
      <c r="X406" s="11">
        <f ca="1">IFERROR(reading[[#This Row],[Previous]]+OFFSET(reading[[#Headers],[Memo 01]],-1,MATCH(0,reading[[#This Row],[Memo 01]:[Memo 07]],-1)-1),"")</f>
        <v>55253</v>
      </c>
      <c r="Y406" s="10" t="str">
        <f ca="1">IF(reading[[#This Row],[Next]]&lt;&gt;"",IF(reading[[#This Row],[Next]]&gt;TODAY(),"OK",""),"")</f>
        <v>OK</v>
      </c>
      <c r="Z406" s="13">
        <v>3</v>
      </c>
      <c r="AA406" s="13">
        <v>3</v>
      </c>
      <c r="AB406" s="13">
        <v>2</v>
      </c>
      <c r="AC406" s="13">
        <v>2</v>
      </c>
      <c r="AD406" s="13">
        <v>3</v>
      </c>
      <c r="AE406" s="13">
        <v>3</v>
      </c>
      <c r="AF406" s="13">
        <v>2</v>
      </c>
      <c r="AG406" s="16">
        <f>IFERROR(SUMIF(reading[[#This Row],[1st]:[7th]],"&gt;0")/COUNTIF(reading[[#This Row],[1st]:[7th]],"&gt;0"),"")</f>
        <v>2.5714285714285716</v>
      </c>
    </row>
    <row r="407" spans="1:33" hidden="1" x14ac:dyDescent="0.2">
      <c r="A407" s="4">
        <f>IF(B407=1,3,IF(D407=1,2,IF(F407=1,1,0)))</f>
        <v>0</v>
      </c>
      <c r="B407" s="4" t="str">
        <f>IF(C407=$L407,1,IF(C407="","",0))</f>
        <v/>
      </c>
      <c r="C407" s="42"/>
      <c r="D407" s="4" t="str">
        <f>IF(E407=$L407,1,IF(E407="","",0))</f>
        <v/>
      </c>
      <c r="E407" s="18"/>
      <c r="F407" s="4" t="str">
        <f>IF(G407=$L407,1,IF(G407="","",0))</f>
        <v/>
      </c>
      <c r="G407" s="14"/>
      <c r="H407" s="6">
        <v>563</v>
      </c>
      <c r="I407" s="15" t="s">
        <v>3120</v>
      </c>
      <c r="J407" s="6" t="s">
        <v>3706</v>
      </c>
      <c r="K407" s="6"/>
      <c r="L407" s="6" t="s">
        <v>690</v>
      </c>
      <c r="M407" s="6" t="s">
        <v>6672</v>
      </c>
      <c r="N407" s="7">
        <f ca="1">RAND()</f>
        <v>0.57436231584517483</v>
      </c>
      <c r="O407" s="8">
        <v>45202</v>
      </c>
      <c r="P407" s="8">
        <v>45203</v>
      </c>
      <c r="Q407" s="8">
        <v>45205</v>
      </c>
      <c r="R407" s="8">
        <v>45209</v>
      </c>
      <c r="S407" s="8">
        <v>45216</v>
      </c>
      <c r="T407" s="8">
        <v>45228</v>
      </c>
      <c r="U407" s="8">
        <v>45252</v>
      </c>
      <c r="V407" s="10">
        <f>COUNTA(O407:U407)</f>
        <v>7</v>
      </c>
      <c r="W407" s="11">
        <f>_xlfn.IFNA(INDEX(reading[[#This Row],[Memo 01]:[Memo 07]],MATCH(0,reading[[#This Row],[Memo 01]:[Memo 07]],-1)),"")</f>
        <v>45252</v>
      </c>
      <c r="X407" s="11">
        <f ca="1">IFERROR(reading[[#This Row],[Previous]]+OFFSET(reading[[#Headers],[Memo 01]],-1,MATCH(0,reading[[#This Row],[Memo 01]:[Memo 07]],-1)-1),"")</f>
        <v>55252</v>
      </c>
      <c r="Y407" s="10" t="str">
        <f ca="1">IF(reading[[#This Row],[Next]]&lt;&gt;"",IF(reading[[#This Row],[Next]]&gt;TODAY(),"OK",""),"")</f>
        <v>OK</v>
      </c>
      <c r="Z407" s="13">
        <v>3</v>
      </c>
      <c r="AA407" s="13">
        <v>3</v>
      </c>
      <c r="AB407" s="13">
        <v>3</v>
      </c>
      <c r="AC407" s="13">
        <v>3</v>
      </c>
      <c r="AD407" s="13">
        <v>2</v>
      </c>
      <c r="AE407" s="13">
        <v>2</v>
      </c>
      <c r="AF407" s="13">
        <v>3</v>
      </c>
      <c r="AG407" s="16">
        <f>IFERROR(SUMIF(reading[[#This Row],[1st]:[7th]],"&gt;0")/COUNTIF(reading[[#This Row],[1st]:[7th]],"&gt;0"),"")</f>
        <v>2.7142857142857144</v>
      </c>
    </row>
    <row r="408" spans="1:33" hidden="1" x14ac:dyDescent="0.2">
      <c r="A408" s="4">
        <f>IF(B408=1,3,IF(D408=1,2,IF(F408=1,1,0)))</f>
        <v>0</v>
      </c>
      <c r="B408" s="4" t="str">
        <f>IF(C408=$L408,1,IF(C408="","",0))</f>
        <v/>
      </c>
      <c r="C408" s="42"/>
      <c r="D408" s="4" t="str">
        <f>IF(E408=$L408,1,IF(E408="","",0))</f>
        <v/>
      </c>
      <c r="E408" s="18"/>
      <c r="F408" s="4" t="str">
        <f>IF(G408=$L408,1,IF(G408="","",0))</f>
        <v/>
      </c>
      <c r="G408" s="14"/>
      <c r="H408" s="6">
        <v>700</v>
      </c>
      <c r="I408" s="15" t="s">
        <v>3120</v>
      </c>
      <c r="J408" s="6" t="s">
        <v>3839</v>
      </c>
      <c r="K408" s="6"/>
      <c r="L408" s="6" t="s">
        <v>823</v>
      </c>
      <c r="M408" s="6" t="s">
        <v>6809</v>
      </c>
      <c r="N408" s="7">
        <f ca="1">RAND()</f>
        <v>0.55995401136558476</v>
      </c>
      <c r="O408" s="8">
        <v>45203</v>
      </c>
      <c r="P408" s="8">
        <v>45204</v>
      </c>
      <c r="Q408" s="8">
        <v>45206</v>
      </c>
      <c r="R408" s="8">
        <v>45210</v>
      </c>
      <c r="S408" s="8">
        <v>45217</v>
      </c>
      <c r="T408" s="8">
        <v>45229</v>
      </c>
      <c r="U408" s="8">
        <v>45252</v>
      </c>
      <c r="V408" s="10">
        <f>COUNTA(O408:U408)</f>
        <v>7</v>
      </c>
      <c r="W408" s="11">
        <f>_xlfn.IFNA(INDEX(reading[[#This Row],[Memo 01]:[Memo 07]],MATCH(0,reading[[#This Row],[Memo 01]:[Memo 07]],-1)),"")</f>
        <v>45252</v>
      </c>
      <c r="X408" s="11">
        <f ca="1">IFERROR(reading[[#This Row],[Previous]]+OFFSET(reading[[#Headers],[Memo 01]],-1,MATCH(0,reading[[#This Row],[Memo 01]:[Memo 07]],-1)-1),"")</f>
        <v>55252</v>
      </c>
      <c r="Y408" s="10" t="str">
        <f ca="1">IF(reading[[#This Row],[Next]]&lt;&gt;"",IF(reading[[#This Row],[Next]]&gt;TODAY(),"OK",""),"")</f>
        <v>OK</v>
      </c>
      <c r="Z408" s="13">
        <v>3</v>
      </c>
      <c r="AA408" s="13">
        <v>2</v>
      </c>
      <c r="AB408" s="13">
        <v>3</v>
      </c>
      <c r="AC408" s="13">
        <v>3</v>
      </c>
      <c r="AD408" s="13">
        <v>2</v>
      </c>
      <c r="AE408" s="13">
        <v>3</v>
      </c>
      <c r="AF408" s="13">
        <v>3</v>
      </c>
      <c r="AG408" s="16">
        <f>IFERROR(SUMIF(reading[[#This Row],[1st]:[7th]],"&gt;0")/COUNTIF(reading[[#This Row],[1st]:[7th]],"&gt;0"),"")</f>
        <v>2.7142857142857144</v>
      </c>
    </row>
    <row r="409" spans="1:33" hidden="1" x14ac:dyDescent="0.2">
      <c r="A409" s="4">
        <f>IF(B409=1,3,IF(D409=1,2,IF(F409=1,1,0)))</f>
        <v>3</v>
      </c>
      <c r="B409" s="4">
        <f>IF(C409=$L409,1,IF(C409="","",0))</f>
        <v>1</v>
      </c>
      <c r="C409" s="21" t="s">
        <v>543</v>
      </c>
      <c r="D409" s="4" t="str">
        <f>IF(E409=$L409,1,IF(E409="","",0))</f>
        <v/>
      </c>
      <c r="E409" s="14"/>
      <c r="F409" s="4" t="str">
        <f>IF(G409=$L409,1,IF(G409="","",0))</f>
        <v/>
      </c>
      <c r="G409" s="14"/>
      <c r="H409" s="6">
        <v>412</v>
      </c>
      <c r="I409" s="15" t="s">
        <v>3120</v>
      </c>
      <c r="J409" s="6" t="s">
        <v>3558</v>
      </c>
      <c r="K409" s="6"/>
      <c r="L409" s="6" t="s">
        <v>543</v>
      </c>
      <c r="M409" s="6" t="s">
        <v>6521</v>
      </c>
      <c r="N409" s="7">
        <f ca="1">RAND()</f>
        <v>7.1244165196947984E-2</v>
      </c>
      <c r="O409" s="8">
        <v>45201</v>
      </c>
      <c r="P409" s="8">
        <v>45201</v>
      </c>
      <c r="Q409" s="8">
        <v>45201</v>
      </c>
      <c r="R409" s="8">
        <v>45201</v>
      </c>
      <c r="S409" s="8">
        <v>45201</v>
      </c>
      <c r="T409" s="8">
        <v>45201</v>
      </c>
      <c r="U409" s="8">
        <v>45201</v>
      </c>
      <c r="V409" s="10">
        <f>COUNTA(O409:U409)</f>
        <v>7</v>
      </c>
      <c r="W409" s="11">
        <f>_xlfn.IFNA(INDEX(reading[[#This Row],[Memo 01]:[Memo 07]],MATCH(0,reading[[#This Row],[Memo 01]:[Memo 07]],-1)),"")</f>
        <v>45201</v>
      </c>
      <c r="X409" s="11">
        <f ca="1">IFERROR(reading[[#This Row],[Previous]]+OFFSET(reading[[#Headers],[Memo 01]],-1,MATCH(0,reading[[#This Row],[Memo 01]:[Memo 07]],-1)-1),"")</f>
        <v>55201</v>
      </c>
      <c r="Y409" s="10" t="str">
        <f ca="1">IF(reading[[#This Row],[Next]]&lt;&gt;"",IF(reading[[#This Row],[Next]]&gt;TODAY(),"OK",""),"")</f>
        <v>OK</v>
      </c>
      <c r="Z409" s="13">
        <v>3</v>
      </c>
      <c r="AA409" s="13"/>
      <c r="AB409" s="13"/>
      <c r="AC409" s="13"/>
      <c r="AD409" s="13"/>
      <c r="AE409" s="13"/>
      <c r="AF409" s="13"/>
      <c r="AG409" s="16">
        <f>IFERROR(SUMIF(reading[[#This Row],[1st]:[7th]],"&gt;0")/COUNTIF(reading[[#This Row],[1st]:[7th]],"&gt;0"),"")</f>
        <v>3</v>
      </c>
    </row>
    <row r="410" spans="1:33" hidden="1" x14ac:dyDescent="0.2">
      <c r="A410" s="4">
        <f>IF(B410=1,3,IF(D410=1,2,IF(F410=1,1,0)))</f>
        <v>0</v>
      </c>
      <c r="B410" s="4" t="str">
        <f>IF(C410=$L410,1,IF(C410="","",0))</f>
        <v/>
      </c>
      <c r="C410" s="42"/>
      <c r="D410" s="4" t="str">
        <f>IF(E410=$L410,1,IF(E410="","",0))</f>
        <v/>
      </c>
      <c r="E410" s="18"/>
      <c r="F410" s="4" t="str">
        <f>IF(G410=$L410,1,IF(G410="","",0))</f>
        <v/>
      </c>
      <c r="G410" s="14"/>
      <c r="H410" s="6">
        <v>356</v>
      </c>
      <c r="I410" s="15" t="s">
        <v>3120</v>
      </c>
      <c r="J410" s="6" t="s">
        <v>3503</v>
      </c>
      <c r="K410" s="6"/>
      <c r="L410" s="6" t="s">
        <v>490</v>
      </c>
      <c r="M410" s="6" t="s">
        <v>6465</v>
      </c>
      <c r="N410" s="7">
        <f ca="1">RAND()</f>
        <v>0.74547905871072595</v>
      </c>
      <c r="O410" s="8">
        <v>45200</v>
      </c>
      <c r="P410" s="8">
        <v>45202</v>
      </c>
      <c r="Q410" s="8">
        <v>45204</v>
      </c>
      <c r="R410" s="8">
        <v>45208</v>
      </c>
      <c r="S410" s="8">
        <v>45215</v>
      </c>
      <c r="T410" s="8">
        <v>45227</v>
      </c>
      <c r="U410" s="8">
        <v>45252</v>
      </c>
      <c r="V410" s="10">
        <f>COUNTA(O410:U410)</f>
        <v>7</v>
      </c>
      <c r="W410" s="11">
        <f>_xlfn.IFNA(INDEX(reading[[#This Row],[Memo 01]:[Memo 07]],MATCH(0,reading[[#This Row],[Memo 01]:[Memo 07]],-1)),"")</f>
        <v>45252</v>
      </c>
      <c r="X410" s="11">
        <f ca="1">IFERROR(reading[[#This Row],[Previous]]+OFFSET(reading[[#Headers],[Memo 01]],-1,MATCH(0,reading[[#This Row],[Memo 01]:[Memo 07]],-1)-1),"")</f>
        <v>55252</v>
      </c>
      <c r="Y410" s="10" t="str">
        <f ca="1">IF(reading[[#This Row],[Next]]&lt;&gt;"",IF(reading[[#This Row],[Next]]&gt;TODAY(),"OK",""),"")</f>
        <v>OK</v>
      </c>
      <c r="Z410" s="13">
        <v>3</v>
      </c>
      <c r="AA410" s="13">
        <v>2</v>
      </c>
      <c r="AB410" s="13">
        <v>3</v>
      </c>
      <c r="AC410" s="13">
        <v>2</v>
      </c>
      <c r="AD410" s="13">
        <v>3</v>
      </c>
      <c r="AE410" s="13">
        <v>3</v>
      </c>
      <c r="AF410" s="13">
        <v>3</v>
      </c>
      <c r="AG410" s="16">
        <f>IFERROR(SUMIF(reading[[#This Row],[1st]:[7th]],"&gt;0")/COUNTIF(reading[[#This Row],[1st]:[7th]],"&gt;0"),"")</f>
        <v>2.7142857142857144</v>
      </c>
    </row>
    <row r="411" spans="1:33" hidden="1" x14ac:dyDescent="0.2">
      <c r="A411" s="4">
        <f>IF(B411=1,3,IF(D411=1,2,IF(F411=1,1,0)))</f>
        <v>0</v>
      </c>
      <c r="B411" s="4" t="str">
        <f>IF(C411=$L411,1,IF(C411="","",0))</f>
        <v/>
      </c>
      <c r="C411" s="42"/>
      <c r="D411" s="4" t="str">
        <f>IF(E411=$L411,1,IF(E411="","",0))</f>
        <v/>
      </c>
      <c r="E411" s="14"/>
      <c r="F411" s="4" t="str">
        <f>IF(G411=$L411,1,IF(G411="","",0))</f>
        <v/>
      </c>
      <c r="G411" s="14"/>
      <c r="H411" s="6">
        <v>618</v>
      </c>
      <c r="I411" s="15" t="s">
        <v>3120</v>
      </c>
      <c r="J411" s="6" t="s">
        <v>3760</v>
      </c>
      <c r="K411" s="6"/>
      <c r="L411" s="6" t="s">
        <v>741</v>
      </c>
      <c r="M411" s="6" t="s">
        <v>6727</v>
      </c>
      <c r="N411" s="7">
        <f ca="1">RAND()</f>
        <v>0.68131991973764272</v>
      </c>
      <c r="O411" s="8">
        <v>45202</v>
      </c>
      <c r="P411" s="8">
        <v>45203</v>
      </c>
      <c r="Q411" s="8">
        <v>45205</v>
      </c>
      <c r="R411" s="8">
        <v>45209</v>
      </c>
      <c r="S411" s="8">
        <v>45216</v>
      </c>
      <c r="T411" s="8">
        <v>45228</v>
      </c>
      <c r="U411" s="8">
        <v>45252</v>
      </c>
      <c r="V411" s="10">
        <f>COUNTA(O411:U411)</f>
        <v>7</v>
      </c>
      <c r="W411" s="11">
        <f>_xlfn.IFNA(INDEX(reading[[#This Row],[Memo 01]:[Memo 07]],MATCH(0,reading[[#This Row],[Memo 01]:[Memo 07]],-1)),"")</f>
        <v>45252</v>
      </c>
      <c r="X411" s="11">
        <f ca="1">IFERROR(reading[[#This Row],[Previous]]+OFFSET(reading[[#Headers],[Memo 01]],-1,MATCH(0,reading[[#This Row],[Memo 01]:[Memo 07]],-1)-1),"")</f>
        <v>55252</v>
      </c>
      <c r="Y411" s="10" t="str">
        <f ca="1">IF(reading[[#This Row],[Next]]&lt;&gt;"",IF(reading[[#This Row],[Next]]&gt;TODAY(),"OK",""),"")</f>
        <v>OK</v>
      </c>
      <c r="Z411" s="13">
        <v>3</v>
      </c>
      <c r="AA411" s="13">
        <v>3</v>
      </c>
      <c r="AB411" s="13">
        <v>2</v>
      </c>
      <c r="AC411" s="13">
        <v>3</v>
      </c>
      <c r="AD411" s="13">
        <v>3</v>
      </c>
      <c r="AE411" s="13">
        <v>2</v>
      </c>
      <c r="AF411" s="13">
        <v>3</v>
      </c>
      <c r="AG411" s="16">
        <f>IFERROR(SUMIF(reading[[#This Row],[1st]:[7th]],"&gt;0")/COUNTIF(reading[[#This Row],[1st]:[7th]],"&gt;0"),"")</f>
        <v>2.7142857142857144</v>
      </c>
    </row>
    <row r="412" spans="1:33" hidden="1" x14ac:dyDescent="0.2">
      <c r="A412" s="4">
        <f>IF(B412=1,3,IF(D412=1,2,IF(F412=1,1,0)))</f>
        <v>0</v>
      </c>
      <c r="B412" s="4" t="str">
        <f>IF(C412=$L412,1,IF(C412="","",0))</f>
        <v/>
      </c>
      <c r="C412" s="42"/>
      <c r="D412" s="4" t="str">
        <f>IF(E412=$L412,1,IF(E412="","",0))</f>
        <v/>
      </c>
      <c r="E412" s="18"/>
      <c r="F412" s="4" t="str">
        <f>IF(G412=$L412,1,IF(G412="","",0))</f>
        <v/>
      </c>
      <c r="G412" s="18"/>
      <c r="H412" s="6">
        <v>724</v>
      </c>
      <c r="I412" s="15" t="s">
        <v>3120</v>
      </c>
      <c r="J412" s="6" t="s">
        <v>3862</v>
      </c>
      <c r="K412" s="6"/>
      <c r="L412" s="6" t="s">
        <v>845</v>
      </c>
      <c r="M412" s="6" t="s">
        <v>6833</v>
      </c>
      <c r="N412" s="7">
        <f ca="1">RAND()</f>
        <v>0.7430692026432465</v>
      </c>
      <c r="O412" s="8">
        <v>45203</v>
      </c>
      <c r="P412" s="8">
        <v>45204</v>
      </c>
      <c r="Q412" s="8">
        <v>45206</v>
      </c>
      <c r="R412" s="8">
        <v>45210</v>
      </c>
      <c r="S412" s="8">
        <v>45217</v>
      </c>
      <c r="T412" s="8">
        <v>45229</v>
      </c>
      <c r="U412" s="8">
        <v>45252</v>
      </c>
      <c r="V412" s="10">
        <f>COUNTA(O412:U412)</f>
        <v>7</v>
      </c>
      <c r="W412" s="11">
        <f>_xlfn.IFNA(INDEX(reading[[#This Row],[Memo 01]:[Memo 07]],MATCH(0,reading[[#This Row],[Memo 01]:[Memo 07]],-1)),"")</f>
        <v>45252</v>
      </c>
      <c r="X412" s="11">
        <f ca="1">IFERROR(reading[[#This Row],[Previous]]+OFFSET(reading[[#Headers],[Memo 01]],-1,MATCH(0,reading[[#This Row],[Memo 01]:[Memo 07]],-1)-1),"")</f>
        <v>55252</v>
      </c>
      <c r="Y412" s="10" t="str">
        <f ca="1">IF(reading[[#This Row],[Next]]&lt;&gt;"",IF(reading[[#This Row],[Next]]&gt;TODAY(),"OK",""),"")</f>
        <v>OK</v>
      </c>
      <c r="Z412" s="13">
        <v>3</v>
      </c>
      <c r="AA412" s="13">
        <v>3</v>
      </c>
      <c r="AB412" s="13">
        <v>1</v>
      </c>
      <c r="AC412" s="13">
        <v>3</v>
      </c>
      <c r="AD412" s="13">
        <v>3</v>
      </c>
      <c r="AE412" s="13">
        <v>3</v>
      </c>
      <c r="AF412" s="13">
        <v>3</v>
      </c>
      <c r="AG412" s="16">
        <f>IFERROR(SUMIF(reading[[#This Row],[1st]:[7th]],"&gt;0")/COUNTIF(reading[[#This Row],[1st]:[7th]],"&gt;0"),"")</f>
        <v>2.7142857142857144</v>
      </c>
    </row>
    <row r="413" spans="1:33" hidden="1" x14ac:dyDescent="0.2">
      <c r="A413" s="4">
        <f>IF(B413=1,3,IF(D413=1,2,IF(F413=1,1,0)))</f>
        <v>0</v>
      </c>
      <c r="B413" s="4" t="str">
        <f>IF(C413=$L413,1,IF(C413="","",0))</f>
        <v/>
      </c>
      <c r="C413" s="42"/>
      <c r="D413" s="4" t="str">
        <f>IF(E413=$L413,1,IF(E413="","",0))</f>
        <v/>
      </c>
      <c r="E413" s="18"/>
      <c r="F413" s="4" t="str">
        <f>IF(G413=$L413,1,IF(G413="","",0))</f>
        <v/>
      </c>
      <c r="G413" s="14"/>
      <c r="H413" s="6">
        <v>400</v>
      </c>
      <c r="I413" s="15" t="s">
        <v>3120</v>
      </c>
      <c r="J413" s="6" t="s">
        <v>3546</v>
      </c>
      <c r="K413" s="6"/>
      <c r="L413" s="6" t="s">
        <v>531</v>
      </c>
      <c r="M413" s="6" t="s">
        <v>6509</v>
      </c>
      <c r="N413" s="7">
        <f ca="1">RAND()</f>
        <v>0.36900795328002411</v>
      </c>
      <c r="O413" s="8">
        <v>45201</v>
      </c>
      <c r="P413" s="8">
        <v>45202</v>
      </c>
      <c r="Q413" s="8">
        <v>45204</v>
      </c>
      <c r="R413" s="8">
        <v>45208</v>
      </c>
      <c r="S413" s="8">
        <v>45215</v>
      </c>
      <c r="T413" s="8">
        <v>45227</v>
      </c>
      <c r="U413" s="8">
        <v>45777</v>
      </c>
      <c r="V413" s="10">
        <f>COUNTA(O413:U413)</f>
        <v>7</v>
      </c>
      <c r="W413" s="11">
        <f>_xlfn.IFNA(INDEX(reading[[#This Row],[Memo 01]:[Memo 07]],MATCH(0,reading[[#This Row],[Memo 01]:[Memo 07]],-1)),"")</f>
        <v>45777</v>
      </c>
      <c r="X413" s="11">
        <f ca="1">IFERROR(reading[[#This Row],[Previous]]+OFFSET(reading[[#Headers],[Memo 01]],-1,MATCH(0,reading[[#This Row],[Memo 01]:[Memo 07]],-1)-1),"")</f>
        <v>55777</v>
      </c>
      <c r="Y413" s="10" t="str">
        <f ca="1">IF(reading[[#This Row],[Next]]&lt;&gt;"",IF(reading[[#This Row],[Next]]&gt;TODAY(),"OK",""),"")</f>
        <v>OK</v>
      </c>
      <c r="Z413" s="13">
        <v>3</v>
      </c>
      <c r="AA413" s="13">
        <v>3</v>
      </c>
      <c r="AB413" s="13">
        <v>3</v>
      </c>
      <c r="AC413" s="13">
        <v>2</v>
      </c>
      <c r="AD413" s="13">
        <v>2</v>
      </c>
      <c r="AE413" s="13">
        <v>3</v>
      </c>
      <c r="AF413" s="13">
        <v>3</v>
      </c>
      <c r="AG413" s="16">
        <f>IFERROR(SUMIF(reading[[#This Row],[1st]:[7th]],"&gt;0")/COUNTIF(reading[[#This Row],[1st]:[7th]],"&gt;0"),"")</f>
        <v>2.7142857142857144</v>
      </c>
    </row>
    <row r="414" spans="1:33" hidden="1" x14ac:dyDescent="0.2">
      <c r="A414" s="4">
        <f>IF(B414=1,3,IF(D414=1,2,IF(F414=1,1,0)))</f>
        <v>0</v>
      </c>
      <c r="B414" s="4" t="str">
        <f>IF(C414=$L414,1,IF(C414="","",0))</f>
        <v/>
      </c>
      <c r="C414" s="42"/>
      <c r="D414" s="4" t="str">
        <f>IF(E414=$L414,1,IF(E414="","",0))</f>
        <v/>
      </c>
      <c r="E414" s="14"/>
      <c r="F414" s="4" t="str">
        <f>IF(G414=$L414,1,IF(G414="","",0))</f>
        <v/>
      </c>
      <c r="G414" s="14"/>
      <c r="H414" s="6">
        <v>330</v>
      </c>
      <c r="I414" s="15" t="s">
        <v>3120</v>
      </c>
      <c r="J414" s="6" t="s">
        <v>3477</v>
      </c>
      <c r="K414" s="6"/>
      <c r="L414" s="6" t="s">
        <v>465</v>
      </c>
      <c r="M414" s="6" t="s">
        <v>6439</v>
      </c>
      <c r="N414" s="7">
        <f ca="1">RAND()</f>
        <v>0.11722317297455509</v>
      </c>
      <c r="O414" s="8">
        <v>45200</v>
      </c>
      <c r="P414" s="8">
        <v>45201</v>
      </c>
      <c r="Q414" s="8">
        <v>45203</v>
      </c>
      <c r="R414" s="8">
        <v>45207</v>
      </c>
      <c r="S414" s="8">
        <v>45214</v>
      </c>
      <c r="T414" s="8">
        <v>45226</v>
      </c>
      <c r="U414" s="8">
        <v>45783</v>
      </c>
      <c r="V414" s="10">
        <f>COUNTA(O414:U414)</f>
        <v>7</v>
      </c>
      <c r="W414" s="11">
        <f>_xlfn.IFNA(INDEX(reading[[#This Row],[Memo 01]:[Memo 07]],MATCH(0,reading[[#This Row],[Memo 01]:[Memo 07]],-1)),"")</f>
        <v>45783</v>
      </c>
      <c r="X414" s="11">
        <f ca="1">IFERROR(reading[[#This Row],[Previous]]+OFFSET(reading[[#Headers],[Memo 01]],-1,MATCH(0,reading[[#This Row],[Memo 01]:[Memo 07]],-1)-1),"")</f>
        <v>55783</v>
      </c>
      <c r="Y414" s="10" t="str">
        <f ca="1">IF(reading[[#This Row],[Next]]&lt;&gt;"",IF(reading[[#This Row],[Next]]&gt;TODAY(),"OK",""),"")</f>
        <v>OK</v>
      </c>
      <c r="Z414" s="13">
        <v>3</v>
      </c>
      <c r="AA414" s="13">
        <v>3</v>
      </c>
      <c r="AB414" s="13">
        <v>3</v>
      </c>
      <c r="AC414" s="13">
        <v>3</v>
      </c>
      <c r="AD414" s="13">
        <v>3</v>
      </c>
      <c r="AE414" s="13">
        <v>3</v>
      </c>
      <c r="AF414" s="13">
        <v>3</v>
      </c>
      <c r="AG414" s="16">
        <f>IFERROR(SUMIF(reading[[#This Row],[1st]:[7th]],"&gt;0")/COUNTIF(reading[[#This Row],[1st]:[7th]],"&gt;0"),"")</f>
        <v>3</v>
      </c>
    </row>
    <row r="415" spans="1:33" hidden="1" x14ac:dyDescent="0.2">
      <c r="A415" s="4">
        <f>IF(B415=1,3,IF(D415=1,2,IF(F415=1,1,0)))</f>
        <v>0</v>
      </c>
      <c r="B415" s="4" t="str">
        <f>IF(C415=$L415,1,IF(C415="","",0))</f>
        <v/>
      </c>
      <c r="C415" s="42"/>
      <c r="D415" s="4" t="str">
        <f>IF(E415=$L415,1,IF(E415="","",0))</f>
        <v/>
      </c>
      <c r="E415" s="18"/>
      <c r="F415" s="4" t="str">
        <f>IF(G415=$L415,1,IF(G415="","",0))</f>
        <v/>
      </c>
      <c r="G415" s="14"/>
      <c r="H415" s="6">
        <v>131</v>
      </c>
      <c r="I415" s="15" t="s">
        <v>3120</v>
      </c>
      <c r="J415" s="6" t="s">
        <v>3280</v>
      </c>
      <c r="K415" s="6"/>
      <c r="L415" s="6" t="s">
        <v>268</v>
      </c>
      <c r="M415" s="6" t="s">
        <v>6240</v>
      </c>
      <c r="N415" s="7">
        <f ca="1">RAND()</f>
        <v>0.12505807096331523</v>
      </c>
      <c r="O415" s="8">
        <v>45199</v>
      </c>
      <c r="P415" s="8">
        <v>45200</v>
      </c>
      <c r="Q415" s="8">
        <v>45202</v>
      </c>
      <c r="R415" s="8">
        <v>45206</v>
      </c>
      <c r="S415" s="8">
        <v>45213</v>
      </c>
      <c r="T415" s="8">
        <v>45225</v>
      </c>
      <c r="U415" s="8">
        <v>45252</v>
      </c>
      <c r="V415" s="10">
        <f>COUNTA(O415:U415)</f>
        <v>7</v>
      </c>
      <c r="W415" s="11">
        <f>_xlfn.IFNA(INDEX(reading[[#This Row],[Memo 01]:[Memo 07]],MATCH(0,reading[[#This Row],[Memo 01]:[Memo 07]],-1)),"")</f>
        <v>45252</v>
      </c>
      <c r="X415" s="11">
        <f ca="1">IFERROR(reading[[#This Row],[Previous]]+OFFSET(reading[[#Headers],[Memo 01]],-1,MATCH(0,reading[[#This Row],[Memo 01]:[Memo 07]],-1)-1),"")</f>
        <v>55252</v>
      </c>
      <c r="Y415" s="10" t="str">
        <f ca="1">IF(reading[[#This Row],[Next]]&lt;&gt;"",IF(reading[[#This Row],[Next]]&gt;TODAY(),"OK",""),"")</f>
        <v>OK</v>
      </c>
      <c r="Z415" s="13">
        <v>3</v>
      </c>
      <c r="AA415" s="13">
        <v>2</v>
      </c>
      <c r="AB415" s="13">
        <v>3</v>
      </c>
      <c r="AC415" s="13">
        <v>3</v>
      </c>
      <c r="AD415" s="13">
        <v>3</v>
      </c>
      <c r="AE415" s="13">
        <v>2</v>
      </c>
      <c r="AF415" s="13">
        <v>3</v>
      </c>
      <c r="AG415" s="16">
        <f>IFERROR(SUMIF(reading[[#This Row],[1st]:[7th]],"&gt;0")/COUNTIF(reading[[#This Row],[1st]:[7th]],"&gt;0"),"")</f>
        <v>2.7142857142857144</v>
      </c>
    </row>
    <row r="416" spans="1:33" hidden="1" x14ac:dyDescent="0.2">
      <c r="A416" s="4">
        <f>IF(B416=1,3,IF(D416=1,2,IF(F416=1,1,0)))</f>
        <v>0</v>
      </c>
      <c r="B416" s="4" t="str">
        <f>IF(C416=$L416,1,IF(C416="","",0))</f>
        <v/>
      </c>
      <c r="C416" s="42"/>
      <c r="D416" s="4" t="str">
        <f>IF(E416=$L416,1,IF(E416="","",0))</f>
        <v/>
      </c>
      <c r="E416" s="18"/>
      <c r="F416" s="4" t="str">
        <f>IF(G416=$L416,1,IF(G416="","",0))</f>
        <v/>
      </c>
      <c r="G416" s="14"/>
      <c r="H416" s="6">
        <v>362</v>
      </c>
      <c r="I416" s="15" t="s">
        <v>3120</v>
      </c>
      <c r="J416" s="6" t="s">
        <v>3509</v>
      </c>
      <c r="K416" s="6"/>
      <c r="L416" s="6" t="s">
        <v>495</v>
      </c>
      <c r="M416" s="6" t="s">
        <v>6471</v>
      </c>
      <c r="N416" s="7">
        <f ca="1">RAND()</f>
        <v>0.11506806881804332</v>
      </c>
      <c r="O416" s="8">
        <v>45201</v>
      </c>
      <c r="P416" s="8">
        <v>45202</v>
      </c>
      <c r="Q416" s="8">
        <v>45204</v>
      </c>
      <c r="R416" s="8">
        <v>45208</v>
      </c>
      <c r="S416" s="8">
        <v>45215</v>
      </c>
      <c r="T416" s="8">
        <v>45227</v>
      </c>
      <c r="U416" s="8">
        <v>45252</v>
      </c>
      <c r="V416" s="10">
        <f>COUNTA(O416:U416)</f>
        <v>7</v>
      </c>
      <c r="W416" s="11">
        <f>_xlfn.IFNA(INDEX(reading[[#This Row],[Memo 01]:[Memo 07]],MATCH(0,reading[[#This Row],[Memo 01]:[Memo 07]],-1)),"")</f>
        <v>45252</v>
      </c>
      <c r="X416" s="11">
        <f ca="1">IFERROR(reading[[#This Row],[Previous]]+OFFSET(reading[[#Headers],[Memo 01]],-1,MATCH(0,reading[[#This Row],[Memo 01]:[Memo 07]],-1)-1),"")</f>
        <v>55252</v>
      </c>
      <c r="Y416" s="10" t="str">
        <f ca="1">IF(reading[[#This Row],[Next]]&lt;&gt;"",IF(reading[[#This Row],[Next]]&gt;TODAY(),"OK",""),"")</f>
        <v>OK</v>
      </c>
      <c r="Z416" s="13">
        <v>3</v>
      </c>
      <c r="AA416" s="13">
        <v>3</v>
      </c>
      <c r="AB416" s="13">
        <v>3</v>
      </c>
      <c r="AC416" s="13">
        <v>2</v>
      </c>
      <c r="AD416" s="13">
        <v>2</v>
      </c>
      <c r="AE416" s="13">
        <v>3</v>
      </c>
      <c r="AF416" s="13">
        <v>3</v>
      </c>
      <c r="AG416" s="16">
        <f>IFERROR(SUMIF(reading[[#This Row],[1st]:[7th]],"&gt;0")/COUNTIF(reading[[#This Row],[1st]:[7th]],"&gt;0"),"")</f>
        <v>2.7142857142857144</v>
      </c>
    </row>
    <row r="417" spans="1:33" hidden="1" x14ac:dyDescent="0.2">
      <c r="A417" s="4">
        <f>IF(B417=1,3,IF(D417=1,2,IF(F417=1,1,0)))</f>
        <v>0</v>
      </c>
      <c r="B417" s="4" t="str">
        <f>IF(C417=$L417,1,IF(C417="","",0))</f>
        <v/>
      </c>
      <c r="C417" s="42"/>
      <c r="D417" s="4" t="str">
        <f>IF(E417=$L417,1,IF(E417="","",0))</f>
        <v/>
      </c>
      <c r="E417" s="18"/>
      <c r="F417" s="4" t="str">
        <f>IF(G417=$L417,1,IF(G417="","",0))</f>
        <v/>
      </c>
      <c r="G417" s="18"/>
      <c r="H417" s="6">
        <v>1075</v>
      </c>
      <c r="I417" s="15" t="s">
        <v>3120</v>
      </c>
      <c r="J417" s="6" t="s">
        <v>4200</v>
      </c>
      <c r="K417" s="6"/>
      <c r="L417" s="6" t="s">
        <v>1182</v>
      </c>
      <c r="M417" s="6" t="s">
        <v>7183</v>
      </c>
      <c r="N417" s="7">
        <f ca="1">RAND()</f>
        <v>8.245754390643123E-2</v>
      </c>
      <c r="O417" s="8">
        <v>45205</v>
      </c>
      <c r="P417" s="8">
        <v>45206</v>
      </c>
      <c r="Q417" s="8">
        <v>45208</v>
      </c>
      <c r="R417" s="8">
        <v>45212</v>
      </c>
      <c r="S417" s="8">
        <v>45219</v>
      </c>
      <c r="T417" s="8">
        <v>45231</v>
      </c>
      <c r="U417" s="8">
        <v>45777</v>
      </c>
      <c r="V417" s="10">
        <f>COUNTA(O417:U417)</f>
        <v>7</v>
      </c>
      <c r="W417" s="11">
        <f>_xlfn.IFNA(INDEX(reading[[#This Row],[Memo 01]:[Memo 07]],MATCH(0,reading[[#This Row],[Memo 01]:[Memo 07]],-1)),"")</f>
        <v>45777</v>
      </c>
      <c r="X417" s="11">
        <f ca="1">IFERROR(reading[[#This Row],[Previous]]+OFFSET(reading[[#Headers],[Memo 01]],-1,MATCH(0,reading[[#This Row],[Memo 01]:[Memo 07]],-1)-1),"")</f>
        <v>55777</v>
      </c>
      <c r="Y417" s="10" t="str">
        <f ca="1">IF(reading[[#This Row],[Next]]&lt;&gt;"",IF(reading[[#This Row],[Next]]&gt;TODAY(),"OK",""),"")</f>
        <v>OK</v>
      </c>
      <c r="Z417" s="13">
        <v>3</v>
      </c>
      <c r="AA417" s="13">
        <v>1</v>
      </c>
      <c r="AB417" s="13">
        <v>3</v>
      </c>
      <c r="AC417" s="13">
        <v>3</v>
      </c>
      <c r="AD417" s="13">
        <v>3</v>
      </c>
      <c r="AE417" s="13">
        <v>3</v>
      </c>
      <c r="AF417" s="13">
        <v>3</v>
      </c>
      <c r="AG417" s="16">
        <f>IFERROR(SUMIF(reading[[#This Row],[1st]:[7th]],"&gt;0")/COUNTIF(reading[[#This Row],[1st]:[7th]],"&gt;0"),"")</f>
        <v>2.7142857142857144</v>
      </c>
    </row>
    <row r="418" spans="1:33" hidden="1" x14ac:dyDescent="0.2">
      <c r="A418" s="4">
        <f>IF(B418=1,3,IF(D418=1,2,IF(F418=1,1,0)))</f>
        <v>0</v>
      </c>
      <c r="B418" s="4" t="str">
        <f>IF(C418=$L418,1,IF(C418="","",0))</f>
        <v/>
      </c>
      <c r="C418" s="21"/>
      <c r="D418" s="4" t="str">
        <f>IF(E418=$L418,1,IF(E418="","",0))</f>
        <v/>
      </c>
      <c r="E418" s="14"/>
      <c r="F418" s="4" t="str">
        <f>IF(G418=$L418,1,IF(G418="","",0))</f>
        <v/>
      </c>
      <c r="G418" s="14"/>
      <c r="H418" s="6">
        <v>421</v>
      </c>
      <c r="I418" s="15" t="s">
        <v>3120</v>
      </c>
      <c r="J418" s="6" t="s">
        <v>3567</v>
      </c>
      <c r="K418" s="6"/>
      <c r="L418" s="6" t="s">
        <v>551</v>
      </c>
      <c r="M418" s="6" t="s">
        <v>6530</v>
      </c>
      <c r="N418" s="7">
        <f ca="1">RAND()</f>
        <v>0.48276605035565223</v>
      </c>
      <c r="O418" s="8">
        <v>45201</v>
      </c>
      <c r="P418" s="8">
        <v>45201</v>
      </c>
      <c r="Q418" s="8">
        <v>45201</v>
      </c>
      <c r="R418" s="8">
        <v>45201</v>
      </c>
      <c r="S418" s="8">
        <v>45201</v>
      </c>
      <c r="T418" s="8">
        <v>45201</v>
      </c>
      <c r="U418" s="8">
        <v>45201</v>
      </c>
      <c r="V418" s="10">
        <f>COUNTA(O418:U418)</f>
        <v>7</v>
      </c>
      <c r="W418" s="11">
        <f>_xlfn.IFNA(INDEX(reading[[#This Row],[Memo 01]:[Memo 07]],MATCH(0,reading[[#This Row],[Memo 01]:[Memo 07]],-1)),"")</f>
        <v>45201</v>
      </c>
      <c r="X418" s="11">
        <f ca="1">IFERROR(reading[[#This Row],[Previous]]+OFFSET(reading[[#Headers],[Memo 01]],-1,MATCH(0,reading[[#This Row],[Memo 01]:[Memo 07]],-1)-1),"")</f>
        <v>55201</v>
      </c>
      <c r="Y418" s="10" t="str">
        <f ca="1">IF(reading[[#This Row],[Next]]&lt;&gt;"",IF(reading[[#This Row],[Next]]&gt;TODAY(),"OK",""),"")</f>
        <v>OK</v>
      </c>
      <c r="Z418" s="13">
        <v>3</v>
      </c>
      <c r="AA418" s="13"/>
      <c r="AB418" s="13"/>
      <c r="AC418" s="13"/>
      <c r="AD418" s="13"/>
      <c r="AE418" s="13"/>
      <c r="AF418" s="13"/>
      <c r="AG418" s="16">
        <f>IFERROR(SUMIF(reading[[#This Row],[1st]:[7th]],"&gt;0")/COUNTIF(reading[[#This Row],[1st]:[7th]],"&gt;0"),"")</f>
        <v>3</v>
      </c>
    </row>
    <row r="419" spans="1:33" hidden="1" x14ac:dyDescent="0.2">
      <c r="A419" s="4">
        <f>IF(B419=1,3,IF(D419=1,2,IF(F419=1,1,0)))</f>
        <v>0</v>
      </c>
      <c r="B419" s="4" t="str">
        <f>IF(C419=$L419,1,IF(C419="","",0))</f>
        <v/>
      </c>
      <c r="C419" s="42"/>
      <c r="D419" s="4" t="str">
        <f>IF(E419=$L419,1,IF(E419="","",0))</f>
        <v/>
      </c>
      <c r="E419" s="14"/>
      <c r="F419" s="4" t="str">
        <f>IF(G419=$L419,1,IF(G419="","",0))</f>
        <v/>
      </c>
      <c r="G419" s="14"/>
      <c r="H419" s="6">
        <v>1762</v>
      </c>
      <c r="I419" s="15" t="s">
        <v>3120</v>
      </c>
      <c r="J419" s="6" t="s">
        <v>3880</v>
      </c>
      <c r="K419" s="6"/>
      <c r="L419" s="6" t="s">
        <v>1842</v>
      </c>
      <c r="M419" s="6" t="s">
        <v>7868</v>
      </c>
      <c r="N419" s="7">
        <f ca="1">RAND()</f>
        <v>2.500414538134299E-2</v>
      </c>
      <c r="O419" s="8">
        <v>45211</v>
      </c>
      <c r="P419" s="8">
        <v>45212</v>
      </c>
      <c r="Q419" s="8">
        <v>45214</v>
      </c>
      <c r="R419" s="8">
        <v>45218</v>
      </c>
      <c r="S419" s="8">
        <v>45225</v>
      </c>
      <c r="T419" s="8">
        <v>45237</v>
      </c>
      <c r="U419" s="8">
        <v>45783</v>
      </c>
      <c r="V419" s="10">
        <f>COUNTA(O419:U419)</f>
        <v>7</v>
      </c>
      <c r="W419" s="11">
        <f>_xlfn.IFNA(INDEX(reading[[#This Row],[Memo 01]:[Memo 07]],MATCH(0,reading[[#This Row],[Memo 01]:[Memo 07]],-1)),"")</f>
        <v>45783</v>
      </c>
      <c r="X419" s="11">
        <f ca="1">IFERROR(reading[[#This Row],[Previous]]+OFFSET(reading[[#Headers],[Memo 01]],-1,MATCH(0,reading[[#This Row],[Memo 01]:[Memo 07]],-1)-1),"")</f>
        <v>55783</v>
      </c>
      <c r="Y419" s="10" t="str">
        <f ca="1">IF(reading[[#This Row],[Next]]&lt;&gt;"",IF(reading[[#This Row],[Next]]&gt;TODAY(),"OK",""),"")</f>
        <v>OK</v>
      </c>
      <c r="Z419" s="13">
        <v>3</v>
      </c>
      <c r="AA419" s="13">
        <v>3</v>
      </c>
      <c r="AB419" s="13">
        <v>3</v>
      </c>
      <c r="AC419" s="13">
        <v>3</v>
      </c>
      <c r="AD419" s="13">
        <v>3</v>
      </c>
      <c r="AE419" s="13">
        <v>3</v>
      </c>
      <c r="AF419" s="13">
        <v>3</v>
      </c>
      <c r="AG419" s="16">
        <f>IFERROR(SUMIF(reading[[#This Row],[1st]:[7th]],"&gt;0")/COUNTIF(reading[[#This Row],[1st]:[7th]],"&gt;0"),"")</f>
        <v>3</v>
      </c>
    </row>
    <row r="420" spans="1:33" hidden="1" x14ac:dyDescent="0.2">
      <c r="A420" s="4">
        <f>IF(B420=1,3,IF(D420=1,2,IF(F420=1,1,0)))</f>
        <v>0</v>
      </c>
      <c r="B420" s="4" t="str">
        <f>IF(C420=$L420,1,IF(C420="","",0))</f>
        <v/>
      </c>
      <c r="C420" s="42"/>
      <c r="D420" s="4" t="str">
        <f>IF(E420=$L420,1,IF(E420="","",0))</f>
        <v/>
      </c>
      <c r="E420" s="18"/>
      <c r="F420" s="4" t="str">
        <f>IF(G420=$L420,1,IF(G420="","",0))</f>
        <v/>
      </c>
      <c r="G420" s="14"/>
      <c r="H420" s="6">
        <v>430</v>
      </c>
      <c r="I420" s="15" t="s">
        <v>3120</v>
      </c>
      <c r="J420" s="6" t="s">
        <v>3576</v>
      </c>
      <c r="K420" s="6"/>
      <c r="L420" s="6" t="s">
        <v>560</v>
      </c>
      <c r="M420" s="6" t="s">
        <v>6539</v>
      </c>
      <c r="N420" s="7">
        <f ca="1">RAND()</f>
        <v>0.85115118774646903</v>
      </c>
      <c r="O420" s="8">
        <v>45201</v>
      </c>
      <c r="P420" s="8">
        <v>45202</v>
      </c>
      <c r="Q420" s="8">
        <v>45204</v>
      </c>
      <c r="R420" s="8">
        <v>45208</v>
      </c>
      <c r="S420" s="8">
        <v>45215</v>
      </c>
      <c r="T420" s="8">
        <v>45227</v>
      </c>
      <c r="U420" s="8">
        <v>45777</v>
      </c>
      <c r="V420" s="10">
        <f>COUNTA(O420:U420)</f>
        <v>7</v>
      </c>
      <c r="W420" s="11">
        <f>_xlfn.IFNA(INDEX(reading[[#This Row],[Memo 01]:[Memo 07]],MATCH(0,reading[[#This Row],[Memo 01]:[Memo 07]],-1)),"")</f>
        <v>45777</v>
      </c>
      <c r="X420" s="11">
        <f ca="1">IFERROR(reading[[#This Row],[Previous]]+OFFSET(reading[[#Headers],[Memo 01]],-1,MATCH(0,reading[[#This Row],[Memo 01]:[Memo 07]],-1)-1),"")</f>
        <v>55777</v>
      </c>
      <c r="Y420" s="10" t="str">
        <f ca="1">IF(reading[[#This Row],[Next]]&lt;&gt;"",IF(reading[[#This Row],[Next]]&gt;TODAY(),"OK",""),"")</f>
        <v>OK</v>
      </c>
      <c r="Z420" s="13">
        <v>3</v>
      </c>
      <c r="AA420" s="13">
        <v>3</v>
      </c>
      <c r="AB420" s="13">
        <v>3</v>
      </c>
      <c r="AC420" s="13">
        <v>3</v>
      </c>
      <c r="AD420" s="13">
        <v>2</v>
      </c>
      <c r="AE420" s="13">
        <v>2</v>
      </c>
      <c r="AF420" s="13">
        <v>3</v>
      </c>
      <c r="AG420" s="16">
        <f>IFERROR(SUMIF(reading[[#This Row],[1st]:[7th]],"&gt;0")/COUNTIF(reading[[#This Row],[1st]:[7th]],"&gt;0"),"")</f>
        <v>2.7142857142857144</v>
      </c>
    </row>
    <row r="421" spans="1:33" hidden="1" x14ac:dyDescent="0.2">
      <c r="A421" s="4">
        <f>IF(B421=1,3,IF(D421=1,2,IF(F421=1,1,0)))</f>
        <v>0</v>
      </c>
      <c r="B421" s="4" t="str">
        <f>IF(C421=$L421,1,IF(C421="","",0))</f>
        <v/>
      </c>
      <c r="C421" s="18"/>
      <c r="D421" s="4" t="str">
        <f>IF(E421=$L421,1,IF(E421="","",0))</f>
        <v/>
      </c>
      <c r="E421" s="18"/>
      <c r="F421" s="4" t="str">
        <f>IF(G421=$L421,1,IF(G421="","",0))</f>
        <v/>
      </c>
      <c r="G421" s="14"/>
      <c r="H421" s="6">
        <v>265</v>
      </c>
      <c r="I421" s="15" t="s">
        <v>3120</v>
      </c>
      <c r="J421" s="6" t="s">
        <v>3414</v>
      </c>
      <c r="K421" s="6"/>
      <c r="L421" s="6" t="s">
        <v>400</v>
      </c>
      <c r="M421" s="6" t="s">
        <v>6374</v>
      </c>
      <c r="N421" s="7">
        <f ca="1">RAND()</f>
        <v>0.72194415797507472</v>
      </c>
      <c r="O421" s="8">
        <v>45199</v>
      </c>
      <c r="P421" s="8">
        <v>45200</v>
      </c>
      <c r="Q421" s="8">
        <v>45202</v>
      </c>
      <c r="R421" s="8">
        <v>45206</v>
      </c>
      <c r="S421" s="8">
        <v>45213</v>
      </c>
      <c r="T421" s="8">
        <v>45225</v>
      </c>
      <c r="U421" s="8">
        <v>45252</v>
      </c>
      <c r="V421" s="10">
        <f>COUNTA(O421:U421)</f>
        <v>7</v>
      </c>
      <c r="W421" s="11">
        <f>_xlfn.IFNA(INDEX(reading[[#This Row],[Memo 01]:[Memo 07]],MATCH(0,reading[[#This Row],[Memo 01]:[Memo 07]],-1)),"")</f>
        <v>45252</v>
      </c>
      <c r="X421" s="11">
        <f ca="1">IFERROR(reading[[#This Row],[Previous]]+OFFSET(reading[[#Headers],[Memo 01]],-1,MATCH(0,reading[[#This Row],[Memo 01]:[Memo 07]],-1)-1),"")</f>
        <v>55252</v>
      </c>
      <c r="Y421" s="10" t="str">
        <f ca="1">IF(reading[[#This Row],[Next]]&lt;&gt;"",IF(reading[[#This Row],[Next]]&gt;TODAY(),"OK",""),"")</f>
        <v>OK</v>
      </c>
      <c r="Z421" s="13">
        <v>3</v>
      </c>
      <c r="AA421" s="13">
        <v>3</v>
      </c>
      <c r="AB421" s="13">
        <v>3</v>
      </c>
      <c r="AC421" s="13">
        <v>2</v>
      </c>
      <c r="AD421" s="13">
        <v>3</v>
      </c>
      <c r="AE421" s="13">
        <v>2</v>
      </c>
      <c r="AF421" s="13">
        <v>3</v>
      </c>
      <c r="AG421" s="16">
        <f>IFERROR(SUMIF(reading[[#This Row],[1st]:[7th]],"&gt;0")/COUNTIF(reading[[#This Row],[1st]:[7th]],"&gt;0"),"")</f>
        <v>2.7142857142857144</v>
      </c>
    </row>
    <row r="422" spans="1:33" hidden="1" x14ac:dyDescent="0.2">
      <c r="A422" s="4">
        <f>IF(B422=1,3,IF(D422=1,2,IF(F422=1,1,0)))</f>
        <v>0</v>
      </c>
      <c r="B422" s="4" t="str">
        <f>IF(C422=$L422,1,IF(C422="","",0))</f>
        <v/>
      </c>
      <c r="C422" s="42"/>
      <c r="D422" s="4" t="str">
        <f>IF(E422=$L422,1,IF(E422="","",0))</f>
        <v/>
      </c>
      <c r="E422" s="14"/>
      <c r="F422" s="4" t="str">
        <f>IF(G422=$L422,1,IF(G422="","",0))</f>
        <v/>
      </c>
      <c r="G422" s="14"/>
      <c r="H422" s="6">
        <v>1638</v>
      </c>
      <c r="I422" s="15" t="s">
        <v>3120</v>
      </c>
      <c r="J422" s="6" t="s">
        <v>4750</v>
      </c>
      <c r="K422" s="6"/>
      <c r="L422" s="6" t="s">
        <v>1720</v>
      </c>
      <c r="M422" s="6" t="s">
        <v>7744</v>
      </c>
      <c r="N422" s="7">
        <f ca="1">RAND()</f>
        <v>0.47046437066482871</v>
      </c>
      <c r="O422" s="8">
        <v>45210</v>
      </c>
      <c r="P422" s="8">
        <v>45211</v>
      </c>
      <c r="Q422" s="8">
        <v>45213</v>
      </c>
      <c r="R422" s="8">
        <v>45217</v>
      </c>
      <c r="S422" s="8">
        <v>45224</v>
      </c>
      <c r="T422" s="8">
        <v>45236</v>
      </c>
      <c r="U422" s="8">
        <v>45783</v>
      </c>
      <c r="V422" s="10">
        <f>COUNTA(O422:U422)</f>
        <v>7</v>
      </c>
      <c r="W422" s="11">
        <f>_xlfn.IFNA(INDEX(reading[[#This Row],[Memo 01]:[Memo 07]],MATCH(0,reading[[#This Row],[Memo 01]:[Memo 07]],-1)),"")</f>
        <v>45783</v>
      </c>
      <c r="X422" s="11">
        <f ca="1">IFERROR(reading[[#This Row],[Previous]]+OFFSET(reading[[#Headers],[Memo 01]],-1,MATCH(0,reading[[#This Row],[Memo 01]:[Memo 07]],-1)-1),"")</f>
        <v>55783</v>
      </c>
      <c r="Y422" s="10" t="str">
        <f ca="1">IF(reading[[#This Row],[Next]]&lt;&gt;"",IF(reading[[#This Row],[Next]]&gt;TODAY(),"OK",""),"")</f>
        <v>OK</v>
      </c>
      <c r="Z422" s="13">
        <v>3</v>
      </c>
      <c r="AA422" s="13">
        <v>3</v>
      </c>
      <c r="AB422" s="13">
        <v>3</v>
      </c>
      <c r="AC422" s="13">
        <v>3</v>
      </c>
      <c r="AD422" s="13">
        <v>3</v>
      </c>
      <c r="AE422" s="13">
        <v>3</v>
      </c>
      <c r="AF422" s="13">
        <v>3</v>
      </c>
      <c r="AG422" s="16">
        <f>IFERROR(SUMIF(reading[[#This Row],[1st]:[7th]],"&gt;0")/COUNTIF(reading[[#This Row],[1st]:[7th]],"&gt;0"),"")</f>
        <v>3</v>
      </c>
    </row>
    <row r="423" spans="1:33" hidden="1" x14ac:dyDescent="0.2">
      <c r="A423" s="4">
        <f>IF(B423=1,3,IF(D423=1,2,IF(F423=1,1,0)))</f>
        <v>0</v>
      </c>
      <c r="B423" s="4" t="str">
        <f>IF(C423=$L423,1,IF(C423="","",0))</f>
        <v/>
      </c>
      <c r="C423" s="42"/>
      <c r="D423" s="4" t="str">
        <f>IF(E423=$L423,1,IF(E423="","",0))</f>
        <v/>
      </c>
      <c r="E423" s="14"/>
      <c r="F423" s="4" t="str">
        <f>IF(G423=$L423,1,IF(G423="","",0))</f>
        <v/>
      </c>
      <c r="G423" s="14"/>
      <c r="H423" s="6">
        <v>529</v>
      </c>
      <c r="I423" s="15" t="s">
        <v>3120</v>
      </c>
      <c r="J423" s="6" t="s">
        <v>3674</v>
      </c>
      <c r="K423" s="6"/>
      <c r="L423" s="6" t="s">
        <v>657</v>
      </c>
      <c r="M423" s="6" t="s">
        <v>6638</v>
      </c>
      <c r="N423" s="7">
        <f ca="1">RAND()</f>
        <v>0.42374462240234279</v>
      </c>
      <c r="O423" s="8">
        <v>45202</v>
      </c>
      <c r="P423" s="8">
        <v>45203</v>
      </c>
      <c r="Q423" s="8">
        <v>45205</v>
      </c>
      <c r="R423" s="8">
        <v>45209</v>
      </c>
      <c r="S423" s="8">
        <v>45216</v>
      </c>
      <c r="T423" s="8">
        <v>45228</v>
      </c>
      <c r="U423" s="8">
        <v>45783</v>
      </c>
      <c r="V423" s="10">
        <f>COUNTA(O423:U423)</f>
        <v>7</v>
      </c>
      <c r="W423" s="11">
        <f>_xlfn.IFNA(INDEX(reading[[#This Row],[Memo 01]:[Memo 07]],MATCH(0,reading[[#This Row],[Memo 01]:[Memo 07]],-1)),"")</f>
        <v>45783</v>
      </c>
      <c r="X423" s="11">
        <f ca="1">IFERROR(reading[[#This Row],[Previous]]+OFFSET(reading[[#Headers],[Memo 01]],-1,MATCH(0,reading[[#This Row],[Memo 01]:[Memo 07]],-1)-1),"")</f>
        <v>55783</v>
      </c>
      <c r="Y423" s="10" t="str">
        <f ca="1">IF(reading[[#This Row],[Next]]&lt;&gt;"",IF(reading[[#This Row],[Next]]&gt;TODAY(),"OK",""),"")</f>
        <v>OK</v>
      </c>
      <c r="Z423" s="13">
        <v>3</v>
      </c>
      <c r="AA423" s="13">
        <v>3</v>
      </c>
      <c r="AB423" s="13">
        <v>2</v>
      </c>
      <c r="AC423" s="13">
        <v>3</v>
      </c>
      <c r="AD423" s="13">
        <v>3</v>
      </c>
      <c r="AE423" s="13">
        <v>3</v>
      </c>
      <c r="AF423" s="13">
        <v>3</v>
      </c>
      <c r="AG423" s="16">
        <f>IFERROR(SUMIF(reading[[#This Row],[1st]:[7th]],"&gt;0")/COUNTIF(reading[[#This Row],[1st]:[7th]],"&gt;0"),"")</f>
        <v>2.8571428571428572</v>
      </c>
    </row>
    <row r="424" spans="1:33" hidden="1" x14ac:dyDescent="0.2">
      <c r="A424" s="4">
        <f>IF(B424=1,3,IF(D424=1,2,IF(F424=1,1,0)))</f>
        <v>0</v>
      </c>
      <c r="B424" s="4" t="str">
        <f>IF(C424=$L424,1,IF(C424="","",0))</f>
        <v/>
      </c>
      <c r="C424" s="42"/>
      <c r="D424" s="4" t="str">
        <f>IF(E424=$L424,1,IF(E424="","",0))</f>
        <v/>
      </c>
      <c r="E424" s="18"/>
      <c r="F424" s="4" t="str">
        <f>IF(G424=$L424,1,IF(G424="","",0))</f>
        <v/>
      </c>
      <c r="G424" s="14"/>
      <c r="H424" s="6">
        <v>1132</v>
      </c>
      <c r="I424" s="15" t="s">
        <v>3120</v>
      </c>
      <c r="J424" s="6" t="s">
        <v>4253</v>
      </c>
      <c r="K424" s="6"/>
      <c r="L424" s="6" t="s">
        <v>1234</v>
      </c>
      <c r="M424" s="6" t="s">
        <v>7240</v>
      </c>
      <c r="N424" s="7">
        <f ca="1">RAND()</f>
        <v>0.56815073746694145</v>
      </c>
      <c r="O424" s="8">
        <v>45205</v>
      </c>
      <c r="P424" s="8">
        <v>45206</v>
      </c>
      <c r="Q424" s="8">
        <v>45208</v>
      </c>
      <c r="R424" s="8">
        <v>45212</v>
      </c>
      <c r="S424" s="8">
        <v>45219</v>
      </c>
      <c r="T424" s="8">
        <v>45231</v>
      </c>
      <c r="U424" s="8">
        <v>45252</v>
      </c>
      <c r="V424" s="10">
        <f>COUNTA(O424:U424)</f>
        <v>7</v>
      </c>
      <c r="W424" s="11">
        <f>_xlfn.IFNA(INDEX(reading[[#This Row],[Memo 01]:[Memo 07]],MATCH(0,reading[[#This Row],[Memo 01]:[Memo 07]],-1)),"")</f>
        <v>45252</v>
      </c>
      <c r="X424" s="11">
        <f ca="1">IFERROR(reading[[#This Row],[Previous]]+OFFSET(reading[[#Headers],[Memo 01]],-1,MATCH(0,reading[[#This Row],[Memo 01]:[Memo 07]],-1)-1),"")</f>
        <v>55252</v>
      </c>
      <c r="Y424" s="10" t="str">
        <f ca="1">IF(reading[[#This Row],[Next]]&lt;&gt;"",IF(reading[[#This Row],[Next]]&gt;TODAY(),"OK",""),"")</f>
        <v>OK</v>
      </c>
      <c r="Z424" s="13">
        <v>3</v>
      </c>
      <c r="AA424" s="13">
        <v>3</v>
      </c>
      <c r="AB424" s="13">
        <v>2</v>
      </c>
      <c r="AC424" s="13">
        <v>3</v>
      </c>
      <c r="AD424" s="13">
        <v>2</v>
      </c>
      <c r="AE424" s="13">
        <v>3</v>
      </c>
      <c r="AF424" s="13">
        <v>3</v>
      </c>
      <c r="AG424" s="16">
        <f>IFERROR(SUMIF(reading[[#This Row],[1st]:[7th]],"&gt;0")/COUNTIF(reading[[#This Row],[1st]:[7th]],"&gt;0"),"")</f>
        <v>2.7142857142857144</v>
      </c>
    </row>
    <row r="425" spans="1:33" hidden="1" x14ac:dyDescent="0.2">
      <c r="A425" s="4">
        <f>IF(B425=1,3,IF(D425=1,2,IF(F425=1,1,0)))</f>
        <v>0</v>
      </c>
      <c r="B425" s="4" t="str">
        <f>IF(C425=$L425,1,IF(C425="","",0))</f>
        <v/>
      </c>
      <c r="C425" s="42"/>
      <c r="D425" s="4" t="str">
        <f>IF(E425=$L425,1,IF(E425="","",0))</f>
        <v/>
      </c>
      <c r="E425" s="18"/>
      <c r="F425" s="4" t="str">
        <f>IF(G425=$L425,1,IF(G425="","",0))</f>
        <v/>
      </c>
      <c r="G425" s="14"/>
      <c r="H425" s="6">
        <v>997</v>
      </c>
      <c r="I425" s="15" t="s">
        <v>3120</v>
      </c>
      <c r="J425" s="6" t="s">
        <v>4126</v>
      </c>
      <c r="K425" s="6"/>
      <c r="L425" s="6" t="s">
        <v>1107</v>
      </c>
      <c r="M425" s="6" t="s">
        <v>7105</v>
      </c>
      <c r="N425" s="7">
        <f ca="1">RAND()</f>
        <v>0.76065136831044589</v>
      </c>
      <c r="O425" s="8">
        <v>45204</v>
      </c>
      <c r="P425" s="8">
        <v>45205</v>
      </c>
      <c r="Q425" s="8">
        <v>45207</v>
      </c>
      <c r="R425" s="8">
        <v>45211</v>
      </c>
      <c r="S425" s="8">
        <v>45218</v>
      </c>
      <c r="T425" s="8">
        <v>45230</v>
      </c>
      <c r="U425" s="8">
        <v>45252</v>
      </c>
      <c r="V425" s="10">
        <f>COUNTA(O425:U425)</f>
        <v>7</v>
      </c>
      <c r="W425" s="11">
        <f>_xlfn.IFNA(INDEX(reading[[#This Row],[Memo 01]:[Memo 07]],MATCH(0,reading[[#This Row],[Memo 01]:[Memo 07]],-1)),"")</f>
        <v>45252</v>
      </c>
      <c r="X425" s="11">
        <f ca="1">IFERROR(reading[[#This Row],[Previous]]+OFFSET(reading[[#Headers],[Memo 01]],-1,MATCH(0,reading[[#This Row],[Memo 01]:[Memo 07]],-1)-1),"")</f>
        <v>55252</v>
      </c>
      <c r="Y425" s="10" t="str">
        <f ca="1">IF(reading[[#This Row],[Next]]&lt;&gt;"",IF(reading[[#This Row],[Next]]&gt;TODAY(),"OK",""),"")</f>
        <v>OK</v>
      </c>
      <c r="Z425" s="13">
        <v>3</v>
      </c>
      <c r="AA425" s="13">
        <v>3</v>
      </c>
      <c r="AB425" s="13">
        <v>2</v>
      </c>
      <c r="AC425" s="13">
        <v>3</v>
      </c>
      <c r="AD425" s="13">
        <v>2</v>
      </c>
      <c r="AE425" s="13">
        <v>3</v>
      </c>
      <c r="AF425" s="13">
        <v>3</v>
      </c>
      <c r="AG425" s="16">
        <f>IFERROR(SUMIF(reading[[#This Row],[1st]:[7th]],"&gt;0")/COUNTIF(reading[[#This Row],[1st]:[7th]],"&gt;0"),"")</f>
        <v>2.7142857142857144</v>
      </c>
    </row>
    <row r="426" spans="1:33" hidden="1" x14ac:dyDescent="0.2">
      <c r="A426" s="4">
        <f>IF(B426=1,3,IF(D426=1,2,IF(F426=1,1,0)))</f>
        <v>0</v>
      </c>
      <c r="B426" s="4" t="str">
        <f>IF(C426=$L426,1,IF(C426="","",0))</f>
        <v/>
      </c>
      <c r="C426" s="42"/>
      <c r="D426" s="4" t="str">
        <f>IF(E426=$L426,1,IF(E426="","",0))</f>
        <v/>
      </c>
      <c r="E426" s="43"/>
      <c r="F426" s="4" t="str">
        <f>IF(G426=$L426,1,IF(G426="","",0))</f>
        <v/>
      </c>
      <c r="G426" s="14"/>
      <c r="H426" s="6">
        <v>1573</v>
      </c>
      <c r="I426" s="15" t="s">
        <v>3120</v>
      </c>
      <c r="J426" s="6" t="s">
        <v>4686</v>
      </c>
      <c r="K426" s="6"/>
      <c r="L426" s="6" t="s">
        <v>1657</v>
      </c>
      <c r="M426" s="6" t="s">
        <v>7679</v>
      </c>
      <c r="N426" s="7">
        <f ca="1">RAND()</f>
        <v>0.37824195221961732</v>
      </c>
      <c r="O426" s="8">
        <v>45209</v>
      </c>
      <c r="P426" s="8">
        <v>45210</v>
      </c>
      <c r="Q426" s="8">
        <v>45212</v>
      </c>
      <c r="R426" s="8">
        <v>45216</v>
      </c>
      <c r="S426" s="8">
        <v>45223</v>
      </c>
      <c r="T426" s="8">
        <v>45235</v>
      </c>
      <c r="U426" s="8">
        <v>45820</v>
      </c>
      <c r="V426" s="10">
        <f>COUNTA(O426:U426)</f>
        <v>7</v>
      </c>
      <c r="W426" s="11">
        <f>_xlfn.IFNA(INDEX(reading[[#This Row],[Memo 01]:[Memo 07]],MATCH(0,reading[[#This Row],[Memo 01]:[Memo 07]],-1)),"")</f>
        <v>45820</v>
      </c>
      <c r="X426" s="11">
        <f ca="1">IFERROR(reading[[#This Row],[Previous]]+OFFSET(reading[[#Headers],[Memo 01]],-1,MATCH(0,reading[[#This Row],[Memo 01]:[Memo 07]],-1)-1),"")</f>
        <v>55820</v>
      </c>
      <c r="Y426" s="10" t="str">
        <f ca="1">IF(reading[[#This Row],[Next]]&lt;&gt;"",IF(reading[[#This Row],[Next]]&gt;TODAY(),"OK",""),"")</f>
        <v>OK</v>
      </c>
      <c r="Z426" s="13">
        <v>3</v>
      </c>
      <c r="AA426" s="13">
        <v>3</v>
      </c>
      <c r="AB426" s="13">
        <v>3</v>
      </c>
      <c r="AC426" s="13">
        <v>2</v>
      </c>
      <c r="AD426" s="13">
        <v>3</v>
      </c>
      <c r="AE426" s="13">
        <v>2</v>
      </c>
      <c r="AF426" s="13">
        <v>2</v>
      </c>
      <c r="AG426" s="16">
        <f>IFERROR(SUMIF(reading[[#This Row],[1st]:[7th]],"&gt;0")/COUNTIF(reading[[#This Row],[1st]:[7th]],"&gt;0"),"")</f>
        <v>2.5714285714285716</v>
      </c>
    </row>
    <row r="427" spans="1:33" hidden="1" x14ac:dyDescent="0.2">
      <c r="A427" s="4">
        <f>IF(B427=1,3,IF(D427=1,2,IF(F427=1,1,0)))</f>
        <v>0</v>
      </c>
      <c r="B427" s="4" t="str">
        <f>IF(C427=$L427,1,IF(C427="","",0))</f>
        <v/>
      </c>
      <c r="C427" s="43"/>
      <c r="D427" s="4" t="str">
        <f>IF(E427=$L427,1,IF(E427="","",0))</f>
        <v/>
      </c>
      <c r="E427" s="14"/>
      <c r="F427" s="4" t="str">
        <f>IF(G427=$L427,1,IF(G427="","",0))</f>
        <v/>
      </c>
      <c r="G427" s="14"/>
      <c r="H427" s="6">
        <v>26</v>
      </c>
      <c r="I427" s="15" t="s">
        <v>3120</v>
      </c>
      <c r="J427" s="6" t="s">
        <v>3181</v>
      </c>
      <c r="K427" s="6"/>
      <c r="L427" s="6" t="s">
        <v>169</v>
      </c>
      <c r="M427" s="6" t="s">
        <v>6140</v>
      </c>
      <c r="N427" s="7">
        <f ca="1">RAND()</f>
        <v>0.11084083090675623</v>
      </c>
      <c r="O427" s="8">
        <v>45198</v>
      </c>
      <c r="P427" s="8">
        <v>45199</v>
      </c>
      <c r="Q427" s="8">
        <v>45201</v>
      </c>
      <c r="R427" s="8">
        <v>45205</v>
      </c>
      <c r="S427" s="8">
        <v>45212</v>
      </c>
      <c r="T427" s="8">
        <v>45224</v>
      </c>
      <c r="U427" s="8">
        <v>45818</v>
      </c>
      <c r="V427" s="10">
        <f>COUNTA(O427:U427)</f>
        <v>7</v>
      </c>
      <c r="W427" s="11">
        <f>_xlfn.IFNA(INDEX(reading[[#This Row],[Memo 01]:[Memo 07]],MATCH(0,reading[[#This Row],[Memo 01]:[Memo 07]],-1)),"")</f>
        <v>45818</v>
      </c>
      <c r="X427" s="11">
        <f ca="1">IFERROR(reading[[#This Row],[Previous]]+OFFSET(reading[[#Headers],[Memo 01]],-1,MATCH(0,reading[[#This Row],[Memo 01]:[Memo 07]],-1)-1),"")</f>
        <v>55818</v>
      </c>
      <c r="Y427" s="10" t="str">
        <f ca="1">IF(reading[[#This Row],[Next]]&lt;&gt;"",IF(reading[[#This Row],[Next]]&gt;TODAY(),"OK",""),"")</f>
        <v>OK</v>
      </c>
      <c r="Z427" s="13">
        <v>3</v>
      </c>
      <c r="AA427" s="13">
        <v>3</v>
      </c>
      <c r="AB427" s="13">
        <v>3</v>
      </c>
      <c r="AC427" s="13">
        <v>3</v>
      </c>
      <c r="AD427" s="13">
        <v>3</v>
      </c>
      <c r="AE427" s="13">
        <v>3</v>
      </c>
      <c r="AF427" s="13">
        <v>3</v>
      </c>
      <c r="AG427" s="16">
        <f>IFERROR(SUMIF(reading[[#This Row],[1st]:[7th]],"&gt;0")/COUNTIF(reading[[#This Row],[1st]:[7th]],"&gt;0"),"")</f>
        <v>3</v>
      </c>
    </row>
    <row r="428" spans="1:33" hidden="1" x14ac:dyDescent="0.2">
      <c r="A428" s="4">
        <f>IF(B428=1,3,IF(D428=1,2,IF(F428=1,1,0)))</f>
        <v>0</v>
      </c>
      <c r="B428" s="4" t="str">
        <f>IF(C428=$L428,1,IF(C428="","",0))</f>
        <v/>
      </c>
      <c r="C428" s="42"/>
      <c r="D428" s="4" t="str">
        <f>IF(E428=$L428,1,IF(E428="","",0))</f>
        <v/>
      </c>
      <c r="E428" s="18"/>
      <c r="F428" s="4" t="str">
        <f>IF(G428=$L428,1,IF(G428="","",0))</f>
        <v/>
      </c>
      <c r="G428" s="14"/>
      <c r="H428" s="6">
        <v>1735</v>
      </c>
      <c r="I428" s="15" t="s">
        <v>3120</v>
      </c>
      <c r="J428" s="6" t="s">
        <v>4843</v>
      </c>
      <c r="K428" s="6"/>
      <c r="L428" s="6" t="s">
        <v>1815</v>
      </c>
      <c r="M428" s="6" t="s">
        <v>7841</v>
      </c>
      <c r="N428" s="7">
        <f ca="1">RAND()</f>
        <v>0.40561541837059323</v>
      </c>
      <c r="O428" s="8">
        <v>45211</v>
      </c>
      <c r="P428" s="8">
        <v>45212</v>
      </c>
      <c r="Q428" s="8">
        <v>45214</v>
      </c>
      <c r="R428" s="8">
        <v>45218</v>
      </c>
      <c r="S428" s="8">
        <v>45225</v>
      </c>
      <c r="T428" s="8">
        <v>45237</v>
      </c>
      <c r="U428" s="8">
        <v>45792</v>
      </c>
      <c r="V428" s="10">
        <f>COUNTA(O428:U428)</f>
        <v>7</v>
      </c>
      <c r="W428" s="11">
        <f>_xlfn.IFNA(INDEX(reading[[#This Row],[Memo 01]:[Memo 07]],MATCH(0,reading[[#This Row],[Memo 01]:[Memo 07]],-1)),"")</f>
        <v>45792</v>
      </c>
      <c r="X428" s="11">
        <f ca="1">IFERROR(reading[[#This Row],[Previous]]+OFFSET(reading[[#Headers],[Memo 01]],-1,MATCH(0,reading[[#This Row],[Memo 01]:[Memo 07]],-1)-1),"")</f>
        <v>55792</v>
      </c>
      <c r="Y428" s="10" t="str">
        <f ca="1">IF(reading[[#This Row],[Next]]&lt;&gt;"",IF(reading[[#This Row],[Next]]&gt;TODAY(),"OK",""),"")</f>
        <v>OK</v>
      </c>
      <c r="Z428" s="13">
        <v>3</v>
      </c>
      <c r="AA428" s="13">
        <v>3</v>
      </c>
      <c r="AB428" s="13">
        <v>3</v>
      </c>
      <c r="AC428" s="13">
        <v>3</v>
      </c>
      <c r="AD428" s="13">
        <v>2</v>
      </c>
      <c r="AE428" s="13">
        <v>3</v>
      </c>
      <c r="AF428" s="13">
        <v>3</v>
      </c>
      <c r="AG428" s="16">
        <f>IFERROR(SUMIF(reading[[#This Row],[1st]:[7th]],"&gt;0")/COUNTIF(reading[[#This Row],[1st]:[7th]],"&gt;0"),"")</f>
        <v>2.8571428571428572</v>
      </c>
    </row>
    <row r="429" spans="1:33" hidden="1" x14ac:dyDescent="0.2">
      <c r="A429" s="4">
        <f>IF(B429=1,3,IF(D429=1,2,IF(F429=1,1,0)))</f>
        <v>0</v>
      </c>
      <c r="B429" s="4" t="str">
        <f>IF(C429=$L429,1,IF(C429="","",0))</f>
        <v/>
      </c>
      <c r="C429" s="42"/>
      <c r="D429" s="4" t="str">
        <f>IF(E429=$L429,1,IF(E429="","",0))</f>
        <v/>
      </c>
      <c r="E429" s="14"/>
      <c r="F429" s="4" t="str">
        <f>IF(G429=$L429,1,IF(G429="","",0))</f>
        <v/>
      </c>
      <c r="G429" s="14"/>
      <c r="H429" s="6">
        <v>1487</v>
      </c>
      <c r="I429" s="15" t="s">
        <v>3120</v>
      </c>
      <c r="J429" s="6" t="s">
        <v>4601</v>
      </c>
      <c r="K429" s="6" t="s">
        <v>3138</v>
      </c>
      <c r="L429" s="6" t="s">
        <v>1573</v>
      </c>
      <c r="M429" s="6" t="s">
        <v>7594</v>
      </c>
      <c r="N429" s="7">
        <f ca="1">RAND()</f>
        <v>0.24888867353360911</v>
      </c>
      <c r="O429" s="8">
        <v>45208</v>
      </c>
      <c r="P429" s="8">
        <v>45209</v>
      </c>
      <c r="Q429" s="8">
        <v>45211</v>
      </c>
      <c r="R429" s="8">
        <v>45215</v>
      </c>
      <c r="S429" s="8">
        <v>45222</v>
      </c>
      <c r="T429" s="8">
        <v>45234</v>
      </c>
      <c r="U429" s="8">
        <v>45783</v>
      </c>
      <c r="V429" s="10">
        <f>COUNTA(O429:U429)</f>
        <v>7</v>
      </c>
      <c r="W429" s="11">
        <f>_xlfn.IFNA(INDEX(reading[[#This Row],[Memo 01]:[Memo 07]],MATCH(0,reading[[#This Row],[Memo 01]:[Memo 07]],-1)),"")</f>
        <v>45783</v>
      </c>
      <c r="X429" s="11">
        <f ca="1">IFERROR(reading[[#This Row],[Previous]]+OFFSET(reading[[#Headers],[Memo 01]],-1,MATCH(0,reading[[#This Row],[Memo 01]:[Memo 07]],-1)-1),"")</f>
        <v>55783</v>
      </c>
      <c r="Y429" s="10" t="str">
        <f ca="1">IF(reading[[#This Row],[Next]]&lt;&gt;"",IF(reading[[#This Row],[Next]]&gt;TODAY(),"OK",""),"")</f>
        <v>OK</v>
      </c>
      <c r="Z429" s="13">
        <v>3</v>
      </c>
      <c r="AA429" s="13">
        <v>3</v>
      </c>
      <c r="AB429" s="13">
        <v>3</v>
      </c>
      <c r="AC429" s="13">
        <v>3</v>
      </c>
      <c r="AD429" s="13">
        <v>3</v>
      </c>
      <c r="AE429" s="13">
        <v>3</v>
      </c>
      <c r="AF429" s="13">
        <v>3</v>
      </c>
      <c r="AG429" s="16">
        <f>IFERROR(SUMIF(reading[[#This Row],[1st]:[7th]],"&gt;0")/COUNTIF(reading[[#This Row],[1st]:[7th]],"&gt;0"),"")</f>
        <v>3</v>
      </c>
    </row>
    <row r="430" spans="1:33" hidden="1" x14ac:dyDescent="0.2">
      <c r="A430" s="4">
        <f>IF(B430=1,3,IF(D430=1,2,IF(F430=1,1,0)))</f>
        <v>0</v>
      </c>
      <c r="B430" s="4" t="str">
        <f>IF(C430=$L430,1,IF(C430="","",0))</f>
        <v/>
      </c>
      <c r="C430" s="42"/>
      <c r="D430" s="4" t="str">
        <f>IF(E430=$L430,1,IF(E430="","",0))</f>
        <v/>
      </c>
      <c r="E430" s="23"/>
      <c r="F430" s="4" t="str">
        <f>IF(G430=$L430,1,IF(G430="","",0))</f>
        <v/>
      </c>
      <c r="G430" s="14"/>
      <c r="H430" s="6">
        <v>1241</v>
      </c>
      <c r="I430" s="15" t="s">
        <v>3120</v>
      </c>
      <c r="J430" s="6" t="s">
        <v>4358</v>
      </c>
      <c r="K430" s="6"/>
      <c r="L430" s="6" t="s">
        <v>1341</v>
      </c>
      <c r="M430" s="6" t="s">
        <v>7348</v>
      </c>
      <c r="N430" s="7">
        <f ca="1">RAND()</f>
        <v>0.18178754934741215</v>
      </c>
      <c r="O430" s="8">
        <v>45206</v>
      </c>
      <c r="P430" s="8">
        <v>45207</v>
      </c>
      <c r="Q430" s="8">
        <v>45209</v>
      </c>
      <c r="R430" s="8">
        <v>45213</v>
      </c>
      <c r="S430" s="8">
        <v>45220</v>
      </c>
      <c r="T430" s="8">
        <v>45232</v>
      </c>
      <c r="U430" s="8">
        <v>45777</v>
      </c>
      <c r="V430" s="10">
        <f>COUNTA(O430:U430)</f>
        <v>7</v>
      </c>
      <c r="W430" s="11">
        <f>_xlfn.IFNA(INDEX(reading[[#This Row],[Memo 01]:[Memo 07]],MATCH(0,reading[[#This Row],[Memo 01]:[Memo 07]],-1)),"")</f>
        <v>45777</v>
      </c>
      <c r="X430" s="11">
        <f ca="1">IFERROR(reading[[#This Row],[Previous]]+OFFSET(reading[[#Headers],[Memo 01]],-1,MATCH(0,reading[[#This Row],[Memo 01]:[Memo 07]],-1)-1),"")</f>
        <v>55777</v>
      </c>
      <c r="Y430" s="10" t="str">
        <f ca="1">IF(reading[[#This Row],[Next]]&lt;&gt;"",IF(reading[[#This Row],[Next]]&gt;TODAY(),"OK",""),"")</f>
        <v>OK</v>
      </c>
      <c r="Z430" s="13">
        <v>3</v>
      </c>
      <c r="AA430" s="13">
        <v>3</v>
      </c>
      <c r="AB430" s="13">
        <v>2</v>
      </c>
      <c r="AC430" s="13">
        <v>2</v>
      </c>
      <c r="AD430" s="13">
        <v>3</v>
      </c>
      <c r="AE430" s="13">
        <v>3</v>
      </c>
      <c r="AF430" s="13">
        <v>3</v>
      </c>
      <c r="AG430" s="16">
        <f>IFERROR(SUMIF(reading[[#This Row],[1st]:[7th]],"&gt;0")/COUNTIF(reading[[#This Row],[1st]:[7th]],"&gt;0"),"")</f>
        <v>2.7142857142857144</v>
      </c>
    </row>
    <row r="431" spans="1:33" hidden="1" x14ac:dyDescent="0.2">
      <c r="A431" s="4">
        <f>IF(B431=1,3,IF(D431=1,2,IF(F431=1,1,0)))</f>
        <v>0</v>
      </c>
      <c r="B431" s="4" t="str">
        <f>IF(C431=$L431,1,IF(C431="","",0))</f>
        <v/>
      </c>
      <c r="C431" s="42"/>
      <c r="D431" s="4" t="str">
        <f>IF(E431=$L431,1,IF(E431="","",0))</f>
        <v/>
      </c>
      <c r="E431" s="14"/>
      <c r="F431" s="4" t="str">
        <f>IF(G431=$L431,1,IF(G431="","",0))</f>
        <v/>
      </c>
      <c r="G431" s="14"/>
      <c r="H431" s="6">
        <v>513</v>
      </c>
      <c r="I431" s="15" t="s">
        <v>3120</v>
      </c>
      <c r="J431" s="6" t="s">
        <v>3658</v>
      </c>
      <c r="K431" s="6"/>
      <c r="L431" s="6" t="s">
        <v>641</v>
      </c>
      <c r="M431" s="6" t="s">
        <v>6622</v>
      </c>
      <c r="N431" s="7">
        <f ca="1">RAND()</f>
        <v>0.87112678634184471</v>
      </c>
      <c r="O431" s="8">
        <v>45202</v>
      </c>
      <c r="P431" s="8">
        <v>45203</v>
      </c>
      <c r="Q431" s="8">
        <v>45205</v>
      </c>
      <c r="R431" s="8">
        <v>45209</v>
      </c>
      <c r="S431" s="8">
        <v>45216</v>
      </c>
      <c r="T431" s="8">
        <v>45228</v>
      </c>
      <c r="U431" s="8">
        <v>45777</v>
      </c>
      <c r="V431" s="10">
        <f>COUNTA(O431:U431)</f>
        <v>7</v>
      </c>
      <c r="W431" s="11">
        <f>_xlfn.IFNA(INDEX(reading[[#This Row],[Memo 01]:[Memo 07]],MATCH(0,reading[[#This Row],[Memo 01]:[Memo 07]],-1)),"")</f>
        <v>45777</v>
      </c>
      <c r="X431" s="11">
        <f ca="1">IFERROR(reading[[#This Row],[Previous]]+OFFSET(reading[[#Headers],[Memo 01]],-1,MATCH(0,reading[[#This Row],[Memo 01]:[Memo 07]],-1)-1),"")</f>
        <v>55777</v>
      </c>
      <c r="Y431" s="10" t="str">
        <f ca="1">IF(reading[[#This Row],[Next]]&lt;&gt;"",IF(reading[[#This Row],[Next]]&gt;TODAY(),"OK",""),"")</f>
        <v>OK</v>
      </c>
      <c r="Z431" s="13">
        <v>3</v>
      </c>
      <c r="AA431" s="13">
        <v>2</v>
      </c>
      <c r="AB431" s="13">
        <v>2</v>
      </c>
      <c r="AC431" s="13">
        <v>3</v>
      </c>
      <c r="AD431" s="13">
        <v>3</v>
      </c>
      <c r="AE431" s="13">
        <v>3</v>
      </c>
      <c r="AF431" s="13">
        <v>3</v>
      </c>
      <c r="AG431" s="16">
        <f>IFERROR(SUMIF(reading[[#This Row],[1st]:[7th]],"&gt;0")/COUNTIF(reading[[#This Row],[1st]:[7th]],"&gt;0"),"")</f>
        <v>2.7142857142857144</v>
      </c>
    </row>
    <row r="432" spans="1:33" hidden="1" x14ac:dyDescent="0.2">
      <c r="A432" s="4">
        <f>IF(B432=1,3,IF(D432=1,2,IF(F432=1,1,0)))</f>
        <v>0</v>
      </c>
      <c r="B432" s="4" t="str">
        <f>IF(C432=$L432,1,IF(C432="","",0))</f>
        <v/>
      </c>
      <c r="C432" s="42"/>
      <c r="D432" s="4" t="str">
        <f>IF(E432=$L432,1,IF(E432="","",0))</f>
        <v/>
      </c>
      <c r="E432" s="14"/>
      <c r="F432" s="4" t="str">
        <f>IF(G432=$L432,1,IF(G432="","",0))</f>
        <v/>
      </c>
      <c r="G432" s="14"/>
      <c r="H432" s="6">
        <v>484</v>
      </c>
      <c r="I432" s="15" t="s">
        <v>3120</v>
      </c>
      <c r="J432" s="6" t="s">
        <v>3630</v>
      </c>
      <c r="K432" s="15" t="s">
        <v>3153</v>
      </c>
      <c r="L432" s="6" t="s">
        <v>612</v>
      </c>
      <c r="M432" s="6" t="s">
        <v>6593</v>
      </c>
      <c r="N432" s="7">
        <f ca="1">RAND()</f>
        <v>0.60875355238914697</v>
      </c>
      <c r="O432" s="8">
        <v>45202</v>
      </c>
      <c r="P432" s="8">
        <v>45203</v>
      </c>
      <c r="Q432" s="8">
        <v>45205</v>
      </c>
      <c r="R432" s="8">
        <v>45209</v>
      </c>
      <c r="S432" s="8">
        <v>45216</v>
      </c>
      <c r="T432" s="8">
        <v>45228</v>
      </c>
      <c r="U432" s="8">
        <v>45783</v>
      </c>
      <c r="V432" s="10">
        <f>COUNTA(O432:U432)</f>
        <v>7</v>
      </c>
      <c r="W432" s="11">
        <f>_xlfn.IFNA(INDEX(reading[[#This Row],[Memo 01]:[Memo 07]],MATCH(0,reading[[#This Row],[Memo 01]:[Memo 07]],-1)),"")</f>
        <v>45783</v>
      </c>
      <c r="X432" s="11">
        <f ca="1">IFERROR(reading[[#This Row],[Previous]]+OFFSET(reading[[#Headers],[Memo 01]],-1,MATCH(0,reading[[#This Row],[Memo 01]:[Memo 07]],-1)-1),"")</f>
        <v>55783</v>
      </c>
      <c r="Y432" s="10" t="str">
        <f ca="1">IF(reading[[#This Row],[Next]]&lt;&gt;"",IF(reading[[#This Row],[Next]]&gt;TODAY(),"OK",""),"")</f>
        <v>OK</v>
      </c>
      <c r="Z432" s="13">
        <v>3</v>
      </c>
      <c r="AA432" s="13">
        <v>3</v>
      </c>
      <c r="AB432" s="13">
        <v>3</v>
      </c>
      <c r="AC432" s="13">
        <v>3</v>
      </c>
      <c r="AD432" s="13">
        <v>3</v>
      </c>
      <c r="AE432" s="13">
        <v>3</v>
      </c>
      <c r="AF432" s="13">
        <v>3</v>
      </c>
      <c r="AG432" s="16">
        <f>IFERROR(SUMIF(reading[[#This Row],[1st]:[7th]],"&gt;0")/COUNTIF(reading[[#This Row],[1st]:[7th]],"&gt;0"),"")</f>
        <v>3</v>
      </c>
    </row>
    <row r="433" spans="1:33" hidden="1" x14ac:dyDescent="0.2">
      <c r="A433" s="4">
        <f>IF(B433=1,3,IF(D433=1,2,IF(F433=1,1,0)))</f>
        <v>0</v>
      </c>
      <c r="B433" s="4" t="str">
        <f>IF(C433=$L433,1,IF(C433="","",0))</f>
        <v/>
      </c>
      <c r="C433" s="42"/>
      <c r="D433" s="4" t="str">
        <f>IF(E433=$L433,1,IF(E433="","",0))</f>
        <v/>
      </c>
      <c r="E433" s="18"/>
      <c r="F433" s="4" t="str">
        <f>IF(G433=$L433,1,IF(G433="","",0))</f>
        <v/>
      </c>
      <c r="G433" s="14"/>
      <c r="H433" s="6">
        <v>1196</v>
      </c>
      <c r="I433" s="15" t="s">
        <v>3120</v>
      </c>
      <c r="J433" s="6" t="s">
        <v>4315</v>
      </c>
      <c r="K433" s="6"/>
      <c r="L433" s="6" t="s">
        <v>1298</v>
      </c>
      <c r="M433" s="6" t="s">
        <v>7303</v>
      </c>
      <c r="N433" s="7">
        <f ca="1">RAND()</f>
        <v>0.85819397857451607</v>
      </c>
      <c r="O433" s="8">
        <v>45206</v>
      </c>
      <c r="P433" s="8">
        <v>45207</v>
      </c>
      <c r="Q433" s="8">
        <v>45209</v>
      </c>
      <c r="R433" s="8">
        <v>45213</v>
      </c>
      <c r="S433" s="8">
        <v>45220</v>
      </c>
      <c r="T433" s="8">
        <v>45232</v>
      </c>
      <c r="U433" s="8">
        <v>45777</v>
      </c>
      <c r="V433" s="10">
        <f>COUNTA(O433:U433)</f>
        <v>7</v>
      </c>
      <c r="W433" s="11">
        <f>_xlfn.IFNA(INDEX(reading[[#This Row],[Memo 01]:[Memo 07]],MATCH(0,reading[[#This Row],[Memo 01]:[Memo 07]],-1)),"")</f>
        <v>45777</v>
      </c>
      <c r="X433" s="11">
        <f ca="1">IFERROR(reading[[#This Row],[Previous]]+OFFSET(reading[[#Headers],[Memo 01]],-1,MATCH(0,reading[[#This Row],[Memo 01]:[Memo 07]],-1)-1),"")</f>
        <v>55777</v>
      </c>
      <c r="Y433" s="10" t="str">
        <f ca="1">IF(reading[[#This Row],[Next]]&lt;&gt;"",IF(reading[[#This Row],[Next]]&gt;TODAY(),"OK",""),"")</f>
        <v>OK</v>
      </c>
      <c r="Z433" s="13">
        <v>3</v>
      </c>
      <c r="AA433" s="13">
        <v>3</v>
      </c>
      <c r="AB433" s="13">
        <v>3</v>
      </c>
      <c r="AC433" s="13">
        <v>2</v>
      </c>
      <c r="AD433" s="13">
        <v>3</v>
      </c>
      <c r="AE433" s="13">
        <v>2</v>
      </c>
      <c r="AF433" s="13">
        <v>3</v>
      </c>
      <c r="AG433" s="16">
        <f>IFERROR(SUMIF(reading[[#This Row],[1st]:[7th]],"&gt;0")/COUNTIF(reading[[#This Row],[1st]:[7th]],"&gt;0"),"")</f>
        <v>2.7142857142857144</v>
      </c>
    </row>
    <row r="434" spans="1:33" hidden="1" x14ac:dyDescent="0.2">
      <c r="A434" s="4">
        <f>IF(B434=1,3,IF(D434=1,2,IF(F434=1,1,0)))</f>
        <v>0</v>
      </c>
      <c r="B434" s="4" t="str">
        <f>IF(C434=$L434,1,IF(C434="","",0))</f>
        <v/>
      </c>
      <c r="C434" s="17"/>
      <c r="D434" s="4" t="str">
        <f>IF(E434=$L434,1,IF(E434="","",0))</f>
        <v/>
      </c>
      <c r="E434" s="5"/>
      <c r="F434" s="4" t="str">
        <f>IF(G434=$L434,1,IF(G434="","",0))</f>
        <v/>
      </c>
      <c r="G434" s="5"/>
      <c r="H434" s="6">
        <v>1</v>
      </c>
      <c r="I434" s="15" t="s">
        <v>3120</v>
      </c>
      <c r="J434" s="6" t="s">
        <v>3156</v>
      </c>
      <c r="K434" s="6"/>
      <c r="L434" s="6" t="s">
        <v>146</v>
      </c>
      <c r="M434" s="6" t="s">
        <v>6115</v>
      </c>
      <c r="N434" s="7">
        <f ca="1">RAND()</f>
        <v>0.94790628751464967</v>
      </c>
      <c r="O434" s="8">
        <v>45198</v>
      </c>
      <c r="P434" s="8">
        <v>45199</v>
      </c>
      <c r="Q434" s="8">
        <v>45201</v>
      </c>
      <c r="R434" s="8">
        <v>45205</v>
      </c>
      <c r="S434" s="8">
        <v>45213</v>
      </c>
      <c r="T434" s="8">
        <v>45225</v>
      </c>
      <c r="U434" s="8">
        <v>45777</v>
      </c>
      <c r="V434" s="10">
        <f>COUNTA(O434:U434)</f>
        <v>7</v>
      </c>
      <c r="W434" s="11">
        <f>_xlfn.IFNA(INDEX(reading[[#This Row],[Memo 01]:[Memo 07]],MATCH(0,reading[[#This Row],[Memo 01]:[Memo 07]],-1)),"")</f>
        <v>45777</v>
      </c>
      <c r="X434" s="11">
        <f ca="1">IFERROR(reading[[#This Row],[Previous]]+OFFSET(reading[[#Headers],[Memo 01]],-1,MATCH(0,reading[[#This Row],[Memo 01]:[Memo 07]],-1)-1),"")</f>
        <v>55777</v>
      </c>
      <c r="Y434" s="10" t="str">
        <f ca="1">IF(reading[[#This Row],[Next]]&lt;&gt;"",IF(reading[[#This Row],[Next]]&gt;TODAY(),"OK",""),"")</f>
        <v>OK</v>
      </c>
      <c r="Z434" s="13">
        <v>3</v>
      </c>
      <c r="AA434" s="13">
        <v>3</v>
      </c>
      <c r="AB434" s="13">
        <v>3</v>
      </c>
      <c r="AC434" s="13">
        <v>3</v>
      </c>
      <c r="AD434" s="13">
        <v>1</v>
      </c>
      <c r="AE434" s="13">
        <v>3</v>
      </c>
      <c r="AF434" s="13">
        <v>3</v>
      </c>
      <c r="AG434" s="16">
        <f>IFERROR(SUMIF(reading[[#This Row],[1st]:[7th]],"&gt;0")/COUNTIF(reading[[#This Row],[1st]:[7th]],"&gt;0"),"")</f>
        <v>2.7142857142857144</v>
      </c>
    </row>
    <row r="435" spans="1:33" hidden="1" x14ac:dyDescent="0.2">
      <c r="A435" s="4">
        <f>IF(B435=1,3,IF(D435=1,2,IF(F435=1,1,0)))</f>
        <v>0</v>
      </c>
      <c r="B435" s="4" t="str">
        <f>IF(C435=$L435,1,IF(C435="","",0))</f>
        <v/>
      </c>
      <c r="C435" s="42"/>
      <c r="D435" s="4" t="str">
        <f>IF(E435=$L435,1,IF(E435="","",0))</f>
        <v/>
      </c>
      <c r="E435" s="18"/>
      <c r="F435" s="4" t="str">
        <f>IF(G435=$L435,1,IF(G435="","",0))</f>
        <v/>
      </c>
      <c r="G435" s="18"/>
      <c r="H435" s="6">
        <v>763</v>
      </c>
      <c r="I435" s="15" t="s">
        <v>3120</v>
      </c>
      <c r="J435" s="6" t="s">
        <v>3898</v>
      </c>
      <c r="K435" s="15" t="s">
        <v>3138</v>
      </c>
      <c r="L435" s="6" t="s">
        <v>882</v>
      </c>
      <c r="M435" s="6" t="s">
        <v>6872</v>
      </c>
      <c r="N435" s="7">
        <f ca="1">RAND()</f>
        <v>0.86824622270736473</v>
      </c>
      <c r="O435" s="8">
        <v>45203</v>
      </c>
      <c r="P435" s="8">
        <v>45204</v>
      </c>
      <c r="Q435" s="8">
        <v>45206</v>
      </c>
      <c r="R435" s="8">
        <v>45210</v>
      </c>
      <c r="S435" s="8">
        <v>45217</v>
      </c>
      <c r="T435" s="8">
        <v>45229</v>
      </c>
      <c r="U435" s="8">
        <v>45777</v>
      </c>
      <c r="V435" s="10">
        <f>COUNTA(O435:U435)</f>
        <v>7</v>
      </c>
      <c r="W435" s="11">
        <f>_xlfn.IFNA(INDEX(reading[[#This Row],[Memo 01]:[Memo 07]],MATCH(0,reading[[#This Row],[Memo 01]:[Memo 07]],-1)),"")</f>
        <v>45777</v>
      </c>
      <c r="X435" s="11">
        <f ca="1">IFERROR(reading[[#This Row],[Previous]]+OFFSET(reading[[#Headers],[Memo 01]],-1,MATCH(0,reading[[#This Row],[Memo 01]:[Memo 07]],-1)-1),"")</f>
        <v>55777</v>
      </c>
      <c r="Y435" s="10" t="str">
        <f ca="1">IF(reading[[#This Row],[Next]]&lt;&gt;"",IF(reading[[#This Row],[Next]]&gt;TODAY(),"OK",""),"")</f>
        <v>OK</v>
      </c>
      <c r="Z435" s="13">
        <v>3</v>
      </c>
      <c r="AA435" s="13">
        <v>3</v>
      </c>
      <c r="AB435" s="13">
        <v>3</v>
      </c>
      <c r="AC435" s="13">
        <v>3</v>
      </c>
      <c r="AD435" s="13">
        <v>3</v>
      </c>
      <c r="AE435" s="13">
        <v>1</v>
      </c>
      <c r="AF435" s="13">
        <v>3</v>
      </c>
      <c r="AG435" s="16">
        <f>IFERROR(SUMIF(reading[[#This Row],[1st]:[7th]],"&gt;0")/COUNTIF(reading[[#This Row],[1st]:[7th]],"&gt;0"),"")</f>
        <v>2.7142857142857144</v>
      </c>
    </row>
    <row r="436" spans="1:33" hidden="1" x14ac:dyDescent="0.2">
      <c r="A436" s="4">
        <f>IF(B436=1,3,IF(D436=1,2,IF(F436=1,1,0)))</f>
        <v>0</v>
      </c>
      <c r="B436" s="4" t="str">
        <f>IF(C436=$L436,1,IF(C436="","",0))</f>
        <v/>
      </c>
      <c r="C436" s="18"/>
      <c r="D436" s="4" t="str">
        <f>IF(E436=$L436,1,IF(E436="","",0))</f>
        <v/>
      </c>
      <c r="E436" s="18"/>
      <c r="F436" s="4" t="str">
        <f>IF(G436=$L436,1,IF(G436="","",0))</f>
        <v/>
      </c>
      <c r="G436" s="14"/>
      <c r="H436" s="6">
        <v>252</v>
      </c>
      <c r="I436" s="15" t="s">
        <v>3120</v>
      </c>
      <c r="J436" s="6" t="s">
        <v>3401</v>
      </c>
      <c r="K436" s="6"/>
      <c r="L436" s="6" t="s">
        <v>387</v>
      </c>
      <c r="M436" s="6" t="s">
        <v>6361</v>
      </c>
      <c r="N436" s="7">
        <f ca="1">RAND()</f>
        <v>0.62165078328743995</v>
      </c>
      <c r="O436" s="8">
        <v>45199</v>
      </c>
      <c r="P436" s="8">
        <v>45200</v>
      </c>
      <c r="Q436" s="8">
        <v>45202</v>
      </c>
      <c r="R436" s="8">
        <v>45206</v>
      </c>
      <c r="S436" s="8">
        <v>45213</v>
      </c>
      <c r="T436" s="8">
        <v>45225</v>
      </c>
      <c r="U436" s="8">
        <v>45777</v>
      </c>
      <c r="V436" s="10">
        <f>COUNTA(O436:U436)</f>
        <v>7</v>
      </c>
      <c r="W436" s="11">
        <f>_xlfn.IFNA(INDEX(reading[[#This Row],[Memo 01]:[Memo 07]],MATCH(0,reading[[#This Row],[Memo 01]:[Memo 07]],-1)),"")</f>
        <v>45777</v>
      </c>
      <c r="X436" s="11">
        <f ca="1">IFERROR(reading[[#This Row],[Previous]]+OFFSET(reading[[#Headers],[Memo 01]],-1,MATCH(0,reading[[#This Row],[Memo 01]:[Memo 07]],-1)-1),"")</f>
        <v>55777</v>
      </c>
      <c r="Y436" s="10" t="str">
        <f ca="1">IF(reading[[#This Row],[Next]]&lt;&gt;"",IF(reading[[#This Row],[Next]]&gt;TODAY(),"OK",""),"")</f>
        <v>OK</v>
      </c>
      <c r="Z436" s="13">
        <v>2</v>
      </c>
      <c r="AA436" s="13">
        <v>2</v>
      </c>
      <c r="AB436" s="13">
        <v>3</v>
      </c>
      <c r="AC436" s="13">
        <v>3</v>
      </c>
      <c r="AD436" s="13">
        <v>3</v>
      </c>
      <c r="AE436" s="13">
        <v>3</v>
      </c>
      <c r="AF436" s="13">
        <v>3</v>
      </c>
      <c r="AG436" s="16">
        <f>IFERROR(SUMIF(reading[[#This Row],[1st]:[7th]],"&gt;0")/COUNTIF(reading[[#This Row],[1st]:[7th]],"&gt;0"),"")</f>
        <v>2.7142857142857144</v>
      </c>
    </row>
    <row r="437" spans="1:33" hidden="1" x14ac:dyDescent="0.2">
      <c r="A437" s="4">
        <f>IF(B437=1,3,IF(D437=1,2,IF(F437=1,1,0)))</f>
        <v>0</v>
      </c>
      <c r="B437" s="4" t="str">
        <f>IF(C437=$L437,1,IF(C437="","",0))</f>
        <v/>
      </c>
      <c r="C437" s="21"/>
      <c r="D437" s="4" t="str">
        <f>IF(E437=$L437,1,IF(E437="","",0))</f>
        <v/>
      </c>
      <c r="E437" s="14"/>
      <c r="F437" s="4" t="str">
        <f>IF(G437=$L437,1,IF(G437="","",0))</f>
        <v/>
      </c>
      <c r="G437" s="14"/>
      <c r="H437" s="6">
        <v>440</v>
      </c>
      <c r="I437" s="15" t="s">
        <v>3120</v>
      </c>
      <c r="J437" s="6" t="s">
        <v>3586</v>
      </c>
      <c r="K437" s="6"/>
      <c r="L437" s="6" t="s">
        <v>101</v>
      </c>
      <c r="M437" s="6" t="s">
        <v>6549</v>
      </c>
      <c r="N437" s="7">
        <f ca="1">RAND()</f>
        <v>0.12184557900060056</v>
      </c>
      <c r="O437" s="8">
        <v>45201</v>
      </c>
      <c r="P437" s="8">
        <v>45201</v>
      </c>
      <c r="Q437" s="8">
        <v>45201</v>
      </c>
      <c r="R437" s="8">
        <v>45201</v>
      </c>
      <c r="S437" s="8">
        <v>45201</v>
      </c>
      <c r="T437" s="8">
        <v>45201</v>
      </c>
      <c r="U437" s="8">
        <v>45201</v>
      </c>
      <c r="V437" s="10">
        <f>COUNTA(O437:U437)</f>
        <v>7</v>
      </c>
      <c r="W437" s="11">
        <f>_xlfn.IFNA(INDEX(reading[[#This Row],[Memo 01]:[Memo 07]],MATCH(0,reading[[#This Row],[Memo 01]:[Memo 07]],-1)),"")</f>
        <v>45201</v>
      </c>
      <c r="X437" s="11">
        <f ca="1">IFERROR(reading[[#This Row],[Previous]]+OFFSET(reading[[#Headers],[Memo 01]],-1,MATCH(0,reading[[#This Row],[Memo 01]:[Memo 07]],-1)-1),"")</f>
        <v>55201</v>
      </c>
      <c r="Y437" s="10" t="str">
        <f ca="1">IF(reading[[#This Row],[Next]]&lt;&gt;"",IF(reading[[#This Row],[Next]]&gt;TODAY(),"OK",""),"")</f>
        <v>OK</v>
      </c>
      <c r="Z437" s="13">
        <v>3</v>
      </c>
      <c r="AA437" s="13"/>
      <c r="AB437" s="13"/>
      <c r="AC437" s="13"/>
      <c r="AD437" s="13"/>
      <c r="AE437" s="13"/>
      <c r="AF437" s="13"/>
      <c r="AG437" s="16">
        <f>IFERROR(SUMIF(reading[[#This Row],[1st]:[7th]],"&gt;0")/COUNTIF(reading[[#This Row],[1st]:[7th]],"&gt;0"),"")</f>
        <v>3</v>
      </c>
    </row>
    <row r="438" spans="1:33" hidden="1" x14ac:dyDescent="0.2">
      <c r="A438" s="4">
        <f>IF(B438=1,3,IF(D438=1,2,IF(F438=1,1,0)))</f>
        <v>0</v>
      </c>
      <c r="B438" s="4" t="str">
        <f>IF(C438=$L438,1,IF(C438="","",0))</f>
        <v/>
      </c>
      <c r="C438" s="42"/>
      <c r="D438" s="4" t="str">
        <f>IF(E438=$L438,1,IF(E438="","",0))</f>
        <v/>
      </c>
      <c r="E438" s="14"/>
      <c r="F438" s="4" t="str">
        <f>IF(G438=$L438,1,IF(G438="","",0))</f>
        <v/>
      </c>
      <c r="G438" s="14"/>
      <c r="H438" s="6">
        <v>1049</v>
      </c>
      <c r="I438" s="15" t="s">
        <v>3120</v>
      </c>
      <c r="J438" s="6" t="s">
        <v>4176</v>
      </c>
      <c r="K438" s="6"/>
      <c r="L438" s="6" t="s">
        <v>1158</v>
      </c>
      <c r="M438" s="6" t="s">
        <v>7157</v>
      </c>
      <c r="N438" s="7">
        <f ca="1">RAND()</f>
        <v>0.27339679068025136</v>
      </c>
      <c r="O438" s="8">
        <v>45205</v>
      </c>
      <c r="P438" s="8">
        <v>45206</v>
      </c>
      <c r="Q438" s="8">
        <v>45208</v>
      </c>
      <c r="R438" s="8">
        <v>45212</v>
      </c>
      <c r="S438" s="8">
        <v>45219</v>
      </c>
      <c r="T438" s="8">
        <v>45231</v>
      </c>
      <c r="U438" s="8">
        <v>45783</v>
      </c>
      <c r="V438" s="10">
        <f>COUNTA(O438:U438)</f>
        <v>7</v>
      </c>
      <c r="W438" s="11">
        <f>_xlfn.IFNA(INDEX(reading[[#This Row],[Memo 01]:[Memo 07]],MATCH(0,reading[[#This Row],[Memo 01]:[Memo 07]],-1)),"")</f>
        <v>45783</v>
      </c>
      <c r="X438" s="11">
        <f ca="1">IFERROR(reading[[#This Row],[Previous]]+OFFSET(reading[[#Headers],[Memo 01]],-1,MATCH(0,reading[[#This Row],[Memo 01]:[Memo 07]],-1)-1),"")</f>
        <v>55783</v>
      </c>
      <c r="Y438" s="10" t="str">
        <f ca="1">IF(reading[[#This Row],[Next]]&lt;&gt;"",IF(reading[[#This Row],[Next]]&gt;TODAY(),"OK",""),"")</f>
        <v>OK</v>
      </c>
      <c r="Z438" s="13">
        <v>3</v>
      </c>
      <c r="AA438" s="13">
        <v>3</v>
      </c>
      <c r="AB438" s="13">
        <v>3</v>
      </c>
      <c r="AC438" s="13">
        <v>3</v>
      </c>
      <c r="AD438" s="13">
        <v>3</v>
      </c>
      <c r="AE438" s="13">
        <v>3</v>
      </c>
      <c r="AF438" s="13">
        <v>3</v>
      </c>
      <c r="AG438" s="16">
        <f>IFERROR(SUMIF(reading[[#This Row],[1st]:[7th]],"&gt;0")/COUNTIF(reading[[#This Row],[1st]:[7th]],"&gt;0"),"")</f>
        <v>3</v>
      </c>
    </row>
    <row r="439" spans="1:33" hidden="1" x14ac:dyDescent="0.2">
      <c r="A439" s="4">
        <f>IF(B439=1,3,IF(D439=1,2,IF(F439=1,1,0)))</f>
        <v>0</v>
      </c>
      <c r="B439" s="4" t="str">
        <f>IF(C439=$L439,1,IF(C439="","",0))</f>
        <v/>
      </c>
      <c r="C439" s="41"/>
      <c r="D439" s="4" t="str">
        <f>IF(E439=$L439,1,IF(E439="","",0))</f>
        <v/>
      </c>
      <c r="E439" s="18"/>
      <c r="F439" s="4" t="str">
        <f>IF(G439=$L439,1,IF(G439="","",0))</f>
        <v/>
      </c>
      <c r="G439" s="14"/>
      <c r="H439" s="6">
        <v>558</v>
      </c>
      <c r="I439" s="15" t="s">
        <v>3120</v>
      </c>
      <c r="J439" s="6" t="s">
        <v>3589</v>
      </c>
      <c r="K439" s="6"/>
      <c r="L439" s="6" t="s">
        <v>685</v>
      </c>
      <c r="M439" s="6" t="s">
        <v>6667</v>
      </c>
      <c r="N439" s="7">
        <f ca="1">RAND()</f>
        <v>0.72215543766328405</v>
      </c>
      <c r="O439" s="8">
        <v>45202</v>
      </c>
      <c r="P439" s="8">
        <v>45203</v>
      </c>
      <c r="Q439" s="8">
        <v>45205</v>
      </c>
      <c r="R439" s="8">
        <v>45209</v>
      </c>
      <c r="S439" s="8">
        <v>45216</v>
      </c>
      <c r="T439" s="8">
        <v>45228</v>
      </c>
      <c r="U439" s="8">
        <v>45250</v>
      </c>
      <c r="V439" s="10">
        <f>COUNTA(O439:U439)</f>
        <v>7</v>
      </c>
      <c r="W439" s="11">
        <f>_xlfn.IFNA(INDEX(reading[[#This Row],[Memo 01]:[Memo 07]],MATCH(0,reading[[#This Row],[Memo 01]:[Memo 07]],-1)),"")</f>
        <v>45250</v>
      </c>
      <c r="X439" s="11">
        <f ca="1">IFERROR(reading[[#This Row],[Previous]]+OFFSET(reading[[#Headers],[Memo 01]],-1,MATCH(0,reading[[#This Row],[Memo 01]:[Memo 07]],-1)-1),"")</f>
        <v>55250</v>
      </c>
      <c r="Y439" s="10" t="str">
        <f ca="1">IF(reading[[#This Row],[Next]]&lt;&gt;"",IF(reading[[#This Row],[Next]]&gt;TODAY(),"OK",""),"")</f>
        <v>OK</v>
      </c>
      <c r="Z439" s="13">
        <v>3</v>
      </c>
      <c r="AA439" s="13">
        <v>2</v>
      </c>
      <c r="AB439" s="13">
        <v>3</v>
      </c>
      <c r="AC439" s="13">
        <v>3</v>
      </c>
      <c r="AD439" s="13">
        <v>2</v>
      </c>
      <c r="AE439" s="13">
        <v>2</v>
      </c>
      <c r="AF439" s="13">
        <v>1</v>
      </c>
      <c r="AG439" s="16">
        <f>IFERROR(SUMIF(reading[[#This Row],[1st]:[7th]],"&gt;0")/COUNTIF(reading[[#This Row],[1st]:[7th]],"&gt;0"),"")</f>
        <v>2.2857142857142856</v>
      </c>
    </row>
    <row r="440" spans="1:33" hidden="1" x14ac:dyDescent="0.2">
      <c r="A440" s="4">
        <f>IF(B440=1,3,IF(D440=1,2,IF(F440=1,1,0)))</f>
        <v>0</v>
      </c>
      <c r="B440" s="4" t="str">
        <f>IF(C440=$L440,1,IF(C440="","",0))</f>
        <v/>
      </c>
      <c r="C440" s="42"/>
      <c r="D440" s="4" t="str">
        <f>IF(E440=$L440,1,IF(E440="","",0))</f>
        <v/>
      </c>
      <c r="E440" s="14"/>
      <c r="F440" s="4" t="str">
        <f>IF(G440=$L440,1,IF(G440="","",0))</f>
        <v/>
      </c>
      <c r="G440" s="14"/>
      <c r="H440" s="6">
        <v>459</v>
      </c>
      <c r="I440" s="15" t="s">
        <v>3120</v>
      </c>
      <c r="J440" s="6" t="s">
        <v>3605</v>
      </c>
      <c r="K440" s="6"/>
      <c r="L440" s="6" t="s">
        <v>588</v>
      </c>
      <c r="M440" s="6" t="s">
        <v>6568</v>
      </c>
      <c r="N440" s="7">
        <f ca="1">RAND()</f>
        <v>8.1206929112453086E-2</v>
      </c>
      <c r="O440" s="8">
        <v>45202</v>
      </c>
      <c r="P440" s="8">
        <v>45203</v>
      </c>
      <c r="Q440" s="8">
        <v>45205</v>
      </c>
      <c r="R440" s="8">
        <v>45209</v>
      </c>
      <c r="S440" s="8">
        <v>45216</v>
      </c>
      <c r="T440" s="8">
        <v>45228</v>
      </c>
      <c r="U440" s="8">
        <v>45777</v>
      </c>
      <c r="V440" s="10">
        <f>COUNTA(O440:U440)</f>
        <v>7</v>
      </c>
      <c r="W440" s="11">
        <f>_xlfn.IFNA(INDEX(reading[[#This Row],[Memo 01]:[Memo 07]],MATCH(0,reading[[#This Row],[Memo 01]:[Memo 07]],-1)),"")</f>
        <v>45777</v>
      </c>
      <c r="X440" s="11">
        <f ca="1">IFERROR(reading[[#This Row],[Previous]]+OFFSET(reading[[#Headers],[Memo 01]],-1,MATCH(0,reading[[#This Row],[Memo 01]:[Memo 07]],-1)-1),"")</f>
        <v>55777</v>
      </c>
      <c r="Y440" s="10" t="str">
        <f ca="1">IF(reading[[#This Row],[Next]]&lt;&gt;"",IF(reading[[#This Row],[Next]]&gt;TODAY(),"OK",""),"")</f>
        <v>OK</v>
      </c>
      <c r="Z440" s="13">
        <v>3</v>
      </c>
      <c r="AA440" s="13">
        <v>2</v>
      </c>
      <c r="AB440" s="13">
        <v>2</v>
      </c>
      <c r="AC440" s="13">
        <v>3</v>
      </c>
      <c r="AD440" s="13">
        <v>3</v>
      </c>
      <c r="AE440" s="13">
        <v>3</v>
      </c>
      <c r="AF440" s="13">
        <v>3</v>
      </c>
      <c r="AG440" s="16">
        <f>IFERROR(SUMIF(reading[[#This Row],[1st]:[7th]],"&gt;0")/COUNTIF(reading[[#This Row],[1st]:[7th]],"&gt;0"),"")</f>
        <v>2.7142857142857144</v>
      </c>
    </row>
    <row r="441" spans="1:33" hidden="1" x14ac:dyDescent="0.2">
      <c r="A441" s="4">
        <f>IF(B441=1,3,IF(D441=1,2,IF(F441=1,1,0)))</f>
        <v>0</v>
      </c>
      <c r="B441" s="4" t="str">
        <f>IF(C441=$L441,1,IF(C441="","",0))</f>
        <v/>
      </c>
      <c r="C441" s="42"/>
      <c r="D441" s="4" t="str">
        <f>IF(E441=$L441,1,IF(E441="","",0))</f>
        <v/>
      </c>
      <c r="E441" s="18"/>
      <c r="F441" s="4" t="str">
        <f>IF(G441=$L441,1,IF(G441="","",0))</f>
        <v/>
      </c>
      <c r="G441" s="18"/>
      <c r="H441" s="6">
        <v>1085</v>
      </c>
      <c r="I441" s="15" t="s">
        <v>3120</v>
      </c>
      <c r="J441" s="6" t="s">
        <v>4209</v>
      </c>
      <c r="K441" s="6"/>
      <c r="L441" s="6" t="s">
        <v>1192</v>
      </c>
      <c r="M441" s="6" t="s">
        <v>7193</v>
      </c>
      <c r="N441" s="7">
        <f ca="1">RAND()</f>
        <v>0.15453915425588749</v>
      </c>
      <c r="O441" s="8">
        <v>45205</v>
      </c>
      <c r="P441" s="8">
        <v>45206</v>
      </c>
      <c r="Q441" s="8">
        <v>45208</v>
      </c>
      <c r="R441" s="8">
        <v>45213</v>
      </c>
      <c r="S441" s="8">
        <v>45220</v>
      </c>
      <c r="T441" s="8">
        <v>45232</v>
      </c>
      <c r="U441" s="8">
        <v>45253</v>
      </c>
      <c r="V441" s="10">
        <f>COUNTA(O441:U441)</f>
        <v>7</v>
      </c>
      <c r="W441" s="11">
        <f>_xlfn.IFNA(INDEX(reading[[#This Row],[Memo 01]:[Memo 07]],MATCH(0,reading[[#This Row],[Memo 01]:[Memo 07]],-1)),"")</f>
        <v>45253</v>
      </c>
      <c r="X441" s="11">
        <f ca="1">IFERROR(reading[[#This Row],[Previous]]+OFFSET(reading[[#Headers],[Memo 01]],-1,MATCH(0,reading[[#This Row],[Memo 01]:[Memo 07]],-1)-1),"")</f>
        <v>55253</v>
      </c>
      <c r="Y441" s="10" t="str">
        <f ca="1">IF(reading[[#This Row],[Next]]&lt;&gt;"",IF(reading[[#This Row],[Next]]&gt;TODAY(),"OK",""),"")</f>
        <v>OK</v>
      </c>
      <c r="Z441" s="13">
        <v>3</v>
      </c>
      <c r="AA441" s="13">
        <v>3</v>
      </c>
      <c r="AB441" s="13">
        <v>3</v>
      </c>
      <c r="AC441" s="13">
        <v>2</v>
      </c>
      <c r="AD441" s="13">
        <v>1</v>
      </c>
      <c r="AE441" s="13">
        <v>3</v>
      </c>
      <c r="AF441" s="13">
        <v>2</v>
      </c>
      <c r="AG441" s="16">
        <f>IFERROR(SUMIF(reading[[#This Row],[1st]:[7th]],"&gt;0")/COUNTIF(reading[[#This Row],[1st]:[7th]],"&gt;0"),"")</f>
        <v>2.4285714285714284</v>
      </c>
    </row>
    <row r="442" spans="1:33" hidden="1" x14ac:dyDescent="0.2">
      <c r="A442" s="4">
        <f>IF(B442=1,3,IF(D442=1,2,IF(F442=1,1,0)))</f>
        <v>0</v>
      </c>
      <c r="B442" s="4" t="str">
        <f>IF(C442=$L442,1,IF(C442="","",0))</f>
        <v/>
      </c>
      <c r="C442" s="42"/>
      <c r="D442" s="4" t="str">
        <f>IF(E442=$L442,1,IF(E442="","",0))</f>
        <v/>
      </c>
      <c r="E442" s="18"/>
      <c r="F442" s="4" t="str">
        <f>IF(G442=$L442,1,IF(G442="","",0))</f>
        <v/>
      </c>
      <c r="G442" s="14"/>
      <c r="H442" s="6">
        <v>242</v>
      </c>
      <c r="I442" s="15" t="s">
        <v>3120</v>
      </c>
      <c r="J442" s="6" t="s">
        <v>3391</v>
      </c>
      <c r="K442" s="6"/>
      <c r="L442" s="6" t="s">
        <v>377</v>
      </c>
      <c r="M442" s="6" t="s">
        <v>6351</v>
      </c>
      <c r="N442" s="7">
        <f ca="1">RAND()</f>
        <v>0.17550536200591238</v>
      </c>
      <c r="O442" s="8">
        <v>45200</v>
      </c>
      <c r="P442" s="8">
        <v>45202</v>
      </c>
      <c r="Q442" s="8">
        <v>45204</v>
      </c>
      <c r="R442" s="8">
        <v>45208</v>
      </c>
      <c r="S442" s="8">
        <v>45215</v>
      </c>
      <c r="T442" s="8">
        <v>45227</v>
      </c>
      <c r="U442" s="8">
        <v>45253</v>
      </c>
      <c r="V442" s="10">
        <f>COUNTA(O442:U442)</f>
        <v>7</v>
      </c>
      <c r="W442" s="11">
        <f>_xlfn.IFNA(INDEX(reading[[#This Row],[Memo 01]:[Memo 07]],MATCH(0,reading[[#This Row],[Memo 01]:[Memo 07]],-1)),"")</f>
        <v>45253</v>
      </c>
      <c r="X442" s="11">
        <f ca="1">IFERROR(reading[[#This Row],[Previous]]+OFFSET(reading[[#Headers],[Memo 01]],-1,MATCH(0,reading[[#This Row],[Memo 01]:[Memo 07]],-1)-1),"")</f>
        <v>55253</v>
      </c>
      <c r="Y442" s="10" t="str">
        <f ca="1">IF(reading[[#This Row],[Next]]&lt;&gt;"",IF(reading[[#This Row],[Next]]&gt;TODAY(),"OK",""),"")</f>
        <v>OK</v>
      </c>
      <c r="Z442" s="13">
        <v>3</v>
      </c>
      <c r="AA442" s="13">
        <v>2</v>
      </c>
      <c r="AB442" s="13">
        <v>2</v>
      </c>
      <c r="AC442" s="13">
        <v>3</v>
      </c>
      <c r="AD442" s="13">
        <v>3</v>
      </c>
      <c r="AE442" s="13">
        <v>3</v>
      </c>
      <c r="AF442" s="13">
        <v>2</v>
      </c>
      <c r="AG442" s="16">
        <f>IFERROR(SUMIF(reading[[#This Row],[1st]:[7th]],"&gt;0")/COUNTIF(reading[[#This Row],[1st]:[7th]],"&gt;0"),"")</f>
        <v>2.5714285714285716</v>
      </c>
    </row>
    <row r="443" spans="1:33" hidden="1" x14ac:dyDescent="0.2">
      <c r="A443" s="4">
        <f>IF(B443=1,3,IF(D443=1,2,IF(F443=1,1,0)))</f>
        <v>0</v>
      </c>
      <c r="B443" s="4" t="str">
        <f>IF(C443=$L443,1,IF(C443="","",0))</f>
        <v/>
      </c>
      <c r="C443" s="42"/>
      <c r="D443" s="4" t="str">
        <f>IF(E443=$L443,1,IF(E443="","",0))</f>
        <v/>
      </c>
      <c r="E443" s="23"/>
      <c r="F443" s="4" t="str">
        <f>IF(G443=$L443,1,IF(G443="","",0))</f>
        <v/>
      </c>
      <c r="G443" s="14"/>
      <c r="H443" s="6">
        <v>2828</v>
      </c>
      <c r="I443" s="15" t="s">
        <v>3120</v>
      </c>
      <c r="J443" s="6" t="s">
        <v>5869</v>
      </c>
      <c r="K443" s="15"/>
      <c r="L443" s="6" t="s">
        <v>2864</v>
      </c>
      <c r="M443" s="6" t="s">
        <v>8932</v>
      </c>
      <c r="N443" s="7">
        <f ca="1">RAND()</f>
        <v>0.99497693039625423</v>
      </c>
      <c r="O443" s="8">
        <v>45223</v>
      </c>
      <c r="P443" s="8">
        <v>45224</v>
      </c>
      <c r="Q443" s="8">
        <v>45226</v>
      </c>
      <c r="R443" s="8">
        <v>45230</v>
      </c>
      <c r="S443" s="8">
        <v>45237</v>
      </c>
      <c r="T443" s="8">
        <v>45820</v>
      </c>
      <c r="U443" s="8"/>
      <c r="V443" s="10">
        <f>COUNTA(O443:U443)</f>
        <v>6</v>
      </c>
      <c r="W443" s="11">
        <f>_xlfn.IFNA(INDEX(reading[[#This Row],[Memo 01]:[Memo 07]],MATCH(0,reading[[#This Row],[Memo 01]:[Memo 07]],-1)),"")</f>
        <v>45820</v>
      </c>
      <c r="X443" s="11">
        <f ca="1">IFERROR(reading[[#This Row],[Previous]]+OFFSET(reading[[#Headers],[Memo 01]],-1,MATCH(0,reading[[#This Row],[Memo 01]:[Memo 07]],-1)-1),"")</f>
        <v>45840</v>
      </c>
      <c r="Y443" s="10" t="str">
        <f ca="1">IF(reading[[#This Row],[Next]]&lt;&gt;"",IF(reading[[#This Row],[Next]]&gt;TODAY(),"OK",""),"")</f>
        <v>OK</v>
      </c>
      <c r="Z443" s="13">
        <v>3</v>
      </c>
      <c r="AA443" s="13">
        <v>3</v>
      </c>
      <c r="AB443" s="13">
        <v>3</v>
      </c>
      <c r="AC443" s="13">
        <v>3</v>
      </c>
      <c r="AD443" s="13">
        <v>3</v>
      </c>
      <c r="AE443" s="13">
        <v>2</v>
      </c>
      <c r="AF443" s="13"/>
      <c r="AG443" s="16">
        <f>IFERROR(SUMIF(reading[[#This Row],[1st]:[7th]],"&gt;0")/COUNTIF(reading[[#This Row],[1st]:[7th]],"&gt;0"),"")</f>
        <v>2.8333333333333335</v>
      </c>
    </row>
    <row r="444" spans="1:33" hidden="1" x14ac:dyDescent="0.2">
      <c r="A444" s="4">
        <f>IF(B444=1,3,IF(D444=1,2,IF(F444=1,1,0)))</f>
        <v>0</v>
      </c>
      <c r="B444" s="4" t="str">
        <f>IF(C444=$L444,1,IF(C444="","",0))</f>
        <v/>
      </c>
      <c r="C444" s="42"/>
      <c r="D444" s="4" t="str">
        <f>IF(E444=$L444,1,IF(E444="","",0))</f>
        <v/>
      </c>
      <c r="E444" s="18"/>
      <c r="F444" s="4" t="str">
        <f>IF(G444=$L444,1,IF(G444="","",0))</f>
        <v/>
      </c>
      <c r="G444" s="14"/>
      <c r="H444" s="6">
        <v>1217</v>
      </c>
      <c r="I444" s="15" t="s">
        <v>3120</v>
      </c>
      <c r="J444" s="6" t="s">
        <v>4334</v>
      </c>
      <c r="K444" s="6"/>
      <c r="L444" s="6" t="s">
        <v>1318</v>
      </c>
      <c r="M444" s="6" t="s">
        <v>7324</v>
      </c>
      <c r="N444" s="7">
        <f ca="1">RAND()</f>
        <v>0.21510872101998657</v>
      </c>
      <c r="O444" s="8">
        <v>45206</v>
      </c>
      <c r="P444" s="8">
        <v>45207</v>
      </c>
      <c r="Q444" s="8">
        <v>45209</v>
      </c>
      <c r="R444" s="8">
        <v>45213</v>
      </c>
      <c r="S444" s="8">
        <v>45220</v>
      </c>
      <c r="T444" s="8">
        <v>45232</v>
      </c>
      <c r="U444" s="8">
        <v>45777</v>
      </c>
      <c r="V444" s="10">
        <f>COUNTA(O444:U444)</f>
        <v>7</v>
      </c>
      <c r="W444" s="11">
        <f>_xlfn.IFNA(INDEX(reading[[#This Row],[Memo 01]:[Memo 07]],MATCH(0,reading[[#This Row],[Memo 01]:[Memo 07]],-1)),"")</f>
        <v>45777</v>
      </c>
      <c r="X444" s="11">
        <f ca="1">IFERROR(reading[[#This Row],[Previous]]+OFFSET(reading[[#Headers],[Memo 01]],-1,MATCH(0,reading[[#This Row],[Memo 01]:[Memo 07]],-1)-1),"")</f>
        <v>55777</v>
      </c>
      <c r="Y444" s="10" t="str">
        <f ca="1">IF(reading[[#This Row],[Next]]&lt;&gt;"",IF(reading[[#This Row],[Next]]&gt;TODAY(),"OK",""),"")</f>
        <v>OK</v>
      </c>
      <c r="Z444" s="13">
        <v>3</v>
      </c>
      <c r="AA444" s="13">
        <v>3</v>
      </c>
      <c r="AB444" s="13">
        <v>3</v>
      </c>
      <c r="AC444" s="13">
        <v>3</v>
      </c>
      <c r="AD444" s="13">
        <v>2</v>
      </c>
      <c r="AE444" s="13">
        <v>2</v>
      </c>
      <c r="AF444" s="13">
        <v>3</v>
      </c>
      <c r="AG444" s="16">
        <f>IFERROR(SUMIF(reading[[#This Row],[1st]:[7th]],"&gt;0")/COUNTIF(reading[[#This Row],[1st]:[7th]],"&gt;0"),"")</f>
        <v>2.7142857142857144</v>
      </c>
    </row>
    <row r="445" spans="1:33" hidden="1" x14ac:dyDescent="0.2">
      <c r="A445" s="4">
        <f>IF(B445=1,3,IF(D445=1,2,IF(F445=1,1,0)))</f>
        <v>3</v>
      </c>
      <c r="B445" s="4">
        <f>IF(C445=$L445,1,IF(C445="","",0))</f>
        <v>1</v>
      </c>
      <c r="C445" s="21" t="s">
        <v>577</v>
      </c>
      <c r="D445" s="4" t="str">
        <f>IF(E445=$L445,1,IF(E445="","",0))</f>
        <v/>
      </c>
      <c r="E445" s="14"/>
      <c r="F445" s="4" t="str">
        <f>IF(G445=$L445,1,IF(G445="","",0))</f>
        <v/>
      </c>
      <c r="G445" s="14"/>
      <c r="H445" s="6">
        <v>448</v>
      </c>
      <c r="I445" s="15" t="s">
        <v>3120</v>
      </c>
      <c r="J445" s="6" t="s">
        <v>3594</v>
      </c>
      <c r="K445" s="6"/>
      <c r="L445" s="6" t="s">
        <v>577</v>
      </c>
      <c r="M445" s="6" t="s">
        <v>6557</v>
      </c>
      <c r="N445" s="7">
        <f ca="1">RAND()</f>
        <v>6.4160145065148555E-3</v>
      </c>
      <c r="O445" s="8">
        <v>45202</v>
      </c>
      <c r="P445" s="8">
        <v>45202</v>
      </c>
      <c r="Q445" s="8">
        <v>45202</v>
      </c>
      <c r="R445" s="8">
        <v>45202</v>
      </c>
      <c r="S445" s="8">
        <v>45202</v>
      </c>
      <c r="T445" s="8">
        <v>45202</v>
      </c>
      <c r="U445" s="8">
        <v>45202</v>
      </c>
      <c r="V445" s="10">
        <f>COUNTA(O445:U445)</f>
        <v>7</v>
      </c>
      <c r="W445" s="11">
        <f>_xlfn.IFNA(INDEX(reading[[#This Row],[Memo 01]:[Memo 07]],MATCH(0,reading[[#This Row],[Memo 01]:[Memo 07]],-1)),"")</f>
        <v>45202</v>
      </c>
      <c r="X445" s="11">
        <f ca="1">IFERROR(reading[[#This Row],[Previous]]+OFFSET(reading[[#Headers],[Memo 01]],-1,MATCH(0,reading[[#This Row],[Memo 01]:[Memo 07]],-1)-1),"")</f>
        <v>55202</v>
      </c>
      <c r="Y445" s="10" t="str">
        <f ca="1">IF(reading[[#This Row],[Next]]&lt;&gt;"",IF(reading[[#This Row],[Next]]&gt;TODAY(),"OK",""),"")</f>
        <v>OK</v>
      </c>
      <c r="Z445" s="13">
        <v>3</v>
      </c>
      <c r="AA445" s="13"/>
      <c r="AB445" s="13"/>
      <c r="AC445" s="13"/>
      <c r="AD445" s="13"/>
      <c r="AE445" s="13"/>
      <c r="AF445" s="13"/>
      <c r="AG445" s="16">
        <f>IFERROR(SUMIF(reading[[#This Row],[1st]:[7th]],"&gt;0")/COUNTIF(reading[[#This Row],[1st]:[7th]],"&gt;0"),"")</f>
        <v>3</v>
      </c>
    </row>
    <row r="446" spans="1:33" hidden="1" x14ac:dyDescent="0.2">
      <c r="A446" s="4">
        <f>IF(B446=1,3,IF(D446=1,2,IF(F446=1,1,0)))</f>
        <v>0</v>
      </c>
      <c r="B446" s="4" t="str">
        <f>IF(C446=$L446,1,IF(C446="","",0))</f>
        <v/>
      </c>
      <c r="C446" s="42"/>
      <c r="D446" s="4" t="str">
        <f>IF(E446=$L446,1,IF(E446="","",0))</f>
        <v/>
      </c>
      <c r="E446" s="14"/>
      <c r="F446" s="4" t="str">
        <f>IF(G446=$L446,1,IF(G446="","",0))</f>
        <v/>
      </c>
      <c r="G446" s="14"/>
      <c r="H446" s="6">
        <v>755</v>
      </c>
      <c r="I446" s="15" t="s">
        <v>3120</v>
      </c>
      <c r="J446" s="6" t="s">
        <v>3890</v>
      </c>
      <c r="K446" s="6"/>
      <c r="L446" s="6" t="s">
        <v>874</v>
      </c>
      <c r="M446" s="6" t="s">
        <v>6864</v>
      </c>
      <c r="N446" s="7">
        <f ca="1">RAND()</f>
        <v>0.68234666396826293</v>
      </c>
      <c r="O446" s="8">
        <v>45203</v>
      </c>
      <c r="P446" s="8">
        <v>45204</v>
      </c>
      <c r="Q446" s="8">
        <v>45206</v>
      </c>
      <c r="R446" s="8">
        <v>45210</v>
      </c>
      <c r="S446" s="8">
        <v>45217</v>
      </c>
      <c r="T446" s="8">
        <v>45229</v>
      </c>
      <c r="U446" s="8">
        <v>45792</v>
      </c>
      <c r="V446" s="10">
        <f>COUNTA(O446:U446)</f>
        <v>7</v>
      </c>
      <c r="W446" s="11">
        <f>_xlfn.IFNA(INDEX(reading[[#This Row],[Memo 01]:[Memo 07]],MATCH(0,reading[[#This Row],[Memo 01]:[Memo 07]],-1)),"")</f>
        <v>45792</v>
      </c>
      <c r="X446" s="11">
        <f ca="1">IFERROR(reading[[#This Row],[Previous]]+OFFSET(reading[[#Headers],[Memo 01]],-1,MATCH(0,reading[[#This Row],[Memo 01]:[Memo 07]],-1)-1),"")</f>
        <v>55792</v>
      </c>
      <c r="Y446" s="10" t="str">
        <f ca="1">IF(reading[[#This Row],[Next]]&lt;&gt;"",IF(reading[[#This Row],[Next]]&gt;TODAY(),"OK",""),"")</f>
        <v>OK</v>
      </c>
      <c r="Z446" s="13">
        <v>3</v>
      </c>
      <c r="AA446" s="13">
        <v>3</v>
      </c>
      <c r="AB446" s="13">
        <v>3</v>
      </c>
      <c r="AC446" s="13">
        <v>2</v>
      </c>
      <c r="AD446" s="13">
        <v>3</v>
      </c>
      <c r="AE446" s="13">
        <v>3</v>
      </c>
      <c r="AF446" s="13">
        <v>3</v>
      </c>
      <c r="AG446" s="16">
        <f>IFERROR(SUMIF(reading[[#This Row],[1st]:[7th]],"&gt;0")/COUNTIF(reading[[#This Row],[1st]:[7th]],"&gt;0"),"")</f>
        <v>2.8571428571428572</v>
      </c>
    </row>
    <row r="447" spans="1:33" hidden="1" x14ac:dyDescent="0.2">
      <c r="A447" s="4">
        <f>IF(B447=1,3,IF(D447=1,2,IF(F447=1,1,0)))</f>
        <v>0</v>
      </c>
      <c r="B447" s="4" t="str">
        <f>IF(C447=$L447,1,IF(C447="","",0))</f>
        <v/>
      </c>
      <c r="C447" s="42"/>
      <c r="D447" s="4" t="str">
        <f>IF(E447=$L447,1,IF(E447="","",0))</f>
        <v/>
      </c>
      <c r="E447" s="18"/>
      <c r="F447" s="4" t="str">
        <f>IF(G447=$L447,1,IF(G447="","",0))</f>
        <v/>
      </c>
      <c r="G447" s="14"/>
      <c r="H447" s="6">
        <v>157</v>
      </c>
      <c r="I447" s="15" t="s">
        <v>3120</v>
      </c>
      <c r="J447" s="6" t="s">
        <v>3306</v>
      </c>
      <c r="K447" s="6"/>
      <c r="L447" s="6" t="s">
        <v>294</v>
      </c>
      <c r="M447" s="6" t="s">
        <v>6266</v>
      </c>
      <c r="N447" s="7">
        <f ca="1">RAND()</f>
        <v>0.8574341539965622</v>
      </c>
      <c r="O447" s="8">
        <v>45199</v>
      </c>
      <c r="P447" s="8">
        <v>45200</v>
      </c>
      <c r="Q447" s="8">
        <v>45202</v>
      </c>
      <c r="R447" s="8">
        <v>45206</v>
      </c>
      <c r="S447" s="8">
        <v>45213</v>
      </c>
      <c r="T447" s="8">
        <v>45225</v>
      </c>
      <c r="U447" s="8">
        <v>45777</v>
      </c>
      <c r="V447" s="10">
        <f>COUNTA(O447:U447)</f>
        <v>7</v>
      </c>
      <c r="W447" s="11">
        <f>_xlfn.IFNA(INDEX(reading[[#This Row],[Memo 01]:[Memo 07]],MATCH(0,reading[[#This Row],[Memo 01]:[Memo 07]],-1)),"")</f>
        <v>45777</v>
      </c>
      <c r="X447" s="11">
        <f ca="1">IFERROR(reading[[#This Row],[Previous]]+OFFSET(reading[[#Headers],[Memo 01]],-1,MATCH(0,reading[[#This Row],[Memo 01]:[Memo 07]],-1)-1),"")</f>
        <v>55777</v>
      </c>
      <c r="Y447" s="10" t="str">
        <f ca="1">IF(reading[[#This Row],[Next]]&lt;&gt;"",IF(reading[[#This Row],[Next]]&gt;TODAY(),"OK",""),"")</f>
        <v>OK</v>
      </c>
      <c r="Z447" s="13">
        <v>3</v>
      </c>
      <c r="AA447" s="13">
        <v>3</v>
      </c>
      <c r="AB447" s="13">
        <v>2</v>
      </c>
      <c r="AC447" s="13">
        <v>3</v>
      </c>
      <c r="AD447" s="13">
        <v>2</v>
      </c>
      <c r="AE447" s="13">
        <v>3</v>
      </c>
      <c r="AF447" s="13">
        <v>3</v>
      </c>
      <c r="AG447" s="16">
        <f>IFERROR(SUMIF(reading[[#This Row],[1st]:[7th]],"&gt;0")/COUNTIF(reading[[#This Row],[1st]:[7th]],"&gt;0"),"")</f>
        <v>2.7142857142857144</v>
      </c>
    </row>
    <row r="448" spans="1:33" hidden="1" x14ac:dyDescent="0.2">
      <c r="A448" s="4">
        <f>IF(B448=1,3,IF(D448=1,2,IF(F448=1,1,0)))</f>
        <v>0</v>
      </c>
      <c r="B448" s="4" t="str">
        <f>IF(C448=$L448,1,IF(C448="","",0))</f>
        <v/>
      </c>
      <c r="C448" s="42"/>
      <c r="D448" s="4" t="str">
        <f>IF(E448=$L448,1,IF(E448="","",0))</f>
        <v/>
      </c>
      <c r="E448" s="43"/>
      <c r="F448" s="4" t="str">
        <f>IF(G448=$L448,1,IF(G448="","",0))</f>
        <v/>
      </c>
      <c r="G448" s="43"/>
      <c r="H448" s="6">
        <v>1780</v>
      </c>
      <c r="I448" s="15" t="s">
        <v>3120</v>
      </c>
      <c r="J448" s="6" t="s">
        <v>4887</v>
      </c>
      <c r="K448" s="6"/>
      <c r="L448" s="6" t="s">
        <v>1859</v>
      </c>
      <c r="M448" s="6" t="s">
        <v>7886</v>
      </c>
      <c r="N448" s="7">
        <f ca="1">RAND()</f>
        <v>0.61996637135683341</v>
      </c>
      <c r="O448" s="8">
        <v>45211</v>
      </c>
      <c r="P448" s="8">
        <v>45212</v>
      </c>
      <c r="Q448" s="8">
        <v>45214</v>
      </c>
      <c r="R448" s="8">
        <v>45218</v>
      </c>
      <c r="S448" s="8">
        <v>45226</v>
      </c>
      <c r="T448" s="8">
        <v>45252</v>
      </c>
      <c r="U448" s="8">
        <v>45811</v>
      </c>
      <c r="V448" s="10">
        <f>COUNTA(O448:U448)</f>
        <v>7</v>
      </c>
      <c r="W448" s="11">
        <f>_xlfn.IFNA(INDEX(reading[[#This Row],[Memo 01]:[Memo 07]],MATCH(0,reading[[#This Row],[Memo 01]:[Memo 07]],-1)),"")</f>
        <v>45811</v>
      </c>
      <c r="X448" s="11">
        <f ca="1">IFERROR(reading[[#This Row],[Previous]]+OFFSET(reading[[#Headers],[Memo 01]],-1,MATCH(0,reading[[#This Row],[Memo 01]:[Memo 07]],-1)-1),"")</f>
        <v>55811</v>
      </c>
      <c r="Y448" s="10" t="str">
        <f ca="1">IF(reading[[#This Row],[Next]]&lt;&gt;"",IF(reading[[#This Row],[Next]]&gt;TODAY(),"OK",""),"")</f>
        <v>OK</v>
      </c>
      <c r="Z448" s="13">
        <v>3</v>
      </c>
      <c r="AA448" s="13">
        <v>3</v>
      </c>
      <c r="AB448" s="13">
        <v>3</v>
      </c>
      <c r="AC448" s="13">
        <v>3</v>
      </c>
      <c r="AD448" s="13">
        <v>1</v>
      </c>
      <c r="AE448" s="13">
        <v>2</v>
      </c>
      <c r="AF448" s="13">
        <v>1</v>
      </c>
      <c r="AG448" s="16">
        <f>IFERROR(SUMIF(reading[[#This Row],[1st]:[7th]],"&gt;0")/COUNTIF(reading[[#This Row],[1st]:[7th]],"&gt;0"),"")</f>
        <v>2.2857142857142856</v>
      </c>
    </row>
    <row r="449" spans="1:33" hidden="1" x14ac:dyDescent="0.2">
      <c r="A449" s="4">
        <f>IF(B449=1,3,IF(D449=1,2,IF(F449=1,1,0)))</f>
        <v>0</v>
      </c>
      <c r="B449" s="4" t="str">
        <f>IF(C449=$L449,1,IF(C449="","",0))</f>
        <v/>
      </c>
      <c r="C449" s="42"/>
      <c r="D449" s="4" t="str">
        <f>IF(E449=$L449,1,IF(E449="","",0))</f>
        <v/>
      </c>
      <c r="E449" s="18"/>
      <c r="F449" s="4" t="str">
        <f>IF(G449=$L449,1,IF(G449="","",0))</f>
        <v/>
      </c>
      <c r="G449" s="14"/>
      <c r="H449" s="6">
        <v>846</v>
      </c>
      <c r="I449" s="15" t="s">
        <v>3120</v>
      </c>
      <c r="J449" s="6" t="s">
        <v>3978</v>
      </c>
      <c r="K449" s="6"/>
      <c r="L449" s="6" t="s">
        <v>962</v>
      </c>
      <c r="M449" s="6" t="s">
        <v>6955</v>
      </c>
      <c r="N449" s="7">
        <f ca="1">RAND()</f>
        <v>8.7159065470142516E-2</v>
      </c>
      <c r="O449" s="8">
        <v>45204</v>
      </c>
      <c r="P449" s="8">
        <v>45205</v>
      </c>
      <c r="Q449" s="8">
        <v>45207</v>
      </c>
      <c r="R449" s="8">
        <v>45211</v>
      </c>
      <c r="S449" s="8">
        <v>45218</v>
      </c>
      <c r="T449" s="8">
        <v>45230</v>
      </c>
      <c r="U449" s="8">
        <v>45777</v>
      </c>
      <c r="V449" s="10">
        <f>COUNTA(O449:U449)</f>
        <v>7</v>
      </c>
      <c r="W449" s="11">
        <f>_xlfn.IFNA(INDEX(reading[[#This Row],[Memo 01]:[Memo 07]],MATCH(0,reading[[#This Row],[Memo 01]:[Memo 07]],-1)),"")</f>
        <v>45777</v>
      </c>
      <c r="X449" s="11">
        <f ca="1">IFERROR(reading[[#This Row],[Previous]]+OFFSET(reading[[#Headers],[Memo 01]],-1,MATCH(0,reading[[#This Row],[Memo 01]:[Memo 07]],-1)-1),"")</f>
        <v>55777</v>
      </c>
      <c r="Y449" s="10" t="str">
        <f ca="1">IF(reading[[#This Row],[Next]]&lt;&gt;"",IF(reading[[#This Row],[Next]]&gt;TODAY(),"OK",""),"")</f>
        <v>OK</v>
      </c>
      <c r="Z449" s="13">
        <v>3</v>
      </c>
      <c r="AA449" s="13">
        <v>2</v>
      </c>
      <c r="AB449" s="13">
        <v>3</v>
      </c>
      <c r="AC449" s="13">
        <v>3</v>
      </c>
      <c r="AD449" s="13">
        <v>3</v>
      </c>
      <c r="AE449" s="13">
        <v>2</v>
      </c>
      <c r="AF449" s="13">
        <v>3</v>
      </c>
      <c r="AG449" s="16">
        <f>IFERROR(SUMIF(reading[[#This Row],[1st]:[7th]],"&gt;0")/COUNTIF(reading[[#This Row],[1st]:[7th]],"&gt;0"),"")</f>
        <v>2.7142857142857144</v>
      </c>
    </row>
    <row r="450" spans="1:33" hidden="1" x14ac:dyDescent="0.2">
      <c r="A450" s="4">
        <f>IF(B450=1,3,IF(D450=1,2,IF(F450=1,1,0)))</f>
        <v>0</v>
      </c>
      <c r="B450" s="4" t="str">
        <f>IF(C450=$L450,1,IF(C450="","",0))</f>
        <v/>
      </c>
      <c r="C450" s="42"/>
      <c r="D450" s="4" t="str">
        <f>IF(E450=$L450,1,IF(E450="","",0))</f>
        <v/>
      </c>
      <c r="E450" s="18"/>
      <c r="F450" s="4" t="str">
        <f>IF(G450=$L450,1,IF(G450="","",0))</f>
        <v/>
      </c>
      <c r="G450" s="14"/>
      <c r="H450" s="6">
        <v>1309</v>
      </c>
      <c r="I450" s="15" t="s">
        <v>3120</v>
      </c>
      <c r="J450" s="6" t="s">
        <v>4426</v>
      </c>
      <c r="K450" s="6"/>
      <c r="L450" s="6" t="s">
        <v>1406</v>
      </c>
      <c r="M450" s="6" t="s">
        <v>7416</v>
      </c>
      <c r="N450" s="7">
        <f ca="1">RAND()</f>
        <v>0.33506066979128146</v>
      </c>
      <c r="O450" s="8">
        <v>45207</v>
      </c>
      <c r="P450" s="8">
        <v>45208</v>
      </c>
      <c r="Q450" s="8">
        <v>45210</v>
      </c>
      <c r="R450" s="8">
        <v>45214</v>
      </c>
      <c r="S450" s="8">
        <v>45221</v>
      </c>
      <c r="T450" s="8">
        <v>45233</v>
      </c>
      <c r="U450" s="8">
        <v>45777</v>
      </c>
      <c r="V450" s="10">
        <f>COUNTA(O450:U450)</f>
        <v>7</v>
      </c>
      <c r="W450" s="11">
        <f>_xlfn.IFNA(INDEX(reading[[#This Row],[Memo 01]:[Memo 07]],MATCH(0,reading[[#This Row],[Memo 01]:[Memo 07]],-1)),"")</f>
        <v>45777</v>
      </c>
      <c r="X450" s="11">
        <f ca="1">IFERROR(reading[[#This Row],[Previous]]+OFFSET(reading[[#Headers],[Memo 01]],-1,MATCH(0,reading[[#This Row],[Memo 01]:[Memo 07]],-1)-1),"")</f>
        <v>55777</v>
      </c>
      <c r="Y450" s="10" t="str">
        <f ca="1">IF(reading[[#This Row],[Next]]&lt;&gt;"",IF(reading[[#This Row],[Next]]&gt;TODAY(),"OK",""),"")</f>
        <v>OK</v>
      </c>
      <c r="Z450" s="13">
        <v>3</v>
      </c>
      <c r="AA450" s="13">
        <v>2</v>
      </c>
      <c r="AB450" s="13">
        <v>3</v>
      </c>
      <c r="AC450" s="13">
        <v>2</v>
      </c>
      <c r="AD450" s="13">
        <v>3</v>
      </c>
      <c r="AE450" s="13">
        <v>3</v>
      </c>
      <c r="AF450" s="13">
        <v>3</v>
      </c>
      <c r="AG450" s="16">
        <f>IFERROR(SUMIF(reading[[#This Row],[1st]:[7th]],"&gt;0")/COUNTIF(reading[[#This Row],[1st]:[7th]],"&gt;0"),"")</f>
        <v>2.7142857142857144</v>
      </c>
    </row>
    <row r="451" spans="1:33" hidden="1" x14ac:dyDescent="0.2">
      <c r="A451" s="4">
        <f>IF(B451=1,3,IF(D451=1,2,IF(F451=1,1,0)))</f>
        <v>0</v>
      </c>
      <c r="B451" s="4" t="str">
        <f>IF(C451=$L451,1,IF(C451="","",0))</f>
        <v/>
      </c>
      <c r="C451" s="42"/>
      <c r="D451" s="4" t="str">
        <f>IF(E451=$L451,1,IF(E451="","",0))</f>
        <v/>
      </c>
      <c r="E451" s="18"/>
      <c r="F451" s="4" t="str">
        <f>IF(G451=$L451,1,IF(G451="","",0))</f>
        <v/>
      </c>
      <c r="G451" s="14"/>
      <c r="H451" s="6">
        <v>898</v>
      </c>
      <c r="I451" s="15" t="s">
        <v>3120</v>
      </c>
      <c r="J451" s="6" t="s">
        <v>4030</v>
      </c>
      <c r="K451" s="6"/>
      <c r="L451" s="6" t="s">
        <v>1011</v>
      </c>
      <c r="M451" s="6" t="s">
        <v>7007</v>
      </c>
      <c r="N451" s="7">
        <f ca="1">RAND()</f>
        <v>0.70900947328463015</v>
      </c>
      <c r="O451" s="8">
        <v>45204</v>
      </c>
      <c r="P451" s="8">
        <v>45205</v>
      </c>
      <c r="Q451" s="8">
        <v>45207</v>
      </c>
      <c r="R451" s="8">
        <v>45211</v>
      </c>
      <c r="S451" s="8">
        <v>45218</v>
      </c>
      <c r="T451" s="8">
        <v>45230</v>
      </c>
      <c r="U451" s="8">
        <v>45777</v>
      </c>
      <c r="V451" s="10">
        <f>COUNTA(O451:U451)</f>
        <v>7</v>
      </c>
      <c r="W451" s="11">
        <f>_xlfn.IFNA(INDEX(reading[[#This Row],[Memo 01]:[Memo 07]],MATCH(0,reading[[#This Row],[Memo 01]:[Memo 07]],-1)),"")</f>
        <v>45777</v>
      </c>
      <c r="X451" s="11">
        <f ca="1">IFERROR(reading[[#This Row],[Previous]]+OFFSET(reading[[#Headers],[Memo 01]],-1,MATCH(0,reading[[#This Row],[Memo 01]:[Memo 07]],-1)-1),"")</f>
        <v>55777</v>
      </c>
      <c r="Y451" s="10" t="str">
        <f ca="1">IF(reading[[#This Row],[Next]]&lt;&gt;"",IF(reading[[#This Row],[Next]]&gt;TODAY(),"OK",""),"")</f>
        <v>OK</v>
      </c>
      <c r="Z451" s="13">
        <v>3</v>
      </c>
      <c r="AA451" s="13">
        <v>2</v>
      </c>
      <c r="AB451" s="13">
        <v>3</v>
      </c>
      <c r="AC451" s="13">
        <v>3</v>
      </c>
      <c r="AD451" s="13">
        <v>3</v>
      </c>
      <c r="AE451" s="13">
        <v>2</v>
      </c>
      <c r="AF451" s="13">
        <v>3</v>
      </c>
      <c r="AG451" s="16">
        <f>IFERROR(SUMIF(reading[[#This Row],[1st]:[7th]],"&gt;0")/COUNTIF(reading[[#This Row],[1st]:[7th]],"&gt;0"),"")</f>
        <v>2.7142857142857144</v>
      </c>
    </row>
    <row r="452" spans="1:33" hidden="1" x14ac:dyDescent="0.2">
      <c r="A452" s="4">
        <f>IF(B452=1,3,IF(D452=1,2,IF(F452=1,1,0)))</f>
        <v>0</v>
      </c>
      <c r="B452" s="4" t="str">
        <f>IF(C452=$L452,1,IF(C452="","",0))</f>
        <v/>
      </c>
      <c r="C452" s="42"/>
      <c r="D452" s="4" t="str">
        <f>IF(E452=$L452,1,IF(E452="","",0))</f>
        <v/>
      </c>
      <c r="E452" s="18"/>
      <c r="F452" s="4" t="str">
        <f>IF(G452=$L452,1,IF(G452="","",0))</f>
        <v/>
      </c>
      <c r="G452" s="14"/>
      <c r="H452" s="6">
        <v>1348</v>
      </c>
      <c r="I452" s="15" t="s">
        <v>3120</v>
      </c>
      <c r="J452" s="6" t="s">
        <v>4462</v>
      </c>
      <c r="K452" s="15" t="s">
        <v>3139</v>
      </c>
      <c r="L452" s="6" t="s">
        <v>1443</v>
      </c>
      <c r="M452" s="6" t="s">
        <v>7455</v>
      </c>
      <c r="N452" s="7">
        <f ca="1">RAND()</f>
        <v>0.73718277447268399</v>
      </c>
      <c r="O452" s="8">
        <v>45207</v>
      </c>
      <c r="P452" s="8">
        <v>45208</v>
      </c>
      <c r="Q452" s="8">
        <v>45210</v>
      </c>
      <c r="R452" s="8">
        <v>45214</v>
      </c>
      <c r="S452" s="8">
        <v>45221</v>
      </c>
      <c r="T452" s="8">
        <v>45233</v>
      </c>
      <c r="U452" s="8">
        <v>45777</v>
      </c>
      <c r="V452" s="10">
        <f>COUNTA(O452:U452)</f>
        <v>7</v>
      </c>
      <c r="W452" s="11">
        <f>_xlfn.IFNA(INDEX(reading[[#This Row],[Memo 01]:[Memo 07]],MATCH(0,reading[[#This Row],[Memo 01]:[Memo 07]],-1)),"")</f>
        <v>45777</v>
      </c>
      <c r="X452" s="11">
        <f ca="1">IFERROR(reading[[#This Row],[Previous]]+OFFSET(reading[[#Headers],[Memo 01]],-1,MATCH(0,reading[[#This Row],[Memo 01]:[Memo 07]],-1)-1),"")</f>
        <v>55777</v>
      </c>
      <c r="Y452" s="10" t="str">
        <f ca="1">IF(reading[[#This Row],[Next]]&lt;&gt;"",IF(reading[[#This Row],[Next]]&gt;TODAY(),"OK",""),"")</f>
        <v>OK</v>
      </c>
      <c r="Z452" s="13">
        <v>3</v>
      </c>
      <c r="AA452" s="13">
        <v>3</v>
      </c>
      <c r="AB452" s="13">
        <v>3</v>
      </c>
      <c r="AC452" s="13">
        <v>2</v>
      </c>
      <c r="AD452" s="13">
        <v>2</v>
      </c>
      <c r="AE452" s="13">
        <v>3</v>
      </c>
      <c r="AF452" s="13">
        <v>3</v>
      </c>
      <c r="AG452" s="16">
        <f>IFERROR(SUMIF(reading[[#This Row],[1st]:[7th]],"&gt;0")/COUNTIF(reading[[#This Row],[1st]:[7th]],"&gt;0"),"")</f>
        <v>2.7142857142857144</v>
      </c>
    </row>
    <row r="453" spans="1:33" hidden="1" x14ac:dyDescent="0.2">
      <c r="A453" s="4">
        <f>IF(B453=1,3,IF(D453=1,2,IF(F453=1,1,0)))</f>
        <v>0</v>
      </c>
      <c r="B453" s="4" t="str">
        <f>IF(C453=$L453,1,IF(C453="","",0))</f>
        <v/>
      </c>
      <c r="C453" s="42"/>
      <c r="D453" s="4" t="str">
        <f>IF(E453=$L453,1,IF(E453="","",0))</f>
        <v/>
      </c>
      <c r="E453" s="18"/>
      <c r="F453" s="4" t="str">
        <f>IF(G453=$L453,1,IF(G453="","",0))</f>
        <v/>
      </c>
      <c r="G453" s="14"/>
      <c r="H453" s="6">
        <v>354</v>
      </c>
      <c r="I453" s="15" t="s">
        <v>3120</v>
      </c>
      <c r="J453" s="6" t="s">
        <v>3501</v>
      </c>
      <c r="K453" s="6"/>
      <c r="L453" s="6" t="s">
        <v>488</v>
      </c>
      <c r="M453" s="6" t="s">
        <v>6463</v>
      </c>
      <c r="N453" s="7">
        <f ca="1">RAND()</f>
        <v>0.12805712831881666</v>
      </c>
      <c r="O453" s="8">
        <v>45200</v>
      </c>
      <c r="P453" s="8">
        <v>45201</v>
      </c>
      <c r="Q453" s="8">
        <v>45203</v>
      </c>
      <c r="R453" s="8">
        <v>45207</v>
      </c>
      <c r="S453" s="8">
        <v>45214</v>
      </c>
      <c r="T453" s="8">
        <v>45226</v>
      </c>
      <c r="U453" s="8">
        <v>45777</v>
      </c>
      <c r="V453" s="10">
        <f>COUNTA(O453:U453)</f>
        <v>7</v>
      </c>
      <c r="W453" s="11">
        <f>_xlfn.IFNA(INDEX(reading[[#This Row],[Memo 01]:[Memo 07]],MATCH(0,reading[[#This Row],[Memo 01]:[Memo 07]],-1)),"")</f>
        <v>45777</v>
      </c>
      <c r="X453" s="11">
        <f ca="1">IFERROR(reading[[#This Row],[Previous]]+OFFSET(reading[[#Headers],[Memo 01]],-1,MATCH(0,reading[[#This Row],[Memo 01]:[Memo 07]],-1)-1),"")</f>
        <v>55777</v>
      </c>
      <c r="Y453" s="10" t="str">
        <f ca="1">IF(reading[[#This Row],[Next]]&lt;&gt;"",IF(reading[[#This Row],[Next]]&gt;TODAY(),"OK",""),"")</f>
        <v>OK</v>
      </c>
      <c r="Z453" s="13">
        <v>2</v>
      </c>
      <c r="AA453" s="13">
        <v>3</v>
      </c>
      <c r="AB453" s="13">
        <v>2</v>
      </c>
      <c r="AC453" s="13">
        <v>3</v>
      </c>
      <c r="AD453" s="13">
        <v>3</v>
      </c>
      <c r="AE453" s="13">
        <v>3</v>
      </c>
      <c r="AF453" s="13">
        <v>3</v>
      </c>
      <c r="AG453" s="16">
        <f>IFERROR(SUMIF(reading[[#This Row],[1st]:[7th]],"&gt;0")/COUNTIF(reading[[#This Row],[1st]:[7th]],"&gt;0"),"")</f>
        <v>2.7142857142857144</v>
      </c>
    </row>
    <row r="454" spans="1:33" hidden="1" x14ac:dyDescent="0.2">
      <c r="A454" s="4">
        <f>IF(B454=1,3,IF(D454=1,2,IF(F454=1,1,0)))</f>
        <v>3</v>
      </c>
      <c r="B454" s="4">
        <f>IF(C454=$L454,1,IF(C454="","",0))</f>
        <v>1</v>
      </c>
      <c r="C454" s="21" t="s">
        <v>586</v>
      </c>
      <c r="D454" s="4" t="str">
        <f>IF(E454=$L454,1,IF(E454="","",0))</f>
        <v/>
      </c>
      <c r="E454" s="14"/>
      <c r="F454" s="4" t="str">
        <f>IF(G454=$L454,1,IF(G454="","",0))</f>
        <v/>
      </c>
      <c r="G454" s="14"/>
      <c r="H454" s="6">
        <v>457</v>
      </c>
      <c r="I454" s="15" t="s">
        <v>3120</v>
      </c>
      <c r="J454" s="6" t="s">
        <v>3603</v>
      </c>
      <c r="K454" s="6"/>
      <c r="L454" s="6" t="s">
        <v>586</v>
      </c>
      <c r="M454" s="6" t="s">
        <v>6566</v>
      </c>
      <c r="N454" s="7">
        <f ca="1">RAND()</f>
        <v>0.21974857270139725</v>
      </c>
      <c r="O454" s="8">
        <v>45202</v>
      </c>
      <c r="P454" s="8">
        <v>45202</v>
      </c>
      <c r="Q454" s="8">
        <v>45202</v>
      </c>
      <c r="R454" s="8">
        <v>45202</v>
      </c>
      <c r="S454" s="8">
        <v>45202</v>
      </c>
      <c r="T454" s="8">
        <v>45202</v>
      </c>
      <c r="U454" s="8">
        <v>45202</v>
      </c>
      <c r="V454" s="10">
        <f>COUNTA(O454:U454)</f>
        <v>7</v>
      </c>
      <c r="W454" s="11">
        <f>_xlfn.IFNA(INDEX(reading[[#This Row],[Memo 01]:[Memo 07]],MATCH(0,reading[[#This Row],[Memo 01]:[Memo 07]],-1)),"")</f>
        <v>45202</v>
      </c>
      <c r="X454" s="11">
        <f ca="1">IFERROR(reading[[#This Row],[Previous]]+OFFSET(reading[[#Headers],[Memo 01]],-1,MATCH(0,reading[[#This Row],[Memo 01]:[Memo 07]],-1)-1),"")</f>
        <v>55202</v>
      </c>
      <c r="Y454" s="10" t="str">
        <f ca="1">IF(reading[[#This Row],[Next]]&lt;&gt;"",IF(reading[[#This Row],[Next]]&gt;TODAY(),"OK",""),"")</f>
        <v>OK</v>
      </c>
      <c r="Z454" s="13">
        <v>3</v>
      </c>
      <c r="AA454" s="13"/>
      <c r="AB454" s="13"/>
      <c r="AC454" s="13"/>
      <c r="AD454" s="13"/>
      <c r="AE454" s="13"/>
      <c r="AF454" s="13"/>
      <c r="AG454" s="16">
        <f>IFERROR(SUMIF(reading[[#This Row],[1st]:[7th]],"&gt;0")/COUNTIF(reading[[#This Row],[1st]:[7th]],"&gt;0"),"")</f>
        <v>3</v>
      </c>
    </row>
    <row r="455" spans="1:33" hidden="1" x14ac:dyDescent="0.2">
      <c r="A455" s="4">
        <f>IF(B455=1,3,IF(D455=1,2,IF(F455=1,1,0)))</f>
        <v>0</v>
      </c>
      <c r="B455" s="4" t="str">
        <f>IF(C455=$L455,1,IF(C455="","",0))</f>
        <v/>
      </c>
      <c r="C455" s="42"/>
      <c r="D455" s="4" t="str">
        <f>IF(E455=$L455,1,IF(E455="","",0))</f>
        <v/>
      </c>
      <c r="E455" s="18"/>
      <c r="F455" s="4" t="str">
        <f>IF(G455=$L455,1,IF(G455="","",0))</f>
        <v/>
      </c>
      <c r="G455" s="14"/>
      <c r="H455" s="6">
        <v>451</v>
      </c>
      <c r="I455" s="15" t="s">
        <v>3120</v>
      </c>
      <c r="J455" s="6" t="s">
        <v>3597</v>
      </c>
      <c r="K455" s="15" t="s">
        <v>3138</v>
      </c>
      <c r="L455" s="6" t="s">
        <v>580</v>
      </c>
      <c r="M455" s="6" t="s">
        <v>6560</v>
      </c>
      <c r="N455" s="7">
        <f ca="1">RAND()</f>
        <v>0.90033717492696308</v>
      </c>
      <c r="O455" s="8">
        <v>45202</v>
      </c>
      <c r="P455" s="8">
        <v>45203</v>
      </c>
      <c r="Q455" s="8">
        <v>45205</v>
      </c>
      <c r="R455" s="8">
        <v>45209</v>
      </c>
      <c r="S455" s="8">
        <v>45216</v>
      </c>
      <c r="T455" s="8">
        <v>45228</v>
      </c>
      <c r="U455" s="8">
        <v>45777</v>
      </c>
      <c r="V455" s="10">
        <f>COUNTA(O455:U455)</f>
        <v>7</v>
      </c>
      <c r="W455" s="11">
        <f>_xlfn.IFNA(INDEX(reading[[#This Row],[Memo 01]:[Memo 07]],MATCH(0,reading[[#This Row],[Memo 01]:[Memo 07]],-1)),"")</f>
        <v>45777</v>
      </c>
      <c r="X455" s="11">
        <f ca="1">IFERROR(reading[[#This Row],[Previous]]+OFFSET(reading[[#Headers],[Memo 01]],-1,MATCH(0,reading[[#This Row],[Memo 01]:[Memo 07]],-1)-1),"")</f>
        <v>55777</v>
      </c>
      <c r="Y455" s="10" t="str">
        <f ca="1">IF(reading[[#This Row],[Next]]&lt;&gt;"",IF(reading[[#This Row],[Next]]&gt;TODAY(),"OK",""),"")</f>
        <v>OK</v>
      </c>
      <c r="Z455" s="13">
        <v>3</v>
      </c>
      <c r="AA455" s="13">
        <v>3</v>
      </c>
      <c r="AB455" s="13">
        <v>2</v>
      </c>
      <c r="AC455" s="13">
        <v>3</v>
      </c>
      <c r="AD455" s="13">
        <v>2</v>
      </c>
      <c r="AE455" s="13">
        <v>3</v>
      </c>
      <c r="AF455" s="13">
        <v>3</v>
      </c>
      <c r="AG455" s="16">
        <f>IFERROR(SUMIF(reading[[#This Row],[1st]:[7th]],"&gt;0")/COUNTIF(reading[[#This Row],[1st]:[7th]],"&gt;0"),"")</f>
        <v>2.7142857142857144</v>
      </c>
    </row>
    <row r="456" spans="1:33" hidden="1" x14ac:dyDescent="0.2">
      <c r="A456" s="4">
        <f>IF(B456=1,3,IF(D456=1,2,IF(F456=1,1,0)))</f>
        <v>0</v>
      </c>
      <c r="B456" s="4" t="str">
        <f>IF(C456=$L456,1,IF(C456="","",0))</f>
        <v/>
      </c>
      <c r="C456" s="42"/>
      <c r="D456" s="4" t="str">
        <f>IF(E456=$L456,1,IF(E456="","",0))</f>
        <v/>
      </c>
      <c r="E456" s="18"/>
      <c r="F456" s="4" t="str">
        <f>IF(G456=$L456,1,IF(G456="","",0))</f>
        <v/>
      </c>
      <c r="G456" s="14"/>
      <c r="H456" s="6">
        <v>1357</v>
      </c>
      <c r="I456" s="15" t="s">
        <v>3120</v>
      </c>
      <c r="J456" s="6" t="s">
        <v>4471</v>
      </c>
      <c r="K456" s="6"/>
      <c r="L456" s="6" t="s">
        <v>1451</v>
      </c>
      <c r="M456" s="6" t="s">
        <v>7464</v>
      </c>
      <c r="N456" s="7">
        <f ca="1">RAND()</f>
        <v>0.6238188550464473</v>
      </c>
      <c r="O456" s="8">
        <v>45207</v>
      </c>
      <c r="P456" s="8">
        <v>45208</v>
      </c>
      <c r="Q456" s="8">
        <v>45210</v>
      </c>
      <c r="R456" s="8">
        <v>45214</v>
      </c>
      <c r="S456" s="8">
        <v>45221</v>
      </c>
      <c r="T456" s="8">
        <v>45233</v>
      </c>
      <c r="U456" s="8">
        <v>45777</v>
      </c>
      <c r="V456" s="10">
        <f>COUNTA(O456:U456)</f>
        <v>7</v>
      </c>
      <c r="W456" s="11">
        <f>_xlfn.IFNA(INDEX(reading[[#This Row],[Memo 01]:[Memo 07]],MATCH(0,reading[[#This Row],[Memo 01]:[Memo 07]],-1)),"")</f>
        <v>45777</v>
      </c>
      <c r="X456" s="11">
        <f ca="1">IFERROR(reading[[#This Row],[Previous]]+OFFSET(reading[[#Headers],[Memo 01]],-1,MATCH(0,reading[[#This Row],[Memo 01]:[Memo 07]],-1)-1),"")</f>
        <v>55777</v>
      </c>
      <c r="Y456" s="10" t="str">
        <f ca="1">IF(reading[[#This Row],[Next]]&lt;&gt;"",IF(reading[[#This Row],[Next]]&gt;TODAY(),"OK",""),"")</f>
        <v>OK</v>
      </c>
      <c r="Z456" s="13">
        <v>3</v>
      </c>
      <c r="AA456" s="13">
        <v>3</v>
      </c>
      <c r="AB456" s="13">
        <v>2</v>
      </c>
      <c r="AC456" s="13">
        <v>2</v>
      </c>
      <c r="AD456" s="13">
        <v>3</v>
      </c>
      <c r="AE456" s="13">
        <v>3</v>
      </c>
      <c r="AF456" s="13">
        <v>3</v>
      </c>
      <c r="AG456" s="16">
        <f>IFERROR(SUMIF(reading[[#This Row],[1st]:[7th]],"&gt;0")/COUNTIF(reading[[#This Row],[1st]:[7th]],"&gt;0"),"")</f>
        <v>2.7142857142857144</v>
      </c>
    </row>
    <row r="457" spans="1:33" hidden="1" x14ac:dyDescent="0.2">
      <c r="A457" s="4">
        <f>IF(B457=1,3,IF(D457=1,2,IF(F457=1,1,0)))</f>
        <v>0</v>
      </c>
      <c r="B457" s="4" t="str">
        <f>IF(C457=$L457,1,IF(C457="","",0))</f>
        <v/>
      </c>
      <c r="C457" s="42"/>
      <c r="D457" s="4" t="str">
        <f>IF(E457=$L457,1,IF(E457="","",0))</f>
        <v/>
      </c>
      <c r="E457" s="14"/>
      <c r="F457" s="4" t="str">
        <f>IF(G457=$L457,1,IF(G457="","",0))</f>
        <v/>
      </c>
      <c r="G457" s="14"/>
      <c r="H457" s="6">
        <v>840</v>
      </c>
      <c r="I457" s="15" t="s">
        <v>3120</v>
      </c>
      <c r="J457" s="6" t="s">
        <v>3973</v>
      </c>
      <c r="K457" s="6"/>
      <c r="L457" s="6" t="s">
        <v>956</v>
      </c>
      <c r="M457" s="6" t="s">
        <v>6949</v>
      </c>
      <c r="N457" s="7">
        <f ca="1">RAND()</f>
        <v>0.74842822953287824</v>
      </c>
      <c r="O457" s="8">
        <v>45203</v>
      </c>
      <c r="P457" s="8">
        <v>45204</v>
      </c>
      <c r="Q457" s="8">
        <v>45206</v>
      </c>
      <c r="R457" s="8">
        <v>45210</v>
      </c>
      <c r="S457" s="8">
        <v>45217</v>
      </c>
      <c r="T457" s="8">
        <v>45229</v>
      </c>
      <c r="U457" s="8">
        <v>45792</v>
      </c>
      <c r="V457" s="10">
        <f>COUNTA(O457:U457)</f>
        <v>7</v>
      </c>
      <c r="W457" s="11">
        <f>_xlfn.IFNA(INDEX(reading[[#This Row],[Memo 01]:[Memo 07]],MATCH(0,reading[[#This Row],[Memo 01]:[Memo 07]],-1)),"")</f>
        <v>45792</v>
      </c>
      <c r="X457" s="11">
        <f ca="1">IFERROR(reading[[#This Row],[Previous]]+OFFSET(reading[[#Headers],[Memo 01]],-1,MATCH(0,reading[[#This Row],[Memo 01]:[Memo 07]],-1)-1),"")</f>
        <v>55792</v>
      </c>
      <c r="Y457" s="10" t="str">
        <f ca="1">IF(reading[[#This Row],[Next]]&lt;&gt;"",IF(reading[[#This Row],[Next]]&gt;TODAY(),"OK",""),"")</f>
        <v>OK</v>
      </c>
      <c r="Z457" s="13">
        <v>3</v>
      </c>
      <c r="AA457" s="13">
        <v>3</v>
      </c>
      <c r="AB457" s="13">
        <v>3</v>
      </c>
      <c r="AC457" s="13">
        <v>2</v>
      </c>
      <c r="AD457" s="13">
        <v>3</v>
      </c>
      <c r="AE457" s="13">
        <v>3</v>
      </c>
      <c r="AF457" s="13">
        <v>3</v>
      </c>
      <c r="AG457" s="16">
        <f>IFERROR(SUMIF(reading[[#This Row],[1st]:[7th]],"&gt;0")/COUNTIF(reading[[#This Row],[1st]:[7th]],"&gt;0"),"")</f>
        <v>2.8571428571428572</v>
      </c>
    </row>
    <row r="458" spans="1:33" hidden="1" x14ac:dyDescent="0.2">
      <c r="A458" s="4">
        <f>IF(B458=1,3,IF(D458=1,2,IF(F458=1,1,0)))</f>
        <v>0</v>
      </c>
      <c r="B458" s="4" t="str">
        <f>IF(C458=$L458,1,IF(C458="","",0))</f>
        <v/>
      </c>
      <c r="C458" s="42"/>
      <c r="D458" s="4" t="str">
        <f>IF(E458=$L458,1,IF(E458="","",0))</f>
        <v/>
      </c>
      <c r="E458" s="14"/>
      <c r="F458" s="4" t="str">
        <f>IF(G458=$L458,1,IF(G458="","",0))</f>
        <v/>
      </c>
      <c r="G458" s="14"/>
      <c r="H458" s="6">
        <v>143</v>
      </c>
      <c r="I458" s="15" t="s">
        <v>3120</v>
      </c>
      <c r="J458" s="6" t="s">
        <v>3292</v>
      </c>
      <c r="K458" s="6"/>
      <c r="L458" s="6" t="s">
        <v>280</v>
      </c>
      <c r="M458" s="6" t="s">
        <v>6252</v>
      </c>
      <c r="N458" s="7">
        <f ca="1">RAND()</f>
        <v>0.40080502977729193</v>
      </c>
      <c r="O458" s="8">
        <v>45199</v>
      </c>
      <c r="P458" s="8">
        <v>45200</v>
      </c>
      <c r="Q458" s="8">
        <v>45202</v>
      </c>
      <c r="R458" s="8">
        <v>45206</v>
      </c>
      <c r="S458" s="8">
        <v>45213</v>
      </c>
      <c r="T458" s="8">
        <v>45225</v>
      </c>
      <c r="U458" s="8">
        <v>45783</v>
      </c>
      <c r="V458" s="10">
        <f>COUNTA(O458:U458)</f>
        <v>7</v>
      </c>
      <c r="W458" s="11">
        <f>_xlfn.IFNA(INDEX(reading[[#This Row],[Memo 01]:[Memo 07]],MATCH(0,reading[[#This Row],[Memo 01]:[Memo 07]],-1)),"")</f>
        <v>45783</v>
      </c>
      <c r="X458" s="11">
        <f ca="1">IFERROR(reading[[#This Row],[Previous]]+OFFSET(reading[[#Headers],[Memo 01]],-1,MATCH(0,reading[[#This Row],[Memo 01]:[Memo 07]],-1)-1),"")</f>
        <v>55783</v>
      </c>
      <c r="Y458" s="10" t="str">
        <f ca="1">IF(reading[[#This Row],[Next]]&lt;&gt;"",IF(reading[[#This Row],[Next]]&gt;TODAY(),"OK",""),"")</f>
        <v>OK</v>
      </c>
      <c r="Z458" s="13">
        <v>3</v>
      </c>
      <c r="AA458" s="13">
        <v>3</v>
      </c>
      <c r="AB458" s="13">
        <v>3</v>
      </c>
      <c r="AC458" s="13">
        <v>3</v>
      </c>
      <c r="AD458" s="13">
        <v>3</v>
      </c>
      <c r="AE458" s="13">
        <v>3</v>
      </c>
      <c r="AF458" s="13">
        <v>3</v>
      </c>
      <c r="AG458" s="16">
        <f>IFERROR(SUMIF(reading[[#This Row],[1st]:[7th]],"&gt;0")/COUNTIF(reading[[#This Row],[1st]:[7th]],"&gt;0"),"")</f>
        <v>3</v>
      </c>
    </row>
    <row r="459" spans="1:33" hidden="1" x14ac:dyDescent="0.2">
      <c r="A459" s="4">
        <f>IF(B459=1,3,IF(D459=1,2,IF(F459=1,1,0)))</f>
        <v>0</v>
      </c>
      <c r="B459" s="4" t="str">
        <f>IF(C459=$L459,1,IF(C459="","",0))</f>
        <v/>
      </c>
      <c r="C459" s="42"/>
      <c r="D459" s="4" t="str">
        <f>IF(E459=$L459,1,IF(E459="","",0))</f>
        <v/>
      </c>
      <c r="E459" s="14"/>
      <c r="F459" s="4" t="str">
        <f>IF(G459=$L459,1,IF(G459="","",0))</f>
        <v/>
      </c>
      <c r="G459" s="14"/>
      <c r="H459" s="6">
        <v>2322</v>
      </c>
      <c r="I459" s="15" t="s">
        <v>3120</v>
      </c>
      <c r="J459" s="6" t="s">
        <v>5399</v>
      </c>
      <c r="K459" s="6"/>
      <c r="L459" s="6" t="s">
        <v>2377</v>
      </c>
      <c r="M459" s="6" t="s">
        <v>8427</v>
      </c>
      <c r="N459" s="7">
        <f ca="1">RAND()</f>
        <v>0.70106755325985093</v>
      </c>
      <c r="O459" s="8">
        <v>45216</v>
      </c>
      <c r="P459" s="8">
        <v>45217</v>
      </c>
      <c r="Q459" s="8">
        <v>45219</v>
      </c>
      <c r="R459" s="8">
        <v>45223</v>
      </c>
      <c r="S459" s="8">
        <v>45230</v>
      </c>
      <c r="T459" s="8">
        <v>45819</v>
      </c>
      <c r="U459" s="8"/>
      <c r="V459" s="10">
        <f>COUNTA(O459:U459)</f>
        <v>6</v>
      </c>
      <c r="W459" s="11">
        <f>_xlfn.IFNA(INDEX(reading[[#This Row],[Memo 01]:[Memo 07]],MATCH(0,reading[[#This Row],[Memo 01]:[Memo 07]],-1)),"")</f>
        <v>45819</v>
      </c>
      <c r="X459" s="11">
        <f ca="1">IFERROR(reading[[#This Row],[Previous]]+OFFSET(reading[[#Headers],[Memo 01]],-1,MATCH(0,reading[[#This Row],[Memo 01]:[Memo 07]],-1)-1),"")</f>
        <v>45839</v>
      </c>
      <c r="Y459" s="10" t="str">
        <f ca="1">IF(reading[[#This Row],[Next]]&lt;&gt;"",IF(reading[[#This Row],[Next]]&gt;TODAY(),"OK",""),"")</f>
        <v>OK</v>
      </c>
      <c r="Z459" s="13">
        <v>3</v>
      </c>
      <c r="AA459" s="13">
        <v>3</v>
      </c>
      <c r="AB459" s="13">
        <v>3</v>
      </c>
      <c r="AC459" s="13">
        <v>3</v>
      </c>
      <c r="AD459" s="13">
        <v>3</v>
      </c>
      <c r="AE459" s="13">
        <v>3</v>
      </c>
      <c r="AF459" s="13"/>
      <c r="AG459" s="16">
        <f>IFERROR(SUMIF(reading[[#This Row],[1st]:[7th]],"&gt;0")/COUNTIF(reading[[#This Row],[1st]:[7th]],"&gt;0"),"")</f>
        <v>3</v>
      </c>
    </row>
    <row r="460" spans="1:33" hidden="1" x14ac:dyDescent="0.2">
      <c r="A460" s="4">
        <f>IF(B460=1,3,IF(D460=1,2,IF(F460=1,1,0)))</f>
        <v>0</v>
      </c>
      <c r="B460" s="4" t="str">
        <f>IF(C460=$L460,1,IF(C460="","",0))</f>
        <v/>
      </c>
      <c r="C460" s="42"/>
      <c r="D460" s="4" t="str">
        <f>IF(E460=$L460,1,IF(E460="","",0))</f>
        <v/>
      </c>
      <c r="E460" s="14"/>
      <c r="F460" s="4" t="str">
        <f>IF(G460=$L460,1,IF(G460="","",0))</f>
        <v/>
      </c>
      <c r="G460" s="14"/>
      <c r="H460" s="6">
        <v>1108</v>
      </c>
      <c r="I460" s="15" t="s">
        <v>3120</v>
      </c>
      <c r="J460" s="6" t="s">
        <v>4231</v>
      </c>
      <c r="K460" s="6"/>
      <c r="L460" s="6" t="s">
        <v>1214</v>
      </c>
      <c r="M460" s="6" t="s">
        <v>7216</v>
      </c>
      <c r="N460" s="7">
        <f ca="1">RAND()</f>
        <v>0.71130280586479522</v>
      </c>
      <c r="O460" s="8">
        <v>45205</v>
      </c>
      <c r="P460" s="8">
        <v>45206</v>
      </c>
      <c r="Q460" s="8">
        <v>45208</v>
      </c>
      <c r="R460" s="8">
        <v>45212</v>
      </c>
      <c r="S460" s="8">
        <v>45219</v>
      </c>
      <c r="T460" s="8">
        <v>45231</v>
      </c>
      <c r="U460" s="8">
        <v>45783</v>
      </c>
      <c r="V460" s="10">
        <f>COUNTA(O460:U460)</f>
        <v>7</v>
      </c>
      <c r="W460" s="11">
        <f>_xlfn.IFNA(INDEX(reading[[#This Row],[Memo 01]:[Memo 07]],MATCH(0,reading[[#This Row],[Memo 01]:[Memo 07]],-1)),"")</f>
        <v>45783</v>
      </c>
      <c r="X460" s="11">
        <f ca="1">IFERROR(reading[[#This Row],[Previous]]+OFFSET(reading[[#Headers],[Memo 01]],-1,MATCH(0,reading[[#This Row],[Memo 01]:[Memo 07]],-1)-1),"")</f>
        <v>55783</v>
      </c>
      <c r="Y460" s="10" t="str">
        <f ca="1">IF(reading[[#This Row],[Next]]&lt;&gt;"",IF(reading[[#This Row],[Next]]&gt;TODAY(),"OK",""),"")</f>
        <v>OK</v>
      </c>
      <c r="Z460" s="13">
        <v>3</v>
      </c>
      <c r="AA460" s="13">
        <v>3</v>
      </c>
      <c r="AB460" s="13">
        <v>3</v>
      </c>
      <c r="AC460" s="13">
        <v>3</v>
      </c>
      <c r="AD460" s="13">
        <v>3</v>
      </c>
      <c r="AE460" s="13">
        <v>3</v>
      </c>
      <c r="AF460" s="13">
        <v>3</v>
      </c>
      <c r="AG460" s="16">
        <f>IFERROR(SUMIF(reading[[#This Row],[1st]:[7th]],"&gt;0")/COUNTIF(reading[[#This Row],[1st]:[7th]],"&gt;0"),"")</f>
        <v>3</v>
      </c>
    </row>
    <row r="461" spans="1:33" hidden="1" x14ac:dyDescent="0.2">
      <c r="A461" s="4">
        <f>IF(B461=1,3,IF(D461=1,2,IF(F461=1,1,0)))</f>
        <v>0</v>
      </c>
      <c r="B461" s="4" t="str">
        <f>IF(C461=$L461,1,IF(C461="","",0))</f>
        <v/>
      </c>
      <c r="C461" s="42"/>
      <c r="D461" s="4" t="str">
        <f>IF(E461=$L461,1,IF(E461="","",0))</f>
        <v/>
      </c>
      <c r="E461" s="18"/>
      <c r="F461" s="4" t="str">
        <f>IF(G461=$L461,1,IF(G461="","",0))</f>
        <v/>
      </c>
      <c r="G461" s="14"/>
      <c r="H461" s="6">
        <v>934</v>
      </c>
      <c r="I461" s="15" t="s">
        <v>3120</v>
      </c>
      <c r="J461" s="6" t="s">
        <v>4065</v>
      </c>
      <c r="K461" s="6"/>
      <c r="L461" s="6" t="s">
        <v>1045</v>
      </c>
      <c r="M461" s="6" t="s">
        <v>7042</v>
      </c>
      <c r="N461" s="7">
        <f ca="1">RAND()</f>
        <v>0.26229542773115022</v>
      </c>
      <c r="O461" s="8">
        <v>45204</v>
      </c>
      <c r="P461" s="8">
        <v>45205</v>
      </c>
      <c r="Q461" s="8">
        <v>45207</v>
      </c>
      <c r="R461" s="8">
        <v>45211</v>
      </c>
      <c r="S461" s="8">
        <v>45218</v>
      </c>
      <c r="T461" s="8">
        <v>45230</v>
      </c>
      <c r="U461" s="8">
        <v>45253</v>
      </c>
      <c r="V461" s="10">
        <f>COUNTA(O461:U461)</f>
        <v>7</v>
      </c>
      <c r="W461" s="11">
        <f>_xlfn.IFNA(INDEX(reading[[#This Row],[Memo 01]:[Memo 07]],MATCH(0,reading[[#This Row],[Memo 01]:[Memo 07]],-1)),"")</f>
        <v>45253</v>
      </c>
      <c r="X461" s="11">
        <f ca="1">IFERROR(reading[[#This Row],[Previous]]+OFFSET(reading[[#Headers],[Memo 01]],-1,MATCH(0,reading[[#This Row],[Memo 01]:[Memo 07]],-1)-1),"")</f>
        <v>55253</v>
      </c>
      <c r="Y461" s="10" t="str">
        <f ca="1">IF(reading[[#This Row],[Next]]&lt;&gt;"",IF(reading[[#This Row],[Next]]&gt;TODAY(),"OK",""),"")</f>
        <v>OK</v>
      </c>
      <c r="Z461" s="13">
        <v>3</v>
      </c>
      <c r="AA461" s="13">
        <v>3</v>
      </c>
      <c r="AB461" s="13">
        <v>3</v>
      </c>
      <c r="AC461" s="13">
        <v>3</v>
      </c>
      <c r="AD461" s="13">
        <v>2</v>
      </c>
      <c r="AE461" s="13">
        <v>2</v>
      </c>
      <c r="AF461" s="13">
        <v>2</v>
      </c>
      <c r="AG461" s="16">
        <f>IFERROR(SUMIF(reading[[#This Row],[1st]:[7th]],"&gt;0")/COUNTIF(reading[[#This Row],[1st]:[7th]],"&gt;0"),"")</f>
        <v>2.5714285714285716</v>
      </c>
    </row>
    <row r="462" spans="1:33" hidden="1" x14ac:dyDescent="0.2">
      <c r="A462" s="4">
        <f>IF(B462=1,3,IF(D462=1,2,IF(F462=1,1,0)))</f>
        <v>0</v>
      </c>
      <c r="B462" s="4" t="str">
        <f>IF(C462=$L462,1,IF(C462="","",0))</f>
        <v/>
      </c>
      <c r="C462" s="42"/>
      <c r="D462" s="4" t="str">
        <f>IF(E462=$L462,1,IF(E462="","",0))</f>
        <v/>
      </c>
      <c r="E462" s="23"/>
      <c r="F462" s="4" t="str">
        <f>IF(G462=$L462,1,IF(G462="","",0))</f>
        <v/>
      </c>
      <c r="G462" s="14"/>
      <c r="H462" s="6">
        <v>833</v>
      </c>
      <c r="I462" s="15" t="s">
        <v>3120</v>
      </c>
      <c r="J462" s="6" t="s">
        <v>3966</v>
      </c>
      <c r="K462" s="6"/>
      <c r="L462" s="6" t="s">
        <v>949</v>
      </c>
      <c r="M462" s="6" t="s">
        <v>6942</v>
      </c>
      <c r="N462" s="7">
        <f ca="1">RAND()</f>
        <v>0.27772454638913935</v>
      </c>
      <c r="O462" s="8">
        <v>45203</v>
      </c>
      <c r="P462" s="8">
        <v>45204</v>
      </c>
      <c r="Q462" s="8">
        <v>45206</v>
      </c>
      <c r="R462" s="8">
        <v>45210</v>
      </c>
      <c r="S462" s="8">
        <v>45217</v>
      </c>
      <c r="T462" s="8">
        <v>45229</v>
      </c>
      <c r="U462" s="8">
        <v>45777</v>
      </c>
      <c r="V462" s="10">
        <f>COUNTA(O462:U462)</f>
        <v>7</v>
      </c>
      <c r="W462" s="11">
        <f>_xlfn.IFNA(INDEX(reading[[#This Row],[Memo 01]:[Memo 07]],MATCH(0,reading[[#This Row],[Memo 01]:[Memo 07]],-1)),"")</f>
        <v>45777</v>
      </c>
      <c r="X462" s="11">
        <f ca="1">IFERROR(reading[[#This Row],[Previous]]+OFFSET(reading[[#Headers],[Memo 01]],-1,MATCH(0,reading[[#This Row],[Memo 01]:[Memo 07]],-1)-1),"")</f>
        <v>55777</v>
      </c>
      <c r="Y462" s="10" t="str">
        <f ca="1">IF(reading[[#This Row],[Next]]&lt;&gt;"",IF(reading[[#This Row],[Next]]&gt;TODAY(),"OK",""),"")</f>
        <v>OK</v>
      </c>
      <c r="Z462" s="13">
        <v>3</v>
      </c>
      <c r="AA462" s="13">
        <v>3</v>
      </c>
      <c r="AB462" s="13">
        <v>2</v>
      </c>
      <c r="AC462" s="13">
        <v>3</v>
      </c>
      <c r="AD462" s="13">
        <v>2</v>
      </c>
      <c r="AE462" s="13">
        <v>3</v>
      </c>
      <c r="AF462" s="13">
        <v>3</v>
      </c>
      <c r="AG462" s="16">
        <f>IFERROR(SUMIF(reading[[#This Row],[1st]:[7th]],"&gt;0")/COUNTIF(reading[[#This Row],[1st]:[7th]],"&gt;0"),"")</f>
        <v>2.7142857142857144</v>
      </c>
    </row>
    <row r="463" spans="1:33" hidden="1" x14ac:dyDescent="0.2">
      <c r="A463" s="4">
        <f>IF(B463=1,3,IF(D463=1,2,IF(F463=1,1,0)))</f>
        <v>0</v>
      </c>
      <c r="B463" s="4" t="str">
        <f>IF(C463=$L463,1,IF(C463="","",0))</f>
        <v/>
      </c>
      <c r="C463" s="42"/>
      <c r="D463" s="4" t="str">
        <f>IF(E463=$L463,1,IF(E463="","",0))</f>
        <v/>
      </c>
      <c r="E463" s="14"/>
      <c r="F463" s="4" t="str">
        <f>IF(G463=$L463,1,IF(G463="","",0))</f>
        <v/>
      </c>
      <c r="G463" s="14"/>
      <c r="H463" s="6">
        <v>1581</v>
      </c>
      <c r="I463" s="15" t="s">
        <v>3120</v>
      </c>
      <c r="J463" s="6" t="s">
        <v>4693</v>
      </c>
      <c r="K463" s="6"/>
      <c r="L463" s="6" t="s">
        <v>1664</v>
      </c>
      <c r="M463" s="6" t="s">
        <v>7687</v>
      </c>
      <c r="N463" s="7">
        <f ca="1">RAND()</f>
        <v>0.44477263652203114</v>
      </c>
      <c r="O463" s="8">
        <v>45209</v>
      </c>
      <c r="P463" s="8">
        <v>45210</v>
      </c>
      <c r="Q463" s="8">
        <v>45212</v>
      </c>
      <c r="R463" s="8">
        <v>45216</v>
      </c>
      <c r="S463" s="8">
        <v>45223</v>
      </c>
      <c r="T463" s="8">
        <v>45235</v>
      </c>
      <c r="U463" s="8">
        <v>45818</v>
      </c>
      <c r="V463" s="10">
        <f>COUNTA(O463:U463)</f>
        <v>7</v>
      </c>
      <c r="W463" s="11">
        <f>_xlfn.IFNA(INDEX(reading[[#This Row],[Memo 01]:[Memo 07]],MATCH(0,reading[[#This Row],[Memo 01]:[Memo 07]],-1)),"")</f>
        <v>45818</v>
      </c>
      <c r="X463" s="11">
        <f ca="1">IFERROR(reading[[#This Row],[Previous]]+OFFSET(reading[[#Headers],[Memo 01]],-1,MATCH(0,reading[[#This Row],[Memo 01]:[Memo 07]],-1)-1),"")</f>
        <v>55818</v>
      </c>
      <c r="Y463" s="10" t="str">
        <f ca="1">IF(reading[[#This Row],[Next]]&lt;&gt;"",IF(reading[[#This Row],[Next]]&gt;TODAY(),"OK",""),"")</f>
        <v>OK</v>
      </c>
      <c r="Z463" s="13">
        <v>3</v>
      </c>
      <c r="AA463" s="13">
        <v>3</v>
      </c>
      <c r="AB463" s="13">
        <v>3</v>
      </c>
      <c r="AC463" s="13">
        <v>3</v>
      </c>
      <c r="AD463" s="13">
        <v>3</v>
      </c>
      <c r="AE463" s="13">
        <v>3</v>
      </c>
      <c r="AF463" s="13">
        <v>3</v>
      </c>
      <c r="AG463" s="16">
        <f>IFERROR(SUMIF(reading[[#This Row],[1st]:[7th]],"&gt;0")/COUNTIF(reading[[#This Row],[1st]:[7th]],"&gt;0"),"")</f>
        <v>3</v>
      </c>
    </row>
    <row r="464" spans="1:33" hidden="1" x14ac:dyDescent="0.2">
      <c r="A464" s="4">
        <f>IF(B464=1,3,IF(D464=1,2,IF(F464=1,1,0)))</f>
        <v>0</v>
      </c>
      <c r="B464" s="4" t="str">
        <f>IF(C464=$L464,1,IF(C464="","",0))</f>
        <v/>
      </c>
      <c r="C464" s="42"/>
      <c r="D464" s="4" t="str">
        <f>IF(E464=$L464,1,IF(E464="","",0))</f>
        <v/>
      </c>
      <c r="E464" s="14"/>
      <c r="F464" s="4" t="str">
        <f>IF(G464=$L464,1,IF(G464="","",0))</f>
        <v/>
      </c>
      <c r="G464" s="14"/>
      <c r="H464" s="6">
        <v>188</v>
      </c>
      <c r="I464" s="15" t="s">
        <v>3120</v>
      </c>
      <c r="J464" s="6" t="s">
        <v>3337</v>
      </c>
      <c r="K464" s="6"/>
      <c r="L464" s="6" t="s">
        <v>324</v>
      </c>
      <c r="M464" s="6" t="s">
        <v>6297</v>
      </c>
      <c r="N464" s="7">
        <f ca="1">RAND()</f>
        <v>0.58687893077620334</v>
      </c>
      <c r="O464" s="8">
        <v>45199</v>
      </c>
      <c r="P464" s="8">
        <v>45200</v>
      </c>
      <c r="Q464" s="8">
        <v>45202</v>
      </c>
      <c r="R464" s="8">
        <v>45206</v>
      </c>
      <c r="S464" s="8">
        <v>45213</v>
      </c>
      <c r="T464" s="8">
        <v>45225</v>
      </c>
      <c r="U464" s="8">
        <v>45783</v>
      </c>
      <c r="V464" s="10">
        <f>COUNTA(O464:U464)</f>
        <v>7</v>
      </c>
      <c r="W464" s="11">
        <f>_xlfn.IFNA(INDEX(reading[[#This Row],[Memo 01]:[Memo 07]],MATCH(0,reading[[#This Row],[Memo 01]:[Memo 07]],-1)),"")</f>
        <v>45783</v>
      </c>
      <c r="X464" s="11">
        <f ca="1">IFERROR(reading[[#This Row],[Previous]]+OFFSET(reading[[#Headers],[Memo 01]],-1,MATCH(0,reading[[#This Row],[Memo 01]:[Memo 07]],-1)-1),"")</f>
        <v>55783</v>
      </c>
      <c r="Y464" s="10" t="str">
        <f ca="1">IF(reading[[#This Row],[Next]]&lt;&gt;"",IF(reading[[#This Row],[Next]]&gt;TODAY(),"OK",""),"")</f>
        <v>OK</v>
      </c>
      <c r="Z464" s="13">
        <v>3</v>
      </c>
      <c r="AA464" s="13">
        <v>3</v>
      </c>
      <c r="AB464" s="13">
        <v>3</v>
      </c>
      <c r="AC464" s="13">
        <v>3</v>
      </c>
      <c r="AD464" s="13">
        <v>3</v>
      </c>
      <c r="AE464" s="13">
        <v>3</v>
      </c>
      <c r="AF464" s="13">
        <v>3</v>
      </c>
      <c r="AG464" s="16">
        <f>IFERROR(SUMIF(reading[[#This Row],[1st]:[7th]],"&gt;0")/COUNTIF(reading[[#This Row],[1st]:[7th]],"&gt;0"),"")</f>
        <v>3</v>
      </c>
    </row>
    <row r="465" spans="1:33" hidden="1" x14ac:dyDescent="0.2">
      <c r="A465" s="4">
        <f>IF(B465=1,3,IF(D465=1,2,IF(F465=1,1,0)))</f>
        <v>0</v>
      </c>
      <c r="B465" s="4" t="str">
        <f>IF(C465=$L465,1,IF(C465="","",0))</f>
        <v/>
      </c>
      <c r="C465" s="42"/>
      <c r="D465" s="4" t="str">
        <f>IF(E465=$L465,1,IF(E465="","",0))</f>
        <v/>
      </c>
      <c r="E465" s="14"/>
      <c r="F465" s="4" t="str">
        <f>IF(G465=$L465,1,IF(G465="","",0))</f>
        <v/>
      </c>
      <c r="G465" s="14"/>
      <c r="H465" s="6">
        <v>2343</v>
      </c>
      <c r="I465" s="15" t="s">
        <v>3120</v>
      </c>
      <c r="J465" s="6" t="s">
        <v>5420</v>
      </c>
      <c r="K465" s="6"/>
      <c r="L465" s="6" t="s">
        <v>2396</v>
      </c>
      <c r="M465" s="6" t="s">
        <v>8448</v>
      </c>
      <c r="N465" s="7">
        <f ca="1">RAND()</f>
        <v>0.98731568986137597</v>
      </c>
      <c r="O465" s="8">
        <v>45216</v>
      </c>
      <c r="P465" s="8">
        <v>45217</v>
      </c>
      <c r="Q465" s="8">
        <v>45219</v>
      </c>
      <c r="R465" s="8">
        <v>45223</v>
      </c>
      <c r="S465" s="8">
        <v>45230</v>
      </c>
      <c r="T465" s="8">
        <v>45818</v>
      </c>
      <c r="U465" s="8"/>
      <c r="V465" s="10">
        <f>COUNTA(O465:U465)</f>
        <v>6</v>
      </c>
      <c r="W465" s="11">
        <f>_xlfn.IFNA(INDEX(reading[[#This Row],[Memo 01]:[Memo 07]],MATCH(0,reading[[#This Row],[Memo 01]:[Memo 07]],-1)),"")</f>
        <v>45818</v>
      </c>
      <c r="X465" s="11">
        <f ca="1">IFERROR(reading[[#This Row],[Previous]]+OFFSET(reading[[#Headers],[Memo 01]],-1,MATCH(0,reading[[#This Row],[Memo 01]:[Memo 07]],-1)-1),"")</f>
        <v>45838</v>
      </c>
      <c r="Y465" s="10" t="str">
        <f ca="1">IF(reading[[#This Row],[Next]]&lt;&gt;"",IF(reading[[#This Row],[Next]]&gt;TODAY(),"OK",""),"")</f>
        <v>OK</v>
      </c>
      <c r="Z465" s="13">
        <v>3</v>
      </c>
      <c r="AA465" s="13">
        <v>3</v>
      </c>
      <c r="AB465" s="13">
        <v>3</v>
      </c>
      <c r="AC465" s="13">
        <v>3</v>
      </c>
      <c r="AD465" s="13">
        <v>3</v>
      </c>
      <c r="AE465" s="13">
        <v>3</v>
      </c>
      <c r="AF465" s="13"/>
      <c r="AG465" s="16">
        <f>IFERROR(SUMIF(reading[[#This Row],[1st]:[7th]],"&gt;0")/COUNTIF(reading[[#This Row],[1st]:[7th]],"&gt;0"),"")</f>
        <v>3</v>
      </c>
    </row>
    <row r="466" spans="1:33" hidden="1" x14ac:dyDescent="0.2">
      <c r="A466" s="4">
        <f>IF(B466=1,3,IF(D466=1,2,IF(F466=1,1,0)))</f>
        <v>0</v>
      </c>
      <c r="B466" s="4" t="str">
        <f>IF(C466=$L466,1,IF(C466="","",0))</f>
        <v/>
      </c>
      <c r="C466" s="42"/>
      <c r="D466" s="4" t="str">
        <f>IF(E466=$L466,1,IF(E466="","",0))</f>
        <v/>
      </c>
      <c r="E466" s="23"/>
      <c r="F466" s="4" t="str">
        <f>IF(G466=$L466,1,IF(G466="","",0))</f>
        <v/>
      </c>
      <c r="G466" s="14"/>
      <c r="H466" s="6">
        <v>596</v>
      </c>
      <c r="I466" s="15" t="s">
        <v>3120</v>
      </c>
      <c r="J466" s="6" t="s">
        <v>3739</v>
      </c>
      <c r="K466" s="6"/>
      <c r="L466" s="6" t="s">
        <v>722</v>
      </c>
      <c r="M466" s="6" t="s">
        <v>6705</v>
      </c>
      <c r="N466" s="7">
        <f ca="1">RAND()</f>
        <v>0.86769206409834676</v>
      </c>
      <c r="O466" s="8">
        <v>45203</v>
      </c>
      <c r="P466" s="8">
        <v>45204</v>
      </c>
      <c r="Q466" s="8">
        <v>45206</v>
      </c>
      <c r="R466" s="8">
        <v>45210</v>
      </c>
      <c r="S466" s="8">
        <v>45217</v>
      </c>
      <c r="T466" s="8">
        <v>45229</v>
      </c>
      <c r="U466" s="8">
        <v>45777</v>
      </c>
      <c r="V466" s="10">
        <f>COUNTA(O466:U466)</f>
        <v>7</v>
      </c>
      <c r="W466" s="11">
        <f>_xlfn.IFNA(INDEX(reading[[#This Row],[Memo 01]:[Memo 07]],MATCH(0,reading[[#This Row],[Memo 01]:[Memo 07]],-1)),"")</f>
        <v>45777</v>
      </c>
      <c r="X466" s="11">
        <f ca="1">IFERROR(reading[[#This Row],[Previous]]+OFFSET(reading[[#Headers],[Memo 01]],-1,MATCH(0,reading[[#This Row],[Memo 01]:[Memo 07]],-1)-1),"")</f>
        <v>55777</v>
      </c>
      <c r="Y466" s="10" t="str">
        <f ca="1">IF(reading[[#This Row],[Next]]&lt;&gt;"",IF(reading[[#This Row],[Next]]&gt;TODAY(),"OK",""),"")</f>
        <v>OK</v>
      </c>
      <c r="Z466" s="13">
        <v>3</v>
      </c>
      <c r="AA466" s="13">
        <v>3</v>
      </c>
      <c r="AB466" s="13">
        <v>2</v>
      </c>
      <c r="AC466" s="13">
        <v>2</v>
      </c>
      <c r="AD466" s="13">
        <v>3</v>
      </c>
      <c r="AE466" s="13">
        <v>3</v>
      </c>
      <c r="AF466" s="13">
        <v>3</v>
      </c>
      <c r="AG466" s="16">
        <f>IFERROR(SUMIF(reading[[#This Row],[1st]:[7th]],"&gt;0")/COUNTIF(reading[[#This Row],[1st]:[7th]],"&gt;0"),"")</f>
        <v>2.7142857142857144</v>
      </c>
    </row>
    <row r="467" spans="1:33" hidden="1" x14ac:dyDescent="0.2">
      <c r="A467" s="4">
        <f>IF(B467=1,3,IF(D467=1,2,IF(F467=1,1,0)))</f>
        <v>0</v>
      </c>
      <c r="B467" s="4" t="str">
        <f>IF(C467=$L467,1,IF(C467="","",0))</f>
        <v/>
      </c>
      <c r="C467" s="42"/>
      <c r="D467" s="4" t="str">
        <f>IF(E467=$L467,1,IF(E467="","",0))</f>
        <v/>
      </c>
      <c r="E467" s="14"/>
      <c r="F467" s="4" t="str">
        <f>IF(G467=$L467,1,IF(G467="","",0))</f>
        <v/>
      </c>
      <c r="G467" s="14"/>
      <c r="H467" s="6">
        <v>340</v>
      </c>
      <c r="I467" s="15" t="s">
        <v>3120</v>
      </c>
      <c r="J467" s="6" t="s">
        <v>3487</v>
      </c>
      <c r="K467" s="6"/>
      <c r="L467" s="6" t="s">
        <v>475</v>
      </c>
      <c r="M467" s="6" t="s">
        <v>6449</v>
      </c>
      <c r="N467" s="7">
        <f ca="1">RAND()</f>
        <v>0.22474154606358965</v>
      </c>
      <c r="O467" s="8">
        <v>45200</v>
      </c>
      <c r="P467" s="8">
        <v>45201</v>
      </c>
      <c r="Q467" s="8">
        <v>45203</v>
      </c>
      <c r="R467" s="8">
        <v>45207</v>
      </c>
      <c r="S467" s="8">
        <v>45214</v>
      </c>
      <c r="T467" s="8">
        <v>45226</v>
      </c>
      <c r="U467" s="8">
        <v>45792</v>
      </c>
      <c r="V467" s="10">
        <f>COUNTA(O467:U467)</f>
        <v>7</v>
      </c>
      <c r="W467" s="11">
        <f>_xlfn.IFNA(INDEX(reading[[#This Row],[Memo 01]:[Memo 07]],MATCH(0,reading[[#This Row],[Memo 01]:[Memo 07]],-1)),"")</f>
        <v>45792</v>
      </c>
      <c r="X467" s="11">
        <f ca="1">IFERROR(reading[[#This Row],[Previous]]+OFFSET(reading[[#Headers],[Memo 01]],-1,MATCH(0,reading[[#This Row],[Memo 01]:[Memo 07]],-1)-1),"")</f>
        <v>55792</v>
      </c>
      <c r="Y467" s="10" t="str">
        <f ca="1">IF(reading[[#This Row],[Next]]&lt;&gt;"",IF(reading[[#This Row],[Next]]&gt;TODAY(),"OK",""),"")</f>
        <v>OK</v>
      </c>
      <c r="Z467" s="13">
        <v>3</v>
      </c>
      <c r="AA467" s="13">
        <v>3</v>
      </c>
      <c r="AB467" s="13">
        <v>3</v>
      </c>
      <c r="AC467" s="13">
        <v>3</v>
      </c>
      <c r="AD467" s="13">
        <v>3</v>
      </c>
      <c r="AE467" s="13">
        <v>3</v>
      </c>
      <c r="AF467" s="13">
        <v>3</v>
      </c>
      <c r="AG467" s="16">
        <f>IFERROR(SUMIF(reading[[#This Row],[1st]:[7th]],"&gt;0")/COUNTIF(reading[[#This Row],[1st]:[7th]],"&gt;0"),"")</f>
        <v>3</v>
      </c>
    </row>
    <row r="468" spans="1:33" hidden="1" x14ac:dyDescent="0.2">
      <c r="A468" s="4">
        <f>IF(B468=1,3,IF(D468=1,2,IF(F468=1,1,0)))</f>
        <v>0</v>
      </c>
      <c r="B468" s="4" t="str">
        <f>IF(C468=$L468,1,IF(C468="","",0))</f>
        <v/>
      </c>
      <c r="C468" s="42"/>
      <c r="D468" s="4" t="str">
        <f>IF(E468=$L468,1,IF(E468="","",0))</f>
        <v/>
      </c>
      <c r="E468" s="14"/>
      <c r="F468" s="4" t="str">
        <f>IF(G468=$L468,1,IF(G468="","",0))</f>
        <v/>
      </c>
      <c r="G468" s="14"/>
      <c r="H468" s="6">
        <v>632</v>
      </c>
      <c r="I468" s="15" t="s">
        <v>3120</v>
      </c>
      <c r="J468" s="6" t="s">
        <v>3773</v>
      </c>
      <c r="K468" s="6"/>
      <c r="L468" s="6" t="s">
        <v>755</v>
      </c>
      <c r="M468" s="6" t="s">
        <v>6741</v>
      </c>
      <c r="N468" s="7">
        <f ca="1">RAND()</f>
        <v>0.23765843051695135</v>
      </c>
      <c r="O468" s="8">
        <v>45202</v>
      </c>
      <c r="P468" s="8">
        <v>45203</v>
      </c>
      <c r="Q468" s="8">
        <v>45205</v>
      </c>
      <c r="R468" s="8">
        <v>45209</v>
      </c>
      <c r="S468" s="8">
        <v>45216</v>
      </c>
      <c r="T468" s="8">
        <v>45228</v>
      </c>
      <c r="U468" s="8">
        <v>45818</v>
      </c>
      <c r="V468" s="10">
        <f>COUNTA(O468:U468)</f>
        <v>7</v>
      </c>
      <c r="W468" s="11">
        <f>_xlfn.IFNA(INDEX(reading[[#This Row],[Memo 01]:[Memo 07]],MATCH(0,reading[[#This Row],[Memo 01]:[Memo 07]],-1)),"")</f>
        <v>45818</v>
      </c>
      <c r="X468" s="11">
        <f ca="1">IFERROR(reading[[#This Row],[Previous]]+OFFSET(reading[[#Headers],[Memo 01]],-1,MATCH(0,reading[[#This Row],[Memo 01]:[Memo 07]],-1)-1),"")</f>
        <v>55818</v>
      </c>
      <c r="Y468" s="10" t="str">
        <f ca="1">IF(reading[[#This Row],[Next]]&lt;&gt;"",IF(reading[[#This Row],[Next]]&gt;TODAY(),"OK",""),"")</f>
        <v>OK</v>
      </c>
      <c r="Z468" s="13">
        <v>3</v>
      </c>
      <c r="AA468" s="13">
        <v>3</v>
      </c>
      <c r="AB468" s="13">
        <v>3</v>
      </c>
      <c r="AC468" s="13">
        <v>3</v>
      </c>
      <c r="AD468" s="13">
        <v>3</v>
      </c>
      <c r="AE468" s="13">
        <v>3</v>
      </c>
      <c r="AF468" s="13">
        <v>3</v>
      </c>
      <c r="AG468" s="16">
        <f>IFERROR(SUMIF(reading[[#This Row],[1st]:[7th]],"&gt;0")/COUNTIF(reading[[#This Row],[1st]:[7th]],"&gt;0"),"")</f>
        <v>3</v>
      </c>
    </row>
    <row r="469" spans="1:33" hidden="1" x14ac:dyDescent="0.2">
      <c r="A469" s="4">
        <f>IF(B469=1,3,IF(D469=1,2,IF(F469=1,1,0)))</f>
        <v>0</v>
      </c>
      <c r="B469" s="4" t="str">
        <f>IF(C469=$L469,1,IF(C469="","",0))</f>
        <v/>
      </c>
      <c r="C469" s="42"/>
      <c r="D469" s="4" t="str">
        <f>IF(E469=$L469,1,IF(E469="","",0))</f>
        <v/>
      </c>
      <c r="E469" s="14"/>
      <c r="F469" s="4" t="str">
        <f>IF(G469=$L469,1,IF(G469="","",0))</f>
        <v/>
      </c>
      <c r="G469" s="14"/>
      <c r="H469" s="6">
        <v>948</v>
      </c>
      <c r="I469" s="15" t="s">
        <v>3120</v>
      </c>
      <c r="J469" s="6" t="s">
        <v>4077</v>
      </c>
      <c r="K469" s="6"/>
      <c r="L469" s="6" t="s">
        <v>1058</v>
      </c>
      <c r="M469" s="6" t="s">
        <v>7056</v>
      </c>
      <c r="N469" s="7">
        <f ca="1">RAND()</f>
        <v>0.26556901831700086</v>
      </c>
      <c r="O469" s="8">
        <v>45204</v>
      </c>
      <c r="P469" s="8">
        <v>45205</v>
      </c>
      <c r="Q469" s="8">
        <v>45207</v>
      </c>
      <c r="R469" s="8">
        <v>45212</v>
      </c>
      <c r="S469" s="8">
        <v>45219</v>
      </c>
      <c r="T469" s="8">
        <v>45231</v>
      </c>
      <c r="U469" s="8">
        <v>45777</v>
      </c>
      <c r="V469" s="10">
        <f>COUNTA(O469:U469)</f>
        <v>7</v>
      </c>
      <c r="W469" s="11">
        <f>_xlfn.IFNA(INDEX(reading[[#This Row],[Memo 01]:[Memo 07]],MATCH(0,reading[[#This Row],[Memo 01]:[Memo 07]],-1)),"")</f>
        <v>45777</v>
      </c>
      <c r="X469" s="11">
        <f ca="1">IFERROR(reading[[#This Row],[Previous]]+OFFSET(reading[[#Headers],[Memo 01]],-1,MATCH(0,reading[[#This Row],[Memo 01]:[Memo 07]],-1)-1),"")</f>
        <v>55777</v>
      </c>
      <c r="Y469" s="10" t="str">
        <f ca="1">IF(reading[[#This Row],[Next]]&lt;&gt;"",IF(reading[[#This Row],[Next]]&gt;TODAY(),"OK",""),"")</f>
        <v>OK</v>
      </c>
      <c r="Z469" s="13">
        <v>3</v>
      </c>
      <c r="AA469" s="13">
        <v>2</v>
      </c>
      <c r="AB469" s="13">
        <v>3</v>
      </c>
      <c r="AC469" s="13">
        <v>2</v>
      </c>
      <c r="AD469" s="13">
        <v>3</v>
      </c>
      <c r="AE469" s="13">
        <v>3</v>
      </c>
      <c r="AF469" s="13">
        <v>3</v>
      </c>
      <c r="AG469" s="16">
        <f>IFERROR(SUMIF(reading[[#This Row],[1st]:[7th]],"&gt;0")/COUNTIF(reading[[#This Row],[1st]:[7th]],"&gt;0"),"")</f>
        <v>2.7142857142857144</v>
      </c>
    </row>
    <row r="470" spans="1:33" hidden="1" x14ac:dyDescent="0.2">
      <c r="A470" s="4">
        <f>IF(B470=1,3,IF(D470=1,2,IF(F470=1,1,0)))</f>
        <v>0</v>
      </c>
      <c r="B470" s="4" t="str">
        <f>IF(C470=$L470,1,IF(C470="","",0))</f>
        <v/>
      </c>
      <c r="C470" s="42"/>
      <c r="D470" s="4" t="str">
        <f>IF(E470=$L470,1,IF(E470="","",0))</f>
        <v/>
      </c>
      <c r="E470" s="18"/>
      <c r="F470" s="4" t="str">
        <f>IF(G470=$L470,1,IF(G470="","",0))</f>
        <v/>
      </c>
      <c r="G470" s="14"/>
      <c r="H470" s="6">
        <v>128</v>
      </c>
      <c r="I470" s="15" t="s">
        <v>3120</v>
      </c>
      <c r="J470" s="6" t="s">
        <v>3277</v>
      </c>
      <c r="K470" s="6"/>
      <c r="L470" s="6" t="s">
        <v>265</v>
      </c>
      <c r="M470" s="6" t="s">
        <v>6237</v>
      </c>
      <c r="N470" s="7">
        <f ca="1">RAND()</f>
        <v>0.58375737827429242</v>
      </c>
      <c r="O470" s="8">
        <v>45199</v>
      </c>
      <c r="P470" s="8">
        <v>45200</v>
      </c>
      <c r="Q470" s="8">
        <v>45202</v>
      </c>
      <c r="R470" s="8">
        <v>45206</v>
      </c>
      <c r="S470" s="8">
        <v>45213</v>
      </c>
      <c r="T470" s="8">
        <v>45225</v>
      </c>
      <c r="U470" s="8">
        <v>45783</v>
      </c>
      <c r="V470" s="10">
        <f>COUNTA(O470:U470)</f>
        <v>7</v>
      </c>
      <c r="W470" s="11">
        <f>_xlfn.IFNA(INDEX(reading[[#This Row],[Memo 01]:[Memo 07]],MATCH(0,reading[[#This Row],[Memo 01]:[Memo 07]],-1)),"")</f>
        <v>45783</v>
      </c>
      <c r="X470" s="11">
        <f ca="1">IFERROR(reading[[#This Row],[Previous]]+OFFSET(reading[[#Headers],[Memo 01]],-1,MATCH(0,reading[[#This Row],[Memo 01]:[Memo 07]],-1)-1),"")</f>
        <v>55783</v>
      </c>
      <c r="Y470" s="10" t="str">
        <f ca="1">IF(reading[[#This Row],[Next]]&lt;&gt;"",IF(reading[[#This Row],[Next]]&gt;TODAY(),"OK",""),"")</f>
        <v>OK</v>
      </c>
      <c r="Z470" s="13">
        <v>3</v>
      </c>
      <c r="AA470" s="13">
        <v>3</v>
      </c>
      <c r="AB470" s="13">
        <v>3</v>
      </c>
      <c r="AC470" s="13">
        <v>3</v>
      </c>
      <c r="AD470" s="13">
        <v>3</v>
      </c>
      <c r="AE470" s="13">
        <v>2</v>
      </c>
      <c r="AF470" s="13">
        <v>3</v>
      </c>
      <c r="AG470" s="16">
        <f>IFERROR(SUMIF(reading[[#This Row],[1st]:[7th]],"&gt;0")/COUNTIF(reading[[#This Row],[1st]:[7th]],"&gt;0"),"")</f>
        <v>2.8571428571428572</v>
      </c>
    </row>
    <row r="471" spans="1:33" hidden="1" x14ac:dyDescent="0.2">
      <c r="A471" s="4">
        <f>IF(B471=1,3,IF(D471=1,2,IF(F471=1,1,0)))</f>
        <v>0</v>
      </c>
      <c r="B471" s="4" t="str">
        <f>IF(C471=$L471,1,IF(C471="","",0))</f>
        <v/>
      </c>
      <c r="C471" s="42"/>
      <c r="D471" s="4" t="str">
        <f>IF(E471=$L471,1,IF(E471="","",0))</f>
        <v/>
      </c>
      <c r="E471" s="14"/>
      <c r="F471" s="4" t="str">
        <f>IF(G471=$L471,1,IF(G471="","",0))</f>
        <v/>
      </c>
      <c r="G471" s="14"/>
      <c r="H471" s="6">
        <v>642</v>
      </c>
      <c r="I471" s="15" t="s">
        <v>3120</v>
      </c>
      <c r="J471" s="6" t="s">
        <v>3783</v>
      </c>
      <c r="K471" s="6"/>
      <c r="L471" s="6" t="s">
        <v>765</v>
      </c>
      <c r="M471" s="6" t="s">
        <v>6751</v>
      </c>
      <c r="N471" s="7">
        <f ca="1">RAND()</f>
        <v>0.84717388100833568</v>
      </c>
      <c r="O471" s="8">
        <v>45202</v>
      </c>
      <c r="P471" s="8">
        <v>45203</v>
      </c>
      <c r="Q471" s="8">
        <v>45205</v>
      </c>
      <c r="R471" s="8">
        <v>45209</v>
      </c>
      <c r="S471" s="8">
        <v>45216</v>
      </c>
      <c r="T471" s="8">
        <v>45228</v>
      </c>
      <c r="U471" s="8">
        <v>45783</v>
      </c>
      <c r="V471" s="10">
        <f>COUNTA(O471:U471)</f>
        <v>7</v>
      </c>
      <c r="W471" s="11">
        <f>_xlfn.IFNA(INDEX(reading[[#This Row],[Memo 01]:[Memo 07]],MATCH(0,reading[[#This Row],[Memo 01]:[Memo 07]],-1)),"")</f>
        <v>45783</v>
      </c>
      <c r="X471" s="11">
        <f ca="1">IFERROR(reading[[#This Row],[Previous]]+OFFSET(reading[[#Headers],[Memo 01]],-1,MATCH(0,reading[[#This Row],[Memo 01]:[Memo 07]],-1)-1),"")</f>
        <v>55783</v>
      </c>
      <c r="Y471" s="10" t="str">
        <f ca="1">IF(reading[[#This Row],[Next]]&lt;&gt;"",IF(reading[[#This Row],[Next]]&gt;TODAY(),"OK",""),"")</f>
        <v>OK</v>
      </c>
      <c r="Z471" s="13">
        <v>3</v>
      </c>
      <c r="AA471" s="13">
        <v>3</v>
      </c>
      <c r="AB471" s="13">
        <v>3</v>
      </c>
      <c r="AC471" s="13">
        <v>3</v>
      </c>
      <c r="AD471" s="13">
        <v>3</v>
      </c>
      <c r="AE471" s="13">
        <v>3</v>
      </c>
      <c r="AF471" s="13">
        <v>3</v>
      </c>
      <c r="AG471" s="16">
        <f>IFERROR(SUMIF(reading[[#This Row],[1st]:[7th]],"&gt;0")/COUNTIF(reading[[#This Row],[1st]:[7th]],"&gt;0"),"")</f>
        <v>3</v>
      </c>
    </row>
    <row r="472" spans="1:33" hidden="1" x14ac:dyDescent="0.2">
      <c r="A472" s="4">
        <f>IF(B472=1,3,IF(D472=1,2,IF(F472=1,1,0)))</f>
        <v>0</v>
      </c>
      <c r="B472" s="4" t="str">
        <f>IF(C472=$L472,1,IF(C472="","",0))</f>
        <v/>
      </c>
      <c r="C472" s="18"/>
      <c r="D472" s="4" t="str">
        <f>IF(E472=$L472,1,IF(E472="","",0))</f>
        <v/>
      </c>
      <c r="E472" s="18"/>
      <c r="F472" s="4" t="str">
        <f>IF(G472=$L472,1,IF(G472="","",0))</f>
        <v/>
      </c>
      <c r="G472" s="14"/>
      <c r="H472" s="6">
        <v>98</v>
      </c>
      <c r="I472" s="15" t="s">
        <v>3120</v>
      </c>
      <c r="J472" s="6" t="s">
        <v>3236</v>
      </c>
      <c r="K472" s="6"/>
      <c r="L472" s="6" t="s">
        <v>235</v>
      </c>
      <c r="M472" s="6" t="s">
        <v>6207</v>
      </c>
      <c r="N472" s="7">
        <f ca="1">RAND()</f>
        <v>0.83497913938618318</v>
      </c>
      <c r="O472" s="8">
        <v>45198</v>
      </c>
      <c r="P472" s="8">
        <v>45199</v>
      </c>
      <c r="Q472" s="8">
        <v>45202</v>
      </c>
      <c r="R472" s="8">
        <v>45206</v>
      </c>
      <c r="S472" s="8">
        <v>45213</v>
      </c>
      <c r="T472" s="8">
        <v>45225</v>
      </c>
      <c r="U472" s="8">
        <v>45777</v>
      </c>
      <c r="V472" s="10">
        <f>COUNTA(O472:U472)</f>
        <v>7</v>
      </c>
      <c r="W472" s="11">
        <f>_xlfn.IFNA(INDEX(reading[[#This Row],[Memo 01]:[Memo 07]],MATCH(0,reading[[#This Row],[Memo 01]:[Memo 07]],-1)),"")</f>
        <v>45777</v>
      </c>
      <c r="X472" s="11">
        <f ca="1">IFERROR(reading[[#This Row],[Previous]]+OFFSET(reading[[#Headers],[Memo 01]],-1,MATCH(0,reading[[#This Row],[Memo 01]:[Memo 07]],-1)-1),"")</f>
        <v>55777</v>
      </c>
      <c r="Y472" s="10" t="str">
        <f ca="1">IF(reading[[#This Row],[Next]]&lt;&gt;"",IF(reading[[#This Row],[Next]]&gt;TODAY(),"OK",""),"")</f>
        <v>OK</v>
      </c>
      <c r="Z472" s="13">
        <v>3</v>
      </c>
      <c r="AA472" s="13">
        <v>3</v>
      </c>
      <c r="AB472" s="13">
        <v>2</v>
      </c>
      <c r="AC472" s="13">
        <v>3</v>
      </c>
      <c r="AD472" s="13">
        <v>3</v>
      </c>
      <c r="AE472" s="13">
        <v>2</v>
      </c>
      <c r="AF472" s="13">
        <v>3</v>
      </c>
      <c r="AG472" s="16">
        <f>IFERROR(SUMIF(reading[[#This Row],[1st]:[7th]],"&gt;0")/COUNTIF(reading[[#This Row],[1st]:[7th]],"&gt;0"),"")</f>
        <v>2.7142857142857144</v>
      </c>
    </row>
    <row r="473" spans="1:33" hidden="1" x14ac:dyDescent="0.2">
      <c r="A473" s="4">
        <f>IF(B473=1,3,IF(D473=1,2,IF(F473=1,1,0)))</f>
        <v>0</v>
      </c>
      <c r="B473" s="4" t="str">
        <f>IF(C473=$L473,1,IF(C473="","",0))</f>
        <v/>
      </c>
      <c r="C473" s="42"/>
      <c r="D473" s="4" t="str">
        <f>IF(E473=$L473,1,IF(E473="","",0))</f>
        <v/>
      </c>
      <c r="E473" s="14"/>
      <c r="F473" s="4" t="str">
        <f>IF(G473=$L473,1,IF(G473="","",0))</f>
        <v/>
      </c>
      <c r="G473" s="14"/>
      <c r="H473" s="6">
        <v>1110</v>
      </c>
      <c r="I473" s="15" t="s">
        <v>3120</v>
      </c>
      <c r="J473" s="6" t="s">
        <v>4233</v>
      </c>
      <c r="K473" s="6"/>
      <c r="L473" s="6" t="s">
        <v>1216</v>
      </c>
      <c r="M473" s="6" t="s">
        <v>7218</v>
      </c>
      <c r="N473" s="7">
        <f ca="1">RAND()</f>
        <v>0.14055208992170476</v>
      </c>
      <c r="O473" s="8">
        <v>45205</v>
      </c>
      <c r="P473" s="8">
        <v>45206</v>
      </c>
      <c r="Q473" s="8">
        <v>45208</v>
      </c>
      <c r="R473" s="8">
        <v>45212</v>
      </c>
      <c r="S473" s="8">
        <v>45219</v>
      </c>
      <c r="T473" s="8">
        <v>45231</v>
      </c>
      <c r="U473" s="8">
        <v>45783</v>
      </c>
      <c r="V473" s="10">
        <f>COUNTA(O473:U473)</f>
        <v>7</v>
      </c>
      <c r="W473" s="11">
        <f>_xlfn.IFNA(INDEX(reading[[#This Row],[Memo 01]:[Memo 07]],MATCH(0,reading[[#This Row],[Memo 01]:[Memo 07]],-1)),"")</f>
        <v>45783</v>
      </c>
      <c r="X473" s="11">
        <f ca="1">IFERROR(reading[[#This Row],[Previous]]+OFFSET(reading[[#Headers],[Memo 01]],-1,MATCH(0,reading[[#This Row],[Memo 01]:[Memo 07]],-1)-1),"")</f>
        <v>55783</v>
      </c>
      <c r="Y473" s="10" t="str">
        <f ca="1">IF(reading[[#This Row],[Next]]&lt;&gt;"",IF(reading[[#This Row],[Next]]&gt;TODAY(),"OK",""),"")</f>
        <v>OK</v>
      </c>
      <c r="Z473" s="13">
        <v>3</v>
      </c>
      <c r="AA473" s="13">
        <v>3</v>
      </c>
      <c r="AB473" s="13">
        <v>3</v>
      </c>
      <c r="AC473" s="13">
        <v>3</v>
      </c>
      <c r="AD473" s="13">
        <v>3</v>
      </c>
      <c r="AE473" s="13">
        <v>3</v>
      </c>
      <c r="AF473" s="13">
        <v>3</v>
      </c>
      <c r="AG473" s="16">
        <f>IFERROR(SUMIF(reading[[#This Row],[1st]:[7th]],"&gt;0")/COUNTIF(reading[[#This Row],[1st]:[7th]],"&gt;0"),"")</f>
        <v>3</v>
      </c>
    </row>
    <row r="474" spans="1:33" hidden="1" x14ac:dyDescent="0.2">
      <c r="A474" s="4">
        <f>IF(B474=1,3,IF(D474=1,2,IF(F474=1,1,0)))</f>
        <v>0</v>
      </c>
      <c r="B474" s="4" t="str">
        <f>IF(C474=$L474,1,IF(C474="","",0))</f>
        <v/>
      </c>
      <c r="C474" s="42"/>
      <c r="D474" s="4" t="str">
        <f>IF(E474=$L474,1,IF(E474="","",0))</f>
        <v/>
      </c>
      <c r="E474" s="23"/>
      <c r="F474" s="4" t="str">
        <f>IF(G474=$L474,1,IF(G474="","",0))</f>
        <v/>
      </c>
      <c r="G474" s="14"/>
      <c r="H474" s="6">
        <v>2833</v>
      </c>
      <c r="I474" s="15" t="s">
        <v>3120</v>
      </c>
      <c r="J474" s="6" t="s">
        <v>5874</v>
      </c>
      <c r="K474" s="6"/>
      <c r="L474" s="6" t="s">
        <v>2868</v>
      </c>
      <c r="M474" s="6" t="s">
        <v>8937</v>
      </c>
      <c r="N474" s="7">
        <f ca="1">RAND()</f>
        <v>0.87763764947855927</v>
      </c>
      <c r="O474" s="8">
        <v>45222</v>
      </c>
      <c r="P474" s="8">
        <v>45223</v>
      </c>
      <c r="Q474" s="8">
        <v>45225</v>
      </c>
      <c r="R474" s="8">
        <v>45229</v>
      </c>
      <c r="S474" s="8">
        <v>45236</v>
      </c>
      <c r="T474" s="8">
        <v>45820</v>
      </c>
      <c r="U474" s="8"/>
      <c r="V474" s="10">
        <f>COUNTA(O474:U474)</f>
        <v>6</v>
      </c>
      <c r="W474" s="11">
        <f>_xlfn.IFNA(INDEX(reading[[#This Row],[Memo 01]:[Memo 07]],MATCH(0,reading[[#This Row],[Memo 01]:[Memo 07]],-1)),"")</f>
        <v>45820</v>
      </c>
      <c r="X474" s="11">
        <f ca="1">IFERROR(reading[[#This Row],[Previous]]+OFFSET(reading[[#Headers],[Memo 01]],-1,MATCH(0,reading[[#This Row],[Memo 01]:[Memo 07]],-1)-1),"")</f>
        <v>45840</v>
      </c>
      <c r="Y474" s="10" t="str">
        <f ca="1">IF(reading[[#This Row],[Next]]&lt;&gt;"",IF(reading[[#This Row],[Next]]&gt;TODAY(),"OK",""),"")</f>
        <v>OK</v>
      </c>
      <c r="Z474" s="13">
        <v>3</v>
      </c>
      <c r="AA474" s="13">
        <v>3</v>
      </c>
      <c r="AB474" s="13">
        <v>3</v>
      </c>
      <c r="AC474" s="13">
        <v>3</v>
      </c>
      <c r="AD474" s="13">
        <v>3</v>
      </c>
      <c r="AE474" s="13">
        <v>2</v>
      </c>
      <c r="AF474" s="13"/>
      <c r="AG474" s="16">
        <f>IFERROR(SUMIF(reading[[#This Row],[1st]:[7th]],"&gt;0")/COUNTIF(reading[[#This Row],[1st]:[7th]],"&gt;0"),"")</f>
        <v>2.8333333333333335</v>
      </c>
    </row>
    <row r="475" spans="1:33" hidden="1" x14ac:dyDescent="0.2">
      <c r="A475" s="4">
        <f>IF(B475=1,3,IF(D475=1,2,IF(F475=1,1,0)))</f>
        <v>0</v>
      </c>
      <c r="B475" s="4" t="str">
        <f>IF(C475=$L475,1,IF(C475="","",0))</f>
        <v/>
      </c>
      <c r="C475" s="42"/>
      <c r="D475" s="4" t="str">
        <f>IF(E475=$L475,1,IF(E475="","",0))</f>
        <v/>
      </c>
      <c r="E475" s="18"/>
      <c r="F475" s="4" t="str">
        <f>IF(G475=$L475,1,IF(G475="","",0))</f>
        <v/>
      </c>
      <c r="G475" s="14"/>
      <c r="H475" s="6">
        <v>1394</v>
      </c>
      <c r="I475" s="15" t="s">
        <v>3120</v>
      </c>
      <c r="J475" s="6" t="s">
        <v>4508</v>
      </c>
      <c r="K475" s="6"/>
      <c r="L475" s="6" t="s">
        <v>1486</v>
      </c>
      <c r="M475" s="6" t="s">
        <v>7501</v>
      </c>
      <c r="N475" s="7">
        <f ca="1">RAND()</f>
        <v>0.38605666204524192</v>
      </c>
      <c r="O475" s="8">
        <v>45207</v>
      </c>
      <c r="P475" s="8">
        <v>45208</v>
      </c>
      <c r="Q475" s="8">
        <v>45210</v>
      </c>
      <c r="R475" s="8">
        <v>45214</v>
      </c>
      <c r="S475" s="8">
        <v>45221</v>
      </c>
      <c r="T475" s="8">
        <v>45233</v>
      </c>
      <c r="U475" s="8">
        <v>45777</v>
      </c>
      <c r="V475" s="10">
        <f>COUNTA(O475:U475)</f>
        <v>7</v>
      </c>
      <c r="W475" s="11">
        <f>_xlfn.IFNA(INDEX(reading[[#This Row],[Memo 01]:[Memo 07]],MATCH(0,reading[[#This Row],[Memo 01]:[Memo 07]],-1)),"")</f>
        <v>45777</v>
      </c>
      <c r="X475" s="11">
        <f ca="1">IFERROR(reading[[#This Row],[Previous]]+OFFSET(reading[[#Headers],[Memo 01]],-1,MATCH(0,reading[[#This Row],[Memo 01]:[Memo 07]],-1)-1),"")</f>
        <v>55777</v>
      </c>
      <c r="Y475" s="10" t="str">
        <f ca="1">IF(reading[[#This Row],[Next]]&lt;&gt;"",IF(reading[[#This Row],[Next]]&gt;TODAY(),"OK",""),"")</f>
        <v>OK</v>
      </c>
      <c r="Z475" s="13">
        <v>3</v>
      </c>
      <c r="AA475" s="13">
        <v>3</v>
      </c>
      <c r="AB475" s="13">
        <v>2</v>
      </c>
      <c r="AC475" s="13">
        <v>2</v>
      </c>
      <c r="AD475" s="13">
        <v>3</v>
      </c>
      <c r="AE475" s="13">
        <v>3</v>
      </c>
      <c r="AF475" s="13">
        <v>3</v>
      </c>
      <c r="AG475" s="16">
        <f>IFERROR(SUMIF(reading[[#This Row],[1st]:[7th]],"&gt;0")/COUNTIF(reading[[#This Row],[1st]:[7th]],"&gt;0"),"")</f>
        <v>2.7142857142857144</v>
      </c>
    </row>
    <row r="476" spans="1:33" hidden="1" x14ac:dyDescent="0.2">
      <c r="A476" s="4">
        <f>IF(B476=1,3,IF(D476=1,2,IF(F476=1,1,0)))</f>
        <v>0</v>
      </c>
      <c r="B476" s="4" t="str">
        <f>IF(C476=$L476,1,IF(C476="","",0))</f>
        <v/>
      </c>
      <c r="C476" s="42"/>
      <c r="D476" s="4" t="str">
        <f>IF(E476=$L476,1,IF(E476="","",0))</f>
        <v/>
      </c>
      <c r="E476" s="18"/>
      <c r="F476" s="4" t="str">
        <f>IF(G476=$L476,1,IF(G476="","",0))</f>
        <v/>
      </c>
      <c r="G476" s="14"/>
      <c r="H476" s="6">
        <v>750</v>
      </c>
      <c r="I476" s="15" t="s">
        <v>3120</v>
      </c>
      <c r="J476" s="6" t="s">
        <v>3885</v>
      </c>
      <c r="K476" s="6"/>
      <c r="L476" s="6" t="s">
        <v>869</v>
      </c>
      <c r="M476" s="6" t="s">
        <v>6859</v>
      </c>
      <c r="N476" s="7">
        <f ca="1">RAND()</f>
        <v>0.58357078467496959</v>
      </c>
      <c r="O476" s="8">
        <v>45203</v>
      </c>
      <c r="P476" s="8">
        <v>45204</v>
      </c>
      <c r="Q476" s="8">
        <v>45206</v>
      </c>
      <c r="R476" s="8">
        <v>45210</v>
      </c>
      <c r="S476" s="8">
        <v>45217</v>
      </c>
      <c r="T476" s="8">
        <v>45229</v>
      </c>
      <c r="U476" s="8">
        <v>45777</v>
      </c>
      <c r="V476" s="10">
        <f>COUNTA(O476:U476)</f>
        <v>7</v>
      </c>
      <c r="W476" s="11">
        <f>_xlfn.IFNA(INDEX(reading[[#This Row],[Memo 01]:[Memo 07]],MATCH(0,reading[[#This Row],[Memo 01]:[Memo 07]],-1)),"")</f>
        <v>45777</v>
      </c>
      <c r="X476" s="11">
        <f ca="1">IFERROR(reading[[#This Row],[Previous]]+OFFSET(reading[[#Headers],[Memo 01]],-1,MATCH(0,reading[[#This Row],[Memo 01]:[Memo 07]],-1)-1),"")</f>
        <v>55777</v>
      </c>
      <c r="Y476" s="10" t="str">
        <f ca="1">IF(reading[[#This Row],[Next]]&lt;&gt;"",IF(reading[[#This Row],[Next]]&gt;TODAY(),"OK",""),"")</f>
        <v>OK</v>
      </c>
      <c r="Z476" s="13">
        <v>3</v>
      </c>
      <c r="AA476" s="13">
        <v>2</v>
      </c>
      <c r="AB476" s="13">
        <v>2</v>
      </c>
      <c r="AC476" s="13">
        <v>3</v>
      </c>
      <c r="AD476" s="13">
        <v>3</v>
      </c>
      <c r="AE476" s="13">
        <v>3</v>
      </c>
      <c r="AF476" s="13">
        <v>3</v>
      </c>
      <c r="AG476" s="16">
        <f>IFERROR(SUMIF(reading[[#This Row],[1st]:[7th]],"&gt;0")/COUNTIF(reading[[#This Row],[1st]:[7th]],"&gt;0"),"")</f>
        <v>2.7142857142857144</v>
      </c>
    </row>
    <row r="477" spans="1:33" hidden="1" x14ac:dyDescent="0.2">
      <c r="A477" s="4">
        <f>IF(B477=1,3,IF(D477=1,2,IF(F477=1,1,0)))</f>
        <v>0</v>
      </c>
      <c r="B477" s="4" t="str">
        <f>IF(C477=$L477,1,IF(C477="","",0))</f>
        <v/>
      </c>
      <c r="C477" s="42"/>
      <c r="D477" s="4" t="str">
        <f>IF(E477=$L477,1,IF(E477="","",0))</f>
        <v/>
      </c>
      <c r="E477" s="14"/>
      <c r="F477" s="4" t="str">
        <f>IF(G477=$L477,1,IF(G477="","",0))</f>
        <v/>
      </c>
      <c r="G477" s="14"/>
      <c r="H477" s="6">
        <v>566</v>
      </c>
      <c r="I477" s="15" t="s">
        <v>3120</v>
      </c>
      <c r="J477" s="6" t="s">
        <v>3709</v>
      </c>
      <c r="K477" s="6"/>
      <c r="L477" s="6" t="s">
        <v>693</v>
      </c>
      <c r="M477" s="6" t="s">
        <v>6675</v>
      </c>
      <c r="N477" s="7">
        <f ca="1">RAND()</f>
        <v>0.86253630392662439</v>
      </c>
      <c r="O477" s="8">
        <v>45202</v>
      </c>
      <c r="P477" s="8">
        <v>45203</v>
      </c>
      <c r="Q477" s="8">
        <v>45205</v>
      </c>
      <c r="R477" s="8">
        <v>45209</v>
      </c>
      <c r="S477" s="8">
        <v>45216</v>
      </c>
      <c r="T477" s="8">
        <v>45228</v>
      </c>
      <c r="U477" s="8">
        <v>45818</v>
      </c>
      <c r="V477" s="10">
        <f>COUNTA(O477:U477)</f>
        <v>7</v>
      </c>
      <c r="W477" s="11">
        <f>_xlfn.IFNA(INDEX(reading[[#This Row],[Memo 01]:[Memo 07]],MATCH(0,reading[[#This Row],[Memo 01]:[Memo 07]],-1)),"")</f>
        <v>45818</v>
      </c>
      <c r="X477" s="11">
        <f ca="1">IFERROR(reading[[#This Row],[Previous]]+OFFSET(reading[[#Headers],[Memo 01]],-1,MATCH(0,reading[[#This Row],[Memo 01]:[Memo 07]],-1)-1),"")</f>
        <v>55818</v>
      </c>
      <c r="Y477" s="10" t="str">
        <f ca="1">IF(reading[[#This Row],[Next]]&lt;&gt;"",IF(reading[[#This Row],[Next]]&gt;TODAY(),"OK",""),"")</f>
        <v>OK</v>
      </c>
      <c r="Z477" s="13">
        <v>3</v>
      </c>
      <c r="AA477" s="13">
        <v>3</v>
      </c>
      <c r="AB477" s="13">
        <v>3</v>
      </c>
      <c r="AC477" s="13">
        <v>3</v>
      </c>
      <c r="AD477" s="13">
        <v>3</v>
      </c>
      <c r="AE477" s="13">
        <v>3</v>
      </c>
      <c r="AF477" s="13">
        <v>3</v>
      </c>
      <c r="AG477" s="16">
        <f>IFERROR(SUMIF(reading[[#This Row],[1st]:[7th]],"&gt;0")/COUNTIF(reading[[#This Row],[1st]:[7th]],"&gt;0"),"")</f>
        <v>3</v>
      </c>
    </row>
    <row r="478" spans="1:33" hidden="1" x14ac:dyDescent="0.2">
      <c r="A478" s="4">
        <f>IF(B478=1,3,IF(D478=1,2,IF(F478=1,1,0)))</f>
        <v>0</v>
      </c>
      <c r="B478" s="4" t="str">
        <f>IF(C478=$L478,1,IF(C478="","",0))</f>
        <v/>
      </c>
      <c r="C478" s="42"/>
      <c r="D478" s="4" t="str">
        <f>IF(E478=$L478,1,IF(E478="","",0))</f>
        <v/>
      </c>
      <c r="E478" s="14"/>
      <c r="F478" s="4" t="str">
        <f>IF(G478=$L478,1,IF(G478="","",0))</f>
        <v/>
      </c>
      <c r="G478" s="14"/>
      <c r="H478" s="6">
        <v>277</v>
      </c>
      <c r="I478" s="15" t="s">
        <v>3120</v>
      </c>
      <c r="J478" s="6" t="s">
        <v>3426</v>
      </c>
      <c r="K478" s="6"/>
      <c r="L478" s="6" t="s">
        <v>412</v>
      </c>
      <c r="M478" s="6" t="s">
        <v>6386</v>
      </c>
      <c r="N478" s="7">
        <f ca="1">RAND()</f>
        <v>0.87991648693071689</v>
      </c>
      <c r="O478" s="8">
        <v>45202</v>
      </c>
      <c r="P478" s="8">
        <v>45203</v>
      </c>
      <c r="Q478" s="8">
        <v>45205</v>
      </c>
      <c r="R478" s="8">
        <v>45209</v>
      </c>
      <c r="S478" s="8">
        <v>45216</v>
      </c>
      <c r="T478" s="8">
        <v>45228</v>
      </c>
      <c r="U478" s="8">
        <v>45777</v>
      </c>
      <c r="V478" s="10">
        <f>COUNTA(O478:U478)</f>
        <v>7</v>
      </c>
      <c r="W478" s="11">
        <f>_xlfn.IFNA(INDEX(reading[[#This Row],[Memo 01]:[Memo 07]],MATCH(0,reading[[#This Row],[Memo 01]:[Memo 07]],-1)),"")</f>
        <v>45777</v>
      </c>
      <c r="X478" s="11">
        <f ca="1">IFERROR(reading[[#This Row],[Previous]]+OFFSET(reading[[#Headers],[Memo 01]],-1,MATCH(0,reading[[#This Row],[Memo 01]:[Memo 07]],-1)-1),"")</f>
        <v>55777</v>
      </c>
      <c r="Y478" s="10" t="str">
        <f ca="1">IF(reading[[#This Row],[Next]]&lt;&gt;"",IF(reading[[#This Row],[Next]]&gt;TODAY(),"OK",""),"")</f>
        <v>OK</v>
      </c>
      <c r="Z478" s="13">
        <v>3</v>
      </c>
      <c r="AA478" s="13">
        <v>2</v>
      </c>
      <c r="AB478" s="13">
        <v>2</v>
      </c>
      <c r="AC478" s="13">
        <v>3</v>
      </c>
      <c r="AD478" s="13">
        <v>3</v>
      </c>
      <c r="AE478" s="13">
        <v>3</v>
      </c>
      <c r="AF478" s="13">
        <v>3</v>
      </c>
      <c r="AG478" s="16">
        <f>IFERROR(SUMIF(reading[[#This Row],[1st]:[7th]],"&gt;0")/COUNTIF(reading[[#This Row],[1st]:[7th]],"&gt;0"),"")</f>
        <v>2.7142857142857144</v>
      </c>
    </row>
    <row r="479" spans="1:33" hidden="1" x14ac:dyDescent="0.2">
      <c r="A479" s="4">
        <f>IF(B479=1,3,IF(D479=1,2,IF(F479=1,1,0)))</f>
        <v>0</v>
      </c>
      <c r="B479" s="4" t="str">
        <f>IF(C479=$L479,1,IF(C479="","",0))</f>
        <v/>
      </c>
      <c r="C479" s="42"/>
      <c r="D479" s="4" t="str">
        <f>IF(E479=$L479,1,IF(E479="","",0))</f>
        <v/>
      </c>
      <c r="E479" s="14"/>
      <c r="F479" s="4" t="str">
        <f>IF(G479=$L479,1,IF(G479="","",0))</f>
        <v/>
      </c>
      <c r="G479" s="14"/>
      <c r="H479" s="6">
        <v>1784</v>
      </c>
      <c r="I479" s="15" t="s">
        <v>3120</v>
      </c>
      <c r="J479" s="6" t="s">
        <v>4891</v>
      </c>
      <c r="K479" s="6"/>
      <c r="L479" s="6" t="s">
        <v>1863</v>
      </c>
      <c r="M479" s="6" t="s">
        <v>7890</v>
      </c>
      <c r="N479" s="7">
        <f ca="1">RAND()</f>
        <v>0.95183282636453914</v>
      </c>
      <c r="O479" s="8">
        <v>45211</v>
      </c>
      <c r="P479" s="8">
        <v>45212</v>
      </c>
      <c r="Q479" s="8">
        <v>45214</v>
      </c>
      <c r="R479" s="8">
        <v>45218</v>
      </c>
      <c r="S479" s="8">
        <v>45225</v>
      </c>
      <c r="T479" s="8">
        <v>45237</v>
      </c>
      <c r="U479" s="8">
        <v>45801</v>
      </c>
      <c r="V479" s="10">
        <f>COUNTA(O479:U479)</f>
        <v>7</v>
      </c>
      <c r="W479" s="11">
        <f>_xlfn.IFNA(INDEX(reading[[#This Row],[Memo 01]:[Memo 07]],MATCH(0,reading[[#This Row],[Memo 01]:[Memo 07]],-1)),"")</f>
        <v>45801</v>
      </c>
      <c r="X479" s="11">
        <f ca="1">IFERROR(reading[[#This Row],[Previous]]+OFFSET(reading[[#Headers],[Memo 01]],-1,MATCH(0,reading[[#This Row],[Memo 01]:[Memo 07]],-1)-1),"")</f>
        <v>55801</v>
      </c>
      <c r="Y479" s="10" t="str">
        <f ca="1">IF(reading[[#This Row],[Next]]&lt;&gt;"",IF(reading[[#This Row],[Next]]&gt;TODAY(),"OK",""),"")</f>
        <v>OK</v>
      </c>
      <c r="Z479" s="13">
        <v>3</v>
      </c>
      <c r="AA479" s="13">
        <v>3</v>
      </c>
      <c r="AB479" s="13">
        <v>3</v>
      </c>
      <c r="AC479" s="13">
        <v>3</v>
      </c>
      <c r="AD479" s="13">
        <v>3</v>
      </c>
      <c r="AE479" s="13">
        <v>3</v>
      </c>
      <c r="AF479" s="13">
        <v>3</v>
      </c>
      <c r="AG479" s="16">
        <f>IFERROR(SUMIF(reading[[#This Row],[1st]:[7th]],"&gt;0")/COUNTIF(reading[[#This Row],[1st]:[7th]],"&gt;0"),"")</f>
        <v>3</v>
      </c>
    </row>
    <row r="480" spans="1:33" hidden="1" x14ac:dyDescent="0.2">
      <c r="A480" s="4">
        <f>IF(B480=1,3,IF(D480=1,2,IF(F480=1,1,0)))</f>
        <v>0</v>
      </c>
      <c r="B480" s="4" t="str">
        <f>IF(C480=$L480,1,IF(C480="","",0))</f>
        <v/>
      </c>
      <c r="C480" s="42"/>
      <c r="D480" s="4" t="str">
        <f>IF(E480=$L480,1,IF(E480="","",0))</f>
        <v/>
      </c>
      <c r="E480" s="18"/>
      <c r="F480" s="4" t="str">
        <f>IF(G480=$L480,1,IF(G480="","",0))</f>
        <v/>
      </c>
      <c r="G480" s="18"/>
      <c r="H480" s="6">
        <v>719</v>
      </c>
      <c r="I480" s="15" t="s">
        <v>3120</v>
      </c>
      <c r="J480" s="6" t="s">
        <v>3857</v>
      </c>
      <c r="K480" s="6"/>
      <c r="L480" s="6" t="s">
        <v>840</v>
      </c>
      <c r="M480" s="6" t="s">
        <v>6828</v>
      </c>
      <c r="N480" s="7">
        <f ca="1">RAND()</f>
        <v>0.44932509006575294</v>
      </c>
      <c r="O480" s="8">
        <v>45203</v>
      </c>
      <c r="P480" s="8">
        <v>45204</v>
      </c>
      <c r="Q480" s="8">
        <v>45206</v>
      </c>
      <c r="R480" s="8">
        <v>45210</v>
      </c>
      <c r="S480" s="8">
        <v>45217</v>
      </c>
      <c r="T480" s="8">
        <v>45229</v>
      </c>
      <c r="U480" s="8">
        <v>45777</v>
      </c>
      <c r="V480" s="10">
        <f>COUNTA(O480:U480)</f>
        <v>7</v>
      </c>
      <c r="W480" s="11">
        <f>_xlfn.IFNA(INDEX(reading[[#This Row],[Memo 01]:[Memo 07]],MATCH(0,reading[[#This Row],[Memo 01]:[Memo 07]],-1)),"")</f>
        <v>45777</v>
      </c>
      <c r="X480" s="11">
        <f ca="1">IFERROR(reading[[#This Row],[Previous]]+OFFSET(reading[[#Headers],[Memo 01]],-1,MATCH(0,reading[[#This Row],[Memo 01]:[Memo 07]],-1)-1),"")</f>
        <v>55777</v>
      </c>
      <c r="Y480" s="10" t="str">
        <f ca="1">IF(reading[[#This Row],[Next]]&lt;&gt;"",IF(reading[[#This Row],[Next]]&gt;TODAY(),"OK",""),"")</f>
        <v>OK</v>
      </c>
      <c r="Z480" s="13">
        <v>3</v>
      </c>
      <c r="AA480" s="13">
        <v>1</v>
      </c>
      <c r="AB480" s="13">
        <v>3</v>
      </c>
      <c r="AC480" s="13">
        <v>3</v>
      </c>
      <c r="AD480" s="13">
        <v>3</v>
      </c>
      <c r="AE480" s="13">
        <v>3</v>
      </c>
      <c r="AF480" s="13">
        <v>3</v>
      </c>
      <c r="AG480" s="16">
        <f>IFERROR(SUMIF(reading[[#This Row],[1st]:[7th]],"&gt;0")/COUNTIF(reading[[#This Row],[1st]:[7th]],"&gt;0"),"")</f>
        <v>2.7142857142857144</v>
      </c>
    </row>
    <row r="481" spans="1:33" hidden="1" x14ac:dyDescent="0.2">
      <c r="A481" s="4">
        <f>IF(B481=1,3,IF(D481=1,2,IF(F481=1,1,0)))</f>
        <v>0</v>
      </c>
      <c r="B481" s="4" t="str">
        <f>IF(C481=$L481,1,IF(C481="","",0))</f>
        <v/>
      </c>
      <c r="C481" s="42"/>
      <c r="D481" s="4" t="str">
        <f>IF(E481=$L481,1,IF(E481="","",0))</f>
        <v/>
      </c>
      <c r="E481" s="14"/>
      <c r="F481" s="4" t="str">
        <f>IF(G481=$L481,1,IF(G481="","",0))</f>
        <v/>
      </c>
      <c r="G481" s="18"/>
      <c r="H481" s="6">
        <v>1576</v>
      </c>
      <c r="I481" s="15" t="s">
        <v>3120</v>
      </c>
      <c r="J481" s="6" t="s">
        <v>3373</v>
      </c>
      <c r="K481" s="15" t="s">
        <v>3138</v>
      </c>
      <c r="L481" s="6" t="s">
        <v>1660</v>
      </c>
      <c r="M481" s="6" t="s">
        <v>7682</v>
      </c>
      <c r="N481" s="7">
        <f ca="1">RAND()</f>
        <v>0.19420644847359358</v>
      </c>
      <c r="O481" s="8">
        <v>45209</v>
      </c>
      <c r="P481" s="8">
        <v>45211</v>
      </c>
      <c r="Q481" s="8">
        <v>45213</v>
      </c>
      <c r="R481" s="8">
        <v>45217</v>
      </c>
      <c r="S481" s="8">
        <v>45224</v>
      </c>
      <c r="T481" s="8">
        <v>45236</v>
      </c>
      <c r="U481" s="8">
        <v>45783</v>
      </c>
      <c r="V481" s="10">
        <f>COUNTA(O481:U481)</f>
        <v>7</v>
      </c>
      <c r="W481" s="11">
        <f>_xlfn.IFNA(INDEX(reading[[#This Row],[Memo 01]:[Memo 07]],MATCH(0,reading[[#This Row],[Memo 01]:[Memo 07]],-1)),"")</f>
        <v>45783</v>
      </c>
      <c r="X481" s="11">
        <f ca="1">IFERROR(reading[[#This Row],[Previous]]+OFFSET(reading[[#Headers],[Memo 01]],-1,MATCH(0,reading[[#This Row],[Memo 01]:[Memo 07]],-1)-1),"")</f>
        <v>55783</v>
      </c>
      <c r="Y481" s="10" t="str">
        <f ca="1">IF(reading[[#This Row],[Next]]&lt;&gt;"",IF(reading[[#This Row],[Next]]&gt;TODAY(),"OK",""),"")</f>
        <v>OK</v>
      </c>
      <c r="Z481" s="13">
        <v>3</v>
      </c>
      <c r="AA481" s="13">
        <v>1</v>
      </c>
      <c r="AB481" s="13">
        <v>3</v>
      </c>
      <c r="AC481" s="13">
        <v>3</v>
      </c>
      <c r="AD481" s="13">
        <v>3</v>
      </c>
      <c r="AE481" s="13">
        <v>3</v>
      </c>
      <c r="AF481" s="13">
        <v>3</v>
      </c>
      <c r="AG481" s="16">
        <f>IFERROR(SUMIF(reading[[#This Row],[1st]:[7th]],"&gt;0")/COUNTIF(reading[[#This Row],[1st]:[7th]],"&gt;0"),"")</f>
        <v>2.7142857142857144</v>
      </c>
    </row>
    <row r="482" spans="1:33" hidden="1" x14ac:dyDescent="0.2">
      <c r="A482" s="4">
        <f>IF(B482=1,3,IF(D482=1,2,IF(F482=1,1,0)))</f>
        <v>0</v>
      </c>
      <c r="B482" s="4" t="str">
        <f>IF(C482=$L482,1,IF(C482="","",0))</f>
        <v/>
      </c>
      <c r="C482" s="42"/>
      <c r="D482" s="4" t="str">
        <f>IF(E482=$L482,1,IF(E482="","",0))</f>
        <v/>
      </c>
      <c r="E482" s="18"/>
      <c r="F482" s="4" t="str">
        <f>IF(G482=$L482,1,IF(G482="","",0))</f>
        <v/>
      </c>
      <c r="G482" s="14"/>
      <c r="H482" s="6">
        <v>1195</v>
      </c>
      <c r="I482" s="15" t="s">
        <v>3120</v>
      </c>
      <c r="J482" s="6" t="s">
        <v>4314</v>
      </c>
      <c r="K482" s="6"/>
      <c r="L482" s="6" t="s">
        <v>1297</v>
      </c>
      <c r="M482" s="6" t="s">
        <v>7302</v>
      </c>
      <c r="N482" s="7">
        <f ca="1">RAND()</f>
        <v>0.12806672674467168</v>
      </c>
      <c r="O482" s="8">
        <v>45206</v>
      </c>
      <c r="P482" s="8">
        <v>45207</v>
      </c>
      <c r="Q482" s="8">
        <v>45209</v>
      </c>
      <c r="R482" s="8">
        <v>45213</v>
      </c>
      <c r="S482" s="8">
        <v>45220</v>
      </c>
      <c r="T482" s="8">
        <v>45232</v>
      </c>
      <c r="U482" s="8">
        <v>45777</v>
      </c>
      <c r="V482" s="10">
        <f>COUNTA(O482:U482)</f>
        <v>7</v>
      </c>
      <c r="W482" s="11">
        <f>_xlfn.IFNA(INDEX(reading[[#This Row],[Memo 01]:[Memo 07]],MATCH(0,reading[[#This Row],[Memo 01]:[Memo 07]],-1)),"")</f>
        <v>45777</v>
      </c>
      <c r="X482" s="11">
        <f ca="1">IFERROR(reading[[#This Row],[Previous]]+OFFSET(reading[[#Headers],[Memo 01]],-1,MATCH(0,reading[[#This Row],[Memo 01]:[Memo 07]],-1)-1),"")</f>
        <v>55777</v>
      </c>
      <c r="Y482" s="10" t="str">
        <f ca="1">IF(reading[[#This Row],[Next]]&lt;&gt;"",IF(reading[[#This Row],[Next]]&gt;TODAY(),"OK",""),"")</f>
        <v>OK</v>
      </c>
      <c r="Z482" s="13">
        <v>3</v>
      </c>
      <c r="AA482" s="13">
        <v>3</v>
      </c>
      <c r="AB482" s="13">
        <v>3</v>
      </c>
      <c r="AC482" s="13">
        <v>2</v>
      </c>
      <c r="AD482" s="13">
        <v>3</v>
      </c>
      <c r="AE482" s="13">
        <v>2</v>
      </c>
      <c r="AF482" s="13">
        <v>3</v>
      </c>
      <c r="AG482" s="16">
        <f>IFERROR(SUMIF(reading[[#This Row],[1st]:[7th]],"&gt;0")/COUNTIF(reading[[#This Row],[1st]:[7th]],"&gt;0"),"")</f>
        <v>2.7142857142857144</v>
      </c>
    </row>
    <row r="483" spans="1:33" hidden="1" x14ac:dyDescent="0.2">
      <c r="A483" s="4">
        <f>IF(B483=1,3,IF(D483=1,2,IF(F483=1,1,0)))</f>
        <v>0</v>
      </c>
      <c r="B483" s="4" t="str">
        <f>IF(C483=$L483,1,IF(C483="","",0))</f>
        <v/>
      </c>
      <c r="C483" s="42"/>
      <c r="D483" s="4" t="str">
        <f>IF(E483=$L483,1,IF(E483="","",0))</f>
        <v/>
      </c>
      <c r="E483" s="43"/>
      <c r="F483" s="4" t="str">
        <f>IF(G483=$L483,1,IF(G483="","",0))</f>
        <v/>
      </c>
      <c r="G483" s="23"/>
      <c r="H483" s="6">
        <v>2284</v>
      </c>
      <c r="I483" s="15" t="s">
        <v>3120</v>
      </c>
      <c r="J483" s="6" t="s">
        <v>5365</v>
      </c>
      <c r="K483" s="24" t="s">
        <v>3136</v>
      </c>
      <c r="L483" s="6" t="s">
        <v>2344</v>
      </c>
      <c r="M483" s="6" t="s">
        <v>8389</v>
      </c>
      <c r="N483" s="7">
        <f ca="1">RAND()</f>
        <v>0.8994008018211449</v>
      </c>
      <c r="O483" s="8">
        <v>45216</v>
      </c>
      <c r="P483" s="8">
        <v>45217</v>
      </c>
      <c r="Q483" s="8">
        <v>45219</v>
      </c>
      <c r="R483" s="8">
        <v>45223</v>
      </c>
      <c r="S483" s="8">
        <v>45230</v>
      </c>
      <c r="T483" s="8">
        <v>45811</v>
      </c>
      <c r="U483" s="8"/>
      <c r="V483" s="10">
        <f>COUNTA(O483:U483)</f>
        <v>6</v>
      </c>
      <c r="W483" s="11">
        <f>_xlfn.IFNA(INDEX(reading[[#This Row],[Memo 01]:[Memo 07]],MATCH(0,reading[[#This Row],[Memo 01]:[Memo 07]],-1)),"")</f>
        <v>45811</v>
      </c>
      <c r="X483" s="11">
        <f ca="1">IFERROR(reading[[#This Row],[Previous]]+OFFSET(reading[[#Headers],[Memo 01]],-1,MATCH(0,reading[[#This Row],[Memo 01]:[Memo 07]],-1)-1),"")</f>
        <v>45831</v>
      </c>
      <c r="Y483" s="10" t="str">
        <f ca="1">IF(reading[[#This Row],[Next]]&lt;&gt;"",IF(reading[[#This Row],[Next]]&gt;TODAY(),"OK",""),"")</f>
        <v/>
      </c>
      <c r="Z483" s="13">
        <v>3</v>
      </c>
      <c r="AA483" s="13">
        <v>2</v>
      </c>
      <c r="AB483" s="13">
        <v>3</v>
      </c>
      <c r="AC483" s="13">
        <v>3</v>
      </c>
      <c r="AD483" s="13">
        <v>3</v>
      </c>
      <c r="AE483" s="13">
        <v>1</v>
      </c>
      <c r="AF483" s="13"/>
      <c r="AG483" s="16">
        <f>IFERROR(SUMIF(reading[[#This Row],[1st]:[7th]],"&gt;0")/COUNTIF(reading[[#This Row],[1st]:[7th]],"&gt;0"),"")</f>
        <v>2.5</v>
      </c>
    </row>
    <row r="484" spans="1:33" hidden="1" x14ac:dyDescent="0.2">
      <c r="A484" s="4">
        <f>IF(B484=1,3,IF(D484=1,2,IF(F484=1,1,0)))</f>
        <v>0</v>
      </c>
      <c r="B484" s="4" t="str">
        <f>IF(C484=$L484,1,IF(C484="","",0))</f>
        <v/>
      </c>
      <c r="C484" s="42"/>
      <c r="D484" s="4" t="str">
        <f>IF(E484=$L484,1,IF(E484="","",0))</f>
        <v/>
      </c>
      <c r="E484" s="23"/>
      <c r="F484" s="4" t="str">
        <f>IF(G484=$L484,1,IF(G484="","",0))</f>
        <v/>
      </c>
      <c r="G484" s="14"/>
      <c r="H484" s="6">
        <v>637</v>
      </c>
      <c r="I484" s="15" t="s">
        <v>3120</v>
      </c>
      <c r="J484" s="6" t="s">
        <v>3778</v>
      </c>
      <c r="K484" s="6"/>
      <c r="L484" s="6" t="s">
        <v>760</v>
      </c>
      <c r="M484" s="6" t="s">
        <v>6746</v>
      </c>
      <c r="N484" s="7">
        <f ca="1">RAND()</f>
        <v>0.61166718618140681</v>
      </c>
      <c r="O484" s="8">
        <v>45202</v>
      </c>
      <c r="P484" s="8">
        <v>45203</v>
      </c>
      <c r="Q484" s="8">
        <v>45205</v>
      </c>
      <c r="R484" s="8">
        <v>45209</v>
      </c>
      <c r="S484" s="8">
        <v>45216</v>
      </c>
      <c r="T484" s="8">
        <v>45228</v>
      </c>
      <c r="U484" s="8">
        <v>45777</v>
      </c>
      <c r="V484" s="10">
        <f>COUNTA(O484:U484)</f>
        <v>7</v>
      </c>
      <c r="W484" s="11">
        <f>_xlfn.IFNA(INDEX(reading[[#This Row],[Memo 01]:[Memo 07]],MATCH(0,reading[[#This Row],[Memo 01]:[Memo 07]],-1)),"")</f>
        <v>45777</v>
      </c>
      <c r="X484" s="11">
        <f ca="1">IFERROR(reading[[#This Row],[Previous]]+OFFSET(reading[[#Headers],[Memo 01]],-1,MATCH(0,reading[[#This Row],[Memo 01]:[Memo 07]],-1)-1),"")</f>
        <v>55777</v>
      </c>
      <c r="Y484" s="10" t="str">
        <f ca="1">IF(reading[[#This Row],[Next]]&lt;&gt;"",IF(reading[[#This Row],[Next]]&gt;TODAY(),"OK",""),"")</f>
        <v>OK</v>
      </c>
      <c r="Z484" s="13">
        <v>3</v>
      </c>
      <c r="AA484" s="13">
        <v>2</v>
      </c>
      <c r="AB484" s="13">
        <v>3</v>
      </c>
      <c r="AC484" s="13">
        <v>2</v>
      </c>
      <c r="AD484" s="13">
        <v>3</v>
      </c>
      <c r="AE484" s="13">
        <v>3</v>
      </c>
      <c r="AF484" s="13">
        <v>3</v>
      </c>
      <c r="AG484" s="16">
        <f>IFERROR(SUMIF(reading[[#This Row],[1st]:[7th]],"&gt;0")/COUNTIF(reading[[#This Row],[1st]:[7th]],"&gt;0"),"")</f>
        <v>2.7142857142857144</v>
      </c>
    </row>
    <row r="485" spans="1:33" hidden="1" x14ac:dyDescent="0.2">
      <c r="A485" s="4">
        <f>IF(B485=1,3,IF(D485=1,2,IF(F485=1,1,0)))</f>
        <v>0</v>
      </c>
      <c r="B485" s="4" t="str">
        <f>IF(C485=$L485,1,IF(C485="","",0))</f>
        <v/>
      </c>
      <c r="C485" s="42"/>
      <c r="D485" s="4" t="str">
        <f>IF(E485=$L485,1,IF(E485="","",0))</f>
        <v/>
      </c>
      <c r="E485" s="18"/>
      <c r="F485" s="4" t="str">
        <f>IF(G485=$L485,1,IF(G485="","",0))</f>
        <v/>
      </c>
      <c r="G485" s="14"/>
      <c r="H485" s="6">
        <v>1252</v>
      </c>
      <c r="I485" s="15" t="s">
        <v>3120</v>
      </c>
      <c r="J485" s="6" t="s">
        <v>4369</v>
      </c>
      <c r="K485" s="6"/>
      <c r="L485" s="6" t="s">
        <v>1352</v>
      </c>
      <c r="M485" s="6" t="s">
        <v>7359</v>
      </c>
      <c r="N485" s="7">
        <f ca="1">RAND()</f>
        <v>6.7543154310102271E-2</v>
      </c>
      <c r="O485" s="8">
        <v>45207</v>
      </c>
      <c r="P485" s="8">
        <v>45208</v>
      </c>
      <c r="Q485" s="8">
        <v>45210</v>
      </c>
      <c r="R485" s="8">
        <v>45214</v>
      </c>
      <c r="S485" s="8">
        <v>45221</v>
      </c>
      <c r="T485" s="8">
        <v>45233</v>
      </c>
      <c r="U485" s="8">
        <v>45777</v>
      </c>
      <c r="V485" s="10">
        <f>COUNTA(O485:U485)</f>
        <v>7</v>
      </c>
      <c r="W485" s="11">
        <f>_xlfn.IFNA(INDEX(reading[[#This Row],[Memo 01]:[Memo 07]],MATCH(0,reading[[#This Row],[Memo 01]:[Memo 07]],-1)),"")</f>
        <v>45777</v>
      </c>
      <c r="X485" s="11">
        <f ca="1">IFERROR(reading[[#This Row],[Previous]]+OFFSET(reading[[#Headers],[Memo 01]],-1,MATCH(0,reading[[#This Row],[Memo 01]:[Memo 07]],-1)-1),"")</f>
        <v>55777</v>
      </c>
      <c r="Y485" s="10" t="str">
        <f ca="1">IF(reading[[#This Row],[Next]]&lt;&gt;"",IF(reading[[#This Row],[Next]]&gt;TODAY(),"OK",""),"")</f>
        <v>OK</v>
      </c>
      <c r="Z485" s="13">
        <v>3</v>
      </c>
      <c r="AA485" s="13">
        <v>3</v>
      </c>
      <c r="AB485" s="13">
        <v>3</v>
      </c>
      <c r="AC485" s="13">
        <v>2</v>
      </c>
      <c r="AD485" s="13">
        <v>2</v>
      </c>
      <c r="AE485" s="13">
        <v>3</v>
      </c>
      <c r="AF485" s="13">
        <v>3</v>
      </c>
      <c r="AG485" s="16">
        <f>IFERROR(SUMIF(reading[[#This Row],[1st]:[7th]],"&gt;0")/COUNTIF(reading[[#This Row],[1st]:[7th]],"&gt;0"),"")</f>
        <v>2.7142857142857144</v>
      </c>
    </row>
    <row r="486" spans="1:33" hidden="1" x14ac:dyDescent="0.2">
      <c r="A486" s="4">
        <f>IF(B486=1,3,IF(D486=1,2,IF(F486=1,1,0)))</f>
        <v>0</v>
      </c>
      <c r="B486" s="4" t="str">
        <f>IF(C486=$L486,1,IF(C486="","",0))</f>
        <v/>
      </c>
      <c r="C486" s="42"/>
      <c r="D486" s="4" t="str">
        <f>IF(E486=$L486,1,IF(E486="","",0))</f>
        <v/>
      </c>
      <c r="E486" s="23"/>
      <c r="F486" s="4" t="str">
        <f>IF(G486=$L486,1,IF(G486="","",0))</f>
        <v/>
      </c>
      <c r="G486" s="14"/>
      <c r="H486" s="6">
        <v>1460</v>
      </c>
      <c r="I486" s="15" t="s">
        <v>3120</v>
      </c>
      <c r="J486" s="6" t="s">
        <v>4574</v>
      </c>
      <c r="K486" s="6"/>
      <c r="L486" s="6" t="s">
        <v>1547</v>
      </c>
      <c r="M486" s="6" t="s">
        <v>7567</v>
      </c>
      <c r="N486" s="7">
        <f ca="1">RAND()</f>
        <v>0.43093899163798444</v>
      </c>
      <c r="O486" s="8">
        <v>45208</v>
      </c>
      <c r="P486" s="8">
        <v>45209</v>
      </c>
      <c r="Q486" s="8">
        <v>45211</v>
      </c>
      <c r="R486" s="8">
        <v>45215</v>
      </c>
      <c r="S486" s="8">
        <v>45222</v>
      </c>
      <c r="T486" s="8">
        <v>45234</v>
      </c>
      <c r="U486" s="8">
        <v>45783</v>
      </c>
      <c r="V486" s="10">
        <f>COUNTA(O486:U486)</f>
        <v>7</v>
      </c>
      <c r="W486" s="11">
        <f>_xlfn.IFNA(INDEX(reading[[#This Row],[Memo 01]:[Memo 07]],MATCH(0,reading[[#This Row],[Memo 01]:[Memo 07]],-1)),"")</f>
        <v>45783</v>
      </c>
      <c r="X486" s="11">
        <f ca="1">IFERROR(reading[[#This Row],[Previous]]+OFFSET(reading[[#Headers],[Memo 01]],-1,MATCH(0,reading[[#This Row],[Memo 01]:[Memo 07]],-1)-1),"")</f>
        <v>55783</v>
      </c>
      <c r="Y486" s="10" t="str">
        <f ca="1">IF(reading[[#This Row],[Next]]&lt;&gt;"",IF(reading[[#This Row],[Next]]&gt;TODAY(),"OK",""),"")</f>
        <v>OK</v>
      </c>
      <c r="Z486" s="13">
        <v>3</v>
      </c>
      <c r="AA486" s="13">
        <v>2</v>
      </c>
      <c r="AB486" s="13">
        <v>3</v>
      </c>
      <c r="AC486" s="13">
        <v>2</v>
      </c>
      <c r="AD486" s="13">
        <v>3</v>
      </c>
      <c r="AE486" s="13">
        <v>3</v>
      </c>
      <c r="AF486" s="13">
        <v>3</v>
      </c>
      <c r="AG486" s="16">
        <f>IFERROR(SUMIF(reading[[#This Row],[1st]:[7th]],"&gt;0")/COUNTIF(reading[[#This Row],[1st]:[7th]],"&gt;0"),"")</f>
        <v>2.7142857142857144</v>
      </c>
    </row>
    <row r="487" spans="1:33" hidden="1" x14ac:dyDescent="0.2">
      <c r="A487" s="4">
        <f>IF(B487=1,3,IF(D487=1,2,IF(F487=1,1,0)))</f>
        <v>0</v>
      </c>
      <c r="B487" s="4" t="str">
        <f>IF(C487=$L487,1,IF(C487="","",0))</f>
        <v/>
      </c>
      <c r="C487" s="42"/>
      <c r="D487" s="4" t="str">
        <f>IF(E487=$L487,1,IF(E487="","",0))</f>
        <v/>
      </c>
      <c r="E487" s="18"/>
      <c r="F487" s="4" t="str">
        <f>IF(G487=$L487,1,IF(G487="","",0))</f>
        <v/>
      </c>
      <c r="G487" s="14"/>
      <c r="H487" s="6">
        <v>387</v>
      </c>
      <c r="I487" s="15" t="s">
        <v>3120</v>
      </c>
      <c r="J487" s="6" t="s">
        <v>3533</v>
      </c>
      <c r="K487" s="6"/>
      <c r="L487" s="6" t="s">
        <v>519</v>
      </c>
      <c r="M487" s="6" t="s">
        <v>6496</v>
      </c>
      <c r="N487" s="7">
        <f ca="1">RAND()</f>
        <v>0.73328004397849944</v>
      </c>
      <c r="O487" s="8">
        <v>45201</v>
      </c>
      <c r="P487" s="8">
        <v>45202</v>
      </c>
      <c r="Q487" s="8">
        <v>45204</v>
      </c>
      <c r="R487" s="8">
        <v>45208</v>
      </c>
      <c r="S487" s="8">
        <v>45215</v>
      </c>
      <c r="T487" s="8">
        <v>45227</v>
      </c>
      <c r="U487" s="8">
        <v>45777</v>
      </c>
      <c r="V487" s="10">
        <f>COUNTA(O487:U487)</f>
        <v>7</v>
      </c>
      <c r="W487" s="11">
        <f>_xlfn.IFNA(INDEX(reading[[#This Row],[Memo 01]:[Memo 07]],MATCH(0,reading[[#This Row],[Memo 01]:[Memo 07]],-1)),"")</f>
        <v>45777</v>
      </c>
      <c r="X487" s="11">
        <f ca="1">IFERROR(reading[[#This Row],[Previous]]+OFFSET(reading[[#Headers],[Memo 01]],-1,MATCH(0,reading[[#This Row],[Memo 01]:[Memo 07]],-1)-1),"")</f>
        <v>55777</v>
      </c>
      <c r="Y487" s="10" t="str">
        <f ca="1">IF(reading[[#This Row],[Next]]&lt;&gt;"",IF(reading[[#This Row],[Next]]&gt;TODAY(),"OK",""),"")</f>
        <v>OK</v>
      </c>
      <c r="Z487" s="13">
        <v>3</v>
      </c>
      <c r="AA487" s="13">
        <v>3</v>
      </c>
      <c r="AB487" s="13">
        <v>2</v>
      </c>
      <c r="AC487" s="13">
        <v>3</v>
      </c>
      <c r="AD487" s="13">
        <v>3</v>
      </c>
      <c r="AE487" s="13">
        <v>2</v>
      </c>
      <c r="AF487" s="13">
        <v>3</v>
      </c>
      <c r="AG487" s="16">
        <f>IFERROR(SUMIF(reading[[#This Row],[1st]:[7th]],"&gt;0")/COUNTIF(reading[[#This Row],[1st]:[7th]],"&gt;0"),"")</f>
        <v>2.7142857142857144</v>
      </c>
    </row>
    <row r="488" spans="1:33" hidden="1" x14ac:dyDescent="0.2">
      <c r="A488" s="4">
        <f>IF(B488=1,3,IF(D488=1,2,IF(F488=1,1,0)))</f>
        <v>0</v>
      </c>
      <c r="B488" s="4" t="str">
        <f>IF(C488=$L488,1,IF(C488="","",0))</f>
        <v/>
      </c>
      <c r="C488" s="42"/>
      <c r="D488" s="4" t="str">
        <f>IF(E488=$L488,1,IF(E488="","",0))</f>
        <v/>
      </c>
      <c r="E488" s="23"/>
      <c r="F488" s="4" t="str">
        <f>IF(G488=$L488,1,IF(G488="","",0))</f>
        <v/>
      </c>
      <c r="G488" s="14"/>
      <c r="H488" s="6">
        <v>3030</v>
      </c>
      <c r="I488" s="15" t="s">
        <v>3120</v>
      </c>
      <c r="J488" s="6" t="s">
        <v>6053</v>
      </c>
      <c r="K488" s="15" t="s">
        <v>3139</v>
      </c>
      <c r="L488" s="6" t="s">
        <v>120</v>
      </c>
      <c r="M488" s="6" t="s">
        <v>9133</v>
      </c>
      <c r="N488" s="7">
        <f ca="1">RAND()</f>
        <v>0.64219488614891374</v>
      </c>
      <c r="O488" s="8">
        <v>45224</v>
      </c>
      <c r="P488" s="8">
        <v>45225</v>
      </c>
      <c r="Q488" s="8">
        <v>45227</v>
      </c>
      <c r="R488" s="8">
        <v>45231</v>
      </c>
      <c r="S488" s="8">
        <v>45250</v>
      </c>
      <c r="T488" s="8">
        <v>45825</v>
      </c>
      <c r="U488" s="8"/>
      <c r="V488" s="10">
        <f>COUNTA(O488:U488)</f>
        <v>6</v>
      </c>
      <c r="W488" s="11">
        <f>_xlfn.IFNA(INDEX(reading[[#This Row],[Memo 01]:[Memo 07]],MATCH(0,reading[[#This Row],[Memo 01]:[Memo 07]],-1)),"")</f>
        <v>45825</v>
      </c>
      <c r="X488" s="11">
        <f ca="1">IFERROR(reading[[#This Row],[Previous]]+OFFSET(reading[[#Headers],[Memo 01]],-1,MATCH(0,reading[[#This Row],[Memo 01]:[Memo 07]],-1)-1),"")</f>
        <v>45845</v>
      </c>
      <c r="Y488" s="10" t="str">
        <f ca="1">IF(reading[[#This Row],[Next]]&lt;&gt;"",IF(reading[[#This Row],[Next]]&gt;TODAY(),"OK",""),"")</f>
        <v>OK</v>
      </c>
      <c r="Z488" s="13">
        <v>3</v>
      </c>
      <c r="AA488" s="13">
        <v>3</v>
      </c>
      <c r="AB488" s="13">
        <v>3</v>
      </c>
      <c r="AC488" s="13">
        <v>3</v>
      </c>
      <c r="AD488" s="13">
        <v>2</v>
      </c>
      <c r="AE488" s="13">
        <v>2</v>
      </c>
      <c r="AF488" s="13"/>
      <c r="AG488" s="16">
        <f>IFERROR(SUMIF(reading[[#This Row],[1st]:[7th]],"&gt;0")/COUNTIF(reading[[#This Row],[1st]:[7th]],"&gt;0"),"")</f>
        <v>2.6666666666666665</v>
      </c>
    </row>
    <row r="489" spans="1:33" hidden="1" x14ac:dyDescent="0.2">
      <c r="A489" s="4">
        <f>IF(B489=1,3,IF(D489=1,2,IF(F489=1,1,0)))</f>
        <v>0</v>
      </c>
      <c r="B489" s="4" t="str">
        <f>IF(C489=$L489,1,IF(C489="","",0))</f>
        <v/>
      </c>
      <c r="C489" s="42"/>
      <c r="D489" s="4" t="str">
        <f>IF(E489=$L489,1,IF(E489="","",0))</f>
        <v/>
      </c>
      <c r="E489" s="18"/>
      <c r="F489" s="4" t="str">
        <f>IF(G489=$L489,1,IF(G489="","",0))</f>
        <v/>
      </c>
      <c r="G489" s="14"/>
      <c r="H489" s="6">
        <v>536</v>
      </c>
      <c r="I489" s="15" t="s">
        <v>3120</v>
      </c>
      <c r="J489" s="6" t="s">
        <v>3681</v>
      </c>
      <c r="K489" s="6"/>
      <c r="L489" s="6" t="s">
        <v>664</v>
      </c>
      <c r="M489" s="6" t="s">
        <v>6645</v>
      </c>
      <c r="N489" s="7">
        <f ca="1">RAND()</f>
        <v>0.59744782612346636</v>
      </c>
      <c r="O489" s="8">
        <v>45202</v>
      </c>
      <c r="P489" s="8">
        <v>45203</v>
      </c>
      <c r="Q489" s="8">
        <v>45205</v>
      </c>
      <c r="R489" s="8">
        <v>45209</v>
      </c>
      <c r="S489" s="8">
        <v>45216</v>
      </c>
      <c r="T489" s="8">
        <v>45228</v>
      </c>
      <c r="U489" s="8">
        <v>45792</v>
      </c>
      <c r="V489" s="10">
        <f>COUNTA(O489:U489)</f>
        <v>7</v>
      </c>
      <c r="W489" s="11">
        <f>_xlfn.IFNA(INDEX(reading[[#This Row],[Memo 01]:[Memo 07]],MATCH(0,reading[[#This Row],[Memo 01]:[Memo 07]],-1)),"")</f>
        <v>45792</v>
      </c>
      <c r="X489" s="11">
        <f ca="1">IFERROR(reading[[#This Row],[Previous]]+OFFSET(reading[[#Headers],[Memo 01]],-1,MATCH(0,reading[[#This Row],[Memo 01]:[Memo 07]],-1)-1),"")</f>
        <v>55792</v>
      </c>
      <c r="Y489" s="10" t="str">
        <f ca="1">IF(reading[[#This Row],[Next]]&lt;&gt;"",IF(reading[[#This Row],[Next]]&gt;TODAY(),"OK",""),"")</f>
        <v>OK</v>
      </c>
      <c r="Z489" s="13">
        <v>3</v>
      </c>
      <c r="AA489" s="13">
        <v>3</v>
      </c>
      <c r="AB489" s="13">
        <v>3</v>
      </c>
      <c r="AC489" s="13">
        <v>3</v>
      </c>
      <c r="AD489" s="13">
        <v>2</v>
      </c>
      <c r="AE489" s="13">
        <v>3</v>
      </c>
      <c r="AF489" s="13">
        <v>3</v>
      </c>
      <c r="AG489" s="16">
        <f>IFERROR(SUMIF(reading[[#This Row],[1st]:[7th]],"&gt;0")/COUNTIF(reading[[#This Row],[1st]:[7th]],"&gt;0"),"")</f>
        <v>2.8571428571428572</v>
      </c>
    </row>
    <row r="490" spans="1:33" hidden="1" x14ac:dyDescent="0.2">
      <c r="A490" s="4">
        <f>IF(B490=1,3,IF(D490=1,2,IF(F490=1,1,0)))</f>
        <v>0</v>
      </c>
      <c r="B490" s="4" t="str">
        <f>IF(C490=$L490,1,IF(C490="","",0))</f>
        <v/>
      </c>
      <c r="C490" s="42"/>
      <c r="D490" s="4" t="str">
        <f>IF(E490=$L490,1,IF(E490="","",0))</f>
        <v/>
      </c>
      <c r="E490" s="43"/>
      <c r="F490" s="4" t="str">
        <f>IF(G490=$L490,1,IF(G490="","",0))</f>
        <v/>
      </c>
      <c r="G490" s="14"/>
      <c r="H490" s="6">
        <v>1711</v>
      </c>
      <c r="I490" s="15" t="s">
        <v>3120</v>
      </c>
      <c r="J490" s="6" t="s">
        <v>3993</v>
      </c>
      <c r="K490" s="6"/>
      <c r="L490" s="6" t="s">
        <v>1791</v>
      </c>
      <c r="M490" s="6" t="s">
        <v>7817</v>
      </c>
      <c r="N490" s="7">
        <f ca="1">RAND()</f>
        <v>0.19347152575838544</v>
      </c>
      <c r="O490" s="8">
        <v>45211</v>
      </c>
      <c r="P490" s="8">
        <v>45212</v>
      </c>
      <c r="Q490" s="8">
        <v>45214</v>
      </c>
      <c r="R490" s="8">
        <v>45218</v>
      </c>
      <c r="S490" s="8">
        <v>45225</v>
      </c>
      <c r="T490" s="8">
        <v>45237</v>
      </c>
      <c r="U490" s="8">
        <v>45811</v>
      </c>
      <c r="V490" s="10">
        <f>COUNTA(O490:U490)</f>
        <v>7</v>
      </c>
      <c r="W490" s="11">
        <f>_xlfn.IFNA(INDEX(reading[[#This Row],[Memo 01]:[Memo 07]],MATCH(0,reading[[#This Row],[Memo 01]:[Memo 07]],-1)),"")</f>
        <v>45811</v>
      </c>
      <c r="X490" s="11">
        <f ca="1">IFERROR(reading[[#This Row],[Previous]]+OFFSET(reading[[#Headers],[Memo 01]],-1,MATCH(0,reading[[#This Row],[Memo 01]:[Memo 07]],-1)-1),"")</f>
        <v>55811</v>
      </c>
      <c r="Y490" s="10" t="str">
        <f ca="1">IF(reading[[#This Row],[Next]]&lt;&gt;"",IF(reading[[#This Row],[Next]]&gt;TODAY(),"OK",""),"")</f>
        <v>OK</v>
      </c>
      <c r="Z490" s="13">
        <v>3</v>
      </c>
      <c r="AA490" s="13">
        <v>3</v>
      </c>
      <c r="AB490" s="13">
        <v>2</v>
      </c>
      <c r="AC490" s="13">
        <v>3</v>
      </c>
      <c r="AD490" s="13">
        <v>3</v>
      </c>
      <c r="AE490" s="13">
        <v>3</v>
      </c>
      <c r="AF490" s="13">
        <v>2</v>
      </c>
      <c r="AG490" s="16">
        <f>IFERROR(SUMIF(reading[[#This Row],[1st]:[7th]],"&gt;0")/COUNTIF(reading[[#This Row],[1st]:[7th]],"&gt;0"),"")</f>
        <v>2.7142857142857144</v>
      </c>
    </row>
    <row r="491" spans="1:33" hidden="1" x14ac:dyDescent="0.2">
      <c r="A491" s="4">
        <f>IF(B491=1,3,IF(D491=1,2,IF(F491=1,1,0)))</f>
        <v>0</v>
      </c>
      <c r="B491" s="4" t="str">
        <f>IF(C491=$L491,1,IF(C491="","",0))</f>
        <v/>
      </c>
      <c r="C491" s="42"/>
      <c r="D491" s="4" t="str">
        <f>IF(E491=$L491,1,IF(E491="","",0))</f>
        <v/>
      </c>
      <c r="E491" s="14"/>
      <c r="F491" s="4" t="str">
        <f>IF(G491=$L491,1,IF(G491="","",0))</f>
        <v/>
      </c>
      <c r="G491" s="14"/>
      <c r="H491" s="6">
        <v>1943</v>
      </c>
      <c r="I491" s="15" t="s">
        <v>3120</v>
      </c>
      <c r="J491" s="6" t="s">
        <v>5042</v>
      </c>
      <c r="K491" s="6"/>
      <c r="L491" s="6" t="s">
        <v>2019</v>
      </c>
      <c r="M491" s="6" t="s">
        <v>8049</v>
      </c>
      <c r="N491" s="7">
        <f ca="1">RAND()</f>
        <v>0.71226095955908209</v>
      </c>
      <c r="O491" s="8">
        <v>45212</v>
      </c>
      <c r="P491" s="8">
        <v>45213</v>
      </c>
      <c r="Q491" s="8">
        <v>45215</v>
      </c>
      <c r="R491" s="8">
        <v>45219</v>
      </c>
      <c r="S491" s="8">
        <v>45226</v>
      </c>
      <c r="T491" s="8">
        <v>45818</v>
      </c>
      <c r="U491" s="8"/>
      <c r="V491" s="10">
        <f>COUNTA(O491:U491)</f>
        <v>6</v>
      </c>
      <c r="W491" s="11">
        <f>_xlfn.IFNA(INDEX(reading[[#This Row],[Memo 01]:[Memo 07]],MATCH(0,reading[[#This Row],[Memo 01]:[Memo 07]],-1)),"")</f>
        <v>45818</v>
      </c>
      <c r="X491" s="11">
        <f ca="1">IFERROR(reading[[#This Row],[Previous]]+OFFSET(reading[[#Headers],[Memo 01]],-1,MATCH(0,reading[[#This Row],[Memo 01]:[Memo 07]],-1)-1),"")</f>
        <v>45838</v>
      </c>
      <c r="Y491" s="10" t="str">
        <f ca="1">IF(reading[[#This Row],[Next]]&lt;&gt;"",IF(reading[[#This Row],[Next]]&gt;TODAY(),"OK",""),"")</f>
        <v>OK</v>
      </c>
      <c r="Z491" s="13">
        <v>3</v>
      </c>
      <c r="AA491" s="13">
        <v>3</v>
      </c>
      <c r="AB491" s="13">
        <v>3</v>
      </c>
      <c r="AC491" s="13">
        <v>3</v>
      </c>
      <c r="AD491" s="13">
        <v>3</v>
      </c>
      <c r="AE491" s="13">
        <v>3</v>
      </c>
      <c r="AF491" s="13"/>
      <c r="AG491" s="16">
        <f>IFERROR(SUMIF(reading[[#This Row],[1st]:[7th]],"&gt;0")/COUNTIF(reading[[#This Row],[1st]:[7th]],"&gt;0"),"")</f>
        <v>3</v>
      </c>
    </row>
    <row r="492" spans="1:33" hidden="1" x14ac:dyDescent="0.2">
      <c r="A492" s="4">
        <f>IF(B492=1,3,IF(D492=1,2,IF(F492=1,1,0)))</f>
        <v>0</v>
      </c>
      <c r="B492" s="4" t="str">
        <f>IF(C492=$L492,1,IF(C492="","",0))</f>
        <v/>
      </c>
      <c r="C492" s="42"/>
      <c r="D492" s="4" t="str">
        <f>IF(E492=$L492,1,IF(E492="","",0))</f>
        <v/>
      </c>
      <c r="E492" s="14"/>
      <c r="F492" s="4" t="str">
        <f>IF(G492=$L492,1,IF(G492="","",0))</f>
        <v/>
      </c>
      <c r="G492" s="14"/>
      <c r="H492" s="6">
        <v>1865</v>
      </c>
      <c r="I492" s="15" t="s">
        <v>3120</v>
      </c>
      <c r="J492" s="6" t="s">
        <v>4967</v>
      </c>
      <c r="K492" s="6"/>
      <c r="L492" s="6" t="s">
        <v>1943</v>
      </c>
      <c r="M492" s="6" t="s">
        <v>7971</v>
      </c>
      <c r="N492" s="7">
        <f ca="1">RAND()</f>
        <v>0.12477209925076915</v>
      </c>
      <c r="O492" s="8">
        <v>45213</v>
      </c>
      <c r="P492" s="8">
        <v>45214</v>
      </c>
      <c r="Q492" s="8">
        <v>45216</v>
      </c>
      <c r="R492" s="8">
        <v>45220</v>
      </c>
      <c r="S492" s="8">
        <v>45227</v>
      </c>
      <c r="T492" s="8">
        <v>45818</v>
      </c>
      <c r="U492" s="8"/>
      <c r="V492" s="10">
        <f>COUNTA(O492:U492)</f>
        <v>6</v>
      </c>
      <c r="W492" s="11">
        <f>_xlfn.IFNA(INDEX(reading[[#This Row],[Memo 01]:[Memo 07]],MATCH(0,reading[[#This Row],[Memo 01]:[Memo 07]],-1)),"")</f>
        <v>45818</v>
      </c>
      <c r="X492" s="11">
        <f ca="1">IFERROR(reading[[#This Row],[Previous]]+OFFSET(reading[[#Headers],[Memo 01]],-1,MATCH(0,reading[[#This Row],[Memo 01]:[Memo 07]],-1)-1),"")</f>
        <v>45838</v>
      </c>
      <c r="Y492" s="10" t="str">
        <f ca="1">IF(reading[[#This Row],[Next]]&lt;&gt;"",IF(reading[[#This Row],[Next]]&gt;TODAY(),"OK",""),"")</f>
        <v>OK</v>
      </c>
      <c r="Z492" s="13">
        <v>3</v>
      </c>
      <c r="AA492" s="13">
        <v>3</v>
      </c>
      <c r="AB492" s="13">
        <v>3</v>
      </c>
      <c r="AC492" s="13">
        <v>3</v>
      </c>
      <c r="AD492" s="13">
        <v>3</v>
      </c>
      <c r="AE492" s="13">
        <v>3</v>
      </c>
      <c r="AF492" s="13"/>
      <c r="AG492" s="16">
        <f>IFERROR(SUMIF(reading[[#This Row],[1st]:[7th]],"&gt;0")/COUNTIF(reading[[#This Row],[1st]:[7th]],"&gt;0"),"")</f>
        <v>3</v>
      </c>
    </row>
    <row r="493" spans="1:33" hidden="1" x14ac:dyDescent="0.2">
      <c r="A493" s="4">
        <f>IF(B493=1,3,IF(D493=1,2,IF(F493=1,1,0)))</f>
        <v>0</v>
      </c>
      <c r="B493" s="4" t="str">
        <f>IF(C493=$L493,1,IF(C493="","",0))</f>
        <v/>
      </c>
      <c r="C493" s="42"/>
      <c r="D493" s="4" t="str">
        <f>IF(E493=$L493,1,IF(E493="","",0))</f>
        <v/>
      </c>
      <c r="E493" s="14"/>
      <c r="F493" s="4" t="str">
        <f>IF(G493=$L493,1,IF(G493="","",0))</f>
        <v/>
      </c>
      <c r="G493" s="14"/>
      <c r="H493" s="6">
        <v>426</v>
      </c>
      <c r="I493" s="15" t="s">
        <v>3120</v>
      </c>
      <c r="J493" s="6" t="s">
        <v>3572</v>
      </c>
      <c r="K493" s="6"/>
      <c r="L493" s="6" t="s">
        <v>556</v>
      </c>
      <c r="M493" s="6" t="s">
        <v>6535</v>
      </c>
      <c r="N493" s="7">
        <f ca="1">RAND()</f>
        <v>6.72734417572739E-2</v>
      </c>
      <c r="O493" s="8">
        <v>45201</v>
      </c>
      <c r="P493" s="8">
        <v>45202</v>
      </c>
      <c r="Q493" s="8">
        <v>45204</v>
      </c>
      <c r="R493" s="8">
        <v>45208</v>
      </c>
      <c r="S493" s="8">
        <v>45215</v>
      </c>
      <c r="T493" s="8">
        <v>45227</v>
      </c>
      <c r="U493" s="8">
        <v>45783</v>
      </c>
      <c r="V493" s="10">
        <f>COUNTA(O493:U493)</f>
        <v>7</v>
      </c>
      <c r="W493" s="11">
        <f>_xlfn.IFNA(INDEX(reading[[#This Row],[Memo 01]:[Memo 07]],MATCH(0,reading[[#This Row],[Memo 01]:[Memo 07]],-1)),"")</f>
        <v>45783</v>
      </c>
      <c r="X493" s="11">
        <f ca="1">IFERROR(reading[[#This Row],[Previous]]+OFFSET(reading[[#Headers],[Memo 01]],-1,MATCH(0,reading[[#This Row],[Memo 01]:[Memo 07]],-1)-1),"")</f>
        <v>55783</v>
      </c>
      <c r="Y493" s="10" t="str">
        <f ca="1">IF(reading[[#This Row],[Next]]&lt;&gt;"",IF(reading[[#This Row],[Next]]&gt;TODAY(),"OK",""),"")</f>
        <v>OK</v>
      </c>
      <c r="Z493" s="13">
        <v>3</v>
      </c>
      <c r="AA493" s="13">
        <v>3</v>
      </c>
      <c r="AB493" s="13">
        <v>3</v>
      </c>
      <c r="AC493" s="13">
        <v>3</v>
      </c>
      <c r="AD493" s="13">
        <v>3</v>
      </c>
      <c r="AE493" s="13">
        <v>3</v>
      </c>
      <c r="AF493" s="13">
        <v>3</v>
      </c>
      <c r="AG493" s="16">
        <f>IFERROR(SUMIF(reading[[#This Row],[1st]:[7th]],"&gt;0")/COUNTIF(reading[[#This Row],[1st]:[7th]],"&gt;0"),"")</f>
        <v>3</v>
      </c>
    </row>
    <row r="494" spans="1:33" hidden="1" x14ac:dyDescent="0.2">
      <c r="A494" s="4">
        <f>IF(B494=1,3,IF(D494=1,2,IF(F494=1,1,0)))</f>
        <v>0</v>
      </c>
      <c r="B494" s="4" t="str">
        <f>IF(C494=$L494,1,IF(C494="","",0))</f>
        <v/>
      </c>
      <c r="C494" s="42"/>
      <c r="D494" s="4" t="str">
        <f>IF(E494=$L494,1,IF(E494="","",0))</f>
        <v/>
      </c>
      <c r="E494" s="14"/>
      <c r="F494" s="4" t="str">
        <f>IF(G494=$L494,1,IF(G494="","",0))</f>
        <v/>
      </c>
      <c r="G494" s="14"/>
      <c r="H494" s="6">
        <v>531</v>
      </c>
      <c r="I494" s="15" t="s">
        <v>3120</v>
      </c>
      <c r="J494" s="6" t="s">
        <v>3676</v>
      </c>
      <c r="K494" s="6"/>
      <c r="L494" s="6" t="s">
        <v>659</v>
      </c>
      <c r="M494" s="6" t="s">
        <v>6640</v>
      </c>
      <c r="N494" s="7">
        <f ca="1">RAND()</f>
        <v>0.58292000118482057</v>
      </c>
      <c r="O494" s="8">
        <v>45202</v>
      </c>
      <c r="P494" s="8">
        <v>45203</v>
      </c>
      <c r="Q494" s="8">
        <v>45205</v>
      </c>
      <c r="R494" s="8">
        <v>45209</v>
      </c>
      <c r="S494" s="8">
        <v>45216</v>
      </c>
      <c r="T494" s="8">
        <v>45228</v>
      </c>
      <c r="U494" s="8">
        <v>45783</v>
      </c>
      <c r="V494" s="10">
        <f>COUNTA(O494:U494)</f>
        <v>7</v>
      </c>
      <c r="W494" s="11">
        <f>_xlfn.IFNA(INDEX(reading[[#This Row],[Memo 01]:[Memo 07]],MATCH(0,reading[[#This Row],[Memo 01]:[Memo 07]],-1)),"")</f>
        <v>45783</v>
      </c>
      <c r="X494" s="11">
        <f ca="1">IFERROR(reading[[#This Row],[Previous]]+OFFSET(reading[[#Headers],[Memo 01]],-1,MATCH(0,reading[[#This Row],[Memo 01]:[Memo 07]],-1)-1),"")</f>
        <v>55783</v>
      </c>
      <c r="Y494" s="10" t="str">
        <f ca="1">IF(reading[[#This Row],[Next]]&lt;&gt;"",IF(reading[[#This Row],[Next]]&gt;TODAY(),"OK",""),"")</f>
        <v>OK</v>
      </c>
      <c r="Z494" s="13">
        <v>3</v>
      </c>
      <c r="AA494" s="13">
        <v>3</v>
      </c>
      <c r="AB494" s="13">
        <v>3</v>
      </c>
      <c r="AC494" s="13">
        <v>3</v>
      </c>
      <c r="AD494" s="13">
        <v>3</v>
      </c>
      <c r="AE494" s="13">
        <v>3</v>
      </c>
      <c r="AF494" s="13">
        <v>3</v>
      </c>
      <c r="AG494" s="16">
        <f>IFERROR(SUMIF(reading[[#This Row],[1st]:[7th]],"&gt;0")/COUNTIF(reading[[#This Row],[1st]:[7th]],"&gt;0"),"")</f>
        <v>3</v>
      </c>
    </row>
    <row r="495" spans="1:33" hidden="1" x14ac:dyDescent="0.2">
      <c r="A495" s="4">
        <f>IF(B495=1,3,IF(D495=1,2,IF(F495=1,1,0)))</f>
        <v>0</v>
      </c>
      <c r="B495" s="4" t="str">
        <f>IF(C495=$L495,1,IF(C495="","",0))</f>
        <v/>
      </c>
      <c r="C495" s="42"/>
      <c r="D495" s="4" t="str">
        <f>IF(E495=$L495,1,IF(E495="","",0))</f>
        <v/>
      </c>
      <c r="E495" s="18"/>
      <c r="F495" s="4" t="str">
        <f>IF(G495=$L495,1,IF(G495="","",0))</f>
        <v/>
      </c>
      <c r="G495" s="18"/>
      <c r="H495" s="6">
        <v>1845</v>
      </c>
      <c r="I495" s="15" t="s">
        <v>3120</v>
      </c>
      <c r="J495" s="6" t="s">
        <v>4949</v>
      </c>
      <c r="K495" s="6"/>
      <c r="L495" s="6" t="s">
        <v>1923</v>
      </c>
      <c r="M495" s="6" t="s">
        <v>7951</v>
      </c>
      <c r="N495" s="7">
        <f ca="1">RAND()</f>
        <v>0.8859076432753914</v>
      </c>
      <c r="O495" s="8">
        <v>45213</v>
      </c>
      <c r="P495" s="8">
        <v>45214</v>
      </c>
      <c r="Q495" s="8">
        <v>45216</v>
      </c>
      <c r="R495" s="8">
        <v>45220</v>
      </c>
      <c r="S495" s="8">
        <v>45227</v>
      </c>
      <c r="T495" s="8">
        <v>45250</v>
      </c>
      <c r="U495" s="8">
        <v>45801</v>
      </c>
      <c r="V495" s="10">
        <f>COUNTA(O495:U495)</f>
        <v>7</v>
      </c>
      <c r="W495" s="11">
        <f>_xlfn.IFNA(INDEX(reading[[#This Row],[Memo 01]:[Memo 07]],MATCH(0,reading[[#This Row],[Memo 01]:[Memo 07]],-1)),"")</f>
        <v>45801</v>
      </c>
      <c r="X495" s="11">
        <f ca="1">IFERROR(reading[[#This Row],[Previous]]+OFFSET(reading[[#Headers],[Memo 01]],-1,MATCH(0,reading[[#This Row],[Memo 01]:[Memo 07]],-1)-1),"")</f>
        <v>55801</v>
      </c>
      <c r="Y495" s="10" t="str">
        <f ca="1">IF(reading[[#This Row],[Next]]&lt;&gt;"",IF(reading[[#This Row],[Next]]&gt;TODAY(),"OK",""),"")</f>
        <v>OK</v>
      </c>
      <c r="Z495" s="13">
        <v>3</v>
      </c>
      <c r="AA495" s="13">
        <v>3</v>
      </c>
      <c r="AB495" s="13">
        <v>3</v>
      </c>
      <c r="AC495" s="13">
        <v>1</v>
      </c>
      <c r="AD495" s="13">
        <v>2</v>
      </c>
      <c r="AE495" s="13">
        <v>2</v>
      </c>
      <c r="AF495" s="13">
        <v>3</v>
      </c>
      <c r="AG495" s="16">
        <f>IFERROR(SUMIF(reading[[#This Row],[1st]:[7th]],"&gt;0")/COUNTIF(reading[[#This Row],[1st]:[7th]],"&gt;0"),"")</f>
        <v>2.4285714285714284</v>
      </c>
    </row>
    <row r="496" spans="1:33" hidden="1" x14ac:dyDescent="0.2">
      <c r="A496" s="4">
        <f>IF(B496=1,3,IF(D496=1,2,IF(F496=1,1,0)))</f>
        <v>0</v>
      </c>
      <c r="B496" s="4" t="str">
        <f>IF(C496=$L496,1,IF(C496="","",0))</f>
        <v/>
      </c>
      <c r="C496" s="42"/>
      <c r="D496" s="4" t="str">
        <f>IF(E496=$L496,1,IF(E496="","",0))</f>
        <v/>
      </c>
      <c r="E496" s="14"/>
      <c r="F496" s="4" t="str">
        <f>IF(G496=$L496,1,IF(G496="","",0))</f>
        <v/>
      </c>
      <c r="G496" s="14"/>
      <c r="H496" s="6">
        <v>2494</v>
      </c>
      <c r="I496" s="15" t="s">
        <v>3120</v>
      </c>
      <c r="J496" s="6" t="s">
        <v>5561</v>
      </c>
      <c r="K496" s="6"/>
      <c r="L496" s="6" t="s">
        <v>2540</v>
      </c>
      <c r="M496" s="6" t="s">
        <v>8599</v>
      </c>
      <c r="N496" s="7">
        <f ca="1">RAND()</f>
        <v>0.48565276182613237</v>
      </c>
      <c r="O496" s="8">
        <v>45218</v>
      </c>
      <c r="P496" s="8">
        <v>45219</v>
      </c>
      <c r="Q496" s="8">
        <v>45221</v>
      </c>
      <c r="R496" s="8">
        <v>45225</v>
      </c>
      <c r="S496" s="8">
        <v>45232</v>
      </c>
      <c r="T496" s="8">
        <v>45818</v>
      </c>
      <c r="U496" s="8"/>
      <c r="V496" s="10">
        <f>COUNTA(O496:U496)</f>
        <v>6</v>
      </c>
      <c r="W496" s="11">
        <f>_xlfn.IFNA(INDEX(reading[[#This Row],[Memo 01]:[Memo 07]],MATCH(0,reading[[#This Row],[Memo 01]:[Memo 07]],-1)),"")</f>
        <v>45818</v>
      </c>
      <c r="X496" s="11">
        <f ca="1">IFERROR(reading[[#This Row],[Previous]]+OFFSET(reading[[#Headers],[Memo 01]],-1,MATCH(0,reading[[#This Row],[Memo 01]:[Memo 07]],-1)-1),"")</f>
        <v>45838</v>
      </c>
      <c r="Y496" s="10" t="str">
        <f ca="1">IF(reading[[#This Row],[Next]]&lt;&gt;"",IF(reading[[#This Row],[Next]]&gt;TODAY(),"OK",""),"")</f>
        <v>OK</v>
      </c>
      <c r="Z496" s="13">
        <v>3</v>
      </c>
      <c r="AA496" s="13">
        <v>3</v>
      </c>
      <c r="AB496" s="13">
        <v>3</v>
      </c>
      <c r="AC496" s="13">
        <v>3</v>
      </c>
      <c r="AD496" s="13">
        <v>3</v>
      </c>
      <c r="AE496" s="13">
        <v>3</v>
      </c>
      <c r="AF496" s="13"/>
      <c r="AG496" s="16">
        <f>IFERROR(SUMIF(reading[[#This Row],[1st]:[7th]],"&gt;0")/COUNTIF(reading[[#This Row],[1st]:[7th]],"&gt;0"),"")</f>
        <v>3</v>
      </c>
    </row>
    <row r="497" spans="1:33" hidden="1" x14ac:dyDescent="0.2">
      <c r="A497" s="4">
        <f>IF(B497=1,3,IF(D497=1,2,IF(F497=1,1,0)))</f>
        <v>0</v>
      </c>
      <c r="B497" s="4" t="str">
        <f>IF(C497=$L497,1,IF(C497="","",0))</f>
        <v/>
      </c>
      <c r="C497" s="42"/>
      <c r="D497" s="4" t="str">
        <f>IF(E497=$L497,1,IF(E497="","",0))</f>
        <v/>
      </c>
      <c r="E497" s="18"/>
      <c r="F497" s="4" t="str">
        <f>IF(G497=$L497,1,IF(G497="","",0))</f>
        <v/>
      </c>
      <c r="G497" s="14"/>
      <c r="H497" s="6">
        <v>847</v>
      </c>
      <c r="I497" s="15" t="s">
        <v>3120</v>
      </c>
      <c r="J497" s="6" t="s">
        <v>3979</v>
      </c>
      <c r="K497" s="6"/>
      <c r="L497" s="6" t="s">
        <v>963</v>
      </c>
      <c r="M497" s="6" t="s">
        <v>6956</v>
      </c>
      <c r="N497" s="7">
        <f ca="1">RAND()</f>
        <v>0.72706336167878816</v>
      </c>
      <c r="O497" s="8">
        <v>45204</v>
      </c>
      <c r="P497" s="8">
        <v>45205</v>
      </c>
      <c r="Q497" s="8">
        <v>45207</v>
      </c>
      <c r="R497" s="8">
        <v>45211</v>
      </c>
      <c r="S497" s="8">
        <v>45218</v>
      </c>
      <c r="T497" s="8">
        <v>45230</v>
      </c>
      <c r="U497" s="8">
        <v>45783</v>
      </c>
      <c r="V497" s="10">
        <f>COUNTA(O497:U497)</f>
        <v>7</v>
      </c>
      <c r="W497" s="11">
        <f>_xlfn.IFNA(INDEX(reading[[#This Row],[Memo 01]:[Memo 07]],MATCH(0,reading[[#This Row],[Memo 01]:[Memo 07]],-1)),"")</f>
        <v>45783</v>
      </c>
      <c r="X497" s="11">
        <f ca="1">IFERROR(reading[[#This Row],[Previous]]+OFFSET(reading[[#Headers],[Memo 01]],-1,MATCH(0,reading[[#This Row],[Memo 01]:[Memo 07]],-1)-1),"")</f>
        <v>55783</v>
      </c>
      <c r="Y497" s="10" t="str">
        <f ca="1">IF(reading[[#This Row],[Next]]&lt;&gt;"",IF(reading[[#This Row],[Next]]&gt;TODAY(),"OK",""),"")</f>
        <v>OK</v>
      </c>
      <c r="Z497" s="13">
        <v>3</v>
      </c>
      <c r="AA497" s="13">
        <v>3</v>
      </c>
      <c r="AB497" s="13">
        <v>3</v>
      </c>
      <c r="AC497" s="13">
        <v>3</v>
      </c>
      <c r="AD497" s="13">
        <v>3</v>
      </c>
      <c r="AE497" s="13">
        <v>3</v>
      </c>
      <c r="AF497" s="13">
        <v>3</v>
      </c>
      <c r="AG497" s="16">
        <f>IFERROR(SUMIF(reading[[#This Row],[1st]:[7th]],"&gt;0")/COUNTIF(reading[[#This Row],[1st]:[7th]],"&gt;0"),"")</f>
        <v>3</v>
      </c>
    </row>
    <row r="498" spans="1:33" hidden="1" x14ac:dyDescent="0.2">
      <c r="A498" s="4">
        <f>IF(B498=1,3,IF(D498=1,2,IF(F498=1,1,0)))</f>
        <v>0</v>
      </c>
      <c r="B498" s="4" t="str">
        <f>IF(C498=$L498,1,IF(C498="","",0))</f>
        <v/>
      </c>
      <c r="C498" s="42"/>
      <c r="D498" s="4" t="str">
        <f>IF(E498=$L498,1,IF(E498="","",0))</f>
        <v/>
      </c>
      <c r="E498" s="14"/>
      <c r="F498" s="4" t="str">
        <f>IF(G498=$L498,1,IF(G498="","",0))</f>
        <v/>
      </c>
      <c r="G498" s="14"/>
      <c r="H498" s="6">
        <v>930</v>
      </c>
      <c r="I498" s="15" t="s">
        <v>3120</v>
      </c>
      <c r="J498" s="6" t="s">
        <v>4061</v>
      </c>
      <c r="K498" s="6"/>
      <c r="L498" s="6" t="s">
        <v>1041</v>
      </c>
      <c r="M498" s="6" t="s">
        <v>7038</v>
      </c>
      <c r="N498" s="7">
        <f ca="1">RAND()</f>
        <v>0.73385938323092281</v>
      </c>
      <c r="O498" s="8">
        <v>45204</v>
      </c>
      <c r="P498" s="8">
        <v>45205</v>
      </c>
      <c r="Q498" s="8">
        <v>45207</v>
      </c>
      <c r="R498" s="8">
        <v>45211</v>
      </c>
      <c r="S498" s="8">
        <v>45218</v>
      </c>
      <c r="T498" s="8">
        <v>45230</v>
      </c>
      <c r="U498" s="8">
        <v>45783</v>
      </c>
      <c r="V498" s="10">
        <f>COUNTA(O498:U498)</f>
        <v>7</v>
      </c>
      <c r="W498" s="11">
        <f>_xlfn.IFNA(INDEX(reading[[#This Row],[Memo 01]:[Memo 07]],MATCH(0,reading[[#This Row],[Memo 01]:[Memo 07]],-1)),"")</f>
        <v>45783</v>
      </c>
      <c r="X498" s="11">
        <f ca="1">IFERROR(reading[[#This Row],[Previous]]+OFFSET(reading[[#Headers],[Memo 01]],-1,MATCH(0,reading[[#This Row],[Memo 01]:[Memo 07]],-1)-1),"")</f>
        <v>55783</v>
      </c>
      <c r="Y498" s="10" t="str">
        <f ca="1">IF(reading[[#This Row],[Next]]&lt;&gt;"",IF(reading[[#This Row],[Next]]&gt;TODAY(),"OK",""),"")</f>
        <v>OK</v>
      </c>
      <c r="Z498" s="13">
        <v>3</v>
      </c>
      <c r="AA498" s="13">
        <v>3</v>
      </c>
      <c r="AB498" s="13">
        <v>3</v>
      </c>
      <c r="AC498" s="13">
        <v>3</v>
      </c>
      <c r="AD498" s="13">
        <v>3</v>
      </c>
      <c r="AE498" s="13">
        <v>3</v>
      </c>
      <c r="AF498" s="13">
        <v>3</v>
      </c>
      <c r="AG498" s="16">
        <f>IFERROR(SUMIF(reading[[#This Row],[1st]:[7th]],"&gt;0")/COUNTIF(reading[[#This Row],[1st]:[7th]],"&gt;0"),"")</f>
        <v>3</v>
      </c>
    </row>
    <row r="499" spans="1:33" hidden="1" x14ac:dyDescent="0.2">
      <c r="A499" s="4">
        <f>IF(B499=1,3,IF(D499=1,2,IF(F499=1,1,0)))</f>
        <v>0</v>
      </c>
      <c r="B499" s="4" t="str">
        <f>IF(C499=$L499,1,IF(C499="","",0))</f>
        <v/>
      </c>
      <c r="C499" s="42"/>
      <c r="D499" s="4" t="str">
        <f>IF(E499=$L499,1,IF(E499="","",0))</f>
        <v/>
      </c>
      <c r="E499" s="43"/>
      <c r="F499" s="4" t="str">
        <f>IF(G499=$L499,1,IF(G499="","",0))</f>
        <v/>
      </c>
      <c r="G499" s="14"/>
      <c r="H499" s="6">
        <v>1462</v>
      </c>
      <c r="I499" s="15" t="s">
        <v>3120</v>
      </c>
      <c r="J499" s="6" t="s">
        <v>4576</v>
      </c>
      <c r="K499" s="6"/>
      <c r="L499" s="6" t="s">
        <v>1549</v>
      </c>
      <c r="M499" s="6" t="s">
        <v>7569</v>
      </c>
      <c r="N499" s="7">
        <f ca="1">RAND()</f>
        <v>0.29623462939593648</v>
      </c>
      <c r="O499" s="8">
        <v>45208</v>
      </c>
      <c r="P499" s="8">
        <v>45209</v>
      </c>
      <c r="Q499" s="8">
        <v>45211</v>
      </c>
      <c r="R499" s="8">
        <v>45215</v>
      </c>
      <c r="S499" s="8">
        <v>45222</v>
      </c>
      <c r="T499" s="8">
        <v>45234</v>
      </c>
      <c r="U499" s="8">
        <v>45811</v>
      </c>
      <c r="V499" s="10">
        <f>COUNTA(O499:U499)</f>
        <v>7</v>
      </c>
      <c r="W499" s="11">
        <f>_xlfn.IFNA(INDEX(reading[[#This Row],[Memo 01]:[Memo 07]],MATCH(0,reading[[#This Row],[Memo 01]:[Memo 07]],-1)),"")</f>
        <v>45811</v>
      </c>
      <c r="X499" s="11">
        <f ca="1">IFERROR(reading[[#This Row],[Previous]]+OFFSET(reading[[#Headers],[Memo 01]],-1,MATCH(0,reading[[#This Row],[Memo 01]:[Memo 07]],-1)-1),"")</f>
        <v>55811</v>
      </c>
      <c r="Y499" s="10" t="str">
        <f ca="1">IF(reading[[#This Row],[Next]]&lt;&gt;"",IF(reading[[#This Row],[Next]]&gt;TODAY(),"OK",""),"")</f>
        <v>OK</v>
      </c>
      <c r="Z499" s="13">
        <v>3</v>
      </c>
      <c r="AA499" s="13">
        <v>3</v>
      </c>
      <c r="AB499" s="13">
        <v>3</v>
      </c>
      <c r="AC499" s="13">
        <v>3</v>
      </c>
      <c r="AD499" s="13">
        <v>2</v>
      </c>
      <c r="AE499" s="13">
        <v>3</v>
      </c>
      <c r="AF499" s="13">
        <v>2</v>
      </c>
      <c r="AG499" s="16">
        <f>IFERROR(SUMIF(reading[[#This Row],[1st]:[7th]],"&gt;0")/COUNTIF(reading[[#This Row],[1st]:[7th]],"&gt;0"),"")</f>
        <v>2.7142857142857144</v>
      </c>
    </row>
    <row r="500" spans="1:33" hidden="1" x14ac:dyDescent="0.2">
      <c r="A500" s="4">
        <f>IF(B500=1,3,IF(D500=1,2,IF(F500=1,1,0)))</f>
        <v>0</v>
      </c>
      <c r="B500" s="4" t="str">
        <f>IF(C500=$L500,1,IF(C500="","",0))</f>
        <v/>
      </c>
      <c r="C500" s="21"/>
      <c r="D500" s="4" t="str">
        <f>IF(E500=$L500,1,IF(E500="","",0))</f>
        <v/>
      </c>
      <c r="E500" s="14"/>
      <c r="F500" s="4" t="str">
        <f>IF(G500=$L500,1,IF(G500="","",0))</f>
        <v/>
      </c>
      <c r="G500" s="14"/>
      <c r="H500" s="6">
        <v>503</v>
      </c>
      <c r="I500" s="15" t="s">
        <v>3120</v>
      </c>
      <c r="J500" s="6" t="s">
        <v>3648</v>
      </c>
      <c r="K500" s="6"/>
      <c r="L500" s="6" t="s">
        <v>631</v>
      </c>
      <c r="M500" s="6" t="s">
        <v>6612</v>
      </c>
      <c r="N500" s="7">
        <f ca="1">RAND()</f>
        <v>0.17481322106758124</v>
      </c>
      <c r="O500" s="8">
        <v>45202</v>
      </c>
      <c r="P500" s="8">
        <v>45202</v>
      </c>
      <c r="Q500" s="8">
        <v>45202</v>
      </c>
      <c r="R500" s="8">
        <v>45202</v>
      </c>
      <c r="S500" s="8">
        <v>45202</v>
      </c>
      <c r="T500" s="8">
        <v>45202</v>
      </c>
      <c r="U500" s="8">
        <v>45202</v>
      </c>
      <c r="V500" s="10">
        <f>COUNTA(O500:U500)</f>
        <v>7</v>
      </c>
      <c r="W500" s="11">
        <f>_xlfn.IFNA(INDEX(reading[[#This Row],[Memo 01]:[Memo 07]],MATCH(0,reading[[#This Row],[Memo 01]:[Memo 07]],-1)),"")</f>
        <v>45202</v>
      </c>
      <c r="X500" s="11">
        <f ca="1">IFERROR(reading[[#This Row],[Previous]]+OFFSET(reading[[#Headers],[Memo 01]],-1,MATCH(0,reading[[#This Row],[Memo 01]:[Memo 07]],-1)-1),"")</f>
        <v>55202</v>
      </c>
      <c r="Y500" s="10" t="str">
        <f ca="1">IF(reading[[#This Row],[Next]]&lt;&gt;"",IF(reading[[#This Row],[Next]]&gt;TODAY(),"OK",""),"")</f>
        <v>OK</v>
      </c>
      <c r="Z500" s="13">
        <v>3</v>
      </c>
      <c r="AA500" s="13"/>
      <c r="AB500" s="13"/>
      <c r="AC500" s="13"/>
      <c r="AD500" s="13"/>
      <c r="AE500" s="13"/>
      <c r="AF500" s="13"/>
      <c r="AG500" s="16">
        <f>IFERROR(SUMIF(reading[[#This Row],[1st]:[7th]],"&gt;0")/COUNTIF(reading[[#This Row],[1st]:[7th]],"&gt;0"),"")</f>
        <v>3</v>
      </c>
    </row>
    <row r="501" spans="1:33" hidden="1" x14ac:dyDescent="0.2">
      <c r="A501" s="4">
        <f>IF(B501=1,3,IF(D501=1,2,IF(F501=1,1,0)))</f>
        <v>0</v>
      </c>
      <c r="B501" s="4">
        <f>IF(C501=$L501,1,IF(C501="","",0))</f>
        <v>0</v>
      </c>
      <c r="C501" s="42" t="s">
        <v>9200</v>
      </c>
      <c r="D501" s="4">
        <f>IF(E501=$L501,1,IF(E501="","",0))</f>
        <v>0</v>
      </c>
      <c r="E501" s="43" t="s">
        <v>9200</v>
      </c>
      <c r="F501" s="4" t="str">
        <f>IF(G501=$L501,1,IF(G501="","",0))</f>
        <v/>
      </c>
      <c r="G501" s="18"/>
      <c r="H501" s="6">
        <v>2000</v>
      </c>
      <c r="I501" s="15" t="s">
        <v>3120</v>
      </c>
      <c r="J501" s="6" t="s">
        <v>5098</v>
      </c>
      <c r="K501" s="6"/>
      <c r="L501" s="6" t="s">
        <v>2075</v>
      </c>
      <c r="M501" s="6" t="s">
        <v>8106</v>
      </c>
      <c r="N501" s="7">
        <f ca="1">RAND()</f>
        <v>0.71901547626283668</v>
      </c>
      <c r="O501" s="8">
        <v>45213</v>
      </c>
      <c r="P501" s="8">
        <v>45214</v>
      </c>
      <c r="Q501" s="8">
        <v>45216</v>
      </c>
      <c r="R501" s="8">
        <v>45220</v>
      </c>
      <c r="S501" s="8">
        <v>45227</v>
      </c>
      <c r="T501" s="8">
        <v>45251</v>
      </c>
      <c r="U501" s="8"/>
      <c r="V501" s="10">
        <f>COUNTA(O501:U501)</f>
        <v>6</v>
      </c>
      <c r="W501" s="11">
        <f>_xlfn.IFNA(INDEX(reading[[#This Row],[Memo 01]:[Memo 07]],MATCH(0,reading[[#This Row],[Memo 01]:[Memo 07]],-1)),"")</f>
        <v>45251</v>
      </c>
      <c r="X501" s="11">
        <f ca="1">IFERROR(reading[[#This Row],[Previous]]+OFFSET(reading[[#Headers],[Memo 01]],-1,MATCH(0,reading[[#This Row],[Memo 01]:[Memo 07]],-1)-1),"")</f>
        <v>45271</v>
      </c>
      <c r="Y501" s="10" t="str">
        <f ca="1">IF(reading[[#This Row],[Next]]&lt;&gt;"",IF(reading[[#This Row],[Next]]&gt;TODAY(),"OK",""),"")</f>
        <v/>
      </c>
      <c r="Z501" s="13">
        <v>3</v>
      </c>
      <c r="AA501" s="13">
        <v>3</v>
      </c>
      <c r="AB501" s="13">
        <v>1</v>
      </c>
      <c r="AC501" s="13">
        <v>3</v>
      </c>
      <c r="AD501" s="13">
        <v>3</v>
      </c>
      <c r="AE501" s="13">
        <v>3</v>
      </c>
      <c r="AF501" s="13"/>
      <c r="AG501" s="16">
        <f>IFERROR(SUMIF(reading[[#This Row],[1st]:[7th]],"&gt;0")/COUNTIF(reading[[#This Row],[1st]:[7th]],"&gt;0"),"")</f>
        <v>2.6666666666666665</v>
      </c>
    </row>
    <row r="502" spans="1:33" hidden="1" x14ac:dyDescent="0.2">
      <c r="A502" s="4">
        <f>IF(B502=1,3,IF(D502=1,2,IF(F502=1,1,0)))</f>
        <v>0</v>
      </c>
      <c r="B502" s="4" t="str">
        <f>IF(C502=$L502,1,IF(C502="","",0))</f>
        <v/>
      </c>
      <c r="C502" s="42"/>
      <c r="D502" s="4" t="str">
        <f>IF(E502=$L502,1,IF(E502="","",0))</f>
        <v/>
      </c>
      <c r="E502" s="14"/>
      <c r="F502" s="4" t="str">
        <f>IF(G502=$L502,1,IF(G502="","",0))</f>
        <v/>
      </c>
      <c r="G502" s="14"/>
      <c r="H502" s="6">
        <v>2033</v>
      </c>
      <c r="I502" s="15" t="s">
        <v>3120</v>
      </c>
      <c r="J502" s="6" t="s">
        <v>5129</v>
      </c>
      <c r="K502" s="6"/>
      <c r="L502" s="6" t="s">
        <v>2108</v>
      </c>
      <c r="M502" s="6" t="s">
        <v>8139</v>
      </c>
      <c r="N502" s="7">
        <f ca="1">RAND()</f>
        <v>0.84448622526861405</v>
      </c>
      <c r="O502" s="8">
        <v>45213</v>
      </c>
      <c r="P502" s="8">
        <v>45214</v>
      </c>
      <c r="Q502" s="8">
        <v>45216</v>
      </c>
      <c r="R502" s="8">
        <v>45220</v>
      </c>
      <c r="S502" s="8">
        <v>45227</v>
      </c>
      <c r="T502" s="8">
        <v>45824</v>
      </c>
      <c r="U502" s="8"/>
      <c r="V502" s="10">
        <f>COUNTA(O502:U502)</f>
        <v>6</v>
      </c>
      <c r="W502" s="11">
        <f>_xlfn.IFNA(INDEX(reading[[#This Row],[Memo 01]:[Memo 07]],MATCH(0,reading[[#This Row],[Memo 01]:[Memo 07]],-1)),"")</f>
        <v>45824</v>
      </c>
      <c r="X502" s="11">
        <f ca="1">IFERROR(reading[[#This Row],[Previous]]+OFFSET(reading[[#Headers],[Memo 01]],-1,MATCH(0,reading[[#This Row],[Memo 01]:[Memo 07]],-1)-1),"")</f>
        <v>45844</v>
      </c>
      <c r="Y502" s="10" t="str">
        <f ca="1">IF(reading[[#This Row],[Next]]&lt;&gt;"",IF(reading[[#This Row],[Next]]&gt;TODAY(),"OK",""),"")</f>
        <v>OK</v>
      </c>
      <c r="Z502" s="13">
        <v>3</v>
      </c>
      <c r="AA502" s="13">
        <v>3</v>
      </c>
      <c r="AB502" s="13">
        <v>3</v>
      </c>
      <c r="AC502" s="13">
        <v>3</v>
      </c>
      <c r="AD502" s="13">
        <v>3</v>
      </c>
      <c r="AE502" s="13">
        <v>3</v>
      </c>
      <c r="AF502" s="13"/>
      <c r="AG502" s="16">
        <f>IFERROR(SUMIF(reading[[#This Row],[1st]:[7th]],"&gt;0")/COUNTIF(reading[[#This Row],[1st]:[7th]],"&gt;0"),"")</f>
        <v>3</v>
      </c>
    </row>
    <row r="503" spans="1:33" hidden="1" x14ac:dyDescent="0.2">
      <c r="A503" s="4">
        <f>IF(B503=1,3,IF(D503=1,2,IF(F503=1,1,0)))</f>
        <v>0</v>
      </c>
      <c r="B503" s="4" t="str">
        <f>IF(C503=$L503,1,IF(C503="","",0))</f>
        <v/>
      </c>
      <c r="C503" s="42"/>
      <c r="D503" s="4" t="str">
        <f>IF(E503=$L503,1,IF(E503="","",0))</f>
        <v/>
      </c>
      <c r="E503" s="14"/>
      <c r="F503" s="4" t="str">
        <f>IF(G503=$L503,1,IF(G503="","",0))</f>
        <v/>
      </c>
      <c r="G503" s="14"/>
      <c r="H503" s="6">
        <v>1084</v>
      </c>
      <c r="I503" s="15" t="s">
        <v>3120</v>
      </c>
      <c r="J503" s="6" t="s">
        <v>4208</v>
      </c>
      <c r="K503" s="6"/>
      <c r="L503" s="6" t="s">
        <v>1191</v>
      </c>
      <c r="M503" s="6" t="s">
        <v>7192</v>
      </c>
      <c r="N503" s="7">
        <f ca="1">RAND()</f>
        <v>0.40206076770023846</v>
      </c>
      <c r="O503" s="8">
        <v>45205</v>
      </c>
      <c r="P503" s="8">
        <v>45206</v>
      </c>
      <c r="Q503" s="8">
        <v>45208</v>
      </c>
      <c r="R503" s="8">
        <v>45212</v>
      </c>
      <c r="S503" s="8">
        <v>45219</v>
      </c>
      <c r="T503" s="8">
        <v>45231</v>
      </c>
      <c r="U503" s="8">
        <v>45819</v>
      </c>
      <c r="V503" s="10">
        <f>COUNTA(O503:U503)</f>
        <v>7</v>
      </c>
      <c r="W503" s="11">
        <f>_xlfn.IFNA(INDEX(reading[[#This Row],[Memo 01]:[Memo 07]],MATCH(0,reading[[#This Row],[Memo 01]:[Memo 07]],-1)),"")</f>
        <v>45819</v>
      </c>
      <c r="X503" s="11">
        <f ca="1">IFERROR(reading[[#This Row],[Previous]]+OFFSET(reading[[#Headers],[Memo 01]],-1,MATCH(0,reading[[#This Row],[Memo 01]:[Memo 07]],-1)-1),"")</f>
        <v>55819</v>
      </c>
      <c r="Y503" s="10" t="str">
        <f ca="1">IF(reading[[#This Row],[Next]]&lt;&gt;"",IF(reading[[#This Row],[Next]]&gt;TODAY(),"OK",""),"")</f>
        <v>OK</v>
      </c>
      <c r="Z503" s="13">
        <v>3</v>
      </c>
      <c r="AA503" s="13">
        <v>3</v>
      </c>
      <c r="AB503" s="13">
        <v>3</v>
      </c>
      <c r="AC503" s="13">
        <v>3</v>
      </c>
      <c r="AD503" s="13">
        <v>3</v>
      </c>
      <c r="AE503" s="13">
        <v>3</v>
      </c>
      <c r="AF503" s="13">
        <v>3</v>
      </c>
      <c r="AG503" s="16">
        <f>IFERROR(SUMIF(reading[[#This Row],[1st]:[7th]],"&gt;0")/COUNTIF(reading[[#This Row],[1st]:[7th]],"&gt;0"),"")</f>
        <v>3</v>
      </c>
    </row>
    <row r="504" spans="1:33" hidden="1" x14ac:dyDescent="0.2">
      <c r="A504" s="4">
        <f>IF(B504=1,3,IF(D504=1,2,IF(F504=1,1,0)))</f>
        <v>0</v>
      </c>
      <c r="B504" s="4" t="str">
        <f>IF(C504=$L504,1,IF(C504="","",0))</f>
        <v/>
      </c>
      <c r="C504" s="42"/>
      <c r="D504" s="4" t="str">
        <f>IF(E504=$L504,1,IF(E504="","",0))</f>
        <v/>
      </c>
      <c r="E504" s="43"/>
      <c r="F504" s="4" t="str">
        <f>IF(G504=$L504,1,IF(G504="","",0))</f>
        <v/>
      </c>
      <c r="G504" s="18"/>
      <c r="H504" s="6">
        <v>1732</v>
      </c>
      <c r="I504" s="15" t="s">
        <v>3120</v>
      </c>
      <c r="J504" s="6" t="s">
        <v>4840</v>
      </c>
      <c r="K504" s="6"/>
      <c r="L504" s="6" t="s">
        <v>1812</v>
      </c>
      <c r="M504" s="6" t="s">
        <v>7838</v>
      </c>
      <c r="N504" s="7">
        <f ca="1">RAND()</f>
        <v>7.3314606285917794E-2</v>
      </c>
      <c r="O504" s="8">
        <v>45211</v>
      </c>
      <c r="P504" s="8">
        <v>45212</v>
      </c>
      <c r="Q504" s="8">
        <v>45214</v>
      </c>
      <c r="R504" s="8">
        <v>45218</v>
      </c>
      <c r="S504" s="8">
        <v>45226</v>
      </c>
      <c r="T504" s="8">
        <v>45252</v>
      </c>
      <c r="U504" s="8">
        <v>45811</v>
      </c>
      <c r="V504" s="10">
        <f>COUNTA(O504:U504)</f>
        <v>7</v>
      </c>
      <c r="W504" s="11">
        <f>_xlfn.IFNA(INDEX(reading[[#This Row],[Memo 01]:[Memo 07]],MATCH(0,reading[[#This Row],[Memo 01]:[Memo 07]],-1)),"")</f>
        <v>45811</v>
      </c>
      <c r="X504" s="11">
        <f ca="1">IFERROR(reading[[#This Row],[Previous]]+OFFSET(reading[[#Headers],[Memo 01]],-1,MATCH(0,reading[[#This Row],[Memo 01]:[Memo 07]],-1)-1),"")</f>
        <v>55811</v>
      </c>
      <c r="Y504" s="10" t="str">
        <f ca="1">IF(reading[[#This Row],[Next]]&lt;&gt;"",IF(reading[[#This Row],[Next]]&gt;TODAY(),"OK",""),"")</f>
        <v>OK</v>
      </c>
      <c r="Z504" s="13">
        <v>3</v>
      </c>
      <c r="AA504" s="13">
        <v>3</v>
      </c>
      <c r="AB504" s="13">
        <v>3</v>
      </c>
      <c r="AC504" s="13">
        <v>3</v>
      </c>
      <c r="AD504" s="13">
        <v>1</v>
      </c>
      <c r="AE504" s="13">
        <v>2</v>
      </c>
      <c r="AF504" s="13">
        <v>2</v>
      </c>
      <c r="AG504" s="16">
        <f>IFERROR(SUMIF(reading[[#This Row],[1st]:[7th]],"&gt;0")/COUNTIF(reading[[#This Row],[1st]:[7th]],"&gt;0"),"")</f>
        <v>2.4285714285714284</v>
      </c>
    </row>
    <row r="505" spans="1:33" hidden="1" x14ac:dyDescent="0.2">
      <c r="A505" s="4">
        <f>IF(B505=1,3,IF(D505=1,2,IF(F505=1,1,0)))</f>
        <v>0</v>
      </c>
      <c r="B505" s="4" t="str">
        <f>IF(C505=$L505,1,IF(C505="","",0))</f>
        <v/>
      </c>
      <c r="C505" s="42"/>
      <c r="D505" s="4" t="str">
        <f>IF(E505=$L505,1,IF(E505="","",0))</f>
        <v/>
      </c>
      <c r="E505" s="14"/>
      <c r="F505" s="4" t="str">
        <f>IF(G505=$L505,1,IF(G505="","",0))</f>
        <v/>
      </c>
      <c r="G505" s="14"/>
      <c r="H505" s="6">
        <v>3050</v>
      </c>
      <c r="I505" s="15" t="s">
        <v>3120</v>
      </c>
      <c r="J505" s="6" t="s">
        <v>6071</v>
      </c>
      <c r="K505" s="6"/>
      <c r="L505" s="6" t="s">
        <v>3076</v>
      </c>
      <c r="M505" s="6" t="s">
        <v>9153</v>
      </c>
      <c r="N505" s="7">
        <f ca="1">RAND()</f>
        <v>0.9670277709723597</v>
      </c>
      <c r="O505" s="8">
        <v>45224</v>
      </c>
      <c r="P505" s="8">
        <v>45225</v>
      </c>
      <c r="Q505" s="8">
        <v>45227</v>
      </c>
      <c r="R505" s="8">
        <v>45231</v>
      </c>
      <c r="S505" s="8">
        <v>45249</v>
      </c>
      <c r="T505" s="8">
        <v>45818</v>
      </c>
      <c r="U505" s="8"/>
      <c r="V505" s="10">
        <f>COUNTA(O505:U505)</f>
        <v>6</v>
      </c>
      <c r="W505" s="11">
        <f>_xlfn.IFNA(INDEX(reading[[#This Row],[Memo 01]:[Memo 07]],MATCH(0,reading[[#This Row],[Memo 01]:[Memo 07]],-1)),"")</f>
        <v>45818</v>
      </c>
      <c r="X505" s="11">
        <f ca="1">IFERROR(reading[[#This Row],[Previous]]+OFFSET(reading[[#Headers],[Memo 01]],-1,MATCH(0,reading[[#This Row],[Memo 01]:[Memo 07]],-1)-1),"")</f>
        <v>45838</v>
      </c>
      <c r="Y505" s="10" t="str">
        <f ca="1">IF(reading[[#This Row],[Next]]&lt;&gt;"",IF(reading[[#This Row],[Next]]&gt;TODAY(),"OK",""),"")</f>
        <v>OK</v>
      </c>
      <c r="Z505" s="13">
        <v>3</v>
      </c>
      <c r="AA505" s="13">
        <v>3</v>
      </c>
      <c r="AB505" s="13">
        <v>3</v>
      </c>
      <c r="AC505" s="13">
        <v>3</v>
      </c>
      <c r="AD505" s="13">
        <v>3</v>
      </c>
      <c r="AE505" s="13">
        <v>3</v>
      </c>
      <c r="AF505" s="13"/>
      <c r="AG505" s="16">
        <f>IFERROR(SUMIF(reading[[#This Row],[1st]:[7th]],"&gt;0")/COUNTIF(reading[[#This Row],[1st]:[7th]],"&gt;0"),"")</f>
        <v>3</v>
      </c>
    </row>
    <row r="506" spans="1:33" hidden="1" x14ac:dyDescent="0.2">
      <c r="A506" s="4">
        <f>IF(B506=1,3,IF(D506=1,2,IF(F506=1,1,0)))</f>
        <v>0</v>
      </c>
      <c r="B506" s="4" t="str">
        <f>IF(C506=$L506,1,IF(C506="","",0))</f>
        <v/>
      </c>
      <c r="C506" s="42"/>
      <c r="D506" s="4" t="str">
        <f>IF(E506=$L506,1,IF(E506="","",0))</f>
        <v/>
      </c>
      <c r="E506" s="14"/>
      <c r="F506" s="4" t="str">
        <f>IF(G506=$L506,1,IF(G506="","",0))</f>
        <v/>
      </c>
      <c r="G506" s="14"/>
      <c r="H506" s="6">
        <v>1479</v>
      </c>
      <c r="I506" s="15" t="s">
        <v>3120</v>
      </c>
      <c r="J506" s="6" t="s">
        <v>4593</v>
      </c>
      <c r="K506" s="24" t="s">
        <v>3142</v>
      </c>
      <c r="L506" s="6" t="s">
        <v>1565</v>
      </c>
      <c r="M506" s="6" t="s">
        <v>7586</v>
      </c>
      <c r="N506" s="7">
        <f ca="1">RAND()</f>
        <v>0.45218889390909334</v>
      </c>
      <c r="O506" s="8">
        <v>45208</v>
      </c>
      <c r="P506" s="8">
        <v>45209</v>
      </c>
      <c r="Q506" s="8">
        <v>45211</v>
      </c>
      <c r="R506" s="8">
        <v>45215</v>
      </c>
      <c r="S506" s="8">
        <v>45222</v>
      </c>
      <c r="T506" s="8">
        <v>45234</v>
      </c>
      <c r="U506" s="8">
        <v>45792</v>
      </c>
      <c r="V506" s="10">
        <f>COUNTA(O506:U506)</f>
        <v>7</v>
      </c>
      <c r="W506" s="11">
        <f>_xlfn.IFNA(INDEX(reading[[#This Row],[Memo 01]:[Memo 07]],MATCH(0,reading[[#This Row],[Memo 01]:[Memo 07]],-1)),"")</f>
        <v>45792</v>
      </c>
      <c r="X506" s="11">
        <f ca="1">IFERROR(reading[[#This Row],[Previous]]+OFFSET(reading[[#Headers],[Memo 01]],-1,MATCH(0,reading[[#This Row],[Memo 01]:[Memo 07]],-1)-1),"")</f>
        <v>55792</v>
      </c>
      <c r="Y506" s="10" t="str">
        <f ca="1">IF(reading[[#This Row],[Next]]&lt;&gt;"",IF(reading[[#This Row],[Next]]&gt;TODAY(),"OK",""),"")</f>
        <v>OK</v>
      </c>
      <c r="Z506" s="13">
        <v>3</v>
      </c>
      <c r="AA506" s="13">
        <v>3</v>
      </c>
      <c r="AB506" s="13">
        <v>3</v>
      </c>
      <c r="AC506" s="13">
        <v>3</v>
      </c>
      <c r="AD506" s="13">
        <v>3</v>
      </c>
      <c r="AE506" s="13">
        <v>3</v>
      </c>
      <c r="AF506" s="13">
        <v>3</v>
      </c>
      <c r="AG506" s="16">
        <f>IFERROR(SUMIF(reading[[#This Row],[1st]:[7th]],"&gt;0")/COUNTIF(reading[[#This Row],[1st]:[7th]],"&gt;0"),"")</f>
        <v>3</v>
      </c>
    </row>
    <row r="507" spans="1:33" hidden="1" x14ac:dyDescent="0.2">
      <c r="A507" s="4">
        <f>IF(B507=1,3,IF(D507=1,2,IF(F507=1,1,0)))</f>
        <v>0</v>
      </c>
      <c r="B507" s="4" t="str">
        <f>IF(C507=$L507,1,IF(C507="","",0))</f>
        <v/>
      </c>
      <c r="C507" s="42"/>
      <c r="D507" s="4" t="str">
        <f>IF(E507=$L507,1,IF(E507="","",0))</f>
        <v/>
      </c>
      <c r="E507" s="23"/>
      <c r="F507" s="4" t="str">
        <f>IF(G507=$L507,1,IF(G507="","",0))</f>
        <v/>
      </c>
      <c r="G507" s="14"/>
      <c r="H507" s="6">
        <v>485</v>
      </c>
      <c r="I507" s="15" t="s">
        <v>3120</v>
      </c>
      <c r="J507" s="6" t="s">
        <v>3631</v>
      </c>
      <c r="K507" s="24" t="s">
        <v>3142</v>
      </c>
      <c r="L507" s="6" t="s">
        <v>613</v>
      </c>
      <c r="M507" s="6" t="s">
        <v>6594</v>
      </c>
      <c r="N507" s="7">
        <f ca="1">RAND()</f>
        <v>0.33745227010090839</v>
      </c>
      <c r="O507" s="8">
        <v>45202</v>
      </c>
      <c r="P507" s="8">
        <v>45203</v>
      </c>
      <c r="Q507" s="8">
        <v>45205</v>
      </c>
      <c r="R507" s="8">
        <v>45209</v>
      </c>
      <c r="S507" s="8">
        <v>45216</v>
      </c>
      <c r="T507" s="8">
        <v>45228</v>
      </c>
      <c r="U507" s="8">
        <v>45792</v>
      </c>
      <c r="V507" s="10">
        <f>COUNTA(O507:U507)</f>
        <v>7</v>
      </c>
      <c r="W507" s="11">
        <f>_xlfn.IFNA(INDEX(reading[[#This Row],[Memo 01]:[Memo 07]],MATCH(0,reading[[#This Row],[Memo 01]:[Memo 07]],-1)),"")</f>
        <v>45792</v>
      </c>
      <c r="X507" s="11">
        <f ca="1">IFERROR(reading[[#This Row],[Previous]]+OFFSET(reading[[#Headers],[Memo 01]],-1,MATCH(0,reading[[#This Row],[Memo 01]:[Memo 07]],-1)-1),"")</f>
        <v>55792</v>
      </c>
      <c r="Y507" s="10" t="str">
        <f ca="1">IF(reading[[#This Row],[Next]]&lt;&gt;"",IF(reading[[#This Row],[Next]]&gt;TODAY(),"OK",""),"")</f>
        <v>OK</v>
      </c>
      <c r="Z507" s="13">
        <v>3</v>
      </c>
      <c r="AA507" s="13">
        <v>3</v>
      </c>
      <c r="AB507" s="13">
        <v>3</v>
      </c>
      <c r="AC507" s="13">
        <v>2</v>
      </c>
      <c r="AD507" s="13">
        <v>3</v>
      </c>
      <c r="AE507" s="13">
        <v>3</v>
      </c>
      <c r="AF507" s="13">
        <v>3</v>
      </c>
      <c r="AG507" s="16">
        <f>IFERROR(SUMIF(reading[[#This Row],[1st]:[7th]],"&gt;0")/COUNTIF(reading[[#This Row],[1st]:[7th]],"&gt;0"),"")</f>
        <v>2.8571428571428572</v>
      </c>
    </row>
    <row r="508" spans="1:33" hidden="1" x14ac:dyDescent="0.2">
      <c r="A508" s="4">
        <f>IF(B508=1,3,IF(D508=1,2,IF(F508=1,1,0)))</f>
        <v>0</v>
      </c>
      <c r="B508" s="4" t="str">
        <f>IF(C508=$L508,1,IF(C508="","",0))</f>
        <v/>
      </c>
      <c r="C508" s="42"/>
      <c r="D508" s="4" t="str">
        <f>IF(E508=$L508,1,IF(E508="","",0))</f>
        <v/>
      </c>
      <c r="E508" s="14"/>
      <c r="F508" s="4" t="str">
        <f>IF(G508=$L508,1,IF(G508="","",0))</f>
        <v/>
      </c>
      <c r="G508" s="14"/>
      <c r="H508" s="6">
        <v>1261</v>
      </c>
      <c r="I508" s="15" t="s">
        <v>3120</v>
      </c>
      <c r="J508" s="6" t="s">
        <v>4378</v>
      </c>
      <c r="K508" s="6"/>
      <c r="L508" s="6" t="s">
        <v>128</v>
      </c>
      <c r="M508" s="6" t="s">
        <v>7368</v>
      </c>
      <c r="N508" s="7">
        <f ca="1">RAND()</f>
        <v>0.83219805135432867</v>
      </c>
      <c r="O508" s="8">
        <v>45207</v>
      </c>
      <c r="P508" s="8">
        <v>45208</v>
      </c>
      <c r="Q508" s="8">
        <v>45210</v>
      </c>
      <c r="R508" s="8">
        <v>45214</v>
      </c>
      <c r="S508" s="8">
        <v>45221</v>
      </c>
      <c r="T508" s="8">
        <v>45233</v>
      </c>
      <c r="U508" s="8">
        <v>45801</v>
      </c>
      <c r="V508" s="10">
        <f>COUNTA(O508:U508)</f>
        <v>7</v>
      </c>
      <c r="W508" s="11">
        <f>_xlfn.IFNA(INDEX(reading[[#This Row],[Memo 01]:[Memo 07]],MATCH(0,reading[[#This Row],[Memo 01]:[Memo 07]],-1)),"")</f>
        <v>45801</v>
      </c>
      <c r="X508" s="11">
        <f ca="1">IFERROR(reading[[#This Row],[Previous]]+OFFSET(reading[[#Headers],[Memo 01]],-1,MATCH(0,reading[[#This Row],[Memo 01]:[Memo 07]],-1)-1),"")</f>
        <v>55801</v>
      </c>
      <c r="Y508" s="10" t="str">
        <f ca="1">IF(reading[[#This Row],[Next]]&lt;&gt;"",IF(reading[[#This Row],[Next]]&gt;TODAY(),"OK",""),"")</f>
        <v>OK</v>
      </c>
      <c r="Z508" s="13">
        <v>3</v>
      </c>
      <c r="AA508" s="13">
        <v>3</v>
      </c>
      <c r="AB508" s="13">
        <v>3</v>
      </c>
      <c r="AC508" s="13">
        <v>3</v>
      </c>
      <c r="AD508" s="13">
        <v>3</v>
      </c>
      <c r="AE508" s="13">
        <v>3</v>
      </c>
      <c r="AF508" s="13">
        <v>3</v>
      </c>
      <c r="AG508" s="16">
        <f>IFERROR(SUMIF(reading[[#This Row],[1st]:[7th]],"&gt;0")/COUNTIF(reading[[#This Row],[1st]:[7th]],"&gt;0"),"")</f>
        <v>3</v>
      </c>
    </row>
    <row r="509" spans="1:33" hidden="1" x14ac:dyDescent="0.2">
      <c r="A509" s="4">
        <f>IF(B509=1,3,IF(D509=1,2,IF(F509=1,1,0)))</f>
        <v>0</v>
      </c>
      <c r="B509" s="4" t="str">
        <f>IF(C509=$L509,1,IF(C509="","",0))</f>
        <v/>
      </c>
      <c r="C509" s="42"/>
      <c r="D509" s="4" t="str">
        <f>IF(E509=$L509,1,IF(E509="","",0))</f>
        <v/>
      </c>
      <c r="E509" s="18"/>
      <c r="F509" s="4" t="str">
        <f>IF(G509=$L509,1,IF(G509="","",0))</f>
        <v/>
      </c>
      <c r="G509" s="18"/>
      <c r="H509" s="6">
        <v>2942</v>
      </c>
      <c r="I509" s="15" t="s">
        <v>3120</v>
      </c>
      <c r="J509" s="24" t="s">
        <v>9236</v>
      </c>
      <c r="K509" s="15" t="s">
        <v>3139</v>
      </c>
      <c r="L509" s="6" t="s">
        <v>2972</v>
      </c>
      <c r="M509" s="6" t="s">
        <v>9046</v>
      </c>
      <c r="N509" s="7">
        <f ca="1">RAND()</f>
        <v>0.16544094044257984</v>
      </c>
      <c r="O509" s="8">
        <v>45223</v>
      </c>
      <c r="P509" s="8">
        <v>45224</v>
      </c>
      <c r="Q509" s="8">
        <v>45226</v>
      </c>
      <c r="R509" s="8">
        <v>45230</v>
      </c>
      <c r="S509" s="8">
        <v>45237</v>
      </c>
      <c r="T509" s="8">
        <v>45251</v>
      </c>
      <c r="U509" s="8">
        <v>45819</v>
      </c>
      <c r="V509" s="10">
        <f>COUNTA(O509:U509)</f>
        <v>7</v>
      </c>
      <c r="W509" s="11">
        <f>_xlfn.IFNA(INDEX(reading[[#This Row],[Memo 01]:[Memo 07]],MATCH(0,reading[[#This Row],[Memo 01]:[Memo 07]],-1)),"")</f>
        <v>45819</v>
      </c>
      <c r="X509" s="11">
        <f ca="1">IFERROR(reading[[#This Row],[Previous]]+OFFSET(reading[[#Headers],[Memo 01]],-1,MATCH(0,reading[[#This Row],[Memo 01]:[Memo 07]],-1)-1),"")</f>
        <v>55819</v>
      </c>
      <c r="Y509" s="10" t="str">
        <f ca="1">IF(reading[[#This Row],[Next]]&lt;&gt;"",IF(reading[[#This Row],[Next]]&gt;TODAY(),"OK",""),"")</f>
        <v>OK</v>
      </c>
      <c r="Z509" s="13">
        <v>3</v>
      </c>
      <c r="AA509" s="13">
        <v>1</v>
      </c>
      <c r="AB509" s="13">
        <v>2</v>
      </c>
      <c r="AC509" s="13">
        <v>3</v>
      </c>
      <c r="AD509" s="13">
        <v>3</v>
      </c>
      <c r="AE509" s="13">
        <v>2</v>
      </c>
      <c r="AF509" s="13">
        <v>3</v>
      </c>
      <c r="AG509" s="16">
        <f>IFERROR(SUMIF(reading[[#This Row],[1st]:[7th]],"&gt;0")/COUNTIF(reading[[#This Row],[1st]:[7th]],"&gt;0"),"")</f>
        <v>2.4285714285714284</v>
      </c>
    </row>
    <row r="510" spans="1:33" hidden="1" x14ac:dyDescent="0.2">
      <c r="A510" s="4">
        <f>IF(B510=1,3,IF(D510=1,2,IF(F510=1,1,0)))</f>
        <v>0</v>
      </c>
      <c r="B510" s="4" t="str">
        <f>IF(C510=$L510,1,IF(C510="","",0))</f>
        <v/>
      </c>
      <c r="C510" s="42"/>
      <c r="D510" s="4" t="str">
        <f>IF(E510=$L510,1,IF(E510="","",0))</f>
        <v/>
      </c>
      <c r="E510" s="23"/>
      <c r="F510" s="4" t="str">
        <f>IF(G510=$L510,1,IF(G510="","",0))</f>
        <v/>
      </c>
      <c r="G510" s="14"/>
      <c r="H510" s="6">
        <v>1235</v>
      </c>
      <c r="I510" s="15" t="s">
        <v>3120</v>
      </c>
      <c r="J510" s="6" t="s">
        <v>4352</v>
      </c>
      <c r="K510" s="6"/>
      <c r="L510" s="6" t="s">
        <v>1335</v>
      </c>
      <c r="M510" s="6" t="s">
        <v>7342</v>
      </c>
      <c r="N510" s="7">
        <f ca="1">RAND()</f>
        <v>0.87928216487616861</v>
      </c>
      <c r="O510" s="8">
        <v>45206</v>
      </c>
      <c r="P510" s="8">
        <v>45207</v>
      </c>
      <c r="Q510" s="8">
        <v>45209</v>
      </c>
      <c r="R510" s="8">
        <v>45213</v>
      </c>
      <c r="S510" s="8">
        <v>45220</v>
      </c>
      <c r="T510" s="8">
        <v>45232</v>
      </c>
      <c r="U510" s="8">
        <v>45801</v>
      </c>
      <c r="V510" s="10">
        <f>COUNTA(O510:U510)</f>
        <v>7</v>
      </c>
      <c r="W510" s="11">
        <f>_xlfn.IFNA(INDEX(reading[[#This Row],[Memo 01]:[Memo 07]],MATCH(0,reading[[#This Row],[Memo 01]:[Memo 07]],-1)),"")</f>
        <v>45801</v>
      </c>
      <c r="X510" s="11">
        <f ca="1">IFERROR(reading[[#This Row],[Previous]]+OFFSET(reading[[#Headers],[Memo 01]],-1,MATCH(0,reading[[#This Row],[Memo 01]:[Memo 07]],-1)-1),"")</f>
        <v>55801</v>
      </c>
      <c r="Y510" s="10" t="str">
        <f ca="1">IF(reading[[#This Row],[Next]]&lt;&gt;"",IF(reading[[#This Row],[Next]]&gt;TODAY(),"OK",""),"")</f>
        <v>OK</v>
      </c>
      <c r="Z510" s="13">
        <v>3</v>
      </c>
      <c r="AA510" s="13">
        <v>3</v>
      </c>
      <c r="AB510" s="13">
        <v>2</v>
      </c>
      <c r="AC510" s="13">
        <v>3</v>
      </c>
      <c r="AD510" s="13">
        <v>3</v>
      </c>
      <c r="AE510" s="13">
        <v>3</v>
      </c>
      <c r="AF510" s="13">
        <v>3</v>
      </c>
      <c r="AG510" s="16">
        <f>IFERROR(SUMIF(reading[[#This Row],[1st]:[7th]],"&gt;0")/COUNTIF(reading[[#This Row],[1st]:[7th]],"&gt;0"),"")</f>
        <v>2.8571428571428572</v>
      </c>
    </row>
    <row r="511" spans="1:33" hidden="1" x14ac:dyDescent="0.2">
      <c r="A511" s="4">
        <f>IF(B511=1,3,IF(D511=1,2,IF(F511=1,1,0)))</f>
        <v>0</v>
      </c>
      <c r="B511" s="4" t="str">
        <f>IF(C511=$L511,1,IF(C511="","",0))</f>
        <v/>
      </c>
      <c r="C511" s="42"/>
      <c r="D511" s="4" t="str">
        <f>IF(E511=$L511,1,IF(E511="","",0))</f>
        <v/>
      </c>
      <c r="E511" s="14"/>
      <c r="F511" s="4" t="str">
        <f>IF(G511=$L511,1,IF(G511="","",0))</f>
        <v/>
      </c>
      <c r="G511" s="14"/>
      <c r="H511" s="6">
        <v>443</v>
      </c>
      <c r="I511" s="15" t="s">
        <v>3120</v>
      </c>
      <c r="J511" s="6" t="s">
        <v>3589</v>
      </c>
      <c r="K511" s="6"/>
      <c r="L511" s="6" t="s">
        <v>572</v>
      </c>
      <c r="M511" s="6" t="s">
        <v>6552</v>
      </c>
      <c r="N511" s="7">
        <f ca="1">RAND()</f>
        <v>0.21487183415476618</v>
      </c>
      <c r="O511" s="8">
        <v>45202</v>
      </c>
      <c r="P511" s="8">
        <v>45203</v>
      </c>
      <c r="Q511" s="8">
        <v>45205</v>
      </c>
      <c r="R511" s="8">
        <v>45209</v>
      </c>
      <c r="S511" s="8">
        <v>45216</v>
      </c>
      <c r="T511" s="8">
        <v>45228</v>
      </c>
      <c r="U511" s="8">
        <v>45783</v>
      </c>
      <c r="V511" s="10">
        <f>COUNTA(O511:U511)</f>
        <v>7</v>
      </c>
      <c r="W511" s="11">
        <f>_xlfn.IFNA(INDEX(reading[[#This Row],[Memo 01]:[Memo 07]],MATCH(0,reading[[#This Row],[Memo 01]:[Memo 07]],-1)),"")</f>
        <v>45783</v>
      </c>
      <c r="X511" s="11">
        <f ca="1">IFERROR(reading[[#This Row],[Previous]]+OFFSET(reading[[#Headers],[Memo 01]],-1,MATCH(0,reading[[#This Row],[Memo 01]:[Memo 07]],-1)-1),"")</f>
        <v>55783</v>
      </c>
      <c r="Y511" s="10" t="str">
        <f ca="1">IF(reading[[#This Row],[Next]]&lt;&gt;"",IF(reading[[#This Row],[Next]]&gt;TODAY(),"OK",""),"")</f>
        <v>OK</v>
      </c>
      <c r="Z511" s="13">
        <v>3</v>
      </c>
      <c r="AA511" s="13">
        <v>3</v>
      </c>
      <c r="AB511" s="13">
        <v>3</v>
      </c>
      <c r="AC511" s="13">
        <v>3</v>
      </c>
      <c r="AD511" s="13">
        <v>3</v>
      </c>
      <c r="AE511" s="13">
        <v>3</v>
      </c>
      <c r="AF511" s="13">
        <v>3</v>
      </c>
      <c r="AG511" s="16">
        <f>IFERROR(SUMIF(reading[[#This Row],[1st]:[7th]],"&gt;0")/COUNTIF(reading[[#This Row],[1st]:[7th]],"&gt;0"),"")</f>
        <v>3</v>
      </c>
    </row>
    <row r="512" spans="1:33" hidden="1" x14ac:dyDescent="0.2">
      <c r="A512" s="4">
        <f>IF(B512=1,3,IF(D512=1,2,IF(F512=1,1,0)))</f>
        <v>0</v>
      </c>
      <c r="B512" s="4" t="str">
        <f>IF(C512=$L512,1,IF(C512="","",0))</f>
        <v/>
      </c>
      <c r="C512" s="42"/>
      <c r="D512" s="4" t="str">
        <f>IF(E512=$L512,1,IF(E512="","",0))</f>
        <v/>
      </c>
      <c r="E512" s="14"/>
      <c r="F512" s="4" t="str">
        <f>IF(G512=$L512,1,IF(G512="","",0))</f>
        <v/>
      </c>
      <c r="G512" s="14"/>
      <c r="H512" s="6">
        <v>584</v>
      </c>
      <c r="I512" s="15" t="s">
        <v>3120</v>
      </c>
      <c r="J512" s="6" t="s">
        <v>3727</v>
      </c>
      <c r="K512" s="6"/>
      <c r="L512" s="6" t="s">
        <v>710</v>
      </c>
      <c r="M512" s="6" t="s">
        <v>6693</v>
      </c>
      <c r="N512" s="7">
        <f ca="1">RAND()</f>
        <v>0.64705709033335956</v>
      </c>
      <c r="O512" s="8">
        <v>45202</v>
      </c>
      <c r="P512" s="8">
        <v>45203</v>
      </c>
      <c r="Q512" s="8">
        <v>45205</v>
      </c>
      <c r="R512" s="8">
        <v>45209</v>
      </c>
      <c r="S512" s="8">
        <v>45216</v>
      </c>
      <c r="T512" s="8">
        <v>45228</v>
      </c>
      <c r="U512" s="8">
        <v>45792</v>
      </c>
      <c r="V512" s="10">
        <f>COUNTA(O512:U512)</f>
        <v>7</v>
      </c>
      <c r="W512" s="11">
        <f>_xlfn.IFNA(INDEX(reading[[#This Row],[Memo 01]:[Memo 07]],MATCH(0,reading[[#This Row],[Memo 01]:[Memo 07]],-1)),"")</f>
        <v>45792</v>
      </c>
      <c r="X512" s="11">
        <f ca="1">IFERROR(reading[[#This Row],[Previous]]+OFFSET(reading[[#Headers],[Memo 01]],-1,MATCH(0,reading[[#This Row],[Memo 01]:[Memo 07]],-1)-1),"")</f>
        <v>55792</v>
      </c>
      <c r="Y512" s="10" t="str">
        <f ca="1">IF(reading[[#This Row],[Next]]&lt;&gt;"",IF(reading[[#This Row],[Next]]&gt;TODAY(),"OK",""),"")</f>
        <v>OK</v>
      </c>
      <c r="Z512" s="13">
        <v>3</v>
      </c>
      <c r="AA512" s="13">
        <v>3</v>
      </c>
      <c r="AB512" s="13">
        <v>3</v>
      </c>
      <c r="AC512" s="13">
        <v>3</v>
      </c>
      <c r="AD512" s="13">
        <v>3</v>
      </c>
      <c r="AE512" s="13">
        <v>3</v>
      </c>
      <c r="AF512" s="13">
        <v>3</v>
      </c>
      <c r="AG512" s="16">
        <f>IFERROR(SUMIF(reading[[#This Row],[1st]:[7th]],"&gt;0")/COUNTIF(reading[[#This Row],[1st]:[7th]],"&gt;0"),"")</f>
        <v>3</v>
      </c>
    </row>
    <row r="513" spans="1:33" hidden="1" x14ac:dyDescent="0.2">
      <c r="A513" s="4">
        <f>IF(B513=1,3,IF(D513=1,2,IF(F513=1,1,0)))</f>
        <v>0</v>
      </c>
      <c r="B513" s="4" t="str">
        <f>IF(C513=$L513,1,IF(C513="","",0))</f>
        <v/>
      </c>
      <c r="C513" s="42"/>
      <c r="D513" s="4" t="str">
        <f>IF(E513=$L513,1,IF(E513="","",0))</f>
        <v/>
      </c>
      <c r="E513" s="18"/>
      <c r="F513" s="4" t="str">
        <f>IF(G513=$L513,1,IF(G513="","",0))</f>
        <v/>
      </c>
      <c r="G513" s="18"/>
      <c r="H513" s="6">
        <v>1486</v>
      </c>
      <c r="I513" s="15" t="s">
        <v>3120</v>
      </c>
      <c r="J513" s="6" t="s">
        <v>4600</v>
      </c>
      <c r="K513" s="6"/>
      <c r="L513" s="6" t="s">
        <v>1572</v>
      </c>
      <c r="M513" s="6" t="s">
        <v>7593</v>
      </c>
      <c r="N513" s="7">
        <f ca="1">RAND()</f>
        <v>0.38331479216654252</v>
      </c>
      <c r="O513" s="8">
        <v>45208</v>
      </c>
      <c r="P513" s="8">
        <v>45209</v>
      </c>
      <c r="Q513" s="8">
        <v>45211</v>
      </c>
      <c r="R513" s="8">
        <v>45215</v>
      </c>
      <c r="S513" s="8">
        <v>45222</v>
      </c>
      <c r="T513" s="8">
        <v>45234</v>
      </c>
      <c r="U513" s="8">
        <v>45783</v>
      </c>
      <c r="V513" s="10">
        <f>COUNTA(O513:U513)</f>
        <v>7</v>
      </c>
      <c r="W513" s="11">
        <f>_xlfn.IFNA(INDEX(reading[[#This Row],[Memo 01]:[Memo 07]],MATCH(0,reading[[#This Row],[Memo 01]:[Memo 07]],-1)),"")</f>
        <v>45783</v>
      </c>
      <c r="X513" s="11">
        <f ca="1">IFERROR(reading[[#This Row],[Previous]]+OFFSET(reading[[#Headers],[Memo 01]],-1,MATCH(0,reading[[#This Row],[Memo 01]:[Memo 07]],-1)-1),"")</f>
        <v>55783</v>
      </c>
      <c r="Y513" s="10" t="str">
        <f ca="1">IF(reading[[#This Row],[Next]]&lt;&gt;"",IF(reading[[#This Row],[Next]]&gt;TODAY(),"OK",""),"")</f>
        <v>OK</v>
      </c>
      <c r="Z513" s="13">
        <v>3</v>
      </c>
      <c r="AA513" s="13">
        <v>3</v>
      </c>
      <c r="AB513" s="13">
        <v>3</v>
      </c>
      <c r="AC513" s="13">
        <v>1</v>
      </c>
      <c r="AD513" s="13">
        <v>3</v>
      </c>
      <c r="AE513" s="13">
        <v>3</v>
      </c>
      <c r="AF513" s="13">
        <v>3</v>
      </c>
      <c r="AG513" s="16">
        <f>IFERROR(SUMIF(reading[[#This Row],[1st]:[7th]],"&gt;0")/COUNTIF(reading[[#This Row],[1st]:[7th]],"&gt;0"),"")</f>
        <v>2.7142857142857144</v>
      </c>
    </row>
    <row r="514" spans="1:33" hidden="1" x14ac:dyDescent="0.2">
      <c r="A514" s="4">
        <f>IF(B514=1,3,IF(D514=1,2,IF(F514=1,1,0)))</f>
        <v>0</v>
      </c>
      <c r="B514" s="4" t="str">
        <f>IF(C514=$L514,1,IF(C514="","",0))</f>
        <v/>
      </c>
      <c r="C514" s="42"/>
      <c r="D514" s="4" t="str">
        <f>IF(E514=$L514,1,IF(E514="","",0))</f>
        <v/>
      </c>
      <c r="E514" s="14"/>
      <c r="F514" s="4" t="str">
        <f>IF(G514=$L514,1,IF(G514="","",0))</f>
        <v/>
      </c>
      <c r="G514" s="14"/>
      <c r="H514" s="6">
        <v>2897</v>
      </c>
      <c r="I514" s="15" t="s">
        <v>3120</v>
      </c>
      <c r="J514" s="6" t="s">
        <v>5933</v>
      </c>
      <c r="K514" s="6"/>
      <c r="L514" s="6" t="s">
        <v>2927</v>
      </c>
      <c r="M514" s="6" t="s">
        <v>9001</v>
      </c>
      <c r="N514" s="7">
        <f ca="1">RAND()</f>
        <v>8.4329868054022761E-3</v>
      </c>
      <c r="O514" s="8">
        <v>45222</v>
      </c>
      <c r="P514" s="8">
        <v>45223</v>
      </c>
      <c r="Q514" s="8">
        <v>45225</v>
      </c>
      <c r="R514" s="8">
        <v>45229</v>
      </c>
      <c r="S514" s="8">
        <v>45236</v>
      </c>
      <c r="T514" s="8">
        <v>45818</v>
      </c>
      <c r="U514" s="8"/>
      <c r="V514" s="10">
        <f>COUNTA(O514:U514)</f>
        <v>6</v>
      </c>
      <c r="W514" s="11">
        <f>_xlfn.IFNA(INDEX(reading[[#This Row],[Memo 01]:[Memo 07]],MATCH(0,reading[[#This Row],[Memo 01]:[Memo 07]],-1)),"")</f>
        <v>45818</v>
      </c>
      <c r="X514" s="11">
        <f ca="1">IFERROR(reading[[#This Row],[Previous]]+OFFSET(reading[[#Headers],[Memo 01]],-1,MATCH(0,reading[[#This Row],[Memo 01]:[Memo 07]],-1)-1),"")</f>
        <v>45838</v>
      </c>
      <c r="Y514" s="10" t="str">
        <f ca="1">IF(reading[[#This Row],[Next]]&lt;&gt;"",IF(reading[[#This Row],[Next]]&gt;TODAY(),"OK",""),"")</f>
        <v>OK</v>
      </c>
      <c r="Z514" s="13">
        <v>3</v>
      </c>
      <c r="AA514" s="13">
        <v>3</v>
      </c>
      <c r="AB514" s="13">
        <v>3</v>
      </c>
      <c r="AC514" s="13">
        <v>3</v>
      </c>
      <c r="AD514" s="13">
        <v>3</v>
      </c>
      <c r="AE514" s="13">
        <v>3</v>
      </c>
      <c r="AF514" s="13"/>
      <c r="AG514" s="16">
        <f>IFERROR(SUMIF(reading[[#This Row],[1st]:[7th]],"&gt;0")/COUNTIF(reading[[#This Row],[1st]:[7th]],"&gt;0"),"")</f>
        <v>3</v>
      </c>
    </row>
    <row r="515" spans="1:33" hidden="1" x14ac:dyDescent="0.2">
      <c r="A515" s="4">
        <f>IF(B515=1,3,IF(D515=1,2,IF(F515=1,1,0)))</f>
        <v>0</v>
      </c>
      <c r="B515" s="4" t="str">
        <f>IF(C515=$L515,1,IF(C515="","",0))</f>
        <v/>
      </c>
      <c r="C515" s="42"/>
      <c r="D515" s="4" t="str">
        <f>IF(E515=$L515,1,IF(E515="","",0))</f>
        <v/>
      </c>
      <c r="E515" s="14"/>
      <c r="F515" s="4" t="str">
        <f>IF(G515=$L515,1,IF(G515="","",0))</f>
        <v/>
      </c>
      <c r="G515" s="14"/>
      <c r="H515" s="6">
        <v>3057</v>
      </c>
      <c r="I515" s="15" t="s">
        <v>3120</v>
      </c>
      <c r="J515" s="6" t="s">
        <v>6078</v>
      </c>
      <c r="K515" s="6"/>
      <c r="L515" s="6" t="s">
        <v>3083</v>
      </c>
      <c r="M515" s="6" t="s">
        <v>9160</v>
      </c>
      <c r="N515" s="7">
        <f ca="1">RAND()</f>
        <v>0.55756303552735109</v>
      </c>
      <c r="O515" s="8">
        <v>45224</v>
      </c>
      <c r="P515" s="8">
        <v>45225</v>
      </c>
      <c r="Q515" s="8">
        <v>45227</v>
      </c>
      <c r="R515" s="8">
        <v>45231</v>
      </c>
      <c r="S515" s="8">
        <v>45251</v>
      </c>
      <c r="T515" s="8">
        <v>45818</v>
      </c>
      <c r="U515" s="8"/>
      <c r="V515" s="10">
        <f>COUNTA(O515:U515)</f>
        <v>6</v>
      </c>
      <c r="W515" s="11">
        <f>_xlfn.IFNA(INDEX(reading[[#This Row],[Memo 01]:[Memo 07]],MATCH(0,reading[[#This Row],[Memo 01]:[Memo 07]],-1)),"")</f>
        <v>45818</v>
      </c>
      <c r="X515" s="11">
        <f ca="1">IFERROR(reading[[#This Row],[Previous]]+OFFSET(reading[[#Headers],[Memo 01]],-1,MATCH(0,reading[[#This Row],[Memo 01]:[Memo 07]],-1)-1),"")</f>
        <v>45838</v>
      </c>
      <c r="Y515" s="10" t="str">
        <f ca="1">IF(reading[[#This Row],[Next]]&lt;&gt;"",IF(reading[[#This Row],[Next]]&gt;TODAY(),"OK",""),"")</f>
        <v>OK</v>
      </c>
      <c r="Z515" s="13">
        <v>3</v>
      </c>
      <c r="AA515" s="13">
        <v>3</v>
      </c>
      <c r="AB515" s="13">
        <v>3</v>
      </c>
      <c r="AC515" s="13">
        <v>3</v>
      </c>
      <c r="AD515" s="13">
        <v>3</v>
      </c>
      <c r="AE515" s="13">
        <v>3</v>
      </c>
      <c r="AF515" s="13"/>
      <c r="AG515" s="16">
        <f>IFERROR(SUMIF(reading[[#This Row],[1st]:[7th]],"&gt;0")/COUNTIF(reading[[#This Row],[1st]:[7th]],"&gt;0"),"")</f>
        <v>3</v>
      </c>
    </row>
    <row r="516" spans="1:33" hidden="1" x14ac:dyDescent="0.2">
      <c r="A516" s="4">
        <f>IF(B516=1,3,IF(D516=1,2,IF(F516=1,1,0)))</f>
        <v>0</v>
      </c>
      <c r="B516" s="4" t="str">
        <f>IF(C516=$L516,1,IF(C516="","",0))</f>
        <v/>
      </c>
      <c r="C516" s="42"/>
      <c r="D516" s="4" t="str">
        <f>IF(E516=$L516,1,IF(E516="","",0))</f>
        <v/>
      </c>
      <c r="E516" s="14"/>
      <c r="F516" s="4" t="str">
        <f>IF(G516=$L516,1,IF(G516="","",0))</f>
        <v/>
      </c>
      <c r="G516" s="14"/>
      <c r="H516" s="6">
        <v>1184</v>
      </c>
      <c r="I516" s="15" t="s">
        <v>3120</v>
      </c>
      <c r="J516" s="6" t="s">
        <v>4303</v>
      </c>
      <c r="K516" s="6"/>
      <c r="L516" s="6" t="s">
        <v>1286</v>
      </c>
      <c r="M516" s="6" t="s">
        <v>7292</v>
      </c>
      <c r="N516" s="7">
        <f ca="1">RAND()</f>
        <v>0.20371073298642017</v>
      </c>
      <c r="O516" s="8">
        <v>45206</v>
      </c>
      <c r="P516" s="8">
        <v>45207</v>
      </c>
      <c r="Q516" s="8">
        <v>45209</v>
      </c>
      <c r="R516" s="8">
        <v>45213</v>
      </c>
      <c r="S516" s="8">
        <v>45220</v>
      </c>
      <c r="T516" s="8">
        <v>45232</v>
      </c>
      <c r="U516" s="8">
        <v>45783</v>
      </c>
      <c r="V516" s="10">
        <f>COUNTA(O516:U516)</f>
        <v>7</v>
      </c>
      <c r="W516" s="11">
        <f>_xlfn.IFNA(INDEX(reading[[#This Row],[Memo 01]:[Memo 07]],MATCH(0,reading[[#This Row],[Memo 01]:[Memo 07]],-1)),"")</f>
        <v>45783</v>
      </c>
      <c r="X516" s="11">
        <f ca="1">IFERROR(reading[[#This Row],[Previous]]+OFFSET(reading[[#Headers],[Memo 01]],-1,MATCH(0,reading[[#This Row],[Memo 01]:[Memo 07]],-1)-1),"")</f>
        <v>55783</v>
      </c>
      <c r="Y516" s="10" t="str">
        <f ca="1">IF(reading[[#This Row],[Next]]&lt;&gt;"",IF(reading[[#This Row],[Next]]&gt;TODAY(),"OK",""),"")</f>
        <v>OK</v>
      </c>
      <c r="Z516" s="13">
        <v>3</v>
      </c>
      <c r="AA516" s="13">
        <v>3</v>
      </c>
      <c r="AB516" s="13">
        <v>3</v>
      </c>
      <c r="AC516" s="13">
        <v>3</v>
      </c>
      <c r="AD516" s="13">
        <v>3</v>
      </c>
      <c r="AE516" s="13">
        <v>3</v>
      </c>
      <c r="AF516" s="13">
        <v>3</v>
      </c>
      <c r="AG516" s="16">
        <f>IFERROR(SUMIF(reading[[#This Row],[1st]:[7th]],"&gt;0")/COUNTIF(reading[[#This Row],[1st]:[7th]],"&gt;0"),"")</f>
        <v>3</v>
      </c>
    </row>
    <row r="517" spans="1:33" hidden="1" x14ac:dyDescent="0.2">
      <c r="A517" s="4">
        <f>IF(B517=1,3,IF(D517=1,2,IF(F517=1,1,0)))</f>
        <v>0</v>
      </c>
      <c r="B517" s="4" t="str">
        <f>IF(C517=$L517,1,IF(C517="","",0))</f>
        <v/>
      </c>
      <c r="C517" s="42"/>
      <c r="D517" s="4" t="str">
        <f>IF(E517=$L517,1,IF(E517="","",0))</f>
        <v/>
      </c>
      <c r="E517" s="14"/>
      <c r="F517" s="4" t="str">
        <f>IF(G517=$L517,1,IF(G517="","",0))</f>
        <v/>
      </c>
      <c r="G517" s="14"/>
      <c r="H517" s="6">
        <v>1331</v>
      </c>
      <c r="I517" s="15" t="s">
        <v>3120</v>
      </c>
      <c r="J517" s="6" t="s">
        <v>4447</v>
      </c>
      <c r="K517" s="6"/>
      <c r="L517" s="6" t="s">
        <v>1428</v>
      </c>
      <c r="M517" s="6" t="s">
        <v>7438</v>
      </c>
      <c r="N517" s="7">
        <f ca="1">RAND()</f>
        <v>0.78226278806907634</v>
      </c>
      <c r="O517" s="8">
        <v>45207</v>
      </c>
      <c r="P517" s="8">
        <v>45208</v>
      </c>
      <c r="Q517" s="8">
        <v>45210</v>
      </c>
      <c r="R517" s="8">
        <v>45214</v>
      </c>
      <c r="S517" s="8">
        <v>45221</v>
      </c>
      <c r="T517" s="8">
        <v>45233</v>
      </c>
      <c r="U517" s="8">
        <v>45792</v>
      </c>
      <c r="V517" s="10">
        <f>COUNTA(O517:U517)</f>
        <v>7</v>
      </c>
      <c r="W517" s="11">
        <f>_xlfn.IFNA(INDEX(reading[[#This Row],[Memo 01]:[Memo 07]],MATCH(0,reading[[#This Row],[Memo 01]:[Memo 07]],-1)),"")</f>
        <v>45792</v>
      </c>
      <c r="X517" s="11">
        <f ca="1">IFERROR(reading[[#This Row],[Previous]]+OFFSET(reading[[#Headers],[Memo 01]],-1,MATCH(0,reading[[#This Row],[Memo 01]:[Memo 07]],-1)-1),"")</f>
        <v>55792</v>
      </c>
      <c r="Y517" s="10" t="str">
        <f ca="1">IF(reading[[#This Row],[Next]]&lt;&gt;"",IF(reading[[#This Row],[Next]]&gt;TODAY(),"OK",""),"")</f>
        <v>OK</v>
      </c>
      <c r="Z517" s="13">
        <v>3</v>
      </c>
      <c r="AA517" s="13">
        <v>3</v>
      </c>
      <c r="AB517" s="13">
        <v>3</v>
      </c>
      <c r="AC517" s="13">
        <v>3</v>
      </c>
      <c r="AD517" s="13">
        <v>3</v>
      </c>
      <c r="AE517" s="13">
        <v>3</v>
      </c>
      <c r="AF517" s="13">
        <v>3</v>
      </c>
      <c r="AG517" s="16">
        <f>IFERROR(SUMIF(reading[[#This Row],[1st]:[7th]],"&gt;0")/COUNTIF(reading[[#This Row],[1st]:[7th]],"&gt;0"),"")</f>
        <v>3</v>
      </c>
    </row>
    <row r="518" spans="1:33" hidden="1" x14ac:dyDescent="0.2">
      <c r="A518" s="4">
        <f>IF(B518=1,3,IF(D518=1,2,IF(F518=1,1,0)))</f>
        <v>0</v>
      </c>
      <c r="B518" s="4" t="str">
        <f>IF(C518=$L518,1,IF(C518="","",0))</f>
        <v/>
      </c>
      <c r="C518" s="42"/>
      <c r="D518" s="4" t="str">
        <f>IF(E518=$L518,1,IF(E518="","",0))</f>
        <v/>
      </c>
      <c r="E518" s="14"/>
      <c r="F518" s="4" t="str">
        <f>IF(G518=$L518,1,IF(G518="","",0))</f>
        <v/>
      </c>
      <c r="G518" s="14"/>
      <c r="H518" s="6">
        <v>542</v>
      </c>
      <c r="I518" s="15" t="s">
        <v>3120</v>
      </c>
      <c r="J518" s="6" t="s">
        <v>3687</v>
      </c>
      <c r="K518" s="15" t="s">
        <v>3138</v>
      </c>
      <c r="L518" s="6" t="s">
        <v>670</v>
      </c>
      <c r="M518" s="6" t="s">
        <v>6651</v>
      </c>
      <c r="N518" s="7">
        <f ca="1">RAND()</f>
        <v>0.60176806443093045</v>
      </c>
      <c r="O518" s="8">
        <v>45202</v>
      </c>
      <c r="P518" s="8">
        <v>45203</v>
      </c>
      <c r="Q518" s="8">
        <v>45205</v>
      </c>
      <c r="R518" s="8">
        <v>45209</v>
      </c>
      <c r="S518" s="8">
        <v>45216</v>
      </c>
      <c r="T518" s="8">
        <v>45228</v>
      </c>
      <c r="U518" s="8">
        <v>45783</v>
      </c>
      <c r="V518" s="10">
        <f>COUNTA(O518:U518)</f>
        <v>7</v>
      </c>
      <c r="W518" s="11">
        <f>_xlfn.IFNA(INDEX(reading[[#This Row],[Memo 01]:[Memo 07]],MATCH(0,reading[[#This Row],[Memo 01]:[Memo 07]],-1)),"")</f>
        <v>45783</v>
      </c>
      <c r="X518" s="11">
        <f ca="1">IFERROR(reading[[#This Row],[Previous]]+OFFSET(reading[[#Headers],[Memo 01]],-1,MATCH(0,reading[[#This Row],[Memo 01]:[Memo 07]],-1)-1),"")</f>
        <v>55783</v>
      </c>
      <c r="Y518" s="10" t="str">
        <f ca="1">IF(reading[[#This Row],[Next]]&lt;&gt;"",IF(reading[[#This Row],[Next]]&gt;TODAY(),"OK",""),"")</f>
        <v>OK</v>
      </c>
      <c r="Z518" s="13">
        <v>3</v>
      </c>
      <c r="AA518" s="13">
        <v>3</v>
      </c>
      <c r="AB518" s="13">
        <v>3</v>
      </c>
      <c r="AC518" s="13">
        <v>3</v>
      </c>
      <c r="AD518" s="13">
        <v>3</v>
      </c>
      <c r="AE518" s="13">
        <v>3</v>
      </c>
      <c r="AF518" s="13">
        <v>3</v>
      </c>
      <c r="AG518" s="16">
        <f>IFERROR(SUMIF(reading[[#This Row],[1st]:[7th]],"&gt;0")/COUNTIF(reading[[#This Row],[1st]:[7th]],"&gt;0"),"")</f>
        <v>3</v>
      </c>
    </row>
    <row r="519" spans="1:33" hidden="1" x14ac:dyDescent="0.2">
      <c r="A519" s="4">
        <f>IF(B519=1,3,IF(D519=1,2,IF(F519=1,1,0)))</f>
        <v>0</v>
      </c>
      <c r="B519" s="4" t="str">
        <f>IF(C519=$L519,1,IF(C519="","",0))</f>
        <v/>
      </c>
      <c r="C519" s="42"/>
      <c r="D519" s="4" t="str">
        <f>IF(E519=$L519,1,IF(E519="","",0))</f>
        <v/>
      </c>
      <c r="E519" s="23"/>
      <c r="F519" s="4" t="str">
        <f>IF(G519=$L519,1,IF(G519="","",0))</f>
        <v/>
      </c>
      <c r="G519" s="23"/>
      <c r="H519" s="6">
        <v>2407</v>
      </c>
      <c r="I519" s="15" t="s">
        <v>3120</v>
      </c>
      <c r="J519" s="6" t="s">
        <v>5478</v>
      </c>
      <c r="K519" s="15" t="s">
        <v>3138</v>
      </c>
      <c r="L519" s="6" t="s">
        <v>2457</v>
      </c>
      <c r="M519" s="6" t="s">
        <v>8512</v>
      </c>
      <c r="N519" s="7">
        <f ca="1">RAND()</f>
        <v>0.44773461308999873</v>
      </c>
      <c r="O519" s="8">
        <v>45217</v>
      </c>
      <c r="P519" s="8">
        <v>45218</v>
      </c>
      <c r="Q519" s="8">
        <v>45220</v>
      </c>
      <c r="R519" s="8">
        <v>45224</v>
      </c>
      <c r="S519" s="8">
        <v>45231</v>
      </c>
      <c r="T519" s="8">
        <v>45811</v>
      </c>
      <c r="U519" s="8"/>
      <c r="V519" s="10">
        <f>COUNTA(O519:U519)</f>
        <v>6</v>
      </c>
      <c r="W519" s="11">
        <f>_xlfn.IFNA(INDEX(reading[[#This Row],[Memo 01]:[Memo 07]],MATCH(0,reading[[#This Row],[Memo 01]:[Memo 07]],-1)),"")</f>
        <v>45811</v>
      </c>
      <c r="X519" s="11">
        <f ca="1">IFERROR(reading[[#This Row],[Previous]]+OFFSET(reading[[#Headers],[Memo 01]],-1,MATCH(0,reading[[#This Row],[Memo 01]:[Memo 07]],-1)-1),"")</f>
        <v>45831</v>
      </c>
      <c r="Y519" s="10" t="str">
        <f ca="1">IF(reading[[#This Row],[Next]]&lt;&gt;"",IF(reading[[#This Row],[Next]]&gt;TODAY(),"OK",""),"")</f>
        <v/>
      </c>
      <c r="Z519" s="13">
        <v>3</v>
      </c>
      <c r="AA519" s="13">
        <v>3</v>
      </c>
      <c r="AB519" s="13">
        <v>3</v>
      </c>
      <c r="AC519" s="13">
        <v>3</v>
      </c>
      <c r="AD519" s="13">
        <v>3</v>
      </c>
      <c r="AE519" s="13">
        <v>1</v>
      </c>
      <c r="AF519" s="13"/>
      <c r="AG519" s="16">
        <f>IFERROR(SUMIF(reading[[#This Row],[1st]:[7th]],"&gt;0")/COUNTIF(reading[[#This Row],[1st]:[7th]],"&gt;0"),"")</f>
        <v>2.6666666666666665</v>
      </c>
    </row>
    <row r="520" spans="1:33" hidden="1" x14ac:dyDescent="0.2">
      <c r="A520" s="4">
        <f>IF(B520=1,3,IF(D520=1,2,IF(F520=1,1,0)))</f>
        <v>0</v>
      </c>
      <c r="B520" s="4" t="str">
        <f>IF(C520=$L520,1,IF(C520="","",0))</f>
        <v/>
      </c>
      <c r="C520" s="42"/>
      <c r="D520" s="4" t="str">
        <f>IF(E520=$L520,1,IF(E520="","",0))</f>
        <v/>
      </c>
      <c r="E520" s="14"/>
      <c r="F520" s="4" t="str">
        <f>IF(G520=$L520,1,IF(G520="","",0))</f>
        <v/>
      </c>
      <c r="G520" s="14"/>
      <c r="H520" s="6">
        <v>598</v>
      </c>
      <c r="I520" s="15" t="s">
        <v>3120</v>
      </c>
      <c r="J520" s="6" t="s">
        <v>3741</v>
      </c>
      <c r="K520" s="6"/>
      <c r="L520" s="6" t="s">
        <v>724</v>
      </c>
      <c r="M520" s="6" t="s">
        <v>6707</v>
      </c>
      <c r="N520" s="7">
        <f ca="1">RAND()</f>
        <v>0.42015601720874141</v>
      </c>
      <c r="O520" s="8">
        <v>45202</v>
      </c>
      <c r="P520" s="8">
        <v>45203</v>
      </c>
      <c r="Q520" s="8">
        <v>45205</v>
      </c>
      <c r="R520" s="8">
        <v>45209</v>
      </c>
      <c r="S520" s="8">
        <v>45216</v>
      </c>
      <c r="T520" s="8">
        <v>45228</v>
      </c>
      <c r="U520" s="8">
        <v>45783</v>
      </c>
      <c r="V520" s="10">
        <f>COUNTA(O520:U520)</f>
        <v>7</v>
      </c>
      <c r="W520" s="11">
        <f>_xlfn.IFNA(INDEX(reading[[#This Row],[Memo 01]:[Memo 07]],MATCH(0,reading[[#This Row],[Memo 01]:[Memo 07]],-1)),"")</f>
        <v>45783</v>
      </c>
      <c r="X520" s="11">
        <f ca="1">IFERROR(reading[[#This Row],[Previous]]+OFFSET(reading[[#Headers],[Memo 01]],-1,MATCH(0,reading[[#This Row],[Memo 01]:[Memo 07]],-1)-1),"")</f>
        <v>55783</v>
      </c>
      <c r="Y520" s="10" t="str">
        <f ca="1">IF(reading[[#This Row],[Next]]&lt;&gt;"",IF(reading[[#This Row],[Next]]&gt;TODAY(),"OK",""),"")</f>
        <v>OK</v>
      </c>
      <c r="Z520" s="13">
        <v>3</v>
      </c>
      <c r="AA520" s="13">
        <v>3</v>
      </c>
      <c r="AB520" s="13">
        <v>3</v>
      </c>
      <c r="AC520" s="13">
        <v>3</v>
      </c>
      <c r="AD520" s="13">
        <v>3</v>
      </c>
      <c r="AE520" s="13">
        <v>3</v>
      </c>
      <c r="AF520" s="13">
        <v>3</v>
      </c>
      <c r="AG520" s="16">
        <f>IFERROR(SUMIF(reading[[#This Row],[1st]:[7th]],"&gt;0")/COUNTIF(reading[[#This Row],[1st]:[7th]],"&gt;0"),"")</f>
        <v>3</v>
      </c>
    </row>
    <row r="521" spans="1:33" hidden="1" x14ac:dyDescent="0.2">
      <c r="A521" s="4">
        <f>IF(B521=1,3,IF(D521=1,2,IF(F521=1,1,0)))</f>
        <v>0</v>
      </c>
      <c r="B521" s="4" t="str">
        <f>IF(C521=$L521,1,IF(C521="","",0))</f>
        <v/>
      </c>
      <c r="C521" s="43"/>
      <c r="D521" s="4" t="str">
        <f>IF(E521=$L521,1,IF(E521="","",0))</f>
        <v/>
      </c>
      <c r="E521" s="18"/>
      <c r="F521" s="4" t="str">
        <f>IF(G521=$L521,1,IF(G521="","",0))</f>
        <v/>
      </c>
      <c r="G521" s="14"/>
      <c r="H521" s="6">
        <v>263</v>
      </c>
      <c r="I521" s="15" t="s">
        <v>3120</v>
      </c>
      <c r="J521" s="6" t="s">
        <v>3412</v>
      </c>
      <c r="K521" s="6"/>
      <c r="L521" s="6" t="s">
        <v>398</v>
      </c>
      <c r="M521" s="6" t="s">
        <v>6372</v>
      </c>
      <c r="N521" s="7">
        <f ca="1">RAND()</f>
        <v>1.5847226410709681E-2</v>
      </c>
      <c r="O521" s="8">
        <v>45199</v>
      </c>
      <c r="P521" s="8">
        <v>45200</v>
      </c>
      <c r="Q521" s="8">
        <v>45202</v>
      </c>
      <c r="R521" s="8">
        <v>45206</v>
      </c>
      <c r="S521" s="8">
        <v>45213</v>
      </c>
      <c r="T521" s="8">
        <v>45225</v>
      </c>
      <c r="U521" s="8">
        <v>45783</v>
      </c>
      <c r="V521" s="10">
        <f>COUNTA(O521:U521)</f>
        <v>7</v>
      </c>
      <c r="W521" s="11">
        <f>_xlfn.IFNA(INDEX(reading[[#This Row],[Memo 01]:[Memo 07]],MATCH(0,reading[[#This Row],[Memo 01]:[Memo 07]],-1)),"")</f>
        <v>45783</v>
      </c>
      <c r="X521" s="11">
        <f ca="1">IFERROR(reading[[#This Row],[Previous]]+OFFSET(reading[[#Headers],[Memo 01]],-1,MATCH(0,reading[[#This Row],[Memo 01]:[Memo 07]],-1)-1),"")</f>
        <v>55783</v>
      </c>
      <c r="Y521" s="10" t="str">
        <f ca="1">IF(reading[[#This Row],[Next]]&lt;&gt;"",IF(reading[[#This Row],[Next]]&gt;TODAY(),"OK",""),"")</f>
        <v>OK</v>
      </c>
      <c r="Z521" s="13">
        <v>3</v>
      </c>
      <c r="AA521" s="13">
        <v>3</v>
      </c>
      <c r="AB521" s="13">
        <v>3</v>
      </c>
      <c r="AC521" s="13">
        <v>2</v>
      </c>
      <c r="AD521" s="13">
        <v>3</v>
      </c>
      <c r="AE521" s="13">
        <v>3</v>
      </c>
      <c r="AF521" s="13">
        <v>3</v>
      </c>
      <c r="AG521" s="16">
        <f>IFERROR(SUMIF(reading[[#This Row],[1st]:[7th]],"&gt;0")/COUNTIF(reading[[#This Row],[1st]:[7th]],"&gt;0"),"")</f>
        <v>2.8571428571428572</v>
      </c>
    </row>
    <row r="522" spans="1:33" hidden="1" x14ac:dyDescent="0.2">
      <c r="A522" s="4">
        <f>IF(B522=1,3,IF(D522=1,2,IF(F522=1,1,0)))</f>
        <v>0</v>
      </c>
      <c r="B522" s="4" t="str">
        <f>IF(C522=$L522,1,IF(C522="","",0))</f>
        <v/>
      </c>
      <c r="C522" s="41"/>
      <c r="D522" s="4" t="str">
        <f>IF(E522=$L522,1,IF(E522="","",0))</f>
        <v/>
      </c>
      <c r="E522" s="18"/>
      <c r="F522" s="4" t="str">
        <f>IF(G522=$L522,1,IF(G522="","",0))</f>
        <v/>
      </c>
      <c r="G522" s="18"/>
      <c r="H522" s="6">
        <v>961</v>
      </c>
      <c r="I522" s="15" t="s">
        <v>3120</v>
      </c>
      <c r="J522" s="6" t="s">
        <v>4090</v>
      </c>
      <c r="K522" s="6"/>
      <c r="L522" s="6" t="s">
        <v>1071</v>
      </c>
      <c r="M522" s="6" t="s">
        <v>7069</v>
      </c>
      <c r="N522" s="7">
        <f ca="1">RAND()</f>
        <v>0.21997030175248156</v>
      </c>
      <c r="O522" s="8">
        <v>45204</v>
      </c>
      <c r="P522" s="8">
        <v>45205</v>
      </c>
      <c r="Q522" s="8">
        <v>45207</v>
      </c>
      <c r="R522" s="8">
        <v>45212</v>
      </c>
      <c r="S522" s="8">
        <v>45219</v>
      </c>
      <c r="T522" s="8">
        <v>45231</v>
      </c>
      <c r="U522" s="8">
        <v>45252</v>
      </c>
      <c r="V522" s="10">
        <f>COUNTA(O522:U522)</f>
        <v>7</v>
      </c>
      <c r="W522" s="11">
        <f>_xlfn.IFNA(INDEX(reading[[#This Row],[Memo 01]:[Memo 07]],MATCH(0,reading[[#This Row],[Memo 01]:[Memo 07]],-1)),"")</f>
        <v>45252</v>
      </c>
      <c r="X522" s="11">
        <f ca="1">IFERROR(reading[[#This Row],[Previous]]+OFFSET(reading[[#Headers],[Memo 01]],-1,MATCH(0,reading[[#This Row],[Memo 01]:[Memo 07]],-1)-1),"")</f>
        <v>55252</v>
      </c>
      <c r="Y522" s="10" t="str">
        <f ca="1">IF(reading[[#This Row],[Next]]&lt;&gt;"",IF(reading[[#This Row],[Next]]&gt;TODAY(),"OK",""),"")</f>
        <v>OK</v>
      </c>
      <c r="Z522" s="13">
        <v>3</v>
      </c>
      <c r="AA522" s="13">
        <v>2</v>
      </c>
      <c r="AB522" s="13">
        <v>1</v>
      </c>
      <c r="AC522" s="13">
        <v>2</v>
      </c>
      <c r="AD522" s="13">
        <v>3</v>
      </c>
      <c r="AE522" s="13">
        <v>2</v>
      </c>
      <c r="AF522" s="13">
        <v>2</v>
      </c>
      <c r="AG522" s="16">
        <f>IFERROR(SUMIF(reading[[#This Row],[1st]:[7th]],"&gt;0")/COUNTIF(reading[[#This Row],[1st]:[7th]],"&gt;0"),"")</f>
        <v>2.1428571428571428</v>
      </c>
    </row>
    <row r="523" spans="1:33" hidden="1" x14ac:dyDescent="0.2">
      <c r="A523" s="4">
        <f>IF(B523=1,3,IF(D523=1,2,IF(F523=1,1,0)))</f>
        <v>0</v>
      </c>
      <c r="B523" s="4" t="str">
        <f>IF(C523=$L523,1,IF(C523="","",0))</f>
        <v/>
      </c>
      <c r="C523" s="42"/>
      <c r="D523" s="4" t="str">
        <f>IF(E523=$L523,1,IF(E523="","",0))</f>
        <v/>
      </c>
      <c r="E523" s="18"/>
      <c r="F523" s="4" t="str">
        <f>IF(G523=$L523,1,IF(G523="","",0))</f>
        <v/>
      </c>
      <c r="G523" s="14"/>
      <c r="H523" s="6">
        <v>2134</v>
      </c>
      <c r="I523" s="15" t="s">
        <v>3120</v>
      </c>
      <c r="J523" s="6" t="s">
        <v>5222</v>
      </c>
      <c r="K523" s="6"/>
      <c r="L523" s="6" t="s">
        <v>2201</v>
      </c>
      <c r="M523" s="6" t="s">
        <v>8240</v>
      </c>
      <c r="N523" s="7">
        <f ca="1">RAND()</f>
        <v>3.5024768324886768E-2</v>
      </c>
      <c r="O523" s="8">
        <v>45214</v>
      </c>
      <c r="P523" s="8">
        <v>45215</v>
      </c>
      <c r="Q523" s="8">
        <v>45217</v>
      </c>
      <c r="R523" s="8">
        <v>45221</v>
      </c>
      <c r="S523" s="8">
        <v>45228</v>
      </c>
      <c r="T523" s="8">
        <v>45248</v>
      </c>
      <c r="U523" s="8">
        <v>45783</v>
      </c>
      <c r="V523" s="10">
        <f>COUNTA(O523:U523)</f>
        <v>7</v>
      </c>
      <c r="W523" s="11">
        <f>_xlfn.IFNA(INDEX(reading[[#This Row],[Memo 01]:[Memo 07]],MATCH(0,reading[[#This Row],[Memo 01]:[Memo 07]],-1)),"")</f>
        <v>45783</v>
      </c>
      <c r="X523" s="11">
        <f ca="1">IFERROR(reading[[#This Row],[Previous]]+OFFSET(reading[[#Headers],[Memo 01]],-1,MATCH(0,reading[[#This Row],[Memo 01]:[Memo 07]],-1)-1),"")</f>
        <v>55783</v>
      </c>
      <c r="Y523" s="10" t="str">
        <f ca="1">IF(reading[[#This Row],[Next]]&lt;&gt;"",IF(reading[[#This Row],[Next]]&gt;TODAY(),"OK",""),"")</f>
        <v>OK</v>
      </c>
      <c r="Z523" s="13">
        <v>3</v>
      </c>
      <c r="AA523" s="13">
        <v>2</v>
      </c>
      <c r="AB523" s="13">
        <v>2</v>
      </c>
      <c r="AC523" s="13">
        <v>2</v>
      </c>
      <c r="AD523" s="13">
        <v>3</v>
      </c>
      <c r="AE523" s="13">
        <v>3</v>
      </c>
      <c r="AF523" s="13">
        <v>3</v>
      </c>
      <c r="AG523" s="16">
        <f>IFERROR(SUMIF(reading[[#This Row],[1st]:[7th]],"&gt;0")/COUNTIF(reading[[#This Row],[1st]:[7th]],"&gt;0"),"")</f>
        <v>2.5714285714285716</v>
      </c>
    </row>
    <row r="524" spans="1:33" hidden="1" x14ac:dyDescent="0.2">
      <c r="A524" s="4">
        <f>IF(B524=1,3,IF(D524=1,2,IF(F524=1,1,0)))</f>
        <v>0</v>
      </c>
      <c r="B524" s="4" t="str">
        <f>IF(C524=$L524,1,IF(C524="","",0))</f>
        <v/>
      </c>
      <c r="C524" s="42"/>
      <c r="D524" s="4" t="str">
        <f>IF(E524=$L524,1,IF(E524="","",0))</f>
        <v/>
      </c>
      <c r="E524" s="14"/>
      <c r="F524" s="4" t="str">
        <f>IF(G524=$L524,1,IF(G524="","",0))</f>
        <v/>
      </c>
      <c r="G524" s="14"/>
      <c r="H524" s="6">
        <v>1201</v>
      </c>
      <c r="I524" s="15" t="s">
        <v>3120</v>
      </c>
      <c r="J524" s="6" t="s">
        <v>4320</v>
      </c>
      <c r="K524" s="6"/>
      <c r="L524" s="6" t="s">
        <v>1303</v>
      </c>
      <c r="M524" s="6" t="s">
        <v>7308</v>
      </c>
      <c r="N524" s="7">
        <f ca="1">RAND()</f>
        <v>0.94765467016981231</v>
      </c>
      <c r="O524" s="8">
        <v>45206</v>
      </c>
      <c r="P524" s="8">
        <v>45207</v>
      </c>
      <c r="Q524" s="8">
        <v>45209</v>
      </c>
      <c r="R524" s="8">
        <v>45213</v>
      </c>
      <c r="S524" s="8">
        <v>45220</v>
      </c>
      <c r="T524" s="8">
        <v>45232</v>
      </c>
      <c r="U524" s="8">
        <v>45819</v>
      </c>
      <c r="V524" s="10">
        <f>COUNTA(O524:U524)</f>
        <v>7</v>
      </c>
      <c r="W524" s="11">
        <f>_xlfn.IFNA(INDEX(reading[[#This Row],[Memo 01]:[Memo 07]],MATCH(0,reading[[#This Row],[Memo 01]:[Memo 07]],-1)),"")</f>
        <v>45819</v>
      </c>
      <c r="X524" s="11">
        <f ca="1">IFERROR(reading[[#This Row],[Previous]]+OFFSET(reading[[#Headers],[Memo 01]],-1,MATCH(0,reading[[#This Row],[Memo 01]:[Memo 07]],-1)-1),"")</f>
        <v>55819</v>
      </c>
      <c r="Y524" s="10" t="str">
        <f ca="1">IF(reading[[#This Row],[Next]]&lt;&gt;"",IF(reading[[#This Row],[Next]]&gt;TODAY(),"OK",""),"")</f>
        <v>OK</v>
      </c>
      <c r="Z524" s="13">
        <v>3</v>
      </c>
      <c r="AA524" s="13">
        <v>3</v>
      </c>
      <c r="AB524" s="13">
        <v>3</v>
      </c>
      <c r="AC524" s="13">
        <v>3</v>
      </c>
      <c r="AD524" s="13">
        <v>3</v>
      </c>
      <c r="AE524" s="13">
        <v>3</v>
      </c>
      <c r="AF524" s="13">
        <v>3</v>
      </c>
      <c r="AG524" s="16">
        <f>IFERROR(SUMIF(reading[[#This Row],[1st]:[7th]],"&gt;0")/COUNTIF(reading[[#This Row],[1st]:[7th]],"&gt;0"),"")</f>
        <v>3</v>
      </c>
    </row>
    <row r="525" spans="1:33" hidden="1" x14ac:dyDescent="0.2">
      <c r="A525" s="4">
        <f>IF(B525=1,3,IF(D525=1,2,IF(F525=1,1,0)))</f>
        <v>0</v>
      </c>
      <c r="B525" s="4" t="str">
        <f>IF(C525=$L525,1,IF(C525="","",0))</f>
        <v/>
      </c>
      <c r="C525" s="42"/>
      <c r="D525" s="4" t="str">
        <f>IF(E525=$L525,1,IF(E525="","",0))</f>
        <v/>
      </c>
      <c r="E525" s="43"/>
      <c r="F525" s="4" t="str">
        <f>IF(G525=$L525,1,IF(G525="","",0))</f>
        <v/>
      </c>
      <c r="G525" s="43"/>
      <c r="H525" s="6">
        <v>775</v>
      </c>
      <c r="I525" s="15" t="s">
        <v>3120</v>
      </c>
      <c r="J525" s="24" t="s">
        <v>9226</v>
      </c>
      <c r="K525" s="15" t="s">
        <v>3139</v>
      </c>
      <c r="L525" s="6" t="s">
        <v>894</v>
      </c>
      <c r="M525" s="6" t="s">
        <v>6884</v>
      </c>
      <c r="N525" s="7">
        <f ca="1">RAND()</f>
        <v>0.64662083443504825</v>
      </c>
      <c r="O525" s="8">
        <v>45203</v>
      </c>
      <c r="P525" s="8">
        <v>45204</v>
      </c>
      <c r="Q525" s="8">
        <v>45212</v>
      </c>
      <c r="R525" s="8">
        <v>45216</v>
      </c>
      <c r="S525" s="8">
        <v>45223</v>
      </c>
      <c r="T525" s="8">
        <v>45235</v>
      </c>
      <c r="U525" s="8">
        <v>45811</v>
      </c>
      <c r="V525" s="10">
        <f>COUNTA(O525:U525)</f>
        <v>7</v>
      </c>
      <c r="W525" s="11">
        <f>_xlfn.IFNA(INDEX(reading[[#This Row],[Memo 01]:[Memo 07]],MATCH(0,reading[[#This Row],[Memo 01]:[Memo 07]],-1)),"")</f>
        <v>45811</v>
      </c>
      <c r="X525" s="11">
        <f ca="1">IFERROR(reading[[#This Row],[Previous]]+OFFSET(reading[[#Headers],[Memo 01]],-1,MATCH(0,reading[[#This Row],[Memo 01]:[Memo 07]],-1)-1),"")</f>
        <v>55811</v>
      </c>
      <c r="Y525" s="10" t="str">
        <f ca="1">IF(reading[[#This Row],[Next]]&lt;&gt;"",IF(reading[[#This Row],[Next]]&gt;TODAY(),"OK",""),"")</f>
        <v>OK</v>
      </c>
      <c r="Z525" s="13">
        <v>3</v>
      </c>
      <c r="AA525" s="13">
        <v>2</v>
      </c>
      <c r="AB525" s="13">
        <v>2</v>
      </c>
      <c r="AC525" s="13">
        <v>2</v>
      </c>
      <c r="AD525" s="13">
        <v>1</v>
      </c>
      <c r="AE525" s="13">
        <v>3</v>
      </c>
      <c r="AF525" s="13">
        <v>1</v>
      </c>
      <c r="AG525" s="16">
        <f>IFERROR(SUMIF(reading[[#This Row],[1st]:[7th]],"&gt;0")/COUNTIF(reading[[#This Row],[1st]:[7th]],"&gt;0"),"")</f>
        <v>2</v>
      </c>
    </row>
    <row r="526" spans="1:33" hidden="1" x14ac:dyDescent="0.2">
      <c r="A526" s="4">
        <f>IF(B526=1,3,IF(D526=1,2,IF(F526=1,1,0)))</f>
        <v>0</v>
      </c>
      <c r="B526" s="4" t="str">
        <f>IF(C526=$L526,1,IF(C526="","",0))</f>
        <v/>
      </c>
      <c r="C526" s="42"/>
      <c r="D526" s="4" t="str">
        <f>IF(E526=$L526,1,IF(E526="","",0))</f>
        <v/>
      </c>
      <c r="E526" s="14"/>
      <c r="F526" s="4" t="str">
        <f>IF(G526=$L526,1,IF(G526="","",0))</f>
        <v/>
      </c>
      <c r="G526" s="14"/>
      <c r="H526" s="6">
        <v>820</v>
      </c>
      <c r="I526" s="15" t="s">
        <v>3120</v>
      </c>
      <c r="J526" s="6" t="s">
        <v>3953</v>
      </c>
      <c r="K526" s="6"/>
      <c r="L526" s="6" t="s">
        <v>936</v>
      </c>
      <c r="M526" s="6" t="s">
        <v>6929</v>
      </c>
      <c r="N526" s="7">
        <f ca="1">RAND()</f>
        <v>0.32609632319548509</v>
      </c>
      <c r="O526" s="8">
        <v>45203</v>
      </c>
      <c r="P526" s="8">
        <v>45204</v>
      </c>
      <c r="Q526" s="8">
        <v>45206</v>
      </c>
      <c r="R526" s="8">
        <v>45210</v>
      </c>
      <c r="S526" s="8">
        <v>45217</v>
      </c>
      <c r="T526" s="8">
        <v>45229</v>
      </c>
      <c r="U526" s="8">
        <v>45792</v>
      </c>
      <c r="V526" s="10">
        <f>COUNTA(O526:U526)</f>
        <v>7</v>
      </c>
      <c r="W526" s="11">
        <f>_xlfn.IFNA(INDEX(reading[[#This Row],[Memo 01]:[Memo 07]],MATCH(0,reading[[#This Row],[Memo 01]:[Memo 07]],-1)),"")</f>
        <v>45792</v>
      </c>
      <c r="X526" s="11">
        <f ca="1">IFERROR(reading[[#This Row],[Previous]]+OFFSET(reading[[#Headers],[Memo 01]],-1,MATCH(0,reading[[#This Row],[Memo 01]:[Memo 07]],-1)-1),"")</f>
        <v>55792</v>
      </c>
      <c r="Y526" s="10" t="str">
        <f ca="1">IF(reading[[#This Row],[Next]]&lt;&gt;"",IF(reading[[#This Row],[Next]]&gt;TODAY(),"OK",""),"")</f>
        <v>OK</v>
      </c>
      <c r="Z526" s="13">
        <v>3</v>
      </c>
      <c r="AA526" s="13">
        <v>3</v>
      </c>
      <c r="AB526" s="13">
        <v>3</v>
      </c>
      <c r="AC526" s="13">
        <v>3</v>
      </c>
      <c r="AD526" s="13">
        <v>3</v>
      </c>
      <c r="AE526" s="13">
        <v>3</v>
      </c>
      <c r="AF526" s="13">
        <v>3</v>
      </c>
      <c r="AG526" s="16">
        <f>IFERROR(SUMIF(reading[[#This Row],[1st]:[7th]],"&gt;0")/COUNTIF(reading[[#This Row],[1st]:[7th]],"&gt;0"),"")</f>
        <v>3</v>
      </c>
    </row>
    <row r="527" spans="1:33" hidden="1" x14ac:dyDescent="0.2">
      <c r="A527" s="4">
        <f>IF(B527=1,3,IF(D527=1,2,IF(F527=1,1,0)))</f>
        <v>0</v>
      </c>
      <c r="B527" s="4" t="str">
        <f>IF(C527=$L527,1,IF(C527="","",0))</f>
        <v/>
      </c>
      <c r="C527" s="42"/>
      <c r="D527" s="4" t="str">
        <f>IF(E527=$L527,1,IF(E527="","",0))</f>
        <v/>
      </c>
      <c r="E527" s="14"/>
      <c r="F527" s="4" t="str">
        <f>IF(G527=$L527,1,IF(G527="","",0))</f>
        <v/>
      </c>
      <c r="G527" s="14"/>
      <c r="H527" s="6">
        <v>1363</v>
      </c>
      <c r="I527" s="15" t="s">
        <v>3120</v>
      </c>
      <c r="J527" s="6" t="s">
        <v>4477</v>
      </c>
      <c r="K527" s="6"/>
      <c r="L527" s="6" t="s">
        <v>1457</v>
      </c>
      <c r="M527" s="6" t="s">
        <v>7470</v>
      </c>
      <c r="N527" s="7">
        <f ca="1">RAND()</f>
        <v>0.81656729359177538</v>
      </c>
      <c r="O527" s="8">
        <v>45207</v>
      </c>
      <c r="P527" s="8">
        <v>45208</v>
      </c>
      <c r="Q527" s="8">
        <v>45210</v>
      </c>
      <c r="R527" s="8">
        <v>45214</v>
      </c>
      <c r="S527" s="8">
        <v>45221</v>
      </c>
      <c r="T527" s="8">
        <v>45233</v>
      </c>
      <c r="U527" s="8">
        <v>45783</v>
      </c>
      <c r="V527" s="10">
        <f>COUNTA(O527:U527)</f>
        <v>7</v>
      </c>
      <c r="W527" s="11">
        <f>_xlfn.IFNA(INDEX(reading[[#This Row],[Memo 01]:[Memo 07]],MATCH(0,reading[[#This Row],[Memo 01]:[Memo 07]],-1)),"")</f>
        <v>45783</v>
      </c>
      <c r="X527" s="11">
        <f ca="1">IFERROR(reading[[#This Row],[Previous]]+OFFSET(reading[[#Headers],[Memo 01]],-1,MATCH(0,reading[[#This Row],[Memo 01]:[Memo 07]],-1)-1),"")</f>
        <v>55783</v>
      </c>
      <c r="Y527" s="10" t="str">
        <f ca="1">IF(reading[[#This Row],[Next]]&lt;&gt;"",IF(reading[[#This Row],[Next]]&gt;TODAY(),"OK",""),"")</f>
        <v>OK</v>
      </c>
      <c r="Z527" s="13">
        <v>3</v>
      </c>
      <c r="AA527" s="13">
        <v>3</v>
      </c>
      <c r="AB527" s="13">
        <v>3</v>
      </c>
      <c r="AC527" s="13">
        <v>3</v>
      </c>
      <c r="AD527" s="13">
        <v>3</v>
      </c>
      <c r="AE527" s="13">
        <v>3</v>
      </c>
      <c r="AF527" s="13">
        <v>3</v>
      </c>
      <c r="AG527" s="16">
        <f>IFERROR(SUMIF(reading[[#This Row],[1st]:[7th]],"&gt;0")/COUNTIF(reading[[#This Row],[1st]:[7th]],"&gt;0"),"")</f>
        <v>3</v>
      </c>
    </row>
    <row r="528" spans="1:33" hidden="1" x14ac:dyDescent="0.2">
      <c r="A528" s="4">
        <f>IF(B528=1,3,IF(D528=1,2,IF(F528=1,1,0)))</f>
        <v>0</v>
      </c>
      <c r="B528" s="4" t="str">
        <f>IF(C528=$L528,1,IF(C528="","",0))</f>
        <v/>
      </c>
      <c r="C528" s="42"/>
      <c r="D528" s="4" t="str">
        <f>IF(E528=$L528,1,IF(E528="","",0))</f>
        <v/>
      </c>
      <c r="E528" s="18"/>
      <c r="F528" s="4" t="str">
        <f>IF(G528=$L528,1,IF(G528="","",0))</f>
        <v/>
      </c>
      <c r="G528" s="14"/>
      <c r="H528" s="6">
        <v>1007</v>
      </c>
      <c r="I528" s="15" t="s">
        <v>3120</v>
      </c>
      <c r="J528" s="6" t="s">
        <v>4135</v>
      </c>
      <c r="K528" s="6"/>
      <c r="L528" s="6" t="s">
        <v>1117</v>
      </c>
      <c r="M528" s="6" t="s">
        <v>7115</v>
      </c>
      <c r="N528" s="7">
        <f ca="1">RAND()</f>
        <v>0.91406890001377361</v>
      </c>
      <c r="O528" s="8">
        <v>45205</v>
      </c>
      <c r="P528" s="8">
        <v>45206</v>
      </c>
      <c r="Q528" s="8">
        <v>45208</v>
      </c>
      <c r="R528" s="8">
        <v>45212</v>
      </c>
      <c r="S528" s="8">
        <v>45219</v>
      </c>
      <c r="T528" s="8">
        <v>45231</v>
      </c>
      <c r="U528" s="8">
        <v>45783</v>
      </c>
      <c r="V528" s="10">
        <f>COUNTA(O528:U528)</f>
        <v>7</v>
      </c>
      <c r="W528" s="11">
        <f>_xlfn.IFNA(INDEX(reading[[#This Row],[Memo 01]:[Memo 07]],MATCH(0,reading[[#This Row],[Memo 01]:[Memo 07]],-1)),"")</f>
        <v>45783</v>
      </c>
      <c r="X528" s="11">
        <f ca="1">IFERROR(reading[[#This Row],[Previous]]+OFFSET(reading[[#Headers],[Memo 01]],-1,MATCH(0,reading[[#This Row],[Memo 01]:[Memo 07]],-1)-1),"")</f>
        <v>55783</v>
      </c>
      <c r="Y528" s="10" t="str">
        <f ca="1">IF(reading[[#This Row],[Next]]&lt;&gt;"",IF(reading[[#This Row],[Next]]&gt;TODAY(),"OK",""),"")</f>
        <v>OK</v>
      </c>
      <c r="Z528" s="13">
        <v>3</v>
      </c>
      <c r="AA528" s="13">
        <v>2</v>
      </c>
      <c r="AB528" s="13">
        <v>3</v>
      </c>
      <c r="AC528" s="13">
        <v>3</v>
      </c>
      <c r="AD528" s="13">
        <v>3</v>
      </c>
      <c r="AE528" s="13">
        <v>3</v>
      </c>
      <c r="AF528" s="13">
        <v>3</v>
      </c>
      <c r="AG528" s="16">
        <f>IFERROR(SUMIF(reading[[#This Row],[1st]:[7th]],"&gt;0")/COUNTIF(reading[[#This Row],[1st]:[7th]],"&gt;0"),"")</f>
        <v>2.8571428571428572</v>
      </c>
    </row>
    <row r="529" spans="1:33" hidden="1" x14ac:dyDescent="0.2">
      <c r="A529" s="4">
        <f>IF(B529=1,3,IF(D529=1,2,IF(F529=1,1,0)))</f>
        <v>0</v>
      </c>
      <c r="B529" s="4" t="str">
        <f>IF(C529=$L529,1,IF(C529="","",0))</f>
        <v/>
      </c>
      <c r="C529" s="42"/>
      <c r="D529" s="4" t="str">
        <f>IF(E529=$L529,1,IF(E529="","",0))</f>
        <v/>
      </c>
      <c r="E529" s="14"/>
      <c r="F529" s="4" t="str">
        <f>IF(G529=$L529,1,IF(G529="","",0))</f>
        <v/>
      </c>
      <c r="G529" s="14"/>
      <c r="H529" s="6">
        <v>560</v>
      </c>
      <c r="I529" s="15" t="s">
        <v>3120</v>
      </c>
      <c r="J529" s="6" t="s">
        <v>3629</v>
      </c>
      <c r="K529" s="6"/>
      <c r="L529" s="6" t="s">
        <v>687</v>
      </c>
      <c r="M529" s="6" t="s">
        <v>6669</v>
      </c>
      <c r="N529" s="7">
        <f ca="1">RAND()</f>
        <v>6.2063124911974188E-2</v>
      </c>
      <c r="O529" s="8">
        <v>45202</v>
      </c>
      <c r="P529" s="8">
        <v>45203</v>
      </c>
      <c r="Q529" s="8">
        <v>45205</v>
      </c>
      <c r="R529" s="8">
        <v>45209</v>
      </c>
      <c r="S529" s="8">
        <v>45216</v>
      </c>
      <c r="T529" s="8">
        <v>45228</v>
      </c>
      <c r="U529" s="8">
        <v>45792</v>
      </c>
      <c r="V529" s="10">
        <f>COUNTA(O529:U529)</f>
        <v>7</v>
      </c>
      <c r="W529" s="11">
        <f>_xlfn.IFNA(INDEX(reading[[#This Row],[Memo 01]:[Memo 07]],MATCH(0,reading[[#This Row],[Memo 01]:[Memo 07]],-1)),"")</f>
        <v>45792</v>
      </c>
      <c r="X529" s="11">
        <f ca="1">IFERROR(reading[[#This Row],[Previous]]+OFFSET(reading[[#Headers],[Memo 01]],-1,MATCH(0,reading[[#This Row],[Memo 01]:[Memo 07]],-1)-1),"")</f>
        <v>55792</v>
      </c>
      <c r="Y529" s="10" t="str">
        <f ca="1">IF(reading[[#This Row],[Next]]&lt;&gt;"",IF(reading[[#This Row],[Next]]&gt;TODAY(),"OK",""),"")</f>
        <v>OK</v>
      </c>
      <c r="Z529" s="13">
        <v>3</v>
      </c>
      <c r="AA529" s="13">
        <v>2</v>
      </c>
      <c r="AB529" s="13">
        <v>3</v>
      </c>
      <c r="AC529" s="13">
        <v>3</v>
      </c>
      <c r="AD529" s="13">
        <v>3</v>
      </c>
      <c r="AE529" s="13">
        <v>3</v>
      </c>
      <c r="AF529" s="13">
        <v>3</v>
      </c>
      <c r="AG529" s="16">
        <f>IFERROR(SUMIF(reading[[#This Row],[1st]:[7th]],"&gt;0")/COUNTIF(reading[[#This Row],[1st]:[7th]],"&gt;0"),"")</f>
        <v>2.8571428571428572</v>
      </c>
    </row>
    <row r="530" spans="1:33" hidden="1" x14ac:dyDescent="0.2">
      <c r="A530" s="4">
        <f>IF(B530=1,3,IF(D530=1,2,IF(F530=1,1,0)))</f>
        <v>0</v>
      </c>
      <c r="B530" s="4" t="str">
        <f>IF(C530=$L530,1,IF(C530="","",0))</f>
        <v/>
      </c>
      <c r="C530" s="42"/>
      <c r="D530" s="4" t="str">
        <f>IF(E530=$L530,1,IF(E530="","",0))</f>
        <v/>
      </c>
      <c r="E530" s="18"/>
      <c r="F530" s="4" t="str">
        <f>IF(G530=$L530,1,IF(G530="","",0))</f>
        <v/>
      </c>
      <c r="G530" s="14"/>
      <c r="H530" s="6">
        <v>2073</v>
      </c>
      <c r="I530" s="15" t="s">
        <v>3120</v>
      </c>
      <c r="J530" s="6" t="s">
        <v>5166</v>
      </c>
      <c r="K530" s="15" t="s">
        <v>3138</v>
      </c>
      <c r="L530" s="6" t="s">
        <v>2144</v>
      </c>
      <c r="M530" s="6" t="s">
        <v>8179</v>
      </c>
      <c r="N530" s="7">
        <f ca="1">RAND()</f>
        <v>0.93456840357176019</v>
      </c>
      <c r="O530" s="8">
        <v>45214</v>
      </c>
      <c r="P530" s="8">
        <v>45215</v>
      </c>
      <c r="Q530" s="8">
        <v>45217</v>
      </c>
      <c r="R530" s="8">
        <v>45221</v>
      </c>
      <c r="S530" s="8">
        <v>45228</v>
      </c>
      <c r="T530" s="8">
        <v>45252</v>
      </c>
      <c r="U530" s="8">
        <v>45818</v>
      </c>
      <c r="V530" s="10">
        <f>COUNTA(O530:U530)</f>
        <v>7</v>
      </c>
      <c r="W530" s="11">
        <f>_xlfn.IFNA(INDEX(reading[[#This Row],[Memo 01]:[Memo 07]],MATCH(0,reading[[#This Row],[Memo 01]:[Memo 07]],-1)),"")</f>
        <v>45818</v>
      </c>
      <c r="X530" s="11">
        <f ca="1">IFERROR(reading[[#This Row],[Previous]]+OFFSET(reading[[#Headers],[Memo 01]],-1,MATCH(0,reading[[#This Row],[Memo 01]:[Memo 07]],-1)-1),"")</f>
        <v>55818</v>
      </c>
      <c r="Y530" s="10" t="str">
        <f ca="1">IF(reading[[#This Row],[Next]]&lt;&gt;"",IF(reading[[#This Row],[Next]]&gt;TODAY(),"OK",""),"")</f>
        <v>OK</v>
      </c>
      <c r="Z530" s="13">
        <v>3</v>
      </c>
      <c r="AA530" s="13">
        <v>2</v>
      </c>
      <c r="AB530" s="13">
        <v>2</v>
      </c>
      <c r="AC530" s="13">
        <v>3</v>
      </c>
      <c r="AD530" s="13">
        <v>3</v>
      </c>
      <c r="AE530" s="13">
        <v>2</v>
      </c>
      <c r="AF530" s="13">
        <v>3</v>
      </c>
      <c r="AG530" s="16">
        <f>IFERROR(SUMIF(reading[[#This Row],[1st]:[7th]],"&gt;0")/COUNTIF(reading[[#This Row],[1st]:[7th]],"&gt;0"),"")</f>
        <v>2.5714285714285716</v>
      </c>
    </row>
    <row r="531" spans="1:33" hidden="1" x14ac:dyDescent="0.2">
      <c r="A531" s="4">
        <f>IF(B531=1,3,IF(D531=1,2,IF(F531=1,1,0)))</f>
        <v>0</v>
      </c>
      <c r="B531" s="4" t="str">
        <f>IF(C531=$L531,1,IF(C531="","",0))</f>
        <v/>
      </c>
      <c r="C531" s="42"/>
      <c r="D531" s="4" t="str">
        <f>IF(E531=$L531,1,IF(E531="","",0))</f>
        <v/>
      </c>
      <c r="E531" s="18"/>
      <c r="F531" s="4" t="str">
        <f>IF(G531=$L531,1,IF(G531="","",0))</f>
        <v/>
      </c>
      <c r="G531" s="14"/>
      <c r="H531" s="6">
        <v>1558</v>
      </c>
      <c r="I531" s="15" t="s">
        <v>3120</v>
      </c>
      <c r="J531" s="6" t="s">
        <v>4671</v>
      </c>
      <c r="K531" s="15" t="s">
        <v>3138</v>
      </c>
      <c r="L531" s="6" t="s">
        <v>1643</v>
      </c>
      <c r="M531" s="6" t="s">
        <v>7664</v>
      </c>
      <c r="N531" s="7">
        <f ca="1">RAND()</f>
        <v>0.20594556797510744</v>
      </c>
      <c r="O531" s="8">
        <v>45209</v>
      </c>
      <c r="P531" s="8">
        <v>45210</v>
      </c>
      <c r="Q531" s="8">
        <v>45212</v>
      </c>
      <c r="R531" s="8">
        <v>45216</v>
      </c>
      <c r="S531" s="8">
        <v>45223</v>
      </c>
      <c r="T531" s="8">
        <v>45235</v>
      </c>
      <c r="U531" s="8">
        <v>45783</v>
      </c>
      <c r="V531" s="10">
        <f>COUNTA(O531:U531)</f>
        <v>7</v>
      </c>
      <c r="W531" s="11">
        <f>_xlfn.IFNA(INDEX(reading[[#This Row],[Memo 01]:[Memo 07]],MATCH(0,reading[[#This Row],[Memo 01]:[Memo 07]],-1)),"")</f>
        <v>45783</v>
      </c>
      <c r="X531" s="11">
        <f ca="1">IFERROR(reading[[#This Row],[Previous]]+OFFSET(reading[[#Headers],[Memo 01]],-1,MATCH(0,reading[[#This Row],[Memo 01]:[Memo 07]],-1)-1),"")</f>
        <v>55783</v>
      </c>
      <c r="Y531" s="10" t="str">
        <f ca="1">IF(reading[[#This Row],[Next]]&lt;&gt;"",IF(reading[[#This Row],[Next]]&gt;TODAY(),"OK",""),"")</f>
        <v>OK</v>
      </c>
      <c r="Z531" s="13">
        <v>3</v>
      </c>
      <c r="AA531" s="13">
        <v>3</v>
      </c>
      <c r="AB531" s="13">
        <v>3</v>
      </c>
      <c r="AC531" s="13">
        <v>3</v>
      </c>
      <c r="AD531" s="13">
        <v>2</v>
      </c>
      <c r="AE531" s="13">
        <v>3</v>
      </c>
      <c r="AF531" s="13">
        <v>3</v>
      </c>
      <c r="AG531" s="16">
        <f>IFERROR(SUMIF(reading[[#This Row],[1st]:[7th]],"&gt;0")/COUNTIF(reading[[#This Row],[1st]:[7th]],"&gt;0"),"")</f>
        <v>2.8571428571428572</v>
      </c>
    </row>
    <row r="532" spans="1:33" hidden="1" x14ac:dyDescent="0.2">
      <c r="A532" s="4">
        <f>IF(B532=1,3,IF(D532=1,2,IF(F532=1,1,0)))</f>
        <v>0</v>
      </c>
      <c r="B532" s="4" t="str">
        <f>IF(C532=$L532,1,IF(C532="","",0))</f>
        <v/>
      </c>
      <c r="C532" s="42"/>
      <c r="D532" s="4" t="str">
        <f>IF(E532=$L532,1,IF(E532="","",0))</f>
        <v/>
      </c>
      <c r="E532" s="14"/>
      <c r="F532" s="4" t="str">
        <f>IF(G532=$L532,1,IF(G532="","",0))</f>
        <v/>
      </c>
      <c r="G532" s="14"/>
      <c r="H532" s="6">
        <v>919</v>
      </c>
      <c r="I532" s="15" t="s">
        <v>3120</v>
      </c>
      <c r="J532" s="6" t="s">
        <v>4051</v>
      </c>
      <c r="K532" s="6"/>
      <c r="L532" s="6" t="s">
        <v>1031</v>
      </c>
      <c r="M532" s="6" t="s">
        <v>7028</v>
      </c>
      <c r="N532" s="7">
        <f ca="1">RAND()</f>
        <v>0.4609453330059553</v>
      </c>
      <c r="O532" s="8">
        <v>45204</v>
      </c>
      <c r="P532" s="8">
        <v>45205</v>
      </c>
      <c r="Q532" s="8">
        <v>45207</v>
      </c>
      <c r="R532" s="8">
        <v>45211</v>
      </c>
      <c r="S532" s="8">
        <v>45218</v>
      </c>
      <c r="T532" s="8">
        <v>45230</v>
      </c>
      <c r="U532" s="8">
        <v>45792</v>
      </c>
      <c r="V532" s="10">
        <f>COUNTA(O532:U532)</f>
        <v>7</v>
      </c>
      <c r="W532" s="11">
        <f>_xlfn.IFNA(INDEX(reading[[#This Row],[Memo 01]:[Memo 07]],MATCH(0,reading[[#This Row],[Memo 01]:[Memo 07]],-1)),"")</f>
        <v>45792</v>
      </c>
      <c r="X532" s="11">
        <f ca="1">IFERROR(reading[[#This Row],[Previous]]+OFFSET(reading[[#Headers],[Memo 01]],-1,MATCH(0,reading[[#This Row],[Memo 01]:[Memo 07]],-1)-1),"")</f>
        <v>55792</v>
      </c>
      <c r="Y532" s="10" t="str">
        <f ca="1">IF(reading[[#This Row],[Next]]&lt;&gt;"",IF(reading[[#This Row],[Next]]&gt;TODAY(),"OK",""),"")</f>
        <v>OK</v>
      </c>
      <c r="Z532" s="13">
        <v>3</v>
      </c>
      <c r="AA532" s="13">
        <v>2</v>
      </c>
      <c r="AB532" s="13">
        <v>3</v>
      </c>
      <c r="AC532" s="13">
        <v>3</v>
      </c>
      <c r="AD532" s="13">
        <v>3</v>
      </c>
      <c r="AE532" s="13">
        <v>3</v>
      </c>
      <c r="AF532" s="13">
        <v>3</v>
      </c>
      <c r="AG532" s="16">
        <f>IFERROR(SUMIF(reading[[#This Row],[1st]:[7th]],"&gt;0")/COUNTIF(reading[[#This Row],[1st]:[7th]],"&gt;0"),"")</f>
        <v>2.8571428571428572</v>
      </c>
    </row>
    <row r="533" spans="1:33" hidden="1" x14ac:dyDescent="0.2">
      <c r="A533" s="4">
        <f>IF(B533=1,3,IF(D533=1,2,IF(F533=1,1,0)))</f>
        <v>0</v>
      </c>
      <c r="B533" s="4" t="str">
        <f>IF(C533=$L533,1,IF(C533="","",0))</f>
        <v/>
      </c>
      <c r="C533" s="42"/>
      <c r="D533" s="4" t="str">
        <f>IF(E533=$L533,1,IF(E533="","",0))</f>
        <v/>
      </c>
      <c r="E533" s="14"/>
      <c r="F533" s="4" t="str">
        <f>IF(G533=$L533,1,IF(G533="","",0))</f>
        <v/>
      </c>
      <c r="G533" s="14"/>
      <c r="H533" s="6">
        <v>1128</v>
      </c>
      <c r="I533" s="15" t="s">
        <v>3120</v>
      </c>
      <c r="J533" s="6" t="s">
        <v>4173</v>
      </c>
      <c r="K533" s="6"/>
      <c r="L533" s="6" t="s">
        <v>97</v>
      </c>
      <c r="M533" s="6" t="s">
        <v>7236</v>
      </c>
      <c r="N533" s="7">
        <f ca="1">RAND()</f>
        <v>0.81917227626061928</v>
      </c>
      <c r="O533" s="8">
        <v>45205</v>
      </c>
      <c r="P533" s="8">
        <v>45206</v>
      </c>
      <c r="Q533" s="8">
        <v>45208</v>
      </c>
      <c r="R533" s="8">
        <v>45212</v>
      </c>
      <c r="S533" s="8">
        <v>45219</v>
      </c>
      <c r="T533" s="8">
        <v>45231</v>
      </c>
      <c r="U533" s="8">
        <v>45783</v>
      </c>
      <c r="V533" s="10">
        <f>COUNTA(O533:U533)</f>
        <v>7</v>
      </c>
      <c r="W533" s="11">
        <f>_xlfn.IFNA(INDEX(reading[[#This Row],[Memo 01]:[Memo 07]],MATCH(0,reading[[#This Row],[Memo 01]:[Memo 07]],-1)),"")</f>
        <v>45783</v>
      </c>
      <c r="X533" s="11">
        <f ca="1">IFERROR(reading[[#This Row],[Previous]]+OFFSET(reading[[#Headers],[Memo 01]],-1,MATCH(0,reading[[#This Row],[Memo 01]:[Memo 07]],-1)-1),"")</f>
        <v>55783</v>
      </c>
      <c r="Y533" s="10" t="str">
        <f ca="1">IF(reading[[#This Row],[Next]]&lt;&gt;"",IF(reading[[#This Row],[Next]]&gt;TODAY(),"OK",""),"")</f>
        <v>OK</v>
      </c>
      <c r="Z533" s="13">
        <v>3</v>
      </c>
      <c r="AA533" s="13">
        <v>3</v>
      </c>
      <c r="AB533" s="13">
        <v>3</v>
      </c>
      <c r="AC533" s="13">
        <v>3</v>
      </c>
      <c r="AD533" s="13">
        <v>3</v>
      </c>
      <c r="AE533" s="13">
        <v>3</v>
      </c>
      <c r="AF533" s="13">
        <v>3</v>
      </c>
      <c r="AG533" s="16">
        <f>IFERROR(SUMIF(reading[[#This Row],[1st]:[7th]],"&gt;0")/COUNTIF(reading[[#This Row],[1st]:[7th]],"&gt;0"),"")</f>
        <v>3</v>
      </c>
    </row>
    <row r="534" spans="1:33" hidden="1" x14ac:dyDescent="0.2">
      <c r="A534" s="4">
        <f>IF(B534=1,3,IF(D534=1,2,IF(F534=1,1,0)))</f>
        <v>0</v>
      </c>
      <c r="B534" s="4" t="str">
        <f>IF(C534=$L534,1,IF(C534="","",0))</f>
        <v/>
      </c>
      <c r="C534" s="42"/>
      <c r="D534" s="4" t="str">
        <f>IF(E534=$L534,1,IF(E534="","",0))</f>
        <v/>
      </c>
      <c r="E534" s="14"/>
      <c r="F534" s="4" t="str">
        <f>IF(G534=$L534,1,IF(G534="","",0))</f>
        <v/>
      </c>
      <c r="G534" s="14"/>
      <c r="H534" s="6">
        <v>920</v>
      </c>
      <c r="I534" s="15" t="s">
        <v>3120</v>
      </c>
      <c r="J534" s="6" t="s">
        <v>4052</v>
      </c>
      <c r="K534" s="6"/>
      <c r="L534" s="6" t="s">
        <v>1032</v>
      </c>
      <c r="M534" s="6" t="s">
        <v>7029</v>
      </c>
      <c r="N534" s="7">
        <f ca="1">RAND()</f>
        <v>2.2630926622912106E-2</v>
      </c>
      <c r="O534" s="8">
        <v>45204</v>
      </c>
      <c r="P534" s="8">
        <v>45205</v>
      </c>
      <c r="Q534" s="8">
        <v>45207</v>
      </c>
      <c r="R534" s="8">
        <v>45211</v>
      </c>
      <c r="S534" s="8">
        <v>45218</v>
      </c>
      <c r="T534" s="8">
        <v>45230</v>
      </c>
      <c r="U534" s="8">
        <v>45783</v>
      </c>
      <c r="V534" s="10">
        <f>COUNTA(O534:U534)</f>
        <v>7</v>
      </c>
      <c r="W534" s="11">
        <f>_xlfn.IFNA(INDEX(reading[[#This Row],[Memo 01]:[Memo 07]],MATCH(0,reading[[#This Row],[Memo 01]:[Memo 07]],-1)),"")</f>
        <v>45783</v>
      </c>
      <c r="X534" s="11">
        <f ca="1">IFERROR(reading[[#This Row],[Previous]]+OFFSET(reading[[#Headers],[Memo 01]],-1,MATCH(0,reading[[#This Row],[Memo 01]:[Memo 07]],-1)-1),"")</f>
        <v>55783</v>
      </c>
      <c r="Y534" s="10" t="str">
        <f ca="1">IF(reading[[#This Row],[Next]]&lt;&gt;"",IF(reading[[#This Row],[Next]]&gt;TODAY(),"OK",""),"")</f>
        <v>OK</v>
      </c>
      <c r="Z534" s="13">
        <v>3</v>
      </c>
      <c r="AA534" s="13">
        <v>3</v>
      </c>
      <c r="AB534" s="13">
        <v>3</v>
      </c>
      <c r="AC534" s="13">
        <v>3</v>
      </c>
      <c r="AD534" s="13">
        <v>3</v>
      </c>
      <c r="AE534" s="13">
        <v>3</v>
      </c>
      <c r="AF534" s="13">
        <v>3</v>
      </c>
      <c r="AG534" s="16">
        <f>IFERROR(SUMIF(reading[[#This Row],[1st]:[7th]],"&gt;0")/COUNTIF(reading[[#This Row],[1st]:[7th]],"&gt;0"),"")</f>
        <v>3</v>
      </c>
    </row>
    <row r="535" spans="1:33" hidden="1" x14ac:dyDescent="0.2">
      <c r="A535" s="4">
        <f>IF(B535=1,3,IF(D535=1,2,IF(F535=1,1,0)))</f>
        <v>0</v>
      </c>
      <c r="B535" s="4" t="str">
        <f>IF(C535=$L535,1,IF(C535="","",0))</f>
        <v/>
      </c>
      <c r="C535" s="42"/>
      <c r="D535" s="4" t="str">
        <f>IF(E535=$L535,1,IF(E535="","",0))</f>
        <v/>
      </c>
      <c r="E535" s="18"/>
      <c r="F535" s="4" t="str">
        <f>IF(G535=$L535,1,IF(G535="","",0))</f>
        <v/>
      </c>
      <c r="G535" s="18"/>
      <c r="H535" s="6">
        <v>1188</v>
      </c>
      <c r="I535" s="15" t="s">
        <v>3120</v>
      </c>
      <c r="J535" s="6" t="s">
        <v>4307</v>
      </c>
      <c r="K535" s="6"/>
      <c r="L535" s="6" t="s">
        <v>1290</v>
      </c>
      <c r="M535" s="6" t="s">
        <v>7295</v>
      </c>
      <c r="N535" s="7">
        <f ca="1">RAND()</f>
        <v>0.45143852756817826</v>
      </c>
      <c r="O535" s="8">
        <v>45207</v>
      </c>
      <c r="P535" s="8">
        <v>45208</v>
      </c>
      <c r="Q535" s="8">
        <v>45211</v>
      </c>
      <c r="R535" s="8">
        <v>45223</v>
      </c>
      <c r="S535" s="8">
        <v>45230</v>
      </c>
      <c r="T535" s="8">
        <v>45252</v>
      </c>
      <c r="U535" s="8">
        <v>45801</v>
      </c>
      <c r="V535" s="10">
        <f>COUNTA(O535:U535)</f>
        <v>7</v>
      </c>
      <c r="W535" s="11">
        <f>_xlfn.IFNA(INDEX(reading[[#This Row],[Memo 01]:[Memo 07]],MATCH(0,reading[[#This Row],[Memo 01]:[Memo 07]],-1)),"")</f>
        <v>45801</v>
      </c>
      <c r="X535" s="11">
        <f ca="1">IFERROR(reading[[#This Row],[Previous]]+OFFSET(reading[[#Headers],[Memo 01]],-1,MATCH(0,reading[[#This Row],[Memo 01]:[Memo 07]],-1)-1),"")</f>
        <v>55801</v>
      </c>
      <c r="Y535" s="10" t="str">
        <f ca="1">IF(reading[[#This Row],[Next]]&lt;&gt;"",IF(reading[[#This Row],[Next]]&gt;TODAY(),"OK",""),"")</f>
        <v>OK</v>
      </c>
      <c r="Z535" s="13">
        <v>3</v>
      </c>
      <c r="AA535" s="13">
        <v>3</v>
      </c>
      <c r="AB535" s="13">
        <v>1</v>
      </c>
      <c r="AC535" s="13">
        <v>3</v>
      </c>
      <c r="AD535" s="13">
        <v>3</v>
      </c>
      <c r="AE535" s="13">
        <v>2</v>
      </c>
      <c r="AF535" s="13">
        <v>3</v>
      </c>
      <c r="AG535" s="16">
        <f>IFERROR(SUMIF(reading[[#This Row],[1st]:[7th]],"&gt;0")/COUNTIF(reading[[#This Row],[1st]:[7th]],"&gt;0"),"")</f>
        <v>2.5714285714285716</v>
      </c>
    </row>
    <row r="536" spans="1:33" hidden="1" x14ac:dyDescent="0.2">
      <c r="A536" s="4">
        <f>IF(B536=1,3,IF(D536=1,2,IF(F536=1,1,0)))</f>
        <v>0</v>
      </c>
      <c r="B536" s="4" t="str">
        <f>IF(C536=$L536,1,IF(C536="","",0))</f>
        <v/>
      </c>
      <c r="C536" s="42"/>
      <c r="D536" s="4" t="str">
        <f>IF(E536=$L536,1,IF(E536="","",0))</f>
        <v/>
      </c>
      <c r="E536" s="18"/>
      <c r="F536" s="4" t="str">
        <f>IF(G536=$L536,1,IF(G536="","",0))</f>
        <v/>
      </c>
      <c r="G536" s="14"/>
      <c r="H536" s="6">
        <v>1564</v>
      </c>
      <c r="I536" s="15" t="s">
        <v>3120</v>
      </c>
      <c r="J536" s="6" t="s">
        <v>4677</v>
      </c>
      <c r="K536" s="6"/>
      <c r="L536" s="6" t="s">
        <v>1649</v>
      </c>
      <c r="M536" s="6" t="s">
        <v>7670</v>
      </c>
      <c r="N536" s="7">
        <f ca="1">RAND()</f>
        <v>0.52915562109184666</v>
      </c>
      <c r="O536" s="8">
        <v>45209</v>
      </c>
      <c r="P536" s="8">
        <v>45210</v>
      </c>
      <c r="Q536" s="8">
        <v>45213</v>
      </c>
      <c r="R536" s="8">
        <v>45217</v>
      </c>
      <c r="S536" s="8">
        <v>45224</v>
      </c>
      <c r="T536" s="8">
        <v>45236</v>
      </c>
      <c r="U536" s="8">
        <v>45792</v>
      </c>
      <c r="V536" s="10">
        <f>COUNTA(O536:U536)</f>
        <v>7</v>
      </c>
      <c r="W536" s="11">
        <f>_xlfn.IFNA(INDEX(reading[[#This Row],[Memo 01]:[Memo 07]],MATCH(0,reading[[#This Row],[Memo 01]:[Memo 07]],-1)),"")</f>
        <v>45792</v>
      </c>
      <c r="X536" s="11">
        <f ca="1">IFERROR(reading[[#This Row],[Previous]]+OFFSET(reading[[#Headers],[Memo 01]],-1,MATCH(0,reading[[#This Row],[Memo 01]:[Memo 07]],-1)-1),"")</f>
        <v>55792</v>
      </c>
      <c r="Y536" s="10" t="str">
        <f ca="1">IF(reading[[#This Row],[Next]]&lt;&gt;"",IF(reading[[#This Row],[Next]]&gt;TODAY(),"OK",""),"")</f>
        <v>OK</v>
      </c>
      <c r="Z536" s="13">
        <v>3</v>
      </c>
      <c r="AA536" s="13">
        <v>3</v>
      </c>
      <c r="AB536" s="13">
        <v>2</v>
      </c>
      <c r="AC536" s="13">
        <v>2</v>
      </c>
      <c r="AD536" s="13">
        <v>3</v>
      </c>
      <c r="AE536" s="13">
        <v>3</v>
      </c>
      <c r="AF536" s="13">
        <v>3</v>
      </c>
      <c r="AG536" s="16">
        <f>IFERROR(SUMIF(reading[[#This Row],[1st]:[7th]],"&gt;0")/COUNTIF(reading[[#This Row],[1st]:[7th]],"&gt;0"),"")</f>
        <v>2.7142857142857144</v>
      </c>
    </row>
    <row r="537" spans="1:33" hidden="1" x14ac:dyDescent="0.2">
      <c r="A537" s="4">
        <f>IF(B537=1,3,IF(D537=1,2,IF(F537=1,1,0)))</f>
        <v>0</v>
      </c>
      <c r="B537" s="4" t="str">
        <f>IF(C537=$L537,1,IF(C537="","",0))</f>
        <v/>
      </c>
      <c r="C537" s="43"/>
      <c r="D537" s="4" t="str">
        <f>IF(E537=$L537,1,IF(E537="","",0))</f>
        <v/>
      </c>
      <c r="E537" s="18"/>
      <c r="F537" s="4" t="str">
        <f>IF(G537=$L537,1,IF(G537="","",0))</f>
        <v/>
      </c>
      <c r="G537" s="14"/>
      <c r="H537" s="6">
        <v>170</v>
      </c>
      <c r="I537" s="15" t="s">
        <v>3120</v>
      </c>
      <c r="J537" s="6" t="s">
        <v>3319</v>
      </c>
      <c r="K537" s="6"/>
      <c r="L537" s="6" t="s">
        <v>307</v>
      </c>
      <c r="M537" s="6" t="s">
        <v>6279</v>
      </c>
      <c r="N537" s="7">
        <f ca="1">RAND()</f>
        <v>0.43362590912783183</v>
      </c>
      <c r="O537" s="8">
        <v>45199</v>
      </c>
      <c r="P537" s="8">
        <v>45200</v>
      </c>
      <c r="Q537" s="8">
        <v>45202</v>
      </c>
      <c r="R537" s="8">
        <v>45206</v>
      </c>
      <c r="S537" s="8">
        <v>45213</v>
      </c>
      <c r="T537" s="8">
        <v>45225</v>
      </c>
      <c r="U537" s="8">
        <v>45783</v>
      </c>
      <c r="V537" s="10">
        <f>COUNTA(O537:U537)</f>
        <v>7</v>
      </c>
      <c r="W537" s="11">
        <f>_xlfn.IFNA(INDEX(reading[[#This Row],[Memo 01]:[Memo 07]],MATCH(0,reading[[#This Row],[Memo 01]:[Memo 07]],-1)),"")</f>
        <v>45783</v>
      </c>
      <c r="X537" s="11">
        <f ca="1">IFERROR(reading[[#This Row],[Previous]]+OFFSET(reading[[#Headers],[Memo 01]],-1,MATCH(0,reading[[#This Row],[Memo 01]:[Memo 07]],-1)-1),"")</f>
        <v>55783</v>
      </c>
      <c r="Y537" s="10" t="str">
        <f ca="1">IF(reading[[#This Row],[Next]]&lt;&gt;"",IF(reading[[#This Row],[Next]]&gt;TODAY(),"OK",""),"")</f>
        <v>OK</v>
      </c>
      <c r="Z537" s="13">
        <v>3</v>
      </c>
      <c r="AA537" s="13">
        <v>3</v>
      </c>
      <c r="AB537" s="13">
        <v>2</v>
      </c>
      <c r="AC537" s="13">
        <v>3</v>
      </c>
      <c r="AD537" s="13">
        <v>3</v>
      </c>
      <c r="AE537" s="13">
        <v>3</v>
      </c>
      <c r="AF537" s="13">
        <v>3</v>
      </c>
      <c r="AG537" s="16">
        <f>IFERROR(SUMIF(reading[[#This Row],[1st]:[7th]],"&gt;0")/COUNTIF(reading[[#This Row],[1st]:[7th]],"&gt;0"),"")</f>
        <v>2.8571428571428572</v>
      </c>
    </row>
    <row r="538" spans="1:33" hidden="1" x14ac:dyDescent="0.2">
      <c r="A538" s="4">
        <f>IF(B538=1,3,IF(D538=1,2,IF(F538=1,1,0)))</f>
        <v>0</v>
      </c>
      <c r="B538" s="4" t="str">
        <f>IF(C538=$L538,1,IF(C538="","",0))</f>
        <v/>
      </c>
      <c r="C538" s="42"/>
      <c r="D538" s="4" t="str">
        <f>IF(E538=$L538,1,IF(E538="","",0))</f>
        <v/>
      </c>
      <c r="E538" s="14"/>
      <c r="F538" s="4" t="str">
        <f>IF(G538=$L538,1,IF(G538="","",0))</f>
        <v/>
      </c>
      <c r="G538" s="14"/>
      <c r="H538" s="6">
        <v>1419</v>
      </c>
      <c r="I538" s="15" t="s">
        <v>3120</v>
      </c>
      <c r="J538" s="6" t="s">
        <v>4533</v>
      </c>
      <c r="K538" s="6"/>
      <c r="L538" s="6" t="s">
        <v>1510</v>
      </c>
      <c r="M538" s="6" t="s">
        <v>7526</v>
      </c>
      <c r="N538" s="7">
        <f ca="1">RAND()</f>
        <v>0.1684039715052752</v>
      </c>
      <c r="O538" s="8">
        <v>45208</v>
      </c>
      <c r="P538" s="8">
        <v>45209</v>
      </c>
      <c r="Q538" s="8">
        <v>45211</v>
      </c>
      <c r="R538" s="8">
        <v>45215</v>
      </c>
      <c r="S538" s="8">
        <v>45222</v>
      </c>
      <c r="T538" s="8">
        <v>45234</v>
      </c>
      <c r="U538" s="8">
        <v>45783</v>
      </c>
      <c r="V538" s="10">
        <f>COUNTA(O538:U538)</f>
        <v>7</v>
      </c>
      <c r="W538" s="11">
        <f>_xlfn.IFNA(INDEX(reading[[#This Row],[Memo 01]:[Memo 07]],MATCH(0,reading[[#This Row],[Memo 01]:[Memo 07]],-1)),"")</f>
        <v>45783</v>
      </c>
      <c r="X538" s="11">
        <f ca="1">IFERROR(reading[[#This Row],[Previous]]+OFFSET(reading[[#Headers],[Memo 01]],-1,MATCH(0,reading[[#This Row],[Memo 01]:[Memo 07]],-1)-1),"")</f>
        <v>55783</v>
      </c>
      <c r="Y538" s="10" t="str">
        <f ca="1">IF(reading[[#This Row],[Next]]&lt;&gt;"",IF(reading[[#This Row],[Next]]&gt;TODAY(),"OK",""),"")</f>
        <v>OK</v>
      </c>
      <c r="Z538" s="13">
        <v>3</v>
      </c>
      <c r="AA538" s="13">
        <v>3</v>
      </c>
      <c r="AB538" s="13">
        <v>3</v>
      </c>
      <c r="AC538" s="13">
        <v>3</v>
      </c>
      <c r="AD538" s="13">
        <v>3</v>
      </c>
      <c r="AE538" s="13">
        <v>3</v>
      </c>
      <c r="AF538" s="13">
        <v>3</v>
      </c>
      <c r="AG538" s="16">
        <f>IFERROR(SUMIF(reading[[#This Row],[1st]:[7th]],"&gt;0")/COUNTIF(reading[[#This Row],[1st]:[7th]],"&gt;0"),"")</f>
        <v>3</v>
      </c>
    </row>
    <row r="539" spans="1:33" hidden="1" x14ac:dyDescent="0.2">
      <c r="A539" s="4">
        <f>IF(B539=1,3,IF(D539=1,2,IF(F539=1,1,0)))</f>
        <v>0</v>
      </c>
      <c r="B539" s="4" t="str">
        <f>IF(C539=$L539,1,IF(C539="","",0))</f>
        <v/>
      </c>
      <c r="C539" s="42"/>
      <c r="D539" s="4" t="str">
        <f>IF(E539=$L539,1,IF(E539="","",0))</f>
        <v/>
      </c>
      <c r="E539" s="14"/>
      <c r="F539" s="4" t="str">
        <f>IF(G539=$L539,1,IF(G539="","",0))</f>
        <v/>
      </c>
      <c r="G539" s="14"/>
      <c r="H539" s="6">
        <v>2330</v>
      </c>
      <c r="I539" s="15" t="s">
        <v>3120</v>
      </c>
      <c r="J539" s="6" t="s">
        <v>5407</v>
      </c>
      <c r="K539" s="6"/>
      <c r="L539" s="6" t="s">
        <v>2384</v>
      </c>
      <c r="M539" s="6" t="s">
        <v>8435</v>
      </c>
      <c r="N539" s="7">
        <f ca="1">RAND()</f>
        <v>0.3248606525779959</v>
      </c>
      <c r="O539" s="8">
        <v>45216</v>
      </c>
      <c r="P539" s="8">
        <v>45217</v>
      </c>
      <c r="Q539" s="8">
        <v>45219</v>
      </c>
      <c r="R539" s="8">
        <v>45223</v>
      </c>
      <c r="S539" s="8">
        <v>45230</v>
      </c>
      <c r="T539" s="8">
        <v>45818</v>
      </c>
      <c r="U539" s="8"/>
      <c r="V539" s="10">
        <f>COUNTA(O539:U539)</f>
        <v>6</v>
      </c>
      <c r="W539" s="11">
        <f>_xlfn.IFNA(INDEX(reading[[#This Row],[Memo 01]:[Memo 07]],MATCH(0,reading[[#This Row],[Memo 01]:[Memo 07]],-1)),"")</f>
        <v>45818</v>
      </c>
      <c r="X539" s="11">
        <f ca="1">IFERROR(reading[[#This Row],[Previous]]+OFFSET(reading[[#Headers],[Memo 01]],-1,MATCH(0,reading[[#This Row],[Memo 01]:[Memo 07]],-1)-1),"")</f>
        <v>45838</v>
      </c>
      <c r="Y539" s="10" t="str">
        <f ca="1">IF(reading[[#This Row],[Next]]&lt;&gt;"",IF(reading[[#This Row],[Next]]&gt;TODAY(),"OK",""),"")</f>
        <v>OK</v>
      </c>
      <c r="Z539" s="13">
        <v>3</v>
      </c>
      <c r="AA539" s="13">
        <v>3</v>
      </c>
      <c r="AB539" s="13">
        <v>3</v>
      </c>
      <c r="AC539" s="13">
        <v>3</v>
      </c>
      <c r="AD539" s="13">
        <v>3</v>
      </c>
      <c r="AE539" s="13">
        <v>3</v>
      </c>
      <c r="AF539" s="13"/>
      <c r="AG539" s="16">
        <f>IFERROR(SUMIF(reading[[#This Row],[1st]:[7th]],"&gt;0")/COUNTIF(reading[[#This Row],[1st]:[7th]],"&gt;0"),"")</f>
        <v>3</v>
      </c>
    </row>
    <row r="540" spans="1:33" hidden="1" x14ac:dyDescent="0.2">
      <c r="A540" s="4">
        <f>IF(B540=1,3,IF(D540=1,2,IF(F540=1,1,0)))</f>
        <v>0</v>
      </c>
      <c r="B540" s="4" t="str">
        <f>IF(C540=$L540,1,IF(C540="","",0))</f>
        <v/>
      </c>
      <c r="C540" s="42"/>
      <c r="D540" s="4" t="str">
        <f>IF(E540=$L540,1,IF(E540="","",0))</f>
        <v/>
      </c>
      <c r="E540" s="43"/>
      <c r="F540" s="4" t="str">
        <f>IF(G540=$L540,1,IF(G540="","",0))</f>
        <v/>
      </c>
      <c r="G540" s="14"/>
      <c r="H540" s="6">
        <v>1640</v>
      </c>
      <c r="I540" s="15" t="s">
        <v>3120</v>
      </c>
      <c r="J540" s="6" t="s">
        <v>4752</v>
      </c>
      <c r="K540" s="15" t="s">
        <v>3138</v>
      </c>
      <c r="L540" s="6" t="s">
        <v>1722</v>
      </c>
      <c r="M540" s="6" t="s">
        <v>7746</v>
      </c>
      <c r="N540" s="7">
        <f ca="1">RAND()</f>
        <v>0.32048648855717321</v>
      </c>
      <c r="O540" s="8">
        <v>45211</v>
      </c>
      <c r="P540" s="8">
        <v>45212</v>
      </c>
      <c r="Q540" s="8">
        <v>45214</v>
      </c>
      <c r="R540" s="8">
        <v>45218</v>
      </c>
      <c r="S540" s="8">
        <v>45225</v>
      </c>
      <c r="T540" s="8">
        <v>45250</v>
      </c>
      <c r="U540" s="8">
        <v>45820</v>
      </c>
      <c r="V540" s="10">
        <f>COUNTA(O540:U540)</f>
        <v>7</v>
      </c>
      <c r="W540" s="11">
        <f>_xlfn.IFNA(INDEX(reading[[#This Row],[Memo 01]:[Memo 07]],MATCH(0,reading[[#This Row],[Memo 01]:[Memo 07]],-1)),"")</f>
        <v>45820</v>
      </c>
      <c r="X540" s="11">
        <f ca="1">IFERROR(reading[[#This Row],[Previous]]+OFFSET(reading[[#Headers],[Memo 01]],-1,MATCH(0,reading[[#This Row],[Memo 01]:[Memo 07]],-1)-1),"")</f>
        <v>55820</v>
      </c>
      <c r="Y540" s="10" t="str">
        <f ca="1">IF(reading[[#This Row],[Next]]&lt;&gt;"",IF(reading[[#This Row],[Next]]&gt;TODAY(),"OK",""),"")</f>
        <v>OK</v>
      </c>
      <c r="Z540" s="13">
        <v>3</v>
      </c>
      <c r="AA540" s="13">
        <v>3</v>
      </c>
      <c r="AB540" s="13">
        <v>2</v>
      </c>
      <c r="AC540" s="13">
        <v>2</v>
      </c>
      <c r="AD540" s="13">
        <v>3</v>
      </c>
      <c r="AE540" s="13">
        <v>1</v>
      </c>
      <c r="AF540" s="13">
        <v>2</v>
      </c>
      <c r="AG540" s="16">
        <f>IFERROR(SUMIF(reading[[#This Row],[1st]:[7th]],"&gt;0")/COUNTIF(reading[[#This Row],[1st]:[7th]],"&gt;0"),"")</f>
        <v>2.2857142857142856</v>
      </c>
    </row>
    <row r="541" spans="1:33" hidden="1" x14ac:dyDescent="0.2">
      <c r="A541" s="4">
        <f>IF(B541=1,3,IF(D541=1,2,IF(F541=1,1,0)))</f>
        <v>0</v>
      </c>
      <c r="B541" s="4" t="str">
        <f>IF(C541=$L541,1,IF(C541="","",0))</f>
        <v/>
      </c>
      <c r="C541" s="42"/>
      <c r="D541" s="4" t="str">
        <f>IF(E541=$L541,1,IF(E541="","",0))</f>
        <v/>
      </c>
      <c r="E541" s="14"/>
      <c r="F541" s="4" t="str">
        <f>IF(G541=$L541,1,IF(G541="","",0))</f>
        <v/>
      </c>
      <c r="G541" s="14"/>
      <c r="H541" s="6">
        <v>3095</v>
      </c>
      <c r="I541" s="15" t="s">
        <v>3120</v>
      </c>
      <c r="J541" s="6" t="s">
        <v>6114</v>
      </c>
      <c r="K541" s="6"/>
      <c r="L541" s="6" t="s">
        <v>3119</v>
      </c>
      <c r="M541" s="6" t="s">
        <v>9198</v>
      </c>
      <c r="N541" s="7">
        <f ca="1">RAND()</f>
        <v>0.36114819569031953</v>
      </c>
      <c r="O541" s="8">
        <v>45224</v>
      </c>
      <c r="P541" s="8">
        <v>45225</v>
      </c>
      <c r="Q541" s="8">
        <v>45227</v>
      </c>
      <c r="R541" s="8">
        <v>45231</v>
      </c>
      <c r="S541" s="8">
        <v>45251</v>
      </c>
      <c r="T541" s="8">
        <v>45783</v>
      </c>
      <c r="U541" s="8">
        <v>45824</v>
      </c>
      <c r="V541" s="10">
        <f>COUNTA(O541:U541)</f>
        <v>7</v>
      </c>
      <c r="W541" s="11">
        <f>_xlfn.IFNA(INDEX(reading[[#This Row],[Memo 01]:[Memo 07]],MATCH(0,reading[[#This Row],[Memo 01]:[Memo 07]],-1)),"")</f>
        <v>45824</v>
      </c>
      <c r="X541" s="11">
        <f ca="1">IFERROR(reading[[#This Row],[Previous]]+OFFSET(reading[[#Headers],[Memo 01]],-1,MATCH(0,reading[[#This Row],[Memo 01]:[Memo 07]],-1)-1),"")</f>
        <v>55824</v>
      </c>
      <c r="Y541" s="10" t="str">
        <f ca="1">IF(reading[[#This Row],[Next]]&lt;&gt;"",IF(reading[[#This Row],[Next]]&gt;TODAY(),"OK",""),"")</f>
        <v>OK</v>
      </c>
      <c r="Z541" s="13">
        <v>3</v>
      </c>
      <c r="AA541" s="13">
        <v>3</v>
      </c>
      <c r="AB541" s="13">
        <v>3</v>
      </c>
      <c r="AC541" s="13">
        <v>3</v>
      </c>
      <c r="AD541" s="13">
        <v>3</v>
      </c>
      <c r="AE541" s="13">
        <v>3</v>
      </c>
      <c r="AF541" s="13">
        <v>3</v>
      </c>
      <c r="AG541" s="16">
        <f>IFERROR(SUMIF(reading[[#This Row],[1st]:[7th]],"&gt;0")/COUNTIF(reading[[#This Row],[1st]:[7th]],"&gt;0"),"")</f>
        <v>3</v>
      </c>
    </row>
    <row r="542" spans="1:33" hidden="1" x14ac:dyDescent="0.2">
      <c r="A542" s="4">
        <f>IF(B542=1,3,IF(D542=1,2,IF(F542=1,1,0)))</f>
        <v>0</v>
      </c>
      <c r="B542" s="4" t="str">
        <f>IF(C542=$L542,1,IF(C542="","",0))</f>
        <v/>
      </c>
      <c r="C542" s="42"/>
      <c r="D542" s="4" t="str">
        <f>IF(E542=$L542,1,IF(E542="","",0))</f>
        <v/>
      </c>
      <c r="E542" s="14"/>
      <c r="F542" s="4" t="str">
        <f>IF(G542=$L542,1,IF(G542="","",0))</f>
        <v/>
      </c>
      <c r="G542" s="14"/>
      <c r="H542" s="6">
        <v>1760</v>
      </c>
      <c r="I542" s="15" t="s">
        <v>3120</v>
      </c>
      <c r="J542" s="6" t="s">
        <v>4868</v>
      </c>
      <c r="K542" s="6"/>
      <c r="L542" s="6" t="s">
        <v>1840</v>
      </c>
      <c r="M542" s="6" t="s">
        <v>7866</v>
      </c>
      <c r="N542" s="7">
        <f ca="1">RAND()</f>
        <v>0.85439695867270993</v>
      </c>
      <c r="O542" s="8">
        <v>45211</v>
      </c>
      <c r="P542" s="8">
        <v>45212</v>
      </c>
      <c r="Q542" s="8">
        <v>45214</v>
      </c>
      <c r="R542" s="8">
        <v>45218</v>
      </c>
      <c r="S542" s="8">
        <v>45225</v>
      </c>
      <c r="T542" s="8">
        <v>45237</v>
      </c>
      <c r="U542" s="8">
        <v>45801</v>
      </c>
      <c r="V542" s="10">
        <f>COUNTA(O542:U542)</f>
        <v>7</v>
      </c>
      <c r="W542" s="11">
        <f>_xlfn.IFNA(INDEX(reading[[#This Row],[Memo 01]:[Memo 07]],MATCH(0,reading[[#This Row],[Memo 01]:[Memo 07]],-1)),"")</f>
        <v>45801</v>
      </c>
      <c r="X542" s="11">
        <f ca="1">IFERROR(reading[[#This Row],[Previous]]+OFFSET(reading[[#Headers],[Memo 01]],-1,MATCH(0,reading[[#This Row],[Memo 01]:[Memo 07]],-1)-1),"")</f>
        <v>55801</v>
      </c>
      <c r="Y542" s="10" t="str">
        <f ca="1">IF(reading[[#This Row],[Next]]&lt;&gt;"",IF(reading[[#This Row],[Next]]&gt;TODAY(),"OK",""),"")</f>
        <v>OK</v>
      </c>
      <c r="Z542" s="13">
        <v>3</v>
      </c>
      <c r="AA542" s="13">
        <v>3</v>
      </c>
      <c r="AB542" s="13">
        <v>3</v>
      </c>
      <c r="AC542" s="13">
        <v>3</v>
      </c>
      <c r="AD542" s="13">
        <v>3</v>
      </c>
      <c r="AE542" s="13">
        <v>3</v>
      </c>
      <c r="AF542" s="13">
        <v>3</v>
      </c>
      <c r="AG542" s="16">
        <f>IFERROR(SUMIF(reading[[#This Row],[1st]:[7th]],"&gt;0")/COUNTIF(reading[[#This Row],[1st]:[7th]],"&gt;0"),"")</f>
        <v>3</v>
      </c>
    </row>
    <row r="543" spans="1:33" hidden="1" x14ac:dyDescent="0.2">
      <c r="A543" s="4">
        <f>IF(B543=1,3,IF(D543=1,2,IF(F543=1,1,0)))</f>
        <v>0</v>
      </c>
      <c r="B543" s="4" t="str">
        <f>IF(C543=$L543,1,IF(C543="","",0))</f>
        <v/>
      </c>
      <c r="C543" s="42"/>
      <c r="D543" s="4" t="str">
        <f>IF(E543=$L543,1,IF(E543="","",0))</f>
        <v/>
      </c>
      <c r="E543" s="14"/>
      <c r="F543" s="4" t="str">
        <f>IF(G543=$L543,1,IF(G543="","",0))</f>
        <v/>
      </c>
      <c r="G543" s="14"/>
      <c r="H543" s="6">
        <v>1634</v>
      </c>
      <c r="I543" s="15" t="s">
        <v>3120</v>
      </c>
      <c r="J543" s="6" t="s">
        <v>4746</v>
      </c>
      <c r="K543" s="6"/>
      <c r="L543" s="6" t="s">
        <v>1716</v>
      </c>
      <c r="M543" s="6" t="s">
        <v>7740</v>
      </c>
      <c r="N543" s="7">
        <f ca="1">RAND()</f>
        <v>0.18024584755230566</v>
      </c>
      <c r="O543" s="8">
        <v>45210</v>
      </c>
      <c r="P543" s="8">
        <v>45211</v>
      </c>
      <c r="Q543" s="8">
        <v>45213</v>
      </c>
      <c r="R543" s="8">
        <v>45217</v>
      </c>
      <c r="S543" s="8">
        <v>45224</v>
      </c>
      <c r="T543" s="8">
        <v>45236</v>
      </c>
      <c r="U543" s="8">
        <v>45801</v>
      </c>
      <c r="V543" s="10">
        <f>COUNTA(O543:U543)</f>
        <v>7</v>
      </c>
      <c r="W543" s="11">
        <f>_xlfn.IFNA(INDEX(reading[[#This Row],[Memo 01]:[Memo 07]],MATCH(0,reading[[#This Row],[Memo 01]:[Memo 07]],-1)),"")</f>
        <v>45801</v>
      </c>
      <c r="X543" s="11">
        <f ca="1">IFERROR(reading[[#This Row],[Previous]]+OFFSET(reading[[#Headers],[Memo 01]],-1,MATCH(0,reading[[#This Row],[Memo 01]:[Memo 07]],-1)-1),"")</f>
        <v>55801</v>
      </c>
      <c r="Y543" s="10" t="str">
        <f ca="1">IF(reading[[#This Row],[Next]]&lt;&gt;"",IF(reading[[#This Row],[Next]]&gt;TODAY(),"OK",""),"")</f>
        <v>OK</v>
      </c>
      <c r="Z543" s="13">
        <v>3</v>
      </c>
      <c r="AA543" s="13">
        <v>3</v>
      </c>
      <c r="AB543" s="13">
        <v>3</v>
      </c>
      <c r="AC543" s="13">
        <v>3</v>
      </c>
      <c r="AD543" s="13">
        <v>3</v>
      </c>
      <c r="AE543" s="13">
        <v>3</v>
      </c>
      <c r="AF543" s="13">
        <v>3</v>
      </c>
      <c r="AG543" s="16">
        <f>IFERROR(SUMIF(reading[[#This Row],[1st]:[7th]],"&gt;0")/COUNTIF(reading[[#This Row],[1st]:[7th]],"&gt;0"),"")</f>
        <v>3</v>
      </c>
    </row>
    <row r="544" spans="1:33" hidden="1" x14ac:dyDescent="0.2">
      <c r="A544" s="4">
        <f>IF(B544=1,3,IF(D544=1,2,IF(F544=1,1,0)))</f>
        <v>0</v>
      </c>
      <c r="B544" s="4" t="str">
        <f>IF(C544=$L544,1,IF(C544="","",0))</f>
        <v/>
      </c>
      <c r="C544" s="42"/>
      <c r="D544" s="4" t="str">
        <f>IF(E544=$L544,1,IF(E544="","",0))</f>
        <v/>
      </c>
      <c r="E544" s="14"/>
      <c r="F544" s="4" t="str">
        <f>IF(G544=$L544,1,IF(G544="","",0))</f>
        <v/>
      </c>
      <c r="G544" s="14"/>
      <c r="H544" s="6">
        <v>1129</v>
      </c>
      <c r="I544" s="15" t="s">
        <v>3120</v>
      </c>
      <c r="J544" s="6" t="s">
        <v>4250</v>
      </c>
      <c r="K544" s="6"/>
      <c r="L544" s="6" t="s">
        <v>123</v>
      </c>
      <c r="M544" s="6" t="s">
        <v>7237</v>
      </c>
      <c r="N544" s="7">
        <f ca="1">RAND()</f>
        <v>0.38372322997207631</v>
      </c>
      <c r="O544" s="8">
        <v>45205</v>
      </c>
      <c r="P544" s="8">
        <v>45206</v>
      </c>
      <c r="Q544" s="8">
        <v>45208</v>
      </c>
      <c r="R544" s="8">
        <v>45212</v>
      </c>
      <c r="S544" s="8">
        <v>45219</v>
      </c>
      <c r="T544" s="8">
        <v>45231</v>
      </c>
      <c r="U544" s="8">
        <v>45801</v>
      </c>
      <c r="V544" s="10">
        <f>COUNTA(O544:U544)</f>
        <v>7</v>
      </c>
      <c r="W544" s="11">
        <f>_xlfn.IFNA(INDEX(reading[[#This Row],[Memo 01]:[Memo 07]],MATCH(0,reading[[#This Row],[Memo 01]:[Memo 07]],-1)),"")</f>
        <v>45801</v>
      </c>
      <c r="X544" s="11">
        <f ca="1">IFERROR(reading[[#This Row],[Previous]]+OFFSET(reading[[#Headers],[Memo 01]],-1,MATCH(0,reading[[#This Row],[Memo 01]:[Memo 07]],-1)-1),"")</f>
        <v>55801</v>
      </c>
      <c r="Y544" s="10" t="str">
        <f ca="1">IF(reading[[#This Row],[Next]]&lt;&gt;"",IF(reading[[#This Row],[Next]]&gt;TODAY(),"OK",""),"")</f>
        <v>OK</v>
      </c>
      <c r="Z544" s="13">
        <v>3</v>
      </c>
      <c r="AA544" s="13">
        <v>3</v>
      </c>
      <c r="AB544" s="13">
        <v>3</v>
      </c>
      <c r="AC544" s="13">
        <v>3</v>
      </c>
      <c r="AD544" s="13">
        <v>3</v>
      </c>
      <c r="AE544" s="13">
        <v>3</v>
      </c>
      <c r="AF544" s="13">
        <v>3</v>
      </c>
      <c r="AG544" s="16">
        <f>IFERROR(SUMIF(reading[[#This Row],[1st]:[7th]],"&gt;0")/COUNTIF(reading[[#This Row],[1st]:[7th]],"&gt;0"),"")</f>
        <v>3</v>
      </c>
    </row>
    <row r="545" spans="1:33" hidden="1" x14ac:dyDescent="0.2">
      <c r="A545" s="4">
        <f>IF(B545=1,3,IF(D545=1,2,IF(F545=1,1,0)))</f>
        <v>0</v>
      </c>
      <c r="B545" s="4" t="str">
        <f>IF(C545=$L545,1,IF(C545="","",0))</f>
        <v/>
      </c>
      <c r="C545" s="42"/>
      <c r="D545" s="4" t="str">
        <f>IF(E545=$L545,1,IF(E545="","",0))</f>
        <v/>
      </c>
      <c r="E545" s="18"/>
      <c r="F545" s="4" t="str">
        <f>IF(G545=$L545,1,IF(G545="","",0))</f>
        <v/>
      </c>
      <c r="G545" s="18"/>
      <c r="H545" s="6">
        <v>237</v>
      </c>
      <c r="I545" s="15" t="s">
        <v>3120</v>
      </c>
      <c r="J545" s="6" t="s">
        <v>3386</v>
      </c>
      <c r="K545" s="6"/>
      <c r="L545" s="6" t="s">
        <v>372</v>
      </c>
      <c r="M545" s="6" t="s">
        <v>6346</v>
      </c>
      <c r="N545" s="7">
        <f ca="1">RAND()</f>
        <v>0.43762683384408207</v>
      </c>
      <c r="O545" s="8">
        <v>45200</v>
      </c>
      <c r="P545" s="8">
        <v>45202</v>
      </c>
      <c r="Q545" s="8">
        <v>45204</v>
      </c>
      <c r="R545" s="8">
        <v>45208</v>
      </c>
      <c r="S545" s="8">
        <v>45215</v>
      </c>
      <c r="T545" s="8">
        <v>45227</v>
      </c>
      <c r="U545" s="8">
        <v>45253</v>
      </c>
      <c r="V545" s="10">
        <f>COUNTA(O545:U545)</f>
        <v>7</v>
      </c>
      <c r="W545" s="11">
        <f>_xlfn.IFNA(INDEX(reading[[#This Row],[Memo 01]:[Memo 07]],MATCH(0,reading[[#This Row],[Memo 01]:[Memo 07]],-1)),"")</f>
        <v>45253</v>
      </c>
      <c r="X545" s="11">
        <f ca="1">IFERROR(reading[[#This Row],[Previous]]+OFFSET(reading[[#Headers],[Memo 01]],-1,MATCH(0,reading[[#This Row],[Memo 01]:[Memo 07]],-1)-1),"")</f>
        <v>55253</v>
      </c>
      <c r="Y545" s="10" t="str">
        <f ca="1">IF(reading[[#This Row],[Next]]&lt;&gt;"",IF(reading[[#This Row],[Next]]&gt;TODAY(),"OK",""),"")</f>
        <v>OK</v>
      </c>
      <c r="Z545" s="13">
        <v>3</v>
      </c>
      <c r="AA545" s="13">
        <v>1</v>
      </c>
      <c r="AB545" s="13">
        <v>3</v>
      </c>
      <c r="AC545" s="13">
        <v>3</v>
      </c>
      <c r="AD545" s="13">
        <v>3</v>
      </c>
      <c r="AE545" s="13">
        <v>3</v>
      </c>
      <c r="AF545" s="13">
        <v>2</v>
      </c>
      <c r="AG545" s="16">
        <f>IFERROR(SUMIF(reading[[#This Row],[1st]:[7th]],"&gt;0")/COUNTIF(reading[[#This Row],[1st]:[7th]],"&gt;0"),"")</f>
        <v>2.5714285714285716</v>
      </c>
    </row>
    <row r="546" spans="1:33" hidden="1" x14ac:dyDescent="0.2">
      <c r="A546" s="4">
        <f>IF(B546=1,3,IF(D546=1,2,IF(F546=1,1,0)))</f>
        <v>0</v>
      </c>
      <c r="B546" s="4" t="str">
        <f>IF(C546=$L546,1,IF(C546="","",0))</f>
        <v/>
      </c>
      <c r="C546" s="42"/>
      <c r="D546" s="4" t="str">
        <f>IF(E546=$L546,1,IF(E546="","",0))</f>
        <v/>
      </c>
      <c r="E546" s="23"/>
      <c r="F546" s="4" t="str">
        <f>IF(G546=$L546,1,IF(G546="","",0))</f>
        <v/>
      </c>
      <c r="G546" s="14"/>
      <c r="H546" s="6">
        <v>1053</v>
      </c>
      <c r="I546" s="15" t="s">
        <v>3120</v>
      </c>
      <c r="J546" s="6" t="s">
        <v>4180</v>
      </c>
      <c r="K546" s="6"/>
      <c r="L546" s="6" t="s">
        <v>1161</v>
      </c>
      <c r="M546" s="6" t="s">
        <v>7161</v>
      </c>
      <c r="N546" s="7">
        <f ca="1">RAND()</f>
        <v>0.20343364766214955</v>
      </c>
      <c r="O546" s="8">
        <v>45205</v>
      </c>
      <c r="P546" s="8">
        <v>45206</v>
      </c>
      <c r="Q546" s="8">
        <v>45208</v>
      </c>
      <c r="R546" s="8">
        <v>45212</v>
      </c>
      <c r="S546" s="8">
        <v>45219</v>
      </c>
      <c r="T546" s="8">
        <v>45231</v>
      </c>
      <c r="U546" s="8">
        <v>45815</v>
      </c>
      <c r="V546" s="10">
        <f>COUNTA(O546:U546)</f>
        <v>7</v>
      </c>
      <c r="W546" s="11">
        <f>_xlfn.IFNA(INDEX(reading[[#This Row],[Memo 01]:[Memo 07]],MATCH(0,reading[[#This Row],[Memo 01]:[Memo 07]],-1)),"")</f>
        <v>45815</v>
      </c>
      <c r="X546" s="11">
        <f ca="1">IFERROR(reading[[#This Row],[Previous]]+OFFSET(reading[[#Headers],[Memo 01]],-1,MATCH(0,reading[[#This Row],[Memo 01]:[Memo 07]],-1)-1),"")</f>
        <v>55815</v>
      </c>
      <c r="Y546" s="10" t="str">
        <f ca="1">IF(reading[[#This Row],[Next]]&lt;&gt;"",IF(reading[[#This Row],[Next]]&gt;TODAY(),"OK",""),"")</f>
        <v>OK</v>
      </c>
      <c r="Z546" s="13">
        <v>3</v>
      </c>
      <c r="AA546" s="13">
        <v>3</v>
      </c>
      <c r="AB546" s="13">
        <v>3</v>
      </c>
      <c r="AC546" s="13">
        <v>3</v>
      </c>
      <c r="AD546" s="13">
        <v>3</v>
      </c>
      <c r="AE546" s="13">
        <v>3</v>
      </c>
      <c r="AF546" s="13">
        <v>2</v>
      </c>
      <c r="AG546" s="16">
        <f>IFERROR(SUMIF(reading[[#This Row],[1st]:[7th]],"&gt;0")/COUNTIF(reading[[#This Row],[1st]:[7th]],"&gt;0"),"")</f>
        <v>2.8571428571428572</v>
      </c>
    </row>
    <row r="547" spans="1:33" hidden="1" x14ac:dyDescent="0.2">
      <c r="A547" s="4">
        <f>IF(B547=1,3,IF(D547=1,2,IF(F547=1,1,0)))</f>
        <v>0</v>
      </c>
      <c r="B547" s="4" t="str">
        <f>IF(C547=$L547,1,IF(C547="","",0))</f>
        <v/>
      </c>
      <c r="C547" s="42"/>
      <c r="D547" s="4" t="str">
        <f>IF(E547=$L547,1,IF(E547="","",0))</f>
        <v/>
      </c>
      <c r="E547" s="18"/>
      <c r="F547" s="4" t="str">
        <f>IF(G547=$L547,1,IF(G547="","",0))</f>
        <v/>
      </c>
      <c r="G547" s="14"/>
      <c r="H547" s="6">
        <v>2047</v>
      </c>
      <c r="I547" s="15" t="s">
        <v>3120</v>
      </c>
      <c r="J547" s="6" t="s">
        <v>5143</v>
      </c>
      <c r="K547" s="6"/>
      <c r="L547" s="6" t="s">
        <v>2122</v>
      </c>
      <c r="M547" s="6" t="s">
        <v>8153</v>
      </c>
      <c r="N547" s="7">
        <f ca="1">RAND()</f>
        <v>0.25299813509281388</v>
      </c>
      <c r="O547" s="8">
        <v>45213</v>
      </c>
      <c r="P547" s="8">
        <v>45214</v>
      </c>
      <c r="Q547" s="8">
        <v>45216</v>
      </c>
      <c r="R547" s="8">
        <v>45220</v>
      </c>
      <c r="S547" s="8">
        <v>45227</v>
      </c>
      <c r="T547" s="8">
        <v>45818</v>
      </c>
      <c r="U547" s="8"/>
      <c r="V547" s="10">
        <f>COUNTA(O547:U547)</f>
        <v>6</v>
      </c>
      <c r="W547" s="11">
        <f>_xlfn.IFNA(INDEX(reading[[#This Row],[Memo 01]:[Memo 07]],MATCH(0,reading[[#This Row],[Memo 01]:[Memo 07]],-1)),"")</f>
        <v>45818</v>
      </c>
      <c r="X547" s="11">
        <f ca="1">IFERROR(reading[[#This Row],[Previous]]+OFFSET(reading[[#Headers],[Memo 01]],-1,MATCH(0,reading[[#This Row],[Memo 01]:[Memo 07]],-1)-1),"")</f>
        <v>45838</v>
      </c>
      <c r="Y547" s="10" t="str">
        <f ca="1">IF(reading[[#This Row],[Next]]&lt;&gt;"",IF(reading[[#This Row],[Next]]&gt;TODAY(),"OK",""),"")</f>
        <v>OK</v>
      </c>
      <c r="Z547" s="13">
        <v>3</v>
      </c>
      <c r="AA547" s="13">
        <v>3</v>
      </c>
      <c r="AB547" s="13">
        <v>3</v>
      </c>
      <c r="AC547" s="13">
        <v>2</v>
      </c>
      <c r="AD547" s="13">
        <v>3</v>
      </c>
      <c r="AE547" s="13">
        <v>3</v>
      </c>
      <c r="AF547" s="13"/>
      <c r="AG547" s="16">
        <f>IFERROR(SUMIF(reading[[#This Row],[1st]:[7th]],"&gt;0")/COUNTIF(reading[[#This Row],[1st]:[7th]],"&gt;0"),"")</f>
        <v>2.8333333333333335</v>
      </c>
    </row>
    <row r="548" spans="1:33" hidden="1" x14ac:dyDescent="0.2">
      <c r="A548" s="4">
        <f>IF(B548=1,3,IF(D548=1,2,IF(F548=1,1,0)))</f>
        <v>0</v>
      </c>
      <c r="B548" s="4" t="str">
        <f>IF(C548=$L548,1,IF(C548="","",0))</f>
        <v/>
      </c>
      <c r="C548" s="42"/>
      <c r="D548" s="4" t="str">
        <f>IF(E548=$L548,1,IF(E548="","",0))</f>
        <v/>
      </c>
      <c r="E548" s="14"/>
      <c r="F548" s="4" t="str">
        <f>IF(G548=$L548,1,IF(G548="","",0))</f>
        <v/>
      </c>
      <c r="G548" s="14"/>
      <c r="H548" s="6">
        <v>878</v>
      </c>
      <c r="I548" s="15" t="s">
        <v>3120</v>
      </c>
      <c r="J548" s="6" t="s">
        <v>4010</v>
      </c>
      <c r="K548" s="15" t="s">
        <v>3138</v>
      </c>
      <c r="L548" s="6" t="s">
        <v>127</v>
      </c>
      <c r="M548" s="6" t="s">
        <v>6987</v>
      </c>
      <c r="N548" s="7">
        <f ca="1">RAND()</f>
        <v>9.8359746108853008E-2</v>
      </c>
      <c r="O548" s="8">
        <v>45204</v>
      </c>
      <c r="P548" s="8">
        <v>45205</v>
      </c>
      <c r="Q548" s="8">
        <v>45207</v>
      </c>
      <c r="R548" s="8">
        <v>45211</v>
      </c>
      <c r="S548" s="8">
        <v>45218</v>
      </c>
      <c r="T548" s="8">
        <v>45230</v>
      </c>
      <c r="U548" s="8">
        <v>45818</v>
      </c>
      <c r="V548" s="10">
        <f>COUNTA(O548:U548)</f>
        <v>7</v>
      </c>
      <c r="W548" s="11">
        <f>_xlfn.IFNA(INDEX(reading[[#This Row],[Memo 01]:[Memo 07]],MATCH(0,reading[[#This Row],[Memo 01]:[Memo 07]],-1)),"")</f>
        <v>45818</v>
      </c>
      <c r="X548" s="11">
        <f ca="1">IFERROR(reading[[#This Row],[Previous]]+OFFSET(reading[[#Headers],[Memo 01]],-1,MATCH(0,reading[[#This Row],[Memo 01]:[Memo 07]],-1)-1),"")</f>
        <v>55818</v>
      </c>
      <c r="Y548" s="10" t="str">
        <f ca="1">IF(reading[[#This Row],[Next]]&lt;&gt;"",IF(reading[[#This Row],[Next]]&gt;TODAY(),"OK",""),"")</f>
        <v>OK</v>
      </c>
      <c r="Z548" s="13">
        <v>3</v>
      </c>
      <c r="AA548" s="13">
        <v>3</v>
      </c>
      <c r="AB548" s="13">
        <v>3</v>
      </c>
      <c r="AC548" s="13">
        <v>3</v>
      </c>
      <c r="AD548" s="13">
        <v>3</v>
      </c>
      <c r="AE548" s="13">
        <v>3</v>
      </c>
      <c r="AF548" s="13">
        <v>3</v>
      </c>
      <c r="AG548" s="16">
        <f>IFERROR(SUMIF(reading[[#This Row],[1st]:[7th]],"&gt;0")/COUNTIF(reading[[#This Row],[1st]:[7th]],"&gt;0"),"")</f>
        <v>3</v>
      </c>
    </row>
    <row r="549" spans="1:33" hidden="1" x14ac:dyDescent="0.2">
      <c r="A549" s="4">
        <f>IF(B549=1,3,IF(D549=1,2,IF(F549=1,1,0)))</f>
        <v>0</v>
      </c>
      <c r="B549" s="4" t="str">
        <f>IF(C549=$L549,1,IF(C549="","",0))</f>
        <v/>
      </c>
      <c r="C549" s="42"/>
      <c r="D549" s="4" t="str">
        <f>IF(E549=$L549,1,IF(E549="","",0))</f>
        <v/>
      </c>
      <c r="E549" s="14"/>
      <c r="F549" s="4" t="str">
        <f>IF(G549=$L549,1,IF(G549="","",0))</f>
        <v/>
      </c>
      <c r="G549" s="14"/>
      <c r="H549" s="6">
        <v>2851</v>
      </c>
      <c r="I549" s="15" t="s">
        <v>3120</v>
      </c>
      <c r="J549" s="6" t="s">
        <v>5891</v>
      </c>
      <c r="K549" s="15" t="s">
        <v>3138</v>
      </c>
      <c r="L549" s="6" t="s">
        <v>2884</v>
      </c>
      <c r="M549" s="6" t="s">
        <v>8955</v>
      </c>
      <c r="N549" s="7">
        <f ca="1">RAND()</f>
        <v>0.94314138647174495</v>
      </c>
      <c r="O549" s="8">
        <v>45222</v>
      </c>
      <c r="P549" s="8">
        <v>45223</v>
      </c>
      <c r="Q549" s="8">
        <v>45225</v>
      </c>
      <c r="R549" s="8">
        <v>45229</v>
      </c>
      <c r="S549" s="8">
        <v>45236</v>
      </c>
      <c r="T549" s="8">
        <v>45819</v>
      </c>
      <c r="U549" s="8"/>
      <c r="V549" s="10">
        <f>COUNTA(O549:U549)</f>
        <v>6</v>
      </c>
      <c r="W549" s="11">
        <f>_xlfn.IFNA(INDEX(reading[[#This Row],[Memo 01]:[Memo 07]],MATCH(0,reading[[#This Row],[Memo 01]:[Memo 07]],-1)),"")</f>
        <v>45819</v>
      </c>
      <c r="X549" s="11">
        <f ca="1">IFERROR(reading[[#This Row],[Previous]]+OFFSET(reading[[#Headers],[Memo 01]],-1,MATCH(0,reading[[#This Row],[Memo 01]:[Memo 07]],-1)-1),"")</f>
        <v>45839</v>
      </c>
      <c r="Y549" s="10" t="str">
        <f ca="1">IF(reading[[#This Row],[Next]]&lt;&gt;"",IF(reading[[#This Row],[Next]]&gt;TODAY(),"OK",""),"")</f>
        <v>OK</v>
      </c>
      <c r="Z549" s="13">
        <v>3</v>
      </c>
      <c r="AA549" s="13">
        <v>3</v>
      </c>
      <c r="AB549" s="13">
        <v>3</v>
      </c>
      <c r="AC549" s="13">
        <v>3</v>
      </c>
      <c r="AD549" s="13">
        <v>3</v>
      </c>
      <c r="AE549" s="13">
        <v>3</v>
      </c>
      <c r="AF549" s="13"/>
      <c r="AG549" s="16">
        <f>IFERROR(SUMIF(reading[[#This Row],[1st]:[7th]],"&gt;0")/COUNTIF(reading[[#This Row],[1st]:[7th]],"&gt;0"),"")</f>
        <v>3</v>
      </c>
    </row>
    <row r="550" spans="1:33" hidden="1" x14ac:dyDescent="0.2">
      <c r="A550" s="4">
        <f>IF(B550=1,3,IF(D550=1,2,IF(F550=1,1,0)))</f>
        <v>0</v>
      </c>
      <c r="B550" s="4" t="str">
        <f>IF(C550=$L550,1,IF(C550="","",0))</f>
        <v/>
      </c>
      <c r="C550" s="43"/>
      <c r="D550" s="4" t="str">
        <f>IF(E550=$L550,1,IF(E550="","",0))</f>
        <v/>
      </c>
      <c r="E550" s="14"/>
      <c r="F550" s="4" t="str">
        <f>IF(G550=$L550,1,IF(G550="","",0))</f>
        <v/>
      </c>
      <c r="G550" s="14"/>
      <c r="H550" s="6">
        <v>249</v>
      </c>
      <c r="I550" s="15" t="s">
        <v>3120</v>
      </c>
      <c r="J550" s="6" t="s">
        <v>3398</v>
      </c>
      <c r="K550" s="6"/>
      <c r="L550" s="6" t="s">
        <v>384</v>
      </c>
      <c r="M550" s="6" t="s">
        <v>6358</v>
      </c>
      <c r="N550" s="7">
        <f ca="1">RAND()</f>
        <v>0.48176641377581031</v>
      </c>
      <c r="O550" s="8">
        <v>45199</v>
      </c>
      <c r="P550" s="8">
        <v>45200</v>
      </c>
      <c r="Q550" s="8">
        <v>45202</v>
      </c>
      <c r="R550" s="8">
        <v>45206</v>
      </c>
      <c r="S550" s="8">
        <v>45213</v>
      </c>
      <c r="T550" s="8">
        <v>45225</v>
      </c>
      <c r="U550" s="8">
        <v>45801</v>
      </c>
      <c r="V550" s="10">
        <f>COUNTA(O550:U550)</f>
        <v>7</v>
      </c>
      <c r="W550" s="11">
        <f>_xlfn.IFNA(INDEX(reading[[#This Row],[Memo 01]:[Memo 07]],MATCH(0,reading[[#This Row],[Memo 01]:[Memo 07]],-1)),"")</f>
        <v>45801</v>
      </c>
      <c r="X550" s="11">
        <f ca="1">IFERROR(reading[[#This Row],[Previous]]+OFFSET(reading[[#Headers],[Memo 01]],-1,MATCH(0,reading[[#This Row],[Memo 01]:[Memo 07]],-1)-1),"")</f>
        <v>55801</v>
      </c>
      <c r="Y550" s="10" t="str">
        <f ca="1">IF(reading[[#This Row],[Next]]&lt;&gt;"",IF(reading[[#This Row],[Next]]&gt;TODAY(),"OK",""),"")</f>
        <v>OK</v>
      </c>
      <c r="Z550" s="13">
        <v>3</v>
      </c>
      <c r="AA550" s="13">
        <v>3</v>
      </c>
      <c r="AB550" s="13">
        <v>3</v>
      </c>
      <c r="AC550" s="13">
        <v>3</v>
      </c>
      <c r="AD550" s="13">
        <v>3</v>
      </c>
      <c r="AE550" s="13">
        <v>3</v>
      </c>
      <c r="AF550" s="13">
        <v>3</v>
      </c>
      <c r="AG550" s="16">
        <f>IFERROR(SUMIF(reading[[#This Row],[1st]:[7th]],"&gt;0")/COUNTIF(reading[[#This Row],[1st]:[7th]],"&gt;0"),"")</f>
        <v>3</v>
      </c>
    </row>
    <row r="551" spans="1:33" hidden="1" x14ac:dyDescent="0.2">
      <c r="A551" s="4">
        <f>IF(B551=1,3,IF(D551=1,2,IF(F551=1,1,0)))</f>
        <v>0</v>
      </c>
      <c r="B551" s="4" t="str">
        <f>IF(C551=$L551,1,IF(C551="","",0))</f>
        <v/>
      </c>
      <c r="C551" s="42"/>
      <c r="D551" s="4" t="str">
        <f>IF(E551=$L551,1,IF(E551="","",0))</f>
        <v/>
      </c>
      <c r="E551" s="14"/>
      <c r="F551" s="4" t="str">
        <f>IF(G551=$L551,1,IF(G551="","",0))</f>
        <v/>
      </c>
      <c r="G551" s="18"/>
      <c r="H551" s="6">
        <v>1517</v>
      </c>
      <c r="I551" s="15" t="s">
        <v>3120</v>
      </c>
      <c r="J551" s="6" t="s">
        <v>4630</v>
      </c>
      <c r="K551" s="15" t="s">
        <v>3138</v>
      </c>
      <c r="L551" s="6" t="s">
        <v>1602</v>
      </c>
      <c r="M551" s="6" t="s">
        <v>7624</v>
      </c>
      <c r="N551" s="7">
        <f ca="1">RAND()</f>
        <v>0.30459901448341264</v>
      </c>
      <c r="O551" s="8">
        <v>45209</v>
      </c>
      <c r="P551" s="8">
        <v>45211</v>
      </c>
      <c r="Q551" s="8">
        <v>45213</v>
      </c>
      <c r="R551" s="8">
        <v>45217</v>
      </c>
      <c r="S551" s="8">
        <v>45224</v>
      </c>
      <c r="T551" s="8">
        <v>45236</v>
      </c>
      <c r="U551" s="8">
        <v>45792</v>
      </c>
      <c r="V551" s="10">
        <f>COUNTA(O551:U551)</f>
        <v>7</v>
      </c>
      <c r="W551" s="11">
        <f>_xlfn.IFNA(INDEX(reading[[#This Row],[Memo 01]:[Memo 07]],MATCH(0,reading[[#This Row],[Memo 01]:[Memo 07]],-1)),"")</f>
        <v>45792</v>
      </c>
      <c r="X551" s="11">
        <f ca="1">IFERROR(reading[[#This Row],[Previous]]+OFFSET(reading[[#Headers],[Memo 01]],-1,MATCH(0,reading[[#This Row],[Memo 01]:[Memo 07]],-1)-1),"")</f>
        <v>55792</v>
      </c>
      <c r="Y551" s="10" t="str">
        <f ca="1">IF(reading[[#This Row],[Next]]&lt;&gt;"",IF(reading[[#This Row],[Next]]&gt;TODAY(),"OK",""),"")</f>
        <v>OK</v>
      </c>
      <c r="Z551" s="13">
        <v>3</v>
      </c>
      <c r="AA551" s="13">
        <v>1</v>
      </c>
      <c r="AB551" s="13">
        <v>3</v>
      </c>
      <c r="AC551" s="13">
        <v>3</v>
      </c>
      <c r="AD551" s="13">
        <v>3</v>
      </c>
      <c r="AE551" s="13">
        <v>3</v>
      </c>
      <c r="AF551" s="13">
        <v>3</v>
      </c>
      <c r="AG551" s="16">
        <f>IFERROR(SUMIF(reading[[#This Row],[1st]:[7th]],"&gt;0")/COUNTIF(reading[[#This Row],[1st]:[7th]],"&gt;0"),"")</f>
        <v>2.7142857142857144</v>
      </c>
    </row>
    <row r="552" spans="1:33" hidden="1" x14ac:dyDescent="0.2">
      <c r="A552" s="4">
        <f>IF(B552=1,3,IF(D552=1,2,IF(F552=1,1,0)))</f>
        <v>0</v>
      </c>
      <c r="B552" s="4" t="str">
        <f>IF(C552=$L552,1,IF(C552="","",0))</f>
        <v/>
      </c>
      <c r="C552" s="42"/>
      <c r="D552" s="4" t="str">
        <f>IF(E552=$L552,1,IF(E552="","",0))</f>
        <v/>
      </c>
      <c r="E552" s="14"/>
      <c r="F552" s="4" t="str">
        <f>IF(G552=$L552,1,IF(G552="","",0))</f>
        <v/>
      </c>
      <c r="G552" s="14"/>
      <c r="H552" s="6">
        <v>622</v>
      </c>
      <c r="I552" s="15" t="s">
        <v>3120</v>
      </c>
      <c r="J552" s="6" t="s">
        <v>3764</v>
      </c>
      <c r="K552" s="6"/>
      <c r="L552" s="6" t="s">
        <v>745</v>
      </c>
      <c r="M552" s="6" t="s">
        <v>6731</v>
      </c>
      <c r="N552" s="7">
        <f ca="1">RAND()</f>
        <v>0.20741246732836049</v>
      </c>
      <c r="O552" s="8">
        <v>45202</v>
      </c>
      <c r="P552" s="8">
        <v>45203</v>
      </c>
      <c r="Q552" s="8">
        <v>45205</v>
      </c>
      <c r="R552" s="8">
        <v>45209</v>
      </c>
      <c r="S552" s="8">
        <v>45216</v>
      </c>
      <c r="T552" s="8">
        <v>45228</v>
      </c>
      <c r="U552" s="8">
        <v>45792</v>
      </c>
      <c r="V552" s="10">
        <f>COUNTA(O552:U552)</f>
        <v>7</v>
      </c>
      <c r="W552" s="11">
        <f>_xlfn.IFNA(INDEX(reading[[#This Row],[Memo 01]:[Memo 07]],MATCH(0,reading[[#This Row],[Memo 01]:[Memo 07]],-1)),"")</f>
        <v>45792</v>
      </c>
      <c r="X552" s="11">
        <f ca="1">IFERROR(reading[[#This Row],[Previous]]+OFFSET(reading[[#Headers],[Memo 01]],-1,MATCH(0,reading[[#This Row],[Memo 01]:[Memo 07]],-1)-1),"")</f>
        <v>55792</v>
      </c>
      <c r="Y552" s="10" t="str">
        <f ca="1">IF(reading[[#This Row],[Next]]&lt;&gt;"",IF(reading[[#This Row],[Next]]&gt;TODAY(),"OK",""),"")</f>
        <v>OK</v>
      </c>
      <c r="Z552" s="13">
        <v>3</v>
      </c>
      <c r="AA552" s="13">
        <v>3</v>
      </c>
      <c r="AB552" s="13">
        <v>3</v>
      </c>
      <c r="AC552" s="13">
        <v>3</v>
      </c>
      <c r="AD552" s="13">
        <v>3</v>
      </c>
      <c r="AE552" s="13">
        <v>2</v>
      </c>
      <c r="AF552" s="13">
        <v>3</v>
      </c>
      <c r="AG552" s="16">
        <f>IFERROR(SUMIF(reading[[#This Row],[1st]:[7th]],"&gt;0")/COUNTIF(reading[[#This Row],[1st]:[7th]],"&gt;0"),"")</f>
        <v>2.8571428571428572</v>
      </c>
    </row>
    <row r="553" spans="1:33" hidden="1" x14ac:dyDescent="0.2">
      <c r="A553" s="4">
        <f>IF(B553=1,3,IF(D553=1,2,IF(F553=1,1,0)))</f>
        <v>0</v>
      </c>
      <c r="B553" s="4" t="str">
        <f>IF(C553=$L553,1,IF(C553="","",0))</f>
        <v/>
      </c>
      <c r="C553" s="42"/>
      <c r="D553" s="4" t="str">
        <f>IF(E553=$L553,1,IF(E553="","",0))</f>
        <v/>
      </c>
      <c r="E553" s="18"/>
      <c r="F553" s="4" t="str">
        <f>IF(G553=$L553,1,IF(G553="","",0))</f>
        <v/>
      </c>
      <c r="G553" s="14"/>
      <c r="H553" s="6">
        <v>491</v>
      </c>
      <c r="I553" s="15" t="s">
        <v>3120</v>
      </c>
      <c r="J553" s="6" t="s">
        <v>3637</v>
      </c>
      <c r="K553" s="6"/>
      <c r="L553" s="6" t="s">
        <v>619</v>
      </c>
      <c r="M553" s="6" t="s">
        <v>6600</v>
      </c>
      <c r="N553" s="7">
        <f ca="1">RAND()</f>
        <v>0.48677274513734159</v>
      </c>
      <c r="O553" s="8">
        <v>45202</v>
      </c>
      <c r="P553" s="8">
        <v>45203</v>
      </c>
      <c r="Q553" s="8">
        <v>45205</v>
      </c>
      <c r="R553" s="8">
        <v>45209</v>
      </c>
      <c r="S553" s="8">
        <v>45216</v>
      </c>
      <c r="T553" s="8">
        <v>45228</v>
      </c>
      <c r="U553" s="8">
        <v>45783</v>
      </c>
      <c r="V553" s="10">
        <f>COUNTA(O553:U553)</f>
        <v>7</v>
      </c>
      <c r="W553" s="11">
        <f>_xlfn.IFNA(INDEX(reading[[#This Row],[Memo 01]:[Memo 07]],MATCH(0,reading[[#This Row],[Memo 01]:[Memo 07]],-1)),"")</f>
        <v>45783</v>
      </c>
      <c r="X553" s="11">
        <f ca="1">IFERROR(reading[[#This Row],[Previous]]+OFFSET(reading[[#Headers],[Memo 01]],-1,MATCH(0,reading[[#This Row],[Memo 01]:[Memo 07]],-1)-1),"")</f>
        <v>55783</v>
      </c>
      <c r="Y553" s="10" t="str">
        <f ca="1">IF(reading[[#This Row],[Next]]&lt;&gt;"",IF(reading[[#This Row],[Next]]&gt;TODAY(),"OK",""),"")</f>
        <v>OK</v>
      </c>
      <c r="Z553" s="13">
        <v>3</v>
      </c>
      <c r="AA553" s="13">
        <v>3</v>
      </c>
      <c r="AB553" s="13">
        <v>3</v>
      </c>
      <c r="AC553" s="13">
        <v>3</v>
      </c>
      <c r="AD553" s="13">
        <v>2</v>
      </c>
      <c r="AE553" s="13">
        <v>3</v>
      </c>
      <c r="AF553" s="13">
        <v>3</v>
      </c>
      <c r="AG553" s="16">
        <f>IFERROR(SUMIF(reading[[#This Row],[1st]:[7th]],"&gt;0")/COUNTIF(reading[[#This Row],[1st]:[7th]],"&gt;0"),"")</f>
        <v>2.8571428571428572</v>
      </c>
    </row>
    <row r="554" spans="1:33" hidden="1" x14ac:dyDescent="0.2">
      <c r="A554" s="4">
        <f>IF(B554=1,3,IF(D554=1,2,IF(F554=1,1,0)))</f>
        <v>0</v>
      </c>
      <c r="B554" s="4" t="str">
        <f>IF(C554=$L554,1,IF(C554="","",0))</f>
        <v/>
      </c>
      <c r="C554" s="42"/>
      <c r="D554" s="4" t="str">
        <f>IF(E554=$L554,1,IF(E554="","",0))</f>
        <v/>
      </c>
      <c r="E554" s="14"/>
      <c r="F554" s="4" t="str">
        <f>IF(G554=$L554,1,IF(G554="","",0))</f>
        <v/>
      </c>
      <c r="G554" s="14"/>
      <c r="H554" s="6">
        <v>1336</v>
      </c>
      <c r="I554" s="15" t="s">
        <v>3120</v>
      </c>
      <c r="J554" s="6" t="s">
        <v>4451</v>
      </c>
      <c r="K554" s="6"/>
      <c r="L554" s="6" t="s">
        <v>1433</v>
      </c>
      <c r="M554" s="6" t="s">
        <v>7443</v>
      </c>
      <c r="N554" s="7">
        <f ca="1">RAND()</f>
        <v>0.12412751920528053</v>
      </c>
      <c r="O554" s="8">
        <v>45207</v>
      </c>
      <c r="P554" s="8">
        <v>45208</v>
      </c>
      <c r="Q554" s="8">
        <v>45210</v>
      </c>
      <c r="R554" s="8">
        <v>45214</v>
      </c>
      <c r="S554" s="8">
        <v>45221</v>
      </c>
      <c r="T554" s="8">
        <v>45233</v>
      </c>
      <c r="U554" s="8">
        <v>45792</v>
      </c>
      <c r="V554" s="10">
        <f>COUNTA(O554:U554)</f>
        <v>7</v>
      </c>
      <c r="W554" s="11">
        <f>_xlfn.IFNA(INDEX(reading[[#This Row],[Memo 01]:[Memo 07]],MATCH(0,reading[[#This Row],[Memo 01]:[Memo 07]],-1)),"")</f>
        <v>45792</v>
      </c>
      <c r="X554" s="11">
        <f ca="1">IFERROR(reading[[#This Row],[Previous]]+OFFSET(reading[[#Headers],[Memo 01]],-1,MATCH(0,reading[[#This Row],[Memo 01]:[Memo 07]],-1)-1),"")</f>
        <v>55792</v>
      </c>
      <c r="Y554" s="10" t="str">
        <f ca="1">IF(reading[[#This Row],[Next]]&lt;&gt;"",IF(reading[[#This Row],[Next]]&gt;TODAY(),"OK",""),"")</f>
        <v>OK</v>
      </c>
      <c r="Z554" s="13">
        <v>3</v>
      </c>
      <c r="AA554" s="13">
        <v>3</v>
      </c>
      <c r="AB554" s="13">
        <v>3</v>
      </c>
      <c r="AC554" s="13">
        <v>3</v>
      </c>
      <c r="AD554" s="13">
        <v>3</v>
      </c>
      <c r="AE554" s="13">
        <v>3</v>
      </c>
      <c r="AF554" s="13">
        <v>3</v>
      </c>
      <c r="AG554" s="16">
        <f>IFERROR(SUMIF(reading[[#This Row],[1st]:[7th]],"&gt;0")/COUNTIF(reading[[#This Row],[1st]:[7th]],"&gt;0"),"")</f>
        <v>3</v>
      </c>
    </row>
    <row r="555" spans="1:33" hidden="1" x14ac:dyDescent="0.2">
      <c r="A555" s="4">
        <f>IF(B555=1,3,IF(D555=1,2,IF(F555=1,1,0)))</f>
        <v>0</v>
      </c>
      <c r="B555" s="4" t="str">
        <f>IF(C555=$L555,1,IF(C555="","",0))</f>
        <v/>
      </c>
      <c r="C555" s="42"/>
      <c r="D555" s="4" t="str">
        <f>IF(E555=$L555,1,IF(E555="","",0))</f>
        <v/>
      </c>
      <c r="E555" s="18"/>
      <c r="F555" s="4" t="str">
        <f>IF(G555=$L555,1,IF(G555="","",0))</f>
        <v/>
      </c>
      <c r="G555" s="14"/>
      <c r="H555" s="6">
        <v>299</v>
      </c>
      <c r="I555" s="15" t="s">
        <v>3120</v>
      </c>
      <c r="J555" s="6" t="s">
        <v>3447</v>
      </c>
      <c r="K555" s="6"/>
      <c r="L555" s="6" t="s">
        <v>434</v>
      </c>
      <c r="M555" s="6" t="s">
        <v>6408</v>
      </c>
      <c r="N555" s="7">
        <f ca="1">RAND()</f>
        <v>0.58114376838336168</v>
      </c>
      <c r="O555" s="8">
        <v>45200</v>
      </c>
      <c r="P555" s="8">
        <v>45201</v>
      </c>
      <c r="Q555" s="8">
        <v>45203</v>
      </c>
      <c r="R555" s="8">
        <v>45207</v>
      </c>
      <c r="S555" s="8">
        <v>45214</v>
      </c>
      <c r="T555" s="8">
        <v>45226</v>
      </c>
      <c r="U555" s="8">
        <v>45818</v>
      </c>
      <c r="V555" s="10">
        <f>COUNTA(O555:U555)</f>
        <v>7</v>
      </c>
      <c r="W555" s="11">
        <f>_xlfn.IFNA(INDEX(reading[[#This Row],[Memo 01]:[Memo 07]],MATCH(0,reading[[#This Row],[Memo 01]:[Memo 07]],-1)),"")</f>
        <v>45818</v>
      </c>
      <c r="X555" s="11">
        <f ca="1">IFERROR(reading[[#This Row],[Previous]]+OFFSET(reading[[#Headers],[Memo 01]],-1,MATCH(0,reading[[#This Row],[Memo 01]:[Memo 07]],-1)-1),"")</f>
        <v>55818</v>
      </c>
      <c r="Y555" s="10" t="str">
        <f ca="1">IF(reading[[#This Row],[Next]]&lt;&gt;"",IF(reading[[#This Row],[Next]]&gt;TODAY(),"OK",""),"")</f>
        <v>OK</v>
      </c>
      <c r="Z555" s="13">
        <v>3</v>
      </c>
      <c r="AA555" s="13">
        <v>3</v>
      </c>
      <c r="AB555" s="13">
        <v>3</v>
      </c>
      <c r="AC555" s="13">
        <v>3</v>
      </c>
      <c r="AD555" s="13">
        <v>3</v>
      </c>
      <c r="AE555" s="13">
        <v>2</v>
      </c>
      <c r="AF555" s="13">
        <v>3</v>
      </c>
      <c r="AG555" s="16">
        <f>IFERROR(SUMIF(reading[[#This Row],[1st]:[7th]],"&gt;0")/COUNTIF(reading[[#This Row],[1st]:[7th]],"&gt;0"),"")</f>
        <v>2.8571428571428572</v>
      </c>
    </row>
    <row r="556" spans="1:33" hidden="1" x14ac:dyDescent="0.2">
      <c r="A556" s="4">
        <f>IF(B556=1,3,IF(D556=1,2,IF(F556=1,1,0)))</f>
        <v>0</v>
      </c>
      <c r="B556" s="4" t="str">
        <f>IF(C556=$L556,1,IF(C556="","",0))</f>
        <v/>
      </c>
      <c r="C556" s="42"/>
      <c r="D556" s="4" t="str">
        <f>IF(E556=$L556,1,IF(E556="","",0))</f>
        <v/>
      </c>
      <c r="E556" s="14"/>
      <c r="F556" s="4" t="str">
        <f>IF(G556=$L556,1,IF(G556="","",0))</f>
        <v/>
      </c>
      <c r="G556" s="14"/>
      <c r="H556" s="6">
        <v>628</v>
      </c>
      <c r="I556" s="15" t="s">
        <v>3120</v>
      </c>
      <c r="J556" s="6" t="s">
        <v>3770</v>
      </c>
      <c r="K556" s="6"/>
      <c r="L556" s="6" t="s">
        <v>751</v>
      </c>
      <c r="M556" s="6" t="s">
        <v>6737</v>
      </c>
      <c r="N556" s="7">
        <f ca="1">RAND()</f>
        <v>0.23030132517987323</v>
      </c>
      <c r="O556" s="8">
        <v>45202</v>
      </c>
      <c r="P556" s="8">
        <v>45203</v>
      </c>
      <c r="Q556" s="8">
        <v>45205</v>
      </c>
      <c r="R556" s="8">
        <v>45209</v>
      </c>
      <c r="S556" s="8">
        <v>45216</v>
      </c>
      <c r="T556" s="8">
        <v>45228</v>
      </c>
      <c r="U556" s="8">
        <v>45783</v>
      </c>
      <c r="V556" s="10">
        <f>COUNTA(O556:U556)</f>
        <v>7</v>
      </c>
      <c r="W556" s="11">
        <f>_xlfn.IFNA(INDEX(reading[[#This Row],[Memo 01]:[Memo 07]],MATCH(0,reading[[#This Row],[Memo 01]:[Memo 07]],-1)),"")</f>
        <v>45783</v>
      </c>
      <c r="X556" s="11">
        <f ca="1">IFERROR(reading[[#This Row],[Previous]]+OFFSET(reading[[#Headers],[Memo 01]],-1,MATCH(0,reading[[#This Row],[Memo 01]:[Memo 07]],-1)-1),"")</f>
        <v>55783</v>
      </c>
      <c r="Y556" s="10" t="str">
        <f ca="1">IF(reading[[#This Row],[Next]]&lt;&gt;"",IF(reading[[#This Row],[Next]]&gt;TODAY(),"OK",""),"")</f>
        <v>OK</v>
      </c>
      <c r="Z556" s="13">
        <v>3</v>
      </c>
      <c r="AA556" s="13">
        <v>3</v>
      </c>
      <c r="AB556" s="13">
        <v>3</v>
      </c>
      <c r="AC556" s="13">
        <v>3</v>
      </c>
      <c r="AD556" s="13">
        <v>3</v>
      </c>
      <c r="AE556" s="13">
        <v>3</v>
      </c>
      <c r="AF556" s="13">
        <v>3</v>
      </c>
      <c r="AG556" s="16">
        <f>IFERROR(SUMIF(reading[[#This Row],[1st]:[7th]],"&gt;0")/COUNTIF(reading[[#This Row],[1st]:[7th]],"&gt;0"),"")</f>
        <v>3</v>
      </c>
    </row>
    <row r="557" spans="1:33" hidden="1" x14ac:dyDescent="0.2">
      <c r="A557" s="4">
        <f>IF(B557=1,3,IF(D557=1,2,IF(F557=1,1,0)))</f>
        <v>0</v>
      </c>
      <c r="B557" s="4" t="str">
        <f>IF(C557=$L557,1,IF(C557="","",0))</f>
        <v/>
      </c>
      <c r="C557" s="42"/>
      <c r="D557" s="4" t="str">
        <f>IF(E557=$L557,1,IF(E557="","",0))</f>
        <v/>
      </c>
      <c r="E557" s="14"/>
      <c r="F557" s="4" t="str">
        <f>IF(G557=$L557,1,IF(G557="","",0))</f>
        <v/>
      </c>
      <c r="G557" s="14"/>
      <c r="H557" s="6">
        <v>683</v>
      </c>
      <c r="I557" s="15" t="s">
        <v>3120</v>
      </c>
      <c r="J557" s="6" t="s">
        <v>3822</v>
      </c>
      <c r="K557" s="6"/>
      <c r="L557" s="6" t="s">
        <v>806</v>
      </c>
      <c r="M557" s="6" t="s">
        <v>6792</v>
      </c>
      <c r="N557" s="7">
        <f ca="1">RAND()</f>
        <v>0.58211221177458128</v>
      </c>
      <c r="O557" s="8">
        <v>45203</v>
      </c>
      <c r="P557" s="8">
        <v>45204</v>
      </c>
      <c r="Q557" s="8">
        <v>45206</v>
      </c>
      <c r="R557" s="8">
        <v>45210</v>
      </c>
      <c r="S557" s="8">
        <v>45217</v>
      </c>
      <c r="T557" s="8">
        <v>45229</v>
      </c>
      <c r="U557" s="8">
        <v>45783</v>
      </c>
      <c r="V557" s="10">
        <f>COUNTA(O557:U557)</f>
        <v>7</v>
      </c>
      <c r="W557" s="11">
        <f>_xlfn.IFNA(INDEX(reading[[#This Row],[Memo 01]:[Memo 07]],MATCH(0,reading[[#This Row],[Memo 01]:[Memo 07]],-1)),"")</f>
        <v>45783</v>
      </c>
      <c r="X557" s="11">
        <f ca="1">IFERROR(reading[[#This Row],[Previous]]+OFFSET(reading[[#Headers],[Memo 01]],-1,MATCH(0,reading[[#This Row],[Memo 01]:[Memo 07]],-1)-1),"")</f>
        <v>55783</v>
      </c>
      <c r="Y557" s="10" t="str">
        <f ca="1">IF(reading[[#This Row],[Next]]&lt;&gt;"",IF(reading[[#This Row],[Next]]&gt;TODAY(),"OK",""),"")</f>
        <v>OK</v>
      </c>
      <c r="Z557" s="13">
        <v>3</v>
      </c>
      <c r="AA557" s="13">
        <v>3</v>
      </c>
      <c r="AB557" s="13">
        <v>3</v>
      </c>
      <c r="AC557" s="13">
        <v>3</v>
      </c>
      <c r="AD557" s="13">
        <v>3</v>
      </c>
      <c r="AE557" s="13">
        <v>3</v>
      </c>
      <c r="AF557" s="13">
        <v>3</v>
      </c>
      <c r="AG557" s="16">
        <f>IFERROR(SUMIF(reading[[#This Row],[1st]:[7th]],"&gt;0")/COUNTIF(reading[[#This Row],[1st]:[7th]],"&gt;0"),"")</f>
        <v>3</v>
      </c>
    </row>
    <row r="558" spans="1:33" hidden="1" x14ac:dyDescent="0.2">
      <c r="A558" s="4">
        <f>IF(B558=1,3,IF(D558=1,2,IF(F558=1,1,0)))</f>
        <v>0</v>
      </c>
      <c r="B558" s="4" t="str">
        <f>IF(C558=$L558,1,IF(C558="","",0))</f>
        <v/>
      </c>
      <c r="C558" s="42"/>
      <c r="D558" s="4" t="str">
        <f>IF(E558=$L558,1,IF(E558="","",0))</f>
        <v/>
      </c>
      <c r="E558" s="14"/>
      <c r="F558" s="4" t="str">
        <f>IF(G558=$L558,1,IF(G558="","",0))</f>
        <v/>
      </c>
      <c r="G558" s="14"/>
      <c r="H558" s="6">
        <v>446</v>
      </c>
      <c r="I558" s="15" t="s">
        <v>3120</v>
      </c>
      <c r="J558" s="6" t="s">
        <v>3592</v>
      </c>
      <c r="K558" s="6"/>
      <c r="L558" s="6" t="s">
        <v>575</v>
      </c>
      <c r="M558" s="6" t="s">
        <v>6555</v>
      </c>
      <c r="N558" s="7">
        <f ca="1">RAND()</f>
        <v>0.77537713400062958</v>
      </c>
      <c r="O558" s="8">
        <v>45202</v>
      </c>
      <c r="P558" s="8">
        <v>45203</v>
      </c>
      <c r="Q558" s="8">
        <v>45205</v>
      </c>
      <c r="R558" s="8">
        <v>45209</v>
      </c>
      <c r="S558" s="8">
        <v>45216</v>
      </c>
      <c r="T558" s="8">
        <v>45228</v>
      </c>
      <c r="U558" s="8">
        <v>45783</v>
      </c>
      <c r="V558" s="10">
        <f>COUNTA(O558:U558)</f>
        <v>7</v>
      </c>
      <c r="W558" s="11">
        <f>_xlfn.IFNA(INDEX(reading[[#This Row],[Memo 01]:[Memo 07]],MATCH(0,reading[[#This Row],[Memo 01]:[Memo 07]],-1)),"")</f>
        <v>45783</v>
      </c>
      <c r="X558" s="11">
        <f ca="1">IFERROR(reading[[#This Row],[Previous]]+OFFSET(reading[[#Headers],[Memo 01]],-1,MATCH(0,reading[[#This Row],[Memo 01]:[Memo 07]],-1)-1),"")</f>
        <v>55783</v>
      </c>
      <c r="Y558" s="10" t="str">
        <f ca="1">IF(reading[[#This Row],[Next]]&lt;&gt;"",IF(reading[[#This Row],[Next]]&gt;TODAY(),"OK",""),"")</f>
        <v>OK</v>
      </c>
      <c r="Z558" s="13">
        <v>3</v>
      </c>
      <c r="AA558" s="13">
        <v>3</v>
      </c>
      <c r="AB558" s="13">
        <v>3</v>
      </c>
      <c r="AC558" s="13">
        <v>3</v>
      </c>
      <c r="AD558" s="13">
        <v>3</v>
      </c>
      <c r="AE558" s="13">
        <v>3</v>
      </c>
      <c r="AF558" s="13">
        <v>3</v>
      </c>
      <c r="AG558" s="16">
        <f>IFERROR(SUMIF(reading[[#This Row],[1st]:[7th]],"&gt;0")/COUNTIF(reading[[#This Row],[1st]:[7th]],"&gt;0"),"")</f>
        <v>3</v>
      </c>
    </row>
    <row r="559" spans="1:33" hidden="1" x14ac:dyDescent="0.2">
      <c r="A559" s="4">
        <f>IF(B559=1,3,IF(D559=1,2,IF(F559=1,1,0)))</f>
        <v>0</v>
      </c>
      <c r="B559" s="4" t="str">
        <f>IF(C559=$L559,1,IF(C559="","",0))</f>
        <v/>
      </c>
      <c r="C559" s="43"/>
      <c r="D559" s="4" t="str">
        <f>IF(E559=$L559,1,IF(E559="","",0))</f>
        <v/>
      </c>
      <c r="E559" s="43"/>
      <c r="F559" s="4" t="str">
        <f>IF(G559=$L559,1,IF(G559="","",0))</f>
        <v/>
      </c>
      <c r="G559" s="14"/>
      <c r="H559" s="6">
        <v>250</v>
      </c>
      <c r="I559" s="15" t="s">
        <v>3120</v>
      </c>
      <c r="J559" s="6" t="s">
        <v>3399</v>
      </c>
      <c r="K559" s="6"/>
      <c r="L559" s="6" t="s">
        <v>385</v>
      </c>
      <c r="M559" s="6" t="s">
        <v>6359</v>
      </c>
      <c r="N559" s="7">
        <f ca="1">RAND()</f>
        <v>0.25836962276715769</v>
      </c>
      <c r="O559" s="8">
        <v>45199</v>
      </c>
      <c r="P559" s="8">
        <v>45200</v>
      </c>
      <c r="Q559" s="8">
        <v>45202</v>
      </c>
      <c r="R559" s="8">
        <v>45206</v>
      </c>
      <c r="S559" s="8">
        <v>45213</v>
      </c>
      <c r="T559" s="8">
        <v>45225</v>
      </c>
      <c r="U559" s="8">
        <v>45820</v>
      </c>
      <c r="V559" s="10">
        <f>COUNTA(O559:U559)</f>
        <v>7</v>
      </c>
      <c r="W559" s="11">
        <f>_xlfn.IFNA(INDEX(reading[[#This Row],[Memo 01]:[Memo 07]],MATCH(0,reading[[#This Row],[Memo 01]:[Memo 07]],-1)),"")</f>
        <v>45820</v>
      </c>
      <c r="X559" s="11">
        <f ca="1">IFERROR(reading[[#This Row],[Previous]]+OFFSET(reading[[#Headers],[Memo 01]],-1,MATCH(0,reading[[#This Row],[Memo 01]:[Memo 07]],-1)-1),"")</f>
        <v>55820</v>
      </c>
      <c r="Y559" s="10" t="str">
        <f ca="1">IF(reading[[#This Row],[Next]]&lt;&gt;"",IF(reading[[#This Row],[Next]]&gt;TODAY(),"OK",""),"")</f>
        <v>OK</v>
      </c>
      <c r="Z559" s="13">
        <v>3</v>
      </c>
      <c r="AA559" s="13">
        <v>2</v>
      </c>
      <c r="AB559" s="13">
        <v>3</v>
      </c>
      <c r="AC559" s="13">
        <v>3</v>
      </c>
      <c r="AD559" s="13">
        <v>3</v>
      </c>
      <c r="AE559" s="13">
        <v>3</v>
      </c>
      <c r="AF559" s="13">
        <v>2</v>
      </c>
      <c r="AG559" s="16">
        <f>IFERROR(SUMIF(reading[[#This Row],[1st]:[7th]],"&gt;0")/COUNTIF(reading[[#This Row],[1st]:[7th]],"&gt;0"),"")</f>
        <v>2.7142857142857144</v>
      </c>
    </row>
    <row r="560" spans="1:33" hidden="1" x14ac:dyDescent="0.2">
      <c r="A560" s="4">
        <f>IF(B560=1,3,IF(D560=1,2,IF(F560=1,1,0)))</f>
        <v>0</v>
      </c>
      <c r="B560" s="4" t="str">
        <f>IF(C560=$L560,1,IF(C560="","",0))</f>
        <v/>
      </c>
      <c r="C560" s="41"/>
      <c r="D560" s="4" t="str">
        <f>IF(E560=$L560,1,IF(E560="","",0))</f>
        <v/>
      </c>
      <c r="E560" s="18"/>
      <c r="F560" s="4" t="str">
        <f>IF(G560=$L560,1,IF(G560="","",0))</f>
        <v/>
      </c>
      <c r="G560" s="14"/>
      <c r="H560" s="6">
        <v>918</v>
      </c>
      <c r="I560" s="15" t="s">
        <v>3120</v>
      </c>
      <c r="J560" s="6" t="s">
        <v>4050</v>
      </c>
      <c r="K560" s="6" t="s">
        <v>3139</v>
      </c>
      <c r="L560" s="6" t="s">
        <v>1030</v>
      </c>
      <c r="M560" s="6" t="s">
        <v>7027</v>
      </c>
      <c r="N560" s="7">
        <f ca="1">RAND()</f>
        <v>0.97208911732711945</v>
      </c>
      <c r="O560" s="8">
        <v>45204</v>
      </c>
      <c r="P560" s="8">
        <v>45205</v>
      </c>
      <c r="Q560" s="8">
        <v>45207</v>
      </c>
      <c r="R560" s="8">
        <v>45212</v>
      </c>
      <c r="S560" s="8">
        <v>45219</v>
      </c>
      <c r="T560" s="8">
        <v>45231</v>
      </c>
      <c r="U560" s="8">
        <v>45252</v>
      </c>
      <c r="V560" s="10">
        <f>COUNTA(O560:U560)</f>
        <v>7</v>
      </c>
      <c r="W560" s="11">
        <f>_xlfn.IFNA(INDEX(reading[[#This Row],[Memo 01]:[Memo 07]],MATCH(0,reading[[#This Row],[Memo 01]:[Memo 07]],-1)),"")</f>
        <v>45252</v>
      </c>
      <c r="X560" s="11">
        <f ca="1">IFERROR(reading[[#This Row],[Previous]]+OFFSET(reading[[#Headers],[Memo 01]],-1,MATCH(0,reading[[#This Row],[Memo 01]:[Memo 07]],-1)-1),"")</f>
        <v>55252</v>
      </c>
      <c r="Y560" s="10" t="str">
        <f ca="1">IF(reading[[#This Row],[Next]]&lt;&gt;"",IF(reading[[#This Row],[Next]]&gt;TODAY(),"OK",""),"")</f>
        <v>OK</v>
      </c>
      <c r="Z560" s="13">
        <v>3</v>
      </c>
      <c r="AA560" s="13">
        <v>3</v>
      </c>
      <c r="AB560" s="13">
        <v>3</v>
      </c>
      <c r="AC560" s="13">
        <v>1</v>
      </c>
      <c r="AD560" s="13">
        <v>2</v>
      </c>
      <c r="AE560" s="13">
        <v>3</v>
      </c>
      <c r="AF560" s="13">
        <v>2</v>
      </c>
      <c r="AG560" s="16">
        <f>IFERROR(SUMIF(reading[[#This Row],[1st]:[7th]],"&gt;0")/COUNTIF(reading[[#This Row],[1st]:[7th]],"&gt;0"),"")</f>
        <v>2.4285714285714284</v>
      </c>
    </row>
    <row r="561" spans="1:33" hidden="1" x14ac:dyDescent="0.2">
      <c r="A561" s="4">
        <f>IF(B561=1,3,IF(D561=1,2,IF(F561=1,1,0)))</f>
        <v>0</v>
      </c>
      <c r="B561" s="4" t="str">
        <f>IF(C561=$L561,1,IF(C561="","",0))</f>
        <v/>
      </c>
      <c r="C561" s="42"/>
      <c r="D561" s="4" t="str">
        <f>IF(E561=$L561,1,IF(E561="","",0))</f>
        <v/>
      </c>
      <c r="E561" s="14"/>
      <c r="F561" s="4" t="str">
        <f>IF(G561=$L561,1,IF(G561="","",0))</f>
        <v/>
      </c>
      <c r="G561" s="14"/>
      <c r="H561" s="6">
        <v>1982</v>
      </c>
      <c r="I561" s="15" t="s">
        <v>3120</v>
      </c>
      <c r="J561" s="6" t="s">
        <v>5081</v>
      </c>
      <c r="K561" s="6"/>
      <c r="L561" s="6" t="s">
        <v>2057</v>
      </c>
      <c r="M561" s="6" t="s">
        <v>8088</v>
      </c>
      <c r="N561" s="7">
        <f ca="1">RAND()</f>
        <v>0.6833498988563379</v>
      </c>
      <c r="O561" s="8">
        <v>45213</v>
      </c>
      <c r="P561" s="8">
        <v>45214</v>
      </c>
      <c r="Q561" s="8">
        <v>45216</v>
      </c>
      <c r="R561" s="8">
        <v>45220</v>
      </c>
      <c r="S561" s="8">
        <v>45227</v>
      </c>
      <c r="T561" s="8">
        <v>45792</v>
      </c>
      <c r="U561" s="8">
        <v>45818</v>
      </c>
      <c r="V561" s="10">
        <f>COUNTA(O561:U561)</f>
        <v>7</v>
      </c>
      <c r="W561" s="11">
        <f>_xlfn.IFNA(INDEX(reading[[#This Row],[Memo 01]:[Memo 07]],MATCH(0,reading[[#This Row],[Memo 01]:[Memo 07]],-1)),"")</f>
        <v>45818</v>
      </c>
      <c r="X561" s="11">
        <f ca="1">IFERROR(reading[[#This Row],[Previous]]+OFFSET(reading[[#Headers],[Memo 01]],-1,MATCH(0,reading[[#This Row],[Memo 01]:[Memo 07]],-1)-1),"")</f>
        <v>55818</v>
      </c>
      <c r="Y561" s="10" t="str">
        <f ca="1">IF(reading[[#This Row],[Next]]&lt;&gt;"",IF(reading[[#This Row],[Next]]&gt;TODAY(),"OK",""),"")</f>
        <v>OK</v>
      </c>
      <c r="Z561" s="13">
        <v>3</v>
      </c>
      <c r="AA561" s="13">
        <v>3</v>
      </c>
      <c r="AB561" s="13">
        <v>3</v>
      </c>
      <c r="AC561" s="13">
        <v>3</v>
      </c>
      <c r="AD561" s="13">
        <v>3</v>
      </c>
      <c r="AE561" s="13">
        <v>3</v>
      </c>
      <c r="AF561" s="13">
        <v>3</v>
      </c>
      <c r="AG561" s="16">
        <f>IFERROR(SUMIF(reading[[#This Row],[1st]:[7th]],"&gt;0")/COUNTIF(reading[[#This Row],[1st]:[7th]],"&gt;0"),"")</f>
        <v>3</v>
      </c>
    </row>
    <row r="562" spans="1:33" hidden="1" x14ac:dyDescent="0.2">
      <c r="A562" s="4">
        <f>IF(B562=1,3,IF(D562=1,2,IF(F562=1,1,0)))</f>
        <v>0</v>
      </c>
      <c r="B562" s="4" t="str">
        <f>IF(C562=$L562,1,IF(C562="","",0))</f>
        <v/>
      </c>
      <c r="C562" s="42"/>
      <c r="D562" s="4" t="str">
        <f>IF(E562=$L562,1,IF(E562="","",0))</f>
        <v/>
      </c>
      <c r="E562" s="14"/>
      <c r="F562" s="4" t="str">
        <f>IF(G562=$L562,1,IF(G562="","",0))</f>
        <v/>
      </c>
      <c r="G562" s="14"/>
      <c r="H562" s="6">
        <v>621</v>
      </c>
      <c r="I562" s="15" t="s">
        <v>3120</v>
      </c>
      <c r="J562" s="6" t="s">
        <v>3763</v>
      </c>
      <c r="K562" s="6"/>
      <c r="L562" s="6" t="s">
        <v>744</v>
      </c>
      <c r="M562" s="6" t="s">
        <v>6730</v>
      </c>
      <c r="N562" s="7">
        <f ca="1">RAND()</f>
        <v>0.62703171628857313</v>
      </c>
      <c r="O562" s="8">
        <v>45202</v>
      </c>
      <c r="P562" s="8">
        <v>45203</v>
      </c>
      <c r="Q562" s="8">
        <v>45205</v>
      </c>
      <c r="R562" s="8">
        <v>45209</v>
      </c>
      <c r="S562" s="8">
        <v>45216</v>
      </c>
      <c r="T562" s="8">
        <v>45228</v>
      </c>
      <c r="U562" s="8">
        <v>45819</v>
      </c>
      <c r="V562" s="10">
        <f>COUNTA(O562:U562)</f>
        <v>7</v>
      </c>
      <c r="W562" s="11">
        <f>_xlfn.IFNA(INDEX(reading[[#This Row],[Memo 01]:[Memo 07]],MATCH(0,reading[[#This Row],[Memo 01]:[Memo 07]],-1)),"")</f>
        <v>45819</v>
      </c>
      <c r="X562" s="11">
        <f ca="1">IFERROR(reading[[#This Row],[Previous]]+OFFSET(reading[[#Headers],[Memo 01]],-1,MATCH(0,reading[[#This Row],[Memo 01]:[Memo 07]],-1)-1),"")</f>
        <v>55819</v>
      </c>
      <c r="Y562" s="10" t="str">
        <f ca="1">IF(reading[[#This Row],[Next]]&lt;&gt;"",IF(reading[[#This Row],[Next]]&gt;TODAY(),"OK",""),"")</f>
        <v>OK</v>
      </c>
      <c r="Z562" s="13">
        <v>3</v>
      </c>
      <c r="AA562" s="13">
        <v>3</v>
      </c>
      <c r="AB562" s="13">
        <v>3</v>
      </c>
      <c r="AC562" s="13">
        <v>3</v>
      </c>
      <c r="AD562" s="13">
        <v>3</v>
      </c>
      <c r="AE562" s="13">
        <v>3</v>
      </c>
      <c r="AF562" s="13">
        <v>3</v>
      </c>
      <c r="AG562" s="16">
        <f>IFERROR(SUMIF(reading[[#This Row],[1st]:[7th]],"&gt;0")/COUNTIF(reading[[#This Row],[1st]:[7th]],"&gt;0"),"")</f>
        <v>3</v>
      </c>
    </row>
    <row r="563" spans="1:33" hidden="1" x14ac:dyDescent="0.2">
      <c r="A563" s="4">
        <f>IF(B563=1,3,IF(D563=1,2,IF(F563=1,1,0)))</f>
        <v>0</v>
      </c>
      <c r="B563" s="4" t="str">
        <f>IF(C563=$L563,1,IF(C563="","",0))</f>
        <v/>
      </c>
      <c r="C563" s="42"/>
      <c r="D563" s="4" t="str">
        <f>IF(E563=$L563,1,IF(E563="","",0))</f>
        <v/>
      </c>
      <c r="E563" s="14"/>
      <c r="F563" s="4" t="str">
        <f>IF(G563=$L563,1,IF(G563="","",0))</f>
        <v/>
      </c>
      <c r="G563" s="14"/>
      <c r="H563" s="6">
        <v>1199</v>
      </c>
      <c r="I563" s="15" t="s">
        <v>3120</v>
      </c>
      <c r="J563" s="6" t="s">
        <v>4318</v>
      </c>
      <c r="K563" s="6"/>
      <c r="L563" s="6" t="s">
        <v>1301</v>
      </c>
      <c r="M563" s="6" t="s">
        <v>7306</v>
      </c>
      <c r="N563" s="7">
        <f ca="1">RAND()</f>
        <v>0.5295033295990571</v>
      </c>
      <c r="O563" s="8">
        <v>45206</v>
      </c>
      <c r="P563" s="8">
        <v>45207</v>
      </c>
      <c r="Q563" s="8">
        <v>45209</v>
      </c>
      <c r="R563" s="8">
        <v>45213</v>
      </c>
      <c r="S563" s="8">
        <v>45220</v>
      </c>
      <c r="T563" s="8">
        <v>45232</v>
      </c>
      <c r="U563" s="8">
        <v>45819</v>
      </c>
      <c r="V563" s="10">
        <f>COUNTA(O563:U563)</f>
        <v>7</v>
      </c>
      <c r="W563" s="11">
        <f>_xlfn.IFNA(INDEX(reading[[#This Row],[Memo 01]:[Memo 07]],MATCH(0,reading[[#This Row],[Memo 01]:[Memo 07]],-1)),"")</f>
        <v>45819</v>
      </c>
      <c r="X563" s="11">
        <f ca="1">IFERROR(reading[[#This Row],[Previous]]+OFFSET(reading[[#Headers],[Memo 01]],-1,MATCH(0,reading[[#This Row],[Memo 01]:[Memo 07]],-1)-1),"")</f>
        <v>55819</v>
      </c>
      <c r="Y563" s="10" t="str">
        <f ca="1">IF(reading[[#This Row],[Next]]&lt;&gt;"",IF(reading[[#This Row],[Next]]&gt;TODAY(),"OK",""),"")</f>
        <v>OK</v>
      </c>
      <c r="Z563" s="13">
        <v>3</v>
      </c>
      <c r="AA563" s="13">
        <v>3</v>
      </c>
      <c r="AB563" s="13">
        <v>3</v>
      </c>
      <c r="AC563" s="13">
        <v>3</v>
      </c>
      <c r="AD563" s="13">
        <v>3</v>
      </c>
      <c r="AE563" s="13">
        <v>2</v>
      </c>
      <c r="AF563" s="13">
        <v>3</v>
      </c>
      <c r="AG563" s="16">
        <f>IFERROR(SUMIF(reading[[#This Row],[1st]:[7th]],"&gt;0")/COUNTIF(reading[[#This Row],[1st]:[7th]],"&gt;0"),"")</f>
        <v>2.8571428571428572</v>
      </c>
    </row>
    <row r="564" spans="1:33" hidden="1" x14ac:dyDescent="0.2">
      <c r="A564" s="4">
        <f>IF(B564=1,3,IF(D564=1,2,IF(F564=1,1,0)))</f>
        <v>0</v>
      </c>
      <c r="B564" s="4" t="str">
        <f>IF(C564=$L564,1,IF(C564="","",0))</f>
        <v/>
      </c>
      <c r="C564" s="42"/>
      <c r="D564" s="4" t="str">
        <f>IF(E564=$L564,1,IF(E564="","",0))</f>
        <v/>
      </c>
      <c r="E564" s="18"/>
      <c r="F564" s="4" t="str">
        <f>IF(G564=$L564,1,IF(G564="","",0))</f>
        <v/>
      </c>
      <c r="G564" s="14"/>
      <c r="H564" s="6">
        <v>534</v>
      </c>
      <c r="I564" s="15" t="s">
        <v>3120</v>
      </c>
      <c r="J564" s="6" t="s">
        <v>3679</v>
      </c>
      <c r="K564" s="6"/>
      <c r="L564" s="6" t="s">
        <v>662</v>
      </c>
      <c r="M564" s="6" t="s">
        <v>6643</v>
      </c>
      <c r="N564" s="7">
        <f ca="1">RAND()</f>
        <v>0.60437112460647491</v>
      </c>
      <c r="O564" s="8">
        <v>45202</v>
      </c>
      <c r="P564" s="8">
        <v>45203</v>
      </c>
      <c r="Q564" s="8">
        <v>45205</v>
      </c>
      <c r="R564" s="8">
        <v>45209</v>
      </c>
      <c r="S564" s="8">
        <v>45216</v>
      </c>
      <c r="T564" s="8">
        <v>45228</v>
      </c>
      <c r="U564" s="8">
        <v>45792</v>
      </c>
      <c r="V564" s="10">
        <f>COUNTA(O564:U564)</f>
        <v>7</v>
      </c>
      <c r="W564" s="11">
        <f>_xlfn.IFNA(INDEX(reading[[#This Row],[Memo 01]:[Memo 07]],MATCH(0,reading[[#This Row],[Memo 01]:[Memo 07]],-1)),"")</f>
        <v>45792</v>
      </c>
      <c r="X564" s="11">
        <f ca="1">IFERROR(reading[[#This Row],[Previous]]+OFFSET(reading[[#Headers],[Memo 01]],-1,MATCH(0,reading[[#This Row],[Memo 01]:[Memo 07]],-1)-1),"")</f>
        <v>55792</v>
      </c>
      <c r="Y564" s="10" t="str">
        <f ca="1">IF(reading[[#This Row],[Next]]&lt;&gt;"",IF(reading[[#This Row],[Next]]&gt;TODAY(),"OK",""),"")</f>
        <v>OK</v>
      </c>
      <c r="Z564" s="13">
        <v>3</v>
      </c>
      <c r="AA564" s="13">
        <v>3</v>
      </c>
      <c r="AB564" s="13">
        <v>3</v>
      </c>
      <c r="AC564" s="13">
        <v>3</v>
      </c>
      <c r="AD564" s="13">
        <v>2</v>
      </c>
      <c r="AE564" s="13">
        <v>3</v>
      </c>
      <c r="AF564" s="13">
        <v>3</v>
      </c>
      <c r="AG564" s="16">
        <f>IFERROR(SUMIF(reading[[#This Row],[1st]:[7th]],"&gt;0")/COUNTIF(reading[[#This Row],[1st]:[7th]],"&gt;0"),"")</f>
        <v>2.8571428571428572</v>
      </c>
    </row>
    <row r="565" spans="1:33" hidden="1" x14ac:dyDescent="0.2">
      <c r="A565" s="4">
        <f>IF(B565=1,3,IF(D565=1,2,IF(F565=1,1,0)))</f>
        <v>0</v>
      </c>
      <c r="B565" s="4" t="str">
        <f>IF(C565=$L565,1,IF(C565="","",0))</f>
        <v/>
      </c>
      <c r="C565" s="42"/>
      <c r="D565" s="4" t="str">
        <f>IF(E565=$L565,1,IF(E565="","",0))</f>
        <v/>
      </c>
      <c r="E565" s="18"/>
      <c r="F565" s="4" t="str">
        <f>IF(G565=$L565,1,IF(G565="","",0))</f>
        <v/>
      </c>
      <c r="G565" s="14"/>
      <c r="H565" s="6">
        <v>1596</v>
      </c>
      <c r="I565" s="15" t="s">
        <v>3120</v>
      </c>
      <c r="J565" s="6" t="s">
        <v>4708</v>
      </c>
      <c r="K565" s="6"/>
      <c r="L565" s="6" t="s">
        <v>1679</v>
      </c>
      <c r="M565" s="6" t="s">
        <v>7702</v>
      </c>
      <c r="N565" s="7">
        <f ca="1">RAND()</f>
        <v>0.80352382212323181</v>
      </c>
      <c r="O565" s="8">
        <v>45209</v>
      </c>
      <c r="P565" s="8">
        <v>45210</v>
      </c>
      <c r="Q565" s="8">
        <v>45213</v>
      </c>
      <c r="R565" s="8">
        <v>45217</v>
      </c>
      <c r="S565" s="8">
        <v>45224</v>
      </c>
      <c r="T565" s="8">
        <v>45236</v>
      </c>
      <c r="U565" s="8">
        <v>45824</v>
      </c>
      <c r="V565" s="10">
        <f>COUNTA(O565:U565)</f>
        <v>7</v>
      </c>
      <c r="W565" s="11">
        <f>_xlfn.IFNA(INDEX(reading[[#This Row],[Memo 01]:[Memo 07]],MATCH(0,reading[[#This Row],[Memo 01]:[Memo 07]],-1)),"")</f>
        <v>45824</v>
      </c>
      <c r="X565" s="11">
        <f ca="1">IFERROR(reading[[#This Row],[Previous]]+OFFSET(reading[[#Headers],[Memo 01]],-1,MATCH(0,reading[[#This Row],[Memo 01]:[Memo 07]],-1)-1),"")</f>
        <v>55824</v>
      </c>
      <c r="Y565" s="10" t="str">
        <f ca="1">IF(reading[[#This Row],[Next]]&lt;&gt;"",IF(reading[[#This Row],[Next]]&gt;TODAY(),"OK",""),"")</f>
        <v>OK</v>
      </c>
      <c r="Z565" s="13">
        <v>3</v>
      </c>
      <c r="AA565" s="13">
        <v>2</v>
      </c>
      <c r="AB565" s="13">
        <v>2</v>
      </c>
      <c r="AC565" s="13">
        <v>2</v>
      </c>
      <c r="AD565" s="13">
        <v>3</v>
      </c>
      <c r="AE565" s="13">
        <v>3</v>
      </c>
      <c r="AF565" s="13">
        <v>3</v>
      </c>
      <c r="AG565" s="16">
        <f>IFERROR(SUMIF(reading[[#This Row],[1st]:[7th]],"&gt;0")/COUNTIF(reading[[#This Row],[1st]:[7th]],"&gt;0"),"")</f>
        <v>2.5714285714285716</v>
      </c>
    </row>
    <row r="566" spans="1:33" hidden="1" x14ac:dyDescent="0.2">
      <c r="A566" s="4">
        <f>IF(B566=1,3,IF(D566=1,2,IF(F566=1,1,0)))</f>
        <v>0</v>
      </c>
      <c r="B566" s="4" t="str">
        <f>IF(C566=$L566,1,IF(C566="","",0))</f>
        <v/>
      </c>
      <c r="C566" s="42"/>
      <c r="D566" s="4" t="str">
        <f>IF(E566=$L566,1,IF(E566="","",0))</f>
        <v/>
      </c>
      <c r="E566" s="14"/>
      <c r="F566" s="4" t="str">
        <f>IF(G566=$L566,1,IF(G566="","",0))</f>
        <v/>
      </c>
      <c r="G566" s="14"/>
      <c r="H566" s="6">
        <v>1666</v>
      </c>
      <c r="I566" s="15" t="s">
        <v>3120</v>
      </c>
      <c r="J566" s="6" t="s">
        <v>4777</v>
      </c>
      <c r="K566" s="6"/>
      <c r="L566" s="6" t="s">
        <v>1747</v>
      </c>
      <c r="M566" s="6" t="s">
        <v>7772</v>
      </c>
      <c r="N566" s="7">
        <f ca="1">RAND()</f>
        <v>0.31508105380766027</v>
      </c>
      <c r="O566" s="8">
        <v>45210</v>
      </c>
      <c r="P566" s="8">
        <v>45211</v>
      </c>
      <c r="Q566" s="8">
        <v>45213</v>
      </c>
      <c r="R566" s="8">
        <v>45217</v>
      </c>
      <c r="S566" s="8">
        <v>45224</v>
      </c>
      <c r="T566" s="8">
        <v>45236</v>
      </c>
      <c r="U566" s="8">
        <v>45783</v>
      </c>
      <c r="V566" s="10">
        <f>COUNTA(O566:U566)</f>
        <v>7</v>
      </c>
      <c r="W566" s="11">
        <f>_xlfn.IFNA(INDEX(reading[[#This Row],[Memo 01]:[Memo 07]],MATCH(0,reading[[#This Row],[Memo 01]:[Memo 07]],-1)),"")</f>
        <v>45783</v>
      </c>
      <c r="X566" s="11">
        <f ca="1">IFERROR(reading[[#This Row],[Previous]]+OFFSET(reading[[#Headers],[Memo 01]],-1,MATCH(0,reading[[#This Row],[Memo 01]:[Memo 07]],-1)-1),"")</f>
        <v>55783</v>
      </c>
      <c r="Y566" s="10" t="str">
        <f ca="1">IF(reading[[#This Row],[Next]]&lt;&gt;"",IF(reading[[#This Row],[Next]]&gt;TODAY(),"OK",""),"")</f>
        <v>OK</v>
      </c>
      <c r="Z566" s="13">
        <v>3</v>
      </c>
      <c r="AA566" s="13">
        <v>3</v>
      </c>
      <c r="AB566" s="13">
        <v>3</v>
      </c>
      <c r="AC566" s="13">
        <v>3</v>
      </c>
      <c r="AD566" s="13">
        <v>3</v>
      </c>
      <c r="AE566" s="13">
        <v>2</v>
      </c>
      <c r="AF566" s="13">
        <v>3</v>
      </c>
      <c r="AG566" s="16">
        <f>IFERROR(SUMIF(reading[[#This Row],[1st]:[7th]],"&gt;0")/COUNTIF(reading[[#This Row],[1st]:[7th]],"&gt;0"),"")</f>
        <v>2.8571428571428572</v>
      </c>
    </row>
    <row r="567" spans="1:33" hidden="1" x14ac:dyDescent="0.2">
      <c r="A567" s="4">
        <f>IF(B567=1,3,IF(D567=1,2,IF(F567=1,1,0)))</f>
        <v>0</v>
      </c>
      <c r="B567" s="4" t="str">
        <f>IF(C567=$L567,1,IF(C567="","",0))</f>
        <v/>
      </c>
      <c r="C567" s="42"/>
      <c r="D567" s="4" t="str">
        <f>IF(E567=$L567,1,IF(E567="","",0))</f>
        <v/>
      </c>
      <c r="E567" s="14"/>
      <c r="F567" s="4" t="str">
        <f>IF(G567=$L567,1,IF(G567="","",0))</f>
        <v/>
      </c>
      <c r="G567" s="14"/>
      <c r="H567" s="6">
        <v>1248</v>
      </c>
      <c r="I567" s="15" t="s">
        <v>3120</v>
      </c>
      <c r="J567" s="6" t="s">
        <v>4365</v>
      </c>
      <c r="K567" s="6"/>
      <c r="L567" s="6" t="s">
        <v>1348</v>
      </c>
      <c r="M567" s="6" t="s">
        <v>7355</v>
      </c>
      <c r="N567" s="7">
        <f ca="1">RAND()</f>
        <v>0.69216843299829589</v>
      </c>
      <c r="O567" s="8">
        <v>45206</v>
      </c>
      <c r="P567" s="8">
        <v>45207</v>
      </c>
      <c r="Q567" s="8">
        <v>45209</v>
      </c>
      <c r="R567" s="8">
        <v>45213</v>
      </c>
      <c r="S567" s="8">
        <v>45220</v>
      </c>
      <c r="T567" s="8">
        <v>45232</v>
      </c>
      <c r="U567" s="8">
        <v>45792</v>
      </c>
      <c r="V567" s="10">
        <f>COUNTA(O567:U567)</f>
        <v>7</v>
      </c>
      <c r="W567" s="11">
        <f>_xlfn.IFNA(INDEX(reading[[#This Row],[Memo 01]:[Memo 07]],MATCH(0,reading[[#This Row],[Memo 01]:[Memo 07]],-1)),"")</f>
        <v>45792</v>
      </c>
      <c r="X567" s="11">
        <f ca="1">IFERROR(reading[[#This Row],[Previous]]+OFFSET(reading[[#Headers],[Memo 01]],-1,MATCH(0,reading[[#This Row],[Memo 01]:[Memo 07]],-1)-1),"")</f>
        <v>55792</v>
      </c>
      <c r="Y567" s="10" t="str">
        <f ca="1">IF(reading[[#This Row],[Next]]&lt;&gt;"",IF(reading[[#This Row],[Next]]&gt;TODAY(),"OK",""),"")</f>
        <v>OK</v>
      </c>
      <c r="Z567" s="13">
        <v>3</v>
      </c>
      <c r="AA567" s="13">
        <v>3</v>
      </c>
      <c r="AB567" s="13">
        <v>3</v>
      </c>
      <c r="AC567" s="13">
        <v>3</v>
      </c>
      <c r="AD567" s="13">
        <v>3</v>
      </c>
      <c r="AE567" s="13">
        <v>3</v>
      </c>
      <c r="AF567" s="13">
        <v>3</v>
      </c>
      <c r="AG567" s="16">
        <f>IFERROR(SUMIF(reading[[#This Row],[1st]:[7th]],"&gt;0")/COUNTIF(reading[[#This Row],[1st]:[7th]],"&gt;0"),"")</f>
        <v>3</v>
      </c>
    </row>
    <row r="568" spans="1:33" hidden="1" x14ac:dyDescent="0.2">
      <c r="A568" s="4">
        <f>IF(B568=1,3,IF(D568=1,2,IF(F568=1,1,0)))</f>
        <v>0</v>
      </c>
      <c r="B568" s="4" t="str">
        <f>IF(C568=$L568,1,IF(C568="","",0))</f>
        <v/>
      </c>
      <c r="C568" s="42"/>
      <c r="D568" s="4" t="str">
        <f>IF(E568=$L568,1,IF(E568="","",0))</f>
        <v/>
      </c>
      <c r="E568" s="23"/>
      <c r="F568" s="4" t="str">
        <f>IF(G568=$L568,1,IF(G568="","",0))</f>
        <v/>
      </c>
      <c r="G568" s="14"/>
      <c r="H568" s="6">
        <v>2127</v>
      </c>
      <c r="I568" s="15" t="s">
        <v>3120</v>
      </c>
      <c r="J568" s="6" t="s">
        <v>5215</v>
      </c>
      <c r="K568" s="24" t="s">
        <v>3136</v>
      </c>
      <c r="L568" s="6" t="s">
        <v>2194</v>
      </c>
      <c r="M568" s="6" t="s">
        <v>8233</v>
      </c>
      <c r="N568" s="7">
        <f ca="1">RAND()</f>
        <v>0.70715327209966938</v>
      </c>
      <c r="O568" s="8">
        <v>45214</v>
      </c>
      <c r="P568" s="8">
        <v>45215</v>
      </c>
      <c r="Q568" s="8">
        <v>45217</v>
      </c>
      <c r="R568" s="8">
        <v>45221</v>
      </c>
      <c r="S568" s="8">
        <v>45228</v>
      </c>
      <c r="T568" s="8">
        <v>45820</v>
      </c>
      <c r="U568" s="8"/>
      <c r="V568" s="10">
        <f>COUNTA(O568:U568)</f>
        <v>6</v>
      </c>
      <c r="W568" s="11">
        <f>_xlfn.IFNA(INDEX(reading[[#This Row],[Memo 01]:[Memo 07]],MATCH(0,reading[[#This Row],[Memo 01]:[Memo 07]],-1)),"")</f>
        <v>45820</v>
      </c>
      <c r="X568" s="11">
        <f ca="1">IFERROR(reading[[#This Row],[Previous]]+OFFSET(reading[[#Headers],[Memo 01]],-1,MATCH(0,reading[[#This Row],[Memo 01]:[Memo 07]],-1)-1),"")</f>
        <v>45840</v>
      </c>
      <c r="Y568" s="10" t="str">
        <f ca="1">IF(reading[[#This Row],[Next]]&lt;&gt;"",IF(reading[[#This Row],[Next]]&gt;TODAY(),"OK",""),"")</f>
        <v>OK</v>
      </c>
      <c r="Z568" s="13">
        <v>3</v>
      </c>
      <c r="AA568" s="13">
        <v>3</v>
      </c>
      <c r="AB568" s="13">
        <v>3</v>
      </c>
      <c r="AC568" s="13">
        <v>3</v>
      </c>
      <c r="AD568" s="13">
        <v>3</v>
      </c>
      <c r="AE568" s="13">
        <v>2</v>
      </c>
      <c r="AF568" s="13"/>
      <c r="AG568" s="16">
        <f>IFERROR(SUMIF(reading[[#This Row],[1st]:[7th]],"&gt;0")/COUNTIF(reading[[#This Row],[1st]:[7th]],"&gt;0"),"")</f>
        <v>2.8333333333333335</v>
      </c>
    </row>
    <row r="569" spans="1:33" hidden="1" x14ac:dyDescent="0.2">
      <c r="A569" s="4">
        <f>IF(B569=1,3,IF(D569=1,2,IF(F569=1,1,0)))</f>
        <v>0</v>
      </c>
      <c r="B569" s="4" t="str">
        <f>IF(C569=$L569,1,IF(C569="","",0))</f>
        <v/>
      </c>
      <c r="C569" s="42"/>
      <c r="D569" s="4" t="str">
        <f>IF(E569=$L569,1,IF(E569="","",0))</f>
        <v/>
      </c>
      <c r="E569" s="14"/>
      <c r="F569" s="4" t="str">
        <f>IF(G569=$L569,1,IF(G569="","",0))</f>
        <v/>
      </c>
      <c r="G569" s="14"/>
      <c r="H569" s="6">
        <v>392</v>
      </c>
      <c r="I569" s="15" t="s">
        <v>3120</v>
      </c>
      <c r="J569" s="6" t="s">
        <v>3538</v>
      </c>
      <c r="K569" s="6"/>
      <c r="L569" s="6" t="s">
        <v>523</v>
      </c>
      <c r="M569" s="6" t="s">
        <v>6501</v>
      </c>
      <c r="N569" s="7">
        <f ca="1">RAND()</f>
        <v>6.0337042041191724E-2</v>
      </c>
      <c r="O569" s="8">
        <v>45201</v>
      </c>
      <c r="P569" s="8">
        <v>45202</v>
      </c>
      <c r="Q569" s="8">
        <v>45204</v>
      </c>
      <c r="R569" s="8">
        <v>45208</v>
      </c>
      <c r="S569" s="8">
        <v>45215</v>
      </c>
      <c r="T569" s="8">
        <v>45227</v>
      </c>
      <c r="U569" s="8">
        <v>45783</v>
      </c>
      <c r="V569" s="10">
        <f>COUNTA(O569:U569)</f>
        <v>7</v>
      </c>
      <c r="W569" s="11">
        <f>_xlfn.IFNA(INDEX(reading[[#This Row],[Memo 01]:[Memo 07]],MATCH(0,reading[[#This Row],[Memo 01]:[Memo 07]],-1)),"")</f>
        <v>45783</v>
      </c>
      <c r="X569" s="11">
        <f ca="1">IFERROR(reading[[#This Row],[Previous]]+OFFSET(reading[[#Headers],[Memo 01]],-1,MATCH(0,reading[[#This Row],[Memo 01]:[Memo 07]],-1)-1),"")</f>
        <v>55783</v>
      </c>
      <c r="Y569" s="10" t="str">
        <f ca="1">IF(reading[[#This Row],[Next]]&lt;&gt;"",IF(reading[[#This Row],[Next]]&gt;TODAY(),"OK",""),"")</f>
        <v>OK</v>
      </c>
      <c r="Z569" s="13">
        <v>3</v>
      </c>
      <c r="AA569" s="13">
        <v>3</v>
      </c>
      <c r="AB569" s="13">
        <v>3</v>
      </c>
      <c r="AC569" s="13">
        <v>3</v>
      </c>
      <c r="AD569" s="13">
        <v>3</v>
      </c>
      <c r="AE569" s="13">
        <v>3</v>
      </c>
      <c r="AF569" s="13">
        <v>3</v>
      </c>
      <c r="AG569" s="16">
        <f>IFERROR(SUMIF(reading[[#This Row],[1st]:[7th]],"&gt;0")/COUNTIF(reading[[#This Row],[1st]:[7th]],"&gt;0"),"")</f>
        <v>3</v>
      </c>
    </row>
    <row r="570" spans="1:33" hidden="1" x14ac:dyDescent="0.2">
      <c r="A570" s="4">
        <f>IF(B570=1,3,IF(D570=1,2,IF(F570=1,1,0)))</f>
        <v>0</v>
      </c>
      <c r="B570" s="4" t="str">
        <f>IF(C570=$L570,1,IF(C570="","",0))</f>
        <v/>
      </c>
      <c r="C570" s="42"/>
      <c r="D570" s="4" t="str">
        <f>IF(E570=$L570,1,IF(E570="","",0))</f>
        <v/>
      </c>
      <c r="E570" s="18"/>
      <c r="F570" s="4" t="str">
        <f>IF(G570=$L570,1,IF(G570="","",0))</f>
        <v/>
      </c>
      <c r="G570" s="14"/>
      <c r="H570" s="6">
        <v>786</v>
      </c>
      <c r="I570" s="15" t="s">
        <v>3120</v>
      </c>
      <c r="J570" s="6" t="s">
        <v>3920</v>
      </c>
      <c r="K570" s="6"/>
      <c r="L570" s="6" t="s">
        <v>905</v>
      </c>
      <c r="M570" s="6" t="s">
        <v>6895</v>
      </c>
      <c r="N570" s="7">
        <f ca="1">RAND()</f>
        <v>0.25595725872144659</v>
      </c>
      <c r="O570" s="8">
        <v>45203</v>
      </c>
      <c r="P570" s="8">
        <v>45204</v>
      </c>
      <c r="Q570" s="8">
        <v>45206</v>
      </c>
      <c r="R570" s="8">
        <v>45210</v>
      </c>
      <c r="S570" s="8">
        <v>45217</v>
      </c>
      <c r="T570" s="8">
        <v>45229</v>
      </c>
      <c r="U570" s="8">
        <v>45792</v>
      </c>
      <c r="V570" s="10">
        <f>COUNTA(O570:U570)</f>
        <v>7</v>
      </c>
      <c r="W570" s="11">
        <f>_xlfn.IFNA(INDEX(reading[[#This Row],[Memo 01]:[Memo 07]],MATCH(0,reading[[#This Row],[Memo 01]:[Memo 07]],-1)),"")</f>
        <v>45792</v>
      </c>
      <c r="X570" s="11">
        <f ca="1">IFERROR(reading[[#This Row],[Previous]]+OFFSET(reading[[#Headers],[Memo 01]],-1,MATCH(0,reading[[#This Row],[Memo 01]:[Memo 07]],-1)-1),"")</f>
        <v>55792</v>
      </c>
      <c r="Y570" s="10" t="str">
        <f ca="1">IF(reading[[#This Row],[Next]]&lt;&gt;"",IF(reading[[#This Row],[Next]]&gt;TODAY(),"OK",""),"")</f>
        <v>OK</v>
      </c>
      <c r="Z570" s="13">
        <v>3</v>
      </c>
      <c r="AA570" s="13">
        <v>3</v>
      </c>
      <c r="AB570" s="13">
        <v>3</v>
      </c>
      <c r="AC570" s="13">
        <v>3</v>
      </c>
      <c r="AD570" s="13">
        <v>2</v>
      </c>
      <c r="AE570" s="13">
        <v>3</v>
      </c>
      <c r="AF570" s="13">
        <v>3</v>
      </c>
      <c r="AG570" s="16">
        <f>IFERROR(SUMIF(reading[[#This Row],[1st]:[7th]],"&gt;0")/COUNTIF(reading[[#This Row],[1st]:[7th]],"&gt;0"),"")</f>
        <v>2.8571428571428572</v>
      </c>
    </row>
    <row r="571" spans="1:33" hidden="1" x14ac:dyDescent="0.2">
      <c r="A571" s="4">
        <f>IF(B571=1,3,IF(D571=1,2,IF(F571=1,1,0)))</f>
        <v>0</v>
      </c>
      <c r="B571" s="4" t="str">
        <f>IF(C571=$L571,1,IF(C571="","",0))</f>
        <v/>
      </c>
      <c r="C571" s="42"/>
      <c r="D571" s="4" t="str">
        <f>IF(E571=$L571,1,IF(E571="","",0))</f>
        <v/>
      </c>
      <c r="E571" s="23"/>
      <c r="F571" s="4" t="str">
        <f>IF(G571=$L571,1,IF(G571="","",0))</f>
        <v/>
      </c>
      <c r="G571" s="23"/>
      <c r="H571" s="6">
        <v>1368</v>
      </c>
      <c r="I571" s="15" t="s">
        <v>3120</v>
      </c>
      <c r="J571" s="6" t="s">
        <v>4482</v>
      </c>
      <c r="K571" s="6"/>
      <c r="L571" s="6" t="s">
        <v>1462</v>
      </c>
      <c r="M571" s="6" t="s">
        <v>7475</v>
      </c>
      <c r="N571" s="7">
        <f ca="1">RAND()</f>
        <v>0.56760475726327397</v>
      </c>
      <c r="O571" s="8">
        <v>45207</v>
      </c>
      <c r="P571" s="8">
        <v>45208</v>
      </c>
      <c r="Q571" s="8">
        <v>45210</v>
      </c>
      <c r="R571" s="8">
        <v>45214</v>
      </c>
      <c r="S571" s="8">
        <v>45221</v>
      </c>
      <c r="T571" s="8">
        <v>45233</v>
      </c>
      <c r="U571" s="8">
        <v>45818</v>
      </c>
      <c r="V571" s="10">
        <f>COUNTA(O571:U571)</f>
        <v>7</v>
      </c>
      <c r="W571" s="11">
        <f>_xlfn.IFNA(INDEX(reading[[#This Row],[Memo 01]:[Memo 07]],MATCH(0,reading[[#This Row],[Memo 01]:[Memo 07]],-1)),"")</f>
        <v>45818</v>
      </c>
      <c r="X571" s="11">
        <f ca="1">IFERROR(reading[[#This Row],[Previous]]+OFFSET(reading[[#Headers],[Memo 01]],-1,MATCH(0,reading[[#This Row],[Memo 01]:[Memo 07]],-1)-1),"")</f>
        <v>55818</v>
      </c>
      <c r="Y571" s="10" t="str">
        <f ca="1">IF(reading[[#This Row],[Next]]&lt;&gt;"",IF(reading[[#This Row],[Next]]&gt;TODAY(),"OK",""),"")</f>
        <v>OK</v>
      </c>
      <c r="Z571" s="13">
        <v>3</v>
      </c>
      <c r="AA571" s="13">
        <v>3</v>
      </c>
      <c r="AB571" s="13">
        <v>3</v>
      </c>
      <c r="AC571" s="13">
        <v>3</v>
      </c>
      <c r="AD571" s="13">
        <v>3</v>
      </c>
      <c r="AE571" s="13">
        <v>2</v>
      </c>
      <c r="AF571" s="13">
        <v>1</v>
      </c>
      <c r="AG571" s="16">
        <f>IFERROR(SUMIF(reading[[#This Row],[1st]:[7th]],"&gt;0")/COUNTIF(reading[[#This Row],[1st]:[7th]],"&gt;0"),"")</f>
        <v>2.5714285714285716</v>
      </c>
    </row>
    <row r="572" spans="1:33" hidden="1" x14ac:dyDescent="0.2">
      <c r="A572" s="4">
        <f>IF(B572=1,3,IF(D572=1,2,IF(F572=1,1,0)))</f>
        <v>0</v>
      </c>
      <c r="B572" s="4" t="str">
        <f>IF(C572=$L572,1,IF(C572="","",0))</f>
        <v/>
      </c>
      <c r="C572" s="42"/>
      <c r="D572" s="4" t="str">
        <f>IF(E572=$L572,1,IF(E572="","",0))</f>
        <v/>
      </c>
      <c r="E572" s="18"/>
      <c r="F572" s="4" t="str">
        <f>IF(G572=$L572,1,IF(G572="","",0))</f>
        <v/>
      </c>
      <c r="G572" s="18"/>
      <c r="H572" s="6">
        <v>1936</v>
      </c>
      <c r="I572" s="15" t="s">
        <v>3120</v>
      </c>
      <c r="J572" s="6" t="s">
        <v>5035</v>
      </c>
      <c r="K572" s="6"/>
      <c r="L572" s="6" t="s">
        <v>2012</v>
      </c>
      <c r="M572" s="6" t="s">
        <v>8042</v>
      </c>
      <c r="N572" s="7">
        <f ca="1">RAND()</f>
        <v>0.47479284898696794</v>
      </c>
      <c r="O572" s="8">
        <v>45212</v>
      </c>
      <c r="P572" s="8">
        <v>45213</v>
      </c>
      <c r="Q572" s="8">
        <v>45215</v>
      </c>
      <c r="R572" s="8">
        <v>45219</v>
      </c>
      <c r="S572" s="8">
        <v>45226</v>
      </c>
      <c r="T572" s="8">
        <v>45251</v>
      </c>
      <c r="U572" s="8">
        <v>45783</v>
      </c>
      <c r="V572" s="10">
        <f>COUNTA(O572:U572)</f>
        <v>7</v>
      </c>
      <c r="W572" s="11">
        <f>_xlfn.IFNA(INDEX(reading[[#This Row],[Memo 01]:[Memo 07]],MATCH(0,reading[[#This Row],[Memo 01]:[Memo 07]],-1)),"")</f>
        <v>45783</v>
      </c>
      <c r="X572" s="11">
        <f ca="1">IFERROR(reading[[#This Row],[Previous]]+OFFSET(reading[[#Headers],[Memo 01]],-1,MATCH(0,reading[[#This Row],[Memo 01]:[Memo 07]],-1)-1),"")</f>
        <v>55783</v>
      </c>
      <c r="Y572" s="10" t="str">
        <f ca="1">IF(reading[[#This Row],[Next]]&lt;&gt;"",IF(reading[[#This Row],[Next]]&gt;TODAY(),"OK",""),"")</f>
        <v>OK</v>
      </c>
      <c r="Z572" s="13">
        <v>3</v>
      </c>
      <c r="AA572" s="13">
        <v>1</v>
      </c>
      <c r="AB572" s="13">
        <v>3</v>
      </c>
      <c r="AC572" s="13">
        <v>3</v>
      </c>
      <c r="AD572" s="13">
        <v>3</v>
      </c>
      <c r="AE572" s="13">
        <v>3</v>
      </c>
      <c r="AF572" s="13">
        <v>3</v>
      </c>
      <c r="AG572" s="16">
        <f>IFERROR(SUMIF(reading[[#This Row],[1st]:[7th]],"&gt;0")/COUNTIF(reading[[#This Row],[1st]:[7th]],"&gt;0"),"")</f>
        <v>2.7142857142857144</v>
      </c>
    </row>
    <row r="573" spans="1:33" hidden="1" x14ac:dyDescent="0.2">
      <c r="A573" s="4">
        <f>IF(B573=1,3,IF(D573=1,2,IF(F573=1,1,0)))</f>
        <v>0</v>
      </c>
      <c r="B573" s="4" t="str">
        <f>IF(C573=$L573,1,IF(C573="","",0))</f>
        <v/>
      </c>
      <c r="C573" s="42"/>
      <c r="D573" s="4" t="str">
        <f>IF(E573=$L573,1,IF(E573="","",0))</f>
        <v/>
      </c>
      <c r="E573" s="18"/>
      <c r="F573" s="4" t="str">
        <f>IF(G573=$L573,1,IF(G573="","",0))</f>
        <v/>
      </c>
      <c r="G573" s="14"/>
      <c r="H573" s="6">
        <v>1945</v>
      </c>
      <c r="I573" s="15" t="s">
        <v>3120</v>
      </c>
      <c r="J573" s="6" t="s">
        <v>5044</v>
      </c>
      <c r="K573" s="6"/>
      <c r="L573" s="6" t="s">
        <v>2021</v>
      </c>
      <c r="M573" s="6" t="s">
        <v>8051</v>
      </c>
      <c r="N573" s="7">
        <f ca="1">RAND()</f>
        <v>0.64877026011709338</v>
      </c>
      <c r="O573" s="8">
        <v>45212</v>
      </c>
      <c r="P573" s="8">
        <v>45213</v>
      </c>
      <c r="Q573" s="8">
        <v>45215</v>
      </c>
      <c r="R573" s="8">
        <v>45219</v>
      </c>
      <c r="S573" s="8">
        <v>45226</v>
      </c>
      <c r="T573" s="8">
        <v>45792</v>
      </c>
      <c r="U573" s="8">
        <v>45818</v>
      </c>
      <c r="V573" s="10">
        <f>COUNTA(O573:U573)</f>
        <v>7</v>
      </c>
      <c r="W573" s="11">
        <f>_xlfn.IFNA(INDEX(reading[[#This Row],[Memo 01]:[Memo 07]],MATCH(0,reading[[#This Row],[Memo 01]:[Memo 07]],-1)),"")</f>
        <v>45818</v>
      </c>
      <c r="X573" s="11">
        <f ca="1">IFERROR(reading[[#This Row],[Previous]]+OFFSET(reading[[#Headers],[Memo 01]],-1,MATCH(0,reading[[#This Row],[Memo 01]:[Memo 07]],-1)-1),"")</f>
        <v>55818</v>
      </c>
      <c r="Y573" s="10" t="str">
        <f ca="1">IF(reading[[#This Row],[Next]]&lt;&gt;"",IF(reading[[#This Row],[Next]]&gt;TODAY(),"OK",""),"")</f>
        <v>OK</v>
      </c>
      <c r="Z573" s="13">
        <v>3</v>
      </c>
      <c r="AA573" s="13">
        <v>3</v>
      </c>
      <c r="AB573" s="13">
        <v>3</v>
      </c>
      <c r="AC573" s="13">
        <v>3</v>
      </c>
      <c r="AD573" s="13">
        <v>2</v>
      </c>
      <c r="AE573" s="13">
        <v>3</v>
      </c>
      <c r="AF573" s="13">
        <v>3</v>
      </c>
      <c r="AG573" s="16">
        <f>IFERROR(SUMIF(reading[[#This Row],[1st]:[7th]],"&gt;0")/COUNTIF(reading[[#This Row],[1st]:[7th]],"&gt;0"),"")</f>
        <v>2.8571428571428572</v>
      </c>
    </row>
    <row r="574" spans="1:33" hidden="1" x14ac:dyDescent="0.2">
      <c r="A574" s="4">
        <f>IF(B574=1,3,IF(D574=1,2,IF(F574=1,1,0)))</f>
        <v>0</v>
      </c>
      <c r="B574" s="4" t="str">
        <f>IF(C574=$L574,1,IF(C574="","",0))</f>
        <v/>
      </c>
      <c r="C574" s="42"/>
      <c r="D574" s="4" t="str">
        <f>IF(E574=$L574,1,IF(E574="","",0))</f>
        <v/>
      </c>
      <c r="E574" s="14"/>
      <c r="F574" s="4" t="str">
        <f>IF(G574=$L574,1,IF(G574="","",0))</f>
        <v/>
      </c>
      <c r="G574" s="14"/>
      <c r="H574" s="6">
        <v>2116</v>
      </c>
      <c r="I574" s="15" t="s">
        <v>3120</v>
      </c>
      <c r="J574" s="6" t="s">
        <v>5204</v>
      </c>
      <c r="K574" s="15" t="s">
        <v>3139</v>
      </c>
      <c r="L574" s="6" t="s">
        <v>2184</v>
      </c>
      <c r="M574" s="6" t="s">
        <v>8222</v>
      </c>
      <c r="N574" s="7">
        <f ca="1">RAND()</f>
        <v>0.21516950855386063</v>
      </c>
      <c r="O574" s="8">
        <v>45214</v>
      </c>
      <c r="P574" s="8">
        <v>45215</v>
      </c>
      <c r="Q574" s="8">
        <v>45217</v>
      </c>
      <c r="R574" s="8">
        <v>45221</v>
      </c>
      <c r="S574" s="8">
        <v>45228</v>
      </c>
      <c r="T574" s="8">
        <v>45818</v>
      </c>
      <c r="U574" s="8"/>
      <c r="V574" s="10">
        <f>COUNTA(O574:U574)</f>
        <v>6</v>
      </c>
      <c r="W574" s="11">
        <f>_xlfn.IFNA(INDEX(reading[[#This Row],[Memo 01]:[Memo 07]],MATCH(0,reading[[#This Row],[Memo 01]:[Memo 07]],-1)),"")</f>
        <v>45818</v>
      </c>
      <c r="X574" s="11">
        <f ca="1">IFERROR(reading[[#This Row],[Previous]]+OFFSET(reading[[#Headers],[Memo 01]],-1,MATCH(0,reading[[#This Row],[Memo 01]:[Memo 07]],-1)-1),"")</f>
        <v>45838</v>
      </c>
      <c r="Y574" s="10" t="str">
        <f ca="1">IF(reading[[#This Row],[Next]]&lt;&gt;"",IF(reading[[#This Row],[Next]]&gt;TODAY(),"OK",""),"")</f>
        <v>OK</v>
      </c>
      <c r="Z574" s="13">
        <v>3</v>
      </c>
      <c r="AA574" s="13">
        <v>3</v>
      </c>
      <c r="AB574" s="13">
        <v>3</v>
      </c>
      <c r="AC574" s="13">
        <v>3</v>
      </c>
      <c r="AD574" s="13">
        <v>3</v>
      </c>
      <c r="AE574" s="13">
        <v>3</v>
      </c>
      <c r="AF574" s="13"/>
      <c r="AG574" s="16">
        <f>IFERROR(SUMIF(reading[[#This Row],[1st]:[7th]],"&gt;0")/COUNTIF(reading[[#This Row],[1st]:[7th]],"&gt;0"),"")</f>
        <v>3</v>
      </c>
    </row>
    <row r="575" spans="1:33" hidden="1" x14ac:dyDescent="0.2">
      <c r="A575" s="4">
        <f>IF(B575=1,3,IF(D575=1,2,IF(F575=1,1,0)))</f>
        <v>0</v>
      </c>
      <c r="B575" s="4" t="str">
        <f>IF(C575=$L575,1,IF(C575="","",0))</f>
        <v/>
      </c>
      <c r="C575" s="42"/>
      <c r="D575" s="4" t="str">
        <f>IF(E575=$L575,1,IF(E575="","",0))</f>
        <v/>
      </c>
      <c r="E575" s="23"/>
      <c r="F575" s="4" t="str">
        <f>IF(G575=$L575,1,IF(G575="","",0))</f>
        <v/>
      </c>
      <c r="G575" s="23"/>
      <c r="H575" s="6">
        <v>2505</v>
      </c>
      <c r="I575" s="15" t="s">
        <v>3120</v>
      </c>
      <c r="J575" s="6" t="s">
        <v>5571</v>
      </c>
      <c r="K575" s="6"/>
      <c r="L575" s="6" t="s">
        <v>2551</v>
      </c>
      <c r="M575" s="6" t="s">
        <v>8610</v>
      </c>
      <c r="N575" s="7">
        <f ca="1">RAND()</f>
        <v>0.86034620826435437</v>
      </c>
      <c r="O575" s="8">
        <v>45219</v>
      </c>
      <c r="P575" s="8">
        <v>45220</v>
      </c>
      <c r="Q575" s="8">
        <v>45222</v>
      </c>
      <c r="R575" s="8">
        <v>45226</v>
      </c>
      <c r="S575" s="8">
        <v>45233</v>
      </c>
      <c r="T575" s="8">
        <v>45811</v>
      </c>
      <c r="U575" s="8"/>
      <c r="V575" s="10">
        <f>COUNTA(O575:U575)</f>
        <v>6</v>
      </c>
      <c r="W575" s="11">
        <f>_xlfn.IFNA(INDEX(reading[[#This Row],[Memo 01]:[Memo 07]],MATCH(0,reading[[#This Row],[Memo 01]:[Memo 07]],-1)),"")</f>
        <v>45811</v>
      </c>
      <c r="X575" s="11">
        <f ca="1">IFERROR(reading[[#This Row],[Previous]]+OFFSET(reading[[#Headers],[Memo 01]],-1,MATCH(0,reading[[#This Row],[Memo 01]:[Memo 07]],-1)-1),"")</f>
        <v>45831</v>
      </c>
      <c r="Y575" s="10" t="str">
        <f ca="1">IF(reading[[#This Row],[Next]]&lt;&gt;"",IF(reading[[#This Row],[Next]]&gt;TODAY(),"OK",""),"")</f>
        <v/>
      </c>
      <c r="Z575" s="13">
        <v>3</v>
      </c>
      <c r="AA575" s="13">
        <v>3</v>
      </c>
      <c r="AB575" s="13">
        <v>3</v>
      </c>
      <c r="AC575" s="13">
        <v>3</v>
      </c>
      <c r="AD575" s="13">
        <v>3</v>
      </c>
      <c r="AE575" s="13">
        <v>1</v>
      </c>
      <c r="AF575" s="13"/>
      <c r="AG575" s="16">
        <f>IFERROR(SUMIF(reading[[#This Row],[1st]:[7th]],"&gt;0")/COUNTIF(reading[[#This Row],[1st]:[7th]],"&gt;0"),"")</f>
        <v>2.6666666666666665</v>
      </c>
    </row>
    <row r="576" spans="1:33" hidden="1" x14ac:dyDescent="0.2">
      <c r="A576" s="4">
        <f>IF(B576=1,3,IF(D576=1,2,IF(F576=1,1,0)))</f>
        <v>0</v>
      </c>
      <c r="B576" s="4" t="str">
        <f>IF(C576=$L576,1,IF(C576="","",0))</f>
        <v/>
      </c>
      <c r="C576" s="42"/>
      <c r="D576" s="4" t="str">
        <f>IF(E576=$L576,1,IF(E576="","",0))</f>
        <v/>
      </c>
      <c r="E576" s="14"/>
      <c r="F576" s="4" t="str">
        <f>IF(G576=$L576,1,IF(G576="","",0))</f>
        <v/>
      </c>
      <c r="G576" s="14"/>
      <c r="H576" s="6">
        <v>1428</v>
      </c>
      <c r="I576" s="15" t="s">
        <v>3120</v>
      </c>
      <c r="J576" s="6" t="s">
        <v>4542</v>
      </c>
      <c r="K576" s="6"/>
      <c r="L576" s="6" t="s">
        <v>1519</v>
      </c>
      <c r="M576" s="6" t="s">
        <v>7535</v>
      </c>
      <c r="N576" s="7">
        <f ca="1">RAND()</f>
        <v>0.33299883721402923</v>
      </c>
      <c r="O576" s="8">
        <v>45208</v>
      </c>
      <c r="P576" s="8">
        <v>45209</v>
      </c>
      <c r="Q576" s="8">
        <v>45211</v>
      </c>
      <c r="R576" s="8">
        <v>45215</v>
      </c>
      <c r="S576" s="8">
        <v>45222</v>
      </c>
      <c r="T576" s="8">
        <v>45234</v>
      </c>
      <c r="U576" s="8">
        <v>45819</v>
      </c>
      <c r="V576" s="10">
        <f>COUNTA(O576:U576)</f>
        <v>7</v>
      </c>
      <c r="W576" s="11">
        <f>_xlfn.IFNA(INDEX(reading[[#This Row],[Memo 01]:[Memo 07]],MATCH(0,reading[[#This Row],[Memo 01]:[Memo 07]],-1)),"")</f>
        <v>45819</v>
      </c>
      <c r="X576" s="11">
        <f ca="1">IFERROR(reading[[#This Row],[Previous]]+OFFSET(reading[[#Headers],[Memo 01]],-1,MATCH(0,reading[[#This Row],[Memo 01]:[Memo 07]],-1)-1),"")</f>
        <v>55819</v>
      </c>
      <c r="Y576" s="10" t="str">
        <f ca="1">IF(reading[[#This Row],[Next]]&lt;&gt;"",IF(reading[[#This Row],[Next]]&gt;TODAY(),"OK",""),"")</f>
        <v>OK</v>
      </c>
      <c r="Z576" s="13">
        <v>3</v>
      </c>
      <c r="AA576" s="13">
        <v>3</v>
      </c>
      <c r="AB576" s="13">
        <v>3</v>
      </c>
      <c r="AC576" s="13">
        <v>3</v>
      </c>
      <c r="AD576" s="13">
        <v>3</v>
      </c>
      <c r="AE576" s="13">
        <v>3</v>
      </c>
      <c r="AF576" s="13">
        <v>3</v>
      </c>
      <c r="AG576" s="16">
        <f>IFERROR(SUMIF(reading[[#This Row],[1st]:[7th]],"&gt;0")/COUNTIF(reading[[#This Row],[1st]:[7th]],"&gt;0"),"")</f>
        <v>3</v>
      </c>
    </row>
    <row r="577" spans="1:33" hidden="1" x14ac:dyDescent="0.2">
      <c r="A577" s="4">
        <f>IF(B577=1,3,IF(D577=1,2,IF(F577=1,1,0)))</f>
        <v>0</v>
      </c>
      <c r="B577" s="4" t="str">
        <f>IF(C577=$L577,1,IF(C577="","",0))</f>
        <v/>
      </c>
      <c r="C577" s="42"/>
      <c r="D577" s="4" t="str">
        <f>IF(E577=$L577,1,IF(E577="","",0))</f>
        <v/>
      </c>
      <c r="E577" s="14"/>
      <c r="F577" s="4" t="str">
        <f>IF(G577=$L577,1,IF(G577="","",0))</f>
        <v/>
      </c>
      <c r="G577" s="14"/>
      <c r="H577" s="6">
        <v>1052</v>
      </c>
      <c r="I577" s="15" t="s">
        <v>3120</v>
      </c>
      <c r="J577" s="6" t="s">
        <v>4179</v>
      </c>
      <c r="K577" s="6" t="s">
        <v>3139</v>
      </c>
      <c r="L577" s="6" t="s">
        <v>1160</v>
      </c>
      <c r="M577" s="6" t="s">
        <v>7160</v>
      </c>
      <c r="N577" s="7">
        <f ca="1">RAND()</f>
        <v>0.10232889799198519</v>
      </c>
      <c r="O577" s="8">
        <v>45205</v>
      </c>
      <c r="P577" s="8">
        <v>45206</v>
      </c>
      <c r="Q577" s="8">
        <v>45208</v>
      </c>
      <c r="R577" s="8">
        <v>45212</v>
      </c>
      <c r="S577" s="8">
        <v>45219</v>
      </c>
      <c r="T577" s="8">
        <v>45231</v>
      </c>
      <c r="U577" s="8">
        <v>45801</v>
      </c>
      <c r="V577" s="10">
        <f>COUNTA(O577:U577)</f>
        <v>7</v>
      </c>
      <c r="W577" s="11">
        <f>_xlfn.IFNA(INDEX(reading[[#This Row],[Memo 01]:[Memo 07]],MATCH(0,reading[[#This Row],[Memo 01]:[Memo 07]],-1)),"")</f>
        <v>45801</v>
      </c>
      <c r="X577" s="11">
        <f ca="1">IFERROR(reading[[#This Row],[Previous]]+OFFSET(reading[[#Headers],[Memo 01]],-1,MATCH(0,reading[[#This Row],[Memo 01]:[Memo 07]],-1)-1),"")</f>
        <v>55801</v>
      </c>
      <c r="Y577" s="10" t="str">
        <f ca="1">IF(reading[[#This Row],[Next]]&lt;&gt;"",IF(reading[[#This Row],[Next]]&gt;TODAY(),"OK",""),"")</f>
        <v>OK</v>
      </c>
      <c r="Z577" s="13">
        <v>3</v>
      </c>
      <c r="AA577" s="13">
        <v>3</v>
      </c>
      <c r="AB577" s="13">
        <v>3</v>
      </c>
      <c r="AC577" s="13">
        <v>3</v>
      </c>
      <c r="AD577" s="13">
        <v>3</v>
      </c>
      <c r="AE577" s="13">
        <v>3</v>
      </c>
      <c r="AF577" s="13">
        <v>3</v>
      </c>
      <c r="AG577" s="16">
        <f>IFERROR(SUMIF(reading[[#This Row],[1st]:[7th]],"&gt;0")/COUNTIF(reading[[#This Row],[1st]:[7th]],"&gt;0"),"")</f>
        <v>3</v>
      </c>
    </row>
    <row r="578" spans="1:33" hidden="1" x14ac:dyDescent="0.2">
      <c r="A578" s="4">
        <f>IF(B578=1,3,IF(D578=1,2,IF(F578=1,1,0)))</f>
        <v>0</v>
      </c>
      <c r="B578" s="4" t="str">
        <f>IF(C578=$L578,1,IF(C578="","",0))</f>
        <v/>
      </c>
      <c r="C578" s="42"/>
      <c r="D578" s="4" t="str">
        <f>IF(E578=$L578,1,IF(E578="","",0))</f>
        <v/>
      </c>
      <c r="E578" s="14"/>
      <c r="F578" s="4" t="str">
        <f>IF(G578=$L578,1,IF(G578="","",0))</f>
        <v/>
      </c>
      <c r="G578" s="14"/>
      <c r="H578" s="6">
        <v>2107</v>
      </c>
      <c r="I578" s="15" t="s">
        <v>3120</v>
      </c>
      <c r="J578" s="6" t="s">
        <v>5196</v>
      </c>
      <c r="K578" s="15" t="s">
        <v>3138</v>
      </c>
      <c r="L578" s="6" t="s">
        <v>105</v>
      </c>
      <c r="M578" s="6" t="s">
        <v>8213</v>
      </c>
      <c r="N578" s="7">
        <f ca="1">RAND()</f>
        <v>0.32373791317232536</v>
      </c>
      <c r="O578" s="8">
        <v>45214</v>
      </c>
      <c r="P578" s="8">
        <v>45215</v>
      </c>
      <c r="Q578" s="8">
        <v>45217</v>
      </c>
      <c r="R578" s="8">
        <v>45221</v>
      </c>
      <c r="S578" s="8">
        <v>45228</v>
      </c>
      <c r="T578" s="8">
        <v>45792</v>
      </c>
      <c r="U578" s="8">
        <v>45819</v>
      </c>
      <c r="V578" s="10">
        <f>COUNTA(O578:U578)</f>
        <v>7</v>
      </c>
      <c r="W578" s="11">
        <f>_xlfn.IFNA(INDEX(reading[[#This Row],[Memo 01]:[Memo 07]],MATCH(0,reading[[#This Row],[Memo 01]:[Memo 07]],-1)),"")</f>
        <v>45819</v>
      </c>
      <c r="X578" s="11">
        <f ca="1">IFERROR(reading[[#This Row],[Previous]]+OFFSET(reading[[#Headers],[Memo 01]],-1,MATCH(0,reading[[#This Row],[Memo 01]:[Memo 07]],-1)-1),"")</f>
        <v>55819</v>
      </c>
      <c r="Y578" s="10" t="str">
        <f ca="1">IF(reading[[#This Row],[Next]]&lt;&gt;"",IF(reading[[#This Row],[Next]]&gt;TODAY(),"OK",""),"")</f>
        <v>OK</v>
      </c>
      <c r="Z578" s="13">
        <v>3</v>
      </c>
      <c r="AA578" s="13">
        <v>3</v>
      </c>
      <c r="AB578" s="13">
        <v>3</v>
      </c>
      <c r="AC578" s="13">
        <v>3</v>
      </c>
      <c r="AD578" s="13">
        <v>3</v>
      </c>
      <c r="AE578" s="13">
        <v>3</v>
      </c>
      <c r="AF578" s="13">
        <v>3</v>
      </c>
      <c r="AG578" s="16">
        <f>IFERROR(SUMIF(reading[[#This Row],[1st]:[7th]],"&gt;0")/COUNTIF(reading[[#This Row],[1st]:[7th]],"&gt;0"),"")</f>
        <v>3</v>
      </c>
    </row>
    <row r="579" spans="1:33" hidden="1" x14ac:dyDescent="0.2">
      <c r="A579" s="4">
        <f>IF(B579=1,3,IF(D579=1,2,IF(F579=1,1,0)))</f>
        <v>0</v>
      </c>
      <c r="B579" s="4" t="str">
        <f>IF(C579=$L579,1,IF(C579="","",0))</f>
        <v/>
      </c>
      <c r="C579" s="42"/>
      <c r="D579" s="4" t="str">
        <f>IF(E579=$L579,1,IF(E579="","",0))</f>
        <v/>
      </c>
      <c r="E579" s="18"/>
      <c r="F579" s="4" t="str">
        <f>IF(G579=$L579,1,IF(G579="","",0))</f>
        <v/>
      </c>
      <c r="G579" s="14"/>
      <c r="H579" s="6">
        <v>361</v>
      </c>
      <c r="I579" s="15" t="s">
        <v>3120</v>
      </c>
      <c r="J579" s="6" t="s">
        <v>3508</v>
      </c>
      <c r="K579" s="6"/>
      <c r="L579" s="6" t="s">
        <v>494</v>
      </c>
      <c r="M579" s="6" t="s">
        <v>6470</v>
      </c>
      <c r="N579" s="7">
        <f ca="1">RAND()</f>
        <v>0.31830907744983283</v>
      </c>
      <c r="O579" s="8">
        <v>45201</v>
      </c>
      <c r="P579" s="8">
        <v>45202</v>
      </c>
      <c r="Q579" s="8">
        <v>45204</v>
      </c>
      <c r="R579" s="8">
        <v>45208</v>
      </c>
      <c r="S579" s="8">
        <v>45215</v>
      </c>
      <c r="T579" s="8">
        <v>45227</v>
      </c>
      <c r="U579" s="8">
        <v>45818</v>
      </c>
      <c r="V579" s="10">
        <f>COUNTA(O579:U579)</f>
        <v>7</v>
      </c>
      <c r="W579" s="11">
        <f>_xlfn.IFNA(INDEX(reading[[#This Row],[Memo 01]:[Memo 07]],MATCH(0,reading[[#This Row],[Memo 01]:[Memo 07]],-1)),"")</f>
        <v>45818</v>
      </c>
      <c r="X579" s="11">
        <f ca="1">IFERROR(reading[[#This Row],[Previous]]+OFFSET(reading[[#Headers],[Memo 01]],-1,MATCH(0,reading[[#This Row],[Memo 01]:[Memo 07]],-1)-1),"")</f>
        <v>55818</v>
      </c>
      <c r="Y579" s="10" t="str">
        <f ca="1">IF(reading[[#This Row],[Next]]&lt;&gt;"",IF(reading[[#This Row],[Next]]&gt;TODAY(),"OK",""),"")</f>
        <v>OK</v>
      </c>
      <c r="Z579" s="13">
        <v>3</v>
      </c>
      <c r="AA579" s="13">
        <v>3</v>
      </c>
      <c r="AB579" s="13">
        <v>3</v>
      </c>
      <c r="AC579" s="13">
        <v>3</v>
      </c>
      <c r="AD579" s="13">
        <v>2</v>
      </c>
      <c r="AE579" s="13">
        <v>2</v>
      </c>
      <c r="AF579" s="13">
        <v>3</v>
      </c>
      <c r="AG579" s="16">
        <f>IFERROR(SUMIF(reading[[#This Row],[1st]:[7th]],"&gt;0")/COUNTIF(reading[[#This Row],[1st]:[7th]],"&gt;0"),"")</f>
        <v>2.7142857142857144</v>
      </c>
    </row>
    <row r="580" spans="1:33" hidden="1" x14ac:dyDescent="0.2">
      <c r="A580" s="4">
        <f>IF(B580=1,3,IF(D580=1,2,IF(F580=1,1,0)))</f>
        <v>0</v>
      </c>
      <c r="B580" s="4" t="str">
        <f>IF(C580=$L580,1,IF(C580="","",0))</f>
        <v/>
      </c>
      <c r="C580" s="42"/>
      <c r="D580" s="4" t="str">
        <f>IF(E580=$L580,1,IF(E580="","",0))</f>
        <v/>
      </c>
      <c r="E580" s="23"/>
      <c r="F580" s="4" t="str">
        <f>IF(G580=$L580,1,IF(G580="","",0))</f>
        <v/>
      </c>
      <c r="G580" s="14"/>
      <c r="H580" s="6">
        <v>1028</v>
      </c>
      <c r="I580" s="15" t="s">
        <v>3120</v>
      </c>
      <c r="J580" s="6" t="s">
        <v>4155</v>
      </c>
      <c r="K580" s="6"/>
      <c r="L580" s="6" t="s">
        <v>1137</v>
      </c>
      <c r="M580" s="6" t="s">
        <v>7136</v>
      </c>
      <c r="N580" s="7">
        <f ca="1">RAND()</f>
        <v>0.20704687528001231</v>
      </c>
      <c r="O580" s="8">
        <v>45205</v>
      </c>
      <c r="P580" s="8">
        <v>45206</v>
      </c>
      <c r="Q580" s="8">
        <v>45208</v>
      </c>
      <c r="R580" s="8">
        <v>45212</v>
      </c>
      <c r="S580" s="8">
        <v>45219</v>
      </c>
      <c r="T580" s="8">
        <v>45231</v>
      </c>
      <c r="U580" s="8">
        <v>45253</v>
      </c>
      <c r="V580" s="10">
        <f>COUNTA(O580:U580)</f>
        <v>7</v>
      </c>
      <c r="W580" s="11">
        <f>_xlfn.IFNA(INDEX(reading[[#This Row],[Memo 01]:[Memo 07]],MATCH(0,reading[[#This Row],[Memo 01]:[Memo 07]],-1)),"")</f>
        <v>45253</v>
      </c>
      <c r="X580" s="11">
        <f ca="1">IFERROR(reading[[#This Row],[Previous]]+OFFSET(reading[[#Headers],[Memo 01]],-1,MATCH(0,reading[[#This Row],[Memo 01]:[Memo 07]],-1)-1),"")</f>
        <v>55253</v>
      </c>
      <c r="Y580" s="10" t="str">
        <f ca="1">IF(reading[[#This Row],[Next]]&lt;&gt;"",IF(reading[[#This Row],[Next]]&gt;TODAY(),"OK",""),"")</f>
        <v>OK</v>
      </c>
      <c r="Z580" s="13">
        <v>3</v>
      </c>
      <c r="AA580" s="13">
        <v>2</v>
      </c>
      <c r="AB580" s="13">
        <v>3</v>
      </c>
      <c r="AC580" s="13">
        <v>3</v>
      </c>
      <c r="AD580" s="13">
        <v>2</v>
      </c>
      <c r="AE580" s="13">
        <v>3</v>
      </c>
      <c r="AF580" s="13">
        <v>2</v>
      </c>
      <c r="AG580" s="16">
        <f>IFERROR(SUMIF(reading[[#This Row],[1st]:[7th]],"&gt;0")/COUNTIF(reading[[#This Row],[1st]:[7th]],"&gt;0"),"")</f>
        <v>2.5714285714285716</v>
      </c>
    </row>
    <row r="581" spans="1:33" hidden="1" x14ac:dyDescent="0.2">
      <c r="A581" s="4">
        <f>IF(B581=1,3,IF(D581=1,2,IF(F581=1,1,0)))</f>
        <v>0</v>
      </c>
      <c r="B581" s="4" t="str">
        <f>IF(C581=$L581,1,IF(C581="","",0))</f>
        <v/>
      </c>
      <c r="C581" s="42"/>
      <c r="D581" s="4" t="str">
        <f>IF(E581=$L581,1,IF(E581="","",0))</f>
        <v/>
      </c>
      <c r="E581" s="14"/>
      <c r="F581" s="4" t="str">
        <f>IF(G581=$L581,1,IF(G581="","",0))</f>
        <v/>
      </c>
      <c r="G581" s="14"/>
      <c r="H581" s="6">
        <v>1750</v>
      </c>
      <c r="I581" s="15" t="s">
        <v>3120</v>
      </c>
      <c r="J581" s="6" t="s">
        <v>4858</v>
      </c>
      <c r="K581" s="6"/>
      <c r="L581" s="6" t="s">
        <v>1830</v>
      </c>
      <c r="M581" s="6" t="s">
        <v>7856</v>
      </c>
      <c r="N581" s="7">
        <f ca="1">RAND()</f>
        <v>0.78392534058259711</v>
      </c>
      <c r="O581" s="8">
        <v>45211</v>
      </c>
      <c r="P581" s="8">
        <v>45212</v>
      </c>
      <c r="Q581" s="8">
        <v>45214</v>
      </c>
      <c r="R581" s="8">
        <v>45218</v>
      </c>
      <c r="S581" s="8">
        <v>45225</v>
      </c>
      <c r="T581" s="8">
        <v>45237</v>
      </c>
      <c r="U581" s="8">
        <v>45783</v>
      </c>
      <c r="V581" s="10">
        <f>COUNTA(O581:U581)</f>
        <v>7</v>
      </c>
      <c r="W581" s="11">
        <f>_xlfn.IFNA(INDEX(reading[[#This Row],[Memo 01]:[Memo 07]],MATCH(0,reading[[#This Row],[Memo 01]:[Memo 07]],-1)),"")</f>
        <v>45783</v>
      </c>
      <c r="X581" s="11">
        <f ca="1">IFERROR(reading[[#This Row],[Previous]]+OFFSET(reading[[#Headers],[Memo 01]],-1,MATCH(0,reading[[#This Row],[Memo 01]:[Memo 07]],-1)-1),"")</f>
        <v>55783</v>
      </c>
      <c r="Y581" s="10" t="str">
        <f ca="1">IF(reading[[#This Row],[Next]]&lt;&gt;"",IF(reading[[#This Row],[Next]]&gt;TODAY(),"OK",""),"")</f>
        <v>OK</v>
      </c>
      <c r="Z581" s="13">
        <v>3</v>
      </c>
      <c r="AA581" s="13">
        <v>3</v>
      </c>
      <c r="AB581" s="13">
        <v>3</v>
      </c>
      <c r="AC581" s="13">
        <v>3</v>
      </c>
      <c r="AD581" s="13">
        <v>3</v>
      </c>
      <c r="AE581" s="13">
        <v>3</v>
      </c>
      <c r="AF581" s="13">
        <v>3</v>
      </c>
      <c r="AG581" s="16">
        <f>IFERROR(SUMIF(reading[[#This Row],[1st]:[7th]],"&gt;0")/COUNTIF(reading[[#This Row],[1st]:[7th]],"&gt;0"),"")</f>
        <v>3</v>
      </c>
    </row>
    <row r="582" spans="1:33" hidden="1" x14ac:dyDescent="0.2">
      <c r="A582" s="4">
        <f>IF(B582=1,3,IF(D582=1,2,IF(F582=1,1,0)))</f>
        <v>0</v>
      </c>
      <c r="B582" s="4" t="str">
        <f>IF(C582=$L582,1,IF(C582="","",0))</f>
        <v/>
      </c>
      <c r="C582" s="42"/>
      <c r="D582" s="4" t="str">
        <f>IF(E582=$L582,1,IF(E582="","",0))</f>
        <v/>
      </c>
      <c r="E582" s="14"/>
      <c r="F582" s="4" t="str">
        <f>IF(G582=$L582,1,IF(G582="","",0))</f>
        <v/>
      </c>
      <c r="G582" s="14"/>
      <c r="H582" s="6">
        <v>793</v>
      </c>
      <c r="I582" s="15" t="s">
        <v>3120</v>
      </c>
      <c r="J582" s="6" t="s">
        <v>3927</v>
      </c>
      <c r="K582" s="6"/>
      <c r="L582" s="6" t="s">
        <v>912</v>
      </c>
      <c r="M582" s="6" t="s">
        <v>6902</v>
      </c>
      <c r="N582" s="7">
        <f ca="1">RAND()</f>
        <v>3.7184628739663994E-2</v>
      </c>
      <c r="O582" s="8">
        <v>45203</v>
      </c>
      <c r="P582" s="8">
        <v>45204</v>
      </c>
      <c r="Q582" s="8">
        <v>45206</v>
      </c>
      <c r="R582" s="8">
        <v>45210</v>
      </c>
      <c r="S582" s="8">
        <v>45217</v>
      </c>
      <c r="T582" s="8">
        <v>45229</v>
      </c>
      <c r="U582" s="8">
        <v>45783</v>
      </c>
      <c r="V582" s="10">
        <f>COUNTA(O582:U582)</f>
        <v>7</v>
      </c>
      <c r="W582" s="11">
        <f>_xlfn.IFNA(INDEX(reading[[#This Row],[Memo 01]:[Memo 07]],MATCH(0,reading[[#This Row],[Memo 01]:[Memo 07]],-1)),"")</f>
        <v>45783</v>
      </c>
      <c r="X582" s="11">
        <f ca="1">IFERROR(reading[[#This Row],[Previous]]+OFFSET(reading[[#Headers],[Memo 01]],-1,MATCH(0,reading[[#This Row],[Memo 01]:[Memo 07]],-1)-1),"")</f>
        <v>55783</v>
      </c>
      <c r="Y582" s="10" t="str">
        <f ca="1">IF(reading[[#This Row],[Next]]&lt;&gt;"",IF(reading[[#This Row],[Next]]&gt;TODAY(),"OK",""),"")</f>
        <v>OK</v>
      </c>
      <c r="Z582" s="13">
        <v>3</v>
      </c>
      <c r="AA582" s="13">
        <v>3</v>
      </c>
      <c r="AB582" s="13">
        <v>3</v>
      </c>
      <c r="AC582" s="13">
        <v>3</v>
      </c>
      <c r="AD582" s="13">
        <v>3</v>
      </c>
      <c r="AE582" s="13">
        <v>3</v>
      </c>
      <c r="AF582" s="13">
        <v>3</v>
      </c>
      <c r="AG582" s="16">
        <f>IFERROR(SUMIF(reading[[#This Row],[1st]:[7th]],"&gt;0")/COUNTIF(reading[[#This Row],[1st]:[7th]],"&gt;0"),"")</f>
        <v>3</v>
      </c>
    </row>
    <row r="583" spans="1:33" hidden="1" x14ac:dyDescent="0.2">
      <c r="A583" s="4">
        <f>IF(B583=1,3,IF(D583=1,2,IF(F583=1,1,0)))</f>
        <v>0</v>
      </c>
      <c r="B583" s="4" t="str">
        <f>IF(C583=$L583,1,IF(C583="","",0))</f>
        <v/>
      </c>
      <c r="C583" s="42"/>
      <c r="D583" s="4" t="str">
        <f>IF(E583=$L583,1,IF(E583="","",0))</f>
        <v/>
      </c>
      <c r="E583" s="23"/>
      <c r="F583" s="4" t="str">
        <f>IF(G583=$L583,1,IF(G583="","",0))</f>
        <v/>
      </c>
      <c r="G583" s="23"/>
      <c r="H583" s="6">
        <v>1913</v>
      </c>
      <c r="I583" s="15" t="s">
        <v>3120</v>
      </c>
      <c r="J583" s="6" t="s">
        <v>5014</v>
      </c>
      <c r="K583" s="6"/>
      <c r="L583" s="6" t="s">
        <v>1989</v>
      </c>
      <c r="M583" s="6" t="s">
        <v>8019</v>
      </c>
      <c r="N583" s="7">
        <f ca="1">RAND()</f>
        <v>0.85838467600310508</v>
      </c>
      <c r="O583" s="8">
        <v>45213</v>
      </c>
      <c r="P583" s="8">
        <v>45214</v>
      </c>
      <c r="Q583" s="8">
        <v>45216</v>
      </c>
      <c r="R583" s="8">
        <v>45220</v>
      </c>
      <c r="S583" s="8">
        <v>45227</v>
      </c>
      <c r="T583" s="8">
        <v>45811</v>
      </c>
      <c r="U583" s="8"/>
      <c r="V583" s="10">
        <f>COUNTA(O583:U583)</f>
        <v>6</v>
      </c>
      <c r="W583" s="11">
        <f>_xlfn.IFNA(INDEX(reading[[#This Row],[Memo 01]:[Memo 07]],MATCH(0,reading[[#This Row],[Memo 01]:[Memo 07]],-1)),"")</f>
        <v>45811</v>
      </c>
      <c r="X583" s="11">
        <f ca="1">IFERROR(reading[[#This Row],[Previous]]+OFFSET(reading[[#Headers],[Memo 01]],-1,MATCH(0,reading[[#This Row],[Memo 01]:[Memo 07]],-1)-1),"")</f>
        <v>45831</v>
      </c>
      <c r="Y583" s="10" t="str">
        <f ca="1">IF(reading[[#This Row],[Next]]&lt;&gt;"",IF(reading[[#This Row],[Next]]&gt;TODAY(),"OK",""),"")</f>
        <v/>
      </c>
      <c r="Z583" s="13">
        <v>3</v>
      </c>
      <c r="AA583" s="13">
        <v>3</v>
      </c>
      <c r="AB583" s="13">
        <v>3</v>
      </c>
      <c r="AC583" s="13">
        <v>3</v>
      </c>
      <c r="AD583" s="13">
        <v>3</v>
      </c>
      <c r="AE583" s="13">
        <v>1</v>
      </c>
      <c r="AF583" s="13"/>
      <c r="AG583" s="16">
        <f>IFERROR(SUMIF(reading[[#This Row],[1st]:[7th]],"&gt;0")/COUNTIF(reading[[#This Row],[1st]:[7th]],"&gt;0"),"")</f>
        <v>2.6666666666666665</v>
      </c>
    </row>
    <row r="584" spans="1:33" hidden="1" x14ac:dyDescent="0.2">
      <c r="A584" s="4">
        <f>IF(B584=1,3,IF(D584=1,2,IF(F584=1,1,0)))</f>
        <v>0</v>
      </c>
      <c r="B584" s="4" t="str">
        <f>IF(C584=$L584,1,IF(C584="","",0))</f>
        <v/>
      </c>
      <c r="C584" s="42"/>
      <c r="D584" s="4" t="str">
        <f>IF(E584=$L584,1,IF(E584="","",0))</f>
        <v/>
      </c>
      <c r="E584" s="43"/>
      <c r="F584" s="4" t="str">
        <f>IF(G584=$L584,1,IF(G584="","",0))</f>
        <v/>
      </c>
      <c r="G584" s="23"/>
      <c r="H584" s="6">
        <v>1915</v>
      </c>
      <c r="I584" s="15" t="s">
        <v>3120</v>
      </c>
      <c r="J584" s="6" t="s">
        <v>5016</v>
      </c>
      <c r="K584" s="6"/>
      <c r="L584" s="6" t="s">
        <v>1991</v>
      </c>
      <c r="M584" s="6" t="s">
        <v>8021</v>
      </c>
      <c r="N584" s="7">
        <f ca="1">RAND()</f>
        <v>0.86335934952597304</v>
      </c>
      <c r="O584" s="8">
        <v>45213</v>
      </c>
      <c r="P584" s="8">
        <v>45214</v>
      </c>
      <c r="Q584" s="8">
        <v>45216</v>
      </c>
      <c r="R584" s="8">
        <v>45220</v>
      </c>
      <c r="S584" s="8">
        <v>45227</v>
      </c>
      <c r="T584" s="8">
        <v>45811</v>
      </c>
      <c r="U584" s="8"/>
      <c r="V584" s="10">
        <f>COUNTA(O584:U584)</f>
        <v>6</v>
      </c>
      <c r="W584" s="11">
        <f>_xlfn.IFNA(INDEX(reading[[#This Row],[Memo 01]:[Memo 07]],MATCH(0,reading[[#This Row],[Memo 01]:[Memo 07]],-1)),"")</f>
        <v>45811</v>
      </c>
      <c r="X584" s="11">
        <f ca="1">IFERROR(reading[[#This Row],[Previous]]+OFFSET(reading[[#Headers],[Memo 01]],-1,MATCH(0,reading[[#This Row],[Memo 01]:[Memo 07]],-1)-1),"")</f>
        <v>45831</v>
      </c>
      <c r="Y584" s="10" t="str">
        <f ca="1">IF(reading[[#This Row],[Next]]&lt;&gt;"",IF(reading[[#This Row],[Next]]&gt;TODAY(),"OK",""),"")</f>
        <v/>
      </c>
      <c r="Z584" s="13">
        <v>3</v>
      </c>
      <c r="AA584" s="13">
        <v>2</v>
      </c>
      <c r="AB584" s="13">
        <v>3</v>
      </c>
      <c r="AC584" s="13">
        <v>3</v>
      </c>
      <c r="AD584" s="13">
        <v>3</v>
      </c>
      <c r="AE584" s="13">
        <v>1</v>
      </c>
      <c r="AF584" s="13"/>
      <c r="AG584" s="16">
        <f>IFERROR(SUMIF(reading[[#This Row],[1st]:[7th]],"&gt;0")/COUNTIF(reading[[#This Row],[1st]:[7th]],"&gt;0"),"")</f>
        <v>2.5</v>
      </c>
    </row>
    <row r="585" spans="1:33" hidden="1" x14ac:dyDescent="0.2">
      <c r="A585" s="4">
        <f>IF(B585=1,3,IF(D585=1,2,IF(F585=1,1,0)))</f>
        <v>0</v>
      </c>
      <c r="B585" s="4" t="str">
        <f>IF(C585=$L585,1,IF(C585="","",0))</f>
        <v/>
      </c>
      <c r="C585" s="42"/>
      <c r="D585" s="4" t="str">
        <f>IF(E585=$L585,1,IF(E585="","",0))</f>
        <v/>
      </c>
      <c r="E585" s="43"/>
      <c r="F585" s="4" t="str">
        <f>IF(G585=$L585,1,IF(G585="","",0))</f>
        <v/>
      </c>
      <c r="G585" s="14"/>
      <c r="H585" s="6">
        <v>3004</v>
      </c>
      <c r="I585" s="15" t="s">
        <v>3120</v>
      </c>
      <c r="J585" s="6" t="s">
        <v>3177</v>
      </c>
      <c r="K585" s="6"/>
      <c r="L585" s="6" t="s">
        <v>3033</v>
      </c>
      <c r="M585" s="6" t="s">
        <v>9107</v>
      </c>
      <c r="N585" s="7">
        <f ca="1">RAND()</f>
        <v>0.9528190606954553</v>
      </c>
      <c r="O585" s="8">
        <v>45224</v>
      </c>
      <c r="P585" s="8">
        <v>45225</v>
      </c>
      <c r="Q585" s="8">
        <v>45227</v>
      </c>
      <c r="R585" s="8">
        <v>45231</v>
      </c>
      <c r="S585" s="8">
        <v>45252</v>
      </c>
      <c r="T585" s="8">
        <v>45824</v>
      </c>
      <c r="U585" s="8"/>
      <c r="V585" s="10">
        <f>COUNTA(O585:U585)</f>
        <v>6</v>
      </c>
      <c r="W585" s="11">
        <f>_xlfn.IFNA(INDEX(reading[[#This Row],[Memo 01]:[Memo 07]],MATCH(0,reading[[#This Row],[Memo 01]:[Memo 07]],-1)),"")</f>
        <v>45824</v>
      </c>
      <c r="X585" s="11">
        <f ca="1">IFERROR(reading[[#This Row],[Previous]]+OFFSET(reading[[#Headers],[Memo 01]],-1,MATCH(0,reading[[#This Row],[Memo 01]:[Memo 07]],-1)-1),"")</f>
        <v>45844</v>
      </c>
      <c r="Y585" s="10" t="str">
        <f ca="1">IF(reading[[#This Row],[Next]]&lt;&gt;"",IF(reading[[#This Row],[Next]]&gt;TODAY(),"OK",""),"")</f>
        <v>OK</v>
      </c>
      <c r="Z585" s="13">
        <v>3</v>
      </c>
      <c r="AA585" s="13">
        <v>3</v>
      </c>
      <c r="AB585" s="13">
        <v>3</v>
      </c>
      <c r="AC585" s="13">
        <v>3</v>
      </c>
      <c r="AD585" s="13">
        <v>2</v>
      </c>
      <c r="AE585" s="13">
        <v>2</v>
      </c>
      <c r="AF585" s="13"/>
      <c r="AG585" s="16">
        <f>IFERROR(SUMIF(reading[[#This Row],[1st]:[7th]],"&gt;0")/COUNTIF(reading[[#This Row],[1st]:[7th]],"&gt;0"),"")</f>
        <v>2.6666666666666665</v>
      </c>
    </row>
    <row r="586" spans="1:33" hidden="1" x14ac:dyDescent="0.2">
      <c r="A586" s="4">
        <f>IF(B586=1,3,IF(D586=1,2,IF(F586=1,1,0)))</f>
        <v>0</v>
      </c>
      <c r="B586" s="4" t="str">
        <f>IF(C586=$L586,1,IF(C586="","",0))</f>
        <v/>
      </c>
      <c r="C586" s="42"/>
      <c r="D586" s="4" t="str">
        <f>IF(E586=$L586,1,IF(E586="","",0))</f>
        <v/>
      </c>
      <c r="E586" s="14"/>
      <c r="F586" s="4" t="str">
        <f>IF(G586=$L586,1,IF(G586="","",0))</f>
        <v/>
      </c>
      <c r="G586" s="14"/>
      <c r="H586" s="6">
        <v>1903</v>
      </c>
      <c r="I586" s="15" t="s">
        <v>3120</v>
      </c>
      <c r="J586" s="6" t="s">
        <v>5004</v>
      </c>
      <c r="K586" s="6"/>
      <c r="L586" s="6" t="s">
        <v>1979</v>
      </c>
      <c r="M586" s="6" t="s">
        <v>8009</v>
      </c>
      <c r="N586" s="7">
        <f ca="1">RAND()</f>
        <v>0.42507243567880038</v>
      </c>
      <c r="O586" s="8">
        <v>45212</v>
      </c>
      <c r="P586" s="8">
        <v>45213</v>
      </c>
      <c r="Q586" s="8">
        <v>45215</v>
      </c>
      <c r="R586" s="8">
        <v>45219</v>
      </c>
      <c r="S586" s="8">
        <v>45226</v>
      </c>
      <c r="T586" s="8">
        <v>45818</v>
      </c>
      <c r="U586" s="8"/>
      <c r="V586" s="10">
        <f>COUNTA(O586:U586)</f>
        <v>6</v>
      </c>
      <c r="W586" s="11">
        <f>_xlfn.IFNA(INDEX(reading[[#This Row],[Memo 01]:[Memo 07]],MATCH(0,reading[[#This Row],[Memo 01]:[Memo 07]],-1)),"")</f>
        <v>45818</v>
      </c>
      <c r="X586" s="11">
        <f ca="1">IFERROR(reading[[#This Row],[Previous]]+OFFSET(reading[[#Headers],[Memo 01]],-1,MATCH(0,reading[[#This Row],[Memo 01]:[Memo 07]],-1)-1),"")</f>
        <v>45838</v>
      </c>
      <c r="Y586" s="10" t="str">
        <f ca="1">IF(reading[[#This Row],[Next]]&lt;&gt;"",IF(reading[[#This Row],[Next]]&gt;TODAY(),"OK",""),"")</f>
        <v>OK</v>
      </c>
      <c r="Z586" s="13">
        <v>3</v>
      </c>
      <c r="AA586" s="13">
        <v>3</v>
      </c>
      <c r="AB586" s="13">
        <v>3</v>
      </c>
      <c r="AC586" s="13">
        <v>3</v>
      </c>
      <c r="AD586" s="13">
        <v>3</v>
      </c>
      <c r="AE586" s="13">
        <v>3</v>
      </c>
      <c r="AF586" s="13"/>
      <c r="AG586" s="16">
        <f>IFERROR(SUMIF(reading[[#This Row],[1st]:[7th]],"&gt;0")/COUNTIF(reading[[#This Row],[1st]:[7th]],"&gt;0"),"")</f>
        <v>3</v>
      </c>
    </row>
    <row r="587" spans="1:33" hidden="1" x14ac:dyDescent="0.2">
      <c r="A587" s="4">
        <f>IF(B587=1,3,IF(D587=1,2,IF(F587=1,1,0)))</f>
        <v>0</v>
      </c>
      <c r="B587" s="4" t="str">
        <f>IF(C587=$L587,1,IF(C587="","",0))</f>
        <v/>
      </c>
      <c r="C587" s="42"/>
      <c r="D587" s="4" t="str">
        <f>IF(E587=$L587,1,IF(E587="","",0))</f>
        <v/>
      </c>
      <c r="E587" s="18"/>
      <c r="F587" s="4" t="str">
        <f>IF(G587=$L587,1,IF(G587="","",0))</f>
        <v/>
      </c>
      <c r="G587" s="18"/>
      <c r="H587" s="6">
        <v>1922</v>
      </c>
      <c r="I587" s="15" t="s">
        <v>3120</v>
      </c>
      <c r="J587" s="6" t="s">
        <v>5022</v>
      </c>
      <c r="K587" s="6"/>
      <c r="L587" s="6" t="s">
        <v>1998</v>
      </c>
      <c r="M587" s="6" t="s">
        <v>8028</v>
      </c>
      <c r="N587" s="7">
        <f ca="1">RAND()</f>
        <v>0.81359341648175365</v>
      </c>
      <c r="O587" s="8">
        <v>45212</v>
      </c>
      <c r="P587" s="8">
        <v>45213</v>
      </c>
      <c r="Q587" s="8">
        <v>45215</v>
      </c>
      <c r="R587" s="8">
        <v>45219</v>
      </c>
      <c r="S587" s="8">
        <v>45226</v>
      </c>
      <c r="T587" s="8">
        <v>45250</v>
      </c>
      <c r="U587" s="8">
        <v>45801</v>
      </c>
      <c r="V587" s="10">
        <f>COUNTA(O587:U587)</f>
        <v>7</v>
      </c>
      <c r="W587" s="11">
        <f>_xlfn.IFNA(INDEX(reading[[#This Row],[Memo 01]:[Memo 07]],MATCH(0,reading[[#This Row],[Memo 01]:[Memo 07]],-1)),"")</f>
        <v>45801</v>
      </c>
      <c r="X587" s="11">
        <f ca="1">IFERROR(reading[[#This Row],[Previous]]+OFFSET(reading[[#Headers],[Memo 01]],-1,MATCH(0,reading[[#This Row],[Memo 01]:[Memo 07]],-1)-1),"")</f>
        <v>55801</v>
      </c>
      <c r="Y587" s="10" t="str">
        <f ca="1">IF(reading[[#This Row],[Next]]&lt;&gt;"",IF(reading[[#This Row],[Next]]&gt;TODAY(),"OK",""),"")</f>
        <v>OK</v>
      </c>
      <c r="Z587" s="13">
        <v>3</v>
      </c>
      <c r="AA587" s="13">
        <v>1</v>
      </c>
      <c r="AB587" s="13">
        <v>1</v>
      </c>
      <c r="AC587" s="13">
        <v>3</v>
      </c>
      <c r="AD587" s="13">
        <v>3</v>
      </c>
      <c r="AE587" s="13">
        <v>2</v>
      </c>
      <c r="AF587" s="13">
        <v>3</v>
      </c>
      <c r="AG587" s="16">
        <f>IFERROR(SUMIF(reading[[#This Row],[1st]:[7th]],"&gt;0")/COUNTIF(reading[[#This Row],[1st]:[7th]],"&gt;0"),"")</f>
        <v>2.2857142857142856</v>
      </c>
    </row>
    <row r="588" spans="1:33" hidden="1" x14ac:dyDescent="0.2">
      <c r="A588" s="4">
        <f>IF(B588=1,3,IF(D588=1,2,IF(F588=1,1,0)))</f>
        <v>0</v>
      </c>
      <c r="B588" s="4" t="str">
        <f>IF(C588=$L588,1,IF(C588="","",0))</f>
        <v/>
      </c>
      <c r="C588" s="42"/>
      <c r="D588" s="4" t="str">
        <f>IF(E588=$L588,1,IF(E588="","",0))</f>
        <v/>
      </c>
      <c r="E588" s="14"/>
      <c r="F588" s="4" t="str">
        <f>IF(G588=$L588,1,IF(G588="","",0))</f>
        <v/>
      </c>
      <c r="G588" s="14"/>
      <c r="H588" s="6">
        <v>737</v>
      </c>
      <c r="I588" s="15" t="s">
        <v>3120</v>
      </c>
      <c r="J588" s="6" t="s">
        <v>3874</v>
      </c>
      <c r="K588" s="6"/>
      <c r="L588" s="6" t="s">
        <v>857</v>
      </c>
      <c r="M588" s="6" t="s">
        <v>6846</v>
      </c>
      <c r="N588" s="7">
        <f ca="1">RAND()</f>
        <v>0.55364693862929182</v>
      </c>
      <c r="O588" s="8">
        <v>45203</v>
      </c>
      <c r="P588" s="8">
        <v>45204</v>
      </c>
      <c r="Q588" s="8">
        <v>45206</v>
      </c>
      <c r="R588" s="8">
        <v>45210</v>
      </c>
      <c r="S588" s="8">
        <v>45217</v>
      </c>
      <c r="T588" s="8">
        <v>45229</v>
      </c>
      <c r="U588" s="8">
        <v>45792</v>
      </c>
      <c r="V588" s="10">
        <f>COUNTA(O588:U588)</f>
        <v>7</v>
      </c>
      <c r="W588" s="11">
        <f>_xlfn.IFNA(INDEX(reading[[#This Row],[Memo 01]:[Memo 07]],MATCH(0,reading[[#This Row],[Memo 01]:[Memo 07]],-1)),"")</f>
        <v>45792</v>
      </c>
      <c r="X588" s="11">
        <f ca="1">IFERROR(reading[[#This Row],[Previous]]+OFFSET(reading[[#Headers],[Memo 01]],-1,MATCH(0,reading[[#This Row],[Memo 01]:[Memo 07]],-1)-1),"")</f>
        <v>55792</v>
      </c>
      <c r="Y588" s="10" t="str">
        <f ca="1">IF(reading[[#This Row],[Next]]&lt;&gt;"",IF(reading[[#This Row],[Next]]&gt;TODAY(),"OK",""),"")</f>
        <v>OK</v>
      </c>
      <c r="Z588" s="13">
        <v>3</v>
      </c>
      <c r="AA588" s="13">
        <v>3</v>
      </c>
      <c r="AB588" s="13">
        <v>3</v>
      </c>
      <c r="AC588" s="13">
        <v>3</v>
      </c>
      <c r="AD588" s="13">
        <v>3</v>
      </c>
      <c r="AE588" s="13">
        <v>3</v>
      </c>
      <c r="AF588" s="13">
        <v>3</v>
      </c>
      <c r="AG588" s="16">
        <f>IFERROR(SUMIF(reading[[#This Row],[1st]:[7th]],"&gt;0")/COUNTIF(reading[[#This Row],[1st]:[7th]],"&gt;0"),"")</f>
        <v>3</v>
      </c>
    </row>
    <row r="589" spans="1:33" hidden="1" x14ac:dyDescent="0.2">
      <c r="A589" s="4">
        <f>IF(B589=1,3,IF(D589=1,2,IF(F589=1,1,0)))</f>
        <v>0</v>
      </c>
      <c r="B589" s="4" t="str">
        <f>IF(C589=$L589,1,IF(C589="","",0))</f>
        <v/>
      </c>
      <c r="C589" s="42"/>
      <c r="D589" s="4" t="str">
        <f>IF(E589=$L589,1,IF(E589="","",0))</f>
        <v/>
      </c>
      <c r="E589" s="14"/>
      <c r="F589" s="4" t="str">
        <f>IF(G589=$L589,1,IF(G589="","",0))</f>
        <v/>
      </c>
      <c r="G589" s="14"/>
      <c r="H589" s="6">
        <v>983</v>
      </c>
      <c r="I589" s="15" t="s">
        <v>3120</v>
      </c>
      <c r="J589" s="6" t="s">
        <v>4112</v>
      </c>
      <c r="K589" s="6"/>
      <c r="L589" s="6" t="s">
        <v>1093</v>
      </c>
      <c r="M589" s="6" t="s">
        <v>7091</v>
      </c>
      <c r="N589" s="7">
        <f ca="1">RAND()</f>
        <v>0.85287656000949619</v>
      </c>
      <c r="O589" s="8">
        <v>45204</v>
      </c>
      <c r="P589" s="8">
        <v>45205</v>
      </c>
      <c r="Q589" s="8">
        <v>45207</v>
      </c>
      <c r="R589" s="8">
        <v>45211</v>
      </c>
      <c r="S589" s="8">
        <v>45218</v>
      </c>
      <c r="T589" s="8">
        <v>45230</v>
      </c>
      <c r="U589" s="8">
        <v>45792</v>
      </c>
      <c r="V589" s="10">
        <f>COUNTA(O589:U589)</f>
        <v>7</v>
      </c>
      <c r="W589" s="11">
        <f>_xlfn.IFNA(INDEX(reading[[#This Row],[Memo 01]:[Memo 07]],MATCH(0,reading[[#This Row],[Memo 01]:[Memo 07]],-1)),"")</f>
        <v>45792</v>
      </c>
      <c r="X589" s="11">
        <f ca="1">IFERROR(reading[[#This Row],[Previous]]+OFFSET(reading[[#Headers],[Memo 01]],-1,MATCH(0,reading[[#This Row],[Memo 01]:[Memo 07]],-1)-1),"")</f>
        <v>55792</v>
      </c>
      <c r="Y589" s="10" t="str">
        <f ca="1">IF(reading[[#This Row],[Next]]&lt;&gt;"",IF(reading[[#This Row],[Next]]&gt;TODAY(),"OK",""),"")</f>
        <v>OK</v>
      </c>
      <c r="Z589" s="13">
        <v>3</v>
      </c>
      <c r="AA589" s="13">
        <v>3</v>
      </c>
      <c r="AB589" s="13">
        <v>3</v>
      </c>
      <c r="AC589" s="13">
        <v>3</v>
      </c>
      <c r="AD589" s="13">
        <v>3</v>
      </c>
      <c r="AE589" s="13">
        <v>3</v>
      </c>
      <c r="AF589" s="13">
        <v>3</v>
      </c>
      <c r="AG589" s="16">
        <f>IFERROR(SUMIF(reading[[#This Row],[1st]:[7th]],"&gt;0")/COUNTIF(reading[[#This Row],[1st]:[7th]],"&gt;0"),"")</f>
        <v>3</v>
      </c>
    </row>
    <row r="590" spans="1:33" hidden="1" x14ac:dyDescent="0.2">
      <c r="A590" s="4">
        <f>IF(B590=1,3,IF(D590=1,2,IF(F590=1,1,0)))</f>
        <v>0</v>
      </c>
      <c r="B590" s="4" t="str">
        <f>IF(C590=$L590,1,IF(C590="","",0))</f>
        <v/>
      </c>
      <c r="C590" s="42"/>
      <c r="D590" s="4" t="str">
        <f>IF(E590=$L590,1,IF(E590="","",0))</f>
        <v/>
      </c>
      <c r="E590" s="14"/>
      <c r="F590" s="4" t="str">
        <f>IF(G590=$L590,1,IF(G590="","",0))</f>
        <v/>
      </c>
      <c r="G590" s="14"/>
      <c r="H590" s="6">
        <v>1063</v>
      </c>
      <c r="I590" s="15" t="s">
        <v>3120</v>
      </c>
      <c r="J590" s="6" t="s">
        <v>4189</v>
      </c>
      <c r="K590" s="6"/>
      <c r="L590" s="6" t="s">
        <v>1171</v>
      </c>
      <c r="M590" s="6" t="s">
        <v>7171</v>
      </c>
      <c r="N590" s="7">
        <f ca="1">RAND()</f>
        <v>0.2992757858392191</v>
      </c>
      <c r="O590" s="8">
        <v>45205</v>
      </c>
      <c r="P590" s="8">
        <v>45206</v>
      </c>
      <c r="Q590" s="8">
        <v>45208</v>
      </c>
      <c r="R590" s="8">
        <v>45212</v>
      </c>
      <c r="S590" s="8">
        <v>45219</v>
      </c>
      <c r="T590" s="8">
        <v>45231</v>
      </c>
      <c r="U590" s="8">
        <v>45792</v>
      </c>
      <c r="V590" s="10">
        <f>COUNTA(O590:U590)</f>
        <v>7</v>
      </c>
      <c r="W590" s="11">
        <f>_xlfn.IFNA(INDEX(reading[[#This Row],[Memo 01]:[Memo 07]],MATCH(0,reading[[#This Row],[Memo 01]:[Memo 07]],-1)),"")</f>
        <v>45792</v>
      </c>
      <c r="X590" s="11">
        <f ca="1">IFERROR(reading[[#This Row],[Previous]]+OFFSET(reading[[#Headers],[Memo 01]],-1,MATCH(0,reading[[#This Row],[Memo 01]:[Memo 07]],-1)-1),"")</f>
        <v>55792</v>
      </c>
      <c r="Y590" s="10" t="str">
        <f ca="1">IF(reading[[#This Row],[Next]]&lt;&gt;"",IF(reading[[#This Row],[Next]]&gt;TODAY(),"OK",""),"")</f>
        <v>OK</v>
      </c>
      <c r="Z590" s="13">
        <v>3</v>
      </c>
      <c r="AA590" s="13">
        <v>3</v>
      </c>
      <c r="AB590" s="13">
        <v>3</v>
      </c>
      <c r="AC590" s="13">
        <v>3</v>
      </c>
      <c r="AD590" s="13">
        <v>3</v>
      </c>
      <c r="AE590" s="13">
        <v>3</v>
      </c>
      <c r="AF590" s="13">
        <v>3</v>
      </c>
      <c r="AG590" s="16">
        <f>IFERROR(SUMIF(reading[[#This Row],[1st]:[7th]],"&gt;0")/COUNTIF(reading[[#This Row],[1st]:[7th]],"&gt;0"),"")</f>
        <v>3</v>
      </c>
    </row>
    <row r="591" spans="1:33" hidden="1" x14ac:dyDescent="0.2">
      <c r="A591" s="4">
        <f>IF(B591=1,3,IF(D591=1,2,IF(F591=1,1,0)))</f>
        <v>0</v>
      </c>
      <c r="B591" s="4" t="str">
        <f>IF(C591=$L591,1,IF(C591="","",0))</f>
        <v/>
      </c>
      <c r="C591" s="42"/>
      <c r="D591" s="4" t="str">
        <f>IF(E591=$L591,1,IF(E591="","",0))</f>
        <v/>
      </c>
      <c r="E591" s="14"/>
      <c r="F591" s="4" t="str">
        <f>IF(G591=$L591,1,IF(G591="","",0))</f>
        <v/>
      </c>
      <c r="G591" s="14"/>
      <c r="H591" s="6">
        <v>797</v>
      </c>
      <c r="I591" s="15" t="s">
        <v>3120</v>
      </c>
      <c r="J591" s="6" t="s">
        <v>3931</v>
      </c>
      <c r="K591" s="6"/>
      <c r="L591" s="6" t="s">
        <v>914</v>
      </c>
      <c r="M591" s="6" t="s">
        <v>6906</v>
      </c>
      <c r="N591" s="7">
        <f ca="1">RAND()</f>
        <v>0.62742252012383637</v>
      </c>
      <c r="O591" s="8">
        <v>45203</v>
      </c>
      <c r="P591" s="8">
        <v>45204</v>
      </c>
      <c r="Q591" s="8">
        <v>45206</v>
      </c>
      <c r="R591" s="8">
        <v>45210</v>
      </c>
      <c r="S591" s="8">
        <v>45217</v>
      </c>
      <c r="T591" s="8">
        <v>45229</v>
      </c>
      <c r="U591" s="8">
        <v>45792</v>
      </c>
      <c r="V591" s="10">
        <f>COUNTA(O591:U591)</f>
        <v>7</v>
      </c>
      <c r="W591" s="11">
        <f>_xlfn.IFNA(INDEX(reading[[#This Row],[Memo 01]:[Memo 07]],MATCH(0,reading[[#This Row],[Memo 01]:[Memo 07]],-1)),"")</f>
        <v>45792</v>
      </c>
      <c r="X591" s="11">
        <f ca="1">IFERROR(reading[[#This Row],[Previous]]+OFFSET(reading[[#Headers],[Memo 01]],-1,MATCH(0,reading[[#This Row],[Memo 01]:[Memo 07]],-1)-1),"")</f>
        <v>55792</v>
      </c>
      <c r="Y591" s="10" t="str">
        <f ca="1">IF(reading[[#This Row],[Next]]&lt;&gt;"",IF(reading[[#This Row],[Next]]&gt;TODAY(),"OK",""),"")</f>
        <v>OK</v>
      </c>
      <c r="Z591" s="13">
        <v>3</v>
      </c>
      <c r="AA591" s="13">
        <v>3</v>
      </c>
      <c r="AB591" s="13">
        <v>3</v>
      </c>
      <c r="AC591" s="13">
        <v>3</v>
      </c>
      <c r="AD591" s="13">
        <v>3</v>
      </c>
      <c r="AE591" s="13">
        <v>3</v>
      </c>
      <c r="AF591" s="13">
        <v>3</v>
      </c>
      <c r="AG591" s="16">
        <f>IFERROR(SUMIF(reading[[#This Row],[1st]:[7th]],"&gt;0")/COUNTIF(reading[[#This Row],[1st]:[7th]],"&gt;0"),"")</f>
        <v>3</v>
      </c>
    </row>
    <row r="592" spans="1:33" hidden="1" x14ac:dyDescent="0.2">
      <c r="A592" s="4">
        <f>IF(B592=1,3,IF(D592=1,2,IF(F592=1,1,0)))</f>
        <v>0</v>
      </c>
      <c r="B592" s="4" t="str">
        <f>IF(C592=$L592,1,IF(C592="","",0))</f>
        <v/>
      </c>
      <c r="C592" s="42"/>
      <c r="D592" s="4" t="str">
        <f>IF(E592=$L592,1,IF(E592="","",0))</f>
        <v/>
      </c>
      <c r="E592" s="14"/>
      <c r="F592" s="4" t="str">
        <f>IF(G592=$L592,1,IF(G592="","",0))</f>
        <v/>
      </c>
      <c r="G592" s="14"/>
      <c r="H592" s="6">
        <v>877</v>
      </c>
      <c r="I592" s="15" t="s">
        <v>3120</v>
      </c>
      <c r="J592" s="6" t="s">
        <v>4009</v>
      </c>
      <c r="K592" s="6"/>
      <c r="L592" s="6" t="s">
        <v>992</v>
      </c>
      <c r="M592" s="6" t="s">
        <v>6986</v>
      </c>
      <c r="N592" s="7">
        <f ca="1">RAND()</f>
        <v>0.78481579174830285</v>
      </c>
      <c r="O592" s="8">
        <v>45204</v>
      </c>
      <c r="P592" s="8">
        <v>45205</v>
      </c>
      <c r="Q592" s="8">
        <v>45207</v>
      </c>
      <c r="R592" s="8">
        <v>45211</v>
      </c>
      <c r="S592" s="8">
        <v>45218</v>
      </c>
      <c r="T592" s="8">
        <v>45230</v>
      </c>
      <c r="U592" s="8">
        <v>45824</v>
      </c>
      <c r="V592" s="10">
        <f>COUNTA(O592:U592)</f>
        <v>7</v>
      </c>
      <c r="W592" s="11">
        <f>_xlfn.IFNA(INDEX(reading[[#This Row],[Memo 01]:[Memo 07]],MATCH(0,reading[[#This Row],[Memo 01]:[Memo 07]],-1)),"")</f>
        <v>45824</v>
      </c>
      <c r="X592" s="11">
        <f ca="1">IFERROR(reading[[#This Row],[Previous]]+OFFSET(reading[[#Headers],[Memo 01]],-1,MATCH(0,reading[[#This Row],[Memo 01]:[Memo 07]],-1)-1),"")</f>
        <v>55824</v>
      </c>
      <c r="Y592" s="10" t="str">
        <f ca="1">IF(reading[[#This Row],[Next]]&lt;&gt;"",IF(reading[[#This Row],[Next]]&gt;TODAY(),"OK",""),"")</f>
        <v>OK</v>
      </c>
      <c r="Z592" s="13">
        <v>3</v>
      </c>
      <c r="AA592" s="13">
        <v>3</v>
      </c>
      <c r="AB592" s="13">
        <v>3</v>
      </c>
      <c r="AC592" s="13">
        <v>3</v>
      </c>
      <c r="AD592" s="13">
        <v>3</v>
      </c>
      <c r="AE592" s="13">
        <v>3</v>
      </c>
      <c r="AF592" s="13">
        <v>3</v>
      </c>
      <c r="AG592" s="16">
        <f>IFERROR(SUMIF(reading[[#This Row],[1st]:[7th]],"&gt;0")/COUNTIF(reading[[#This Row],[1st]:[7th]],"&gt;0"),"")</f>
        <v>3</v>
      </c>
    </row>
    <row r="593" spans="1:33" hidden="1" x14ac:dyDescent="0.2">
      <c r="A593" s="4">
        <f>IF(B593=1,3,IF(D593=1,2,IF(F593=1,1,0)))</f>
        <v>0</v>
      </c>
      <c r="B593" s="4" t="str">
        <f>IF(C593=$L593,1,IF(C593="","",0))</f>
        <v/>
      </c>
      <c r="C593" s="42"/>
      <c r="D593" s="4" t="str">
        <f>IF(E593=$L593,1,IF(E593="","",0))</f>
        <v/>
      </c>
      <c r="E593" s="18"/>
      <c r="F593" s="4" t="str">
        <f>IF(G593=$L593,1,IF(G593="","",0))</f>
        <v/>
      </c>
      <c r="G593" s="14"/>
      <c r="H593" s="6">
        <v>1411</v>
      </c>
      <c r="I593" s="15" t="s">
        <v>3120</v>
      </c>
      <c r="J593" s="6" t="s">
        <v>4525</v>
      </c>
      <c r="K593" s="6"/>
      <c r="L593" s="6" t="s">
        <v>1502</v>
      </c>
      <c r="M593" s="6" t="s">
        <v>7518</v>
      </c>
      <c r="N593" s="7">
        <f ca="1">RAND()</f>
        <v>0.69728348015481201</v>
      </c>
      <c r="O593" s="8">
        <v>45208</v>
      </c>
      <c r="P593" s="8">
        <v>45209</v>
      </c>
      <c r="Q593" s="8">
        <v>45211</v>
      </c>
      <c r="R593" s="8">
        <v>45215</v>
      </c>
      <c r="S593" s="8">
        <v>45222</v>
      </c>
      <c r="T593" s="8">
        <v>45235</v>
      </c>
      <c r="U593" s="8">
        <v>45801</v>
      </c>
      <c r="V593" s="10">
        <f>COUNTA(O593:U593)</f>
        <v>7</v>
      </c>
      <c r="W593" s="11">
        <f>_xlfn.IFNA(INDEX(reading[[#This Row],[Memo 01]:[Memo 07]],MATCH(0,reading[[#This Row],[Memo 01]:[Memo 07]],-1)),"")</f>
        <v>45801</v>
      </c>
      <c r="X593" s="11">
        <f ca="1">IFERROR(reading[[#This Row],[Previous]]+OFFSET(reading[[#Headers],[Memo 01]],-1,MATCH(0,reading[[#This Row],[Memo 01]:[Memo 07]],-1)-1),"")</f>
        <v>55801</v>
      </c>
      <c r="Y593" s="10" t="str">
        <f ca="1">IF(reading[[#This Row],[Next]]&lt;&gt;"",IF(reading[[#This Row],[Next]]&gt;TODAY(),"OK",""),"")</f>
        <v>OK</v>
      </c>
      <c r="Z593" s="13">
        <v>3</v>
      </c>
      <c r="AA593" s="13">
        <v>3</v>
      </c>
      <c r="AB593" s="13">
        <v>3</v>
      </c>
      <c r="AC593" s="13">
        <v>2</v>
      </c>
      <c r="AD593" s="13">
        <v>3</v>
      </c>
      <c r="AE593" s="13">
        <v>2</v>
      </c>
      <c r="AF593" s="13">
        <v>3</v>
      </c>
      <c r="AG593" s="16">
        <f>IFERROR(SUMIF(reading[[#This Row],[1st]:[7th]],"&gt;0")/COUNTIF(reading[[#This Row],[1st]:[7th]],"&gt;0"),"")</f>
        <v>2.7142857142857144</v>
      </c>
    </row>
    <row r="594" spans="1:33" hidden="1" x14ac:dyDescent="0.2">
      <c r="A594" s="4">
        <f>IF(B594=1,3,IF(D594=1,2,IF(F594=1,1,0)))</f>
        <v>0</v>
      </c>
      <c r="B594" s="4" t="str">
        <f>IF(C594=$L594,1,IF(C594="","",0))</f>
        <v/>
      </c>
      <c r="C594" s="42"/>
      <c r="D594" s="4" t="str">
        <f>IF(E594=$L594,1,IF(E594="","",0))</f>
        <v/>
      </c>
      <c r="E594" s="23"/>
      <c r="F594" s="4" t="str">
        <f>IF(G594=$L594,1,IF(G594="","",0))</f>
        <v/>
      </c>
      <c r="G594" s="14"/>
      <c r="H594" s="6">
        <v>1478</v>
      </c>
      <c r="I594" s="15" t="s">
        <v>3120</v>
      </c>
      <c r="J594" s="6" t="s">
        <v>4592</v>
      </c>
      <c r="K594" s="15" t="s">
        <v>3138</v>
      </c>
      <c r="L594" s="6" t="s">
        <v>1564</v>
      </c>
      <c r="M594" s="6" t="s">
        <v>7585</v>
      </c>
      <c r="N594" s="7">
        <f ca="1">RAND()</f>
        <v>0.91485170414038897</v>
      </c>
      <c r="O594" s="8">
        <v>45208</v>
      </c>
      <c r="P594" s="8">
        <v>45209</v>
      </c>
      <c r="Q594" s="8">
        <v>45211</v>
      </c>
      <c r="R594" s="8">
        <v>45215</v>
      </c>
      <c r="S594" s="8">
        <v>45222</v>
      </c>
      <c r="T594" s="8">
        <v>45234</v>
      </c>
      <c r="U594" s="8">
        <v>45815</v>
      </c>
      <c r="V594" s="10">
        <f>COUNTA(O594:U594)</f>
        <v>7</v>
      </c>
      <c r="W594" s="11">
        <f>_xlfn.IFNA(INDEX(reading[[#This Row],[Memo 01]:[Memo 07]],MATCH(0,reading[[#This Row],[Memo 01]:[Memo 07]],-1)),"")</f>
        <v>45815</v>
      </c>
      <c r="X594" s="11">
        <f ca="1">IFERROR(reading[[#This Row],[Previous]]+OFFSET(reading[[#Headers],[Memo 01]],-1,MATCH(0,reading[[#This Row],[Memo 01]:[Memo 07]],-1)-1),"")</f>
        <v>55815</v>
      </c>
      <c r="Y594" s="10" t="str">
        <f ca="1">IF(reading[[#This Row],[Next]]&lt;&gt;"",IF(reading[[#This Row],[Next]]&gt;TODAY(),"OK",""),"")</f>
        <v>OK</v>
      </c>
      <c r="Z594" s="13">
        <v>3</v>
      </c>
      <c r="AA594" s="13">
        <v>3</v>
      </c>
      <c r="AB594" s="13">
        <v>3</v>
      </c>
      <c r="AC594" s="13">
        <v>3</v>
      </c>
      <c r="AD594" s="13">
        <v>3</v>
      </c>
      <c r="AE594" s="13">
        <v>3</v>
      </c>
      <c r="AF594" s="13">
        <v>2</v>
      </c>
      <c r="AG594" s="16">
        <f>IFERROR(SUMIF(reading[[#This Row],[1st]:[7th]],"&gt;0")/COUNTIF(reading[[#This Row],[1st]:[7th]],"&gt;0"),"")</f>
        <v>2.8571428571428572</v>
      </c>
    </row>
    <row r="595" spans="1:33" hidden="1" x14ac:dyDescent="0.2">
      <c r="A595" s="4">
        <f>IF(B595=1,3,IF(D595=1,2,IF(F595=1,1,0)))</f>
        <v>0</v>
      </c>
      <c r="B595" s="4" t="str">
        <f>IF(C595=$L595,1,IF(C595="","",0))</f>
        <v/>
      </c>
      <c r="C595" s="43"/>
      <c r="D595" s="4" t="str">
        <f>IF(E595=$L595,1,IF(E595="","",0))</f>
        <v/>
      </c>
      <c r="E595" s="14"/>
      <c r="F595" s="4" t="str">
        <f>IF(G595=$L595,1,IF(G595="","",0))</f>
        <v/>
      </c>
      <c r="G595" s="14"/>
      <c r="H595" s="6">
        <v>228</v>
      </c>
      <c r="I595" s="15" t="s">
        <v>3120</v>
      </c>
      <c r="J595" s="6" t="s">
        <v>3377</v>
      </c>
      <c r="K595" s="6"/>
      <c r="L595" s="6" t="s">
        <v>363</v>
      </c>
      <c r="M595" s="6" t="s">
        <v>6337</v>
      </c>
      <c r="N595" s="7">
        <f ca="1">RAND()</f>
        <v>0.77927217420050199</v>
      </c>
      <c r="O595" s="8">
        <v>45199</v>
      </c>
      <c r="P595" s="8">
        <v>45200</v>
      </c>
      <c r="Q595" s="8">
        <v>45202</v>
      </c>
      <c r="R595" s="8">
        <v>45206</v>
      </c>
      <c r="S595" s="8">
        <v>45213</v>
      </c>
      <c r="T595" s="8">
        <v>45225</v>
      </c>
      <c r="U595" s="8">
        <v>45792</v>
      </c>
      <c r="V595" s="10">
        <f>COUNTA(O595:U595)</f>
        <v>7</v>
      </c>
      <c r="W595" s="11">
        <f>_xlfn.IFNA(INDEX(reading[[#This Row],[Memo 01]:[Memo 07]],MATCH(0,reading[[#This Row],[Memo 01]:[Memo 07]],-1)),"")</f>
        <v>45792</v>
      </c>
      <c r="X595" s="11">
        <f ca="1">IFERROR(reading[[#This Row],[Previous]]+OFFSET(reading[[#Headers],[Memo 01]],-1,MATCH(0,reading[[#This Row],[Memo 01]:[Memo 07]],-1)-1),"")</f>
        <v>55792</v>
      </c>
      <c r="Y595" s="10" t="str">
        <f ca="1">IF(reading[[#This Row],[Next]]&lt;&gt;"",IF(reading[[#This Row],[Next]]&gt;TODAY(),"OK",""),"")</f>
        <v>OK</v>
      </c>
      <c r="Z595" s="13">
        <v>3</v>
      </c>
      <c r="AA595" s="13">
        <v>3</v>
      </c>
      <c r="AB595" s="13">
        <v>3</v>
      </c>
      <c r="AC595" s="13">
        <v>3</v>
      </c>
      <c r="AD595" s="13">
        <v>3</v>
      </c>
      <c r="AE595" s="13">
        <v>3</v>
      </c>
      <c r="AF595" s="13">
        <v>3</v>
      </c>
      <c r="AG595" s="16">
        <f>IFERROR(SUMIF(reading[[#This Row],[1st]:[7th]],"&gt;0")/COUNTIF(reading[[#This Row],[1st]:[7th]],"&gt;0"),"")</f>
        <v>3</v>
      </c>
    </row>
    <row r="596" spans="1:33" hidden="1" x14ac:dyDescent="0.2">
      <c r="A596" s="4">
        <f>IF(B596=1,3,IF(D596=1,2,IF(F596=1,1,0)))</f>
        <v>0</v>
      </c>
      <c r="B596" s="4" t="str">
        <f>IF(C596=$L596,1,IF(C596="","",0))</f>
        <v/>
      </c>
      <c r="C596" s="42"/>
      <c r="D596" s="4" t="str">
        <f>IF(E596=$L596,1,IF(E596="","",0))</f>
        <v/>
      </c>
      <c r="E596" s="14"/>
      <c r="F596" s="4" t="str">
        <f>IF(G596=$L596,1,IF(G596="","",0))</f>
        <v/>
      </c>
      <c r="G596" s="14"/>
      <c r="H596" s="6">
        <v>285</v>
      </c>
      <c r="I596" s="15" t="s">
        <v>3120</v>
      </c>
      <c r="J596" s="6" t="s">
        <v>3433</v>
      </c>
      <c r="K596" s="6"/>
      <c r="L596" s="6" t="s">
        <v>420</v>
      </c>
      <c r="M596" s="6" t="s">
        <v>6394</v>
      </c>
      <c r="N596" s="7">
        <f ca="1">RAND()</f>
        <v>0.57668229141072813</v>
      </c>
      <c r="O596" s="8">
        <v>45200</v>
      </c>
      <c r="P596" s="8">
        <v>45201</v>
      </c>
      <c r="Q596" s="8">
        <v>45203</v>
      </c>
      <c r="R596" s="8">
        <v>45207</v>
      </c>
      <c r="S596" s="8">
        <v>45214</v>
      </c>
      <c r="T596" s="8">
        <v>45226</v>
      </c>
      <c r="U596" s="8">
        <v>45792</v>
      </c>
      <c r="V596" s="10">
        <f>COUNTA(O596:U596)</f>
        <v>7</v>
      </c>
      <c r="W596" s="11">
        <f>_xlfn.IFNA(INDEX(reading[[#This Row],[Memo 01]:[Memo 07]],MATCH(0,reading[[#This Row],[Memo 01]:[Memo 07]],-1)),"")</f>
        <v>45792</v>
      </c>
      <c r="X596" s="11">
        <f ca="1">IFERROR(reading[[#This Row],[Previous]]+OFFSET(reading[[#Headers],[Memo 01]],-1,MATCH(0,reading[[#This Row],[Memo 01]:[Memo 07]],-1)-1),"")</f>
        <v>55792</v>
      </c>
      <c r="Y596" s="10" t="str">
        <f ca="1">IF(reading[[#This Row],[Next]]&lt;&gt;"",IF(reading[[#This Row],[Next]]&gt;TODAY(),"OK",""),"")</f>
        <v>OK</v>
      </c>
      <c r="Z596" s="13">
        <v>3</v>
      </c>
      <c r="AA596" s="13">
        <v>3</v>
      </c>
      <c r="AB596" s="13">
        <v>3</v>
      </c>
      <c r="AC596" s="13">
        <v>3</v>
      </c>
      <c r="AD596" s="13">
        <v>3</v>
      </c>
      <c r="AE596" s="13">
        <v>3</v>
      </c>
      <c r="AF596" s="13">
        <v>3</v>
      </c>
      <c r="AG596" s="16">
        <f>IFERROR(SUMIF(reading[[#This Row],[1st]:[7th]],"&gt;0")/COUNTIF(reading[[#This Row],[1st]:[7th]],"&gt;0"),"")</f>
        <v>3</v>
      </c>
    </row>
    <row r="597" spans="1:33" hidden="1" x14ac:dyDescent="0.2">
      <c r="A597" s="4">
        <f>IF(B597=1,3,IF(D597=1,2,IF(F597=1,1,0)))</f>
        <v>0</v>
      </c>
      <c r="B597" s="4" t="str">
        <f>IF(C597=$L597,1,IF(C597="","",0))</f>
        <v/>
      </c>
      <c r="C597" s="42"/>
      <c r="D597" s="4" t="str">
        <f>IF(E597=$L597,1,IF(E597="","",0))</f>
        <v/>
      </c>
      <c r="E597" s="14"/>
      <c r="F597" s="4" t="str">
        <f>IF(G597=$L597,1,IF(G597="","",0))</f>
        <v/>
      </c>
      <c r="G597" s="14"/>
      <c r="H597" s="6">
        <v>1444</v>
      </c>
      <c r="I597" s="15" t="s">
        <v>3120</v>
      </c>
      <c r="J597" s="6" t="s">
        <v>4558</v>
      </c>
      <c r="K597" s="15" t="s">
        <v>3138</v>
      </c>
      <c r="L597" s="6" t="s">
        <v>1534</v>
      </c>
      <c r="M597" s="6" t="s">
        <v>7551</v>
      </c>
      <c r="N597" s="7">
        <f ca="1">RAND()</f>
        <v>0.76510698705972124</v>
      </c>
      <c r="O597" s="8">
        <v>45208</v>
      </c>
      <c r="P597" s="8">
        <v>45209</v>
      </c>
      <c r="Q597" s="8">
        <v>45211</v>
      </c>
      <c r="R597" s="8">
        <v>45215</v>
      </c>
      <c r="S597" s="8">
        <v>45222</v>
      </c>
      <c r="T597" s="8">
        <v>45234</v>
      </c>
      <c r="U597" s="8">
        <v>45792</v>
      </c>
      <c r="V597" s="10">
        <f>COUNTA(O597:U597)</f>
        <v>7</v>
      </c>
      <c r="W597" s="11">
        <f>_xlfn.IFNA(INDEX(reading[[#This Row],[Memo 01]:[Memo 07]],MATCH(0,reading[[#This Row],[Memo 01]:[Memo 07]],-1)),"")</f>
        <v>45792</v>
      </c>
      <c r="X597" s="11">
        <f ca="1">IFERROR(reading[[#This Row],[Previous]]+OFFSET(reading[[#Headers],[Memo 01]],-1,MATCH(0,reading[[#This Row],[Memo 01]:[Memo 07]],-1)-1),"")</f>
        <v>55792</v>
      </c>
      <c r="Y597" s="10" t="str">
        <f ca="1">IF(reading[[#This Row],[Next]]&lt;&gt;"",IF(reading[[#This Row],[Next]]&gt;TODAY(),"OK",""),"")</f>
        <v>OK</v>
      </c>
      <c r="Z597" s="13">
        <v>3</v>
      </c>
      <c r="AA597" s="13">
        <v>3</v>
      </c>
      <c r="AB597" s="13">
        <v>3</v>
      </c>
      <c r="AC597" s="13">
        <v>3</v>
      </c>
      <c r="AD597" s="13">
        <v>3</v>
      </c>
      <c r="AE597" s="13">
        <v>3</v>
      </c>
      <c r="AF597" s="13">
        <v>3</v>
      </c>
      <c r="AG597" s="16">
        <f>IFERROR(SUMIF(reading[[#This Row],[1st]:[7th]],"&gt;0")/COUNTIF(reading[[#This Row],[1st]:[7th]],"&gt;0"),"")</f>
        <v>3</v>
      </c>
    </row>
    <row r="598" spans="1:33" hidden="1" x14ac:dyDescent="0.2">
      <c r="A598" s="4">
        <f>IF(B598=1,3,IF(D598=1,2,IF(F598=1,1,0)))</f>
        <v>0</v>
      </c>
      <c r="B598" s="4" t="str">
        <f>IF(C598=$L598,1,IF(C598="","",0))</f>
        <v/>
      </c>
      <c r="C598" s="42"/>
      <c r="D598" s="4" t="str">
        <f>IF(E598=$L598,1,IF(E598="","",0))</f>
        <v/>
      </c>
      <c r="E598" s="18"/>
      <c r="F598" s="4" t="str">
        <f>IF(G598=$L598,1,IF(G598="","",0))</f>
        <v/>
      </c>
      <c r="G598" s="14"/>
      <c r="H598" s="6">
        <v>952</v>
      </c>
      <c r="I598" s="15" t="s">
        <v>3120</v>
      </c>
      <c r="J598" s="6" t="s">
        <v>4081</v>
      </c>
      <c r="K598" s="6"/>
      <c r="L598" s="6" t="s">
        <v>1062</v>
      </c>
      <c r="M598" s="6" t="s">
        <v>7060</v>
      </c>
      <c r="N598" s="7">
        <f ca="1">RAND()</f>
        <v>0.63028769250865768</v>
      </c>
      <c r="O598" s="8">
        <v>45204</v>
      </c>
      <c r="P598" s="8">
        <v>45205</v>
      </c>
      <c r="Q598" s="8">
        <v>45207</v>
      </c>
      <c r="R598" s="8">
        <v>45211</v>
      </c>
      <c r="S598" s="8">
        <v>45218</v>
      </c>
      <c r="T598" s="8">
        <v>45230</v>
      </c>
      <c r="U598" s="8">
        <v>45253</v>
      </c>
      <c r="V598" s="10">
        <f>COUNTA(O598:U598)</f>
        <v>7</v>
      </c>
      <c r="W598" s="11">
        <f>_xlfn.IFNA(INDEX(reading[[#This Row],[Memo 01]:[Memo 07]],MATCH(0,reading[[#This Row],[Memo 01]:[Memo 07]],-1)),"")</f>
        <v>45253</v>
      </c>
      <c r="X598" s="11">
        <f ca="1">IFERROR(reading[[#This Row],[Previous]]+OFFSET(reading[[#Headers],[Memo 01]],-1,MATCH(0,reading[[#This Row],[Memo 01]:[Memo 07]],-1)-1),"")</f>
        <v>55253</v>
      </c>
      <c r="Y598" s="10" t="str">
        <f ca="1">IF(reading[[#This Row],[Next]]&lt;&gt;"",IF(reading[[#This Row],[Next]]&gt;TODAY(),"OK",""),"")</f>
        <v>OK</v>
      </c>
      <c r="Z598" s="13">
        <v>3</v>
      </c>
      <c r="AA598" s="13">
        <v>2</v>
      </c>
      <c r="AB598" s="13">
        <v>2</v>
      </c>
      <c r="AC598" s="13">
        <v>3</v>
      </c>
      <c r="AD598" s="13">
        <v>3</v>
      </c>
      <c r="AE598" s="13">
        <v>3</v>
      </c>
      <c r="AF598" s="13">
        <v>2</v>
      </c>
      <c r="AG598" s="16">
        <f>IFERROR(SUMIF(reading[[#This Row],[1st]:[7th]],"&gt;0")/COUNTIF(reading[[#This Row],[1st]:[7th]],"&gt;0"),"")</f>
        <v>2.5714285714285716</v>
      </c>
    </row>
    <row r="599" spans="1:33" hidden="1" x14ac:dyDescent="0.2">
      <c r="A599" s="4">
        <f>IF(B599=1,3,IF(D599=1,2,IF(F599=1,1,0)))</f>
        <v>0</v>
      </c>
      <c r="B599" s="4" t="str">
        <f>IF(C599=$L599,1,IF(C599="","",0))</f>
        <v/>
      </c>
      <c r="C599" s="42"/>
      <c r="D599" s="4" t="str">
        <f>IF(E599=$L599,1,IF(E599="","",0))</f>
        <v/>
      </c>
      <c r="E599" s="14"/>
      <c r="F599" s="4" t="str">
        <f>IF(G599=$L599,1,IF(G599="","",0))</f>
        <v/>
      </c>
      <c r="G599" s="14"/>
      <c r="H599" s="6">
        <v>1105</v>
      </c>
      <c r="I599" s="15" t="s">
        <v>3120</v>
      </c>
      <c r="J599" s="6" t="s">
        <v>4228</v>
      </c>
      <c r="K599" s="6"/>
      <c r="L599" s="6" t="s">
        <v>1211</v>
      </c>
      <c r="M599" s="6" t="s">
        <v>7213</v>
      </c>
      <c r="N599" s="7">
        <f ca="1">RAND()</f>
        <v>0.79913099916497665</v>
      </c>
      <c r="O599" s="8">
        <v>45205</v>
      </c>
      <c r="P599" s="8">
        <v>45206</v>
      </c>
      <c r="Q599" s="8">
        <v>45208</v>
      </c>
      <c r="R599" s="8">
        <v>45213</v>
      </c>
      <c r="S599" s="8">
        <v>45220</v>
      </c>
      <c r="T599" s="8">
        <v>45232</v>
      </c>
      <c r="U599" s="8">
        <v>45801</v>
      </c>
      <c r="V599" s="10">
        <f>COUNTA(O599:U599)</f>
        <v>7</v>
      </c>
      <c r="W599" s="11">
        <f>_xlfn.IFNA(INDEX(reading[[#This Row],[Memo 01]:[Memo 07]],MATCH(0,reading[[#This Row],[Memo 01]:[Memo 07]],-1)),"")</f>
        <v>45801</v>
      </c>
      <c r="X599" s="11">
        <f ca="1">IFERROR(reading[[#This Row],[Previous]]+OFFSET(reading[[#Headers],[Memo 01]],-1,MATCH(0,reading[[#This Row],[Memo 01]:[Memo 07]],-1)-1),"")</f>
        <v>55801</v>
      </c>
      <c r="Y599" s="10" t="str">
        <f ca="1">IF(reading[[#This Row],[Next]]&lt;&gt;"",IF(reading[[#This Row],[Next]]&gt;TODAY(),"OK",""),"")</f>
        <v>OK</v>
      </c>
      <c r="Z599" s="13">
        <v>3</v>
      </c>
      <c r="AA599" s="13">
        <v>3</v>
      </c>
      <c r="AB599" s="13">
        <v>3</v>
      </c>
      <c r="AC599" s="13">
        <v>2</v>
      </c>
      <c r="AD599" s="13">
        <v>3</v>
      </c>
      <c r="AE599" s="13">
        <v>3</v>
      </c>
      <c r="AF599" s="13">
        <v>3</v>
      </c>
      <c r="AG599" s="16">
        <f>IFERROR(SUMIF(reading[[#This Row],[1st]:[7th]],"&gt;0")/COUNTIF(reading[[#This Row],[1st]:[7th]],"&gt;0"),"")</f>
        <v>2.8571428571428572</v>
      </c>
    </row>
    <row r="600" spans="1:33" hidden="1" x14ac:dyDescent="0.2">
      <c r="A600" s="4">
        <f>IF(B600=1,3,IF(D600=1,2,IF(F600=1,1,0)))</f>
        <v>0</v>
      </c>
      <c r="B600" s="4" t="str">
        <f>IF(C600=$L600,1,IF(C600="","",0))</f>
        <v/>
      </c>
      <c r="C600" s="42"/>
      <c r="D600" s="4" t="str">
        <f>IF(E600=$L600,1,IF(E600="","",0))</f>
        <v/>
      </c>
      <c r="E600" s="18"/>
      <c r="F600" s="4" t="str">
        <f>IF(G600=$L600,1,IF(G600="","",0))</f>
        <v/>
      </c>
      <c r="G600" s="14"/>
      <c r="H600" s="6">
        <v>1627</v>
      </c>
      <c r="I600" s="15" t="s">
        <v>3120</v>
      </c>
      <c r="J600" s="6" t="s">
        <v>4739</v>
      </c>
      <c r="K600" s="6"/>
      <c r="L600" s="6" t="s">
        <v>1709</v>
      </c>
      <c r="M600" s="6" t="s">
        <v>7733</v>
      </c>
      <c r="N600" s="7">
        <f ca="1">RAND()</f>
        <v>6.4567129698364534E-2</v>
      </c>
      <c r="O600" s="8">
        <v>45210</v>
      </c>
      <c r="P600" s="8">
        <v>45211</v>
      </c>
      <c r="Q600" s="8">
        <v>45213</v>
      </c>
      <c r="R600" s="8">
        <v>45217</v>
      </c>
      <c r="S600" s="8">
        <v>45224</v>
      </c>
      <c r="T600" s="8">
        <v>45236</v>
      </c>
      <c r="U600" s="8">
        <v>45801</v>
      </c>
      <c r="V600" s="10">
        <f>COUNTA(O600:U600)</f>
        <v>7</v>
      </c>
      <c r="W600" s="11">
        <f>_xlfn.IFNA(INDEX(reading[[#This Row],[Memo 01]:[Memo 07]],MATCH(0,reading[[#This Row],[Memo 01]:[Memo 07]],-1)),"")</f>
        <v>45801</v>
      </c>
      <c r="X600" s="11">
        <f ca="1">IFERROR(reading[[#This Row],[Previous]]+OFFSET(reading[[#Headers],[Memo 01]],-1,MATCH(0,reading[[#This Row],[Memo 01]:[Memo 07]],-1)-1),"")</f>
        <v>55801</v>
      </c>
      <c r="Y600" s="10" t="str">
        <f ca="1">IF(reading[[#This Row],[Next]]&lt;&gt;"",IF(reading[[#This Row],[Next]]&gt;TODAY(),"OK",""),"")</f>
        <v>OK</v>
      </c>
      <c r="Z600" s="13">
        <v>3</v>
      </c>
      <c r="AA600" s="13">
        <v>3</v>
      </c>
      <c r="AB600" s="13">
        <v>2</v>
      </c>
      <c r="AC600" s="13">
        <v>3</v>
      </c>
      <c r="AD600" s="13">
        <v>3</v>
      </c>
      <c r="AE600" s="13">
        <v>3</v>
      </c>
      <c r="AF600" s="13">
        <v>3</v>
      </c>
      <c r="AG600" s="16">
        <f>IFERROR(SUMIF(reading[[#This Row],[1st]:[7th]],"&gt;0")/COUNTIF(reading[[#This Row],[1st]:[7th]],"&gt;0"),"")</f>
        <v>2.8571428571428572</v>
      </c>
    </row>
    <row r="601" spans="1:33" hidden="1" x14ac:dyDescent="0.2">
      <c r="A601" s="4">
        <f>IF(B601=1,3,IF(D601=1,2,IF(F601=1,1,0)))</f>
        <v>0</v>
      </c>
      <c r="B601" s="4" t="str">
        <f>IF(C601=$L601,1,IF(C601="","",0))</f>
        <v/>
      </c>
      <c r="C601" s="42"/>
      <c r="D601" s="4" t="str">
        <f>IF(E601=$L601,1,IF(E601="","",0))</f>
        <v/>
      </c>
      <c r="E601" s="18"/>
      <c r="F601" s="4" t="str">
        <f>IF(G601=$L601,1,IF(G601="","",0))</f>
        <v/>
      </c>
      <c r="G601" s="18"/>
      <c r="H601" s="6">
        <v>1699</v>
      </c>
      <c r="I601" s="15" t="s">
        <v>3120</v>
      </c>
      <c r="J601" s="6" t="s">
        <v>4809</v>
      </c>
      <c r="K601" s="6"/>
      <c r="L601" s="6" t="s">
        <v>1779</v>
      </c>
      <c r="M601" s="6" t="s">
        <v>7805</v>
      </c>
      <c r="N601" s="7">
        <f ca="1">RAND()</f>
        <v>0.85341426566969114</v>
      </c>
      <c r="O601" s="8">
        <v>45210</v>
      </c>
      <c r="P601" s="8">
        <v>45211</v>
      </c>
      <c r="Q601" s="8">
        <v>45213</v>
      </c>
      <c r="R601" s="8">
        <v>45217</v>
      </c>
      <c r="S601" s="8">
        <v>45224</v>
      </c>
      <c r="T601" s="8">
        <v>45236</v>
      </c>
      <c r="U601" s="8">
        <v>45824</v>
      </c>
      <c r="V601" s="10">
        <f>COUNTA(O601:U601)</f>
        <v>7</v>
      </c>
      <c r="W601" s="11">
        <f>_xlfn.IFNA(INDEX(reading[[#This Row],[Memo 01]:[Memo 07]],MATCH(0,reading[[#This Row],[Memo 01]:[Memo 07]],-1)),"")</f>
        <v>45824</v>
      </c>
      <c r="X601" s="11">
        <f ca="1">IFERROR(reading[[#This Row],[Previous]]+OFFSET(reading[[#Headers],[Memo 01]],-1,MATCH(0,reading[[#This Row],[Memo 01]:[Memo 07]],-1)-1),"")</f>
        <v>55824</v>
      </c>
      <c r="Y601" s="10" t="str">
        <f ca="1">IF(reading[[#This Row],[Next]]&lt;&gt;"",IF(reading[[#This Row],[Next]]&gt;TODAY(),"OK",""),"")</f>
        <v>OK</v>
      </c>
      <c r="Z601" s="13">
        <v>3</v>
      </c>
      <c r="AA601" s="13">
        <v>3</v>
      </c>
      <c r="AB601" s="13">
        <v>3</v>
      </c>
      <c r="AC601" s="13">
        <v>3</v>
      </c>
      <c r="AD601" s="13">
        <v>1</v>
      </c>
      <c r="AE601" s="13">
        <v>3</v>
      </c>
      <c r="AF601" s="13">
        <v>3</v>
      </c>
      <c r="AG601" s="16">
        <f>IFERROR(SUMIF(reading[[#This Row],[1st]:[7th]],"&gt;0")/COUNTIF(reading[[#This Row],[1st]:[7th]],"&gt;0"),"")</f>
        <v>2.7142857142857144</v>
      </c>
    </row>
    <row r="602" spans="1:33" hidden="1" x14ac:dyDescent="0.2">
      <c r="A602" s="4">
        <f>IF(B602=1,3,IF(D602=1,2,IF(F602=1,1,0)))</f>
        <v>0</v>
      </c>
      <c r="B602" s="4" t="str">
        <f>IF(C602=$L602,1,IF(C602="","",0))</f>
        <v/>
      </c>
      <c r="C602" s="42"/>
      <c r="D602" s="4" t="str">
        <f>IF(E602=$L602,1,IF(E602="","",0))</f>
        <v/>
      </c>
      <c r="E602" s="14"/>
      <c r="F602" s="4" t="str">
        <f>IF(G602=$L602,1,IF(G602="","",0))</f>
        <v/>
      </c>
      <c r="G602" s="14"/>
      <c r="H602" s="6">
        <v>887</v>
      </c>
      <c r="I602" s="15" t="s">
        <v>3120</v>
      </c>
      <c r="J602" s="6" t="s">
        <v>4019</v>
      </c>
      <c r="K602" s="6"/>
      <c r="L602" s="6" t="s">
        <v>1001</v>
      </c>
      <c r="M602" s="6" t="s">
        <v>6996</v>
      </c>
      <c r="N602" s="7">
        <f ca="1">RAND()</f>
        <v>0.84274244481659522</v>
      </c>
      <c r="O602" s="8">
        <v>45204</v>
      </c>
      <c r="P602" s="8">
        <v>45205</v>
      </c>
      <c r="Q602" s="8">
        <v>45207</v>
      </c>
      <c r="R602" s="8">
        <v>45211</v>
      </c>
      <c r="S602" s="8">
        <v>45218</v>
      </c>
      <c r="T602" s="8">
        <v>45230</v>
      </c>
      <c r="U602" s="8">
        <v>45792</v>
      </c>
      <c r="V602" s="10">
        <f>COUNTA(O602:U602)</f>
        <v>7</v>
      </c>
      <c r="W602" s="11">
        <f>_xlfn.IFNA(INDEX(reading[[#This Row],[Memo 01]:[Memo 07]],MATCH(0,reading[[#This Row],[Memo 01]:[Memo 07]],-1)),"")</f>
        <v>45792</v>
      </c>
      <c r="X602" s="11">
        <f ca="1">IFERROR(reading[[#This Row],[Previous]]+OFFSET(reading[[#Headers],[Memo 01]],-1,MATCH(0,reading[[#This Row],[Memo 01]:[Memo 07]],-1)-1),"")</f>
        <v>55792</v>
      </c>
      <c r="Y602" s="10" t="str">
        <f ca="1">IF(reading[[#This Row],[Next]]&lt;&gt;"",IF(reading[[#This Row],[Next]]&gt;TODAY(),"OK",""),"")</f>
        <v>OK</v>
      </c>
      <c r="Z602" s="13">
        <v>3</v>
      </c>
      <c r="AA602" s="13">
        <v>3</v>
      </c>
      <c r="AB602" s="13">
        <v>3</v>
      </c>
      <c r="AC602" s="13">
        <v>3</v>
      </c>
      <c r="AD602" s="13">
        <v>3</v>
      </c>
      <c r="AE602" s="13">
        <v>3</v>
      </c>
      <c r="AF602" s="13">
        <v>3</v>
      </c>
      <c r="AG602" s="16">
        <f>IFERROR(SUMIF(reading[[#This Row],[1st]:[7th]],"&gt;0")/COUNTIF(reading[[#This Row],[1st]:[7th]],"&gt;0"),"")</f>
        <v>3</v>
      </c>
    </row>
    <row r="603" spans="1:33" hidden="1" x14ac:dyDescent="0.2">
      <c r="A603" s="4">
        <f>IF(B603=1,3,IF(D603=1,2,IF(F603=1,1,0)))</f>
        <v>0</v>
      </c>
      <c r="B603" s="4" t="str">
        <f>IF(C603=$L603,1,IF(C603="","",0))</f>
        <v/>
      </c>
      <c r="C603" s="42"/>
      <c r="D603" s="4" t="str">
        <f>IF(E603=$L603,1,IF(E603="","",0))</f>
        <v/>
      </c>
      <c r="E603" s="14"/>
      <c r="F603" s="4" t="str">
        <f>IF(G603=$L603,1,IF(G603="","",0))</f>
        <v/>
      </c>
      <c r="G603" s="14"/>
      <c r="H603" s="6">
        <v>734</v>
      </c>
      <c r="I603" s="15" t="s">
        <v>3120</v>
      </c>
      <c r="J603" s="6" t="s">
        <v>3871</v>
      </c>
      <c r="K603" s="6"/>
      <c r="L603" s="6" t="s">
        <v>854</v>
      </c>
      <c r="M603" s="6" t="s">
        <v>6843</v>
      </c>
      <c r="N603" s="7">
        <f ca="1">RAND()</f>
        <v>0.77535512821246211</v>
      </c>
      <c r="O603" s="8">
        <v>45203</v>
      </c>
      <c r="P603" s="8">
        <v>45204</v>
      </c>
      <c r="Q603" s="8">
        <v>45206</v>
      </c>
      <c r="R603" s="8">
        <v>45210</v>
      </c>
      <c r="S603" s="8">
        <v>45217</v>
      </c>
      <c r="T603" s="8">
        <v>45229</v>
      </c>
      <c r="U603" s="8">
        <v>45792</v>
      </c>
      <c r="V603" s="10">
        <f>COUNTA(O603:U603)</f>
        <v>7</v>
      </c>
      <c r="W603" s="11">
        <f>_xlfn.IFNA(INDEX(reading[[#This Row],[Memo 01]:[Memo 07]],MATCH(0,reading[[#This Row],[Memo 01]:[Memo 07]],-1)),"")</f>
        <v>45792</v>
      </c>
      <c r="X603" s="11">
        <f ca="1">IFERROR(reading[[#This Row],[Previous]]+OFFSET(reading[[#Headers],[Memo 01]],-1,MATCH(0,reading[[#This Row],[Memo 01]:[Memo 07]],-1)-1),"")</f>
        <v>55792</v>
      </c>
      <c r="Y603" s="10" t="str">
        <f ca="1">IF(reading[[#This Row],[Next]]&lt;&gt;"",IF(reading[[#This Row],[Next]]&gt;TODAY(),"OK",""),"")</f>
        <v>OK</v>
      </c>
      <c r="Z603" s="13">
        <v>3</v>
      </c>
      <c r="AA603" s="13">
        <v>3</v>
      </c>
      <c r="AB603" s="13">
        <v>3</v>
      </c>
      <c r="AC603" s="13">
        <v>3</v>
      </c>
      <c r="AD603" s="13">
        <v>3</v>
      </c>
      <c r="AE603" s="13">
        <v>3</v>
      </c>
      <c r="AF603" s="13">
        <v>3</v>
      </c>
      <c r="AG603" s="16">
        <f>IFERROR(SUMIF(reading[[#This Row],[1st]:[7th]],"&gt;0")/COUNTIF(reading[[#This Row],[1st]:[7th]],"&gt;0"),"")</f>
        <v>3</v>
      </c>
    </row>
    <row r="604" spans="1:33" hidden="1" x14ac:dyDescent="0.2">
      <c r="A604" s="4">
        <f>IF(B604=1,3,IF(D604=1,2,IF(F604=1,1,0)))</f>
        <v>0</v>
      </c>
      <c r="B604" s="4" t="str">
        <f>IF(C604=$L604,1,IF(C604="","",0))</f>
        <v/>
      </c>
      <c r="C604" s="42"/>
      <c r="D604" s="4" t="str">
        <f>IF(E604=$L604,1,IF(E604="","",0))</f>
        <v/>
      </c>
      <c r="E604" s="14"/>
      <c r="F604" s="4" t="str">
        <f>IF(G604=$L604,1,IF(G604="","",0))</f>
        <v/>
      </c>
      <c r="G604" s="14"/>
      <c r="H604" s="6">
        <v>1218</v>
      </c>
      <c r="I604" s="15" t="s">
        <v>3120</v>
      </c>
      <c r="J604" s="6" t="s">
        <v>4335</v>
      </c>
      <c r="K604" s="6"/>
      <c r="L604" s="6" t="s">
        <v>1319</v>
      </c>
      <c r="M604" s="6" t="s">
        <v>7325</v>
      </c>
      <c r="N604" s="7">
        <f ca="1">RAND()</f>
        <v>0.47612379832963192</v>
      </c>
      <c r="O604" s="8">
        <v>45206</v>
      </c>
      <c r="P604" s="8">
        <v>45207</v>
      </c>
      <c r="Q604" s="8">
        <v>45209</v>
      </c>
      <c r="R604" s="8">
        <v>45213</v>
      </c>
      <c r="S604" s="8">
        <v>45220</v>
      </c>
      <c r="T604" s="8">
        <v>45232</v>
      </c>
      <c r="U604" s="8">
        <v>45792</v>
      </c>
      <c r="V604" s="10">
        <f>COUNTA(O604:U604)</f>
        <v>7</v>
      </c>
      <c r="W604" s="11">
        <f>_xlfn.IFNA(INDEX(reading[[#This Row],[Memo 01]:[Memo 07]],MATCH(0,reading[[#This Row],[Memo 01]:[Memo 07]],-1)),"")</f>
        <v>45792</v>
      </c>
      <c r="X604" s="11">
        <f ca="1">IFERROR(reading[[#This Row],[Previous]]+OFFSET(reading[[#Headers],[Memo 01]],-1,MATCH(0,reading[[#This Row],[Memo 01]:[Memo 07]],-1)-1),"")</f>
        <v>55792</v>
      </c>
      <c r="Y604" s="10" t="str">
        <f ca="1">IF(reading[[#This Row],[Next]]&lt;&gt;"",IF(reading[[#This Row],[Next]]&gt;TODAY(),"OK",""),"")</f>
        <v>OK</v>
      </c>
      <c r="Z604" s="13">
        <v>3</v>
      </c>
      <c r="AA604" s="13">
        <v>3</v>
      </c>
      <c r="AB604" s="13">
        <v>3</v>
      </c>
      <c r="AC604" s="13">
        <v>3</v>
      </c>
      <c r="AD604" s="13">
        <v>3</v>
      </c>
      <c r="AE604" s="13">
        <v>3</v>
      </c>
      <c r="AF604" s="13">
        <v>3</v>
      </c>
      <c r="AG604" s="16">
        <f>IFERROR(SUMIF(reading[[#This Row],[1st]:[7th]],"&gt;0")/COUNTIF(reading[[#This Row],[1st]:[7th]],"&gt;0"),"")</f>
        <v>3</v>
      </c>
    </row>
    <row r="605" spans="1:33" hidden="1" x14ac:dyDescent="0.2">
      <c r="A605" s="4">
        <f>IF(B605=1,3,IF(D605=1,2,IF(F605=1,1,0)))</f>
        <v>0</v>
      </c>
      <c r="B605" s="4" t="str">
        <f>IF(C605=$L605,1,IF(C605="","",0))</f>
        <v/>
      </c>
      <c r="C605" s="42"/>
      <c r="D605" s="4" t="str">
        <f>IF(E605=$L605,1,IF(E605="","",0))</f>
        <v/>
      </c>
      <c r="E605" s="23"/>
      <c r="F605" s="4" t="str">
        <f>IF(G605=$L605,1,IF(G605="","",0))</f>
        <v/>
      </c>
      <c r="G605" s="23"/>
      <c r="H605" s="6">
        <v>2697</v>
      </c>
      <c r="I605" s="15" t="s">
        <v>3120</v>
      </c>
      <c r="J605" s="6" t="s">
        <v>5747</v>
      </c>
      <c r="K605" s="6"/>
      <c r="L605" s="6" t="s">
        <v>2736</v>
      </c>
      <c r="M605" s="6" t="s">
        <v>8802</v>
      </c>
      <c r="N605" s="7">
        <f ca="1">RAND()</f>
        <v>0.90707209251823595</v>
      </c>
      <c r="O605" s="8">
        <v>45220</v>
      </c>
      <c r="P605" s="8">
        <v>45221</v>
      </c>
      <c r="Q605" s="8">
        <v>45223</v>
      </c>
      <c r="R605" s="8">
        <v>45227</v>
      </c>
      <c r="S605" s="8">
        <v>45234</v>
      </c>
      <c r="T605" s="8">
        <v>45811</v>
      </c>
      <c r="U605" s="8"/>
      <c r="V605" s="10">
        <f>COUNTA(O605:U605)</f>
        <v>6</v>
      </c>
      <c r="W605" s="11">
        <f>_xlfn.IFNA(INDEX(reading[[#This Row],[Memo 01]:[Memo 07]],MATCH(0,reading[[#This Row],[Memo 01]:[Memo 07]],-1)),"")</f>
        <v>45811</v>
      </c>
      <c r="X605" s="11">
        <f ca="1">IFERROR(reading[[#This Row],[Previous]]+OFFSET(reading[[#Headers],[Memo 01]],-1,MATCH(0,reading[[#This Row],[Memo 01]:[Memo 07]],-1)-1),"")</f>
        <v>45831</v>
      </c>
      <c r="Y605" s="10" t="str">
        <f ca="1">IF(reading[[#This Row],[Next]]&lt;&gt;"",IF(reading[[#This Row],[Next]]&gt;TODAY(),"OK",""),"")</f>
        <v/>
      </c>
      <c r="Z605" s="13">
        <v>3</v>
      </c>
      <c r="AA605" s="13">
        <v>3</v>
      </c>
      <c r="AB605" s="13">
        <v>3</v>
      </c>
      <c r="AC605" s="13">
        <v>3</v>
      </c>
      <c r="AD605" s="13">
        <v>3</v>
      </c>
      <c r="AE605" s="13">
        <v>1</v>
      </c>
      <c r="AF605" s="13"/>
      <c r="AG605" s="16">
        <f>IFERROR(SUMIF(reading[[#This Row],[1st]:[7th]],"&gt;0")/COUNTIF(reading[[#This Row],[1st]:[7th]],"&gt;0"),"")</f>
        <v>2.6666666666666665</v>
      </c>
    </row>
    <row r="606" spans="1:33" hidden="1" x14ac:dyDescent="0.2">
      <c r="A606" s="4">
        <f>IF(B606=1,3,IF(D606=1,2,IF(F606=1,1,0)))</f>
        <v>0</v>
      </c>
      <c r="B606" s="4" t="str">
        <f>IF(C606=$L606,1,IF(C606="","",0))</f>
        <v/>
      </c>
      <c r="C606" s="42"/>
      <c r="D606" s="4" t="str">
        <f>IF(E606=$L606,1,IF(E606="","",0))</f>
        <v/>
      </c>
      <c r="E606" s="23"/>
      <c r="F606" s="4" t="str">
        <f>IF(G606=$L606,1,IF(G606="","",0))</f>
        <v/>
      </c>
      <c r="G606" s="23"/>
      <c r="H606" s="6">
        <v>2058</v>
      </c>
      <c r="I606" s="15" t="s">
        <v>3120</v>
      </c>
      <c r="J606" s="6" t="s">
        <v>5153</v>
      </c>
      <c r="K606" s="6"/>
      <c r="L606" s="6" t="s">
        <v>82</v>
      </c>
      <c r="M606" s="6" t="s">
        <v>8164</v>
      </c>
      <c r="N606" s="7">
        <f ca="1">RAND()</f>
        <v>0.62519260754677697</v>
      </c>
      <c r="O606" s="8">
        <v>45214</v>
      </c>
      <c r="P606" s="8">
        <v>45215</v>
      </c>
      <c r="Q606" s="8">
        <v>45217</v>
      </c>
      <c r="R606" s="8">
        <v>45221</v>
      </c>
      <c r="S606" s="8">
        <v>45228</v>
      </c>
      <c r="T606" s="8">
        <v>45811</v>
      </c>
      <c r="U606" s="8"/>
      <c r="V606" s="10">
        <f>COUNTA(O606:U606)</f>
        <v>6</v>
      </c>
      <c r="W606" s="11">
        <f>_xlfn.IFNA(INDEX(reading[[#This Row],[Memo 01]:[Memo 07]],MATCH(0,reading[[#This Row],[Memo 01]:[Memo 07]],-1)),"")</f>
        <v>45811</v>
      </c>
      <c r="X606" s="11">
        <f ca="1">IFERROR(reading[[#This Row],[Previous]]+OFFSET(reading[[#Headers],[Memo 01]],-1,MATCH(0,reading[[#This Row],[Memo 01]:[Memo 07]],-1)-1),"")</f>
        <v>45831</v>
      </c>
      <c r="Y606" s="10" t="str">
        <f ca="1">IF(reading[[#This Row],[Next]]&lt;&gt;"",IF(reading[[#This Row],[Next]]&gt;TODAY(),"OK",""),"")</f>
        <v/>
      </c>
      <c r="Z606" s="13">
        <v>3</v>
      </c>
      <c r="AA606" s="13">
        <v>3</v>
      </c>
      <c r="AB606" s="13">
        <v>3</v>
      </c>
      <c r="AC606" s="13">
        <v>3</v>
      </c>
      <c r="AD606" s="13">
        <v>3</v>
      </c>
      <c r="AE606" s="13">
        <v>1</v>
      </c>
      <c r="AF606" s="13"/>
      <c r="AG606" s="16">
        <f>IFERROR(SUMIF(reading[[#This Row],[1st]:[7th]],"&gt;0")/COUNTIF(reading[[#This Row],[1st]:[7th]],"&gt;0"),"")</f>
        <v>2.6666666666666665</v>
      </c>
    </row>
    <row r="607" spans="1:33" hidden="1" x14ac:dyDescent="0.2">
      <c r="A607" s="4">
        <f>IF(B607=1,3,IF(D607=1,2,IF(F607=1,1,0)))</f>
        <v>0</v>
      </c>
      <c r="B607" s="4" t="str">
        <f>IF(C607=$L607,1,IF(C607="","",0))</f>
        <v/>
      </c>
      <c r="C607" s="42"/>
      <c r="D607" s="4" t="str">
        <f>IF(E607=$L607,1,IF(E607="","",0))</f>
        <v/>
      </c>
      <c r="E607" s="14"/>
      <c r="F607" s="4" t="str">
        <f>IF(G607=$L607,1,IF(G607="","",0))</f>
        <v/>
      </c>
      <c r="G607" s="14"/>
      <c r="H607" s="6">
        <v>2605</v>
      </c>
      <c r="I607" s="15" t="s">
        <v>3120</v>
      </c>
      <c r="J607" s="6" t="s">
        <v>5661</v>
      </c>
      <c r="K607" s="6"/>
      <c r="L607" s="6" t="s">
        <v>2648</v>
      </c>
      <c r="M607" s="6" t="s">
        <v>8710</v>
      </c>
      <c r="N607" s="7">
        <f ca="1">RAND()</f>
        <v>0.82518413187627604</v>
      </c>
      <c r="O607" s="8">
        <v>45220</v>
      </c>
      <c r="P607" s="8">
        <v>45221</v>
      </c>
      <c r="Q607" s="8">
        <v>45223</v>
      </c>
      <c r="R607" s="8">
        <v>45227</v>
      </c>
      <c r="S607" s="8">
        <v>45234</v>
      </c>
      <c r="T607" s="8">
        <v>45818</v>
      </c>
      <c r="U607" s="8"/>
      <c r="V607" s="10">
        <f>COUNTA(O607:U607)</f>
        <v>6</v>
      </c>
      <c r="W607" s="11">
        <f>_xlfn.IFNA(INDEX(reading[[#This Row],[Memo 01]:[Memo 07]],MATCH(0,reading[[#This Row],[Memo 01]:[Memo 07]],-1)),"")</f>
        <v>45818</v>
      </c>
      <c r="X607" s="11">
        <f ca="1">IFERROR(reading[[#This Row],[Previous]]+OFFSET(reading[[#Headers],[Memo 01]],-1,MATCH(0,reading[[#This Row],[Memo 01]:[Memo 07]],-1)-1),"")</f>
        <v>45838</v>
      </c>
      <c r="Y607" s="10" t="str">
        <f ca="1">IF(reading[[#This Row],[Next]]&lt;&gt;"",IF(reading[[#This Row],[Next]]&gt;TODAY(),"OK",""),"")</f>
        <v>OK</v>
      </c>
      <c r="Z607" s="13">
        <v>3</v>
      </c>
      <c r="AA607" s="13">
        <v>3</v>
      </c>
      <c r="AB607" s="13">
        <v>3</v>
      </c>
      <c r="AC607" s="13">
        <v>3</v>
      </c>
      <c r="AD607" s="13">
        <v>3</v>
      </c>
      <c r="AE607" s="13">
        <v>3</v>
      </c>
      <c r="AF607" s="13"/>
      <c r="AG607" s="16">
        <f>IFERROR(SUMIF(reading[[#This Row],[1st]:[7th]],"&gt;0")/COUNTIF(reading[[#This Row],[1st]:[7th]],"&gt;0"),"")</f>
        <v>3</v>
      </c>
    </row>
    <row r="608" spans="1:33" hidden="1" x14ac:dyDescent="0.2">
      <c r="A608" s="4">
        <f>IF(B608=1,3,IF(D608=1,2,IF(F608=1,1,0)))</f>
        <v>0</v>
      </c>
      <c r="B608" s="4" t="str">
        <f>IF(C608=$L608,1,IF(C608="","",0))</f>
        <v/>
      </c>
      <c r="C608" s="42"/>
      <c r="D608" s="4" t="str">
        <f>IF(E608=$L608,1,IF(E608="","",0))</f>
        <v/>
      </c>
      <c r="E608" s="14"/>
      <c r="F608" s="4" t="str">
        <f>IF(G608=$L608,1,IF(G608="","",0))</f>
        <v/>
      </c>
      <c r="G608" s="14"/>
      <c r="H608" s="6">
        <v>672</v>
      </c>
      <c r="I608" s="15" t="s">
        <v>3120</v>
      </c>
      <c r="J608" s="6" t="s">
        <v>3811</v>
      </c>
      <c r="K608" s="6"/>
      <c r="L608" s="6" t="s">
        <v>795</v>
      </c>
      <c r="M608" s="6" t="s">
        <v>6781</v>
      </c>
      <c r="N608" s="7">
        <f ca="1">RAND()</f>
        <v>7.7395954299945724E-2</v>
      </c>
      <c r="O608" s="8">
        <v>45203</v>
      </c>
      <c r="P608" s="8">
        <v>45204</v>
      </c>
      <c r="Q608" s="8">
        <v>45206</v>
      </c>
      <c r="R608" s="8">
        <v>45210</v>
      </c>
      <c r="S608" s="8">
        <v>45217</v>
      </c>
      <c r="T608" s="8">
        <v>45229</v>
      </c>
      <c r="U608" s="8">
        <v>45792</v>
      </c>
      <c r="V608" s="10">
        <f>COUNTA(O608:U608)</f>
        <v>7</v>
      </c>
      <c r="W608" s="11">
        <f>_xlfn.IFNA(INDEX(reading[[#This Row],[Memo 01]:[Memo 07]],MATCH(0,reading[[#This Row],[Memo 01]:[Memo 07]],-1)),"")</f>
        <v>45792</v>
      </c>
      <c r="X608" s="11">
        <f ca="1">IFERROR(reading[[#This Row],[Previous]]+OFFSET(reading[[#Headers],[Memo 01]],-1,MATCH(0,reading[[#This Row],[Memo 01]:[Memo 07]],-1)-1),"")</f>
        <v>55792</v>
      </c>
      <c r="Y608" s="10" t="str">
        <f ca="1">IF(reading[[#This Row],[Next]]&lt;&gt;"",IF(reading[[#This Row],[Next]]&gt;TODAY(),"OK",""),"")</f>
        <v>OK</v>
      </c>
      <c r="Z608" s="13">
        <v>3</v>
      </c>
      <c r="AA608" s="13">
        <v>3</v>
      </c>
      <c r="AB608" s="13">
        <v>3</v>
      </c>
      <c r="AC608" s="13">
        <v>3</v>
      </c>
      <c r="AD608" s="13">
        <v>3</v>
      </c>
      <c r="AE608" s="13">
        <v>3</v>
      </c>
      <c r="AF608" s="13">
        <v>3</v>
      </c>
      <c r="AG608" s="16">
        <f>IFERROR(SUMIF(reading[[#This Row],[1st]:[7th]],"&gt;0")/COUNTIF(reading[[#This Row],[1st]:[7th]],"&gt;0"),"")</f>
        <v>3</v>
      </c>
    </row>
    <row r="609" spans="1:33" hidden="1" x14ac:dyDescent="0.2">
      <c r="A609" s="4">
        <f>IF(B609=1,3,IF(D609=1,2,IF(F609=1,1,0)))</f>
        <v>0</v>
      </c>
      <c r="B609" s="4" t="str">
        <f>IF(C609=$L609,1,IF(C609="","",0))</f>
        <v/>
      </c>
      <c r="C609" s="42"/>
      <c r="D609" s="4" t="str">
        <f>IF(E609=$L609,1,IF(E609="","",0))</f>
        <v/>
      </c>
      <c r="E609" s="23"/>
      <c r="F609" s="4" t="str">
        <f>IF(G609=$L609,1,IF(G609="","",0))</f>
        <v/>
      </c>
      <c r="G609" s="23"/>
      <c r="H609" s="6">
        <v>2388</v>
      </c>
      <c r="I609" s="15" t="s">
        <v>3120</v>
      </c>
      <c r="J609" s="6" t="s">
        <v>5461</v>
      </c>
      <c r="K609" s="6"/>
      <c r="L609" s="6" t="s">
        <v>2439</v>
      </c>
      <c r="M609" s="6" t="s">
        <v>8493</v>
      </c>
      <c r="N609" s="7">
        <f ca="1">RAND()</f>
        <v>0.32234653129297874</v>
      </c>
      <c r="O609" s="8">
        <v>45217</v>
      </c>
      <c r="P609" s="8">
        <v>45218</v>
      </c>
      <c r="Q609" s="8">
        <v>45220</v>
      </c>
      <c r="R609" s="8">
        <v>45224</v>
      </c>
      <c r="S609" s="8">
        <v>45231</v>
      </c>
      <c r="T609" s="8">
        <v>45811</v>
      </c>
      <c r="U609" s="8"/>
      <c r="V609" s="10">
        <f>COUNTA(O609:U609)</f>
        <v>6</v>
      </c>
      <c r="W609" s="11">
        <f>_xlfn.IFNA(INDEX(reading[[#This Row],[Memo 01]:[Memo 07]],MATCH(0,reading[[#This Row],[Memo 01]:[Memo 07]],-1)),"")</f>
        <v>45811</v>
      </c>
      <c r="X609" s="11">
        <f ca="1">IFERROR(reading[[#This Row],[Previous]]+OFFSET(reading[[#Headers],[Memo 01]],-1,MATCH(0,reading[[#This Row],[Memo 01]:[Memo 07]],-1)-1),"")</f>
        <v>45831</v>
      </c>
      <c r="Y609" s="10" t="str">
        <f ca="1">IF(reading[[#This Row],[Next]]&lt;&gt;"",IF(reading[[#This Row],[Next]]&gt;TODAY(),"OK",""),"")</f>
        <v/>
      </c>
      <c r="Z609" s="13">
        <v>3</v>
      </c>
      <c r="AA609" s="13">
        <v>3</v>
      </c>
      <c r="AB609" s="13">
        <v>3</v>
      </c>
      <c r="AC609" s="13">
        <v>3</v>
      </c>
      <c r="AD609" s="13">
        <v>3</v>
      </c>
      <c r="AE609" s="13">
        <v>1</v>
      </c>
      <c r="AF609" s="13"/>
      <c r="AG609" s="16">
        <f>IFERROR(SUMIF(reading[[#This Row],[1st]:[7th]],"&gt;0")/COUNTIF(reading[[#This Row],[1st]:[7th]],"&gt;0"),"")</f>
        <v>2.6666666666666665</v>
      </c>
    </row>
    <row r="610" spans="1:33" hidden="1" x14ac:dyDescent="0.2">
      <c r="A610" s="4">
        <f>IF(B610=1,3,IF(D610=1,2,IF(F610=1,1,0)))</f>
        <v>0</v>
      </c>
      <c r="B610" s="4" t="str">
        <f>IF(C610=$L610,1,IF(C610="","",0))</f>
        <v/>
      </c>
      <c r="C610" s="42"/>
      <c r="D610" s="4" t="str">
        <f>IF(E610=$L610,1,IF(E610="","",0))</f>
        <v/>
      </c>
      <c r="E610" s="23"/>
      <c r="F610" s="4" t="str">
        <f>IF(G610=$L610,1,IF(G610="","",0))</f>
        <v/>
      </c>
      <c r="G610" s="23"/>
      <c r="H610" s="6">
        <v>2777</v>
      </c>
      <c r="I610" s="15" t="s">
        <v>3120</v>
      </c>
      <c r="J610" s="6" t="s">
        <v>5820</v>
      </c>
      <c r="K610" s="6"/>
      <c r="L610" s="6" t="s">
        <v>2815</v>
      </c>
      <c r="M610" s="6" t="s">
        <v>8881</v>
      </c>
      <c r="N610" s="7">
        <f ca="1">RAND()</f>
        <v>0.93724689315273801</v>
      </c>
      <c r="O610" s="8">
        <v>45222</v>
      </c>
      <c r="P610" s="8">
        <v>45223</v>
      </c>
      <c r="Q610" s="8">
        <v>45225</v>
      </c>
      <c r="R610" s="8">
        <v>45229</v>
      </c>
      <c r="S610" s="8">
        <v>45236</v>
      </c>
      <c r="T610" s="8">
        <v>45811</v>
      </c>
      <c r="U610" s="8"/>
      <c r="V610" s="10">
        <f>COUNTA(O610:U610)</f>
        <v>6</v>
      </c>
      <c r="W610" s="11">
        <f>_xlfn.IFNA(INDEX(reading[[#This Row],[Memo 01]:[Memo 07]],MATCH(0,reading[[#This Row],[Memo 01]:[Memo 07]],-1)),"")</f>
        <v>45811</v>
      </c>
      <c r="X610" s="11">
        <f ca="1">IFERROR(reading[[#This Row],[Previous]]+OFFSET(reading[[#Headers],[Memo 01]],-1,MATCH(0,reading[[#This Row],[Memo 01]:[Memo 07]],-1)-1),"")</f>
        <v>45831</v>
      </c>
      <c r="Y610" s="10" t="str">
        <f ca="1">IF(reading[[#This Row],[Next]]&lt;&gt;"",IF(reading[[#This Row],[Next]]&gt;TODAY(),"OK",""),"")</f>
        <v/>
      </c>
      <c r="Z610" s="13">
        <v>3</v>
      </c>
      <c r="AA610" s="13">
        <v>3</v>
      </c>
      <c r="AB610" s="13">
        <v>3</v>
      </c>
      <c r="AC610" s="13">
        <v>3</v>
      </c>
      <c r="AD610" s="13">
        <v>3</v>
      </c>
      <c r="AE610" s="13">
        <v>1</v>
      </c>
      <c r="AF610" s="13"/>
      <c r="AG610" s="16">
        <f>IFERROR(SUMIF(reading[[#This Row],[1st]:[7th]],"&gt;0")/COUNTIF(reading[[#This Row],[1st]:[7th]],"&gt;0"),"")</f>
        <v>2.6666666666666665</v>
      </c>
    </row>
    <row r="611" spans="1:33" hidden="1" x14ac:dyDescent="0.2">
      <c r="A611" s="4">
        <f>IF(B611=1,3,IF(D611=1,2,IF(F611=1,1,0)))</f>
        <v>0</v>
      </c>
      <c r="B611" s="4" t="str">
        <f>IF(C611=$L611,1,IF(C611="","",0))</f>
        <v/>
      </c>
      <c r="C611" s="42"/>
      <c r="D611" s="4" t="str">
        <f>IF(E611=$L611,1,IF(E611="","",0))</f>
        <v/>
      </c>
      <c r="E611" s="43"/>
      <c r="F611" s="4" t="str">
        <f>IF(G611=$L611,1,IF(G611="","",0))</f>
        <v/>
      </c>
      <c r="G611" s="23"/>
      <c r="H611" s="6">
        <v>323</v>
      </c>
      <c r="I611" s="15" t="s">
        <v>3120</v>
      </c>
      <c r="J611" s="6" t="s">
        <v>3470</v>
      </c>
      <c r="K611" s="6"/>
      <c r="L611" s="6" t="s">
        <v>458</v>
      </c>
      <c r="M611" s="6" t="s">
        <v>6432</v>
      </c>
      <c r="N611" s="7">
        <f ca="1">RAND()</f>
        <v>0.42826022326191426</v>
      </c>
      <c r="O611" s="8">
        <v>45200</v>
      </c>
      <c r="P611" s="8">
        <v>45201</v>
      </c>
      <c r="Q611" s="8">
        <v>45203</v>
      </c>
      <c r="R611" s="8">
        <v>45207</v>
      </c>
      <c r="S611" s="8">
        <v>45214</v>
      </c>
      <c r="T611" s="8">
        <v>45226</v>
      </c>
      <c r="U611" s="8">
        <v>45811</v>
      </c>
      <c r="V611" s="10">
        <f>COUNTA(O611:U611)</f>
        <v>7</v>
      </c>
      <c r="W611" s="11">
        <f>_xlfn.IFNA(INDEX(reading[[#This Row],[Memo 01]:[Memo 07]],MATCH(0,reading[[#This Row],[Memo 01]:[Memo 07]],-1)),"")</f>
        <v>45811</v>
      </c>
      <c r="X611" s="11">
        <f ca="1">IFERROR(reading[[#This Row],[Previous]]+OFFSET(reading[[#Headers],[Memo 01]],-1,MATCH(0,reading[[#This Row],[Memo 01]:[Memo 07]],-1)-1),"")</f>
        <v>55811</v>
      </c>
      <c r="Y611" s="10" t="str">
        <f ca="1">IF(reading[[#This Row],[Next]]&lt;&gt;"",IF(reading[[#This Row],[Next]]&gt;TODAY(),"OK",""),"")</f>
        <v>OK</v>
      </c>
      <c r="Z611" s="13">
        <v>3</v>
      </c>
      <c r="AA611" s="13">
        <v>3</v>
      </c>
      <c r="AB611" s="13">
        <v>3</v>
      </c>
      <c r="AC611" s="13">
        <v>3</v>
      </c>
      <c r="AD611" s="13">
        <v>3</v>
      </c>
      <c r="AE611" s="13">
        <v>2</v>
      </c>
      <c r="AF611" s="13">
        <v>1</v>
      </c>
      <c r="AG611" s="16">
        <f>IFERROR(SUMIF(reading[[#This Row],[1st]:[7th]],"&gt;0")/COUNTIF(reading[[#This Row],[1st]:[7th]],"&gt;0"),"")</f>
        <v>2.5714285714285716</v>
      </c>
    </row>
    <row r="612" spans="1:33" hidden="1" x14ac:dyDescent="0.2">
      <c r="A612" s="4">
        <f>IF(B612=1,3,IF(D612=1,2,IF(F612=1,1,0)))</f>
        <v>0</v>
      </c>
      <c r="B612" s="4" t="str">
        <f>IF(C612=$L612,1,IF(C612="","",0))</f>
        <v/>
      </c>
      <c r="C612" s="42"/>
      <c r="D612" s="4" t="str">
        <f>IF(E612=$L612,1,IF(E612="","",0))</f>
        <v/>
      </c>
      <c r="E612" s="18"/>
      <c r="F612" s="4" t="str">
        <f>IF(G612=$L612,1,IF(G612="","",0))</f>
        <v/>
      </c>
      <c r="G612" s="14"/>
      <c r="H612" s="6">
        <v>979</v>
      </c>
      <c r="I612" s="15" t="s">
        <v>3120</v>
      </c>
      <c r="J612" s="6" t="s">
        <v>4108</v>
      </c>
      <c r="K612" s="6"/>
      <c r="L612" s="6" t="s">
        <v>1089</v>
      </c>
      <c r="M612" s="6" t="s">
        <v>7087</v>
      </c>
      <c r="N612" s="7">
        <f ca="1">RAND()</f>
        <v>0.35789514654802645</v>
      </c>
      <c r="O612" s="8">
        <v>45204</v>
      </c>
      <c r="P612" s="8">
        <v>45205</v>
      </c>
      <c r="Q612" s="8">
        <v>45207</v>
      </c>
      <c r="R612" s="8">
        <v>45211</v>
      </c>
      <c r="S612" s="8">
        <v>45218</v>
      </c>
      <c r="T612" s="8">
        <v>45230</v>
      </c>
      <c r="U612" s="8">
        <v>45801</v>
      </c>
      <c r="V612" s="10">
        <f>COUNTA(O612:U612)</f>
        <v>7</v>
      </c>
      <c r="W612" s="11">
        <f>_xlfn.IFNA(INDEX(reading[[#This Row],[Memo 01]:[Memo 07]],MATCH(0,reading[[#This Row],[Memo 01]:[Memo 07]],-1)),"")</f>
        <v>45801</v>
      </c>
      <c r="X612" s="11">
        <f ca="1">IFERROR(reading[[#This Row],[Previous]]+OFFSET(reading[[#Headers],[Memo 01]],-1,MATCH(0,reading[[#This Row],[Memo 01]:[Memo 07]],-1)-1),"")</f>
        <v>55801</v>
      </c>
      <c r="Y612" s="10" t="str">
        <f ca="1">IF(reading[[#This Row],[Next]]&lt;&gt;"",IF(reading[[#This Row],[Next]]&gt;TODAY(),"OK",""),"")</f>
        <v>OK</v>
      </c>
      <c r="Z612" s="13">
        <v>3</v>
      </c>
      <c r="AA612" s="13">
        <v>3</v>
      </c>
      <c r="AB612" s="13">
        <v>2</v>
      </c>
      <c r="AC612" s="13">
        <v>3</v>
      </c>
      <c r="AD612" s="13">
        <v>3</v>
      </c>
      <c r="AE612" s="13">
        <v>3</v>
      </c>
      <c r="AF612" s="13">
        <v>3</v>
      </c>
      <c r="AG612" s="16">
        <f>IFERROR(SUMIF(reading[[#This Row],[1st]:[7th]],"&gt;0")/COUNTIF(reading[[#This Row],[1st]:[7th]],"&gt;0"),"")</f>
        <v>2.8571428571428572</v>
      </c>
    </row>
    <row r="613" spans="1:33" hidden="1" x14ac:dyDescent="0.2">
      <c r="A613" s="4">
        <f>IF(B613=1,3,IF(D613=1,2,IF(F613=1,1,0)))</f>
        <v>0</v>
      </c>
      <c r="B613" s="4" t="str">
        <f>IF(C613=$L613,1,IF(C613="","",0))</f>
        <v/>
      </c>
      <c r="C613" s="18"/>
      <c r="D613" s="4" t="str">
        <f>IF(E613=$L613,1,IF(E613="","",0))</f>
        <v/>
      </c>
      <c r="E613" s="18"/>
      <c r="F613" s="4" t="str">
        <f>IF(G613=$L613,1,IF(G613="","",0))</f>
        <v/>
      </c>
      <c r="G613" s="14"/>
      <c r="H613" s="6">
        <v>204</v>
      </c>
      <c r="I613" s="15" t="s">
        <v>3120</v>
      </c>
      <c r="J613" s="6" t="s">
        <v>3353</v>
      </c>
      <c r="K613" s="6"/>
      <c r="L613" s="6" t="s">
        <v>340</v>
      </c>
      <c r="M613" s="6" t="s">
        <v>6313</v>
      </c>
      <c r="N613" s="7">
        <f ca="1">RAND()</f>
        <v>0.9377633439160642</v>
      </c>
      <c r="O613" s="8">
        <v>45199</v>
      </c>
      <c r="P613" s="8">
        <v>45200</v>
      </c>
      <c r="Q613" s="8">
        <v>45202</v>
      </c>
      <c r="R613" s="8">
        <v>45206</v>
      </c>
      <c r="S613" s="8">
        <v>45213</v>
      </c>
      <c r="T613" s="8">
        <v>45225</v>
      </c>
      <c r="U613" s="8">
        <v>45253</v>
      </c>
      <c r="V613" s="10">
        <f>COUNTA(O613:U613)</f>
        <v>7</v>
      </c>
      <c r="W613" s="11">
        <f>_xlfn.IFNA(INDEX(reading[[#This Row],[Memo 01]:[Memo 07]],MATCH(0,reading[[#This Row],[Memo 01]:[Memo 07]],-1)),"")</f>
        <v>45253</v>
      </c>
      <c r="X613" s="11">
        <f ca="1">IFERROR(reading[[#This Row],[Previous]]+OFFSET(reading[[#Headers],[Memo 01]],-1,MATCH(0,reading[[#This Row],[Memo 01]:[Memo 07]],-1)-1),"")</f>
        <v>55253</v>
      </c>
      <c r="Y613" s="10" t="str">
        <f ca="1">IF(reading[[#This Row],[Next]]&lt;&gt;"",IF(reading[[#This Row],[Next]]&gt;TODAY(),"OK",""),"")</f>
        <v>OK</v>
      </c>
      <c r="Z613" s="13">
        <v>3</v>
      </c>
      <c r="AA613" s="13">
        <v>2</v>
      </c>
      <c r="AB613" s="13">
        <v>3</v>
      </c>
      <c r="AC613" s="13">
        <v>2</v>
      </c>
      <c r="AD613" s="13">
        <v>3</v>
      </c>
      <c r="AE613" s="13">
        <v>3</v>
      </c>
      <c r="AF613" s="13">
        <v>2</v>
      </c>
      <c r="AG613" s="16">
        <f>IFERROR(SUMIF(reading[[#This Row],[1st]:[7th]],"&gt;0")/COUNTIF(reading[[#This Row],[1st]:[7th]],"&gt;0"),"")</f>
        <v>2.5714285714285716</v>
      </c>
    </row>
    <row r="614" spans="1:33" hidden="1" x14ac:dyDescent="0.2">
      <c r="A614" s="4">
        <f>IF(B614=1,3,IF(D614=1,2,IF(F614=1,1,0)))</f>
        <v>0</v>
      </c>
      <c r="B614" s="4" t="str">
        <f>IF(C614=$L614,1,IF(C614="","",0))</f>
        <v/>
      </c>
      <c r="C614" s="42"/>
      <c r="D614" s="4" t="str">
        <f>IF(E614=$L614,1,IF(E614="","",0))</f>
        <v/>
      </c>
      <c r="E614" s="23"/>
      <c r="F614" s="4" t="str">
        <f>IF(G614=$L614,1,IF(G614="","",0))</f>
        <v/>
      </c>
      <c r="G614" s="14"/>
      <c r="H614" s="6">
        <v>1286</v>
      </c>
      <c r="I614" s="15" t="s">
        <v>3120</v>
      </c>
      <c r="J614" s="6" t="s">
        <v>4403</v>
      </c>
      <c r="K614" s="24" t="s">
        <v>3136</v>
      </c>
      <c r="L614" s="6" t="s">
        <v>1384</v>
      </c>
      <c r="M614" s="6" t="s">
        <v>7393</v>
      </c>
      <c r="N614" s="7">
        <f ca="1">RAND()</f>
        <v>0.29138480456746518</v>
      </c>
      <c r="O614" s="8">
        <v>45207</v>
      </c>
      <c r="P614" s="8">
        <v>45208</v>
      </c>
      <c r="Q614" s="8">
        <v>45210</v>
      </c>
      <c r="R614" s="8">
        <v>45214</v>
      </c>
      <c r="S614" s="8">
        <v>45221</v>
      </c>
      <c r="T614" s="8">
        <v>45233</v>
      </c>
      <c r="U614" s="8">
        <v>45811</v>
      </c>
      <c r="V614" s="10">
        <f>COUNTA(O614:U614)</f>
        <v>7</v>
      </c>
      <c r="W614" s="11">
        <f>_xlfn.IFNA(INDEX(reading[[#This Row],[Memo 01]:[Memo 07]],MATCH(0,reading[[#This Row],[Memo 01]:[Memo 07]],-1)),"")</f>
        <v>45811</v>
      </c>
      <c r="X614" s="11">
        <f ca="1">IFERROR(reading[[#This Row],[Previous]]+OFFSET(reading[[#Headers],[Memo 01]],-1,MATCH(0,reading[[#This Row],[Memo 01]:[Memo 07]],-1)-1),"")</f>
        <v>55811</v>
      </c>
      <c r="Y614" s="10" t="str">
        <f ca="1">IF(reading[[#This Row],[Next]]&lt;&gt;"",IF(reading[[#This Row],[Next]]&gt;TODAY(),"OK",""),"")</f>
        <v>OK</v>
      </c>
      <c r="Z614" s="13">
        <v>3</v>
      </c>
      <c r="AA614" s="13">
        <v>3</v>
      </c>
      <c r="AB614" s="13">
        <v>3</v>
      </c>
      <c r="AC614" s="13">
        <v>3</v>
      </c>
      <c r="AD614" s="13">
        <v>3</v>
      </c>
      <c r="AE614" s="13">
        <v>3</v>
      </c>
      <c r="AF614" s="13">
        <v>2</v>
      </c>
      <c r="AG614" s="16">
        <f>IFERROR(SUMIF(reading[[#This Row],[1st]:[7th]],"&gt;0")/COUNTIF(reading[[#This Row],[1st]:[7th]],"&gt;0"),"")</f>
        <v>2.8571428571428572</v>
      </c>
    </row>
    <row r="615" spans="1:33" hidden="1" x14ac:dyDescent="0.2">
      <c r="A615" s="4">
        <f>IF(B615=1,3,IF(D615=1,2,IF(F615=1,1,0)))</f>
        <v>0</v>
      </c>
      <c r="B615" s="4" t="str">
        <f>IF(C615=$L615,1,IF(C615="","",0))</f>
        <v/>
      </c>
      <c r="C615" s="42"/>
      <c r="D615" s="4" t="str">
        <f>IF(E615=$L615,1,IF(E615="","",0))</f>
        <v/>
      </c>
      <c r="E615" s="43"/>
      <c r="F615" s="4" t="str">
        <f>IF(G615=$L615,1,IF(G615="","",0))</f>
        <v/>
      </c>
      <c r="G615" s="23"/>
      <c r="H615" s="6">
        <v>2568</v>
      </c>
      <c r="I615" s="15" t="s">
        <v>3120</v>
      </c>
      <c r="J615" s="6" t="s">
        <v>5628</v>
      </c>
      <c r="K615" s="6"/>
      <c r="L615" s="6" t="s">
        <v>2612</v>
      </c>
      <c r="M615" s="6" t="s">
        <v>8673</v>
      </c>
      <c r="N615" s="7">
        <f ca="1">RAND()</f>
        <v>0.31577171709825158</v>
      </c>
      <c r="O615" s="8">
        <v>45220</v>
      </c>
      <c r="P615" s="8">
        <v>45221</v>
      </c>
      <c r="Q615" s="8">
        <v>45223</v>
      </c>
      <c r="R615" s="8">
        <v>45227</v>
      </c>
      <c r="S615" s="8">
        <v>45234</v>
      </c>
      <c r="T615" s="8">
        <v>45811</v>
      </c>
      <c r="U615" s="8"/>
      <c r="V615" s="10">
        <f>COUNTA(O615:U615)</f>
        <v>6</v>
      </c>
      <c r="W615" s="11">
        <f>_xlfn.IFNA(INDEX(reading[[#This Row],[Memo 01]:[Memo 07]],MATCH(0,reading[[#This Row],[Memo 01]:[Memo 07]],-1)),"")</f>
        <v>45811</v>
      </c>
      <c r="X615" s="11">
        <f ca="1">IFERROR(reading[[#This Row],[Previous]]+OFFSET(reading[[#Headers],[Memo 01]],-1,MATCH(0,reading[[#This Row],[Memo 01]:[Memo 07]],-1)-1),"")</f>
        <v>45831</v>
      </c>
      <c r="Y615" s="10" t="str">
        <f ca="1">IF(reading[[#This Row],[Next]]&lt;&gt;"",IF(reading[[#This Row],[Next]]&gt;TODAY(),"OK",""),"")</f>
        <v/>
      </c>
      <c r="Z615" s="13">
        <v>3</v>
      </c>
      <c r="AA615" s="13">
        <v>3</v>
      </c>
      <c r="AB615" s="13">
        <v>2</v>
      </c>
      <c r="AC615" s="13">
        <v>3</v>
      </c>
      <c r="AD615" s="13">
        <v>3</v>
      </c>
      <c r="AE615" s="13">
        <v>1</v>
      </c>
      <c r="AF615" s="13"/>
      <c r="AG615" s="16">
        <f>IFERROR(SUMIF(reading[[#This Row],[1st]:[7th]],"&gt;0")/COUNTIF(reading[[#This Row],[1st]:[7th]],"&gt;0"),"")</f>
        <v>2.5</v>
      </c>
    </row>
    <row r="616" spans="1:33" hidden="1" x14ac:dyDescent="0.2">
      <c r="A616" s="4">
        <f>IF(B616=1,3,IF(D616=1,2,IF(F616=1,1,0)))</f>
        <v>0</v>
      </c>
      <c r="B616" s="4" t="str">
        <f>IF(C616=$L616,1,IF(C616="","",0))</f>
        <v/>
      </c>
      <c r="C616" s="42"/>
      <c r="D616" s="4" t="str">
        <f>IF(E616=$L616,1,IF(E616="","",0))</f>
        <v/>
      </c>
      <c r="E616" s="23"/>
      <c r="F616" s="4" t="str">
        <f>IF(G616=$L616,1,IF(G616="","",0))</f>
        <v/>
      </c>
      <c r="G616" s="14"/>
      <c r="H616" s="6">
        <v>2142</v>
      </c>
      <c r="I616" s="15" t="s">
        <v>3120</v>
      </c>
      <c r="J616" s="6" t="s">
        <v>5230</v>
      </c>
      <c r="K616" s="6"/>
      <c r="L616" s="6" t="s">
        <v>2209</v>
      </c>
      <c r="M616" s="6" t="s">
        <v>8248</v>
      </c>
      <c r="N616" s="7">
        <f ca="1">RAND()</f>
        <v>0.76867712660625964</v>
      </c>
      <c r="O616" s="8">
        <v>45214</v>
      </c>
      <c r="P616" s="8">
        <v>45215</v>
      </c>
      <c r="Q616" s="8">
        <v>45217</v>
      </c>
      <c r="R616" s="8">
        <v>45221</v>
      </c>
      <c r="S616" s="8">
        <v>45228</v>
      </c>
      <c r="T616" s="8">
        <v>45816</v>
      </c>
      <c r="U616" s="8"/>
      <c r="V616" s="10">
        <f>COUNTA(O616:U616)</f>
        <v>6</v>
      </c>
      <c r="W616" s="11">
        <f>_xlfn.IFNA(INDEX(reading[[#This Row],[Memo 01]:[Memo 07]],MATCH(0,reading[[#This Row],[Memo 01]:[Memo 07]],-1)),"")</f>
        <v>45816</v>
      </c>
      <c r="X616" s="11">
        <f ca="1">IFERROR(reading[[#This Row],[Previous]]+OFFSET(reading[[#Headers],[Memo 01]],-1,MATCH(0,reading[[#This Row],[Memo 01]:[Memo 07]],-1)-1),"")</f>
        <v>45836</v>
      </c>
      <c r="Y616" s="10" t="str">
        <f ca="1">IF(reading[[#This Row],[Next]]&lt;&gt;"",IF(reading[[#This Row],[Next]]&gt;TODAY(),"OK",""),"")</f>
        <v>OK</v>
      </c>
      <c r="Z616" s="13">
        <v>3</v>
      </c>
      <c r="AA616" s="13">
        <v>3</v>
      </c>
      <c r="AB616" s="13">
        <v>3</v>
      </c>
      <c r="AC616" s="13">
        <v>3</v>
      </c>
      <c r="AD616" s="13">
        <v>3</v>
      </c>
      <c r="AE616" s="13">
        <v>2</v>
      </c>
      <c r="AF616" s="13"/>
      <c r="AG616" s="16">
        <f>IFERROR(SUMIF(reading[[#This Row],[1st]:[7th]],"&gt;0")/COUNTIF(reading[[#This Row],[1st]:[7th]],"&gt;0"),"")</f>
        <v>2.8333333333333335</v>
      </c>
    </row>
    <row r="617" spans="1:33" hidden="1" x14ac:dyDescent="0.2">
      <c r="A617" s="4">
        <f>IF(B617=1,3,IF(D617=1,2,IF(F617=1,1,0)))</f>
        <v>0</v>
      </c>
      <c r="B617" s="4" t="str">
        <f>IF(C617=$L617,1,IF(C617="","",0))</f>
        <v/>
      </c>
      <c r="C617" s="42"/>
      <c r="D617" s="4" t="str">
        <f>IF(E617=$L617,1,IF(E617="","",0))</f>
        <v/>
      </c>
      <c r="E617" s="14"/>
      <c r="F617" s="4" t="str">
        <f>IF(G617=$L617,1,IF(G617="","",0))</f>
        <v/>
      </c>
      <c r="G617" s="14"/>
      <c r="H617" s="6">
        <v>1139</v>
      </c>
      <c r="I617" s="15" t="s">
        <v>3120</v>
      </c>
      <c r="J617" s="6" t="s">
        <v>4260</v>
      </c>
      <c r="K617" s="6"/>
      <c r="L617" s="6" t="s">
        <v>1241</v>
      </c>
      <c r="M617" s="6" t="s">
        <v>7247</v>
      </c>
      <c r="N617" s="7">
        <f ca="1">RAND()</f>
        <v>0.97356145208768641</v>
      </c>
      <c r="O617" s="8">
        <v>45205</v>
      </c>
      <c r="P617" s="8">
        <v>45206</v>
      </c>
      <c r="Q617" s="8">
        <v>45208</v>
      </c>
      <c r="R617" s="8">
        <v>45212</v>
      </c>
      <c r="S617" s="8">
        <v>45219</v>
      </c>
      <c r="T617" s="8">
        <v>45231</v>
      </c>
      <c r="U617" s="8">
        <v>45792</v>
      </c>
      <c r="V617" s="10">
        <f>COUNTA(O617:U617)</f>
        <v>7</v>
      </c>
      <c r="W617" s="11">
        <f>_xlfn.IFNA(INDEX(reading[[#This Row],[Memo 01]:[Memo 07]],MATCH(0,reading[[#This Row],[Memo 01]:[Memo 07]],-1)),"")</f>
        <v>45792</v>
      </c>
      <c r="X617" s="11">
        <f ca="1">IFERROR(reading[[#This Row],[Previous]]+OFFSET(reading[[#Headers],[Memo 01]],-1,MATCH(0,reading[[#This Row],[Memo 01]:[Memo 07]],-1)-1),"")</f>
        <v>55792</v>
      </c>
      <c r="Y617" s="10" t="str">
        <f ca="1">IF(reading[[#This Row],[Next]]&lt;&gt;"",IF(reading[[#This Row],[Next]]&gt;TODAY(),"OK",""),"")</f>
        <v>OK</v>
      </c>
      <c r="Z617" s="13">
        <v>3</v>
      </c>
      <c r="AA617" s="13">
        <v>3</v>
      </c>
      <c r="AB617" s="13">
        <v>3</v>
      </c>
      <c r="AC617" s="13">
        <v>3</v>
      </c>
      <c r="AD617" s="13">
        <v>3</v>
      </c>
      <c r="AE617" s="13">
        <v>3</v>
      </c>
      <c r="AF617" s="13">
        <v>3</v>
      </c>
      <c r="AG617" s="16">
        <f>IFERROR(SUMIF(reading[[#This Row],[1st]:[7th]],"&gt;0")/COUNTIF(reading[[#This Row],[1st]:[7th]],"&gt;0"),"")</f>
        <v>3</v>
      </c>
    </row>
    <row r="618" spans="1:33" hidden="1" x14ac:dyDescent="0.2">
      <c r="A618" s="4">
        <f>IF(B618=1,3,IF(D618=1,2,IF(F618=1,1,0)))</f>
        <v>0</v>
      </c>
      <c r="B618" s="4" t="str">
        <f>IF(C618=$L618,1,IF(C618="","",0))</f>
        <v/>
      </c>
      <c r="C618" s="42"/>
      <c r="D618" s="4" t="str">
        <f>IF(E618=$L618,1,IF(E618="","",0))</f>
        <v/>
      </c>
      <c r="E618" s="18"/>
      <c r="F618" s="4" t="str">
        <f>IF(G618=$L618,1,IF(G618="","",0))</f>
        <v/>
      </c>
      <c r="G618" s="14"/>
      <c r="H618" s="6">
        <v>2320</v>
      </c>
      <c r="I618" s="15" t="s">
        <v>3120</v>
      </c>
      <c r="J618" s="6" t="s">
        <v>3364</v>
      </c>
      <c r="K618" s="6"/>
      <c r="L618" s="6" t="s">
        <v>2375</v>
      </c>
      <c r="M618" s="6" t="s">
        <v>8425</v>
      </c>
      <c r="N618" s="7">
        <f ca="1">RAND()</f>
        <v>0.35662812090496143</v>
      </c>
      <c r="O618" s="8">
        <v>45216</v>
      </c>
      <c r="P618" s="8">
        <v>45217</v>
      </c>
      <c r="Q618" s="8">
        <v>45219</v>
      </c>
      <c r="R618" s="8">
        <v>45223</v>
      </c>
      <c r="S618" s="8">
        <v>45230</v>
      </c>
      <c r="T618" s="8">
        <v>45251</v>
      </c>
      <c r="U618" s="8">
        <v>45819</v>
      </c>
      <c r="V618" s="10">
        <f>COUNTA(O618:U618)</f>
        <v>7</v>
      </c>
      <c r="W618" s="11">
        <f>_xlfn.IFNA(INDEX(reading[[#This Row],[Memo 01]:[Memo 07]],MATCH(0,reading[[#This Row],[Memo 01]:[Memo 07]],-1)),"")</f>
        <v>45819</v>
      </c>
      <c r="X618" s="11">
        <f ca="1">IFERROR(reading[[#This Row],[Previous]]+OFFSET(reading[[#Headers],[Memo 01]],-1,MATCH(0,reading[[#This Row],[Memo 01]:[Memo 07]],-1)-1),"")</f>
        <v>55819</v>
      </c>
      <c r="Y618" s="10" t="str">
        <f ca="1">IF(reading[[#This Row],[Next]]&lt;&gt;"",IF(reading[[#This Row],[Next]]&gt;TODAY(),"OK",""),"")</f>
        <v>OK</v>
      </c>
      <c r="Z618" s="13">
        <v>3</v>
      </c>
      <c r="AA618" s="13">
        <v>2</v>
      </c>
      <c r="AB618" s="13">
        <v>2</v>
      </c>
      <c r="AC618" s="13">
        <v>3</v>
      </c>
      <c r="AD618" s="13">
        <v>3</v>
      </c>
      <c r="AE618" s="13">
        <v>3</v>
      </c>
      <c r="AF618" s="13">
        <v>3</v>
      </c>
      <c r="AG618" s="16">
        <f>IFERROR(SUMIF(reading[[#This Row],[1st]:[7th]],"&gt;0")/COUNTIF(reading[[#This Row],[1st]:[7th]],"&gt;0"),"")</f>
        <v>2.7142857142857144</v>
      </c>
    </row>
    <row r="619" spans="1:33" hidden="1" x14ac:dyDescent="0.2">
      <c r="A619" s="4">
        <f>IF(B619=1,3,IF(D619=1,2,IF(F619=1,1,0)))</f>
        <v>0</v>
      </c>
      <c r="B619" s="4" t="str">
        <f>IF(C619=$L619,1,IF(C619="","",0))</f>
        <v/>
      </c>
      <c r="C619" s="42"/>
      <c r="D619" s="4" t="str">
        <f>IF(E619=$L619,1,IF(E619="","",0))</f>
        <v/>
      </c>
      <c r="E619" s="14"/>
      <c r="F619" s="4" t="str">
        <f>IF(G619=$L619,1,IF(G619="","",0))</f>
        <v/>
      </c>
      <c r="G619" s="14"/>
      <c r="H619" s="6">
        <v>1045</v>
      </c>
      <c r="I619" s="15" t="s">
        <v>3120</v>
      </c>
      <c r="J619" s="6" t="s">
        <v>4172</v>
      </c>
      <c r="K619" s="6"/>
      <c r="L619" s="6" t="s">
        <v>1154</v>
      </c>
      <c r="M619" s="6" t="s">
        <v>7153</v>
      </c>
      <c r="N619" s="7">
        <f ca="1">RAND()</f>
        <v>0.48420500945868283</v>
      </c>
      <c r="O619" s="8">
        <v>45205</v>
      </c>
      <c r="P619" s="8">
        <v>45206</v>
      </c>
      <c r="Q619" s="8">
        <v>45208</v>
      </c>
      <c r="R619" s="8">
        <v>45212</v>
      </c>
      <c r="S619" s="8">
        <v>45219</v>
      </c>
      <c r="T619" s="8">
        <v>45231</v>
      </c>
      <c r="U619" s="8">
        <v>45792</v>
      </c>
      <c r="V619" s="10">
        <f>COUNTA(O619:U619)</f>
        <v>7</v>
      </c>
      <c r="W619" s="11">
        <f>_xlfn.IFNA(INDEX(reading[[#This Row],[Memo 01]:[Memo 07]],MATCH(0,reading[[#This Row],[Memo 01]:[Memo 07]],-1)),"")</f>
        <v>45792</v>
      </c>
      <c r="X619" s="11">
        <f ca="1">IFERROR(reading[[#This Row],[Previous]]+OFFSET(reading[[#Headers],[Memo 01]],-1,MATCH(0,reading[[#This Row],[Memo 01]:[Memo 07]],-1)-1),"")</f>
        <v>55792</v>
      </c>
      <c r="Y619" s="10" t="str">
        <f ca="1">IF(reading[[#This Row],[Next]]&lt;&gt;"",IF(reading[[#This Row],[Next]]&gt;TODAY(),"OK",""),"")</f>
        <v>OK</v>
      </c>
      <c r="Z619" s="13">
        <v>3</v>
      </c>
      <c r="AA619" s="13">
        <v>3</v>
      </c>
      <c r="AB619" s="13">
        <v>3</v>
      </c>
      <c r="AC619" s="13">
        <v>3</v>
      </c>
      <c r="AD619" s="13">
        <v>3</v>
      </c>
      <c r="AE619" s="13">
        <v>3</v>
      </c>
      <c r="AF619" s="13">
        <v>3</v>
      </c>
      <c r="AG619" s="16">
        <f>IFERROR(SUMIF(reading[[#This Row],[1st]:[7th]],"&gt;0")/COUNTIF(reading[[#This Row],[1st]:[7th]],"&gt;0"),"")</f>
        <v>3</v>
      </c>
    </row>
    <row r="620" spans="1:33" hidden="1" x14ac:dyDescent="0.2">
      <c r="A620" s="4">
        <f>IF(B620=1,3,IF(D620=1,2,IF(F620=1,1,0)))</f>
        <v>0</v>
      </c>
      <c r="B620" s="4" t="str">
        <f>IF(C620=$L620,1,IF(C620="","",0))</f>
        <v/>
      </c>
      <c r="C620" s="42"/>
      <c r="D620" s="4" t="str">
        <f>IF(E620=$L620,1,IF(E620="","",0))</f>
        <v/>
      </c>
      <c r="E620" s="14"/>
      <c r="F620" s="4" t="str">
        <f>IF(G620=$L620,1,IF(G620="","",0))</f>
        <v/>
      </c>
      <c r="G620" s="14"/>
      <c r="H620" s="6">
        <v>1043</v>
      </c>
      <c r="I620" s="15" t="s">
        <v>3120</v>
      </c>
      <c r="J620" s="6" t="s">
        <v>4170</v>
      </c>
      <c r="K620" s="6"/>
      <c r="L620" s="6" t="s">
        <v>1152</v>
      </c>
      <c r="M620" s="6" t="s">
        <v>7151</v>
      </c>
      <c r="N620" s="7">
        <f ca="1">RAND()</f>
        <v>3.6346178149957886E-2</v>
      </c>
      <c r="O620" s="8">
        <v>45205</v>
      </c>
      <c r="P620" s="8">
        <v>45206</v>
      </c>
      <c r="Q620" s="8">
        <v>45208</v>
      </c>
      <c r="R620" s="8">
        <v>45212</v>
      </c>
      <c r="S620" s="8">
        <v>45219</v>
      </c>
      <c r="T620" s="8">
        <v>45231</v>
      </c>
      <c r="U620" s="8">
        <v>45792</v>
      </c>
      <c r="V620" s="10">
        <f>COUNTA(O620:U620)</f>
        <v>7</v>
      </c>
      <c r="W620" s="11">
        <f>_xlfn.IFNA(INDEX(reading[[#This Row],[Memo 01]:[Memo 07]],MATCH(0,reading[[#This Row],[Memo 01]:[Memo 07]],-1)),"")</f>
        <v>45792</v>
      </c>
      <c r="X620" s="11">
        <f ca="1">IFERROR(reading[[#This Row],[Previous]]+OFFSET(reading[[#Headers],[Memo 01]],-1,MATCH(0,reading[[#This Row],[Memo 01]:[Memo 07]],-1)-1),"")</f>
        <v>55792</v>
      </c>
      <c r="Y620" s="10" t="str">
        <f ca="1">IF(reading[[#This Row],[Next]]&lt;&gt;"",IF(reading[[#This Row],[Next]]&gt;TODAY(),"OK",""),"")</f>
        <v>OK</v>
      </c>
      <c r="Z620" s="13">
        <v>3</v>
      </c>
      <c r="AA620" s="13">
        <v>3</v>
      </c>
      <c r="AB620" s="13">
        <v>3</v>
      </c>
      <c r="AC620" s="13">
        <v>3</v>
      </c>
      <c r="AD620" s="13">
        <v>3</v>
      </c>
      <c r="AE620" s="13">
        <v>3</v>
      </c>
      <c r="AF620" s="13">
        <v>3</v>
      </c>
      <c r="AG620" s="16">
        <f>IFERROR(SUMIF(reading[[#This Row],[1st]:[7th]],"&gt;0")/COUNTIF(reading[[#This Row],[1st]:[7th]],"&gt;0"),"")</f>
        <v>3</v>
      </c>
    </row>
    <row r="621" spans="1:33" hidden="1" x14ac:dyDescent="0.2">
      <c r="A621" s="4">
        <f>IF(B621=1,3,IF(D621=1,2,IF(F621=1,1,0)))</f>
        <v>0</v>
      </c>
      <c r="B621" s="4" t="str">
        <f>IF(C621=$L621,1,IF(C621="","",0))</f>
        <v/>
      </c>
      <c r="C621" s="42"/>
      <c r="D621" s="4" t="str">
        <f>IF(E621=$L621,1,IF(E621="","",0))</f>
        <v/>
      </c>
      <c r="E621" s="14"/>
      <c r="F621" s="4" t="str">
        <f>IF(G621=$L621,1,IF(G621="","",0))</f>
        <v/>
      </c>
      <c r="G621" s="14"/>
      <c r="H621" s="6">
        <v>465</v>
      </c>
      <c r="I621" s="15" t="s">
        <v>3120</v>
      </c>
      <c r="J621" s="6" t="s">
        <v>3611</v>
      </c>
      <c r="K621" s="6"/>
      <c r="L621" s="6" t="s">
        <v>594</v>
      </c>
      <c r="M621" s="6" t="s">
        <v>6574</v>
      </c>
      <c r="N621" s="7">
        <f ca="1">RAND()</f>
        <v>5.1776307398676336E-2</v>
      </c>
      <c r="O621" s="8">
        <v>45202</v>
      </c>
      <c r="P621" s="8">
        <v>45203</v>
      </c>
      <c r="Q621" s="8">
        <v>45205</v>
      </c>
      <c r="R621" s="8">
        <v>45209</v>
      </c>
      <c r="S621" s="8">
        <v>45216</v>
      </c>
      <c r="T621" s="8">
        <v>45228</v>
      </c>
      <c r="U621" s="8">
        <v>45801</v>
      </c>
      <c r="V621" s="10">
        <f>COUNTA(O621:U621)</f>
        <v>7</v>
      </c>
      <c r="W621" s="11">
        <f>_xlfn.IFNA(INDEX(reading[[#This Row],[Memo 01]:[Memo 07]],MATCH(0,reading[[#This Row],[Memo 01]:[Memo 07]],-1)),"")</f>
        <v>45801</v>
      </c>
      <c r="X621" s="11">
        <f ca="1">IFERROR(reading[[#This Row],[Previous]]+OFFSET(reading[[#Headers],[Memo 01]],-1,MATCH(0,reading[[#This Row],[Memo 01]:[Memo 07]],-1)-1),"")</f>
        <v>55801</v>
      </c>
      <c r="Y621" s="10" t="str">
        <f ca="1">IF(reading[[#This Row],[Next]]&lt;&gt;"",IF(reading[[#This Row],[Next]]&gt;TODAY(),"OK",""),"")</f>
        <v>OK</v>
      </c>
      <c r="Z621" s="13">
        <v>3</v>
      </c>
      <c r="AA621" s="13">
        <v>3</v>
      </c>
      <c r="AB621" s="13">
        <v>3</v>
      </c>
      <c r="AC621" s="13">
        <v>3</v>
      </c>
      <c r="AD621" s="13">
        <v>3</v>
      </c>
      <c r="AE621" s="13">
        <v>3</v>
      </c>
      <c r="AF621" s="13">
        <v>3</v>
      </c>
      <c r="AG621" s="16">
        <f>IFERROR(SUMIF(reading[[#This Row],[1st]:[7th]],"&gt;0")/COUNTIF(reading[[#This Row],[1st]:[7th]],"&gt;0"),"")</f>
        <v>3</v>
      </c>
    </row>
    <row r="622" spans="1:33" hidden="1" x14ac:dyDescent="0.2">
      <c r="A622" s="4">
        <f>IF(B622=1,3,IF(D622=1,2,IF(F622=1,1,0)))</f>
        <v>0</v>
      </c>
      <c r="B622" s="4" t="str">
        <f>IF(C622=$L622,1,IF(C622="","",0))</f>
        <v/>
      </c>
      <c r="C622" s="42"/>
      <c r="D622" s="4" t="str">
        <f>IF(E622=$L622,1,IF(E622="","",0))</f>
        <v/>
      </c>
      <c r="E622" s="18"/>
      <c r="F622" s="4" t="str">
        <f>IF(G622=$L622,1,IF(G622="","",0))</f>
        <v/>
      </c>
      <c r="G622" s="18"/>
      <c r="H622" s="6">
        <v>2421</v>
      </c>
      <c r="I622" s="15" t="s">
        <v>3120</v>
      </c>
      <c r="J622" s="6" t="s">
        <v>5492</v>
      </c>
      <c r="K622" s="6"/>
      <c r="L622" s="6" t="s">
        <v>2471</v>
      </c>
      <c r="M622" s="6" t="s">
        <v>8526</v>
      </c>
      <c r="N622" s="7">
        <f ca="1">RAND()</f>
        <v>0.14262879855967014</v>
      </c>
      <c r="O622" s="8">
        <v>45217</v>
      </c>
      <c r="P622" s="8">
        <v>45218</v>
      </c>
      <c r="Q622" s="8">
        <v>45220</v>
      </c>
      <c r="R622" s="8">
        <v>45224</v>
      </c>
      <c r="S622" s="8">
        <v>45231</v>
      </c>
      <c r="T622" s="8">
        <v>45248</v>
      </c>
      <c r="U622" s="8">
        <v>45801</v>
      </c>
      <c r="V622" s="10">
        <f>COUNTA(O622:U622)</f>
        <v>7</v>
      </c>
      <c r="W622" s="11">
        <f>_xlfn.IFNA(INDEX(reading[[#This Row],[Memo 01]:[Memo 07]],MATCH(0,reading[[#This Row],[Memo 01]:[Memo 07]],-1)),"")</f>
        <v>45801</v>
      </c>
      <c r="X622" s="11">
        <f ca="1">IFERROR(reading[[#This Row],[Previous]]+OFFSET(reading[[#Headers],[Memo 01]],-1,MATCH(0,reading[[#This Row],[Memo 01]:[Memo 07]],-1)-1),"")</f>
        <v>55801</v>
      </c>
      <c r="Y622" s="10" t="str">
        <f ca="1">IF(reading[[#This Row],[Next]]&lt;&gt;"",IF(reading[[#This Row],[Next]]&gt;TODAY(),"OK",""),"")</f>
        <v>OK</v>
      </c>
      <c r="Z622" s="13">
        <v>3</v>
      </c>
      <c r="AA622" s="13">
        <v>3</v>
      </c>
      <c r="AB622" s="13">
        <v>1</v>
      </c>
      <c r="AC622" s="13">
        <v>2</v>
      </c>
      <c r="AD622" s="13">
        <v>3</v>
      </c>
      <c r="AE622" s="13">
        <v>3</v>
      </c>
      <c r="AF622" s="13">
        <v>3</v>
      </c>
      <c r="AG622" s="16">
        <f>IFERROR(SUMIF(reading[[#This Row],[1st]:[7th]],"&gt;0")/COUNTIF(reading[[#This Row],[1st]:[7th]],"&gt;0"),"")</f>
        <v>2.5714285714285716</v>
      </c>
    </row>
    <row r="623" spans="1:33" hidden="1" x14ac:dyDescent="0.2">
      <c r="A623" s="4">
        <f>IF(B623=1,3,IF(D623=1,2,IF(F623=1,1,0)))</f>
        <v>0</v>
      </c>
      <c r="B623" s="4" t="str">
        <f>IF(C623=$L623,1,IF(C623="","",0))</f>
        <v/>
      </c>
      <c r="C623" s="42"/>
      <c r="D623" s="4" t="str">
        <f>IF(E623=$L623,1,IF(E623="","",0))</f>
        <v/>
      </c>
      <c r="E623" s="23"/>
      <c r="F623" s="4" t="str">
        <f>IF(G623=$L623,1,IF(G623="","",0))</f>
        <v/>
      </c>
      <c r="G623" s="14"/>
      <c r="H623" s="6">
        <v>1230</v>
      </c>
      <c r="I623" s="15" t="s">
        <v>3120</v>
      </c>
      <c r="J623" s="6" t="s">
        <v>4347</v>
      </c>
      <c r="K623" s="6"/>
      <c r="L623" s="6" t="s">
        <v>1330</v>
      </c>
      <c r="M623" s="6" t="s">
        <v>7337</v>
      </c>
      <c r="N623" s="7">
        <f ca="1">RAND()</f>
        <v>0.19503702894076103</v>
      </c>
      <c r="O623" s="8">
        <v>45206</v>
      </c>
      <c r="P623" s="8">
        <v>45207</v>
      </c>
      <c r="Q623" s="8">
        <v>45209</v>
      </c>
      <c r="R623" s="8">
        <v>45213</v>
      </c>
      <c r="S623" s="8">
        <v>45220</v>
      </c>
      <c r="T623" s="8">
        <v>45232</v>
      </c>
      <c r="U623" s="8">
        <v>45811</v>
      </c>
      <c r="V623" s="10">
        <f>COUNTA(O623:U623)</f>
        <v>7</v>
      </c>
      <c r="W623" s="11">
        <f>_xlfn.IFNA(INDEX(reading[[#This Row],[Memo 01]:[Memo 07]],MATCH(0,reading[[#This Row],[Memo 01]:[Memo 07]],-1)),"")</f>
        <v>45811</v>
      </c>
      <c r="X623" s="11">
        <f ca="1">IFERROR(reading[[#This Row],[Previous]]+OFFSET(reading[[#Headers],[Memo 01]],-1,MATCH(0,reading[[#This Row],[Memo 01]:[Memo 07]],-1)-1),"")</f>
        <v>55811</v>
      </c>
      <c r="Y623" s="10" t="str">
        <f ca="1">IF(reading[[#This Row],[Next]]&lt;&gt;"",IF(reading[[#This Row],[Next]]&gt;TODAY(),"OK",""),"")</f>
        <v>OK</v>
      </c>
      <c r="Z623" s="13">
        <v>3</v>
      </c>
      <c r="AA623" s="13">
        <v>3</v>
      </c>
      <c r="AB623" s="13">
        <v>3</v>
      </c>
      <c r="AC623" s="13">
        <v>3</v>
      </c>
      <c r="AD623" s="13">
        <v>3</v>
      </c>
      <c r="AE623" s="13">
        <v>3</v>
      </c>
      <c r="AF623" s="13">
        <v>2</v>
      </c>
      <c r="AG623" s="16">
        <f>IFERROR(SUMIF(reading[[#This Row],[1st]:[7th]],"&gt;0")/COUNTIF(reading[[#This Row],[1st]:[7th]],"&gt;0"),"")</f>
        <v>2.8571428571428572</v>
      </c>
    </row>
    <row r="624" spans="1:33" hidden="1" x14ac:dyDescent="0.2">
      <c r="A624" s="4">
        <f>IF(B624=1,3,IF(D624=1,2,IF(F624=1,1,0)))</f>
        <v>0</v>
      </c>
      <c r="B624" s="4" t="str">
        <f>IF(C624=$L624,1,IF(C624="","",0))</f>
        <v/>
      </c>
      <c r="C624" s="42"/>
      <c r="D624" s="4" t="str">
        <f>IF(E624=$L624,1,IF(E624="","",0))</f>
        <v/>
      </c>
      <c r="E624" s="14"/>
      <c r="F624" s="4" t="str">
        <f>IF(G624=$L624,1,IF(G624="","",0))</f>
        <v/>
      </c>
      <c r="G624" s="14"/>
      <c r="H624" s="6">
        <v>1185</v>
      </c>
      <c r="I624" s="15" t="s">
        <v>3120</v>
      </c>
      <c r="J624" s="6" t="s">
        <v>4304</v>
      </c>
      <c r="K624" s="6"/>
      <c r="L624" s="6" t="s">
        <v>1287</v>
      </c>
      <c r="M624" s="6" t="s">
        <v>7293</v>
      </c>
      <c r="N624" s="7">
        <f ca="1">RAND()</f>
        <v>0.98812960048961318</v>
      </c>
      <c r="O624" s="8">
        <v>45206</v>
      </c>
      <c r="P624" s="8">
        <v>45207</v>
      </c>
      <c r="Q624" s="8">
        <v>45209</v>
      </c>
      <c r="R624" s="8">
        <v>45213</v>
      </c>
      <c r="S624" s="8">
        <v>45220</v>
      </c>
      <c r="T624" s="8">
        <v>45232</v>
      </c>
      <c r="U624" s="8">
        <v>45801</v>
      </c>
      <c r="V624" s="10">
        <f>COUNTA(O624:U624)</f>
        <v>7</v>
      </c>
      <c r="W624" s="11">
        <f>_xlfn.IFNA(INDEX(reading[[#This Row],[Memo 01]:[Memo 07]],MATCH(0,reading[[#This Row],[Memo 01]:[Memo 07]],-1)),"")</f>
        <v>45801</v>
      </c>
      <c r="X624" s="11">
        <f ca="1">IFERROR(reading[[#This Row],[Previous]]+OFFSET(reading[[#Headers],[Memo 01]],-1,MATCH(0,reading[[#This Row],[Memo 01]:[Memo 07]],-1)-1),"")</f>
        <v>55801</v>
      </c>
      <c r="Y624" s="10" t="str">
        <f ca="1">IF(reading[[#This Row],[Next]]&lt;&gt;"",IF(reading[[#This Row],[Next]]&gt;TODAY(),"OK",""),"")</f>
        <v>OK</v>
      </c>
      <c r="Z624" s="13">
        <v>3</v>
      </c>
      <c r="AA624" s="13">
        <v>3</v>
      </c>
      <c r="AB624" s="13">
        <v>3</v>
      </c>
      <c r="AC624" s="13">
        <v>3</v>
      </c>
      <c r="AD624" s="13">
        <v>3</v>
      </c>
      <c r="AE624" s="13">
        <v>3</v>
      </c>
      <c r="AF624" s="13">
        <v>3</v>
      </c>
      <c r="AG624" s="16">
        <f>IFERROR(SUMIF(reading[[#This Row],[1st]:[7th]],"&gt;0")/COUNTIF(reading[[#This Row],[1st]:[7th]],"&gt;0"),"")</f>
        <v>3</v>
      </c>
    </row>
    <row r="625" spans="1:33" hidden="1" x14ac:dyDescent="0.2">
      <c r="A625" s="4">
        <f>IF(B625=1,3,IF(D625=1,2,IF(F625=1,1,0)))</f>
        <v>0</v>
      </c>
      <c r="B625" s="4" t="str">
        <f>IF(C625=$L625,1,IF(C625="","",0))</f>
        <v/>
      </c>
      <c r="C625" s="42"/>
      <c r="D625" s="4" t="str">
        <f>IF(E625=$L625,1,IF(E625="","",0))</f>
        <v/>
      </c>
      <c r="E625" s="18"/>
      <c r="F625" s="4" t="str">
        <f>IF(G625=$L625,1,IF(G625="","",0))</f>
        <v/>
      </c>
      <c r="G625" s="14"/>
      <c r="H625" s="6">
        <v>3046</v>
      </c>
      <c r="I625" s="15" t="s">
        <v>3120</v>
      </c>
      <c r="J625" s="6" t="s">
        <v>6067</v>
      </c>
      <c r="K625" s="6"/>
      <c r="L625" s="6" t="s">
        <v>3072</v>
      </c>
      <c r="M625" s="6" t="s">
        <v>9149</v>
      </c>
      <c r="N625" s="7">
        <f ca="1">RAND()</f>
        <v>4.2074841186602319E-2</v>
      </c>
      <c r="O625" s="8">
        <v>45224</v>
      </c>
      <c r="P625" s="8">
        <v>45225</v>
      </c>
      <c r="Q625" s="8">
        <v>45227</v>
      </c>
      <c r="R625" s="8">
        <v>45231</v>
      </c>
      <c r="S625" s="8">
        <v>45251</v>
      </c>
      <c r="T625" s="8">
        <v>45824</v>
      </c>
      <c r="U625" s="8"/>
      <c r="V625" s="10">
        <f>COUNTA(O625:U625)</f>
        <v>6</v>
      </c>
      <c r="W625" s="11">
        <f>_xlfn.IFNA(INDEX(reading[[#This Row],[Memo 01]:[Memo 07]],MATCH(0,reading[[#This Row],[Memo 01]:[Memo 07]],-1)),"")</f>
        <v>45824</v>
      </c>
      <c r="X625" s="11">
        <f ca="1">IFERROR(reading[[#This Row],[Previous]]+OFFSET(reading[[#Headers],[Memo 01]],-1,MATCH(0,reading[[#This Row],[Memo 01]:[Memo 07]],-1)-1),"")</f>
        <v>45844</v>
      </c>
      <c r="Y625" s="10" t="str">
        <f ca="1">IF(reading[[#This Row],[Next]]&lt;&gt;"",IF(reading[[#This Row],[Next]]&gt;TODAY(),"OK",""),"")</f>
        <v>OK</v>
      </c>
      <c r="Z625" s="13">
        <v>3</v>
      </c>
      <c r="AA625" s="13">
        <v>2</v>
      </c>
      <c r="AB625" s="13">
        <v>3</v>
      </c>
      <c r="AC625" s="13">
        <v>3</v>
      </c>
      <c r="AD625" s="13">
        <v>3</v>
      </c>
      <c r="AE625" s="13">
        <v>3</v>
      </c>
      <c r="AF625" s="13"/>
      <c r="AG625" s="16">
        <f>IFERROR(SUMIF(reading[[#This Row],[1st]:[7th]],"&gt;0")/COUNTIF(reading[[#This Row],[1st]:[7th]],"&gt;0"),"")</f>
        <v>2.8333333333333335</v>
      </c>
    </row>
    <row r="626" spans="1:33" hidden="1" x14ac:dyDescent="0.2">
      <c r="A626" s="4">
        <f>IF(B626=1,3,IF(D626=1,2,IF(F626=1,1,0)))</f>
        <v>0</v>
      </c>
      <c r="B626" s="4" t="str">
        <f>IF(C626=$L626,1,IF(C626="","",0))</f>
        <v/>
      </c>
      <c r="C626" s="42"/>
      <c r="D626" s="4" t="str">
        <f>IF(E626=$L626,1,IF(E626="","",0))</f>
        <v/>
      </c>
      <c r="E626" s="14"/>
      <c r="F626" s="4" t="str">
        <f>IF(G626=$L626,1,IF(G626="","",0))</f>
        <v/>
      </c>
      <c r="G626" s="14"/>
      <c r="H626" s="6">
        <v>386</v>
      </c>
      <c r="I626" s="15" t="s">
        <v>3120</v>
      </c>
      <c r="J626" s="6" t="s">
        <v>3532</v>
      </c>
      <c r="K626" s="6"/>
      <c r="L626" s="6" t="s">
        <v>518</v>
      </c>
      <c r="M626" s="6" t="s">
        <v>6495</v>
      </c>
      <c r="N626" s="7">
        <f ca="1">RAND()</f>
        <v>0.23969799367603395</v>
      </c>
      <c r="O626" s="8">
        <v>45202</v>
      </c>
      <c r="P626" s="8">
        <v>45203</v>
      </c>
      <c r="Q626" s="8">
        <v>45205</v>
      </c>
      <c r="R626" s="8">
        <v>45209</v>
      </c>
      <c r="S626" s="8">
        <v>45216</v>
      </c>
      <c r="T626" s="8">
        <v>45228</v>
      </c>
      <c r="U626" s="8">
        <v>45801</v>
      </c>
      <c r="V626" s="10">
        <f>COUNTA(O626:U626)</f>
        <v>7</v>
      </c>
      <c r="W626" s="11">
        <f>_xlfn.IFNA(INDEX(reading[[#This Row],[Memo 01]:[Memo 07]],MATCH(0,reading[[#This Row],[Memo 01]:[Memo 07]],-1)),"")</f>
        <v>45801</v>
      </c>
      <c r="X626" s="11">
        <f ca="1">IFERROR(reading[[#This Row],[Previous]]+OFFSET(reading[[#Headers],[Memo 01]],-1,MATCH(0,reading[[#This Row],[Memo 01]:[Memo 07]],-1)-1),"")</f>
        <v>55801</v>
      </c>
      <c r="Y626" s="10" t="str">
        <f ca="1">IF(reading[[#This Row],[Next]]&lt;&gt;"",IF(reading[[#This Row],[Next]]&gt;TODAY(),"OK",""),"")</f>
        <v>OK</v>
      </c>
      <c r="Z626" s="13">
        <v>3</v>
      </c>
      <c r="AA626" s="13">
        <v>3</v>
      </c>
      <c r="AB626" s="13">
        <v>3</v>
      </c>
      <c r="AC626" s="13">
        <v>3</v>
      </c>
      <c r="AD626" s="13">
        <v>3</v>
      </c>
      <c r="AE626" s="13">
        <v>2</v>
      </c>
      <c r="AF626" s="13">
        <v>3</v>
      </c>
      <c r="AG626" s="16">
        <f>IFERROR(SUMIF(reading[[#This Row],[1st]:[7th]],"&gt;0")/COUNTIF(reading[[#This Row],[1st]:[7th]],"&gt;0"),"")</f>
        <v>2.8571428571428572</v>
      </c>
    </row>
    <row r="627" spans="1:33" hidden="1" x14ac:dyDescent="0.2">
      <c r="A627" s="4">
        <f>IF(B627=1,3,IF(D627=1,2,IF(F627=1,1,0)))</f>
        <v>0</v>
      </c>
      <c r="B627" s="4" t="str">
        <f>IF(C627=$L627,1,IF(C627="","",0))</f>
        <v/>
      </c>
      <c r="C627" s="43"/>
      <c r="D627" s="4" t="str">
        <f>IF(E627=$L627,1,IF(E627="","",0))</f>
        <v/>
      </c>
      <c r="E627" s="18"/>
      <c r="F627" s="4" t="str">
        <f>IF(G627=$L627,1,IF(G627="","",0))</f>
        <v/>
      </c>
      <c r="G627" s="14"/>
      <c r="H627" s="6">
        <v>218</v>
      </c>
      <c r="I627" s="15" t="s">
        <v>3120</v>
      </c>
      <c r="J627" s="6" t="s">
        <v>3367</v>
      </c>
      <c r="K627" s="6"/>
      <c r="L627" s="6" t="s">
        <v>353</v>
      </c>
      <c r="M627" s="6" t="s">
        <v>6327</v>
      </c>
      <c r="N627" s="7">
        <f ca="1">RAND()</f>
        <v>0.53613778973831205</v>
      </c>
      <c r="O627" s="8">
        <v>45199</v>
      </c>
      <c r="P627" s="8">
        <v>45200</v>
      </c>
      <c r="Q627" s="8">
        <v>45202</v>
      </c>
      <c r="R627" s="8">
        <v>45206</v>
      </c>
      <c r="S627" s="8">
        <v>45213</v>
      </c>
      <c r="T627" s="8">
        <v>45225</v>
      </c>
      <c r="U627" s="8">
        <v>45801</v>
      </c>
      <c r="V627" s="10">
        <f>COUNTA(O627:U627)</f>
        <v>7</v>
      </c>
      <c r="W627" s="11">
        <f>_xlfn.IFNA(INDEX(reading[[#This Row],[Memo 01]:[Memo 07]],MATCH(0,reading[[#This Row],[Memo 01]:[Memo 07]],-1)),"")</f>
        <v>45801</v>
      </c>
      <c r="X627" s="11">
        <f ca="1">IFERROR(reading[[#This Row],[Previous]]+OFFSET(reading[[#Headers],[Memo 01]],-1,MATCH(0,reading[[#This Row],[Memo 01]:[Memo 07]],-1)-1),"")</f>
        <v>55801</v>
      </c>
      <c r="Y627" s="10" t="str">
        <f ca="1">IF(reading[[#This Row],[Next]]&lt;&gt;"",IF(reading[[#This Row],[Next]]&gt;TODAY(),"OK",""),"")</f>
        <v>OK</v>
      </c>
      <c r="Z627" s="13">
        <v>3</v>
      </c>
      <c r="AA627" s="13">
        <v>2</v>
      </c>
      <c r="AB627" s="13">
        <v>3</v>
      </c>
      <c r="AC627" s="13">
        <v>3</v>
      </c>
      <c r="AD627" s="13">
        <v>3</v>
      </c>
      <c r="AE627" s="13">
        <v>3</v>
      </c>
      <c r="AF627" s="13">
        <v>3</v>
      </c>
      <c r="AG627" s="16">
        <f>IFERROR(SUMIF(reading[[#This Row],[1st]:[7th]],"&gt;0")/COUNTIF(reading[[#This Row],[1st]:[7th]],"&gt;0"),"")</f>
        <v>2.8571428571428572</v>
      </c>
    </row>
    <row r="628" spans="1:33" hidden="1" x14ac:dyDescent="0.2">
      <c r="A628" s="4">
        <f>IF(B628=1,3,IF(D628=1,2,IF(F628=1,1,0)))</f>
        <v>0</v>
      </c>
      <c r="B628" s="4" t="str">
        <f>IF(C628=$L628,1,IF(C628="","",0))</f>
        <v/>
      </c>
      <c r="C628" s="42"/>
      <c r="D628" s="4" t="str">
        <f>IF(E628=$L628,1,IF(E628="","",0))</f>
        <v/>
      </c>
      <c r="E628" s="14"/>
      <c r="F628" s="4" t="str">
        <f>IF(G628=$L628,1,IF(G628="","",0))</f>
        <v/>
      </c>
      <c r="G628" s="14"/>
      <c r="H628" s="6">
        <v>316</v>
      </c>
      <c r="I628" s="15" t="s">
        <v>3120</v>
      </c>
      <c r="J628" s="6" t="s">
        <v>3463</v>
      </c>
      <c r="K628" s="6"/>
      <c r="L628" s="6" t="s">
        <v>451</v>
      </c>
      <c r="M628" s="6" t="s">
        <v>6425</v>
      </c>
      <c r="N628" s="7">
        <f ca="1">RAND()</f>
        <v>0.652307729867175</v>
      </c>
      <c r="O628" s="8">
        <v>45200</v>
      </c>
      <c r="P628" s="8">
        <v>45201</v>
      </c>
      <c r="Q628" s="8">
        <v>45203</v>
      </c>
      <c r="R628" s="8">
        <v>45207</v>
      </c>
      <c r="S628" s="8">
        <v>45214</v>
      </c>
      <c r="T628" s="8">
        <v>45226</v>
      </c>
      <c r="U628" s="8">
        <v>45801</v>
      </c>
      <c r="V628" s="10">
        <f>COUNTA(O628:U628)</f>
        <v>7</v>
      </c>
      <c r="W628" s="11">
        <f>_xlfn.IFNA(INDEX(reading[[#This Row],[Memo 01]:[Memo 07]],MATCH(0,reading[[#This Row],[Memo 01]:[Memo 07]],-1)),"")</f>
        <v>45801</v>
      </c>
      <c r="X628" s="11">
        <f ca="1">IFERROR(reading[[#This Row],[Previous]]+OFFSET(reading[[#Headers],[Memo 01]],-1,MATCH(0,reading[[#This Row],[Memo 01]:[Memo 07]],-1)-1),"")</f>
        <v>55801</v>
      </c>
      <c r="Y628" s="10" t="str">
        <f ca="1">IF(reading[[#This Row],[Next]]&lt;&gt;"",IF(reading[[#This Row],[Next]]&gt;TODAY(),"OK",""),"")</f>
        <v>OK</v>
      </c>
      <c r="Z628" s="13">
        <v>3</v>
      </c>
      <c r="AA628" s="13">
        <v>3</v>
      </c>
      <c r="AB628" s="13">
        <v>3</v>
      </c>
      <c r="AC628" s="13">
        <v>3</v>
      </c>
      <c r="AD628" s="13">
        <v>3</v>
      </c>
      <c r="AE628" s="13">
        <v>3</v>
      </c>
      <c r="AF628" s="13">
        <v>3</v>
      </c>
      <c r="AG628" s="16">
        <f>IFERROR(SUMIF(reading[[#This Row],[1st]:[7th]],"&gt;0")/COUNTIF(reading[[#This Row],[1st]:[7th]],"&gt;0"),"")</f>
        <v>3</v>
      </c>
    </row>
    <row r="629" spans="1:33" hidden="1" x14ac:dyDescent="0.2">
      <c r="A629" s="4">
        <f>IF(B629=1,3,IF(D629=1,2,IF(F629=1,1,0)))</f>
        <v>0</v>
      </c>
      <c r="B629" s="4" t="str">
        <f>IF(C629=$L629,1,IF(C629="","",0))</f>
        <v/>
      </c>
      <c r="C629" s="42"/>
      <c r="D629" s="4" t="str">
        <f>IF(E629=$L629,1,IF(E629="","",0))</f>
        <v/>
      </c>
      <c r="E629" s="14"/>
      <c r="F629" s="4" t="str">
        <f>IF(G629=$L629,1,IF(G629="","",0))</f>
        <v/>
      </c>
      <c r="G629" s="14"/>
      <c r="H629" s="6">
        <v>917</v>
      </c>
      <c r="I629" s="15" t="s">
        <v>3120</v>
      </c>
      <c r="J629" s="6" t="s">
        <v>4049</v>
      </c>
      <c r="K629" s="6"/>
      <c r="L629" s="6" t="s">
        <v>1029</v>
      </c>
      <c r="M629" s="6" t="s">
        <v>7026</v>
      </c>
      <c r="N629" s="7">
        <f ca="1">RAND()</f>
        <v>0.41030235062815201</v>
      </c>
      <c r="O629" s="8">
        <v>45204</v>
      </c>
      <c r="P629" s="8">
        <v>45205</v>
      </c>
      <c r="Q629" s="8">
        <v>45207</v>
      </c>
      <c r="R629" s="8">
        <v>45211</v>
      </c>
      <c r="S629" s="8">
        <v>45218</v>
      </c>
      <c r="T629" s="8">
        <v>45230</v>
      </c>
      <c r="U629" s="8">
        <v>45792</v>
      </c>
      <c r="V629" s="10">
        <f>COUNTA(O629:U629)</f>
        <v>7</v>
      </c>
      <c r="W629" s="11">
        <f>_xlfn.IFNA(INDEX(reading[[#This Row],[Memo 01]:[Memo 07]],MATCH(0,reading[[#This Row],[Memo 01]:[Memo 07]],-1)),"")</f>
        <v>45792</v>
      </c>
      <c r="X629" s="11">
        <f ca="1">IFERROR(reading[[#This Row],[Previous]]+OFFSET(reading[[#Headers],[Memo 01]],-1,MATCH(0,reading[[#This Row],[Memo 01]:[Memo 07]],-1)-1),"")</f>
        <v>55792</v>
      </c>
      <c r="Y629" s="10" t="str">
        <f ca="1">IF(reading[[#This Row],[Next]]&lt;&gt;"",IF(reading[[#This Row],[Next]]&gt;TODAY(),"OK",""),"")</f>
        <v>OK</v>
      </c>
      <c r="Z629" s="13">
        <v>3</v>
      </c>
      <c r="AA629" s="13">
        <v>3</v>
      </c>
      <c r="AB629" s="13">
        <v>3</v>
      </c>
      <c r="AC629" s="13">
        <v>3</v>
      </c>
      <c r="AD629" s="13">
        <v>3</v>
      </c>
      <c r="AE629" s="13">
        <v>3</v>
      </c>
      <c r="AF629" s="13">
        <v>3</v>
      </c>
      <c r="AG629" s="16">
        <f>IFERROR(SUMIF(reading[[#This Row],[1st]:[7th]],"&gt;0")/COUNTIF(reading[[#This Row],[1st]:[7th]],"&gt;0"),"")</f>
        <v>3</v>
      </c>
    </row>
    <row r="630" spans="1:33" hidden="1" x14ac:dyDescent="0.2">
      <c r="A630" s="4">
        <f>IF(B630=1,3,IF(D630=1,2,IF(F630=1,1,0)))</f>
        <v>0</v>
      </c>
      <c r="B630" s="4" t="str">
        <f>IF(C630=$L630,1,IF(C630="","",0))</f>
        <v/>
      </c>
      <c r="C630" s="42"/>
      <c r="D630" s="4" t="str">
        <f>IF(E630=$L630,1,IF(E630="","",0))</f>
        <v/>
      </c>
      <c r="E630" s="43"/>
      <c r="F630" s="4" t="str">
        <f>IF(G630=$L630,1,IF(G630="","",0))</f>
        <v/>
      </c>
      <c r="G630" s="14"/>
      <c r="H630" s="6">
        <v>2549</v>
      </c>
      <c r="I630" s="15" t="s">
        <v>3120</v>
      </c>
      <c r="J630" s="6" t="s">
        <v>5610</v>
      </c>
      <c r="K630" s="6"/>
      <c r="L630" s="6" t="s">
        <v>2594</v>
      </c>
      <c r="M630" s="6" t="s">
        <v>8654</v>
      </c>
      <c r="N630" s="7">
        <f ca="1">RAND()</f>
        <v>0.98695910934062192</v>
      </c>
      <c r="O630" s="8">
        <v>45219</v>
      </c>
      <c r="P630" s="8">
        <v>45220</v>
      </c>
      <c r="Q630" s="8">
        <v>45222</v>
      </c>
      <c r="R630" s="8">
        <v>45226</v>
      </c>
      <c r="S630" s="8">
        <v>45233</v>
      </c>
      <c r="T630" s="8">
        <v>45811</v>
      </c>
      <c r="U630" s="8"/>
      <c r="V630" s="10">
        <f>COUNTA(O630:U630)</f>
        <v>6</v>
      </c>
      <c r="W630" s="11">
        <f>_xlfn.IFNA(INDEX(reading[[#This Row],[Memo 01]:[Memo 07]],MATCH(0,reading[[#This Row],[Memo 01]:[Memo 07]],-1)),"")</f>
        <v>45811</v>
      </c>
      <c r="X630" s="11">
        <f ca="1">IFERROR(reading[[#This Row],[Previous]]+OFFSET(reading[[#Headers],[Memo 01]],-1,MATCH(0,reading[[#This Row],[Memo 01]:[Memo 07]],-1)-1),"")</f>
        <v>45831</v>
      </c>
      <c r="Y630" s="10" t="str">
        <f ca="1">IF(reading[[#This Row],[Next]]&lt;&gt;"",IF(reading[[#This Row],[Next]]&gt;TODAY(),"OK",""),"")</f>
        <v/>
      </c>
      <c r="Z630" s="13">
        <v>3</v>
      </c>
      <c r="AA630" s="13">
        <v>3</v>
      </c>
      <c r="AB630" s="13">
        <v>3</v>
      </c>
      <c r="AC630" s="13">
        <v>2</v>
      </c>
      <c r="AD630" s="13">
        <v>3</v>
      </c>
      <c r="AE630" s="13">
        <v>2</v>
      </c>
      <c r="AF630" s="13"/>
      <c r="AG630" s="16">
        <f>IFERROR(SUMIF(reading[[#This Row],[1st]:[7th]],"&gt;0")/COUNTIF(reading[[#This Row],[1st]:[7th]],"&gt;0"),"")</f>
        <v>2.6666666666666665</v>
      </c>
    </row>
    <row r="631" spans="1:33" hidden="1" x14ac:dyDescent="0.2">
      <c r="A631" s="4">
        <f>IF(B631=1,3,IF(D631=1,2,IF(F631=1,1,0)))</f>
        <v>0</v>
      </c>
      <c r="B631" s="4" t="str">
        <f>IF(C631=$L631,1,IF(C631="","",0))</f>
        <v/>
      </c>
      <c r="C631" s="42"/>
      <c r="D631" s="4" t="str">
        <f>IF(E631=$L631,1,IF(E631="","",0))</f>
        <v/>
      </c>
      <c r="E631" s="23"/>
      <c r="F631" s="4" t="str">
        <f>IF(G631=$L631,1,IF(G631="","",0))</f>
        <v/>
      </c>
      <c r="G631" s="23"/>
      <c r="H631" s="6">
        <v>2790</v>
      </c>
      <c r="I631" s="15" t="s">
        <v>3120</v>
      </c>
      <c r="J631" s="6" t="s">
        <v>5833</v>
      </c>
      <c r="K631" s="15" t="s">
        <v>3138</v>
      </c>
      <c r="L631" s="6" t="s">
        <v>2827</v>
      </c>
      <c r="M631" s="6" t="s">
        <v>8894</v>
      </c>
      <c r="N631" s="7">
        <f ca="1">RAND()</f>
        <v>0.52405053867580143</v>
      </c>
      <c r="O631" s="8">
        <v>45222</v>
      </c>
      <c r="P631" s="8">
        <v>45223</v>
      </c>
      <c r="Q631" s="8">
        <v>45225</v>
      </c>
      <c r="R631" s="8">
        <v>45229</v>
      </c>
      <c r="S631" s="8">
        <v>45236</v>
      </c>
      <c r="T631" s="8">
        <v>45811</v>
      </c>
      <c r="U631" s="8"/>
      <c r="V631" s="10">
        <f>COUNTA(O631:U631)</f>
        <v>6</v>
      </c>
      <c r="W631" s="11">
        <f>_xlfn.IFNA(INDEX(reading[[#This Row],[Memo 01]:[Memo 07]],MATCH(0,reading[[#This Row],[Memo 01]:[Memo 07]],-1)),"")</f>
        <v>45811</v>
      </c>
      <c r="X631" s="11">
        <f ca="1">IFERROR(reading[[#This Row],[Previous]]+OFFSET(reading[[#Headers],[Memo 01]],-1,MATCH(0,reading[[#This Row],[Memo 01]:[Memo 07]],-1)-1),"")</f>
        <v>45831</v>
      </c>
      <c r="Y631" s="10" t="str">
        <f ca="1">IF(reading[[#This Row],[Next]]&lt;&gt;"",IF(reading[[#This Row],[Next]]&gt;TODAY(),"OK",""),"")</f>
        <v/>
      </c>
      <c r="Z631" s="13">
        <v>3</v>
      </c>
      <c r="AA631" s="13">
        <v>3</v>
      </c>
      <c r="AB631" s="13">
        <v>3</v>
      </c>
      <c r="AC631" s="13">
        <v>3</v>
      </c>
      <c r="AD631" s="13">
        <v>3</v>
      </c>
      <c r="AE631" s="13">
        <v>1</v>
      </c>
      <c r="AF631" s="13"/>
      <c r="AG631" s="16">
        <f>IFERROR(SUMIF(reading[[#This Row],[1st]:[7th]],"&gt;0")/COUNTIF(reading[[#This Row],[1st]:[7th]],"&gt;0"),"")</f>
        <v>2.6666666666666665</v>
      </c>
    </row>
    <row r="632" spans="1:33" hidden="1" x14ac:dyDescent="0.2">
      <c r="A632" s="4">
        <f>IF(B632=1,3,IF(D632=1,2,IF(F632=1,1,0)))</f>
        <v>0</v>
      </c>
      <c r="B632" s="4" t="str">
        <f>IF(C632=$L632,1,IF(C632="","",0))</f>
        <v/>
      </c>
      <c r="C632" s="42"/>
      <c r="D632" s="4" t="str">
        <f>IF(E632=$L632,1,IF(E632="","",0))</f>
        <v/>
      </c>
      <c r="E632" s="18"/>
      <c r="F632" s="4" t="str">
        <f>IF(G632=$L632,1,IF(G632="","",0))</f>
        <v/>
      </c>
      <c r="G632" s="14"/>
      <c r="H632" s="6">
        <v>634</v>
      </c>
      <c r="I632" s="15" t="s">
        <v>3120</v>
      </c>
      <c r="J632" s="6" t="s">
        <v>3775</v>
      </c>
      <c r="K632" s="6"/>
      <c r="L632" s="6" t="s">
        <v>757</v>
      </c>
      <c r="M632" s="6" t="s">
        <v>6743</v>
      </c>
      <c r="N632" s="7">
        <f ca="1">RAND()</f>
        <v>2.592946065646784E-2</v>
      </c>
      <c r="O632" s="8">
        <v>45203</v>
      </c>
      <c r="P632" s="8">
        <v>45204</v>
      </c>
      <c r="Q632" s="8">
        <v>45206</v>
      </c>
      <c r="R632" s="8">
        <v>45210</v>
      </c>
      <c r="S632" s="8">
        <v>45217</v>
      </c>
      <c r="T632" s="8">
        <v>45229</v>
      </c>
      <c r="U632" s="8">
        <v>45253</v>
      </c>
      <c r="V632" s="10">
        <f>COUNTA(O632:U632)</f>
        <v>7</v>
      </c>
      <c r="W632" s="11">
        <f>_xlfn.IFNA(INDEX(reading[[#This Row],[Memo 01]:[Memo 07]],MATCH(0,reading[[#This Row],[Memo 01]:[Memo 07]],-1)),"")</f>
        <v>45253</v>
      </c>
      <c r="X632" s="11">
        <f ca="1">IFERROR(reading[[#This Row],[Previous]]+OFFSET(reading[[#Headers],[Memo 01]],-1,MATCH(0,reading[[#This Row],[Memo 01]:[Memo 07]],-1)-1),"")</f>
        <v>55253</v>
      </c>
      <c r="Y632" s="10" t="str">
        <f ca="1">IF(reading[[#This Row],[Next]]&lt;&gt;"",IF(reading[[#This Row],[Next]]&gt;TODAY(),"OK",""),"")</f>
        <v>OK</v>
      </c>
      <c r="Z632" s="13">
        <v>3</v>
      </c>
      <c r="AA632" s="13">
        <v>3</v>
      </c>
      <c r="AB632" s="13">
        <v>2</v>
      </c>
      <c r="AC632" s="13">
        <v>3</v>
      </c>
      <c r="AD632" s="13">
        <v>3</v>
      </c>
      <c r="AE632" s="13">
        <v>2</v>
      </c>
      <c r="AF632" s="13">
        <v>2</v>
      </c>
      <c r="AG632" s="16">
        <f>IFERROR(SUMIF(reading[[#This Row],[1st]:[7th]],"&gt;0")/COUNTIF(reading[[#This Row],[1st]:[7th]],"&gt;0"),"")</f>
        <v>2.5714285714285716</v>
      </c>
    </row>
    <row r="633" spans="1:33" hidden="1" x14ac:dyDescent="0.2">
      <c r="A633" s="4">
        <f>IF(B633=1,3,IF(D633=1,2,IF(F633=1,1,0)))</f>
        <v>0</v>
      </c>
      <c r="B633" s="4" t="str">
        <f>IF(C633=$L633,1,IF(C633="","",0))</f>
        <v/>
      </c>
      <c r="C633" s="42"/>
      <c r="D633" s="4" t="str">
        <f>IF(E633=$L633,1,IF(E633="","",0))</f>
        <v/>
      </c>
      <c r="E633" s="14"/>
      <c r="F633" s="4" t="str">
        <f>IF(G633=$L633,1,IF(G633="","",0))</f>
        <v/>
      </c>
      <c r="G633" s="14"/>
      <c r="H633" s="6">
        <v>1580</v>
      </c>
      <c r="I633" s="15" t="s">
        <v>3120</v>
      </c>
      <c r="J633" s="6" t="s">
        <v>4692</v>
      </c>
      <c r="K633" s="6"/>
      <c r="L633" s="6" t="s">
        <v>1663</v>
      </c>
      <c r="M633" s="6" t="s">
        <v>7686</v>
      </c>
      <c r="N633" s="7">
        <f ca="1">RAND()</f>
        <v>0.46677725810666804</v>
      </c>
      <c r="O633" s="8">
        <v>45209</v>
      </c>
      <c r="P633" s="8">
        <v>45210</v>
      </c>
      <c r="Q633" s="8">
        <v>45212</v>
      </c>
      <c r="R633" s="8">
        <v>45216</v>
      </c>
      <c r="S633" s="8">
        <v>45223</v>
      </c>
      <c r="T633" s="8">
        <v>45235</v>
      </c>
      <c r="U633" s="8">
        <v>45818</v>
      </c>
      <c r="V633" s="10">
        <f>COUNTA(O633:U633)</f>
        <v>7</v>
      </c>
      <c r="W633" s="11">
        <f>_xlfn.IFNA(INDEX(reading[[#This Row],[Memo 01]:[Memo 07]],MATCH(0,reading[[#This Row],[Memo 01]:[Memo 07]],-1)),"")</f>
        <v>45818</v>
      </c>
      <c r="X633" s="11">
        <f ca="1">IFERROR(reading[[#This Row],[Previous]]+OFFSET(reading[[#Headers],[Memo 01]],-1,MATCH(0,reading[[#This Row],[Memo 01]:[Memo 07]],-1)-1),"")</f>
        <v>55818</v>
      </c>
      <c r="Y633" s="10" t="str">
        <f ca="1">IF(reading[[#This Row],[Next]]&lt;&gt;"",IF(reading[[#This Row],[Next]]&gt;TODAY(),"OK",""),"")</f>
        <v>OK</v>
      </c>
      <c r="Z633" s="13">
        <v>3</v>
      </c>
      <c r="AA633" s="13">
        <v>3</v>
      </c>
      <c r="AB633" s="13">
        <v>3</v>
      </c>
      <c r="AC633" s="13">
        <v>3</v>
      </c>
      <c r="AD633" s="13">
        <v>3</v>
      </c>
      <c r="AE633" s="13">
        <v>3</v>
      </c>
      <c r="AF633" s="13">
        <v>3</v>
      </c>
      <c r="AG633" s="16">
        <f>IFERROR(SUMIF(reading[[#This Row],[1st]:[7th]],"&gt;0")/COUNTIF(reading[[#This Row],[1st]:[7th]],"&gt;0"),"")</f>
        <v>3</v>
      </c>
    </row>
    <row r="634" spans="1:33" hidden="1" x14ac:dyDescent="0.2">
      <c r="A634" s="4">
        <f>IF(B634=1,3,IF(D634=1,2,IF(F634=1,1,0)))</f>
        <v>0</v>
      </c>
      <c r="B634" s="4" t="str">
        <f>IF(C634=$L634,1,IF(C634="","",0))</f>
        <v/>
      </c>
      <c r="C634" s="42"/>
      <c r="D634" s="4" t="str">
        <f>IF(E634=$L634,1,IF(E634="","",0))</f>
        <v/>
      </c>
      <c r="E634" s="14"/>
      <c r="F634" s="4" t="str">
        <f>IF(G634=$L634,1,IF(G634="","",0))</f>
        <v/>
      </c>
      <c r="G634" s="14"/>
      <c r="H634" s="6">
        <v>342</v>
      </c>
      <c r="I634" s="15" t="s">
        <v>3120</v>
      </c>
      <c r="J634" s="6" t="s">
        <v>3489</v>
      </c>
      <c r="K634" s="6"/>
      <c r="L634" s="6" t="s">
        <v>477</v>
      </c>
      <c r="M634" s="6" t="s">
        <v>6451</v>
      </c>
      <c r="N634" s="7">
        <f ca="1">RAND()</f>
        <v>0.59336947723272915</v>
      </c>
      <c r="O634" s="8">
        <v>45200</v>
      </c>
      <c r="P634" s="8">
        <v>45201</v>
      </c>
      <c r="Q634" s="8">
        <v>45203</v>
      </c>
      <c r="R634" s="8">
        <v>45207</v>
      </c>
      <c r="S634" s="8">
        <v>45214</v>
      </c>
      <c r="T634" s="8">
        <v>45226</v>
      </c>
      <c r="U634" s="8">
        <v>45792</v>
      </c>
      <c r="V634" s="10">
        <f>COUNTA(O634:U634)</f>
        <v>7</v>
      </c>
      <c r="W634" s="11">
        <f>_xlfn.IFNA(INDEX(reading[[#This Row],[Memo 01]:[Memo 07]],MATCH(0,reading[[#This Row],[Memo 01]:[Memo 07]],-1)),"")</f>
        <v>45792</v>
      </c>
      <c r="X634" s="11">
        <f ca="1">IFERROR(reading[[#This Row],[Previous]]+OFFSET(reading[[#Headers],[Memo 01]],-1,MATCH(0,reading[[#This Row],[Memo 01]:[Memo 07]],-1)-1),"")</f>
        <v>55792</v>
      </c>
      <c r="Y634" s="10" t="str">
        <f ca="1">IF(reading[[#This Row],[Next]]&lt;&gt;"",IF(reading[[#This Row],[Next]]&gt;TODAY(),"OK",""),"")</f>
        <v>OK</v>
      </c>
      <c r="Z634" s="13">
        <v>3</v>
      </c>
      <c r="AA634" s="13">
        <v>3</v>
      </c>
      <c r="AB634" s="13">
        <v>3</v>
      </c>
      <c r="AC634" s="13">
        <v>3</v>
      </c>
      <c r="AD634" s="13">
        <v>3</v>
      </c>
      <c r="AE634" s="13">
        <v>3</v>
      </c>
      <c r="AF634" s="13">
        <v>3</v>
      </c>
      <c r="AG634" s="16">
        <f>IFERROR(SUMIF(reading[[#This Row],[1st]:[7th]],"&gt;0")/COUNTIF(reading[[#This Row],[1st]:[7th]],"&gt;0"),"")</f>
        <v>3</v>
      </c>
    </row>
    <row r="635" spans="1:33" hidden="1" x14ac:dyDescent="0.2">
      <c r="A635" s="4">
        <f>IF(B635=1,3,IF(D635=1,2,IF(F635=1,1,0)))</f>
        <v>3</v>
      </c>
      <c r="B635" s="4">
        <f>IF(C635=$L635,1,IF(C635="","",0))</f>
        <v>1</v>
      </c>
      <c r="C635" s="21" t="s">
        <v>761</v>
      </c>
      <c r="D635" s="4" t="str">
        <f>IF(E635=$L635,1,IF(E635="","",0))</f>
        <v/>
      </c>
      <c r="E635" s="14"/>
      <c r="F635" s="4" t="str">
        <f>IF(G635=$L635,1,IF(G635="","",0))</f>
        <v/>
      </c>
      <c r="G635" s="14"/>
      <c r="H635" s="6">
        <v>638</v>
      </c>
      <c r="I635" s="15" t="s">
        <v>3120</v>
      </c>
      <c r="J635" s="6" t="s">
        <v>3779</v>
      </c>
      <c r="K635" s="6"/>
      <c r="L635" s="6" t="s">
        <v>761</v>
      </c>
      <c r="M635" s="6" t="s">
        <v>6747</v>
      </c>
      <c r="N635" s="7">
        <f ca="1">RAND()</f>
        <v>0.87595332853802177</v>
      </c>
      <c r="O635" s="8">
        <v>45202</v>
      </c>
      <c r="P635" s="8">
        <v>45202</v>
      </c>
      <c r="Q635" s="8">
        <v>45202</v>
      </c>
      <c r="R635" s="8">
        <v>45202</v>
      </c>
      <c r="S635" s="8">
        <v>45202</v>
      </c>
      <c r="T635" s="8">
        <v>45202</v>
      </c>
      <c r="U635" s="8">
        <v>45202</v>
      </c>
      <c r="V635" s="10">
        <f>COUNTA(O635:U635)</f>
        <v>7</v>
      </c>
      <c r="W635" s="11">
        <f>_xlfn.IFNA(INDEX(reading[[#This Row],[Memo 01]:[Memo 07]],MATCH(0,reading[[#This Row],[Memo 01]:[Memo 07]],-1)),"")</f>
        <v>45202</v>
      </c>
      <c r="X635" s="11">
        <f ca="1">IFERROR(reading[[#This Row],[Previous]]+OFFSET(reading[[#Headers],[Memo 01]],-1,MATCH(0,reading[[#This Row],[Memo 01]:[Memo 07]],-1)-1),"")</f>
        <v>55202</v>
      </c>
      <c r="Y635" s="10" t="str">
        <f ca="1">IF(reading[[#This Row],[Next]]&lt;&gt;"",IF(reading[[#This Row],[Next]]&gt;TODAY(),"OK",""),"")</f>
        <v>OK</v>
      </c>
      <c r="Z635" s="13">
        <v>3</v>
      </c>
      <c r="AA635" s="13"/>
      <c r="AB635" s="13"/>
      <c r="AC635" s="13"/>
      <c r="AD635" s="13"/>
      <c r="AE635" s="13"/>
      <c r="AF635" s="13"/>
      <c r="AG635" s="16">
        <f>IFERROR(SUMIF(reading[[#This Row],[1st]:[7th]],"&gt;0")/COUNTIF(reading[[#This Row],[1st]:[7th]],"&gt;0"),"")</f>
        <v>3</v>
      </c>
    </row>
    <row r="636" spans="1:33" hidden="1" x14ac:dyDescent="0.2">
      <c r="A636" s="4">
        <f>IF(B636=1,3,IF(D636=1,2,IF(F636=1,1,0)))</f>
        <v>0</v>
      </c>
      <c r="B636" s="4" t="str">
        <f>IF(C636=$L636,1,IF(C636="","",0))</f>
        <v/>
      </c>
      <c r="C636" s="42"/>
      <c r="D636" s="4" t="str">
        <f>IF(E636=$L636,1,IF(E636="","",0))</f>
        <v/>
      </c>
      <c r="E636" s="14"/>
      <c r="F636" s="4" t="str">
        <f>IF(G636=$L636,1,IF(G636="","",0))</f>
        <v/>
      </c>
      <c r="G636" s="14"/>
      <c r="H636" s="6">
        <v>1670</v>
      </c>
      <c r="I636" s="15" t="s">
        <v>3120</v>
      </c>
      <c r="J636" s="6" t="s">
        <v>4781</v>
      </c>
      <c r="K636" s="6"/>
      <c r="L636" s="6" t="s">
        <v>1751</v>
      </c>
      <c r="M636" s="6" t="s">
        <v>7776</v>
      </c>
      <c r="N636" s="7">
        <f ca="1">RAND()</f>
        <v>0.26817764583896564</v>
      </c>
      <c r="O636" s="8">
        <v>45210</v>
      </c>
      <c r="P636" s="8">
        <v>45212</v>
      </c>
      <c r="Q636" s="8">
        <v>45214</v>
      </c>
      <c r="R636" s="8">
        <v>45218</v>
      </c>
      <c r="S636" s="8">
        <v>45225</v>
      </c>
      <c r="T636" s="8">
        <v>45237</v>
      </c>
      <c r="U636" s="8">
        <v>45792</v>
      </c>
      <c r="V636" s="10">
        <f>COUNTA(O636:U636)</f>
        <v>7</v>
      </c>
      <c r="W636" s="11">
        <f>_xlfn.IFNA(INDEX(reading[[#This Row],[Memo 01]:[Memo 07]],MATCH(0,reading[[#This Row],[Memo 01]:[Memo 07]],-1)),"")</f>
        <v>45792</v>
      </c>
      <c r="X636" s="11">
        <f ca="1">IFERROR(reading[[#This Row],[Previous]]+OFFSET(reading[[#Headers],[Memo 01]],-1,MATCH(0,reading[[#This Row],[Memo 01]:[Memo 07]],-1)-1),"")</f>
        <v>55792</v>
      </c>
      <c r="Y636" s="10" t="str">
        <f ca="1">IF(reading[[#This Row],[Next]]&lt;&gt;"",IF(reading[[#This Row],[Next]]&gt;TODAY(),"OK",""),"")</f>
        <v>OK</v>
      </c>
      <c r="Z636" s="13">
        <v>3</v>
      </c>
      <c r="AA636" s="13">
        <v>2</v>
      </c>
      <c r="AB636" s="13">
        <v>3</v>
      </c>
      <c r="AC636" s="13">
        <v>3</v>
      </c>
      <c r="AD636" s="13">
        <v>3</v>
      </c>
      <c r="AE636" s="13">
        <v>3</v>
      </c>
      <c r="AF636" s="13">
        <v>3</v>
      </c>
      <c r="AG636" s="16">
        <f>IFERROR(SUMIF(reading[[#This Row],[1st]:[7th]],"&gt;0")/COUNTIF(reading[[#This Row],[1st]:[7th]],"&gt;0"),"")</f>
        <v>2.8571428571428572</v>
      </c>
    </row>
    <row r="637" spans="1:33" hidden="1" x14ac:dyDescent="0.2">
      <c r="A637" s="4">
        <f>IF(B637=1,3,IF(D637=1,2,IF(F637=1,1,0)))</f>
        <v>0</v>
      </c>
      <c r="B637" s="4" t="str">
        <f>IF(C637=$L637,1,IF(C637="","",0))</f>
        <v/>
      </c>
      <c r="C637" s="42"/>
      <c r="D637" s="4" t="str">
        <f>IF(E637=$L637,1,IF(E637="","",0))</f>
        <v/>
      </c>
      <c r="E637" s="14"/>
      <c r="F637" s="4" t="str">
        <f>IF(G637=$L637,1,IF(G637="","",0))</f>
        <v/>
      </c>
      <c r="G637" s="14"/>
      <c r="H637" s="6">
        <v>1251</v>
      </c>
      <c r="I637" s="15" t="s">
        <v>3120</v>
      </c>
      <c r="J637" s="6" t="s">
        <v>4368</v>
      </c>
      <c r="K637" s="6"/>
      <c r="L637" s="6" t="s">
        <v>1351</v>
      </c>
      <c r="M637" s="6" t="s">
        <v>7358</v>
      </c>
      <c r="N637" s="7">
        <f ca="1">RAND()</f>
        <v>0.7638197906765215</v>
      </c>
      <c r="O637" s="8">
        <v>45206</v>
      </c>
      <c r="P637" s="8">
        <v>45207</v>
      </c>
      <c r="Q637" s="8">
        <v>45209</v>
      </c>
      <c r="R637" s="8">
        <v>45213</v>
      </c>
      <c r="S637" s="8">
        <v>45220</v>
      </c>
      <c r="T637" s="8">
        <v>45232</v>
      </c>
      <c r="U637" s="8">
        <v>45792</v>
      </c>
      <c r="V637" s="10">
        <f>COUNTA(O637:U637)</f>
        <v>7</v>
      </c>
      <c r="W637" s="11">
        <f>_xlfn.IFNA(INDEX(reading[[#This Row],[Memo 01]:[Memo 07]],MATCH(0,reading[[#This Row],[Memo 01]:[Memo 07]],-1)),"")</f>
        <v>45792</v>
      </c>
      <c r="X637" s="11">
        <f ca="1">IFERROR(reading[[#This Row],[Previous]]+OFFSET(reading[[#Headers],[Memo 01]],-1,MATCH(0,reading[[#This Row],[Memo 01]:[Memo 07]],-1)-1),"")</f>
        <v>55792</v>
      </c>
      <c r="Y637" s="10" t="str">
        <f ca="1">IF(reading[[#This Row],[Next]]&lt;&gt;"",IF(reading[[#This Row],[Next]]&gt;TODAY(),"OK",""),"")</f>
        <v>OK</v>
      </c>
      <c r="Z637" s="13">
        <v>3</v>
      </c>
      <c r="AA637" s="13">
        <v>3</v>
      </c>
      <c r="AB637" s="13">
        <v>3</v>
      </c>
      <c r="AC637" s="13">
        <v>3</v>
      </c>
      <c r="AD637" s="13">
        <v>3</v>
      </c>
      <c r="AE637" s="13">
        <v>3</v>
      </c>
      <c r="AF637" s="13">
        <v>3</v>
      </c>
      <c r="AG637" s="16">
        <f>IFERROR(SUMIF(reading[[#This Row],[1st]:[7th]],"&gt;0")/COUNTIF(reading[[#This Row],[1st]:[7th]],"&gt;0"),"")</f>
        <v>3</v>
      </c>
    </row>
    <row r="638" spans="1:33" hidden="1" x14ac:dyDescent="0.2">
      <c r="A638" s="4">
        <f>IF(B638=1,3,IF(D638=1,2,IF(F638=1,1,0)))</f>
        <v>0</v>
      </c>
      <c r="B638" s="4" t="str">
        <f>IF(C638=$L638,1,IF(C638="","",0))</f>
        <v/>
      </c>
      <c r="C638" s="42"/>
      <c r="D638" s="4" t="str">
        <f>IF(E638=$L638,1,IF(E638="","",0))</f>
        <v/>
      </c>
      <c r="E638" s="43"/>
      <c r="F638" s="4" t="str">
        <f>IF(G638=$L638,1,IF(G638="","",0))</f>
        <v/>
      </c>
      <c r="G638" s="14"/>
      <c r="H638" s="6">
        <v>373</v>
      </c>
      <c r="I638" s="15" t="s">
        <v>3120</v>
      </c>
      <c r="J638" s="6" t="s">
        <v>3520</v>
      </c>
      <c r="K638" s="6"/>
      <c r="L638" s="6" t="s">
        <v>506</v>
      </c>
      <c r="M638" s="6" t="s">
        <v>6482</v>
      </c>
      <c r="N638" s="7">
        <f ca="1">RAND()</f>
        <v>0.36113344946998371</v>
      </c>
      <c r="O638" s="8">
        <v>45201</v>
      </c>
      <c r="P638" s="8">
        <v>45202</v>
      </c>
      <c r="Q638" s="8">
        <v>45204</v>
      </c>
      <c r="R638" s="8">
        <v>45208</v>
      </c>
      <c r="S638" s="8">
        <v>45215</v>
      </c>
      <c r="T638" s="8">
        <v>45227</v>
      </c>
      <c r="U638" s="8">
        <v>45811</v>
      </c>
      <c r="V638" s="10">
        <f>COUNTA(O638:U638)</f>
        <v>7</v>
      </c>
      <c r="W638" s="11">
        <f>_xlfn.IFNA(INDEX(reading[[#This Row],[Memo 01]:[Memo 07]],MATCH(0,reading[[#This Row],[Memo 01]:[Memo 07]],-1)),"")</f>
        <v>45811</v>
      </c>
      <c r="X638" s="11">
        <f ca="1">IFERROR(reading[[#This Row],[Previous]]+OFFSET(reading[[#Headers],[Memo 01]],-1,MATCH(0,reading[[#This Row],[Memo 01]:[Memo 07]],-1)-1),"")</f>
        <v>55811</v>
      </c>
      <c r="Y638" s="10" t="str">
        <f ca="1">IF(reading[[#This Row],[Next]]&lt;&gt;"",IF(reading[[#This Row],[Next]]&gt;TODAY(),"OK",""),"")</f>
        <v>OK</v>
      </c>
      <c r="Z638" s="13">
        <v>3</v>
      </c>
      <c r="AA638" s="13">
        <v>3</v>
      </c>
      <c r="AB638" s="13">
        <v>3</v>
      </c>
      <c r="AC638" s="13">
        <v>3</v>
      </c>
      <c r="AD638" s="13">
        <v>3</v>
      </c>
      <c r="AE638" s="13">
        <v>2</v>
      </c>
      <c r="AF638" s="13">
        <v>2</v>
      </c>
      <c r="AG638" s="16">
        <f>IFERROR(SUMIF(reading[[#This Row],[1st]:[7th]],"&gt;0")/COUNTIF(reading[[#This Row],[1st]:[7th]],"&gt;0"),"")</f>
        <v>2.7142857142857144</v>
      </c>
    </row>
    <row r="639" spans="1:33" hidden="1" x14ac:dyDescent="0.2">
      <c r="A639" s="4">
        <f>IF(B639=1,3,IF(D639=1,2,IF(F639=1,1,0)))</f>
        <v>0</v>
      </c>
      <c r="B639" s="4" t="str">
        <f>IF(C639=$L639,1,IF(C639="","",0))</f>
        <v/>
      </c>
      <c r="C639" s="42"/>
      <c r="D639" s="4" t="str">
        <f>IF(E639=$L639,1,IF(E639="","",0))</f>
        <v/>
      </c>
      <c r="E639" s="14"/>
      <c r="F639" s="4" t="str">
        <f>IF(G639=$L639,1,IF(G639="","",0))</f>
        <v/>
      </c>
      <c r="G639" s="14"/>
      <c r="H639" s="6">
        <v>1744</v>
      </c>
      <c r="I639" s="15" t="s">
        <v>3120</v>
      </c>
      <c r="J639" s="6" t="s">
        <v>4852</v>
      </c>
      <c r="K639" s="6"/>
      <c r="L639" s="6" t="s">
        <v>1824</v>
      </c>
      <c r="M639" s="6" t="s">
        <v>7850</v>
      </c>
      <c r="N639" s="7">
        <f ca="1">RAND()</f>
        <v>0.19463653916483958</v>
      </c>
      <c r="O639" s="8">
        <v>45211</v>
      </c>
      <c r="P639" s="8">
        <v>45212</v>
      </c>
      <c r="Q639" s="8">
        <v>45214</v>
      </c>
      <c r="R639" s="8">
        <v>45218</v>
      </c>
      <c r="S639" s="8">
        <v>45225</v>
      </c>
      <c r="T639" s="8">
        <v>45237</v>
      </c>
      <c r="U639" s="8">
        <v>45818</v>
      </c>
      <c r="V639" s="10">
        <f>COUNTA(O639:U639)</f>
        <v>7</v>
      </c>
      <c r="W639" s="11">
        <f>_xlfn.IFNA(INDEX(reading[[#This Row],[Memo 01]:[Memo 07]],MATCH(0,reading[[#This Row],[Memo 01]:[Memo 07]],-1)),"")</f>
        <v>45818</v>
      </c>
      <c r="X639" s="11">
        <f ca="1">IFERROR(reading[[#This Row],[Previous]]+OFFSET(reading[[#Headers],[Memo 01]],-1,MATCH(0,reading[[#This Row],[Memo 01]:[Memo 07]],-1)-1),"")</f>
        <v>55818</v>
      </c>
      <c r="Y639" s="10" t="str">
        <f ca="1">IF(reading[[#This Row],[Next]]&lt;&gt;"",IF(reading[[#This Row],[Next]]&gt;TODAY(),"OK",""),"")</f>
        <v>OK</v>
      </c>
      <c r="Z639" s="13">
        <v>3</v>
      </c>
      <c r="AA639" s="13">
        <v>3</v>
      </c>
      <c r="AB639" s="13">
        <v>3</v>
      </c>
      <c r="AC639" s="13">
        <v>3</v>
      </c>
      <c r="AD639" s="13">
        <v>3</v>
      </c>
      <c r="AE639" s="13">
        <v>3</v>
      </c>
      <c r="AF639" s="13">
        <v>3</v>
      </c>
      <c r="AG639" s="16">
        <f>IFERROR(SUMIF(reading[[#This Row],[1st]:[7th]],"&gt;0")/COUNTIF(reading[[#This Row],[1st]:[7th]],"&gt;0"),"")</f>
        <v>3</v>
      </c>
    </row>
    <row r="640" spans="1:33" hidden="1" x14ac:dyDescent="0.2">
      <c r="A640" s="4">
        <f>IF(B640=1,3,IF(D640=1,2,IF(F640=1,1,0)))</f>
        <v>0</v>
      </c>
      <c r="B640" s="4" t="str">
        <f>IF(C640=$L640,1,IF(C640="","",0))</f>
        <v/>
      </c>
      <c r="C640" s="42"/>
      <c r="D640" s="4" t="str">
        <f>IF(E640=$L640,1,IF(E640="","",0))</f>
        <v/>
      </c>
      <c r="E640" s="23"/>
      <c r="F640" s="4" t="str">
        <f>IF(G640=$L640,1,IF(G640="","",0))</f>
        <v/>
      </c>
      <c r="G640" s="23"/>
      <c r="H640" s="6">
        <v>1255</v>
      </c>
      <c r="I640" s="15" t="s">
        <v>3120</v>
      </c>
      <c r="J640" s="6" t="s">
        <v>4372</v>
      </c>
      <c r="K640" s="6"/>
      <c r="L640" s="6" t="s">
        <v>1354</v>
      </c>
      <c r="M640" s="6" t="s">
        <v>7362</v>
      </c>
      <c r="N640" s="7">
        <f ca="1">RAND()</f>
        <v>0.96708052727961291</v>
      </c>
      <c r="O640" s="8">
        <v>45207</v>
      </c>
      <c r="P640" s="8">
        <v>45208</v>
      </c>
      <c r="Q640" s="8">
        <v>45210</v>
      </c>
      <c r="R640" s="8">
        <v>45214</v>
      </c>
      <c r="S640" s="8">
        <v>45221</v>
      </c>
      <c r="T640" s="8">
        <v>45233</v>
      </c>
      <c r="U640" s="8">
        <v>45811</v>
      </c>
      <c r="V640" s="10">
        <f>COUNTA(O640:U640)</f>
        <v>7</v>
      </c>
      <c r="W640" s="11">
        <f>_xlfn.IFNA(INDEX(reading[[#This Row],[Memo 01]:[Memo 07]],MATCH(0,reading[[#This Row],[Memo 01]:[Memo 07]],-1)),"")</f>
        <v>45811</v>
      </c>
      <c r="X640" s="11">
        <f ca="1">IFERROR(reading[[#This Row],[Previous]]+OFFSET(reading[[#Headers],[Memo 01]],-1,MATCH(0,reading[[#This Row],[Memo 01]:[Memo 07]],-1)-1),"")</f>
        <v>55811</v>
      </c>
      <c r="Y640" s="10" t="str">
        <f ca="1">IF(reading[[#This Row],[Next]]&lt;&gt;"",IF(reading[[#This Row],[Next]]&gt;TODAY(),"OK",""),"")</f>
        <v>OK</v>
      </c>
      <c r="Z640" s="13">
        <v>3</v>
      </c>
      <c r="AA640" s="13">
        <v>3</v>
      </c>
      <c r="AB640" s="13">
        <v>3</v>
      </c>
      <c r="AC640" s="13">
        <v>3</v>
      </c>
      <c r="AD640" s="13">
        <v>3</v>
      </c>
      <c r="AE640" s="13">
        <v>3</v>
      </c>
      <c r="AF640" s="13">
        <v>1</v>
      </c>
      <c r="AG640" s="16">
        <f>IFERROR(SUMIF(reading[[#This Row],[1st]:[7th]],"&gt;0")/COUNTIF(reading[[#This Row],[1st]:[7th]],"&gt;0"),"")</f>
        <v>2.7142857142857144</v>
      </c>
    </row>
    <row r="641" spans="1:33" hidden="1" x14ac:dyDescent="0.2">
      <c r="A641" s="4">
        <f>IF(B641=1,3,IF(D641=1,2,IF(F641=1,1,0)))</f>
        <v>0</v>
      </c>
      <c r="B641" s="4" t="str">
        <f>IF(C641=$L641,1,IF(C641="","",0))</f>
        <v/>
      </c>
      <c r="C641" s="42"/>
      <c r="D641" s="4" t="str">
        <f>IF(E641=$L641,1,IF(E641="","",0))</f>
        <v/>
      </c>
      <c r="E641" s="14"/>
      <c r="F641" s="4" t="str">
        <f>IF(G641=$L641,1,IF(G641="","",0))</f>
        <v/>
      </c>
      <c r="G641" s="14"/>
      <c r="H641" s="6">
        <v>1600</v>
      </c>
      <c r="I641" s="15" t="s">
        <v>3120</v>
      </c>
      <c r="J641" s="6" t="s">
        <v>4712</v>
      </c>
      <c r="K641" s="6"/>
      <c r="L641" s="6" t="s">
        <v>1683</v>
      </c>
      <c r="M641" s="6" t="s">
        <v>7706</v>
      </c>
      <c r="N641" s="7">
        <f ca="1">RAND()</f>
        <v>0.36103279225903295</v>
      </c>
      <c r="O641" s="8">
        <v>45209</v>
      </c>
      <c r="P641" s="8">
        <v>45210</v>
      </c>
      <c r="Q641" s="8">
        <v>45212</v>
      </c>
      <c r="R641" s="8">
        <v>45216</v>
      </c>
      <c r="S641" s="8">
        <v>45223</v>
      </c>
      <c r="T641" s="8">
        <v>45235</v>
      </c>
      <c r="U641" s="8">
        <v>45792</v>
      </c>
      <c r="V641" s="10">
        <f>COUNTA(O641:U641)</f>
        <v>7</v>
      </c>
      <c r="W641" s="11">
        <f>_xlfn.IFNA(INDEX(reading[[#This Row],[Memo 01]:[Memo 07]],MATCH(0,reading[[#This Row],[Memo 01]:[Memo 07]],-1)),"")</f>
        <v>45792</v>
      </c>
      <c r="X641" s="11">
        <f ca="1">IFERROR(reading[[#This Row],[Previous]]+OFFSET(reading[[#Headers],[Memo 01]],-1,MATCH(0,reading[[#This Row],[Memo 01]:[Memo 07]],-1)-1),"")</f>
        <v>55792</v>
      </c>
      <c r="Y641" s="10" t="str">
        <f ca="1">IF(reading[[#This Row],[Next]]&lt;&gt;"",IF(reading[[#This Row],[Next]]&gt;TODAY(),"OK",""),"")</f>
        <v>OK</v>
      </c>
      <c r="Z641" s="13">
        <v>3</v>
      </c>
      <c r="AA641" s="13">
        <v>3</v>
      </c>
      <c r="AB641" s="13">
        <v>3</v>
      </c>
      <c r="AC641" s="13">
        <v>3</v>
      </c>
      <c r="AD641" s="13">
        <v>3</v>
      </c>
      <c r="AE641" s="13">
        <v>3</v>
      </c>
      <c r="AF641" s="13">
        <v>3</v>
      </c>
      <c r="AG641" s="16">
        <f>IFERROR(SUMIF(reading[[#This Row],[1st]:[7th]],"&gt;0")/COUNTIF(reading[[#This Row],[1st]:[7th]],"&gt;0"),"")</f>
        <v>3</v>
      </c>
    </row>
    <row r="642" spans="1:33" hidden="1" x14ac:dyDescent="0.2">
      <c r="A642" s="4">
        <f>IF(B642=1,3,IF(D642=1,2,IF(F642=1,1,0)))</f>
        <v>0</v>
      </c>
      <c r="B642" s="4" t="str">
        <f>IF(C642=$L642,1,IF(C642="","",0))</f>
        <v/>
      </c>
      <c r="C642" s="42"/>
      <c r="D642" s="4" t="str">
        <f>IF(E642=$L642,1,IF(E642="","",0))</f>
        <v/>
      </c>
      <c r="E642" s="14"/>
      <c r="F642" s="4" t="str">
        <f>IF(G642=$L642,1,IF(G642="","",0))</f>
        <v/>
      </c>
      <c r="G642" s="14"/>
      <c r="H642" s="6">
        <v>1792</v>
      </c>
      <c r="I642" s="15" t="s">
        <v>3120</v>
      </c>
      <c r="J642" s="6" t="s">
        <v>4899</v>
      </c>
      <c r="K642" s="6"/>
      <c r="L642" s="6" t="s">
        <v>1871</v>
      </c>
      <c r="M642" s="6" t="s">
        <v>7898</v>
      </c>
      <c r="N642" s="7">
        <f ca="1">RAND()</f>
        <v>0.52544479808797873</v>
      </c>
      <c r="O642" s="8">
        <v>45211</v>
      </c>
      <c r="P642" s="8">
        <v>45212</v>
      </c>
      <c r="Q642" s="8">
        <v>45214</v>
      </c>
      <c r="R642" s="8">
        <v>45218</v>
      </c>
      <c r="S642" s="8">
        <v>45225</v>
      </c>
      <c r="T642" s="8">
        <v>45237</v>
      </c>
      <c r="U642" s="8">
        <v>45792</v>
      </c>
      <c r="V642" s="10">
        <f>COUNTA(O642:U642)</f>
        <v>7</v>
      </c>
      <c r="W642" s="11">
        <f>_xlfn.IFNA(INDEX(reading[[#This Row],[Memo 01]:[Memo 07]],MATCH(0,reading[[#This Row],[Memo 01]:[Memo 07]],-1)),"")</f>
        <v>45792</v>
      </c>
      <c r="X642" s="11">
        <f ca="1">IFERROR(reading[[#This Row],[Previous]]+OFFSET(reading[[#Headers],[Memo 01]],-1,MATCH(0,reading[[#This Row],[Memo 01]:[Memo 07]],-1)-1),"")</f>
        <v>55792</v>
      </c>
      <c r="Y642" s="10" t="str">
        <f ca="1">IF(reading[[#This Row],[Next]]&lt;&gt;"",IF(reading[[#This Row],[Next]]&gt;TODAY(),"OK",""),"")</f>
        <v>OK</v>
      </c>
      <c r="Z642" s="13">
        <v>3</v>
      </c>
      <c r="AA642" s="13">
        <v>3</v>
      </c>
      <c r="AB642" s="13">
        <v>3</v>
      </c>
      <c r="AC642" s="13">
        <v>3</v>
      </c>
      <c r="AD642" s="13">
        <v>3</v>
      </c>
      <c r="AE642" s="13">
        <v>3</v>
      </c>
      <c r="AF642" s="13">
        <v>3</v>
      </c>
      <c r="AG642" s="16">
        <f>IFERROR(SUMIF(reading[[#This Row],[1st]:[7th]],"&gt;0")/COUNTIF(reading[[#This Row],[1st]:[7th]],"&gt;0"),"")</f>
        <v>3</v>
      </c>
    </row>
    <row r="643" spans="1:33" hidden="1" x14ac:dyDescent="0.2">
      <c r="A643" s="4">
        <f>IF(B643=1,3,IF(D643=1,2,IF(F643=1,1,0)))</f>
        <v>0</v>
      </c>
      <c r="B643" s="4" t="str">
        <f>IF(C643=$L643,1,IF(C643="","",0))</f>
        <v/>
      </c>
      <c r="C643" s="42"/>
      <c r="D643" s="4" t="str">
        <f>IF(E643=$L643,1,IF(E643="","",0))</f>
        <v/>
      </c>
      <c r="E643" s="14"/>
      <c r="F643" s="4" t="str">
        <f>IF(G643=$L643,1,IF(G643="","",0))</f>
        <v/>
      </c>
      <c r="G643" s="14"/>
      <c r="H643" s="6">
        <v>2482</v>
      </c>
      <c r="I643" s="15" t="s">
        <v>3120</v>
      </c>
      <c r="J643" s="6" t="s">
        <v>5550</v>
      </c>
      <c r="K643" s="24" t="s">
        <v>9227</v>
      </c>
      <c r="L643" s="6" t="s">
        <v>2528</v>
      </c>
      <c r="M643" s="6" t="s">
        <v>8587</v>
      </c>
      <c r="N643" s="7">
        <f ca="1">RAND()</f>
        <v>0.9005997047721952</v>
      </c>
      <c r="O643" s="8">
        <v>45218</v>
      </c>
      <c r="P643" s="8">
        <v>45219</v>
      </c>
      <c r="Q643" s="8">
        <v>45221</v>
      </c>
      <c r="R643" s="8">
        <v>45225</v>
      </c>
      <c r="S643" s="8">
        <v>45232</v>
      </c>
      <c r="T643" s="8">
        <v>45783</v>
      </c>
      <c r="U643" s="8">
        <v>45818</v>
      </c>
      <c r="V643" s="10">
        <f>COUNTA(O643:U643)</f>
        <v>7</v>
      </c>
      <c r="W643" s="11">
        <f>_xlfn.IFNA(INDEX(reading[[#This Row],[Memo 01]:[Memo 07]],MATCH(0,reading[[#This Row],[Memo 01]:[Memo 07]],-1)),"")</f>
        <v>45818</v>
      </c>
      <c r="X643" s="11">
        <f ca="1">IFERROR(reading[[#This Row],[Previous]]+OFFSET(reading[[#Headers],[Memo 01]],-1,MATCH(0,reading[[#This Row],[Memo 01]:[Memo 07]],-1)-1),"")</f>
        <v>55818</v>
      </c>
      <c r="Y643" s="10" t="str">
        <f ca="1">IF(reading[[#This Row],[Next]]&lt;&gt;"",IF(reading[[#This Row],[Next]]&gt;TODAY(),"OK",""),"")</f>
        <v>OK</v>
      </c>
      <c r="Z643" s="13">
        <v>3</v>
      </c>
      <c r="AA643" s="13">
        <v>3</v>
      </c>
      <c r="AB643" s="13">
        <v>3</v>
      </c>
      <c r="AC643" s="13">
        <v>3</v>
      </c>
      <c r="AD643" s="13">
        <v>3</v>
      </c>
      <c r="AE643" s="13">
        <v>3</v>
      </c>
      <c r="AF643" s="13">
        <v>3</v>
      </c>
      <c r="AG643" s="16">
        <f>IFERROR(SUMIF(reading[[#This Row],[1st]:[7th]],"&gt;0")/COUNTIF(reading[[#This Row],[1st]:[7th]],"&gt;0"),"")</f>
        <v>3</v>
      </c>
    </row>
    <row r="644" spans="1:33" hidden="1" x14ac:dyDescent="0.2">
      <c r="A644" s="4">
        <f>IF(B644=1,3,IF(D644=1,2,IF(F644=1,1,0)))</f>
        <v>0</v>
      </c>
      <c r="B644" s="4" t="str">
        <f>IF(C644=$L644,1,IF(C644="","",0))</f>
        <v/>
      </c>
      <c r="C644" s="42"/>
      <c r="D644" s="4" t="str">
        <f>IF(E644=$L644,1,IF(E644="","",0))</f>
        <v/>
      </c>
      <c r="E644" s="23"/>
      <c r="F644" s="4" t="str">
        <f>IF(G644=$L644,1,IF(G644="","",0))</f>
        <v/>
      </c>
      <c r="G644" s="23"/>
      <c r="H644" s="6">
        <v>2989</v>
      </c>
      <c r="I644" s="15" t="s">
        <v>3120</v>
      </c>
      <c r="J644" s="6" t="s">
        <v>6016</v>
      </c>
      <c r="K644" s="6"/>
      <c r="L644" s="6" t="s">
        <v>3018</v>
      </c>
      <c r="M644" s="6" t="s">
        <v>9093</v>
      </c>
      <c r="N644" s="7">
        <f ca="1">RAND()</f>
        <v>0.45820918684294631</v>
      </c>
      <c r="O644" s="8">
        <v>45223</v>
      </c>
      <c r="P644" s="8">
        <v>45224</v>
      </c>
      <c r="Q644" s="8">
        <v>45226</v>
      </c>
      <c r="R644" s="8">
        <v>45230</v>
      </c>
      <c r="S644" s="8">
        <v>45237</v>
      </c>
      <c r="T644" s="8">
        <v>45811</v>
      </c>
      <c r="U644" s="8"/>
      <c r="V644" s="10">
        <f>COUNTA(O644:U644)</f>
        <v>6</v>
      </c>
      <c r="W644" s="11">
        <f>_xlfn.IFNA(INDEX(reading[[#This Row],[Memo 01]:[Memo 07]],MATCH(0,reading[[#This Row],[Memo 01]:[Memo 07]],-1)),"")</f>
        <v>45811</v>
      </c>
      <c r="X644" s="11">
        <f ca="1">IFERROR(reading[[#This Row],[Previous]]+OFFSET(reading[[#Headers],[Memo 01]],-1,MATCH(0,reading[[#This Row],[Memo 01]:[Memo 07]],-1)-1),"")</f>
        <v>45831</v>
      </c>
      <c r="Y644" s="10" t="str">
        <f ca="1">IF(reading[[#This Row],[Next]]&lt;&gt;"",IF(reading[[#This Row],[Next]]&gt;TODAY(),"OK",""),"")</f>
        <v/>
      </c>
      <c r="Z644" s="13">
        <v>3</v>
      </c>
      <c r="AA644" s="13">
        <v>3</v>
      </c>
      <c r="AB644" s="13">
        <v>3</v>
      </c>
      <c r="AC644" s="13">
        <v>3</v>
      </c>
      <c r="AD644" s="13">
        <v>3</v>
      </c>
      <c r="AE644" s="13">
        <v>1</v>
      </c>
      <c r="AF644" s="13"/>
      <c r="AG644" s="16">
        <f>IFERROR(SUMIF(reading[[#This Row],[1st]:[7th]],"&gt;0")/COUNTIF(reading[[#This Row],[1st]:[7th]],"&gt;0"),"")</f>
        <v>2.6666666666666665</v>
      </c>
    </row>
    <row r="645" spans="1:33" hidden="1" x14ac:dyDescent="0.2">
      <c r="A645" s="4">
        <f>IF(B645=1,3,IF(D645=1,2,IF(F645=1,1,0)))</f>
        <v>0</v>
      </c>
      <c r="B645" s="4" t="str">
        <f>IF(C645=$L645,1,IF(C645="","",0))</f>
        <v/>
      </c>
      <c r="C645" s="42"/>
      <c r="D645" s="4" t="str">
        <f>IF(E645=$L645,1,IF(E645="","",0))</f>
        <v/>
      </c>
      <c r="E645" s="23"/>
      <c r="F645" s="4" t="str">
        <f>IF(G645=$L645,1,IF(G645="","",0))</f>
        <v/>
      </c>
      <c r="G645" s="23"/>
      <c r="H645" s="6">
        <v>2070</v>
      </c>
      <c r="I645" s="15" t="s">
        <v>3120</v>
      </c>
      <c r="J645" s="6" t="s">
        <v>3622</v>
      </c>
      <c r="K645" s="6"/>
      <c r="L645" s="6" t="s">
        <v>2141</v>
      </c>
      <c r="M645" s="6" t="s">
        <v>8176</v>
      </c>
      <c r="N645" s="7">
        <f ca="1">RAND()</f>
        <v>0.43473098073539906</v>
      </c>
      <c r="O645" s="8">
        <v>45214</v>
      </c>
      <c r="P645" s="8">
        <v>45215</v>
      </c>
      <c r="Q645" s="8">
        <v>45217</v>
      </c>
      <c r="R645" s="8">
        <v>45221</v>
      </c>
      <c r="S645" s="8">
        <v>45228</v>
      </c>
      <c r="T645" s="8">
        <v>45811</v>
      </c>
      <c r="U645" s="8"/>
      <c r="V645" s="10">
        <f>COUNTA(O645:U645)</f>
        <v>6</v>
      </c>
      <c r="W645" s="11">
        <f>_xlfn.IFNA(INDEX(reading[[#This Row],[Memo 01]:[Memo 07]],MATCH(0,reading[[#This Row],[Memo 01]:[Memo 07]],-1)),"")</f>
        <v>45811</v>
      </c>
      <c r="X645" s="11">
        <f ca="1">IFERROR(reading[[#This Row],[Previous]]+OFFSET(reading[[#Headers],[Memo 01]],-1,MATCH(0,reading[[#This Row],[Memo 01]:[Memo 07]],-1)-1),"")</f>
        <v>45831</v>
      </c>
      <c r="Y645" s="10" t="str">
        <f ca="1">IF(reading[[#This Row],[Next]]&lt;&gt;"",IF(reading[[#This Row],[Next]]&gt;TODAY(),"OK",""),"")</f>
        <v/>
      </c>
      <c r="Z645" s="13">
        <v>3</v>
      </c>
      <c r="AA645" s="13">
        <v>3</v>
      </c>
      <c r="AB645" s="13">
        <v>3</v>
      </c>
      <c r="AC645" s="13">
        <v>3</v>
      </c>
      <c r="AD645" s="13">
        <v>3</v>
      </c>
      <c r="AE645" s="13">
        <v>1</v>
      </c>
      <c r="AF645" s="13"/>
      <c r="AG645" s="16">
        <f>IFERROR(SUMIF(reading[[#This Row],[1st]:[7th]],"&gt;0")/COUNTIF(reading[[#This Row],[1st]:[7th]],"&gt;0"),"")</f>
        <v>2.6666666666666665</v>
      </c>
    </row>
    <row r="646" spans="1:33" hidden="1" x14ac:dyDescent="0.2">
      <c r="A646" s="4">
        <f>IF(B646=1,3,IF(D646=1,2,IF(F646=1,1,0)))</f>
        <v>0</v>
      </c>
      <c r="B646" s="4" t="str">
        <f>IF(C646=$L646,1,IF(C646="","",0))</f>
        <v/>
      </c>
      <c r="C646" s="42"/>
      <c r="D646" s="4" t="str">
        <f>IF(E646=$L646,1,IF(E646="","",0))</f>
        <v/>
      </c>
      <c r="E646" s="23"/>
      <c r="F646" s="4" t="str">
        <f>IF(G646=$L646,1,IF(G646="","",0))</f>
        <v/>
      </c>
      <c r="G646" s="14"/>
      <c r="H646" s="6">
        <v>1115</v>
      </c>
      <c r="I646" s="15" t="s">
        <v>3120</v>
      </c>
      <c r="J646" s="6" t="s">
        <v>4238</v>
      </c>
      <c r="K646" s="6"/>
      <c r="L646" s="6" t="s">
        <v>1221</v>
      </c>
      <c r="M646" s="6" t="s">
        <v>7223</v>
      </c>
      <c r="N646" s="7">
        <f ca="1">RAND()</f>
        <v>0.28156058114328464</v>
      </c>
      <c r="O646" s="8">
        <v>45205</v>
      </c>
      <c r="P646" s="8">
        <v>45206</v>
      </c>
      <c r="Q646" s="8">
        <v>45208</v>
      </c>
      <c r="R646" s="8">
        <v>45212</v>
      </c>
      <c r="S646" s="8">
        <v>45219</v>
      </c>
      <c r="T646" s="8">
        <v>45231</v>
      </c>
      <c r="U646" s="8">
        <v>45792</v>
      </c>
      <c r="V646" s="10">
        <f>COUNTA(O646:U646)</f>
        <v>7</v>
      </c>
      <c r="W646" s="11">
        <f>_xlfn.IFNA(INDEX(reading[[#This Row],[Memo 01]:[Memo 07]],MATCH(0,reading[[#This Row],[Memo 01]:[Memo 07]],-1)),"")</f>
        <v>45792</v>
      </c>
      <c r="X646" s="11">
        <f ca="1">IFERROR(reading[[#This Row],[Previous]]+OFFSET(reading[[#Headers],[Memo 01]],-1,MATCH(0,reading[[#This Row],[Memo 01]:[Memo 07]],-1)-1),"")</f>
        <v>55792</v>
      </c>
      <c r="Y646" s="10" t="str">
        <f ca="1">IF(reading[[#This Row],[Next]]&lt;&gt;"",IF(reading[[#This Row],[Next]]&gt;TODAY(),"OK",""),"")</f>
        <v>OK</v>
      </c>
      <c r="Z646" s="13">
        <v>3</v>
      </c>
      <c r="AA646" s="13">
        <v>2</v>
      </c>
      <c r="AB646" s="13">
        <v>3</v>
      </c>
      <c r="AC646" s="13">
        <v>3</v>
      </c>
      <c r="AD646" s="13">
        <v>3</v>
      </c>
      <c r="AE646" s="13">
        <v>3</v>
      </c>
      <c r="AF646" s="13">
        <v>3</v>
      </c>
      <c r="AG646" s="16">
        <f>IFERROR(SUMIF(reading[[#This Row],[1st]:[7th]],"&gt;0")/COUNTIF(reading[[#This Row],[1st]:[7th]],"&gt;0"),"")</f>
        <v>2.8571428571428572</v>
      </c>
    </row>
    <row r="647" spans="1:33" hidden="1" x14ac:dyDescent="0.2">
      <c r="A647" s="4">
        <f>IF(B647=1,3,IF(D647=1,2,IF(F647=1,1,0)))</f>
        <v>0</v>
      </c>
      <c r="B647" s="4" t="str">
        <f>IF(C647=$L647,1,IF(C647="","",0))</f>
        <v/>
      </c>
      <c r="C647" s="42"/>
      <c r="D647" s="4" t="str">
        <f>IF(E647=$L647,1,IF(E647="","",0))</f>
        <v/>
      </c>
      <c r="E647" s="14"/>
      <c r="F647" s="4" t="str">
        <f>IF(G647=$L647,1,IF(G647="","",0))</f>
        <v/>
      </c>
      <c r="G647" s="14"/>
      <c r="H647" s="6">
        <v>2165</v>
      </c>
      <c r="I647" s="15" t="s">
        <v>3120</v>
      </c>
      <c r="J647" s="6" t="s">
        <v>5253</v>
      </c>
      <c r="K647" s="6"/>
      <c r="L647" s="6" t="s">
        <v>2231</v>
      </c>
      <c r="M647" s="6" t="s">
        <v>8271</v>
      </c>
      <c r="N647" s="7">
        <f ca="1">RAND()</f>
        <v>0.28652960093793667</v>
      </c>
      <c r="O647" s="8">
        <v>45214</v>
      </c>
      <c r="P647" s="8">
        <v>45215</v>
      </c>
      <c r="Q647" s="8">
        <v>45217</v>
      </c>
      <c r="R647" s="8">
        <v>45221</v>
      </c>
      <c r="S647" s="8">
        <v>45228</v>
      </c>
      <c r="T647" s="8">
        <v>45818</v>
      </c>
      <c r="U647" s="8"/>
      <c r="V647" s="10">
        <f>COUNTA(O647:U647)</f>
        <v>6</v>
      </c>
      <c r="W647" s="11">
        <f>_xlfn.IFNA(INDEX(reading[[#This Row],[Memo 01]:[Memo 07]],MATCH(0,reading[[#This Row],[Memo 01]:[Memo 07]],-1)),"")</f>
        <v>45818</v>
      </c>
      <c r="X647" s="11">
        <f ca="1">IFERROR(reading[[#This Row],[Previous]]+OFFSET(reading[[#Headers],[Memo 01]],-1,MATCH(0,reading[[#This Row],[Memo 01]:[Memo 07]],-1)-1),"")</f>
        <v>45838</v>
      </c>
      <c r="Y647" s="10" t="str">
        <f ca="1">IF(reading[[#This Row],[Next]]&lt;&gt;"",IF(reading[[#This Row],[Next]]&gt;TODAY(),"OK",""),"")</f>
        <v>OK</v>
      </c>
      <c r="Z647" s="13">
        <v>3</v>
      </c>
      <c r="AA647" s="13">
        <v>3</v>
      </c>
      <c r="AB647" s="13">
        <v>3</v>
      </c>
      <c r="AC647" s="13">
        <v>3</v>
      </c>
      <c r="AD647" s="13">
        <v>3</v>
      </c>
      <c r="AE647" s="13">
        <v>3</v>
      </c>
      <c r="AF647" s="13"/>
      <c r="AG647" s="16">
        <f>IFERROR(SUMIF(reading[[#This Row],[1st]:[7th]],"&gt;0")/COUNTIF(reading[[#This Row],[1st]:[7th]],"&gt;0"),"")</f>
        <v>3</v>
      </c>
    </row>
    <row r="648" spans="1:33" hidden="1" x14ac:dyDescent="0.2">
      <c r="A648" s="4">
        <f>IF(B648=1,3,IF(D648=1,2,IF(F648=1,1,0)))</f>
        <v>0</v>
      </c>
      <c r="B648" s="4" t="str">
        <f>IF(C648=$L648,1,IF(C648="","",0))</f>
        <v/>
      </c>
      <c r="C648" s="42"/>
      <c r="D648" s="4" t="str">
        <f>IF(E648=$L648,1,IF(E648="","",0))</f>
        <v/>
      </c>
      <c r="E648" s="14"/>
      <c r="F648" s="4" t="str">
        <f>IF(G648=$L648,1,IF(G648="","",0))</f>
        <v/>
      </c>
      <c r="G648" s="14"/>
      <c r="H648" s="6">
        <v>1537</v>
      </c>
      <c r="I648" s="15" t="s">
        <v>3120</v>
      </c>
      <c r="J648" s="6" t="s">
        <v>4650</v>
      </c>
      <c r="K648" s="6"/>
      <c r="L648" s="6" t="s">
        <v>1622</v>
      </c>
      <c r="M648" s="6" t="s">
        <v>7644</v>
      </c>
      <c r="N648" s="7">
        <f ca="1">RAND()</f>
        <v>0.54102002161075424</v>
      </c>
      <c r="O648" s="8">
        <v>45209</v>
      </c>
      <c r="P648" s="8">
        <v>45210</v>
      </c>
      <c r="Q648" s="8">
        <v>45213</v>
      </c>
      <c r="R648" s="8">
        <v>45217</v>
      </c>
      <c r="S648" s="8">
        <v>45224</v>
      </c>
      <c r="T648" s="8">
        <v>45236</v>
      </c>
      <c r="U648" s="8">
        <v>45819</v>
      </c>
      <c r="V648" s="10">
        <f>COUNTA(O648:U648)</f>
        <v>7</v>
      </c>
      <c r="W648" s="11">
        <f>_xlfn.IFNA(INDEX(reading[[#This Row],[Memo 01]:[Memo 07]],MATCH(0,reading[[#This Row],[Memo 01]:[Memo 07]],-1)),"")</f>
        <v>45819</v>
      </c>
      <c r="X648" s="11">
        <f ca="1">IFERROR(reading[[#This Row],[Previous]]+OFFSET(reading[[#Headers],[Memo 01]],-1,MATCH(0,reading[[#This Row],[Memo 01]:[Memo 07]],-1)-1),"")</f>
        <v>55819</v>
      </c>
      <c r="Y648" s="10" t="str">
        <f ca="1">IF(reading[[#This Row],[Next]]&lt;&gt;"",IF(reading[[#This Row],[Next]]&gt;TODAY(),"OK",""),"")</f>
        <v>OK</v>
      </c>
      <c r="Z648" s="13">
        <v>3</v>
      </c>
      <c r="AA648" s="13">
        <v>3</v>
      </c>
      <c r="AB648" s="13">
        <v>2</v>
      </c>
      <c r="AC648" s="13">
        <v>3</v>
      </c>
      <c r="AD648" s="13">
        <v>3</v>
      </c>
      <c r="AE648" s="13">
        <v>2</v>
      </c>
      <c r="AF648" s="13">
        <v>3</v>
      </c>
      <c r="AG648" s="16">
        <f>IFERROR(SUMIF(reading[[#This Row],[1st]:[7th]],"&gt;0")/COUNTIF(reading[[#This Row],[1st]:[7th]],"&gt;0"),"")</f>
        <v>2.7142857142857144</v>
      </c>
    </row>
    <row r="649" spans="1:33" hidden="1" x14ac:dyDescent="0.2">
      <c r="A649" s="4">
        <f>IF(B649=1,3,IF(D649=1,2,IF(F649=1,1,0)))</f>
        <v>0</v>
      </c>
      <c r="B649" s="4" t="str">
        <f>IF(C649=$L649,1,IF(C649="","",0))</f>
        <v/>
      </c>
      <c r="C649" s="42"/>
      <c r="D649" s="4" t="str">
        <f>IF(E649=$L649,1,IF(E649="","",0))</f>
        <v/>
      </c>
      <c r="E649" s="14"/>
      <c r="F649" s="4" t="str">
        <f>IF(G649=$L649,1,IF(G649="","",0))</f>
        <v/>
      </c>
      <c r="G649" s="14"/>
      <c r="H649" s="6">
        <v>2623</v>
      </c>
      <c r="I649" s="15" t="s">
        <v>3120</v>
      </c>
      <c r="J649" s="6" t="s">
        <v>5678</v>
      </c>
      <c r="K649" s="6"/>
      <c r="L649" s="6" t="s">
        <v>2665</v>
      </c>
      <c r="M649" s="6" t="s">
        <v>8728</v>
      </c>
      <c r="N649" s="7">
        <f ca="1">RAND()</f>
        <v>0.68034792770496855</v>
      </c>
      <c r="O649" s="8">
        <v>45220</v>
      </c>
      <c r="P649" s="8">
        <v>45221</v>
      </c>
      <c r="Q649" s="8">
        <v>45223</v>
      </c>
      <c r="R649" s="8">
        <v>45227</v>
      </c>
      <c r="S649" s="8">
        <v>45234</v>
      </c>
      <c r="T649" s="8">
        <v>45783</v>
      </c>
      <c r="U649" s="8">
        <v>45818</v>
      </c>
      <c r="V649" s="10">
        <f>COUNTA(O649:U649)</f>
        <v>7</v>
      </c>
      <c r="W649" s="11">
        <f>_xlfn.IFNA(INDEX(reading[[#This Row],[Memo 01]:[Memo 07]],MATCH(0,reading[[#This Row],[Memo 01]:[Memo 07]],-1)),"")</f>
        <v>45818</v>
      </c>
      <c r="X649" s="11">
        <f ca="1">IFERROR(reading[[#This Row],[Previous]]+OFFSET(reading[[#Headers],[Memo 01]],-1,MATCH(0,reading[[#This Row],[Memo 01]:[Memo 07]],-1)-1),"")</f>
        <v>55818</v>
      </c>
      <c r="Y649" s="10" t="str">
        <f ca="1">IF(reading[[#This Row],[Next]]&lt;&gt;"",IF(reading[[#This Row],[Next]]&gt;TODAY(),"OK",""),"")</f>
        <v>OK</v>
      </c>
      <c r="Z649" s="13">
        <v>3</v>
      </c>
      <c r="AA649" s="13">
        <v>3</v>
      </c>
      <c r="AB649" s="13">
        <v>3</v>
      </c>
      <c r="AC649" s="13">
        <v>3</v>
      </c>
      <c r="AD649" s="13">
        <v>3</v>
      </c>
      <c r="AE649" s="13">
        <v>3</v>
      </c>
      <c r="AF649" s="13">
        <v>3</v>
      </c>
      <c r="AG649" s="16">
        <f>IFERROR(SUMIF(reading[[#This Row],[1st]:[7th]],"&gt;0")/COUNTIF(reading[[#This Row],[1st]:[7th]],"&gt;0"),"")</f>
        <v>3</v>
      </c>
    </row>
    <row r="650" spans="1:33" hidden="1" x14ac:dyDescent="0.2">
      <c r="A650" s="4">
        <f>IF(B650=1,3,IF(D650=1,2,IF(F650=1,1,0)))</f>
        <v>0</v>
      </c>
      <c r="B650" s="4" t="str">
        <f>IF(C650=$L650,1,IF(C650="","",0))</f>
        <v/>
      </c>
      <c r="C650" s="42"/>
      <c r="D650" s="4" t="str">
        <f>IF(E650=$L650,1,IF(E650="","",0))</f>
        <v/>
      </c>
      <c r="E650" s="18"/>
      <c r="F650" s="4" t="str">
        <f>IF(G650=$L650,1,IF(G650="","",0))</f>
        <v/>
      </c>
      <c r="G650" s="14"/>
      <c r="H650" s="6">
        <v>1542</v>
      </c>
      <c r="I650" s="15" t="s">
        <v>3120</v>
      </c>
      <c r="J650" s="6" t="s">
        <v>4655</v>
      </c>
      <c r="K650" s="6" t="s">
        <v>3138</v>
      </c>
      <c r="L650" s="6" t="s">
        <v>1627</v>
      </c>
      <c r="M650" s="6" t="s">
        <v>7649</v>
      </c>
      <c r="N650" s="7">
        <f ca="1">RAND()</f>
        <v>0.13277039710127259</v>
      </c>
      <c r="O650" s="8">
        <v>45209</v>
      </c>
      <c r="P650" s="8">
        <v>45210</v>
      </c>
      <c r="Q650" s="8">
        <v>45212</v>
      </c>
      <c r="R650" s="8">
        <v>45216</v>
      </c>
      <c r="S650" s="8">
        <v>45223</v>
      </c>
      <c r="T650" s="8">
        <v>45235</v>
      </c>
      <c r="U650" s="8">
        <v>45792</v>
      </c>
      <c r="V650" s="10">
        <f>COUNTA(O650:U650)</f>
        <v>7</v>
      </c>
      <c r="W650" s="11">
        <f>_xlfn.IFNA(INDEX(reading[[#This Row],[Memo 01]:[Memo 07]],MATCH(0,reading[[#This Row],[Memo 01]:[Memo 07]],-1)),"")</f>
        <v>45792</v>
      </c>
      <c r="X650" s="11">
        <f ca="1">IFERROR(reading[[#This Row],[Previous]]+OFFSET(reading[[#Headers],[Memo 01]],-1,MATCH(0,reading[[#This Row],[Memo 01]:[Memo 07]],-1)-1),"")</f>
        <v>55792</v>
      </c>
      <c r="Y650" s="10" t="str">
        <f ca="1">IF(reading[[#This Row],[Next]]&lt;&gt;"",IF(reading[[#This Row],[Next]]&gt;TODAY(),"OK",""),"")</f>
        <v>OK</v>
      </c>
      <c r="Z650" s="13">
        <v>3</v>
      </c>
      <c r="AA650" s="13">
        <v>3</v>
      </c>
      <c r="AB650" s="13">
        <v>3</v>
      </c>
      <c r="AC650" s="13">
        <v>2</v>
      </c>
      <c r="AD650" s="13">
        <v>3</v>
      </c>
      <c r="AE650" s="13">
        <v>3</v>
      </c>
      <c r="AF650" s="13">
        <v>3</v>
      </c>
      <c r="AG650" s="16">
        <f>IFERROR(SUMIF(reading[[#This Row],[1st]:[7th]],"&gt;0")/COUNTIF(reading[[#This Row],[1st]:[7th]],"&gt;0"),"")</f>
        <v>2.8571428571428572</v>
      </c>
    </row>
    <row r="651" spans="1:33" hidden="1" x14ac:dyDescent="0.2">
      <c r="A651" s="4">
        <f>IF(B651=1,3,IF(D651=1,2,IF(F651=1,1,0)))</f>
        <v>0</v>
      </c>
      <c r="B651" s="4" t="str">
        <f>IF(C651=$L651,1,IF(C651="","",0))</f>
        <v/>
      </c>
      <c r="C651" s="42"/>
      <c r="D651" s="4" t="str">
        <f>IF(E651=$L651,1,IF(E651="","",0))</f>
        <v/>
      </c>
      <c r="E651" s="14"/>
      <c r="F651" s="4" t="str">
        <f>IF(G651=$L651,1,IF(G651="","",0))</f>
        <v/>
      </c>
      <c r="G651" s="14"/>
      <c r="H651" s="6">
        <v>1637</v>
      </c>
      <c r="I651" s="15" t="s">
        <v>3120</v>
      </c>
      <c r="J651" s="6" t="s">
        <v>4749</v>
      </c>
      <c r="K651" s="6"/>
      <c r="L651" s="6" t="s">
        <v>1719</v>
      </c>
      <c r="M651" s="6" t="s">
        <v>7743</v>
      </c>
      <c r="N651" s="7">
        <f ca="1">RAND()</f>
        <v>0.96682269608929605</v>
      </c>
      <c r="O651" s="8">
        <v>45210</v>
      </c>
      <c r="P651" s="8">
        <v>45211</v>
      </c>
      <c r="Q651" s="8">
        <v>45213</v>
      </c>
      <c r="R651" s="8">
        <v>45217</v>
      </c>
      <c r="S651" s="8">
        <v>45224</v>
      </c>
      <c r="T651" s="8">
        <v>45236</v>
      </c>
      <c r="U651" s="8">
        <v>45792</v>
      </c>
      <c r="V651" s="10">
        <f>COUNTA(O651:U651)</f>
        <v>7</v>
      </c>
      <c r="W651" s="11">
        <f>_xlfn.IFNA(INDEX(reading[[#This Row],[Memo 01]:[Memo 07]],MATCH(0,reading[[#This Row],[Memo 01]:[Memo 07]],-1)),"")</f>
        <v>45792</v>
      </c>
      <c r="X651" s="11">
        <f ca="1">IFERROR(reading[[#This Row],[Previous]]+OFFSET(reading[[#Headers],[Memo 01]],-1,MATCH(0,reading[[#This Row],[Memo 01]:[Memo 07]],-1)-1),"")</f>
        <v>55792</v>
      </c>
      <c r="Y651" s="10" t="str">
        <f ca="1">IF(reading[[#This Row],[Next]]&lt;&gt;"",IF(reading[[#This Row],[Next]]&gt;TODAY(),"OK",""),"")</f>
        <v>OK</v>
      </c>
      <c r="Z651" s="13">
        <v>3</v>
      </c>
      <c r="AA651" s="13">
        <v>3</v>
      </c>
      <c r="AB651" s="13">
        <v>3</v>
      </c>
      <c r="AC651" s="13">
        <v>3</v>
      </c>
      <c r="AD651" s="13">
        <v>3</v>
      </c>
      <c r="AE651" s="13">
        <v>3</v>
      </c>
      <c r="AF651" s="13">
        <v>3</v>
      </c>
      <c r="AG651" s="16">
        <f>IFERROR(SUMIF(reading[[#This Row],[1st]:[7th]],"&gt;0")/COUNTIF(reading[[#This Row],[1st]:[7th]],"&gt;0"),"")</f>
        <v>3</v>
      </c>
    </row>
    <row r="652" spans="1:33" hidden="1" x14ac:dyDescent="0.2">
      <c r="A652" s="4">
        <f>IF(B652=1,3,IF(D652=1,2,IF(F652=1,1,0)))</f>
        <v>0</v>
      </c>
      <c r="B652" s="4" t="str">
        <f>IF(C652=$L652,1,IF(C652="","",0))</f>
        <v/>
      </c>
      <c r="C652" s="42"/>
      <c r="D652" s="4" t="str">
        <f>IF(E652=$L652,1,IF(E652="","",0))</f>
        <v/>
      </c>
      <c r="E652" s="14"/>
      <c r="F652" s="4" t="str">
        <f>IF(G652=$L652,1,IF(G652="","",0))</f>
        <v/>
      </c>
      <c r="G652" s="14"/>
      <c r="H652" s="6">
        <v>792</v>
      </c>
      <c r="I652" s="15" t="s">
        <v>3120</v>
      </c>
      <c r="J652" s="6" t="s">
        <v>3926</v>
      </c>
      <c r="K652" s="6"/>
      <c r="L652" s="6" t="s">
        <v>911</v>
      </c>
      <c r="M652" s="6" t="s">
        <v>6901</v>
      </c>
      <c r="N652" s="7">
        <f ca="1">RAND()</f>
        <v>0.20406527987802092</v>
      </c>
      <c r="O652" s="8">
        <v>45203</v>
      </c>
      <c r="P652" s="8">
        <v>45204</v>
      </c>
      <c r="Q652" s="8">
        <v>45206</v>
      </c>
      <c r="R652" s="8">
        <v>45210</v>
      </c>
      <c r="S652" s="8">
        <v>45217</v>
      </c>
      <c r="T652" s="8">
        <v>45229</v>
      </c>
      <c r="U652" s="8">
        <v>45792</v>
      </c>
      <c r="V652" s="10">
        <f>COUNTA(O652:U652)</f>
        <v>7</v>
      </c>
      <c r="W652" s="11">
        <f>_xlfn.IFNA(INDEX(reading[[#This Row],[Memo 01]:[Memo 07]],MATCH(0,reading[[#This Row],[Memo 01]:[Memo 07]],-1)),"")</f>
        <v>45792</v>
      </c>
      <c r="X652" s="11">
        <f ca="1">IFERROR(reading[[#This Row],[Previous]]+OFFSET(reading[[#Headers],[Memo 01]],-1,MATCH(0,reading[[#This Row],[Memo 01]:[Memo 07]],-1)-1),"")</f>
        <v>55792</v>
      </c>
      <c r="Y652" s="10" t="str">
        <f ca="1">IF(reading[[#This Row],[Next]]&lt;&gt;"",IF(reading[[#This Row],[Next]]&gt;TODAY(),"OK",""),"")</f>
        <v>OK</v>
      </c>
      <c r="Z652" s="13">
        <v>3</v>
      </c>
      <c r="AA652" s="13">
        <v>3</v>
      </c>
      <c r="AB652" s="13">
        <v>3</v>
      </c>
      <c r="AC652" s="13">
        <v>2</v>
      </c>
      <c r="AD652" s="13">
        <v>3</v>
      </c>
      <c r="AE652" s="13">
        <v>3</v>
      </c>
      <c r="AF652" s="13">
        <v>3</v>
      </c>
      <c r="AG652" s="16">
        <f>IFERROR(SUMIF(reading[[#This Row],[1st]:[7th]],"&gt;0")/COUNTIF(reading[[#This Row],[1st]:[7th]],"&gt;0"),"")</f>
        <v>2.8571428571428572</v>
      </c>
    </row>
    <row r="653" spans="1:33" hidden="1" x14ac:dyDescent="0.2">
      <c r="A653" s="4">
        <f>IF(B653=1,3,IF(D653=1,2,IF(F653=1,1,0)))</f>
        <v>0</v>
      </c>
      <c r="B653" s="4" t="str">
        <f>IF(C653=$L653,1,IF(C653="","",0))</f>
        <v/>
      </c>
      <c r="C653" s="42"/>
      <c r="D653" s="4" t="str">
        <f>IF(E653=$L653,1,IF(E653="","",0))</f>
        <v/>
      </c>
      <c r="E653" s="14"/>
      <c r="F653" s="4" t="str">
        <f>IF(G653=$L653,1,IF(G653="","",0))</f>
        <v/>
      </c>
      <c r="G653" s="14"/>
      <c r="H653" s="6">
        <v>1274</v>
      </c>
      <c r="I653" s="15" t="s">
        <v>3120</v>
      </c>
      <c r="J653" s="6" t="s">
        <v>4391</v>
      </c>
      <c r="K653" s="6"/>
      <c r="L653" s="6" t="s">
        <v>1372</v>
      </c>
      <c r="M653" s="6" t="s">
        <v>7381</v>
      </c>
      <c r="N653" s="7">
        <f ca="1">RAND()</f>
        <v>0.72670172070001204</v>
      </c>
      <c r="O653" s="8">
        <v>45207</v>
      </c>
      <c r="P653" s="8">
        <v>45208</v>
      </c>
      <c r="Q653" s="8">
        <v>45210</v>
      </c>
      <c r="R653" s="8">
        <v>45214</v>
      </c>
      <c r="S653" s="8">
        <v>45221</v>
      </c>
      <c r="T653" s="8">
        <v>45233</v>
      </c>
      <c r="U653" s="8">
        <v>45801</v>
      </c>
      <c r="V653" s="10">
        <f>COUNTA(O653:U653)</f>
        <v>7</v>
      </c>
      <c r="W653" s="11">
        <f>_xlfn.IFNA(INDEX(reading[[#This Row],[Memo 01]:[Memo 07]],MATCH(0,reading[[#This Row],[Memo 01]:[Memo 07]],-1)),"")</f>
        <v>45801</v>
      </c>
      <c r="X653" s="11">
        <f ca="1">IFERROR(reading[[#This Row],[Previous]]+OFFSET(reading[[#Headers],[Memo 01]],-1,MATCH(0,reading[[#This Row],[Memo 01]:[Memo 07]],-1)-1),"")</f>
        <v>55801</v>
      </c>
      <c r="Y653" s="10" t="str">
        <f ca="1">IF(reading[[#This Row],[Next]]&lt;&gt;"",IF(reading[[#This Row],[Next]]&gt;TODAY(),"OK",""),"")</f>
        <v>OK</v>
      </c>
      <c r="Z653" s="13">
        <v>3</v>
      </c>
      <c r="AA653" s="13">
        <v>3</v>
      </c>
      <c r="AB653" s="13">
        <v>3</v>
      </c>
      <c r="AC653" s="13">
        <v>3</v>
      </c>
      <c r="AD653" s="13">
        <v>3</v>
      </c>
      <c r="AE653" s="13">
        <v>3</v>
      </c>
      <c r="AF653" s="13">
        <v>3</v>
      </c>
      <c r="AG653" s="16">
        <f>IFERROR(SUMIF(reading[[#This Row],[1st]:[7th]],"&gt;0")/COUNTIF(reading[[#This Row],[1st]:[7th]],"&gt;0"),"")</f>
        <v>3</v>
      </c>
    </row>
    <row r="654" spans="1:33" hidden="1" x14ac:dyDescent="0.2">
      <c r="A654" s="4">
        <f>IF(B654=1,3,IF(D654=1,2,IF(F654=1,1,0)))</f>
        <v>0</v>
      </c>
      <c r="B654" s="4" t="str">
        <f>IF(C654=$L654,1,IF(C654="","",0))</f>
        <v/>
      </c>
      <c r="C654" s="42"/>
      <c r="D654" s="4" t="str">
        <f>IF(E654=$L654,1,IF(E654="","",0))</f>
        <v/>
      </c>
      <c r="E654" s="14"/>
      <c r="F654" s="4" t="str">
        <f>IF(G654=$L654,1,IF(G654="","",0))</f>
        <v/>
      </c>
      <c r="G654" s="14"/>
      <c r="H654" s="6">
        <v>348</v>
      </c>
      <c r="I654" s="15" t="s">
        <v>3120</v>
      </c>
      <c r="J654" s="6" t="s">
        <v>3495</v>
      </c>
      <c r="K654" s="6"/>
      <c r="L654" s="6" t="s">
        <v>482</v>
      </c>
      <c r="M654" s="6" t="s">
        <v>6457</v>
      </c>
      <c r="N654" s="7">
        <f ca="1">RAND()</f>
        <v>0.87696758564578325</v>
      </c>
      <c r="O654" s="8">
        <v>45201</v>
      </c>
      <c r="P654" s="8">
        <v>45202</v>
      </c>
      <c r="Q654" s="8">
        <v>45204</v>
      </c>
      <c r="R654" s="8">
        <v>45208</v>
      </c>
      <c r="S654" s="8">
        <v>45215</v>
      </c>
      <c r="T654" s="8">
        <v>45227</v>
      </c>
      <c r="U654" s="8">
        <v>45818</v>
      </c>
      <c r="V654" s="10">
        <f>COUNTA(O654:U654)</f>
        <v>7</v>
      </c>
      <c r="W654" s="11">
        <f>_xlfn.IFNA(INDEX(reading[[#This Row],[Memo 01]:[Memo 07]],MATCH(0,reading[[#This Row],[Memo 01]:[Memo 07]],-1)),"")</f>
        <v>45818</v>
      </c>
      <c r="X654" s="11">
        <f ca="1">IFERROR(reading[[#This Row],[Previous]]+OFFSET(reading[[#Headers],[Memo 01]],-1,MATCH(0,reading[[#This Row],[Memo 01]:[Memo 07]],-1)-1),"")</f>
        <v>55818</v>
      </c>
      <c r="Y654" s="10" t="str">
        <f ca="1">IF(reading[[#This Row],[Next]]&lt;&gt;"",IF(reading[[#This Row],[Next]]&gt;TODAY(),"OK",""),"")</f>
        <v>OK</v>
      </c>
      <c r="Z654" s="13">
        <v>3</v>
      </c>
      <c r="AA654" s="13">
        <v>3</v>
      </c>
      <c r="AB654" s="13">
        <v>3</v>
      </c>
      <c r="AC654" s="13">
        <v>3</v>
      </c>
      <c r="AD654" s="13">
        <v>3</v>
      </c>
      <c r="AE654" s="13">
        <v>3</v>
      </c>
      <c r="AF654" s="13">
        <v>3</v>
      </c>
      <c r="AG654" s="16">
        <f>IFERROR(SUMIF(reading[[#This Row],[1st]:[7th]],"&gt;0")/COUNTIF(reading[[#This Row],[1st]:[7th]],"&gt;0"),"")</f>
        <v>3</v>
      </c>
    </row>
    <row r="655" spans="1:33" hidden="1" x14ac:dyDescent="0.2">
      <c r="A655" s="4">
        <f>IF(B655=1,3,IF(D655=1,2,IF(F655=1,1,0)))</f>
        <v>0</v>
      </c>
      <c r="B655" s="4" t="str">
        <f>IF(C655=$L655,1,IF(C655="","",0))</f>
        <v/>
      </c>
      <c r="C655" s="41"/>
      <c r="D655" s="4" t="str">
        <f>IF(E655=$L655,1,IF(E655="","",0))</f>
        <v/>
      </c>
      <c r="E655" s="18"/>
      <c r="F655" s="4" t="str">
        <f>IF(G655=$L655,1,IF(G655="","",0))</f>
        <v/>
      </c>
      <c r="G655" s="14"/>
      <c r="H655" s="6">
        <v>939</v>
      </c>
      <c r="I655" s="15" t="s">
        <v>3120</v>
      </c>
      <c r="J655" s="6" t="s">
        <v>4069</v>
      </c>
      <c r="K655" s="6"/>
      <c r="L655" s="6" t="s">
        <v>1050</v>
      </c>
      <c r="M655" s="6" t="s">
        <v>7047</v>
      </c>
      <c r="N655" s="7">
        <f ca="1">RAND()</f>
        <v>0.97225033821420404</v>
      </c>
      <c r="O655" s="8">
        <v>45204</v>
      </c>
      <c r="P655" s="8">
        <v>45205</v>
      </c>
      <c r="Q655" s="8">
        <v>45207</v>
      </c>
      <c r="R655" s="8">
        <v>45212</v>
      </c>
      <c r="S655" s="8">
        <v>45219</v>
      </c>
      <c r="T655" s="8">
        <v>45231</v>
      </c>
      <c r="U655" s="8">
        <v>45252</v>
      </c>
      <c r="V655" s="10">
        <f>COUNTA(O655:U655)</f>
        <v>7</v>
      </c>
      <c r="W655" s="11">
        <f>_xlfn.IFNA(INDEX(reading[[#This Row],[Memo 01]:[Memo 07]],MATCH(0,reading[[#This Row],[Memo 01]:[Memo 07]],-1)),"")</f>
        <v>45252</v>
      </c>
      <c r="X655" s="11">
        <f ca="1">IFERROR(reading[[#This Row],[Previous]]+OFFSET(reading[[#Headers],[Memo 01]],-1,MATCH(0,reading[[#This Row],[Memo 01]:[Memo 07]],-1)-1),"")</f>
        <v>55252</v>
      </c>
      <c r="Y655" s="10" t="str">
        <f ca="1">IF(reading[[#This Row],[Next]]&lt;&gt;"",IF(reading[[#This Row],[Next]]&gt;TODAY(),"OK",""),"")</f>
        <v>OK</v>
      </c>
      <c r="Z655" s="13">
        <v>3</v>
      </c>
      <c r="AA655" s="13">
        <v>3</v>
      </c>
      <c r="AB655" s="13">
        <v>2</v>
      </c>
      <c r="AC655" s="13">
        <v>2</v>
      </c>
      <c r="AD655" s="13">
        <v>2</v>
      </c>
      <c r="AE655" s="13">
        <v>3</v>
      </c>
      <c r="AF655" s="13">
        <v>2</v>
      </c>
      <c r="AG655" s="16">
        <f>IFERROR(SUMIF(reading[[#This Row],[1st]:[7th]],"&gt;0")/COUNTIF(reading[[#This Row],[1st]:[7th]],"&gt;0"),"")</f>
        <v>2.4285714285714284</v>
      </c>
    </row>
    <row r="656" spans="1:33" hidden="1" x14ac:dyDescent="0.2">
      <c r="A656" s="4">
        <f>IF(B656=1,3,IF(D656=1,2,IF(F656=1,1,0)))</f>
        <v>0</v>
      </c>
      <c r="B656" s="4" t="str">
        <f>IF(C656=$L656,1,IF(C656="","",0))</f>
        <v/>
      </c>
      <c r="C656" s="42"/>
      <c r="D656" s="4" t="str">
        <f>IF(E656=$L656,1,IF(E656="","",0))</f>
        <v/>
      </c>
      <c r="E656" s="23"/>
      <c r="F656" s="4" t="str">
        <f>IF(G656=$L656,1,IF(G656="","",0))</f>
        <v/>
      </c>
      <c r="G656" s="14"/>
      <c r="H656" s="6">
        <v>946</v>
      </c>
      <c r="I656" s="15" t="s">
        <v>3120</v>
      </c>
      <c r="J656" s="6" t="s">
        <v>4076</v>
      </c>
      <c r="K656" s="6"/>
      <c r="L656" s="6" t="s">
        <v>1056</v>
      </c>
      <c r="M656" s="6" t="s">
        <v>7054</v>
      </c>
      <c r="N656" s="7">
        <f ca="1">RAND()</f>
        <v>0.69264204058232492</v>
      </c>
      <c r="O656" s="8">
        <v>45204</v>
      </c>
      <c r="P656" s="8">
        <v>45205</v>
      </c>
      <c r="Q656" s="8">
        <v>45207</v>
      </c>
      <c r="R656" s="8">
        <v>45211</v>
      </c>
      <c r="S656" s="8">
        <v>45218</v>
      </c>
      <c r="T656" s="8">
        <v>45230</v>
      </c>
      <c r="U656" s="8">
        <v>45811</v>
      </c>
      <c r="V656" s="10">
        <f>COUNTA(O656:U656)</f>
        <v>7</v>
      </c>
      <c r="W656" s="11">
        <f>_xlfn.IFNA(INDEX(reading[[#This Row],[Memo 01]:[Memo 07]],MATCH(0,reading[[#This Row],[Memo 01]:[Memo 07]],-1)),"")</f>
        <v>45811</v>
      </c>
      <c r="X656" s="11">
        <f ca="1">IFERROR(reading[[#This Row],[Previous]]+OFFSET(reading[[#Headers],[Memo 01]],-1,MATCH(0,reading[[#This Row],[Memo 01]:[Memo 07]],-1)-1),"")</f>
        <v>55811</v>
      </c>
      <c r="Y656" s="10" t="str">
        <f ca="1">IF(reading[[#This Row],[Next]]&lt;&gt;"",IF(reading[[#This Row],[Next]]&gt;TODAY(),"OK",""),"")</f>
        <v>OK</v>
      </c>
      <c r="Z656" s="13">
        <v>3</v>
      </c>
      <c r="AA656" s="13">
        <v>3</v>
      </c>
      <c r="AB656" s="13">
        <v>3</v>
      </c>
      <c r="AC656" s="13">
        <v>3</v>
      </c>
      <c r="AD656" s="13">
        <v>3</v>
      </c>
      <c r="AE656" s="13">
        <v>3</v>
      </c>
      <c r="AF656" s="13">
        <v>2</v>
      </c>
      <c r="AG656" s="16">
        <f>IFERROR(SUMIF(reading[[#This Row],[1st]:[7th]],"&gt;0")/COUNTIF(reading[[#This Row],[1st]:[7th]],"&gt;0"),"")</f>
        <v>2.8571428571428572</v>
      </c>
    </row>
    <row r="657" spans="1:33" hidden="1" x14ac:dyDescent="0.2">
      <c r="A657" s="4">
        <f>IF(B657=1,3,IF(D657=1,2,IF(F657=1,1,0)))</f>
        <v>0</v>
      </c>
      <c r="B657" s="4" t="str">
        <f>IF(C657=$L657,1,IF(C657="","",0))</f>
        <v/>
      </c>
      <c r="C657" s="42"/>
      <c r="D657" s="4" t="str">
        <f>IF(E657=$L657,1,IF(E657="","",0))</f>
        <v/>
      </c>
      <c r="E657" s="14"/>
      <c r="F657" s="4" t="str">
        <f>IF(G657=$L657,1,IF(G657="","",0))</f>
        <v/>
      </c>
      <c r="G657" s="14"/>
      <c r="H657" s="6">
        <v>1320</v>
      </c>
      <c r="I657" s="15" t="s">
        <v>3120</v>
      </c>
      <c r="J657" s="6" t="s">
        <v>4436</v>
      </c>
      <c r="K657" s="6"/>
      <c r="L657" s="6" t="s">
        <v>1417</v>
      </c>
      <c r="M657" s="6" t="s">
        <v>7427</v>
      </c>
      <c r="N657" s="7">
        <f ca="1">RAND()</f>
        <v>2.1872026585435855E-2</v>
      </c>
      <c r="O657" s="8">
        <v>45207</v>
      </c>
      <c r="P657" s="8">
        <v>45208</v>
      </c>
      <c r="Q657" s="8">
        <v>45210</v>
      </c>
      <c r="R657" s="8">
        <v>45214</v>
      </c>
      <c r="S657" s="8">
        <v>45221</v>
      </c>
      <c r="T657" s="8">
        <v>45233</v>
      </c>
      <c r="U657" s="8">
        <v>45801</v>
      </c>
      <c r="V657" s="10">
        <f>COUNTA(O657:U657)</f>
        <v>7</v>
      </c>
      <c r="W657" s="11">
        <f>_xlfn.IFNA(INDEX(reading[[#This Row],[Memo 01]:[Memo 07]],MATCH(0,reading[[#This Row],[Memo 01]:[Memo 07]],-1)),"")</f>
        <v>45801</v>
      </c>
      <c r="X657" s="11">
        <f ca="1">IFERROR(reading[[#This Row],[Previous]]+OFFSET(reading[[#Headers],[Memo 01]],-1,MATCH(0,reading[[#This Row],[Memo 01]:[Memo 07]],-1)-1),"")</f>
        <v>55801</v>
      </c>
      <c r="Y657" s="10" t="str">
        <f ca="1">IF(reading[[#This Row],[Next]]&lt;&gt;"",IF(reading[[#This Row],[Next]]&gt;TODAY(),"OK",""),"")</f>
        <v>OK</v>
      </c>
      <c r="Z657" s="13">
        <v>3</v>
      </c>
      <c r="AA657" s="13">
        <v>3</v>
      </c>
      <c r="AB657" s="13">
        <v>3</v>
      </c>
      <c r="AC657" s="13">
        <v>3</v>
      </c>
      <c r="AD657" s="13">
        <v>3</v>
      </c>
      <c r="AE657" s="13">
        <v>3</v>
      </c>
      <c r="AF657" s="13">
        <v>3</v>
      </c>
      <c r="AG657" s="16">
        <f>IFERROR(SUMIF(reading[[#This Row],[1st]:[7th]],"&gt;0")/COUNTIF(reading[[#This Row],[1st]:[7th]],"&gt;0"),"")</f>
        <v>3</v>
      </c>
    </row>
    <row r="658" spans="1:33" hidden="1" x14ac:dyDescent="0.2">
      <c r="A658" s="4">
        <f>IF(B658=1,3,IF(D658=1,2,IF(F658=1,1,0)))</f>
        <v>0</v>
      </c>
      <c r="B658" s="4" t="str">
        <f>IF(C658=$L658,1,IF(C658="","",0))</f>
        <v/>
      </c>
      <c r="C658" s="42"/>
      <c r="D658" s="4" t="str">
        <f>IF(E658=$L658,1,IF(E658="","",0))</f>
        <v/>
      </c>
      <c r="E658" s="43"/>
      <c r="F658" s="4" t="str">
        <f>IF(G658=$L658,1,IF(G658="","",0))</f>
        <v/>
      </c>
      <c r="G658" s="23"/>
      <c r="H658" s="6">
        <v>2980</v>
      </c>
      <c r="I658" s="15" t="s">
        <v>3120</v>
      </c>
      <c r="J658" s="6" t="s">
        <v>6009</v>
      </c>
      <c r="K658" s="15" t="s">
        <v>3139</v>
      </c>
      <c r="L658" s="6" t="s">
        <v>3009</v>
      </c>
      <c r="M658" s="6" t="s">
        <v>9084</v>
      </c>
      <c r="N658" s="7">
        <f ca="1">RAND()</f>
        <v>0.90785022198102716</v>
      </c>
      <c r="O658" s="8">
        <v>45223</v>
      </c>
      <c r="P658" s="8">
        <v>45224</v>
      </c>
      <c r="Q658" s="8">
        <v>45226</v>
      </c>
      <c r="R658" s="8">
        <v>45230</v>
      </c>
      <c r="S658" s="8">
        <v>45237</v>
      </c>
      <c r="T658" s="8">
        <v>45251</v>
      </c>
      <c r="U658" s="8">
        <v>45811</v>
      </c>
      <c r="V658" s="10">
        <f>COUNTA(O658:U658)</f>
        <v>7</v>
      </c>
      <c r="W658" s="11">
        <f>_xlfn.IFNA(INDEX(reading[[#This Row],[Memo 01]:[Memo 07]],MATCH(0,reading[[#This Row],[Memo 01]:[Memo 07]],-1)),"")</f>
        <v>45811</v>
      </c>
      <c r="X658" s="11">
        <f ca="1">IFERROR(reading[[#This Row],[Previous]]+OFFSET(reading[[#Headers],[Memo 01]],-1,MATCH(0,reading[[#This Row],[Memo 01]:[Memo 07]],-1)-1),"")</f>
        <v>55811</v>
      </c>
      <c r="Y658" s="10" t="str">
        <f ca="1">IF(reading[[#This Row],[Next]]&lt;&gt;"",IF(reading[[#This Row],[Next]]&gt;TODAY(),"OK",""),"")</f>
        <v>OK</v>
      </c>
      <c r="Z658" s="13">
        <v>3</v>
      </c>
      <c r="AA658" s="13">
        <v>3</v>
      </c>
      <c r="AB658" s="13">
        <v>2</v>
      </c>
      <c r="AC658" s="13">
        <v>2</v>
      </c>
      <c r="AD658" s="13">
        <v>3</v>
      </c>
      <c r="AE658" s="13">
        <v>3</v>
      </c>
      <c r="AF658" s="13">
        <v>1</v>
      </c>
      <c r="AG658" s="16">
        <f>IFERROR(SUMIF(reading[[#This Row],[1st]:[7th]],"&gt;0")/COUNTIF(reading[[#This Row],[1st]:[7th]],"&gt;0"),"")</f>
        <v>2.4285714285714284</v>
      </c>
    </row>
    <row r="659" spans="1:33" hidden="1" x14ac:dyDescent="0.2">
      <c r="A659" s="4">
        <f>IF(B659=1,3,IF(D659=1,2,IF(F659=1,1,0)))</f>
        <v>3</v>
      </c>
      <c r="B659" s="4">
        <f>IF(C659=$L659,1,IF(C659="","",0))</f>
        <v>1</v>
      </c>
      <c r="C659" s="21" t="s">
        <v>785</v>
      </c>
      <c r="D659" s="4" t="str">
        <f>IF(E659=$L659,1,IF(E659="","",0))</f>
        <v/>
      </c>
      <c r="E659" s="14"/>
      <c r="F659" s="4" t="str">
        <f>IF(G659=$L659,1,IF(G659="","",0))</f>
        <v/>
      </c>
      <c r="G659" s="14"/>
      <c r="H659" s="6">
        <v>662</v>
      </c>
      <c r="I659" s="15" t="s">
        <v>3120</v>
      </c>
      <c r="J659" s="6" t="s">
        <v>3801</v>
      </c>
      <c r="K659" s="6"/>
      <c r="L659" s="6" t="s">
        <v>785</v>
      </c>
      <c r="M659" s="6" t="s">
        <v>6771</v>
      </c>
      <c r="N659" s="7">
        <f ca="1">RAND()</f>
        <v>0.62586963208416968</v>
      </c>
      <c r="O659" s="8">
        <v>45203</v>
      </c>
      <c r="P659" s="8">
        <v>45203</v>
      </c>
      <c r="Q659" s="8">
        <v>45203</v>
      </c>
      <c r="R659" s="8">
        <v>45203</v>
      </c>
      <c r="S659" s="8">
        <v>45203</v>
      </c>
      <c r="T659" s="8">
        <v>45203</v>
      </c>
      <c r="U659" s="8">
        <v>45203</v>
      </c>
      <c r="V659" s="10">
        <f>COUNTA(O659:U659)</f>
        <v>7</v>
      </c>
      <c r="W659" s="11">
        <f>_xlfn.IFNA(INDEX(reading[[#This Row],[Memo 01]:[Memo 07]],MATCH(0,reading[[#This Row],[Memo 01]:[Memo 07]],-1)),"")</f>
        <v>45203</v>
      </c>
      <c r="X659" s="11">
        <f ca="1">IFERROR(reading[[#This Row],[Previous]]+OFFSET(reading[[#Headers],[Memo 01]],-1,MATCH(0,reading[[#This Row],[Memo 01]:[Memo 07]],-1)-1),"")</f>
        <v>55203</v>
      </c>
      <c r="Y659" s="10" t="str">
        <f ca="1">IF(reading[[#This Row],[Next]]&lt;&gt;"",IF(reading[[#This Row],[Next]]&gt;TODAY(),"OK",""),"")</f>
        <v>OK</v>
      </c>
      <c r="Z659" s="13">
        <v>3</v>
      </c>
      <c r="AA659" s="13"/>
      <c r="AB659" s="13"/>
      <c r="AC659" s="13"/>
      <c r="AD659" s="13"/>
      <c r="AE659" s="13"/>
      <c r="AF659" s="13"/>
      <c r="AG659" s="16">
        <f>IFERROR(SUMIF(reading[[#This Row],[1st]:[7th]],"&gt;0")/COUNTIF(reading[[#This Row],[1st]:[7th]],"&gt;0"),"")</f>
        <v>3</v>
      </c>
    </row>
    <row r="660" spans="1:33" hidden="1" x14ac:dyDescent="0.2">
      <c r="A660" s="4">
        <f>IF(B660=1,3,IF(D660=1,2,IF(F660=1,1,0)))</f>
        <v>0</v>
      </c>
      <c r="B660" s="4" t="str">
        <f>IF(C660=$L660,1,IF(C660="","",0))</f>
        <v/>
      </c>
      <c r="C660" s="42"/>
      <c r="D660" s="4" t="str">
        <f>IF(E660=$L660,1,IF(E660="","",0))</f>
        <v/>
      </c>
      <c r="E660" s="14"/>
      <c r="F660" s="4" t="str">
        <f>IF(G660=$L660,1,IF(G660="","",0))</f>
        <v/>
      </c>
      <c r="G660" s="14"/>
      <c r="H660" s="6">
        <v>922</v>
      </c>
      <c r="I660" s="15" t="s">
        <v>3120</v>
      </c>
      <c r="J660" s="6" t="s">
        <v>4054</v>
      </c>
      <c r="K660" s="6"/>
      <c r="L660" s="6" t="s">
        <v>1034</v>
      </c>
      <c r="M660" s="6" t="s">
        <v>7031</v>
      </c>
      <c r="N660" s="7">
        <f ca="1">RAND()</f>
        <v>0.64472639813566313</v>
      </c>
      <c r="O660" s="8">
        <v>45204</v>
      </c>
      <c r="P660" s="8">
        <v>45205</v>
      </c>
      <c r="Q660" s="8">
        <v>45207</v>
      </c>
      <c r="R660" s="8">
        <v>45211</v>
      </c>
      <c r="S660" s="8">
        <v>45218</v>
      </c>
      <c r="T660" s="8">
        <v>45230</v>
      </c>
      <c r="U660" s="8">
        <v>45792</v>
      </c>
      <c r="V660" s="10">
        <f>COUNTA(O660:U660)</f>
        <v>7</v>
      </c>
      <c r="W660" s="11">
        <f>_xlfn.IFNA(INDEX(reading[[#This Row],[Memo 01]:[Memo 07]],MATCH(0,reading[[#This Row],[Memo 01]:[Memo 07]],-1)),"")</f>
        <v>45792</v>
      </c>
      <c r="X660" s="11">
        <f ca="1">IFERROR(reading[[#This Row],[Previous]]+OFFSET(reading[[#Headers],[Memo 01]],-1,MATCH(0,reading[[#This Row],[Memo 01]:[Memo 07]],-1)-1),"")</f>
        <v>55792</v>
      </c>
      <c r="Y660" s="10" t="str">
        <f ca="1">IF(reading[[#This Row],[Next]]&lt;&gt;"",IF(reading[[#This Row],[Next]]&gt;TODAY(),"OK",""),"")</f>
        <v>OK</v>
      </c>
      <c r="Z660" s="13">
        <v>3</v>
      </c>
      <c r="AA660" s="13">
        <v>2</v>
      </c>
      <c r="AB660" s="13">
        <v>3</v>
      </c>
      <c r="AC660" s="13">
        <v>3</v>
      </c>
      <c r="AD660" s="13">
        <v>3</v>
      </c>
      <c r="AE660" s="13">
        <v>3</v>
      </c>
      <c r="AF660" s="13">
        <v>3</v>
      </c>
      <c r="AG660" s="16">
        <f>IFERROR(SUMIF(reading[[#This Row],[1st]:[7th]],"&gt;0")/COUNTIF(reading[[#This Row],[1st]:[7th]],"&gt;0"),"")</f>
        <v>2.8571428571428572</v>
      </c>
    </row>
    <row r="661" spans="1:33" hidden="1" x14ac:dyDescent="0.2">
      <c r="A661" s="4">
        <f>IF(B661=1,3,IF(D661=1,2,IF(F661=1,1,0)))</f>
        <v>0</v>
      </c>
      <c r="B661" s="4" t="str">
        <f>IF(C661=$L661,1,IF(C661="","",0))</f>
        <v/>
      </c>
      <c r="C661" s="42"/>
      <c r="D661" s="4" t="str">
        <f>IF(E661=$L661,1,IF(E661="","",0))</f>
        <v/>
      </c>
      <c r="E661" s="14"/>
      <c r="F661" s="4" t="str">
        <f>IF(G661=$L661,1,IF(G661="","",0))</f>
        <v/>
      </c>
      <c r="G661" s="14"/>
      <c r="H661" s="6">
        <v>568</v>
      </c>
      <c r="I661" s="15" t="s">
        <v>3120</v>
      </c>
      <c r="J661" s="6" t="s">
        <v>3711</v>
      </c>
      <c r="K661" s="6"/>
      <c r="L661" s="6" t="s">
        <v>695</v>
      </c>
      <c r="M661" s="6" t="s">
        <v>6677</v>
      </c>
      <c r="N661" s="7">
        <f ca="1">RAND()</f>
        <v>0.58857956777260168</v>
      </c>
      <c r="O661" s="8">
        <v>45202</v>
      </c>
      <c r="P661" s="8">
        <v>45203</v>
      </c>
      <c r="Q661" s="8">
        <v>45205</v>
      </c>
      <c r="R661" s="8">
        <v>45209</v>
      </c>
      <c r="S661" s="8">
        <v>45216</v>
      </c>
      <c r="T661" s="8">
        <v>45228</v>
      </c>
      <c r="U661" s="8">
        <v>45792</v>
      </c>
      <c r="V661" s="10">
        <f>COUNTA(O661:U661)</f>
        <v>7</v>
      </c>
      <c r="W661" s="11">
        <f>_xlfn.IFNA(INDEX(reading[[#This Row],[Memo 01]:[Memo 07]],MATCH(0,reading[[#This Row],[Memo 01]:[Memo 07]],-1)),"")</f>
        <v>45792</v>
      </c>
      <c r="X661" s="11">
        <f ca="1">IFERROR(reading[[#This Row],[Previous]]+OFFSET(reading[[#Headers],[Memo 01]],-1,MATCH(0,reading[[#This Row],[Memo 01]:[Memo 07]],-1)-1),"")</f>
        <v>55792</v>
      </c>
      <c r="Y661" s="10" t="str">
        <f ca="1">IF(reading[[#This Row],[Next]]&lt;&gt;"",IF(reading[[#This Row],[Next]]&gt;TODAY(),"OK",""),"")</f>
        <v>OK</v>
      </c>
      <c r="Z661" s="13">
        <v>3</v>
      </c>
      <c r="AA661" s="13">
        <v>3</v>
      </c>
      <c r="AB661" s="13">
        <v>3</v>
      </c>
      <c r="AC661" s="13">
        <v>3</v>
      </c>
      <c r="AD661" s="13">
        <v>3</v>
      </c>
      <c r="AE661" s="13">
        <v>3</v>
      </c>
      <c r="AF661" s="13">
        <v>3</v>
      </c>
      <c r="AG661" s="16">
        <f>IFERROR(SUMIF(reading[[#This Row],[1st]:[7th]],"&gt;0")/COUNTIF(reading[[#This Row],[1st]:[7th]],"&gt;0"),"")</f>
        <v>3</v>
      </c>
    </row>
    <row r="662" spans="1:33" hidden="1" x14ac:dyDescent="0.2">
      <c r="A662" s="4">
        <f>IF(B662=1,3,IF(D662=1,2,IF(F662=1,1,0)))</f>
        <v>0</v>
      </c>
      <c r="B662" s="4" t="str">
        <f>IF(C662=$L662,1,IF(C662="","",0))</f>
        <v/>
      </c>
      <c r="C662" s="42"/>
      <c r="D662" s="4" t="str">
        <f>IF(E662=$L662,1,IF(E662="","",0))</f>
        <v/>
      </c>
      <c r="E662" s="14"/>
      <c r="F662" s="4" t="str">
        <f>IF(G662=$L662,1,IF(G662="","",0))</f>
        <v/>
      </c>
      <c r="G662" s="14"/>
      <c r="H662" s="6">
        <v>486</v>
      </c>
      <c r="I662" s="15" t="s">
        <v>3120</v>
      </c>
      <c r="J662" s="6" t="s">
        <v>3632</v>
      </c>
      <c r="K662" s="6"/>
      <c r="L662" s="6" t="s">
        <v>614</v>
      </c>
      <c r="M662" s="6" t="s">
        <v>6595</v>
      </c>
      <c r="N662" s="7">
        <f ca="1">RAND()</f>
        <v>0.4275821854970292</v>
      </c>
      <c r="O662" s="8">
        <v>45202</v>
      </c>
      <c r="P662" s="8">
        <v>45203</v>
      </c>
      <c r="Q662" s="8">
        <v>45205</v>
      </c>
      <c r="R662" s="8">
        <v>45209</v>
      </c>
      <c r="S662" s="8">
        <v>45216</v>
      </c>
      <c r="T662" s="8">
        <v>45228</v>
      </c>
      <c r="U662" s="8">
        <v>45801</v>
      </c>
      <c r="V662" s="10">
        <f>COUNTA(O662:U662)</f>
        <v>7</v>
      </c>
      <c r="W662" s="11">
        <f>_xlfn.IFNA(INDEX(reading[[#This Row],[Memo 01]:[Memo 07]],MATCH(0,reading[[#This Row],[Memo 01]:[Memo 07]],-1)),"")</f>
        <v>45801</v>
      </c>
      <c r="X662" s="11">
        <f ca="1">IFERROR(reading[[#This Row],[Previous]]+OFFSET(reading[[#Headers],[Memo 01]],-1,MATCH(0,reading[[#This Row],[Memo 01]:[Memo 07]],-1)-1),"")</f>
        <v>55801</v>
      </c>
      <c r="Y662" s="10" t="str">
        <f ca="1">IF(reading[[#This Row],[Next]]&lt;&gt;"",IF(reading[[#This Row],[Next]]&gt;TODAY(),"OK",""),"")</f>
        <v>OK</v>
      </c>
      <c r="Z662" s="13">
        <v>3</v>
      </c>
      <c r="AA662" s="13">
        <v>3</v>
      </c>
      <c r="AB662" s="13">
        <v>3</v>
      </c>
      <c r="AC662" s="13">
        <v>3</v>
      </c>
      <c r="AD662" s="13">
        <v>3</v>
      </c>
      <c r="AE662" s="13">
        <v>3</v>
      </c>
      <c r="AF662" s="13">
        <v>3</v>
      </c>
      <c r="AG662" s="16">
        <f>IFERROR(SUMIF(reading[[#This Row],[1st]:[7th]],"&gt;0")/COUNTIF(reading[[#This Row],[1st]:[7th]],"&gt;0"),"")</f>
        <v>3</v>
      </c>
    </row>
    <row r="663" spans="1:33" hidden="1" x14ac:dyDescent="0.2">
      <c r="A663" s="4">
        <f>IF(B663=1,3,IF(D663=1,2,IF(F663=1,1,0)))</f>
        <v>0</v>
      </c>
      <c r="B663" s="4" t="str">
        <f>IF(C663=$L663,1,IF(C663="","",0))</f>
        <v/>
      </c>
      <c r="C663" s="42"/>
      <c r="D663" s="4" t="str">
        <f>IF(E663=$L663,1,IF(E663="","",0))</f>
        <v/>
      </c>
      <c r="E663" s="23"/>
      <c r="F663" s="4" t="str">
        <f>IF(G663=$L663,1,IF(G663="","",0))</f>
        <v/>
      </c>
      <c r="G663" s="14"/>
      <c r="H663" s="6">
        <v>1307</v>
      </c>
      <c r="I663" s="15" t="s">
        <v>3120</v>
      </c>
      <c r="J663" s="6" t="s">
        <v>4424</v>
      </c>
      <c r="K663" s="6"/>
      <c r="L663" s="6" t="s">
        <v>1404</v>
      </c>
      <c r="M663" s="6" t="s">
        <v>7414</v>
      </c>
      <c r="N663" s="7">
        <f ca="1">RAND()</f>
        <v>0.92108222003152485</v>
      </c>
      <c r="O663" s="8">
        <v>45207</v>
      </c>
      <c r="P663" s="8">
        <v>45208</v>
      </c>
      <c r="Q663" s="8">
        <v>45210</v>
      </c>
      <c r="R663" s="8">
        <v>45214</v>
      </c>
      <c r="S663" s="8">
        <v>45221</v>
      </c>
      <c r="T663" s="8">
        <v>45233</v>
      </c>
      <c r="U663" s="8">
        <v>45811</v>
      </c>
      <c r="V663" s="10">
        <f>COUNTA(O663:U663)</f>
        <v>7</v>
      </c>
      <c r="W663" s="11">
        <f>_xlfn.IFNA(INDEX(reading[[#This Row],[Memo 01]:[Memo 07]],MATCH(0,reading[[#This Row],[Memo 01]:[Memo 07]],-1)),"")</f>
        <v>45811</v>
      </c>
      <c r="X663" s="11">
        <f ca="1">IFERROR(reading[[#This Row],[Previous]]+OFFSET(reading[[#Headers],[Memo 01]],-1,MATCH(0,reading[[#This Row],[Memo 01]:[Memo 07]],-1)-1),"")</f>
        <v>55811</v>
      </c>
      <c r="Y663" s="10" t="str">
        <f ca="1">IF(reading[[#This Row],[Next]]&lt;&gt;"",IF(reading[[#This Row],[Next]]&gt;TODAY(),"OK",""),"")</f>
        <v>OK</v>
      </c>
      <c r="Z663" s="13">
        <v>3</v>
      </c>
      <c r="AA663" s="13">
        <v>1</v>
      </c>
      <c r="AB663" s="13">
        <v>3</v>
      </c>
      <c r="AC663" s="13">
        <v>3</v>
      </c>
      <c r="AD663" s="13">
        <v>3</v>
      </c>
      <c r="AE663" s="13">
        <v>3</v>
      </c>
      <c r="AF663" s="13">
        <v>2</v>
      </c>
      <c r="AG663" s="16">
        <f>IFERROR(SUMIF(reading[[#This Row],[1st]:[7th]],"&gt;0")/COUNTIF(reading[[#This Row],[1st]:[7th]],"&gt;0"),"")</f>
        <v>2.5714285714285716</v>
      </c>
    </row>
    <row r="664" spans="1:33" hidden="1" x14ac:dyDescent="0.2">
      <c r="A664" s="4">
        <f>IF(B664=1,3,IF(D664=1,2,IF(F664=1,1,0)))</f>
        <v>0</v>
      </c>
      <c r="B664" s="4" t="str">
        <f>IF(C664=$L664,1,IF(C664="","",0))</f>
        <v/>
      </c>
      <c r="C664" s="42"/>
      <c r="D664" s="4" t="str">
        <f>IF(E664=$L664,1,IF(E664="","",0))</f>
        <v/>
      </c>
      <c r="E664" s="18"/>
      <c r="F664" s="4" t="str">
        <f>IF(G664=$L664,1,IF(G664="","",0))</f>
        <v/>
      </c>
      <c r="G664" s="14"/>
      <c r="H664" s="6">
        <v>283</v>
      </c>
      <c r="I664" s="15" t="s">
        <v>3120</v>
      </c>
      <c r="J664" s="6" t="s">
        <v>3431</v>
      </c>
      <c r="K664" s="6"/>
      <c r="L664" s="6" t="s">
        <v>418</v>
      </c>
      <c r="M664" s="6" t="s">
        <v>6392</v>
      </c>
      <c r="N664" s="7">
        <f ca="1">RAND()</f>
        <v>0.53243531054641413</v>
      </c>
      <c r="O664" s="8">
        <v>45201</v>
      </c>
      <c r="P664" s="8">
        <v>45202</v>
      </c>
      <c r="Q664" s="8">
        <v>45204</v>
      </c>
      <c r="R664" s="8">
        <v>45208</v>
      </c>
      <c r="S664" s="8">
        <v>45215</v>
      </c>
      <c r="T664" s="8">
        <v>45227</v>
      </c>
      <c r="U664" s="8">
        <v>45253</v>
      </c>
      <c r="V664" s="10">
        <f>COUNTA(O664:U664)</f>
        <v>7</v>
      </c>
      <c r="W664" s="11">
        <f>_xlfn.IFNA(INDEX(reading[[#This Row],[Memo 01]:[Memo 07]],MATCH(0,reading[[#This Row],[Memo 01]:[Memo 07]],-1)),"")</f>
        <v>45253</v>
      </c>
      <c r="X664" s="11">
        <f ca="1">IFERROR(reading[[#This Row],[Previous]]+OFFSET(reading[[#Headers],[Memo 01]],-1,MATCH(0,reading[[#This Row],[Memo 01]:[Memo 07]],-1)-1),"")</f>
        <v>55253</v>
      </c>
      <c r="Y664" s="10" t="str">
        <f ca="1">IF(reading[[#This Row],[Next]]&lt;&gt;"",IF(reading[[#This Row],[Next]]&gt;TODAY(),"OK",""),"")</f>
        <v>OK</v>
      </c>
      <c r="Z664" s="13">
        <v>3</v>
      </c>
      <c r="AA664" s="13">
        <v>3</v>
      </c>
      <c r="AB664" s="13">
        <v>3</v>
      </c>
      <c r="AC664" s="13">
        <v>2</v>
      </c>
      <c r="AD664" s="13">
        <v>2</v>
      </c>
      <c r="AE664" s="13">
        <v>3</v>
      </c>
      <c r="AF664" s="13">
        <v>2</v>
      </c>
      <c r="AG664" s="16">
        <f>IFERROR(SUMIF(reading[[#This Row],[1st]:[7th]],"&gt;0")/COUNTIF(reading[[#This Row],[1st]:[7th]],"&gt;0"),"")</f>
        <v>2.5714285714285716</v>
      </c>
    </row>
    <row r="665" spans="1:33" hidden="1" x14ac:dyDescent="0.2">
      <c r="A665" s="4">
        <f>IF(B665=1,3,IF(D665=1,2,IF(F665=1,1,0)))</f>
        <v>0</v>
      </c>
      <c r="B665" s="4" t="str">
        <f>IF(C665=$L665,1,IF(C665="","",0))</f>
        <v/>
      </c>
      <c r="C665" s="42"/>
      <c r="D665" s="4" t="str">
        <f>IF(E665=$L665,1,IF(E665="","",0))</f>
        <v/>
      </c>
      <c r="E665" s="23"/>
      <c r="F665" s="4" t="str">
        <f>IF(G665=$L665,1,IF(G665="","",0))</f>
        <v/>
      </c>
      <c r="G665" s="23"/>
      <c r="H665" s="6">
        <v>2238</v>
      </c>
      <c r="I665" s="15" t="s">
        <v>3120</v>
      </c>
      <c r="J665" s="6" t="s">
        <v>5322</v>
      </c>
      <c r="K665" s="6"/>
      <c r="L665" s="6" t="s">
        <v>2300</v>
      </c>
      <c r="M665" s="6" t="s">
        <v>8343</v>
      </c>
      <c r="N665" s="7">
        <f ca="1">RAND()</f>
        <v>0.72461755100536329</v>
      </c>
      <c r="O665" s="8">
        <v>45215</v>
      </c>
      <c r="P665" s="8">
        <v>45216</v>
      </c>
      <c r="Q665" s="8">
        <v>45218</v>
      </c>
      <c r="R665" s="8">
        <v>45222</v>
      </c>
      <c r="S665" s="8">
        <v>45229</v>
      </c>
      <c r="T665" s="8">
        <v>45811</v>
      </c>
      <c r="U665" s="8"/>
      <c r="V665" s="10">
        <f>COUNTA(O665:U665)</f>
        <v>6</v>
      </c>
      <c r="W665" s="11">
        <f>_xlfn.IFNA(INDEX(reading[[#This Row],[Memo 01]:[Memo 07]],MATCH(0,reading[[#This Row],[Memo 01]:[Memo 07]],-1)),"")</f>
        <v>45811</v>
      </c>
      <c r="X665" s="11">
        <f ca="1">IFERROR(reading[[#This Row],[Previous]]+OFFSET(reading[[#Headers],[Memo 01]],-1,MATCH(0,reading[[#This Row],[Memo 01]:[Memo 07]],-1)-1),"")</f>
        <v>45831</v>
      </c>
      <c r="Y665" s="10" t="str">
        <f ca="1">IF(reading[[#This Row],[Next]]&lt;&gt;"",IF(reading[[#This Row],[Next]]&gt;TODAY(),"OK",""),"")</f>
        <v/>
      </c>
      <c r="Z665" s="13">
        <v>3</v>
      </c>
      <c r="AA665" s="13">
        <v>3</v>
      </c>
      <c r="AB665" s="13">
        <v>3</v>
      </c>
      <c r="AC665" s="13">
        <v>3</v>
      </c>
      <c r="AD665" s="13">
        <v>3</v>
      </c>
      <c r="AE665" s="13">
        <v>1</v>
      </c>
      <c r="AF665" s="13"/>
      <c r="AG665" s="16">
        <f>IFERROR(SUMIF(reading[[#This Row],[1st]:[7th]],"&gt;0")/COUNTIF(reading[[#This Row],[1st]:[7th]],"&gt;0"),"")</f>
        <v>2.6666666666666665</v>
      </c>
    </row>
    <row r="666" spans="1:33" hidden="1" x14ac:dyDescent="0.2">
      <c r="A666" s="4">
        <f>IF(B666=1,3,IF(D666=1,2,IF(F666=1,1,0)))</f>
        <v>0</v>
      </c>
      <c r="B666" s="4" t="str">
        <f>IF(C666=$L666,1,IF(C666="","",0))</f>
        <v/>
      </c>
      <c r="C666" s="42"/>
      <c r="D666" s="4" t="str">
        <f>IF(E666=$L666,1,IF(E666="","",0))</f>
        <v/>
      </c>
      <c r="E666" s="14"/>
      <c r="F666" s="4" t="str">
        <f>IF(G666=$L666,1,IF(G666="","",0))</f>
        <v/>
      </c>
      <c r="G666" s="14"/>
      <c r="H666" s="6">
        <v>1083</v>
      </c>
      <c r="I666" s="15" t="s">
        <v>3120</v>
      </c>
      <c r="J666" s="6" t="s">
        <v>4207</v>
      </c>
      <c r="K666" s="6"/>
      <c r="L666" s="6" t="s">
        <v>1190</v>
      </c>
      <c r="M666" s="6" t="s">
        <v>7191</v>
      </c>
      <c r="N666" s="7">
        <f ca="1">RAND()</f>
        <v>0.50903408310327436</v>
      </c>
      <c r="O666" s="8">
        <v>45205</v>
      </c>
      <c r="P666" s="8">
        <v>45206</v>
      </c>
      <c r="Q666" s="8">
        <v>45208</v>
      </c>
      <c r="R666" s="8">
        <v>45212</v>
      </c>
      <c r="S666" s="8">
        <v>45219</v>
      </c>
      <c r="T666" s="8">
        <v>45231</v>
      </c>
      <c r="U666" s="8">
        <v>45818</v>
      </c>
      <c r="V666" s="10">
        <f>COUNTA(O666:U666)</f>
        <v>7</v>
      </c>
      <c r="W666" s="11">
        <f>_xlfn.IFNA(INDEX(reading[[#This Row],[Memo 01]:[Memo 07]],MATCH(0,reading[[#This Row],[Memo 01]:[Memo 07]],-1)),"")</f>
        <v>45818</v>
      </c>
      <c r="X666" s="11">
        <f ca="1">IFERROR(reading[[#This Row],[Previous]]+OFFSET(reading[[#Headers],[Memo 01]],-1,MATCH(0,reading[[#This Row],[Memo 01]:[Memo 07]],-1)-1),"")</f>
        <v>55818</v>
      </c>
      <c r="Y666" s="10" t="str">
        <f ca="1">IF(reading[[#This Row],[Next]]&lt;&gt;"",IF(reading[[#This Row],[Next]]&gt;TODAY(),"OK",""),"")</f>
        <v>OK</v>
      </c>
      <c r="Z666" s="13">
        <v>3</v>
      </c>
      <c r="AA666" s="13">
        <v>3</v>
      </c>
      <c r="AB666" s="13">
        <v>3</v>
      </c>
      <c r="AC666" s="13">
        <v>3</v>
      </c>
      <c r="AD666" s="13">
        <v>3</v>
      </c>
      <c r="AE666" s="13">
        <v>3</v>
      </c>
      <c r="AF666" s="13">
        <v>3</v>
      </c>
      <c r="AG666" s="16">
        <f>IFERROR(SUMIF(reading[[#This Row],[1st]:[7th]],"&gt;0")/COUNTIF(reading[[#This Row],[1st]:[7th]],"&gt;0"),"")</f>
        <v>3</v>
      </c>
    </row>
    <row r="667" spans="1:33" hidden="1" x14ac:dyDescent="0.2">
      <c r="A667" s="4">
        <f>IF(B667=1,3,IF(D667=1,2,IF(F667=1,1,0)))</f>
        <v>0</v>
      </c>
      <c r="B667" s="4" t="str">
        <f>IF(C667=$L667,1,IF(C667="","",0))</f>
        <v/>
      </c>
      <c r="C667" s="42"/>
      <c r="D667" s="4" t="str">
        <f>IF(E667=$L667,1,IF(E667="","",0))</f>
        <v/>
      </c>
      <c r="E667" s="14"/>
      <c r="F667" s="4" t="str">
        <f>IF(G667=$L667,1,IF(G667="","",0))</f>
        <v/>
      </c>
      <c r="G667" s="14"/>
      <c r="H667" s="6">
        <v>823</v>
      </c>
      <c r="I667" s="15" t="s">
        <v>3120</v>
      </c>
      <c r="J667" s="6" t="s">
        <v>3956</v>
      </c>
      <c r="K667" s="6"/>
      <c r="L667" s="6" t="s">
        <v>939</v>
      </c>
      <c r="M667" s="6" t="s">
        <v>6932</v>
      </c>
      <c r="N667" s="7">
        <f ca="1">RAND()</f>
        <v>0.10740078095956429</v>
      </c>
      <c r="O667" s="8">
        <v>45203</v>
      </c>
      <c r="P667" s="8">
        <v>45204</v>
      </c>
      <c r="Q667" s="8">
        <v>45206</v>
      </c>
      <c r="R667" s="8">
        <v>45210</v>
      </c>
      <c r="S667" s="8">
        <v>45217</v>
      </c>
      <c r="T667" s="8">
        <v>45229</v>
      </c>
      <c r="U667" s="8">
        <v>45792</v>
      </c>
      <c r="V667" s="10">
        <f>COUNTA(O667:U667)</f>
        <v>7</v>
      </c>
      <c r="W667" s="11">
        <f>_xlfn.IFNA(INDEX(reading[[#This Row],[Memo 01]:[Memo 07]],MATCH(0,reading[[#This Row],[Memo 01]:[Memo 07]],-1)),"")</f>
        <v>45792</v>
      </c>
      <c r="X667" s="11">
        <f ca="1">IFERROR(reading[[#This Row],[Previous]]+OFFSET(reading[[#Headers],[Memo 01]],-1,MATCH(0,reading[[#This Row],[Memo 01]:[Memo 07]],-1)-1),"")</f>
        <v>55792</v>
      </c>
      <c r="Y667" s="10" t="str">
        <f ca="1">IF(reading[[#This Row],[Next]]&lt;&gt;"",IF(reading[[#This Row],[Next]]&gt;TODAY(),"OK",""),"")</f>
        <v>OK</v>
      </c>
      <c r="Z667" s="13">
        <v>3</v>
      </c>
      <c r="AA667" s="13">
        <v>3</v>
      </c>
      <c r="AB667" s="13">
        <v>3</v>
      </c>
      <c r="AC667" s="13">
        <v>3</v>
      </c>
      <c r="AD667" s="13">
        <v>3</v>
      </c>
      <c r="AE667" s="13">
        <v>3</v>
      </c>
      <c r="AF667" s="13">
        <v>3</v>
      </c>
      <c r="AG667" s="16">
        <f>IFERROR(SUMIF(reading[[#This Row],[1st]:[7th]],"&gt;0")/COUNTIF(reading[[#This Row],[1st]:[7th]],"&gt;0"),"")</f>
        <v>3</v>
      </c>
    </row>
    <row r="668" spans="1:33" hidden="1" x14ac:dyDescent="0.2">
      <c r="A668" s="4">
        <f>IF(B668=1,3,IF(D668=1,2,IF(F668=1,1,0)))</f>
        <v>0</v>
      </c>
      <c r="B668" s="4" t="str">
        <f>IF(C668=$L668,1,IF(C668="","",0))</f>
        <v/>
      </c>
      <c r="C668" s="18"/>
      <c r="D668" s="4" t="str">
        <f>IF(E668=$L668,1,IF(E668="","",0))</f>
        <v/>
      </c>
      <c r="E668" s="18"/>
      <c r="F668" s="4" t="str">
        <f>IF(G668=$L668,1,IF(G668="","",0))</f>
        <v/>
      </c>
      <c r="G668" s="18"/>
      <c r="H668" s="6">
        <v>224</v>
      </c>
      <c r="I668" s="15" t="s">
        <v>3120</v>
      </c>
      <c r="J668" s="6" t="s">
        <v>3373</v>
      </c>
      <c r="K668" s="15" t="s">
        <v>3138</v>
      </c>
      <c r="L668" s="6" t="s">
        <v>359</v>
      </c>
      <c r="M668" s="6" t="s">
        <v>6333</v>
      </c>
      <c r="N668" s="7">
        <f ca="1">RAND()</f>
        <v>0.88425940980443551</v>
      </c>
      <c r="O668" s="8">
        <v>45199</v>
      </c>
      <c r="P668" s="8">
        <v>45200</v>
      </c>
      <c r="Q668" s="8">
        <v>45202</v>
      </c>
      <c r="R668" s="8">
        <v>45206</v>
      </c>
      <c r="S668" s="8">
        <v>45213</v>
      </c>
      <c r="T668" s="8">
        <v>45225</v>
      </c>
      <c r="U668" s="8">
        <v>45250</v>
      </c>
      <c r="V668" s="10">
        <f>COUNTA(O668:U668)</f>
        <v>7</v>
      </c>
      <c r="W668" s="11">
        <f>_xlfn.IFNA(INDEX(reading[[#This Row],[Memo 01]:[Memo 07]],MATCH(0,reading[[#This Row],[Memo 01]:[Memo 07]],-1)),"")</f>
        <v>45250</v>
      </c>
      <c r="X668" s="11">
        <f ca="1">IFERROR(reading[[#This Row],[Previous]]+OFFSET(reading[[#Headers],[Memo 01]],-1,MATCH(0,reading[[#This Row],[Memo 01]:[Memo 07]],-1)-1),"")</f>
        <v>55250</v>
      </c>
      <c r="Y668" s="10" t="str">
        <f ca="1">IF(reading[[#This Row],[Next]]&lt;&gt;"",IF(reading[[#This Row],[Next]]&gt;TODAY(),"OK",""),"")</f>
        <v>OK</v>
      </c>
      <c r="Z668" s="13">
        <v>3</v>
      </c>
      <c r="AA668" s="13">
        <v>3</v>
      </c>
      <c r="AB668" s="13">
        <v>3</v>
      </c>
      <c r="AC668" s="13">
        <v>2</v>
      </c>
      <c r="AD668" s="13">
        <v>1</v>
      </c>
      <c r="AE668" s="13">
        <v>3</v>
      </c>
      <c r="AF668" s="13">
        <v>1</v>
      </c>
      <c r="AG668" s="16">
        <f>IFERROR(SUMIF(reading[[#This Row],[1st]:[7th]],"&gt;0")/COUNTIF(reading[[#This Row],[1st]:[7th]],"&gt;0"),"")</f>
        <v>2.2857142857142856</v>
      </c>
    </row>
    <row r="669" spans="1:33" hidden="1" x14ac:dyDescent="0.2">
      <c r="A669" s="4">
        <f>IF(B669=1,3,IF(D669=1,2,IF(F669=1,1,0)))</f>
        <v>0</v>
      </c>
      <c r="B669" s="4" t="str">
        <f>IF(C669=$L669,1,IF(C669="","",0))</f>
        <v/>
      </c>
      <c r="C669" s="42"/>
      <c r="D669" s="4" t="str">
        <f>IF(E669=$L669,1,IF(E669="","",0))</f>
        <v/>
      </c>
      <c r="E669" s="18"/>
      <c r="F669" s="4" t="str">
        <f>IF(G669=$L669,1,IF(G669="","",0))</f>
        <v/>
      </c>
      <c r="G669" s="14"/>
      <c r="H669" s="6">
        <v>1663</v>
      </c>
      <c r="I669" s="15" t="s">
        <v>3120</v>
      </c>
      <c r="J669" s="6" t="s">
        <v>4774</v>
      </c>
      <c r="K669" s="6"/>
      <c r="L669" s="6" t="s">
        <v>1744</v>
      </c>
      <c r="M669" s="6" t="s">
        <v>7769</v>
      </c>
      <c r="N669" s="7">
        <f ca="1">RAND()</f>
        <v>0.66693945480325079</v>
      </c>
      <c r="O669" s="8">
        <v>45210</v>
      </c>
      <c r="P669" s="8">
        <v>45211</v>
      </c>
      <c r="Q669" s="8">
        <v>45213</v>
      </c>
      <c r="R669" s="8">
        <v>45217</v>
      </c>
      <c r="S669" s="8">
        <v>45224</v>
      </c>
      <c r="T669" s="8">
        <v>45236</v>
      </c>
      <c r="U669" s="8">
        <v>45801</v>
      </c>
      <c r="V669" s="10">
        <f>COUNTA(O669:U669)</f>
        <v>7</v>
      </c>
      <c r="W669" s="11">
        <f>_xlfn.IFNA(INDEX(reading[[#This Row],[Memo 01]:[Memo 07]],MATCH(0,reading[[#This Row],[Memo 01]:[Memo 07]],-1)),"")</f>
        <v>45801</v>
      </c>
      <c r="X669" s="11">
        <f ca="1">IFERROR(reading[[#This Row],[Previous]]+OFFSET(reading[[#Headers],[Memo 01]],-1,MATCH(0,reading[[#This Row],[Memo 01]:[Memo 07]],-1)-1),"")</f>
        <v>55801</v>
      </c>
      <c r="Y669" s="10" t="str">
        <f ca="1">IF(reading[[#This Row],[Next]]&lt;&gt;"",IF(reading[[#This Row],[Next]]&gt;TODAY(),"OK",""),"")</f>
        <v>OK</v>
      </c>
      <c r="Z669" s="13">
        <v>3</v>
      </c>
      <c r="AA669" s="13">
        <v>3</v>
      </c>
      <c r="AB669" s="13">
        <v>3</v>
      </c>
      <c r="AC669" s="13">
        <v>2</v>
      </c>
      <c r="AD669" s="13">
        <v>2</v>
      </c>
      <c r="AE669" s="13">
        <v>3</v>
      </c>
      <c r="AF669" s="13">
        <v>3</v>
      </c>
      <c r="AG669" s="16">
        <f>IFERROR(SUMIF(reading[[#This Row],[1st]:[7th]],"&gt;0")/COUNTIF(reading[[#This Row],[1st]:[7th]],"&gt;0"),"")</f>
        <v>2.7142857142857144</v>
      </c>
    </row>
    <row r="670" spans="1:33" hidden="1" x14ac:dyDescent="0.2">
      <c r="A670" s="4">
        <f>IF(B670=1,3,IF(D670=1,2,IF(F670=1,1,0)))</f>
        <v>3</v>
      </c>
      <c r="B670" s="4">
        <f>IF(C670=$L670,1,IF(C670="","",0))</f>
        <v>1</v>
      </c>
      <c r="C670" s="21" t="s">
        <v>796</v>
      </c>
      <c r="D670" s="4" t="str">
        <f>IF(E670=$L670,1,IF(E670="","",0))</f>
        <v/>
      </c>
      <c r="E670" s="14"/>
      <c r="F670" s="4" t="str">
        <f>IF(G670=$L670,1,IF(G670="","",0))</f>
        <v/>
      </c>
      <c r="G670" s="14"/>
      <c r="H670" s="6">
        <v>673</v>
      </c>
      <c r="I670" s="15" t="s">
        <v>3120</v>
      </c>
      <c r="J670" s="6" t="s">
        <v>3812</v>
      </c>
      <c r="K670" s="6"/>
      <c r="L670" s="6" t="s">
        <v>796</v>
      </c>
      <c r="M670" s="6" t="s">
        <v>6782</v>
      </c>
      <c r="N670" s="7">
        <f ca="1">RAND()</f>
        <v>7.3778060035802895E-3</v>
      </c>
      <c r="O670" s="8">
        <v>45203</v>
      </c>
      <c r="P670" s="8">
        <v>45203</v>
      </c>
      <c r="Q670" s="8">
        <v>45203</v>
      </c>
      <c r="R670" s="8">
        <v>45203</v>
      </c>
      <c r="S670" s="8">
        <v>45203</v>
      </c>
      <c r="T670" s="8">
        <v>45203</v>
      </c>
      <c r="U670" s="8">
        <v>45203</v>
      </c>
      <c r="V670" s="10">
        <f>COUNTA(O670:U670)</f>
        <v>7</v>
      </c>
      <c r="W670" s="11">
        <f>_xlfn.IFNA(INDEX(reading[[#This Row],[Memo 01]:[Memo 07]],MATCH(0,reading[[#This Row],[Memo 01]:[Memo 07]],-1)),"")</f>
        <v>45203</v>
      </c>
      <c r="X670" s="11">
        <f ca="1">IFERROR(reading[[#This Row],[Previous]]+OFFSET(reading[[#Headers],[Memo 01]],-1,MATCH(0,reading[[#This Row],[Memo 01]:[Memo 07]],-1)-1),"")</f>
        <v>55203</v>
      </c>
      <c r="Y670" s="10" t="str">
        <f ca="1">IF(reading[[#This Row],[Next]]&lt;&gt;"",IF(reading[[#This Row],[Next]]&gt;TODAY(),"OK",""),"")</f>
        <v>OK</v>
      </c>
      <c r="Z670" s="13">
        <v>3</v>
      </c>
      <c r="AA670" s="13"/>
      <c r="AB670" s="13"/>
      <c r="AC670" s="13"/>
      <c r="AD670" s="13"/>
      <c r="AE670" s="13"/>
      <c r="AF670" s="13"/>
      <c r="AG670" s="16">
        <f>IFERROR(SUMIF(reading[[#This Row],[1st]:[7th]],"&gt;0")/COUNTIF(reading[[#This Row],[1st]:[7th]],"&gt;0"),"")</f>
        <v>3</v>
      </c>
    </row>
    <row r="671" spans="1:33" hidden="1" x14ac:dyDescent="0.2">
      <c r="A671" s="4">
        <f>IF(B671=1,3,IF(D671=1,2,IF(F671=1,1,0)))</f>
        <v>0</v>
      </c>
      <c r="B671" s="4" t="str">
        <f>IF(C671=$L671,1,IF(C671="","",0))</f>
        <v/>
      </c>
      <c r="C671" s="42"/>
      <c r="D671" s="4" t="str">
        <f>IF(E671=$L671,1,IF(E671="","",0))</f>
        <v/>
      </c>
      <c r="E671" s="14"/>
      <c r="F671" s="4" t="str">
        <f>IF(G671=$L671,1,IF(G671="","",0))</f>
        <v/>
      </c>
      <c r="G671" s="14"/>
      <c r="H671" s="6">
        <v>1353</v>
      </c>
      <c r="I671" s="15" t="s">
        <v>3120</v>
      </c>
      <c r="J671" s="6" t="s">
        <v>4467</v>
      </c>
      <c r="K671" s="6"/>
      <c r="L671" s="6" t="s">
        <v>1447</v>
      </c>
      <c r="M671" s="6" t="s">
        <v>7460</v>
      </c>
      <c r="N671" s="7">
        <f ca="1">RAND()</f>
        <v>1.4119156357724427E-2</v>
      </c>
      <c r="O671" s="8">
        <v>45207</v>
      </c>
      <c r="P671" s="8">
        <v>45208</v>
      </c>
      <c r="Q671" s="8">
        <v>45210</v>
      </c>
      <c r="R671" s="8">
        <v>45214</v>
      </c>
      <c r="S671" s="8">
        <v>45221</v>
      </c>
      <c r="T671" s="8">
        <v>45233</v>
      </c>
      <c r="U671" s="8">
        <v>45792</v>
      </c>
      <c r="V671" s="10">
        <f>COUNTA(O671:U671)</f>
        <v>7</v>
      </c>
      <c r="W671" s="11">
        <f>_xlfn.IFNA(INDEX(reading[[#This Row],[Memo 01]:[Memo 07]],MATCH(0,reading[[#This Row],[Memo 01]:[Memo 07]],-1)),"")</f>
        <v>45792</v>
      </c>
      <c r="X671" s="11">
        <f ca="1">IFERROR(reading[[#This Row],[Previous]]+OFFSET(reading[[#Headers],[Memo 01]],-1,MATCH(0,reading[[#This Row],[Memo 01]:[Memo 07]],-1)-1),"")</f>
        <v>55792</v>
      </c>
      <c r="Y671" s="10" t="str">
        <f ca="1">IF(reading[[#This Row],[Next]]&lt;&gt;"",IF(reading[[#This Row],[Next]]&gt;TODAY(),"OK",""),"")</f>
        <v>OK</v>
      </c>
      <c r="Z671" s="13">
        <v>3</v>
      </c>
      <c r="AA671" s="13">
        <v>3</v>
      </c>
      <c r="AB671" s="13">
        <v>3</v>
      </c>
      <c r="AC671" s="13">
        <v>3</v>
      </c>
      <c r="AD671" s="13">
        <v>3</v>
      </c>
      <c r="AE671" s="13">
        <v>3</v>
      </c>
      <c r="AF671" s="13">
        <v>3</v>
      </c>
      <c r="AG671" s="16">
        <f>IFERROR(SUMIF(reading[[#This Row],[1st]:[7th]],"&gt;0")/COUNTIF(reading[[#This Row],[1st]:[7th]],"&gt;0"),"")</f>
        <v>3</v>
      </c>
    </row>
    <row r="672" spans="1:33" hidden="1" x14ac:dyDescent="0.2">
      <c r="A672" s="4">
        <f>IF(B672=1,3,IF(D672=1,2,IF(F672=1,1,0)))</f>
        <v>0</v>
      </c>
      <c r="B672" s="4" t="str">
        <f>IF(C672=$L672,1,IF(C672="","",0))</f>
        <v/>
      </c>
      <c r="C672" s="42"/>
      <c r="D672" s="4" t="str">
        <f>IF(E672=$L672,1,IF(E672="","",0))</f>
        <v/>
      </c>
      <c r="E672" s="23"/>
      <c r="F672" s="4" t="str">
        <f>IF(G672=$L672,1,IF(G672="","",0))</f>
        <v/>
      </c>
      <c r="G672" s="23"/>
      <c r="H672" s="6">
        <v>1731</v>
      </c>
      <c r="I672" s="15" t="s">
        <v>3120</v>
      </c>
      <c r="J672" s="6" t="s">
        <v>4839</v>
      </c>
      <c r="K672" s="15" t="s">
        <v>3139</v>
      </c>
      <c r="L672" s="6" t="s">
        <v>1811</v>
      </c>
      <c r="M672" s="6" t="s">
        <v>7837</v>
      </c>
      <c r="N672" s="7">
        <f ca="1">RAND()</f>
        <v>0.85554131024846392</v>
      </c>
      <c r="O672" s="8">
        <v>45211</v>
      </c>
      <c r="P672" s="8">
        <v>45212</v>
      </c>
      <c r="Q672" s="8">
        <v>45214</v>
      </c>
      <c r="R672" s="8">
        <v>45218</v>
      </c>
      <c r="S672" s="8">
        <v>45225</v>
      </c>
      <c r="T672" s="8">
        <v>45237</v>
      </c>
      <c r="U672" s="8">
        <v>45811</v>
      </c>
      <c r="V672" s="10">
        <f>COUNTA(O672:U672)</f>
        <v>7</v>
      </c>
      <c r="W672" s="11">
        <f>_xlfn.IFNA(INDEX(reading[[#This Row],[Memo 01]:[Memo 07]],MATCH(0,reading[[#This Row],[Memo 01]:[Memo 07]],-1)),"")</f>
        <v>45811</v>
      </c>
      <c r="X672" s="11">
        <f ca="1">IFERROR(reading[[#This Row],[Previous]]+OFFSET(reading[[#Headers],[Memo 01]],-1,MATCH(0,reading[[#This Row],[Memo 01]:[Memo 07]],-1)-1),"")</f>
        <v>55811</v>
      </c>
      <c r="Y672" s="10" t="str">
        <f ca="1">IF(reading[[#This Row],[Next]]&lt;&gt;"",IF(reading[[#This Row],[Next]]&gt;TODAY(),"OK",""),"")</f>
        <v>OK</v>
      </c>
      <c r="Z672" s="13">
        <v>3</v>
      </c>
      <c r="AA672" s="13">
        <v>3</v>
      </c>
      <c r="AB672" s="13">
        <v>3</v>
      </c>
      <c r="AC672" s="13">
        <v>3</v>
      </c>
      <c r="AD672" s="13">
        <v>3</v>
      </c>
      <c r="AE672" s="13">
        <v>3</v>
      </c>
      <c r="AF672" s="13">
        <v>1</v>
      </c>
      <c r="AG672" s="16">
        <f>IFERROR(SUMIF(reading[[#This Row],[1st]:[7th]],"&gt;0")/COUNTIF(reading[[#This Row],[1st]:[7th]],"&gt;0"),"")</f>
        <v>2.7142857142857144</v>
      </c>
    </row>
    <row r="673" spans="1:33" hidden="1" x14ac:dyDescent="0.2">
      <c r="A673" s="4">
        <f>IF(B673=1,3,IF(D673=1,2,IF(F673=1,1,0)))</f>
        <v>0</v>
      </c>
      <c r="B673" s="4" t="str">
        <f>IF(C673=$L673,1,IF(C673="","",0))</f>
        <v/>
      </c>
      <c r="C673" s="42"/>
      <c r="D673" s="4" t="str">
        <f>IF(E673=$L673,1,IF(E673="","",0))</f>
        <v/>
      </c>
      <c r="E673" s="14"/>
      <c r="F673" s="4" t="str">
        <f>IF(G673=$L673,1,IF(G673="","",0))</f>
        <v/>
      </c>
      <c r="G673" s="14"/>
      <c r="H673" s="6">
        <v>730</v>
      </c>
      <c r="I673" s="15" t="s">
        <v>3120</v>
      </c>
      <c r="J673" s="6" t="s">
        <v>3868</v>
      </c>
      <c r="K673" s="6"/>
      <c r="L673" s="6" t="s">
        <v>851</v>
      </c>
      <c r="M673" s="6" t="s">
        <v>6839</v>
      </c>
      <c r="N673" s="7">
        <f ca="1">RAND()</f>
        <v>9.0043976108891144E-3</v>
      </c>
      <c r="O673" s="8">
        <v>45203</v>
      </c>
      <c r="P673" s="8">
        <v>45204</v>
      </c>
      <c r="Q673" s="8">
        <v>45206</v>
      </c>
      <c r="R673" s="8">
        <v>45210</v>
      </c>
      <c r="S673" s="8">
        <v>45217</v>
      </c>
      <c r="T673" s="8">
        <v>45229</v>
      </c>
      <c r="U673" s="8">
        <v>45792</v>
      </c>
      <c r="V673" s="10">
        <f>COUNTA(O673:U673)</f>
        <v>7</v>
      </c>
      <c r="W673" s="11">
        <f>_xlfn.IFNA(INDEX(reading[[#This Row],[Memo 01]:[Memo 07]],MATCH(0,reading[[#This Row],[Memo 01]:[Memo 07]],-1)),"")</f>
        <v>45792</v>
      </c>
      <c r="X673" s="11">
        <f ca="1">IFERROR(reading[[#This Row],[Previous]]+OFFSET(reading[[#Headers],[Memo 01]],-1,MATCH(0,reading[[#This Row],[Memo 01]:[Memo 07]],-1)-1),"")</f>
        <v>55792</v>
      </c>
      <c r="Y673" s="10" t="str">
        <f ca="1">IF(reading[[#This Row],[Next]]&lt;&gt;"",IF(reading[[#This Row],[Next]]&gt;TODAY(),"OK",""),"")</f>
        <v>OK</v>
      </c>
      <c r="Z673" s="13">
        <v>3</v>
      </c>
      <c r="AA673" s="13">
        <v>3</v>
      </c>
      <c r="AB673" s="13">
        <v>3</v>
      </c>
      <c r="AC673" s="13">
        <v>3</v>
      </c>
      <c r="AD673" s="13">
        <v>3</v>
      </c>
      <c r="AE673" s="13">
        <v>3</v>
      </c>
      <c r="AF673" s="13">
        <v>3</v>
      </c>
      <c r="AG673" s="16">
        <f>IFERROR(SUMIF(reading[[#This Row],[1st]:[7th]],"&gt;0")/COUNTIF(reading[[#This Row],[1st]:[7th]],"&gt;0"),"")</f>
        <v>3</v>
      </c>
    </row>
    <row r="674" spans="1:33" hidden="1" x14ac:dyDescent="0.2">
      <c r="A674" s="4">
        <f>IF(B674=1,3,IF(D674=1,2,IF(F674=1,1,0)))</f>
        <v>0</v>
      </c>
      <c r="B674" s="4" t="str">
        <f>IF(C674=$L674,1,IF(C674="","",0))</f>
        <v/>
      </c>
      <c r="C674" s="42"/>
      <c r="D674" s="4" t="str">
        <f>IF(E674=$L674,1,IF(E674="","",0))</f>
        <v/>
      </c>
      <c r="E674" s="14"/>
      <c r="F674" s="4" t="str">
        <f>IF(G674=$L674,1,IF(G674="","",0))</f>
        <v/>
      </c>
      <c r="G674" s="14"/>
      <c r="H674" s="6">
        <v>272</v>
      </c>
      <c r="I674" s="15" t="s">
        <v>3120</v>
      </c>
      <c r="J674" s="6" t="s">
        <v>3421</v>
      </c>
      <c r="K674" s="6"/>
      <c r="L674" s="6" t="s">
        <v>407</v>
      </c>
      <c r="M674" s="6" t="s">
        <v>6381</v>
      </c>
      <c r="N674" s="7">
        <f ca="1">RAND()</f>
        <v>0.9585078096385613</v>
      </c>
      <c r="O674" s="8">
        <v>45200</v>
      </c>
      <c r="P674" s="8">
        <v>45201</v>
      </c>
      <c r="Q674" s="8">
        <v>45203</v>
      </c>
      <c r="R674" s="8">
        <v>45207</v>
      </c>
      <c r="S674" s="8">
        <v>45214</v>
      </c>
      <c r="T674" s="8">
        <v>45226</v>
      </c>
      <c r="U674" s="8">
        <v>45792</v>
      </c>
      <c r="V674" s="10">
        <f>COUNTA(O674:U674)</f>
        <v>7</v>
      </c>
      <c r="W674" s="11">
        <f>_xlfn.IFNA(INDEX(reading[[#This Row],[Memo 01]:[Memo 07]],MATCH(0,reading[[#This Row],[Memo 01]:[Memo 07]],-1)),"")</f>
        <v>45792</v>
      </c>
      <c r="X674" s="11">
        <f ca="1">IFERROR(reading[[#This Row],[Previous]]+OFFSET(reading[[#Headers],[Memo 01]],-1,MATCH(0,reading[[#This Row],[Memo 01]:[Memo 07]],-1)-1),"")</f>
        <v>55792</v>
      </c>
      <c r="Y674" s="10" t="str">
        <f ca="1">IF(reading[[#This Row],[Next]]&lt;&gt;"",IF(reading[[#This Row],[Next]]&gt;TODAY(),"OK",""),"")</f>
        <v>OK</v>
      </c>
      <c r="Z674" s="13">
        <v>3</v>
      </c>
      <c r="AA674" s="13">
        <v>3</v>
      </c>
      <c r="AB674" s="13">
        <v>2</v>
      </c>
      <c r="AC674" s="13">
        <v>3</v>
      </c>
      <c r="AD674" s="13">
        <v>3</v>
      </c>
      <c r="AE674" s="13">
        <v>3</v>
      </c>
      <c r="AF674" s="13">
        <v>3</v>
      </c>
      <c r="AG674" s="16">
        <f>IFERROR(SUMIF(reading[[#This Row],[1st]:[7th]],"&gt;0")/COUNTIF(reading[[#This Row],[1st]:[7th]],"&gt;0"),"")</f>
        <v>2.8571428571428572</v>
      </c>
    </row>
    <row r="675" spans="1:33" hidden="1" x14ac:dyDescent="0.2">
      <c r="A675" s="4">
        <f>IF(B675=1,3,IF(D675=1,2,IF(F675=1,1,0)))</f>
        <v>0</v>
      </c>
      <c r="B675" s="4" t="str">
        <f>IF(C675=$L675,1,IF(C675="","",0))</f>
        <v/>
      </c>
      <c r="C675" s="42"/>
      <c r="D675" s="4" t="str">
        <f>IF(E675=$L675,1,IF(E675="","",0))</f>
        <v/>
      </c>
      <c r="E675" s="14"/>
      <c r="F675" s="4" t="str">
        <f>IF(G675=$L675,1,IF(G675="","",0))</f>
        <v/>
      </c>
      <c r="G675" s="14"/>
      <c r="H675" s="6">
        <v>1245</v>
      </c>
      <c r="I675" s="15" t="s">
        <v>3120</v>
      </c>
      <c r="J675" s="6" t="s">
        <v>4362</v>
      </c>
      <c r="K675" s="6"/>
      <c r="L675" s="6" t="s">
        <v>1345</v>
      </c>
      <c r="M675" s="6" t="s">
        <v>7352</v>
      </c>
      <c r="N675" s="7">
        <f ca="1">RAND()</f>
        <v>0.47347553542228016</v>
      </c>
      <c r="O675" s="8">
        <v>45206</v>
      </c>
      <c r="P675" s="8">
        <v>45207</v>
      </c>
      <c r="Q675" s="8">
        <v>45209</v>
      </c>
      <c r="R675" s="8">
        <v>45213</v>
      </c>
      <c r="S675" s="8">
        <v>45220</v>
      </c>
      <c r="T675" s="8">
        <v>45232</v>
      </c>
      <c r="U675" s="8">
        <v>45824</v>
      </c>
      <c r="V675" s="10">
        <f>COUNTA(O675:U675)</f>
        <v>7</v>
      </c>
      <c r="W675" s="11">
        <f>_xlfn.IFNA(INDEX(reading[[#This Row],[Memo 01]:[Memo 07]],MATCH(0,reading[[#This Row],[Memo 01]:[Memo 07]],-1)),"")</f>
        <v>45824</v>
      </c>
      <c r="X675" s="11">
        <f ca="1">IFERROR(reading[[#This Row],[Previous]]+OFFSET(reading[[#Headers],[Memo 01]],-1,MATCH(0,reading[[#This Row],[Memo 01]:[Memo 07]],-1)-1),"")</f>
        <v>55824</v>
      </c>
      <c r="Y675" s="10" t="str">
        <f ca="1">IF(reading[[#This Row],[Next]]&lt;&gt;"",IF(reading[[#This Row],[Next]]&gt;TODAY(),"OK",""),"")</f>
        <v>OK</v>
      </c>
      <c r="Z675" s="13">
        <v>3</v>
      </c>
      <c r="AA675" s="13">
        <v>3</v>
      </c>
      <c r="AB675" s="13">
        <v>3</v>
      </c>
      <c r="AC675" s="13">
        <v>3</v>
      </c>
      <c r="AD675" s="13">
        <v>3</v>
      </c>
      <c r="AE675" s="13">
        <v>3</v>
      </c>
      <c r="AF675" s="13">
        <v>3</v>
      </c>
      <c r="AG675" s="16">
        <f>IFERROR(SUMIF(reading[[#This Row],[1st]:[7th]],"&gt;0")/COUNTIF(reading[[#This Row],[1st]:[7th]],"&gt;0"),"")</f>
        <v>3</v>
      </c>
    </row>
    <row r="676" spans="1:33" hidden="1" x14ac:dyDescent="0.2">
      <c r="A676" s="4">
        <f>IF(B676=1,3,IF(D676=1,2,IF(F676=1,1,0)))</f>
        <v>0</v>
      </c>
      <c r="B676" s="4" t="str">
        <f>IF(C676=$L676,1,IF(C676="","",0))</f>
        <v/>
      </c>
      <c r="C676" s="42"/>
      <c r="D676" s="4" t="str">
        <f>IF(E676=$L676,1,IF(E676="","",0))</f>
        <v/>
      </c>
      <c r="E676" s="18"/>
      <c r="F676" s="4" t="str">
        <f>IF(G676=$L676,1,IF(G676="","",0))</f>
        <v/>
      </c>
      <c r="G676" s="18"/>
      <c r="H676" s="6">
        <v>2762</v>
      </c>
      <c r="I676" s="15" t="s">
        <v>3120</v>
      </c>
      <c r="J676" s="6" t="s">
        <v>5807</v>
      </c>
      <c r="K676" s="6"/>
      <c r="L676" s="6" t="s">
        <v>2800</v>
      </c>
      <c r="M676" s="6" t="s">
        <v>8866</v>
      </c>
      <c r="N676" s="7">
        <f ca="1">RAND()</f>
        <v>0.36889124692279263</v>
      </c>
      <c r="O676" s="8">
        <v>45222</v>
      </c>
      <c r="P676" s="8">
        <v>45223</v>
      </c>
      <c r="Q676" s="8">
        <v>45230</v>
      </c>
      <c r="R676" s="8">
        <v>45234</v>
      </c>
      <c r="S676" s="8">
        <v>45250</v>
      </c>
      <c r="T676" s="8">
        <v>45819</v>
      </c>
      <c r="U676" s="8"/>
      <c r="V676" s="10">
        <f>COUNTA(O676:U676)</f>
        <v>6</v>
      </c>
      <c r="W676" s="11">
        <f>_xlfn.IFNA(INDEX(reading[[#This Row],[Memo 01]:[Memo 07]],MATCH(0,reading[[#This Row],[Memo 01]:[Memo 07]],-1)),"")</f>
        <v>45819</v>
      </c>
      <c r="X676" s="11">
        <f ca="1">IFERROR(reading[[#This Row],[Previous]]+OFFSET(reading[[#Headers],[Memo 01]],-1,MATCH(0,reading[[#This Row],[Memo 01]:[Memo 07]],-1)-1),"")</f>
        <v>45839</v>
      </c>
      <c r="Y676" s="10" t="str">
        <f ca="1">IF(reading[[#This Row],[Next]]&lt;&gt;"",IF(reading[[#This Row],[Next]]&gt;TODAY(),"OK",""),"")</f>
        <v>OK</v>
      </c>
      <c r="Z676" s="13">
        <v>3</v>
      </c>
      <c r="AA676" s="13">
        <v>2</v>
      </c>
      <c r="AB676" s="13">
        <v>3</v>
      </c>
      <c r="AC676" s="13">
        <v>3</v>
      </c>
      <c r="AD676" s="13">
        <v>2</v>
      </c>
      <c r="AE676" s="13">
        <v>3</v>
      </c>
      <c r="AF676" s="13"/>
      <c r="AG676" s="16">
        <f>IFERROR(SUMIF(reading[[#This Row],[1st]:[7th]],"&gt;0")/COUNTIF(reading[[#This Row],[1st]:[7th]],"&gt;0"),"")</f>
        <v>2.6666666666666665</v>
      </c>
    </row>
    <row r="677" spans="1:33" hidden="1" x14ac:dyDescent="0.2">
      <c r="A677" s="4">
        <f>IF(B677=1,3,IF(D677=1,2,IF(F677=1,1,0)))</f>
        <v>3</v>
      </c>
      <c r="B677" s="4">
        <f>IF(C677=$L677,1,IF(C677="","",0))</f>
        <v>1</v>
      </c>
      <c r="C677" s="21" t="s">
        <v>803</v>
      </c>
      <c r="D677" s="4" t="str">
        <f>IF(E677=$L677,1,IF(E677="","",0))</f>
        <v/>
      </c>
      <c r="E677" s="14"/>
      <c r="F677" s="4" t="str">
        <f>IF(G677=$L677,1,IF(G677="","",0))</f>
        <v/>
      </c>
      <c r="G677" s="14"/>
      <c r="H677" s="6">
        <v>680</v>
      </c>
      <c r="I677" s="15" t="s">
        <v>3120</v>
      </c>
      <c r="J677" s="6" t="s">
        <v>3819</v>
      </c>
      <c r="K677" s="6"/>
      <c r="L677" s="6" t="s">
        <v>803</v>
      </c>
      <c r="M677" s="6" t="s">
        <v>6789</v>
      </c>
      <c r="N677" s="7">
        <f ca="1">RAND()</f>
        <v>0.28476323189291719</v>
      </c>
      <c r="O677" s="8">
        <v>45203</v>
      </c>
      <c r="P677" s="8">
        <v>45203</v>
      </c>
      <c r="Q677" s="8">
        <v>45203</v>
      </c>
      <c r="R677" s="8">
        <v>45203</v>
      </c>
      <c r="S677" s="8">
        <v>45203</v>
      </c>
      <c r="T677" s="8">
        <v>45203</v>
      </c>
      <c r="U677" s="8">
        <v>45203</v>
      </c>
      <c r="V677" s="10">
        <f>COUNTA(O677:U677)</f>
        <v>7</v>
      </c>
      <c r="W677" s="11">
        <f>_xlfn.IFNA(INDEX(reading[[#This Row],[Memo 01]:[Memo 07]],MATCH(0,reading[[#This Row],[Memo 01]:[Memo 07]],-1)),"")</f>
        <v>45203</v>
      </c>
      <c r="X677" s="11">
        <f ca="1">IFERROR(reading[[#This Row],[Previous]]+OFFSET(reading[[#Headers],[Memo 01]],-1,MATCH(0,reading[[#This Row],[Memo 01]:[Memo 07]],-1)-1),"")</f>
        <v>55203</v>
      </c>
      <c r="Y677" s="10" t="str">
        <f ca="1">IF(reading[[#This Row],[Next]]&lt;&gt;"",IF(reading[[#This Row],[Next]]&gt;TODAY(),"OK",""),"")</f>
        <v>OK</v>
      </c>
      <c r="Z677" s="13">
        <v>3</v>
      </c>
      <c r="AA677" s="13"/>
      <c r="AB677" s="13"/>
      <c r="AC677" s="13"/>
      <c r="AD677" s="13"/>
      <c r="AE677" s="13"/>
      <c r="AF677" s="13"/>
      <c r="AG677" s="16">
        <f>IFERROR(SUMIF(reading[[#This Row],[1st]:[7th]],"&gt;0")/COUNTIF(reading[[#This Row],[1st]:[7th]],"&gt;0"),"")</f>
        <v>3</v>
      </c>
    </row>
    <row r="678" spans="1:33" hidden="1" x14ac:dyDescent="0.2">
      <c r="A678" s="4">
        <f>IF(B678=1,3,IF(D678=1,2,IF(F678=1,1,0)))</f>
        <v>0</v>
      </c>
      <c r="B678" s="4" t="str">
        <f>IF(C678=$L678,1,IF(C678="","",0))</f>
        <v/>
      </c>
      <c r="C678" s="42"/>
      <c r="D678" s="4" t="str">
        <f>IF(E678=$L678,1,IF(E678="","",0))</f>
        <v/>
      </c>
      <c r="E678" s="43"/>
      <c r="F678" s="4" t="str">
        <f>IF(G678=$L678,1,IF(G678="","",0))</f>
        <v/>
      </c>
      <c r="G678" s="43"/>
      <c r="H678" s="6">
        <v>2956</v>
      </c>
      <c r="I678" s="15" t="s">
        <v>3120</v>
      </c>
      <c r="J678" s="6" t="s">
        <v>5988</v>
      </c>
      <c r="K678" s="15" t="s">
        <v>3138</v>
      </c>
      <c r="L678" s="6" t="s">
        <v>2986</v>
      </c>
      <c r="M678" s="6" t="s">
        <v>9060</v>
      </c>
      <c r="N678" s="7">
        <f ca="1">RAND()</f>
        <v>0.52457758820916278</v>
      </c>
      <c r="O678" s="8">
        <v>45223</v>
      </c>
      <c r="P678" s="8">
        <v>45224</v>
      </c>
      <c r="Q678" s="8">
        <v>45226</v>
      </c>
      <c r="R678" s="8">
        <v>45230</v>
      </c>
      <c r="S678" s="8">
        <v>45237</v>
      </c>
      <c r="T678" s="8">
        <v>45252</v>
      </c>
      <c r="U678" s="8">
        <v>45811</v>
      </c>
      <c r="V678" s="10">
        <f>COUNTA(O678:U678)</f>
        <v>7</v>
      </c>
      <c r="W678" s="11">
        <f>_xlfn.IFNA(INDEX(reading[[#This Row],[Memo 01]:[Memo 07]],MATCH(0,reading[[#This Row],[Memo 01]:[Memo 07]],-1)),"")</f>
        <v>45811</v>
      </c>
      <c r="X678" s="11">
        <f ca="1">IFERROR(reading[[#This Row],[Previous]]+OFFSET(reading[[#Headers],[Memo 01]],-1,MATCH(0,reading[[#This Row],[Memo 01]:[Memo 07]],-1)-1),"")</f>
        <v>55811</v>
      </c>
      <c r="Y678" s="10" t="str">
        <f ca="1">IF(reading[[#This Row],[Next]]&lt;&gt;"",IF(reading[[#This Row],[Next]]&gt;TODAY(),"OK",""),"")</f>
        <v>OK</v>
      </c>
      <c r="Z678" s="13">
        <v>3</v>
      </c>
      <c r="AA678" s="13">
        <v>3</v>
      </c>
      <c r="AB678" s="13">
        <v>1</v>
      </c>
      <c r="AC678" s="13">
        <v>3</v>
      </c>
      <c r="AD678" s="13">
        <v>3</v>
      </c>
      <c r="AE678" s="13">
        <v>2</v>
      </c>
      <c r="AF678" s="13">
        <v>1</v>
      </c>
      <c r="AG678" s="16">
        <f>IFERROR(SUMIF(reading[[#This Row],[1st]:[7th]],"&gt;0")/COUNTIF(reading[[#This Row],[1st]:[7th]],"&gt;0"),"")</f>
        <v>2.2857142857142856</v>
      </c>
    </row>
    <row r="679" spans="1:33" hidden="1" x14ac:dyDescent="0.2">
      <c r="A679" s="4">
        <f>IF(B679=1,3,IF(D679=1,2,IF(F679=1,1,0)))</f>
        <v>0</v>
      </c>
      <c r="B679" s="4" t="str">
        <f>IF(C679=$L679,1,IF(C679="","",0))</f>
        <v/>
      </c>
      <c r="C679" s="42"/>
      <c r="D679" s="4" t="str">
        <f>IF(E679=$L679,1,IF(E679="","",0))</f>
        <v/>
      </c>
      <c r="E679" s="14"/>
      <c r="F679" s="4" t="str">
        <f>IF(G679=$L679,1,IF(G679="","",0))</f>
        <v/>
      </c>
      <c r="G679" s="14"/>
      <c r="H679" s="6">
        <v>744</v>
      </c>
      <c r="I679" s="15" t="s">
        <v>3120</v>
      </c>
      <c r="J679" s="6" t="s">
        <v>3750</v>
      </c>
      <c r="K679" s="6"/>
      <c r="L679" s="6" t="s">
        <v>863</v>
      </c>
      <c r="M679" s="6" t="s">
        <v>6853</v>
      </c>
      <c r="N679" s="7">
        <f ca="1">RAND()</f>
        <v>0.73737558717092411</v>
      </c>
      <c r="O679" s="8">
        <v>45203</v>
      </c>
      <c r="P679" s="8">
        <v>45204</v>
      </c>
      <c r="Q679" s="8">
        <v>45206</v>
      </c>
      <c r="R679" s="8">
        <v>45210</v>
      </c>
      <c r="S679" s="8">
        <v>45217</v>
      </c>
      <c r="T679" s="8">
        <v>45229</v>
      </c>
      <c r="U679" s="8">
        <v>45818</v>
      </c>
      <c r="V679" s="10">
        <f>COUNTA(O679:U679)</f>
        <v>7</v>
      </c>
      <c r="W679" s="11">
        <f>_xlfn.IFNA(INDEX(reading[[#This Row],[Memo 01]:[Memo 07]],MATCH(0,reading[[#This Row],[Memo 01]:[Memo 07]],-1)),"")</f>
        <v>45818</v>
      </c>
      <c r="X679" s="11">
        <f ca="1">IFERROR(reading[[#This Row],[Previous]]+OFFSET(reading[[#Headers],[Memo 01]],-1,MATCH(0,reading[[#This Row],[Memo 01]:[Memo 07]],-1)-1),"")</f>
        <v>55818</v>
      </c>
      <c r="Y679" s="10" t="str">
        <f ca="1">IF(reading[[#This Row],[Next]]&lt;&gt;"",IF(reading[[#This Row],[Next]]&gt;TODAY(),"OK",""),"")</f>
        <v>OK</v>
      </c>
      <c r="Z679" s="13">
        <v>3</v>
      </c>
      <c r="AA679" s="13">
        <v>3</v>
      </c>
      <c r="AB679" s="13">
        <v>3</v>
      </c>
      <c r="AC679" s="13">
        <v>3</v>
      </c>
      <c r="AD679" s="13">
        <v>3</v>
      </c>
      <c r="AE679" s="13">
        <v>3</v>
      </c>
      <c r="AF679" s="13">
        <v>3</v>
      </c>
      <c r="AG679" s="16">
        <f>IFERROR(SUMIF(reading[[#This Row],[1st]:[7th]],"&gt;0")/COUNTIF(reading[[#This Row],[1st]:[7th]],"&gt;0"),"")</f>
        <v>3</v>
      </c>
    </row>
    <row r="680" spans="1:33" hidden="1" x14ac:dyDescent="0.2">
      <c r="A680" s="4">
        <f>IF(B680=1,3,IF(D680=1,2,IF(F680=1,1,0)))</f>
        <v>0</v>
      </c>
      <c r="B680" s="4" t="str">
        <f>IF(C680=$L680,1,IF(C680="","",0))</f>
        <v/>
      </c>
      <c r="C680" s="42"/>
      <c r="D680" s="4" t="str">
        <f>IF(E680=$L680,1,IF(E680="","",0))</f>
        <v/>
      </c>
      <c r="E680" s="14"/>
      <c r="F680" s="4" t="str">
        <f>IF(G680=$L680,1,IF(G680="","",0))</f>
        <v/>
      </c>
      <c r="G680" s="14"/>
      <c r="H680" s="6">
        <v>436</v>
      </c>
      <c r="I680" s="15" t="s">
        <v>3120</v>
      </c>
      <c r="J680" s="6" t="s">
        <v>3582</v>
      </c>
      <c r="K680" s="6"/>
      <c r="L680" s="6" t="s">
        <v>566</v>
      </c>
      <c r="M680" s="6" t="s">
        <v>6545</v>
      </c>
      <c r="N680" s="7">
        <f ca="1">RAND()</f>
        <v>0.371362785028859</v>
      </c>
      <c r="O680" s="8">
        <v>45201</v>
      </c>
      <c r="P680" s="8">
        <v>45202</v>
      </c>
      <c r="Q680" s="8">
        <v>45204</v>
      </c>
      <c r="R680" s="8">
        <v>45208</v>
      </c>
      <c r="S680" s="8">
        <v>45215</v>
      </c>
      <c r="T680" s="8">
        <v>45227</v>
      </c>
      <c r="U680" s="8">
        <v>45792</v>
      </c>
      <c r="V680" s="10">
        <f>COUNTA(O680:U680)</f>
        <v>7</v>
      </c>
      <c r="W680" s="11">
        <f>_xlfn.IFNA(INDEX(reading[[#This Row],[Memo 01]:[Memo 07]],MATCH(0,reading[[#This Row],[Memo 01]:[Memo 07]],-1)),"")</f>
        <v>45792</v>
      </c>
      <c r="X680" s="11">
        <f ca="1">IFERROR(reading[[#This Row],[Previous]]+OFFSET(reading[[#Headers],[Memo 01]],-1,MATCH(0,reading[[#This Row],[Memo 01]:[Memo 07]],-1)-1),"")</f>
        <v>55792</v>
      </c>
      <c r="Y680" s="10" t="str">
        <f ca="1">IF(reading[[#This Row],[Next]]&lt;&gt;"",IF(reading[[#This Row],[Next]]&gt;TODAY(),"OK",""),"")</f>
        <v>OK</v>
      </c>
      <c r="Z680" s="13">
        <v>3</v>
      </c>
      <c r="AA680" s="13">
        <v>3</v>
      </c>
      <c r="AB680" s="13">
        <v>3</v>
      </c>
      <c r="AC680" s="13">
        <v>3</v>
      </c>
      <c r="AD680" s="13">
        <v>3</v>
      </c>
      <c r="AE680" s="13">
        <v>3</v>
      </c>
      <c r="AF680" s="13">
        <v>3</v>
      </c>
      <c r="AG680" s="16">
        <f>IFERROR(SUMIF(reading[[#This Row],[1st]:[7th]],"&gt;0")/COUNTIF(reading[[#This Row],[1st]:[7th]],"&gt;0"),"")</f>
        <v>3</v>
      </c>
    </row>
    <row r="681" spans="1:33" hidden="1" x14ac:dyDescent="0.2">
      <c r="A681" s="4">
        <f>IF(B681=1,3,IF(D681=1,2,IF(F681=1,1,0)))</f>
        <v>0</v>
      </c>
      <c r="B681" s="4" t="str">
        <f>IF(C681=$L681,1,IF(C681="","",0))</f>
        <v/>
      </c>
      <c r="C681" s="42"/>
      <c r="D681" s="4" t="str">
        <f>IF(E681=$L681,1,IF(E681="","",0))</f>
        <v/>
      </c>
      <c r="E681" s="14"/>
      <c r="F681" s="4" t="str">
        <f>IF(G681=$L681,1,IF(G681="","",0))</f>
        <v/>
      </c>
      <c r="G681" s="14"/>
      <c r="H681" s="6">
        <v>404</v>
      </c>
      <c r="I681" s="15" t="s">
        <v>3120</v>
      </c>
      <c r="J681" s="6" t="s">
        <v>3550</v>
      </c>
      <c r="K681" s="6"/>
      <c r="L681" s="6" t="s">
        <v>535</v>
      </c>
      <c r="M681" s="6" t="s">
        <v>6513</v>
      </c>
      <c r="N681" s="7">
        <f ca="1">RAND()</f>
        <v>8.8058729091162524E-2</v>
      </c>
      <c r="O681" s="8">
        <v>45202</v>
      </c>
      <c r="P681" s="8">
        <v>45203</v>
      </c>
      <c r="Q681" s="8">
        <v>45205</v>
      </c>
      <c r="R681" s="8">
        <v>45209</v>
      </c>
      <c r="S681" s="8">
        <v>45216</v>
      </c>
      <c r="T681" s="8">
        <v>45228</v>
      </c>
      <c r="U681" s="8">
        <v>45824</v>
      </c>
      <c r="V681" s="10">
        <f>COUNTA(O681:U681)</f>
        <v>7</v>
      </c>
      <c r="W681" s="11">
        <f>_xlfn.IFNA(INDEX(reading[[#This Row],[Memo 01]:[Memo 07]],MATCH(0,reading[[#This Row],[Memo 01]:[Memo 07]],-1)),"")</f>
        <v>45824</v>
      </c>
      <c r="X681" s="11">
        <f ca="1">IFERROR(reading[[#This Row],[Previous]]+OFFSET(reading[[#Headers],[Memo 01]],-1,MATCH(0,reading[[#This Row],[Memo 01]:[Memo 07]],-1)-1),"")</f>
        <v>55824</v>
      </c>
      <c r="Y681" s="10" t="str">
        <f ca="1">IF(reading[[#This Row],[Next]]&lt;&gt;"",IF(reading[[#This Row],[Next]]&gt;TODAY(),"OK",""),"")</f>
        <v>OK</v>
      </c>
      <c r="Z681" s="13">
        <v>3</v>
      </c>
      <c r="AA681" s="13">
        <v>3</v>
      </c>
      <c r="AB681" s="13">
        <v>3</v>
      </c>
      <c r="AC681" s="13">
        <v>3</v>
      </c>
      <c r="AD681" s="13">
        <v>3</v>
      </c>
      <c r="AE681" s="13">
        <v>3</v>
      </c>
      <c r="AF681" s="13">
        <v>3</v>
      </c>
      <c r="AG681" s="16">
        <f>IFERROR(SUMIF(reading[[#This Row],[1st]:[7th]],"&gt;0")/COUNTIF(reading[[#This Row],[1st]:[7th]],"&gt;0"),"")</f>
        <v>3</v>
      </c>
    </row>
    <row r="682" spans="1:33" hidden="1" x14ac:dyDescent="0.2">
      <c r="A682" s="4">
        <f>IF(B682=1,3,IF(D682=1,2,IF(F682=1,1,0)))</f>
        <v>0</v>
      </c>
      <c r="B682" s="4" t="str">
        <f>IF(C682=$L682,1,IF(C682="","",0))</f>
        <v/>
      </c>
      <c r="C682" s="42"/>
      <c r="D682" s="4" t="str">
        <f>IF(E682=$L682,1,IF(E682="","",0))</f>
        <v/>
      </c>
      <c r="E682" s="23"/>
      <c r="F682" s="4" t="str">
        <f>IF(G682=$L682,1,IF(G682="","",0))</f>
        <v/>
      </c>
      <c r="G682" s="23"/>
      <c r="H682" s="6">
        <v>2130</v>
      </c>
      <c r="I682" s="15" t="s">
        <v>3120</v>
      </c>
      <c r="J682" s="6" t="s">
        <v>5218</v>
      </c>
      <c r="K682" s="24" t="s">
        <v>3136</v>
      </c>
      <c r="L682" s="6" t="s">
        <v>2197</v>
      </c>
      <c r="M682" s="6" t="s">
        <v>8236</v>
      </c>
      <c r="N682" s="7">
        <f ca="1">RAND()</f>
        <v>0.37236494512239249</v>
      </c>
      <c r="O682" s="8">
        <v>45214</v>
      </c>
      <c r="P682" s="8">
        <v>45215</v>
      </c>
      <c r="Q682" s="8">
        <v>45217</v>
      </c>
      <c r="R682" s="8">
        <v>45221</v>
      </c>
      <c r="S682" s="8">
        <v>45228</v>
      </c>
      <c r="T682" s="8">
        <v>45811</v>
      </c>
      <c r="U682" s="8"/>
      <c r="V682" s="10">
        <f>COUNTA(O682:U682)</f>
        <v>6</v>
      </c>
      <c r="W682" s="11">
        <f>_xlfn.IFNA(INDEX(reading[[#This Row],[Memo 01]:[Memo 07]],MATCH(0,reading[[#This Row],[Memo 01]:[Memo 07]],-1)),"")</f>
        <v>45811</v>
      </c>
      <c r="X682" s="11">
        <f ca="1">IFERROR(reading[[#This Row],[Previous]]+OFFSET(reading[[#Headers],[Memo 01]],-1,MATCH(0,reading[[#This Row],[Memo 01]:[Memo 07]],-1)-1),"")</f>
        <v>45831</v>
      </c>
      <c r="Y682" s="10" t="str">
        <f ca="1">IF(reading[[#This Row],[Next]]&lt;&gt;"",IF(reading[[#This Row],[Next]]&gt;TODAY(),"OK",""),"")</f>
        <v/>
      </c>
      <c r="Z682" s="13">
        <v>3</v>
      </c>
      <c r="AA682" s="13">
        <v>3</v>
      </c>
      <c r="AB682" s="13">
        <v>3</v>
      </c>
      <c r="AC682" s="13">
        <v>3</v>
      </c>
      <c r="AD682" s="13">
        <v>3</v>
      </c>
      <c r="AE682" s="13">
        <v>1</v>
      </c>
      <c r="AF682" s="13"/>
      <c r="AG682" s="16">
        <f>IFERROR(SUMIF(reading[[#This Row],[1st]:[7th]],"&gt;0")/COUNTIF(reading[[#This Row],[1st]:[7th]],"&gt;0"),"")</f>
        <v>2.6666666666666665</v>
      </c>
    </row>
    <row r="683" spans="1:33" hidden="1" x14ac:dyDescent="0.2">
      <c r="A683" s="4">
        <f>IF(B683=1,3,IF(D683=1,2,IF(F683=1,1,0)))</f>
        <v>0</v>
      </c>
      <c r="B683" s="4" t="str">
        <f>IF(C683=$L683,1,IF(C683="","",0))</f>
        <v/>
      </c>
      <c r="C683" s="42"/>
      <c r="D683" s="4" t="str">
        <f>IF(E683=$L683,1,IF(E683="","",0))</f>
        <v/>
      </c>
      <c r="E683" s="18"/>
      <c r="F683" s="4" t="str">
        <f>IF(G683=$L683,1,IF(G683="","",0))</f>
        <v/>
      </c>
      <c r="G683" s="14"/>
      <c r="H683" s="6">
        <v>1828</v>
      </c>
      <c r="I683" s="15" t="s">
        <v>3120</v>
      </c>
      <c r="J683" s="6" t="s">
        <v>4933</v>
      </c>
      <c r="K683" s="6"/>
      <c r="L683" s="6" t="s">
        <v>1906</v>
      </c>
      <c r="M683" s="6" t="s">
        <v>7934</v>
      </c>
      <c r="N683" s="7">
        <f ca="1">RAND()</f>
        <v>0.16008389721992222</v>
      </c>
      <c r="O683" s="8">
        <v>45212</v>
      </c>
      <c r="P683" s="8">
        <v>45213</v>
      </c>
      <c r="Q683" s="8">
        <v>45215</v>
      </c>
      <c r="R683" s="8">
        <v>45219</v>
      </c>
      <c r="S683" s="8">
        <v>45226</v>
      </c>
      <c r="T683" s="8">
        <v>45819</v>
      </c>
      <c r="U683" s="8"/>
      <c r="V683" s="10">
        <f>COUNTA(O683:U683)</f>
        <v>6</v>
      </c>
      <c r="W683" s="11">
        <f>_xlfn.IFNA(INDEX(reading[[#This Row],[Memo 01]:[Memo 07]],MATCH(0,reading[[#This Row],[Memo 01]:[Memo 07]],-1)),"")</f>
        <v>45819</v>
      </c>
      <c r="X683" s="11">
        <f ca="1">IFERROR(reading[[#This Row],[Previous]]+OFFSET(reading[[#Headers],[Memo 01]],-1,MATCH(0,reading[[#This Row],[Memo 01]:[Memo 07]],-1)-1),"")</f>
        <v>45839</v>
      </c>
      <c r="Y683" s="10" t="str">
        <f ca="1">IF(reading[[#This Row],[Next]]&lt;&gt;"",IF(reading[[#This Row],[Next]]&gt;TODAY(),"OK",""),"")</f>
        <v>OK</v>
      </c>
      <c r="Z683" s="13">
        <v>3</v>
      </c>
      <c r="AA683" s="13">
        <v>3</v>
      </c>
      <c r="AB683" s="13">
        <v>3</v>
      </c>
      <c r="AC683" s="13">
        <v>2</v>
      </c>
      <c r="AD683" s="13">
        <v>3</v>
      </c>
      <c r="AE683" s="13">
        <v>3</v>
      </c>
      <c r="AF683" s="13"/>
      <c r="AG683" s="16">
        <f>IFERROR(SUMIF(reading[[#This Row],[1st]:[7th]],"&gt;0")/COUNTIF(reading[[#This Row],[1st]:[7th]],"&gt;0"),"")</f>
        <v>2.8333333333333335</v>
      </c>
    </row>
    <row r="684" spans="1:33" hidden="1" x14ac:dyDescent="0.2">
      <c r="A684" s="4">
        <f>IF(B684=1,3,IF(D684=1,2,IF(F684=1,1,0)))</f>
        <v>0</v>
      </c>
      <c r="B684" s="4" t="str">
        <f>IF(C684=$L684,1,IF(C684="","",0))</f>
        <v/>
      </c>
      <c r="C684" s="42"/>
      <c r="D684" s="4" t="str">
        <f>IF(E684=$L684,1,IF(E684="","",0))</f>
        <v/>
      </c>
      <c r="E684" s="18"/>
      <c r="F684" s="4" t="str">
        <f>IF(G684=$L684,1,IF(G684="","",0))</f>
        <v/>
      </c>
      <c r="G684" s="14"/>
      <c r="H684" s="6">
        <v>289</v>
      </c>
      <c r="I684" s="15" t="s">
        <v>3120</v>
      </c>
      <c r="J684" s="6" t="s">
        <v>3437</v>
      </c>
      <c r="K684" s="6"/>
      <c r="L684" s="6" t="s">
        <v>424</v>
      </c>
      <c r="M684" s="6" t="s">
        <v>6398</v>
      </c>
      <c r="N684" s="7">
        <f ca="1">RAND()</f>
        <v>0.2936415944960884</v>
      </c>
      <c r="O684" s="8">
        <v>45200</v>
      </c>
      <c r="P684" s="8">
        <v>45201</v>
      </c>
      <c r="Q684" s="8">
        <v>45203</v>
      </c>
      <c r="R684" s="8">
        <v>45207</v>
      </c>
      <c r="S684" s="8">
        <v>45214</v>
      </c>
      <c r="T684" s="8">
        <v>45226</v>
      </c>
      <c r="U684" s="8">
        <v>45792</v>
      </c>
      <c r="V684" s="10">
        <f>COUNTA(O684:U684)</f>
        <v>7</v>
      </c>
      <c r="W684" s="11">
        <f>_xlfn.IFNA(INDEX(reading[[#This Row],[Memo 01]:[Memo 07]],MATCH(0,reading[[#This Row],[Memo 01]:[Memo 07]],-1)),"")</f>
        <v>45792</v>
      </c>
      <c r="X684" s="11">
        <f ca="1">IFERROR(reading[[#This Row],[Previous]]+OFFSET(reading[[#Headers],[Memo 01]],-1,MATCH(0,reading[[#This Row],[Memo 01]:[Memo 07]],-1)-1),"")</f>
        <v>55792</v>
      </c>
      <c r="Y684" s="10" t="str">
        <f ca="1">IF(reading[[#This Row],[Next]]&lt;&gt;"",IF(reading[[#This Row],[Next]]&gt;TODAY(),"OK",""),"")</f>
        <v>OK</v>
      </c>
      <c r="Z684" s="13">
        <v>3</v>
      </c>
      <c r="AA684" s="13">
        <v>3</v>
      </c>
      <c r="AB684" s="13">
        <v>3</v>
      </c>
      <c r="AC684" s="13">
        <v>3</v>
      </c>
      <c r="AD684" s="13">
        <v>2</v>
      </c>
      <c r="AE684" s="13">
        <v>3</v>
      </c>
      <c r="AF684" s="13">
        <v>3</v>
      </c>
      <c r="AG684" s="16">
        <f>IFERROR(SUMIF(reading[[#This Row],[1st]:[7th]],"&gt;0")/COUNTIF(reading[[#This Row],[1st]:[7th]],"&gt;0"),"")</f>
        <v>2.8571428571428572</v>
      </c>
    </row>
    <row r="685" spans="1:33" hidden="1" x14ac:dyDescent="0.2">
      <c r="A685" s="4">
        <f>IF(B685=1,3,IF(D685=1,2,IF(F685=1,1,0)))</f>
        <v>0</v>
      </c>
      <c r="B685" s="4" t="str">
        <f>IF(C685=$L685,1,IF(C685="","",0))</f>
        <v/>
      </c>
      <c r="C685" s="42"/>
      <c r="D685" s="4" t="str">
        <f>IF(E685=$L685,1,IF(E685="","",0))</f>
        <v/>
      </c>
      <c r="E685" s="43"/>
      <c r="F685" s="4" t="str">
        <f>IF(G685=$L685,1,IF(G685="","",0))</f>
        <v/>
      </c>
      <c r="G685" s="14"/>
      <c r="H685" s="6">
        <v>1829</v>
      </c>
      <c r="I685" s="15" t="s">
        <v>3120</v>
      </c>
      <c r="J685" s="6" t="s">
        <v>4934</v>
      </c>
      <c r="K685" s="6"/>
      <c r="L685" s="6" t="s">
        <v>1907</v>
      </c>
      <c r="M685" s="6" t="s">
        <v>7935</v>
      </c>
      <c r="N685" s="7">
        <f ca="1">RAND()</f>
        <v>0.47433882633095037</v>
      </c>
      <c r="O685" s="8">
        <v>45212</v>
      </c>
      <c r="P685" s="8">
        <v>45213</v>
      </c>
      <c r="Q685" s="8">
        <v>45215</v>
      </c>
      <c r="R685" s="8">
        <v>45219</v>
      </c>
      <c r="S685" s="8">
        <v>45226</v>
      </c>
      <c r="T685" s="8">
        <v>45811</v>
      </c>
      <c r="U685" s="8"/>
      <c r="V685" s="10">
        <f>COUNTA(O685:U685)</f>
        <v>6</v>
      </c>
      <c r="W685" s="11">
        <f>_xlfn.IFNA(INDEX(reading[[#This Row],[Memo 01]:[Memo 07]],MATCH(0,reading[[#This Row],[Memo 01]:[Memo 07]],-1)),"")</f>
        <v>45811</v>
      </c>
      <c r="X685" s="11">
        <f ca="1">IFERROR(reading[[#This Row],[Previous]]+OFFSET(reading[[#Headers],[Memo 01]],-1,MATCH(0,reading[[#This Row],[Memo 01]:[Memo 07]],-1)-1),"")</f>
        <v>45831</v>
      </c>
      <c r="Y685" s="10" t="str">
        <f ca="1">IF(reading[[#This Row],[Next]]&lt;&gt;"",IF(reading[[#This Row],[Next]]&gt;TODAY(),"OK",""),"")</f>
        <v/>
      </c>
      <c r="Z685" s="13">
        <v>3</v>
      </c>
      <c r="AA685" s="13">
        <v>3</v>
      </c>
      <c r="AB685" s="13">
        <v>2</v>
      </c>
      <c r="AC685" s="13">
        <v>3</v>
      </c>
      <c r="AD685" s="13">
        <v>3</v>
      </c>
      <c r="AE685" s="13">
        <v>2</v>
      </c>
      <c r="AF685" s="13"/>
      <c r="AG685" s="16">
        <f>IFERROR(SUMIF(reading[[#This Row],[1st]:[7th]],"&gt;0")/COUNTIF(reading[[#This Row],[1st]:[7th]],"&gt;0"),"")</f>
        <v>2.6666666666666665</v>
      </c>
    </row>
    <row r="686" spans="1:33" hidden="1" x14ac:dyDescent="0.2">
      <c r="A686" s="4">
        <f>IF(B686=1,3,IF(D686=1,2,IF(F686=1,1,0)))</f>
        <v>0</v>
      </c>
      <c r="B686" s="4" t="str">
        <f>IF(C686=$L686,1,IF(C686="","",0))</f>
        <v/>
      </c>
      <c r="C686" s="42"/>
      <c r="D686" s="4" t="str">
        <f>IF(E686=$L686,1,IF(E686="","",0))</f>
        <v/>
      </c>
      <c r="E686" s="18"/>
      <c r="F686" s="4" t="str">
        <f>IF(G686=$L686,1,IF(G686="","",0))</f>
        <v/>
      </c>
      <c r="G686" s="14"/>
      <c r="H686" s="6">
        <v>1133</v>
      </c>
      <c r="I686" s="15" t="s">
        <v>3120</v>
      </c>
      <c r="J686" s="6" t="s">
        <v>4254</v>
      </c>
      <c r="K686" s="6"/>
      <c r="L686" s="6" t="s">
        <v>1235</v>
      </c>
      <c r="M686" s="6" t="s">
        <v>7241</v>
      </c>
      <c r="N686" s="7">
        <f ca="1">RAND()</f>
        <v>0.18070845411355274</v>
      </c>
      <c r="O686" s="8">
        <v>45205</v>
      </c>
      <c r="P686" s="8">
        <v>45206</v>
      </c>
      <c r="Q686" s="8">
        <v>45208</v>
      </c>
      <c r="R686" s="8">
        <v>45213</v>
      </c>
      <c r="S686" s="8">
        <v>45220</v>
      </c>
      <c r="T686" s="8">
        <v>45232</v>
      </c>
      <c r="U686" s="8">
        <v>45253</v>
      </c>
      <c r="V686" s="10">
        <f>COUNTA(O686:U686)</f>
        <v>7</v>
      </c>
      <c r="W686" s="11">
        <f>_xlfn.IFNA(INDEX(reading[[#This Row],[Memo 01]:[Memo 07]],MATCH(0,reading[[#This Row],[Memo 01]:[Memo 07]],-1)),"")</f>
        <v>45253</v>
      </c>
      <c r="X686" s="11">
        <f ca="1">IFERROR(reading[[#This Row],[Previous]]+OFFSET(reading[[#Headers],[Memo 01]],-1,MATCH(0,reading[[#This Row],[Memo 01]:[Memo 07]],-1)-1),"")</f>
        <v>55253</v>
      </c>
      <c r="Y686" s="10" t="str">
        <f ca="1">IF(reading[[#This Row],[Next]]&lt;&gt;"",IF(reading[[#This Row],[Next]]&gt;TODAY(),"OK",""),"")</f>
        <v>OK</v>
      </c>
      <c r="Z686" s="13">
        <v>3</v>
      </c>
      <c r="AA686" s="13">
        <v>3</v>
      </c>
      <c r="AB686" s="13">
        <v>3</v>
      </c>
      <c r="AC686" s="13">
        <v>1</v>
      </c>
      <c r="AD686" s="13">
        <v>2</v>
      </c>
      <c r="AE686" s="13">
        <v>3</v>
      </c>
      <c r="AF686" s="13">
        <v>2</v>
      </c>
      <c r="AG686" s="16">
        <f>IFERROR(SUMIF(reading[[#This Row],[1st]:[7th]],"&gt;0")/COUNTIF(reading[[#This Row],[1st]:[7th]],"&gt;0"),"")</f>
        <v>2.4285714285714284</v>
      </c>
    </row>
    <row r="687" spans="1:33" hidden="1" x14ac:dyDescent="0.2">
      <c r="A687" s="4">
        <f>IF(B687=1,3,IF(D687=1,2,IF(F687=1,1,0)))</f>
        <v>0</v>
      </c>
      <c r="B687" s="4" t="str">
        <f>IF(C687=$L687,1,IF(C687="","",0))</f>
        <v/>
      </c>
      <c r="C687" s="42"/>
      <c r="D687" s="4" t="str">
        <f>IF(E687=$L687,1,IF(E687="","",0))</f>
        <v/>
      </c>
      <c r="E687" s="14"/>
      <c r="F687" s="4" t="str">
        <f>IF(G687=$L687,1,IF(G687="","",0))</f>
        <v/>
      </c>
      <c r="G687" s="14"/>
      <c r="H687" s="6">
        <v>493</v>
      </c>
      <c r="I687" s="15" t="s">
        <v>3120</v>
      </c>
      <c r="J687" s="6" t="s">
        <v>3639</v>
      </c>
      <c r="K687" s="6"/>
      <c r="L687" s="6" t="s">
        <v>621</v>
      </c>
      <c r="M687" s="6" t="s">
        <v>6602</v>
      </c>
      <c r="N687" s="7">
        <f ca="1">RAND()</f>
        <v>2.930733747778802E-2</v>
      </c>
      <c r="O687" s="8">
        <v>45202</v>
      </c>
      <c r="P687" s="8">
        <v>45203</v>
      </c>
      <c r="Q687" s="8">
        <v>45205</v>
      </c>
      <c r="R687" s="8">
        <v>45209</v>
      </c>
      <c r="S687" s="8">
        <v>45216</v>
      </c>
      <c r="T687" s="8">
        <v>45228</v>
      </c>
      <c r="U687" s="8">
        <v>45792</v>
      </c>
      <c r="V687" s="10">
        <f>COUNTA(O687:U687)</f>
        <v>7</v>
      </c>
      <c r="W687" s="11">
        <f>_xlfn.IFNA(INDEX(reading[[#This Row],[Memo 01]:[Memo 07]],MATCH(0,reading[[#This Row],[Memo 01]:[Memo 07]],-1)),"")</f>
        <v>45792</v>
      </c>
      <c r="X687" s="11">
        <f ca="1">IFERROR(reading[[#This Row],[Previous]]+OFFSET(reading[[#Headers],[Memo 01]],-1,MATCH(0,reading[[#This Row],[Memo 01]:[Memo 07]],-1)-1),"")</f>
        <v>55792</v>
      </c>
      <c r="Y687" s="10" t="str">
        <f ca="1">IF(reading[[#This Row],[Next]]&lt;&gt;"",IF(reading[[#This Row],[Next]]&gt;TODAY(),"OK",""),"")</f>
        <v>OK</v>
      </c>
      <c r="Z687" s="13">
        <v>3</v>
      </c>
      <c r="AA687" s="13">
        <v>3</v>
      </c>
      <c r="AB687" s="13">
        <v>3</v>
      </c>
      <c r="AC687" s="13">
        <v>3</v>
      </c>
      <c r="AD687" s="13">
        <v>3</v>
      </c>
      <c r="AE687" s="13">
        <v>3</v>
      </c>
      <c r="AF687" s="13">
        <v>3</v>
      </c>
      <c r="AG687" s="16">
        <f>IFERROR(SUMIF(reading[[#This Row],[1st]:[7th]],"&gt;0")/COUNTIF(reading[[#This Row],[1st]:[7th]],"&gt;0"),"")</f>
        <v>3</v>
      </c>
    </row>
    <row r="688" spans="1:33" hidden="1" x14ac:dyDescent="0.2">
      <c r="A688" s="4">
        <f>IF(B688=1,3,IF(D688=1,2,IF(F688=1,1,0)))</f>
        <v>0</v>
      </c>
      <c r="B688" s="4" t="str">
        <f>IF(C688=$L688,1,IF(C688="","",0))</f>
        <v/>
      </c>
      <c r="C688" s="42"/>
      <c r="D688" s="4" t="str">
        <f>IF(E688=$L688,1,IF(E688="","",0))</f>
        <v/>
      </c>
      <c r="E688" s="14"/>
      <c r="F688" s="4" t="str">
        <f>IF(G688=$L688,1,IF(G688="","",0))</f>
        <v/>
      </c>
      <c r="G688" s="14"/>
      <c r="H688" s="6">
        <v>1163</v>
      </c>
      <c r="I688" s="15" t="s">
        <v>3120</v>
      </c>
      <c r="J688" s="6" t="s">
        <v>4283</v>
      </c>
      <c r="K688" s="6"/>
      <c r="L688" s="6" t="s">
        <v>1265</v>
      </c>
      <c r="M688" s="6" t="s">
        <v>7271</v>
      </c>
      <c r="N688" s="7">
        <f ca="1">RAND()</f>
        <v>2.4800052723415456E-2</v>
      </c>
      <c r="O688" s="8">
        <v>45206</v>
      </c>
      <c r="P688" s="8">
        <v>45207</v>
      </c>
      <c r="Q688" s="8">
        <v>45209</v>
      </c>
      <c r="R688" s="8">
        <v>45213</v>
      </c>
      <c r="S688" s="8">
        <v>45220</v>
      </c>
      <c r="T688" s="8">
        <v>45232</v>
      </c>
      <c r="U688" s="8">
        <v>45818</v>
      </c>
      <c r="V688" s="10">
        <f>COUNTA(O688:U688)</f>
        <v>7</v>
      </c>
      <c r="W688" s="11">
        <f>_xlfn.IFNA(INDEX(reading[[#This Row],[Memo 01]:[Memo 07]],MATCH(0,reading[[#This Row],[Memo 01]:[Memo 07]],-1)),"")</f>
        <v>45818</v>
      </c>
      <c r="X688" s="11">
        <f ca="1">IFERROR(reading[[#This Row],[Previous]]+OFFSET(reading[[#Headers],[Memo 01]],-1,MATCH(0,reading[[#This Row],[Memo 01]:[Memo 07]],-1)-1),"")</f>
        <v>55818</v>
      </c>
      <c r="Y688" s="10" t="str">
        <f ca="1">IF(reading[[#This Row],[Next]]&lt;&gt;"",IF(reading[[#This Row],[Next]]&gt;TODAY(),"OK",""),"")</f>
        <v>OK</v>
      </c>
      <c r="Z688" s="13">
        <v>3</v>
      </c>
      <c r="AA688" s="13">
        <v>3</v>
      </c>
      <c r="AB688" s="13">
        <v>3</v>
      </c>
      <c r="AC688" s="13">
        <v>3</v>
      </c>
      <c r="AD688" s="13">
        <v>3</v>
      </c>
      <c r="AE688" s="13">
        <v>3</v>
      </c>
      <c r="AF688" s="13">
        <v>3</v>
      </c>
      <c r="AG688" s="16">
        <f>IFERROR(SUMIF(reading[[#This Row],[1st]:[7th]],"&gt;0")/COUNTIF(reading[[#This Row],[1st]:[7th]],"&gt;0"),"")</f>
        <v>3</v>
      </c>
    </row>
    <row r="689" spans="1:33" hidden="1" x14ac:dyDescent="0.2">
      <c r="A689" s="4">
        <f>IF(B689=1,3,IF(D689=1,2,IF(F689=1,1,0)))</f>
        <v>0</v>
      </c>
      <c r="B689" s="4" t="str">
        <f>IF(C689=$L689,1,IF(C689="","",0))</f>
        <v/>
      </c>
      <c r="C689" s="42"/>
      <c r="D689" s="4" t="str">
        <f>IF(E689=$L689,1,IF(E689="","",0))</f>
        <v/>
      </c>
      <c r="E689" s="43"/>
      <c r="F689" s="4" t="str">
        <f>IF(G689=$L689,1,IF(G689="","",0))</f>
        <v/>
      </c>
      <c r="G689" s="23"/>
      <c r="H689" s="6">
        <v>1423</v>
      </c>
      <c r="I689" s="15" t="s">
        <v>3120</v>
      </c>
      <c r="J689" s="6" t="s">
        <v>4537</v>
      </c>
      <c r="K689" s="6"/>
      <c r="L689" s="6" t="s">
        <v>1514</v>
      </c>
      <c r="M689" s="6" t="s">
        <v>7530</v>
      </c>
      <c r="N689" s="7">
        <f ca="1">RAND()</f>
        <v>0.66495457891739418</v>
      </c>
      <c r="O689" s="8">
        <v>45208</v>
      </c>
      <c r="P689" s="8">
        <v>45209</v>
      </c>
      <c r="Q689" s="8">
        <v>45211</v>
      </c>
      <c r="R689" s="8">
        <v>45215</v>
      </c>
      <c r="S689" s="8">
        <v>45222</v>
      </c>
      <c r="T689" s="8">
        <v>45234</v>
      </c>
      <c r="U689" s="8">
        <v>45811</v>
      </c>
      <c r="V689" s="10">
        <f>COUNTA(O689:U689)</f>
        <v>7</v>
      </c>
      <c r="W689" s="11">
        <f>_xlfn.IFNA(INDEX(reading[[#This Row],[Memo 01]:[Memo 07]],MATCH(0,reading[[#This Row],[Memo 01]:[Memo 07]],-1)),"")</f>
        <v>45811</v>
      </c>
      <c r="X689" s="11">
        <f ca="1">IFERROR(reading[[#This Row],[Previous]]+OFFSET(reading[[#Headers],[Memo 01]],-1,MATCH(0,reading[[#This Row],[Memo 01]:[Memo 07]],-1)-1),"")</f>
        <v>55811</v>
      </c>
      <c r="Y689" s="10" t="str">
        <f ca="1">IF(reading[[#This Row],[Next]]&lt;&gt;"",IF(reading[[#This Row],[Next]]&gt;TODAY(),"OK",""),"")</f>
        <v>OK</v>
      </c>
      <c r="Z689" s="13">
        <v>3</v>
      </c>
      <c r="AA689" s="13">
        <v>3</v>
      </c>
      <c r="AB689" s="13">
        <v>3</v>
      </c>
      <c r="AC689" s="13">
        <v>2</v>
      </c>
      <c r="AD689" s="13">
        <v>2</v>
      </c>
      <c r="AE689" s="13">
        <v>3</v>
      </c>
      <c r="AF689" s="13">
        <v>1</v>
      </c>
      <c r="AG689" s="16">
        <f>IFERROR(SUMIF(reading[[#This Row],[1st]:[7th]],"&gt;0")/COUNTIF(reading[[#This Row],[1st]:[7th]],"&gt;0"),"")</f>
        <v>2.4285714285714284</v>
      </c>
    </row>
    <row r="690" spans="1:33" hidden="1" x14ac:dyDescent="0.2">
      <c r="A690" s="4">
        <f>IF(B690=1,3,IF(D690=1,2,IF(F690=1,1,0)))</f>
        <v>0</v>
      </c>
      <c r="B690" s="4" t="str">
        <f>IF(C690=$L690,1,IF(C690="","",0))</f>
        <v/>
      </c>
      <c r="C690" s="42"/>
      <c r="D690" s="4" t="str">
        <f>IF(E690=$L690,1,IF(E690="","",0))</f>
        <v/>
      </c>
      <c r="E690" s="14"/>
      <c r="F690" s="4" t="str">
        <f>IF(G690=$L690,1,IF(G690="","",0))</f>
        <v/>
      </c>
      <c r="G690" s="14"/>
      <c r="H690" s="6">
        <v>756</v>
      </c>
      <c r="I690" s="15" t="s">
        <v>3120</v>
      </c>
      <c r="J690" s="6" t="s">
        <v>3891</v>
      </c>
      <c r="K690" s="6"/>
      <c r="L690" s="6" t="s">
        <v>875</v>
      </c>
      <c r="M690" s="6" t="s">
        <v>6865</v>
      </c>
      <c r="N690" s="7">
        <f ca="1">RAND()</f>
        <v>0.65061400296942873</v>
      </c>
      <c r="O690" s="8">
        <v>45203</v>
      </c>
      <c r="P690" s="8">
        <v>45204</v>
      </c>
      <c r="Q690" s="8">
        <v>45206</v>
      </c>
      <c r="R690" s="8">
        <v>45210</v>
      </c>
      <c r="S690" s="8">
        <v>45217</v>
      </c>
      <c r="T690" s="8">
        <v>45229</v>
      </c>
      <c r="U690" s="8">
        <v>45792</v>
      </c>
      <c r="V690" s="10">
        <f>COUNTA(O690:U690)</f>
        <v>7</v>
      </c>
      <c r="W690" s="11">
        <f>_xlfn.IFNA(INDEX(reading[[#This Row],[Memo 01]:[Memo 07]],MATCH(0,reading[[#This Row],[Memo 01]:[Memo 07]],-1)),"")</f>
        <v>45792</v>
      </c>
      <c r="X690" s="11">
        <f ca="1">IFERROR(reading[[#This Row],[Previous]]+OFFSET(reading[[#Headers],[Memo 01]],-1,MATCH(0,reading[[#This Row],[Memo 01]:[Memo 07]],-1)-1),"")</f>
        <v>55792</v>
      </c>
      <c r="Y690" s="10" t="str">
        <f ca="1">IF(reading[[#This Row],[Next]]&lt;&gt;"",IF(reading[[#This Row],[Next]]&gt;TODAY(),"OK",""),"")</f>
        <v>OK</v>
      </c>
      <c r="Z690" s="13">
        <v>3</v>
      </c>
      <c r="AA690" s="13">
        <v>3</v>
      </c>
      <c r="AB690" s="13">
        <v>3</v>
      </c>
      <c r="AC690" s="13">
        <v>3</v>
      </c>
      <c r="AD690" s="13">
        <v>3</v>
      </c>
      <c r="AE690" s="13">
        <v>3</v>
      </c>
      <c r="AF690" s="13">
        <v>3</v>
      </c>
      <c r="AG690" s="16">
        <f>IFERROR(SUMIF(reading[[#This Row],[1st]:[7th]],"&gt;0")/COUNTIF(reading[[#This Row],[1st]:[7th]],"&gt;0"),"")</f>
        <v>3</v>
      </c>
    </row>
    <row r="691" spans="1:33" hidden="1" x14ac:dyDescent="0.2">
      <c r="A691" s="4">
        <f>IF(B691=1,3,IF(D691=1,2,IF(F691=1,1,0)))</f>
        <v>0</v>
      </c>
      <c r="B691" s="4" t="str">
        <f>IF(C691=$L691,1,IF(C691="","",0))</f>
        <v/>
      </c>
      <c r="C691" s="42"/>
      <c r="D691" s="4" t="str">
        <f>IF(E691=$L691,1,IF(E691="","",0))</f>
        <v/>
      </c>
      <c r="E691" s="43"/>
      <c r="F691" s="4" t="str">
        <f>IF(G691=$L691,1,IF(G691="","",0))</f>
        <v/>
      </c>
      <c r="G691" s="14"/>
      <c r="H691" s="6">
        <v>2976</v>
      </c>
      <c r="I691" s="15" t="s">
        <v>3120</v>
      </c>
      <c r="J691" s="6" t="s">
        <v>6006</v>
      </c>
      <c r="K691" s="6"/>
      <c r="L691" s="6" t="s">
        <v>3005</v>
      </c>
      <c r="M691" s="6" t="s">
        <v>9080</v>
      </c>
      <c r="N691" s="7">
        <f ca="1">RAND()</f>
        <v>0.67049465420138299</v>
      </c>
      <c r="O691" s="8">
        <v>45223</v>
      </c>
      <c r="P691" s="8">
        <v>45224</v>
      </c>
      <c r="Q691" s="8">
        <v>45226</v>
      </c>
      <c r="R691" s="8">
        <v>45230</v>
      </c>
      <c r="S691" s="8">
        <v>45248</v>
      </c>
      <c r="T691" s="8">
        <v>45820</v>
      </c>
      <c r="U691" s="8"/>
      <c r="V691" s="10">
        <f>COUNTA(O691:U691)</f>
        <v>6</v>
      </c>
      <c r="W691" s="11">
        <f>_xlfn.IFNA(INDEX(reading[[#This Row],[Memo 01]:[Memo 07]],MATCH(0,reading[[#This Row],[Memo 01]:[Memo 07]],-1)),"")</f>
        <v>45820</v>
      </c>
      <c r="X691" s="11">
        <f ca="1">IFERROR(reading[[#This Row],[Previous]]+OFFSET(reading[[#Headers],[Memo 01]],-1,MATCH(0,reading[[#This Row],[Memo 01]:[Memo 07]],-1)-1),"")</f>
        <v>45840</v>
      </c>
      <c r="Y691" s="10" t="str">
        <f ca="1">IF(reading[[#This Row],[Next]]&lt;&gt;"",IF(reading[[#This Row],[Next]]&gt;TODAY(),"OK",""),"")</f>
        <v>OK</v>
      </c>
      <c r="Z691" s="13">
        <v>3</v>
      </c>
      <c r="AA691" s="13">
        <v>2</v>
      </c>
      <c r="AB691" s="13">
        <v>3</v>
      </c>
      <c r="AC691" s="13">
        <v>3</v>
      </c>
      <c r="AD691" s="13">
        <v>2</v>
      </c>
      <c r="AE691" s="13">
        <v>2</v>
      </c>
      <c r="AF691" s="13"/>
      <c r="AG691" s="16">
        <f>IFERROR(SUMIF(reading[[#This Row],[1st]:[7th]],"&gt;0")/COUNTIF(reading[[#This Row],[1st]:[7th]],"&gt;0"),"")</f>
        <v>2.5</v>
      </c>
    </row>
    <row r="692" spans="1:33" hidden="1" x14ac:dyDescent="0.2">
      <c r="A692" s="4">
        <f>IF(B692=1,3,IF(D692=1,2,IF(F692=1,1,0)))</f>
        <v>0</v>
      </c>
      <c r="B692" s="4" t="str">
        <f>IF(C692=$L692,1,IF(C692="","",0))</f>
        <v/>
      </c>
      <c r="C692" s="43"/>
      <c r="D692" s="4" t="str">
        <f>IF(E692=$L692,1,IF(E692="","",0))</f>
        <v/>
      </c>
      <c r="E692" s="14"/>
      <c r="F692" s="4" t="str">
        <f>IF(G692=$L692,1,IF(G692="","",0))</f>
        <v/>
      </c>
      <c r="G692" s="14"/>
      <c r="H692" s="6">
        <v>226</v>
      </c>
      <c r="I692" s="15" t="s">
        <v>3120</v>
      </c>
      <c r="J692" s="6" t="s">
        <v>3375</v>
      </c>
      <c r="K692" s="6"/>
      <c r="L692" s="6" t="s">
        <v>361</v>
      </c>
      <c r="M692" s="6" t="s">
        <v>6335</v>
      </c>
      <c r="N692" s="7">
        <f ca="1">RAND()</f>
        <v>0.7614399458671165</v>
      </c>
      <c r="O692" s="8">
        <v>45199</v>
      </c>
      <c r="P692" s="8">
        <v>45200</v>
      </c>
      <c r="Q692" s="8">
        <v>45202</v>
      </c>
      <c r="R692" s="8">
        <v>45206</v>
      </c>
      <c r="S692" s="8">
        <v>45213</v>
      </c>
      <c r="T692" s="8">
        <v>45225</v>
      </c>
      <c r="U692" s="8">
        <v>45801</v>
      </c>
      <c r="V692" s="10">
        <f>COUNTA(O692:U692)</f>
        <v>7</v>
      </c>
      <c r="W692" s="11">
        <f>_xlfn.IFNA(INDEX(reading[[#This Row],[Memo 01]:[Memo 07]],MATCH(0,reading[[#This Row],[Memo 01]:[Memo 07]],-1)),"")</f>
        <v>45801</v>
      </c>
      <c r="X692" s="11">
        <f ca="1">IFERROR(reading[[#This Row],[Previous]]+OFFSET(reading[[#Headers],[Memo 01]],-1,MATCH(0,reading[[#This Row],[Memo 01]:[Memo 07]],-1)-1),"")</f>
        <v>55801</v>
      </c>
      <c r="Y692" s="10" t="str">
        <f ca="1">IF(reading[[#This Row],[Next]]&lt;&gt;"",IF(reading[[#This Row],[Next]]&gt;TODAY(),"OK",""),"")</f>
        <v>OK</v>
      </c>
      <c r="Z692" s="13">
        <v>3</v>
      </c>
      <c r="AA692" s="13">
        <v>3</v>
      </c>
      <c r="AB692" s="13">
        <v>3</v>
      </c>
      <c r="AC692" s="13">
        <v>3</v>
      </c>
      <c r="AD692" s="13">
        <v>3</v>
      </c>
      <c r="AE692" s="13">
        <v>3</v>
      </c>
      <c r="AF692" s="13">
        <v>3</v>
      </c>
      <c r="AG692" s="16">
        <f>IFERROR(SUMIF(reading[[#This Row],[1st]:[7th]],"&gt;0")/COUNTIF(reading[[#This Row],[1st]:[7th]],"&gt;0"),"")</f>
        <v>3</v>
      </c>
    </row>
    <row r="693" spans="1:33" hidden="1" x14ac:dyDescent="0.2">
      <c r="A693" s="4">
        <f>IF(B693=1,3,IF(D693=1,2,IF(F693=1,1,0)))</f>
        <v>0</v>
      </c>
      <c r="B693" s="4" t="str">
        <f>IF(C693=$L693,1,IF(C693="","",0))</f>
        <v/>
      </c>
      <c r="C693" s="42"/>
      <c r="D693" s="4" t="str">
        <f>IF(E693=$L693,1,IF(E693="","",0))</f>
        <v/>
      </c>
      <c r="E693" s="18"/>
      <c r="F693" s="4" t="str">
        <f>IF(G693=$L693,1,IF(G693="","",0))</f>
        <v/>
      </c>
      <c r="G693" s="14"/>
      <c r="H693" s="6">
        <v>359</v>
      </c>
      <c r="I693" s="15" t="s">
        <v>3120</v>
      </c>
      <c r="J693" s="6" t="s">
        <v>3506</v>
      </c>
      <c r="K693" s="6"/>
      <c r="L693" s="6" t="s">
        <v>493</v>
      </c>
      <c r="M693" s="6" t="s">
        <v>6468</v>
      </c>
      <c r="N693" s="7">
        <f ca="1">RAND()</f>
        <v>0.52032117651504406</v>
      </c>
      <c r="O693" s="8">
        <v>45200</v>
      </c>
      <c r="P693" s="8">
        <v>45201</v>
      </c>
      <c r="Q693" s="8">
        <v>45203</v>
      </c>
      <c r="R693" s="8">
        <v>45207</v>
      </c>
      <c r="S693" s="8">
        <v>45214</v>
      </c>
      <c r="T693" s="8">
        <v>45226</v>
      </c>
      <c r="U693" s="8">
        <v>45792</v>
      </c>
      <c r="V693" s="10">
        <f>COUNTA(O693:U693)</f>
        <v>7</v>
      </c>
      <c r="W693" s="11">
        <f>_xlfn.IFNA(INDEX(reading[[#This Row],[Memo 01]:[Memo 07]],MATCH(0,reading[[#This Row],[Memo 01]:[Memo 07]],-1)),"")</f>
        <v>45792</v>
      </c>
      <c r="X693" s="11">
        <f ca="1">IFERROR(reading[[#This Row],[Previous]]+OFFSET(reading[[#Headers],[Memo 01]],-1,MATCH(0,reading[[#This Row],[Memo 01]:[Memo 07]],-1)-1),"")</f>
        <v>55792</v>
      </c>
      <c r="Y693" s="10" t="str">
        <f ca="1">IF(reading[[#This Row],[Next]]&lt;&gt;"",IF(reading[[#This Row],[Next]]&gt;TODAY(),"OK",""),"")</f>
        <v>OK</v>
      </c>
      <c r="Z693" s="13">
        <v>3</v>
      </c>
      <c r="AA693" s="13">
        <v>3</v>
      </c>
      <c r="AB693" s="13">
        <v>3</v>
      </c>
      <c r="AC693" s="13">
        <v>3</v>
      </c>
      <c r="AD693" s="13">
        <v>2</v>
      </c>
      <c r="AE693" s="13">
        <v>3</v>
      </c>
      <c r="AF693" s="13">
        <v>3</v>
      </c>
      <c r="AG693" s="16">
        <f>IFERROR(SUMIF(reading[[#This Row],[1st]:[7th]],"&gt;0")/COUNTIF(reading[[#This Row],[1st]:[7th]],"&gt;0"),"")</f>
        <v>2.8571428571428572</v>
      </c>
    </row>
    <row r="694" spans="1:33" hidden="1" x14ac:dyDescent="0.2">
      <c r="A694" s="4">
        <f>IF(B694=1,3,IF(D694=1,2,IF(F694=1,1,0)))</f>
        <v>0</v>
      </c>
      <c r="B694" s="4" t="str">
        <f>IF(C694=$L694,1,IF(C694="","",0))</f>
        <v/>
      </c>
      <c r="C694" s="42"/>
      <c r="D694" s="4" t="str">
        <f>IF(E694=$L694,1,IF(E694="","",0))</f>
        <v/>
      </c>
      <c r="E694" s="43"/>
      <c r="F694" s="4" t="str">
        <f>IF(G694=$L694,1,IF(G694="","",0))</f>
        <v/>
      </c>
      <c r="G694" s="14"/>
      <c r="H694" s="6">
        <v>2518</v>
      </c>
      <c r="I694" s="15" t="s">
        <v>3120</v>
      </c>
      <c r="J694" s="6" t="s">
        <v>5580</v>
      </c>
      <c r="K694" s="15" t="s">
        <v>3139</v>
      </c>
      <c r="L694" s="6" t="s">
        <v>2564</v>
      </c>
      <c r="M694" s="6" t="s">
        <v>8623</v>
      </c>
      <c r="N694" s="7">
        <f ca="1">RAND()</f>
        <v>0.33623329622683151</v>
      </c>
      <c r="O694" s="8">
        <v>45220</v>
      </c>
      <c r="P694" s="8">
        <v>45221</v>
      </c>
      <c r="Q694" s="8">
        <v>45223</v>
      </c>
      <c r="R694" s="8">
        <v>45227</v>
      </c>
      <c r="S694" s="8">
        <v>45234</v>
      </c>
      <c r="T694" s="8">
        <v>45811</v>
      </c>
      <c r="U694" s="8"/>
      <c r="V694" s="10">
        <f>COUNTA(O694:U694)</f>
        <v>6</v>
      </c>
      <c r="W694" s="11">
        <f>_xlfn.IFNA(INDEX(reading[[#This Row],[Memo 01]:[Memo 07]],MATCH(0,reading[[#This Row],[Memo 01]:[Memo 07]],-1)),"")</f>
        <v>45811</v>
      </c>
      <c r="X694" s="11">
        <f ca="1">IFERROR(reading[[#This Row],[Previous]]+OFFSET(reading[[#Headers],[Memo 01]],-1,MATCH(0,reading[[#This Row],[Memo 01]:[Memo 07]],-1)-1),"")</f>
        <v>45831</v>
      </c>
      <c r="Y694" s="10" t="str">
        <f ca="1">IF(reading[[#This Row],[Next]]&lt;&gt;"",IF(reading[[#This Row],[Next]]&gt;TODAY(),"OK",""),"")</f>
        <v/>
      </c>
      <c r="Z694" s="13">
        <v>3</v>
      </c>
      <c r="AA694" s="13">
        <v>2</v>
      </c>
      <c r="AB694" s="13">
        <v>3</v>
      </c>
      <c r="AC694" s="13">
        <v>3</v>
      </c>
      <c r="AD694" s="13">
        <v>3</v>
      </c>
      <c r="AE694" s="13">
        <v>2</v>
      </c>
      <c r="AF694" s="13"/>
      <c r="AG694" s="16">
        <f>IFERROR(SUMIF(reading[[#This Row],[1st]:[7th]],"&gt;0")/COUNTIF(reading[[#This Row],[1st]:[7th]],"&gt;0"),"")</f>
        <v>2.6666666666666665</v>
      </c>
    </row>
    <row r="695" spans="1:33" hidden="1" x14ac:dyDescent="0.2">
      <c r="A695" s="4">
        <f>IF(B695=1,3,IF(D695=1,2,IF(F695=1,1,0)))</f>
        <v>0</v>
      </c>
      <c r="B695" s="4" t="str">
        <f>IF(C695=$L695,1,IF(C695="","",0))</f>
        <v/>
      </c>
      <c r="C695" s="42"/>
      <c r="D695" s="4" t="str">
        <f>IF(E695=$L695,1,IF(E695="","",0))</f>
        <v/>
      </c>
      <c r="E695" s="23"/>
      <c r="F695" s="4" t="str">
        <f>IF(G695=$L695,1,IF(G695="","",0))</f>
        <v/>
      </c>
      <c r="G695" s="23"/>
      <c r="H695" s="6">
        <v>2599</v>
      </c>
      <c r="I695" s="15" t="s">
        <v>3120</v>
      </c>
      <c r="J695" s="6" t="s">
        <v>5656</v>
      </c>
      <c r="K695" s="6"/>
      <c r="L695" s="6" t="s">
        <v>2642</v>
      </c>
      <c r="M695" s="6" t="s">
        <v>8704</v>
      </c>
      <c r="N695" s="7">
        <f ca="1">RAND()</f>
        <v>0.40410341043902032</v>
      </c>
      <c r="O695" s="8">
        <v>45220</v>
      </c>
      <c r="P695" s="8">
        <v>45221</v>
      </c>
      <c r="Q695" s="8">
        <v>45223</v>
      </c>
      <c r="R695" s="8">
        <v>45227</v>
      </c>
      <c r="S695" s="8">
        <v>45234</v>
      </c>
      <c r="T695" s="8">
        <v>45811</v>
      </c>
      <c r="U695" s="8"/>
      <c r="V695" s="10">
        <f>COUNTA(O695:U695)</f>
        <v>6</v>
      </c>
      <c r="W695" s="11">
        <f>_xlfn.IFNA(INDEX(reading[[#This Row],[Memo 01]:[Memo 07]],MATCH(0,reading[[#This Row],[Memo 01]:[Memo 07]],-1)),"")</f>
        <v>45811</v>
      </c>
      <c r="X695" s="11">
        <f ca="1">IFERROR(reading[[#This Row],[Previous]]+OFFSET(reading[[#Headers],[Memo 01]],-1,MATCH(0,reading[[#This Row],[Memo 01]:[Memo 07]],-1)-1),"")</f>
        <v>45831</v>
      </c>
      <c r="Y695" s="10" t="str">
        <f ca="1">IF(reading[[#This Row],[Next]]&lt;&gt;"",IF(reading[[#This Row],[Next]]&gt;TODAY(),"OK",""),"")</f>
        <v/>
      </c>
      <c r="Z695" s="13">
        <v>3</v>
      </c>
      <c r="AA695" s="13">
        <v>3</v>
      </c>
      <c r="AB695" s="13">
        <v>3</v>
      </c>
      <c r="AC695" s="13">
        <v>3</v>
      </c>
      <c r="AD695" s="13">
        <v>3</v>
      </c>
      <c r="AE695" s="13">
        <v>1</v>
      </c>
      <c r="AF695" s="13"/>
      <c r="AG695" s="16">
        <f>IFERROR(SUMIF(reading[[#This Row],[1st]:[7th]],"&gt;0")/COUNTIF(reading[[#This Row],[1st]:[7th]],"&gt;0"),"")</f>
        <v>2.6666666666666665</v>
      </c>
    </row>
    <row r="696" spans="1:33" hidden="1" x14ac:dyDescent="0.2">
      <c r="A696" s="4">
        <f>IF(B696=1,3,IF(D696=1,2,IF(F696=1,1,0)))</f>
        <v>0</v>
      </c>
      <c r="B696" s="4" t="str">
        <f>IF(C696=$L696,1,IF(C696="","",0))</f>
        <v/>
      </c>
      <c r="C696" s="42"/>
      <c r="D696" s="4" t="str">
        <f>IF(E696=$L696,1,IF(E696="","",0))</f>
        <v/>
      </c>
      <c r="E696" s="43"/>
      <c r="F696" s="4" t="str">
        <f>IF(G696=$L696,1,IF(G696="","",0))</f>
        <v/>
      </c>
      <c r="G696" s="23"/>
      <c r="H696" s="6">
        <v>2502</v>
      </c>
      <c r="I696" s="15" t="s">
        <v>3120</v>
      </c>
      <c r="J696" s="6" t="s">
        <v>5568</v>
      </c>
      <c r="K696" s="6"/>
      <c r="L696" s="6" t="s">
        <v>2548</v>
      </c>
      <c r="M696" s="6" t="s">
        <v>8607</v>
      </c>
      <c r="N696" s="7">
        <f ca="1">RAND()</f>
        <v>3.0895352488099714E-2</v>
      </c>
      <c r="O696" s="8">
        <v>45220</v>
      </c>
      <c r="P696" s="8">
        <v>45221</v>
      </c>
      <c r="Q696" s="8">
        <v>45223</v>
      </c>
      <c r="R696" s="8">
        <v>45227</v>
      </c>
      <c r="S696" s="8">
        <v>45234</v>
      </c>
      <c r="T696" s="8">
        <v>45817</v>
      </c>
      <c r="U696" s="8"/>
      <c r="V696" s="10">
        <f>COUNTA(O696:U696)</f>
        <v>6</v>
      </c>
      <c r="W696" s="11">
        <f>_xlfn.IFNA(INDEX(reading[[#This Row],[Memo 01]:[Memo 07]],MATCH(0,reading[[#This Row],[Memo 01]:[Memo 07]],-1)),"")</f>
        <v>45817</v>
      </c>
      <c r="X696" s="11">
        <f ca="1">IFERROR(reading[[#This Row],[Previous]]+OFFSET(reading[[#Headers],[Memo 01]],-1,MATCH(0,reading[[#This Row],[Memo 01]:[Memo 07]],-1)-1),"")</f>
        <v>45837</v>
      </c>
      <c r="Y696" s="10" t="str">
        <f ca="1">IF(reading[[#This Row],[Next]]&lt;&gt;"",IF(reading[[#This Row],[Next]]&gt;TODAY(),"OK",""),"")</f>
        <v>OK</v>
      </c>
      <c r="Z696" s="13">
        <v>3</v>
      </c>
      <c r="AA696" s="13">
        <v>3</v>
      </c>
      <c r="AB696" s="13">
        <v>3</v>
      </c>
      <c r="AC696" s="13">
        <v>2</v>
      </c>
      <c r="AD696" s="13">
        <v>3</v>
      </c>
      <c r="AE696" s="13">
        <v>1</v>
      </c>
      <c r="AF696" s="13"/>
      <c r="AG696" s="16">
        <f>IFERROR(SUMIF(reading[[#This Row],[1st]:[7th]],"&gt;0")/COUNTIF(reading[[#This Row],[1st]:[7th]],"&gt;0"),"")</f>
        <v>2.5</v>
      </c>
    </row>
    <row r="697" spans="1:33" hidden="1" x14ac:dyDescent="0.2">
      <c r="A697" s="4">
        <f>IF(B697=1,3,IF(D697=1,2,IF(F697=1,1,0)))</f>
        <v>0</v>
      </c>
      <c r="B697" s="4" t="str">
        <f>IF(C697=$L697,1,IF(C697="","",0))</f>
        <v/>
      </c>
      <c r="C697" s="42"/>
      <c r="D697" s="4" t="str">
        <f>IF(E697=$L697,1,IF(E697="","",0))</f>
        <v/>
      </c>
      <c r="E697" s="18"/>
      <c r="F697" s="4" t="str">
        <f>IF(G697=$L697,1,IF(G697="","",0))</f>
        <v/>
      </c>
      <c r="G697" s="14"/>
      <c r="H697" s="6">
        <v>1644</v>
      </c>
      <c r="I697" s="15" t="s">
        <v>3120</v>
      </c>
      <c r="J697" s="6" t="s">
        <v>4756</v>
      </c>
      <c r="K697" s="6"/>
      <c r="L697" s="6" t="s">
        <v>1726</v>
      </c>
      <c r="M697" s="6" t="s">
        <v>7750</v>
      </c>
      <c r="N697" s="7">
        <f ca="1">RAND()</f>
        <v>0.48017027084229502</v>
      </c>
      <c r="O697" s="8">
        <v>45210</v>
      </c>
      <c r="P697" s="8">
        <v>45211</v>
      </c>
      <c r="Q697" s="8">
        <v>45213</v>
      </c>
      <c r="R697" s="8">
        <v>45217</v>
      </c>
      <c r="S697" s="8">
        <v>45224</v>
      </c>
      <c r="T697" s="8">
        <v>45236</v>
      </c>
      <c r="U697" s="8">
        <v>45801</v>
      </c>
      <c r="V697" s="10">
        <f>COUNTA(O697:U697)</f>
        <v>7</v>
      </c>
      <c r="W697" s="11">
        <f>_xlfn.IFNA(INDEX(reading[[#This Row],[Memo 01]:[Memo 07]],MATCH(0,reading[[#This Row],[Memo 01]:[Memo 07]],-1)),"")</f>
        <v>45801</v>
      </c>
      <c r="X697" s="11">
        <f ca="1">IFERROR(reading[[#This Row],[Previous]]+OFFSET(reading[[#Headers],[Memo 01]],-1,MATCH(0,reading[[#This Row],[Memo 01]:[Memo 07]],-1)-1),"")</f>
        <v>55801</v>
      </c>
      <c r="Y697" s="10" t="str">
        <f ca="1">IF(reading[[#This Row],[Next]]&lt;&gt;"",IF(reading[[#This Row],[Next]]&gt;TODAY(),"OK",""),"")</f>
        <v>OK</v>
      </c>
      <c r="Z697" s="13">
        <v>3</v>
      </c>
      <c r="AA697" s="13">
        <v>3</v>
      </c>
      <c r="AB697" s="13">
        <v>3</v>
      </c>
      <c r="AC697" s="13">
        <v>2</v>
      </c>
      <c r="AD697" s="13">
        <v>3</v>
      </c>
      <c r="AE697" s="13">
        <v>3</v>
      </c>
      <c r="AF697" s="13">
        <v>3</v>
      </c>
      <c r="AG697" s="16">
        <f>IFERROR(SUMIF(reading[[#This Row],[1st]:[7th]],"&gt;0")/COUNTIF(reading[[#This Row],[1st]:[7th]],"&gt;0"),"")</f>
        <v>2.8571428571428572</v>
      </c>
    </row>
    <row r="698" spans="1:33" hidden="1" x14ac:dyDescent="0.2">
      <c r="A698" s="4">
        <f>IF(B698=1,3,IF(D698=1,2,IF(F698=1,1,0)))</f>
        <v>0</v>
      </c>
      <c r="B698" s="4" t="str">
        <f>IF(C698=$L698,1,IF(C698="","",0))</f>
        <v/>
      </c>
      <c r="C698" s="42"/>
      <c r="D698" s="4" t="str">
        <f>IF(E698=$L698,1,IF(E698="","",0))</f>
        <v/>
      </c>
      <c r="E698" s="14"/>
      <c r="F698" s="4" t="str">
        <f>IF(G698=$L698,1,IF(G698="","",0))</f>
        <v/>
      </c>
      <c r="G698" s="14"/>
      <c r="H698" s="6">
        <v>1631</v>
      </c>
      <c r="I698" s="15" t="s">
        <v>3120</v>
      </c>
      <c r="J698" s="6" t="s">
        <v>4743</v>
      </c>
      <c r="K698" s="6"/>
      <c r="L698" s="6" t="s">
        <v>1713</v>
      </c>
      <c r="M698" s="6" t="s">
        <v>7737</v>
      </c>
      <c r="N698" s="7">
        <f ca="1">RAND()</f>
        <v>0.44434165847954987</v>
      </c>
      <c r="O698" s="8">
        <v>45210</v>
      </c>
      <c r="P698" s="8">
        <v>45211</v>
      </c>
      <c r="Q698" s="8">
        <v>45213</v>
      </c>
      <c r="R698" s="8">
        <v>45217</v>
      </c>
      <c r="S698" s="8">
        <v>45224</v>
      </c>
      <c r="T698" s="8">
        <v>45236</v>
      </c>
      <c r="U698" s="8">
        <v>45792</v>
      </c>
      <c r="V698" s="10">
        <f>COUNTA(O698:U698)</f>
        <v>7</v>
      </c>
      <c r="W698" s="11">
        <f>_xlfn.IFNA(INDEX(reading[[#This Row],[Memo 01]:[Memo 07]],MATCH(0,reading[[#This Row],[Memo 01]:[Memo 07]],-1)),"")</f>
        <v>45792</v>
      </c>
      <c r="X698" s="11">
        <f ca="1">IFERROR(reading[[#This Row],[Previous]]+OFFSET(reading[[#Headers],[Memo 01]],-1,MATCH(0,reading[[#This Row],[Memo 01]:[Memo 07]],-1)-1),"")</f>
        <v>55792</v>
      </c>
      <c r="Y698" s="10" t="str">
        <f ca="1">IF(reading[[#This Row],[Next]]&lt;&gt;"",IF(reading[[#This Row],[Next]]&gt;TODAY(),"OK",""),"")</f>
        <v>OK</v>
      </c>
      <c r="Z698" s="13">
        <v>3</v>
      </c>
      <c r="AA698" s="13">
        <v>3</v>
      </c>
      <c r="AB698" s="13">
        <v>3</v>
      </c>
      <c r="AC698" s="13">
        <v>3</v>
      </c>
      <c r="AD698" s="13">
        <v>3</v>
      </c>
      <c r="AE698" s="13">
        <v>3</v>
      </c>
      <c r="AF698" s="13">
        <v>3</v>
      </c>
      <c r="AG698" s="16">
        <f>IFERROR(SUMIF(reading[[#This Row],[1st]:[7th]],"&gt;0")/COUNTIF(reading[[#This Row],[1st]:[7th]],"&gt;0"),"")</f>
        <v>3</v>
      </c>
    </row>
    <row r="699" spans="1:33" hidden="1" x14ac:dyDescent="0.2">
      <c r="A699" s="4">
        <f>IF(B699=1,3,IF(D699=1,2,IF(F699=1,1,0)))</f>
        <v>3</v>
      </c>
      <c r="B699" s="4">
        <f>IF(C699=$L699,1,IF(C699="","",0))</f>
        <v>1</v>
      </c>
      <c r="C699" s="21" t="s">
        <v>825</v>
      </c>
      <c r="D699" s="4" t="str">
        <f>IF(E699=$L699,1,IF(E699="","",0))</f>
        <v/>
      </c>
      <c r="E699" s="14"/>
      <c r="F699" s="4" t="str">
        <f>IF(G699=$L699,1,IF(G699="","",0))</f>
        <v/>
      </c>
      <c r="G699" s="14"/>
      <c r="H699" s="6">
        <v>702</v>
      </c>
      <c r="I699" s="15" t="s">
        <v>3120</v>
      </c>
      <c r="J699" s="6" t="s">
        <v>3841</v>
      </c>
      <c r="K699" s="6"/>
      <c r="L699" s="6" t="s">
        <v>825</v>
      </c>
      <c r="M699" s="6" t="s">
        <v>6811</v>
      </c>
      <c r="N699" s="7">
        <f ca="1">RAND()</f>
        <v>0.60419213609754652</v>
      </c>
      <c r="O699" s="8">
        <v>45203</v>
      </c>
      <c r="P699" s="8">
        <v>45203</v>
      </c>
      <c r="Q699" s="8">
        <v>45203</v>
      </c>
      <c r="R699" s="8">
        <v>45203</v>
      </c>
      <c r="S699" s="8">
        <v>45203</v>
      </c>
      <c r="T699" s="8">
        <v>45203</v>
      </c>
      <c r="U699" s="8">
        <v>45203</v>
      </c>
      <c r="V699" s="10">
        <f>COUNTA(O699:U699)</f>
        <v>7</v>
      </c>
      <c r="W699" s="11">
        <f>_xlfn.IFNA(INDEX(reading[[#This Row],[Memo 01]:[Memo 07]],MATCH(0,reading[[#This Row],[Memo 01]:[Memo 07]],-1)),"")</f>
        <v>45203</v>
      </c>
      <c r="X699" s="11">
        <f ca="1">IFERROR(reading[[#This Row],[Previous]]+OFFSET(reading[[#Headers],[Memo 01]],-1,MATCH(0,reading[[#This Row],[Memo 01]:[Memo 07]],-1)-1),"")</f>
        <v>55203</v>
      </c>
      <c r="Y699" s="10" t="str">
        <f ca="1">IF(reading[[#This Row],[Next]]&lt;&gt;"",IF(reading[[#This Row],[Next]]&gt;TODAY(),"OK",""),"")</f>
        <v>OK</v>
      </c>
      <c r="Z699" s="13">
        <v>3</v>
      </c>
      <c r="AA699" s="13"/>
      <c r="AB699" s="13"/>
      <c r="AC699" s="13"/>
      <c r="AD699" s="13"/>
      <c r="AE699" s="13"/>
      <c r="AF699" s="13"/>
      <c r="AG699" s="16">
        <f>IFERROR(SUMIF(reading[[#This Row],[1st]:[7th]],"&gt;0")/COUNTIF(reading[[#This Row],[1st]:[7th]],"&gt;0"),"")</f>
        <v>3</v>
      </c>
    </row>
    <row r="700" spans="1:33" hidden="1" x14ac:dyDescent="0.2">
      <c r="A700" s="4">
        <f>IF(B700=1,3,IF(D700=1,2,IF(F700=1,1,0)))</f>
        <v>3</v>
      </c>
      <c r="B700" s="4">
        <f>IF(C700=$L700,1,IF(C700="","",0))</f>
        <v>1</v>
      </c>
      <c r="C700" s="21" t="s">
        <v>826</v>
      </c>
      <c r="D700" s="4" t="str">
        <f>IF(E700=$L700,1,IF(E700="","",0))</f>
        <v/>
      </c>
      <c r="E700" s="14"/>
      <c r="F700" s="4" t="str">
        <f>IF(G700=$L700,1,IF(G700="","",0))</f>
        <v/>
      </c>
      <c r="G700" s="14"/>
      <c r="H700" s="6">
        <v>703</v>
      </c>
      <c r="I700" s="15" t="s">
        <v>3120</v>
      </c>
      <c r="J700" s="6" t="s">
        <v>3842</v>
      </c>
      <c r="K700" s="6"/>
      <c r="L700" s="6" t="s">
        <v>826</v>
      </c>
      <c r="M700" s="6" t="s">
        <v>6812</v>
      </c>
      <c r="N700" s="7">
        <f ca="1">RAND()</f>
        <v>0.30137693707282864</v>
      </c>
      <c r="O700" s="8">
        <v>45203</v>
      </c>
      <c r="P700" s="8">
        <v>45203</v>
      </c>
      <c r="Q700" s="8">
        <v>45203</v>
      </c>
      <c r="R700" s="8">
        <v>45203</v>
      </c>
      <c r="S700" s="8">
        <v>45203</v>
      </c>
      <c r="T700" s="8">
        <v>45203</v>
      </c>
      <c r="U700" s="8">
        <v>45203</v>
      </c>
      <c r="V700" s="10">
        <f>COUNTA(O700:U700)</f>
        <v>7</v>
      </c>
      <c r="W700" s="11">
        <f>_xlfn.IFNA(INDEX(reading[[#This Row],[Memo 01]:[Memo 07]],MATCH(0,reading[[#This Row],[Memo 01]:[Memo 07]],-1)),"")</f>
        <v>45203</v>
      </c>
      <c r="X700" s="11">
        <f ca="1">IFERROR(reading[[#This Row],[Previous]]+OFFSET(reading[[#Headers],[Memo 01]],-1,MATCH(0,reading[[#This Row],[Memo 01]:[Memo 07]],-1)-1),"")</f>
        <v>55203</v>
      </c>
      <c r="Y700" s="10" t="str">
        <f ca="1">IF(reading[[#This Row],[Next]]&lt;&gt;"",IF(reading[[#This Row],[Next]]&gt;TODAY(),"OK",""),"")</f>
        <v>OK</v>
      </c>
      <c r="Z700" s="13">
        <v>3</v>
      </c>
      <c r="AA700" s="13"/>
      <c r="AB700" s="13"/>
      <c r="AC700" s="13"/>
      <c r="AD700" s="13"/>
      <c r="AE700" s="13"/>
      <c r="AF700" s="13"/>
      <c r="AG700" s="16">
        <f>IFERROR(SUMIF(reading[[#This Row],[1st]:[7th]],"&gt;0")/COUNTIF(reading[[#This Row],[1st]:[7th]],"&gt;0"),"")</f>
        <v>3</v>
      </c>
    </row>
    <row r="701" spans="1:33" hidden="1" x14ac:dyDescent="0.2">
      <c r="A701" s="4">
        <f>IF(B701=1,3,IF(D701=1,2,IF(F701=1,1,0)))</f>
        <v>0</v>
      </c>
      <c r="B701" s="4" t="str">
        <f>IF(C701=$L701,1,IF(C701="","",0))</f>
        <v/>
      </c>
      <c r="C701" s="42"/>
      <c r="D701" s="4" t="str">
        <f>IF(E701=$L701,1,IF(E701="","",0))</f>
        <v/>
      </c>
      <c r="E701" s="14"/>
      <c r="F701" s="4" t="str">
        <f>IF(G701=$L701,1,IF(G701="","",0))</f>
        <v/>
      </c>
      <c r="G701" s="14"/>
      <c r="H701" s="6">
        <v>1206</v>
      </c>
      <c r="I701" s="15" t="s">
        <v>3120</v>
      </c>
      <c r="J701" s="6" t="s">
        <v>4325</v>
      </c>
      <c r="K701" s="6"/>
      <c r="L701" s="6" t="s">
        <v>1308</v>
      </c>
      <c r="M701" s="6" t="s">
        <v>7313</v>
      </c>
      <c r="N701" s="7">
        <f ca="1">RAND()</f>
        <v>0.92561668468816394</v>
      </c>
      <c r="O701" s="8">
        <v>45206</v>
      </c>
      <c r="P701" s="8">
        <v>45207</v>
      </c>
      <c r="Q701" s="8">
        <v>45209</v>
      </c>
      <c r="R701" s="8">
        <v>45213</v>
      </c>
      <c r="S701" s="8">
        <v>45220</v>
      </c>
      <c r="T701" s="8">
        <v>45232</v>
      </c>
      <c r="U701" s="8">
        <v>45801</v>
      </c>
      <c r="V701" s="10">
        <f>COUNTA(O701:U701)</f>
        <v>7</v>
      </c>
      <c r="W701" s="11">
        <f>_xlfn.IFNA(INDEX(reading[[#This Row],[Memo 01]:[Memo 07]],MATCH(0,reading[[#This Row],[Memo 01]:[Memo 07]],-1)),"")</f>
        <v>45801</v>
      </c>
      <c r="X701" s="11">
        <f ca="1">IFERROR(reading[[#This Row],[Previous]]+OFFSET(reading[[#Headers],[Memo 01]],-1,MATCH(0,reading[[#This Row],[Memo 01]:[Memo 07]],-1)-1),"")</f>
        <v>55801</v>
      </c>
      <c r="Y701" s="10" t="str">
        <f ca="1">IF(reading[[#This Row],[Next]]&lt;&gt;"",IF(reading[[#This Row],[Next]]&gt;TODAY(),"OK",""),"")</f>
        <v>OK</v>
      </c>
      <c r="Z701" s="13">
        <v>3</v>
      </c>
      <c r="AA701" s="13">
        <v>3</v>
      </c>
      <c r="AB701" s="13">
        <v>3</v>
      </c>
      <c r="AC701" s="13">
        <v>3</v>
      </c>
      <c r="AD701" s="13">
        <v>3</v>
      </c>
      <c r="AE701" s="13">
        <v>3</v>
      </c>
      <c r="AF701" s="13">
        <v>3</v>
      </c>
      <c r="AG701" s="16">
        <f>IFERROR(SUMIF(reading[[#This Row],[1st]:[7th]],"&gt;0")/COUNTIF(reading[[#This Row],[1st]:[7th]],"&gt;0"),"")</f>
        <v>3</v>
      </c>
    </row>
    <row r="702" spans="1:33" hidden="1" x14ac:dyDescent="0.2">
      <c r="A702" s="4">
        <f>IF(B702=1,3,IF(D702=1,2,IF(F702=1,1,0)))</f>
        <v>3</v>
      </c>
      <c r="B702" s="4">
        <f>IF(C702=$L702,1,IF(C702="","",0))</f>
        <v>1</v>
      </c>
      <c r="C702" s="21" t="s">
        <v>827</v>
      </c>
      <c r="D702" s="4" t="str">
        <f>IF(E702=$L702,1,IF(E702="","",0))</f>
        <v/>
      </c>
      <c r="E702" s="14"/>
      <c r="F702" s="4" t="str">
        <f>IF(G702=$L702,1,IF(G702="","",0))</f>
        <v/>
      </c>
      <c r="G702" s="14"/>
      <c r="H702" s="6">
        <v>705</v>
      </c>
      <c r="I702" s="15" t="s">
        <v>3120</v>
      </c>
      <c r="J702" s="6" t="s">
        <v>3844</v>
      </c>
      <c r="K702" s="6"/>
      <c r="L702" s="6" t="s">
        <v>827</v>
      </c>
      <c r="M702" s="6" t="s">
        <v>6814</v>
      </c>
      <c r="N702" s="7">
        <f ca="1">RAND()</f>
        <v>0.68079816086770717</v>
      </c>
      <c r="O702" s="8">
        <v>45203</v>
      </c>
      <c r="P702" s="8">
        <v>45203</v>
      </c>
      <c r="Q702" s="8">
        <v>45203</v>
      </c>
      <c r="R702" s="8">
        <v>45203</v>
      </c>
      <c r="S702" s="8">
        <v>45203</v>
      </c>
      <c r="T702" s="8">
        <v>45203</v>
      </c>
      <c r="U702" s="8">
        <v>45203</v>
      </c>
      <c r="V702" s="10">
        <f>COUNTA(O702:U702)</f>
        <v>7</v>
      </c>
      <c r="W702" s="11">
        <f>_xlfn.IFNA(INDEX(reading[[#This Row],[Memo 01]:[Memo 07]],MATCH(0,reading[[#This Row],[Memo 01]:[Memo 07]],-1)),"")</f>
        <v>45203</v>
      </c>
      <c r="X702" s="11">
        <f ca="1">IFERROR(reading[[#This Row],[Previous]]+OFFSET(reading[[#Headers],[Memo 01]],-1,MATCH(0,reading[[#This Row],[Memo 01]:[Memo 07]],-1)-1),"")</f>
        <v>55203</v>
      </c>
      <c r="Y702" s="10" t="str">
        <f ca="1">IF(reading[[#This Row],[Next]]&lt;&gt;"",IF(reading[[#This Row],[Next]]&gt;TODAY(),"OK",""),"")</f>
        <v>OK</v>
      </c>
      <c r="Z702" s="13">
        <v>3</v>
      </c>
      <c r="AA702" s="13"/>
      <c r="AB702" s="13"/>
      <c r="AC702" s="13"/>
      <c r="AD702" s="13"/>
      <c r="AE702" s="13"/>
      <c r="AF702" s="13"/>
      <c r="AG702" s="16">
        <f>IFERROR(SUMIF(reading[[#This Row],[1st]:[7th]],"&gt;0")/COUNTIF(reading[[#This Row],[1st]:[7th]],"&gt;0"),"")</f>
        <v>3</v>
      </c>
    </row>
    <row r="703" spans="1:33" hidden="1" x14ac:dyDescent="0.2">
      <c r="A703" s="4">
        <f>IF(B703=1,3,IF(D703=1,2,IF(F703=1,1,0)))</f>
        <v>0</v>
      </c>
      <c r="B703" s="4" t="str">
        <f>IF(C703=$L703,1,IF(C703="","",0))</f>
        <v/>
      </c>
      <c r="C703" s="41"/>
      <c r="D703" s="4" t="str">
        <f>IF(E703=$L703,1,IF(E703="","",0))</f>
        <v/>
      </c>
      <c r="E703" s="23"/>
      <c r="F703" s="4" t="str">
        <f>IF(G703=$L703,1,IF(G703="","",0))</f>
        <v/>
      </c>
      <c r="G703" s="14"/>
      <c r="H703" s="6">
        <v>1093</v>
      </c>
      <c r="I703" s="15" t="s">
        <v>3120</v>
      </c>
      <c r="J703" s="6" t="s">
        <v>4217</v>
      </c>
      <c r="K703" s="6"/>
      <c r="L703" s="6" t="s">
        <v>1199</v>
      </c>
      <c r="M703" s="6" t="s">
        <v>7201</v>
      </c>
      <c r="N703" s="7">
        <f ca="1">RAND()</f>
        <v>0.16188538795761043</v>
      </c>
      <c r="O703" s="8">
        <v>45205</v>
      </c>
      <c r="P703" s="8">
        <v>45206</v>
      </c>
      <c r="Q703" s="8">
        <v>45208</v>
      </c>
      <c r="R703" s="8">
        <v>45212</v>
      </c>
      <c r="S703" s="8">
        <v>45219</v>
      </c>
      <c r="T703" s="8">
        <v>45231</v>
      </c>
      <c r="U703" s="8">
        <v>45252</v>
      </c>
      <c r="V703" s="10">
        <f>COUNTA(O703:U703)</f>
        <v>7</v>
      </c>
      <c r="W703" s="11">
        <f>_xlfn.IFNA(INDEX(reading[[#This Row],[Memo 01]:[Memo 07]],MATCH(0,reading[[#This Row],[Memo 01]:[Memo 07]],-1)),"")</f>
        <v>45252</v>
      </c>
      <c r="X703" s="11">
        <f ca="1">IFERROR(reading[[#This Row],[Previous]]+OFFSET(reading[[#Headers],[Memo 01]],-1,MATCH(0,reading[[#This Row],[Memo 01]:[Memo 07]],-1)-1),"")</f>
        <v>55252</v>
      </c>
      <c r="Y703" s="10" t="str">
        <f ca="1">IF(reading[[#This Row],[Next]]&lt;&gt;"",IF(reading[[#This Row],[Next]]&gt;TODAY(),"OK",""),"")</f>
        <v>OK</v>
      </c>
      <c r="Z703" s="13">
        <v>3</v>
      </c>
      <c r="AA703" s="13">
        <v>2</v>
      </c>
      <c r="AB703" s="13">
        <v>2</v>
      </c>
      <c r="AC703" s="13">
        <v>3</v>
      </c>
      <c r="AD703" s="13">
        <v>2</v>
      </c>
      <c r="AE703" s="13">
        <v>3</v>
      </c>
      <c r="AF703" s="13">
        <v>2</v>
      </c>
      <c r="AG703" s="16">
        <f>IFERROR(SUMIF(reading[[#This Row],[1st]:[7th]],"&gt;0")/COUNTIF(reading[[#This Row],[1st]:[7th]],"&gt;0"),"")</f>
        <v>2.4285714285714284</v>
      </c>
    </row>
    <row r="704" spans="1:33" hidden="1" x14ac:dyDescent="0.2">
      <c r="A704" s="4">
        <f>IF(B704=1,3,IF(D704=1,2,IF(F704=1,1,0)))</f>
        <v>0</v>
      </c>
      <c r="B704" s="4" t="str">
        <f>IF(C704=$L704,1,IF(C704="","",0))</f>
        <v/>
      </c>
      <c r="C704" s="42"/>
      <c r="D704" s="4" t="str">
        <f>IF(E704=$L704,1,IF(E704="","",0))</f>
        <v/>
      </c>
      <c r="E704" s="23"/>
      <c r="F704" s="4" t="str">
        <f>IF(G704=$L704,1,IF(G704="","",0))</f>
        <v/>
      </c>
      <c r="G704" s="14"/>
      <c r="H704" s="6">
        <v>894</v>
      </c>
      <c r="I704" s="15" t="s">
        <v>3120</v>
      </c>
      <c r="J704" s="6" t="s">
        <v>4026</v>
      </c>
      <c r="K704" s="6"/>
      <c r="L704" s="6" t="s">
        <v>1007</v>
      </c>
      <c r="M704" s="6" t="s">
        <v>7003</v>
      </c>
      <c r="N704" s="7">
        <f ca="1">RAND()</f>
        <v>0.69540545351353467</v>
      </c>
      <c r="O704" s="8">
        <v>45204</v>
      </c>
      <c r="P704" s="8">
        <v>45205</v>
      </c>
      <c r="Q704" s="8">
        <v>45207</v>
      </c>
      <c r="R704" s="8">
        <v>45211</v>
      </c>
      <c r="S704" s="8">
        <v>45218</v>
      </c>
      <c r="T704" s="8">
        <v>45230</v>
      </c>
      <c r="U704" s="8">
        <v>45811</v>
      </c>
      <c r="V704" s="10">
        <f>COUNTA(O704:U704)</f>
        <v>7</v>
      </c>
      <c r="W704" s="11">
        <f>_xlfn.IFNA(INDEX(reading[[#This Row],[Memo 01]:[Memo 07]],MATCH(0,reading[[#This Row],[Memo 01]:[Memo 07]],-1)),"")</f>
        <v>45811</v>
      </c>
      <c r="X704" s="11">
        <f ca="1">IFERROR(reading[[#This Row],[Previous]]+OFFSET(reading[[#Headers],[Memo 01]],-1,MATCH(0,reading[[#This Row],[Memo 01]:[Memo 07]],-1)-1),"")</f>
        <v>55811</v>
      </c>
      <c r="Y704" s="10" t="str">
        <f ca="1">IF(reading[[#This Row],[Next]]&lt;&gt;"",IF(reading[[#This Row],[Next]]&gt;TODAY(),"OK",""),"")</f>
        <v>OK</v>
      </c>
      <c r="Z704" s="13">
        <v>3</v>
      </c>
      <c r="AA704" s="13">
        <v>3</v>
      </c>
      <c r="AB704" s="13">
        <v>3</v>
      </c>
      <c r="AC704" s="13">
        <v>3</v>
      </c>
      <c r="AD704" s="13">
        <v>3</v>
      </c>
      <c r="AE704" s="13">
        <v>3</v>
      </c>
      <c r="AF704" s="13">
        <v>2</v>
      </c>
      <c r="AG704" s="16">
        <f>IFERROR(SUMIF(reading[[#This Row],[1st]:[7th]],"&gt;0")/COUNTIF(reading[[#This Row],[1st]:[7th]],"&gt;0"),"")</f>
        <v>2.8571428571428572</v>
      </c>
    </row>
    <row r="705" spans="1:33" hidden="1" x14ac:dyDescent="0.2">
      <c r="A705" s="4">
        <f>IF(B705=1,3,IF(D705=1,2,IF(F705=1,1,0)))</f>
        <v>0</v>
      </c>
      <c r="B705" s="4" t="str">
        <f>IF(C705=$L705,1,IF(C705="","",0))</f>
        <v/>
      </c>
      <c r="C705" s="42"/>
      <c r="D705" s="4" t="str">
        <f>IF(E705=$L705,1,IF(E705="","",0))</f>
        <v/>
      </c>
      <c r="E705" s="23"/>
      <c r="F705" s="4" t="str">
        <f>IF(G705=$L705,1,IF(G705="","",0))</f>
        <v/>
      </c>
      <c r="G705" s="14"/>
      <c r="H705" s="6">
        <v>1198</v>
      </c>
      <c r="I705" s="15" t="s">
        <v>3120</v>
      </c>
      <c r="J705" s="6" t="s">
        <v>4317</v>
      </c>
      <c r="K705" s="24" t="s">
        <v>3142</v>
      </c>
      <c r="L705" s="6" t="s">
        <v>1300</v>
      </c>
      <c r="M705" s="6" t="s">
        <v>7305</v>
      </c>
      <c r="N705" s="7">
        <f ca="1">RAND()</f>
        <v>0.49812385371162904</v>
      </c>
      <c r="O705" s="8">
        <v>45206</v>
      </c>
      <c r="P705" s="8">
        <v>45207</v>
      </c>
      <c r="Q705" s="8">
        <v>45209</v>
      </c>
      <c r="R705" s="8">
        <v>45213</v>
      </c>
      <c r="S705" s="8">
        <v>45220</v>
      </c>
      <c r="T705" s="8">
        <v>45232</v>
      </c>
      <c r="U705" s="8">
        <v>45820</v>
      </c>
      <c r="V705" s="10">
        <f>COUNTA(O705:U705)</f>
        <v>7</v>
      </c>
      <c r="W705" s="11">
        <f>_xlfn.IFNA(INDEX(reading[[#This Row],[Memo 01]:[Memo 07]],MATCH(0,reading[[#This Row],[Memo 01]:[Memo 07]],-1)),"")</f>
        <v>45820</v>
      </c>
      <c r="X705" s="11">
        <f ca="1">IFERROR(reading[[#This Row],[Previous]]+OFFSET(reading[[#Headers],[Memo 01]],-1,MATCH(0,reading[[#This Row],[Memo 01]:[Memo 07]],-1)-1),"")</f>
        <v>55820</v>
      </c>
      <c r="Y705" s="10" t="str">
        <f ca="1">IF(reading[[#This Row],[Next]]&lt;&gt;"",IF(reading[[#This Row],[Next]]&gt;TODAY(),"OK",""),"")</f>
        <v>OK</v>
      </c>
      <c r="Z705" s="13">
        <v>3</v>
      </c>
      <c r="AA705" s="13">
        <v>3</v>
      </c>
      <c r="AB705" s="13">
        <v>3</v>
      </c>
      <c r="AC705" s="13">
        <v>3</v>
      </c>
      <c r="AD705" s="13">
        <v>3</v>
      </c>
      <c r="AE705" s="13">
        <v>3</v>
      </c>
      <c r="AF705" s="13">
        <v>2</v>
      </c>
      <c r="AG705" s="16">
        <f>IFERROR(SUMIF(reading[[#This Row],[1st]:[7th]],"&gt;0")/COUNTIF(reading[[#This Row],[1st]:[7th]],"&gt;0"),"")</f>
        <v>2.8571428571428572</v>
      </c>
    </row>
    <row r="706" spans="1:33" hidden="1" x14ac:dyDescent="0.2">
      <c r="A706" s="4">
        <f>IF(B706=1,3,IF(D706=1,2,IF(F706=1,1,0)))</f>
        <v>0</v>
      </c>
      <c r="B706" s="4" t="str">
        <f>IF(C706=$L706,1,IF(C706="","",0))</f>
        <v/>
      </c>
      <c r="C706" s="42"/>
      <c r="D706" s="4" t="str">
        <f>IF(E706=$L706,1,IF(E706="","",0))</f>
        <v/>
      </c>
      <c r="E706" s="23"/>
      <c r="F706" s="4" t="str">
        <f>IF(G706=$L706,1,IF(G706="","",0))</f>
        <v/>
      </c>
      <c r="G706" s="14"/>
      <c r="H706" s="6">
        <v>1343</v>
      </c>
      <c r="I706" s="15" t="s">
        <v>3120</v>
      </c>
      <c r="J706" s="6" t="s">
        <v>4457</v>
      </c>
      <c r="K706" s="6"/>
      <c r="L706" s="6" t="s">
        <v>1439</v>
      </c>
      <c r="M706" s="6" t="s">
        <v>7450</v>
      </c>
      <c r="N706" s="7">
        <f ca="1">RAND()</f>
        <v>0.32007292038334889</v>
      </c>
      <c r="O706" s="8">
        <v>45207</v>
      </c>
      <c r="P706" s="8">
        <v>45208</v>
      </c>
      <c r="Q706" s="8">
        <v>45210</v>
      </c>
      <c r="R706" s="8">
        <v>45214</v>
      </c>
      <c r="S706" s="8">
        <v>45221</v>
      </c>
      <c r="T706" s="8">
        <v>45233</v>
      </c>
      <c r="U706" s="8">
        <v>45811</v>
      </c>
      <c r="V706" s="10">
        <f>COUNTA(O706:U706)</f>
        <v>7</v>
      </c>
      <c r="W706" s="11">
        <f>_xlfn.IFNA(INDEX(reading[[#This Row],[Memo 01]:[Memo 07]],MATCH(0,reading[[#This Row],[Memo 01]:[Memo 07]],-1)),"")</f>
        <v>45811</v>
      </c>
      <c r="X706" s="11">
        <f ca="1">IFERROR(reading[[#This Row],[Previous]]+OFFSET(reading[[#Headers],[Memo 01]],-1,MATCH(0,reading[[#This Row],[Memo 01]:[Memo 07]],-1)-1),"")</f>
        <v>55811</v>
      </c>
      <c r="Y706" s="10" t="str">
        <f ca="1">IF(reading[[#This Row],[Next]]&lt;&gt;"",IF(reading[[#This Row],[Next]]&gt;TODAY(),"OK",""),"")</f>
        <v>OK</v>
      </c>
      <c r="Z706" s="13">
        <v>3</v>
      </c>
      <c r="AA706" s="13">
        <v>3</v>
      </c>
      <c r="AB706" s="13">
        <v>3</v>
      </c>
      <c r="AC706" s="13">
        <v>3</v>
      </c>
      <c r="AD706" s="13">
        <v>3</v>
      </c>
      <c r="AE706" s="13">
        <v>3</v>
      </c>
      <c r="AF706" s="13">
        <v>2</v>
      </c>
      <c r="AG706" s="16">
        <f>IFERROR(SUMIF(reading[[#This Row],[1st]:[7th]],"&gt;0")/COUNTIF(reading[[#This Row],[1st]:[7th]],"&gt;0"),"")</f>
        <v>2.8571428571428572</v>
      </c>
    </row>
    <row r="707" spans="1:33" hidden="1" x14ac:dyDescent="0.2">
      <c r="A707" s="4">
        <f>IF(B707=1,3,IF(D707=1,2,IF(F707=1,1,0)))</f>
        <v>0</v>
      </c>
      <c r="B707" s="4" t="str">
        <f>IF(C707=$L707,1,IF(C707="","",0))</f>
        <v/>
      </c>
      <c r="C707" s="42"/>
      <c r="D707" s="4" t="str">
        <f>IF(E707=$L707,1,IF(E707="","",0))</f>
        <v/>
      </c>
      <c r="E707" s="18"/>
      <c r="F707" s="4" t="str">
        <f>IF(G707=$L707,1,IF(G707="","",0))</f>
        <v/>
      </c>
      <c r="G707" s="14"/>
      <c r="H707" s="6">
        <v>573</v>
      </c>
      <c r="I707" s="15" t="s">
        <v>3120</v>
      </c>
      <c r="J707" s="6" t="s">
        <v>3716</v>
      </c>
      <c r="K707" s="6"/>
      <c r="L707" s="6" t="s">
        <v>700</v>
      </c>
      <c r="M707" s="6" t="s">
        <v>6682</v>
      </c>
      <c r="N707" s="7">
        <f ca="1">RAND()</f>
        <v>0.24852998742106169</v>
      </c>
      <c r="O707" s="8">
        <v>45203</v>
      </c>
      <c r="P707" s="8">
        <v>45204</v>
      </c>
      <c r="Q707" s="8">
        <v>45206</v>
      </c>
      <c r="R707" s="8">
        <v>45210</v>
      </c>
      <c r="S707" s="8">
        <v>45217</v>
      </c>
      <c r="T707" s="8">
        <v>45229</v>
      </c>
      <c r="U707" s="8">
        <v>45792</v>
      </c>
      <c r="V707" s="10">
        <f>COUNTA(O707:U707)</f>
        <v>7</v>
      </c>
      <c r="W707" s="11">
        <f>_xlfn.IFNA(INDEX(reading[[#This Row],[Memo 01]:[Memo 07]],MATCH(0,reading[[#This Row],[Memo 01]:[Memo 07]],-1)),"")</f>
        <v>45792</v>
      </c>
      <c r="X707" s="11">
        <f ca="1">IFERROR(reading[[#This Row],[Previous]]+OFFSET(reading[[#Headers],[Memo 01]],-1,MATCH(0,reading[[#This Row],[Memo 01]:[Memo 07]],-1)-1),"")</f>
        <v>55792</v>
      </c>
      <c r="Y707" s="10" t="str">
        <f ca="1">IF(reading[[#This Row],[Next]]&lt;&gt;"",IF(reading[[#This Row],[Next]]&gt;TODAY(),"OK",""),"")</f>
        <v>OK</v>
      </c>
      <c r="Z707" s="13">
        <v>3</v>
      </c>
      <c r="AA707" s="13">
        <v>3</v>
      </c>
      <c r="AB707" s="13">
        <v>2</v>
      </c>
      <c r="AC707" s="13">
        <v>3</v>
      </c>
      <c r="AD707" s="13">
        <v>3</v>
      </c>
      <c r="AE707" s="13">
        <v>2</v>
      </c>
      <c r="AF707" s="13">
        <v>3</v>
      </c>
      <c r="AG707" s="16">
        <f>IFERROR(SUMIF(reading[[#This Row],[1st]:[7th]],"&gt;0")/COUNTIF(reading[[#This Row],[1st]:[7th]],"&gt;0"),"")</f>
        <v>2.7142857142857144</v>
      </c>
    </row>
    <row r="708" spans="1:33" hidden="1" x14ac:dyDescent="0.2">
      <c r="A708" s="4">
        <f>IF(B708=1,3,IF(D708=1,2,IF(F708=1,1,0)))</f>
        <v>0</v>
      </c>
      <c r="B708" s="4" t="str">
        <f>IF(C708=$L708,1,IF(C708="","",0))</f>
        <v/>
      </c>
      <c r="C708" s="42"/>
      <c r="D708" s="4" t="str">
        <f>IF(E708=$L708,1,IF(E708="","",0))</f>
        <v/>
      </c>
      <c r="E708" s="14"/>
      <c r="F708" s="4" t="str">
        <f>IF(G708=$L708,1,IF(G708="","",0))</f>
        <v/>
      </c>
      <c r="G708" s="14"/>
      <c r="H708" s="6">
        <v>1589</v>
      </c>
      <c r="I708" s="15" t="s">
        <v>3120</v>
      </c>
      <c r="J708" s="6" t="s">
        <v>4701</v>
      </c>
      <c r="K708" s="6"/>
      <c r="L708" s="6" t="s">
        <v>1672</v>
      </c>
      <c r="M708" s="6" t="s">
        <v>7695</v>
      </c>
      <c r="N708" s="7">
        <f ca="1">RAND()</f>
        <v>0.79243886446948075</v>
      </c>
      <c r="O708" s="8">
        <v>45209</v>
      </c>
      <c r="P708" s="8">
        <v>45210</v>
      </c>
      <c r="Q708" s="8">
        <v>45212</v>
      </c>
      <c r="R708" s="8">
        <v>45216</v>
      </c>
      <c r="S708" s="8">
        <v>45223</v>
      </c>
      <c r="T708" s="8">
        <v>45235</v>
      </c>
      <c r="U708" s="8">
        <v>45792</v>
      </c>
      <c r="V708" s="10">
        <f>COUNTA(O708:U708)</f>
        <v>7</v>
      </c>
      <c r="W708" s="11">
        <f>_xlfn.IFNA(INDEX(reading[[#This Row],[Memo 01]:[Memo 07]],MATCH(0,reading[[#This Row],[Memo 01]:[Memo 07]],-1)),"")</f>
        <v>45792</v>
      </c>
      <c r="X708" s="11">
        <f ca="1">IFERROR(reading[[#This Row],[Previous]]+OFFSET(reading[[#Headers],[Memo 01]],-1,MATCH(0,reading[[#This Row],[Memo 01]:[Memo 07]],-1)-1),"")</f>
        <v>55792</v>
      </c>
      <c r="Y708" s="10" t="str">
        <f ca="1">IF(reading[[#This Row],[Next]]&lt;&gt;"",IF(reading[[#This Row],[Next]]&gt;TODAY(),"OK",""),"")</f>
        <v>OK</v>
      </c>
      <c r="Z708" s="13">
        <v>3</v>
      </c>
      <c r="AA708" s="13">
        <v>3</v>
      </c>
      <c r="AB708" s="13">
        <v>3</v>
      </c>
      <c r="AC708" s="13">
        <v>3</v>
      </c>
      <c r="AD708" s="13">
        <v>3</v>
      </c>
      <c r="AE708" s="13">
        <v>2</v>
      </c>
      <c r="AF708" s="13">
        <v>3</v>
      </c>
      <c r="AG708" s="16">
        <f>IFERROR(SUMIF(reading[[#This Row],[1st]:[7th]],"&gt;0")/COUNTIF(reading[[#This Row],[1st]:[7th]],"&gt;0"),"")</f>
        <v>2.8571428571428572</v>
      </c>
    </row>
    <row r="709" spans="1:33" hidden="1" x14ac:dyDescent="0.2">
      <c r="A709" s="4">
        <f>IF(B709=1,3,IF(D709=1,2,IF(F709=1,1,0)))</f>
        <v>0</v>
      </c>
      <c r="B709" s="4" t="str">
        <f>IF(C709=$L709,1,IF(C709="","",0))</f>
        <v/>
      </c>
      <c r="C709" s="42"/>
      <c r="D709" s="4" t="str">
        <f>IF(E709=$L709,1,IF(E709="","",0))</f>
        <v/>
      </c>
      <c r="E709" s="18"/>
      <c r="F709" s="4" t="str">
        <f>IF(G709=$L709,1,IF(G709="","",0))</f>
        <v/>
      </c>
      <c r="G709" s="14"/>
      <c r="H709" s="6">
        <v>1881</v>
      </c>
      <c r="I709" s="15" t="s">
        <v>3120</v>
      </c>
      <c r="J709" s="6" t="s">
        <v>4983</v>
      </c>
      <c r="K709" s="6"/>
      <c r="L709" s="6" t="s">
        <v>1958</v>
      </c>
      <c r="M709" s="6" t="s">
        <v>7987</v>
      </c>
      <c r="N709" s="7">
        <f ca="1">RAND()</f>
        <v>0.73103421971256088</v>
      </c>
      <c r="O709" s="8">
        <v>45213</v>
      </c>
      <c r="P709" s="8">
        <v>45214</v>
      </c>
      <c r="Q709" s="8">
        <v>45216</v>
      </c>
      <c r="R709" s="8">
        <v>45220</v>
      </c>
      <c r="S709" s="8">
        <v>45227</v>
      </c>
      <c r="T709" s="8">
        <v>45252</v>
      </c>
      <c r="U709" s="8">
        <v>45824</v>
      </c>
      <c r="V709" s="10">
        <f>COUNTA(O709:U709)</f>
        <v>7</v>
      </c>
      <c r="W709" s="11">
        <f>_xlfn.IFNA(INDEX(reading[[#This Row],[Memo 01]:[Memo 07]],MATCH(0,reading[[#This Row],[Memo 01]:[Memo 07]],-1)),"")</f>
        <v>45824</v>
      </c>
      <c r="X709" s="11">
        <f ca="1">IFERROR(reading[[#This Row],[Previous]]+OFFSET(reading[[#Headers],[Memo 01]],-1,MATCH(0,reading[[#This Row],[Memo 01]:[Memo 07]],-1)-1),"")</f>
        <v>55824</v>
      </c>
      <c r="Y709" s="10" t="str">
        <f ca="1">IF(reading[[#This Row],[Next]]&lt;&gt;"",IF(reading[[#This Row],[Next]]&gt;TODAY(),"OK",""),"")</f>
        <v>OK</v>
      </c>
      <c r="Z709" s="13">
        <v>3</v>
      </c>
      <c r="AA709" s="13">
        <v>3</v>
      </c>
      <c r="AB709" s="13">
        <v>2</v>
      </c>
      <c r="AC709" s="13">
        <v>2</v>
      </c>
      <c r="AD709" s="13">
        <v>3</v>
      </c>
      <c r="AE709" s="13">
        <v>2</v>
      </c>
      <c r="AF709" s="13">
        <v>3</v>
      </c>
      <c r="AG709" s="16">
        <f>IFERROR(SUMIF(reading[[#This Row],[1st]:[7th]],"&gt;0")/COUNTIF(reading[[#This Row],[1st]:[7th]],"&gt;0"),"")</f>
        <v>2.5714285714285716</v>
      </c>
    </row>
    <row r="710" spans="1:33" hidden="1" x14ac:dyDescent="0.2">
      <c r="A710" s="4">
        <f>IF(B710=1,3,IF(D710=1,2,IF(F710=1,1,0)))</f>
        <v>0</v>
      </c>
      <c r="B710" s="4" t="str">
        <f>IF(C710=$L710,1,IF(C710="","",0))</f>
        <v/>
      </c>
      <c r="C710" s="42"/>
      <c r="D710" s="4" t="str">
        <f>IF(E710=$L710,1,IF(E710="","",0))</f>
        <v/>
      </c>
      <c r="E710" s="23"/>
      <c r="F710" s="4" t="str">
        <f>IF(G710=$L710,1,IF(G710="","",0))</f>
        <v/>
      </c>
      <c r="G710" s="14"/>
      <c r="H710" s="6">
        <v>2247</v>
      </c>
      <c r="I710" s="15" t="s">
        <v>3120</v>
      </c>
      <c r="J710" s="6" t="s">
        <v>5331</v>
      </c>
      <c r="K710" s="6"/>
      <c r="L710" s="6" t="s">
        <v>2309</v>
      </c>
      <c r="M710" s="6" t="s">
        <v>8352</v>
      </c>
      <c r="N710" s="7">
        <f ca="1">RAND()</f>
        <v>0.22965312677585248</v>
      </c>
      <c r="O710" s="8">
        <v>45215</v>
      </c>
      <c r="P710" s="8">
        <v>45216</v>
      </c>
      <c r="Q710" s="8">
        <v>45218</v>
      </c>
      <c r="R710" s="8">
        <v>45222</v>
      </c>
      <c r="S710" s="8">
        <v>45229</v>
      </c>
      <c r="T710" s="8">
        <v>45811</v>
      </c>
      <c r="U710" s="8"/>
      <c r="V710" s="10">
        <f>COUNTA(O710:U710)</f>
        <v>6</v>
      </c>
      <c r="W710" s="11">
        <f>_xlfn.IFNA(INDEX(reading[[#This Row],[Memo 01]:[Memo 07]],MATCH(0,reading[[#This Row],[Memo 01]:[Memo 07]],-1)),"")</f>
        <v>45811</v>
      </c>
      <c r="X710" s="11">
        <f ca="1">IFERROR(reading[[#This Row],[Previous]]+OFFSET(reading[[#Headers],[Memo 01]],-1,MATCH(0,reading[[#This Row],[Memo 01]:[Memo 07]],-1)-1),"")</f>
        <v>45831</v>
      </c>
      <c r="Y710" s="10" t="str">
        <f ca="1">IF(reading[[#This Row],[Next]]&lt;&gt;"",IF(reading[[#This Row],[Next]]&gt;TODAY(),"OK",""),"")</f>
        <v/>
      </c>
      <c r="Z710" s="13">
        <v>3</v>
      </c>
      <c r="AA710" s="13">
        <v>3</v>
      </c>
      <c r="AB710" s="13">
        <v>3</v>
      </c>
      <c r="AC710" s="13">
        <v>3</v>
      </c>
      <c r="AD710" s="13">
        <v>3</v>
      </c>
      <c r="AE710" s="13">
        <v>2</v>
      </c>
      <c r="AF710" s="13"/>
      <c r="AG710" s="16">
        <f>IFERROR(SUMIF(reading[[#This Row],[1st]:[7th]],"&gt;0")/COUNTIF(reading[[#This Row],[1st]:[7th]],"&gt;0"),"")</f>
        <v>2.8333333333333335</v>
      </c>
    </row>
    <row r="711" spans="1:33" hidden="1" x14ac:dyDescent="0.2">
      <c r="A711" s="4">
        <f>IF(B711=1,3,IF(D711=1,2,IF(F711=1,1,0)))</f>
        <v>0</v>
      </c>
      <c r="B711" s="4" t="str">
        <f>IF(C711=$L711,1,IF(C711="","",0))</f>
        <v/>
      </c>
      <c r="C711" s="42"/>
      <c r="D711" s="4" t="str">
        <f>IF(E711=$L711,1,IF(E711="","",0))</f>
        <v/>
      </c>
      <c r="E711" s="14"/>
      <c r="F711" s="4" t="str">
        <f>IF(G711=$L711,1,IF(G711="","",0))</f>
        <v/>
      </c>
      <c r="G711" s="14"/>
      <c r="H711" s="6">
        <v>456</v>
      </c>
      <c r="I711" s="15" t="s">
        <v>3120</v>
      </c>
      <c r="J711" s="6" t="s">
        <v>3602</v>
      </c>
      <c r="K711" s="6"/>
      <c r="L711" s="6" t="s">
        <v>585</v>
      </c>
      <c r="M711" s="6" t="s">
        <v>6565</v>
      </c>
      <c r="N711" s="7">
        <f ca="1">RAND()</f>
        <v>0.95271945175516981</v>
      </c>
      <c r="O711" s="8">
        <v>45202</v>
      </c>
      <c r="P711" s="8">
        <v>45203</v>
      </c>
      <c r="Q711" s="8">
        <v>45205</v>
      </c>
      <c r="R711" s="8">
        <v>45209</v>
      </c>
      <c r="S711" s="8">
        <v>45216</v>
      </c>
      <c r="T711" s="8">
        <v>45228</v>
      </c>
      <c r="U711" s="8">
        <v>45818</v>
      </c>
      <c r="V711" s="10">
        <f>COUNTA(O711:U711)</f>
        <v>7</v>
      </c>
      <c r="W711" s="11">
        <f>_xlfn.IFNA(INDEX(reading[[#This Row],[Memo 01]:[Memo 07]],MATCH(0,reading[[#This Row],[Memo 01]:[Memo 07]],-1)),"")</f>
        <v>45818</v>
      </c>
      <c r="X711" s="11">
        <f ca="1">IFERROR(reading[[#This Row],[Previous]]+OFFSET(reading[[#Headers],[Memo 01]],-1,MATCH(0,reading[[#This Row],[Memo 01]:[Memo 07]],-1)-1),"")</f>
        <v>55818</v>
      </c>
      <c r="Y711" s="10" t="str">
        <f ca="1">IF(reading[[#This Row],[Next]]&lt;&gt;"",IF(reading[[#This Row],[Next]]&gt;TODAY(),"OK",""),"")</f>
        <v>OK</v>
      </c>
      <c r="Z711" s="13">
        <v>3</v>
      </c>
      <c r="AA711" s="13">
        <v>3</v>
      </c>
      <c r="AB711" s="13">
        <v>3</v>
      </c>
      <c r="AC711" s="13">
        <v>3</v>
      </c>
      <c r="AD711" s="13">
        <v>3</v>
      </c>
      <c r="AE711" s="13">
        <v>3</v>
      </c>
      <c r="AF711" s="13">
        <v>3</v>
      </c>
      <c r="AG711" s="16">
        <f>IFERROR(SUMIF(reading[[#This Row],[1st]:[7th]],"&gt;0")/COUNTIF(reading[[#This Row],[1st]:[7th]],"&gt;0"),"")</f>
        <v>3</v>
      </c>
    </row>
    <row r="712" spans="1:33" hidden="1" x14ac:dyDescent="0.2">
      <c r="A712" s="4">
        <f>IF(B712=1,3,IF(D712=1,2,IF(F712=1,1,0)))</f>
        <v>0</v>
      </c>
      <c r="B712" s="4" t="str">
        <f>IF(C712=$L712,1,IF(C712="","",0))</f>
        <v/>
      </c>
      <c r="C712" s="42"/>
      <c r="D712" s="4" t="str">
        <f>IF(E712=$L712,1,IF(E712="","",0))</f>
        <v/>
      </c>
      <c r="E712" s="23"/>
      <c r="F712" s="4" t="str">
        <f>IF(G712=$L712,1,IF(G712="","",0))</f>
        <v/>
      </c>
      <c r="G712" s="14"/>
      <c r="H712" s="6">
        <v>1625</v>
      </c>
      <c r="I712" s="15" t="s">
        <v>3120</v>
      </c>
      <c r="J712" s="6" t="s">
        <v>4737</v>
      </c>
      <c r="K712" s="6"/>
      <c r="L712" s="6" t="s">
        <v>1707</v>
      </c>
      <c r="M712" s="6" t="s">
        <v>7731</v>
      </c>
      <c r="N712" s="7">
        <f ca="1">RAND()</f>
        <v>0.63647226482408936</v>
      </c>
      <c r="O712" s="8">
        <v>45210</v>
      </c>
      <c r="P712" s="8">
        <v>45211</v>
      </c>
      <c r="Q712" s="8">
        <v>45213</v>
      </c>
      <c r="R712" s="8">
        <v>45217</v>
      </c>
      <c r="S712" s="8">
        <v>45224</v>
      </c>
      <c r="T712" s="8">
        <v>45236</v>
      </c>
      <c r="U712" s="8">
        <v>45815</v>
      </c>
      <c r="V712" s="10">
        <f>COUNTA(O712:U712)</f>
        <v>7</v>
      </c>
      <c r="W712" s="11">
        <f>_xlfn.IFNA(INDEX(reading[[#This Row],[Memo 01]:[Memo 07]],MATCH(0,reading[[#This Row],[Memo 01]:[Memo 07]],-1)),"")</f>
        <v>45815</v>
      </c>
      <c r="X712" s="11">
        <f ca="1">IFERROR(reading[[#This Row],[Previous]]+OFFSET(reading[[#Headers],[Memo 01]],-1,MATCH(0,reading[[#This Row],[Memo 01]:[Memo 07]],-1)-1),"")</f>
        <v>55815</v>
      </c>
      <c r="Y712" s="10" t="str">
        <f ca="1">IF(reading[[#This Row],[Next]]&lt;&gt;"",IF(reading[[#This Row],[Next]]&gt;TODAY(),"OK",""),"")</f>
        <v>OK</v>
      </c>
      <c r="Z712" s="13">
        <v>3</v>
      </c>
      <c r="AA712" s="13">
        <v>3</v>
      </c>
      <c r="AB712" s="13">
        <v>3</v>
      </c>
      <c r="AC712" s="13">
        <v>3</v>
      </c>
      <c r="AD712" s="13">
        <v>3</v>
      </c>
      <c r="AE712" s="13">
        <v>3</v>
      </c>
      <c r="AF712" s="13">
        <v>2</v>
      </c>
      <c r="AG712" s="16">
        <f>IFERROR(SUMIF(reading[[#This Row],[1st]:[7th]],"&gt;0")/COUNTIF(reading[[#This Row],[1st]:[7th]],"&gt;0"),"")</f>
        <v>2.8571428571428572</v>
      </c>
    </row>
    <row r="713" spans="1:33" hidden="1" x14ac:dyDescent="0.2">
      <c r="A713" s="4">
        <f>IF(B713=1,3,IF(D713=1,2,IF(F713=1,1,0)))</f>
        <v>0</v>
      </c>
      <c r="B713" s="4" t="str">
        <f>IF(C713=$L713,1,IF(C713="","",0))</f>
        <v/>
      </c>
      <c r="C713" s="42"/>
      <c r="D713" s="4" t="str">
        <f>IF(E713=$L713,1,IF(E713="","",0))</f>
        <v/>
      </c>
      <c r="E713" s="14"/>
      <c r="F713" s="4" t="str">
        <f>IF(G713=$L713,1,IF(G713="","",0))</f>
        <v/>
      </c>
      <c r="G713" s="14"/>
      <c r="H713" s="6">
        <v>3038</v>
      </c>
      <c r="I713" s="15" t="s">
        <v>3120</v>
      </c>
      <c r="J713" s="6" t="s">
        <v>6060</v>
      </c>
      <c r="K713" s="6"/>
      <c r="L713" s="6" t="s">
        <v>3064</v>
      </c>
      <c r="M713" s="6" t="s">
        <v>9141</v>
      </c>
      <c r="N713" s="7">
        <f ca="1">RAND()</f>
        <v>0.47903366122041446</v>
      </c>
      <c r="O713" s="8">
        <v>45224</v>
      </c>
      <c r="P713" s="8">
        <v>45225</v>
      </c>
      <c r="Q713" s="8">
        <v>45227</v>
      </c>
      <c r="R713" s="8">
        <v>45231</v>
      </c>
      <c r="S713" s="8">
        <v>45251</v>
      </c>
      <c r="T713" s="8">
        <v>45819</v>
      </c>
      <c r="U713" s="8"/>
      <c r="V713" s="10">
        <f>COUNTA(O713:U713)</f>
        <v>6</v>
      </c>
      <c r="W713" s="11">
        <f>_xlfn.IFNA(INDEX(reading[[#This Row],[Memo 01]:[Memo 07]],MATCH(0,reading[[#This Row],[Memo 01]:[Memo 07]],-1)),"")</f>
        <v>45819</v>
      </c>
      <c r="X713" s="11">
        <f ca="1">IFERROR(reading[[#This Row],[Previous]]+OFFSET(reading[[#Headers],[Memo 01]],-1,MATCH(0,reading[[#This Row],[Memo 01]:[Memo 07]],-1)-1),"")</f>
        <v>45839</v>
      </c>
      <c r="Y713" s="10" t="str">
        <f ca="1">IF(reading[[#This Row],[Next]]&lt;&gt;"",IF(reading[[#This Row],[Next]]&gt;TODAY(),"OK",""),"")</f>
        <v>OK</v>
      </c>
      <c r="Z713" s="13">
        <v>3</v>
      </c>
      <c r="AA713" s="13">
        <v>3</v>
      </c>
      <c r="AB713" s="13">
        <v>3</v>
      </c>
      <c r="AC713" s="13">
        <v>3</v>
      </c>
      <c r="AD713" s="13">
        <v>3</v>
      </c>
      <c r="AE713" s="13">
        <v>3</v>
      </c>
      <c r="AF713" s="13"/>
      <c r="AG713" s="16">
        <f>IFERROR(SUMIF(reading[[#This Row],[1st]:[7th]],"&gt;0")/COUNTIF(reading[[#This Row],[1st]:[7th]],"&gt;0"),"")</f>
        <v>3</v>
      </c>
    </row>
    <row r="714" spans="1:33" hidden="1" x14ac:dyDescent="0.2">
      <c r="A714" s="4">
        <f>IF(B714=1,3,IF(D714=1,2,IF(F714=1,1,0)))</f>
        <v>3</v>
      </c>
      <c r="B714" s="4">
        <f>IF(C714=$L714,1,IF(C714="","",0))</f>
        <v>1</v>
      </c>
      <c r="C714" s="21" t="s">
        <v>838</v>
      </c>
      <c r="D714" s="4" t="str">
        <f>IF(E714=$L714,1,IF(E714="","",0))</f>
        <v/>
      </c>
      <c r="E714" s="14"/>
      <c r="F714" s="4" t="str">
        <f>IF(G714=$L714,1,IF(G714="","",0))</f>
        <v/>
      </c>
      <c r="G714" s="14"/>
      <c r="H714" s="6">
        <v>717</v>
      </c>
      <c r="I714" s="15" t="s">
        <v>3120</v>
      </c>
      <c r="J714" s="6" t="s">
        <v>3855</v>
      </c>
      <c r="K714" s="6"/>
      <c r="L714" s="6" t="s">
        <v>838</v>
      </c>
      <c r="M714" s="6" t="s">
        <v>6826</v>
      </c>
      <c r="N714" s="7">
        <f ca="1">RAND()</f>
        <v>0.50868866353066389</v>
      </c>
      <c r="O714" s="8">
        <v>45203</v>
      </c>
      <c r="P714" s="8">
        <v>45203</v>
      </c>
      <c r="Q714" s="8">
        <v>45203</v>
      </c>
      <c r="R714" s="8">
        <v>45203</v>
      </c>
      <c r="S714" s="8">
        <v>45203</v>
      </c>
      <c r="T714" s="8">
        <v>45203</v>
      </c>
      <c r="U714" s="8">
        <v>45203</v>
      </c>
      <c r="V714" s="10">
        <f>COUNTA(O714:U714)</f>
        <v>7</v>
      </c>
      <c r="W714" s="11">
        <f>_xlfn.IFNA(INDEX(reading[[#This Row],[Memo 01]:[Memo 07]],MATCH(0,reading[[#This Row],[Memo 01]:[Memo 07]],-1)),"")</f>
        <v>45203</v>
      </c>
      <c r="X714" s="11">
        <f ca="1">IFERROR(reading[[#This Row],[Previous]]+OFFSET(reading[[#Headers],[Memo 01]],-1,MATCH(0,reading[[#This Row],[Memo 01]:[Memo 07]],-1)-1),"")</f>
        <v>55203</v>
      </c>
      <c r="Y714" s="10" t="str">
        <f ca="1">IF(reading[[#This Row],[Next]]&lt;&gt;"",IF(reading[[#This Row],[Next]]&gt;TODAY(),"OK",""),"")</f>
        <v>OK</v>
      </c>
      <c r="Z714" s="13">
        <v>3</v>
      </c>
      <c r="AA714" s="13"/>
      <c r="AB714" s="13"/>
      <c r="AC714" s="13"/>
      <c r="AD714" s="13"/>
      <c r="AE714" s="13"/>
      <c r="AF714" s="13"/>
      <c r="AG714" s="16">
        <f>IFERROR(SUMIF(reading[[#This Row],[1st]:[7th]],"&gt;0")/COUNTIF(reading[[#This Row],[1st]:[7th]],"&gt;0"),"")</f>
        <v>3</v>
      </c>
    </row>
    <row r="715" spans="1:33" hidden="1" x14ac:dyDescent="0.2">
      <c r="A715" s="4">
        <f>IF(B715=1,3,IF(D715=1,2,IF(F715=1,1,0)))</f>
        <v>0</v>
      </c>
      <c r="B715" s="4" t="str">
        <f>IF(C715=$L715,1,IF(C715="","",0))</f>
        <v/>
      </c>
      <c r="C715" s="43"/>
      <c r="D715" s="4" t="str">
        <f>IF(E715=$L715,1,IF(E715="","",0))</f>
        <v/>
      </c>
      <c r="E715" s="18"/>
      <c r="F715" s="4" t="str">
        <f>IF(G715=$L715,1,IF(G715="","",0))</f>
        <v/>
      </c>
      <c r="G715" s="14"/>
      <c r="H715" s="6">
        <v>231</v>
      </c>
      <c r="I715" s="15" t="s">
        <v>3120</v>
      </c>
      <c r="J715" s="6" t="s">
        <v>3380</v>
      </c>
      <c r="K715" s="6"/>
      <c r="L715" s="6" t="s">
        <v>366</v>
      </c>
      <c r="M715" s="6" t="s">
        <v>6340</v>
      </c>
      <c r="N715" s="7">
        <f ca="1">RAND()</f>
        <v>0.13170823755693162</v>
      </c>
      <c r="O715" s="8">
        <v>45199</v>
      </c>
      <c r="P715" s="8">
        <v>45200</v>
      </c>
      <c r="Q715" s="8">
        <v>45202</v>
      </c>
      <c r="R715" s="8">
        <v>45206</v>
      </c>
      <c r="S715" s="8">
        <v>45213</v>
      </c>
      <c r="T715" s="8">
        <v>45225</v>
      </c>
      <c r="U715" s="8">
        <v>45801</v>
      </c>
      <c r="V715" s="10">
        <f>COUNTA(O715:U715)</f>
        <v>7</v>
      </c>
      <c r="W715" s="11">
        <f>_xlfn.IFNA(INDEX(reading[[#This Row],[Memo 01]:[Memo 07]],MATCH(0,reading[[#This Row],[Memo 01]:[Memo 07]],-1)),"")</f>
        <v>45801</v>
      </c>
      <c r="X715" s="11">
        <f ca="1">IFERROR(reading[[#This Row],[Previous]]+OFFSET(reading[[#Headers],[Memo 01]],-1,MATCH(0,reading[[#This Row],[Memo 01]:[Memo 07]],-1)-1),"")</f>
        <v>55801</v>
      </c>
      <c r="Y715" s="10" t="str">
        <f ca="1">IF(reading[[#This Row],[Next]]&lt;&gt;"",IF(reading[[#This Row],[Next]]&gt;TODAY(),"OK",""),"")</f>
        <v>OK</v>
      </c>
      <c r="Z715" s="13">
        <v>3</v>
      </c>
      <c r="AA715" s="13">
        <v>3</v>
      </c>
      <c r="AB715" s="13">
        <v>3</v>
      </c>
      <c r="AC715" s="13">
        <v>3</v>
      </c>
      <c r="AD715" s="13">
        <v>2</v>
      </c>
      <c r="AE715" s="13">
        <v>3</v>
      </c>
      <c r="AF715" s="13">
        <v>3</v>
      </c>
      <c r="AG715" s="16">
        <f>IFERROR(SUMIF(reading[[#This Row],[1st]:[7th]],"&gt;0")/COUNTIF(reading[[#This Row],[1st]:[7th]],"&gt;0"),"")</f>
        <v>2.8571428571428572</v>
      </c>
    </row>
    <row r="716" spans="1:33" hidden="1" x14ac:dyDescent="0.2">
      <c r="A716" s="4">
        <f>IF(B716=1,3,IF(D716=1,2,IF(F716=1,1,0)))</f>
        <v>0</v>
      </c>
      <c r="B716" s="4" t="str">
        <f>IF(C716=$L716,1,IF(C716="","",0))</f>
        <v/>
      </c>
      <c r="C716" s="42"/>
      <c r="D716" s="4" t="str">
        <f>IF(E716=$L716,1,IF(E716="","",0))</f>
        <v/>
      </c>
      <c r="E716" s="14"/>
      <c r="F716" s="4" t="str">
        <f>IF(G716=$L716,1,IF(G716="","",0))</f>
        <v/>
      </c>
      <c r="G716" s="14"/>
      <c r="H716" s="6">
        <v>509</v>
      </c>
      <c r="I716" s="15" t="s">
        <v>3120</v>
      </c>
      <c r="J716" s="6" t="s">
        <v>3654</v>
      </c>
      <c r="K716" s="6"/>
      <c r="L716" s="6" t="s">
        <v>637</v>
      </c>
      <c r="M716" s="6" t="s">
        <v>6618</v>
      </c>
      <c r="N716" s="7">
        <f ca="1">RAND()</f>
        <v>0.42108552564382706</v>
      </c>
      <c r="O716" s="8">
        <v>45202</v>
      </c>
      <c r="P716" s="8">
        <v>45203</v>
      </c>
      <c r="Q716" s="8">
        <v>45205</v>
      </c>
      <c r="R716" s="8">
        <v>45209</v>
      </c>
      <c r="S716" s="8">
        <v>45216</v>
      </c>
      <c r="T716" s="8">
        <v>45228</v>
      </c>
      <c r="U716" s="8">
        <v>45819</v>
      </c>
      <c r="V716" s="10">
        <f>COUNTA(O716:U716)</f>
        <v>7</v>
      </c>
      <c r="W716" s="11">
        <f>_xlfn.IFNA(INDEX(reading[[#This Row],[Memo 01]:[Memo 07]],MATCH(0,reading[[#This Row],[Memo 01]:[Memo 07]],-1)),"")</f>
        <v>45819</v>
      </c>
      <c r="X716" s="11">
        <f ca="1">IFERROR(reading[[#This Row],[Previous]]+OFFSET(reading[[#Headers],[Memo 01]],-1,MATCH(0,reading[[#This Row],[Memo 01]:[Memo 07]],-1)-1),"")</f>
        <v>55819</v>
      </c>
      <c r="Y716" s="10" t="str">
        <f ca="1">IF(reading[[#This Row],[Next]]&lt;&gt;"",IF(reading[[#This Row],[Next]]&gt;TODAY(),"OK",""),"")</f>
        <v>OK</v>
      </c>
      <c r="Z716" s="13">
        <v>3</v>
      </c>
      <c r="AA716" s="13">
        <v>3</v>
      </c>
      <c r="AB716" s="13">
        <v>3</v>
      </c>
      <c r="AC716" s="13">
        <v>3</v>
      </c>
      <c r="AD716" s="13">
        <v>3</v>
      </c>
      <c r="AE716" s="13">
        <v>3</v>
      </c>
      <c r="AF716" s="13">
        <v>3</v>
      </c>
      <c r="AG716" s="16">
        <f>IFERROR(SUMIF(reading[[#This Row],[1st]:[7th]],"&gt;0")/COUNTIF(reading[[#This Row],[1st]:[7th]],"&gt;0"),"")</f>
        <v>3</v>
      </c>
    </row>
    <row r="717" spans="1:33" hidden="1" x14ac:dyDescent="0.2">
      <c r="A717" s="4">
        <f>IF(B717=1,3,IF(D717=1,2,IF(F717=1,1,0)))</f>
        <v>0</v>
      </c>
      <c r="B717" s="4" t="str">
        <f>IF(C717=$L717,1,IF(C717="","",0))</f>
        <v/>
      </c>
      <c r="C717" s="42"/>
      <c r="D717" s="4" t="str">
        <f>IF(E717=$L717,1,IF(E717="","",0))</f>
        <v/>
      </c>
      <c r="E717" s="14"/>
      <c r="F717" s="4" t="str">
        <f>IF(G717=$L717,1,IF(G717="","",0))</f>
        <v/>
      </c>
      <c r="G717" s="14"/>
      <c r="H717" s="6">
        <v>1264</v>
      </c>
      <c r="I717" s="15" t="s">
        <v>3120</v>
      </c>
      <c r="J717" s="6" t="s">
        <v>4381</v>
      </c>
      <c r="K717" s="6"/>
      <c r="L717" s="6" t="s">
        <v>1362</v>
      </c>
      <c r="M717" s="6" t="s">
        <v>7371</v>
      </c>
      <c r="N717" s="7">
        <f ca="1">RAND()</f>
        <v>0.56345983776668285</v>
      </c>
      <c r="O717" s="8">
        <v>45207</v>
      </c>
      <c r="P717" s="8">
        <v>45208</v>
      </c>
      <c r="Q717" s="8">
        <v>45210</v>
      </c>
      <c r="R717" s="8">
        <v>45214</v>
      </c>
      <c r="S717" s="8">
        <v>45221</v>
      </c>
      <c r="T717" s="8">
        <v>45233</v>
      </c>
      <c r="U717" s="8">
        <v>45792</v>
      </c>
      <c r="V717" s="10">
        <f>COUNTA(O717:U717)</f>
        <v>7</v>
      </c>
      <c r="W717" s="11">
        <f>_xlfn.IFNA(INDEX(reading[[#This Row],[Memo 01]:[Memo 07]],MATCH(0,reading[[#This Row],[Memo 01]:[Memo 07]],-1)),"")</f>
        <v>45792</v>
      </c>
      <c r="X717" s="11">
        <f ca="1">IFERROR(reading[[#This Row],[Previous]]+OFFSET(reading[[#Headers],[Memo 01]],-1,MATCH(0,reading[[#This Row],[Memo 01]:[Memo 07]],-1)-1),"")</f>
        <v>55792</v>
      </c>
      <c r="Y717" s="10" t="str">
        <f ca="1">IF(reading[[#This Row],[Next]]&lt;&gt;"",IF(reading[[#This Row],[Next]]&gt;TODAY(),"OK",""),"")</f>
        <v>OK</v>
      </c>
      <c r="Z717" s="13">
        <v>3</v>
      </c>
      <c r="AA717" s="13">
        <v>3</v>
      </c>
      <c r="AB717" s="13">
        <v>3</v>
      </c>
      <c r="AC717" s="13">
        <v>3</v>
      </c>
      <c r="AD717" s="13">
        <v>3</v>
      </c>
      <c r="AE717" s="13">
        <v>3</v>
      </c>
      <c r="AF717" s="13">
        <v>3</v>
      </c>
      <c r="AG717" s="16">
        <f>IFERROR(SUMIF(reading[[#This Row],[1st]:[7th]],"&gt;0")/COUNTIF(reading[[#This Row],[1st]:[7th]],"&gt;0"),"")</f>
        <v>3</v>
      </c>
    </row>
    <row r="718" spans="1:33" hidden="1" x14ac:dyDescent="0.2">
      <c r="A718" s="4">
        <f>IF(B718=1,3,IF(D718=1,2,IF(F718=1,1,0)))</f>
        <v>0</v>
      </c>
      <c r="B718" s="4" t="str">
        <f>IF(C718=$L718,1,IF(C718="","",0))</f>
        <v/>
      </c>
      <c r="C718" s="42"/>
      <c r="D718" s="4" t="str">
        <f>IF(E718=$L718,1,IF(E718="","",0))</f>
        <v/>
      </c>
      <c r="E718" s="14"/>
      <c r="F718" s="4" t="str">
        <f>IF(G718=$L718,1,IF(G718="","",0))</f>
        <v/>
      </c>
      <c r="G718" s="14"/>
      <c r="H718" s="6">
        <v>656</v>
      </c>
      <c r="I718" s="15" t="s">
        <v>3120</v>
      </c>
      <c r="J718" s="6" t="s">
        <v>3796</v>
      </c>
      <c r="K718" s="6"/>
      <c r="L718" s="6" t="s">
        <v>779</v>
      </c>
      <c r="M718" s="6" t="s">
        <v>6765</v>
      </c>
      <c r="N718" s="7">
        <f ca="1">RAND()</f>
        <v>6.6319886204520118E-2</v>
      </c>
      <c r="O718" s="8">
        <v>45202</v>
      </c>
      <c r="P718" s="8">
        <v>45203</v>
      </c>
      <c r="Q718" s="8">
        <v>45205</v>
      </c>
      <c r="R718" s="8">
        <v>45209</v>
      </c>
      <c r="S718" s="8">
        <v>45216</v>
      </c>
      <c r="T718" s="8">
        <v>45228</v>
      </c>
      <c r="U718" s="8">
        <v>45801</v>
      </c>
      <c r="V718" s="10">
        <f>COUNTA(O718:U718)</f>
        <v>7</v>
      </c>
      <c r="W718" s="11">
        <f>_xlfn.IFNA(INDEX(reading[[#This Row],[Memo 01]:[Memo 07]],MATCH(0,reading[[#This Row],[Memo 01]:[Memo 07]],-1)),"")</f>
        <v>45801</v>
      </c>
      <c r="X718" s="11">
        <f ca="1">IFERROR(reading[[#This Row],[Previous]]+OFFSET(reading[[#Headers],[Memo 01]],-1,MATCH(0,reading[[#This Row],[Memo 01]:[Memo 07]],-1)-1),"")</f>
        <v>55801</v>
      </c>
      <c r="Y718" s="10" t="str">
        <f ca="1">IF(reading[[#This Row],[Next]]&lt;&gt;"",IF(reading[[#This Row],[Next]]&gt;TODAY(),"OK",""),"")</f>
        <v>OK</v>
      </c>
      <c r="Z718" s="13">
        <v>3</v>
      </c>
      <c r="AA718" s="13">
        <v>3</v>
      </c>
      <c r="AB718" s="13">
        <v>3</v>
      </c>
      <c r="AC718" s="13">
        <v>3</v>
      </c>
      <c r="AD718" s="13">
        <v>3</v>
      </c>
      <c r="AE718" s="13">
        <v>3</v>
      </c>
      <c r="AF718" s="13">
        <v>3</v>
      </c>
      <c r="AG718" s="16">
        <f>IFERROR(SUMIF(reading[[#This Row],[1st]:[7th]],"&gt;0")/COUNTIF(reading[[#This Row],[1st]:[7th]],"&gt;0"),"")</f>
        <v>3</v>
      </c>
    </row>
    <row r="719" spans="1:33" hidden="1" x14ac:dyDescent="0.2">
      <c r="A719" s="4">
        <f>IF(B719=1,3,IF(D719=1,2,IF(F719=1,1,0)))</f>
        <v>3</v>
      </c>
      <c r="B719" s="4">
        <f>IF(C719=$L719,1,IF(C719="","",0))</f>
        <v>1</v>
      </c>
      <c r="C719" s="21" t="s">
        <v>843</v>
      </c>
      <c r="D719" s="4" t="str">
        <f>IF(E719=$L719,1,IF(E719="","",0))</f>
        <v/>
      </c>
      <c r="E719" s="14"/>
      <c r="F719" s="4" t="str">
        <f>IF(G719=$L719,1,IF(G719="","",0))</f>
        <v/>
      </c>
      <c r="G719" s="14"/>
      <c r="H719" s="6">
        <v>722</v>
      </c>
      <c r="I719" s="15" t="s">
        <v>3120</v>
      </c>
      <c r="J719" s="6" t="s">
        <v>3860</v>
      </c>
      <c r="K719" s="6"/>
      <c r="L719" s="6" t="s">
        <v>843</v>
      </c>
      <c r="M719" s="6" t="s">
        <v>6831</v>
      </c>
      <c r="N719" s="7">
        <f ca="1">RAND()</f>
        <v>0.70260143275574705</v>
      </c>
      <c r="O719" s="8">
        <v>45203</v>
      </c>
      <c r="P719" s="8">
        <v>45203</v>
      </c>
      <c r="Q719" s="8">
        <v>45203</v>
      </c>
      <c r="R719" s="8">
        <v>45203</v>
      </c>
      <c r="S719" s="8">
        <v>45203</v>
      </c>
      <c r="T719" s="8">
        <v>45203</v>
      </c>
      <c r="U719" s="8">
        <v>45203</v>
      </c>
      <c r="V719" s="10">
        <f>COUNTA(O719:U719)</f>
        <v>7</v>
      </c>
      <c r="W719" s="11">
        <f>_xlfn.IFNA(INDEX(reading[[#This Row],[Memo 01]:[Memo 07]],MATCH(0,reading[[#This Row],[Memo 01]:[Memo 07]],-1)),"")</f>
        <v>45203</v>
      </c>
      <c r="X719" s="11">
        <f ca="1">IFERROR(reading[[#This Row],[Previous]]+OFFSET(reading[[#Headers],[Memo 01]],-1,MATCH(0,reading[[#This Row],[Memo 01]:[Memo 07]],-1)-1),"")</f>
        <v>55203</v>
      </c>
      <c r="Y719" s="10" t="str">
        <f ca="1">IF(reading[[#This Row],[Next]]&lt;&gt;"",IF(reading[[#This Row],[Next]]&gt;TODAY(),"OK",""),"")</f>
        <v>OK</v>
      </c>
      <c r="Z719" s="13">
        <v>3</v>
      </c>
      <c r="AA719" s="13"/>
      <c r="AB719" s="13"/>
      <c r="AC719" s="13"/>
      <c r="AD719" s="13"/>
      <c r="AE719" s="13"/>
      <c r="AF719" s="13"/>
      <c r="AG719" s="16">
        <f>IFERROR(SUMIF(reading[[#This Row],[1st]:[7th]],"&gt;0")/COUNTIF(reading[[#This Row],[1st]:[7th]],"&gt;0"),"")</f>
        <v>3</v>
      </c>
    </row>
    <row r="720" spans="1:33" hidden="1" x14ac:dyDescent="0.2">
      <c r="A720" s="4">
        <f>IF(B720=1,3,IF(D720=1,2,IF(F720=1,1,0)))</f>
        <v>3</v>
      </c>
      <c r="B720" s="4">
        <f>IF(C720=$L720,1,IF(C720="","",0))</f>
        <v>1</v>
      </c>
      <c r="C720" s="21" t="s">
        <v>844</v>
      </c>
      <c r="D720" s="4" t="str">
        <f>IF(E720=$L720,1,IF(E720="","",0))</f>
        <v/>
      </c>
      <c r="E720" s="14"/>
      <c r="F720" s="4" t="str">
        <f>IF(G720=$L720,1,IF(G720="","",0))</f>
        <v/>
      </c>
      <c r="G720" s="14"/>
      <c r="H720" s="6">
        <v>723</v>
      </c>
      <c r="I720" s="15" t="s">
        <v>3120</v>
      </c>
      <c r="J720" s="6" t="s">
        <v>3861</v>
      </c>
      <c r="K720" s="6"/>
      <c r="L720" s="6" t="s">
        <v>844</v>
      </c>
      <c r="M720" s="6" t="s">
        <v>6832</v>
      </c>
      <c r="N720" s="7">
        <f ca="1">RAND()</f>
        <v>0.39902875298203877</v>
      </c>
      <c r="O720" s="8">
        <v>45203</v>
      </c>
      <c r="P720" s="8">
        <v>45203</v>
      </c>
      <c r="Q720" s="8">
        <v>45203</v>
      </c>
      <c r="R720" s="8">
        <v>45203</v>
      </c>
      <c r="S720" s="8">
        <v>45203</v>
      </c>
      <c r="T720" s="8">
        <v>45203</v>
      </c>
      <c r="U720" s="8">
        <v>45203</v>
      </c>
      <c r="V720" s="10">
        <f>COUNTA(O720:U720)</f>
        <v>7</v>
      </c>
      <c r="W720" s="11">
        <f>_xlfn.IFNA(INDEX(reading[[#This Row],[Memo 01]:[Memo 07]],MATCH(0,reading[[#This Row],[Memo 01]:[Memo 07]],-1)),"")</f>
        <v>45203</v>
      </c>
      <c r="X720" s="11">
        <f ca="1">IFERROR(reading[[#This Row],[Previous]]+OFFSET(reading[[#Headers],[Memo 01]],-1,MATCH(0,reading[[#This Row],[Memo 01]:[Memo 07]],-1)-1),"")</f>
        <v>55203</v>
      </c>
      <c r="Y720" s="10" t="str">
        <f ca="1">IF(reading[[#This Row],[Next]]&lt;&gt;"",IF(reading[[#This Row],[Next]]&gt;TODAY(),"OK",""),"")</f>
        <v>OK</v>
      </c>
      <c r="Z720" s="13">
        <v>3</v>
      </c>
      <c r="AA720" s="13"/>
      <c r="AB720" s="13"/>
      <c r="AC720" s="13"/>
      <c r="AD720" s="13"/>
      <c r="AE720" s="13"/>
      <c r="AF720" s="13"/>
      <c r="AG720" s="16">
        <f>IFERROR(SUMIF(reading[[#This Row],[1st]:[7th]],"&gt;0")/COUNTIF(reading[[#This Row],[1st]:[7th]],"&gt;0"),"")</f>
        <v>3</v>
      </c>
    </row>
    <row r="721" spans="1:33" hidden="1" x14ac:dyDescent="0.2">
      <c r="A721" s="4">
        <f>IF(B721=1,3,IF(D721=1,2,IF(F721=1,1,0)))</f>
        <v>0</v>
      </c>
      <c r="B721" s="4" t="str">
        <f>IF(C721=$L721,1,IF(C721="","",0))</f>
        <v/>
      </c>
      <c r="C721" s="42"/>
      <c r="D721" s="4" t="str">
        <f>IF(E721=$L721,1,IF(E721="","",0))</f>
        <v/>
      </c>
      <c r="E721" s="14"/>
      <c r="F721" s="4" t="str">
        <f>IF(G721=$L721,1,IF(G721="","",0))</f>
        <v/>
      </c>
      <c r="G721" s="14"/>
      <c r="H721" s="6">
        <v>913</v>
      </c>
      <c r="I721" s="15" t="s">
        <v>3120</v>
      </c>
      <c r="J721" s="6" t="s">
        <v>4045</v>
      </c>
      <c r="K721" s="6"/>
      <c r="L721" s="6" t="s">
        <v>1025</v>
      </c>
      <c r="M721" s="6" t="s">
        <v>7022</v>
      </c>
      <c r="N721" s="7">
        <f ca="1">RAND()</f>
        <v>0.87949353093014704</v>
      </c>
      <c r="O721" s="8">
        <v>45204</v>
      </c>
      <c r="P721" s="8">
        <v>45205</v>
      </c>
      <c r="Q721" s="8">
        <v>45207</v>
      </c>
      <c r="R721" s="8">
        <v>45211</v>
      </c>
      <c r="S721" s="8">
        <v>45218</v>
      </c>
      <c r="T721" s="8">
        <v>45230</v>
      </c>
      <c r="U721" s="8">
        <v>45819</v>
      </c>
      <c r="V721" s="10">
        <f>COUNTA(O721:U721)</f>
        <v>7</v>
      </c>
      <c r="W721" s="11">
        <f>_xlfn.IFNA(INDEX(reading[[#This Row],[Memo 01]:[Memo 07]],MATCH(0,reading[[#This Row],[Memo 01]:[Memo 07]],-1)),"")</f>
        <v>45819</v>
      </c>
      <c r="X721" s="11">
        <f ca="1">IFERROR(reading[[#This Row],[Previous]]+OFFSET(reading[[#Headers],[Memo 01]],-1,MATCH(0,reading[[#This Row],[Memo 01]:[Memo 07]],-1)-1),"")</f>
        <v>55819</v>
      </c>
      <c r="Y721" s="10" t="str">
        <f ca="1">IF(reading[[#This Row],[Next]]&lt;&gt;"",IF(reading[[#This Row],[Next]]&gt;TODAY(),"OK",""),"")</f>
        <v>OK</v>
      </c>
      <c r="Z721" s="13">
        <v>3</v>
      </c>
      <c r="AA721" s="13">
        <v>2</v>
      </c>
      <c r="AB721" s="13">
        <v>3</v>
      </c>
      <c r="AC721" s="13">
        <v>3</v>
      </c>
      <c r="AD721" s="13">
        <v>3</v>
      </c>
      <c r="AE721" s="13">
        <v>3</v>
      </c>
      <c r="AF721" s="13">
        <v>3</v>
      </c>
      <c r="AG721" s="16">
        <f>IFERROR(SUMIF(reading[[#This Row],[1st]:[7th]],"&gt;0")/COUNTIF(reading[[#This Row],[1st]:[7th]],"&gt;0"),"")</f>
        <v>2.8571428571428572</v>
      </c>
    </row>
    <row r="722" spans="1:33" hidden="1" x14ac:dyDescent="0.2">
      <c r="A722" s="4">
        <f>IF(B722=1,3,IF(D722=1,2,IF(F722=1,1,0)))</f>
        <v>0</v>
      </c>
      <c r="B722" s="4" t="str">
        <f>IF(C722=$L722,1,IF(C722="","",0))</f>
        <v/>
      </c>
      <c r="C722" s="42"/>
      <c r="D722" s="4" t="str">
        <f>IF(E722=$L722,1,IF(E722="","",0))</f>
        <v/>
      </c>
      <c r="E722" s="14"/>
      <c r="F722" s="4" t="str">
        <f>IF(G722=$L722,1,IF(G722="","",0))</f>
        <v/>
      </c>
      <c r="G722" s="14"/>
      <c r="H722" s="6">
        <v>893</v>
      </c>
      <c r="I722" s="15" t="s">
        <v>3120</v>
      </c>
      <c r="J722" s="6" t="s">
        <v>4025</v>
      </c>
      <c r="K722" s="6"/>
      <c r="L722" s="6" t="s">
        <v>1006</v>
      </c>
      <c r="M722" s="6" t="s">
        <v>7002</v>
      </c>
      <c r="N722" s="7">
        <f ca="1">RAND()</f>
        <v>0.67748257403276479</v>
      </c>
      <c r="O722" s="8">
        <v>45204</v>
      </c>
      <c r="P722" s="8">
        <v>45205</v>
      </c>
      <c r="Q722" s="8">
        <v>45207</v>
      </c>
      <c r="R722" s="8">
        <v>45211</v>
      </c>
      <c r="S722" s="8">
        <v>45218</v>
      </c>
      <c r="T722" s="8">
        <v>45230</v>
      </c>
      <c r="U722" s="8">
        <v>45792</v>
      </c>
      <c r="V722" s="10">
        <f>COUNTA(O722:U722)</f>
        <v>7</v>
      </c>
      <c r="W722" s="11">
        <f>_xlfn.IFNA(INDEX(reading[[#This Row],[Memo 01]:[Memo 07]],MATCH(0,reading[[#This Row],[Memo 01]:[Memo 07]],-1)),"")</f>
        <v>45792</v>
      </c>
      <c r="X722" s="11">
        <f ca="1">IFERROR(reading[[#This Row],[Previous]]+OFFSET(reading[[#Headers],[Memo 01]],-1,MATCH(0,reading[[#This Row],[Memo 01]:[Memo 07]],-1)-1),"")</f>
        <v>55792</v>
      </c>
      <c r="Y722" s="10" t="str">
        <f ca="1">IF(reading[[#This Row],[Next]]&lt;&gt;"",IF(reading[[#This Row],[Next]]&gt;TODAY(),"OK",""),"")</f>
        <v>OK</v>
      </c>
      <c r="Z722" s="13">
        <v>3</v>
      </c>
      <c r="AA722" s="13">
        <v>3</v>
      </c>
      <c r="AB722" s="13">
        <v>3</v>
      </c>
      <c r="AC722" s="13">
        <v>3</v>
      </c>
      <c r="AD722" s="13">
        <v>3</v>
      </c>
      <c r="AE722" s="13">
        <v>3</v>
      </c>
      <c r="AF722" s="13">
        <v>3</v>
      </c>
      <c r="AG722" s="16">
        <f>IFERROR(SUMIF(reading[[#This Row],[1st]:[7th]],"&gt;0")/COUNTIF(reading[[#This Row],[1st]:[7th]],"&gt;0"),"")</f>
        <v>3</v>
      </c>
    </row>
    <row r="723" spans="1:33" hidden="1" x14ac:dyDescent="0.2">
      <c r="A723" s="4">
        <f>IF(B723=1,3,IF(D723=1,2,IF(F723=1,1,0)))</f>
        <v>3</v>
      </c>
      <c r="B723" s="4">
        <f>IF(C723=$L723,1,IF(C723="","",0))</f>
        <v>1</v>
      </c>
      <c r="C723" s="21" t="s">
        <v>847</v>
      </c>
      <c r="D723" s="4" t="str">
        <f>IF(E723=$L723,1,IF(E723="","",0))</f>
        <v/>
      </c>
      <c r="E723" s="14"/>
      <c r="F723" s="4" t="str">
        <f>IF(G723=$L723,1,IF(G723="","",0))</f>
        <v/>
      </c>
      <c r="G723" s="14"/>
      <c r="H723" s="6">
        <v>726</v>
      </c>
      <c r="I723" s="15" t="s">
        <v>3120</v>
      </c>
      <c r="J723" s="6" t="s">
        <v>3864</v>
      </c>
      <c r="K723" s="6"/>
      <c r="L723" s="6" t="s">
        <v>847</v>
      </c>
      <c r="M723" s="6" t="s">
        <v>6835</v>
      </c>
      <c r="N723" s="7">
        <f ca="1">RAND()</f>
        <v>0.82789590300946381</v>
      </c>
      <c r="O723" s="8">
        <v>45203</v>
      </c>
      <c r="P723" s="8">
        <v>45203</v>
      </c>
      <c r="Q723" s="8">
        <v>45203</v>
      </c>
      <c r="R723" s="8">
        <v>45203</v>
      </c>
      <c r="S723" s="8">
        <v>45203</v>
      </c>
      <c r="T723" s="8">
        <v>45203</v>
      </c>
      <c r="U723" s="8">
        <v>45203</v>
      </c>
      <c r="V723" s="10">
        <f>COUNTA(O723:U723)</f>
        <v>7</v>
      </c>
      <c r="W723" s="11">
        <f>_xlfn.IFNA(INDEX(reading[[#This Row],[Memo 01]:[Memo 07]],MATCH(0,reading[[#This Row],[Memo 01]:[Memo 07]],-1)),"")</f>
        <v>45203</v>
      </c>
      <c r="X723" s="11">
        <f ca="1">IFERROR(reading[[#This Row],[Previous]]+OFFSET(reading[[#Headers],[Memo 01]],-1,MATCH(0,reading[[#This Row],[Memo 01]:[Memo 07]],-1)-1),"")</f>
        <v>55203</v>
      </c>
      <c r="Y723" s="10" t="str">
        <f ca="1">IF(reading[[#This Row],[Next]]&lt;&gt;"",IF(reading[[#This Row],[Next]]&gt;TODAY(),"OK",""),"")</f>
        <v>OK</v>
      </c>
      <c r="Z723" s="13">
        <v>3</v>
      </c>
      <c r="AA723" s="13"/>
      <c r="AB723" s="13"/>
      <c r="AC723" s="13"/>
      <c r="AD723" s="13"/>
      <c r="AE723" s="13"/>
      <c r="AF723" s="13"/>
      <c r="AG723" s="16">
        <f>IFERROR(SUMIF(reading[[#This Row],[1st]:[7th]],"&gt;0")/COUNTIF(reading[[#This Row],[1st]:[7th]],"&gt;0"),"")</f>
        <v>3</v>
      </c>
    </row>
    <row r="724" spans="1:33" hidden="1" x14ac:dyDescent="0.2">
      <c r="A724" s="4">
        <f>IF(B724=1,3,IF(D724=1,2,IF(F724=1,1,0)))</f>
        <v>0</v>
      </c>
      <c r="B724" s="4" t="str">
        <f>IF(C724=$L724,1,IF(C724="","",0))</f>
        <v/>
      </c>
      <c r="C724" s="42"/>
      <c r="D724" s="4" t="str">
        <f>IF(E724=$L724,1,IF(E724="","",0))</f>
        <v/>
      </c>
      <c r="E724" s="14"/>
      <c r="F724" s="4" t="str">
        <f>IF(G724=$L724,1,IF(G724="","",0))</f>
        <v/>
      </c>
      <c r="G724" s="14"/>
      <c r="H724" s="6">
        <v>2967</v>
      </c>
      <c r="I724" s="15" t="s">
        <v>3120</v>
      </c>
      <c r="J724" s="6" t="s">
        <v>5997</v>
      </c>
      <c r="K724" s="6"/>
      <c r="L724" s="6" t="s">
        <v>36</v>
      </c>
      <c r="M724" s="6" t="s">
        <v>9071</v>
      </c>
      <c r="N724" s="7">
        <f ca="1">RAND()</f>
        <v>0.88533054835262059</v>
      </c>
      <c r="O724" s="8">
        <v>45223</v>
      </c>
      <c r="P724" s="8">
        <v>45224</v>
      </c>
      <c r="Q724" s="8">
        <v>45226</v>
      </c>
      <c r="R724" s="8">
        <v>45230</v>
      </c>
      <c r="S724" s="8">
        <v>45237</v>
      </c>
      <c r="T724" s="8">
        <v>45783</v>
      </c>
      <c r="U724" s="8">
        <v>45823</v>
      </c>
      <c r="V724" s="10">
        <f>COUNTA(O724:U724)</f>
        <v>7</v>
      </c>
      <c r="W724" s="11">
        <f>_xlfn.IFNA(INDEX(reading[[#This Row],[Memo 01]:[Memo 07]],MATCH(0,reading[[#This Row],[Memo 01]:[Memo 07]],-1)),"")</f>
        <v>45823</v>
      </c>
      <c r="X724" s="11">
        <f ca="1">IFERROR(reading[[#This Row],[Previous]]+OFFSET(reading[[#Headers],[Memo 01]],-1,MATCH(0,reading[[#This Row],[Memo 01]:[Memo 07]],-1)-1),"")</f>
        <v>55823</v>
      </c>
      <c r="Y724" s="10" t="str">
        <f ca="1">IF(reading[[#This Row],[Next]]&lt;&gt;"",IF(reading[[#This Row],[Next]]&gt;TODAY(),"OK",""),"")</f>
        <v>OK</v>
      </c>
      <c r="Z724" s="13">
        <v>3</v>
      </c>
      <c r="AA724" s="13">
        <v>3</v>
      </c>
      <c r="AB724" s="13">
        <v>3</v>
      </c>
      <c r="AC724" s="13">
        <v>3</v>
      </c>
      <c r="AD724" s="13">
        <v>3</v>
      </c>
      <c r="AE724" s="13">
        <v>3</v>
      </c>
      <c r="AF724" s="13">
        <v>3</v>
      </c>
      <c r="AG724" s="16">
        <f>IFERROR(SUMIF(reading[[#This Row],[1st]:[7th]],"&gt;0")/COUNTIF(reading[[#This Row],[1st]:[7th]],"&gt;0"),"")</f>
        <v>3</v>
      </c>
    </row>
    <row r="725" spans="1:33" hidden="1" x14ac:dyDescent="0.2">
      <c r="A725" s="4">
        <f>IF(B725=1,3,IF(D725=1,2,IF(F725=1,1,0)))</f>
        <v>0</v>
      </c>
      <c r="B725" s="4" t="str">
        <f>IF(C725=$L725,1,IF(C725="","",0))</f>
        <v/>
      </c>
      <c r="C725" s="42"/>
      <c r="D725" s="4" t="str">
        <f>IF(E725=$L725,1,IF(E725="","",0))</f>
        <v/>
      </c>
      <c r="E725" s="23"/>
      <c r="F725" s="4" t="str">
        <f>IF(G725=$L725,1,IF(G725="","",0))</f>
        <v/>
      </c>
      <c r="G725" s="14"/>
      <c r="H725" s="6">
        <v>2308</v>
      </c>
      <c r="I725" s="15" t="s">
        <v>3120</v>
      </c>
      <c r="J725" s="6" t="s">
        <v>5386</v>
      </c>
      <c r="K725" s="6"/>
      <c r="L725" s="6" t="s">
        <v>2365</v>
      </c>
      <c r="M725" s="6" t="s">
        <v>8413</v>
      </c>
      <c r="N725" s="7">
        <f ca="1">RAND()</f>
        <v>0.97329990229975327</v>
      </c>
      <c r="O725" s="8">
        <v>45216</v>
      </c>
      <c r="P725" s="8">
        <v>45217</v>
      </c>
      <c r="Q725" s="8">
        <v>45219</v>
      </c>
      <c r="R725" s="8">
        <v>45223</v>
      </c>
      <c r="S725" s="8">
        <v>45230</v>
      </c>
      <c r="T725" s="8">
        <v>45815</v>
      </c>
      <c r="U725" s="8"/>
      <c r="V725" s="10">
        <f>COUNTA(O725:U725)</f>
        <v>6</v>
      </c>
      <c r="W725" s="11">
        <f>_xlfn.IFNA(INDEX(reading[[#This Row],[Memo 01]:[Memo 07]],MATCH(0,reading[[#This Row],[Memo 01]:[Memo 07]],-1)),"")</f>
        <v>45815</v>
      </c>
      <c r="X725" s="11">
        <f ca="1">IFERROR(reading[[#This Row],[Previous]]+OFFSET(reading[[#Headers],[Memo 01]],-1,MATCH(0,reading[[#This Row],[Memo 01]:[Memo 07]],-1)-1),"")</f>
        <v>45835</v>
      </c>
      <c r="Y725" s="10" t="str">
        <f ca="1">IF(reading[[#This Row],[Next]]&lt;&gt;"",IF(reading[[#This Row],[Next]]&gt;TODAY(),"OK",""),"")</f>
        <v>OK</v>
      </c>
      <c r="Z725" s="13">
        <v>3</v>
      </c>
      <c r="AA725" s="13">
        <v>3</v>
      </c>
      <c r="AB725" s="13">
        <v>3</v>
      </c>
      <c r="AC725" s="13">
        <v>3</v>
      </c>
      <c r="AD725" s="13">
        <v>3</v>
      </c>
      <c r="AE725" s="13">
        <v>2</v>
      </c>
      <c r="AF725" s="13"/>
      <c r="AG725" s="16">
        <f>IFERROR(SUMIF(reading[[#This Row],[1st]:[7th]],"&gt;0")/COUNTIF(reading[[#This Row],[1st]:[7th]],"&gt;0"),"")</f>
        <v>2.8333333333333335</v>
      </c>
    </row>
    <row r="726" spans="1:33" hidden="1" x14ac:dyDescent="0.2">
      <c r="A726" s="4">
        <f>IF(B726=1,3,IF(D726=1,2,IF(F726=1,1,0)))</f>
        <v>3</v>
      </c>
      <c r="B726" s="4">
        <f>IF(C726=$L726,1,IF(C726="","",0))</f>
        <v>1</v>
      </c>
      <c r="C726" s="21" t="s">
        <v>850</v>
      </c>
      <c r="D726" s="4" t="str">
        <f>IF(E726=$L726,1,IF(E726="","",0))</f>
        <v/>
      </c>
      <c r="E726" s="14"/>
      <c r="F726" s="4" t="str">
        <f>IF(G726=$L726,1,IF(G726="","",0))</f>
        <v/>
      </c>
      <c r="G726" s="14"/>
      <c r="H726" s="6">
        <v>729</v>
      </c>
      <c r="I726" s="15" t="s">
        <v>3120</v>
      </c>
      <c r="J726" s="6" t="s">
        <v>3867</v>
      </c>
      <c r="K726" s="6"/>
      <c r="L726" s="6" t="s">
        <v>850</v>
      </c>
      <c r="M726" s="6" t="s">
        <v>6838</v>
      </c>
      <c r="N726" s="7">
        <f ca="1">RAND()</f>
        <v>0.79825958903557692</v>
      </c>
      <c r="O726" s="8">
        <v>45203</v>
      </c>
      <c r="P726" s="8">
        <v>45203</v>
      </c>
      <c r="Q726" s="8">
        <v>45203</v>
      </c>
      <c r="R726" s="8">
        <v>45203</v>
      </c>
      <c r="S726" s="8">
        <v>45203</v>
      </c>
      <c r="T726" s="8">
        <v>45203</v>
      </c>
      <c r="U726" s="8">
        <v>45203</v>
      </c>
      <c r="V726" s="10">
        <f>COUNTA(O726:U726)</f>
        <v>7</v>
      </c>
      <c r="W726" s="11">
        <f>_xlfn.IFNA(INDEX(reading[[#This Row],[Memo 01]:[Memo 07]],MATCH(0,reading[[#This Row],[Memo 01]:[Memo 07]],-1)),"")</f>
        <v>45203</v>
      </c>
      <c r="X726" s="11">
        <f ca="1">IFERROR(reading[[#This Row],[Previous]]+OFFSET(reading[[#Headers],[Memo 01]],-1,MATCH(0,reading[[#This Row],[Memo 01]:[Memo 07]],-1)-1),"")</f>
        <v>55203</v>
      </c>
      <c r="Y726" s="10" t="str">
        <f ca="1">IF(reading[[#This Row],[Next]]&lt;&gt;"",IF(reading[[#This Row],[Next]]&gt;TODAY(),"OK",""),"")</f>
        <v>OK</v>
      </c>
      <c r="Z726" s="13">
        <v>3</v>
      </c>
      <c r="AA726" s="13"/>
      <c r="AB726" s="13"/>
      <c r="AC726" s="13"/>
      <c r="AD726" s="13"/>
      <c r="AE726" s="13"/>
      <c r="AF726" s="13"/>
      <c r="AG726" s="16">
        <f>IFERROR(SUMIF(reading[[#This Row],[1st]:[7th]],"&gt;0")/COUNTIF(reading[[#This Row],[1st]:[7th]],"&gt;0"),"")</f>
        <v>3</v>
      </c>
    </row>
    <row r="727" spans="1:33" hidden="1" x14ac:dyDescent="0.2">
      <c r="A727" s="4">
        <f>IF(B727=1,3,IF(D727=1,2,IF(F727=1,1,0)))</f>
        <v>0</v>
      </c>
      <c r="B727" s="4" t="str">
        <f>IF(C727=$L727,1,IF(C727="","",0))</f>
        <v/>
      </c>
      <c r="C727" s="42"/>
      <c r="D727" s="4" t="str">
        <f>IF(E727=$L727,1,IF(E727="","",0))</f>
        <v/>
      </c>
      <c r="E727" s="14"/>
      <c r="F727" s="4" t="str">
        <f>IF(G727=$L727,1,IF(G727="","",0))</f>
        <v/>
      </c>
      <c r="G727" s="14"/>
      <c r="H727" s="6">
        <v>1683</v>
      </c>
      <c r="I727" s="15" t="s">
        <v>3120</v>
      </c>
      <c r="J727" s="6" t="s">
        <v>4793</v>
      </c>
      <c r="K727" s="6"/>
      <c r="L727" s="6" t="s">
        <v>1763</v>
      </c>
      <c r="M727" s="6" t="s">
        <v>7789</v>
      </c>
      <c r="N727" s="7">
        <f ca="1">RAND()</f>
        <v>8.4589704800937859E-2</v>
      </c>
      <c r="O727" s="8">
        <v>45210</v>
      </c>
      <c r="P727" s="8">
        <v>45211</v>
      </c>
      <c r="Q727" s="8">
        <v>45213</v>
      </c>
      <c r="R727" s="8">
        <v>45217</v>
      </c>
      <c r="S727" s="8">
        <v>45224</v>
      </c>
      <c r="T727" s="8">
        <v>45236</v>
      </c>
      <c r="U727" s="8">
        <v>45792</v>
      </c>
      <c r="V727" s="10">
        <f>COUNTA(O727:U727)</f>
        <v>7</v>
      </c>
      <c r="W727" s="11">
        <f>_xlfn.IFNA(INDEX(reading[[#This Row],[Memo 01]:[Memo 07]],MATCH(0,reading[[#This Row],[Memo 01]:[Memo 07]],-1)),"")</f>
        <v>45792</v>
      </c>
      <c r="X727" s="11">
        <f ca="1">IFERROR(reading[[#This Row],[Previous]]+OFFSET(reading[[#Headers],[Memo 01]],-1,MATCH(0,reading[[#This Row],[Memo 01]:[Memo 07]],-1)-1),"")</f>
        <v>55792</v>
      </c>
      <c r="Y727" s="10" t="str">
        <f ca="1">IF(reading[[#This Row],[Next]]&lt;&gt;"",IF(reading[[#This Row],[Next]]&gt;TODAY(),"OK",""),"")</f>
        <v>OK</v>
      </c>
      <c r="Z727" s="13">
        <v>3</v>
      </c>
      <c r="AA727" s="13">
        <v>3</v>
      </c>
      <c r="AB727" s="13">
        <v>3</v>
      </c>
      <c r="AC727" s="13">
        <v>3</v>
      </c>
      <c r="AD727" s="13">
        <v>3</v>
      </c>
      <c r="AE727" s="13">
        <v>3</v>
      </c>
      <c r="AF727" s="13">
        <v>3</v>
      </c>
      <c r="AG727" s="16">
        <f>IFERROR(SUMIF(reading[[#This Row],[1st]:[7th]],"&gt;0")/COUNTIF(reading[[#This Row],[1st]:[7th]],"&gt;0"),"")</f>
        <v>3</v>
      </c>
    </row>
    <row r="728" spans="1:33" hidden="1" x14ac:dyDescent="0.2">
      <c r="A728" s="4">
        <f>IF(B728=1,3,IF(D728=1,2,IF(F728=1,1,0)))</f>
        <v>0</v>
      </c>
      <c r="B728" s="4" t="str">
        <f>IF(C728=$L728,1,IF(C728="","",0))</f>
        <v/>
      </c>
      <c r="C728" s="42"/>
      <c r="D728" s="4" t="str">
        <f>IF(E728=$L728,1,IF(E728="","",0))</f>
        <v/>
      </c>
      <c r="E728" s="43"/>
      <c r="F728" s="4" t="str">
        <f>IF(G728=$L728,1,IF(G728="","",0))</f>
        <v/>
      </c>
      <c r="G728" s="43"/>
      <c r="H728" s="6">
        <v>1805</v>
      </c>
      <c r="I728" s="15" t="s">
        <v>3120</v>
      </c>
      <c r="J728" s="6" t="s">
        <v>4510</v>
      </c>
      <c r="K728" s="6"/>
      <c r="L728" s="6" t="s">
        <v>1884</v>
      </c>
      <c r="M728" s="6" t="s">
        <v>7911</v>
      </c>
      <c r="N728" s="7">
        <f ca="1">RAND()</f>
        <v>0.14187499900158829</v>
      </c>
      <c r="O728" s="8">
        <v>45212</v>
      </c>
      <c r="P728" s="8">
        <v>45213</v>
      </c>
      <c r="Q728" s="8">
        <v>45215</v>
      </c>
      <c r="R728" s="8">
        <v>45219</v>
      </c>
      <c r="S728" s="8">
        <v>45226</v>
      </c>
      <c r="T728" s="8">
        <v>45252</v>
      </c>
      <c r="U728" s="8">
        <v>45817</v>
      </c>
      <c r="V728" s="10">
        <f>COUNTA(O728:U728)</f>
        <v>7</v>
      </c>
      <c r="W728" s="11">
        <f>_xlfn.IFNA(INDEX(reading[[#This Row],[Memo 01]:[Memo 07]],MATCH(0,reading[[#This Row],[Memo 01]:[Memo 07]],-1)),"")</f>
        <v>45817</v>
      </c>
      <c r="X728" s="11">
        <f ca="1">IFERROR(reading[[#This Row],[Previous]]+OFFSET(reading[[#Headers],[Memo 01]],-1,MATCH(0,reading[[#This Row],[Memo 01]:[Memo 07]],-1)-1),"")</f>
        <v>55817</v>
      </c>
      <c r="Y728" s="10" t="str">
        <f ca="1">IF(reading[[#This Row],[Next]]&lt;&gt;"",IF(reading[[#This Row],[Next]]&gt;TODAY(),"OK",""),"")</f>
        <v>OK</v>
      </c>
      <c r="Z728" s="13">
        <v>3</v>
      </c>
      <c r="AA728" s="13">
        <v>3</v>
      </c>
      <c r="AB728" s="13">
        <v>3</v>
      </c>
      <c r="AC728" s="13">
        <v>3</v>
      </c>
      <c r="AD728" s="13">
        <v>1</v>
      </c>
      <c r="AE728" s="13">
        <v>2</v>
      </c>
      <c r="AF728" s="13">
        <v>1</v>
      </c>
      <c r="AG728" s="16">
        <f>IFERROR(SUMIF(reading[[#This Row],[1st]:[7th]],"&gt;0")/COUNTIF(reading[[#This Row],[1st]:[7th]],"&gt;0"),"")</f>
        <v>2.2857142857142856</v>
      </c>
    </row>
    <row r="729" spans="1:33" hidden="1" x14ac:dyDescent="0.2">
      <c r="A729" s="4">
        <f>IF(B729=1,3,IF(D729=1,2,IF(F729=1,1,0)))</f>
        <v>3</v>
      </c>
      <c r="B729" s="4">
        <f>IF(C729=$L729,1,IF(C729="","",0))</f>
        <v>1</v>
      </c>
      <c r="C729" s="21" t="s">
        <v>852</v>
      </c>
      <c r="D729" s="4" t="str">
        <f>IF(E729=$L729,1,IF(E729="","",0))</f>
        <v/>
      </c>
      <c r="E729" s="14"/>
      <c r="F729" s="4" t="str">
        <f>IF(G729=$L729,1,IF(G729="","",0))</f>
        <v/>
      </c>
      <c r="G729" s="14"/>
      <c r="H729" s="6">
        <v>732</v>
      </c>
      <c r="I729" s="15" t="s">
        <v>3120</v>
      </c>
      <c r="J729" s="6" t="s">
        <v>3870</v>
      </c>
      <c r="K729" s="6"/>
      <c r="L729" s="6" t="s">
        <v>852</v>
      </c>
      <c r="M729" s="6" t="s">
        <v>6841</v>
      </c>
      <c r="N729" s="7">
        <f ca="1">RAND()</f>
        <v>0.94004853584243098</v>
      </c>
      <c r="O729" s="8">
        <v>45203</v>
      </c>
      <c r="P729" s="8">
        <v>45203</v>
      </c>
      <c r="Q729" s="8">
        <v>45203</v>
      </c>
      <c r="R729" s="8">
        <v>45203</v>
      </c>
      <c r="S729" s="8">
        <v>45203</v>
      </c>
      <c r="T729" s="8">
        <v>45203</v>
      </c>
      <c r="U729" s="8">
        <v>45203</v>
      </c>
      <c r="V729" s="10">
        <f>COUNTA(O729:U729)</f>
        <v>7</v>
      </c>
      <c r="W729" s="11">
        <f>_xlfn.IFNA(INDEX(reading[[#This Row],[Memo 01]:[Memo 07]],MATCH(0,reading[[#This Row],[Memo 01]:[Memo 07]],-1)),"")</f>
        <v>45203</v>
      </c>
      <c r="X729" s="11">
        <f ca="1">IFERROR(reading[[#This Row],[Previous]]+OFFSET(reading[[#Headers],[Memo 01]],-1,MATCH(0,reading[[#This Row],[Memo 01]:[Memo 07]],-1)-1),"")</f>
        <v>55203</v>
      </c>
      <c r="Y729" s="10" t="str">
        <f ca="1">IF(reading[[#This Row],[Next]]&lt;&gt;"",IF(reading[[#This Row],[Next]]&gt;TODAY(),"OK",""),"")</f>
        <v>OK</v>
      </c>
      <c r="Z729" s="13">
        <v>3</v>
      </c>
      <c r="AA729" s="13"/>
      <c r="AB729" s="13"/>
      <c r="AC729" s="13"/>
      <c r="AD729" s="13"/>
      <c r="AE729" s="13"/>
      <c r="AF729" s="13"/>
      <c r="AG729" s="16">
        <f>IFERROR(SUMIF(reading[[#This Row],[1st]:[7th]],"&gt;0")/COUNTIF(reading[[#This Row],[1st]:[7th]],"&gt;0"),"")</f>
        <v>3</v>
      </c>
    </row>
    <row r="730" spans="1:33" hidden="1" x14ac:dyDescent="0.2">
      <c r="A730" s="4">
        <f>IF(B730=1,3,IF(D730=1,2,IF(F730=1,1,0)))</f>
        <v>0</v>
      </c>
      <c r="B730" s="4" t="str">
        <f>IF(C730=$L730,1,IF(C730="","",0))</f>
        <v/>
      </c>
      <c r="C730" s="42"/>
      <c r="D730" s="4" t="str">
        <f>IF(E730=$L730,1,IF(E730="","",0))</f>
        <v/>
      </c>
      <c r="E730" s="14"/>
      <c r="F730" s="4" t="str">
        <f>IF(G730=$L730,1,IF(G730="","",0))</f>
        <v/>
      </c>
      <c r="G730" s="14"/>
      <c r="H730" s="6">
        <v>949</v>
      </c>
      <c r="I730" s="15" t="s">
        <v>3120</v>
      </c>
      <c r="J730" s="6" t="s">
        <v>4078</v>
      </c>
      <c r="K730" s="6"/>
      <c r="L730" s="6" t="s">
        <v>1059</v>
      </c>
      <c r="M730" s="6" t="s">
        <v>7057</v>
      </c>
      <c r="N730" s="7">
        <f ca="1">RAND()</f>
        <v>0.7340077685075268</v>
      </c>
      <c r="O730" s="8">
        <v>45204</v>
      </c>
      <c r="P730" s="8">
        <v>45205</v>
      </c>
      <c r="Q730" s="8">
        <v>45207</v>
      </c>
      <c r="R730" s="8">
        <v>45211</v>
      </c>
      <c r="S730" s="8">
        <v>45218</v>
      </c>
      <c r="T730" s="8">
        <v>45230</v>
      </c>
      <c r="U730" s="8">
        <v>45801</v>
      </c>
      <c r="V730" s="10">
        <f>COUNTA(O730:U730)</f>
        <v>7</v>
      </c>
      <c r="W730" s="11">
        <f>_xlfn.IFNA(INDEX(reading[[#This Row],[Memo 01]:[Memo 07]],MATCH(0,reading[[#This Row],[Memo 01]:[Memo 07]],-1)),"")</f>
        <v>45801</v>
      </c>
      <c r="X730" s="11">
        <f ca="1">IFERROR(reading[[#This Row],[Previous]]+OFFSET(reading[[#Headers],[Memo 01]],-1,MATCH(0,reading[[#This Row],[Memo 01]:[Memo 07]],-1)-1),"")</f>
        <v>55801</v>
      </c>
      <c r="Y730" s="10" t="str">
        <f ca="1">IF(reading[[#This Row],[Next]]&lt;&gt;"",IF(reading[[#This Row],[Next]]&gt;TODAY(),"OK",""),"")</f>
        <v>OK</v>
      </c>
      <c r="Z730" s="13">
        <v>3</v>
      </c>
      <c r="AA730" s="13">
        <v>3</v>
      </c>
      <c r="AB730" s="13">
        <v>3</v>
      </c>
      <c r="AC730" s="13">
        <v>3</v>
      </c>
      <c r="AD730" s="13">
        <v>3</v>
      </c>
      <c r="AE730" s="13">
        <v>3</v>
      </c>
      <c r="AF730" s="13">
        <v>3</v>
      </c>
      <c r="AG730" s="16">
        <f>IFERROR(SUMIF(reading[[#This Row],[1st]:[7th]],"&gt;0")/COUNTIF(reading[[#This Row],[1st]:[7th]],"&gt;0"),"")</f>
        <v>3</v>
      </c>
    </row>
    <row r="731" spans="1:33" hidden="1" x14ac:dyDescent="0.2">
      <c r="A731" s="4">
        <f>IF(B731=1,3,IF(D731=1,2,IF(F731=1,1,0)))</f>
        <v>0</v>
      </c>
      <c r="B731" s="4" t="str">
        <f>IF(C731=$L731,1,IF(C731="","",0))</f>
        <v/>
      </c>
      <c r="C731" s="42"/>
      <c r="D731" s="4" t="str">
        <f>IF(E731=$L731,1,IF(E731="","",0))</f>
        <v/>
      </c>
      <c r="E731" s="14"/>
      <c r="F731" s="4" t="str">
        <f>IF(G731=$L731,1,IF(G731="","",0))</f>
        <v/>
      </c>
      <c r="G731" s="14"/>
      <c r="H731" s="6">
        <v>470</v>
      </c>
      <c r="I731" s="15" t="s">
        <v>3120</v>
      </c>
      <c r="J731" s="6" t="s">
        <v>3616</v>
      </c>
      <c r="K731" s="6"/>
      <c r="L731" s="6" t="s">
        <v>599</v>
      </c>
      <c r="M731" s="6" t="s">
        <v>6579</v>
      </c>
      <c r="N731" s="7">
        <f ca="1">RAND()</f>
        <v>0.5472346344625304</v>
      </c>
      <c r="O731" s="8">
        <v>45202</v>
      </c>
      <c r="P731" s="8">
        <v>45203</v>
      </c>
      <c r="Q731" s="8">
        <v>45205</v>
      </c>
      <c r="R731" s="8">
        <v>45209</v>
      </c>
      <c r="S731" s="8">
        <v>45216</v>
      </c>
      <c r="T731" s="8">
        <v>45228</v>
      </c>
      <c r="U731" s="8">
        <v>45792</v>
      </c>
      <c r="V731" s="10">
        <f>COUNTA(O731:U731)</f>
        <v>7</v>
      </c>
      <c r="W731" s="11">
        <f>_xlfn.IFNA(INDEX(reading[[#This Row],[Memo 01]:[Memo 07]],MATCH(0,reading[[#This Row],[Memo 01]:[Memo 07]],-1)),"")</f>
        <v>45792</v>
      </c>
      <c r="X731" s="11">
        <f ca="1">IFERROR(reading[[#This Row],[Previous]]+OFFSET(reading[[#Headers],[Memo 01]],-1,MATCH(0,reading[[#This Row],[Memo 01]:[Memo 07]],-1)-1),"")</f>
        <v>55792</v>
      </c>
      <c r="Y731" s="10" t="str">
        <f ca="1">IF(reading[[#This Row],[Next]]&lt;&gt;"",IF(reading[[#This Row],[Next]]&gt;TODAY(),"OK",""),"")</f>
        <v>OK</v>
      </c>
      <c r="Z731" s="13">
        <v>3</v>
      </c>
      <c r="AA731" s="13">
        <v>3</v>
      </c>
      <c r="AB731" s="13">
        <v>3</v>
      </c>
      <c r="AC731" s="13">
        <v>3</v>
      </c>
      <c r="AD731" s="13">
        <v>3</v>
      </c>
      <c r="AE731" s="13">
        <v>3</v>
      </c>
      <c r="AF731" s="13">
        <v>3</v>
      </c>
      <c r="AG731" s="16">
        <f>IFERROR(SUMIF(reading[[#This Row],[1st]:[7th]],"&gt;0")/COUNTIF(reading[[#This Row],[1st]:[7th]],"&gt;0"),"")</f>
        <v>3</v>
      </c>
    </row>
    <row r="732" spans="1:33" hidden="1" x14ac:dyDescent="0.2">
      <c r="A732" s="4">
        <f>IF(B732=1,3,IF(D732=1,2,IF(F732=1,1,0)))</f>
        <v>0</v>
      </c>
      <c r="B732" s="4" t="str">
        <f>IF(C732=$L732,1,IF(C732="","",0))</f>
        <v/>
      </c>
      <c r="C732" s="42"/>
      <c r="D732" s="4" t="str">
        <f>IF(E732=$L732,1,IF(E732="","",0))</f>
        <v/>
      </c>
      <c r="E732" s="23"/>
      <c r="F732" s="4" t="str">
        <f>IF(G732=$L732,1,IF(G732="","",0))</f>
        <v/>
      </c>
      <c r="G732" s="14"/>
      <c r="H732" s="6">
        <v>866</v>
      </c>
      <c r="I732" s="15" t="s">
        <v>3120</v>
      </c>
      <c r="J732" s="6" t="s">
        <v>3998</v>
      </c>
      <c r="K732" s="6"/>
      <c r="L732" s="6" t="s">
        <v>981</v>
      </c>
      <c r="M732" s="6" t="s">
        <v>6975</v>
      </c>
      <c r="N732" s="7">
        <f ca="1">RAND()</f>
        <v>0.85661447804163593</v>
      </c>
      <c r="O732" s="8">
        <v>45203</v>
      </c>
      <c r="P732" s="8">
        <v>45204</v>
      </c>
      <c r="Q732" s="8">
        <v>45206</v>
      </c>
      <c r="R732" s="8">
        <v>45210</v>
      </c>
      <c r="S732" s="8">
        <v>45217</v>
      </c>
      <c r="T732" s="8">
        <v>45229</v>
      </c>
      <c r="U732" s="8">
        <v>45792</v>
      </c>
      <c r="V732" s="10">
        <f>COUNTA(O732:U732)</f>
        <v>7</v>
      </c>
      <c r="W732" s="11">
        <f>_xlfn.IFNA(INDEX(reading[[#This Row],[Memo 01]:[Memo 07]],MATCH(0,reading[[#This Row],[Memo 01]:[Memo 07]],-1)),"")</f>
        <v>45792</v>
      </c>
      <c r="X732" s="11">
        <f ca="1">IFERROR(reading[[#This Row],[Previous]]+OFFSET(reading[[#Headers],[Memo 01]],-1,MATCH(0,reading[[#This Row],[Memo 01]:[Memo 07]],-1)-1),"")</f>
        <v>55792</v>
      </c>
      <c r="Y732" s="10" t="str">
        <f ca="1">IF(reading[[#This Row],[Next]]&lt;&gt;"",IF(reading[[#This Row],[Next]]&gt;TODAY(),"OK",""),"")</f>
        <v>OK</v>
      </c>
      <c r="Z732" s="13">
        <v>3</v>
      </c>
      <c r="AA732" s="13">
        <v>3</v>
      </c>
      <c r="AB732" s="13">
        <v>2</v>
      </c>
      <c r="AC732" s="13">
        <v>3</v>
      </c>
      <c r="AD732" s="13">
        <v>3</v>
      </c>
      <c r="AE732" s="13">
        <v>3</v>
      </c>
      <c r="AF732" s="13">
        <v>3</v>
      </c>
      <c r="AG732" s="16">
        <f>IFERROR(SUMIF(reading[[#This Row],[1st]:[7th]],"&gt;0")/COUNTIF(reading[[#This Row],[1st]:[7th]],"&gt;0"),"")</f>
        <v>2.8571428571428572</v>
      </c>
    </row>
    <row r="733" spans="1:33" hidden="1" x14ac:dyDescent="0.2">
      <c r="A733" s="4">
        <f>IF(B733=1,3,IF(D733=1,2,IF(F733=1,1,0)))</f>
        <v>3</v>
      </c>
      <c r="B733" s="4">
        <f>IF(C733=$L733,1,IF(C733="","",0))</f>
        <v>1</v>
      </c>
      <c r="C733" s="21" t="s">
        <v>856</v>
      </c>
      <c r="D733" s="4" t="str">
        <f>IF(E733=$L733,1,IF(E733="","",0))</f>
        <v/>
      </c>
      <c r="E733" s="14"/>
      <c r="F733" s="4" t="str">
        <f>IF(G733=$L733,1,IF(G733="","",0))</f>
        <v/>
      </c>
      <c r="G733" s="14"/>
      <c r="H733" s="6">
        <v>736</v>
      </c>
      <c r="I733" s="15" t="s">
        <v>3120</v>
      </c>
      <c r="J733" s="6" t="s">
        <v>3873</v>
      </c>
      <c r="K733" s="6"/>
      <c r="L733" s="6" t="s">
        <v>856</v>
      </c>
      <c r="M733" s="6" t="s">
        <v>6845</v>
      </c>
      <c r="N733" s="7">
        <f ca="1">RAND()</f>
        <v>6.2846671089345829E-2</v>
      </c>
      <c r="O733" s="8">
        <v>45203</v>
      </c>
      <c r="P733" s="8">
        <v>45203</v>
      </c>
      <c r="Q733" s="8">
        <v>45203</v>
      </c>
      <c r="R733" s="8">
        <v>45203</v>
      </c>
      <c r="S733" s="8">
        <v>45203</v>
      </c>
      <c r="T733" s="8">
        <v>45203</v>
      </c>
      <c r="U733" s="8">
        <v>45203</v>
      </c>
      <c r="V733" s="10">
        <f>COUNTA(O733:U733)</f>
        <v>7</v>
      </c>
      <c r="W733" s="11">
        <f>_xlfn.IFNA(INDEX(reading[[#This Row],[Memo 01]:[Memo 07]],MATCH(0,reading[[#This Row],[Memo 01]:[Memo 07]],-1)),"")</f>
        <v>45203</v>
      </c>
      <c r="X733" s="11">
        <f ca="1">IFERROR(reading[[#This Row],[Previous]]+OFFSET(reading[[#Headers],[Memo 01]],-1,MATCH(0,reading[[#This Row],[Memo 01]:[Memo 07]],-1)-1),"")</f>
        <v>55203</v>
      </c>
      <c r="Y733" s="10" t="str">
        <f ca="1">IF(reading[[#This Row],[Next]]&lt;&gt;"",IF(reading[[#This Row],[Next]]&gt;TODAY(),"OK",""),"")</f>
        <v>OK</v>
      </c>
      <c r="Z733" s="13">
        <v>3</v>
      </c>
      <c r="AA733" s="13"/>
      <c r="AB733" s="13"/>
      <c r="AC733" s="13"/>
      <c r="AD733" s="13"/>
      <c r="AE733" s="13"/>
      <c r="AF733" s="13"/>
      <c r="AG733" s="16">
        <f>IFERROR(SUMIF(reading[[#This Row],[1st]:[7th]],"&gt;0")/COUNTIF(reading[[#This Row],[1st]:[7th]],"&gt;0"),"")</f>
        <v>3</v>
      </c>
    </row>
    <row r="734" spans="1:33" hidden="1" x14ac:dyDescent="0.2">
      <c r="A734" s="4">
        <f>IF(B734=1,3,IF(D734=1,2,IF(F734=1,1,0)))</f>
        <v>0</v>
      </c>
      <c r="B734" s="4" t="str">
        <f>IF(C734=$L734,1,IF(C734="","",0))</f>
        <v/>
      </c>
      <c r="C734" s="42"/>
      <c r="D734" s="4" t="str">
        <f>IF(E734=$L734,1,IF(E734="","",0))</f>
        <v/>
      </c>
      <c r="E734" s="14"/>
      <c r="F734" s="4" t="str">
        <f>IF(G734=$L734,1,IF(G734="","",0))</f>
        <v/>
      </c>
      <c r="G734" s="14"/>
      <c r="H734" s="6">
        <v>1277</v>
      </c>
      <c r="I734" s="15" t="s">
        <v>3120</v>
      </c>
      <c r="J734" s="6" t="s">
        <v>4394</v>
      </c>
      <c r="K734" s="15" t="s">
        <v>3151</v>
      </c>
      <c r="L734" s="6" t="s">
        <v>1375</v>
      </c>
      <c r="M734" s="6" t="s">
        <v>7384</v>
      </c>
      <c r="N734" s="7">
        <f ca="1">RAND()</f>
        <v>0.879120757591772</v>
      </c>
      <c r="O734" s="8">
        <v>45207</v>
      </c>
      <c r="P734" s="8">
        <v>45208</v>
      </c>
      <c r="Q734" s="8">
        <v>45210</v>
      </c>
      <c r="R734" s="8">
        <v>45214</v>
      </c>
      <c r="S734" s="8">
        <v>45221</v>
      </c>
      <c r="T734" s="8">
        <v>45233</v>
      </c>
      <c r="U734" s="8">
        <v>45792</v>
      </c>
      <c r="V734" s="10">
        <f>COUNTA(O734:U734)</f>
        <v>7</v>
      </c>
      <c r="W734" s="11">
        <f>_xlfn.IFNA(INDEX(reading[[#This Row],[Memo 01]:[Memo 07]],MATCH(0,reading[[#This Row],[Memo 01]:[Memo 07]],-1)),"")</f>
        <v>45792</v>
      </c>
      <c r="X734" s="11">
        <f ca="1">IFERROR(reading[[#This Row],[Previous]]+OFFSET(reading[[#Headers],[Memo 01]],-1,MATCH(0,reading[[#This Row],[Memo 01]:[Memo 07]],-1)-1),"")</f>
        <v>55792</v>
      </c>
      <c r="Y734" s="10" t="str">
        <f ca="1">IF(reading[[#This Row],[Next]]&lt;&gt;"",IF(reading[[#This Row],[Next]]&gt;TODAY(),"OK",""),"")</f>
        <v>OK</v>
      </c>
      <c r="Z734" s="13">
        <v>3</v>
      </c>
      <c r="AA734" s="13">
        <v>3</v>
      </c>
      <c r="AB734" s="13">
        <v>3</v>
      </c>
      <c r="AC734" s="13">
        <v>3</v>
      </c>
      <c r="AD734" s="13">
        <v>3</v>
      </c>
      <c r="AE734" s="13">
        <v>3</v>
      </c>
      <c r="AF734" s="13">
        <v>3</v>
      </c>
      <c r="AG734" s="16">
        <f>IFERROR(SUMIF(reading[[#This Row],[1st]:[7th]],"&gt;0")/COUNTIF(reading[[#This Row],[1st]:[7th]],"&gt;0"),"")</f>
        <v>3</v>
      </c>
    </row>
    <row r="735" spans="1:33" hidden="1" x14ac:dyDescent="0.2">
      <c r="A735" s="4">
        <f>IF(B735=1,3,IF(D735=1,2,IF(F735=1,1,0)))</f>
        <v>0</v>
      </c>
      <c r="B735" s="4" t="str">
        <f>IF(C735=$L735,1,IF(C735="","",0))</f>
        <v/>
      </c>
      <c r="C735" s="42"/>
      <c r="D735" s="4" t="str">
        <f>IF(E735=$L735,1,IF(E735="","",0))</f>
        <v/>
      </c>
      <c r="E735" s="14"/>
      <c r="F735" s="4" t="str">
        <f>IF(G735=$L735,1,IF(G735="","",0))</f>
        <v/>
      </c>
      <c r="G735" s="14"/>
      <c r="H735" s="6">
        <v>1081</v>
      </c>
      <c r="I735" s="15" t="s">
        <v>3120</v>
      </c>
      <c r="J735" s="6" t="s">
        <v>4205</v>
      </c>
      <c r="K735" s="6"/>
      <c r="L735" s="6" t="s">
        <v>1188</v>
      </c>
      <c r="M735" s="6" t="s">
        <v>7189</v>
      </c>
      <c r="N735" s="7">
        <f ca="1">RAND()</f>
        <v>0.88782429576164457</v>
      </c>
      <c r="O735" s="8">
        <v>45205</v>
      </c>
      <c r="P735" s="8">
        <v>45206</v>
      </c>
      <c r="Q735" s="8">
        <v>45208</v>
      </c>
      <c r="R735" s="8">
        <v>45212</v>
      </c>
      <c r="S735" s="8">
        <v>45219</v>
      </c>
      <c r="T735" s="8">
        <v>45231</v>
      </c>
      <c r="U735" s="8">
        <v>45819</v>
      </c>
      <c r="V735" s="10">
        <f>COUNTA(O735:U735)</f>
        <v>7</v>
      </c>
      <c r="W735" s="11">
        <f>_xlfn.IFNA(INDEX(reading[[#This Row],[Memo 01]:[Memo 07]],MATCH(0,reading[[#This Row],[Memo 01]:[Memo 07]],-1)),"")</f>
        <v>45819</v>
      </c>
      <c r="X735" s="11">
        <f ca="1">IFERROR(reading[[#This Row],[Previous]]+OFFSET(reading[[#Headers],[Memo 01]],-1,MATCH(0,reading[[#This Row],[Memo 01]:[Memo 07]],-1)-1),"")</f>
        <v>55819</v>
      </c>
      <c r="Y735" s="10" t="str">
        <f ca="1">IF(reading[[#This Row],[Next]]&lt;&gt;"",IF(reading[[#This Row],[Next]]&gt;TODAY(),"OK",""),"")</f>
        <v>OK</v>
      </c>
      <c r="Z735" s="13">
        <v>3</v>
      </c>
      <c r="AA735" s="13">
        <v>3</v>
      </c>
      <c r="AB735" s="13">
        <v>3</v>
      </c>
      <c r="AC735" s="13">
        <v>3</v>
      </c>
      <c r="AD735" s="13">
        <v>3</v>
      </c>
      <c r="AE735" s="13">
        <v>3</v>
      </c>
      <c r="AF735" s="13">
        <v>3</v>
      </c>
      <c r="AG735" s="16">
        <f>IFERROR(SUMIF(reading[[#This Row],[1st]:[7th]],"&gt;0")/COUNTIF(reading[[#This Row],[1st]:[7th]],"&gt;0"),"")</f>
        <v>3</v>
      </c>
    </row>
    <row r="736" spans="1:33" hidden="1" x14ac:dyDescent="0.2">
      <c r="A736" s="4">
        <f>IF(B736=1,3,IF(D736=1,2,IF(F736=1,1,0)))</f>
        <v>0</v>
      </c>
      <c r="B736" s="4" t="str">
        <f>IF(C736=$L736,1,IF(C736="","",0))</f>
        <v/>
      </c>
      <c r="C736" s="42"/>
      <c r="D736" s="4" t="str">
        <f>IF(E736=$L736,1,IF(E736="","",0))</f>
        <v/>
      </c>
      <c r="E736" s="14"/>
      <c r="F736" s="4" t="str">
        <f>IF(G736=$L736,1,IF(G736="","",0))</f>
        <v/>
      </c>
      <c r="G736" s="14"/>
      <c r="H736" s="6">
        <v>113</v>
      </c>
      <c r="I736" s="15" t="s">
        <v>3120</v>
      </c>
      <c r="J736" s="6" t="s">
        <v>3262</v>
      </c>
      <c r="K736" s="6"/>
      <c r="L736" s="6" t="s">
        <v>250</v>
      </c>
      <c r="M736" s="6" t="s">
        <v>6222</v>
      </c>
      <c r="N736" s="7">
        <f ca="1">RAND()</f>
        <v>0.18415629589706417</v>
      </c>
      <c r="O736" s="8">
        <v>45199</v>
      </c>
      <c r="P736" s="8">
        <v>45200</v>
      </c>
      <c r="Q736" s="8">
        <v>45202</v>
      </c>
      <c r="R736" s="8">
        <v>45206</v>
      </c>
      <c r="S736" s="8">
        <v>45213</v>
      </c>
      <c r="T736" s="8">
        <v>45225</v>
      </c>
      <c r="U736" s="8">
        <v>45792</v>
      </c>
      <c r="V736" s="10">
        <f>COUNTA(O736:U736)</f>
        <v>7</v>
      </c>
      <c r="W736" s="11">
        <f>_xlfn.IFNA(INDEX(reading[[#This Row],[Memo 01]:[Memo 07]],MATCH(0,reading[[#This Row],[Memo 01]:[Memo 07]],-1)),"")</f>
        <v>45792</v>
      </c>
      <c r="X736" s="11">
        <f ca="1">IFERROR(reading[[#This Row],[Previous]]+OFFSET(reading[[#Headers],[Memo 01]],-1,MATCH(0,reading[[#This Row],[Memo 01]:[Memo 07]],-1)-1),"")</f>
        <v>55792</v>
      </c>
      <c r="Y736" s="10" t="str">
        <f ca="1">IF(reading[[#This Row],[Next]]&lt;&gt;"",IF(reading[[#This Row],[Next]]&gt;TODAY(),"OK",""),"")</f>
        <v>OK</v>
      </c>
      <c r="Z736" s="13">
        <v>3</v>
      </c>
      <c r="AA736" s="13">
        <v>3</v>
      </c>
      <c r="AB736" s="13">
        <v>3</v>
      </c>
      <c r="AC736" s="13">
        <v>3</v>
      </c>
      <c r="AD736" s="13">
        <v>3</v>
      </c>
      <c r="AE736" s="13">
        <v>3</v>
      </c>
      <c r="AF736" s="13">
        <v>3</v>
      </c>
      <c r="AG736" s="16">
        <f>IFERROR(SUMIF(reading[[#This Row],[1st]:[7th]],"&gt;0")/COUNTIF(reading[[#This Row],[1st]:[7th]],"&gt;0"),"")</f>
        <v>3</v>
      </c>
    </row>
    <row r="737" spans="1:33" hidden="1" x14ac:dyDescent="0.2">
      <c r="A737" s="4">
        <f>IF(B737=1,3,IF(D737=1,2,IF(F737=1,1,0)))</f>
        <v>0</v>
      </c>
      <c r="B737" s="4" t="str">
        <f>IF(C737=$L737,1,IF(C737="","",0))</f>
        <v/>
      </c>
      <c r="C737" s="42"/>
      <c r="D737" s="4" t="str">
        <f>IF(E737=$L737,1,IF(E737="","",0))</f>
        <v/>
      </c>
      <c r="E737" s="14"/>
      <c r="F737" s="4" t="str">
        <f>IF(G737=$L737,1,IF(G737="","",0))</f>
        <v/>
      </c>
      <c r="G737" s="14"/>
      <c r="H737" s="6">
        <v>665</v>
      </c>
      <c r="I737" s="15" t="s">
        <v>3120</v>
      </c>
      <c r="J737" s="6" t="s">
        <v>3804</v>
      </c>
      <c r="K737" s="6"/>
      <c r="L737" s="6" t="s">
        <v>788</v>
      </c>
      <c r="M737" s="6" t="s">
        <v>6774</v>
      </c>
      <c r="N737" s="7">
        <f ca="1">RAND()</f>
        <v>3.8712504101376943E-3</v>
      </c>
      <c r="O737" s="8">
        <v>45203</v>
      </c>
      <c r="P737" s="8">
        <v>45204</v>
      </c>
      <c r="Q737" s="8">
        <v>45206</v>
      </c>
      <c r="R737" s="8">
        <v>45210</v>
      </c>
      <c r="S737" s="8">
        <v>45217</v>
      </c>
      <c r="T737" s="8">
        <v>45229</v>
      </c>
      <c r="U737" s="8">
        <v>45801</v>
      </c>
      <c r="V737" s="10">
        <f>COUNTA(O737:U737)</f>
        <v>7</v>
      </c>
      <c r="W737" s="11">
        <f>_xlfn.IFNA(INDEX(reading[[#This Row],[Memo 01]:[Memo 07]],MATCH(0,reading[[#This Row],[Memo 01]:[Memo 07]],-1)),"")</f>
        <v>45801</v>
      </c>
      <c r="X737" s="11">
        <f ca="1">IFERROR(reading[[#This Row],[Previous]]+OFFSET(reading[[#Headers],[Memo 01]],-1,MATCH(0,reading[[#This Row],[Memo 01]:[Memo 07]],-1)-1),"")</f>
        <v>55801</v>
      </c>
      <c r="Y737" s="10" t="str">
        <f ca="1">IF(reading[[#This Row],[Next]]&lt;&gt;"",IF(reading[[#This Row],[Next]]&gt;TODAY(),"OK",""),"")</f>
        <v>OK</v>
      </c>
      <c r="Z737" s="13">
        <v>3</v>
      </c>
      <c r="AA737" s="13">
        <v>3</v>
      </c>
      <c r="AB737" s="13">
        <v>3</v>
      </c>
      <c r="AC737" s="13">
        <v>3</v>
      </c>
      <c r="AD737" s="13">
        <v>3</v>
      </c>
      <c r="AE737" s="13">
        <v>3</v>
      </c>
      <c r="AF737" s="13">
        <v>3</v>
      </c>
      <c r="AG737" s="16">
        <f>IFERROR(SUMIF(reading[[#This Row],[1st]:[7th]],"&gt;0")/COUNTIF(reading[[#This Row],[1st]:[7th]],"&gt;0"),"")</f>
        <v>3</v>
      </c>
    </row>
    <row r="738" spans="1:33" hidden="1" x14ac:dyDescent="0.2">
      <c r="A738" s="4">
        <f>IF(B738=1,3,IF(D738=1,2,IF(F738=1,1,0)))</f>
        <v>3</v>
      </c>
      <c r="B738" s="4">
        <f>IF(C738=$L738,1,IF(C738="","",0))</f>
        <v>1</v>
      </c>
      <c r="C738" s="21" t="s">
        <v>861</v>
      </c>
      <c r="D738" s="4" t="str">
        <f>IF(E738=$L738,1,IF(E738="","",0))</f>
        <v/>
      </c>
      <c r="E738" s="14"/>
      <c r="F738" s="4" t="str">
        <f>IF(G738=$L738,1,IF(G738="","",0))</f>
        <v/>
      </c>
      <c r="G738" s="14"/>
      <c r="H738" s="6">
        <v>741</v>
      </c>
      <c r="I738" s="15" t="s">
        <v>3120</v>
      </c>
      <c r="J738" s="6" t="s">
        <v>3878</v>
      </c>
      <c r="K738" s="6"/>
      <c r="L738" s="6" t="s">
        <v>861</v>
      </c>
      <c r="M738" s="6" t="s">
        <v>6850</v>
      </c>
      <c r="N738" s="7">
        <f ca="1">RAND()</f>
        <v>0.2249321002094854</v>
      </c>
      <c r="O738" s="8">
        <v>45203</v>
      </c>
      <c r="P738" s="8">
        <v>45203</v>
      </c>
      <c r="Q738" s="8">
        <v>45203</v>
      </c>
      <c r="R738" s="8">
        <v>45203</v>
      </c>
      <c r="S738" s="8">
        <v>45203</v>
      </c>
      <c r="T738" s="8">
        <v>45203</v>
      </c>
      <c r="U738" s="8">
        <v>45203</v>
      </c>
      <c r="V738" s="10">
        <f>COUNTA(O738:U738)</f>
        <v>7</v>
      </c>
      <c r="W738" s="11">
        <f>_xlfn.IFNA(INDEX(reading[[#This Row],[Memo 01]:[Memo 07]],MATCH(0,reading[[#This Row],[Memo 01]:[Memo 07]],-1)),"")</f>
        <v>45203</v>
      </c>
      <c r="X738" s="11">
        <f ca="1">IFERROR(reading[[#This Row],[Previous]]+OFFSET(reading[[#Headers],[Memo 01]],-1,MATCH(0,reading[[#This Row],[Memo 01]:[Memo 07]],-1)-1),"")</f>
        <v>55203</v>
      </c>
      <c r="Y738" s="10" t="str">
        <f ca="1">IF(reading[[#This Row],[Next]]&lt;&gt;"",IF(reading[[#This Row],[Next]]&gt;TODAY(),"OK",""),"")</f>
        <v>OK</v>
      </c>
      <c r="Z738" s="13">
        <v>3</v>
      </c>
      <c r="AA738" s="13"/>
      <c r="AB738" s="13"/>
      <c r="AC738" s="13"/>
      <c r="AD738" s="13"/>
      <c r="AE738" s="13"/>
      <c r="AF738" s="13"/>
      <c r="AG738" s="16">
        <f>IFERROR(SUMIF(reading[[#This Row],[1st]:[7th]],"&gt;0")/COUNTIF(reading[[#This Row],[1st]:[7th]],"&gt;0"),"")</f>
        <v>3</v>
      </c>
    </row>
    <row r="739" spans="1:33" hidden="1" x14ac:dyDescent="0.2">
      <c r="A739" s="4">
        <f>IF(B739=1,3,IF(D739=1,2,IF(F739=1,1,0)))</f>
        <v>0</v>
      </c>
      <c r="B739" s="4" t="str">
        <f>IF(C739=$L739,1,IF(C739="","",0))</f>
        <v/>
      </c>
      <c r="C739" s="42"/>
      <c r="D739" s="4" t="str">
        <f>IF(E739=$L739,1,IF(E739="","",0))</f>
        <v/>
      </c>
      <c r="E739" s="14"/>
      <c r="F739" s="4" t="str">
        <f>IF(G739=$L739,1,IF(G739="","",0))</f>
        <v/>
      </c>
      <c r="G739" s="14"/>
      <c r="H739" s="6">
        <v>1878</v>
      </c>
      <c r="I739" s="15" t="s">
        <v>3120</v>
      </c>
      <c r="J739" s="6" t="s">
        <v>4980</v>
      </c>
      <c r="K739" s="6"/>
      <c r="L739" s="6" t="s">
        <v>1955</v>
      </c>
      <c r="M739" s="6" t="s">
        <v>7984</v>
      </c>
      <c r="N739" s="7">
        <f ca="1">RAND()</f>
        <v>0.5261119162117861</v>
      </c>
      <c r="O739" s="8">
        <v>45212</v>
      </c>
      <c r="P739" s="8">
        <v>45213</v>
      </c>
      <c r="Q739" s="8">
        <v>45215</v>
      </c>
      <c r="R739" s="8">
        <v>45219</v>
      </c>
      <c r="S739" s="8">
        <v>45226</v>
      </c>
      <c r="T739" s="8">
        <v>45819</v>
      </c>
      <c r="U739" s="8"/>
      <c r="V739" s="10">
        <f>COUNTA(O739:U739)</f>
        <v>6</v>
      </c>
      <c r="W739" s="11">
        <f>_xlfn.IFNA(INDEX(reading[[#This Row],[Memo 01]:[Memo 07]],MATCH(0,reading[[#This Row],[Memo 01]:[Memo 07]],-1)),"")</f>
        <v>45819</v>
      </c>
      <c r="X739" s="11">
        <f ca="1">IFERROR(reading[[#This Row],[Previous]]+OFFSET(reading[[#Headers],[Memo 01]],-1,MATCH(0,reading[[#This Row],[Memo 01]:[Memo 07]],-1)-1),"")</f>
        <v>45839</v>
      </c>
      <c r="Y739" s="10" t="str">
        <f ca="1">IF(reading[[#This Row],[Next]]&lt;&gt;"",IF(reading[[#This Row],[Next]]&gt;TODAY(),"OK",""),"")</f>
        <v>OK</v>
      </c>
      <c r="Z739" s="13">
        <v>3</v>
      </c>
      <c r="AA739" s="13">
        <v>3</v>
      </c>
      <c r="AB739" s="13">
        <v>3</v>
      </c>
      <c r="AC739" s="13">
        <v>3</v>
      </c>
      <c r="AD739" s="13">
        <v>3</v>
      </c>
      <c r="AE739" s="13">
        <v>3</v>
      </c>
      <c r="AF739" s="13"/>
      <c r="AG739" s="16">
        <f>IFERROR(SUMIF(reading[[#This Row],[1st]:[7th]],"&gt;0")/COUNTIF(reading[[#This Row],[1st]:[7th]],"&gt;0"),"")</f>
        <v>3</v>
      </c>
    </row>
    <row r="740" spans="1:33" hidden="1" x14ac:dyDescent="0.2">
      <c r="A740" s="4">
        <f>IF(B740=1,3,IF(D740=1,2,IF(F740=1,1,0)))</f>
        <v>0</v>
      </c>
      <c r="B740" s="4" t="str">
        <f>IF(C740=$L740,1,IF(C740="","",0))</f>
        <v/>
      </c>
      <c r="C740" s="42"/>
      <c r="D740" s="4" t="str">
        <f>IF(E740=$L740,1,IF(E740="","",0))</f>
        <v/>
      </c>
      <c r="E740" s="14"/>
      <c r="F740" s="4" t="str">
        <f>IF(G740=$L740,1,IF(G740="","",0))</f>
        <v/>
      </c>
      <c r="G740" s="14"/>
      <c r="H740" s="6">
        <v>1729</v>
      </c>
      <c r="I740" s="15" t="s">
        <v>3120</v>
      </c>
      <c r="J740" s="6" t="s">
        <v>4837</v>
      </c>
      <c r="K740" s="6"/>
      <c r="L740" s="6" t="s">
        <v>1809</v>
      </c>
      <c r="M740" s="6" t="s">
        <v>7835</v>
      </c>
      <c r="N740" s="7">
        <f ca="1">RAND()</f>
        <v>0.57961751635391467</v>
      </c>
      <c r="O740" s="8">
        <v>45211</v>
      </c>
      <c r="P740" s="8">
        <v>45212</v>
      </c>
      <c r="Q740" s="8">
        <v>45214</v>
      </c>
      <c r="R740" s="8">
        <v>45218</v>
      </c>
      <c r="S740" s="8">
        <v>45225</v>
      </c>
      <c r="T740" s="8">
        <v>45237</v>
      </c>
      <c r="U740" s="8">
        <v>45792</v>
      </c>
      <c r="V740" s="10">
        <f>COUNTA(O740:U740)</f>
        <v>7</v>
      </c>
      <c r="W740" s="11">
        <f>_xlfn.IFNA(INDEX(reading[[#This Row],[Memo 01]:[Memo 07]],MATCH(0,reading[[#This Row],[Memo 01]:[Memo 07]],-1)),"")</f>
        <v>45792</v>
      </c>
      <c r="X740" s="11">
        <f ca="1">IFERROR(reading[[#This Row],[Previous]]+OFFSET(reading[[#Headers],[Memo 01]],-1,MATCH(0,reading[[#This Row],[Memo 01]:[Memo 07]],-1)-1),"")</f>
        <v>55792</v>
      </c>
      <c r="Y740" s="10" t="str">
        <f ca="1">IF(reading[[#This Row],[Next]]&lt;&gt;"",IF(reading[[#This Row],[Next]]&gt;TODAY(),"OK",""),"")</f>
        <v>OK</v>
      </c>
      <c r="Z740" s="13">
        <v>3</v>
      </c>
      <c r="AA740" s="13">
        <v>3</v>
      </c>
      <c r="AB740" s="13">
        <v>3</v>
      </c>
      <c r="AC740" s="13">
        <v>3</v>
      </c>
      <c r="AD740" s="13">
        <v>3</v>
      </c>
      <c r="AE740" s="13">
        <v>3</v>
      </c>
      <c r="AF740" s="13">
        <v>3</v>
      </c>
      <c r="AG740" s="16">
        <f>IFERROR(SUMIF(reading[[#This Row],[1st]:[7th]],"&gt;0")/COUNTIF(reading[[#This Row],[1st]:[7th]],"&gt;0"),"")</f>
        <v>3</v>
      </c>
    </row>
    <row r="741" spans="1:33" hidden="1" x14ac:dyDescent="0.2">
      <c r="A741" s="4">
        <f>IF(B741=1,3,IF(D741=1,2,IF(F741=1,1,0)))</f>
        <v>0</v>
      </c>
      <c r="B741" s="4" t="str">
        <f>IF(C741=$L741,1,IF(C741="","",0))</f>
        <v/>
      </c>
      <c r="C741" s="42"/>
      <c r="D741" s="4" t="str">
        <f>IF(E741=$L741,1,IF(E741="","",0))</f>
        <v/>
      </c>
      <c r="E741" s="18"/>
      <c r="F741" s="4" t="str">
        <f>IF(G741=$L741,1,IF(G741="","",0))</f>
        <v/>
      </c>
      <c r="G741" s="14"/>
      <c r="H741" s="6">
        <v>1502</v>
      </c>
      <c r="I741" s="15" t="s">
        <v>3120</v>
      </c>
      <c r="J741" s="6" t="s">
        <v>4616</v>
      </c>
      <c r="K741" s="6"/>
      <c r="L741" s="6" t="s">
        <v>1587</v>
      </c>
      <c r="M741" s="6" t="s">
        <v>7609</v>
      </c>
      <c r="N741" s="7">
        <f ca="1">RAND()</f>
        <v>0.917838503688851</v>
      </c>
      <c r="O741" s="8">
        <v>45209</v>
      </c>
      <c r="P741" s="8">
        <v>45210</v>
      </c>
      <c r="Q741" s="8">
        <v>45212</v>
      </c>
      <c r="R741" s="8">
        <v>45216</v>
      </c>
      <c r="S741" s="8">
        <v>45223</v>
      </c>
      <c r="T741" s="8">
        <v>45235</v>
      </c>
      <c r="U741" s="8">
        <v>45801</v>
      </c>
      <c r="V741" s="10">
        <f>COUNTA(O741:U741)</f>
        <v>7</v>
      </c>
      <c r="W741" s="11">
        <f>_xlfn.IFNA(INDEX(reading[[#This Row],[Memo 01]:[Memo 07]],MATCH(0,reading[[#This Row],[Memo 01]:[Memo 07]],-1)),"")</f>
        <v>45801</v>
      </c>
      <c r="X741" s="11">
        <f ca="1">IFERROR(reading[[#This Row],[Previous]]+OFFSET(reading[[#Headers],[Memo 01]],-1,MATCH(0,reading[[#This Row],[Memo 01]:[Memo 07]],-1)-1),"")</f>
        <v>55801</v>
      </c>
      <c r="Y741" s="10" t="str">
        <f ca="1">IF(reading[[#This Row],[Next]]&lt;&gt;"",IF(reading[[#This Row],[Next]]&gt;TODAY(),"OK",""),"")</f>
        <v>OK</v>
      </c>
      <c r="Z741" s="13">
        <v>3</v>
      </c>
      <c r="AA741" s="13">
        <v>3</v>
      </c>
      <c r="AB741" s="13">
        <v>3</v>
      </c>
      <c r="AC741" s="13">
        <v>2</v>
      </c>
      <c r="AD741" s="13">
        <v>2</v>
      </c>
      <c r="AE741" s="13">
        <v>3</v>
      </c>
      <c r="AF741" s="13">
        <v>3</v>
      </c>
      <c r="AG741" s="16">
        <f>IFERROR(SUMIF(reading[[#This Row],[1st]:[7th]],"&gt;0")/COUNTIF(reading[[#This Row],[1st]:[7th]],"&gt;0"),"")</f>
        <v>2.7142857142857144</v>
      </c>
    </row>
    <row r="742" spans="1:33" hidden="1" x14ac:dyDescent="0.2">
      <c r="A742" s="4">
        <f>IF(B742=1,3,IF(D742=1,2,IF(F742=1,1,0)))</f>
        <v>0</v>
      </c>
      <c r="B742" s="4" t="str">
        <f>IF(C742=$L742,1,IF(C742="","",0))</f>
        <v/>
      </c>
      <c r="C742" s="42"/>
      <c r="D742" s="4" t="str">
        <f>IF(E742=$L742,1,IF(E742="","",0))</f>
        <v/>
      </c>
      <c r="E742" s="14"/>
      <c r="F742" s="4" t="str">
        <f>IF(G742=$L742,1,IF(G742="","",0))</f>
        <v/>
      </c>
      <c r="G742" s="14"/>
      <c r="H742" s="6">
        <v>1382</v>
      </c>
      <c r="I742" s="15" t="s">
        <v>3120</v>
      </c>
      <c r="J742" s="6" t="s">
        <v>4496</v>
      </c>
      <c r="K742" s="6"/>
      <c r="L742" s="6" t="s">
        <v>1476</v>
      </c>
      <c r="M742" s="6" t="s">
        <v>7489</v>
      </c>
      <c r="N742" s="7">
        <f ca="1">RAND()</f>
        <v>0.37563285384242251</v>
      </c>
      <c r="O742" s="8">
        <v>45207</v>
      </c>
      <c r="P742" s="8">
        <v>45208</v>
      </c>
      <c r="Q742" s="8">
        <v>45210</v>
      </c>
      <c r="R742" s="8">
        <v>45214</v>
      </c>
      <c r="S742" s="8">
        <v>45221</v>
      </c>
      <c r="T742" s="8">
        <v>45233</v>
      </c>
      <c r="U742" s="8">
        <v>45824</v>
      </c>
      <c r="V742" s="10">
        <f>COUNTA(O742:U742)</f>
        <v>7</v>
      </c>
      <c r="W742" s="11">
        <f>_xlfn.IFNA(INDEX(reading[[#This Row],[Memo 01]:[Memo 07]],MATCH(0,reading[[#This Row],[Memo 01]:[Memo 07]],-1)),"")</f>
        <v>45824</v>
      </c>
      <c r="X742" s="11">
        <f ca="1">IFERROR(reading[[#This Row],[Previous]]+OFFSET(reading[[#Headers],[Memo 01]],-1,MATCH(0,reading[[#This Row],[Memo 01]:[Memo 07]],-1)-1),"")</f>
        <v>55824</v>
      </c>
      <c r="Y742" s="10" t="str">
        <f ca="1">IF(reading[[#This Row],[Next]]&lt;&gt;"",IF(reading[[#This Row],[Next]]&gt;TODAY(),"OK",""),"")</f>
        <v>OK</v>
      </c>
      <c r="Z742" s="13">
        <v>3</v>
      </c>
      <c r="AA742" s="13">
        <v>3</v>
      </c>
      <c r="AB742" s="13">
        <v>3</v>
      </c>
      <c r="AC742" s="13">
        <v>3</v>
      </c>
      <c r="AD742" s="13">
        <v>3</v>
      </c>
      <c r="AE742" s="13">
        <v>3</v>
      </c>
      <c r="AF742" s="13">
        <v>3</v>
      </c>
      <c r="AG742" s="16">
        <f>IFERROR(SUMIF(reading[[#This Row],[1st]:[7th]],"&gt;0")/COUNTIF(reading[[#This Row],[1st]:[7th]],"&gt;0"),"")</f>
        <v>3</v>
      </c>
    </row>
    <row r="743" spans="1:33" hidden="1" x14ac:dyDescent="0.2">
      <c r="A743" s="4">
        <f>IF(B743=1,3,IF(D743=1,2,IF(F743=1,1,0)))</f>
        <v>3</v>
      </c>
      <c r="B743" s="4">
        <f>IF(C743=$L743,1,IF(C743="","",0))</f>
        <v>1</v>
      </c>
      <c r="C743" s="21" t="s">
        <v>865</v>
      </c>
      <c r="D743" s="4" t="str">
        <f>IF(E743=$L743,1,IF(E743="","",0))</f>
        <v/>
      </c>
      <c r="E743" s="14"/>
      <c r="F743" s="4" t="str">
        <f>IF(G743=$L743,1,IF(G743="","",0))</f>
        <v/>
      </c>
      <c r="G743" s="14"/>
      <c r="H743" s="6">
        <v>746</v>
      </c>
      <c r="I743" s="15" t="s">
        <v>3120</v>
      </c>
      <c r="J743" s="6" t="s">
        <v>3882</v>
      </c>
      <c r="K743" s="6"/>
      <c r="L743" s="6" t="s">
        <v>865</v>
      </c>
      <c r="M743" s="6" t="s">
        <v>6855</v>
      </c>
      <c r="N743" s="7">
        <f ca="1">RAND()</f>
        <v>0.44594029664261758</v>
      </c>
      <c r="O743" s="8">
        <v>45203</v>
      </c>
      <c r="P743" s="8">
        <v>45203</v>
      </c>
      <c r="Q743" s="8">
        <v>45203</v>
      </c>
      <c r="R743" s="8">
        <v>45203</v>
      </c>
      <c r="S743" s="8">
        <v>45203</v>
      </c>
      <c r="T743" s="8">
        <v>45203</v>
      </c>
      <c r="U743" s="8">
        <v>45203</v>
      </c>
      <c r="V743" s="10">
        <f>COUNTA(O743:U743)</f>
        <v>7</v>
      </c>
      <c r="W743" s="11">
        <f>_xlfn.IFNA(INDEX(reading[[#This Row],[Memo 01]:[Memo 07]],MATCH(0,reading[[#This Row],[Memo 01]:[Memo 07]],-1)),"")</f>
        <v>45203</v>
      </c>
      <c r="X743" s="11">
        <f ca="1">IFERROR(reading[[#This Row],[Previous]]+OFFSET(reading[[#Headers],[Memo 01]],-1,MATCH(0,reading[[#This Row],[Memo 01]:[Memo 07]],-1)-1),"")</f>
        <v>55203</v>
      </c>
      <c r="Y743" s="10" t="str">
        <f ca="1">IF(reading[[#This Row],[Next]]&lt;&gt;"",IF(reading[[#This Row],[Next]]&gt;TODAY(),"OK",""),"")</f>
        <v>OK</v>
      </c>
      <c r="Z743" s="13">
        <v>3</v>
      </c>
      <c r="AA743" s="13"/>
      <c r="AB743" s="13"/>
      <c r="AC743" s="13"/>
      <c r="AD743" s="13"/>
      <c r="AE743" s="13"/>
      <c r="AF743" s="13"/>
      <c r="AG743" s="16">
        <f>IFERROR(SUMIF(reading[[#This Row],[1st]:[7th]],"&gt;0")/COUNTIF(reading[[#This Row],[1st]:[7th]],"&gt;0"),"")</f>
        <v>3</v>
      </c>
    </row>
    <row r="744" spans="1:33" hidden="1" x14ac:dyDescent="0.2">
      <c r="A744" s="4">
        <f>IF(B744=1,3,IF(D744=1,2,IF(F744=1,1,0)))</f>
        <v>0</v>
      </c>
      <c r="B744" s="4" t="str">
        <f>IF(C744=$L744,1,IF(C744="","",0))</f>
        <v/>
      </c>
      <c r="C744" s="42"/>
      <c r="D744" s="4" t="str">
        <f>IF(E744=$L744,1,IF(E744="","",0))</f>
        <v/>
      </c>
      <c r="E744" s="14"/>
      <c r="F744" s="4" t="str">
        <f>IF(G744=$L744,1,IF(G744="","",0))</f>
        <v/>
      </c>
      <c r="G744" s="14"/>
      <c r="H744" s="6">
        <v>1111</v>
      </c>
      <c r="I744" s="15" t="s">
        <v>3120</v>
      </c>
      <c r="J744" s="6" t="s">
        <v>4234</v>
      </c>
      <c r="K744" s="6"/>
      <c r="L744" s="6" t="s">
        <v>1217</v>
      </c>
      <c r="M744" s="6" t="s">
        <v>7219</v>
      </c>
      <c r="N744" s="7">
        <f ca="1">RAND()</f>
        <v>0.44010953007219678</v>
      </c>
      <c r="O744" s="8">
        <v>45205</v>
      </c>
      <c r="P744" s="8">
        <v>45206</v>
      </c>
      <c r="Q744" s="8">
        <v>45208</v>
      </c>
      <c r="R744" s="8">
        <v>45212</v>
      </c>
      <c r="S744" s="8">
        <v>45219</v>
      </c>
      <c r="T744" s="8">
        <v>45231</v>
      </c>
      <c r="U744" s="8">
        <v>45792</v>
      </c>
      <c r="V744" s="10">
        <f>COUNTA(O744:U744)</f>
        <v>7</v>
      </c>
      <c r="W744" s="11">
        <f>_xlfn.IFNA(INDEX(reading[[#This Row],[Memo 01]:[Memo 07]],MATCH(0,reading[[#This Row],[Memo 01]:[Memo 07]],-1)),"")</f>
        <v>45792</v>
      </c>
      <c r="X744" s="11">
        <f ca="1">IFERROR(reading[[#This Row],[Previous]]+OFFSET(reading[[#Headers],[Memo 01]],-1,MATCH(0,reading[[#This Row],[Memo 01]:[Memo 07]],-1)-1),"")</f>
        <v>55792</v>
      </c>
      <c r="Y744" s="10" t="str">
        <f ca="1">IF(reading[[#This Row],[Next]]&lt;&gt;"",IF(reading[[#This Row],[Next]]&gt;TODAY(),"OK",""),"")</f>
        <v>OK</v>
      </c>
      <c r="Z744" s="13">
        <v>3</v>
      </c>
      <c r="AA744" s="13">
        <v>3</v>
      </c>
      <c r="AB744" s="13">
        <v>3</v>
      </c>
      <c r="AC744" s="13">
        <v>3</v>
      </c>
      <c r="AD744" s="13">
        <v>3</v>
      </c>
      <c r="AE744" s="13">
        <v>2</v>
      </c>
      <c r="AF744" s="13">
        <v>3</v>
      </c>
      <c r="AG744" s="16">
        <f>IFERROR(SUMIF(reading[[#This Row],[1st]:[7th]],"&gt;0")/COUNTIF(reading[[#This Row],[1st]:[7th]],"&gt;0"),"")</f>
        <v>2.8571428571428572</v>
      </c>
    </row>
    <row r="745" spans="1:33" hidden="1" x14ac:dyDescent="0.2">
      <c r="A745" s="4">
        <f>IF(B745=1,3,IF(D745=1,2,IF(F745=1,1,0)))</f>
        <v>0</v>
      </c>
      <c r="B745" s="4" t="str">
        <f>IF(C745=$L745,1,IF(C745="","",0))</f>
        <v/>
      </c>
      <c r="C745" s="42"/>
      <c r="D745" s="4" t="str">
        <f>IF(E745=$L745,1,IF(E745="","",0))</f>
        <v/>
      </c>
      <c r="E745" s="14"/>
      <c r="F745" s="4" t="str">
        <f>IF(G745=$L745,1,IF(G745="","",0))</f>
        <v/>
      </c>
      <c r="G745" s="14"/>
      <c r="H745" s="6">
        <v>591</v>
      </c>
      <c r="I745" s="15" t="s">
        <v>3120</v>
      </c>
      <c r="J745" s="6" t="s">
        <v>3734</v>
      </c>
      <c r="K745" s="6"/>
      <c r="L745" s="6" t="s">
        <v>717</v>
      </c>
      <c r="M745" s="6" t="s">
        <v>6700</v>
      </c>
      <c r="N745" s="7">
        <f ca="1">RAND()</f>
        <v>0.56048882265555722</v>
      </c>
      <c r="O745" s="8">
        <v>45202</v>
      </c>
      <c r="P745" s="8">
        <v>45203</v>
      </c>
      <c r="Q745" s="8">
        <v>45205</v>
      </c>
      <c r="R745" s="8">
        <v>45209</v>
      </c>
      <c r="S745" s="8">
        <v>45216</v>
      </c>
      <c r="T745" s="8">
        <v>45228</v>
      </c>
      <c r="U745" s="8">
        <v>45819</v>
      </c>
      <c r="V745" s="10">
        <f>COUNTA(O745:U745)</f>
        <v>7</v>
      </c>
      <c r="W745" s="11">
        <f>_xlfn.IFNA(INDEX(reading[[#This Row],[Memo 01]:[Memo 07]],MATCH(0,reading[[#This Row],[Memo 01]:[Memo 07]],-1)),"")</f>
        <v>45819</v>
      </c>
      <c r="X745" s="11">
        <f ca="1">IFERROR(reading[[#This Row],[Previous]]+OFFSET(reading[[#Headers],[Memo 01]],-1,MATCH(0,reading[[#This Row],[Memo 01]:[Memo 07]],-1)-1),"")</f>
        <v>55819</v>
      </c>
      <c r="Y745" s="10" t="str">
        <f ca="1">IF(reading[[#This Row],[Next]]&lt;&gt;"",IF(reading[[#This Row],[Next]]&gt;TODAY(),"OK",""),"")</f>
        <v>OK</v>
      </c>
      <c r="Z745" s="13">
        <v>3</v>
      </c>
      <c r="AA745" s="13">
        <v>3</v>
      </c>
      <c r="AB745" s="13">
        <v>3</v>
      </c>
      <c r="AC745" s="13">
        <v>3</v>
      </c>
      <c r="AD745" s="13">
        <v>3</v>
      </c>
      <c r="AE745" s="13">
        <v>3</v>
      </c>
      <c r="AF745" s="13">
        <v>3</v>
      </c>
      <c r="AG745" s="16">
        <f>IFERROR(SUMIF(reading[[#This Row],[1st]:[7th]],"&gt;0")/COUNTIF(reading[[#This Row],[1st]:[7th]],"&gt;0"),"")</f>
        <v>3</v>
      </c>
    </row>
    <row r="746" spans="1:33" hidden="1" x14ac:dyDescent="0.2">
      <c r="A746" s="4">
        <f>IF(B746=1,3,IF(D746=1,2,IF(F746=1,1,0)))</f>
        <v>0</v>
      </c>
      <c r="B746" s="4" t="str">
        <f>IF(C746=$L746,1,IF(C746="","",0))</f>
        <v/>
      </c>
      <c r="C746" s="42"/>
      <c r="D746" s="4" t="str">
        <f>IF(E746=$L746,1,IF(E746="","",0))</f>
        <v/>
      </c>
      <c r="E746" s="43"/>
      <c r="F746" s="4" t="str">
        <f>IF(G746=$L746,1,IF(G746="","",0))</f>
        <v/>
      </c>
      <c r="G746" s="23"/>
      <c r="H746" s="6">
        <v>2079</v>
      </c>
      <c r="I746" s="15" t="s">
        <v>3120</v>
      </c>
      <c r="J746" s="6" t="s">
        <v>4725</v>
      </c>
      <c r="K746" s="15" t="s">
        <v>3139</v>
      </c>
      <c r="L746" s="6" t="s">
        <v>2150</v>
      </c>
      <c r="M746" s="6" t="s">
        <v>8185</v>
      </c>
      <c r="N746" s="7">
        <f ca="1">RAND()</f>
        <v>0.76578740280717605</v>
      </c>
      <c r="O746" s="8">
        <v>45214</v>
      </c>
      <c r="P746" s="8">
        <v>45215</v>
      </c>
      <c r="Q746" s="8">
        <v>45217</v>
      </c>
      <c r="R746" s="8">
        <v>45221</v>
      </c>
      <c r="S746" s="8">
        <v>45228</v>
      </c>
      <c r="T746" s="8">
        <v>45250</v>
      </c>
      <c r="U746" s="8">
        <v>45811</v>
      </c>
      <c r="V746" s="10">
        <f>COUNTA(O746:U746)</f>
        <v>7</v>
      </c>
      <c r="W746" s="11">
        <f>_xlfn.IFNA(INDEX(reading[[#This Row],[Memo 01]:[Memo 07]],MATCH(0,reading[[#This Row],[Memo 01]:[Memo 07]],-1)),"")</f>
        <v>45811</v>
      </c>
      <c r="X746" s="11">
        <f ca="1">IFERROR(reading[[#This Row],[Previous]]+OFFSET(reading[[#Headers],[Memo 01]],-1,MATCH(0,reading[[#This Row],[Memo 01]:[Memo 07]],-1)-1),"")</f>
        <v>55811</v>
      </c>
      <c r="Y746" s="10" t="str">
        <f ca="1">IF(reading[[#This Row],[Next]]&lt;&gt;"",IF(reading[[#This Row],[Next]]&gt;TODAY(),"OK",""),"")</f>
        <v>OK</v>
      </c>
      <c r="Z746" s="13">
        <v>3</v>
      </c>
      <c r="AA746" s="13">
        <v>2</v>
      </c>
      <c r="AB746" s="13">
        <v>2</v>
      </c>
      <c r="AC746" s="13">
        <v>3</v>
      </c>
      <c r="AD746" s="13">
        <v>2</v>
      </c>
      <c r="AE746" s="13">
        <v>2</v>
      </c>
      <c r="AF746" s="13">
        <v>1</v>
      </c>
      <c r="AG746" s="16">
        <f>IFERROR(SUMIF(reading[[#This Row],[1st]:[7th]],"&gt;0")/COUNTIF(reading[[#This Row],[1st]:[7th]],"&gt;0"),"")</f>
        <v>2.1428571428571428</v>
      </c>
    </row>
    <row r="747" spans="1:33" hidden="1" x14ac:dyDescent="0.2">
      <c r="A747" s="4">
        <f>IF(B747=1,3,IF(D747=1,2,IF(F747=1,1,0)))</f>
        <v>0</v>
      </c>
      <c r="B747" s="4" t="str">
        <f>IF(C747=$L747,1,IF(C747="","",0))</f>
        <v/>
      </c>
      <c r="C747" s="42"/>
      <c r="D747" s="4" t="str">
        <f>IF(E747=$L747,1,IF(E747="","",0))</f>
        <v/>
      </c>
      <c r="E747" s="14"/>
      <c r="F747" s="4" t="str">
        <f>IF(G747=$L747,1,IF(G747="","",0))</f>
        <v/>
      </c>
      <c r="G747" s="14"/>
      <c r="H747" s="6">
        <v>552</v>
      </c>
      <c r="I747" s="15" t="s">
        <v>3120</v>
      </c>
      <c r="J747" s="6" t="s">
        <v>3697</v>
      </c>
      <c r="K747" s="6"/>
      <c r="L747" s="6" t="s">
        <v>679</v>
      </c>
      <c r="M747" s="6" t="s">
        <v>6661</v>
      </c>
      <c r="N747" s="7">
        <f ca="1">RAND()</f>
        <v>0.93270033013526366</v>
      </c>
      <c r="O747" s="8">
        <v>45202</v>
      </c>
      <c r="P747" s="8">
        <v>45203</v>
      </c>
      <c r="Q747" s="8">
        <v>45205</v>
      </c>
      <c r="R747" s="8">
        <v>45209</v>
      </c>
      <c r="S747" s="8">
        <v>45216</v>
      </c>
      <c r="T747" s="8">
        <v>45228</v>
      </c>
      <c r="U747" s="8">
        <v>45824</v>
      </c>
      <c r="V747" s="10">
        <f>COUNTA(O747:U747)</f>
        <v>7</v>
      </c>
      <c r="W747" s="11">
        <f>_xlfn.IFNA(INDEX(reading[[#This Row],[Memo 01]:[Memo 07]],MATCH(0,reading[[#This Row],[Memo 01]:[Memo 07]],-1)),"")</f>
        <v>45824</v>
      </c>
      <c r="X747" s="11">
        <f ca="1">IFERROR(reading[[#This Row],[Previous]]+OFFSET(reading[[#Headers],[Memo 01]],-1,MATCH(0,reading[[#This Row],[Memo 01]:[Memo 07]],-1)-1),"")</f>
        <v>55824</v>
      </c>
      <c r="Y747" s="10" t="str">
        <f ca="1">IF(reading[[#This Row],[Next]]&lt;&gt;"",IF(reading[[#This Row],[Next]]&gt;TODAY(),"OK",""),"")</f>
        <v>OK</v>
      </c>
      <c r="Z747" s="13">
        <v>3</v>
      </c>
      <c r="AA747" s="13">
        <v>3</v>
      </c>
      <c r="AB747" s="13">
        <v>3</v>
      </c>
      <c r="AC747" s="13">
        <v>3</v>
      </c>
      <c r="AD747" s="13">
        <v>3</v>
      </c>
      <c r="AE747" s="13">
        <v>3</v>
      </c>
      <c r="AF747" s="13">
        <v>3</v>
      </c>
      <c r="AG747" s="16">
        <f>IFERROR(SUMIF(reading[[#This Row],[1st]:[7th]],"&gt;0")/COUNTIF(reading[[#This Row],[1st]:[7th]],"&gt;0"),"")</f>
        <v>3</v>
      </c>
    </row>
    <row r="748" spans="1:33" hidden="1" x14ac:dyDescent="0.2">
      <c r="A748" s="4">
        <f>IF(B748=1,3,IF(D748=1,2,IF(F748=1,1,0)))</f>
        <v>0</v>
      </c>
      <c r="B748" s="4" t="str">
        <f>IF(C748=$L748,1,IF(C748="","",0))</f>
        <v/>
      </c>
      <c r="C748" s="42"/>
      <c r="D748" s="4" t="str">
        <f>IF(E748=$L748,1,IF(E748="","",0))</f>
        <v/>
      </c>
      <c r="E748" s="43"/>
      <c r="F748" s="4" t="str">
        <f>IF(G748=$L748,1,IF(G748="","",0))</f>
        <v/>
      </c>
      <c r="G748" s="18"/>
      <c r="H748" s="6">
        <v>2020</v>
      </c>
      <c r="I748" s="15" t="s">
        <v>3120</v>
      </c>
      <c r="J748" s="6" t="s">
        <v>5117</v>
      </c>
      <c r="K748" s="6"/>
      <c r="L748" s="6" t="s">
        <v>2095</v>
      </c>
      <c r="M748" s="6" t="s">
        <v>8126</v>
      </c>
      <c r="N748" s="7">
        <f ca="1">RAND()</f>
        <v>0.86157410277094126</v>
      </c>
      <c r="O748" s="8">
        <v>45214</v>
      </c>
      <c r="P748" s="8">
        <v>45215</v>
      </c>
      <c r="Q748" s="8">
        <v>45217</v>
      </c>
      <c r="R748" s="8">
        <v>45221</v>
      </c>
      <c r="S748" s="8">
        <v>45228</v>
      </c>
      <c r="T748" s="8">
        <v>45249</v>
      </c>
      <c r="U748" s="8">
        <v>45815</v>
      </c>
      <c r="V748" s="10">
        <f>COUNTA(O748:U748)</f>
        <v>7</v>
      </c>
      <c r="W748" s="11">
        <f>_xlfn.IFNA(INDEX(reading[[#This Row],[Memo 01]:[Memo 07]],MATCH(0,reading[[#This Row],[Memo 01]:[Memo 07]],-1)),"")</f>
        <v>45815</v>
      </c>
      <c r="X748" s="11">
        <f ca="1">IFERROR(reading[[#This Row],[Previous]]+OFFSET(reading[[#Headers],[Memo 01]],-1,MATCH(0,reading[[#This Row],[Memo 01]:[Memo 07]],-1)-1),"")</f>
        <v>55815</v>
      </c>
      <c r="Y748" s="10" t="str">
        <f ca="1">IF(reading[[#This Row],[Next]]&lt;&gt;"",IF(reading[[#This Row],[Next]]&gt;TODAY(),"OK",""),"")</f>
        <v>OK</v>
      </c>
      <c r="Z748" s="13">
        <v>3</v>
      </c>
      <c r="AA748" s="13">
        <v>3</v>
      </c>
      <c r="AB748" s="13">
        <v>2</v>
      </c>
      <c r="AC748" s="13">
        <v>1</v>
      </c>
      <c r="AD748" s="13">
        <v>3</v>
      </c>
      <c r="AE748" s="13">
        <v>2</v>
      </c>
      <c r="AF748" s="13">
        <v>2</v>
      </c>
      <c r="AG748" s="16">
        <f>IFERROR(SUMIF(reading[[#This Row],[1st]:[7th]],"&gt;0")/COUNTIF(reading[[#This Row],[1st]:[7th]],"&gt;0"),"")</f>
        <v>2.2857142857142856</v>
      </c>
    </row>
    <row r="749" spans="1:33" hidden="1" x14ac:dyDescent="0.2">
      <c r="A749" s="4">
        <f>IF(B749=1,3,IF(D749=1,2,IF(F749=1,1,0)))</f>
        <v>0</v>
      </c>
      <c r="B749" s="4" t="str">
        <f>IF(C749=$L749,1,IF(C749="","",0))</f>
        <v/>
      </c>
      <c r="C749" s="42"/>
      <c r="D749" s="4" t="str">
        <f>IF(E749=$L749,1,IF(E749="","",0))</f>
        <v/>
      </c>
      <c r="E749" s="14"/>
      <c r="F749" s="4" t="str">
        <f>IF(G749=$L749,1,IF(G749="","",0))</f>
        <v/>
      </c>
      <c r="G749" s="14"/>
      <c r="H749" s="6">
        <v>2734</v>
      </c>
      <c r="I749" s="15" t="s">
        <v>3120</v>
      </c>
      <c r="J749" s="6" t="s">
        <v>5782</v>
      </c>
      <c r="K749" s="6"/>
      <c r="L749" s="6" t="s">
        <v>2772</v>
      </c>
      <c r="M749" s="6" t="s">
        <v>8839</v>
      </c>
      <c r="N749" s="7">
        <f ca="1">RAND()</f>
        <v>1.6978708715133073E-2</v>
      </c>
      <c r="O749" s="8">
        <v>45221</v>
      </c>
      <c r="P749" s="8">
        <v>45222</v>
      </c>
      <c r="Q749" s="8">
        <v>45224</v>
      </c>
      <c r="R749" s="8">
        <v>45228</v>
      </c>
      <c r="S749" s="8">
        <v>45235</v>
      </c>
      <c r="T749" s="8">
        <v>45792</v>
      </c>
      <c r="U749" s="8">
        <v>45819</v>
      </c>
      <c r="V749" s="10">
        <f>COUNTA(O749:U749)</f>
        <v>7</v>
      </c>
      <c r="W749" s="11">
        <f>_xlfn.IFNA(INDEX(reading[[#This Row],[Memo 01]:[Memo 07]],MATCH(0,reading[[#This Row],[Memo 01]:[Memo 07]],-1)),"")</f>
        <v>45819</v>
      </c>
      <c r="X749" s="11">
        <f ca="1">IFERROR(reading[[#This Row],[Previous]]+OFFSET(reading[[#Headers],[Memo 01]],-1,MATCH(0,reading[[#This Row],[Memo 01]:[Memo 07]],-1)-1),"")</f>
        <v>55819</v>
      </c>
      <c r="Y749" s="10" t="str">
        <f ca="1">IF(reading[[#This Row],[Next]]&lt;&gt;"",IF(reading[[#This Row],[Next]]&gt;TODAY(),"OK",""),"")</f>
        <v>OK</v>
      </c>
      <c r="Z749" s="13">
        <v>3</v>
      </c>
      <c r="AA749" s="13">
        <v>3</v>
      </c>
      <c r="AB749" s="13">
        <v>3</v>
      </c>
      <c r="AC749" s="13">
        <v>3</v>
      </c>
      <c r="AD749" s="13">
        <v>3</v>
      </c>
      <c r="AE749" s="13">
        <v>3</v>
      </c>
      <c r="AF749" s="13">
        <v>3</v>
      </c>
      <c r="AG749" s="16">
        <f>IFERROR(SUMIF(reading[[#This Row],[1st]:[7th]],"&gt;0")/COUNTIF(reading[[#This Row],[1st]:[7th]],"&gt;0"),"")</f>
        <v>3</v>
      </c>
    </row>
    <row r="750" spans="1:33" hidden="1" x14ac:dyDescent="0.2">
      <c r="A750" s="4">
        <f>IF(B750=1,3,IF(D750=1,2,IF(F750=1,1,0)))</f>
        <v>3</v>
      </c>
      <c r="B750" s="4">
        <f>IF(C750=$L750,1,IF(C750="","",0))</f>
        <v>1</v>
      </c>
      <c r="C750" s="21" t="s">
        <v>872</v>
      </c>
      <c r="D750" s="4" t="str">
        <f>IF(E750=$L750,1,IF(E750="","",0))</f>
        <v/>
      </c>
      <c r="E750" s="14"/>
      <c r="F750" s="4" t="str">
        <f>IF(G750=$L750,1,IF(G750="","",0))</f>
        <v/>
      </c>
      <c r="G750" s="14"/>
      <c r="H750" s="6">
        <v>753</v>
      </c>
      <c r="I750" s="15" t="s">
        <v>3120</v>
      </c>
      <c r="J750" s="6" t="s">
        <v>3888</v>
      </c>
      <c r="K750" s="6"/>
      <c r="L750" s="6" t="s">
        <v>872</v>
      </c>
      <c r="M750" s="6" t="s">
        <v>6862</v>
      </c>
      <c r="N750" s="7">
        <f ca="1">RAND()</f>
        <v>0.1078919797541017</v>
      </c>
      <c r="O750" s="8">
        <v>45203</v>
      </c>
      <c r="P750" s="8">
        <v>45203</v>
      </c>
      <c r="Q750" s="8">
        <v>45203</v>
      </c>
      <c r="R750" s="8">
        <v>45203</v>
      </c>
      <c r="S750" s="8">
        <v>45203</v>
      </c>
      <c r="T750" s="8">
        <v>45203</v>
      </c>
      <c r="U750" s="8">
        <v>45203</v>
      </c>
      <c r="V750" s="10">
        <f>COUNTA(O750:U750)</f>
        <v>7</v>
      </c>
      <c r="W750" s="11">
        <f>_xlfn.IFNA(INDEX(reading[[#This Row],[Memo 01]:[Memo 07]],MATCH(0,reading[[#This Row],[Memo 01]:[Memo 07]],-1)),"")</f>
        <v>45203</v>
      </c>
      <c r="X750" s="11">
        <f ca="1">IFERROR(reading[[#This Row],[Previous]]+OFFSET(reading[[#Headers],[Memo 01]],-1,MATCH(0,reading[[#This Row],[Memo 01]:[Memo 07]],-1)-1),"")</f>
        <v>55203</v>
      </c>
      <c r="Y750" s="10" t="str">
        <f ca="1">IF(reading[[#This Row],[Next]]&lt;&gt;"",IF(reading[[#This Row],[Next]]&gt;TODAY(),"OK",""),"")</f>
        <v>OK</v>
      </c>
      <c r="Z750" s="13">
        <v>3</v>
      </c>
      <c r="AA750" s="13"/>
      <c r="AB750" s="13"/>
      <c r="AC750" s="13"/>
      <c r="AD750" s="13"/>
      <c r="AE750" s="13"/>
      <c r="AF750" s="13"/>
      <c r="AG750" s="16">
        <f>IFERROR(SUMIF(reading[[#This Row],[1st]:[7th]],"&gt;0")/COUNTIF(reading[[#This Row],[1st]:[7th]],"&gt;0"),"")</f>
        <v>3</v>
      </c>
    </row>
    <row r="751" spans="1:33" hidden="1" x14ac:dyDescent="0.2">
      <c r="A751" s="4">
        <f>IF(B751=1,3,IF(D751=1,2,IF(F751=1,1,0)))</f>
        <v>3</v>
      </c>
      <c r="B751" s="4">
        <f>IF(C751=$L751,1,IF(C751="","",0))</f>
        <v>1</v>
      </c>
      <c r="C751" s="21" t="s">
        <v>873</v>
      </c>
      <c r="D751" s="4" t="str">
        <f>IF(E751=$L751,1,IF(E751="","",0))</f>
        <v/>
      </c>
      <c r="E751" s="14"/>
      <c r="F751" s="4" t="str">
        <f>IF(G751=$L751,1,IF(G751="","",0))</f>
        <v/>
      </c>
      <c r="G751" s="14"/>
      <c r="H751" s="6">
        <v>754</v>
      </c>
      <c r="I751" s="15" t="s">
        <v>3120</v>
      </c>
      <c r="J751" s="6" t="s">
        <v>3889</v>
      </c>
      <c r="K751" s="6"/>
      <c r="L751" s="6" t="s">
        <v>873</v>
      </c>
      <c r="M751" s="6" t="s">
        <v>6863</v>
      </c>
      <c r="N751" s="7">
        <f ca="1">RAND()</f>
        <v>0.23824026703249046</v>
      </c>
      <c r="O751" s="8">
        <v>45203</v>
      </c>
      <c r="P751" s="8">
        <v>45203</v>
      </c>
      <c r="Q751" s="8">
        <v>45203</v>
      </c>
      <c r="R751" s="8">
        <v>45203</v>
      </c>
      <c r="S751" s="8">
        <v>45203</v>
      </c>
      <c r="T751" s="8">
        <v>45203</v>
      </c>
      <c r="U751" s="8">
        <v>45203</v>
      </c>
      <c r="V751" s="10">
        <f>COUNTA(O751:U751)</f>
        <v>7</v>
      </c>
      <c r="W751" s="11">
        <f>_xlfn.IFNA(INDEX(reading[[#This Row],[Memo 01]:[Memo 07]],MATCH(0,reading[[#This Row],[Memo 01]:[Memo 07]],-1)),"")</f>
        <v>45203</v>
      </c>
      <c r="X751" s="11">
        <f ca="1">IFERROR(reading[[#This Row],[Previous]]+OFFSET(reading[[#Headers],[Memo 01]],-1,MATCH(0,reading[[#This Row],[Memo 01]:[Memo 07]],-1)-1),"")</f>
        <v>55203</v>
      </c>
      <c r="Y751" s="10" t="str">
        <f ca="1">IF(reading[[#This Row],[Next]]&lt;&gt;"",IF(reading[[#This Row],[Next]]&gt;TODAY(),"OK",""),"")</f>
        <v>OK</v>
      </c>
      <c r="Z751" s="13">
        <v>3</v>
      </c>
      <c r="AA751" s="13"/>
      <c r="AB751" s="13"/>
      <c r="AC751" s="13"/>
      <c r="AD751" s="13"/>
      <c r="AE751" s="13"/>
      <c r="AF751" s="13"/>
      <c r="AG751" s="16">
        <f>IFERROR(SUMIF(reading[[#This Row],[1st]:[7th]],"&gt;0")/COUNTIF(reading[[#This Row],[1st]:[7th]],"&gt;0"),"")</f>
        <v>3</v>
      </c>
    </row>
    <row r="752" spans="1:33" hidden="1" x14ac:dyDescent="0.2">
      <c r="A752" s="4">
        <f>IF(B752=1,3,IF(D752=1,2,IF(F752=1,1,0)))</f>
        <v>0</v>
      </c>
      <c r="B752" s="4" t="str">
        <f>IF(C752=$L752,1,IF(C752="","",0))</f>
        <v/>
      </c>
      <c r="C752" s="42"/>
      <c r="D752" s="4" t="str">
        <f>IF(E752=$L752,1,IF(E752="","",0))</f>
        <v/>
      </c>
      <c r="E752" s="43"/>
      <c r="F752" s="4" t="str">
        <f>IF(G752=$L752,1,IF(G752="","",0))</f>
        <v/>
      </c>
      <c r="G752" s="14"/>
      <c r="H752" s="6">
        <v>1791</v>
      </c>
      <c r="I752" s="15" t="s">
        <v>3120</v>
      </c>
      <c r="J752" s="6" t="s">
        <v>4898</v>
      </c>
      <c r="K752" s="6"/>
      <c r="L752" s="6" t="s">
        <v>1870</v>
      </c>
      <c r="M752" s="6" t="s">
        <v>7897</v>
      </c>
      <c r="N752" s="7">
        <f ca="1">RAND()</f>
        <v>0.77935344094994374</v>
      </c>
      <c r="O752" s="8">
        <v>45213</v>
      </c>
      <c r="P752" s="8">
        <v>45214</v>
      </c>
      <c r="Q752" s="8">
        <v>45216</v>
      </c>
      <c r="R752" s="8">
        <v>45220</v>
      </c>
      <c r="S752" s="8">
        <v>45227</v>
      </c>
      <c r="T752" s="8">
        <v>45251</v>
      </c>
      <c r="U752" s="8">
        <v>45811</v>
      </c>
      <c r="V752" s="10">
        <f>COUNTA(O752:U752)</f>
        <v>7</v>
      </c>
      <c r="W752" s="11">
        <f>_xlfn.IFNA(INDEX(reading[[#This Row],[Memo 01]:[Memo 07]],MATCH(0,reading[[#This Row],[Memo 01]:[Memo 07]],-1)),"")</f>
        <v>45811</v>
      </c>
      <c r="X752" s="11">
        <f ca="1">IFERROR(reading[[#This Row],[Previous]]+OFFSET(reading[[#Headers],[Memo 01]],-1,MATCH(0,reading[[#This Row],[Memo 01]:[Memo 07]],-1)-1),"")</f>
        <v>55811</v>
      </c>
      <c r="Y752" s="10" t="str">
        <f ca="1">IF(reading[[#This Row],[Next]]&lt;&gt;"",IF(reading[[#This Row],[Next]]&gt;TODAY(),"OK",""),"")</f>
        <v>OK</v>
      </c>
      <c r="Z752" s="13">
        <v>3</v>
      </c>
      <c r="AA752" s="13">
        <v>2</v>
      </c>
      <c r="AB752" s="13">
        <v>3</v>
      </c>
      <c r="AC752" s="13">
        <v>2</v>
      </c>
      <c r="AD752" s="13">
        <v>3</v>
      </c>
      <c r="AE752" s="13">
        <v>3</v>
      </c>
      <c r="AF752" s="13">
        <v>2</v>
      </c>
      <c r="AG752" s="16">
        <f>IFERROR(SUMIF(reading[[#This Row],[1st]:[7th]],"&gt;0")/COUNTIF(reading[[#This Row],[1st]:[7th]],"&gt;0"),"")</f>
        <v>2.5714285714285716</v>
      </c>
    </row>
    <row r="753" spans="1:33" hidden="1" x14ac:dyDescent="0.2">
      <c r="A753" s="4">
        <f>IF(B753=1,3,IF(D753=1,2,IF(F753=1,1,0)))</f>
        <v>0</v>
      </c>
      <c r="B753" s="4" t="str">
        <f>IF(C753=$L753,1,IF(C753="","",0))</f>
        <v/>
      </c>
      <c r="C753" s="42"/>
      <c r="D753" s="4" t="str">
        <f>IF(E753=$L753,1,IF(E753="","",0))</f>
        <v/>
      </c>
      <c r="E753" s="14"/>
      <c r="F753" s="4" t="str">
        <f>IF(G753=$L753,1,IF(G753="","",0))</f>
        <v/>
      </c>
      <c r="G753" s="14"/>
      <c r="H753" s="6">
        <v>429</v>
      </c>
      <c r="I753" s="15" t="s">
        <v>3120</v>
      </c>
      <c r="J753" s="6" t="s">
        <v>3575</v>
      </c>
      <c r="K753" s="6"/>
      <c r="L753" s="6" t="s">
        <v>559</v>
      </c>
      <c r="M753" s="6" t="s">
        <v>6538</v>
      </c>
      <c r="N753" s="7">
        <f ca="1">RAND()</f>
        <v>0.2447889223096652</v>
      </c>
      <c r="O753" s="8">
        <v>45201</v>
      </c>
      <c r="P753" s="8">
        <v>45202</v>
      </c>
      <c r="Q753" s="8">
        <v>45204</v>
      </c>
      <c r="R753" s="8">
        <v>45208</v>
      </c>
      <c r="S753" s="8">
        <v>45215</v>
      </c>
      <c r="T753" s="8">
        <v>45227</v>
      </c>
      <c r="U753" s="8">
        <v>45792</v>
      </c>
      <c r="V753" s="10">
        <f>COUNTA(O753:U753)</f>
        <v>7</v>
      </c>
      <c r="W753" s="11">
        <f>_xlfn.IFNA(INDEX(reading[[#This Row],[Memo 01]:[Memo 07]],MATCH(0,reading[[#This Row],[Memo 01]:[Memo 07]],-1)),"")</f>
        <v>45792</v>
      </c>
      <c r="X753" s="11">
        <f ca="1">IFERROR(reading[[#This Row],[Previous]]+OFFSET(reading[[#Headers],[Memo 01]],-1,MATCH(0,reading[[#This Row],[Memo 01]:[Memo 07]],-1)-1),"")</f>
        <v>55792</v>
      </c>
      <c r="Y753" s="10" t="str">
        <f ca="1">IF(reading[[#This Row],[Next]]&lt;&gt;"",IF(reading[[#This Row],[Next]]&gt;TODAY(),"OK",""),"")</f>
        <v>OK</v>
      </c>
      <c r="Z753" s="13">
        <v>3</v>
      </c>
      <c r="AA753" s="13">
        <v>3</v>
      </c>
      <c r="AB753" s="13">
        <v>3</v>
      </c>
      <c r="AC753" s="13">
        <v>3</v>
      </c>
      <c r="AD753" s="13">
        <v>3</v>
      </c>
      <c r="AE753" s="13">
        <v>3</v>
      </c>
      <c r="AF753" s="13">
        <v>3</v>
      </c>
      <c r="AG753" s="16">
        <f>IFERROR(SUMIF(reading[[#This Row],[1st]:[7th]],"&gt;0")/COUNTIF(reading[[#This Row],[1st]:[7th]],"&gt;0"),"")</f>
        <v>3</v>
      </c>
    </row>
    <row r="754" spans="1:33" hidden="1" x14ac:dyDescent="0.2">
      <c r="A754" s="4">
        <f>IF(B754=1,3,IF(D754=1,2,IF(F754=1,1,0)))</f>
        <v>0</v>
      </c>
      <c r="B754" s="4" t="str">
        <f>IF(C754=$L754,1,IF(C754="","",0))</f>
        <v/>
      </c>
      <c r="C754" s="42"/>
      <c r="D754" s="4" t="str">
        <f>IF(E754=$L754,1,IF(E754="","",0))</f>
        <v/>
      </c>
      <c r="E754" s="14"/>
      <c r="F754" s="4" t="str">
        <f>IF(G754=$L754,1,IF(G754="","",0))</f>
        <v/>
      </c>
      <c r="G754" s="14"/>
      <c r="H754" s="6">
        <v>1254</v>
      </c>
      <c r="I754" s="15" t="s">
        <v>3120</v>
      </c>
      <c r="J754" s="6" t="s">
        <v>4371</v>
      </c>
      <c r="K754" s="6"/>
      <c r="L754" s="6" t="s">
        <v>1353</v>
      </c>
      <c r="M754" s="6" t="s">
        <v>7361</v>
      </c>
      <c r="N754" s="7">
        <f ca="1">RAND()</f>
        <v>0.6827114885094604</v>
      </c>
      <c r="O754" s="8">
        <v>45207</v>
      </c>
      <c r="P754" s="8">
        <v>45208</v>
      </c>
      <c r="Q754" s="8">
        <v>45210</v>
      </c>
      <c r="R754" s="8">
        <v>45214</v>
      </c>
      <c r="S754" s="8">
        <v>45221</v>
      </c>
      <c r="T754" s="8">
        <v>45233</v>
      </c>
      <c r="U754" s="8">
        <v>45792</v>
      </c>
      <c r="V754" s="10">
        <f>COUNTA(O754:U754)</f>
        <v>7</v>
      </c>
      <c r="W754" s="11">
        <f>_xlfn.IFNA(INDEX(reading[[#This Row],[Memo 01]:[Memo 07]],MATCH(0,reading[[#This Row],[Memo 01]:[Memo 07]],-1)),"")</f>
        <v>45792</v>
      </c>
      <c r="X754" s="11">
        <f ca="1">IFERROR(reading[[#This Row],[Previous]]+OFFSET(reading[[#Headers],[Memo 01]],-1,MATCH(0,reading[[#This Row],[Memo 01]:[Memo 07]],-1)-1),"")</f>
        <v>55792</v>
      </c>
      <c r="Y754" s="10" t="str">
        <f ca="1">IF(reading[[#This Row],[Next]]&lt;&gt;"",IF(reading[[#This Row],[Next]]&gt;TODAY(),"OK",""),"")</f>
        <v>OK</v>
      </c>
      <c r="Z754" s="13">
        <v>3</v>
      </c>
      <c r="AA754" s="13">
        <v>3</v>
      </c>
      <c r="AB754" s="13">
        <v>3</v>
      </c>
      <c r="AC754" s="13">
        <v>3</v>
      </c>
      <c r="AD754" s="13">
        <v>3</v>
      </c>
      <c r="AE754" s="13">
        <v>3</v>
      </c>
      <c r="AF754" s="13">
        <v>3</v>
      </c>
      <c r="AG754" s="16">
        <f>IFERROR(SUMIF(reading[[#This Row],[1st]:[7th]],"&gt;0")/COUNTIF(reading[[#This Row],[1st]:[7th]],"&gt;0"),"")</f>
        <v>3</v>
      </c>
    </row>
    <row r="755" spans="1:33" hidden="1" x14ac:dyDescent="0.2">
      <c r="A755" s="4">
        <f>IF(B755=1,3,IF(D755=1,2,IF(F755=1,1,0)))</f>
        <v>0</v>
      </c>
      <c r="B755" s="4" t="str">
        <f>IF(C755=$L755,1,IF(C755="","",0))</f>
        <v/>
      </c>
      <c r="C755" s="42"/>
      <c r="D755" s="4" t="str">
        <f>IF(E755=$L755,1,IF(E755="","",0))</f>
        <v/>
      </c>
      <c r="E755" s="14"/>
      <c r="F755" s="4" t="str">
        <f>IF(G755=$L755,1,IF(G755="","",0))</f>
        <v/>
      </c>
      <c r="G755" s="14"/>
      <c r="H755" s="6">
        <v>296</v>
      </c>
      <c r="I755" s="15" t="s">
        <v>3120</v>
      </c>
      <c r="J755" s="6" t="s">
        <v>3444</v>
      </c>
      <c r="K755" s="6"/>
      <c r="L755" s="6" t="s">
        <v>431</v>
      </c>
      <c r="M755" s="6" t="s">
        <v>6405</v>
      </c>
      <c r="N755" s="7">
        <f ca="1">RAND()</f>
        <v>0.4418990451815783</v>
      </c>
      <c r="O755" s="8">
        <v>45200</v>
      </c>
      <c r="P755" s="8">
        <v>45201</v>
      </c>
      <c r="Q755" s="8">
        <v>45203</v>
      </c>
      <c r="R755" s="8">
        <v>45207</v>
      </c>
      <c r="S755" s="8">
        <v>45214</v>
      </c>
      <c r="T755" s="8">
        <v>45226</v>
      </c>
      <c r="U755" s="8">
        <v>45819</v>
      </c>
      <c r="V755" s="10">
        <f>COUNTA(O755:U755)</f>
        <v>7</v>
      </c>
      <c r="W755" s="11">
        <f>_xlfn.IFNA(INDEX(reading[[#This Row],[Memo 01]:[Memo 07]],MATCH(0,reading[[#This Row],[Memo 01]:[Memo 07]],-1)),"")</f>
        <v>45819</v>
      </c>
      <c r="X755" s="11">
        <f ca="1">IFERROR(reading[[#This Row],[Previous]]+OFFSET(reading[[#Headers],[Memo 01]],-1,MATCH(0,reading[[#This Row],[Memo 01]:[Memo 07]],-1)-1),"")</f>
        <v>55819</v>
      </c>
      <c r="Y755" s="10" t="str">
        <f ca="1">IF(reading[[#This Row],[Next]]&lt;&gt;"",IF(reading[[#This Row],[Next]]&gt;TODAY(),"OK",""),"")</f>
        <v>OK</v>
      </c>
      <c r="Z755" s="13">
        <v>3</v>
      </c>
      <c r="AA755" s="13">
        <v>3</v>
      </c>
      <c r="AB755" s="13">
        <v>2</v>
      </c>
      <c r="AC755" s="13">
        <v>3</v>
      </c>
      <c r="AD755" s="13">
        <v>3</v>
      </c>
      <c r="AE755" s="13">
        <v>3</v>
      </c>
      <c r="AF755" s="13">
        <v>3</v>
      </c>
      <c r="AG755" s="16">
        <f>IFERROR(SUMIF(reading[[#This Row],[1st]:[7th]],"&gt;0")/COUNTIF(reading[[#This Row],[1st]:[7th]],"&gt;0"),"")</f>
        <v>2.8571428571428572</v>
      </c>
    </row>
    <row r="756" spans="1:33" hidden="1" x14ac:dyDescent="0.2">
      <c r="A756" s="4">
        <f>IF(B756=1,3,IF(D756=1,2,IF(F756=1,1,0)))</f>
        <v>0</v>
      </c>
      <c r="B756" s="4">
        <f>IF(C756=$L756,1,IF(C756="","",0))</f>
        <v>0</v>
      </c>
      <c r="C756" s="42" t="s">
        <v>9200</v>
      </c>
      <c r="D756" s="4">
        <f>IF(E756=$L756,1,IF(E756="","",0))</f>
        <v>0</v>
      </c>
      <c r="E756" s="23" t="s">
        <v>9232</v>
      </c>
      <c r="F756" s="4" t="str">
        <f>IF(G756=$L756,1,IF(G756="","",0))</f>
        <v/>
      </c>
      <c r="G756" s="14"/>
      <c r="H756" s="6">
        <v>1578</v>
      </c>
      <c r="I756" s="15" t="s">
        <v>3120</v>
      </c>
      <c r="J756" s="6" t="s">
        <v>4690</v>
      </c>
      <c r="K756" s="6"/>
      <c r="L756" s="6" t="s">
        <v>1661</v>
      </c>
      <c r="M756" s="6" t="s">
        <v>7684</v>
      </c>
      <c r="N756" s="7">
        <f ca="1">RAND()</f>
        <v>0.41528354458255023</v>
      </c>
      <c r="O756" s="8">
        <v>45209</v>
      </c>
      <c r="P756" s="8">
        <v>45210</v>
      </c>
      <c r="Q756" s="8">
        <v>45212</v>
      </c>
      <c r="R756" s="8">
        <v>45216</v>
      </c>
      <c r="S756" s="8">
        <v>45223</v>
      </c>
      <c r="T756" s="8">
        <v>45235</v>
      </c>
      <c r="U756" s="8"/>
      <c r="V756" s="10">
        <f>COUNTA(O756:U756)</f>
        <v>6</v>
      </c>
      <c r="W756" s="11">
        <f>_xlfn.IFNA(INDEX(reading[[#This Row],[Memo 01]:[Memo 07]],MATCH(0,reading[[#This Row],[Memo 01]:[Memo 07]],-1)),"")</f>
        <v>45235</v>
      </c>
      <c r="X756" s="11">
        <f ca="1">IFERROR(reading[[#This Row],[Previous]]+OFFSET(reading[[#Headers],[Memo 01]],-1,MATCH(0,reading[[#This Row],[Memo 01]:[Memo 07]],-1)-1),"")</f>
        <v>45255</v>
      </c>
      <c r="Y756" s="10" t="str">
        <f ca="1">IF(reading[[#This Row],[Next]]&lt;&gt;"",IF(reading[[#This Row],[Next]]&gt;TODAY(),"OK",""),"")</f>
        <v/>
      </c>
      <c r="Z756" s="13">
        <v>3</v>
      </c>
      <c r="AA756" s="13">
        <v>3</v>
      </c>
      <c r="AB756" s="13">
        <v>3</v>
      </c>
      <c r="AC756" s="13">
        <v>3</v>
      </c>
      <c r="AD756" s="13">
        <v>3</v>
      </c>
      <c r="AE756" s="13">
        <v>3</v>
      </c>
      <c r="AF756" s="13"/>
      <c r="AG756" s="16">
        <f>IFERROR(SUMIF(reading[[#This Row],[1st]:[7th]],"&gt;0")/COUNTIF(reading[[#This Row],[1st]:[7th]],"&gt;0"),"")</f>
        <v>3</v>
      </c>
    </row>
    <row r="757" spans="1:33" hidden="1" x14ac:dyDescent="0.2">
      <c r="A757" s="4">
        <f>IF(B757=1,3,IF(D757=1,2,IF(F757=1,1,0)))</f>
        <v>3</v>
      </c>
      <c r="B757" s="4">
        <f>IF(C757=$L757,1,IF(C757="","",0))</f>
        <v>1</v>
      </c>
      <c r="C757" s="21" t="s">
        <v>879</v>
      </c>
      <c r="D757" s="4" t="str">
        <f>IF(E757=$L757,1,IF(E757="","",0))</f>
        <v/>
      </c>
      <c r="E757" s="14"/>
      <c r="F757" s="4" t="str">
        <f>IF(G757=$L757,1,IF(G757="","",0))</f>
        <v/>
      </c>
      <c r="G757" s="14"/>
      <c r="H757" s="6">
        <v>760</v>
      </c>
      <c r="I757" s="15" t="s">
        <v>3120</v>
      </c>
      <c r="J757" s="6" t="s">
        <v>3895</v>
      </c>
      <c r="K757" s="6"/>
      <c r="L757" s="6" t="s">
        <v>879</v>
      </c>
      <c r="M757" s="6" t="s">
        <v>6869</v>
      </c>
      <c r="N757" s="7">
        <f ca="1">RAND()</f>
        <v>0.81052917529384871</v>
      </c>
      <c r="O757" s="8">
        <v>45203</v>
      </c>
      <c r="P757" s="8">
        <v>45203</v>
      </c>
      <c r="Q757" s="8">
        <v>45203</v>
      </c>
      <c r="R757" s="8">
        <v>45203</v>
      </c>
      <c r="S757" s="8">
        <v>45203</v>
      </c>
      <c r="T757" s="8">
        <v>45203</v>
      </c>
      <c r="U757" s="8">
        <v>45203</v>
      </c>
      <c r="V757" s="10">
        <f>COUNTA(O757:U757)</f>
        <v>7</v>
      </c>
      <c r="W757" s="11">
        <f>_xlfn.IFNA(INDEX(reading[[#This Row],[Memo 01]:[Memo 07]],MATCH(0,reading[[#This Row],[Memo 01]:[Memo 07]],-1)),"")</f>
        <v>45203</v>
      </c>
      <c r="X757" s="11">
        <f ca="1">IFERROR(reading[[#This Row],[Previous]]+OFFSET(reading[[#Headers],[Memo 01]],-1,MATCH(0,reading[[#This Row],[Memo 01]:[Memo 07]],-1)-1),"")</f>
        <v>55203</v>
      </c>
      <c r="Y757" s="10" t="str">
        <f ca="1">IF(reading[[#This Row],[Next]]&lt;&gt;"",IF(reading[[#This Row],[Next]]&gt;TODAY(),"OK",""),"")</f>
        <v>OK</v>
      </c>
      <c r="Z757" s="13">
        <v>3</v>
      </c>
      <c r="AA757" s="13"/>
      <c r="AB757" s="13"/>
      <c r="AC757" s="13"/>
      <c r="AD757" s="13"/>
      <c r="AE757" s="13"/>
      <c r="AF757" s="13"/>
      <c r="AG757" s="16">
        <f>IFERROR(SUMIF(reading[[#This Row],[1st]:[7th]],"&gt;0")/COUNTIF(reading[[#This Row],[1st]:[7th]],"&gt;0"),"")</f>
        <v>3</v>
      </c>
    </row>
    <row r="758" spans="1:33" hidden="1" x14ac:dyDescent="0.2">
      <c r="A758" s="4">
        <f>IF(B758=1,3,IF(D758=1,2,IF(F758=1,1,0)))</f>
        <v>0</v>
      </c>
      <c r="B758" s="4" t="str">
        <f>IF(C758=$L758,1,IF(C758="","",0))</f>
        <v/>
      </c>
      <c r="C758" s="42"/>
      <c r="D758" s="4" t="str">
        <f>IF(E758=$L758,1,IF(E758="","",0))</f>
        <v/>
      </c>
      <c r="E758" s="18"/>
      <c r="F758" s="4" t="str">
        <f>IF(G758=$L758,1,IF(G758="","",0))</f>
        <v/>
      </c>
      <c r="G758" s="14"/>
      <c r="H758" s="6">
        <v>2313</v>
      </c>
      <c r="I758" s="15" t="s">
        <v>3120</v>
      </c>
      <c r="J758" s="6" t="s">
        <v>5391</v>
      </c>
      <c r="K758" s="6"/>
      <c r="L758" s="6" t="s">
        <v>2370</v>
      </c>
      <c r="M758" s="6" t="s">
        <v>8418</v>
      </c>
      <c r="N758" s="7">
        <f ca="1">RAND()</f>
        <v>0.74246467169603236</v>
      </c>
      <c r="O758" s="8">
        <v>45216</v>
      </c>
      <c r="P758" s="8">
        <v>45217</v>
      </c>
      <c r="Q758" s="8">
        <v>45219</v>
      </c>
      <c r="R758" s="8">
        <v>45223</v>
      </c>
      <c r="S758" s="8">
        <v>45230</v>
      </c>
      <c r="T758" s="8">
        <v>45819</v>
      </c>
      <c r="U758" s="8"/>
      <c r="V758" s="10">
        <f>COUNTA(O758:U758)</f>
        <v>6</v>
      </c>
      <c r="W758" s="11">
        <f>_xlfn.IFNA(INDEX(reading[[#This Row],[Memo 01]:[Memo 07]],MATCH(0,reading[[#This Row],[Memo 01]:[Memo 07]],-1)),"")</f>
        <v>45819</v>
      </c>
      <c r="X758" s="11">
        <f ca="1">IFERROR(reading[[#This Row],[Previous]]+OFFSET(reading[[#Headers],[Memo 01]],-1,MATCH(0,reading[[#This Row],[Memo 01]:[Memo 07]],-1)-1),"")</f>
        <v>45839</v>
      </c>
      <c r="Y758" s="10" t="str">
        <f ca="1">IF(reading[[#This Row],[Next]]&lt;&gt;"",IF(reading[[#This Row],[Next]]&gt;TODAY(),"OK",""),"")</f>
        <v>OK</v>
      </c>
      <c r="Z758" s="13">
        <v>3</v>
      </c>
      <c r="AA758" s="13">
        <v>3</v>
      </c>
      <c r="AB758" s="13">
        <v>3</v>
      </c>
      <c r="AC758" s="13">
        <v>3</v>
      </c>
      <c r="AD758" s="13">
        <v>2</v>
      </c>
      <c r="AE758" s="13">
        <v>3</v>
      </c>
      <c r="AF758" s="13"/>
      <c r="AG758" s="16">
        <f>IFERROR(SUMIF(reading[[#This Row],[1st]:[7th]],"&gt;0")/COUNTIF(reading[[#This Row],[1st]:[7th]],"&gt;0"),"")</f>
        <v>2.8333333333333335</v>
      </c>
    </row>
    <row r="759" spans="1:33" hidden="1" x14ac:dyDescent="0.2">
      <c r="A759" s="4">
        <f>IF(B759=1,3,IF(D759=1,2,IF(F759=1,1,0)))</f>
        <v>0</v>
      </c>
      <c r="B759" s="4" t="str">
        <f>IF(C759=$L759,1,IF(C759="","",0))</f>
        <v/>
      </c>
      <c r="C759" s="42"/>
      <c r="D759" s="4" t="str">
        <f>IF(E759=$L759,1,IF(E759="","",0))</f>
        <v/>
      </c>
      <c r="E759" s="14"/>
      <c r="F759" s="4" t="str">
        <f>IF(G759=$L759,1,IF(G759="","",0))</f>
        <v/>
      </c>
      <c r="G759" s="14"/>
      <c r="H759" s="6">
        <v>395</v>
      </c>
      <c r="I759" s="15" t="s">
        <v>3120</v>
      </c>
      <c r="J759" s="6" t="s">
        <v>3541</v>
      </c>
      <c r="K759" s="6"/>
      <c r="L759" s="6" t="s">
        <v>526</v>
      </c>
      <c r="M759" s="6" t="s">
        <v>6504</v>
      </c>
      <c r="N759" s="7">
        <f ca="1">RAND()</f>
        <v>0.50599784339541654</v>
      </c>
      <c r="O759" s="8">
        <v>45201</v>
      </c>
      <c r="P759" s="8">
        <v>45202</v>
      </c>
      <c r="Q759" s="8">
        <v>45204</v>
      </c>
      <c r="R759" s="8">
        <v>45208</v>
      </c>
      <c r="S759" s="8">
        <v>45215</v>
      </c>
      <c r="T759" s="8">
        <v>45227</v>
      </c>
      <c r="U759" s="8">
        <v>45801</v>
      </c>
      <c r="V759" s="10">
        <f>COUNTA(O759:U759)</f>
        <v>7</v>
      </c>
      <c r="W759" s="11">
        <f>_xlfn.IFNA(INDEX(reading[[#This Row],[Memo 01]:[Memo 07]],MATCH(0,reading[[#This Row],[Memo 01]:[Memo 07]],-1)),"")</f>
        <v>45801</v>
      </c>
      <c r="X759" s="11">
        <f ca="1">IFERROR(reading[[#This Row],[Previous]]+OFFSET(reading[[#Headers],[Memo 01]],-1,MATCH(0,reading[[#This Row],[Memo 01]:[Memo 07]],-1)-1),"")</f>
        <v>55801</v>
      </c>
      <c r="Y759" s="10" t="str">
        <f ca="1">IF(reading[[#This Row],[Next]]&lt;&gt;"",IF(reading[[#This Row],[Next]]&gt;TODAY(),"OK",""),"")</f>
        <v>OK</v>
      </c>
      <c r="Z759" s="13">
        <v>3</v>
      </c>
      <c r="AA759" s="13">
        <v>3</v>
      </c>
      <c r="AB759" s="13">
        <v>3</v>
      </c>
      <c r="AC759" s="13">
        <v>3</v>
      </c>
      <c r="AD759" s="13">
        <v>3</v>
      </c>
      <c r="AE759" s="13">
        <v>3</v>
      </c>
      <c r="AF759" s="13">
        <v>3</v>
      </c>
      <c r="AG759" s="16">
        <f>IFERROR(SUMIF(reading[[#This Row],[1st]:[7th]],"&gt;0")/COUNTIF(reading[[#This Row],[1st]:[7th]],"&gt;0"),"")</f>
        <v>3</v>
      </c>
    </row>
    <row r="760" spans="1:33" hidden="1" x14ac:dyDescent="0.2">
      <c r="A760" s="4">
        <f>IF(B760=1,3,IF(D760=1,2,IF(F760=1,1,0)))</f>
        <v>0</v>
      </c>
      <c r="B760" s="4" t="str">
        <f>IF(C760=$L760,1,IF(C760="","",0))</f>
        <v/>
      </c>
      <c r="C760" s="42"/>
      <c r="D760" s="4" t="str">
        <f>IF(E760=$L760,1,IF(E760="","",0))</f>
        <v/>
      </c>
      <c r="E760" s="14"/>
      <c r="F760" s="4" t="str">
        <f>IF(G760=$L760,1,IF(G760="","",0))</f>
        <v/>
      </c>
      <c r="G760" s="14"/>
      <c r="H760" s="6">
        <v>1521</v>
      </c>
      <c r="I760" s="15" t="s">
        <v>3120</v>
      </c>
      <c r="J760" s="6" t="s">
        <v>4634</v>
      </c>
      <c r="K760" s="6"/>
      <c r="L760" s="6" t="s">
        <v>1606</v>
      </c>
      <c r="M760" s="6" t="s">
        <v>7628</v>
      </c>
      <c r="N760" s="7">
        <f ca="1">RAND()</f>
        <v>0.33714431498609321</v>
      </c>
      <c r="O760" s="8">
        <v>45209</v>
      </c>
      <c r="P760" s="8">
        <v>45210</v>
      </c>
      <c r="Q760" s="8">
        <v>45212</v>
      </c>
      <c r="R760" s="8">
        <v>45216</v>
      </c>
      <c r="S760" s="8">
        <v>45223</v>
      </c>
      <c r="T760" s="8">
        <v>45235</v>
      </c>
      <c r="U760" s="8">
        <v>45801</v>
      </c>
      <c r="V760" s="10">
        <f>COUNTA(O760:U760)</f>
        <v>7</v>
      </c>
      <c r="W760" s="11">
        <f>_xlfn.IFNA(INDEX(reading[[#This Row],[Memo 01]:[Memo 07]],MATCH(0,reading[[#This Row],[Memo 01]:[Memo 07]],-1)),"")</f>
        <v>45801</v>
      </c>
      <c r="X760" s="11">
        <f ca="1">IFERROR(reading[[#This Row],[Previous]]+OFFSET(reading[[#Headers],[Memo 01]],-1,MATCH(0,reading[[#This Row],[Memo 01]:[Memo 07]],-1)-1),"")</f>
        <v>55801</v>
      </c>
      <c r="Y760" s="10" t="str">
        <f ca="1">IF(reading[[#This Row],[Next]]&lt;&gt;"",IF(reading[[#This Row],[Next]]&gt;TODAY(),"OK",""),"")</f>
        <v>OK</v>
      </c>
      <c r="Z760" s="13">
        <v>3</v>
      </c>
      <c r="AA760" s="13">
        <v>3</v>
      </c>
      <c r="AB760" s="13">
        <v>3</v>
      </c>
      <c r="AC760" s="13">
        <v>3</v>
      </c>
      <c r="AD760" s="13">
        <v>3</v>
      </c>
      <c r="AE760" s="13">
        <v>3</v>
      </c>
      <c r="AF760" s="13">
        <v>3</v>
      </c>
      <c r="AG760" s="16">
        <f>IFERROR(SUMIF(reading[[#This Row],[1st]:[7th]],"&gt;0")/COUNTIF(reading[[#This Row],[1st]:[7th]],"&gt;0"),"")</f>
        <v>3</v>
      </c>
    </row>
    <row r="761" spans="1:33" hidden="1" x14ac:dyDescent="0.2">
      <c r="A761" s="4">
        <f>IF(B761=1,3,IF(D761=1,2,IF(F761=1,1,0)))</f>
        <v>0</v>
      </c>
      <c r="B761" s="4" t="str">
        <f>IF(C761=$L761,1,IF(C761="","",0))</f>
        <v/>
      </c>
      <c r="C761" s="42"/>
      <c r="D761" s="4" t="str">
        <f>IF(E761=$L761,1,IF(E761="","",0))</f>
        <v/>
      </c>
      <c r="E761" s="14"/>
      <c r="F761" s="4" t="str">
        <f>IF(G761=$L761,1,IF(G761="","",0))</f>
        <v/>
      </c>
      <c r="G761" s="14"/>
      <c r="H761" s="6">
        <v>2478</v>
      </c>
      <c r="I761" s="15" t="s">
        <v>3120</v>
      </c>
      <c r="J761" s="6" t="s">
        <v>5546</v>
      </c>
      <c r="K761" s="6"/>
      <c r="L761" s="6" t="s">
        <v>2526</v>
      </c>
      <c r="M761" s="6" t="s">
        <v>8583</v>
      </c>
      <c r="N761" s="7">
        <f ca="1">RAND()</f>
        <v>0.59837973494903929</v>
      </c>
      <c r="O761" s="8">
        <v>45218</v>
      </c>
      <c r="P761" s="8">
        <v>45219</v>
      </c>
      <c r="Q761" s="8">
        <v>45221</v>
      </c>
      <c r="R761" s="8">
        <v>45225</v>
      </c>
      <c r="S761" s="8">
        <v>45232</v>
      </c>
      <c r="T761" s="8">
        <v>45792</v>
      </c>
      <c r="U761" s="8">
        <v>45819</v>
      </c>
      <c r="V761" s="10">
        <f>COUNTA(O761:U761)</f>
        <v>7</v>
      </c>
      <c r="W761" s="11">
        <f>_xlfn.IFNA(INDEX(reading[[#This Row],[Memo 01]:[Memo 07]],MATCH(0,reading[[#This Row],[Memo 01]:[Memo 07]],-1)),"")</f>
        <v>45819</v>
      </c>
      <c r="X761" s="11">
        <f ca="1">IFERROR(reading[[#This Row],[Previous]]+OFFSET(reading[[#Headers],[Memo 01]],-1,MATCH(0,reading[[#This Row],[Memo 01]:[Memo 07]],-1)-1),"")</f>
        <v>55819</v>
      </c>
      <c r="Y761" s="10" t="str">
        <f ca="1">IF(reading[[#This Row],[Next]]&lt;&gt;"",IF(reading[[#This Row],[Next]]&gt;TODAY(),"OK",""),"")</f>
        <v>OK</v>
      </c>
      <c r="Z761" s="13">
        <v>3</v>
      </c>
      <c r="AA761" s="13">
        <v>3</v>
      </c>
      <c r="AB761" s="13">
        <v>3</v>
      </c>
      <c r="AC761" s="13">
        <v>3</v>
      </c>
      <c r="AD761" s="13">
        <v>3</v>
      </c>
      <c r="AE761" s="13">
        <v>3</v>
      </c>
      <c r="AF761" s="13">
        <v>3</v>
      </c>
      <c r="AG761" s="16">
        <f>IFERROR(SUMIF(reading[[#This Row],[1st]:[7th]],"&gt;0")/COUNTIF(reading[[#This Row],[1st]:[7th]],"&gt;0"),"")</f>
        <v>3</v>
      </c>
    </row>
    <row r="762" spans="1:33" hidden="1" x14ac:dyDescent="0.2">
      <c r="A762" s="4">
        <f>IF(B762=1,3,IF(D762=1,2,IF(F762=1,1,0)))</f>
        <v>0</v>
      </c>
      <c r="B762" s="4" t="str">
        <f>IF(C762=$L762,1,IF(C762="","",0))</f>
        <v/>
      </c>
      <c r="C762" s="18"/>
      <c r="D762" s="4" t="str">
        <f>IF(E762=$L762,1,IF(E762="","",0))</f>
        <v/>
      </c>
      <c r="E762" s="18"/>
      <c r="F762" s="4" t="str">
        <f>IF(G762=$L762,1,IF(G762="","",0))</f>
        <v/>
      </c>
      <c r="G762" s="14"/>
      <c r="H762" s="6">
        <v>264</v>
      </c>
      <c r="I762" s="15" t="s">
        <v>3120</v>
      </c>
      <c r="J762" s="6" t="s">
        <v>3413</v>
      </c>
      <c r="K762" s="6"/>
      <c r="L762" s="6" t="s">
        <v>399</v>
      </c>
      <c r="M762" s="6" t="s">
        <v>6373</v>
      </c>
      <c r="N762" s="7">
        <f ca="1">RAND()</f>
        <v>0.24691523113724267</v>
      </c>
      <c r="O762" s="8">
        <v>45199</v>
      </c>
      <c r="P762" s="8">
        <v>45200</v>
      </c>
      <c r="Q762" s="8">
        <v>45202</v>
      </c>
      <c r="R762" s="8">
        <v>45206</v>
      </c>
      <c r="S762" s="8">
        <v>45213</v>
      </c>
      <c r="T762" s="8">
        <v>45225</v>
      </c>
      <c r="U762" s="8">
        <v>45250</v>
      </c>
      <c r="V762" s="10">
        <f>COUNTA(O762:U762)</f>
        <v>7</v>
      </c>
      <c r="W762" s="11">
        <f>_xlfn.IFNA(INDEX(reading[[#This Row],[Memo 01]:[Memo 07]],MATCH(0,reading[[#This Row],[Memo 01]:[Memo 07]],-1)),"")</f>
        <v>45250</v>
      </c>
      <c r="X762" s="11">
        <f ca="1">IFERROR(reading[[#This Row],[Previous]]+OFFSET(reading[[#Headers],[Memo 01]],-1,MATCH(0,reading[[#This Row],[Memo 01]:[Memo 07]],-1)-1),"")</f>
        <v>55250</v>
      </c>
      <c r="Y762" s="10" t="str">
        <f ca="1">IF(reading[[#This Row],[Next]]&lt;&gt;"",IF(reading[[#This Row],[Next]]&gt;TODAY(),"OK",""),"")</f>
        <v>OK</v>
      </c>
      <c r="Z762" s="13">
        <v>3</v>
      </c>
      <c r="AA762" s="13">
        <v>2</v>
      </c>
      <c r="AB762" s="13">
        <v>3</v>
      </c>
      <c r="AC762" s="13">
        <v>2</v>
      </c>
      <c r="AD762" s="13">
        <v>3</v>
      </c>
      <c r="AE762" s="13">
        <v>2</v>
      </c>
      <c r="AF762" s="13">
        <v>1</v>
      </c>
      <c r="AG762" s="16">
        <f>IFERROR(SUMIF(reading[[#This Row],[1st]:[7th]],"&gt;0")/COUNTIF(reading[[#This Row],[1st]:[7th]],"&gt;0"),"")</f>
        <v>2.2857142857142856</v>
      </c>
    </row>
    <row r="763" spans="1:33" hidden="1" x14ac:dyDescent="0.2">
      <c r="A763" s="4">
        <f>IF(B763=1,3,IF(D763=1,2,IF(F763=1,1,0)))</f>
        <v>0</v>
      </c>
      <c r="B763" s="4" t="str">
        <f>IF(C763=$L763,1,IF(C763="","",0))</f>
        <v/>
      </c>
      <c r="C763" s="42"/>
      <c r="D763" s="4" t="str">
        <f>IF(E763=$L763,1,IF(E763="","",0))</f>
        <v/>
      </c>
      <c r="E763" s="18"/>
      <c r="F763" s="4" t="str">
        <f>IF(G763=$L763,1,IF(G763="","",0))</f>
        <v/>
      </c>
      <c r="G763" s="14"/>
      <c r="H763" s="6">
        <v>3081</v>
      </c>
      <c r="I763" s="15" t="s">
        <v>3120</v>
      </c>
      <c r="J763" s="6" t="s">
        <v>6100</v>
      </c>
      <c r="K763" s="6"/>
      <c r="L763" s="6" t="s">
        <v>3105</v>
      </c>
      <c r="M763" s="6" t="s">
        <v>9184</v>
      </c>
      <c r="N763" s="7">
        <f ca="1">RAND()</f>
        <v>0.10127145673459514</v>
      </c>
      <c r="O763" s="8">
        <v>45227</v>
      </c>
      <c r="P763" s="8">
        <v>45228</v>
      </c>
      <c r="Q763" s="8">
        <v>45230</v>
      </c>
      <c r="R763" s="8">
        <v>45234</v>
      </c>
      <c r="S763" s="8">
        <v>45252</v>
      </c>
      <c r="T763" s="8">
        <v>45824</v>
      </c>
      <c r="U763" s="8"/>
      <c r="V763" s="10">
        <f>COUNTA(O763:U763)</f>
        <v>6</v>
      </c>
      <c r="W763" s="11">
        <f>_xlfn.IFNA(INDEX(reading[[#This Row],[Memo 01]:[Memo 07]],MATCH(0,reading[[#This Row],[Memo 01]:[Memo 07]],-1)),"")</f>
        <v>45824</v>
      </c>
      <c r="X763" s="11">
        <f ca="1">IFERROR(reading[[#This Row],[Previous]]+OFFSET(reading[[#Headers],[Memo 01]],-1,MATCH(0,reading[[#This Row],[Memo 01]:[Memo 07]],-1)-1),"")</f>
        <v>45844</v>
      </c>
      <c r="Y763" s="10" t="str">
        <f ca="1">IF(reading[[#This Row],[Next]]&lt;&gt;"",IF(reading[[#This Row],[Next]]&gt;TODAY(),"OK",""),"")</f>
        <v>OK</v>
      </c>
      <c r="Z763" s="13">
        <v>3</v>
      </c>
      <c r="AA763" s="13">
        <v>3</v>
      </c>
      <c r="AB763" s="13">
        <v>3</v>
      </c>
      <c r="AC763" s="13">
        <v>3</v>
      </c>
      <c r="AD763" s="13">
        <v>2</v>
      </c>
      <c r="AE763" s="13">
        <v>3</v>
      </c>
      <c r="AF763" s="13"/>
      <c r="AG763" s="16">
        <f>IFERROR(SUMIF(reading[[#This Row],[1st]:[7th]],"&gt;0")/COUNTIF(reading[[#This Row],[1st]:[7th]],"&gt;0"),"")</f>
        <v>2.8333333333333335</v>
      </c>
    </row>
    <row r="764" spans="1:33" hidden="1" x14ac:dyDescent="0.2">
      <c r="A764" s="4">
        <f>IF(B764=1,3,IF(D764=1,2,IF(F764=1,1,0)))</f>
        <v>0</v>
      </c>
      <c r="B764" s="4" t="str">
        <f>IF(C764=$L764,1,IF(C764="","",0))</f>
        <v/>
      </c>
      <c r="C764" s="42"/>
      <c r="D764" s="4" t="str">
        <f>IF(E764=$L764,1,IF(E764="","",0))</f>
        <v/>
      </c>
      <c r="E764" s="18"/>
      <c r="F764" s="4" t="str">
        <f>IF(G764=$L764,1,IF(G764="","",0))</f>
        <v/>
      </c>
      <c r="G764" s="14"/>
      <c r="H764" s="6">
        <v>1605</v>
      </c>
      <c r="I764" s="15" t="s">
        <v>3120</v>
      </c>
      <c r="J764" s="6" t="s">
        <v>4717</v>
      </c>
      <c r="K764" s="6"/>
      <c r="L764" s="6" t="s">
        <v>1687</v>
      </c>
      <c r="M764" s="6" t="s">
        <v>7711</v>
      </c>
      <c r="N764" s="7">
        <f ca="1">RAND()</f>
        <v>0.71469630240349724</v>
      </c>
      <c r="O764" s="8">
        <v>45210</v>
      </c>
      <c r="P764" s="8">
        <v>45211</v>
      </c>
      <c r="Q764" s="8">
        <v>45213</v>
      </c>
      <c r="R764" s="8">
        <v>45217</v>
      </c>
      <c r="S764" s="8">
        <v>45224</v>
      </c>
      <c r="T764" s="8">
        <v>45236</v>
      </c>
      <c r="U764" s="8">
        <v>45801</v>
      </c>
      <c r="V764" s="10">
        <f>COUNTA(O764:U764)</f>
        <v>7</v>
      </c>
      <c r="W764" s="11">
        <f>_xlfn.IFNA(INDEX(reading[[#This Row],[Memo 01]:[Memo 07]],MATCH(0,reading[[#This Row],[Memo 01]:[Memo 07]],-1)),"")</f>
        <v>45801</v>
      </c>
      <c r="X764" s="11">
        <f ca="1">IFERROR(reading[[#This Row],[Previous]]+OFFSET(reading[[#Headers],[Memo 01]],-1,MATCH(0,reading[[#This Row],[Memo 01]:[Memo 07]],-1)-1),"")</f>
        <v>55801</v>
      </c>
      <c r="Y764" s="10" t="str">
        <f ca="1">IF(reading[[#This Row],[Next]]&lt;&gt;"",IF(reading[[#This Row],[Next]]&gt;TODAY(),"OK",""),"")</f>
        <v>OK</v>
      </c>
      <c r="Z764" s="13">
        <v>3</v>
      </c>
      <c r="AA764" s="13">
        <v>3</v>
      </c>
      <c r="AB764" s="13">
        <v>2</v>
      </c>
      <c r="AC764" s="13">
        <v>2</v>
      </c>
      <c r="AD764" s="13">
        <v>3</v>
      </c>
      <c r="AE764" s="13">
        <v>2</v>
      </c>
      <c r="AF764" s="13">
        <v>3</v>
      </c>
      <c r="AG764" s="16">
        <f>IFERROR(SUMIF(reading[[#This Row],[1st]:[7th]],"&gt;0")/COUNTIF(reading[[#This Row],[1st]:[7th]],"&gt;0"),"")</f>
        <v>2.5714285714285716</v>
      </c>
    </row>
    <row r="765" spans="1:33" hidden="1" x14ac:dyDescent="0.2">
      <c r="A765" s="4">
        <f>IF(B765=1,3,IF(D765=1,2,IF(F765=1,1,0)))</f>
        <v>3</v>
      </c>
      <c r="B765" s="4">
        <f>IF(C765=$L765,1,IF(C765="","",0))</f>
        <v>1</v>
      </c>
      <c r="C765" s="21" t="s">
        <v>887</v>
      </c>
      <c r="D765" s="4" t="str">
        <f>IF(E765=$L765,1,IF(E765="","",0))</f>
        <v/>
      </c>
      <c r="E765" s="14"/>
      <c r="F765" s="4" t="str">
        <f>IF(G765=$L765,1,IF(G765="","",0))</f>
        <v/>
      </c>
      <c r="G765" s="14"/>
      <c r="H765" s="6">
        <v>768</v>
      </c>
      <c r="I765" s="15" t="s">
        <v>3120</v>
      </c>
      <c r="J765" s="6" t="s">
        <v>3903</v>
      </c>
      <c r="K765" s="6"/>
      <c r="L765" s="6" t="s">
        <v>887</v>
      </c>
      <c r="M765" s="6" t="s">
        <v>6877</v>
      </c>
      <c r="N765" s="7">
        <f ca="1">RAND()</f>
        <v>0.30769868916867149</v>
      </c>
      <c r="O765" s="8">
        <v>45203</v>
      </c>
      <c r="P765" s="8">
        <v>45203</v>
      </c>
      <c r="Q765" s="8">
        <v>45203</v>
      </c>
      <c r="R765" s="8">
        <v>45203</v>
      </c>
      <c r="S765" s="8">
        <v>45203</v>
      </c>
      <c r="T765" s="8">
        <v>45203</v>
      </c>
      <c r="U765" s="8">
        <v>45203</v>
      </c>
      <c r="V765" s="10">
        <f>COUNTA(O765:U765)</f>
        <v>7</v>
      </c>
      <c r="W765" s="11">
        <f>_xlfn.IFNA(INDEX(reading[[#This Row],[Memo 01]:[Memo 07]],MATCH(0,reading[[#This Row],[Memo 01]:[Memo 07]],-1)),"")</f>
        <v>45203</v>
      </c>
      <c r="X765" s="11">
        <f ca="1">IFERROR(reading[[#This Row],[Previous]]+OFFSET(reading[[#Headers],[Memo 01]],-1,MATCH(0,reading[[#This Row],[Memo 01]:[Memo 07]],-1)-1),"")</f>
        <v>55203</v>
      </c>
      <c r="Y765" s="10" t="str">
        <f ca="1">IF(reading[[#This Row],[Next]]&lt;&gt;"",IF(reading[[#This Row],[Next]]&gt;TODAY(),"OK",""),"")</f>
        <v>OK</v>
      </c>
      <c r="Z765" s="13">
        <v>3</v>
      </c>
      <c r="AA765" s="13"/>
      <c r="AB765" s="13"/>
      <c r="AC765" s="13"/>
      <c r="AD765" s="13"/>
      <c r="AE765" s="13"/>
      <c r="AF765" s="13"/>
      <c r="AG765" s="16">
        <f>IFERROR(SUMIF(reading[[#This Row],[1st]:[7th]],"&gt;0")/COUNTIF(reading[[#This Row],[1st]:[7th]],"&gt;0"),"")</f>
        <v>3</v>
      </c>
    </row>
    <row r="766" spans="1:33" hidden="1" x14ac:dyDescent="0.2">
      <c r="A766" s="4">
        <f>IF(B766=1,3,IF(D766=1,2,IF(F766=1,1,0)))</f>
        <v>0</v>
      </c>
      <c r="B766" s="4" t="str">
        <f>IF(C766=$L766,1,IF(C766="","",0))</f>
        <v/>
      </c>
      <c r="C766" s="42"/>
      <c r="D766" s="4" t="str">
        <f>IF(E766=$L766,1,IF(E766="","",0))</f>
        <v/>
      </c>
      <c r="E766" s="14"/>
      <c r="F766" s="4" t="str">
        <f>IF(G766=$L766,1,IF(G766="","",0))</f>
        <v/>
      </c>
      <c r="G766" s="14"/>
      <c r="H766" s="6">
        <v>344</v>
      </c>
      <c r="I766" s="15" t="s">
        <v>3120</v>
      </c>
      <c r="J766" s="6" t="s">
        <v>3491</v>
      </c>
      <c r="K766" s="6"/>
      <c r="L766" s="6" t="s">
        <v>479</v>
      </c>
      <c r="M766" s="6" t="s">
        <v>6453</v>
      </c>
      <c r="N766" s="7">
        <f ca="1">RAND()</f>
        <v>0.82009404019484955</v>
      </c>
      <c r="O766" s="8">
        <v>45200</v>
      </c>
      <c r="P766" s="8">
        <v>45201</v>
      </c>
      <c r="Q766" s="8">
        <v>45203</v>
      </c>
      <c r="R766" s="8">
        <v>45207</v>
      </c>
      <c r="S766" s="8">
        <v>45214</v>
      </c>
      <c r="T766" s="8">
        <v>45226</v>
      </c>
      <c r="U766" s="8">
        <v>45792</v>
      </c>
      <c r="V766" s="10">
        <f>COUNTA(O766:U766)</f>
        <v>7</v>
      </c>
      <c r="W766" s="11">
        <f>_xlfn.IFNA(INDEX(reading[[#This Row],[Memo 01]:[Memo 07]],MATCH(0,reading[[#This Row],[Memo 01]:[Memo 07]],-1)),"")</f>
        <v>45792</v>
      </c>
      <c r="X766" s="11">
        <f ca="1">IFERROR(reading[[#This Row],[Previous]]+OFFSET(reading[[#Headers],[Memo 01]],-1,MATCH(0,reading[[#This Row],[Memo 01]:[Memo 07]],-1)-1),"")</f>
        <v>55792</v>
      </c>
      <c r="Y766" s="10" t="str">
        <f ca="1">IF(reading[[#This Row],[Next]]&lt;&gt;"",IF(reading[[#This Row],[Next]]&gt;TODAY(),"OK",""),"")</f>
        <v>OK</v>
      </c>
      <c r="Z766" s="13">
        <v>3</v>
      </c>
      <c r="AA766" s="13">
        <v>3</v>
      </c>
      <c r="AB766" s="13">
        <v>3</v>
      </c>
      <c r="AC766" s="13">
        <v>3</v>
      </c>
      <c r="AD766" s="13">
        <v>3</v>
      </c>
      <c r="AE766" s="13">
        <v>3</v>
      </c>
      <c r="AF766" s="13">
        <v>3</v>
      </c>
      <c r="AG766" s="16">
        <f>IFERROR(SUMIF(reading[[#This Row],[1st]:[7th]],"&gt;0")/COUNTIF(reading[[#This Row],[1st]:[7th]],"&gt;0"),"")</f>
        <v>3</v>
      </c>
    </row>
    <row r="767" spans="1:33" hidden="1" x14ac:dyDescent="0.2">
      <c r="A767" s="4">
        <f>IF(B767=1,3,IF(D767=1,2,IF(F767=1,1,0)))</f>
        <v>0</v>
      </c>
      <c r="B767" s="4" t="str">
        <f>IF(C767=$L767,1,IF(C767="","",0))</f>
        <v/>
      </c>
      <c r="C767" s="42"/>
      <c r="D767" s="4" t="str">
        <f>IF(E767=$L767,1,IF(E767="","",0))</f>
        <v/>
      </c>
      <c r="E767" s="14"/>
      <c r="F767" s="4" t="str">
        <f>IF(G767=$L767,1,IF(G767="","",0))</f>
        <v/>
      </c>
      <c r="G767" s="14"/>
      <c r="H767" s="6">
        <v>1359</v>
      </c>
      <c r="I767" s="15" t="s">
        <v>3120</v>
      </c>
      <c r="J767" s="6" t="s">
        <v>4473</v>
      </c>
      <c r="K767" s="6"/>
      <c r="L767" s="6" t="s">
        <v>1453</v>
      </c>
      <c r="M767" s="6" t="s">
        <v>7466</v>
      </c>
      <c r="N767" s="7">
        <f ca="1">RAND()</f>
        <v>1.1477242024528489E-2</v>
      </c>
      <c r="O767" s="8">
        <v>45207</v>
      </c>
      <c r="P767" s="8">
        <v>45208</v>
      </c>
      <c r="Q767" s="8">
        <v>45210</v>
      </c>
      <c r="R767" s="8">
        <v>45214</v>
      </c>
      <c r="S767" s="8">
        <v>45221</v>
      </c>
      <c r="T767" s="8">
        <v>45233</v>
      </c>
      <c r="U767" s="8">
        <v>45792</v>
      </c>
      <c r="V767" s="10">
        <f>COUNTA(O767:U767)</f>
        <v>7</v>
      </c>
      <c r="W767" s="11">
        <f>_xlfn.IFNA(INDEX(reading[[#This Row],[Memo 01]:[Memo 07]],MATCH(0,reading[[#This Row],[Memo 01]:[Memo 07]],-1)),"")</f>
        <v>45792</v>
      </c>
      <c r="X767" s="11">
        <f ca="1">IFERROR(reading[[#This Row],[Previous]]+OFFSET(reading[[#Headers],[Memo 01]],-1,MATCH(0,reading[[#This Row],[Memo 01]:[Memo 07]],-1)-1),"")</f>
        <v>55792</v>
      </c>
      <c r="Y767" s="10" t="str">
        <f ca="1">IF(reading[[#This Row],[Next]]&lt;&gt;"",IF(reading[[#This Row],[Next]]&gt;TODAY(),"OK",""),"")</f>
        <v>OK</v>
      </c>
      <c r="Z767" s="13">
        <v>3</v>
      </c>
      <c r="AA767" s="13">
        <v>3</v>
      </c>
      <c r="AB767" s="13">
        <v>3</v>
      </c>
      <c r="AC767" s="13">
        <v>3</v>
      </c>
      <c r="AD767" s="13">
        <v>3</v>
      </c>
      <c r="AE767" s="13">
        <v>3</v>
      </c>
      <c r="AF767" s="13">
        <v>3</v>
      </c>
      <c r="AG767" s="16">
        <f>IFERROR(SUMIF(reading[[#This Row],[1st]:[7th]],"&gt;0")/COUNTIF(reading[[#This Row],[1st]:[7th]],"&gt;0"),"")</f>
        <v>3</v>
      </c>
    </row>
    <row r="768" spans="1:33" hidden="1" x14ac:dyDescent="0.2">
      <c r="A768" s="4">
        <f>IF(B768=1,3,IF(D768=1,2,IF(F768=1,1,0)))</f>
        <v>0</v>
      </c>
      <c r="B768" s="4" t="str">
        <f>IF(C768=$L768,1,IF(C768="","",0))</f>
        <v/>
      </c>
      <c r="C768" s="42"/>
      <c r="D768" s="4" t="str">
        <f>IF(E768=$L768,1,IF(E768="","",0))</f>
        <v/>
      </c>
      <c r="E768" s="14"/>
      <c r="F768" s="4" t="str">
        <f>IF(G768=$L768,1,IF(G768="","",0))</f>
        <v/>
      </c>
      <c r="G768" s="14"/>
      <c r="H768" s="6">
        <v>1717</v>
      </c>
      <c r="I768" s="15" t="s">
        <v>3120</v>
      </c>
      <c r="J768" s="6" t="s">
        <v>4825</v>
      </c>
      <c r="K768" s="6"/>
      <c r="L768" s="6" t="s">
        <v>1797</v>
      </c>
      <c r="M768" s="6" t="s">
        <v>7823</v>
      </c>
      <c r="N768" s="7">
        <f ca="1">RAND()</f>
        <v>0.39618684326937303</v>
      </c>
      <c r="O768" s="8">
        <v>45211</v>
      </c>
      <c r="P768" s="8">
        <v>45212</v>
      </c>
      <c r="Q768" s="8">
        <v>45214</v>
      </c>
      <c r="R768" s="8">
        <v>45218</v>
      </c>
      <c r="S768" s="8">
        <v>45225</v>
      </c>
      <c r="T768" s="8">
        <v>45237</v>
      </c>
      <c r="U768" s="8">
        <v>45801</v>
      </c>
      <c r="V768" s="10">
        <f>COUNTA(O768:U768)</f>
        <v>7</v>
      </c>
      <c r="W768" s="11">
        <f>_xlfn.IFNA(INDEX(reading[[#This Row],[Memo 01]:[Memo 07]],MATCH(0,reading[[#This Row],[Memo 01]:[Memo 07]],-1)),"")</f>
        <v>45801</v>
      </c>
      <c r="X768" s="11">
        <f ca="1">IFERROR(reading[[#This Row],[Previous]]+OFFSET(reading[[#Headers],[Memo 01]],-1,MATCH(0,reading[[#This Row],[Memo 01]:[Memo 07]],-1)-1),"")</f>
        <v>55801</v>
      </c>
      <c r="Y768" s="10" t="str">
        <f ca="1">IF(reading[[#This Row],[Next]]&lt;&gt;"",IF(reading[[#This Row],[Next]]&gt;TODAY(),"OK",""),"")</f>
        <v>OK</v>
      </c>
      <c r="Z768" s="13">
        <v>3</v>
      </c>
      <c r="AA768" s="13">
        <v>3</v>
      </c>
      <c r="AB768" s="13">
        <v>3</v>
      </c>
      <c r="AC768" s="13">
        <v>3</v>
      </c>
      <c r="AD768" s="13">
        <v>3</v>
      </c>
      <c r="AE768" s="13">
        <v>3</v>
      </c>
      <c r="AF768" s="13">
        <v>3</v>
      </c>
      <c r="AG768" s="16">
        <f>IFERROR(SUMIF(reading[[#This Row],[1st]:[7th]],"&gt;0")/COUNTIF(reading[[#This Row],[1st]:[7th]],"&gt;0"),"")</f>
        <v>3</v>
      </c>
    </row>
    <row r="769" spans="1:33" hidden="1" x14ac:dyDescent="0.2">
      <c r="A769" s="4">
        <f>IF(B769=1,3,IF(D769=1,2,IF(F769=1,1,0)))</f>
        <v>0</v>
      </c>
      <c r="B769" s="4" t="str">
        <f>IF(C769=$L769,1,IF(C769="","",0))</f>
        <v/>
      </c>
      <c r="C769" s="42"/>
      <c r="D769" s="4" t="str">
        <f>IF(E769=$L769,1,IF(E769="","",0))</f>
        <v/>
      </c>
      <c r="E769" s="23"/>
      <c r="F769" s="4" t="str">
        <f>IF(G769=$L769,1,IF(G769="","",0))</f>
        <v/>
      </c>
      <c r="G769" s="14"/>
      <c r="H769" s="6">
        <v>1159</v>
      </c>
      <c r="I769" s="15" t="s">
        <v>3120</v>
      </c>
      <c r="J769" s="6" t="s">
        <v>4279</v>
      </c>
      <c r="K769" s="6"/>
      <c r="L769" s="6" t="s">
        <v>1261</v>
      </c>
      <c r="M769" s="6" t="s">
        <v>7267</v>
      </c>
      <c r="N769" s="7">
        <f ca="1">RAND()</f>
        <v>0.76232017044990985</v>
      </c>
      <c r="O769" s="8">
        <v>45206</v>
      </c>
      <c r="P769" s="8">
        <v>45207</v>
      </c>
      <c r="Q769" s="8">
        <v>45209</v>
      </c>
      <c r="R769" s="8">
        <v>45213</v>
      </c>
      <c r="S769" s="8">
        <v>45220</v>
      </c>
      <c r="T769" s="8">
        <v>45232</v>
      </c>
      <c r="U769" s="8">
        <v>45816</v>
      </c>
      <c r="V769" s="10">
        <f>COUNTA(O769:U769)</f>
        <v>7</v>
      </c>
      <c r="W769" s="11">
        <f>_xlfn.IFNA(INDEX(reading[[#This Row],[Memo 01]:[Memo 07]],MATCH(0,reading[[#This Row],[Memo 01]:[Memo 07]],-1)),"")</f>
        <v>45816</v>
      </c>
      <c r="X769" s="11">
        <f ca="1">IFERROR(reading[[#This Row],[Previous]]+OFFSET(reading[[#Headers],[Memo 01]],-1,MATCH(0,reading[[#This Row],[Memo 01]:[Memo 07]],-1)-1),"")</f>
        <v>55816</v>
      </c>
      <c r="Y769" s="10" t="str">
        <f ca="1">IF(reading[[#This Row],[Next]]&lt;&gt;"",IF(reading[[#This Row],[Next]]&gt;TODAY(),"OK",""),"")</f>
        <v>OK</v>
      </c>
      <c r="Z769" s="13">
        <v>3</v>
      </c>
      <c r="AA769" s="13">
        <v>3</v>
      </c>
      <c r="AB769" s="13">
        <v>3</v>
      </c>
      <c r="AC769" s="13">
        <v>3</v>
      </c>
      <c r="AD769" s="13">
        <v>3</v>
      </c>
      <c r="AE769" s="13">
        <v>3</v>
      </c>
      <c r="AF769" s="13">
        <v>2</v>
      </c>
      <c r="AG769" s="16">
        <f>IFERROR(SUMIF(reading[[#This Row],[1st]:[7th]],"&gt;0")/COUNTIF(reading[[#This Row],[1st]:[7th]],"&gt;0"),"")</f>
        <v>2.8571428571428572</v>
      </c>
    </row>
    <row r="770" spans="1:33" hidden="1" x14ac:dyDescent="0.2">
      <c r="A770" s="4">
        <f>IF(B770=1,3,IF(D770=1,2,IF(F770=1,1,0)))</f>
        <v>0</v>
      </c>
      <c r="B770" s="4" t="str">
        <f>IF(C770=$L770,1,IF(C770="","",0))</f>
        <v/>
      </c>
      <c r="C770" s="42"/>
      <c r="D770" s="4" t="str">
        <f>IF(E770=$L770,1,IF(E770="","",0))</f>
        <v/>
      </c>
      <c r="E770" s="23"/>
      <c r="F770" s="4" t="str">
        <f>IF(G770=$L770,1,IF(G770="","",0))</f>
        <v/>
      </c>
      <c r="G770" s="23"/>
      <c r="H770" s="6">
        <v>2799</v>
      </c>
      <c r="I770" s="15" t="s">
        <v>3120</v>
      </c>
      <c r="J770" s="6" t="s">
        <v>5842</v>
      </c>
      <c r="K770" s="6"/>
      <c r="L770" s="6" t="s">
        <v>2836</v>
      </c>
      <c r="M770" s="6" t="s">
        <v>8903</v>
      </c>
      <c r="N770" s="7">
        <f ca="1">RAND()</f>
        <v>0.13617512805588383</v>
      </c>
      <c r="O770" s="8">
        <v>45222</v>
      </c>
      <c r="P770" s="8">
        <v>45223</v>
      </c>
      <c r="Q770" s="8">
        <v>45225</v>
      </c>
      <c r="R770" s="8">
        <v>45229</v>
      </c>
      <c r="S770" s="8">
        <v>45236</v>
      </c>
      <c r="T770" s="8">
        <v>45811</v>
      </c>
      <c r="U770" s="8"/>
      <c r="V770" s="10">
        <f>COUNTA(O770:U770)</f>
        <v>6</v>
      </c>
      <c r="W770" s="11">
        <f>_xlfn.IFNA(INDEX(reading[[#This Row],[Memo 01]:[Memo 07]],MATCH(0,reading[[#This Row],[Memo 01]:[Memo 07]],-1)),"")</f>
        <v>45811</v>
      </c>
      <c r="X770" s="11">
        <f ca="1">IFERROR(reading[[#This Row],[Previous]]+OFFSET(reading[[#Headers],[Memo 01]],-1,MATCH(0,reading[[#This Row],[Memo 01]:[Memo 07]],-1)-1),"")</f>
        <v>45831</v>
      </c>
      <c r="Y770" s="10" t="str">
        <f ca="1">IF(reading[[#This Row],[Next]]&lt;&gt;"",IF(reading[[#This Row],[Next]]&gt;TODAY(),"OK",""),"")</f>
        <v/>
      </c>
      <c r="Z770" s="13">
        <v>3</v>
      </c>
      <c r="AA770" s="13">
        <v>3</v>
      </c>
      <c r="AB770" s="13">
        <v>3</v>
      </c>
      <c r="AC770" s="13">
        <v>3</v>
      </c>
      <c r="AD770" s="13">
        <v>3</v>
      </c>
      <c r="AE770" s="13">
        <v>1</v>
      </c>
      <c r="AF770" s="13"/>
      <c r="AG770" s="16">
        <f>IFERROR(SUMIF(reading[[#This Row],[1st]:[7th]],"&gt;0")/COUNTIF(reading[[#This Row],[1st]:[7th]],"&gt;0"),"")</f>
        <v>2.6666666666666665</v>
      </c>
    </row>
    <row r="771" spans="1:33" hidden="1" x14ac:dyDescent="0.2">
      <c r="A771" s="4">
        <f>IF(B771=1,3,IF(D771=1,2,IF(F771=1,1,0)))</f>
        <v>0</v>
      </c>
      <c r="B771" s="4">
        <f>IF(C771=$L771,1,IF(C771="","",0))</f>
        <v>0</v>
      </c>
      <c r="C771" s="42" t="s">
        <v>9200</v>
      </c>
      <c r="D771" s="4">
        <f>IF(E771=$L771,1,IF(E771="","",0))</f>
        <v>0</v>
      </c>
      <c r="E771" s="23" t="s">
        <v>9242</v>
      </c>
      <c r="F771" s="4" t="str">
        <f>IF(G771=$L771,1,IF(G771="","",0))</f>
        <v/>
      </c>
      <c r="G771" s="14"/>
      <c r="H771" s="6">
        <v>3037</v>
      </c>
      <c r="I771" s="15" t="s">
        <v>3120</v>
      </c>
      <c r="J771" s="6" t="s">
        <v>6059</v>
      </c>
      <c r="K771" s="6"/>
      <c r="L771" s="6" t="s">
        <v>137</v>
      </c>
      <c r="M771" s="6" t="s">
        <v>9140</v>
      </c>
      <c r="N771" s="7">
        <f ca="1">RAND()</f>
        <v>0.70161069246830221</v>
      </c>
      <c r="O771" s="8">
        <v>45224</v>
      </c>
      <c r="P771" s="8">
        <v>45225</v>
      </c>
      <c r="Q771" s="8">
        <v>45227</v>
      </c>
      <c r="R771" s="8">
        <v>45231</v>
      </c>
      <c r="S771" s="8">
        <v>45251</v>
      </c>
      <c r="T771" s="8"/>
      <c r="U771" s="8"/>
      <c r="V771" s="10">
        <f>COUNTA(O771:U771)</f>
        <v>5</v>
      </c>
      <c r="W771" s="11">
        <f>_xlfn.IFNA(INDEX(reading[[#This Row],[Memo 01]:[Memo 07]],MATCH(0,reading[[#This Row],[Memo 01]:[Memo 07]],-1)),"")</f>
        <v>45251</v>
      </c>
      <c r="X771" s="11">
        <f ca="1">IFERROR(reading[[#This Row],[Previous]]+OFFSET(reading[[#Headers],[Memo 01]],-1,MATCH(0,reading[[#This Row],[Memo 01]:[Memo 07]],-1)-1),"")</f>
        <v>45263</v>
      </c>
      <c r="Y771" s="10" t="str">
        <f ca="1">IF(reading[[#This Row],[Next]]&lt;&gt;"",IF(reading[[#This Row],[Next]]&gt;TODAY(),"OK",""),"")</f>
        <v/>
      </c>
      <c r="Z771" s="13">
        <v>3</v>
      </c>
      <c r="AA771" s="13">
        <v>3</v>
      </c>
      <c r="AB771" s="13">
        <v>3</v>
      </c>
      <c r="AC771" s="13">
        <v>3</v>
      </c>
      <c r="AD771" s="13">
        <v>3</v>
      </c>
      <c r="AE771" s="13"/>
      <c r="AF771" s="13"/>
      <c r="AG771" s="16">
        <f>IFERROR(SUMIF(reading[[#This Row],[1st]:[7th]],"&gt;0")/COUNTIF(reading[[#This Row],[1st]:[7th]],"&gt;0"),"")</f>
        <v>3</v>
      </c>
    </row>
    <row r="772" spans="1:33" hidden="1" x14ac:dyDescent="0.2">
      <c r="A772" s="4">
        <f>IF(B772=1,3,IF(D772=1,2,IF(F772=1,1,0)))</f>
        <v>0</v>
      </c>
      <c r="B772" s="4" t="str">
        <f>IF(C772=$L772,1,IF(C772="","",0))</f>
        <v/>
      </c>
      <c r="C772" s="42"/>
      <c r="D772" s="4" t="str">
        <f>IF(E772=$L772,1,IF(E772="","",0))</f>
        <v/>
      </c>
      <c r="E772" s="14"/>
      <c r="F772" s="4" t="str">
        <f>IF(G772=$L772,1,IF(G772="","",0))</f>
        <v/>
      </c>
      <c r="G772" s="14"/>
      <c r="H772" s="6">
        <v>1171</v>
      </c>
      <c r="I772" s="15" t="s">
        <v>3120</v>
      </c>
      <c r="J772" s="6" t="s">
        <v>4290</v>
      </c>
      <c r="K772" s="6"/>
      <c r="L772" s="6" t="s">
        <v>1273</v>
      </c>
      <c r="M772" s="6" t="s">
        <v>7279</v>
      </c>
      <c r="N772" s="7">
        <f ca="1">RAND()</f>
        <v>0.8818918254800644</v>
      </c>
      <c r="O772" s="8">
        <v>45206</v>
      </c>
      <c r="P772" s="8">
        <v>45207</v>
      </c>
      <c r="Q772" s="8">
        <v>45209</v>
      </c>
      <c r="R772" s="8">
        <v>45213</v>
      </c>
      <c r="S772" s="8">
        <v>45220</v>
      </c>
      <c r="T772" s="8">
        <v>45232</v>
      </c>
      <c r="U772" s="8">
        <v>45792</v>
      </c>
      <c r="V772" s="10">
        <f>COUNTA(O772:U772)</f>
        <v>7</v>
      </c>
      <c r="W772" s="11">
        <f>_xlfn.IFNA(INDEX(reading[[#This Row],[Memo 01]:[Memo 07]],MATCH(0,reading[[#This Row],[Memo 01]:[Memo 07]],-1)),"")</f>
        <v>45792</v>
      </c>
      <c r="X772" s="11">
        <f ca="1">IFERROR(reading[[#This Row],[Previous]]+OFFSET(reading[[#Headers],[Memo 01]],-1,MATCH(0,reading[[#This Row],[Memo 01]:[Memo 07]],-1)-1),"")</f>
        <v>55792</v>
      </c>
      <c r="Y772" s="10" t="str">
        <f ca="1">IF(reading[[#This Row],[Next]]&lt;&gt;"",IF(reading[[#This Row],[Next]]&gt;TODAY(),"OK",""),"")</f>
        <v>OK</v>
      </c>
      <c r="Z772" s="13">
        <v>3</v>
      </c>
      <c r="AA772" s="13">
        <v>3</v>
      </c>
      <c r="AB772" s="13">
        <v>3</v>
      </c>
      <c r="AC772" s="13">
        <v>3</v>
      </c>
      <c r="AD772" s="13">
        <v>3</v>
      </c>
      <c r="AE772" s="13">
        <v>3</v>
      </c>
      <c r="AF772" s="13">
        <v>3</v>
      </c>
      <c r="AG772" s="16">
        <f>IFERROR(SUMIF(reading[[#This Row],[1st]:[7th]],"&gt;0")/COUNTIF(reading[[#This Row],[1st]:[7th]],"&gt;0"),"")</f>
        <v>3</v>
      </c>
    </row>
    <row r="773" spans="1:33" hidden="1" x14ac:dyDescent="0.2">
      <c r="A773" s="4">
        <f>IF(B773=1,3,IF(D773=1,2,IF(F773=1,1,0)))</f>
        <v>0</v>
      </c>
      <c r="B773" s="4" t="str">
        <f>IF(C773=$L773,1,IF(C773="","",0))</f>
        <v/>
      </c>
      <c r="C773" s="42"/>
      <c r="D773" s="4" t="str">
        <f>IF(E773=$L773,1,IF(E773="","",0))</f>
        <v/>
      </c>
      <c r="E773" s="14"/>
      <c r="F773" s="4" t="str">
        <f>IF(G773=$L773,1,IF(G773="","",0))</f>
        <v/>
      </c>
      <c r="G773" s="14"/>
      <c r="H773" s="6">
        <v>60</v>
      </c>
      <c r="I773" s="15" t="s">
        <v>3120</v>
      </c>
      <c r="J773" s="6" t="s">
        <v>3213</v>
      </c>
      <c r="K773" s="6"/>
      <c r="L773" s="6" t="s">
        <v>201</v>
      </c>
      <c r="M773" s="6" t="s">
        <v>6172</v>
      </c>
      <c r="N773" s="7">
        <f ca="1">RAND()</f>
        <v>0.98578552971461941</v>
      </c>
      <c r="O773" s="8">
        <v>45199</v>
      </c>
      <c r="P773" s="8">
        <v>45200</v>
      </c>
      <c r="Q773" s="8">
        <v>45202</v>
      </c>
      <c r="R773" s="8">
        <v>45206</v>
      </c>
      <c r="S773" s="8">
        <v>45213</v>
      </c>
      <c r="T773" s="8">
        <v>45225</v>
      </c>
      <c r="U773" s="8">
        <v>45792</v>
      </c>
      <c r="V773" s="10">
        <f>COUNTA(O773:U773)</f>
        <v>7</v>
      </c>
      <c r="W773" s="11">
        <f>_xlfn.IFNA(INDEX(reading[[#This Row],[Memo 01]:[Memo 07]],MATCH(0,reading[[#This Row],[Memo 01]:[Memo 07]],-1)),"")</f>
        <v>45792</v>
      </c>
      <c r="X773" s="11">
        <f ca="1">IFERROR(reading[[#This Row],[Previous]]+OFFSET(reading[[#Headers],[Memo 01]],-1,MATCH(0,reading[[#This Row],[Memo 01]:[Memo 07]],-1)-1),"")</f>
        <v>55792</v>
      </c>
      <c r="Y773" s="10" t="str">
        <f ca="1">IF(reading[[#This Row],[Next]]&lt;&gt;"",IF(reading[[#This Row],[Next]]&gt;TODAY(),"OK",""),"")</f>
        <v>OK</v>
      </c>
      <c r="Z773" s="13">
        <v>3</v>
      </c>
      <c r="AA773" s="13">
        <v>3</v>
      </c>
      <c r="AB773" s="13">
        <v>3</v>
      </c>
      <c r="AC773" s="13">
        <v>3</v>
      </c>
      <c r="AD773" s="13">
        <v>3</v>
      </c>
      <c r="AE773" s="13">
        <v>3</v>
      </c>
      <c r="AF773" s="13">
        <v>3</v>
      </c>
      <c r="AG773" s="16">
        <f>IFERROR(SUMIF(reading[[#This Row],[1st]:[7th]],"&gt;0")/COUNTIF(reading[[#This Row],[1st]:[7th]],"&gt;0"),"")</f>
        <v>3</v>
      </c>
    </row>
    <row r="774" spans="1:33" hidden="1" x14ac:dyDescent="0.2">
      <c r="A774" s="4">
        <f>IF(B774=1,3,IF(D774=1,2,IF(F774=1,1,0)))</f>
        <v>0</v>
      </c>
      <c r="B774" s="4" t="str">
        <f>IF(C774=$L774,1,IF(C774="","",0))</f>
        <v/>
      </c>
      <c r="C774" s="42"/>
      <c r="D774" s="4" t="str">
        <f>IF(E774=$L774,1,IF(E774="","",0))</f>
        <v/>
      </c>
      <c r="E774" s="14"/>
      <c r="F774" s="4" t="str">
        <f>IF(G774=$L774,1,IF(G774="","",0))</f>
        <v/>
      </c>
      <c r="G774" s="14"/>
      <c r="H774" s="6">
        <v>2433</v>
      </c>
      <c r="I774" s="15" t="s">
        <v>3120</v>
      </c>
      <c r="J774" s="6" t="s">
        <v>5503</v>
      </c>
      <c r="K774" s="6"/>
      <c r="L774" s="6" t="s">
        <v>2483</v>
      </c>
      <c r="M774" s="6" t="s">
        <v>8538</v>
      </c>
      <c r="N774" s="7">
        <f ca="1">RAND()</f>
        <v>0.66098976662599285</v>
      </c>
      <c r="O774" s="8">
        <v>45217</v>
      </c>
      <c r="P774" s="8">
        <v>45218</v>
      </c>
      <c r="Q774" s="8">
        <v>45220</v>
      </c>
      <c r="R774" s="8">
        <v>45224</v>
      </c>
      <c r="S774" s="8">
        <v>45231</v>
      </c>
      <c r="T774" s="8">
        <v>45824</v>
      </c>
      <c r="U774" s="8"/>
      <c r="V774" s="10">
        <f>COUNTA(O774:U774)</f>
        <v>6</v>
      </c>
      <c r="W774" s="11">
        <f>_xlfn.IFNA(INDEX(reading[[#This Row],[Memo 01]:[Memo 07]],MATCH(0,reading[[#This Row],[Memo 01]:[Memo 07]],-1)),"")</f>
        <v>45824</v>
      </c>
      <c r="X774" s="11">
        <f ca="1">IFERROR(reading[[#This Row],[Previous]]+OFFSET(reading[[#Headers],[Memo 01]],-1,MATCH(0,reading[[#This Row],[Memo 01]:[Memo 07]],-1)-1),"")</f>
        <v>45844</v>
      </c>
      <c r="Y774" s="10" t="str">
        <f ca="1">IF(reading[[#This Row],[Next]]&lt;&gt;"",IF(reading[[#This Row],[Next]]&gt;TODAY(),"OK",""),"")</f>
        <v>OK</v>
      </c>
      <c r="Z774" s="13">
        <v>3</v>
      </c>
      <c r="AA774" s="13">
        <v>3</v>
      </c>
      <c r="AB774" s="13">
        <v>3</v>
      </c>
      <c r="AC774" s="13">
        <v>3</v>
      </c>
      <c r="AD774" s="13">
        <v>2</v>
      </c>
      <c r="AE774" s="13">
        <v>3</v>
      </c>
      <c r="AF774" s="13"/>
      <c r="AG774" s="16">
        <f>IFERROR(SUMIF(reading[[#This Row],[1st]:[7th]],"&gt;0")/COUNTIF(reading[[#This Row],[1st]:[7th]],"&gt;0"),"")</f>
        <v>2.8333333333333335</v>
      </c>
    </row>
    <row r="775" spans="1:33" hidden="1" x14ac:dyDescent="0.2">
      <c r="A775" s="4">
        <f>IF(B775=1,3,IF(D775=1,2,IF(F775=1,1,0)))</f>
        <v>0</v>
      </c>
      <c r="B775" s="4" t="str">
        <f>IF(C775=$L775,1,IF(C775="","",0))</f>
        <v/>
      </c>
      <c r="C775" s="42"/>
      <c r="D775" s="4" t="str">
        <f>IF(E775=$L775,1,IF(E775="","",0))</f>
        <v/>
      </c>
      <c r="E775" s="14"/>
      <c r="F775" s="4" t="str">
        <f>IF(G775=$L775,1,IF(G775="","",0))</f>
        <v/>
      </c>
      <c r="G775" s="14"/>
      <c r="H775" s="6">
        <v>1742</v>
      </c>
      <c r="I775" s="15" t="s">
        <v>3120</v>
      </c>
      <c r="J775" s="6" t="s">
        <v>4850</v>
      </c>
      <c r="K775" s="15" t="s">
        <v>3138</v>
      </c>
      <c r="L775" s="6" t="s">
        <v>1822</v>
      </c>
      <c r="M775" s="6" t="s">
        <v>7848</v>
      </c>
      <c r="N775" s="7">
        <f ca="1">RAND()</f>
        <v>0.72209805035072394</v>
      </c>
      <c r="O775" s="8">
        <v>45211</v>
      </c>
      <c r="P775" s="8">
        <v>45212</v>
      </c>
      <c r="Q775" s="8">
        <v>45214</v>
      </c>
      <c r="R775" s="8">
        <v>45218</v>
      </c>
      <c r="S775" s="8">
        <v>45225</v>
      </c>
      <c r="T775" s="8">
        <v>45237</v>
      </c>
      <c r="U775" s="8">
        <v>45792</v>
      </c>
      <c r="V775" s="10">
        <f>COUNTA(O775:U775)</f>
        <v>7</v>
      </c>
      <c r="W775" s="11">
        <f>_xlfn.IFNA(INDEX(reading[[#This Row],[Memo 01]:[Memo 07]],MATCH(0,reading[[#This Row],[Memo 01]:[Memo 07]],-1)),"")</f>
        <v>45792</v>
      </c>
      <c r="X775" s="11">
        <f ca="1">IFERROR(reading[[#This Row],[Previous]]+OFFSET(reading[[#Headers],[Memo 01]],-1,MATCH(0,reading[[#This Row],[Memo 01]:[Memo 07]],-1)-1),"")</f>
        <v>55792</v>
      </c>
      <c r="Y775" s="10" t="str">
        <f ca="1">IF(reading[[#This Row],[Next]]&lt;&gt;"",IF(reading[[#This Row],[Next]]&gt;TODAY(),"OK",""),"")</f>
        <v>OK</v>
      </c>
      <c r="Z775" s="13">
        <v>3</v>
      </c>
      <c r="AA775" s="13">
        <v>3</v>
      </c>
      <c r="AB775" s="13">
        <v>3</v>
      </c>
      <c r="AC775" s="13">
        <v>3</v>
      </c>
      <c r="AD775" s="13">
        <v>3</v>
      </c>
      <c r="AE775" s="13">
        <v>3</v>
      </c>
      <c r="AF775" s="13">
        <v>3</v>
      </c>
      <c r="AG775" s="16">
        <f>IFERROR(SUMIF(reading[[#This Row],[1st]:[7th]],"&gt;0")/COUNTIF(reading[[#This Row],[1st]:[7th]],"&gt;0"),"")</f>
        <v>3</v>
      </c>
    </row>
    <row r="776" spans="1:33" hidden="1" x14ac:dyDescent="0.2">
      <c r="A776" s="4">
        <f>IF(B776=1,3,IF(D776=1,2,IF(F776=1,1,0)))</f>
        <v>0</v>
      </c>
      <c r="B776" s="4" t="str">
        <f>IF(C776=$L776,1,IF(C776="","",0))</f>
        <v/>
      </c>
      <c r="C776" s="42"/>
      <c r="D776" s="4" t="str">
        <f>IF(E776=$L776,1,IF(E776="","",0))</f>
        <v/>
      </c>
      <c r="E776" s="14"/>
      <c r="F776" s="4" t="str">
        <f>IF(G776=$L776,1,IF(G776="","",0))</f>
        <v/>
      </c>
      <c r="G776" s="14"/>
      <c r="H776" s="6">
        <v>2275</v>
      </c>
      <c r="I776" s="15" t="s">
        <v>3120</v>
      </c>
      <c r="J776" s="6" t="s">
        <v>5356</v>
      </c>
      <c r="K776" s="6"/>
      <c r="L776" s="6" t="s">
        <v>2335</v>
      </c>
      <c r="M776" s="6" t="s">
        <v>8380</v>
      </c>
      <c r="N776" s="7">
        <f ca="1">RAND()</f>
        <v>3.6958472130239173E-2</v>
      </c>
      <c r="O776" s="8">
        <v>45215</v>
      </c>
      <c r="P776" s="8">
        <v>45216</v>
      </c>
      <c r="Q776" s="8">
        <v>45218</v>
      </c>
      <c r="R776" s="8">
        <v>45222</v>
      </c>
      <c r="S776" s="8">
        <v>45229</v>
      </c>
      <c r="T776" s="8">
        <v>45783</v>
      </c>
      <c r="U776" s="8">
        <v>45819</v>
      </c>
      <c r="V776" s="10">
        <f>COUNTA(O776:U776)</f>
        <v>7</v>
      </c>
      <c r="W776" s="11">
        <f>_xlfn.IFNA(INDEX(reading[[#This Row],[Memo 01]:[Memo 07]],MATCH(0,reading[[#This Row],[Memo 01]:[Memo 07]],-1)),"")</f>
        <v>45819</v>
      </c>
      <c r="X776" s="11">
        <f ca="1">IFERROR(reading[[#This Row],[Previous]]+OFFSET(reading[[#Headers],[Memo 01]],-1,MATCH(0,reading[[#This Row],[Memo 01]:[Memo 07]],-1)-1),"")</f>
        <v>55819</v>
      </c>
      <c r="Y776" s="10" t="str">
        <f ca="1">IF(reading[[#This Row],[Next]]&lt;&gt;"",IF(reading[[#This Row],[Next]]&gt;TODAY(),"OK",""),"")</f>
        <v>OK</v>
      </c>
      <c r="Z776" s="13">
        <v>3</v>
      </c>
      <c r="AA776" s="13">
        <v>3</v>
      </c>
      <c r="AB776" s="13">
        <v>3</v>
      </c>
      <c r="AC776" s="13">
        <v>3</v>
      </c>
      <c r="AD776" s="13">
        <v>3</v>
      </c>
      <c r="AE776" s="13">
        <v>3</v>
      </c>
      <c r="AF776" s="13">
        <v>3</v>
      </c>
      <c r="AG776" s="16">
        <f>IFERROR(SUMIF(reading[[#This Row],[1st]:[7th]],"&gt;0")/COUNTIF(reading[[#This Row],[1st]:[7th]],"&gt;0"),"")</f>
        <v>3</v>
      </c>
    </row>
    <row r="777" spans="1:33" hidden="1" x14ac:dyDescent="0.2">
      <c r="A777" s="4">
        <f>IF(B777=1,3,IF(D777=1,2,IF(F777=1,1,0)))</f>
        <v>0</v>
      </c>
      <c r="B777" s="4" t="str">
        <f>IF(C777=$L777,1,IF(C777="","",0))</f>
        <v/>
      </c>
      <c r="C777" s="42"/>
      <c r="D777" s="4" t="str">
        <f>IF(E777=$L777,1,IF(E777="","",0))</f>
        <v/>
      </c>
      <c r="E777" s="14"/>
      <c r="F777" s="4" t="str">
        <f>IF(G777=$L777,1,IF(G777="","",0))</f>
        <v/>
      </c>
      <c r="G777" s="14"/>
      <c r="H777" s="6">
        <v>544</v>
      </c>
      <c r="I777" s="15" t="s">
        <v>3120</v>
      </c>
      <c r="J777" s="6" t="s">
        <v>3689</v>
      </c>
      <c r="K777" s="6"/>
      <c r="L777" s="6" t="s">
        <v>672</v>
      </c>
      <c r="M777" s="6" t="s">
        <v>6653</v>
      </c>
      <c r="N777" s="7">
        <f ca="1">RAND()</f>
        <v>0.42510095332029418</v>
      </c>
      <c r="O777" s="8">
        <v>45202</v>
      </c>
      <c r="P777" s="8">
        <v>45203</v>
      </c>
      <c r="Q777" s="8">
        <v>45205</v>
      </c>
      <c r="R777" s="8">
        <v>45209</v>
      </c>
      <c r="S777" s="8">
        <v>45216</v>
      </c>
      <c r="T777" s="8">
        <v>45228</v>
      </c>
      <c r="U777" s="8">
        <v>45801</v>
      </c>
      <c r="V777" s="10">
        <f>COUNTA(O777:U777)</f>
        <v>7</v>
      </c>
      <c r="W777" s="11">
        <f>_xlfn.IFNA(INDEX(reading[[#This Row],[Memo 01]:[Memo 07]],MATCH(0,reading[[#This Row],[Memo 01]:[Memo 07]],-1)),"")</f>
        <v>45801</v>
      </c>
      <c r="X777" s="11">
        <f ca="1">IFERROR(reading[[#This Row],[Previous]]+OFFSET(reading[[#Headers],[Memo 01]],-1,MATCH(0,reading[[#This Row],[Memo 01]:[Memo 07]],-1)-1),"")</f>
        <v>55801</v>
      </c>
      <c r="Y777" s="10" t="str">
        <f ca="1">IF(reading[[#This Row],[Next]]&lt;&gt;"",IF(reading[[#This Row],[Next]]&gt;TODAY(),"OK",""),"")</f>
        <v>OK</v>
      </c>
      <c r="Z777" s="13">
        <v>3</v>
      </c>
      <c r="AA777" s="13">
        <v>3</v>
      </c>
      <c r="AB777" s="13">
        <v>3</v>
      </c>
      <c r="AC777" s="13">
        <v>3</v>
      </c>
      <c r="AD777" s="13">
        <v>3</v>
      </c>
      <c r="AE777" s="13">
        <v>3</v>
      </c>
      <c r="AF777" s="13">
        <v>3</v>
      </c>
      <c r="AG777" s="16">
        <f>IFERROR(SUMIF(reading[[#This Row],[1st]:[7th]],"&gt;0")/COUNTIF(reading[[#This Row],[1st]:[7th]],"&gt;0"),"")</f>
        <v>3</v>
      </c>
    </row>
    <row r="778" spans="1:33" hidden="1" x14ac:dyDescent="0.2">
      <c r="A778" s="4">
        <f>IF(B778=1,3,IF(D778=1,2,IF(F778=1,1,0)))</f>
        <v>3</v>
      </c>
      <c r="B778" s="4">
        <f>IF(C778=$L778,1,IF(C778="","",0))</f>
        <v>1</v>
      </c>
      <c r="C778" s="21" t="s">
        <v>900</v>
      </c>
      <c r="D778" s="4" t="str">
        <f>IF(E778=$L778,1,IF(E778="","",0))</f>
        <v/>
      </c>
      <c r="E778" s="14"/>
      <c r="F778" s="4" t="str">
        <f>IF(G778=$L778,1,IF(G778="","",0))</f>
        <v/>
      </c>
      <c r="G778" s="14"/>
      <c r="H778" s="6">
        <v>781</v>
      </c>
      <c r="I778" s="15" t="s">
        <v>3120</v>
      </c>
      <c r="J778" s="6" t="s">
        <v>3915</v>
      </c>
      <c r="K778" s="6"/>
      <c r="L778" s="6" t="s">
        <v>900</v>
      </c>
      <c r="M778" s="6" t="s">
        <v>6890</v>
      </c>
      <c r="N778" s="7">
        <f ca="1">RAND()</f>
        <v>0.57059533061597623</v>
      </c>
      <c r="O778" s="8">
        <v>45203</v>
      </c>
      <c r="P778" s="8">
        <v>45203</v>
      </c>
      <c r="Q778" s="8">
        <v>45203</v>
      </c>
      <c r="R778" s="8">
        <v>45203</v>
      </c>
      <c r="S778" s="8">
        <v>45203</v>
      </c>
      <c r="T778" s="8">
        <v>45203</v>
      </c>
      <c r="U778" s="8">
        <v>45203</v>
      </c>
      <c r="V778" s="10">
        <f>COUNTA(O778:U778)</f>
        <v>7</v>
      </c>
      <c r="W778" s="11">
        <f>_xlfn.IFNA(INDEX(reading[[#This Row],[Memo 01]:[Memo 07]],MATCH(0,reading[[#This Row],[Memo 01]:[Memo 07]],-1)),"")</f>
        <v>45203</v>
      </c>
      <c r="X778" s="11">
        <f ca="1">IFERROR(reading[[#This Row],[Previous]]+OFFSET(reading[[#Headers],[Memo 01]],-1,MATCH(0,reading[[#This Row],[Memo 01]:[Memo 07]],-1)-1),"")</f>
        <v>55203</v>
      </c>
      <c r="Y778" s="10" t="str">
        <f ca="1">IF(reading[[#This Row],[Next]]&lt;&gt;"",IF(reading[[#This Row],[Next]]&gt;TODAY(),"OK",""),"")</f>
        <v>OK</v>
      </c>
      <c r="Z778" s="13">
        <v>3</v>
      </c>
      <c r="AA778" s="13"/>
      <c r="AB778" s="13"/>
      <c r="AC778" s="13"/>
      <c r="AD778" s="13"/>
      <c r="AE778" s="13"/>
      <c r="AF778" s="13"/>
      <c r="AG778" s="16">
        <f>IFERROR(SUMIF(reading[[#This Row],[1st]:[7th]],"&gt;0")/COUNTIF(reading[[#This Row],[1st]:[7th]],"&gt;0"),"")</f>
        <v>3</v>
      </c>
    </row>
    <row r="779" spans="1:33" hidden="1" x14ac:dyDescent="0.2">
      <c r="A779" s="4">
        <f>IF(B779=1,3,IF(D779=1,2,IF(F779=1,1,0)))</f>
        <v>0</v>
      </c>
      <c r="B779" s="4" t="str">
        <f>IF(C779=$L779,1,IF(C779="","",0))</f>
        <v/>
      </c>
      <c r="C779" s="42"/>
      <c r="D779" s="4" t="str">
        <f>IF(E779=$L779,1,IF(E779="","",0))</f>
        <v/>
      </c>
      <c r="E779" s="14"/>
      <c r="F779" s="4" t="str">
        <f>IF(G779=$L779,1,IF(G779="","",0))</f>
        <v/>
      </c>
      <c r="G779" s="14"/>
      <c r="H779" s="6">
        <v>2704</v>
      </c>
      <c r="I779" s="15" t="s">
        <v>3120</v>
      </c>
      <c r="J779" s="6" t="s">
        <v>5754</v>
      </c>
      <c r="K779" s="6"/>
      <c r="L779" s="6" t="s">
        <v>2743</v>
      </c>
      <c r="M779" s="6" t="s">
        <v>8809</v>
      </c>
      <c r="N779" s="7">
        <f ca="1">RAND()</f>
        <v>0.90301957100288421</v>
      </c>
      <c r="O779" s="8">
        <v>45221</v>
      </c>
      <c r="P779" s="8">
        <v>45222</v>
      </c>
      <c r="Q779" s="8">
        <v>45224</v>
      </c>
      <c r="R779" s="8">
        <v>45228</v>
      </c>
      <c r="S779" s="8">
        <v>45235</v>
      </c>
      <c r="T779" s="8">
        <v>45824</v>
      </c>
      <c r="U779" s="8"/>
      <c r="V779" s="10">
        <f>COUNTA(O779:U779)</f>
        <v>6</v>
      </c>
      <c r="W779" s="11">
        <f>_xlfn.IFNA(INDEX(reading[[#This Row],[Memo 01]:[Memo 07]],MATCH(0,reading[[#This Row],[Memo 01]:[Memo 07]],-1)),"")</f>
        <v>45824</v>
      </c>
      <c r="X779" s="11">
        <f ca="1">IFERROR(reading[[#This Row],[Previous]]+OFFSET(reading[[#Headers],[Memo 01]],-1,MATCH(0,reading[[#This Row],[Memo 01]:[Memo 07]],-1)-1),"")</f>
        <v>45844</v>
      </c>
      <c r="Y779" s="10" t="str">
        <f ca="1">IF(reading[[#This Row],[Next]]&lt;&gt;"",IF(reading[[#This Row],[Next]]&gt;TODAY(),"OK",""),"")</f>
        <v>OK</v>
      </c>
      <c r="Z779" s="13">
        <v>3</v>
      </c>
      <c r="AA779" s="13">
        <v>3</v>
      </c>
      <c r="AB779" s="13">
        <v>3</v>
      </c>
      <c r="AC779" s="13">
        <v>3</v>
      </c>
      <c r="AD779" s="13">
        <v>3</v>
      </c>
      <c r="AE779" s="13">
        <v>3</v>
      </c>
      <c r="AF779" s="13"/>
      <c r="AG779" s="16">
        <f>IFERROR(SUMIF(reading[[#This Row],[1st]:[7th]],"&gt;0")/COUNTIF(reading[[#This Row],[1st]:[7th]],"&gt;0"),"")</f>
        <v>3</v>
      </c>
    </row>
    <row r="780" spans="1:33" hidden="1" x14ac:dyDescent="0.2">
      <c r="A780" s="4">
        <f>IF(B780=1,3,IF(D780=1,2,IF(F780=1,1,0)))</f>
        <v>0</v>
      </c>
      <c r="B780" s="4" t="str">
        <f>IF(C780=$L780,1,IF(C780="","",0))</f>
        <v/>
      </c>
      <c r="C780" s="42"/>
      <c r="D780" s="4" t="str">
        <f>IF(E780=$L780,1,IF(E780="","",0))</f>
        <v/>
      </c>
      <c r="E780" s="18"/>
      <c r="F780" s="4" t="str">
        <f>IF(G780=$L780,1,IF(G780="","",0))</f>
        <v/>
      </c>
      <c r="G780" s="14"/>
      <c r="H780" s="6">
        <v>1390</v>
      </c>
      <c r="I780" s="15" t="s">
        <v>3120</v>
      </c>
      <c r="J780" s="6" t="s">
        <v>4504</v>
      </c>
      <c r="K780" s="6"/>
      <c r="L780" s="6" t="s">
        <v>1482</v>
      </c>
      <c r="M780" s="6" t="s">
        <v>7497</v>
      </c>
      <c r="N780" s="7">
        <f ca="1">RAND()</f>
        <v>0.82633946060062846</v>
      </c>
      <c r="O780" s="8">
        <v>45207</v>
      </c>
      <c r="P780" s="8">
        <v>45208</v>
      </c>
      <c r="Q780" s="8">
        <v>45210</v>
      </c>
      <c r="R780" s="8">
        <v>45214</v>
      </c>
      <c r="S780" s="8">
        <v>45221</v>
      </c>
      <c r="T780" s="8">
        <v>45233</v>
      </c>
      <c r="U780" s="8">
        <v>45792</v>
      </c>
      <c r="V780" s="10">
        <f>COUNTA(O780:U780)</f>
        <v>7</v>
      </c>
      <c r="W780" s="11">
        <f>_xlfn.IFNA(INDEX(reading[[#This Row],[Memo 01]:[Memo 07]],MATCH(0,reading[[#This Row],[Memo 01]:[Memo 07]],-1)),"")</f>
        <v>45792</v>
      </c>
      <c r="X780" s="11">
        <f ca="1">IFERROR(reading[[#This Row],[Previous]]+OFFSET(reading[[#Headers],[Memo 01]],-1,MATCH(0,reading[[#This Row],[Memo 01]:[Memo 07]],-1)-1),"")</f>
        <v>55792</v>
      </c>
      <c r="Y780" s="10" t="str">
        <f ca="1">IF(reading[[#This Row],[Next]]&lt;&gt;"",IF(reading[[#This Row],[Next]]&gt;TODAY(),"OK",""),"")</f>
        <v>OK</v>
      </c>
      <c r="Z780" s="13">
        <v>3</v>
      </c>
      <c r="AA780" s="13">
        <v>2</v>
      </c>
      <c r="AB780" s="13">
        <v>3</v>
      </c>
      <c r="AC780" s="13">
        <v>3</v>
      </c>
      <c r="AD780" s="13">
        <v>2</v>
      </c>
      <c r="AE780" s="13">
        <v>3</v>
      </c>
      <c r="AF780" s="13">
        <v>3</v>
      </c>
      <c r="AG780" s="16">
        <f>IFERROR(SUMIF(reading[[#This Row],[1st]:[7th]],"&gt;0")/COUNTIF(reading[[#This Row],[1st]:[7th]],"&gt;0"),"")</f>
        <v>2.7142857142857144</v>
      </c>
    </row>
    <row r="781" spans="1:33" hidden="1" x14ac:dyDescent="0.2">
      <c r="A781" s="4">
        <f>IF(B781=1,3,IF(D781=1,2,IF(F781=1,1,0)))</f>
        <v>0</v>
      </c>
      <c r="B781" s="4" t="str">
        <f>IF(C781=$L781,1,IF(C781="","",0))</f>
        <v/>
      </c>
      <c r="C781" s="42"/>
      <c r="D781" s="4" t="str">
        <f>IF(E781=$L781,1,IF(E781="","",0))</f>
        <v/>
      </c>
      <c r="E781" s="23"/>
      <c r="F781" s="4" t="str">
        <f>IF(G781=$L781,1,IF(G781="","",0))</f>
        <v/>
      </c>
      <c r="G781" s="23"/>
      <c r="H781" s="6">
        <v>1657</v>
      </c>
      <c r="I781" s="15" t="s">
        <v>3120</v>
      </c>
      <c r="J781" s="6" t="s">
        <v>4768</v>
      </c>
      <c r="K781" s="6"/>
      <c r="L781" s="6" t="s">
        <v>1738</v>
      </c>
      <c r="M781" s="6" t="s">
        <v>7763</v>
      </c>
      <c r="N781" s="7">
        <f ca="1">RAND()</f>
        <v>0.79282557664706044</v>
      </c>
      <c r="O781" s="8">
        <v>45212</v>
      </c>
      <c r="P781" s="8">
        <v>45213</v>
      </c>
      <c r="Q781" s="8">
        <v>45215</v>
      </c>
      <c r="R781" s="8">
        <v>45219</v>
      </c>
      <c r="S781" s="8">
        <v>45226</v>
      </c>
      <c r="T781" s="8">
        <v>45811</v>
      </c>
      <c r="U781" s="8"/>
      <c r="V781" s="10">
        <f>COUNTA(O781:U781)</f>
        <v>6</v>
      </c>
      <c r="W781" s="11">
        <f>_xlfn.IFNA(INDEX(reading[[#This Row],[Memo 01]:[Memo 07]],MATCH(0,reading[[#This Row],[Memo 01]:[Memo 07]],-1)),"")</f>
        <v>45811</v>
      </c>
      <c r="X781" s="11">
        <f ca="1">IFERROR(reading[[#This Row],[Previous]]+OFFSET(reading[[#Headers],[Memo 01]],-1,MATCH(0,reading[[#This Row],[Memo 01]:[Memo 07]],-1)-1),"")</f>
        <v>45831</v>
      </c>
      <c r="Y781" s="10" t="str">
        <f ca="1">IF(reading[[#This Row],[Next]]&lt;&gt;"",IF(reading[[#This Row],[Next]]&gt;TODAY(),"OK",""),"")</f>
        <v/>
      </c>
      <c r="Z781" s="13">
        <v>3</v>
      </c>
      <c r="AA781" s="13">
        <v>3</v>
      </c>
      <c r="AB781" s="13">
        <v>3</v>
      </c>
      <c r="AC781" s="13">
        <v>3</v>
      </c>
      <c r="AD781" s="13">
        <v>3</v>
      </c>
      <c r="AE781" s="13">
        <v>1</v>
      </c>
      <c r="AF781" s="13"/>
      <c r="AG781" s="16">
        <f>IFERROR(SUMIF(reading[[#This Row],[1st]:[7th]],"&gt;0")/COUNTIF(reading[[#This Row],[1st]:[7th]],"&gt;0"),"")</f>
        <v>2.6666666666666665</v>
      </c>
    </row>
    <row r="782" spans="1:33" hidden="1" x14ac:dyDescent="0.2">
      <c r="A782" s="4">
        <f>IF(B782=1,3,IF(D782=1,2,IF(F782=1,1,0)))</f>
        <v>0</v>
      </c>
      <c r="B782" s="4" t="str">
        <f>IF(C782=$L782,1,IF(C782="","",0))</f>
        <v/>
      </c>
      <c r="C782" s="42"/>
      <c r="D782" s="4" t="str">
        <f>IF(E782=$L782,1,IF(E782="","",0))</f>
        <v/>
      </c>
      <c r="E782" s="18"/>
      <c r="F782" s="4" t="str">
        <f>IF(G782=$L782,1,IF(G782="","",0))</f>
        <v/>
      </c>
      <c r="G782" s="18"/>
      <c r="H782" s="6">
        <v>773</v>
      </c>
      <c r="I782" s="15" t="s">
        <v>3120</v>
      </c>
      <c r="J782" s="6" t="s">
        <v>3908</v>
      </c>
      <c r="K782" s="6"/>
      <c r="L782" s="6" t="s">
        <v>892</v>
      </c>
      <c r="M782" s="6" t="s">
        <v>6882</v>
      </c>
      <c r="N782" s="7">
        <f ca="1">RAND()</f>
        <v>0.83804841158654253</v>
      </c>
      <c r="O782" s="8">
        <v>45203</v>
      </c>
      <c r="P782" s="8">
        <v>45204</v>
      </c>
      <c r="Q782" s="8">
        <v>45206</v>
      </c>
      <c r="R782" s="8">
        <v>45217</v>
      </c>
      <c r="S782" s="8">
        <v>45224</v>
      </c>
      <c r="T782" s="8">
        <v>45236</v>
      </c>
      <c r="U782" s="8">
        <v>45823</v>
      </c>
      <c r="V782" s="10">
        <f>COUNTA(O782:U782)</f>
        <v>7</v>
      </c>
      <c r="W782" s="11">
        <f>_xlfn.IFNA(INDEX(reading[[#This Row],[Memo 01]:[Memo 07]],MATCH(0,reading[[#This Row],[Memo 01]:[Memo 07]],-1)),"")</f>
        <v>45823</v>
      </c>
      <c r="X782" s="11">
        <f ca="1">IFERROR(reading[[#This Row],[Previous]]+OFFSET(reading[[#Headers],[Memo 01]],-1,MATCH(0,reading[[#This Row],[Memo 01]:[Memo 07]],-1)-1),"")</f>
        <v>55823</v>
      </c>
      <c r="Y782" s="10" t="str">
        <f ca="1">IF(reading[[#This Row],[Next]]&lt;&gt;"",IF(reading[[#This Row],[Next]]&gt;TODAY(),"OK",""),"")</f>
        <v>OK</v>
      </c>
      <c r="Z782" s="13">
        <v>3</v>
      </c>
      <c r="AA782" s="13">
        <v>3</v>
      </c>
      <c r="AB782" s="13">
        <v>3</v>
      </c>
      <c r="AC782" s="13">
        <v>1</v>
      </c>
      <c r="AD782" s="13">
        <v>1</v>
      </c>
      <c r="AE782" s="13">
        <v>2</v>
      </c>
      <c r="AF782" s="13">
        <v>3</v>
      </c>
      <c r="AG782" s="16">
        <f>IFERROR(SUMIF(reading[[#This Row],[1st]:[7th]],"&gt;0")/COUNTIF(reading[[#This Row],[1st]:[7th]],"&gt;0"),"")</f>
        <v>2.2857142857142856</v>
      </c>
    </row>
    <row r="783" spans="1:33" hidden="1" x14ac:dyDescent="0.2">
      <c r="A783" s="4">
        <f>IF(B783=1,3,IF(D783=1,2,IF(F783=1,1,0)))</f>
        <v>0</v>
      </c>
      <c r="B783" s="4" t="str">
        <f>IF(C783=$L783,1,IF(C783="","",0))</f>
        <v/>
      </c>
      <c r="C783" s="42"/>
      <c r="D783" s="4" t="str">
        <f>IF(E783=$L783,1,IF(E783="","",0))</f>
        <v/>
      </c>
      <c r="E783" s="14"/>
      <c r="F783" s="4" t="str">
        <f>IF(G783=$L783,1,IF(G783="","",0))</f>
        <v/>
      </c>
      <c r="G783" s="14"/>
      <c r="H783" s="6">
        <v>1156</v>
      </c>
      <c r="I783" s="15" t="s">
        <v>3120</v>
      </c>
      <c r="J783" s="6" t="s">
        <v>4276</v>
      </c>
      <c r="K783" s="6"/>
      <c r="L783" s="6" t="s">
        <v>1258</v>
      </c>
      <c r="M783" s="6" t="s">
        <v>7264</v>
      </c>
      <c r="N783" s="7">
        <f ca="1">RAND()</f>
        <v>0.20141572287232745</v>
      </c>
      <c r="O783" s="8">
        <v>45206</v>
      </c>
      <c r="P783" s="8">
        <v>45207</v>
      </c>
      <c r="Q783" s="8">
        <v>45209</v>
      </c>
      <c r="R783" s="8">
        <v>45213</v>
      </c>
      <c r="S783" s="8">
        <v>45220</v>
      </c>
      <c r="T783" s="8">
        <v>45232</v>
      </c>
      <c r="U783" s="8">
        <v>45801</v>
      </c>
      <c r="V783" s="10">
        <f>COUNTA(O783:U783)</f>
        <v>7</v>
      </c>
      <c r="W783" s="11">
        <f>_xlfn.IFNA(INDEX(reading[[#This Row],[Memo 01]:[Memo 07]],MATCH(0,reading[[#This Row],[Memo 01]:[Memo 07]],-1)),"")</f>
        <v>45801</v>
      </c>
      <c r="X783" s="11">
        <f ca="1">IFERROR(reading[[#This Row],[Previous]]+OFFSET(reading[[#Headers],[Memo 01]],-1,MATCH(0,reading[[#This Row],[Memo 01]:[Memo 07]],-1)-1),"")</f>
        <v>55801</v>
      </c>
      <c r="Y783" s="10" t="str">
        <f ca="1">IF(reading[[#This Row],[Next]]&lt;&gt;"",IF(reading[[#This Row],[Next]]&gt;TODAY(),"OK",""),"")</f>
        <v>OK</v>
      </c>
      <c r="Z783" s="13">
        <v>3</v>
      </c>
      <c r="AA783" s="13">
        <v>3</v>
      </c>
      <c r="AB783" s="13">
        <v>3</v>
      </c>
      <c r="AC783" s="13">
        <v>3</v>
      </c>
      <c r="AD783" s="13">
        <v>3</v>
      </c>
      <c r="AE783" s="13">
        <v>3</v>
      </c>
      <c r="AF783" s="13">
        <v>3</v>
      </c>
      <c r="AG783" s="16">
        <f>IFERROR(SUMIF(reading[[#This Row],[1st]:[7th]],"&gt;0")/COUNTIF(reading[[#This Row],[1st]:[7th]],"&gt;0"),"")</f>
        <v>3</v>
      </c>
    </row>
    <row r="784" spans="1:33" hidden="1" x14ac:dyDescent="0.2">
      <c r="A784" s="4">
        <f>IF(B784=1,3,IF(D784=1,2,IF(F784=1,1,0)))</f>
        <v>0</v>
      </c>
      <c r="B784" s="4" t="str">
        <f>IF(C784=$L784,1,IF(C784="","",0))</f>
        <v/>
      </c>
      <c r="C784" s="42"/>
      <c r="D784" s="4" t="str">
        <f>IF(E784=$L784,1,IF(E784="","",0))</f>
        <v/>
      </c>
      <c r="E784" s="23"/>
      <c r="F784" s="4" t="str">
        <f>IF(G784=$L784,1,IF(G784="","",0))</f>
        <v/>
      </c>
      <c r="G784" s="23"/>
      <c r="H784" s="6">
        <v>453</v>
      </c>
      <c r="I784" s="15" t="s">
        <v>3120</v>
      </c>
      <c r="J784" s="6" t="s">
        <v>3599</v>
      </c>
      <c r="K784" s="6"/>
      <c r="L784" s="6" t="s">
        <v>582</v>
      </c>
      <c r="M784" s="6" t="s">
        <v>6562</v>
      </c>
      <c r="N784" s="7">
        <f ca="1">RAND()</f>
        <v>0.11725937445006973</v>
      </c>
      <c r="O784" s="8">
        <v>45202</v>
      </c>
      <c r="P784" s="8">
        <v>45203</v>
      </c>
      <c r="Q784" s="8">
        <v>45205</v>
      </c>
      <c r="R784" s="8">
        <v>45209</v>
      </c>
      <c r="S784" s="8">
        <v>45216</v>
      </c>
      <c r="T784" s="8">
        <v>45228</v>
      </c>
      <c r="U784" s="8">
        <v>45811</v>
      </c>
      <c r="V784" s="10">
        <f>COUNTA(O784:U784)</f>
        <v>7</v>
      </c>
      <c r="W784" s="11">
        <f>_xlfn.IFNA(INDEX(reading[[#This Row],[Memo 01]:[Memo 07]],MATCH(0,reading[[#This Row],[Memo 01]:[Memo 07]],-1)),"")</f>
        <v>45811</v>
      </c>
      <c r="X784" s="11">
        <f ca="1">IFERROR(reading[[#This Row],[Previous]]+OFFSET(reading[[#Headers],[Memo 01]],-1,MATCH(0,reading[[#This Row],[Memo 01]:[Memo 07]],-1)-1),"")</f>
        <v>55811</v>
      </c>
      <c r="Y784" s="10" t="str">
        <f ca="1">IF(reading[[#This Row],[Next]]&lt;&gt;"",IF(reading[[#This Row],[Next]]&gt;TODAY(),"OK",""),"")</f>
        <v>OK</v>
      </c>
      <c r="Z784" s="13">
        <v>3</v>
      </c>
      <c r="AA784" s="13">
        <v>3</v>
      </c>
      <c r="AB784" s="13">
        <v>3</v>
      </c>
      <c r="AC784" s="13">
        <v>3</v>
      </c>
      <c r="AD784" s="13">
        <v>3</v>
      </c>
      <c r="AE784" s="13">
        <v>2</v>
      </c>
      <c r="AF784" s="13">
        <v>1</v>
      </c>
      <c r="AG784" s="16">
        <f>IFERROR(SUMIF(reading[[#This Row],[1st]:[7th]],"&gt;0")/COUNTIF(reading[[#This Row],[1st]:[7th]],"&gt;0"),"")</f>
        <v>2.5714285714285716</v>
      </c>
    </row>
    <row r="785" spans="1:33" hidden="1" x14ac:dyDescent="0.2">
      <c r="A785" s="4">
        <f>IF(B785=1,3,IF(D785=1,2,IF(F785=1,1,0)))</f>
        <v>3</v>
      </c>
      <c r="B785" s="4">
        <f>IF(C785=$L785,1,IF(C785="","",0))</f>
        <v>1</v>
      </c>
      <c r="C785" s="21" t="s">
        <v>907</v>
      </c>
      <c r="D785" s="4" t="str">
        <f>IF(E785=$L785,1,IF(E785="","",0))</f>
        <v/>
      </c>
      <c r="E785" s="14"/>
      <c r="F785" s="4" t="str">
        <f>IF(G785=$L785,1,IF(G785="","",0))</f>
        <v/>
      </c>
      <c r="G785" s="14"/>
      <c r="H785" s="6">
        <v>788</v>
      </c>
      <c r="I785" s="15" t="s">
        <v>3120</v>
      </c>
      <c r="J785" s="6" t="s">
        <v>3922</v>
      </c>
      <c r="K785" s="6"/>
      <c r="L785" s="6" t="s">
        <v>907</v>
      </c>
      <c r="M785" s="6" t="s">
        <v>6897</v>
      </c>
      <c r="N785" s="7">
        <f ca="1">RAND()</f>
        <v>2.9416391913746343E-2</v>
      </c>
      <c r="O785" s="8">
        <v>45203</v>
      </c>
      <c r="P785" s="8">
        <v>45203</v>
      </c>
      <c r="Q785" s="8">
        <v>45203</v>
      </c>
      <c r="R785" s="8">
        <v>45203</v>
      </c>
      <c r="S785" s="8">
        <v>45203</v>
      </c>
      <c r="T785" s="8">
        <v>45203</v>
      </c>
      <c r="U785" s="8">
        <v>45203</v>
      </c>
      <c r="V785" s="10">
        <f>COUNTA(O785:U785)</f>
        <v>7</v>
      </c>
      <c r="W785" s="11">
        <f>_xlfn.IFNA(INDEX(reading[[#This Row],[Memo 01]:[Memo 07]],MATCH(0,reading[[#This Row],[Memo 01]:[Memo 07]],-1)),"")</f>
        <v>45203</v>
      </c>
      <c r="X785" s="11">
        <f ca="1">IFERROR(reading[[#This Row],[Previous]]+OFFSET(reading[[#Headers],[Memo 01]],-1,MATCH(0,reading[[#This Row],[Memo 01]:[Memo 07]],-1)-1),"")</f>
        <v>55203</v>
      </c>
      <c r="Y785" s="10" t="str">
        <f ca="1">IF(reading[[#This Row],[Next]]&lt;&gt;"",IF(reading[[#This Row],[Next]]&gt;TODAY(),"OK",""),"")</f>
        <v>OK</v>
      </c>
      <c r="Z785" s="13">
        <v>3</v>
      </c>
      <c r="AA785" s="13"/>
      <c r="AB785" s="13"/>
      <c r="AC785" s="13"/>
      <c r="AD785" s="13"/>
      <c r="AE785" s="13"/>
      <c r="AF785" s="13"/>
      <c r="AG785" s="16">
        <f>IFERROR(SUMIF(reading[[#This Row],[1st]:[7th]],"&gt;0")/COUNTIF(reading[[#This Row],[1st]:[7th]],"&gt;0"),"")</f>
        <v>3</v>
      </c>
    </row>
    <row r="786" spans="1:33" hidden="1" x14ac:dyDescent="0.2">
      <c r="A786" s="4">
        <f>IF(B786=1,3,IF(D786=1,2,IF(F786=1,1,0)))</f>
        <v>0</v>
      </c>
      <c r="B786" s="4" t="str">
        <f>IF(C786=$L786,1,IF(C786="","",0))</f>
        <v/>
      </c>
      <c r="C786" s="42"/>
      <c r="D786" s="4" t="str">
        <f>IF(E786=$L786,1,IF(E786="","",0))</f>
        <v/>
      </c>
      <c r="E786" s="23"/>
      <c r="F786" s="4" t="str">
        <f>IF(G786=$L786,1,IF(G786="","",0))</f>
        <v/>
      </c>
      <c r="G786" s="23"/>
      <c r="H786" s="6">
        <v>123</v>
      </c>
      <c r="I786" s="15" t="s">
        <v>3120</v>
      </c>
      <c r="J786" s="6" t="s">
        <v>3272</v>
      </c>
      <c r="K786" s="6"/>
      <c r="L786" s="6" t="s">
        <v>260</v>
      </c>
      <c r="M786" s="6" t="s">
        <v>6232</v>
      </c>
      <c r="N786" s="7">
        <f ca="1">RAND()</f>
        <v>0.62565354831039444</v>
      </c>
      <c r="O786" s="8">
        <v>45199</v>
      </c>
      <c r="P786" s="8">
        <v>45200</v>
      </c>
      <c r="Q786" s="8">
        <v>45202</v>
      </c>
      <c r="R786" s="8">
        <v>45206</v>
      </c>
      <c r="S786" s="8">
        <v>45213</v>
      </c>
      <c r="T786" s="8">
        <v>45225</v>
      </c>
      <c r="U786" s="8">
        <v>45811</v>
      </c>
      <c r="V786" s="10">
        <f>COUNTA(O786:U786)</f>
        <v>7</v>
      </c>
      <c r="W786" s="11">
        <f>_xlfn.IFNA(INDEX(reading[[#This Row],[Memo 01]:[Memo 07]],MATCH(0,reading[[#This Row],[Memo 01]:[Memo 07]],-1)),"")</f>
        <v>45811</v>
      </c>
      <c r="X786" s="11">
        <f ca="1">IFERROR(reading[[#This Row],[Previous]]+OFFSET(reading[[#Headers],[Memo 01]],-1,MATCH(0,reading[[#This Row],[Memo 01]:[Memo 07]],-1)-1),"")</f>
        <v>55811</v>
      </c>
      <c r="Y786" s="10" t="str">
        <f ca="1">IF(reading[[#This Row],[Next]]&lt;&gt;"",IF(reading[[#This Row],[Next]]&gt;TODAY(),"OK",""),"")</f>
        <v>OK</v>
      </c>
      <c r="Z786" s="13">
        <v>3</v>
      </c>
      <c r="AA786" s="13">
        <v>3</v>
      </c>
      <c r="AB786" s="13">
        <v>3</v>
      </c>
      <c r="AC786" s="13">
        <v>3</v>
      </c>
      <c r="AD786" s="13">
        <v>3</v>
      </c>
      <c r="AE786" s="13">
        <v>3</v>
      </c>
      <c r="AF786" s="13">
        <v>1</v>
      </c>
      <c r="AG786" s="16">
        <f>IFERROR(SUMIF(reading[[#This Row],[1st]:[7th]],"&gt;0")/COUNTIF(reading[[#This Row],[1st]:[7th]],"&gt;0"),"")</f>
        <v>2.7142857142857144</v>
      </c>
    </row>
    <row r="787" spans="1:33" hidden="1" x14ac:dyDescent="0.2">
      <c r="A787" s="4">
        <f>IF(B787=1,3,IF(D787=1,2,IF(F787=1,1,0)))</f>
        <v>0</v>
      </c>
      <c r="B787" s="4" t="str">
        <f>IF(C787=$L787,1,IF(C787="","",0))</f>
        <v/>
      </c>
      <c r="C787" s="42"/>
      <c r="D787" s="4" t="str">
        <f>IF(E787=$L787,1,IF(E787="","",0))</f>
        <v/>
      </c>
      <c r="E787" s="23"/>
      <c r="F787" s="4" t="str">
        <f>IF(G787=$L787,1,IF(G787="","",0))</f>
        <v/>
      </c>
      <c r="G787" s="14"/>
      <c r="H787" s="6">
        <v>2336</v>
      </c>
      <c r="I787" s="15" t="s">
        <v>3120</v>
      </c>
      <c r="J787" s="6" t="s">
        <v>5413</v>
      </c>
      <c r="K787" s="6"/>
      <c r="L787" s="15" t="s">
        <v>3154</v>
      </c>
      <c r="M787" s="6" t="s">
        <v>8441</v>
      </c>
      <c r="N787" s="7">
        <f ca="1">RAND()</f>
        <v>0.94251099873732735</v>
      </c>
      <c r="O787" s="8">
        <v>45216</v>
      </c>
      <c r="P787" s="8">
        <v>45217</v>
      </c>
      <c r="Q787" s="8">
        <v>45219</v>
      </c>
      <c r="R787" s="8">
        <v>45223</v>
      </c>
      <c r="S787" s="8">
        <v>45230</v>
      </c>
      <c r="T787" s="8">
        <v>45820</v>
      </c>
      <c r="U787" s="8"/>
      <c r="V787" s="10">
        <f>COUNTA(O787:U787)</f>
        <v>6</v>
      </c>
      <c r="W787" s="11">
        <f>_xlfn.IFNA(INDEX(reading[[#This Row],[Memo 01]:[Memo 07]],MATCH(0,reading[[#This Row],[Memo 01]:[Memo 07]],-1)),"")</f>
        <v>45820</v>
      </c>
      <c r="X787" s="11">
        <f ca="1">IFERROR(reading[[#This Row],[Previous]]+OFFSET(reading[[#Headers],[Memo 01]],-1,MATCH(0,reading[[#This Row],[Memo 01]:[Memo 07]],-1)-1),"")</f>
        <v>45840</v>
      </c>
      <c r="Y787" s="10" t="str">
        <f ca="1">IF(reading[[#This Row],[Next]]&lt;&gt;"",IF(reading[[#This Row],[Next]]&gt;TODAY(),"OK",""),"")</f>
        <v>OK</v>
      </c>
      <c r="Z787" s="13">
        <v>3</v>
      </c>
      <c r="AA787" s="13">
        <v>3</v>
      </c>
      <c r="AB787" s="13">
        <v>3</v>
      </c>
      <c r="AC787" s="13">
        <v>3</v>
      </c>
      <c r="AD787" s="13">
        <v>3</v>
      </c>
      <c r="AE787" s="13">
        <v>2</v>
      </c>
      <c r="AF787" s="13"/>
      <c r="AG787" s="16">
        <f>IFERROR(SUMIF(reading[[#This Row],[1st]:[7th]],"&gt;0")/COUNTIF(reading[[#This Row],[1st]:[7th]],"&gt;0"),"")</f>
        <v>2.8333333333333335</v>
      </c>
    </row>
    <row r="788" spans="1:33" hidden="1" x14ac:dyDescent="0.2">
      <c r="A788" s="4">
        <f>IF(B788=1,3,IF(D788=1,2,IF(F788=1,1,0)))</f>
        <v>0</v>
      </c>
      <c r="B788" s="4" t="str">
        <f>IF(C788=$L788,1,IF(C788="","",0))</f>
        <v/>
      </c>
      <c r="C788" s="42"/>
      <c r="D788" s="4" t="str">
        <f>IF(E788=$L788,1,IF(E788="","",0))</f>
        <v/>
      </c>
      <c r="E788" s="14"/>
      <c r="F788" s="4" t="str">
        <f>IF(G788=$L788,1,IF(G788="","",0))</f>
        <v/>
      </c>
      <c r="G788" s="14"/>
      <c r="H788" s="6">
        <v>1164</v>
      </c>
      <c r="I788" s="15" t="s">
        <v>3120</v>
      </c>
      <c r="J788" s="6" t="s">
        <v>4195</v>
      </c>
      <c r="K788" s="6"/>
      <c r="L788" s="6" t="s">
        <v>1266</v>
      </c>
      <c r="M788" s="6" t="s">
        <v>7272</v>
      </c>
      <c r="N788" s="7">
        <f ca="1">RAND()</f>
        <v>7.9164364467147808E-2</v>
      </c>
      <c r="O788" s="8">
        <v>45206</v>
      </c>
      <c r="P788" s="8">
        <v>45207</v>
      </c>
      <c r="Q788" s="8">
        <v>45209</v>
      </c>
      <c r="R788" s="8">
        <v>45213</v>
      </c>
      <c r="S788" s="8">
        <v>45220</v>
      </c>
      <c r="T788" s="8">
        <v>45232</v>
      </c>
      <c r="U788" s="8">
        <v>45792</v>
      </c>
      <c r="V788" s="10">
        <f>COUNTA(O788:U788)</f>
        <v>7</v>
      </c>
      <c r="W788" s="11">
        <f>_xlfn.IFNA(INDEX(reading[[#This Row],[Memo 01]:[Memo 07]],MATCH(0,reading[[#This Row],[Memo 01]:[Memo 07]],-1)),"")</f>
        <v>45792</v>
      </c>
      <c r="X788" s="11">
        <f ca="1">IFERROR(reading[[#This Row],[Previous]]+OFFSET(reading[[#Headers],[Memo 01]],-1,MATCH(0,reading[[#This Row],[Memo 01]:[Memo 07]],-1)-1),"")</f>
        <v>55792</v>
      </c>
      <c r="Y788" s="10" t="str">
        <f ca="1">IF(reading[[#This Row],[Next]]&lt;&gt;"",IF(reading[[#This Row],[Next]]&gt;TODAY(),"OK",""),"")</f>
        <v>OK</v>
      </c>
      <c r="Z788" s="13">
        <v>3</v>
      </c>
      <c r="AA788" s="13">
        <v>3</v>
      </c>
      <c r="AB788" s="13">
        <v>3</v>
      </c>
      <c r="AC788" s="13">
        <v>3</v>
      </c>
      <c r="AD788" s="13">
        <v>3</v>
      </c>
      <c r="AE788" s="13">
        <v>3</v>
      </c>
      <c r="AF788" s="13">
        <v>3</v>
      </c>
      <c r="AG788" s="16">
        <f>IFERROR(SUMIF(reading[[#This Row],[1st]:[7th]],"&gt;0")/COUNTIF(reading[[#This Row],[1st]:[7th]],"&gt;0"),"")</f>
        <v>3</v>
      </c>
    </row>
    <row r="789" spans="1:33" hidden="1" x14ac:dyDescent="0.2">
      <c r="A789" s="4">
        <f>IF(B789=1,3,IF(D789=1,2,IF(F789=1,1,0)))</f>
        <v>0</v>
      </c>
      <c r="B789" s="4" t="str">
        <f>IF(C789=$L789,1,IF(C789="","",0))</f>
        <v/>
      </c>
      <c r="C789" s="42"/>
      <c r="D789" s="4" t="str">
        <f>IF(E789=$L789,1,IF(E789="","",0))</f>
        <v/>
      </c>
      <c r="E789" s="14"/>
      <c r="F789" s="4" t="str">
        <f>IF(G789=$L789,1,IF(G789="","",0))</f>
        <v/>
      </c>
      <c r="G789" s="14"/>
      <c r="H789" s="6">
        <v>600</v>
      </c>
      <c r="I789" s="15" t="s">
        <v>3120</v>
      </c>
      <c r="J789" s="6" t="s">
        <v>3742</v>
      </c>
      <c r="K789" s="6"/>
      <c r="L789" s="6" t="s">
        <v>141</v>
      </c>
      <c r="M789" s="6" t="s">
        <v>6709</v>
      </c>
      <c r="N789" s="7">
        <f ca="1">RAND()</f>
        <v>0.13427572580831049</v>
      </c>
      <c r="O789" s="8">
        <v>45202</v>
      </c>
      <c r="P789" s="8">
        <v>45203</v>
      </c>
      <c r="Q789" s="8">
        <v>45205</v>
      </c>
      <c r="R789" s="8">
        <v>45209</v>
      </c>
      <c r="S789" s="8">
        <v>45216</v>
      </c>
      <c r="T789" s="8">
        <v>45228</v>
      </c>
      <c r="U789" s="8">
        <v>45824</v>
      </c>
      <c r="V789" s="10">
        <f>COUNTA(O789:U789)</f>
        <v>7</v>
      </c>
      <c r="W789" s="11">
        <f>_xlfn.IFNA(INDEX(reading[[#This Row],[Memo 01]:[Memo 07]],MATCH(0,reading[[#This Row],[Memo 01]:[Memo 07]],-1)),"")</f>
        <v>45824</v>
      </c>
      <c r="X789" s="11">
        <f ca="1">IFERROR(reading[[#This Row],[Previous]]+OFFSET(reading[[#Headers],[Memo 01]],-1,MATCH(0,reading[[#This Row],[Memo 01]:[Memo 07]],-1)-1),"")</f>
        <v>55824</v>
      </c>
      <c r="Y789" s="10" t="str">
        <f ca="1">IF(reading[[#This Row],[Next]]&lt;&gt;"",IF(reading[[#This Row],[Next]]&gt;TODAY(),"OK",""),"")</f>
        <v>OK</v>
      </c>
      <c r="Z789" s="13">
        <v>3</v>
      </c>
      <c r="AA789" s="13">
        <v>3</v>
      </c>
      <c r="AB789" s="13">
        <v>3</v>
      </c>
      <c r="AC789" s="13">
        <v>3</v>
      </c>
      <c r="AD789" s="13">
        <v>3</v>
      </c>
      <c r="AE789" s="13">
        <v>3</v>
      </c>
      <c r="AF789" s="13">
        <v>3</v>
      </c>
      <c r="AG789" s="16">
        <f>IFERROR(SUMIF(reading[[#This Row],[1st]:[7th]],"&gt;0")/COUNTIF(reading[[#This Row],[1st]:[7th]],"&gt;0"),"")</f>
        <v>3</v>
      </c>
    </row>
    <row r="790" spans="1:33" hidden="1" x14ac:dyDescent="0.2">
      <c r="A790" s="4">
        <f>IF(B790=1,3,IF(D790=1,2,IF(F790=1,1,0)))</f>
        <v>0</v>
      </c>
      <c r="B790" s="4" t="str">
        <f>IF(C790=$L790,1,IF(C790="","",0))</f>
        <v/>
      </c>
      <c r="C790" s="42"/>
      <c r="D790" s="4" t="str">
        <f>IF(E790=$L790,1,IF(E790="","",0))</f>
        <v/>
      </c>
      <c r="E790" s="18"/>
      <c r="F790" s="4" t="str">
        <f>IF(G790=$L790,1,IF(G790="","",0))</f>
        <v/>
      </c>
      <c r="G790" s="14"/>
      <c r="H790" s="6">
        <v>525</v>
      </c>
      <c r="I790" s="15" t="s">
        <v>3120</v>
      </c>
      <c r="J790" s="6" t="s">
        <v>3670</v>
      </c>
      <c r="K790" s="6"/>
      <c r="L790" s="6" t="s">
        <v>653</v>
      </c>
      <c r="M790" s="6" t="s">
        <v>6634</v>
      </c>
      <c r="N790" s="7">
        <f ca="1">RAND()</f>
        <v>0.45172828910453944</v>
      </c>
      <c r="O790" s="8">
        <v>45202</v>
      </c>
      <c r="P790" s="8">
        <v>45203</v>
      </c>
      <c r="Q790" s="8">
        <v>45205</v>
      </c>
      <c r="R790" s="8">
        <v>45209</v>
      </c>
      <c r="S790" s="8">
        <v>45216</v>
      </c>
      <c r="T790" s="8">
        <v>45228</v>
      </c>
      <c r="U790" s="8">
        <v>45792</v>
      </c>
      <c r="V790" s="10">
        <f>COUNTA(O790:U790)</f>
        <v>7</v>
      </c>
      <c r="W790" s="11">
        <f>_xlfn.IFNA(INDEX(reading[[#This Row],[Memo 01]:[Memo 07]],MATCH(0,reading[[#This Row],[Memo 01]:[Memo 07]],-1)),"")</f>
        <v>45792</v>
      </c>
      <c r="X790" s="11">
        <f ca="1">IFERROR(reading[[#This Row],[Previous]]+OFFSET(reading[[#Headers],[Memo 01]],-1,MATCH(0,reading[[#This Row],[Memo 01]:[Memo 07]],-1)-1),"")</f>
        <v>55792</v>
      </c>
      <c r="Y790" s="10" t="str">
        <f ca="1">IF(reading[[#This Row],[Next]]&lt;&gt;"",IF(reading[[#This Row],[Next]]&gt;TODAY(),"OK",""),"")</f>
        <v>OK</v>
      </c>
      <c r="Z790" s="13">
        <v>3</v>
      </c>
      <c r="AA790" s="13">
        <v>3</v>
      </c>
      <c r="AB790" s="13">
        <v>3</v>
      </c>
      <c r="AC790" s="13">
        <v>3</v>
      </c>
      <c r="AD790" s="13">
        <v>2</v>
      </c>
      <c r="AE790" s="13">
        <v>2</v>
      </c>
      <c r="AF790" s="13">
        <v>3</v>
      </c>
      <c r="AG790" s="16">
        <f>IFERROR(SUMIF(reading[[#This Row],[1st]:[7th]],"&gt;0")/COUNTIF(reading[[#This Row],[1st]:[7th]],"&gt;0"),"")</f>
        <v>2.7142857142857144</v>
      </c>
    </row>
    <row r="791" spans="1:33" hidden="1" x14ac:dyDescent="0.2">
      <c r="A791" s="4">
        <f>IF(B791=1,3,IF(D791=1,2,IF(F791=1,1,0)))</f>
        <v>3</v>
      </c>
      <c r="B791" s="4">
        <f>IF(C791=$L791,1,IF(C791="","",0))</f>
        <v>1</v>
      </c>
      <c r="C791" s="21" t="s">
        <v>106</v>
      </c>
      <c r="D791" s="4" t="str">
        <f>IF(E791=$L791,1,IF(E791="","",0))</f>
        <v/>
      </c>
      <c r="E791" s="14"/>
      <c r="F791" s="4" t="str">
        <f>IF(G791=$L791,1,IF(G791="","",0))</f>
        <v/>
      </c>
      <c r="G791" s="14"/>
      <c r="H791" s="6">
        <v>794</v>
      </c>
      <c r="I791" s="15" t="s">
        <v>3120</v>
      </c>
      <c r="J791" s="6" t="s">
        <v>3928</v>
      </c>
      <c r="K791" s="6"/>
      <c r="L791" s="6" t="s">
        <v>106</v>
      </c>
      <c r="M791" s="6" t="s">
        <v>6903</v>
      </c>
      <c r="N791" s="7">
        <f ca="1">RAND()</f>
        <v>3.6982716433083485E-2</v>
      </c>
      <c r="O791" s="8">
        <v>45203</v>
      </c>
      <c r="P791" s="8">
        <v>45203</v>
      </c>
      <c r="Q791" s="8">
        <v>45203</v>
      </c>
      <c r="R791" s="8">
        <v>45203</v>
      </c>
      <c r="S791" s="8">
        <v>45203</v>
      </c>
      <c r="T791" s="8">
        <v>45203</v>
      </c>
      <c r="U791" s="8">
        <v>45203</v>
      </c>
      <c r="V791" s="10">
        <f>COUNTA(O791:U791)</f>
        <v>7</v>
      </c>
      <c r="W791" s="11">
        <f>_xlfn.IFNA(INDEX(reading[[#This Row],[Memo 01]:[Memo 07]],MATCH(0,reading[[#This Row],[Memo 01]:[Memo 07]],-1)),"")</f>
        <v>45203</v>
      </c>
      <c r="X791" s="11">
        <f ca="1">IFERROR(reading[[#This Row],[Previous]]+OFFSET(reading[[#Headers],[Memo 01]],-1,MATCH(0,reading[[#This Row],[Memo 01]:[Memo 07]],-1)-1),"")</f>
        <v>55203</v>
      </c>
      <c r="Y791" s="10" t="str">
        <f ca="1">IF(reading[[#This Row],[Next]]&lt;&gt;"",IF(reading[[#This Row],[Next]]&gt;TODAY(),"OK",""),"")</f>
        <v>OK</v>
      </c>
      <c r="Z791" s="13">
        <v>3</v>
      </c>
      <c r="AA791" s="13"/>
      <c r="AB791" s="13"/>
      <c r="AC791" s="13"/>
      <c r="AD791" s="13"/>
      <c r="AE791" s="13"/>
      <c r="AF791" s="13"/>
      <c r="AG791" s="16">
        <f>IFERROR(SUMIF(reading[[#This Row],[1st]:[7th]],"&gt;0")/COUNTIF(reading[[#This Row],[1st]:[7th]],"&gt;0"),"")</f>
        <v>3</v>
      </c>
    </row>
    <row r="792" spans="1:33" hidden="1" x14ac:dyDescent="0.2">
      <c r="A792" s="4">
        <f>IF(B792=1,3,IF(D792=1,2,IF(F792=1,1,0)))</f>
        <v>3</v>
      </c>
      <c r="B792" s="4">
        <f>IF(C792=$L792,1,IF(C792="","",0))</f>
        <v>1</v>
      </c>
      <c r="C792" s="21" t="s">
        <v>913</v>
      </c>
      <c r="D792" s="4" t="str">
        <f>IF(E792=$L792,1,IF(E792="","",0))</f>
        <v/>
      </c>
      <c r="E792" s="14"/>
      <c r="F792" s="4" t="str">
        <f>IF(G792=$L792,1,IF(G792="","",0))</f>
        <v/>
      </c>
      <c r="G792" s="14"/>
      <c r="H792" s="6">
        <v>795</v>
      </c>
      <c r="I792" s="15" t="s">
        <v>3120</v>
      </c>
      <c r="J792" s="6" t="s">
        <v>3929</v>
      </c>
      <c r="K792" s="6"/>
      <c r="L792" s="6" t="s">
        <v>913</v>
      </c>
      <c r="M792" s="6" t="s">
        <v>6904</v>
      </c>
      <c r="N792" s="7">
        <f ca="1">RAND()</f>
        <v>0.7306006379710468</v>
      </c>
      <c r="O792" s="8">
        <v>45203</v>
      </c>
      <c r="P792" s="8">
        <v>45203</v>
      </c>
      <c r="Q792" s="8">
        <v>45203</v>
      </c>
      <c r="R792" s="8">
        <v>45203</v>
      </c>
      <c r="S792" s="8">
        <v>45203</v>
      </c>
      <c r="T792" s="8">
        <v>45203</v>
      </c>
      <c r="U792" s="8">
        <v>45203</v>
      </c>
      <c r="V792" s="10">
        <f>COUNTA(O792:U792)</f>
        <v>7</v>
      </c>
      <c r="W792" s="11">
        <f>_xlfn.IFNA(INDEX(reading[[#This Row],[Memo 01]:[Memo 07]],MATCH(0,reading[[#This Row],[Memo 01]:[Memo 07]],-1)),"")</f>
        <v>45203</v>
      </c>
      <c r="X792" s="11">
        <f ca="1">IFERROR(reading[[#This Row],[Previous]]+OFFSET(reading[[#Headers],[Memo 01]],-1,MATCH(0,reading[[#This Row],[Memo 01]:[Memo 07]],-1)-1),"")</f>
        <v>55203</v>
      </c>
      <c r="Y792" s="10" t="str">
        <f ca="1">IF(reading[[#This Row],[Next]]&lt;&gt;"",IF(reading[[#This Row],[Next]]&gt;TODAY(),"OK",""),"")</f>
        <v>OK</v>
      </c>
      <c r="Z792" s="13">
        <v>3</v>
      </c>
      <c r="AA792" s="13"/>
      <c r="AB792" s="13"/>
      <c r="AC792" s="13"/>
      <c r="AD792" s="13"/>
      <c r="AE792" s="13"/>
      <c r="AF792" s="13"/>
      <c r="AG792" s="16">
        <f>IFERROR(SUMIF(reading[[#This Row],[1st]:[7th]],"&gt;0")/COUNTIF(reading[[#This Row],[1st]:[7th]],"&gt;0"),"")</f>
        <v>3</v>
      </c>
    </row>
    <row r="793" spans="1:33" hidden="1" x14ac:dyDescent="0.2">
      <c r="A793" s="4">
        <f>IF(B793=1,3,IF(D793=1,2,IF(F793=1,1,0)))</f>
        <v>0</v>
      </c>
      <c r="B793" s="4" t="str">
        <f>IF(C793=$L793,1,IF(C793="","",0))</f>
        <v/>
      </c>
      <c r="C793" s="42"/>
      <c r="D793" s="4" t="str">
        <f>IF(E793=$L793,1,IF(E793="","",0))</f>
        <v/>
      </c>
      <c r="E793" s="18"/>
      <c r="F793" s="4" t="str">
        <f>IF(G793=$L793,1,IF(G793="","",0))</f>
        <v/>
      </c>
      <c r="G793" s="18"/>
      <c r="H793" s="6">
        <v>1802</v>
      </c>
      <c r="I793" s="15" t="s">
        <v>3120</v>
      </c>
      <c r="J793" s="6" t="s">
        <v>4909</v>
      </c>
      <c r="K793" s="6"/>
      <c r="L793" s="6" t="s">
        <v>1881</v>
      </c>
      <c r="M793" s="6" t="s">
        <v>7908</v>
      </c>
      <c r="N793" s="7">
        <f ca="1">RAND()</f>
        <v>0.59782169192298562</v>
      </c>
      <c r="O793" s="8">
        <v>45212</v>
      </c>
      <c r="P793" s="8">
        <v>45213</v>
      </c>
      <c r="Q793" s="8">
        <v>45215</v>
      </c>
      <c r="R793" s="8">
        <v>45219</v>
      </c>
      <c r="S793" s="8">
        <v>45226</v>
      </c>
      <c r="T793" s="8">
        <v>45249</v>
      </c>
      <c r="U793" s="8">
        <v>45801</v>
      </c>
      <c r="V793" s="10">
        <f>COUNTA(O793:U793)</f>
        <v>7</v>
      </c>
      <c r="W793" s="11">
        <f>_xlfn.IFNA(INDEX(reading[[#This Row],[Memo 01]:[Memo 07]],MATCH(0,reading[[#This Row],[Memo 01]:[Memo 07]],-1)),"")</f>
        <v>45801</v>
      </c>
      <c r="X793" s="11">
        <f ca="1">IFERROR(reading[[#This Row],[Previous]]+OFFSET(reading[[#Headers],[Memo 01]],-1,MATCH(0,reading[[#This Row],[Memo 01]:[Memo 07]],-1)-1),"")</f>
        <v>55801</v>
      </c>
      <c r="Y793" s="10" t="str">
        <f ca="1">IF(reading[[#This Row],[Next]]&lt;&gt;"",IF(reading[[#This Row],[Next]]&gt;TODAY(),"OK",""),"")</f>
        <v>OK</v>
      </c>
      <c r="Z793" s="13">
        <v>3</v>
      </c>
      <c r="AA793" s="13">
        <v>2</v>
      </c>
      <c r="AB793" s="13">
        <v>2</v>
      </c>
      <c r="AC793" s="13">
        <v>2</v>
      </c>
      <c r="AD793" s="13">
        <v>1</v>
      </c>
      <c r="AE793" s="13">
        <v>2</v>
      </c>
      <c r="AF793" s="13">
        <v>3</v>
      </c>
      <c r="AG793" s="16">
        <f>IFERROR(SUMIF(reading[[#This Row],[1st]:[7th]],"&gt;0")/COUNTIF(reading[[#This Row],[1st]:[7th]],"&gt;0"),"")</f>
        <v>2.1428571428571428</v>
      </c>
    </row>
    <row r="794" spans="1:33" hidden="1" x14ac:dyDescent="0.2">
      <c r="A794" s="4">
        <f>IF(B794=1,3,IF(D794=1,2,IF(F794=1,1,0)))</f>
        <v>0</v>
      </c>
      <c r="B794" s="4" t="str">
        <f>IF(C794=$L794,1,IF(C794="","",0))</f>
        <v/>
      </c>
      <c r="C794" s="42"/>
      <c r="D794" s="4" t="str">
        <f>IF(E794=$L794,1,IF(E794="","",0))</f>
        <v/>
      </c>
      <c r="E794" s="14"/>
      <c r="F794" s="4" t="str">
        <f>IF(G794=$L794,1,IF(G794="","",0))</f>
        <v/>
      </c>
      <c r="G794" s="14"/>
      <c r="H794" s="6">
        <v>1562</v>
      </c>
      <c r="I794" s="15" t="s">
        <v>3120</v>
      </c>
      <c r="J794" s="6" t="s">
        <v>4675</v>
      </c>
      <c r="K794" s="6"/>
      <c r="L794" s="6" t="s">
        <v>1647</v>
      </c>
      <c r="M794" s="6" t="s">
        <v>7668</v>
      </c>
      <c r="N794" s="7">
        <f ca="1">RAND()</f>
        <v>0.91798704626587779</v>
      </c>
      <c r="O794" s="8">
        <v>45209</v>
      </c>
      <c r="P794" s="8">
        <v>45210</v>
      </c>
      <c r="Q794" s="8">
        <v>45213</v>
      </c>
      <c r="R794" s="8">
        <v>45217</v>
      </c>
      <c r="S794" s="8">
        <v>45224</v>
      </c>
      <c r="T794" s="8">
        <v>45236</v>
      </c>
      <c r="U794" s="8">
        <v>45792</v>
      </c>
      <c r="V794" s="10">
        <f>COUNTA(O794:U794)</f>
        <v>7</v>
      </c>
      <c r="W794" s="11">
        <f>_xlfn.IFNA(INDEX(reading[[#This Row],[Memo 01]:[Memo 07]],MATCH(0,reading[[#This Row],[Memo 01]:[Memo 07]],-1)),"")</f>
        <v>45792</v>
      </c>
      <c r="X794" s="11">
        <f ca="1">IFERROR(reading[[#This Row],[Previous]]+OFFSET(reading[[#Headers],[Memo 01]],-1,MATCH(0,reading[[#This Row],[Memo 01]:[Memo 07]],-1)-1),"")</f>
        <v>55792</v>
      </c>
      <c r="Y794" s="10" t="str">
        <f ca="1">IF(reading[[#This Row],[Next]]&lt;&gt;"",IF(reading[[#This Row],[Next]]&gt;TODAY(),"OK",""),"")</f>
        <v>OK</v>
      </c>
      <c r="Z794" s="13">
        <v>3</v>
      </c>
      <c r="AA794" s="13">
        <v>3</v>
      </c>
      <c r="AB794" s="13">
        <v>2</v>
      </c>
      <c r="AC794" s="13">
        <v>3</v>
      </c>
      <c r="AD794" s="13">
        <v>3</v>
      </c>
      <c r="AE794" s="13">
        <v>3</v>
      </c>
      <c r="AF794" s="13">
        <v>3</v>
      </c>
      <c r="AG794" s="16">
        <f>IFERROR(SUMIF(reading[[#This Row],[1st]:[7th]],"&gt;0")/COUNTIF(reading[[#This Row],[1st]:[7th]],"&gt;0"),"")</f>
        <v>2.8571428571428572</v>
      </c>
    </row>
    <row r="795" spans="1:33" hidden="1" x14ac:dyDescent="0.2">
      <c r="A795" s="4">
        <f>IF(B795=1,3,IF(D795=1,2,IF(F795=1,1,0)))</f>
        <v>3</v>
      </c>
      <c r="B795" s="4">
        <f>IF(C795=$L795,1,IF(C795="","",0))</f>
        <v>1</v>
      </c>
      <c r="C795" s="21" t="s">
        <v>915</v>
      </c>
      <c r="D795" s="4" t="str">
        <f>IF(E795=$L795,1,IF(E795="","",0))</f>
        <v/>
      </c>
      <c r="E795" s="14"/>
      <c r="F795" s="4" t="str">
        <f>IF(G795=$L795,1,IF(G795="","",0))</f>
        <v/>
      </c>
      <c r="G795" s="14"/>
      <c r="H795" s="6">
        <v>798</v>
      </c>
      <c r="I795" s="15" t="s">
        <v>3120</v>
      </c>
      <c r="J795" s="6" t="s">
        <v>3932</v>
      </c>
      <c r="K795" s="6"/>
      <c r="L795" s="6" t="s">
        <v>915</v>
      </c>
      <c r="M795" s="6" t="s">
        <v>6907</v>
      </c>
      <c r="N795" s="7">
        <f ca="1">RAND()</f>
        <v>0.99026600066994674</v>
      </c>
      <c r="O795" s="8">
        <v>45203</v>
      </c>
      <c r="P795" s="8">
        <v>45203</v>
      </c>
      <c r="Q795" s="8">
        <v>45203</v>
      </c>
      <c r="R795" s="8">
        <v>45203</v>
      </c>
      <c r="S795" s="8">
        <v>45203</v>
      </c>
      <c r="T795" s="8">
        <v>45203</v>
      </c>
      <c r="U795" s="8">
        <v>45203</v>
      </c>
      <c r="V795" s="10">
        <f>COUNTA(O795:U795)</f>
        <v>7</v>
      </c>
      <c r="W795" s="11">
        <f>_xlfn.IFNA(INDEX(reading[[#This Row],[Memo 01]:[Memo 07]],MATCH(0,reading[[#This Row],[Memo 01]:[Memo 07]],-1)),"")</f>
        <v>45203</v>
      </c>
      <c r="X795" s="11">
        <f ca="1">IFERROR(reading[[#This Row],[Previous]]+OFFSET(reading[[#Headers],[Memo 01]],-1,MATCH(0,reading[[#This Row],[Memo 01]:[Memo 07]],-1)-1),"")</f>
        <v>55203</v>
      </c>
      <c r="Y795" s="10" t="str">
        <f ca="1">IF(reading[[#This Row],[Next]]&lt;&gt;"",IF(reading[[#This Row],[Next]]&gt;TODAY(),"OK",""),"")</f>
        <v>OK</v>
      </c>
      <c r="Z795" s="13">
        <v>3</v>
      </c>
      <c r="AA795" s="13"/>
      <c r="AB795" s="13"/>
      <c r="AC795" s="13"/>
      <c r="AD795" s="13"/>
      <c r="AE795" s="13"/>
      <c r="AF795" s="13"/>
      <c r="AG795" s="16">
        <f>IFERROR(SUMIF(reading[[#This Row],[1st]:[7th]],"&gt;0")/COUNTIF(reading[[#This Row],[1st]:[7th]],"&gt;0"),"")</f>
        <v>3</v>
      </c>
    </row>
    <row r="796" spans="1:33" hidden="1" x14ac:dyDescent="0.2">
      <c r="A796" s="4">
        <f>IF(B796=1,3,IF(D796=1,2,IF(F796=1,1,0)))</f>
        <v>0</v>
      </c>
      <c r="B796" s="4" t="str">
        <f>IF(C796=$L796,1,IF(C796="","",0))</f>
        <v/>
      </c>
      <c r="C796" s="42"/>
      <c r="D796" s="4" t="str">
        <f>IF(E796=$L796,1,IF(E796="","",0))</f>
        <v/>
      </c>
      <c r="E796" s="18"/>
      <c r="F796" s="4" t="str">
        <f>IF(G796=$L796,1,IF(G796="","",0))</f>
        <v/>
      </c>
      <c r="G796" s="14"/>
      <c r="H796" s="6">
        <v>1822</v>
      </c>
      <c r="I796" s="15" t="s">
        <v>3120</v>
      </c>
      <c r="J796" s="6" t="s">
        <v>4927</v>
      </c>
      <c r="K796" s="6"/>
      <c r="L796" s="6" t="s">
        <v>1900</v>
      </c>
      <c r="M796" s="6" t="s">
        <v>7928</v>
      </c>
      <c r="N796" s="7">
        <f ca="1">RAND()</f>
        <v>0.22809540565161979</v>
      </c>
      <c r="O796" s="8">
        <v>45212</v>
      </c>
      <c r="P796" s="8">
        <v>45213</v>
      </c>
      <c r="Q796" s="8">
        <v>45215</v>
      </c>
      <c r="R796" s="8">
        <v>45219</v>
      </c>
      <c r="S796" s="8">
        <v>45226</v>
      </c>
      <c r="T796" s="8">
        <v>45783</v>
      </c>
      <c r="U796" s="8">
        <v>45819</v>
      </c>
      <c r="V796" s="10">
        <f>COUNTA(O796:U796)</f>
        <v>7</v>
      </c>
      <c r="W796" s="11">
        <f>_xlfn.IFNA(INDEX(reading[[#This Row],[Memo 01]:[Memo 07]],MATCH(0,reading[[#This Row],[Memo 01]:[Memo 07]],-1)),"")</f>
        <v>45819</v>
      </c>
      <c r="X796" s="11">
        <f ca="1">IFERROR(reading[[#This Row],[Previous]]+OFFSET(reading[[#Headers],[Memo 01]],-1,MATCH(0,reading[[#This Row],[Memo 01]:[Memo 07]],-1)-1),"")</f>
        <v>55819</v>
      </c>
      <c r="Y796" s="10" t="str">
        <f ca="1">IF(reading[[#This Row],[Next]]&lt;&gt;"",IF(reading[[#This Row],[Next]]&gt;TODAY(),"OK",""),"")</f>
        <v>OK</v>
      </c>
      <c r="Z796" s="13">
        <v>3</v>
      </c>
      <c r="AA796" s="13">
        <v>3</v>
      </c>
      <c r="AB796" s="13">
        <v>3</v>
      </c>
      <c r="AC796" s="13">
        <v>2</v>
      </c>
      <c r="AD796" s="13">
        <v>3</v>
      </c>
      <c r="AE796" s="13">
        <v>3</v>
      </c>
      <c r="AF796" s="13">
        <v>3</v>
      </c>
      <c r="AG796" s="16">
        <f>IFERROR(SUMIF(reading[[#This Row],[1st]:[7th]],"&gt;0")/COUNTIF(reading[[#This Row],[1st]:[7th]],"&gt;0"),"")</f>
        <v>2.8571428571428572</v>
      </c>
    </row>
    <row r="797" spans="1:33" hidden="1" x14ac:dyDescent="0.2">
      <c r="A797" s="4">
        <f>IF(B797=1,3,IF(D797=1,2,IF(F797=1,1,0)))</f>
        <v>0</v>
      </c>
      <c r="B797" s="4" t="str">
        <f>IF(C797=$L797,1,IF(C797="","",0))</f>
        <v/>
      </c>
      <c r="C797" s="42"/>
      <c r="D797" s="4" t="str">
        <f>IF(E797=$L797,1,IF(E797="","",0))</f>
        <v/>
      </c>
      <c r="E797" s="18"/>
      <c r="F797" s="4" t="str">
        <f>IF(G797=$L797,1,IF(G797="","",0))</f>
        <v/>
      </c>
      <c r="G797" s="14"/>
      <c r="H797" s="6">
        <v>791</v>
      </c>
      <c r="I797" s="15" t="s">
        <v>3120</v>
      </c>
      <c r="J797" s="6" t="s">
        <v>3925</v>
      </c>
      <c r="K797" s="6"/>
      <c r="L797" s="6" t="s">
        <v>910</v>
      </c>
      <c r="M797" s="6" t="s">
        <v>6900</v>
      </c>
      <c r="N797" s="7">
        <f ca="1">RAND()</f>
        <v>0.45660355650853091</v>
      </c>
      <c r="O797" s="8">
        <v>45203</v>
      </c>
      <c r="P797" s="8">
        <v>45204</v>
      </c>
      <c r="Q797" s="8">
        <v>45206</v>
      </c>
      <c r="R797" s="8">
        <v>45210</v>
      </c>
      <c r="S797" s="8">
        <v>45217</v>
      </c>
      <c r="T797" s="8">
        <v>45229</v>
      </c>
      <c r="U797" s="8">
        <v>45792</v>
      </c>
      <c r="V797" s="10">
        <f>COUNTA(O797:U797)</f>
        <v>7</v>
      </c>
      <c r="W797" s="11">
        <f>_xlfn.IFNA(INDEX(reading[[#This Row],[Memo 01]:[Memo 07]],MATCH(0,reading[[#This Row],[Memo 01]:[Memo 07]],-1)),"")</f>
        <v>45792</v>
      </c>
      <c r="X797" s="11">
        <f ca="1">IFERROR(reading[[#This Row],[Previous]]+OFFSET(reading[[#Headers],[Memo 01]],-1,MATCH(0,reading[[#This Row],[Memo 01]:[Memo 07]],-1)-1),"")</f>
        <v>55792</v>
      </c>
      <c r="Y797" s="10" t="str">
        <f ca="1">IF(reading[[#This Row],[Next]]&lt;&gt;"",IF(reading[[#This Row],[Next]]&gt;TODAY(),"OK",""),"")</f>
        <v>OK</v>
      </c>
      <c r="Z797" s="13">
        <v>3</v>
      </c>
      <c r="AA797" s="13">
        <v>3</v>
      </c>
      <c r="AB797" s="13">
        <v>3</v>
      </c>
      <c r="AC797" s="13">
        <v>3</v>
      </c>
      <c r="AD797" s="13">
        <v>2</v>
      </c>
      <c r="AE797" s="13">
        <v>3</v>
      </c>
      <c r="AF797" s="13">
        <v>3</v>
      </c>
      <c r="AG797" s="16">
        <f>IFERROR(SUMIF(reading[[#This Row],[1st]:[7th]],"&gt;0")/COUNTIF(reading[[#This Row],[1st]:[7th]],"&gt;0"),"")</f>
        <v>2.8571428571428572</v>
      </c>
    </row>
    <row r="798" spans="1:33" hidden="1" x14ac:dyDescent="0.2">
      <c r="A798" s="4">
        <f>IF(B798=1,3,IF(D798=1,2,IF(F798=1,1,0)))</f>
        <v>0</v>
      </c>
      <c r="B798" s="4" t="str">
        <f>IF(C798=$L798,1,IF(C798="","",0))</f>
        <v/>
      </c>
      <c r="C798" s="42"/>
      <c r="D798" s="4" t="str">
        <f>IF(E798=$L798,1,IF(E798="","",0))</f>
        <v/>
      </c>
      <c r="E798" s="23"/>
      <c r="F798" s="4" t="str">
        <f>IF(G798=$L798,1,IF(G798="","",0))</f>
        <v/>
      </c>
      <c r="G798" s="14"/>
      <c r="H798" s="6">
        <v>2427</v>
      </c>
      <c r="I798" s="15" t="s">
        <v>3120</v>
      </c>
      <c r="J798" s="6" t="s">
        <v>5497</v>
      </c>
      <c r="K798" s="15" t="s">
        <v>3138</v>
      </c>
      <c r="L798" s="6" t="s">
        <v>2477</v>
      </c>
      <c r="M798" s="6" t="s">
        <v>8532</v>
      </c>
      <c r="N798" s="7">
        <f ca="1">RAND()</f>
        <v>0.49881007292858959</v>
      </c>
      <c r="O798" s="8">
        <v>45218</v>
      </c>
      <c r="P798" s="8">
        <v>45219</v>
      </c>
      <c r="Q798" s="8">
        <v>45221</v>
      </c>
      <c r="R798" s="8">
        <v>45225</v>
      </c>
      <c r="S798" s="8">
        <v>45232</v>
      </c>
      <c r="T798" s="8">
        <v>45816</v>
      </c>
      <c r="U798" s="8"/>
      <c r="V798" s="10">
        <f>COUNTA(O798:U798)</f>
        <v>6</v>
      </c>
      <c r="W798" s="11">
        <f>_xlfn.IFNA(INDEX(reading[[#This Row],[Memo 01]:[Memo 07]],MATCH(0,reading[[#This Row],[Memo 01]:[Memo 07]],-1)),"")</f>
        <v>45816</v>
      </c>
      <c r="X798" s="11">
        <f ca="1">IFERROR(reading[[#This Row],[Previous]]+OFFSET(reading[[#Headers],[Memo 01]],-1,MATCH(0,reading[[#This Row],[Memo 01]:[Memo 07]],-1)-1),"")</f>
        <v>45836</v>
      </c>
      <c r="Y798" s="10" t="str">
        <f ca="1">IF(reading[[#This Row],[Next]]&lt;&gt;"",IF(reading[[#This Row],[Next]]&gt;TODAY(),"OK",""),"")</f>
        <v>OK</v>
      </c>
      <c r="Z798" s="13">
        <v>3</v>
      </c>
      <c r="AA798" s="13">
        <v>3</v>
      </c>
      <c r="AB798" s="13">
        <v>3</v>
      </c>
      <c r="AC798" s="13">
        <v>3</v>
      </c>
      <c r="AD798" s="13">
        <v>3</v>
      </c>
      <c r="AE798" s="13">
        <v>2</v>
      </c>
      <c r="AF798" s="13"/>
      <c r="AG798" s="16">
        <f>IFERROR(SUMIF(reading[[#This Row],[1st]:[7th]],"&gt;0")/COUNTIF(reading[[#This Row],[1st]:[7th]],"&gt;0"),"")</f>
        <v>2.8333333333333335</v>
      </c>
    </row>
    <row r="799" spans="1:33" hidden="1" x14ac:dyDescent="0.2">
      <c r="A799" s="4">
        <f>IF(B799=1,3,IF(D799=1,2,IF(F799=1,1,0)))</f>
        <v>0</v>
      </c>
      <c r="B799" s="4" t="str">
        <f>IF(C799=$L799,1,IF(C799="","",0))</f>
        <v/>
      </c>
      <c r="C799" s="42"/>
      <c r="D799" s="4" t="str">
        <f>IF(E799=$L799,1,IF(E799="","",0))</f>
        <v/>
      </c>
      <c r="E799" s="43"/>
      <c r="F799" s="4" t="str">
        <f>IF(G799=$L799,1,IF(G799="","",0))</f>
        <v/>
      </c>
      <c r="G799" s="18"/>
      <c r="H799" s="6">
        <v>1258</v>
      </c>
      <c r="I799" s="15" t="s">
        <v>3120</v>
      </c>
      <c r="J799" s="6" t="s">
        <v>4375</v>
      </c>
      <c r="K799" s="6"/>
      <c r="L799" s="6" t="s">
        <v>1357</v>
      </c>
      <c r="M799" s="6" t="s">
        <v>7365</v>
      </c>
      <c r="N799" s="7">
        <f ca="1">RAND()</f>
        <v>0.36690961137609279</v>
      </c>
      <c r="O799" s="8">
        <v>45207</v>
      </c>
      <c r="P799" s="8">
        <v>45208</v>
      </c>
      <c r="Q799" s="8">
        <v>45210</v>
      </c>
      <c r="R799" s="8">
        <v>45222</v>
      </c>
      <c r="S799" s="8">
        <v>45229</v>
      </c>
      <c r="T799" s="8">
        <v>45820</v>
      </c>
      <c r="U799" s="8"/>
      <c r="V799" s="10">
        <f>COUNTA(O799:U799)</f>
        <v>6</v>
      </c>
      <c r="W799" s="11">
        <f>_xlfn.IFNA(INDEX(reading[[#This Row],[Memo 01]:[Memo 07]],MATCH(0,reading[[#This Row],[Memo 01]:[Memo 07]],-1)),"")</f>
        <v>45820</v>
      </c>
      <c r="X799" s="11">
        <f ca="1">IFERROR(reading[[#This Row],[Previous]]+OFFSET(reading[[#Headers],[Memo 01]],-1,MATCH(0,reading[[#This Row],[Memo 01]:[Memo 07]],-1)-1),"")</f>
        <v>45840</v>
      </c>
      <c r="Y799" s="10" t="str">
        <f ca="1">IF(reading[[#This Row],[Next]]&lt;&gt;"",IF(reading[[#This Row],[Next]]&gt;TODAY(),"OK",""),"")</f>
        <v>OK</v>
      </c>
      <c r="Z799" s="13">
        <v>3</v>
      </c>
      <c r="AA799" s="13">
        <v>2</v>
      </c>
      <c r="AB799" s="13">
        <v>3</v>
      </c>
      <c r="AC799" s="13">
        <v>3</v>
      </c>
      <c r="AD799" s="13">
        <v>3</v>
      </c>
      <c r="AE799" s="13">
        <v>2</v>
      </c>
      <c r="AF799" s="13"/>
      <c r="AG799" s="16">
        <f>IFERROR(SUMIF(reading[[#This Row],[1st]:[7th]],"&gt;0")/COUNTIF(reading[[#This Row],[1st]:[7th]],"&gt;0"),"")</f>
        <v>2.6666666666666665</v>
      </c>
    </row>
    <row r="800" spans="1:33" hidden="1" x14ac:dyDescent="0.2">
      <c r="A800" s="4">
        <f>IF(B800=1,3,IF(D800=1,2,IF(F800=1,1,0)))</f>
        <v>3</v>
      </c>
      <c r="B800" s="4">
        <f>IF(C800=$L800,1,IF(C800="","",0))</f>
        <v>1</v>
      </c>
      <c r="C800" s="21" t="s">
        <v>920</v>
      </c>
      <c r="D800" s="4" t="str">
        <f>IF(E800=$L800,1,IF(E800="","",0))</f>
        <v/>
      </c>
      <c r="E800" s="14"/>
      <c r="F800" s="4" t="str">
        <f>IF(G800=$L800,1,IF(G800="","",0))</f>
        <v/>
      </c>
      <c r="G800" s="14"/>
      <c r="H800" s="6">
        <v>803</v>
      </c>
      <c r="I800" s="15" t="s">
        <v>3120</v>
      </c>
      <c r="J800" s="6" t="s">
        <v>3937</v>
      </c>
      <c r="K800" s="6"/>
      <c r="L800" s="6" t="s">
        <v>920</v>
      </c>
      <c r="M800" s="6" t="s">
        <v>6912</v>
      </c>
      <c r="N800" s="7">
        <f ca="1">RAND()</f>
        <v>0.86326403059443291</v>
      </c>
      <c r="O800" s="8">
        <v>45203</v>
      </c>
      <c r="P800" s="8">
        <v>45203</v>
      </c>
      <c r="Q800" s="8">
        <v>45203</v>
      </c>
      <c r="R800" s="8">
        <v>45203</v>
      </c>
      <c r="S800" s="8">
        <v>45203</v>
      </c>
      <c r="T800" s="8">
        <v>45203</v>
      </c>
      <c r="U800" s="8">
        <v>45203</v>
      </c>
      <c r="V800" s="10">
        <f>COUNTA(O800:U800)</f>
        <v>7</v>
      </c>
      <c r="W800" s="11">
        <f>_xlfn.IFNA(INDEX(reading[[#This Row],[Memo 01]:[Memo 07]],MATCH(0,reading[[#This Row],[Memo 01]:[Memo 07]],-1)),"")</f>
        <v>45203</v>
      </c>
      <c r="X800" s="11">
        <f ca="1">IFERROR(reading[[#This Row],[Previous]]+OFFSET(reading[[#Headers],[Memo 01]],-1,MATCH(0,reading[[#This Row],[Memo 01]:[Memo 07]],-1)-1),"")</f>
        <v>55203</v>
      </c>
      <c r="Y800" s="10" t="str">
        <f ca="1">IF(reading[[#This Row],[Next]]&lt;&gt;"",IF(reading[[#This Row],[Next]]&gt;TODAY(),"OK",""),"")</f>
        <v>OK</v>
      </c>
      <c r="Z800" s="13">
        <v>3</v>
      </c>
      <c r="AA800" s="13"/>
      <c r="AB800" s="13"/>
      <c r="AC800" s="13"/>
      <c r="AD800" s="13"/>
      <c r="AE800" s="13"/>
      <c r="AF800" s="13"/>
      <c r="AG800" s="16">
        <f>IFERROR(SUMIF(reading[[#This Row],[1st]:[7th]],"&gt;0")/COUNTIF(reading[[#This Row],[1st]:[7th]],"&gt;0"),"")</f>
        <v>3</v>
      </c>
    </row>
    <row r="801" spans="1:33" hidden="1" x14ac:dyDescent="0.2">
      <c r="A801" s="4">
        <f>IF(B801=1,3,IF(D801=1,2,IF(F801=1,1,0)))</f>
        <v>3</v>
      </c>
      <c r="B801" s="4">
        <f>IF(C801=$L801,1,IF(C801="","",0))</f>
        <v>1</v>
      </c>
      <c r="C801" s="21" t="s">
        <v>921</v>
      </c>
      <c r="D801" s="4" t="str">
        <f>IF(E801=$L801,1,IF(E801="","",0))</f>
        <v/>
      </c>
      <c r="E801" s="14"/>
      <c r="F801" s="4" t="str">
        <f>IF(G801=$L801,1,IF(G801="","",0))</f>
        <v/>
      </c>
      <c r="G801" s="14"/>
      <c r="H801" s="6">
        <v>804</v>
      </c>
      <c r="I801" s="15" t="s">
        <v>3120</v>
      </c>
      <c r="J801" s="6" t="s">
        <v>3938</v>
      </c>
      <c r="K801" s="6"/>
      <c r="L801" s="6" t="s">
        <v>921</v>
      </c>
      <c r="M801" s="6" t="s">
        <v>6913</v>
      </c>
      <c r="N801" s="7">
        <f ca="1">RAND()</f>
        <v>0.4145040250326536</v>
      </c>
      <c r="O801" s="8">
        <v>45203</v>
      </c>
      <c r="P801" s="8">
        <v>45203</v>
      </c>
      <c r="Q801" s="8">
        <v>45203</v>
      </c>
      <c r="R801" s="8">
        <v>45203</v>
      </c>
      <c r="S801" s="8">
        <v>45203</v>
      </c>
      <c r="T801" s="8">
        <v>45203</v>
      </c>
      <c r="U801" s="8">
        <v>45203</v>
      </c>
      <c r="V801" s="10">
        <f>COUNTA(O801:U801)</f>
        <v>7</v>
      </c>
      <c r="W801" s="11">
        <f>_xlfn.IFNA(INDEX(reading[[#This Row],[Memo 01]:[Memo 07]],MATCH(0,reading[[#This Row],[Memo 01]:[Memo 07]],-1)),"")</f>
        <v>45203</v>
      </c>
      <c r="X801" s="11">
        <f ca="1">IFERROR(reading[[#This Row],[Previous]]+OFFSET(reading[[#Headers],[Memo 01]],-1,MATCH(0,reading[[#This Row],[Memo 01]:[Memo 07]],-1)-1),"")</f>
        <v>55203</v>
      </c>
      <c r="Y801" s="10" t="str">
        <f ca="1">IF(reading[[#This Row],[Next]]&lt;&gt;"",IF(reading[[#This Row],[Next]]&gt;TODAY(),"OK",""),"")</f>
        <v>OK</v>
      </c>
      <c r="Z801" s="13">
        <v>3</v>
      </c>
      <c r="AA801" s="13"/>
      <c r="AB801" s="13"/>
      <c r="AC801" s="13"/>
      <c r="AD801" s="13"/>
      <c r="AE801" s="13"/>
      <c r="AF801" s="13"/>
      <c r="AG801" s="16">
        <f>IFERROR(SUMIF(reading[[#This Row],[1st]:[7th]],"&gt;0")/COUNTIF(reading[[#This Row],[1st]:[7th]],"&gt;0"),"")</f>
        <v>3</v>
      </c>
    </row>
    <row r="802" spans="1:33" hidden="1" x14ac:dyDescent="0.2">
      <c r="A802" s="4">
        <f>IF(B802=1,3,IF(D802=1,2,IF(F802=1,1,0)))</f>
        <v>3</v>
      </c>
      <c r="B802" s="4">
        <f>IF(C802=$L802,1,IF(C802="","",0))</f>
        <v>1</v>
      </c>
      <c r="C802" s="21" t="s">
        <v>922</v>
      </c>
      <c r="D802" s="4" t="str">
        <f>IF(E802=$L802,1,IF(E802="","",0))</f>
        <v/>
      </c>
      <c r="E802" s="14"/>
      <c r="F802" s="4" t="str">
        <f>IF(G802=$L802,1,IF(G802="","",0))</f>
        <v/>
      </c>
      <c r="G802" s="14"/>
      <c r="H802" s="6">
        <v>805</v>
      </c>
      <c r="I802" s="15" t="s">
        <v>3120</v>
      </c>
      <c r="J802" s="6" t="s">
        <v>3939</v>
      </c>
      <c r="K802" s="6"/>
      <c r="L802" s="6" t="s">
        <v>922</v>
      </c>
      <c r="M802" s="6" t="s">
        <v>6914</v>
      </c>
      <c r="N802" s="7">
        <f ca="1">RAND()</f>
        <v>0.21193149170381909</v>
      </c>
      <c r="O802" s="8">
        <v>45203</v>
      </c>
      <c r="P802" s="8">
        <v>45203</v>
      </c>
      <c r="Q802" s="8">
        <v>45203</v>
      </c>
      <c r="R802" s="8">
        <v>45203</v>
      </c>
      <c r="S802" s="8">
        <v>45203</v>
      </c>
      <c r="T802" s="8">
        <v>45203</v>
      </c>
      <c r="U802" s="8">
        <v>45203</v>
      </c>
      <c r="V802" s="10">
        <f>COUNTA(O802:U802)</f>
        <v>7</v>
      </c>
      <c r="W802" s="11">
        <f>_xlfn.IFNA(INDEX(reading[[#This Row],[Memo 01]:[Memo 07]],MATCH(0,reading[[#This Row],[Memo 01]:[Memo 07]],-1)),"")</f>
        <v>45203</v>
      </c>
      <c r="X802" s="11">
        <f ca="1">IFERROR(reading[[#This Row],[Previous]]+OFFSET(reading[[#Headers],[Memo 01]],-1,MATCH(0,reading[[#This Row],[Memo 01]:[Memo 07]],-1)-1),"")</f>
        <v>55203</v>
      </c>
      <c r="Y802" s="10" t="str">
        <f ca="1">IF(reading[[#This Row],[Next]]&lt;&gt;"",IF(reading[[#This Row],[Next]]&gt;TODAY(),"OK",""),"")</f>
        <v>OK</v>
      </c>
      <c r="Z802" s="13">
        <v>3</v>
      </c>
      <c r="AA802" s="13"/>
      <c r="AB802" s="13"/>
      <c r="AC802" s="13"/>
      <c r="AD802" s="13"/>
      <c r="AE802" s="13"/>
      <c r="AF802" s="13"/>
      <c r="AG802" s="16">
        <f>IFERROR(SUMIF(reading[[#This Row],[1st]:[7th]],"&gt;0")/COUNTIF(reading[[#This Row],[1st]:[7th]],"&gt;0"),"")</f>
        <v>3</v>
      </c>
    </row>
    <row r="803" spans="1:33" hidden="1" x14ac:dyDescent="0.2">
      <c r="A803" s="4">
        <f>IF(B803=1,3,IF(D803=1,2,IF(F803=1,1,0)))</f>
        <v>0</v>
      </c>
      <c r="B803" s="4" t="str">
        <f>IF(C803=$L803,1,IF(C803="","",0))</f>
        <v/>
      </c>
      <c r="C803" s="42"/>
      <c r="D803" s="4" t="str">
        <f>IF(E803=$L803,1,IF(E803="","",0))</f>
        <v/>
      </c>
      <c r="E803" s="14"/>
      <c r="F803" s="4" t="str">
        <f>IF(G803=$L803,1,IF(G803="","",0))</f>
        <v/>
      </c>
      <c r="G803" s="14"/>
      <c r="H803" s="6">
        <v>1114</v>
      </c>
      <c r="I803" s="15" t="s">
        <v>3120</v>
      </c>
      <c r="J803" s="6" t="s">
        <v>4237</v>
      </c>
      <c r="K803" s="6"/>
      <c r="L803" s="6" t="s">
        <v>1220</v>
      </c>
      <c r="M803" s="6" t="s">
        <v>7222</v>
      </c>
      <c r="N803" s="7">
        <f ca="1">RAND()</f>
        <v>0.96418012713738577</v>
      </c>
      <c r="O803" s="8">
        <v>45205</v>
      </c>
      <c r="P803" s="8">
        <v>45206</v>
      </c>
      <c r="Q803" s="8">
        <v>45208</v>
      </c>
      <c r="R803" s="8">
        <v>45212</v>
      </c>
      <c r="S803" s="8">
        <v>45219</v>
      </c>
      <c r="T803" s="8">
        <v>45231</v>
      </c>
      <c r="U803" s="8">
        <v>45792</v>
      </c>
      <c r="V803" s="10">
        <f>COUNTA(O803:U803)</f>
        <v>7</v>
      </c>
      <c r="W803" s="11">
        <f>_xlfn.IFNA(INDEX(reading[[#This Row],[Memo 01]:[Memo 07]],MATCH(0,reading[[#This Row],[Memo 01]:[Memo 07]],-1)),"")</f>
        <v>45792</v>
      </c>
      <c r="X803" s="11">
        <f ca="1">IFERROR(reading[[#This Row],[Previous]]+OFFSET(reading[[#Headers],[Memo 01]],-1,MATCH(0,reading[[#This Row],[Memo 01]:[Memo 07]],-1)-1),"")</f>
        <v>55792</v>
      </c>
      <c r="Y803" s="10" t="str">
        <f ca="1">IF(reading[[#This Row],[Next]]&lt;&gt;"",IF(reading[[#This Row],[Next]]&gt;TODAY(),"OK",""),"")</f>
        <v>OK</v>
      </c>
      <c r="Z803" s="13">
        <v>3</v>
      </c>
      <c r="AA803" s="13">
        <v>3</v>
      </c>
      <c r="AB803" s="13">
        <v>2</v>
      </c>
      <c r="AC803" s="13">
        <v>3</v>
      </c>
      <c r="AD803" s="13">
        <v>3</v>
      </c>
      <c r="AE803" s="13">
        <v>2</v>
      </c>
      <c r="AF803" s="13">
        <v>3</v>
      </c>
      <c r="AG803" s="16">
        <f>IFERROR(SUMIF(reading[[#This Row],[1st]:[7th]],"&gt;0")/COUNTIF(reading[[#This Row],[1st]:[7th]],"&gt;0"),"")</f>
        <v>2.7142857142857144</v>
      </c>
    </row>
    <row r="804" spans="1:33" hidden="1" x14ac:dyDescent="0.2">
      <c r="A804" s="4">
        <f>IF(B804=1,3,IF(D804=1,2,IF(F804=1,1,0)))</f>
        <v>0</v>
      </c>
      <c r="B804" s="4" t="str">
        <f>IF(C804=$L804,1,IF(C804="","",0))</f>
        <v/>
      </c>
      <c r="C804" s="42"/>
      <c r="D804" s="4" t="str">
        <f>IF(E804=$L804,1,IF(E804="","",0))</f>
        <v/>
      </c>
      <c r="E804" s="14"/>
      <c r="F804" s="4" t="str">
        <f>IF(G804=$L804,1,IF(G804="","",0))</f>
        <v/>
      </c>
      <c r="G804" s="14"/>
      <c r="H804" s="6">
        <v>1611</v>
      </c>
      <c r="I804" s="15" t="s">
        <v>3120</v>
      </c>
      <c r="J804" s="6" t="s">
        <v>4723</v>
      </c>
      <c r="K804" s="6"/>
      <c r="L804" s="6" t="s">
        <v>1693</v>
      </c>
      <c r="M804" s="6" t="s">
        <v>7717</v>
      </c>
      <c r="N804" s="7">
        <f ca="1">RAND()</f>
        <v>0.7951105061816427</v>
      </c>
      <c r="O804" s="8">
        <v>45210</v>
      </c>
      <c r="P804" s="8">
        <v>45211</v>
      </c>
      <c r="Q804" s="8">
        <v>45213</v>
      </c>
      <c r="R804" s="8">
        <v>45217</v>
      </c>
      <c r="S804" s="8">
        <v>45224</v>
      </c>
      <c r="T804" s="8">
        <v>45236</v>
      </c>
      <c r="U804" s="8">
        <v>45801</v>
      </c>
      <c r="V804" s="10">
        <f>COUNTA(O804:U804)</f>
        <v>7</v>
      </c>
      <c r="W804" s="11">
        <f>_xlfn.IFNA(INDEX(reading[[#This Row],[Memo 01]:[Memo 07]],MATCH(0,reading[[#This Row],[Memo 01]:[Memo 07]],-1)),"")</f>
        <v>45801</v>
      </c>
      <c r="X804" s="11">
        <f ca="1">IFERROR(reading[[#This Row],[Previous]]+OFFSET(reading[[#Headers],[Memo 01]],-1,MATCH(0,reading[[#This Row],[Memo 01]:[Memo 07]],-1)-1),"")</f>
        <v>55801</v>
      </c>
      <c r="Y804" s="10" t="str">
        <f ca="1">IF(reading[[#This Row],[Next]]&lt;&gt;"",IF(reading[[#This Row],[Next]]&gt;TODAY(),"OK",""),"")</f>
        <v>OK</v>
      </c>
      <c r="Z804" s="13">
        <v>3</v>
      </c>
      <c r="AA804" s="13">
        <v>3</v>
      </c>
      <c r="AB804" s="13">
        <v>3</v>
      </c>
      <c r="AC804" s="13">
        <v>3</v>
      </c>
      <c r="AD804" s="13">
        <v>3</v>
      </c>
      <c r="AE804" s="13">
        <v>3</v>
      </c>
      <c r="AF804" s="13">
        <v>3</v>
      </c>
      <c r="AG804" s="16">
        <f>IFERROR(SUMIF(reading[[#This Row],[1st]:[7th]],"&gt;0")/COUNTIF(reading[[#This Row],[1st]:[7th]],"&gt;0"),"")</f>
        <v>3</v>
      </c>
    </row>
    <row r="805" spans="1:33" hidden="1" x14ac:dyDescent="0.2">
      <c r="A805" s="4">
        <f>IF(B805=1,3,IF(D805=1,2,IF(F805=1,1,0)))</f>
        <v>0</v>
      </c>
      <c r="B805" s="4" t="str">
        <f>IF(C805=$L805,1,IF(C805="","",0))</f>
        <v/>
      </c>
      <c r="C805" s="42"/>
      <c r="D805" s="4" t="str">
        <f>IF(E805=$L805,1,IF(E805="","",0))</f>
        <v/>
      </c>
      <c r="E805" s="14"/>
      <c r="F805" s="4" t="str">
        <f>IF(G805=$L805,1,IF(G805="","",0))</f>
        <v/>
      </c>
      <c r="G805" s="14"/>
      <c r="H805" s="6">
        <v>363</v>
      </c>
      <c r="I805" s="15" t="s">
        <v>3120</v>
      </c>
      <c r="J805" s="6" t="s">
        <v>3510</v>
      </c>
      <c r="K805" s="6"/>
      <c r="L805" s="6" t="s">
        <v>496</v>
      </c>
      <c r="M805" s="6" t="s">
        <v>6472</v>
      </c>
      <c r="N805" s="7">
        <f ca="1">RAND()</f>
        <v>9.411641724376818E-2</v>
      </c>
      <c r="O805" s="8">
        <v>45201</v>
      </c>
      <c r="P805" s="8">
        <v>45202</v>
      </c>
      <c r="Q805" s="8">
        <v>45204</v>
      </c>
      <c r="R805" s="8">
        <v>45208</v>
      </c>
      <c r="S805" s="8">
        <v>45215</v>
      </c>
      <c r="T805" s="8">
        <v>45227</v>
      </c>
      <c r="U805" s="8">
        <v>45792</v>
      </c>
      <c r="V805" s="10">
        <f>COUNTA(O805:U805)</f>
        <v>7</v>
      </c>
      <c r="W805" s="11">
        <f>_xlfn.IFNA(INDEX(reading[[#This Row],[Memo 01]:[Memo 07]],MATCH(0,reading[[#This Row],[Memo 01]:[Memo 07]],-1)),"")</f>
        <v>45792</v>
      </c>
      <c r="X805" s="11">
        <f ca="1">IFERROR(reading[[#This Row],[Previous]]+OFFSET(reading[[#Headers],[Memo 01]],-1,MATCH(0,reading[[#This Row],[Memo 01]:[Memo 07]],-1)-1),"")</f>
        <v>55792</v>
      </c>
      <c r="Y805" s="10" t="str">
        <f ca="1">IF(reading[[#This Row],[Next]]&lt;&gt;"",IF(reading[[#This Row],[Next]]&gt;TODAY(),"OK",""),"")</f>
        <v>OK</v>
      </c>
      <c r="Z805" s="13">
        <v>3</v>
      </c>
      <c r="AA805" s="13">
        <v>3</v>
      </c>
      <c r="AB805" s="13">
        <v>3</v>
      </c>
      <c r="AC805" s="13">
        <v>3</v>
      </c>
      <c r="AD805" s="13">
        <v>3</v>
      </c>
      <c r="AE805" s="13">
        <v>3</v>
      </c>
      <c r="AF805" s="13">
        <v>3</v>
      </c>
      <c r="AG805" s="16">
        <f>IFERROR(SUMIF(reading[[#This Row],[1st]:[7th]],"&gt;0")/COUNTIF(reading[[#This Row],[1st]:[7th]],"&gt;0"),"")</f>
        <v>3</v>
      </c>
    </row>
    <row r="806" spans="1:33" hidden="1" x14ac:dyDescent="0.2">
      <c r="A806" s="4">
        <f>IF(B806=1,3,IF(D806=1,2,IF(F806=1,1,0)))</f>
        <v>3</v>
      </c>
      <c r="B806" s="4">
        <f>IF(C806=$L806,1,IF(C806="","",0))</f>
        <v>1</v>
      </c>
      <c r="C806" s="21" t="s">
        <v>926</v>
      </c>
      <c r="D806" s="4" t="str">
        <f>IF(E806=$L806,1,IF(E806="","",0))</f>
        <v/>
      </c>
      <c r="E806" s="14"/>
      <c r="F806" s="4" t="str">
        <f>IF(G806=$L806,1,IF(G806="","",0))</f>
        <v/>
      </c>
      <c r="G806" s="14"/>
      <c r="H806" s="6">
        <v>809</v>
      </c>
      <c r="I806" s="15" t="s">
        <v>3120</v>
      </c>
      <c r="J806" s="6" t="s">
        <v>3943</v>
      </c>
      <c r="K806" s="6"/>
      <c r="L806" s="6" t="s">
        <v>926</v>
      </c>
      <c r="M806" s="6" t="s">
        <v>6918</v>
      </c>
      <c r="N806" s="7">
        <f ca="1">RAND()</f>
        <v>0.16208354980093709</v>
      </c>
      <c r="O806" s="8">
        <v>45203</v>
      </c>
      <c r="P806" s="8">
        <v>45203</v>
      </c>
      <c r="Q806" s="8">
        <v>45203</v>
      </c>
      <c r="R806" s="8">
        <v>45203</v>
      </c>
      <c r="S806" s="8">
        <v>45203</v>
      </c>
      <c r="T806" s="8">
        <v>45203</v>
      </c>
      <c r="U806" s="8">
        <v>45203</v>
      </c>
      <c r="V806" s="10">
        <f>COUNTA(O806:U806)</f>
        <v>7</v>
      </c>
      <c r="W806" s="11">
        <f>_xlfn.IFNA(INDEX(reading[[#This Row],[Memo 01]:[Memo 07]],MATCH(0,reading[[#This Row],[Memo 01]:[Memo 07]],-1)),"")</f>
        <v>45203</v>
      </c>
      <c r="X806" s="11">
        <f ca="1">IFERROR(reading[[#This Row],[Previous]]+OFFSET(reading[[#Headers],[Memo 01]],-1,MATCH(0,reading[[#This Row],[Memo 01]:[Memo 07]],-1)-1),"")</f>
        <v>55203</v>
      </c>
      <c r="Y806" s="10" t="str">
        <f ca="1">IF(reading[[#This Row],[Next]]&lt;&gt;"",IF(reading[[#This Row],[Next]]&gt;TODAY(),"OK",""),"")</f>
        <v>OK</v>
      </c>
      <c r="Z806" s="13">
        <v>3</v>
      </c>
      <c r="AA806" s="13"/>
      <c r="AB806" s="13"/>
      <c r="AC806" s="13"/>
      <c r="AD806" s="13"/>
      <c r="AE806" s="13"/>
      <c r="AF806" s="13"/>
      <c r="AG806" s="16">
        <f>IFERROR(SUMIF(reading[[#This Row],[1st]:[7th]],"&gt;0")/COUNTIF(reading[[#This Row],[1st]:[7th]],"&gt;0"),"")</f>
        <v>3</v>
      </c>
    </row>
    <row r="807" spans="1:33" hidden="1" x14ac:dyDescent="0.2">
      <c r="A807" s="4">
        <f>IF(B807=1,3,IF(D807=1,2,IF(F807=1,1,0)))</f>
        <v>0</v>
      </c>
      <c r="B807" s="4" t="str">
        <f>IF(C807=$L807,1,IF(C807="","",0))</f>
        <v/>
      </c>
      <c r="C807" s="42"/>
      <c r="D807" s="4" t="str">
        <f>IF(E807=$L807,1,IF(E807="","",0))</f>
        <v/>
      </c>
      <c r="E807" s="23"/>
      <c r="F807" s="4" t="str">
        <f>IF(G807=$L807,1,IF(G807="","",0))</f>
        <v/>
      </c>
      <c r="G807" s="23"/>
      <c r="H807" s="6">
        <v>2362</v>
      </c>
      <c r="I807" s="15" t="s">
        <v>3120</v>
      </c>
      <c r="J807" s="6" t="s">
        <v>5439</v>
      </c>
      <c r="K807" s="15" t="s">
        <v>3138</v>
      </c>
      <c r="L807" s="6" t="s">
        <v>2415</v>
      </c>
      <c r="M807" s="6" t="s">
        <v>8467</v>
      </c>
      <c r="N807" s="7">
        <f ca="1">RAND()</f>
        <v>0.77063628572967624</v>
      </c>
      <c r="O807" s="8">
        <v>45216</v>
      </c>
      <c r="P807" s="8">
        <v>45217</v>
      </c>
      <c r="Q807" s="8">
        <v>45219</v>
      </c>
      <c r="R807" s="8">
        <v>45223</v>
      </c>
      <c r="S807" s="8">
        <v>45230</v>
      </c>
      <c r="T807" s="8">
        <v>45811</v>
      </c>
      <c r="U807" s="8"/>
      <c r="V807" s="10">
        <f>COUNTA(O807:U807)</f>
        <v>6</v>
      </c>
      <c r="W807" s="11">
        <f>_xlfn.IFNA(INDEX(reading[[#This Row],[Memo 01]:[Memo 07]],MATCH(0,reading[[#This Row],[Memo 01]:[Memo 07]],-1)),"")</f>
        <v>45811</v>
      </c>
      <c r="X807" s="11">
        <f ca="1">IFERROR(reading[[#This Row],[Previous]]+OFFSET(reading[[#Headers],[Memo 01]],-1,MATCH(0,reading[[#This Row],[Memo 01]:[Memo 07]],-1)-1),"")</f>
        <v>45831</v>
      </c>
      <c r="Y807" s="10" t="str">
        <f ca="1">IF(reading[[#This Row],[Next]]&lt;&gt;"",IF(reading[[#This Row],[Next]]&gt;TODAY(),"OK",""),"")</f>
        <v/>
      </c>
      <c r="Z807" s="13">
        <v>3</v>
      </c>
      <c r="AA807" s="13">
        <v>3</v>
      </c>
      <c r="AB807" s="13">
        <v>3</v>
      </c>
      <c r="AC807" s="13">
        <v>3</v>
      </c>
      <c r="AD807" s="13">
        <v>3</v>
      </c>
      <c r="AE807" s="13">
        <v>1</v>
      </c>
      <c r="AF807" s="13"/>
      <c r="AG807" s="16">
        <f>IFERROR(SUMIF(reading[[#This Row],[1st]:[7th]],"&gt;0")/COUNTIF(reading[[#This Row],[1st]:[7th]],"&gt;0"),"")</f>
        <v>2.6666666666666665</v>
      </c>
    </row>
    <row r="808" spans="1:33" hidden="1" x14ac:dyDescent="0.2">
      <c r="A808" s="4">
        <f>IF(B808=1,3,IF(D808=1,2,IF(F808=1,1,0)))</f>
        <v>3</v>
      </c>
      <c r="B808" s="4">
        <f>IF(C808=$L808,1,IF(C808="","",0))</f>
        <v>1</v>
      </c>
      <c r="C808" s="21" t="s">
        <v>928</v>
      </c>
      <c r="D808" s="4" t="str">
        <f>IF(E808=$L808,1,IF(E808="","",0))</f>
        <v/>
      </c>
      <c r="E808" s="14"/>
      <c r="F808" s="4" t="str">
        <f>IF(G808=$L808,1,IF(G808="","",0))</f>
        <v/>
      </c>
      <c r="G808" s="14"/>
      <c r="H808" s="6">
        <v>811</v>
      </c>
      <c r="I808" s="15" t="s">
        <v>3120</v>
      </c>
      <c r="J808" s="6" t="s">
        <v>3945</v>
      </c>
      <c r="K808" s="6"/>
      <c r="L808" s="6" t="s">
        <v>928</v>
      </c>
      <c r="M808" s="6" t="s">
        <v>6920</v>
      </c>
      <c r="N808" s="7">
        <f ca="1">RAND()</f>
        <v>0.68735505046729906</v>
      </c>
      <c r="O808" s="8">
        <v>45203</v>
      </c>
      <c r="P808" s="8">
        <v>45203</v>
      </c>
      <c r="Q808" s="8">
        <v>45203</v>
      </c>
      <c r="R808" s="8">
        <v>45203</v>
      </c>
      <c r="S808" s="8">
        <v>45203</v>
      </c>
      <c r="T808" s="8">
        <v>45203</v>
      </c>
      <c r="U808" s="8">
        <v>45203</v>
      </c>
      <c r="V808" s="10">
        <f>COUNTA(O808:U808)</f>
        <v>7</v>
      </c>
      <c r="W808" s="11">
        <f>_xlfn.IFNA(INDEX(reading[[#This Row],[Memo 01]:[Memo 07]],MATCH(0,reading[[#This Row],[Memo 01]:[Memo 07]],-1)),"")</f>
        <v>45203</v>
      </c>
      <c r="X808" s="11">
        <f ca="1">IFERROR(reading[[#This Row],[Previous]]+OFFSET(reading[[#Headers],[Memo 01]],-1,MATCH(0,reading[[#This Row],[Memo 01]:[Memo 07]],-1)-1),"")</f>
        <v>55203</v>
      </c>
      <c r="Y808" s="10" t="str">
        <f ca="1">IF(reading[[#This Row],[Next]]&lt;&gt;"",IF(reading[[#This Row],[Next]]&gt;TODAY(),"OK",""),"")</f>
        <v>OK</v>
      </c>
      <c r="Z808" s="13">
        <v>3</v>
      </c>
      <c r="AA808" s="13"/>
      <c r="AB808" s="13"/>
      <c r="AC808" s="13"/>
      <c r="AD808" s="13"/>
      <c r="AE808" s="13"/>
      <c r="AF808" s="13"/>
      <c r="AG808" s="16">
        <f>IFERROR(SUMIF(reading[[#This Row],[1st]:[7th]],"&gt;0")/COUNTIF(reading[[#This Row],[1st]:[7th]],"&gt;0"),"")</f>
        <v>3</v>
      </c>
    </row>
    <row r="809" spans="1:33" hidden="1" x14ac:dyDescent="0.2">
      <c r="A809" s="4">
        <f>IF(B809=1,3,IF(D809=1,2,IF(F809=1,1,0)))</f>
        <v>0</v>
      </c>
      <c r="B809" s="4" t="str">
        <f>IF(C809=$L809,1,IF(C809="","",0))</f>
        <v/>
      </c>
      <c r="C809" s="42"/>
      <c r="D809" s="4" t="str">
        <f>IF(E809=$L809,1,IF(E809="","",0))</f>
        <v/>
      </c>
      <c r="E809" s="14"/>
      <c r="F809" s="4" t="str">
        <f>IF(G809=$L809,1,IF(G809="","",0))</f>
        <v/>
      </c>
      <c r="G809" s="14"/>
      <c r="H809" s="6">
        <v>1371</v>
      </c>
      <c r="I809" s="15" t="s">
        <v>3120</v>
      </c>
      <c r="J809" s="6" t="s">
        <v>4485</v>
      </c>
      <c r="K809" s="6"/>
      <c r="L809" s="6" t="s">
        <v>1465</v>
      </c>
      <c r="M809" s="6" t="s">
        <v>7478</v>
      </c>
      <c r="N809" s="7">
        <f ca="1">RAND()</f>
        <v>0.39583412578673571</v>
      </c>
      <c r="O809" s="8">
        <v>45207</v>
      </c>
      <c r="P809" s="8">
        <v>45208</v>
      </c>
      <c r="Q809" s="8">
        <v>45210</v>
      </c>
      <c r="R809" s="8">
        <v>45214</v>
      </c>
      <c r="S809" s="8">
        <v>45221</v>
      </c>
      <c r="T809" s="8">
        <v>45233</v>
      </c>
      <c r="U809" s="8">
        <v>45792</v>
      </c>
      <c r="V809" s="10">
        <f>COUNTA(O809:U809)</f>
        <v>7</v>
      </c>
      <c r="W809" s="11">
        <f>_xlfn.IFNA(INDEX(reading[[#This Row],[Memo 01]:[Memo 07]],MATCH(0,reading[[#This Row],[Memo 01]:[Memo 07]],-1)),"")</f>
        <v>45792</v>
      </c>
      <c r="X809" s="11">
        <f ca="1">IFERROR(reading[[#This Row],[Previous]]+OFFSET(reading[[#Headers],[Memo 01]],-1,MATCH(0,reading[[#This Row],[Memo 01]:[Memo 07]],-1)-1),"")</f>
        <v>55792</v>
      </c>
      <c r="Y809" s="10" t="str">
        <f ca="1">IF(reading[[#This Row],[Next]]&lt;&gt;"",IF(reading[[#This Row],[Next]]&gt;TODAY(),"OK",""),"")</f>
        <v>OK</v>
      </c>
      <c r="Z809" s="13">
        <v>3</v>
      </c>
      <c r="AA809" s="13">
        <v>3</v>
      </c>
      <c r="AB809" s="13">
        <v>3</v>
      </c>
      <c r="AC809" s="13">
        <v>3</v>
      </c>
      <c r="AD809" s="13">
        <v>3</v>
      </c>
      <c r="AE809" s="13">
        <v>2</v>
      </c>
      <c r="AF809" s="13">
        <v>3</v>
      </c>
      <c r="AG809" s="16">
        <f>IFERROR(SUMIF(reading[[#This Row],[1st]:[7th]],"&gt;0")/COUNTIF(reading[[#This Row],[1st]:[7th]],"&gt;0"),"")</f>
        <v>2.8571428571428572</v>
      </c>
    </row>
    <row r="810" spans="1:33" hidden="1" x14ac:dyDescent="0.2">
      <c r="A810" s="4">
        <f>IF(B810=1,3,IF(D810=1,2,IF(F810=1,1,0)))</f>
        <v>3</v>
      </c>
      <c r="B810" s="4">
        <f>IF(C810=$L810,1,IF(C810="","",0))</f>
        <v>1</v>
      </c>
      <c r="C810" s="21" t="s">
        <v>62</v>
      </c>
      <c r="D810" s="4" t="str">
        <f>IF(E810=$L810,1,IF(E810="","",0))</f>
        <v/>
      </c>
      <c r="E810" s="14"/>
      <c r="F810" s="4" t="str">
        <f>IF(G810=$L810,1,IF(G810="","",0))</f>
        <v/>
      </c>
      <c r="G810" s="14"/>
      <c r="H810" s="6">
        <v>813</v>
      </c>
      <c r="I810" s="15" t="s">
        <v>3120</v>
      </c>
      <c r="J810" s="6" t="s">
        <v>3947</v>
      </c>
      <c r="K810" s="6"/>
      <c r="L810" s="6" t="s">
        <v>62</v>
      </c>
      <c r="M810" s="6" t="s">
        <v>6922</v>
      </c>
      <c r="N810" s="7">
        <f ca="1">RAND()</f>
        <v>0.8494464487381973</v>
      </c>
      <c r="O810" s="8">
        <v>45203</v>
      </c>
      <c r="P810" s="8">
        <v>45203</v>
      </c>
      <c r="Q810" s="8">
        <v>45203</v>
      </c>
      <c r="R810" s="8">
        <v>45203</v>
      </c>
      <c r="S810" s="8">
        <v>45203</v>
      </c>
      <c r="T810" s="8">
        <v>45203</v>
      </c>
      <c r="U810" s="8">
        <v>45203</v>
      </c>
      <c r="V810" s="10">
        <f>COUNTA(O810:U810)</f>
        <v>7</v>
      </c>
      <c r="W810" s="11">
        <f>_xlfn.IFNA(INDEX(reading[[#This Row],[Memo 01]:[Memo 07]],MATCH(0,reading[[#This Row],[Memo 01]:[Memo 07]],-1)),"")</f>
        <v>45203</v>
      </c>
      <c r="X810" s="11">
        <f ca="1">IFERROR(reading[[#This Row],[Previous]]+OFFSET(reading[[#Headers],[Memo 01]],-1,MATCH(0,reading[[#This Row],[Memo 01]:[Memo 07]],-1)-1),"")</f>
        <v>55203</v>
      </c>
      <c r="Y810" s="10" t="str">
        <f ca="1">IF(reading[[#This Row],[Next]]&lt;&gt;"",IF(reading[[#This Row],[Next]]&gt;TODAY(),"OK",""),"")</f>
        <v>OK</v>
      </c>
      <c r="Z810" s="13">
        <v>3</v>
      </c>
      <c r="AA810" s="13"/>
      <c r="AB810" s="13"/>
      <c r="AC810" s="13"/>
      <c r="AD810" s="13"/>
      <c r="AE810" s="13"/>
      <c r="AF810" s="13"/>
      <c r="AG810" s="16">
        <f>IFERROR(SUMIF(reading[[#This Row],[1st]:[7th]],"&gt;0")/COUNTIF(reading[[#This Row],[1st]:[7th]],"&gt;0"),"")</f>
        <v>3</v>
      </c>
    </row>
    <row r="811" spans="1:33" hidden="1" x14ac:dyDescent="0.2">
      <c r="A811" s="4">
        <f>IF(B811=1,3,IF(D811=1,2,IF(F811=1,1,0)))</f>
        <v>0</v>
      </c>
      <c r="B811" s="4" t="str">
        <f>IF(C811=$L811,1,IF(C811="","",0))</f>
        <v/>
      </c>
      <c r="C811" s="42"/>
      <c r="D811" s="4" t="str">
        <f>IF(E811=$L811,1,IF(E811="","",0))</f>
        <v/>
      </c>
      <c r="E811" s="14"/>
      <c r="F811" s="4" t="str">
        <f>IF(G811=$L811,1,IF(G811="","",0))</f>
        <v/>
      </c>
      <c r="G811" s="14"/>
      <c r="H811" s="6">
        <v>1539</v>
      </c>
      <c r="I811" s="15" t="s">
        <v>3120</v>
      </c>
      <c r="J811" s="6" t="s">
        <v>4652</v>
      </c>
      <c r="K811" s="6"/>
      <c r="L811" s="6" t="s">
        <v>1624</v>
      </c>
      <c r="M811" s="6" t="s">
        <v>7646</v>
      </c>
      <c r="N811" s="7">
        <f ca="1">RAND()</f>
        <v>0.51347341363620813</v>
      </c>
      <c r="O811" s="8">
        <v>45209</v>
      </c>
      <c r="P811" s="8">
        <v>45210</v>
      </c>
      <c r="Q811" s="8">
        <v>45212</v>
      </c>
      <c r="R811" s="8">
        <v>45216</v>
      </c>
      <c r="S811" s="8">
        <v>45223</v>
      </c>
      <c r="T811" s="8">
        <v>45235</v>
      </c>
      <c r="U811" s="8">
        <v>45801</v>
      </c>
      <c r="V811" s="10">
        <f>COUNTA(O811:U811)</f>
        <v>7</v>
      </c>
      <c r="W811" s="11">
        <f>_xlfn.IFNA(INDEX(reading[[#This Row],[Memo 01]:[Memo 07]],MATCH(0,reading[[#This Row],[Memo 01]:[Memo 07]],-1)),"")</f>
        <v>45801</v>
      </c>
      <c r="X811" s="11">
        <f ca="1">IFERROR(reading[[#This Row],[Previous]]+OFFSET(reading[[#Headers],[Memo 01]],-1,MATCH(0,reading[[#This Row],[Memo 01]:[Memo 07]],-1)-1),"")</f>
        <v>55801</v>
      </c>
      <c r="Y811" s="10" t="str">
        <f ca="1">IF(reading[[#This Row],[Next]]&lt;&gt;"",IF(reading[[#This Row],[Next]]&gt;TODAY(),"OK",""),"")</f>
        <v>OK</v>
      </c>
      <c r="Z811" s="13">
        <v>3</v>
      </c>
      <c r="AA811" s="13">
        <v>3</v>
      </c>
      <c r="AB811" s="13">
        <v>3</v>
      </c>
      <c r="AC811" s="13">
        <v>3</v>
      </c>
      <c r="AD811" s="13">
        <v>3</v>
      </c>
      <c r="AE811" s="13">
        <v>3</v>
      </c>
      <c r="AF811" s="13">
        <v>3</v>
      </c>
      <c r="AG811" s="16">
        <f>IFERROR(SUMIF(reading[[#This Row],[1st]:[7th]],"&gt;0")/COUNTIF(reading[[#This Row],[1st]:[7th]],"&gt;0"),"")</f>
        <v>3</v>
      </c>
    </row>
    <row r="812" spans="1:33" hidden="1" x14ac:dyDescent="0.2">
      <c r="A812" s="4">
        <f>IF(B812=1,3,IF(D812=1,2,IF(F812=1,1,0)))</f>
        <v>0</v>
      </c>
      <c r="B812" s="4" t="str">
        <f>IF(C812=$L812,1,IF(C812="","",0))</f>
        <v/>
      </c>
      <c r="C812" s="42"/>
      <c r="D812" s="4" t="str">
        <f>IF(E812=$L812,1,IF(E812="","",0))</f>
        <v/>
      </c>
      <c r="E812" s="14"/>
      <c r="F812" s="4" t="str">
        <f>IF(G812=$L812,1,IF(G812="","",0))</f>
        <v/>
      </c>
      <c r="G812" s="14"/>
      <c r="H812" s="6">
        <v>273</v>
      </c>
      <c r="I812" s="15" t="s">
        <v>3120</v>
      </c>
      <c r="J812" s="6" t="s">
        <v>3422</v>
      </c>
      <c r="K812" s="6"/>
      <c r="L812" s="6" t="s">
        <v>408</v>
      </c>
      <c r="M812" s="6" t="s">
        <v>6382</v>
      </c>
      <c r="N812" s="7">
        <f ca="1">RAND()</f>
        <v>6.2664223731844881E-2</v>
      </c>
      <c r="O812" s="8">
        <v>45200</v>
      </c>
      <c r="P812" s="8">
        <v>45201</v>
      </c>
      <c r="Q812" s="8">
        <v>45203</v>
      </c>
      <c r="R812" s="8">
        <v>45207</v>
      </c>
      <c r="S812" s="8">
        <v>45214</v>
      </c>
      <c r="T812" s="8">
        <v>45226</v>
      </c>
      <c r="U812" s="8">
        <v>45792</v>
      </c>
      <c r="V812" s="10">
        <f>COUNTA(O812:U812)</f>
        <v>7</v>
      </c>
      <c r="W812" s="11">
        <f>_xlfn.IFNA(INDEX(reading[[#This Row],[Memo 01]:[Memo 07]],MATCH(0,reading[[#This Row],[Memo 01]:[Memo 07]],-1)),"")</f>
        <v>45792</v>
      </c>
      <c r="X812" s="11">
        <f ca="1">IFERROR(reading[[#This Row],[Previous]]+OFFSET(reading[[#Headers],[Memo 01]],-1,MATCH(0,reading[[#This Row],[Memo 01]:[Memo 07]],-1)-1),"")</f>
        <v>55792</v>
      </c>
      <c r="Y812" s="10" t="str">
        <f ca="1">IF(reading[[#This Row],[Next]]&lt;&gt;"",IF(reading[[#This Row],[Next]]&gt;TODAY(),"OK",""),"")</f>
        <v>OK</v>
      </c>
      <c r="Z812" s="13">
        <v>3</v>
      </c>
      <c r="AA812" s="13">
        <v>3</v>
      </c>
      <c r="AB812" s="13">
        <v>3</v>
      </c>
      <c r="AC812" s="13">
        <v>3</v>
      </c>
      <c r="AD812" s="13">
        <v>3</v>
      </c>
      <c r="AE812" s="13">
        <v>3</v>
      </c>
      <c r="AF812" s="13">
        <v>3</v>
      </c>
      <c r="AG812" s="16">
        <f>IFERROR(SUMIF(reading[[#This Row],[1st]:[7th]],"&gt;0")/COUNTIF(reading[[#This Row],[1st]:[7th]],"&gt;0"),"")</f>
        <v>3</v>
      </c>
    </row>
    <row r="813" spans="1:33" hidden="1" x14ac:dyDescent="0.2">
      <c r="A813" s="4">
        <f>IF(B813=1,3,IF(D813=1,2,IF(F813=1,1,0)))</f>
        <v>0</v>
      </c>
      <c r="B813" s="4" t="str">
        <f>IF(C813=$L813,1,IF(C813="","",0))</f>
        <v/>
      </c>
      <c r="C813" s="42"/>
      <c r="D813" s="4" t="str">
        <f>IF(E813=$L813,1,IF(E813="","",0))</f>
        <v/>
      </c>
      <c r="E813" s="23"/>
      <c r="F813" s="4" t="str">
        <f>IF(G813=$L813,1,IF(G813="","",0))</f>
        <v/>
      </c>
      <c r="G813" s="14"/>
      <c r="H813" s="6">
        <v>547</v>
      </c>
      <c r="I813" s="15" t="s">
        <v>3120</v>
      </c>
      <c r="J813" s="6" t="s">
        <v>3692</v>
      </c>
      <c r="K813" s="6"/>
      <c r="L813" s="6" t="s">
        <v>675</v>
      </c>
      <c r="M813" s="6" t="s">
        <v>6656</v>
      </c>
      <c r="N813" s="7">
        <f ca="1">RAND()</f>
        <v>0.42839407660207673</v>
      </c>
      <c r="O813" s="8">
        <v>45202</v>
      </c>
      <c r="P813" s="8">
        <v>45203</v>
      </c>
      <c r="Q813" s="8">
        <v>45205</v>
      </c>
      <c r="R813" s="8">
        <v>45209</v>
      </c>
      <c r="S813" s="8">
        <v>45216</v>
      </c>
      <c r="T813" s="8">
        <v>45228</v>
      </c>
      <c r="U813" s="8">
        <v>45815</v>
      </c>
      <c r="V813" s="10">
        <f>COUNTA(O813:U813)</f>
        <v>7</v>
      </c>
      <c r="W813" s="11">
        <f>_xlfn.IFNA(INDEX(reading[[#This Row],[Memo 01]:[Memo 07]],MATCH(0,reading[[#This Row],[Memo 01]:[Memo 07]],-1)),"")</f>
        <v>45815</v>
      </c>
      <c r="X813" s="11">
        <f ca="1">IFERROR(reading[[#This Row],[Previous]]+OFFSET(reading[[#Headers],[Memo 01]],-1,MATCH(0,reading[[#This Row],[Memo 01]:[Memo 07]],-1)-1),"")</f>
        <v>55815</v>
      </c>
      <c r="Y813" s="10" t="str">
        <f ca="1">IF(reading[[#This Row],[Next]]&lt;&gt;"",IF(reading[[#This Row],[Next]]&gt;TODAY(),"OK",""),"")</f>
        <v>OK</v>
      </c>
      <c r="Z813" s="13">
        <v>3</v>
      </c>
      <c r="AA813" s="13">
        <v>3</v>
      </c>
      <c r="AB813" s="13">
        <v>3</v>
      </c>
      <c r="AC813" s="13">
        <v>3</v>
      </c>
      <c r="AD813" s="13">
        <v>3</v>
      </c>
      <c r="AE813" s="13">
        <v>3</v>
      </c>
      <c r="AF813" s="13">
        <v>2</v>
      </c>
      <c r="AG813" s="16">
        <f>IFERROR(SUMIF(reading[[#This Row],[1st]:[7th]],"&gt;0")/COUNTIF(reading[[#This Row],[1st]:[7th]],"&gt;0"),"")</f>
        <v>2.8571428571428572</v>
      </c>
    </row>
    <row r="814" spans="1:33" hidden="1" x14ac:dyDescent="0.2">
      <c r="A814" s="4">
        <f>IF(B814=1,3,IF(D814=1,2,IF(F814=1,1,0)))</f>
        <v>0</v>
      </c>
      <c r="B814" s="4" t="str">
        <f>IF(C814=$L814,1,IF(C814="","",0))</f>
        <v/>
      </c>
      <c r="C814" s="42"/>
      <c r="D814" s="4" t="str">
        <f>IF(E814=$L814,1,IF(E814="","",0))</f>
        <v/>
      </c>
      <c r="E814" s="43"/>
      <c r="F814" s="4" t="str">
        <f>IF(G814=$L814,1,IF(G814="","",0))</f>
        <v/>
      </c>
      <c r="G814" s="18"/>
      <c r="H814" s="6">
        <v>2852</v>
      </c>
      <c r="I814" s="15" t="s">
        <v>3120</v>
      </c>
      <c r="J814" s="6" t="s">
        <v>5892</v>
      </c>
      <c r="K814" s="6"/>
      <c r="L814" s="6" t="s">
        <v>2885</v>
      </c>
      <c r="M814" s="6" t="s">
        <v>8956</v>
      </c>
      <c r="N814" s="7">
        <f ca="1">RAND()</f>
        <v>0.68890622769138643</v>
      </c>
      <c r="O814" s="8">
        <v>45223</v>
      </c>
      <c r="P814" s="8">
        <v>45224</v>
      </c>
      <c r="Q814" s="8">
        <v>45226</v>
      </c>
      <c r="R814" s="8">
        <v>45230</v>
      </c>
      <c r="S814" s="8">
        <v>45237</v>
      </c>
      <c r="T814" s="8">
        <v>45820</v>
      </c>
      <c r="U814" s="8"/>
      <c r="V814" s="10">
        <f>COUNTA(O814:U814)</f>
        <v>6</v>
      </c>
      <c r="W814" s="11">
        <f>_xlfn.IFNA(INDEX(reading[[#This Row],[Memo 01]:[Memo 07]],MATCH(0,reading[[#This Row],[Memo 01]:[Memo 07]],-1)),"")</f>
        <v>45820</v>
      </c>
      <c r="X814" s="11">
        <f ca="1">IFERROR(reading[[#This Row],[Previous]]+OFFSET(reading[[#Headers],[Memo 01]],-1,MATCH(0,reading[[#This Row],[Memo 01]:[Memo 07]],-1)-1),"")</f>
        <v>45840</v>
      </c>
      <c r="Y814" s="10" t="str">
        <f ca="1">IF(reading[[#This Row],[Next]]&lt;&gt;"",IF(reading[[#This Row],[Next]]&gt;TODAY(),"OK",""),"")</f>
        <v>OK</v>
      </c>
      <c r="Z814" s="13">
        <v>3</v>
      </c>
      <c r="AA814" s="13">
        <v>2</v>
      </c>
      <c r="AB814" s="13">
        <v>3</v>
      </c>
      <c r="AC814" s="13">
        <v>3</v>
      </c>
      <c r="AD814" s="13">
        <v>3</v>
      </c>
      <c r="AE814" s="13">
        <v>2</v>
      </c>
      <c r="AF814" s="13"/>
      <c r="AG814" s="16">
        <f>IFERROR(SUMIF(reading[[#This Row],[1st]:[7th]],"&gt;0")/COUNTIF(reading[[#This Row],[1st]:[7th]],"&gt;0"),"")</f>
        <v>2.6666666666666665</v>
      </c>
    </row>
    <row r="815" spans="1:33" hidden="1" x14ac:dyDescent="0.2">
      <c r="A815" s="4">
        <f>IF(B815=1,3,IF(D815=1,2,IF(F815=1,1,0)))</f>
        <v>0</v>
      </c>
      <c r="B815" s="4" t="str">
        <f>IF(C815=$L815,1,IF(C815="","",0))</f>
        <v/>
      </c>
      <c r="C815" s="42"/>
      <c r="D815" s="4" t="str">
        <f>IF(E815=$L815,1,IF(E815="","",0))</f>
        <v/>
      </c>
      <c r="E815" s="18"/>
      <c r="F815" s="4" t="str">
        <f>IF(G815=$L815,1,IF(G815="","",0))</f>
        <v/>
      </c>
      <c r="G815" s="14"/>
      <c r="H815" s="6">
        <v>1617</v>
      </c>
      <c r="I815" s="15" t="s">
        <v>3120</v>
      </c>
      <c r="J815" s="6" t="s">
        <v>4729</v>
      </c>
      <c r="K815" s="6"/>
      <c r="L815" s="6" t="s">
        <v>1699</v>
      </c>
      <c r="M815" s="6" t="s">
        <v>7723</v>
      </c>
      <c r="N815" s="7">
        <f ca="1">RAND()</f>
        <v>0.58880328586174424</v>
      </c>
      <c r="O815" s="8">
        <v>45211</v>
      </c>
      <c r="P815" s="8">
        <v>45212</v>
      </c>
      <c r="Q815" s="8">
        <v>45214</v>
      </c>
      <c r="R815" s="8">
        <v>45218</v>
      </c>
      <c r="S815" s="8">
        <v>45225</v>
      </c>
      <c r="T815" s="8">
        <v>45237</v>
      </c>
      <c r="U815" s="8">
        <v>45801</v>
      </c>
      <c r="V815" s="10">
        <f>COUNTA(O815:U815)</f>
        <v>7</v>
      </c>
      <c r="W815" s="11">
        <f>_xlfn.IFNA(INDEX(reading[[#This Row],[Memo 01]:[Memo 07]],MATCH(0,reading[[#This Row],[Memo 01]:[Memo 07]],-1)),"")</f>
        <v>45801</v>
      </c>
      <c r="X815" s="11">
        <f ca="1">IFERROR(reading[[#This Row],[Previous]]+OFFSET(reading[[#Headers],[Memo 01]],-1,MATCH(0,reading[[#This Row],[Memo 01]:[Memo 07]],-1)-1),"")</f>
        <v>55801</v>
      </c>
      <c r="Y815" s="10" t="str">
        <f ca="1">IF(reading[[#This Row],[Next]]&lt;&gt;"",IF(reading[[#This Row],[Next]]&gt;TODAY(),"OK",""),"")</f>
        <v>OK</v>
      </c>
      <c r="Z815" s="13">
        <v>3</v>
      </c>
      <c r="AA815" s="13">
        <v>3</v>
      </c>
      <c r="AB815" s="13">
        <v>3</v>
      </c>
      <c r="AC815" s="13">
        <v>2</v>
      </c>
      <c r="AD815" s="13">
        <v>3</v>
      </c>
      <c r="AE815" s="13">
        <v>3</v>
      </c>
      <c r="AF815" s="13">
        <v>3</v>
      </c>
      <c r="AG815" s="16">
        <f>IFERROR(SUMIF(reading[[#This Row],[1st]:[7th]],"&gt;0")/COUNTIF(reading[[#This Row],[1st]:[7th]],"&gt;0"),"")</f>
        <v>2.8571428571428572</v>
      </c>
    </row>
    <row r="816" spans="1:33" hidden="1" x14ac:dyDescent="0.2">
      <c r="A816" s="4">
        <f>IF(B816=1,3,IF(D816=1,2,IF(F816=1,1,0)))</f>
        <v>0</v>
      </c>
      <c r="B816" s="4" t="str">
        <f>IF(C816=$L816,1,IF(C816="","",0))</f>
        <v/>
      </c>
      <c r="C816" s="42"/>
      <c r="D816" s="4" t="str">
        <f>IF(E816=$L816,1,IF(E816="","",0))</f>
        <v/>
      </c>
      <c r="E816" s="18"/>
      <c r="F816" s="4" t="str">
        <f>IF(G816=$L816,1,IF(G816="","",0))</f>
        <v/>
      </c>
      <c r="G816" s="14"/>
      <c r="H816" s="6">
        <v>630</v>
      </c>
      <c r="I816" s="15" t="s">
        <v>3120</v>
      </c>
      <c r="J816" s="6" t="s">
        <v>3412</v>
      </c>
      <c r="K816" s="6"/>
      <c r="L816" s="6" t="s">
        <v>753</v>
      </c>
      <c r="M816" s="6" t="s">
        <v>6739</v>
      </c>
      <c r="N816" s="7">
        <f ca="1">RAND()</f>
        <v>0.52831658728725406</v>
      </c>
      <c r="O816" s="8">
        <v>45203</v>
      </c>
      <c r="P816" s="8">
        <v>45204</v>
      </c>
      <c r="Q816" s="8">
        <v>45206</v>
      </c>
      <c r="R816" s="8">
        <v>45210</v>
      </c>
      <c r="S816" s="8">
        <v>45217</v>
      </c>
      <c r="T816" s="8">
        <v>45229</v>
      </c>
      <c r="U816" s="8">
        <v>45253</v>
      </c>
      <c r="V816" s="10">
        <f>COUNTA(O816:U816)</f>
        <v>7</v>
      </c>
      <c r="W816" s="11">
        <f>_xlfn.IFNA(INDEX(reading[[#This Row],[Memo 01]:[Memo 07]],MATCH(0,reading[[#This Row],[Memo 01]:[Memo 07]],-1)),"")</f>
        <v>45253</v>
      </c>
      <c r="X816" s="11">
        <f ca="1">IFERROR(reading[[#This Row],[Previous]]+OFFSET(reading[[#Headers],[Memo 01]],-1,MATCH(0,reading[[#This Row],[Memo 01]:[Memo 07]],-1)-1),"")</f>
        <v>55253</v>
      </c>
      <c r="Y816" s="10" t="str">
        <f ca="1">IF(reading[[#This Row],[Next]]&lt;&gt;"",IF(reading[[#This Row],[Next]]&gt;TODAY(),"OK",""),"")</f>
        <v>OK</v>
      </c>
      <c r="Z816" s="13">
        <v>3</v>
      </c>
      <c r="AA816" s="13">
        <v>3</v>
      </c>
      <c r="AB816" s="13">
        <v>3</v>
      </c>
      <c r="AC816" s="13">
        <v>2</v>
      </c>
      <c r="AD816" s="13">
        <v>2</v>
      </c>
      <c r="AE816" s="13">
        <v>3</v>
      </c>
      <c r="AF816" s="13">
        <v>2</v>
      </c>
      <c r="AG816" s="16">
        <f>IFERROR(SUMIF(reading[[#This Row],[1st]:[7th]],"&gt;0")/COUNTIF(reading[[#This Row],[1st]:[7th]],"&gt;0"),"")</f>
        <v>2.5714285714285716</v>
      </c>
    </row>
    <row r="817" spans="1:33" hidden="1" x14ac:dyDescent="0.2">
      <c r="A817" s="4">
        <f>IF(B817=1,3,IF(D817=1,2,IF(F817=1,1,0)))</f>
        <v>0</v>
      </c>
      <c r="B817" s="4" t="str">
        <f>IF(C817=$L817,1,IF(C817="","",0))</f>
        <v/>
      </c>
      <c r="C817" s="42"/>
      <c r="D817" s="4" t="str">
        <f>IF(E817=$L817,1,IF(E817="","",0))</f>
        <v/>
      </c>
      <c r="E817" s="14"/>
      <c r="F817" s="4" t="str">
        <f>IF(G817=$L817,1,IF(G817="","",0))</f>
        <v/>
      </c>
      <c r="G817" s="14"/>
      <c r="H817" s="6">
        <v>567</v>
      </c>
      <c r="I817" s="15" t="s">
        <v>3120</v>
      </c>
      <c r="J817" s="6" t="s">
        <v>3710</v>
      </c>
      <c r="K817" s="6"/>
      <c r="L817" s="6" t="s">
        <v>694</v>
      </c>
      <c r="M817" s="6" t="s">
        <v>6676</v>
      </c>
      <c r="N817" s="7">
        <f ca="1">RAND()</f>
        <v>0.6671879709899845</v>
      </c>
      <c r="O817" s="8">
        <v>45202</v>
      </c>
      <c r="P817" s="8">
        <v>45203</v>
      </c>
      <c r="Q817" s="8">
        <v>45205</v>
      </c>
      <c r="R817" s="8">
        <v>45209</v>
      </c>
      <c r="S817" s="8">
        <v>45216</v>
      </c>
      <c r="T817" s="8">
        <v>45228</v>
      </c>
      <c r="U817" s="8">
        <v>45801</v>
      </c>
      <c r="V817" s="10">
        <f>COUNTA(O817:U817)</f>
        <v>7</v>
      </c>
      <c r="W817" s="11">
        <f>_xlfn.IFNA(INDEX(reading[[#This Row],[Memo 01]:[Memo 07]],MATCH(0,reading[[#This Row],[Memo 01]:[Memo 07]],-1)),"")</f>
        <v>45801</v>
      </c>
      <c r="X817" s="11">
        <f ca="1">IFERROR(reading[[#This Row],[Previous]]+OFFSET(reading[[#Headers],[Memo 01]],-1,MATCH(0,reading[[#This Row],[Memo 01]:[Memo 07]],-1)-1),"")</f>
        <v>55801</v>
      </c>
      <c r="Y817" s="10" t="str">
        <f ca="1">IF(reading[[#This Row],[Next]]&lt;&gt;"",IF(reading[[#This Row],[Next]]&gt;TODAY(),"OK",""),"")</f>
        <v>OK</v>
      </c>
      <c r="Z817" s="13">
        <v>3</v>
      </c>
      <c r="AA817" s="13">
        <v>2</v>
      </c>
      <c r="AB817" s="13">
        <v>3</v>
      </c>
      <c r="AC817" s="13">
        <v>3</v>
      </c>
      <c r="AD817" s="13">
        <v>3</v>
      </c>
      <c r="AE817" s="13">
        <v>3</v>
      </c>
      <c r="AF817" s="13">
        <v>3</v>
      </c>
      <c r="AG817" s="16">
        <f>IFERROR(SUMIF(reading[[#This Row],[1st]:[7th]],"&gt;0")/COUNTIF(reading[[#This Row],[1st]:[7th]],"&gt;0"),"")</f>
        <v>2.8571428571428572</v>
      </c>
    </row>
    <row r="818" spans="1:33" hidden="1" x14ac:dyDescent="0.2">
      <c r="A818" s="4">
        <f>IF(B818=1,3,IF(D818=1,2,IF(F818=1,1,0)))</f>
        <v>0</v>
      </c>
      <c r="B818" s="4" t="str">
        <f>IF(C818=$L818,1,IF(C818="","",0))</f>
        <v/>
      </c>
      <c r="C818" s="42"/>
      <c r="D818" s="4" t="str">
        <f>IF(E818=$L818,1,IF(E818="","",0))</f>
        <v/>
      </c>
      <c r="E818" s="23"/>
      <c r="F818" s="4" t="str">
        <f>IF(G818=$L818,1,IF(G818="","",0))</f>
        <v/>
      </c>
      <c r="G818" s="14"/>
      <c r="H818" s="6">
        <v>1033</v>
      </c>
      <c r="I818" s="15" t="s">
        <v>3120</v>
      </c>
      <c r="J818" s="6" t="s">
        <v>4160</v>
      </c>
      <c r="K818" s="6"/>
      <c r="L818" s="6" t="s">
        <v>1142</v>
      </c>
      <c r="M818" s="6" t="s">
        <v>7141</v>
      </c>
      <c r="N818" s="7">
        <f ca="1">RAND()</f>
        <v>0.13930592930808916</v>
      </c>
      <c r="O818" s="8">
        <v>45205</v>
      </c>
      <c r="P818" s="8">
        <v>45206</v>
      </c>
      <c r="Q818" s="8">
        <v>45208</v>
      </c>
      <c r="R818" s="8">
        <v>45212</v>
      </c>
      <c r="S818" s="8">
        <v>45219</v>
      </c>
      <c r="T818" s="8">
        <v>45231</v>
      </c>
      <c r="U818" s="8">
        <v>45801</v>
      </c>
      <c r="V818" s="10">
        <f>COUNTA(O818:U818)</f>
        <v>7</v>
      </c>
      <c r="W818" s="11">
        <f>_xlfn.IFNA(INDEX(reading[[#This Row],[Memo 01]:[Memo 07]],MATCH(0,reading[[#This Row],[Memo 01]:[Memo 07]],-1)),"")</f>
        <v>45801</v>
      </c>
      <c r="X818" s="11">
        <f ca="1">IFERROR(reading[[#This Row],[Previous]]+OFFSET(reading[[#Headers],[Memo 01]],-1,MATCH(0,reading[[#This Row],[Memo 01]:[Memo 07]],-1)-1),"")</f>
        <v>55801</v>
      </c>
      <c r="Y818" s="10" t="str">
        <f ca="1">IF(reading[[#This Row],[Next]]&lt;&gt;"",IF(reading[[#This Row],[Next]]&gt;TODAY(),"OK",""),"")</f>
        <v>OK</v>
      </c>
      <c r="Z818" s="13">
        <v>3</v>
      </c>
      <c r="AA818" s="13">
        <v>2</v>
      </c>
      <c r="AB818" s="13">
        <v>3</v>
      </c>
      <c r="AC818" s="13">
        <v>3</v>
      </c>
      <c r="AD818" s="13">
        <v>3</v>
      </c>
      <c r="AE818" s="13">
        <v>3</v>
      </c>
      <c r="AF818" s="13">
        <v>3</v>
      </c>
      <c r="AG818" s="16">
        <f>IFERROR(SUMIF(reading[[#This Row],[1st]:[7th]],"&gt;0")/COUNTIF(reading[[#This Row],[1st]:[7th]],"&gt;0"),"")</f>
        <v>2.8571428571428572</v>
      </c>
    </row>
    <row r="819" spans="1:33" hidden="1" x14ac:dyDescent="0.2">
      <c r="A819" s="4">
        <f>IF(B819=1,3,IF(D819=1,2,IF(F819=1,1,0)))</f>
        <v>0</v>
      </c>
      <c r="B819" s="4" t="str">
        <f>IF(C819=$L819,1,IF(C819="","",0))</f>
        <v/>
      </c>
      <c r="C819" s="42"/>
      <c r="D819" s="4" t="str">
        <f>IF(E819=$L819,1,IF(E819="","",0))</f>
        <v/>
      </c>
      <c r="E819" s="14"/>
      <c r="F819" s="4" t="str">
        <f>IF(G819=$L819,1,IF(G819="","",0))</f>
        <v/>
      </c>
      <c r="G819" s="14"/>
      <c r="H819" s="6">
        <v>79</v>
      </c>
      <c r="I819" s="15" t="s">
        <v>3120</v>
      </c>
      <c r="J819" s="6" t="s">
        <v>3229</v>
      </c>
      <c r="K819" s="6"/>
      <c r="L819" s="6" t="s">
        <v>217</v>
      </c>
      <c r="M819" s="6" t="s">
        <v>6188</v>
      </c>
      <c r="N819" s="7">
        <f ca="1">RAND()</f>
        <v>0.66275444668645567</v>
      </c>
      <c r="O819" s="8">
        <v>45199</v>
      </c>
      <c r="P819" s="8">
        <v>45200</v>
      </c>
      <c r="Q819" s="8">
        <v>45202</v>
      </c>
      <c r="R819" s="8">
        <v>45206</v>
      </c>
      <c r="S819" s="8">
        <v>45213</v>
      </c>
      <c r="T819" s="8">
        <v>45225</v>
      </c>
      <c r="U819" s="8">
        <v>45792</v>
      </c>
      <c r="V819" s="10">
        <f>COUNTA(O819:U819)</f>
        <v>7</v>
      </c>
      <c r="W819" s="11">
        <f>_xlfn.IFNA(INDEX(reading[[#This Row],[Memo 01]:[Memo 07]],MATCH(0,reading[[#This Row],[Memo 01]:[Memo 07]],-1)),"")</f>
        <v>45792</v>
      </c>
      <c r="X819" s="11">
        <f ca="1">IFERROR(reading[[#This Row],[Previous]]+OFFSET(reading[[#Headers],[Memo 01]],-1,MATCH(0,reading[[#This Row],[Memo 01]:[Memo 07]],-1)-1),"")</f>
        <v>55792</v>
      </c>
      <c r="Y819" s="10" t="str">
        <f ca="1">IF(reading[[#This Row],[Next]]&lt;&gt;"",IF(reading[[#This Row],[Next]]&gt;TODAY(),"OK",""),"")</f>
        <v>OK</v>
      </c>
      <c r="Z819" s="13">
        <v>3</v>
      </c>
      <c r="AA819" s="13">
        <v>3</v>
      </c>
      <c r="AB819" s="13">
        <v>3</v>
      </c>
      <c r="AC819" s="13">
        <v>3</v>
      </c>
      <c r="AD819" s="13">
        <v>3</v>
      </c>
      <c r="AE819" s="13">
        <v>3</v>
      </c>
      <c r="AF819" s="13">
        <v>3</v>
      </c>
      <c r="AG819" s="16">
        <f>IFERROR(SUMIF(reading[[#This Row],[1st]:[7th]],"&gt;0")/COUNTIF(reading[[#This Row],[1st]:[7th]],"&gt;0"),"")</f>
        <v>3</v>
      </c>
    </row>
    <row r="820" spans="1:33" hidden="1" x14ac:dyDescent="0.2">
      <c r="A820" s="4">
        <f>IF(B820=1,3,IF(D820=1,2,IF(F820=1,1,0)))</f>
        <v>0</v>
      </c>
      <c r="B820" s="4" t="str">
        <f>IF(C820=$L820,1,IF(C820="","",0))</f>
        <v/>
      </c>
      <c r="C820" s="42"/>
      <c r="D820" s="4" t="str">
        <f>IF(E820=$L820,1,IF(E820="","",0))</f>
        <v/>
      </c>
      <c r="E820" s="14"/>
      <c r="F820" s="4" t="str">
        <f>IF(G820=$L820,1,IF(G820="","",0))</f>
        <v/>
      </c>
      <c r="G820" s="14"/>
      <c r="H820" s="6">
        <v>587</v>
      </c>
      <c r="I820" s="15" t="s">
        <v>3120</v>
      </c>
      <c r="J820" s="6" t="s">
        <v>3730</v>
      </c>
      <c r="K820" s="6"/>
      <c r="L820" s="6" t="s">
        <v>713</v>
      </c>
      <c r="M820" s="6" t="s">
        <v>6696</v>
      </c>
      <c r="N820" s="7">
        <f ca="1">RAND()</f>
        <v>0.71696149186809111</v>
      </c>
      <c r="O820" s="8">
        <v>45202</v>
      </c>
      <c r="P820" s="8">
        <v>45203</v>
      </c>
      <c r="Q820" s="8">
        <v>45205</v>
      </c>
      <c r="R820" s="8">
        <v>45209</v>
      </c>
      <c r="S820" s="8">
        <v>45216</v>
      </c>
      <c r="T820" s="8">
        <v>45228</v>
      </c>
      <c r="U820" s="8">
        <v>45801</v>
      </c>
      <c r="V820" s="10">
        <f>COUNTA(O820:U820)</f>
        <v>7</v>
      </c>
      <c r="W820" s="11">
        <f>_xlfn.IFNA(INDEX(reading[[#This Row],[Memo 01]:[Memo 07]],MATCH(0,reading[[#This Row],[Memo 01]:[Memo 07]],-1)),"")</f>
        <v>45801</v>
      </c>
      <c r="X820" s="11">
        <f ca="1">IFERROR(reading[[#This Row],[Previous]]+OFFSET(reading[[#Headers],[Memo 01]],-1,MATCH(0,reading[[#This Row],[Memo 01]:[Memo 07]],-1)-1),"")</f>
        <v>55801</v>
      </c>
      <c r="Y820" s="10" t="str">
        <f ca="1">IF(reading[[#This Row],[Next]]&lt;&gt;"",IF(reading[[#This Row],[Next]]&gt;TODAY(),"OK",""),"")</f>
        <v>OK</v>
      </c>
      <c r="Z820" s="13">
        <v>3</v>
      </c>
      <c r="AA820" s="13">
        <v>2</v>
      </c>
      <c r="AB820" s="13">
        <v>3</v>
      </c>
      <c r="AC820" s="13">
        <v>3</v>
      </c>
      <c r="AD820" s="13">
        <v>3</v>
      </c>
      <c r="AE820" s="13">
        <v>3</v>
      </c>
      <c r="AF820" s="13">
        <v>3</v>
      </c>
      <c r="AG820" s="16">
        <f>IFERROR(SUMIF(reading[[#This Row],[1st]:[7th]],"&gt;0")/COUNTIF(reading[[#This Row],[1st]:[7th]],"&gt;0"),"")</f>
        <v>2.8571428571428572</v>
      </c>
    </row>
    <row r="821" spans="1:33" hidden="1" x14ac:dyDescent="0.2">
      <c r="A821" s="4">
        <f>IF(B821=1,3,IF(D821=1,2,IF(F821=1,1,0)))</f>
        <v>0</v>
      </c>
      <c r="B821" s="4" t="str">
        <f>IF(C821=$L821,1,IF(C821="","",0))</f>
        <v/>
      </c>
      <c r="C821" s="42"/>
      <c r="D821" s="4" t="str">
        <f>IF(E821=$L821,1,IF(E821="","",0))</f>
        <v/>
      </c>
      <c r="E821" s="14"/>
      <c r="F821" s="4" t="str">
        <f>IF(G821=$L821,1,IF(G821="","",0))</f>
        <v/>
      </c>
      <c r="G821" s="14"/>
      <c r="H821" s="6">
        <v>1868</v>
      </c>
      <c r="I821" s="15" t="s">
        <v>3120</v>
      </c>
      <c r="J821" s="6" t="s">
        <v>4970</v>
      </c>
      <c r="K821" s="6"/>
      <c r="L821" s="6" t="s">
        <v>1946</v>
      </c>
      <c r="M821" s="6" t="s">
        <v>7974</v>
      </c>
      <c r="N821" s="7">
        <f ca="1">RAND()</f>
        <v>0.24288603167340939</v>
      </c>
      <c r="O821" s="8">
        <v>45212</v>
      </c>
      <c r="P821" s="8">
        <v>45213</v>
      </c>
      <c r="Q821" s="8">
        <v>45215</v>
      </c>
      <c r="R821" s="8">
        <v>45219</v>
      </c>
      <c r="S821" s="8">
        <v>45226</v>
      </c>
      <c r="T821" s="8">
        <v>45819</v>
      </c>
      <c r="U821" s="8"/>
      <c r="V821" s="10">
        <f>COUNTA(O821:U821)</f>
        <v>6</v>
      </c>
      <c r="W821" s="11">
        <f>_xlfn.IFNA(INDEX(reading[[#This Row],[Memo 01]:[Memo 07]],MATCH(0,reading[[#This Row],[Memo 01]:[Memo 07]],-1)),"")</f>
        <v>45819</v>
      </c>
      <c r="X821" s="11">
        <f ca="1">IFERROR(reading[[#This Row],[Previous]]+OFFSET(reading[[#Headers],[Memo 01]],-1,MATCH(0,reading[[#This Row],[Memo 01]:[Memo 07]],-1)-1),"")</f>
        <v>45839</v>
      </c>
      <c r="Y821" s="10" t="str">
        <f ca="1">IF(reading[[#This Row],[Next]]&lt;&gt;"",IF(reading[[#This Row],[Next]]&gt;TODAY(),"OK",""),"")</f>
        <v>OK</v>
      </c>
      <c r="Z821" s="13">
        <v>3</v>
      </c>
      <c r="AA821" s="13">
        <v>3</v>
      </c>
      <c r="AB821" s="13">
        <v>3</v>
      </c>
      <c r="AC821" s="13">
        <v>3</v>
      </c>
      <c r="AD821" s="13">
        <v>3</v>
      </c>
      <c r="AE821" s="13">
        <v>3</v>
      </c>
      <c r="AF821" s="13"/>
      <c r="AG821" s="16">
        <f>IFERROR(SUMIF(reading[[#This Row],[1st]:[7th]],"&gt;0")/COUNTIF(reading[[#This Row],[1st]:[7th]],"&gt;0"),"")</f>
        <v>3</v>
      </c>
    </row>
    <row r="822" spans="1:33" hidden="1" x14ac:dyDescent="0.2">
      <c r="A822" s="4">
        <f>IF(B822=1,3,IF(D822=1,2,IF(F822=1,1,0)))</f>
        <v>0</v>
      </c>
      <c r="B822" s="4" t="str">
        <f>IF(C822=$L822,1,IF(C822="","",0))</f>
        <v/>
      </c>
      <c r="C822" s="42"/>
      <c r="D822" s="4" t="str">
        <f>IF(E822=$L822,1,IF(E822="","",0))</f>
        <v/>
      </c>
      <c r="E822" s="18"/>
      <c r="F822" s="4" t="str">
        <f>IF(G822=$L822,1,IF(G822="","",0))</f>
        <v/>
      </c>
      <c r="G822" s="18"/>
      <c r="H822" s="6">
        <v>1910</v>
      </c>
      <c r="I822" s="15" t="s">
        <v>3120</v>
      </c>
      <c r="J822" s="6" t="s">
        <v>5011</v>
      </c>
      <c r="K822" s="6"/>
      <c r="L822" s="6" t="s">
        <v>1986</v>
      </c>
      <c r="M822" s="6" t="s">
        <v>8016</v>
      </c>
      <c r="N822" s="7">
        <f ca="1">RAND()</f>
        <v>0.30348464349877624</v>
      </c>
      <c r="O822" s="8">
        <v>45213</v>
      </c>
      <c r="P822" s="8">
        <v>45214</v>
      </c>
      <c r="Q822" s="8">
        <v>45216</v>
      </c>
      <c r="R822" s="8">
        <v>45220</v>
      </c>
      <c r="S822" s="8">
        <v>45227</v>
      </c>
      <c r="T822" s="8">
        <v>45249</v>
      </c>
      <c r="U822" s="8">
        <v>45792</v>
      </c>
      <c r="V822" s="10">
        <f>COUNTA(O822:U822)</f>
        <v>7</v>
      </c>
      <c r="W822" s="11">
        <f>_xlfn.IFNA(INDEX(reading[[#This Row],[Memo 01]:[Memo 07]],MATCH(0,reading[[#This Row],[Memo 01]:[Memo 07]],-1)),"")</f>
        <v>45792</v>
      </c>
      <c r="X822" s="11">
        <f ca="1">IFERROR(reading[[#This Row],[Previous]]+OFFSET(reading[[#Headers],[Memo 01]],-1,MATCH(0,reading[[#This Row],[Memo 01]:[Memo 07]],-1)-1),"")</f>
        <v>55792</v>
      </c>
      <c r="Y822" s="10" t="str">
        <f ca="1">IF(reading[[#This Row],[Next]]&lt;&gt;"",IF(reading[[#This Row],[Next]]&gt;TODAY(),"OK",""),"")</f>
        <v>OK</v>
      </c>
      <c r="Z822" s="13">
        <v>3</v>
      </c>
      <c r="AA822" s="13">
        <v>3</v>
      </c>
      <c r="AB822" s="13">
        <v>1</v>
      </c>
      <c r="AC822" s="13">
        <v>2</v>
      </c>
      <c r="AD822" s="13">
        <v>3</v>
      </c>
      <c r="AE822" s="13">
        <v>2</v>
      </c>
      <c r="AF822" s="13">
        <v>3</v>
      </c>
      <c r="AG822" s="16">
        <f>IFERROR(SUMIF(reading[[#This Row],[1st]:[7th]],"&gt;0")/COUNTIF(reading[[#This Row],[1st]:[7th]],"&gt;0"),"")</f>
        <v>2.4285714285714284</v>
      </c>
    </row>
    <row r="823" spans="1:33" hidden="1" x14ac:dyDescent="0.2">
      <c r="A823" s="4">
        <f>IF(B823=1,3,IF(D823=1,2,IF(F823=1,1,0)))</f>
        <v>3</v>
      </c>
      <c r="B823" s="4">
        <f>IF(C823=$L823,1,IF(C823="","",0))</f>
        <v>1</v>
      </c>
      <c r="C823" s="21" t="s">
        <v>942</v>
      </c>
      <c r="D823" s="4" t="str">
        <f>IF(E823=$L823,1,IF(E823="","",0))</f>
        <v/>
      </c>
      <c r="E823" s="14"/>
      <c r="F823" s="4" t="str">
        <f>IF(G823=$L823,1,IF(G823="","",0))</f>
        <v/>
      </c>
      <c r="G823" s="14"/>
      <c r="H823" s="6">
        <v>826</v>
      </c>
      <c r="I823" s="15" t="s">
        <v>3120</v>
      </c>
      <c r="J823" s="6" t="s">
        <v>3959</v>
      </c>
      <c r="K823" s="6"/>
      <c r="L823" s="6" t="s">
        <v>942</v>
      </c>
      <c r="M823" s="6" t="s">
        <v>6935</v>
      </c>
      <c r="N823" s="7">
        <f ca="1">RAND()</f>
        <v>0.1380260872615332</v>
      </c>
      <c r="O823" s="8">
        <v>45203</v>
      </c>
      <c r="P823" s="8">
        <v>45203</v>
      </c>
      <c r="Q823" s="8">
        <v>45203</v>
      </c>
      <c r="R823" s="8">
        <v>45203</v>
      </c>
      <c r="S823" s="8">
        <v>45203</v>
      </c>
      <c r="T823" s="8">
        <v>45203</v>
      </c>
      <c r="U823" s="8">
        <v>45203</v>
      </c>
      <c r="V823" s="10">
        <f>COUNTA(O823:U823)</f>
        <v>7</v>
      </c>
      <c r="W823" s="11">
        <f>_xlfn.IFNA(INDEX(reading[[#This Row],[Memo 01]:[Memo 07]],MATCH(0,reading[[#This Row],[Memo 01]:[Memo 07]],-1)),"")</f>
        <v>45203</v>
      </c>
      <c r="X823" s="11">
        <f ca="1">IFERROR(reading[[#This Row],[Previous]]+OFFSET(reading[[#Headers],[Memo 01]],-1,MATCH(0,reading[[#This Row],[Memo 01]:[Memo 07]],-1)-1),"")</f>
        <v>55203</v>
      </c>
      <c r="Y823" s="10" t="str">
        <f ca="1">IF(reading[[#This Row],[Next]]&lt;&gt;"",IF(reading[[#This Row],[Next]]&gt;TODAY(),"OK",""),"")</f>
        <v>OK</v>
      </c>
      <c r="Z823" s="13">
        <v>3</v>
      </c>
      <c r="AA823" s="13"/>
      <c r="AB823" s="13"/>
      <c r="AC823" s="13"/>
      <c r="AD823" s="13"/>
      <c r="AE823" s="13"/>
      <c r="AF823" s="13"/>
      <c r="AG823" s="16">
        <f>IFERROR(SUMIF(reading[[#This Row],[1st]:[7th]],"&gt;0")/COUNTIF(reading[[#This Row],[1st]:[7th]],"&gt;0"),"")</f>
        <v>3</v>
      </c>
    </row>
    <row r="824" spans="1:33" hidden="1" x14ac:dyDescent="0.2">
      <c r="A824" s="4">
        <f>IF(B824=1,3,IF(D824=1,2,IF(F824=1,1,0)))</f>
        <v>3</v>
      </c>
      <c r="B824" s="4">
        <f>IF(C824=$L824,1,IF(C824="","",0))</f>
        <v>1</v>
      </c>
      <c r="C824" s="21" t="s">
        <v>943</v>
      </c>
      <c r="D824" s="4" t="str">
        <f>IF(E824=$L824,1,IF(E824="","",0))</f>
        <v/>
      </c>
      <c r="E824" s="14"/>
      <c r="F824" s="4" t="str">
        <f>IF(G824=$L824,1,IF(G824="","",0))</f>
        <v/>
      </c>
      <c r="G824" s="14"/>
      <c r="H824" s="6">
        <v>827</v>
      </c>
      <c r="I824" s="15" t="s">
        <v>3120</v>
      </c>
      <c r="J824" s="6" t="s">
        <v>3960</v>
      </c>
      <c r="K824" s="6"/>
      <c r="L824" s="6" t="s">
        <v>943</v>
      </c>
      <c r="M824" s="6" t="s">
        <v>6936</v>
      </c>
      <c r="N824" s="7">
        <f ca="1">RAND()</f>
        <v>7.8024923759486886E-2</v>
      </c>
      <c r="O824" s="8">
        <v>45203</v>
      </c>
      <c r="P824" s="8">
        <v>45203</v>
      </c>
      <c r="Q824" s="8">
        <v>45203</v>
      </c>
      <c r="R824" s="8">
        <v>45203</v>
      </c>
      <c r="S824" s="8">
        <v>45203</v>
      </c>
      <c r="T824" s="8">
        <v>45203</v>
      </c>
      <c r="U824" s="8">
        <v>45203</v>
      </c>
      <c r="V824" s="10">
        <f>COUNTA(O824:U824)</f>
        <v>7</v>
      </c>
      <c r="W824" s="11">
        <f>_xlfn.IFNA(INDEX(reading[[#This Row],[Memo 01]:[Memo 07]],MATCH(0,reading[[#This Row],[Memo 01]:[Memo 07]],-1)),"")</f>
        <v>45203</v>
      </c>
      <c r="X824" s="11">
        <f ca="1">IFERROR(reading[[#This Row],[Previous]]+OFFSET(reading[[#Headers],[Memo 01]],-1,MATCH(0,reading[[#This Row],[Memo 01]:[Memo 07]],-1)-1),"")</f>
        <v>55203</v>
      </c>
      <c r="Y824" s="10" t="str">
        <f ca="1">IF(reading[[#This Row],[Next]]&lt;&gt;"",IF(reading[[#This Row],[Next]]&gt;TODAY(),"OK",""),"")</f>
        <v>OK</v>
      </c>
      <c r="Z824" s="13">
        <v>3</v>
      </c>
      <c r="AA824" s="13"/>
      <c r="AB824" s="13"/>
      <c r="AC824" s="13"/>
      <c r="AD824" s="13"/>
      <c r="AE824" s="13"/>
      <c r="AF824" s="13"/>
      <c r="AG824" s="16">
        <f>IFERROR(SUMIF(reading[[#This Row],[1st]:[7th]],"&gt;0")/COUNTIF(reading[[#This Row],[1st]:[7th]],"&gt;0"),"")</f>
        <v>3</v>
      </c>
    </row>
    <row r="825" spans="1:33" hidden="1" x14ac:dyDescent="0.2">
      <c r="A825" s="4">
        <f>IF(B825=1,3,IF(D825=1,2,IF(F825=1,1,0)))</f>
        <v>0</v>
      </c>
      <c r="B825" s="4" t="str">
        <f>IF(C825=$L825,1,IF(C825="","",0))</f>
        <v/>
      </c>
      <c r="C825" s="42"/>
      <c r="D825" s="4" t="str">
        <f>IF(E825=$L825,1,IF(E825="","",0))</f>
        <v/>
      </c>
      <c r="E825" s="14"/>
      <c r="F825" s="4" t="str">
        <f>IF(G825=$L825,1,IF(G825="","",0))</f>
        <v/>
      </c>
      <c r="G825" s="14"/>
      <c r="H825" s="6">
        <v>450</v>
      </c>
      <c r="I825" s="15" t="s">
        <v>3120</v>
      </c>
      <c r="J825" s="6" t="s">
        <v>3596</v>
      </c>
      <c r="K825" s="6"/>
      <c r="L825" s="6" t="s">
        <v>579</v>
      </c>
      <c r="M825" s="6" t="s">
        <v>6559</v>
      </c>
      <c r="N825" s="7">
        <f ca="1">RAND()</f>
        <v>0.41449064630337407</v>
      </c>
      <c r="O825" s="8">
        <v>45202</v>
      </c>
      <c r="P825" s="8">
        <v>45203</v>
      </c>
      <c r="Q825" s="8">
        <v>45205</v>
      </c>
      <c r="R825" s="8">
        <v>45209</v>
      </c>
      <c r="S825" s="8">
        <v>45216</v>
      </c>
      <c r="T825" s="8">
        <v>45228</v>
      </c>
      <c r="U825" s="8">
        <v>45792</v>
      </c>
      <c r="V825" s="10">
        <f>COUNTA(O825:U825)</f>
        <v>7</v>
      </c>
      <c r="W825" s="11">
        <f>_xlfn.IFNA(INDEX(reading[[#This Row],[Memo 01]:[Memo 07]],MATCH(0,reading[[#This Row],[Memo 01]:[Memo 07]],-1)),"")</f>
        <v>45792</v>
      </c>
      <c r="X825" s="11">
        <f ca="1">IFERROR(reading[[#This Row],[Previous]]+OFFSET(reading[[#Headers],[Memo 01]],-1,MATCH(0,reading[[#This Row],[Memo 01]:[Memo 07]],-1)-1),"")</f>
        <v>55792</v>
      </c>
      <c r="Y825" s="10" t="str">
        <f ca="1">IF(reading[[#This Row],[Next]]&lt;&gt;"",IF(reading[[#This Row],[Next]]&gt;TODAY(),"OK",""),"")</f>
        <v>OK</v>
      </c>
      <c r="Z825" s="13">
        <v>3</v>
      </c>
      <c r="AA825" s="13">
        <v>3</v>
      </c>
      <c r="AB825" s="13">
        <v>3</v>
      </c>
      <c r="AC825" s="13">
        <v>3</v>
      </c>
      <c r="AD825" s="13">
        <v>3</v>
      </c>
      <c r="AE825" s="13">
        <v>3</v>
      </c>
      <c r="AF825" s="13">
        <v>3</v>
      </c>
      <c r="AG825" s="16">
        <f>IFERROR(SUMIF(reading[[#This Row],[1st]:[7th]],"&gt;0")/COUNTIF(reading[[#This Row],[1st]:[7th]],"&gt;0"),"")</f>
        <v>3</v>
      </c>
    </row>
    <row r="826" spans="1:33" hidden="1" x14ac:dyDescent="0.2">
      <c r="A826" s="4">
        <f>IF(B826=1,3,IF(D826=1,2,IF(F826=1,1,0)))</f>
        <v>0</v>
      </c>
      <c r="B826" s="4" t="str">
        <f>IF(C826=$L826,1,IF(C826="","",0))</f>
        <v/>
      </c>
      <c r="C826" s="42"/>
      <c r="D826" s="4" t="str">
        <f>IF(E826=$L826,1,IF(E826="","",0))</f>
        <v/>
      </c>
      <c r="E826" s="23"/>
      <c r="F826" s="4" t="str">
        <f>IF(G826=$L826,1,IF(G826="","",0))</f>
        <v/>
      </c>
      <c r="G826" s="14"/>
      <c r="H826" s="6">
        <v>2147</v>
      </c>
      <c r="I826" s="15" t="s">
        <v>3120</v>
      </c>
      <c r="J826" s="6" t="s">
        <v>5235</v>
      </c>
      <c r="K826" s="24" t="s">
        <v>3137</v>
      </c>
      <c r="L826" s="6" t="s">
        <v>2214</v>
      </c>
      <c r="M826" s="6" t="s">
        <v>8253</v>
      </c>
      <c r="N826" s="7">
        <f ca="1">RAND()</f>
        <v>0.63147489433552628</v>
      </c>
      <c r="O826" s="8">
        <v>45214</v>
      </c>
      <c r="P826" s="8">
        <v>45215</v>
      </c>
      <c r="Q826" s="8">
        <v>45217</v>
      </c>
      <c r="R826" s="8">
        <v>45221</v>
      </c>
      <c r="S826" s="8">
        <v>45228</v>
      </c>
      <c r="T826" s="8">
        <v>45820</v>
      </c>
      <c r="U826" s="8"/>
      <c r="V826" s="10">
        <f>COUNTA(O826:U826)</f>
        <v>6</v>
      </c>
      <c r="W826" s="11">
        <f>_xlfn.IFNA(INDEX(reading[[#This Row],[Memo 01]:[Memo 07]],MATCH(0,reading[[#This Row],[Memo 01]:[Memo 07]],-1)),"")</f>
        <v>45820</v>
      </c>
      <c r="X826" s="11">
        <f ca="1">IFERROR(reading[[#This Row],[Previous]]+OFFSET(reading[[#Headers],[Memo 01]],-1,MATCH(0,reading[[#This Row],[Memo 01]:[Memo 07]],-1)-1),"")</f>
        <v>45840</v>
      </c>
      <c r="Y826" s="10" t="str">
        <f ca="1">IF(reading[[#This Row],[Next]]&lt;&gt;"",IF(reading[[#This Row],[Next]]&gt;TODAY(),"OK",""),"")</f>
        <v>OK</v>
      </c>
      <c r="Z826" s="13">
        <v>3</v>
      </c>
      <c r="AA826" s="13">
        <v>3</v>
      </c>
      <c r="AB826" s="13">
        <v>3</v>
      </c>
      <c r="AC826" s="13">
        <v>3</v>
      </c>
      <c r="AD826" s="13">
        <v>3</v>
      </c>
      <c r="AE826" s="13">
        <v>2</v>
      </c>
      <c r="AF826" s="13"/>
      <c r="AG826" s="16">
        <f>IFERROR(SUMIF(reading[[#This Row],[1st]:[7th]],"&gt;0")/COUNTIF(reading[[#This Row],[1st]:[7th]],"&gt;0"),"")</f>
        <v>2.8333333333333335</v>
      </c>
    </row>
    <row r="827" spans="1:33" hidden="1" x14ac:dyDescent="0.2">
      <c r="A827" s="4">
        <f>IF(B827=1,3,IF(D827=1,2,IF(F827=1,1,0)))</f>
        <v>3</v>
      </c>
      <c r="B827" s="4">
        <f>IF(C827=$L827,1,IF(C827="","",0))</f>
        <v>1</v>
      </c>
      <c r="C827" s="21" t="s">
        <v>946</v>
      </c>
      <c r="D827" s="4" t="str">
        <f>IF(E827=$L827,1,IF(E827="","",0))</f>
        <v/>
      </c>
      <c r="E827" s="14"/>
      <c r="F827" s="4" t="str">
        <f>IF(G827=$L827,1,IF(G827="","",0))</f>
        <v/>
      </c>
      <c r="G827" s="14"/>
      <c r="H827" s="6">
        <v>830</v>
      </c>
      <c r="I827" s="15" t="s">
        <v>3120</v>
      </c>
      <c r="J827" s="6" t="s">
        <v>3963</v>
      </c>
      <c r="K827" s="6"/>
      <c r="L827" s="6" t="s">
        <v>946</v>
      </c>
      <c r="M827" s="6" t="s">
        <v>6939</v>
      </c>
      <c r="N827" s="7">
        <f ca="1">RAND()</f>
        <v>0.11034049850229599</v>
      </c>
      <c r="O827" s="8">
        <v>45203</v>
      </c>
      <c r="P827" s="8">
        <v>45203</v>
      </c>
      <c r="Q827" s="8">
        <v>45203</v>
      </c>
      <c r="R827" s="8">
        <v>45203</v>
      </c>
      <c r="S827" s="8">
        <v>45203</v>
      </c>
      <c r="T827" s="8">
        <v>45203</v>
      </c>
      <c r="U827" s="8">
        <v>45203</v>
      </c>
      <c r="V827" s="10">
        <f>COUNTA(O827:U827)</f>
        <v>7</v>
      </c>
      <c r="W827" s="11">
        <f>_xlfn.IFNA(INDEX(reading[[#This Row],[Memo 01]:[Memo 07]],MATCH(0,reading[[#This Row],[Memo 01]:[Memo 07]],-1)),"")</f>
        <v>45203</v>
      </c>
      <c r="X827" s="11">
        <f ca="1">IFERROR(reading[[#This Row],[Previous]]+OFFSET(reading[[#Headers],[Memo 01]],-1,MATCH(0,reading[[#This Row],[Memo 01]:[Memo 07]],-1)-1),"")</f>
        <v>55203</v>
      </c>
      <c r="Y827" s="10" t="str">
        <f ca="1">IF(reading[[#This Row],[Next]]&lt;&gt;"",IF(reading[[#This Row],[Next]]&gt;TODAY(),"OK",""),"")</f>
        <v>OK</v>
      </c>
      <c r="Z827" s="13">
        <v>3</v>
      </c>
      <c r="AA827" s="13"/>
      <c r="AB827" s="13"/>
      <c r="AC827" s="13"/>
      <c r="AD827" s="13"/>
      <c r="AE827" s="13"/>
      <c r="AF827" s="13"/>
      <c r="AG827" s="16">
        <f>IFERROR(SUMIF(reading[[#This Row],[1st]:[7th]],"&gt;0")/COUNTIF(reading[[#This Row],[1st]:[7th]],"&gt;0"),"")</f>
        <v>3</v>
      </c>
    </row>
    <row r="828" spans="1:33" hidden="1" x14ac:dyDescent="0.2">
      <c r="A828" s="4">
        <f>IF(B828=1,3,IF(D828=1,2,IF(F828=1,1,0)))</f>
        <v>0</v>
      </c>
      <c r="B828" s="4" t="str">
        <f>IF(C828=$L828,1,IF(C828="","",0))</f>
        <v/>
      </c>
      <c r="C828" s="42"/>
      <c r="D828" s="4" t="str">
        <f>IF(E828=$L828,1,IF(E828="","",0))</f>
        <v/>
      </c>
      <c r="E828" s="14"/>
      <c r="F828" s="4" t="str">
        <f>IF(G828=$L828,1,IF(G828="","",0))</f>
        <v/>
      </c>
      <c r="G828" s="14"/>
      <c r="H828" s="6">
        <v>1021</v>
      </c>
      <c r="I828" s="15" t="s">
        <v>3120</v>
      </c>
      <c r="J828" s="6" t="s">
        <v>4149</v>
      </c>
      <c r="K828" s="6"/>
      <c r="L828" s="6" t="s">
        <v>1131</v>
      </c>
      <c r="M828" s="6" t="s">
        <v>7129</v>
      </c>
      <c r="N828" s="7">
        <f ca="1">RAND()</f>
        <v>0.60558486121061428</v>
      </c>
      <c r="O828" s="8">
        <v>45205</v>
      </c>
      <c r="P828" s="8">
        <v>45206</v>
      </c>
      <c r="Q828" s="8">
        <v>45208</v>
      </c>
      <c r="R828" s="8">
        <v>45212</v>
      </c>
      <c r="S828" s="8">
        <v>45219</v>
      </c>
      <c r="T828" s="8">
        <v>45231</v>
      </c>
      <c r="U828" s="8">
        <v>45792</v>
      </c>
      <c r="V828" s="10">
        <f>COUNTA(O828:U828)</f>
        <v>7</v>
      </c>
      <c r="W828" s="11">
        <f>_xlfn.IFNA(INDEX(reading[[#This Row],[Memo 01]:[Memo 07]],MATCH(0,reading[[#This Row],[Memo 01]:[Memo 07]],-1)),"")</f>
        <v>45792</v>
      </c>
      <c r="X828" s="11">
        <f ca="1">IFERROR(reading[[#This Row],[Previous]]+OFFSET(reading[[#Headers],[Memo 01]],-1,MATCH(0,reading[[#This Row],[Memo 01]:[Memo 07]],-1)-1),"")</f>
        <v>55792</v>
      </c>
      <c r="Y828" s="10" t="str">
        <f ca="1">IF(reading[[#This Row],[Next]]&lt;&gt;"",IF(reading[[#This Row],[Next]]&gt;TODAY(),"OK",""),"")</f>
        <v>OK</v>
      </c>
      <c r="Z828" s="13">
        <v>3</v>
      </c>
      <c r="AA828" s="13">
        <v>3</v>
      </c>
      <c r="AB828" s="13">
        <v>3</v>
      </c>
      <c r="AC828" s="13">
        <v>3</v>
      </c>
      <c r="AD828" s="13">
        <v>3</v>
      </c>
      <c r="AE828" s="13">
        <v>3</v>
      </c>
      <c r="AF828" s="13">
        <v>3</v>
      </c>
      <c r="AG828" s="16">
        <f>IFERROR(SUMIF(reading[[#This Row],[1st]:[7th]],"&gt;0")/COUNTIF(reading[[#This Row],[1st]:[7th]],"&gt;0"),"")</f>
        <v>3</v>
      </c>
    </row>
    <row r="829" spans="1:33" hidden="1" x14ac:dyDescent="0.2">
      <c r="A829" s="4">
        <f>IF(B829=1,3,IF(D829=1,2,IF(F829=1,1,0)))</f>
        <v>3</v>
      </c>
      <c r="B829" s="4">
        <f>IF(C829=$L829,1,IF(C829="","",0))</f>
        <v>1</v>
      </c>
      <c r="C829" s="21" t="s">
        <v>948</v>
      </c>
      <c r="D829" s="4" t="str">
        <f>IF(E829=$L829,1,IF(E829="","",0))</f>
        <v/>
      </c>
      <c r="E829" s="14"/>
      <c r="F829" s="4" t="str">
        <f>IF(G829=$L829,1,IF(G829="","",0))</f>
        <v/>
      </c>
      <c r="G829" s="14"/>
      <c r="H829" s="6">
        <v>832</v>
      </c>
      <c r="I829" s="15" t="s">
        <v>3120</v>
      </c>
      <c r="J829" s="6" t="s">
        <v>3965</v>
      </c>
      <c r="K829" s="6"/>
      <c r="L829" s="6" t="s">
        <v>948</v>
      </c>
      <c r="M829" s="6" t="s">
        <v>6941</v>
      </c>
      <c r="N829" s="7">
        <f ca="1">RAND()</f>
        <v>0.52559765254809143</v>
      </c>
      <c r="O829" s="8">
        <v>45203</v>
      </c>
      <c r="P829" s="8">
        <v>45203</v>
      </c>
      <c r="Q829" s="8">
        <v>45203</v>
      </c>
      <c r="R829" s="8">
        <v>45203</v>
      </c>
      <c r="S829" s="8">
        <v>45203</v>
      </c>
      <c r="T829" s="8">
        <v>45203</v>
      </c>
      <c r="U829" s="8">
        <v>45203</v>
      </c>
      <c r="V829" s="10">
        <f>COUNTA(O829:U829)</f>
        <v>7</v>
      </c>
      <c r="W829" s="11">
        <f>_xlfn.IFNA(INDEX(reading[[#This Row],[Memo 01]:[Memo 07]],MATCH(0,reading[[#This Row],[Memo 01]:[Memo 07]],-1)),"")</f>
        <v>45203</v>
      </c>
      <c r="X829" s="11">
        <f ca="1">IFERROR(reading[[#This Row],[Previous]]+OFFSET(reading[[#Headers],[Memo 01]],-1,MATCH(0,reading[[#This Row],[Memo 01]:[Memo 07]],-1)-1),"")</f>
        <v>55203</v>
      </c>
      <c r="Y829" s="10" t="str">
        <f ca="1">IF(reading[[#This Row],[Next]]&lt;&gt;"",IF(reading[[#This Row],[Next]]&gt;TODAY(),"OK",""),"")</f>
        <v>OK</v>
      </c>
      <c r="Z829" s="13">
        <v>3</v>
      </c>
      <c r="AA829" s="13"/>
      <c r="AB829" s="13"/>
      <c r="AC829" s="13"/>
      <c r="AD829" s="13"/>
      <c r="AE829" s="13"/>
      <c r="AF829" s="13"/>
      <c r="AG829" s="16">
        <f>IFERROR(SUMIF(reading[[#This Row],[1st]:[7th]],"&gt;0")/COUNTIF(reading[[#This Row],[1st]:[7th]],"&gt;0"),"")</f>
        <v>3</v>
      </c>
    </row>
    <row r="830" spans="1:33" hidden="1" x14ac:dyDescent="0.2">
      <c r="A830" s="4">
        <f>IF(B830=1,3,IF(D830=1,2,IF(F830=1,1,0)))</f>
        <v>0</v>
      </c>
      <c r="B830" s="4" t="str">
        <f>IF(C830=$L830,1,IF(C830="","",0))</f>
        <v/>
      </c>
      <c r="C830" s="42"/>
      <c r="D830" s="4" t="str">
        <f>IF(E830=$L830,1,IF(E830="","",0))</f>
        <v/>
      </c>
      <c r="E830" s="18"/>
      <c r="F830" s="4" t="str">
        <f>IF(G830=$L830,1,IF(G830="","",0))</f>
        <v/>
      </c>
      <c r="G830" s="14"/>
      <c r="H830" s="6">
        <v>909</v>
      </c>
      <c r="I830" s="15" t="s">
        <v>3120</v>
      </c>
      <c r="J830" s="6" t="s">
        <v>4041</v>
      </c>
      <c r="K830" s="6" t="s">
        <v>3138</v>
      </c>
      <c r="L830" s="6" t="s">
        <v>1021</v>
      </c>
      <c r="M830" s="6" t="s">
        <v>7018</v>
      </c>
      <c r="N830" s="7">
        <f ca="1">RAND()</f>
        <v>0.1725374586480708</v>
      </c>
      <c r="O830" s="8">
        <v>45204</v>
      </c>
      <c r="P830" s="8">
        <v>45205</v>
      </c>
      <c r="Q830" s="8">
        <v>45207</v>
      </c>
      <c r="R830" s="8">
        <v>45211</v>
      </c>
      <c r="S830" s="8">
        <v>45218</v>
      </c>
      <c r="T830" s="8">
        <v>45230</v>
      </c>
      <c r="U830" s="8">
        <v>45792</v>
      </c>
      <c r="V830" s="10">
        <f>COUNTA(O830:U830)</f>
        <v>7</v>
      </c>
      <c r="W830" s="11">
        <f>_xlfn.IFNA(INDEX(reading[[#This Row],[Memo 01]:[Memo 07]],MATCH(0,reading[[#This Row],[Memo 01]:[Memo 07]],-1)),"")</f>
        <v>45792</v>
      </c>
      <c r="X830" s="11">
        <f ca="1">IFERROR(reading[[#This Row],[Previous]]+OFFSET(reading[[#Headers],[Memo 01]],-1,MATCH(0,reading[[#This Row],[Memo 01]:[Memo 07]],-1)-1),"")</f>
        <v>55792</v>
      </c>
      <c r="Y830" s="10" t="str">
        <f ca="1">IF(reading[[#This Row],[Next]]&lt;&gt;"",IF(reading[[#This Row],[Next]]&gt;TODAY(),"OK",""),"")</f>
        <v>OK</v>
      </c>
      <c r="Z830" s="13">
        <v>3</v>
      </c>
      <c r="AA830" s="13">
        <v>2</v>
      </c>
      <c r="AB830" s="13">
        <v>3</v>
      </c>
      <c r="AC830" s="13">
        <v>3</v>
      </c>
      <c r="AD830" s="13">
        <v>2</v>
      </c>
      <c r="AE830" s="13">
        <v>3</v>
      </c>
      <c r="AF830" s="13">
        <v>3</v>
      </c>
      <c r="AG830" s="16">
        <f>IFERROR(SUMIF(reading[[#This Row],[1st]:[7th]],"&gt;0")/COUNTIF(reading[[#This Row],[1st]:[7th]],"&gt;0"),"")</f>
        <v>2.7142857142857144</v>
      </c>
    </row>
    <row r="831" spans="1:33" hidden="1" x14ac:dyDescent="0.2">
      <c r="A831" s="4">
        <f>IF(B831=1,3,IF(D831=1,2,IF(F831=1,1,0)))</f>
        <v>3</v>
      </c>
      <c r="B831" s="4">
        <f>IF(C831=$L831,1,IF(C831="","",0))</f>
        <v>1</v>
      </c>
      <c r="C831" s="21" t="s">
        <v>950</v>
      </c>
      <c r="D831" s="4" t="str">
        <f>IF(E831=$L831,1,IF(E831="","",0))</f>
        <v/>
      </c>
      <c r="E831" s="14"/>
      <c r="F831" s="4" t="str">
        <f>IF(G831=$L831,1,IF(G831="","",0))</f>
        <v/>
      </c>
      <c r="G831" s="14"/>
      <c r="H831" s="6">
        <v>834</v>
      </c>
      <c r="I831" s="15" t="s">
        <v>3120</v>
      </c>
      <c r="J831" s="6" t="s">
        <v>3967</v>
      </c>
      <c r="K831" s="6"/>
      <c r="L831" s="6" t="s">
        <v>950</v>
      </c>
      <c r="M831" s="6" t="s">
        <v>6943</v>
      </c>
      <c r="N831" s="7">
        <f ca="1">RAND()</f>
        <v>0.4092117190065252</v>
      </c>
      <c r="O831" s="8">
        <v>45203</v>
      </c>
      <c r="P831" s="8">
        <v>45203</v>
      </c>
      <c r="Q831" s="8">
        <v>45203</v>
      </c>
      <c r="R831" s="8">
        <v>45203</v>
      </c>
      <c r="S831" s="8">
        <v>45203</v>
      </c>
      <c r="T831" s="8">
        <v>45203</v>
      </c>
      <c r="U831" s="8">
        <v>45203</v>
      </c>
      <c r="V831" s="10">
        <f>COUNTA(O831:U831)</f>
        <v>7</v>
      </c>
      <c r="W831" s="11">
        <f>_xlfn.IFNA(INDEX(reading[[#This Row],[Memo 01]:[Memo 07]],MATCH(0,reading[[#This Row],[Memo 01]:[Memo 07]],-1)),"")</f>
        <v>45203</v>
      </c>
      <c r="X831" s="11">
        <f ca="1">IFERROR(reading[[#This Row],[Previous]]+OFFSET(reading[[#Headers],[Memo 01]],-1,MATCH(0,reading[[#This Row],[Memo 01]:[Memo 07]],-1)-1),"")</f>
        <v>55203</v>
      </c>
      <c r="Y831" s="10" t="str">
        <f ca="1">IF(reading[[#This Row],[Next]]&lt;&gt;"",IF(reading[[#This Row],[Next]]&gt;TODAY(),"OK",""),"")</f>
        <v>OK</v>
      </c>
      <c r="Z831" s="13">
        <v>3</v>
      </c>
      <c r="AA831" s="13"/>
      <c r="AB831" s="13"/>
      <c r="AC831" s="13"/>
      <c r="AD831" s="13"/>
      <c r="AE831" s="13"/>
      <c r="AF831" s="13"/>
      <c r="AG831" s="16">
        <f>IFERROR(SUMIF(reading[[#This Row],[1st]:[7th]],"&gt;0")/COUNTIF(reading[[#This Row],[1st]:[7th]],"&gt;0"),"")</f>
        <v>3</v>
      </c>
    </row>
    <row r="832" spans="1:33" hidden="1" x14ac:dyDescent="0.2">
      <c r="A832" s="4">
        <f>IF(B832=1,3,IF(D832=1,2,IF(F832=1,1,0)))</f>
        <v>0</v>
      </c>
      <c r="B832" s="4" t="str">
        <f>IF(C832=$L832,1,IF(C832="","",0))</f>
        <v/>
      </c>
      <c r="C832" s="42"/>
      <c r="D832" s="4" t="str">
        <f>IF(E832=$L832,1,IF(E832="","",0))</f>
        <v/>
      </c>
      <c r="E832" s="43"/>
      <c r="F832" s="4" t="str">
        <f>IF(G832=$L832,1,IF(G832="","",0))</f>
        <v/>
      </c>
      <c r="G832" s="14"/>
      <c r="H832" s="6">
        <v>1656</v>
      </c>
      <c r="I832" s="15" t="s">
        <v>3120</v>
      </c>
      <c r="J832" s="6" t="s">
        <v>4767</v>
      </c>
      <c r="K832" s="6"/>
      <c r="L832" s="6" t="s">
        <v>1737</v>
      </c>
      <c r="M832" s="6" t="s">
        <v>7762</v>
      </c>
      <c r="N832" s="7">
        <f ca="1">RAND()</f>
        <v>0.70844789096189498</v>
      </c>
      <c r="O832" s="8">
        <v>45210</v>
      </c>
      <c r="P832" s="8">
        <v>45211</v>
      </c>
      <c r="Q832" s="8">
        <v>45213</v>
      </c>
      <c r="R832" s="8">
        <v>45217</v>
      </c>
      <c r="S832" s="8">
        <v>45224</v>
      </c>
      <c r="T832" s="8">
        <v>45236</v>
      </c>
      <c r="U832" s="8">
        <v>45820</v>
      </c>
      <c r="V832" s="10">
        <f>COUNTA(O832:U832)</f>
        <v>7</v>
      </c>
      <c r="W832" s="11">
        <f>_xlfn.IFNA(INDEX(reading[[#This Row],[Memo 01]:[Memo 07]],MATCH(0,reading[[#This Row],[Memo 01]:[Memo 07]],-1)),"")</f>
        <v>45820</v>
      </c>
      <c r="X832" s="11">
        <f ca="1">IFERROR(reading[[#This Row],[Previous]]+OFFSET(reading[[#Headers],[Memo 01]],-1,MATCH(0,reading[[#This Row],[Memo 01]:[Memo 07]],-1)-1),"")</f>
        <v>55820</v>
      </c>
      <c r="Y832" s="10" t="str">
        <f ca="1">IF(reading[[#This Row],[Next]]&lt;&gt;"",IF(reading[[#This Row],[Next]]&gt;TODAY(),"OK",""),"")</f>
        <v>OK</v>
      </c>
      <c r="Z832" s="13">
        <v>3</v>
      </c>
      <c r="AA832" s="13">
        <v>3</v>
      </c>
      <c r="AB832" s="13">
        <v>3</v>
      </c>
      <c r="AC832" s="13">
        <v>3</v>
      </c>
      <c r="AD832" s="13">
        <v>2</v>
      </c>
      <c r="AE832" s="13">
        <v>3</v>
      </c>
      <c r="AF832" s="13">
        <v>2</v>
      </c>
      <c r="AG832" s="16">
        <f>IFERROR(SUMIF(reading[[#This Row],[1st]:[7th]],"&gt;0")/COUNTIF(reading[[#This Row],[1st]:[7th]],"&gt;0"),"")</f>
        <v>2.7142857142857144</v>
      </c>
    </row>
    <row r="833" spans="1:33" hidden="1" x14ac:dyDescent="0.2">
      <c r="A833" s="4">
        <f>IF(B833=1,3,IF(D833=1,2,IF(F833=1,1,0)))</f>
        <v>0</v>
      </c>
      <c r="B833" s="4" t="str">
        <f>IF(C833=$L833,1,IF(C833="","",0))</f>
        <v/>
      </c>
      <c r="C833" s="42"/>
      <c r="D833" s="4" t="str">
        <f>IF(E833=$L833,1,IF(E833="","",0))</f>
        <v/>
      </c>
      <c r="E833" s="23"/>
      <c r="F833" s="4" t="str">
        <f>IF(G833=$L833,1,IF(G833="","",0))</f>
        <v/>
      </c>
      <c r="G833" s="23"/>
      <c r="H833" s="6">
        <v>1471</v>
      </c>
      <c r="I833" s="15" t="s">
        <v>3120</v>
      </c>
      <c r="J833" s="6" t="s">
        <v>4585</v>
      </c>
      <c r="K833" s="6"/>
      <c r="L833" s="6" t="s">
        <v>1558</v>
      </c>
      <c r="M833" s="6" t="s">
        <v>7578</v>
      </c>
      <c r="N833" s="7">
        <f ca="1">RAND()</f>
        <v>3.7142897373111383E-2</v>
      </c>
      <c r="O833" s="8">
        <v>45208</v>
      </c>
      <c r="P833" s="8">
        <v>45209</v>
      </c>
      <c r="Q833" s="8">
        <v>45211</v>
      </c>
      <c r="R833" s="8">
        <v>45215</v>
      </c>
      <c r="S833" s="8">
        <v>45222</v>
      </c>
      <c r="T833" s="8">
        <v>45234</v>
      </c>
      <c r="U833" s="8">
        <v>45811</v>
      </c>
      <c r="V833" s="10">
        <f>COUNTA(O833:U833)</f>
        <v>7</v>
      </c>
      <c r="W833" s="11">
        <f>_xlfn.IFNA(INDEX(reading[[#This Row],[Memo 01]:[Memo 07]],MATCH(0,reading[[#This Row],[Memo 01]:[Memo 07]],-1)),"")</f>
        <v>45811</v>
      </c>
      <c r="X833" s="11">
        <f ca="1">IFERROR(reading[[#This Row],[Previous]]+OFFSET(reading[[#Headers],[Memo 01]],-1,MATCH(0,reading[[#This Row],[Memo 01]:[Memo 07]],-1)-1),"")</f>
        <v>55811</v>
      </c>
      <c r="Y833" s="10" t="str">
        <f ca="1">IF(reading[[#This Row],[Next]]&lt;&gt;"",IF(reading[[#This Row],[Next]]&gt;TODAY(),"OK",""),"")</f>
        <v>OK</v>
      </c>
      <c r="Z833" s="13">
        <v>3</v>
      </c>
      <c r="AA833" s="13">
        <v>3</v>
      </c>
      <c r="AB833" s="13">
        <v>3</v>
      </c>
      <c r="AC833" s="13">
        <v>3</v>
      </c>
      <c r="AD833" s="13">
        <v>3</v>
      </c>
      <c r="AE833" s="13">
        <v>3</v>
      </c>
      <c r="AF833" s="13">
        <v>1</v>
      </c>
      <c r="AG833" s="16">
        <f>IFERROR(SUMIF(reading[[#This Row],[1st]:[7th]],"&gt;0")/COUNTIF(reading[[#This Row],[1st]:[7th]],"&gt;0"),"")</f>
        <v>2.7142857142857144</v>
      </c>
    </row>
    <row r="834" spans="1:33" hidden="1" x14ac:dyDescent="0.2">
      <c r="A834" s="4">
        <f>IF(B834=1,3,IF(D834=1,2,IF(F834=1,1,0)))</f>
        <v>0</v>
      </c>
      <c r="B834" s="4" t="str">
        <f>IF(C834=$L834,1,IF(C834="","",0))</f>
        <v/>
      </c>
      <c r="C834" s="42"/>
      <c r="D834" s="4" t="str">
        <f>IF(E834=$L834,1,IF(E834="","",0))</f>
        <v/>
      </c>
      <c r="E834" s="23"/>
      <c r="F834" s="4" t="str">
        <f>IF(G834=$L834,1,IF(G834="","",0))</f>
        <v/>
      </c>
      <c r="G834" s="23"/>
      <c r="H834" s="6">
        <v>963</v>
      </c>
      <c r="I834" s="15" t="s">
        <v>3120</v>
      </c>
      <c r="J834" s="6" t="s">
        <v>4092</v>
      </c>
      <c r="K834" s="6"/>
      <c r="L834" s="6" t="s">
        <v>1073</v>
      </c>
      <c r="M834" s="6" t="s">
        <v>7071</v>
      </c>
      <c r="N834" s="7">
        <f ca="1">RAND()</f>
        <v>0.21188840575225665</v>
      </c>
      <c r="O834" s="8">
        <v>45204</v>
      </c>
      <c r="P834" s="8">
        <v>45205</v>
      </c>
      <c r="Q834" s="8">
        <v>45207</v>
      </c>
      <c r="R834" s="8">
        <v>45212</v>
      </c>
      <c r="S834" s="8">
        <v>45219</v>
      </c>
      <c r="T834" s="8">
        <v>45231</v>
      </c>
      <c r="U834" s="8">
        <v>45811</v>
      </c>
      <c r="V834" s="10">
        <f>COUNTA(O834:U834)</f>
        <v>7</v>
      </c>
      <c r="W834" s="11">
        <f>_xlfn.IFNA(INDEX(reading[[#This Row],[Memo 01]:[Memo 07]],MATCH(0,reading[[#This Row],[Memo 01]:[Memo 07]],-1)),"")</f>
        <v>45811</v>
      </c>
      <c r="X834" s="11">
        <f ca="1">IFERROR(reading[[#This Row],[Previous]]+OFFSET(reading[[#Headers],[Memo 01]],-1,MATCH(0,reading[[#This Row],[Memo 01]:[Memo 07]],-1)-1),"")</f>
        <v>55811</v>
      </c>
      <c r="Y834" s="10" t="str">
        <f ca="1">IF(reading[[#This Row],[Next]]&lt;&gt;"",IF(reading[[#This Row],[Next]]&gt;TODAY(),"OK",""),"")</f>
        <v>OK</v>
      </c>
      <c r="Z834" s="13">
        <v>3</v>
      </c>
      <c r="AA834" s="13">
        <v>3</v>
      </c>
      <c r="AB834" s="13">
        <v>3</v>
      </c>
      <c r="AC834" s="13">
        <v>2</v>
      </c>
      <c r="AD834" s="13">
        <v>3</v>
      </c>
      <c r="AE834" s="13">
        <v>3</v>
      </c>
      <c r="AF834" s="13">
        <v>1</v>
      </c>
      <c r="AG834" s="16">
        <f>IFERROR(SUMIF(reading[[#This Row],[1st]:[7th]],"&gt;0")/COUNTIF(reading[[#This Row],[1st]:[7th]],"&gt;0"),"")</f>
        <v>2.5714285714285716</v>
      </c>
    </row>
    <row r="835" spans="1:33" hidden="1" x14ac:dyDescent="0.2">
      <c r="A835" s="4">
        <f>IF(B835=1,3,IF(D835=1,2,IF(F835=1,1,0)))</f>
        <v>0</v>
      </c>
      <c r="B835" s="4" t="str">
        <f>IF(C835=$L835,1,IF(C835="","",0))</f>
        <v/>
      </c>
      <c r="C835" s="42"/>
      <c r="D835" s="4" t="str">
        <f>IF(E835=$L835,1,IF(E835="","",0))</f>
        <v/>
      </c>
      <c r="E835" s="14"/>
      <c r="F835" s="4" t="str">
        <f>IF(G835=$L835,1,IF(G835="","",0))</f>
        <v/>
      </c>
      <c r="G835" s="14"/>
      <c r="H835" s="6">
        <v>1364</v>
      </c>
      <c r="I835" s="15" t="s">
        <v>3120</v>
      </c>
      <c r="J835" s="6" t="s">
        <v>4478</v>
      </c>
      <c r="K835" s="6"/>
      <c r="L835" s="6" t="s">
        <v>1458</v>
      </c>
      <c r="M835" s="6" t="s">
        <v>7471</v>
      </c>
      <c r="N835" s="7">
        <f ca="1">RAND()</f>
        <v>0.23867823340788663</v>
      </c>
      <c r="O835" s="8">
        <v>45207</v>
      </c>
      <c r="P835" s="8">
        <v>45208</v>
      </c>
      <c r="Q835" s="8">
        <v>45210</v>
      </c>
      <c r="R835" s="8">
        <v>45214</v>
      </c>
      <c r="S835" s="8">
        <v>45221</v>
      </c>
      <c r="T835" s="8">
        <v>45233</v>
      </c>
      <c r="U835" s="8">
        <v>45792</v>
      </c>
      <c r="V835" s="10">
        <f>COUNTA(O835:U835)</f>
        <v>7</v>
      </c>
      <c r="W835" s="11">
        <f>_xlfn.IFNA(INDEX(reading[[#This Row],[Memo 01]:[Memo 07]],MATCH(0,reading[[#This Row],[Memo 01]:[Memo 07]],-1)),"")</f>
        <v>45792</v>
      </c>
      <c r="X835" s="11">
        <f ca="1">IFERROR(reading[[#This Row],[Previous]]+OFFSET(reading[[#Headers],[Memo 01]],-1,MATCH(0,reading[[#This Row],[Memo 01]:[Memo 07]],-1)-1),"")</f>
        <v>55792</v>
      </c>
      <c r="Y835" s="10" t="str">
        <f ca="1">IF(reading[[#This Row],[Next]]&lt;&gt;"",IF(reading[[#This Row],[Next]]&gt;TODAY(),"OK",""),"")</f>
        <v>OK</v>
      </c>
      <c r="Z835" s="13">
        <v>3</v>
      </c>
      <c r="AA835" s="13">
        <v>3</v>
      </c>
      <c r="AB835" s="13">
        <v>3</v>
      </c>
      <c r="AC835" s="13">
        <v>3</v>
      </c>
      <c r="AD835" s="13">
        <v>3</v>
      </c>
      <c r="AE835" s="13">
        <v>3</v>
      </c>
      <c r="AF835" s="13">
        <v>3</v>
      </c>
      <c r="AG835" s="16">
        <f>IFERROR(SUMIF(reading[[#This Row],[1st]:[7th]],"&gt;0")/COUNTIF(reading[[#This Row],[1st]:[7th]],"&gt;0"),"")</f>
        <v>3</v>
      </c>
    </row>
    <row r="836" spans="1:33" hidden="1" x14ac:dyDescent="0.2">
      <c r="A836" s="4">
        <f>IF(B836=1,3,IF(D836=1,2,IF(F836=1,1,0)))</f>
        <v>3</v>
      </c>
      <c r="B836" s="4">
        <f>IF(C836=$L836,1,IF(C836="","",0))</f>
        <v>1</v>
      </c>
      <c r="C836" s="21" t="s">
        <v>955</v>
      </c>
      <c r="D836" s="4" t="str">
        <f>IF(E836=$L836,1,IF(E836="","",0))</f>
        <v/>
      </c>
      <c r="E836" s="14"/>
      <c r="F836" s="4" t="str">
        <f>IF(G836=$L836,1,IF(G836="","",0))</f>
        <v/>
      </c>
      <c r="G836" s="14"/>
      <c r="H836" s="6">
        <v>839</v>
      </c>
      <c r="I836" s="15" t="s">
        <v>3120</v>
      </c>
      <c r="J836" s="6" t="s">
        <v>3972</v>
      </c>
      <c r="K836" s="6"/>
      <c r="L836" s="6" t="s">
        <v>955</v>
      </c>
      <c r="M836" s="6" t="s">
        <v>6948</v>
      </c>
      <c r="N836" s="7">
        <f ca="1">RAND()</f>
        <v>0.85324600570542586</v>
      </c>
      <c r="O836" s="8">
        <v>45203</v>
      </c>
      <c r="P836" s="8">
        <v>45203</v>
      </c>
      <c r="Q836" s="8">
        <v>45203</v>
      </c>
      <c r="R836" s="8">
        <v>45203</v>
      </c>
      <c r="S836" s="8">
        <v>45203</v>
      </c>
      <c r="T836" s="8">
        <v>45203</v>
      </c>
      <c r="U836" s="8">
        <v>45203</v>
      </c>
      <c r="V836" s="10">
        <f>COUNTA(O836:U836)</f>
        <v>7</v>
      </c>
      <c r="W836" s="11">
        <f>_xlfn.IFNA(INDEX(reading[[#This Row],[Memo 01]:[Memo 07]],MATCH(0,reading[[#This Row],[Memo 01]:[Memo 07]],-1)),"")</f>
        <v>45203</v>
      </c>
      <c r="X836" s="11">
        <f ca="1">IFERROR(reading[[#This Row],[Previous]]+OFFSET(reading[[#Headers],[Memo 01]],-1,MATCH(0,reading[[#This Row],[Memo 01]:[Memo 07]],-1)-1),"")</f>
        <v>55203</v>
      </c>
      <c r="Y836" s="10" t="str">
        <f ca="1">IF(reading[[#This Row],[Next]]&lt;&gt;"",IF(reading[[#This Row],[Next]]&gt;TODAY(),"OK",""),"")</f>
        <v>OK</v>
      </c>
      <c r="Z836" s="13">
        <v>3</v>
      </c>
      <c r="AA836" s="13"/>
      <c r="AB836" s="13"/>
      <c r="AC836" s="13"/>
      <c r="AD836" s="13"/>
      <c r="AE836" s="13"/>
      <c r="AF836" s="13"/>
      <c r="AG836" s="16">
        <f>IFERROR(SUMIF(reading[[#This Row],[1st]:[7th]],"&gt;0")/COUNTIF(reading[[#This Row],[1st]:[7th]],"&gt;0"),"")</f>
        <v>3</v>
      </c>
    </row>
    <row r="837" spans="1:33" hidden="1" x14ac:dyDescent="0.2">
      <c r="A837" s="4">
        <f>IF(B837=1,3,IF(D837=1,2,IF(F837=1,1,0)))</f>
        <v>0</v>
      </c>
      <c r="B837" s="4" t="str">
        <f>IF(C837=$L837,1,IF(C837="","",0))</f>
        <v/>
      </c>
      <c r="C837" s="42"/>
      <c r="D837" s="4" t="str">
        <f>IF(E837=$L837,1,IF(E837="","",0))</f>
        <v/>
      </c>
      <c r="E837" s="14"/>
      <c r="F837" s="4" t="str">
        <f>IF(G837=$L837,1,IF(G837="","",0))</f>
        <v/>
      </c>
      <c r="G837" s="14"/>
      <c r="H837" s="6">
        <v>1096</v>
      </c>
      <c r="I837" s="15" t="s">
        <v>3120</v>
      </c>
      <c r="J837" s="6" t="s">
        <v>4220</v>
      </c>
      <c r="K837" s="6"/>
      <c r="L837" s="6" t="s">
        <v>1202</v>
      </c>
      <c r="M837" s="6" t="s">
        <v>7204</v>
      </c>
      <c r="N837" s="7">
        <f ca="1">RAND()</f>
        <v>9.9886320140848528E-2</v>
      </c>
      <c r="O837" s="8">
        <v>45205</v>
      </c>
      <c r="P837" s="8">
        <v>45206</v>
      </c>
      <c r="Q837" s="8">
        <v>45208</v>
      </c>
      <c r="R837" s="8">
        <v>45212</v>
      </c>
      <c r="S837" s="8">
        <v>45219</v>
      </c>
      <c r="T837" s="8">
        <v>45231</v>
      </c>
      <c r="U837" s="8">
        <v>45801</v>
      </c>
      <c r="V837" s="10">
        <f>COUNTA(O837:U837)</f>
        <v>7</v>
      </c>
      <c r="W837" s="11">
        <f>_xlfn.IFNA(INDEX(reading[[#This Row],[Memo 01]:[Memo 07]],MATCH(0,reading[[#This Row],[Memo 01]:[Memo 07]],-1)),"")</f>
        <v>45801</v>
      </c>
      <c r="X837" s="11">
        <f ca="1">IFERROR(reading[[#This Row],[Previous]]+OFFSET(reading[[#Headers],[Memo 01]],-1,MATCH(0,reading[[#This Row],[Memo 01]:[Memo 07]],-1)-1),"")</f>
        <v>55801</v>
      </c>
      <c r="Y837" s="10" t="str">
        <f ca="1">IF(reading[[#This Row],[Next]]&lt;&gt;"",IF(reading[[#This Row],[Next]]&gt;TODAY(),"OK",""),"")</f>
        <v>OK</v>
      </c>
      <c r="Z837" s="13">
        <v>3</v>
      </c>
      <c r="AA837" s="13">
        <v>3</v>
      </c>
      <c r="AB837" s="13">
        <v>3</v>
      </c>
      <c r="AC837" s="13">
        <v>3</v>
      </c>
      <c r="AD837" s="13">
        <v>3</v>
      </c>
      <c r="AE837" s="13">
        <v>3</v>
      </c>
      <c r="AF837" s="13">
        <v>3</v>
      </c>
      <c r="AG837" s="16">
        <f>IFERROR(SUMIF(reading[[#This Row],[1st]:[7th]],"&gt;0")/COUNTIF(reading[[#This Row],[1st]:[7th]],"&gt;0"),"")</f>
        <v>3</v>
      </c>
    </row>
    <row r="838" spans="1:33" hidden="1" x14ac:dyDescent="0.2">
      <c r="A838" s="4">
        <f>IF(B838=1,3,IF(D838=1,2,IF(F838=1,1,0)))</f>
        <v>3</v>
      </c>
      <c r="B838" s="4">
        <f>IF(C838=$L838,1,IF(C838="","",0))</f>
        <v>1</v>
      </c>
      <c r="C838" s="21" t="s">
        <v>957</v>
      </c>
      <c r="D838" s="4" t="str">
        <f>IF(E838=$L838,1,IF(E838="","",0))</f>
        <v/>
      </c>
      <c r="E838" s="14"/>
      <c r="F838" s="4" t="str">
        <f>IF(G838=$L838,1,IF(G838="","",0))</f>
        <v/>
      </c>
      <c r="G838" s="14"/>
      <c r="H838" s="6">
        <v>841</v>
      </c>
      <c r="I838" s="15" t="s">
        <v>3120</v>
      </c>
      <c r="J838" s="6" t="s">
        <v>3974</v>
      </c>
      <c r="K838" s="6"/>
      <c r="L838" s="6" t="s">
        <v>957</v>
      </c>
      <c r="M838" s="6" t="s">
        <v>6950</v>
      </c>
      <c r="N838" s="7">
        <f ca="1">RAND()</f>
        <v>0.50243962215622551</v>
      </c>
      <c r="O838" s="8">
        <v>45203</v>
      </c>
      <c r="P838" s="8">
        <v>45203</v>
      </c>
      <c r="Q838" s="8">
        <v>45203</v>
      </c>
      <c r="R838" s="8">
        <v>45203</v>
      </c>
      <c r="S838" s="8">
        <v>45203</v>
      </c>
      <c r="T838" s="8">
        <v>45203</v>
      </c>
      <c r="U838" s="8">
        <v>45203</v>
      </c>
      <c r="V838" s="10">
        <f>COUNTA(O838:U838)</f>
        <v>7</v>
      </c>
      <c r="W838" s="11">
        <f>_xlfn.IFNA(INDEX(reading[[#This Row],[Memo 01]:[Memo 07]],MATCH(0,reading[[#This Row],[Memo 01]:[Memo 07]],-1)),"")</f>
        <v>45203</v>
      </c>
      <c r="X838" s="11">
        <f ca="1">IFERROR(reading[[#This Row],[Previous]]+OFFSET(reading[[#Headers],[Memo 01]],-1,MATCH(0,reading[[#This Row],[Memo 01]:[Memo 07]],-1)-1),"")</f>
        <v>55203</v>
      </c>
      <c r="Y838" s="10" t="str">
        <f ca="1">IF(reading[[#This Row],[Next]]&lt;&gt;"",IF(reading[[#This Row],[Next]]&gt;TODAY(),"OK",""),"")</f>
        <v>OK</v>
      </c>
      <c r="Z838" s="13">
        <v>3</v>
      </c>
      <c r="AA838" s="13"/>
      <c r="AB838" s="13"/>
      <c r="AC838" s="13"/>
      <c r="AD838" s="13"/>
      <c r="AE838" s="13"/>
      <c r="AF838" s="13"/>
      <c r="AG838" s="16">
        <f>IFERROR(SUMIF(reading[[#This Row],[1st]:[7th]],"&gt;0")/COUNTIF(reading[[#This Row],[1st]:[7th]],"&gt;0"),"")</f>
        <v>3</v>
      </c>
    </row>
    <row r="839" spans="1:33" hidden="1" x14ac:dyDescent="0.2">
      <c r="A839" s="4">
        <f>IF(B839=1,3,IF(D839=1,2,IF(F839=1,1,0)))</f>
        <v>0</v>
      </c>
      <c r="B839" s="4" t="str">
        <f>IF(C839=$L839,1,IF(C839="","",0))</f>
        <v/>
      </c>
      <c r="C839" s="42"/>
      <c r="D839" s="4" t="str">
        <f>IF(E839=$L839,1,IF(E839="","",0))</f>
        <v/>
      </c>
      <c r="E839" s="14"/>
      <c r="F839" s="4" t="str">
        <f>IF(G839=$L839,1,IF(G839="","",0))</f>
        <v/>
      </c>
      <c r="G839" s="14"/>
      <c r="H839" s="6">
        <v>499</v>
      </c>
      <c r="I839" s="15" t="s">
        <v>3120</v>
      </c>
      <c r="J839" s="6" t="s">
        <v>3645</v>
      </c>
      <c r="K839" s="6"/>
      <c r="L839" s="6" t="s">
        <v>627</v>
      </c>
      <c r="M839" s="6" t="s">
        <v>6608</v>
      </c>
      <c r="N839" s="7">
        <f ca="1">RAND()</f>
        <v>0.61426346715239477</v>
      </c>
      <c r="O839" s="8">
        <v>45202</v>
      </c>
      <c r="P839" s="8">
        <v>45203</v>
      </c>
      <c r="Q839" s="8">
        <v>45205</v>
      </c>
      <c r="R839" s="8">
        <v>45209</v>
      </c>
      <c r="S839" s="8">
        <v>45216</v>
      </c>
      <c r="T839" s="8">
        <v>45228</v>
      </c>
      <c r="U839" s="8">
        <v>45792</v>
      </c>
      <c r="V839" s="10">
        <f>COUNTA(O839:U839)</f>
        <v>7</v>
      </c>
      <c r="W839" s="11">
        <f>_xlfn.IFNA(INDEX(reading[[#This Row],[Memo 01]:[Memo 07]],MATCH(0,reading[[#This Row],[Memo 01]:[Memo 07]],-1)),"")</f>
        <v>45792</v>
      </c>
      <c r="X839" s="11">
        <f ca="1">IFERROR(reading[[#This Row],[Previous]]+OFFSET(reading[[#Headers],[Memo 01]],-1,MATCH(0,reading[[#This Row],[Memo 01]:[Memo 07]],-1)-1),"")</f>
        <v>55792</v>
      </c>
      <c r="Y839" s="10" t="str">
        <f ca="1">IF(reading[[#This Row],[Next]]&lt;&gt;"",IF(reading[[#This Row],[Next]]&gt;TODAY(),"OK",""),"")</f>
        <v>OK</v>
      </c>
      <c r="Z839" s="13">
        <v>3</v>
      </c>
      <c r="AA839" s="13">
        <v>3</v>
      </c>
      <c r="AB839" s="13">
        <v>3</v>
      </c>
      <c r="AC839" s="13">
        <v>3</v>
      </c>
      <c r="AD839" s="13">
        <v>3</v>
      </c>
      <c r="AE839" s="13">
        <v>3</v>
      </c>
      <c r="AF839" s="13">
        <v>3</v>
      </c>
      <c r="AG839" s="16">
        <f>IFERROR(SUMIF(reading[[#This Row],[1st]:[7th]],"&gt;0")/COUNTIF(reading[[#This Row],[1st]:[7th]],"&gt;0"),"")</f>
        <v>3</v>
      </c>
    </row>
    <row r="840" spans="1:33" hidden="1" x14ac:dyDescent="0.2">
      <c r="A840" s="4">
        <f>IF(B840=1,3,IF(D840=1,2,IF(F840=1,1,0)))</f>
        <v>0</v>
      </c>
      <c r="B840" s="4" t="str">
        <f>IF(C840=$L840,1,IF(C840="","",0))</f>
        <v/>
      </c>
      <c r="C840" s="42"/>
      <c r="D840" s="4" t="str">
        <f>IF(E840=$L840,1,IF(E840="","",0))</f>
        <v/>
      </c>
      <c r="E840" s="14"/>
      <c r="F840" s="4" t="str">
        <f>IF(G840=$L840,1,IF(G840="","",0))</f>
        <v/>
      </c>
      <c r="G840" s="14"/>
      <c r="H840" s="6">
        <v>1740</v>
      </c>
      <c r="I840" s="15" t="s">
        <v>3120</v>
      </c>
      <c r="J840" s="6" t="s">
        <v>4848</v>
      </c>
      <c r="K840" s="6"/>
      <c r="L840" s="6" t="s">
        <v>1820</v>
      </c>
      <c r="M840" s="6" t="s">
        <v>7846</v>
      </c>
      <c r="N840" s="7">
        <f ca="1">RAND()</f>
        <v>0.85151717505581737</v>
      </c>
      <c r="O840" s="8">
        <v>45211</v>
      </c>
      <c r="P840" s="8">
        <v>45212</v>
      </c>
      <c r="Q840" s="8">
        <v>45214</v>
      </c>
      <c r="R840" s="8">
        <v>45218</v>
      </c>
      <c r="S840" s="8">
        <v>45225</v>
      </c>
      <c r="T840" s="8">
        <v>45237</v>
      </c>
      <c r="U840" s="8">
        <v>45824</v>
      </c>
      <c r="V840" s="10">
        <f>COUNTA(O840:U840)</f>
        <v>7</v>
      </c>
      <c r="W840" s="11">
        <f>_xlfn.IFNA(INDEX(reading[[#This Row],[Memo 01]:[Memo 07]],MATCH(0,reading[[#This Row],[Memo 01]:[Memo 07]],-1)),"")</f>
        <v>45824</v>
      </c>
      <c r="X840" s="11">
        <f ca="1">IFERROR(reading[[#This Row],[Previous]]+OFFSET(reading[[#Headers],[Memo 01]],-1,MATCH(0,reading[[#This Row],[Memo 01]:[Memo 07]],-1)-1),"")</f>
        <v>55824</v>
      </c>
      <c r="Y840" s="10" t="str">
        <f ca="1">IF(reading[[#This Row],[Next]]&lt;&gt;"",IF(reading[[#This Row],[Next]]&gt;TODAY(),"OK",""),"")</f>
        <v>OK</v>
      </c>
      <c r="Z840" s="13">
        <v>3</v>
      </c>
      <c r="AA840" s="13">
        <v>3</v>
      </c>
      <c r="AB840" s="13">
        <v>3</v>
      </c>
      <c r="AC840" s="13">
        <v>3</v>
      </c>
      <c r="AD840" s="13">
        <v>3</v>
      </c>
      <c r="AE840" s="13">
        <v>3</v>
      </c>
      <c r="AF840" s="13">
        <v>3</v>
      </c>
      <c r="AG840" s="16">
        <f>IFERROR(SUMIF(reading[[#This Row],[1st]:[7th]],"&gt;0")/COUNTIF(reading[[#This Row],[1st]:[7th]],"&gt;0"),"")</f>
        <v>3</v>
      </c>
    </row>
    <row r="841" spans="1:33" hidden="1" x14ac:dyDescent="0.2">
      <c r="A841" s="4">
        <f>IF(B841=1,3,IF(D841=1,2,IF(F841=1,1,0)))</f>
        <v>3</v>
      </c>
      <c r="B841" s="4">
        <f>IF(C841=$L841,1,IF(C841="","",0))</f>
        <v>1</v>
      </c>
      <c r="C841" s="21" t="s">
        <v>960</v>
      </c>
      <c r="D841" s="4" t="str">
        <f>IF(E841=$L841,1,IF(E841="","",0))</f>
        <v/>
      </c>
      <c r="E841" s="14"/>
      <c r="F841" s="4" t="str">
        <f>IF(G841=$L841,1,IF(G841="","",0))</f>
        <v/>
      </c>
      <c r="G841" s="14"/>
      <c r="H841" s="6">
        <v>844</v>
      </c>
      <c r="I841" s="15" t="s">
        <v>3120</v>
      </c>
      <c r="J841" s="6" t="s">
        <v>3976</v>
      </c>
      <c r="K841" s="6"/>
      <c r="L841" s="6" t="s">
        <v>960</v>
      </c>
      <c r="M841" s="6" t="s">
        <v>6953</v>
      </c>
      <c r="N841" s="7">
        <f ca="1">RAND()</f>
        <v>8.2795193392188549E-2</v>
      </c>
      <c r="O841" s="8">
        <v>45203</v>
      </c>
      <c r="P841" s="8">
        <v>45203</v>
      </c>
      <c r="Q841" s="8">
        <v>45203</v>
      </c>
      <c r="R841" s="8">
        <v>45203</v>
      </c>
      <c r="S841" s="8">
        <v>45203</v>
      </c>
      <c r="T841" s="8">
        <v>45203</v>
      </c>
      <c r="U841" s="8">
        <v>45203</v>
      </c>
      <c r="V841" s="10">
        <f>COUNTA(O841:U841)</f>
        <v>7</v>
      </c>
      <c r="W841" s="11">
        <f>_xlfn.IFNA(INDEX(reading[[#This Row],[Memo 01]:[Memo 07]],MATCH(0,reading[[#This Row],[Memo 01]:[Memo 07]],-1)),"")</f>
        <v>45203</v>
      </c>
      <c r="X841" s="11">
        <f ca="1">IFERROR(reading[[#This Row],[Previous]]+OFFSET(reading[[#Headers],[Memo 01]],-1,MATCH(0,reading[[#This Row],[Memo 01]:[Memo 07]],-1)-1),"")</f>
        <v>55203</v>
      </c>
      <c r="Y841" s="10" t="str">
        <f ca="1">IF(reading[[#This Row],[Next]]&lt;&gt;"",IF(reading[[#This Row],[Next]]&gt;TODAY(),"OK",""),"")</f>
        <v>OK</v>
      </c>
      <c r="Z841" s="13">
        <v>3</v>
      </c>
      <c r="AA841" s="13"/>
      <c r="AB841" s="13"/>
      <c r="AC841" s="13"/>
      <c r="AD841" s="13"/>
      <c r="AE841" s="13"/>
      <c r="AF841" s="13"/>
      <c r="AG841" s="16">
        <f>IFERROR(SUMIF(reading[[#This Row],[1st]:[7th]],"&gt;0")/COUNTIF(reading[[#This Row],[1st]:[7th]],"&gt;0"),"")</f>
        <v>3</v>
      </c>
    </row>
    <row r="842" spans="1:33" hidden="1" x14ac:dyDescent="0.2">
      <c r="A842" s="4">
        <f>IF(B842=1,3,IF(D842=1,2,IF(F842=1,1,0)))</f>
        <v>0</v>
      </c>
      <c r="B842" s="4" t="str">
        <f>IF(C842=$L842,1,IF(C842="","",0))</f>
        <v/>
      </c>
      <c r="C842" s="42"/>
      <c r="D842" s="4" t="str">
        <f>IF(E842=$L842,1,IF(E842="","",0))</f>
        <v/>
      </c>
      <c r="E842" s="14"/>
      <c r="F842" s="4" t="str">
        <f>IF(G842=$L842,1,IF(G842="","",0))</f>
        <v/>
      </c>
      <c r="G842" s="14"/>
      <c r="H842" s="6">
        <v>1587</v>
      </c>
      <c r="I842" s="15" t="s">
        <v>3120</v>
      </c>
      <c r="J842" s="6" t="s">
        <v>4699</v>
      </c>
      <c r="K842" s="6"/>
      <c r="L842" s="6" t="s">
        <v>1670</v>
      </c>
      <c r="M842" s="6" t="s">
        <v>7693</v>
      </c>
      <c r="N842" s="7">
        <f ca="1">RAND()</f>
        <v>0.32991193383179662</v>
      </c>
      <c r="O842" s="8">
        <v>45209</v>
      </c>
      <c r="P842" s="8">
        <v>45210</v>
      </c>
      <c r="Q842" s="8">
        <v>45212</v>
      </c>
      <c r="R842" s="8">
        <v>45216</v>
      </c>
      <c r="S842" s="8">
        <v>45223</v>
      </c>
      <c r="T842" s="8">
        <v>45235</v>
      </c>
      <c r="U842" s="8">
        <v>45819</v>
      </c>
      <c r="V842" s="10">
        <f>COUNTA(O842:U842)</f>
        <v>7</v>
      </c>
      <c r="W842" s="11">
        <f>_xlfn.IFNA(INDEX(reading[[#This Row],[Memo 01]:[Memo 07]],MATCH(0,reading[[#This Row],[Memo 01]:[Memo 07]],-1)),"")</f>
        <v>45819</v>
      </c>
      <c r="X842" s="11">
        <f ca="1">IFERROR(reading[[#This Row],[Previous]]+OFFSET(reading[[#Headers],[Memo 01]],-1,MATCH(0,reading[[#This Row],[Memo 01]:[Memo 07]],-1)-1),"")</f>
        <v>55819</v>
      </c>
      <c r="Y842" s="10" t="str">
        <f ca="1">IF(reading[[#This Row],[Next]]&lt;&gt;"",IF(reading[[#This Row],[Next]]&gt;TODAY(),"OK",""),"")</f>
        <v>OK</v>
      </c>
      <c r="Z842" s="13">
        <v>3</v>
      </c>
      <c r="AA842" s="13">
        <v>3</v>
      </c>
      <c r="AB842" s="13">
        <v>3</v>
      </c>
      <c r="AC842" s="13">
        <v>3</v>
      </c>
      <c r="AD842" s="13">
        <v>3</v>
      </c>
      <c r="AE842" s="13">
        <v>3</v>
      </c>
      <c r="AF842" s="13">
        <v>3</v>
      </c>
      <c r="AG842" s="16">
        <f>IFERROR(SUMIF(reading[[#This Row],[1st]:[7th]],"&gt;0")/COUNTIF(reading[[#This Row],[1st]:[7th]],"&gt;0"),"")</f>
        <v>3</v>
      </c>
    </row>
    <row r="843" spans="1:33" hidden="1" x14ac:dyDescent="0.2">
      <c r="A843" s="4">
        <f>IF(B843=1,3,IF(D843=1,2,IF(F843=1,1,0)))</f>
        <v>0</v>
      </c>
      <c r="B843" s="4" t="str">
        <f>IF(C843=$L843,1,IF(C843="","",0))</f>
        <v/>
      </c>
      <c r="C843" s="40"/>
      <c r="D843" s="4" t="str">
        <f>IF(E843=$L843,1,IF(E843="","",0))</f>
        <v/>
      </c>
      <c r="E843" s="18"/>
      <c r="F843" s="4" t="str">
        <f>IF(G843=$L843,1,IF(G843="","",0))</f>
        <v/>
      </c>
      <c r="G843" s="18"/>
      <c r="H843" s="6">
        <v>133</v>
      </c>
      <c r="I843" s="15" t="s">
        <v>3120</v>
      </c>
      <c r="J843" s="6" t="s">
        <v>3282</v>
      </c>
      <c r="K843" s="15" t="s">
        <v>3139</v>
      </c>
      <c r="L843" s="6" t="s">
        <v>270</v>
      </c>
      <c r="M843" s="6" t="s">
        <v>6242</v>
      </c>
      <c r="N843" s="7">
        <f ca="1">RAND()</f>
        <v>0.11577154028200765</v>
      </c>
      <c r="O843" s="8">
        <v>45199</v>
      </c>
      <c r="P843" s="8">
        <v>45200</v>
      </c>
      <c r="Q843" s="8">
        <v>45202</v>
      </c>
      <c r="R843" s="8">
        <v>45206</v>
      </c>
      <c r="S843" s="8">
        <v>45213</v>
      </c>
      <c r="T843" s="8">
        <v>45226</v>
      </c>
      <c r="U843" s="8">
        <v>45250</v>
      </c>
      <c r="V843" s="10">
        <f>COUNTA(O843:U843)</f>
        <v>7</v>
      </c>
      <c r="W843" s="11">
        <f>_xlfn.IFNA(INDEX(reading[[#This Row],[Memo 01]:[Memo 07]],MATCH(0,reading[[#This Row],[Memo 01]:[Memo 07]],-1)),"")</f>
        <v>45250</v>
      </c>
      <c r="X843" s="11">
        <f ca="1">IFERROR(reading[[#This Row],[Previous]]+OFFSET(reading[[#Headers],[Memo 01]],-1,MATCH(0,reading[[#This Row],[Memo 01]:[Memo 07]],-1)-1),"")</f>
        <v>55250</v>
      </c>
      <c r="Y843" s="10" t="str">
        <f ca="1">IF(reading[[#This Row],[Next]]&lt;&gt;"",IF(reading[[#This Row],[Next]]&gt;TODAY(),"OK",""),"")</f>
        <v>OK</v>
      </c>
      <c r="Z843" s="13">
        <v>2</v>
      </c>
      <c r="AA843" s="13">
        <v>3</v>
      </c>
      <c r="AB843" s="13">
        <v>2</v>
      </c>
      <c r="AC843" s="13">
        <v>2</v>
      </c>
      <c r="AD843" s="13">
        <v>3</v>
      </c>
      <c r="AE843" s="13">
        <v>1</v>
      </c>
      <c r="AF843" s="13">
        <v>1</v>
      </c>
      <c r="AG843" s="16">
        <f>IFERROR(SUMIF(reading[[#This Row],[1st]:[7th]],"&gt;0")/COUNTIF(reading[[#This Row],[1st]:[7th]],"&gt;0"),"")</f>
        <v>2</v>
      </c>
    </row>
    <row r="844" spans="1:33" hidden="1" x14ac:dyDescent="0.2">
      <c r="A844" s="4">
        <f>IF(B844=1,3,IF(D844=1,2,IF(F844=1,1,0)))</f>
        <v>0</v>
      </c>
      <c r="B844" s="4" t="str">
        <f>IF(C844=$L844,1,IF(C844="","",0))</f>
        <v/>
      </c>
      <c r="C844" s="42"/>
      <c r="D844" s="4" t="str">
        <f>IF(E844=$L844,1,IF(E844="","",0))</f>
        <v/>
      </c>
      <c r="E844" s="18"/>
      <c r="F844" s="4" t="str">
        <f>IF(G844=$L844,1,IF(G844="","",0))</f>
        <v/>
      </c>
      <c r="G844" s="14"/>
      <c r="H844" s="6">
        <v>1322</v>
      </c>
      <c r="I844" s="15" t="s">
        <v>3120</v>
      </c>
      <c r="J844" s="6" t="s">
        <v>4438</v>
      </c>
      <c r="K844" s="15" t="s">
        <v>3139</v>
      </c>
      <c r="L844" s="6" t="s">
        <v>1419</v>
      </c>
      <c r="M844" s="6" t="s">
        <v>7429</v>
      </c>
      <c r="N844" s="7">
        <f ca="1">RAND()</f>
        <v>0.82187520962354021</v>
      </c>
      <c r="O844" s="8">
        <v>45207</v>
      </c>
      <c r="P844" s="8">
        <v>45208</v>
      </c>
      <c r="Q844" s="8">
        <v>45210</v>
      </c>
      <c r="R844" s="8">
        <v>45214</v>
      </c>
      <c r="S844" s="8">
        <v>45221</v>
      </c>
      <c r="T844" s="8">
        <v>45233</v>
      </c>
      <c r="U844" s="8">
        <v>45801</v>
      </c>
      <c r="V844" s="10">
        <f>COUNTA(O844:U844)</f>
        <v>7</v>
      </c>
      <c r="W844" s="11">
        <f>_xlfn.IFNA(INDEX(reading[[#This Row],[Memo 01]:[Memo 07]],MATCH(0,reading[[#This Row],[Memo 01]:[Memo 07]],-1)),"")</f>
        <v>45801</v>
      </c>
      <c r="X844" s="11">
        <f ca="1">IFERROR(reading[[#This Row],[Previous]]+OFFSET(reading[[#Headers],[Memo 01]],-1,MATCH(0,reading[[#This Row],[Memo 01]:[Memo 07]],-1)-1),"")</f>
        <v>55801</v>
      </c>
      <c r="Y844" s="10" t="str">
        <f ca="1">IF(reading[[#This Row],[Next]]&lt;&gt;"",IF(reading[[#This Row],[Next]]&gt;TODAY(),"OK",""),"")</f>
        <v>OK</v>
      </c>
      <c r="Z844" s="13">
        <v>3</v>
      </c>
      <c r="AA844" s="13">
        <v>3</v>
      </c>
      <c r="AB844" s="13">
        <v>3</v>
      </c>
      <c r="AC844" s="13">
        <v>2</v>
      </c>
      <c r="AD844" s="13">
        <v>3</v>
      </c>
      <c r="AE844" s="13">
        <v>3</v>
      </c>
      <c r="AF844" s="13">
        <v>3</v>
      </c>
      <c r="AG844" s="16">
        <f>IFERROR(SUMIF(reading[[#This Row],[1st]:[7th]],"&gt;0")/COUNTIF(reading[[#This Row],[1st]:[7th]],"&gt;0"),"")</f>
        <v>2.8571428571428572</v>
      </c>
    </row>
    <row r="845" spans="1:33" hidden="1" x14ac:dyDescent="0.2">
      <c r="A845" s="4">
        <f>IF(B845=1,3,IF(D845=1,2,IF(F845=1,1,0)))</f>
        <v>3</v>
      </c>
      <c r="B845" s="4">
        <f>IF(C845=$L845,1,IF(C845="","",0))</f>
        <v>1</v>
      </c>
      <c r="C845" s="21" t="s">
        <v>964</v>
      </c>
      <c r="D845" s="4" t="str">
        <f>IF(E845=$L845,1,IF(E845="","",0))</f>
        <v/>
      </c>
      <c r="E845" s="14"/>
      <c r="F845" s="4" t="str">
        <f>IF(G845=$L845,1,IF(G845="","",0))</f>
        <v/>
      </c>
      <c r="G845" s="14"/>
      <c r="H845" s="6">
        <v>848</v>
      </c>
      <c r="I845" s="15" t="s">
        <v>3120</v>
      </c>
      <c r="J845" s="6" t="s">
        <v>3980</v>
      </c>
      <c r="K845" s="6"/>
      <c r="L845" s="6" t="s">
        <v>964</v>
      </c>
      <c r="M845" s="6" t="s">
        <v>6957</v>
      </c>
      <c r="N845" s="7">
        <f ca="1">RAND()</f>
        <v>0.71649808417518657</v>
      </c>
      <c r="O845" s="8">
        <v>45203</v>
      </c>
      <c r="P845" s="8">
        <v>45203</v>
      </c>
      <c r="Q845" s="8">
        <v>45203</v>
      </c>
      <c r="R845" s="8">
        <v>45203</v>
      </c>
      <c r="S845" s="8">
        <v>45203</v>
      </c>
      <c r="T845" s="8">
        <v>45203</v>
      </c>
      <c r="U845" s="8">
        <v>45203</v>
      </c>
      <c r="V845" s="10">
        <f>COUNTA(O845:U845)</f>
        <v>7</v>
      </c>
      <c r="W845" s="11">
        <f>_xlfn.IFNA(INDEX(reading[[#This Row],[Memo 01]:[Memo 07]],MATCH(0,reading[[#This Row],[Memo 01]:[Memo 07]],-1)),"")</f>
        <v>45203</v>
      </c>
      <c r="X845" s="11">
        <f ca="1">IFERROR(reading[[#This Row],[Previous]]+OFFSET(reading[[#Headers],[Memo 01]],-1,MATCH(0,reading[[#This Row],[Memo 01]:[Memo 07]],-1)-1),"")</f>
        <v>55203</v>
      </c>
      <c r="Y845" s="10" t="str">
        <f ca="1">IF(reading[[#This Row],[Next]]&lt;&gt;"",IF(reading[[#This Row],[Next]]&gt;TODAY(),"OK",""),"")</f>
        <v>OK</v>
      </c>
      <c r="Z845" s="13">
        <v>3</v>
      </c>
      <c r="AA845" s="13"/>
      <c r="AB845" s="13"/>
      <c r="AC845" s="13"/>
      <c r="AD845" s="13"/>
      <c r="AE845" s="13"/>
      <c r="AF845" s="13"/>
      <c r="AG845" s="16">
        <f>IFERROR(SUMIF(reading[[#This Row],[1st]:[7th]],"&gt;0")/COUNTIF(reading[[#This Row],[1st]:[7th]],"&gt;0"),"")</f>
        <v>3</v>
      </c>
    </row>
    <row r="846" spans="1:33" hidden="1" x14ac:dyDescent="0.2">
      <c r="A846" s="4">
        <f>IF(B846=1,3,IF(D846=1,2,IF(F846=1,1,0)))</f>
        <v>0</v>
      </c>
      <c r="B846" s="4" t="str">
        <f>IF(C846=$L846,1,IF(C846="","",0))</f>
        <v/>
      </c>
      <c r="C846" s="42"/>
      <c r="D846" s="4" t="str">
        <f>IF(E846=$L846,1,IF(E846="","",0))</f>
        <v/>
      </c>
      <c r="E846" s="23"/>
      <c r="F846" s="4" t="str">
        <f>IF(G846=$L846,1,IF(G846="","",0))</f>
        <v/>
      </c>
      <c r="G846" s="23"/>
      <c r="H846" s="6">
        <v>2739</v>
      </c>
      <c r="I846" s="15" t="s">
        <v>3120</v>
      </c>
      <c r="J846" s="6" t="s">
        <v>5787</v>
      </c>
      <c r="K846" s="6"/>
      <c r="L846" s="6" t="s">
        <v>2777</v>
      </c>
      <c r="M846" s="6" t="s">
        <v>8844</v>
      </c>
      <c r="N846" s="7">
        <f ca="1">RAND()</f>
        <v>0.18812879267113247</v>
      </c>
      <c r="O846" s="8">
        <v>45221</v>
      </c>
      <c r="P846" s="8">
        <v>45222</v>
      </c>
      <c r="Q846" s="8">
        <v>45224</v>
      </c>
      <c r="R846" s="8">
        <v>45228</v>
      </c>
      <c r="S846" s="8">
        <v>45235</v>
      </c>
      <c r="T846" s="8">
        <v>45811</v>
      </c>
      <c r="U846" s="8"/>
      <c r="V846" s="10">
        <f>COUNTA(O846:U846)</f>
        <v>6</v>
      </c>
      <c r="W846" s="11">
        <f>_xlfn.IFNA(INDEX(reading[[#This Row],[Memo 01]:[Memo 07]],MATCH(0,reading[[#This Row],[Memo 01]:[Memo 07]],-1)),"")</f>
        <v>45811</v>
      </c>
      <c r="X846" s="11">
        <f ca="1">IFERROR(reading[[#This Row],[Previous]]+OFFSET(reading[[#Headers],[Memo 01]],-1,MATCH(0,reading[[#This Row],[Memo 01]:[Memo 07]],-1)-1),"")</f>
        <v>45831</v>
      </c>
      <c r="Y846" s="10" t="str">
        <f ca="1">IF(reading[[#This Row],[Next]]&lt;&gt;"",IF(reading[[#This Row],[Next]]&gt;TODAY(),"OK",""),"")</f>
        <v/>
      </c>
      <c r="Z846" s="13">
        <v>3</v>
      </c>
      <c r="AA846" s="13">
        <v>3</v>
      </c>
      <c r="AB846" s="13">
        <v>3</v>
      </c>
      <c r="AC846" s="13">
        <v>3</v>
      </c>
      <c r="AD846" s="13">
        <v>3</v>
      </c>
      <c r="AE846" s="13">
        <v>1</v>
      </c>
      <c r="AF846" s="13"/>
      <c r="AG846" s="16">
        <f>IFERROR(SUMIF(reading[[#This Row],[1st]:[7th]],"&gt;0")/COUNTIF(reading[[#This Row],[1st]:[7th]],"&gt;0"),"")</f>
        <v>2.6666666666666665</v>
      </c>
    </row>
    <row r="847" spans="1:33" hidden="1" x14ac:dyDescent="0.2">
      <c r="A847" s="4">
        <f>IF(B847=1,3,IF(D847=1,2,IF(F847=1,1,0)))</f>
        <v>3</v>
      </c>
      <c r="B847" s="4">
        <f>IF(C847=$L847,1,IF(C847="","",0))</f>
        <v>1</v>
      </c>
      <c r="C847" s="21" t="s">
        <v>966</v>
      </c>
      <c r="D847" s="4" t="str">
        <f>IF(E847=$L847,1,IF(E847="","",0))</f>
        <v/>
      </c>
      <c r="E847" s="14"/>
      <c r="F847" s="4" t="str">
        <f>IF(G847=$L847,1,IF(G847="","",0))</f>
        <v/>
      </c>
      <c r="G847" s="14"/>
      <c r="H847" s="6">
        <v>850</v>
      </c>
      <c r="I847" s="15" t="s">
        <v>3120</v>
      </c>
      <c r="J847" s="6" t="s">
        <v>3982</v>
      </c>
      <c r="K847" s="6"/>
      <c r="L847" s="6" t="s">
        <v>966</v>
      </c>
      <c r="M847" s="6" t="s">
        <v>6959</v>
      </c>
      <c r="N847" s="7">
        <f ca="1">RAND()</f>
        <v>0.48289771342456522</v>
      </c>
      <c r="O847" s="8">
        <v>45203</v>
      </c>
      <c r="P847" s="8">
        <v>45203</v>
      </c>
      <c r="Q847" s="8">
        <v>45203</v>
      </c>
      <c r="R847" s="8">
        <v>45203</v>
      </c>
      <c r="S847" s="8">
        <v>45203</v>
      </c>
      <c r="T847" s="8">
        <v>45203</v>
      </c>
      <c r="U847" s="8">
        <v>45203</v>
      </c>
      <c r="V847" s="10">
        <f>COUNTA(O847:U847)</f>
        <v>7</v>
      </c>
      <c r="W847" s="11">
        <f>_xlfn.IFNA(INDEX(reading[[#This Row],[Memo 01]:[Memo 07]],MATCH(0,reading[[#This Row],[Memo 01]:[Memo 07]],-1)),"")</f>
        <v>45203</v>
      </c>
      <c r="X847" s="11">
        <f ca="1">IFERROR(reading[[#This Row],[Previous]]+OFFSET(reading[[#Headers],[Memo 01]],-1,MATCH(0,reading[[#This Row],[Memo 01]:[Memo 07]],-1)-1),"")</f>
        <v>55203</v>
      </c>
      <c r="Y847" s="10" t="str">
        <f ca="1">IF(reading[[#This Row],[Next]]&lt;&gt;"",IF(reading[[#This Row],[Next]]&gt;TODAY(),"OK",""),"")</f>
        <v>OK</v>
      </c>
      <c r="Z847" s="13">
        <v>3</v>
      </c>
      <c r="AA847" s="13"/>
      <c r="AB847" s="13"/>
      <c r="AC847" s="13"/>
      <c r="AD847" s="13"/>
      <c r="AE847" s="13"/>
      <c r="AF847" s="13"/>
      <c r="AG847" s="16">
        <f>IFERROR(SUMIF(reading[[#This Row],[1st]:[7th]],"&gt;0")/COUNTIF(reading[[#This Row],[1st]:[7th]],"&gt;0"),"")</f>
        <v>3</v>
      </c>
    </row>
    <row r="848" spans="1:33" hidden="1" x14ac:dyDescent="0.2">
      <c r="A848" s="4">
        <f>IF(B848=1,3,IF(D848=1,2,IF(F848=1,1,0)))</f>
        <v>0</v>
      </c>
      <c r="B848" s="4" t="str">
        <f>IF(C848=$L848,1,IF(C848="","",0))</f>
        <v/>
      </c>
      <c r="C848" s="42"/>
      <c r="D848" s="4" t="str">
        <f>IF(E848=$L848,1,IF(E848="","",0))</f>
        <v/>
      </c>
      <c r="E848" s="23"/>
      <c r="F848" s="4" t="str">
        <f>IF(G848=$L848,1,IF(G848="","",0))</f>
        <v/>
      </c>
      <c r="G848" s="23"/>
      <c r="H848" s="6">
        <v>2981</v>
      </c>
      <c r="I848" s="15" t="s">
        <v>3120</v>
      </c>
      <c r="J848" s="6" t="s">
        <v>5248</v>
      </c>
      <c r="K848" s="6"/>
      <c r="L848" s="6" t="s">
        <v>3010</v>
      </c>
      <c r="M848" s="6" t="s">
        <v>9085</v>
      </c>
      <c r="N848" s="7">
        <f ca="1">RAND()</f>
        <v>0.65959551858828802</v>
      </c>
      <c r="O848" s="8">
        <v>45223</v>
      </c>
      <c r="P848" s="8">
        <v>45224</v>
      </c>
      <c r="Q848" s="8">
        <v>45226</v>
      </c>
      <c r="R848" s="8">
        <v>45230</v>
      </c>
      <c r="S848" s="8">
        <v>45237</v>
      </c>
      <c r="T848" s="8">
        <v>45811</v>
      </c>
      <c r="U848" s="8"/>
      <c r="V848" s="10">
        <f>COUNTA(O848:U848)</f>
        <v>6</v>
      </c>
      <c r="W848" s="11">
        <f>_xlfn.IFNA(INDEX(reading[[#This Row],[Memo 01]:[Memo 07]],MATCH(0,reading[[#This Row],[Memo 01]:[Memo 07]],-1)),"")</f>
        <v>45811</v>
      </c>
      <c r="X848" s="11">
        <f ca="1">IFERROR(reading[[#This Row],[Previous]]+OFFSET(reading[[#Headers],[Memo 01]],-1,MATCH(0,reading[[#This Row],[Memo 01]:[Memo 07]],-1)-1),"")</f>
        <v>45831</v>
      </c>
      <c r="Y848" s="10" t="str">
        <f ca="1">IF(reading[[#This Row],[Next]]&lt;&gt;"",IF(reading[[#This Row],[Next]]&gt;TODAY(),"OK",""),"")</f>
        <v/>
      </c>
      <c r="Z848" s="13">
        <v>3</v>
      </c>
      <c r="AA848" s="13">
        <v>3</v>
      </c>
      <c r="AB848" s="13">
        <v>3</v>
      </c>
      <c r="AC848" s="13">
        <v>3</v>
      </c>
      <c r="AD848" s="13">
        <v>3</v>
      </c>
      <c r="AE848" s="13">
        <v>1</v>
      </c>
      <c r="AF848" s="13"/>
      <c r="AG848" s="16">
        <f>IFERROR(SUMIF(reading[[#This Row],[1st]:[7th]],"&gt;0")/COUNTIF(reading[[#This Row],[1st]:[7th]],"&gt;0"),"")</f>
        <v>2.6666666666666665</v>
      </c>
    </row>
    <row r="849" spans="1:33" hidden="1" x14ac:dyDescent="0.2">
      <c r="A849" s="4">
        <f>IF(B849=1,3,IF(D849=1,2,IF(F849=1,1,0)))</f>
        <v>0</v>
      </c>
      <c r="B849" s="4" t="str">
        <f>IF(C849=$L849,1,IF(C849="","",0))</f>
        <v/>
      </c>
      <c r="C849" s="42"/>
      <c r="D849" s="4" t="str">
        <f>IF(E849=$L849,1,IF(E849="","",0))</f>
        <v/>
      </c>
      <c r="E849" s="18"/>
      <c r="F849" s="4" t="str">
        <f>IF(G849=$L849,1,IF(G849="","",0))</f>
        <v/>
      </c>
      <c r="G849" s="14"/>
      <c r="H849" s="6">
        <v>1741</v>
      </c>
      <c r="I849" s="15" t="s">
        <v>3120</v>
      </c>
      <c r="J849" s="6" t="s">
        <v>4849</v>
      </c>
      <c r="K849" s="15" t="s">
        <v>3138</v>
      </c>
      <c r="L849" s="6" t="s">
        <v>1821</v>
      </c>
      <c r="M849" s="6" t="s">
        <v>7847</v>
      </c>
      <c r="N849" s="7">
        <f ca="1">RAND()</f>
        <v>4.5190361112100286E-2</v>
      </c>
      <c r="O849" s="8">
        <v>45211</v>
      </c>
      <c r="P849" s="8">
        <v>45212</v>
      </c>
      <c r="Q849" s="8">
        <v>45214</v>
      </c>
      <c r="R849" s="8">
        <v>45218</v>
      </c>
      <c r="S849" s="8">
        <v>45225</v>
      </c>
      <c r="T849" s="8">
        <v>45237</v>
      </c>
      <c r="U849" s="8">
        <v>45792</v>
      </c>
      <c r="V849" s="10">
        <f>COUNTA(O849:U849)</f>
        <v>7</v>
      </c>
      <c r="W849" s="11">
        <f>_xlfn.IFNA(INDEX(reading[[#This Row],[Memo 01]:[Memo 07]],MATCH(0,reading[[#This Row],[Memo 01]:[Memo 07]],-1)),"")</f>
        <v>45792</v>
      </c>
      <c r="X849" s="11">
        <f ca="1">IFERROR(reading[[#This Row],[Previous]]+OFFSET(reading[[#Headers],[Memo 01]],-1,MATCH(0,reading[[#This Row],[Memo 01]:[Memo 07]],-1)-1),"")</f>
        <v>55792</v>
      </c>
      <c r="Y849" s="10" t="str">
        <f ca="1">IF(reading[[#This Row],[Next]]&lt;&gt;"",IF(reading[[#This Row],[Next]]&gt;TODAY(),"OK",""),"")</f>
        <v>OK</v>
      </c>
      <c r="Z849" s="13">
        <v>3</v>
      </c>
      <c r="AA849" s="13">
        <v>3</v>
      </c>
      <c r="AB849" s="13">
        <v>3</v>
      </c>
      <c r="AC849" s="13">
        <v>2</v>
      </c>
      <c r="AD849" s="13">
        <v>2</v>
      </c>
      <c r="AE849" s="13">
        <v>3</v>
      </c>
      <c r="AF849" s="13">
        <v>3</v>
      </c>
      <c r="AG849" s="16">
        <f>IFERROR(SUMIF(reading[[#This Row],[1st]:[7th]],"&gt;0")/COUNTIF(reading[[#This Row],[1st]:[7th]],"&gt;0"),"")</f>
        <v>2.7142857142857144</v>
      </c>
    </row>
    <row r="850" spans="1:33" hidden="1" x14ac:dyDescent="0.2">
      <c r="A850" s="4">
        <f>IF(B850=1,3,IF(D850=1,2,IF(F850=1,1,0)))</f>
        <v>0</v>
      </c>
      <c r="B850" s="4" t="str">
        <f>IF(C850=$L850,1,IF(C850="","",0))</f>
        <v/>
      </c>
      <c r="C850" s="42"/>
      <c r="D850" s="4" t="str">
        <f>IF(E850=$L850,1,IF(E850="","",0))</f>
        <v/>
      </c>
      <c r="E850" s="14"/>
      <c r="F850" s="4" t="str">
        <f>IF(G850=$L850,1,IF(G850="","",0))</f>
        <v/>
      </c>
      <c r="G850" s="14"/>
      <c r="H850" s="6">
        <v>281</v>
      </c>
      <c r="I850" s="15" t="s">
        <v>3120</v>
      </c>
      <c r="J850" s="6" t="s">
        <v>3429</v>
      </c>
      <c r="K850" s="6"/>
      <c r="L850" s="6" t="s">
        <v>416</v>
      </c>
      <c r="M850" s="6" t="s">
        <v>6390</v>
      </c>
      <c r="N850" s="7">
        <f ca="1">RAND()</f>
        <v>3.4498676596482647E-2</v>
      </c>
      <c r="O850" s="8">
        <v>45202</v>
      </c>
      <c r="P850" s="8">
        <v>45203</v>
      </c>
      <c r="Q850" s="8">
        <v>45205</v>
      </c>
      <c r="R850" s="8">
        <v>45209</v>
      </c>
      <c r="S850" s="8">
        <v>45216</v>
      </c>
      <c r="T850" s="8">
        <v>45228</v>
      </c>
      <c r="U850" s="8">
        <v>45792</v>
      </c>
      <c r="V850" s="10">
        <f>COUNTA(O850:U850)</f>
        <v>7</v>
      </c>
      <c r="W850" s="11">
        <f>_xlfn.IFNA(INDEX(reading[[#This Row],[Memo 01]:[Memo 07]],MATCH(0,reading[[#This Row],[Memo 01]:[Memo 07]],-1)),"")</f>
        <v>45792</v>
      </c>
      <c r="X850" s="11">
        <f ca="1">IFERROR(reading[[#This Row],[Previous]]+OFFSET(reading[[#Headers],[Memo 01]],-1,MATCH(0,reading[[#This Row],[Memo 01]:[Memo 07]],-1)-1),"")</f>
        <v>55792</v>
      </c>
      <c r="Y850" s="10" t="str">
        <f ca="1">IF(reading[[#This Row],[Next]]&lt;&gt;"",IF(reading[[#This Row],[Next]]&gt;TODAY(),"OK",""),"")</f>
        <v>OK</v>
      </c>
      <c r="Z850" s="13">
        <v>3</v>
      </c>
      <c r="AA850" s="13">
        <v>3</v>
      </c>
      <c r="AB850" s="13">
        <v>3</v>
      </c>
      <c r="AC850" s="13">
        <v>3</v>
      </c>
      <c r="AD850" s="13">
        <v>3</v>
      </c>
      <c r="AE850" s="13">
        <v>2</v>
      </c>
      <c r="AF850" s="13">
        <v>3</v>
      </c>
      <c r="AG850" s="16">
        <f>IFERROR(SUMIF(reading[[#This Row],[1st]:[7th]],"&gt;0")/COUNTIF(reading[[#This Row],[1st]:[7th]],"&gt;0"),"")</f>
        <v>2.8571428571428572</v>
      </c>
    </row>
    <row r="851" spans="1:33" hidden="1" x14ac:dyDescent="0.2">
      <c r="A851" s="4">
        <f>IF(B851=1,3,IF(D851=1,2,IF(F851=1,1,0)))</f>
        <v>0</v>
      </c>
      <c r="B851" s="4" t="str">
        <f>IF(C851=$L851,1,IF(C851="","",0))</f>
        <v/>
      </c>
      <c r="C851" s="42"/>
      <c r="D851" s="4" t="str">
        <f>IF(E851=$L851,1,IF(E851="","",0))</f>
        <v/>
      </c>
      <c r="E851" s="18"/>
      <c r="F851" s="4" t="str">
        <f>IF(G851=$L851,1,IF(G851="","",0))</f>
        <v/>
      </c>
      <c r="G851" s="18"/>
      <c r="H851" s="6">
        <v>1783</v>
      </c>
      <c r="I851" s="15" t="s">
        <v>3120</v>
      </c>
      <c r="J851" s="6" t="s">
        <v>4890</v>
      </c>
      <c r="K851" s="6"/>
      <c r="L851" s="6" t="s">
        <v>1862</v>
      </c>
      <c r="M851" s="6" t="s">
        <v>7889</v>
      </c>
      <c r="N851" s="7">
        <f ca="1">RAND()</f>
        <v>0.28208974752462967</v>
      </c>
      <c r="O851" s="8">
        <v>45212</v>
      </c>
      <c r="P851" s="8">
        <v>45213</v>
      </c>
      <c r="Q851" s="8">
        <v>45215</v>
      </c>
      <c r="R851" s="8">
        <v>45219</v>
      </c>
      <c r="S851" s="8">
        <v>45226</v>
      </c>
      <c r="T851" s="8">
        <v>45249</v>
      </c>
      <c r="U851" s="8">
        <v>45801</v>
      </c>
      <c r="V851" s="10">
        <f>COUNTA(O851:U851)</f>
        <v>7</v>
      </c>
      <c r="W851" s="11">
        <f>_xlfn.IFNA(INDEX(reading[[#This Row],[Memo 01]:[Memo 07]],MATCH(0,reading[[#This Row],[Memo 01]:[Memo 07]],-1)),"")</f>
        <v>45801</v>
      </c>
      <c r="X851" s="11">
        <f ca="1">IFERROR(reading[[#This Row],[Previous]]+OFFSET(reading[[#Headers],[Memo 01]],-1,MATCH(0,reading[[#This Row],[Memo 01]:[Memo 07]],-1)-1),"")</f>
        <v>55801</v>
      </c>
      <c r="Y851" s="10" t="str">
        <f ca="1">IF(reading[[#This Row],[Next]]&lt;&gt;"",IF(reading[[#This Row],[Next]]&gt;TODAY(),"OK",""),"")</f>
        <v>OK</v>
      </c>
      <c r="Z851" s="13">
        <v>3</v>
      </c>
      <c r="AA851" s="13">
        <v>2</v>
      </c>
      <c r="AB851" s="13">
        <v>1</v>
      </c>
      <c r="AC851" s="13">
        <v>2</v>
      </c>
      <c r="AD851" s="13">
        <v>2</v>
      </c>
      <c r="AE851" s="13">
        <v>2</v>
      </c>
      <c r="AF851" s="13">
        <v>3</v>
      </c>
      <c r="AG851" s="16">
        <f>IFERROR(SUMIF(reading[[#This Row],[1st]:[7th]],"&gt;0")/COUNTIF(reading[[#This Row],[1st]:[7th]],"&gt;0"),"")</f>
        <v>2.1428571428571428</v>
      </c>
    </row>
    <row r="852" spans="1:33" hidden="1" x14ac:dyDescent="0.2">
      <c r="A852" s="4">
        <f>IF(B852=1,3,IF(D852=1,2,IF(F852=1,1,0)))</f>
        <v>0</v>
      </c>
      <c r="B852" s="4" t="str">
        <f>IF(C852=$L852,1,IF(C852="","",0))</f>
        <v/>
      </c>
      <c r="C852" s="42"/>
      <c r="D852" s="4" t="str">
        <f>IF(E852=$L852,1,IF(E852="","",0))</f>
        <v/>
      </c>
      <c r="E852" s="14"/>
      <c r="F852" s="4" t="str">
        <f>IF(G852=$L852,1,IF(G852="","",0))</f>
        <v/>
      </c>
      <c r="G852" s="14"/>
      <c r="H852" s="6">
        <v>907</v>
      </c>
      <c r="I852" s="15" t="s">
        <v>3120</v>
      </c>
      <c r="J852" s="6" t="s">
        <v>4039</v>
      </c>
      <c r="K852" s="6"/>
      <c r="L852" s="6" t="s">
        <v>1019</v>
      </c>
      <c r="M852" s="6" t="s">
        <v>7016</v>
      </c>
      <c r="N852" s="7">
        <f ca="1">RAND()</f>
        <v>0.9255588303825345</v>
      </c>
      <c r="O852" s="8">
        <v>45204</v>
      </c>
      <c r="P852" s="8">
        <v>45205</v>
      </c>
      <c r="Q852" s="8">
        <v>45207</v>
      </c>
      <c r="R852" s="8">
        <v>45211</v>
      </c>
      <c r="S852" s="8">
        <v>45218</v>
      </c>
      <c r="T852" s="8">
        <v>45230</v>
      </c>
      <c r="U852" s="8">
        <v>45801</v>
      </c>
      <c r="V852" s="10">
        <f>COUNTA(O852:U852)</f>
        <v>7</v>
      </c>
      <c r="W852" s="11">
        <f>_xlfn.IFNA(INDEX(reading[[#This Row],[Memo 01]:[Memo 07]],MATCH(0,reading[[#This Row],[Memo 01]:[Memo 07]],-1)),"")</f>
        <v>45801</v>
      </c>
      <c r="X852" s="11">
        <f ca="1">IFERROR(reading[[#This Row],[Previous]]+OFFSET(reading[[#Headers],[Memo 01]],-1,MATCH(0,reading[[#This Row],[Memo 01]:[Memo 07]],-1)-1),"")</f>
        <v>55801</v>
      </c>
      <c r="Y852" s="10" t="str">
        <f ca="1">IF(reading[[#This Row],[Next]]&lt;&gt;"",IF(reading[[#This Row],[Next]]&gt;TODAY(),"OK",""),"")</f>
        <v>OK</v>
      </c>
      <c r="Z852" s="13">
        <v>3</v>
      </c>
      <c r="AA852" s="13">
        <v>3</v>
      </c>
      <c r="AB852" s="13">
        <v>3</v>
      </c>
      <c r="AC852" s="13">
        <v>3</v>
      </c>
      <c r="AD852" s="13">
        <v>3</v>
      </c>
      <c r="AE852" s="13">
        <v>3</v>
      </c>
      <c r="AF852" s="13">
        <v>3</v>
      </c>
      <c r="AG852" s="16">
        <f>IFERROR(SUMIF(reading[[#This Row],[1st]:[7th]],"&gt;0")/COUNTIF(reading[[#This Row],[1st]:[7th]],"&gt;0"),"")</f>
        <v>3</v>
      </c>
    </row>
    <row r="853" spans="1:33" hidden="1" x14ac:dyDescent="0.2">
      <c r="A853" s="4">
        <f>IF(B853=1,3,IF(D853=1,2,IF(F853=1,1,0)))</f>
        <v>3</v>
      </c>
      <c r="B853" s="4">
        <f>IF(C853=$L853,1,IF(C853="","",0))</f>
        <v>1</v>
      </c>
      <c r="C853" s="21" t="s">
        <v>972</v>
      </c>
      <c r="D853" s="4" t="str">
        <f>IF(E853=$L853,1,IF(E853="","",0))</f>
        <v/>
      </c>
      <c r="E853" s="14"/>
      <c r="F853" s="4" t="str">
        <f>IF(G853=$L853,1,IF(G853="","",0))</f>
        <v/>
      </c>
      <c r="G853" s="14"/>
      <c r="H853" s="6">
        <v>856</v>
      </c>
      <c r="I853" s="15" t="s">
        <v>3120</v>
      </c>
      <c r="J853" s="6" t="s">
        <v>3988</v>
      </c>
      <c r="K853" s="6"/>
      <c r="L853" s="6" t="s">
        <v>972</v>
      </c>
      <c r="M853" s="6" t="s">
        <v>6965</v>
      </c>
      <c r="N853" s="7">
        <f ca="1">RAND()</f>
        <v>0.85754313539828197</v>
      </c>
      <c r="O853" s="8">
        <v>45203</v>
      </c>
      <c r="P853" s="8">
        <v>45203</v>
      </c>
      <c r="Q853" s="8">
        <v>45203</v>
      </c>
      <c r="R853" s="8">
        <v>45203</v>
      </c>
      <c r="S853" s="8">
        <v>45203</v>
      </c>
      <c r="T853" s="8">
        <v>45203</v>
      </c>
      <c r="U853" s="8">
        <v>45203</v>
      </c>
      <c r="V853" s="10">
        <f>COUNTA(O853:U853)</f>
        <v>7</v>
      </c>
      <c r="W853" s="11">
        <f>_xlfn.IFNA(INDEX(reading[[#This Row],[Memo 01]:[Memo 07]],MATCH(0,reading[[#This Row],[Memo 01]:[Memo 07]],-1)),"")</f>
        <v>45203</v>
      </c>
      <c r="X853" s="11">
        <f ca="1">IFERROR(reading[[#This Row],[Previous]]+OFFSET(reading[[#Headers],[Memo 01]],-1,MATCH(0,reading[[#This Row],[Memo 01]:[Memo 07]],-1)-1),"")</f>
        <v>55203</v>
      </c>
      <c r="Y853" s="10" t="str">
        <f ca="1">IF(reading[[#This Row],[Next]]&lt;&gt;"",IF(reading[[#This Row],[Next]]&gt;TODAY(),"OK",""),"")</f>
        <v>OK</v>
      </c>
      <c r="Z853" s="13">
        <v>3</v>
      </c>
      <c r="AA853" s="13"/>
      <c r="AB853" s="13"/>
      <c r="AC853" s="13"/>
      <c r="AD853" s="13"/>
      <c r="AE853" s="13"/>
      <c r="AF853" s="13"/>
      <c r="AG853" s="16">
        <f>IFERROR(SUMIF(reading[[#This Row],[1st]:[7th]],"&gt;0")/COUNTIF(reading[[#This Row],[1st]:[7th]],"&gt;0"),"")</f>
        <v>3</v>
      </c>
    </row>
    <row r="854" spans="1:33" hidden="1" x14ac:dyDescent="0.2">
      <c r="A854" s="4">
        <f>IF(B854=1,3,IF(D854=1,2,IF(F854=1,1,0)))</f>
        <v>0</v>
      </c>
      <c r="B854" s="4" t="str">
        <f>IF(C854=$L854,1,IF(C854="","",0))</f>
        <v/>
      </c>
      <c r="C854" s="42"/>
      <c r="D854" s="4" t="str">
        <f>IF(E854=$L854,1,IF(E854="","",0))</f>
        <v/>
      </c>
      <c r="E854" s="14"/>
      <c r="F854" s="4" t="str">
        <f>IF(G854=$L854,1,IF(G854="","",0))</f>
        <v/>
      </c>
      <c r="G854" s="14"/>
      <c r="H854" s="6">
        <v>960</v>
      </c>
      <c r="I854" s="15" t="s">
        <v>3120</v>
      </c>
      <c r="J854" s="6" t="s">
        <v>4089</v>
      </c>
      <c r="K854" s="6"/>
      <c r="L854" s="6" t="s">
        <v>1070</v>
      </c>
      <c r="M854" s="6" t="s">
        <v>7068</v>
      </c>
      <c r="N854" s="7">
        <f ca="1">RAND()</f>
        <v>0.18331483606186616</v>
      </c>
      <c r="O854" s="8">
        <v>45204</v>
      </c>
      <c r="P854" s="8">
        <v>45205</v>
      </c>
      <c r="Q854" s="8">
        <v>45207</v>
      </c>
      <c r="R854" s="8">
        <v>45211</v>
      </c>
      <c r="S854" s="8">
        <v>45218</v>
      </c>
      <c r="T854" s="8">
        <v>45230</v>
      </c>
      <c r="U854" s="8">
        <v>45792</v>
      </c>
      <c r="V854" s="10">
        <f>COUNTA(O854:U854)</f>
        <v>7</v>
      </c>
      <c r="W854" s="11">
        <f>_xlfn.IFNA(INDEX(reading[[#This Row],[Memo 01]:[Memo 07]],MATCH(0,reading[[#This Row],[Memo 01]:[Memo 07]],-1)),"")</f>
        <v>45792</v>
      </c>
      <c r="X854" s="11">
        <f ca="1">IFERROR(reading[[#This Row],[Previous]]+OFFSET(reading[[#Headers],[Memo 01]],-1,MATCH(0,reading[[#This Row],[Memo 01]:[Memo 07]],-1)-1),"")</f>
        <v>55792</v>
      </c>
      <c r="Y854" s="10" t="str">
        <f ca="1">IF(reading[[#This Row],[Next]]&lt;&gt;"",IF(reading[[#This Row],[Next]]&gt;TODAY(),"OK",""),"")</f>
        <v>OK</v>
      </c>
      <c r="Z854" s="13">
        <v>3</v>
      </c>
      <c r="AA854" s="13">
        <v>3</v>
      </c>
      <c r="AB854" s="13">
        <v>3</v>
      </c>
      <c r="AC854" s="13">
        <v>3</v>
      </c>
      <c r="AD854" s="13">
        <v>3</v>
      </c>
      <c r="AE854" s="13">
        <v>3</v>
      </c>
      <c r="AF854" s="13">
        <v>3</v>
      </c>
      <c r="AG854" s="16">
        <f>IFERROR(SUMIF(reading[[#This Row],[1st]:[7th]],"&gt;0")/COUNTIF(reading[[#This Row],[1st]:[7th]],"&gt;0"),"")</f>
        <v>3</v>
      </c>
    </row>
    <row r="855" spans="1:33" hidden="1" x14ac:dyDescent="0.2">
      <c r="A855" s="4">
        <f>IF(B855=1,3,IF(D855=1,2,IF(F855=1,1,0)))</f>
        <v>0</v>
      </c>
      <c r="B855" s="4" t="str">
        <f>IF(C855=$L855,1,IF(C855="","",0))</f>
        <v/>
      </c>
      <c r="C855" s="42"/>
      <c r="D855" s="4" t="str">
        <f>IF(E855=$L855,1,IF(E855="","",0))</f>
        <v/>
      </c>
      <c r="E855" s="18"/>
      <c r="F855" s="4" t="str">
        <f>IF(G855=$L855,1,IF(G855="","",0))</f>
        <v/>
      </c>
      <c r="G855" s="18"/>
      <c r="H855" s="6">
        <v>1421</v>
      </c>
      <c r="I855" s="15" t="s">
        <v>3120</v>
      </c>
      <c r="J855" s="6" t="s">
        <v>4535</v>
      </c>
      <c r="K855" s="6"/>
      <c r="L855" s="6" t="s">
        <v>1512</v>
      </c>
      <c r="M855" s="6" t="s">
        <v>7528</v>
      </c>
      <c r="N855" s="7">
        <f ca="1">RAND()</f>
        <v>0.7205023481556343</v>
      </c>
      <c r="O855" s="8">
        <v>45208</v>
      </c>
      <c r="P855" s="8">
        <v>45209</v>
      </c>
      <c r="Q855" s="8">
        <v>45211</v>
      </c>
      <c r="R855" s="8">
        <v>45215</v>
      </c>
      <c r="S855" s="8">
        <v>45222</v>
      </c>
      <c r="T855" s="8">
        <v>45235</v>
      </c>
      <c r="U855" s="8">
        <v>45792</v>
      </c>
      <c r="V855" s="10">
        <f>COUNTA(O855:U855)</f>
        <v>7</v>
      </c>
      <c r="W855" s="11">
        <f>_xlfn.IFNA(INDEX(reading[[#This Row],[Memo 01]:[Memo 07]],MATCH(0,reading[[#This Row],[Memo 01]:[Memo 07]],-1)),"")</f>
        <v>45792</v>
      </c>
      <c r="X855" s="11">
        <f ca="1">IFERROR(reading[[#This Row],[Previous]]+OFFSET(reading[[#Headers],[Memo 01]],-1,MATCH(0,reading[[#This Row],[Memo 01]:[Memo 07]],-1)-1),"")</f>
        <v>55792</v>
      </c>
      <c r="Y855" s="10" t="str">
        <f ca="1">IF(reading[[#This Row],[Next]]&lt;&gt;"",IF(reading[[#This Row],[Next]]&gt;TODAY(),"OK",""),"")</f>
        <v>OK</v>
      </c>
      <c r="Z855" s="13">
        <v>3</v>
      </c>
      <c r="AA855" s="13">
        <v>3</v>
      </c>
      <c r="AB855" s="13">
        <v>3</v>
      </c>
      <c r="AC855" s="13">
        <v>2</v>
      </c>
      <c r="AD855" s="13">
        <v>1</v>
      </c>
      <c r="AE855" s="13">
        <v>1</v>
      </c>
      <c r="AF855" s="13">
        <v>3</v>
      </c>
      <c r="AG855" s="16">
        <f>IFERROR(SUMIF(reading[[#This Row],[1st]:[7th]],"&gt;0")/COUNTIF(reading[[#This Row],[1st]:[7th]],"&gt;0"),"")</f>
        <v>2.2857142857142856</v>
      </c>
    </row>
    <row r="856" spans="1:33" hidden="1" x14ac:dyDescent="0.2">
      <c r="A856" s="4">
        <f>IF(B856=1,3,IF(D856=1,2,IF(F856=1,1,0)))</f>
        <v>0</v>
      </c>
      <c r="B856" s="4" t="str">
        <f>IF(C856=$L856,1,IF(C856="","",0))</f>
        <v/>
      </c>
      <c r="C856" s="42"/>
      <c r="D856" s="4" t="str">
        <f>IF(E856=$L856,1,IF(E856="","",0))</f>
        <v/>
      </c>
      <c r="E856" s="43"/>
      <c r="F856" s="4" t="str">
        <f>IF(G856=$L856,1,IF(G856="","",0))</f>
        <v/>
      </c>
      <c r="G856" s="23"/>
      <c r="H856" s="6">
        <v>1986</v>
      </c>
      <c r="I856" s="15" t="s">
        <v>3120</v>
      </c>
      <c r="J856" s="6" t="s">
        <v>5084</v>
      </c>
      <c r="K856" s="6"/>
      <c r="L856" s="6" t="s">
        <v>2061</v>
      </c>
      <c r="M856" s="6" t="s">
        <v>8092</v>
      </c>
      <c r="N856" s="7">
        <f ca="1">RAND()</f>
        <v>0.12777572441548879</v>
      </c>
      <c r="O856" s="8">
        <v>45213</v>
      </c>
      <c r="P856" s="8">
        <v>45214</v>
      </c>
      <c r="Q856" s="8">
        <v>45216</v>
      </c>
      <c r="R856" s="8">
        <v>45220</v>
      </c>
      <c r="S856" s="8">
        <v>45227</v>
      </c>
      <c r="T856" s="8">
        <v>45811</v>
      </c>
      <c r="U856" s="8"/>
      <c r="V856" s="10">
        <f>COUNTA(O856:U856)</f>
        <v>6</v>
      </c>
      <c r="W856" s="11">
        <f>_xlfn.IFNA(INDEX(reading[[#This Row],[Memo 01]:[Memo 07]],MATCH(0,reading[[#This Row],[Memo 01]:[Memo 07]],-1)),"")</f>
        <v>45811</v>
      </c>
      <c r="X856" s="11">
        <f ca="1">IFERROR(reading[[#This Row],[Previous]]+OFFSET(reading[[#Headers],[Memo 01]],-1,MATCH(0,reading[[#This Row],[Memo 01]:[Memo 07]],-1)-1),"")</f>
        <v>45831</v>
      </c>
      <c r="Y856" s="10" t="str">
        <f ca="1">IF(reading[[#This Row],[Next]]&lt;&gt;"",IF(reading[[#This Row],[Next]]&gt;TODAY(),"OK",""),"")</f>
        <v/>
      </c>
      <c r="Z856" s="13">
        <v>3</v>
      </c>
      <c r="AA856" s="13">
        <v>3</v>
      </c>
      <c r="AB856" s="13">
        <v>3</v>
      </c>
      <c r="AC856" s="13">
        <v>2</v>
      </c>
      <c r="AD856" s="13">
        <v>3</v>
      </c>
      <c r="AE856" s="13">
        <v>1</v>
      </c>
      <c r="AF856" s="13"/>
      <c r="AG856" s="16">
        <f>IFERROR(SUMIF(reading[[#This Row],[1st]:[7th]],"&gt;0")/COUNTIF(reading[[#This Row],[1st]:[7th]],"&gt;0"),"")</f>
        <v>2.5</v>
      </c>
    </row>
    <row r="857" spans="1:33" hidden="1" x14ac:dyDescent="0.2">
      <c r="A857" s="4">
        <f>IF(B857=1,3,IF(D857=1,2,IF(F857=1,1,0)))</f>
        <v>3</v>
      </c>
      <c r="B857" s="4">
        <f>IF(C857=$L857,1,IF(C857="","",0))</f>
        <v>1</v>
      </c>
      <c r="C857" s="21" t="s">
        <v>976</v>
      </c>
      <c r="D857" s="4" t="str">
        <f>IF(E857=$L857,1,IF(E857="","",0))</f>
        <v/>
      </c>
      <c r="E857" s="14"/>
      <c r="F857" s="4" t="str">
        <f>IF(G857=$L857,1,IF(G857="","",0))</f>
        <v/>
      </c>
      <c r="G857" s="14"/>
      <c r="H857" s="6">
        <v>860</v>
      </c>
      <c r="I857" s="15" t="s">
        <v>3120</v>
      </c>
      <c r="J857" s="6" t="s">
        <v>3992</v>
      </c>
      <c r="K857" s="6"/>
      <c r="L857" s="6" t="s">
        <v>976</v>
      </c>
      <c r="M857" s="6" t="s">
        <v>6969</v>
      </c>
      <c r="N857" s="7">
        <f ca="1">RAND()</f>
        <v>0.14932405885359423</v>
      </c>
      <c r="O857" s="8">
        <v>45203</v>
      </c>
      <c r="P857" s="8">
        <v>45203</v>
      </c>
      <c r="Q857" s="8">
        <v>45203</v>
      </c>
      <c r="R857" s="8">
        <v>45203</v>
      </c>
      <c r="S857" s="8">
        <v>45203</v>
      </c>
      <c r="T857" s="8">
        <v>45203</v>
      </c>
      <c r="U857" s="8">
        <v>45203</v>
      </c>
      <c r="V857" s="10">
        <f>COUNTA(O857:U857)</f>
        <v>7</v>
      </c>
      <c r="W857" s="11">
        <f>_xlfn.IFNA(INDEX(reading[[#This Row],[Memo 01]:[Memo 07]],MATCH(0,reading[[#This Row],[Memo 01]:[Memo 07]],-1)),"")</f>
        <v>45203</v>
      </c>
      <c r="X857" s="11">
        <f ca="1">IFERROR(reading[[#This Row],[Previous]]+OFFSET(reading[[#Headers],[Memo 01]],-1,MATCH(0,reading[[#This Row],[Memo 01]:[Memo 07]],-1)-1),"")</f>
        <v>55203</v>
      </c>
      <c r="Y857" s="10" t="str">
        <f ca="1">IF(reading[[#This Row],[Next]]&lt;&gt;"",IF(reading[[#This Row],[Next]]&gt;TODAY(),"OK",""),"")</f>
        <v>OK</v>
      </c>
      <c r="Z857" s="13">
        <v>3</v>
      </c>
      <c r="AA857" s="13"/>
      <c r="AB857" s="13"/>
      <c r="AC857" s="13"/>
      <c r="AD857" s="13"/>
      <c r="AE857" s="13"/>
      <c r="AF857" s="13"/>
      <c r="AG857" s="16">
        <f>IFERROR(SUMIF(reading[[#This Row],[1st]:[7th]],"&gt;0")/COUNTIF(reading[[#This Row],[1st]:[7th]],"&gt;0"),"")</f>
        <v>3</v>
      </c>
    </row>
    <row r="858" spans="1:33" hidden="1" x14ac:dyDescent="0.2">
      <c r="A858" s="4">
        <f>IF(B858=1,3,IF(D858=1,2,IF(F858=1,1,0)))</f>
        <v>0</v>
      </c>
      <c r="B858" s="4" t="str">
        <f>IF(C858=$L858,1,IF(C858="","",0))</f>
        <v/>
      </c>
      <c r="C858" s="42"/>
      <c r="D858" s="4" t="str">
        <f>IF(E858=$L858,1,IF(E858="","",0))</f>
        <v/>
      </c>
      <c r="E858" s="14"/>
      <c r="F858" s="4" t="str">
        <f>IF(G858=$L858,1,IF(G858="","",0))</f>
        <v/>
      </c>
      <c r="G858" s="14"/>
      <c r="H858" s="6">
        <v>1891</v>
      </c>
      <c r="I858" s="15" t="s">
        <v>3120</v>
      </c>
      <c r="J858" s="6" t="s">
        <v>4993</v>
      </c>
      <c r="K858" s="6"/>
      <c r="L858" s="6" t="s">
        <v>1967</v>
      </c>
      <c r="M858" s="6" t="s">
        <v>7997</v>
      </c>
      <c r="N858" s="7">
        <f ca="1">RAND()</f>
        <v>0.41905461177004621</v>
      </c>
      <c r="O858" s="8">
        <v>45212</v>
      </c>
      <c r="P858" s="8">
        <v>45213</v>
      </c>
      <c r="Q858" s="8">
        <v>45215</v>
      </c>
      <c r="R858" s="8">
        <v>45219</v>
      </c>
      <c r="S858" s="8">
        <v>45226</v>
      </c>
      <c r="T858" s="8">
        <v>45819</v>
      </c>
      <c r="U858" s="8"/>
      <c r="V858" s="10">
        <f>COUNTA(O858:U858)</f>
        <v>6</v>
      </c>
      <c r="W858" s="11">
        <f>_xlfn.IFNA(INDEX(reading[[#This Row],[Memo 01]:[Memo 07]],MATCH(0,reading[[#This Row],[Memo 01]:[Memo 07]],-1)),"")</f>
        <v>45819</v>
      </c>
      <c r="X858" s="11">
        <f ca="1">IFERROR(reading[[#This Row],[Previous]]+OFFSET(reading[[#Headers],[Memo 01]],-1,MATCH(0,reading[[#This Row],[Memo 01]:[Memo 07]],-1)-1),"")</f>
        <v>45839</v>
      </c>
      <c r="Y858" s="10" t="str">
        <f ca="1">IF(reading[[#This Row],[Next]]&lt;&gt;"",IF(reading[[#This Row],[Next]]&gt;TODAY(),"OK",""),"")</f>
        <v>OK</v>
      </c>
      <c r="Z858" s="13">
        <v>3</v>
      </c>
      <c r="AA858" s="13">
        <v>3</v>
      </c>
      <c r="AB858" s="13">
        <v>3</v>
      </c>
      <c r="AC858" s="13">
        <v>3</v>
      </c>
      <c r="AD858" s="13">
        <v>3</v>
      </c>
      <c r="AE858" s="13">
        <v>3</v>
      </c>
      <c r="AF858" s="13"/>
      <c r="AG858" s="16">
        <f>IFERROR(SUMIF(reading[[#This Row],[1st]:[7th]],"&gt;0")/COUNTIF(reading[[#This Row],[1st]:[7th]],"&gt;0"),"")</f>
        <v>3</v>
      </c>
    </row>
    <row r="859" spans="1:33" hidden="1" x14ac:dyDescent="0.2">
      <c r="A859" s="4">
        <f>IF(B859=1,3,IF(D859=1,2,IF(F859=1,1,0)))</f>
        <v>0</v>
      </c>
      <c r="B859" s="4" t="str">
        <f>IF(C859=$L859,1,IF(C859="","",0))</f>
        <v/>
      </c>
      <c r="C859" s="42"/>
      <c r="D859" s="4" t="str">
        <f>IF(E859=$L859,1,IF(E859="","",0))</f>
        <v/>
      </c>
      <c r="E859" s="14"/>
      <c r="F859" s="4" t="str">
        <f>IF(G859=$L859,1,IF(G859="","",0))</f>
        <v/>
      </c>
      <c r="G859" s="14"/>
      <c r="H859" s="6">
        <v>1549</v>
      </c>
      <c r="I859" s="15" t="s">
        <v>3120</v>
      </c>
      <c r="J859" s="6" t="s">
        <v>4662</v>
      </c>
      <c r="K859" s="6"/>
      <c r="L859" s="6" t="s">
        <v>1634</v>
      </c>
      <c r="M859" s="6" t="s">
        <v>7656</v>
      </c>
      <c r="N859" s="7">
        <f ca="1">RAND()</f>
        <v>0.48616585560744396</v>
      </c>
      <c r="O859" s="8">
        <v>45209</v>
      </c>
      <c r="P859" s="8">
        <v>45210</v>
      </c>
      <c r="Q859" s="8">
        <v>45212</v>
      </c>
      <c r="R859" s="8">
        <v>45216</v>
      </c>
      <c r="S859" s="8">
        <v>45223</v>
      </c>
      <c r="T859" s="8">
        <v>45235</v>
      </c>
      <c r="U859" s="8">
        <v>45792</v>
      </c>
      <c r="V859" s="10">
        <f>COUNTA(O859:U859)</f>
        <v>7</v>
      </c>
      <c r="W859" s="11">
        <f>_xlfn.IFNA(INDEX(reading[[#This Row],[Memo 01]:[Memo 07]],MATCH(0,reading[[#This Row],[Memo 01]:[Memo 07]],-1)),"")</f>
        <v>45792</v>
      </c>
      <c r="X859" s="11">
        <f ca="1">IFERROR(reading[[#This Row],[Previous]]+OFFSET(reading[[#Headers],[Memo 01]],-1,MATCH(0,reading[[#This Row],[Memo 01]:[Memo 07]],-1)-1),"")</f>
        <v>55792</v>
      </c>
      <c r="Y859" s="10" t="str">
        <f ca="1">IF(reading[[#This Row],[Next]]&lt;&gt;"",IF(reading[[#This Row],[Next]]&gt;TODAY(),"OK",""),"")</f>
        <v>OK</v>
      </c>
      <c r="Z859" s="13">
        <v>3</v>
      </c>
      <c r="AA859" s="13">
        <v>3</v>
      </c>
      <c r="AB859" s="13">
        <v>3</v>
      </c>
      <c r="AC859" s="13">
        <v>3</v>
      </c>
      <c r="AD859" s="13">
        <v>3</v>
      </c>
      <c r="AE859" s="13">
        <v>3</v>
      </c>
      <c r="AF859" s="13">
        <v>3</v>
      </c>
      <c r="AG859" s="16">
        <f>IFERROR(SUMIF(reading[[#This Row],[1st]:[7th]],"&gt;0")/COUNTIF(reading[[#This Row],[1st]:[7th]],"&gt;0"),"")</f>
        <v>3</v>
      </c>
    </row>
    <row r="860" spans="1:33" hidden="1" x14ac:dyDescent="0.2">
      <c r="A860" s="4">
        <f>IF(B860=1,3,IF(D860=1,2,IF(F860=1,1,0)))</f>
        <v>0</v>
      </c>
      <c r="B860" s="4" t="str">
        <f>IF(C860=$L860,1,IF(C860="","",0))</f>
        <v/>
      </c>
      <c r="C860" s="42"/>
      <c r="D860" s="4" t="str">
        <f>IF(E860=$L860,1,IF(E860="","",0))</f>
        <v/>
      </c>
      <c r="E860" s="43"/>
      <c r="F860" s="4" t="str">
        <f>IF(G860=$L860,1,IF(G860="","",0))</f>
        <v/>
      </c>
      <c r="G860" s="18"/>
      <c r="H860" s="6">
        <v>2847</v>
      </c>
      <c r="I860" s="15" t="s">
        <v>3120</v>
      </c>
      <c r="J860" s="6" t="s">
        <v>5887</v>
      </c>
      <c r="K860" s="6"/>
      <c r="L860" s="6" t="s">
        <v>2882</v>
      </c>
      <c r="M860" s="6" t="s">
        <v>8951</v>
      </c>
      <c r="N860" s="7">
        <f ca="1">RAND()</f>
        <v>0.16768326918250875</v>
      </c>
      <c r="O860" s="8">
        <v>45222</v>
      </c>
      <c r="P860" s="8">
        <v>45223</v>
      </c>
      <c r="Q860" s="8">
        <v>45225</v>
      </c>
      <c r="R860" s="8">
        <v>45229</v>
      </c>
      <c r="S860" s="8">
        <v>45236</v>
      </c>
      <c r="T860" s="8">
        <v>45250</v>
      </c>
      <c r="U860" s="8">
        <v>45825</v>
      </c>
      <c r="V860" s="10">
        <f>COUNTA(O860:U860)</f>
        <v>7</v>
      </c>
      <c r="W860" s="11">
        <f>_xlfn.IFNA(INDEX(reading[[#This Row],[Memo 01]:[Memo 07]],MATCH(0,reading[[#This Row],[Memo 01]:[Memo 07]],-1)),"")</f>
        <v>45825</v>
      </c>
      <c r="X860" s="11">
        <f ca="1">IFERROR(reading[[#This Row],[Previous]]+OFFSET(reading[[#Headers],[Memo 01]],-1,MATCH(0,reading[[#This Row],[Memo 01]:[Memo 07]],-1)-1),"")</f>
        <v>55825</v>
      </c>
      <c r="Y860" s="10" t="str">
        <f ca="1">IF(reading[[#This Row],[Next]]&lt;&gt;"",IF(reading[[#This Row],[Next]]&gt;TODAY(),"OK",""),"")</f>
        <v>OK</v>
      </c>
      <c r="Z860" s="13">
        <v>3</v>
      </c>
      <c r="AA860" s="13">
        <v>3</v>
      </c>
      <c r="AB860" s="13">
        <v>2</v>
      </c>
      <c r="AC860" s="13">
        <v>1</v>
      </c>
      <c r="AD860" s="13">
        <v>3</v>
      </c>
      <c r="AE860" s="13">
        <v>2</v>
      </c>
      <c r="AF860" s="13">
        <v>2</v>
      </c>
      <c r="AG860" s="16">
        <f>IFERROR(SUMIF(reading[[#This Row],[1st]:[7th]],"&gt;0")/COUNTIF(reading[[#This Row],[1st]:[7th]],"&gt;0"),"")</f>
        <v>2.2857142857142856</v>
      </c>
    </row>
    <row r="861" spans="1:33" hidden="1" x14ac:dyDescent="0.2">
      <c r="A861" s="4">
        <f>IF(B861=1,3,IF(D861=1,2,IF(F861=1,1,0)))</f>
        <v>0</v>
      </c>
      <c r="B861" s="4" t="str">
        <f>IF(C861=$L861,1,IF(C861="","",0))</f>
        <v/>
      </c>
      <c r="C861" s="42"/>
      <c r="D861" s="4" t="str">
        <f>IF(E861=$L861,1,IF(E861="","",0))</f>
        <v/>
      </c>
      <c r="E861" s="14"/>
      <c r="F861" s="4" t="str">
        <f>IF(G861=$L861,1,IF(G861="","",0))</f>
        <v/>
      </c>
      <c r="G861" s="14"/>
      <c r="H861" s="6">
        <v>658</v>
      </c>
      <c r="I861" s="15" t="s">
        <v>3120</v>
      </c>
      <c r="J861" s="6" t="s">
        <v>3798</v>
      </c>
      <c r="K861" s="6"/>
      <c r="L861" s="6" t="s">
        <v>781</v>
      </c>
      <c r="M861" s="6" t="s">
        <v>6767</v>
      </c>
      <c r="N861" s="7">
        <f ca="1">RAND()</f>
        <v>0.52967607402941885</v>
      </c>
      <c r="O861" s="8">
        <v>45202</v>
      </c>
      <c r="P861" s="8">
        <v>45203</v>
      </c>
      <c r="Q861" s="8">
        <v>45205</v>
      </c>
      <c r="R861" s="8">
        <v>45209</v>
      </c>
      <c r="S861" s="8">
        <v>45216</v>
      </c>
      <c r="T861" s="8">
        <v>45228</v>
      </c>
      <c r="U861" s="8">
        <v>45792</v>
      </c>
      <c r="V861" s="10">
        <f>COUNTA(O861:U861)</f>
        <v>7</v>
      </c>
      <c r="W861" s="11">
        <f>_xlfn.IFNA(INDEX(reading[[#This Row],[Memo 01]:[Memo 07]],MATCH(0,reading[[#This Row],[Memo 01]:[Memo 07]],-1)),"")</f>
        <v>45792</v>
      </c>
      <c r="X861" s="11">
        <f ca="1">IFERROR(reading[[#This Row],[Previous]]+OFFSET(reading[[#Headers],[Memo 01]],-1,MATCH(0,reading[[#This Row],[Memo 01]:[Memo 07]],-1)-1),"")</f>
        <v>55792</v>
      </c>
      <c r="Y861" s="10" t="str">
        <f ca="1">IF(reading[[#This Row],[Next]]&lt;&gt;"",IF(reading[[#This Row],[Next]]&gt;TODAY(),"OK",""),"")</f>
        <v>OK</v>
      </c>
      <c r="Z861" s="13">
        <v>3</v>
      </c>
      <c r="AA861" s="13">
        <v>3</v>
      </c>
      <c r="AB861" s="13">
        <v>3</v>
      </c>
      <c r="AC861" s="13">
        <v>3</v>
      </c>
      <c r="AD861" s="13">
        <v>3</v>
      </c>
      <c r="AE861" s="13">
        <v>2</v>
      </c>
      <c r="AF861" s="13">
        <v>3</v>
      </c>
      <c r="AG861" s="16">
        <f>IFERROR(SUMIF(reading[[#This Row],[1st]:[7th]],"&gt;0")/COUNTIF(reading[[#This Row],[1st]:[7th]],"&gt;0"),"")</f>
        <v>2.8571428571428572</v>
      </c>
    </row>
    <row r="862" spans="1:33" hidden="1" x14ac:dyDescent="0.2">
      <c r="A862" s="4">
        <f>IF(B862=1,3,IF(D862=1,2,IF(F862=1,1,0)))</f>
        <v>0</v>
      </c>
      <c r="B862" s="4" t="str">
        <f>IF(C862=$L862,1,IF(C862="","",0))</f>
        <v/>
      </c>
      <c r="C862" s="42"/>
      <c r="D862" s="4" t="str">
        <f>IF(E862=$L862,1,IF(E862="","",0))</f>
        <v/>
      </c>
      <c r="E862" s="18"/>
      <c r="F862" s="4" t="str">
        <f>IF(G862=$L862,1,IF(G862="","",0))</f>
        <v/>
      </c>
      <c r="G862" s="14"/>
      <c r="H862" s="6">
        <v>1676</v>
      </c>
      <c r="I862" s="15" t="s">
        <v>3120</v>
      </c>
      <c r="J862" s="6" t="s">
        <v>4787</v>
      </c>
      <c r="K862" s="6" t="s">
        <v>3138</v>
      </c>
      <c r="L862" s="6" t="s">
        <v>1756</v>
      </c>
      <c r="M862" s="6" t="s">
        <v>7782</v>
      </c>
      <c r="N862" s="7">
        <f ca="1">RAND()</f>
        <v>0.9716408406037953</v>
      </c>
      <c r="O862" s="8">
        <v>45210</v>
      </c>
      <c r="P862" s="8">
        <v>45211</v>
      </c>
      <c r="Q862" s="8">
        <v>45213</v>
      </c>
      <c r="R862" s="8">
        <v>45217</v>
      </c>
      <c r="S862" s="8">
        <v>45224</v>
      </c>
      <c r="T862" s="8">
        <v>45236</v>
      </c>
      <c r="U862" s="8">
        <v>45792</v>
      </c>
      <c r="V862" s="10">
        <f>COUNTA(O862:U862)</f>
        <v>7</v>
      </c>
      <c r="W862" s="11">
        <f>_xlfn.IFNA(INDEX(reading[[#This Row],[Memo 01]:[Memo 07]],MATCH(0,reading[[#This Row],[Memo 01]:[Memo 07]],-1)),"")</f>
        <v>45792</v>
      </c>
      <c r="X862" s="11">
        <f ca="1">IFERROR(reading[[#This Row],[Previous]]+OFFSET(reading[[#Headers],[Memo 01]],-1,MATCH(0,reading[[#This Row],[Memo 01]:[Memo 07]],-1)-1),"")</f>
        <v>55792</v>
      </c>
      <c r="Y862" s="10" t="str">
        <f ca="1">IF(reading[[#This Row],[Next]]&lt;&gt;"",IF(reading[[#This Row],[Next]]&gt;TODAY(),"OK",""),"")</f>
        <v>OK</v>
      </c>
      <c r="Z862" s="13">
        <v>3</v>
      </c>
      <c r="AA862" s="13">
        <v>3</v>
      </c>
      <c r="AB862" s="13">
        <v>3</v>
      </c>
      <c r="AC862" s="13">
        <v>3</v>
      </c>
      <c r="AD862" s="13">
        <v>2</v>
      </c>
      <c r="AE862" s="13">
        <v>3</v>
      </c>
      <c r="AF862" s="13">
        <v>3</v>
      </c>
      <c r="AG862" s="16">
        <f>IFERROR(SUMIF(reading[[#This Row],[1st]:[7th]],"&gt;0")/COUNTIF(reading[[#This Row],[1st]:[7th]],"&gt;0"),"")</f>
        <v>2.8571428571428572</v>
      </c>
    </row>
    <row r="863" spans="1:33" hidden="1" x14ac:dyDescent="0.2">
      <c r="A863" s="4">
        <f>IF(B863=1,3,IF(D863=1,2,IF(F863=1,1,0)))</f>
        <v>0</v>
      </c>
      <c r="B863" s="4" t="str">
        <f>IF(C863=$L863,1,IF(C863="","",0))</f>
        <v/>
      </c>
      <c r="C863" s="42"/>
      <c r="D863" s="4" t="str">
        <f>IF(E863=$L863,1,IF(E863="","",0))</f>
        <v/>
      </c>
      <c r="E863" s="14"/>
      <c r="F863" s="4" t="str">
        <f>IF(G863=$L863,1,IF(G863="","",0))</f>
        <v/>
      </c>
      <c r="G863" s="14"/>
      <c r="H863" s="6">
        <v>1781</v>
      </c>
      <c r="I863" s="15" t="s">
        <v>3120</v>
      </c>
      <c r="J863" s="6" t="s">
        <v>4888</v>
      </c>
      <c r="K863" s="6"/>
      <c r="L863" s="6" t="s">
        <v>1860</v>
      </c>
      <c r="M863" s="6" t="s">
        <v>7887</v>
      </c>
      <c r="N863" s="7">
        <f ca="1">RAND()</f>
        <v>0.66797475823179298</v>
      </c>
      <c r="O863" s="8">
        <v>45211</v>
      </c>
      <c r="P863" s="8">
        <v>45212</v>
      </c>
      <c r="Q863" s="8">
        <v>45214</v>
      </c>
      <c r="R863" s="8">
        <v>45218</v>
      </c>
      <c r="S863" s="8">
        <v>45225</v>
      </c>
      <c r="T863" s="8">
        <v>45237</v>
      </c>
      <c r="U863" s="8">
        <v>45824</v>
      </c>
      <c r="V863" s="10">
        <f>COUNTA(O863:U863)</f>
        <v>7</v>
      </c>
      <c r="W863" s="11">
        <f>_xlfn.IFNA(INDEX(reading[[#This Row],[Memo 01]:[Memo 07]],MATCH(0,reading[[#This Row],[Memo 01]:[Memo 07]],-1)),"")</f>
        <v>45824</v>
      </c>
      <c r="X863" s="11">
        <f ca="1">IFERROR(reading[[#This Row],[Previous]]+OFFSET(reading[[#Headers],[Memo 01]],-1,MATCH(0,reading[[#This Row],[Memo 01]:[Memo 07]],-1)-1),"")</f>
        <v>55824</v>
      </c>
      <c r="Y863" s="10" t="str">
        <f ca="1">IF(reading[[#This Row],[Next]]&lt;&gt;"",IF(reading[[#This Row],[Next]]&gt;TODAY(),"OK",""),"")</f>
        <v>OK</v>
      </c>
      <c r="Z863" s="13">
        <v>3</v>
      </c>
      <c r="AA863" s="13">
        <v>3</v>
      </c>
      <c r="AB863" s="13">
        <v>3</v>
      </c>
      <c r="AC863" s="13">
        <v>3</v>
      </c>
      <c r="AD863" s="13">
        <v>3</v>
      </c>
      <c r="AE863" s="13">
        <v>3</v>
      </c>
      <c r="AF863" s="13">
        <v>3</v>
      </c>
      <c r="AG863" s="16">
        <f>IFERROR(SUMIF(reading[[#This Row],[1st]:[7th]],"&gt;0")/COUNTIF(reading[[#This Row],[1st]:[7th]],"&gt;0"),"")</f>
        <v>3</v>
      </c>
    </row>
    <row r="864" spans="1:33" hidden="1" x14ac:dyDescent="0.2">
      <c r="A864" s="4">
        <f>IF(B864=1,3,IF(D864=1,2,IF(F864=1,1,0)))</f>
        <v>0</v>
      </c>
      <c r="B864" s="4" t="str">
        <f>IF(C864=$L864,1,IF(C864="","",0))</f>
        <v/>
      </c>
      <c r="C864" s="42"/>
      <c r="D864" s="4" t="str">
        <f>IF(E864=$L864,1,IF(E864="","",0))</f>
        <v/>
      </c>
      <c r="E864" s="18"/>
      <c r="F864" s="4" t="str">
        <f>IF(G864=$L864,1,IF(G864="","",0))</f>
        <v/>
      </c>
      <c r="G864" s="14"/>
      <c r="H864" s="6">
        <v>1726</v>
      </c>
      <c r="I864" s="15" t="s">
        <v>3120</v>
      </c>
      <c r="J864" s="6" t="s">
        <v>4834</v>
      </c>
      <c r="K864" s="6"/>
      <c r="L864" s="6" t="s">
        <v>1806</v>
      </c>
      <c r="M864" s="6" t="s">
        <v>7832</v>
      </c>
      <c r="N864" s="7">
        <f ca="1">RAND()</f>
        <v>0.66966093589151077</v>
      </c>
      <c r="O864" s="8">
        <v>45211</v>
      </c>
      <c r="P864" s="8">
        <v>45212</v>
      </c>
      <c r="Q864" s="8">
        <v>45214</v>
      </c>
      <c r="R864" s="8">
        <v>45218</v>
      </c>
      <c r="S864" s="8">
        <v>45225</v>
      </c>
      <c r="T864" s="8">
        <v>45248</v>
      </c>
      <c r="U864" s="8">
        <v>45792</v>
      </c>
      <c r="V864" s="10">
        <f>COUNTA(O864:U864)</f>
        <v>7</v>
      </c>
      <c r="W864" s="11">
        <f>_xlfn.IFNA(INDEX(reading[[#This Row],[Memo 01]:[Memo 07]],MATCH(0,reading[[#This Row],[Memo 01]:[Memo 07]],-1)),"")</f>
        <v>45792</v>
      </c>
      <c r="X864" s="11">
        <f ca="1">IFERROR(reading[[#This Row],[Previous]]+OFFSET(reading[[#Headers],[Memo 01]],-1,MATCH(0,reading[[#This Row],[Memo 01]:[Memo 07]],-1)-1),"")</f>
        <v>55792</v>
      </c>
      <c r="Y864" s="10" t="str">
        <f ca="1">IF(reading[[#This Row],[Next]]&lt;&gt;"",IF(reading[[#This Row],[Next]]&gt;TODAY(),"OK",""),"")</f>
        <v>OK</v>
      </c>
      <c r="Z864" s="13">
        <v>3</v>
      </c>
      <c r="AA864" s="13">
        <v>3</v>
      </c>
      <c r="AB864" s="13">
        <v>3</v>
      </c>
      <c r="AC864" s="13">
        <v>3</v>
      </c>
      <c r="AD864" s="13">
        <v>3</v>
      </c>
      <c r="AE864" s="13">
        <v>2</v>
      </c>
      <c r="AF864" s="13">
        <v>3</v>
      </c>
      <c r="AG864" s="16">
        <f>IFERROR(SUMIF(reading[[#This Row],[1st]:[7th]],"&gt;0")/COUNTIF(reading[[#This Row],[1st]:[7th]],"&gt;0"),"")</f>
        <v>2.8571428571428572</v>
      </c>
    </row>
    <row r="865" spans="1:33" hidden="1" x14ac:dyDescent="0.2">
      <c r="A865" s="4">
        <f>IF(B865=1,3,IF(D865=1,2,IF(F865=1,1,0)))</f>
        <v>0</v>
      </c>
      <c r="B865" s="4" t="str">
        <f>IF(C865=$L865,1,IF(C865="","",0))</f>
        <v/>
      </c>
      <c r="C865" s="42"/>
      <c r="D865" s="4" t="str">
        <f>IF(E865=$L865,1,IF(E865="","",0))</f>
        <v/>
      </c>
      <c r="E865" s="14"/>
      <c r="F865" s="4" t="str">
        <f>IF(G865=$L865,1,IF(G865="","",0))</f>
        <v/>
      </c>
      <c r="G865" s="14"/>
      <c r="H865" s="6">
        <v>671</v>
      </c>
      <c r="I865" s="15" t="s">
        <v>3120</v>
      </c>
      <c r="J865" s="6" t="s">
        <v>3810</v>
      </c>
      <c r="K865" s="6"/>
      <c r="L865" s="6" t="s">
        <v>794</v>
      </c>
      <c r="M865" s="6" t="s">
        <v>6780</v>
      </c>
      <c r="N865" s="7">
        <f ca="1">RAND()</f>
        <v>0.74896636046714082</v>
      </c>
      <c r="O865" s="8">
        <v>45203</v>
      </c>
      <c r="P865" s="8">
        <v>45204</v>
      </c>
      <c r="Q865" s="8">
        <v>45206</v>
      </c>
      <c r="R865" s="8">
        <v>45210</v>
      </c>
      <c r="S865" s="8">
        <v>45217</v>
      </c>
      <c r="T865" s="8">
        <v>45229</v>
      </c>
      <c r="U865" s="8">
        <v>45801</v>
      </c>
      <c r="V865" s="10">
        <f>COUNTA(O865:U865)</f>
        <v>7</v>
      </c>
      <c r="W865" s="11">
        <f>_xlfn.IFNA(INDEX(reading[[#This Row],[Memo 01]:[Memo 07]],MATCH(0,reading[[#This Row],[Memo 01]:[Memo 07]],-1)),"")</f>
        <v>45801</v>
      </c>
      <c r="X865" s="11">
        <f ca="1">IFERROR(reading[[#This Row],[Previous]]+OFFSET(reading[[#Headers],[Memo 01]],-1,MATCH(0,reading[[#This Row],[Memo 01]:[Memo 07]],-1)-1),"")</f>
        <v>55801</v>
      </c>
      <c r="Y865" s="10" t="str">
        <f ca="1">IF(reading[[#This Row],[Next]]&lt;&gt;"",IF(reading[[#This Row],[Next]]&gt;TODAY(),"OK",""),"")</f>
        <v>OK</v>
      </c>
      <c r="Z865" s="13">
        <v>3</v>
      </c>
      <c r="AA865" s="13">
        <v>3</v>
      </c>
      <c r="AB865" s="13">
        <v>3</v>
      </c>
      <c r="AC865" s="13">
        <v>3</v>
      </c>
      <c r="AD865" s="13">
        <v>3</v>
      </c>
      <c r="AE865" s="13">
        <v>3</v>
      </c>
      <c r="AF865" s="13">
        <v>3</v>
      </c>
      <c r="AG865" s="16">
        <f>IFERROR(SUMIF(reading[[#This Row],[1st]:[7th]],"&gt;0")/COUNTIF(reading[[#This Row],[1st]:[7th]],"&gt;0"),"")</f>
        <v>3</v>
      </c>
    </row>
    <row r="866" spans="1:33" hidden="1" x14ac:dyDescent="0.2">
      <c r="A866" s="4">
        <f>IF(B866=1,3,IF(D866=1,2,IF(F866=1,1,0)))</f>
        <v>0</v>
      </c>
      <c r="B866" s="4" t="str">
        <f>IF(C866=$L866,1,IF(C866="","",0))</f>
        <v/>
      </c>
      <c r="C866" s="42"/>
      <c r="D866" s="4" t="str">
        <f>IF(E866=$L866,1,IF(E866="","",0))</f>
        <v/>
      </c>
      <c r="E866" s="14"/>
      <c r="F866" s="4" t="str">
        <f>IF(G866=$L866,1,IF(G866="","",0))</f>
        <v/>
      </c>
      <c r="G866" s="14"/>
      <c r="H866" s="6">
        <v>1013</v>
      </c>
      <c r="I866" s="15" t="s">
        <v>3120</v>
      </c>
      <c r="J866" s="6" t="s">
        <v>4141</v>
      </c>
      <c r="K866" s="6"/>
      <c r="L866" s="6" t="s">
        <v>1123</v>
      </c>
      <c r="M866" s="6" t="s">
        <v>7121</v>
      </c>
      <c r="N866" s="7">
        <f ca="1">RAND()</f>
        <v>0.1281103676623131</v>
      </c>
      <c r="O866" s="8">
        <v>45205</v>
      </c>
      <c r="P866" s="8">
        <v>45206</v>
      </c>
      <c r="Q866" s="8">
        <v>45208</v>
      </c>
      <c r="R866" s="8">
        <v>45212</v>
      </c>
      <c r="S866" s="8">
        <v>45219</v>
      </c>
      <c r="T866" s="8">
        <v>45231</v>
      </c>
      <c r="U866" s="8">
        <v>45801</v>
      </c>
      <c r="V866" s="10">
        <f>COUNTA(O866:U866)</f>
        <v>7</v>
      </c>
      <c r="W866" s="11">
        <f>_xlfn.IFNA(INDEX(reading[[#This Row],[Memo 01]:[Memo 07]],MATCH(0,reading[[#This Row],[Memo 01]:[Memo 07]],-1)),"")</f>
        <v>45801</v>
      </c>
      <c r="X866" s="11">
        <f ca="1">IFERROR(reading[[#This Row],[Previous]]+OFFSET(reading[[#Headers],[Memo 01]],-1,MATCH(0,reading[[#This Row],[Memo 01]:[Memo 07]],-1)-1),"")</f>
        <v>55801</v>
      </c>
      <c r="Y866" s="10" t="str">
        <f ca="1">IF(reading[[#This Row],[Next]]&lt;&gt;"",IF(reading[[#This Row],[Next]]&gt;TODAY(),"OK",""),"")</f>
        <v>OK</v>
      </c>
      <c r="Z866" s="13">
        <v>3</v>
      </c>
      <c r="AA866" s="13">
        <v>3</v>
      </c>
      <c r="AB866" s="13">
        <v>3</v>
      </c>
      <c r="AC866" s="13">
        <v>3</v>
      </c>
      <c r="AD866" s="13">
        <v>3</v>
      </c>
      <c r="AE866" s="13">
        <v>3</v>
      </c>
      <c r="AF866" s="13">
        <v>3</v>
      </c>
      <c r="AG866" s="16">
        <f>IFERROR(SUMIF(reading[[#This Row],[1st]:[7th]],"&gt;0")/COUNTIF(reading[[#This Row],[1st]:[7th]],"&gt;0"),"")</f>
        <v>3</v>
      </c>
    </row>
    <row r="867" spans="1:33" hidden="1" x14ac:dyDescent="0.2">
      <c r="A867" s="4">
        <f>IF(B867=1,3,IF(D867=1,2,IF(F867=1,1,0)))</f>
        <v>0</v>
      </c>
      <c r="B867" s="4" t="str">
        <f>IF(C867=$L867,1,IF(C867="","",0))</f>
        <v/>
      </c>
      <c r="C867" s="42"/>
      <c r="D867" s="4" t="str">
        <f>IF(E867=$L867,1,IF(E867="","",0))</f>
        <v/>
      </c>
      <c r="E867" s="23"/>
      <c r="F867" s="4" t="str">
        <f>IF(G867=$L867,1,IF(G867="","",0))</f>
        <v/>
      </c>
      <c r="G867" s="14"/>
      <c r="H867" s="6">
        <v>1960</v>
      </c>
      <c r="I867" s="15" t="s">
        <v>3120</v>
      </c>
      <c r="J867" s="6" t="s">
        <v>5059</v>
      </c>
      <c r="K867" s="6"/>
      <c r="L867" s="6" t="s">
        <v>2035</v>
      </c>
      <c r="M867" s="6" t="s">
        <v>8066</v>
      </c>
      <c r="N867" s="7">
        <f ca="1">RAND()</f>
        <v>0.31070111370552012</v>
      </c>
      <c r="O867" s="8">
        <v>45213</v>
      </c>
      <c r="P867" s="8">
        <v>45214</v>
      </c>
      <c r="Q867" s="8">
        <v>45216</v>
      </c>
      <c r="R867" s="8">
        <v>45220</v>
      </c>
      <c r="S867" s="8">
        <v>45227</v>
      </c>
      <c r="T867" s="8">
        <v>45811</v>
      </c>
      <c r="U867" s="8"/>
      <c r="V867" s="10">
        <f>COUNTA(O867:U867)</f>
        <v>6</v>
      </c>
      <c r="W867" s="11">
        <f>_xlfn.IFNA(INDEX(reading[[#This Row],[Memo 01]:[Memo 07]],MATCH(0,reading[[#This Row],[Memo 01]:[Memo 07]],-1)),"")</f>
        <v>45811</v>
      </c>
      <c r="X867" s="11">
        <f ca="1">IFERROR(reading[[#This Row],[Previous]]+OFFSET(reading[[#Headers],[Memo 01]],-1,MATCH(0,reading[[#This Row],[Memo 01]:[Memo 07]],-1)-1),"")</f>
        <v>45831</v>
      </c>
      <c r="Y867" s="10" t="str">
        <f ca="1">IF(reading[[#This Row],[Next]]&lt;&gt;"",IF(reading[[#This Row],[Next]]&gt;TODAY(),"OK",""),"")</f>
        <v/>
      </c>
      <c r="Z867" s="13">
        <v>3</v>
      </c>
      <c r="AA867" s="13">
        <v>3</v>
      </c>
      <c r="AB867" s="13">
        <v>3</v>
      </c>
      <c r="AC867" s="13">
        <v>3</v>
      </c>
      <c r="AD867" s="13">
        <v>3</v>
      </c>
      <c r="AE867" s="13">
        <v>2</v>
      </c>
      <c r="AF867" s="13"/>
      <c r="AG867" s="16">
        <f>IFERROR(SUMIF(reading[[#This Row],[1st]:[7th]],"&gt;0")/COUNTIF(reading[[#This Row],[1st]:[7th]],"&gt;0"),"")</f>
        <v>2.8333333333333335</v>
      </c>
    </row>
    <row r="868" spans="1:33" hidden="1" x14ac:dyDescent="0.2">
      <c r="A868" s="4">
        <f>IF(B868=1,3,IF(D868=1,2,IF(F868=1,1,0)))</f>
        <v>3</v>
      </c>
      <c r="B868" s="4">
        <f>IF(C868=$L868,1,IF(C868="","",0))</f>
        <v>1</v>
      </c>
      <c r="C868" s="21" t="s">
        <v>986</v>
      </c>
      <c r="D868" s="4" t="str">
        <f>IF(E868=$L868,1,IF(E868="","",0))</f>
        <v/>
      </c>
      <c r="E868" s="14"/>
      <c r="F868" s="4" t="str">
        <f>IF(G868=$L868,1,IF(G868="","",0))</f>
        <v/>
      </c>
      <c r="G868" s="14"/>
      <c r="H868" s="6">
        <v>871</v>
      </c>
      <c r="I868" s="15" t="s">
        <v>3120</v>
      </c>
      <c r="J868" s="6" t="s">
        <v>4003</v>
      </c>
      <c r="K868" s="6"/>
      <c r="L868" s="6" t="s">
        <v>986</v>
      </c>
      <c r="M868" s="6" t="s">
        <v>6980</v>
      </c>
      <c r="N868" s="7">
        <f ca="1">RAND()</f>
        <v>0.25540163247262526</v>
      </c>
      <c r="O868" s="8">
        <v>45203</v>
      </c>
      <c r="P868" s="8">
        <v>45203</v>
      </c>
      <c r="Q868" s="8">
        <v>45203</v>
      </c>
      <c r="R868" s="8">
        <v>45203</v>
      </c>
      <c r="S868" s="8">
        <v>45203</v>
      </c>
      <c r="T868" s="8">
        <v>45203</v>
      </c>
      <c r="U868" s="8">
        <v>45203</v>
      </c>
      <c r="V868" s="10">
        <f>COUNTA(O868:U868)</f>
        <v>7</v>
      </c>
      <c r="W868" s="11">
        <f>_xlfn.IFNA(INDEX(reading[[#This Row],[Memo 01]:[Memo 07]],MATCH(0,reading[[#This Row],[Memo 01]:[Memo 07]],-1)),"")</f>
        <v>45203</v>
      </c>
      <c r="X868" s="11">
        <f ca="1">IFERROR(reading[[#This Row],[Previous]]+OFFSET(reading[[#Headers],[Memo 01]],-1,MATCH(0,reading[[#This Row],[Memo 01]:[Memo 07]],-1)-1),"")</f>
        <v>55203</v>
      </c>
      <c r="Y868" s="10" t="str">
        <f ca="1">IF(reading[[#This Row],[Next]]&lt;&gt;"",IF(reading[[#This Row],[Next]]&gt;TODAY(),"OK",""),"")</f>
        <v>OK</v>
      </c>
      <c r="Z868" s="13">
        <v>3</v>
      </c>
      <c r="AA868" s="13"/>
      <c r="AB868" s="13"/>
      <c r="AC868" s="13"/>
      <c r="AD868" s="13"/>
      <c r="AE868" s="13"/>
      <c r="AF868" s="13"/>
      <c r="AG868" s="16">
        <f>IFERROR(SUMIF(reading[[#This Row],[1st]:[7th]],"&gt;0")/COUNTIF(reading[[#This Row],[1st]:[7th]],"&gt;0"),"")</f>
        <v>3</v>
      </c>
    </row>
    <row r="869" spans="1:33" hidden="1" x14ac:dyDescent="0.2">
      <c r="A869" s="4">
        <f>IF(B869=1,3,IF(D869=1,2,IF(F869=1,1,0)))</f>
        <v>0</v>
      </c>
      <c r="B869" s="4" t="str">
        <f>IF(C869=$L869,1,IF(C869="","",0))</f>
        <v/>
      </c>
      <c r="C869" s="42"/>
      <c r="D869" s="4" t="str">
        <f>IF(E869=$L869,1,IF(E869="","",0))</f>
        <v/>
      </c>
      <c r="E869" s="14"/>
      <c r="F869" s="4" t="str">
        <f>IF(G869=$L869,1,IF(G869="","",0))</f>
        <v/>
      </c>
      <c r="G869" s="14"/>
      <c r="H869" s="6">
        <v>1489</v>
      </c>
      <c r="I869" s="15" t="s">
        <v>3120</v>
      </c>
      <c r="J869" s="6" t="s">
        <v>4603</v>
      </c>
      <c r="K869" s="6"/>
      <c r="L869" s="6" t="s">
        <v>1575</v>
      </c>
      <c r="M869" s="6" t="s">
        <v>7596</v>
      </c>
      <c r="N869" s="7">
        <f ca="1">RAND()</f>
        <v>0.89375130316630136</v>
      </c>
      <c r="O869" s="8">
        <v>45208</v>
      </c>
      <c r="P869" s="8">
        <v>45209</v>
      </c>
      <c r="Q869" s="8">
        <v>45211</v>
      </c>
      <c r="R869" s="8">
        <v>45215</v>
      </c>
      <c r="S869" s="8">
        <v>45222</v>
      </c>
      <c r="T869" s="8">
        <v>45234</v>
      </c>
      <c r="U869" s="8">
        <v>45801</v>
      </c>
      <c r="V869" s="10">
        <f>COUNTA(O869:U869)</f>
        <v>7</v>
      </c>
      <c r="W869" s="11">
        <f>_xlfn.IFNA(INDEX(reading[[#This Row],[Memo 01]:[Memo 07]],MATCH(0,reading[[#This Row],[Memo 01]:[Memo 07]],-1)),"")</f>
        <v>45801</v>
      </c>
      <c r="X869" s="11">
        <f ca="1">IFERROR(reading[[#This Row],[Previous]]+OFFSET(reading[[#Headers],[Memo 01]],-1,MATCH(0,reading[[#This Row],[Memo 01]:[Memo 07]],-1)-1),"")</f>
        <v>55801</v>
      </c>
      <c r="Y869" s="10" t="str">
        <f ca="1">IF(reading[[#This Row],[Next]]&lt;&gt;"",IF(reading[[#This Row],[Next]]&gt;TODAY(),"OK",""),"")</f>
        <v>OK</v>
      </c>
      <c r="Z869" s="13">
        <v>3</v>
      </c>
      <c r="AA869" s="13">
        <v>3</v>
      </c>
      <c r="AB869" s="13">
        <v>3</v>
      </c>
      <c r="AC869" s="13">
        <v>3</v>
      </c>
      <c r="AD869" s="13">
        <v>3</v>
      </c>
      <c r="AE869" s="13">
        <v>3</v>
      </c>
      <c r="AF869" s="13">
        <v>3</v>
      </c>
      <c r="AG869" s="16">
        <f>IFERROR(SUMIF(reading[[#This Row],[1st]:[7th]],"&gt;0")/COUNTIF(reading[[#This Row],[1st]:[7th]],"&gt;0"),"")</f>
        <v>3</v>
      </c>
    </row>
    <row r="870" spans="1:33" hidden="1" x14ac:dyDescent="0.2">
      <c r="A870" s="4">
        <f>IF(B870=1,3,IF(D870=1,2,IF(F870=1,1,0)))</f>
        <v>0</v>
      </c>
      <c r="B870" s="4" t="str">
        <f>IF(C870=$L870,1,IF(C870="","",0))</f>
        <v/>
      </c>
      <c r="C870" s="42"/>
      <c r="D870" s="4" t="str">
        <f>IF(E870=$L870,1,IF(E870="","",0))</f>
        <v/>
      </c>
      <c r="E870" s="14"/>
      <c r="F870" s="4" t="str">
        <f>IF(G870=$L870,1,IF(G870="","",0))</f>
        <v/>
      </c>
      <c r="G870" s="14"/>
      <c r="H870" s="6">
        <v>762</v>
      </c>
      <c r="I870" s="15" t="s">
        <v>3120</v>
      </c>
      <c r="J870" s="6" t="s">
        <v>3897</v>
      </c>
      <c r="K870" s="6"/>
      <c r="L870" s="6" t="s">
        <v>881</v>
      </c>
      <c r="M870" s="6" t="s">
        <v>6871</v>
      </c>
      <c r="N870" s="7">
        <f ca="1">RAND()</f>
        <v>6.0424176701738275E-2</v>
      </c>
      <c r="O870" s="8">
        <v>45203</v>
      </c>
      <c r="P870" s="8">
        <v>45204</v>
      </c>
      <c r="Q870" s="8">
        <v>45206</v>
      </c>
      <c r="R870" s="8">
        <v>45210</v>
      </c>
      <c r="S870" s="8">
        <v>45217</v>
      </c>
      <c r="T870" s="8">
        <v>45229</v>
      </c>
      <c r="U870" s="8">
        <v>45792</v>
      </c>
      <c r="V870" s="10">
        <f>COUNTA(O870:U870)</f>
        <v>7</v>
      </c>
      <c r="W870" s="11">
        <f>_xlfn.IFNA(INDEX(reading[[#This Row],[Memo 01]:[Memo 07]],MATCH(0,reading[[#This Row],[Memo 01]:[Memo 07]],-1)),"")</f>
        <v>45792</v>
      </c>
      <c r="X870" s="11">
        <f ca="1">IFERROR(reading[[#This Row],[Previous]]+OFFSET(reading[[#Headers],[Memo 01]],-1,MATCH(0,reading[[#This Row],[Memo 01]:[Memo 07]],-1)-1),"")</f>
        <v>55792</v>
      </c>
      <c r="Y870" s="10" t="str">
        <f ca="1">IF(reading[[#This Row],[Next]]&lt;&gt;"",IF(reading[[#This Row],[Next]]&gt;TODAY(),"OK",""),"")</f>
        <v>OK</v>
      </c>
      <c r="Z870" s="13">
        <v>3</v>
      </c>
      <c r="AA870" s="13">
        <v>3</v>
      </c>
      <c r="AB870" s="13">
        <v>3</v>
      </c>
      <c r="AC870" s="13">
        <v>3</v>
      </c>
      <c r="AD870" s="13">
        <v>3</v>
      </c>
      <c r="AE870" s="13">
        <v>3</v>
      </c>
      <c r="AF870" s="13">
        <v>3</v>
      </c>
      <c r="AG870" s="16">
        <f>IFERROR(SUMIF(reading[[#This Row],[1st]:[7th]],"&gt;0")/COUNTIF(reading[[#This Row],[1st]:[7th]],"&gt;0"),"")</f>
        <v>3</v>
      </c>
    </row>
    <row r="871" spans="1:33" hidden="1" x14ac:dyDescent="0.2">
      <c r="A871" s="4">
        <f>IF(B871=1,3,IF(D871=1,2,IF(F871=1,1,0)))</f>
        <v>0</v>
      </c>
      <c r="B871" s="4" t="str">
        <f>IF(C871=$L871,1,IF(C871="","",0))</f>
        <v/>
      </c>
      <c r="C871" s="42"/>
      <c r="D871" s="4" t="str">
        <f>IF(E871=$L871,1,IF(E871="","",0))</f>
        <v/>
      </c>
      <c r="E871" s="23"/>
      <c r="F871" s="4" t="str">
        <f>IF(G871=$L871,1,IF(G871="","",0))</f>
        <v/>
      </c>
      <c r="G871" s="14"/>
      <c r="H871" s="6">
        <v>2721</v>
      </c>
      <c r="I871" s="15" t="s">
        <v>3120</v>
      </c>
      <c r="J871" s="6" t="s">
        <v>5771</v>
      </c>
      <c r="K871" s="6"/>
      <c r="L871" s="6" t="s">
        <v>2759</v>
      </c>
      <c r="M871" s="6" t="s">
        <v>8826</v>
      </c>
      <c r="N871" s="7">
        <f ca="1">RAND()</f>
        <v>9.8083491128727385E-2</v>
      </c>
      <c r="O871" s="8">
        <v>45221</v>
      </c>
      <c r="P871" s="8">
        <v>45222</v>
      </c>
      <c r="Q871" s="8">
        <v>45224</v>
      </c>
      <c r="R871" s="8">
        <v>45228</v>
      </c>
      <c r="S871" s="8">
        <v>45235</v>
      </c>
      <c r="T871" s="8">
        <v>45825</v>
      </c>
      <c r="U871" s="8"/>
      <c r="V871" s="10">
        <f>COUNTA(O871:U871)</f>
        <v>6</v>
      </c>
      <c r="W871" s="11">
        <f>_xlfn.IFNA(INDEX(reading[[#This Row],[Memo 01]:[Memo 07]],MATCH(0,reading[[#This Row],[Memo 01]:[Memo 07]],-1)),"")</f>
        <v>45825</v>
      </c>
      <c r="X871" s="11">
        <f ca="1">IFERROR(reading[[#This Row],[Previous]]+OFFSET(reading[[#Headers],[Memo 01]],-1,MATCH(0,reading[[#This Row],[Memo 01]:[Memo 07]],-1)-1),"")</f>
        <v>45845</v>
      </c>
      <c r="Y871" s="10" t="str">
        <f ca="1">IF(reading[[#This Row],[Next]]&lt;&gt;"",IF(reading[[#This Row],[Next]]&gt;TODAY(),"OK",""),"")</f>
        <v>OK</v>
      </c>
      <c r="Z871" s="13">
        <v>3</v>
      </c>
      <c r="AA871" s="13">
        <v>3</v>
      </c>
      <c r="AB871" s="13">
        <v>3</v>
      </c>
      <c r="AC871" s="13">
        <v>3</v>
      </c>
      <c r="AD871" s="13">
        <v>3</v>
      </c>
      <c r="AE871" s="13">
        <v>2</v>
      </c>
      <c r="AF871" s="13"/>
      <c r="AG871" s="16">
        <f>IFERROR(SUMIF(reading[[#This Row],[1st]:[7th]],"&gt;0")/COUNTIF(reading[[#This Row],[1st]:[7th]],"&gt;0"),"")</f>
        <v>2.8333333333333335</v>
      </c>
    </row>
    <row r="872" spans="1:33" hidden="1" x14ac:dyDescent="0.2">
      <c r="A872" s="4">
        <f>IF(B872=1,3,IF(D872=1,2,IF(F872=1,1,0)))</f>
        <v>0</v>
      </c>
      <c r="B872" s="4" t="str">
        <f>IF(C872=$L872,1,IF(C872="","",0))</f>
        <v/>
      </c>
      <c r="C872" s="42"/>
      <c r="D872" s="4" t="str">
        <f>IF(E872=$L872,1,IF(E872="","",0))</f>
        <v/>
      </c>
      <c r="E872" s="14"/>
      <c r="F872" s="4" t="str">
        <f>IF(G872=$L872,1,IF(G872="","",0))</f>
        <v/>
      </c>
      <c r="G872" s="14"/>
      <c r="H872" s="6">
        <v>2801</v>
      </c>
      <c r="I872" s="15" t="s">
        <v>3120</v>
      </c>
      <c r="J872" s="6" t="s">
        <v>5844</v>
      </c>
      <c r="K872" s="6"/>
      <c r="L872" s="6" t="s">
        <v>2838</v>
      </c>
      <c r="M872" s="6" t="s">
        <v>8905</v>
      </c>
      <c r="N872" s="7">
        <f ca="1">RAND()</f>
        <v>0.47617188886844375</v>
      </c>
      <c r="O872" s="8">
        <v>45222</v>
      </c>
      <c r="P872" s="8">
        <v>45223</v>
      </c>
      <c r="Q872" s="8">
        <v>45225</v>
      </c>
      <c r="R872" s="8">
        <v>45229</v>
      </c>
      <c r="S872" s="8">
        <v>45236</v>
      </c>
      <c r="T872" s="8">
        <v>45792</v>
      </c>
      <c r="U872" s="8">
        <v>45819</v>
      </c>
      <c r="V872" s="10">
        <f>COUNTA(O872:U872)</f>
        <v>7</v>
      </c>
      <c r="W872" s="11">
        <f>_xlfn.IFNA(INDEX(reading[[#This Row],[Memo 01]:[Memo 07]],MATCH(0,reading[[#This Row],[Memo 01]:[Memo 07]],-1)),"")</f>
        <v>45819</v>
      </c>
      <c r="X872" s="11">
        <f ca="1">IFERROR(reading[[#This Row],[Previous]]+OFFSET(reading[[#Headers],[Memo 01]],-1,MATCH(0,reading[[#This Row],[Memo 01]:[Memo 07]],-1)-1),"")</f>
        <v>55819</v>
      </c>
      <c r="Y872" s="10" t="str">
        <f ca="1">IF(reading[[#This Row],[Next]]&lt;&gt;"",IF(reading[[#This Row],[Next]]&gt;TODAY(),"OK",""),"")</f>
        <v>OK</v>
      </c>
      <c r="Z872" s="13">
        <v>3</v>
      </c>
      <c r="AA872" s="13">
        <v>3</v>
      </c>
      <c r="AB872" s="13">
        <v>3</v>
      </c>
      <c r="AC872" s="13">
        <v>3</v>
      </c>
      <c r="AD872" s="13">
        <v>3</v>
      </c>
      <c r="AE872" s="13">
        <v>3</v>
      </c>
      <c r="AF872" s="13">
        <v>3</v>
      </c>
      <c r="AG872" s="16">
        <f>IFERROR(SUMIF(reading[[#This Row],[1st]:[7th]],"&gt;0")/COUNTIF(reading[[#This Row],[1st]:[7th]],"&gt;0"),"")</f>
        <v>3</v>
      </c>
    </row>
    <row r="873" spans="1:33" hidden="1" x14ac:dyDescent="0.2">
      <c r="A873" s="4">
        <f>IF(B873=1,3,IF(D873=1,2,IF(F873=1,1,0)))</f>
        <v>0</v>
      </c>
      <c r="B873" s="4" t="str">
        <f>IF(C873=$L873,1,IF(C873="","",0))</f>
        <v/>
      </c>
      <c r="C873" s="42"/>
      <c r="D873" s="4" t="str">
        <f>IF(E873=$L873,1,IF(E873="","",0))</f>
        <v/>
      </c>
      <c r="E873" s="14"/>
      <c r="F873" s="4" t="str">
        <f>IF(G873=$L873,1,IF(G873="","",0))</f>
        <v/>
      </c>
      <c r="G873" s="14"/>
      <c r="H873" s="6">
        <v>1329</v>
      </c>
      <c r="I873" s="15" t="s">
        <v>3120</v>
      </c>
      <c r="J873" s="6" t="s">
        <v>4445</v>
      </c>
      <c r="K873" s="6"/>
      <c r="L873" s="6" t="s">
        <v>1426</v>
      </c>
      <c r="M873" s="6" t="s">
        <v>7436</v>
      </c>
      <c r="N873" s="7">
        <f ca="1">RAND()</f>
        <v>0.35387608265698067</v>
      </c>
      <c r="O873" s="8">
        <v>45207</v>
      </c>
      <c r="P873" s="8">
        <v>45208</v>
      </c>
      <c r="Q873" s="8">
        <v>45210</v>
      </c>
      <c r="R873" s="8">
        <v>45214</v>
      </c>
      <c r="S873" s="8">
        <v>45221</v>
      </c>
      <c r="T873" s="8">
        <v>45233</v>
      </c>
      <c r="U873" s="8">
        <v>45824</v>
      </c>
      <c r="V873" s="10">
        <f>COUNTA(O873:U873)</f>
        <v>7</v>
      </c>
      <c r="W873" s="11">
        <f>_xlfn.IFNA(INDEX(reading[[#This Row],[Memo 01]:[Memo 07]],MATCH(0,reading[[#This Row],[Memo 01]:[Memo 07]],-1)),"")</f>
        <v>45824</v>
      </c>
      <c r="X873" s="11">
        <f ca="1">IFERROR(reading[[#This Row],[Previous]]+OFFSET(reading[[#Headers],[Memo 01]],-1,MATCH(0,reading[[#This Row],[Memo 01]:[Memo 07]],-1)-1),"")</f>
        <v>55824</v>
      </c>
      <c r="Y873" s="10" t="str">
        <f ca="1">IF(reading[[#This Row],[Next]]&lt;&gt;"",IF(reading[[#This Row],[Next]]&gt;TODAY(),"OK",""),"")</f>
        <v>OK</v>
      </c>
      <c r="Z873" s="13">
        <v>3</v>
      </c>
      <c r="AA873" s="13">
        <v>3</v>
      </c>
      <c r="AB873" s="13">
        <v>3</v>
      </c>
      <c r="AC873" s="13">
        <v>3</v>
      </c>
      <c r="AD873" s="13">
        <v>3</v>
      </c>
      <c r="AE873" s="13">
        <v>3</v>
      </c>
      <c r="AF873" s="13">
        <v>3</v>
      </c>
      <c r="AG873" s="16">
        <f>IFERROR(SUMIF(reading[[#This Row],[1st]:[7th]],"&gt;0")/COUNTIF(reading[[#This Row],[1st]:[7th]],"&gt;0"),"")</f>
        <v>3</v>
      </c>
    </row>
    <row r="874" spans="1:33" hidden="1" x14ac:dyDescent="0.2">
      <c r="A874" s="4">
        <f>IF(B874=1,3,IF(D874=1,2,IF(F874=1,1,0)))</f>
        <v>0</v>
      </c>
      <c r="B874" s="4" t="str">
        <f>IF(C874=$L874,1,IF(C874="","",0))</f>
        <v/>
      </c>
      <c r="C874" s="42"/>
      <c r="D874" s="4" t="str">
        <f>IF(E874=$L874,1,IF(E874="","",0))</f>
        <v/>
      </c>
      <c r="E874" s="23"/>
      <c r="F874" s="4" t="str">
        <f>IF(G874=$L874,1,IF(G874="","",0))</f>
        <v/>
      </c>
      <c r="G874" s="14"/>
      <c r="H874" s="6">
        <v>438</v>
      </c>
      <c r="I874" s="15" t="s">
        <v>3120</v>
      </c>
      <c r="J874" s="6" t="s">
        <v>3584</v>
      </c>
      <c r="K874" s="6"/>
      <c r="L874" s="6" t="s">
        <v>568</v>
      </c>
      <c r="M874" s="6" t="s">
        <v>6547</v>
      </c>
      <c r="N874" s="7">
        <f ca="1">RAND()</f>
        <v>8.675447148439086E-2</v>
      </c>
      <c r="O874" s="8">
        <v>45201</v>
      </c>
      <c r="P874" s="8">
        <v>45202</v>
      </c>
      <c r="Q874" s="8">
        <v>45204</v>
      </c>
      <c r="R874" s="8">
        <v>45208</v>
      </c>
      <c r="S874" s="8">
        <v>45215</v>
      </c>
      <c r="T874" s="8">
        <v>45227</v>
      </c>
      <c r="U874" s="8">
        <v>45811</v>
      </c>
      <c r="V874" s="10">
        <f>COUNTA(O874:U874)</f>
        <v>7</v>
      </c>
      <c r="W874" s="11">
        <f>_xlfn.IFNA(INDEX(reading[[#This Row],[Memo 01]:[Memo 07]],MATCH(0,reading[[#This Row],[Memo 01]:[Memo 07]],-1)),"")</f>
        <v>45811</v>
      </c>
      <c r="X874" s="11">
        <f ca="1">IFERROR(reading[[#This Row],[Previous]]+OFFSET(reading[[#Headers],[Memo 01]],-1,MATCH(0,reading[[#This Row],[Memo 01]:[Memo 07]],-1)-1),"")</f>
        <v>55811</v>
      </c>
      <c r="Y874" s="10" t="str">
        <f ca="1">IF(reading[[#This Row],[Next]]&lt;&gt;"",IF(reading[[#This Row],[Next]]&gt;TODAY(),"OK",""),"")</f>
        <v>OK</v>
      </c>
      <c r="Z874" s="13">
        <v>3</v>
      </c>
      <c r="AA874" s="13">
        <v>3</v>
      </c>
      <c r="AB874" s="13">
        <v>3</v>
      </c>
      <c r="AC874" s="13">
        <v>3</v>
      </c>
      <c r="AD874" s="13">
        <v>3</v>
      </c>
      <c r="AE874" s="13">
        <v>3</v>
      </c>
      <c r="AF874" s="13">
        <v>2</v>
      </c>
      <c r="AG874" s="16">
        <f>IFERROR(SUMIF(reading[[#This Row],[1st]:[7th]],"&gt;0")/COUNTIF(reading[[#This Row],[1st]:[7th]],"&gt;0"),"")</f>
        <v>2.8571428571428572</v>
      </c>
    </row>
    <row r="875" spans="1:33" hidden="1" x14ac:dyDescent="0.2">
      <c r="A875" s="4">
        <f>IF(B875=1,3,IF(D875=1,2,IF(F875=1,1,0)))</f>
        <v>0</v>
      </c>
      <c r="B875" s="4" t="str">
        <f>IF(C875=$L875,1,IF(C875="","",0))</f>
        <v/>
      </c>
      <c r="C875" s="42"/>
      <c r="D875" s="4" t="str">
        <f>IF(E875=$L875,1,IF(E875="","",0))</f>
        <v/>
      </c>
      <c r="E875" s="43"/>
      <c r="F875" s="4" t="str">
        <f>IF(G875=$L875,1,IF(G875="","",0))</f>
        <v/>
      </c>
      <c r="G875" s="43"/>
      <c r="H875" s="6">
        <v>2817</v>
      </c>
      <c r="I875" s="15" t="s">
        <v>3120</v>
      </c>
      <c r="J875" s="6" t="s">
        <v>5860</v>
      </c>
      <c r="K875" s="6"/>
      <c r="L875" s="6" t="s">
        <v>2853</v>
      </c>
      <c r="M875" s="6" t="s">
        <v>8921</v>
      </c>
      <c r="N875" s="7">
        <f ca="1">RAND()</f>
        <v>0.67863275002581847</v>
      </c>
      <c r="O875" s="8">
        <v>45222</v>
      </c>
      <c r="P875" s="8">
        <v>45223</v>
      </c>
      <c r="Q875" s="8">
        <v>45225</v>
      </c>
      <c r="R875" s="8">
        <v>45229</v>
      </c>
      <c r="S875" s="8">
        <v>45236</v>
      </c>
      <c r="T875" s="8">
        <v>45249</v>
      </c>
      <c r="U875" s="8">
        <v>45811</v>
      </c>
      <c r="V875" s="10">
        <f>COUNTA(O875:U875)</f>
        <v>7</v>
      </c>
      <c r="W875" s="11">
        <f>_xlfn.IFNA(INDEX(reading[[#This Row],[Memo 01]:[Memo 07]],MATCH(0,reading[[#This Row],[Memo 01]:[Memo 07]],-1)),"")</f>
        <v>45811</v>
      </c>
      <c r="X875" s="11">
        <f ca="1">IFERROR(reading[[#This Row],[Previous]]+OFFSET(reading[[#Headers],[Memo 01]],-1,MATCH(0,reading[[#This Row],[Memo 01]:[Memo 07]],-1)-1),"")</f>
        <v>55811</v>
      </c>
      <c r="Y875" s="10" t="str">
        <f ca="1">IF(reading[[#This Row],[Next]]&lt;&gt;"",IF(reading[[#This Row],[Next]]&gt;TODAY(),"OK",""),"")</f>
        <v>OK</v>
      </c>
      <c r="Z875" s="13">
        <v>3</v>
      </c>
      <c r="AA875" s="13">
        <v>1</v>
      </c>
      <c r="AB875" s="13">
        <v>2</v>
      </c>
      <c r="AC875" s="13">
        <v>2</v>
      </c>
      <c r="AD875" s="13">
        <v>3</v>
      </c>
      <c r="AE875" s="13">
        <v>2</v>
      </c>
      <c r="AF875" s="13">
        <v>1</v>
      </c>
      <c r="AG875" s="16">
        <f>IFERROR(SUMIF(reading[[#This Row],[1st]:[7th]],"&gt;0")/COUNTIF(reading[[#This Row],[1st]:[7th]],"&gt;0"),"")</f>
        <v>2</v>
      </c>
    </row>
    <row r="876" spans="1:33" hidden="1" x14ac:dyDescent="0.2">
      <c r="A876" s="4">
        <f>IF(B876=1,3,IF(D876=1,2,IF(F876=1,1,0)))</f>
        <v>0</v>
      </c>
      <c r="B876" s="4" t="str">
        <f>IF(C876=$L876,1,IF(C876="","",0))</f>
        <v/>
      </c>
      <c r="C876" s="42"/>
      <c r="D876" s="4" t="str">
        <f>IF(E876=$L876,1,IF(E876="","",0))</f>
        <v/>
      </c>
      <c r="E876" s="14"/>
      <c r="F876" s="4" t="str">
        <f>IF(G876=$L876,1,IF(G876="","",0))</f>
        <v/>
      </c>
      <c r="G876" s="14"/>
      <c r="H876" s="6">
        <v>519</v>
      </c>
      <c r="I876" s="15" t="s">
        <v>3120</v>
      </c>
      <c r="J876" s="6" t="s">
        <v>3664</v>
      </c>
      <c r="K876" s="6"/>
      <c r="L876" s="6" t="s">
        <v>647</v>
      </c>
      <c r="M876" s="6" t="s">
        <v>6628</v>
      </c>
      <c r="N876" s="7">
        <f ca="1">RAND()</f>
        <v>0.34118995932794227</v>
      </c>
      <c r="O876" s="8">
        <v>45202</v>
      </c>
      <c r="P876" s="8">
        <v>45203</v>
      </c>
      <c r="Q876" s="8">
        <v>45205</v>
      </c>
      <c r="R876" s="8">
        <v>45209</v>
      </c>
      <c r="S876" s="8">
        <v>45216</v>
      </c>
      <c r="T876" s="8">
        <v>45228</v>
      </c>
      <c r="U876" s="8">
        <v>45819</v>
      </c>
      <c r="V876" s="10">
        <f>COUNTA(O876:U876)</f>
        <v>7</v>
      </c>
      <c r="W876" s="11">
        <f>_xlfn.IFNA(INDEX(reading[[#This Row],[Memo 01]:[Memo 07]],MATCH(0,reading[[#This Row],[Memo 01]:[Memo 07]],-1)),"")</f>
        <v>45819</v>
      </c>
      <c r="X876" s="11">
        <f ca="1">IFERROR(reading[[#This Row],[Previous]]+OFFSET(reading[[#Headers],[Memo 01]],-1,MATCH(0,reading[[#This Row],[Memo 01]:[Memo 07]],-1)-1),"")</f>
        <v>55819</v>
      </c>
      <c r="Y876" s="10" t="str">
        <f ca="1">IF(reading[[#This Row],[Next]]&lt;&gt;"",IF(reading[[#This Row],[Next]]&gt;TODAY(),"OK",""),"")</f>
        <v>OK</v>
      </c>
      <c r="Z876" s="13">
        <v>3</v>
      </c>
      <c r="AA876" s="13">
        <v>3</v>
      </c>
      <c r="AB876" s="13">
        <v>3</v>
      </c>
      <c r="AC876" s="13">
        <v>3</v>
      </c>
      <c r="AD876" s="13">
        <v>3</v>
      </c>
      <c r="AE876" s="13">
        <v>3</v>
      </c>
      <c r="AF876" s="13">
        <v>3</v>
      </c>
      <c r="AG876" s="16">
        <f>IFERROR(SUMIF(reading[[#This Row],[1st]:[7th]],"&gt;0")/COUNTIF(reading[[#This Row],[1st]:[7th]],"&gt;0"),"")</f>
        <v>3</v>
      </c>
    </row>
    <row r="877" spans="1:33" hidden="1" x14ac:dyDescent="0.2">
      <c r="A877" s="4">
        <f>IF(B877=1,3,IF(D877=1,2,IF(F877=1,1,0)))</f>
        <v>0</v>
      </c>
      <c r="B877" s="4" t="str">
        <f>IF(C877=$L877,1,IF(C877="","",0))</f>
        <v/>
      </c>
      <c r="C877" s="42"/>
      <c r="D877" s="4" t="str">
        <f>IF(E877=$L877,1,IF(E877="","",0))</f>
        <v/>
      </c>
      <c r="E877" s="43"/>
      <c r="F877" s="4" t="str">
        <f>IF(G877=$L877,1,IF(G877="","",0))</f>
        <v/>
      </c>
      <c r="G877" s="23"/>
      <c r="H877" s="6">
        <v>1389</v>
      </c>
      <c r="I877" s="15" t="s">
        <v>3120</v>
      </c>
      <c r="J877" s="6" t="s">
        <v>4503</v>
      </c>
      <c r="K877" s="24" t="s">
        <v>9227</v>
      </c>
      <c r="L877" s="6" t="s">
        <v>1481</v>
      </c>
      <c r="M877" s="6" t="s">
        <v>7496</v>
      </c>
      <c r="N877" s="7">
        <f ca="1">RAND()</f>
        <v>0.38545924753105276</v>
      </c>
      <c r="O877" s="8">
        <v>45207</v>
      </c>
      <c r="P877" s="8">
        <v>45208</v>
      </c>
      <c r="Q877" s="8">
        <v>45210</v>
      </c>
      <c r="R877" s="8">
        <v>45214</v>
      </c>
      <c r="S877" s="8">
        <v>45221</v>
      </c>
      <c r="T877" s="8">
        <v>45233</v>
      </c>
      <c r="U877" s="8">
        <v>45824</v>
      </c>
      <c r="V877" s="10">
        <f>COUNTA(O877:U877)</f>
        <v>7</v>
      </c>
      <c r="W877" s="11">
        <f>_xlfn.IFNA(INDEX(reading[[#This Row],[Memo 01]:[Memo 07]],MATCH(0,reading[[#This Row],[Memo 01]:[Memo 07]],-1)),"")</f>
        <v>45824</v>
      </c>
      <c r="X877" s="11">
        <f ca="1">IFERROR(reading[[#This Row],[Previous]]+OFFSET(reading[[#Headers],[Memo 01]],-1,MATCH(0,reading[[#This Row],[Memo 01]:[Memo 07]],-1)-1),"")</f>
        <v>55824</v>
      </c>
      <c r="Y877" s="10" t="str">
        <f ca="1">IF(reading[[#This Row],[Next]]&lt;&gt;"",IF(reading[[#This Row],[Next]]&gt;TODAY(),"OK",""),"")</f>
        <v>OK</v>
      </c>
      <c r="Z877" s="13">
        <v>3</v>
      </c>
      <c r="AA877" s="13">
        <v>2</v>
      </c>
      <c r="AB877" s="13">
        <v>3</v>
      </c>
      <c r="AC877" s="13">
        <v>2</v>
      </c>
      <c r="AD877" s="13">
        <v>2</v>
      </c>
      <c r="AE877" s="13">
        <v>3</v>
      </c>
      <c r="AF877" s="13">
        <v>1</v>
      </c>
      <c r="AG877" s="16">
        <f>IFERROR(SUMIF(reading[[#This Row],[1st]:[7th]],"&gt;0")/COUNTIF(reading[[#This Row],[1st]:[7th]],"&gt;0"),"")</f>
        <v>2.2857142857142856</v>
      </c>
    </row>
    <row r="878" spans="1:33" hidden="1" x14ac:dyDescent="0.2">
      <c r="A878" s="4">
        <f>IF(B878=1,3,IF(D878=1,2,IF(F878=1,1,0)))</f>
        <v>0</v>
      </c>
      <c r="B878" s="4" t="str">
        <f>IF(C878=$L878,1,IF(C878="","",0))</f>
        <v/>
      </c>
      <c r="C878" s="42"/>
      <c r="D878" s="4" t="str">
        <f>IF(E878=$L878,1,IF(E878="","",0))</f>
        <v/>
      </c>
      <c r="E878" s="14"/>
      <c r="F878" s="4" t="str">
        <f>IF(G878=$L878,1,IF(G878="","",0))</f>
        <v/>
      </c>
      <c r="G878" s="14"/>
      <c r="H878" s="6">
        <v>1425</v>
      </c>
      <c r="I878" s="15" t="s">
        <v>3120</v>
      </c>
      <c r="J878" s="6" t="s">
        <v>4539</v>
      </c>
      <c r="K878" s="6"/>
      <c r="L878" s="6" t="s">
        <v>1516</v>
      </c>
      <c r="M878" s="6" t="s">
        <v>7532</v>
      </c>
      <c r="N878" s="7">
        <f ca="1">RAND()</f>
        <v>0.98006399388521526</v>
      </c>
      <c r="O878" s="8">
        <v>45208</v>
      </c>
      <c r="P878" s="8">
        <v>45209</v>
      </c>
      <c r="Q878" s="8">
        <v>45211</v>
      </c>
      <c r="R878" s="8">
        <v>45215</v>
      </c>
      <c r="S878" s="8">
        <v>45222</v>
      </c>
      <c r="T878" s="8">
        <v>45234</v>
      </c>
      <c r="U878" s="8">
        <v>45801</v>
      </c>
      <c r="V878" s="10">
        <f>COUNTA(O878:U878)</f>
        <v>7</v>
      </c>
      <c r="W878" s="11">
        <f>_xlfn.IFNA(INDEX(reading[[#This Row],[Memo 01]:[Memo 07]],MATCH(0,reading[[#This Row],[Memo 01]:[Memo 07]],-1)),"")</f>
        <v>45801</v>
      </c>
      <c r="X878" s="11">
        <f ca="1">IFERROR(reading[[#This Row],[Previous]]+OFFSET(reading[[#Headers],[Memo 01]],-1,MATCH(0,reading[[#This Row],[Memo 01]:[Memo 07]],-1)-1),"")</f>
        <v>55801</v>
      </c>
      <c r="Y878" s="10" t="str">
        <f ca="1">IF(reading[[#This Row],[Next]]&lt;&gt;"",IF(reading[[#This Row],[Next]]&gt;TODAY(),"OK",""),"")</f>
        <v>OK</v>
      </c>
      <c r="Z878" s="13">
        <v>3</v>
      </c>
      <c r="AA878" s="13">
        <v>3</v>
      </c>
      <c r="AB878" s="13">
        <v>3</v>
      </c>
      <c r="AC878" s="13">
        <v>3</v>
      </c>
      <c r="AD878" s="13">
        <v>3</v>
      </c>
      <c r="AE878" s="13">
        <v>3</v>
      </c>
      <c r="AF878" s="13">
        <v>3</v>
      </c>
      <c r="AG878" s="16">
        <f>IFERROR(SUMIF(reading[[#This Row],[1st]:[7th]],"&gt;0")/COUNTIF(reading[[#This Row],[1st]:[7th]],"&gt;0"),"")</f>
        <v>3</v>
      </c>
    </row>
    <row r="879" spans="1:33" hidden="1" x14ac:dyDescent="0.2">
      <c r="A879" s="4">
        <f>IF(B879=1,3,IF(D879=1,2,IF(F879=1,1,0)))</f>
        <v>0</v>
      </c>
      <c r="B879" s="4" t="str">
        <f>IF(C879=$L879,1,IF(C879="","",0))</f>
        <v/>
      </c>
      <c r="C879" s="43"/>
      <c r="D879" s="4" t="str">
        <f>IF(E879=$L879,1,IF(E879="","",0))</f>
        <v/>
      </c>
      <c r="E879" s="23"/>
      <c r="F879" s="4" t="str">
        <f>IF(G879=$L879,1,IF(G879="","",0))</f>
        <v/>
      </c>
      <c r="G879" s="14"/>
      <c r="H879" s="6">
        <v>68</v>
      </c>
      <c r="I879" s="15" t="s">
        <v>3120</v>
      </c>
      <c r="J879" s="6" t="s">
        <v>3219</v>
      </c>
      <c r="K879" s="6"/>
      <c r="L879" s="6" t="s">
        <v>207</v>
      </c>
      <c r="M879" s="6" t="s">
        <v>6178</v>
      </c>
      <c r="N879" s="7">
        <f ca="1">RAND()</f>
        <v>5.0380666206022551E-2</v>
      </c>
      <c r="O879" s="8">
        <v>45198</v>
      </c>
      <c r="P879" s="8">
        <v>45199</v>
      </c>
      <c r="Q879" s="8">
        <v>45202</v>
      </c>
      <c r="R879" s="8">
        <v>45206</v>
      </c>
      <c r="S879" s="8">
        <v>45213</v>
      </c>
      <c r="T879" s="8">
        <v>45225</v>
      </c>
      <c r="U879" s="8">
        <v>45792</v>
      </c>
      <c r="V879" s="10">
        <f>COUNTA(O879:U879)</f>
        <v>7</v>
      </c>
      <c r="W879" s="11">
        <f>_xlfn.IFNA(INDEX(reading[[#This Row],[Memo 01]:[Memo 07]],MATCH(0,reading[[#This Row],[Memo 01]:[Memo 07]],-1)),"")</f>
        <v>45792</v>
      </c>
      <c r="X879" s="11">
        <f ca="1">IFERROR(reading[[#This Row],[Previous]]+OFFSET(reading[[#Headers],[Memo 01]],-1,MATCH(0,reading[[#This Row],[Memo 01]:[Memo 07]],-1)-1),"")</f>
        <v>55792</v>
      </c>
      <c r="Y879" s="10" t="str">
        <f ca="1">IF(reading[[#This Row],[Next]]&lt;&gt;"",IF(reading[[#This Row],[Next]]&gt;TODAY(),"OK",""),"")</f>
        <v>OK</v>
      </c>
      <c r="Z879" s="13">
        <v>3</v>
      </c>
      <c r="AA879" s="13">
        <v>3</v>
      </c>
      <c r="AB879" s="13">
        <v>3</v>
      </c>
      <c r="AC879" s="13">
        <v>2</v>
      </c>
      <c r="AD879" s="13">
        <v>3</v>
      </c>
      <c r="AE879" s="13">
        <v>2</v>
      </c>
      <c r="AF879" s="13">
        <v>3</v>
      </c>
      <c r="AG879" s="16">
        <f>IFERROR(SUMIF(reading[[#This Row],[1st]:[7th]],"&gt;0")/COUNTIF(reading[[#This Row],[1st]:[7th]],"&gt;0"),"")</f>
        <v>2.7142857142857144</v>
      </c>
    </row>
    <row r="880" spans="1:33" hidden="1" x14ac:dyDescent="0.2">
      <c r="A880" s="4">
        <f>IF(B880=1,3,IF(D880=1,2,IF(F880=1,1,0)))</f>
        <v>0</v>
      </c>
      <c r="B880" s="4" t="str">
        <f>IF(C880=$L880,1,IF(C880="","",0))</f>
        <v/>
      </c>
      <c r="C880" s="42"/>
      <c r="D880" s="4" t="str">
        <f>IF(E880=$L880,1,IF(E880="","",0))</f>
        <v/>
      </c>
      <c r="E880" s="14"/>
      <c r="F880" s="4" t="str">
        <f>IF(G880=$L880,1,IF(G880="","",0))</f>
        <v/>
      </c>
      <c r="G880" s="14"/>
      <c r="H880" s="6">
        <v>388</v>
      </c>
      <c r="I880" s="15" t="s">
        <v>3120</v>
      </c>
      <c r="J880" s="6" t="s">
        <v>3534</v>
      </c>
      <c r="K880" s="6"/>
      <c r="L880" s="6" t="s">
        <v>520</v>
      </c>
      <c r="M880" s="6" t="s">
        <v>6497</v>
      </c>
      <c r="N880" s="7">
        <f ca="1">RAND()</f>
        <v>0.28803388483681314</v>
      </c>
      <c r="O880" s="8">
        <v>45201</v>
      </c>
      <c r="P880" s="8">
        <v>45202</v>
      </c>
      <c r="Q880" s="8">
        <v>45204</v>
      </c>
      <c r="R880" s="8">
        <v>45208</v>
      </c>
      <c r="S880" s="8">
        <v>45215</v>
      </c>
      <c r="T880" s="8">
        <v>45227</v>
      </c>
      <c r="U880" s="8">
        <v>45792</v>
      </c>
      <c r="V880" s="10">
        <f>COUNTA(O880:U880)</f>
        <v>7</v>
      </c>
      <c r="W880" s="11">
        <f>_xlfn.IFNA(INDEX(reading[[#This Row],[Memo 01]:[Memo 07]],MATCH(0,reading[[#This Row],[Memo 01]:[Memo 07]],-1)),"")</f>
        <v>45792</v>
      </c>
      <c r="X880" s="11">
        <f ca="1">IFERROR(reading[[#This Row],[Previous]]+OFFSET(reading[[#Headers],[Memo 01]],-1,MATCH(0,reading[[#This Row],[Memo 01]:[Memo 07]],-1)-1),"")</f>
        <v>55792</v>
      </c>
      <c r="Y880" s="10" t="str">
        <f ca="1">IF(reading[[#This Row],[Next]]&lt;&gt;"",IF(reading[[#This Row],[Next]]&gt;TODAY(),"OK",""),"")</f>
        <v>OK</v>
      </c>
      <c r="Z880" s="13">
        <v>3</v>
      </c>
      <c r="AA880" s="13">
        <v>3</v>
      </c>
      <c r="AB880" s="13">
        <v>3</v>
      </c>
      <c r="AC880" s="13">
        <v>3</v>
      </c>
      <c r="AD880" s="13">
        <v>3</v>
      </c>
      <c r="AE880" s="13">
        <v>3</v>
      </c>
      <c r="AF880" s="13">
        <v>3</v>
      </c>
      <c r="AG880" s="16">
        <f>IFERROR(SUMIF(reading[[#This Row],[1st]:[7th]],"&gt;0")/COUNTIF(reading[[#This Row],[1st]:[7th]],"&gt;0"),"")</f>
        <v>3</v>
      </c>
    </row>
    <row r="881" spans="1:33" hidden="1" x14ac:dyDescent="0.2">
      <c r="A881" s="4">
        <f>IF(B881=1,3,IF(D881=1,2,IF(F881=1,1,0)))</f>
        <v>0</v>
      </c>
      <c r="B881" s="4" t="str">
        <f>IF(C881=$L881,1,IF(C881="","",0))</f>
        <v/>
      </c>
      <c r="C881" s="43"/>
      <c r="D881" s="4" t="str">
        <f>IF(E881=$L881,1,IF(E881="","",0))</f>
        <v/>
      </c>
      <c r="E881" s="14"/>
      <c r="F881" s="4" t="str">
        <f>IF(G881=$L881,1,IF(G881="","",0))</f>
        <v/>
      </c>
      <c r="G881" s="14"/>
      <c r="H881" s="6">
        <v>83</v>
      </c>
      <c r="I881" s="15" t="s">
        <v>3120</v>
      </c>
      <c r="J881" s="6" t="s">
        <v>3233</v>
      </c>
      <c r="K881" s="6"/>
      <c r="L881" s="6" t="s">
        <v>221</v>
      </c>
      <c r="M881" s="6" t="s">
        <v>6192</v>
      </c>
      <c r="N881" s="7">
        <f ca="1">RAND()</f>
        <v>0.58500449748197658</v>
      </c>
      <c r="O881" s="8">
        <v>45198</v>
      </c>
      <c r="P881" s="8">
        <v>45199</v>
      </c>
      <c r="Q881" s="8">
        <v>45201</v>
      </c>
      <c r="R881" s="8">
        <v>45205</v>
      </c>
      <c r="S881" s="8">
        <v>45212</v>
      </c>
      <c r="T881" s="8">
        <v>45224</v>
      </c>
      <c r="U881" s="8">
        <v>45801</v>
      </c>
      <c r="V881" s="10">
        <f>COUNTA(O881:U881)</f>
        <v>7</v>
      </c>
      <c r="W881" s="11">
        <f>_xlfn.IFNA(INDEX(reading[[#This Row],[Memo 01]:[Memo 07]],MATCH(0,reading[[#This Row],[Memo 01]:[Memo 07]],-1)),"")</f>
        <v>45801</v>
      </c>
      <c r="X881" s="11">
        <f ca="1">IFERROR(reading[[#This Row],[Previous]]+OFFSET(reading[[#Headers],[Memo 01]],-1,MATCH(0,reading[[#This Row],[Memo 01]:[Memo 07]],-1)-1),"")</f>
        <v>55801</v>
      </c>
      <c r="Y881" s="10" t="str">
        <f ca="1">IF(reading[[#This Row],[Next]]&lt;&gt;"",IF(reading[[#This Row],[Next]]&gt;TODAY(),"OK",""),"")</f>
        <v>OK</v>
      </c>
      <c r="Z881" s="13">
        <v>3</v>
      </c>
      <c r="AA881" s="13">
        <v>3</v>
      </c>
      <c r="AB881" s="13">
        <v>3</v>
      </c>
      <c r="AC881" s="13">
        <v>3</v>
      </c>
      <c r="AD881" s="13">
        <v>3</v>
      </c>
      <c r="AE881" s="13">
        <v>3</v>
      </c>
      <c r="AF881" s="13">
        <v>3</v>
      </c>
      <c r="AG881" s="16">
        <f>IFERROR(SUMIF(reading[[#This Row],[1st]:[7th]],"&gt;0")/COUNTIF(reading[[#This Row],[1st]:[7th]],"&gt;0"),"")</f>
        <v>3</v>
      </c>
    </row>
    <row r="882" spans="1:33" hidden="1" x14ac:dyDescent="0.2">
      <c r="A882" s="4">
        <f>IF(B882=1,3,IF(D882=1,2,IF(F882=1,1,0)))</f>
        <v>0</v>
      </c>
      <c r="B882" s="4" t="str">
        <f>IF(C882=$L882,1,IF(C882="","",0))</f>
        <v/>
      </c>
      <c r="C882" s="42"/>
      <c r="D882" s="4" t="str">
        <f>IF(E882=$L882,1,IF(E882="","",0))</f>
        <v/>
      </c>
      <c r="E882" s="23"/>
      <c r="F882" s="4" t="str">
        <f>IF(G882=$L882,1,IF(G882="","",0))</f>
        <v/>
      </c>
      <c r="G882" s="14"/>
      <c r="H882" s="6">
        <v>2490</v>
      </c>
      <c r="I882" s="15" t="s">
        <v>3120</v>
      </c>
      <c r="J882" s="6" t="s">
        <v>5557</v>
      </c>
      <c r="K882" s="6"/>
      <c r="L882" s="6" t="s">
        <v>2536</v>
      </c>
      <c r="M882" s="6" t="s">
        <v>8595</v>
      </c>
      <c r="N882" s="7">
        <f ca="1">RAND()</f>
        <v>0.90966215537883355</v>
      </c>
      <c r="O882" s="8">
        <v>45218</v>
      </c>
      <c r="P882" s="8">
        <v>45219</v>
      </c>
      <c r="Q882" s="8">
        <v>45221</v>
      </c>
      <c r="R882" s="8">
        <v>45225</v>
      </c>
      <c r="S882" s="8">
        <v>45232</v>
      </c>
      <c r="T882" s="8">
        <v>45811</v>
      </c>
      <c r="U882" s="8"/>
      <c r="V882" s="10">
        <f>COUNTA(O882:U882)</f>
        <v>6</v>
      </c>
      <c r="W882" s="11">
        <f>_xlfn.IFNA(INDEX(reading[[#This Row],[Memo 01]:[Memo 07]],MATCH(0,reading[[#This Row],[Memo 01]:[Memo 07]],-1)),"")</f>
        <v>45811</v>
      </c>
      <c r="X882" s="11">
        <f ca="1">IFERROR(reading[[#This Row],[Previous]]+OFFSET(reading[[#Headers],[Memo 01]],-1,MATCH(0,reading[[#This Row],[Memo 01]:[Memo 07]],-1)-1),"")</f>
        <v>45831</v>
      </c>
      <c r="Y882" s="10" t="str">
        <f ca="1">IF(reading[[#This Row],[Next]]&lt;&gt;"",IF(reading[[#This Row],[Next]]&gt;TODAY(),"OK",""),"")</f>
        <v/>
      </c>
      <c r="Z882" s="13">
        <v>3</v>
      </c>
      <c r="AA882" s="13">
        <v>3</v>
      </c>
      <c r="AB882" s="13">
        <v>3</v>
      </c>
      <c r="AC882" s="13">
        <v>3</v>
      </c>
      <c r="AD882" s="13">
        <v>3</v>
      </c>
      <c r="AE882" s="13">
        <v>2</v>
      </c>
      <c r="AF882" s="13"/>
      <c r="AG882" s="16">
        <f>IFERROR(SUMIF(reading[[#This Row],[1st]:[7th]],"&gt;0")/COUNTIF(reading[[#This Row],[1st]:[7th]],"&gt;0"),"")</f>
        <v>2.8333333333333335</v>
      </c>
    </row>
    <row r="883" spans="1:33" hidden="1" x14ac:dyDescent="0.2">
      <c r="A883" s="4">
        <f>IF(B883=1,3,IF(D883=1,2,IF(F883=1,1,0)))</f>
        <v>0</v>
      </c>
      <c r="B883" s="4" t="str">
        <f>IF(C883=$L883,1,IF(C883="","",0))</f>
        <v/>
      </c>
      <c r="C883" s="42"/>
      <c r="D883" s="4" t="str">
        <f>IF(E883=$L883,1,IF(E883="","",0))</f>
        <v/>
      </c>
      <c r="E883" s="14"/>
      <c r="F883" s="4" t="str">
        <f>IF(G883=$L883,1,IF(G883="","",0))</f>
        <v/>
      </c>
      <c r="G883" s="14"/>
      <c r="H883" s="6">
        <v>508</v>
      </c>
      <c r="I883" s="15" t="s">
        <v>3120</v>
      </c>
      <c r="J883" s="6" t="s">
        <v>3653</v>
      </c>
      <c r="K883" s="6"/>
      <c r="L883" s="6" t="s">
        <v>636</v>
      </c>
      <c r="M883" s="6" t="s">
        <v>6617</v>
      </c>
      <c r="N883" s="7">
        <f ca="1">RAND()</f>
        <v>0.69619603814227404</v>
      </c>
      <c r="O883" s="8">
        <v>45202</v>
      </c>
      <c r="P883" s="8">
        <v>45203</v>
      </c>
      <c r="Q883" s="8">
        <v>45205</v>
      </c>
      <c r="R883" s="8">
        <v>45209</v>
      </c>
      <c r="S883" s="8">
        <v>45216</v>
      </c>
      <c r="T883" s="8">
        <v>45228</v>
      </c>
      <c r="U883" s="8">
        <v>45792</v>
      </c>
      <c r="V883" s="10">
        <f>COUNTA(O883:U883)</f>
        <v>7</v>
      </c>
      <c r="W883" s="11">
        <f>_xlfn.IFNA(INDEX(reading[[#This Row],[Memo 01]:[Memo 07]],MATCH(0,reading[[#This Row],[Memo 01]:[Memo 07]],-1)),"")</f>
        <v>45792</v>
      </c>
      <c r="X883" s="11">
        <f ca="1">IFERROR(reading[[#This Row],[Previous]]+OFFSET(reading[[#Headers],[Memo 01]],-1,MATCH(0,reading[[#This Row],[Memo 01]:[Memo 07]],-1)-1),"")</f>
        <v>55792</v>
      </c>
      <c r="Y883" s="10" t="str">
        <f ca="1">IF(reading[[#This Row],[Next]]&lt;&gt;"",IF(reading[[#This Row],[Next]]&gt;TODAY(),"OK",""),"")</f>
        <v>OK</v>
      </c>
      <c r="Z883" s="13">
        <v>3</v>
      </c>
      <c r="AA883" s="13">
        <v>3</v>
      </c>
      <c r="AB883" s="13">
        <v>3</v>
      </c>
      <c r="AC883" s="13">
        <v>3</v>
      </c>
      <c r="AD883" s="13">
        <v>3</v>
      </c>
      <c r="AE883" s="13">
        <v>3</v>
      </c>
      <c r="AF883" s="13">
        <v>3</v>
      </c>
      <c r="AG883" s="16">
        <f>IFERROR(SUMIF(reading[[#This Row],[1st]:[7th]],"&gt;0")/COUNTIF(reading[[#This Row],[1st]:[7th]],"&gt;0"),"")</f>
        <v>3</v>
      </c>
    </row>
    <row r="884" spans="1:33" hidden="1" x14ac:dyDescent="0.2">
      <c r="A884" s="4">
        <f>IF(B884=1,3,IF(D884=1,2,IF(F884=1,1,0)))</f>
        <v>0</v>
      </c>
      <c r="B884" s="4" t="str">
        <f>IF(C884=$L884,1,IF(C884="","",0))</f>
        <v/>
      </c>
      <c r="C884" s="42"/>
      <c r="D884" s="4" t="str">
        <f>IF(E884=$L884,1,IF(E884="","",0))</f>
        <v/>
      </c>
      <c r="E884" s="23"/>
      <c r="F884" s="4" t="str">
        <f>IF(G884=$L884,1,IF(G884="","",0))</f>
        <v/>
      </c>
      <c r="G884" s="14"/>
      <c r="H884" s="6">
        <v>2728</v>
      </c>
      <c r="I884" s="15" t="s">
        <v>3120</v>
      </c>
      <c r="J884" s="6" t="s">
        <v>5777</v>
      </c>
      <c r="K884" s="6"/>
      <c r="L884" s="6" t="s">
        <v>2766</v>
      </c>
      <c r="M884" s="6" t="s">
        <v>8833</v>
      </c>
      <c r="N884" s="7">
        <f ca="1">RAND()</f>
        <v>0.79162409960633306</v>
      </c>
      <c r="O884" s="8">
        <v>45221</v>
      </c>
      <c r="P884" s="8">
        <v>45222</v>
      </c>
      <c r="Q884" s="8">
        <v>45224</v>
      </c>
      <c r="R884" s="8">
        <v>45228</v>
      </c>
      <c r="S884" s="8">
        <v>45235</v>
      </c>
      <c r="T884" s="8">
        <v>45820</v>
      </c>
      <c r="U884" s="8"/>
      <c r="V884" s="10">
        <f>COUNTA(O884:U884)</f>
        <v>6</v>
      </c>
      <c r="W884" s="11">
        <f>_xlfn.IFNA(INDEX(reading[[#This Row],[Memo 01]:[Memo 07]],MATCH(0,reading[[#This Row],[Memo 01]:[Memo 07]],-1)),"")</f>
        <v>45820</v>
      </c>
      <c r="X884" s="11">
        <f ca="1">IFERROR(reading[[#This Row],[Previous]]+OFFSET(reading[[#Headers],[Memo 01]],-1,MATCH(0,reading[[#This Row],[Memo 01]:[Memo 07]],-1)-1),"")</f>
        <v>45840</v>
      </c>
      <c r="Y884" s="10" t="str">
        <f ca="1">IF(reading[[#This Row],[Next]]&lt;&gt;"",IF(reading[[#This Row],[Next]]&gt;TODAY(),"OK",""),"")</f>
        <v>OK</v>
      </c>
      <c r="Z884" s="13">
        <v>3</v>
      </c>
      <c r="AA884" s="13">
        <v>3</v>
      </c>
      <c r="AB884" s="13">
        <v>3</v>
      </c>
      <c r="AC884" s="13">
        <v>3</v>
      </c>
      <c r="AD884" s="13">
        <v>3</v>
      </c>
      <c r="AE884" s="13">
        <v>2</v>
      </c>
      <c r="AF884" s="13"/>
      <c r="AG884" s="16">
        <f>IFERROR(SUMIF(reading[[#This Row],[1st]:[7th]],"&gt;0")/COUNTIF(reading[[#This Row],[1st]:[7th]],"&gt;0"),"")</f>
        <v>2.8333333333333335</v>
      </c>
    </row>
    <row r="885" spans="1:33" hidden="1" x14ac:dyDescent="0.2">
      <c r="A885" s="4">
        <f>IF(B885=1,3,IF(D885=1,2,IF(F885=1,1,0)))</f>
        <v>0</v>
      </c>
      <c r="B885" s="4" t="str">
        <f>IF(C885=$L885,1,IF(C885="","",0))</f>
        <v/>
      </c>
      <c r="C885" s="42"/>
      <c r="D885" s="4" t="str">
        <f>IF(E885=$L885,1,IF(E885="","",0))</f>
        <v/>
      </c>
      <c r="E885" s="14"/>
      <c r="F885" s="4" t="str">
        <f>IF(G885=$L885,1,IF(G885="","",0))</f>
        <v/>
      </c>
      <c r="G885" s="14"/>
      <c r="H885" s="6">
        <v>1332</v>
      </c>
      <c r="I885" s="15" t="s">
        <v>3120</v>
      </c>
      <c r="J885" s="6" t="s">
        <v>4448</v>
      </c>
      <c r="K885" s="15" t="s">
        <v>3139</v>
      </c>
      <c r="L885" s="6" t="s">
        <v>1429</v>
      </c>
      <c r="M885" s="6" t="s">
        <v>7439</v>
      </c>
      <c r="N885" s="7">
        <f ca="1">RAND()</f>
        <v>0.42480581308653376</v>
      </c>
      <c r="O885" s="8">
        <v>45207</v>
      </c>
      <c r="P885" s="8">
        <v>45208</v>
      </c>
      <c r="Q885" s="8">
        <v>45210</v>
      </c>
      <c r="R885" s="8">
        <v>45214</v>
      </c>
      <c r="S885" s="8">
        <v>45221</v>
      </c>
      <c r="T885" s="8">
        <v>45233</v>
      </c>
      <c r="U885" s="8">
        <v>45792</v>
      </c>
      <c r="V885" s="10">
        <f>COUNTA(O885:U885)</f>
        <v>7</v>
      </c>
      <c r="W885" s="11">
        <f>_xlfn.IFNA(INDEX(reading[[#This Row],[Memo 01]:[Memo 07]],MATCH(0,reading[[#This Row],[Memo 01]:[Memo 07]],-1)),"")</f>
        <v>45792</v>
      </c>
      <c r="X885" s="11">
        <f ca="1">IFERROR(reading[[#This Row],[Previous]]+OFFSET(reading[[#Headers],[Memo 01]],-1,MATCH(0,reading[[#This Row],[Memo 01]:[Memo 07]],-1)-1),"")</f>
        <v>55792</v>
      </c>
      <c r="Y885" s="10" t="str">
        <f ca="1">IF(reading[[#This Row],[Next]]&lt;&gt;"",IF(reading[[#This Row],[Next]]&gt;TODAY(),"OK",""),"")</f>
        <v>OK</v>
      </c>
      <c r="Z885" s="13">
        <v>3</v>
      </c>
      <c r="AA885" s="13">
        <v>3</v>
      </c>
      <c r="AB885" s="13">
        <v>3</v>
      </c>
      <c r="AC885" s="13">
        <v>3</v>
      </c>
      <c r="AD885" s="13">
        <v>3</v>
      </c>
      <c r="AE885" s="13">
        <v>3</v>
      </c>
      <c r="AF885" s="13">
        <v>3</v>
      </c>
      <c r="AG885" s="16">
        <f>IFERROR(SUMIF(reading[[#This Row],[1st]:[7th]],"&gt;0")/COUNTIF(reading[[#This Row],[1st]:[7th]],"&gt;0"),"")</f>
        <v>3</v>
      </c>
    </row>
    <row r="886" spans="1:33" hidden="1" x14ac:dyDescent="0.2">
      <c r="A886" s="4">
        <f>IF(B886=1,3,IF(D886=1,2,IF(F886=1,1,0)))</f>
        <v>0</v>
      </c>
      <c r="B886" s="4" t="str">
        <f>IF(C886=$L886,1,IF(C886="","",0))</f>
        <v/>
      </c>
      <c r="C886" s="42"/>
      <c r="D886" s="4" t="str">
        <f>IF(E886=$L886,1,IF(E886="","",0))</f>
        <v/>
      </c>
      <c r="E886" s="14"/>
      <c r="F886" s="4" t="str">
        <f>IF(G886=$L886,1,IF(G886="","",0))</f>
        <v/>
      </c>
      <c r="G886" s="14"/>
      <c r="H886" s="6">
        <v>1531</v>
      </c>
      <c r="I886" s="15" t="s">
        <v>3120</v>
      </c>
      <c r="J886" s="6" t="s">
        <v>4644</v>
      </c>
      <c r="K886" s="6"/>
      <c r="L886" s="6" t="s">
        <v>1616</v>
      </c>
      <c r="M886" s="6" t="s">
        <v>7638</v>
      </c>
      <c r="N886" s="7">
        <f ca="1">RAND()</f>
        <v>0.11176713500869329</v>
      </c>
      <c r="O886" s="8">
        <v>45209</v>
      </c>
      <c r="P886" s="8">
        <v>45210</v>
      </c>
      <c r="Q886" s="8">
        <v>45212</v>
      </c>
      <c r="R886" s="8">
        <v>45216</v>
      </c>
      <c r="S886" s="8">
        <v>45223</v>
      </c>
      <c r="T886" s="8">
        <v>45235</v>
      </c>
      <c r="U886" s="8">
        <v>45792</v>
      </c>
      <c r="V886" s="10">
        <f>COUNTA(O886:U886)</f>
        <v>7</v>
      </c>
      <c r="W886" s="11">
        <f>_xlfn.IFNA(INDEX(reading[[#This Row],[Memo 01]:[Memo 07]],MATCH(0,reading[[#This Row],[Memo 01]:[Memo 07]],-1)),"")</f>
        <v>45792</v>
      </c>
      <c r="X886" s="11">
        <f ca="1">IFERROR(reading[[#This Row],[Previous]]+OFFSET(reading[[#Headers],[Memo 01]],-1,MATCH(0,reading[[#This Row],[Memo 01]:[Memo 07]],-1)-1),"")</f>
        <v>55792</v>
      </c>
      <c r="Y886" s="10" t="str">
        <f ca="1">IF(reading[[#This Row],[Next]]&lt;&gt;"",IF(reading[[#This Row],[Next]]&gt;TODAY(),"OK",""),"")</f>
        <v>OK</v>
      </c>
      <c r="Z886" s="13">
        <v>3</v>
      </c>
      <c r="AA886" s="13">
        <v>3</v>
      </c>
      <c r="AB886" s="13">
        <v>3</v>
      </c>
      <c r="AC886" s="13">
        <v>3</v>
      </c>
      <c r="AD886" s="13">
        <v>3</v>
      </c>
      <c r="AE886" s="13">
        <v>3</v>
      </c>
      <c r="AF886" s="13">
        <v>3</v>
      </c>
      <c r="AG886" s="16">
        <f>IFERROR(SUMIF(reading[[#This Row],[1st]:[7th]],"&gt;0")/COUNTIF(reading[[#This Row],[1st]:[7th]],"&gt;0"),"")</f>
        <v>3</v>
      </c>
    </row>
    <row r="887" spans="1:33" hidden="1" x14ac:dyDescent="0.2">
      <c r="A887" s="4">
        <f>IF(B887=1,3,IF(D887=1,2,IF(F887=1,1,0)))</f>
        <v>3</v>
      </c>
      <c r="B887" s="4">
        <f>IF(C887=$L887,1,IF(C887="","",0))</f>
        <v>1</v>
      </c>
      <c r="C887" s="22" t="s">
        <v>1003</v>
      </c>
      <c r="D887" s="4" t="str">
        <f>IF(E887=$L887,1,IF(E887="","",0))</f>
        <v/>
      </c>
      <c r="E887" s="14"/>
      <c r="F887" s="4" t="str">
        <f>IF(G887=$L887,1,IF(G887="","",0))</f>
        <v/>
      </c>
      <c r="G887" s="14"/>
      <c r="H887" s="6">
        <v>890</v>
      </c>
      <c r="I887" s="15" t="s">
        <v>3120</v>
      </c>
      <c r="J887" s="6" t="s">
        <v>4022</v>
      </c>
      <c r="K887" s="6"/>
      <c r="L887" s="6" t="s">
        <v>1003</v>
      </c>
      <c r="M887" s="6" t="s">
        <v>6999</v>
      </c>
      <c r="N887" s="7">
        <f ca="1">RAND()</f>
        <v>0.95525633516565001</v>
      </c>
      <c r="O887" s="8">
        <v>45204</v>
      </c>
      <c r="P887" s="8">
        <v>45204</v>
      </c>
      <c r="Q887" s="8">
        <v>45204</v>
      </c>
      <c r="R887" s="8">
        <v>45204</v>
      </c>
      <c r="S887" s="8">
        <v>45204</v>
      </c>
      <c r="T887" s="8">
        <v>45204</v>
      </c>
      <c r="U887" s="8">
        <v>45204</v>
      </c>
      <c r="V887" s="10">
        <f>COUNTA(O887:U887)</f>
        <v>7</v>
      </c>
      <c r="W887" s="11">
        <f>_xlfn.IFNA(INDEX(reading[[#This Row],[Memo 01]:[Memo 07]],MATCH(0,reading[[#This Row],[Memo 01]:[Memo 07]],-1)),"")</f>
        <v>45204</v>
      </c>
      <c r="X887" s="11">
        <f ca="1">IFERROR(reading[[#This Row],[Previous]]+OFFSET(reading[[#Headers],[Memo 01]],-1,MATCH(0,reading[[#This Row],[Memo 01]:[Memo 07]],-1)-1),"")</f>
        <v>55204</v>
      </c>
      <c r="Y887" s="10" t="str">
        <f ca="1">IF(reading[[#This Row],[Next]]&lt;&gt;"",IF(reading[[#This Row],[Next]]&gt;TODAY(),"OK",""),"")</f>
        <v>OK</v>
      </c>
      <c r="Z887" s="13">
        <v>3</v>
      </c>
      <c r="AA887" s="13"/>
      <c r="AB887" s="13"/>
      <c r="AC887" s="13"/>
      <c r="AD887" s="13"/>
      <c r="AE887" s="13"/>
      <c r="AF887" s="13"/>
      <c r="AG887" s="16">
        <f>IFERROR(SUMIF(reading[[#This Row],[1st]:[7th]],"&gt;0")/COUNTIF(reading[[#This Row],[1st]:[7th]],"&gt;0"),"")</f>
        <v>3</v>
      </c>
    </row>
    <row r="888" spans="1:33" hidden="1" x14ac:dyDescent="0.2">
      <c r="A888" s="4">
        <f>IF(B888=1,3,IF(D888=1,2,IF(F888=1,1,0)))</f>
        <v>0</v>
      </c>
      <c r="B888" s="4" t="str">
        <f>IF(C888=$L888,1,IF(C888="","",0))</f>
        <v/>
      </c>
      <c r="C888" s="42"/>
      <c r="D888" s="4" t="str">
        <f>IF(E888=$L888,1,IF(E888="","",0))</f>
        <v/>
      </c>
      <c r="E888" s="43"/>
      <c r="F888" s="4" t="str">
        <f>IF(G888=$L888,1,IF(G888="","",0))</f>
        <v/>
      </c>
      <c r="G888" s="14"/>
      <c r="H888" s="6">
        <v>198</v>
      </c>
      <c r="I888" s="15" t="s">
        <v>3120</v>
      </c>
      <c r="J888" s="6" t="s">
        <v>3347</v>
      </c>
      <c r="K888" s="6"/>
      <c r="L888" s="6" t="s">
        <v>334</v>
      </c>
      <c r="M888" s="6" t="s">
        <v>6307</v>
      </c>
      <c r="N888" s="7">
        <f ca="1">RAND()</f>
        <v>0.64493856544475647</v>
      </c>
      <c r="O888" s="8">
        <v>45199</v>
      </c>
      <c r="P888" s="8">
        <v>45200</v>
      </c>
      <c r="Q888" s="8">
        <v>45202</v>
      </c>
      <c r="R888" s="8">
        <v>45206</v>
      </c>
      <c r="S888" s="8">
        <v>45213</v>
      </c>
      <c r="T888" s="8">
        <v>45225</v>
      </c>
      <c r="U888" s="8">
        <v>45811</v>
      </c>
      <c r="V888" s="10">
        <f>COUNTA(O888:U888)</f>
        <v>7</v>
      </c>
      <c r="W888" s="11">
        <f>_xlfn.IFNA(INDEX(reading[[#This Row],[Memo 01]:[Memo 07]],MATCH(0,reading[[#This Row],[Memo 01]:[Memo 07]],-1)),"")</f>
        <v>45811</v>
      </c>
      <c r="X888" s="11">
        <f ca="1">IFERROR(reading[[#This Row],[Previous]]+OFFSET(reading[[#Headers],[Memo 01]],-1,MATCH(0,reading[[#This Row],[Memo 01]:[Memo 07]],-1)-1),"")</f>
        <v>55811</v>
      </c>
      <c r="Y888" s="10" t="str">
        <f ca="1">IF(reading[[#This Row],[Next]]&lt;&gt;"",IF(reading[[#This Row],[Next]]&gt;TODAY(),"OK",""),"")</f>
        <v>OK</v>
      </c>
      <c r="Z888" s="13">
        <v>3</v>
      </c>
      <c r="AA888" s="13">
        <v>3</v>
      </c>
      <c r="AB888" s="13">
        <v>3</v>
      </c>
      <c r="AC888" s="13">
        <v>3</v>
      </c>
      <c r="AD888" s="13">
        <v>3</v>
      </c>
      <c r="AE888" s="13">
        <v>2</v>
      </c>
      <c r="AF888" s="13">
        <v>2</v>
      </c>
      <c r="AG888" s="16">
        <f>IFERROR(SUMIF(reading[[#This Row],[1st]:[7th]],"&gt;0")/COUNTIF(reading[[#This Row],[1st]:[7th]],"&gt;0"),"")</f>
        <v>2.7142857142857144</v>
      </c>
    </row>
    <row r="889" spans="1:33" hidden="1" x14ac:dyDescent="0.2">
      <c r="A889" s="4">
        <f>IF(B889=1,3,IF(D889=1,2,IF(F889=1,1,0)))</f>
        <v>0</v>
      </c>
      <c r="B889" s="4" t="str">
        <f>IF(C889=$L889,1,IF(C889="","",0))</f>
        <v/>
      </c>
      <c r="C889" s="42"/>
      <c r="D889" s="4" t="str">
        <f>IF(E889=$L889,1,IF(E889="","",0))</f>
        <v/>
      </c>
      <c r="E889" s="14"/>
      <c r="F889" s="4" t="str">
        <f>IF(G889=$L889,1,IF(G889="","",0))</f>
        <v/>
      </c>
      <c r="G889" s="14"/>
      <c r="H889" s="6">
        <v>1650</v>
      </c>
      <c r="I889" s="15" t="s">
        <v>3120</v>
      </c>
      <c r="J889" s="6" t="s">
        <v>4762</v>
      </c>
      <c r="K889" s="6"/>
      <c r="L889" s="6" t="s">
        <v>1731</v>
      </c>
      <c r="M889" s="6" t="s">
        <v>7756</v>
      </c>
      <c r="N889" s="7">
        <f ca="1">RAND()</f>
        <v>0.27497385486207371</v>
      </c>
      <c r="O889" s="8">
        <v>45210</v>
      </c>
      <c r="P889" s="8">
        <v>45211</v>
      </c>
      <c r="Q889" s="8">
        <v>45213</v>
      </c>
      <c r="R889" s="8">
        <v>45217</v>
      </c>
      <c r="S889" s="8">
        <v>45224</v>
      </c>
      <c r="T889" s="8">
        <v>45236</v>
      </c>
      <c r="U889" s="8">
        <v>45792</v>
      </c>
      <c r="V889" s="10">
        <f>COUNTA(O889:U889)</f>
        <v>7</v>
      </c>
      <c r="W889" s="11">
        <f>_xlfn.IFNA(INDEX(reading[[#This Row],[Memo 01]:[Memo 07]],MATCH(0,reading[[#This Row],[Memo 01]:[Memo 07]],-1)),"")</f>
        <v>45792</v>
      </c>
      <c r="X889" s="11">
        <f ca="1">IFERROR(reading[[#This Row],[Previous]]+OFFSET(reading[[#Headers],[Memo 01]],-1,MATCH(0,reading[[#This Row],[Memo 01]:[Memo 07]],-1)-1),"")</f>
        <v>55792</v>
      </c>
      <c r="Y889" s="10" t="str">
        <f ca="1">IF(reading[[#This Row],[Next]]&lt;&gt;"",IF(reading[[#This Row],[Next]]&gt;TODAY(),"OK",""),"")</f>
        <v>OK</v>
      </c>
      <c r="Z889" s="13">
        <v>3</v>
      </c>
      <c r="AA889" s="13">
        <v>3</v>
      </c>
      <c r="AB889" s="13">
        <v>3</v>
      </c>
      <c r="AC889" s="13">
        <v>3</v>
      </c>
      <c r="AD889" s="13">
        <v>3</v>
      </c>
      <c r="AE889" s="13">
        <v>3</v>
      </c>
      <c r="AF889" s="13">
        <v>3</v>
      </c>
      <c r="AG889" s="16">
        <f>IFERROR(SUMIF(reading[[#This Row],[1st]:[7th]],"&gt;0")/COUNTIF(reading[[#This Row],[1st]:[7th]],"&gt;0"),"")</f>
        <v>3</v>
      </c>
    </row>
    <row r="890" spans="1:33" hidden="1" x14ac:dyDescent="0.2">
      <c r="A890" s="4">
        <f>IF(B890=1,3,IF(D890=1,2,IF(F890=1,1,0)))</f>
        <v>0</v>
      </c>
      <c r="B890" s="4" t="str">
        <f>IF(C890=$L890,1,IF(C890="","",0))</f>
        <v/>
      </c>
      <c r="C890" s="42"/>
      <c r="D890" s="4" t="str">
        <f>IF(E890=$L890,1,IF(E890="","",0))</f>
        <v/>
      </c>
      <c r="E890" s="14"/>
      <c r="F890" s="4" t="str">
        <f>IF(G890=$L890,1,IF(G890="","",0))</f>
        <v/>
      </c>
      <c r="G890" s="14"/>
      <c r="H890" s="6">
        <v>1016</v>
      </c>
      <c r="I890" s="15" t="s">
        <v>3120</v>
      </c>
      <c r="J890" s="6" t="s">
        <v>4144</v>
      </c>
      <c r="K890" s="6"/>
      <c r="L890" s="6" t="s">
        <v>1126</v>
      </c>
      <c r="M890" s="6" t="s">
        <v>7124</v>
      </c>
      <c r="N890" s="7">
        <f ca="1">RAND()</f>
        <v>0.58249782385933013</v>
      </c>
      <c r="O890" s="8">
        <v>45205</v>
      </c>
      <c r="P890" s="8">
        <v>45206</v>
      </c>
      <c r="Q890" s="8">
        <v>45208</v>
      </c>
      <c r="R890" s="8">
        <v>45212</v>
      </c>
      <c r="S890" s="8">
        <v>45219</v>
      </c>
      <c r="T890" s="8">
        <v>45231</v>
      </c>
      <c r="U890" s="8">
        <v>45792</v>
      </c>
      <c r="V890" s="10">
        <f>COUNTA(O890:U890)</f>
        <v>7</v>
      </c>
      <c r="W890" s="11">
        <f>_xlfn.IFNA(INDEX(reading[[#This Row],[Memo 01]:[Memo 07]],MATCH(0,reading[[#This Row],[Memo 01]:[Memo 07]],-1)),"")</f>
        <v>45792</v>
      </c>
      <c r="X890" s="11">
        <f ca="1">IFERROR(reading[[#This Row],[Previous]]+OFFSET(reading[[#Headers],[Memo 01]],-1,MATCH(0,reading[[#This Row],[Memo 01]:[Memo 07]],-1)-1),"")</f>
        <v>55792</v>
      </c>
      <c r="Y890" s="10" t="str">
        <f ca="1">IF(reading[[#This Row],[Next]]&lt;&gt;"",IF(reading[[#This Row],[Next]]&gt;TODAY(),"OK",""),"")</f>
        <v>OK</v>
      </c>
      <c r="Z890" s="13">
        <v>3</v>
      </c>
      <c r="AA890" s="13">
        <v>3</v>
      </c>
      <c r="AB890" s="13">
        <v>3</v>
      </c>
      <c r="AC890" s="13">
        <v>3</v>
      </c>
      <c r="AD890" s="13">
        <v>3</v>
      </c>
      <c r="AE890" s="13">
        <v>3</v>
      </c>
      <c r="AF890" s="13">
        <v>3</v>
      </c>
      <c r="AG890" s="16">
        <f>IFERROR(SUMIF(reading[[#This Row],[1st]:[7th]],"&gt;0")/COUNTIF(reading[[#This Row],[1st]:[7th]],"&gt;0"),"")</f>
        <v>3</v>
      </c>
    </row>
    <row r="891" spans="1:33" hidden="1" x14ac:dyDescent="0.2">
      <c r="A891" s="4">
        <f>IF(B891=1,3,IF(D891=1,2,IF(F891=1,1,0)))</f>
        <v>0</v>
      </c>
      <c r="B891" s="4" t="str">
        <f>IF(C891=$L891,1,IF(C891="","",0))</f>
        <v/>
      </c>
      <c r="C891" s="42"/>
      <c r="D891" s="4" t="str">
        <f>IF(E891=$L891,1,IF(E891="","",0))</f>
        <v/>
      </c>
      <c r="E891" s="43"/>
      <c r="F891" s="4" t="str">
        <f>IF(G891=$L891,1,IF(G891="","",0))</f>
        <v/>
      </c>
      <c r="G891" s="23"/>
      <c r="H891" s="6">
        <v>2423</v>
      </c>
      <c r="I891" s="15" t="s">
        <v>3120</v>
      </c>
      <c r="J891" s="6" t="s">
        <v>5494</v>
      </c>
      <c r="K891" s="6"/>
      <c r="L891" s="6" t="s">
        <v>2473</v>
      </c>
      <c r="M891" s="6" t="s">
        <v>8528</v>
      </c>
      <c r="N891" s="7">
        <f ca="1">RAND()</f>
        <v>0.19230845329548052</v>
      </c>
      <c r="O891" s="8">
        <v>45218</v>
      </c>
      <c r="P891" s="8">
        <v>45219</v>
      </c>
      <c r="Q891" s="8">
        <v>45221</v>
      </c>
      <c r="R891" s="8">
        <v>45225</v>
      </c>
      <c r="S891" s="8">
        <v>45232</v>
      </c>
      <c r="T891" s="8">
        <v>45817</v>
      </c>
      <c r="U891" s="8"/>
      <c r="V891" s="10">
        <f>COUNTA(O891:U891)</f>
        <v>6</v>
      </c>
      <c r="W891" s="11">
        <f>_xlfn.IFNA(INDEX(reading[[#This Row],[Memo 01]:[Memo 07]],MATCH(0,reading[[#This Row],[Memo 01]:[Memo 07]],-1)),"")</f>
        <v>45817</v>
      </c>
      <c r="X891" s="11">
        <f ca="1">IFERROR(reading[[#This Row],[Previous]]+OFFSET(reading[[#Headers],[Memo 01]],-1,MATCH(0,reading[[#This Row],[Memo 01]:[Memo 07]],-1)-1),"")</f>
        <v>45837</v>
      </c>
      <c r="Y891" s="10" t="str">
        <f ca="1">IF(reading[[#This Row],[Next]]&lt;&gt;"",IF(reading[[#This Row],[Next]]&gt;TODAY(),"OK",""),"")</f>
        <v>OK</v>
      </c>
      <c r="Z891" s="13">
        <v>3</v>
      </c>
      <c r="AA891" s="13">
        <v>3</v>
      </c>
      <c r="AB891" s="13">
        <v>3</v>
      </c>
      <c r="AC891" s="13">
        <v>2</v>
      </c>
      <c r="AD891" s="13">
        <v>3</v>
      </c>
      <c r="AE891" s="13">
        <v>1</v>
      </c>
      <c r="AF891" s="13"/>
      <c r="AG891" s="16">
        <f>IFERROR(SUMIF(reading[[#This Row],[1st]:[7th]],"&gt;0")/COUNTIF(reading[[#This Row],[1st]:[7th]],"&gt;0"),"")</f>
        <v>2.5</v>
      </c>
    </row>
    <row r="892" spans="1:33" hidden="1" x14ac:dyDescent="0.2">
      <c r="A892" s="4">
        <f>IF(B892=1,3,IF(D892=1,2,IF(F892=1,1,0)))</f>
        <v>0</v>
      </c>
      <c r="B892" s="4" t="str">
        <f>IF(C892=$L892,1,IF(C892="","",0))</f>
        <v/>
      </c>
      <c r="C892" s="43"/>
      <c r="D892" s="4" t="str">
        <f>IF(E892=$L892,1,IF(E892="","",0))</f>
        <v/>
      </c>
      <c r="E892" s="14"/>
      <c r="F892" s="4" t="str">
        <f>IF(G892=$L892,1,IF(G892="","",0))</f>
        <v/>
      </c>
      <c r="G892" s="14"/>
      <c r="H892" s="6">
        <v>47</v>
      </c>
      <c r="I892" s="15" t="s">
        <v>3120</v>
      </c>
      <c r="J892" s="6" t="s">
        <v>3202</v>
      </c>
      <c r="K892" s="6"/>
      <c r="L892" s="6" t="s">
        <v>190</v>
      </c>
      <c r="M892" s="6" t="s">
        <v>6161</v>
      </c>
      <c r="N892" s="7">
        <f ca="1">RAND()</f>
        <v>0.55464382776834575</v>
      </c>
      <c r="O892" s="8">
        <v>45198</v>
      </c>
      <c r="P892" s="8">
        <v>45199</v>
      </c>
      <c r="Q892" s="8">
        <v>45201</v>
      </c>
      <c r="R892" s="8">
        <v>45205</v>
      </c>
      <c r="S892" s="8">
        <v>45212</v>
      </c>
      <c r="T892" s="8">
        <v>45224</v>
      </c>
      <c r="U892" s="8">
        <v>45792</v>
      </c>
      <c r="V892" s="10">
        <f>COUNTA(O892:U892)</f>
        <v>7</v>
      </c>
      <c r="W892" s="11">
        <f>_xlfn.IFNA(INDEX(reading[[#This Row],[Memo 01]:[Memo 07]],MATCH(0,reading[[#This Row],[Memo 01]:[Memo 07]],-1)),"")</f>
        <v>45792</v>
      </c>
      <c r="X892" s="11">
        <f ca="1">IFERROR(reading[[#This Row],[Previous]]+OFFSET(reading[[#Headers],[Memo 01]],-1,MATCH(0,reading[[#This Row],[Memo 01]:[Memo 07]],-1)-1),"")</f>
        <v>55792</v>
      </c>
      <c r="Y892" s="10" t="str">
        <f ca="1">IF(reading[[#This Row],[Next]]&lt;&gt;"",IF(reading[[#This Row],[Next]]&gt;TODAY(),"OK",""),"")</f>
        <v>OK</v>
      </c>
      <c r="Z892" s="13">
        <v>3</v>
      </c>
      <c r="AA892" s="13">
        <v>3</v>
      </c>
      <c r="AB892" s="13">
        <v>3</v>
      </c>
      <c r="AC892" s="13">
        <v>2</v>
      </c>
      <c r="AD892" s="13">
        <v>3</v>
      </c>
      <c r="AE892" s="13">
        <v>3</v>
      </c>
      <c r="AF892" s="13">
        <v>3</v>
      </c>
      <c r="AG892" s="16">
        <f>IFERROR(SUMIF(reading[[#This Row],[1st]:[7th]],"&gt;0")/COUNTIF(reading[[#This Row],[1st]:[7th]],"&gt;0"),"")</f>
        <v>2.8571428571428572</v>
      </c>
    </row>
    <row r="893" spans="1:33" hidden="1" x14ac:dyDescent="0.2">
      <c r="A893" s="4">
        <f>IF(B893=1,3,IF(D893=1,2,IF(F893=1,1,0)))</f>
        <v>0</v>
      </c>
      <c r="B893" s="4" t="str">
        <f>IF(C893=$L893,1,IF(C893="","",0))</f>
        <v/>
      </c>
      <c r="C893" s="42"/>
      <c r="D893" s="4" t="str">
        <f>IF(E893=$L893,1,IF(E893="","",0))</f>
        <v/>
      </c>
      <c r="E893" s="18"/>
      <c r="F893" s="4" t="str">
        <f>IF(G893=$L893,1,IF(G893="","",0))</f>
        <v/>
      </c>
      <c r="G893" s="14"/>
      <c r="H893" s="6">
        <v>1723</v>
      </c>
      <c r="I893" s="15" t="s">
        <v>3120</v>
      </c>
      <c r="J893" s="6" t="s">
        <v>4831</v>
      </c>
      <c r="K893" s="6"/>
      <c r="L893" s="6" t="s">
        <v>1803</v>
      </c>
      <c r="M893" s="6" t="s">
        <v>7829</v>
      </c>
      <c r="N893" s="7">
        <f ca="1">RAND()</f>
        <v>0.64916332207990424</v>
      </c>
      <c r="O893" s="8">
        <v>45211</v>
      </c>
      <c r="P893" s="8">
        <v>45212</v>
      </c>
      <c r="Q893" s="8">
        <v>45214</v>
      </c>
      <c r="R893" s="8">
        <v>45218</v>
      </c>
      <c r="S893" s="8">
        <v>45225</v>
      </c>
      <c r="T893" s="8">
        <v>45237</v>
      </c>
      <c r="U893" s="8">
        <v>45819</v>
      </c>
      <c r="V893" s="10">
        <f>COUNTA(O893:U893)</f>
        <v>7</v>
      </c>
      <c r="W893" s="11">
        <f>_xlfn.IFNA(INDEX(reading[[#This Row],[Memo 01]:[Memo 07]],MATCH(0,reading[[#This Row],[Memo 01]:[Memo 07]],-1)),"")</f>
        <v>45819</v>
      </c>
      <c r="X893" s="11">
        <f ca="1">IFERROR(reading[[#This Row],[Previous]]+OFFSET(reading[[#Headers],[Memo 01]],-1,MATCH(0,reading[[#This Row],[Memo 01]:[Memo 07]],-1)-1),"")</f>
        <v>55819</v>
      </c>
      <c r="Y893" s="10" t="str">
        <f ca="1">IF(reading[[#This Row],[Next]]&lt;&gt;"",IF(reading[[#This Row],[Next]]&gt;TODAY(),"OK",""),"")</f>
        <v>OK</v>
      </c>
      <c r="Z893" s="13">
        <v>3</v>
      </c>
      <c r="AA893" s="13">
        <v>3</v>
      </c>
      <c r="AB893" s="13">
        <v>3</v>
      </c>
      <c r="AC893" s="13">
        <v>2</v>
      </c>
      <c r="AD893" s="13">
        <v>2</v>
      </c>
      <c r="AE893" s="13">
        <v>3</v>
      </c>
      <c r="AF893" s="13">
        <v>3</v>
      </c>
      <c r="AG893" s="16">
        <f>IFERROR(SUMIF(reading[[#This Row],[1st]:[7th]],"&gt;0")/COUNTIF(reading[[#This Row],[1st]:[7th]],"&gt;0"),"")</f>
        <v>2.7142857142857144</v>
      </c>
    </row>
    <row r="894" spans="1:33" hidden="1" x14ac:dyDescent="0.2">
      <c r="A894" s="4">
        <f>IF(B894=1,3,IF(D894=1,2,IF(F894=1,1,0)))</f>
        <v>0</v>
      </c>
      <c r="B894" s="4" t="str">
        <f>IF(C894=$L894,1,IF(C894="","",0))</f>
        <v/>
      </c>
      <c r="C894" s="42"/>
      <c r="D894" s="4" t="str">
        <f>IF(E894=$L894,1,IF(E894="","",0))</f>
        <v/>
      </c>
      <c r="E894" s="14"/>
      <c r="F894" s="4" t="str">
        <f>IF(G894=$L894,1,IF(G894="","",0))</f>
        <v/>
      </c>
      <c r="G894" s="14"/>
      <c r="H894" s="6">
        <v>1403</v>
      </c>
      <c r="I894" s="15" t="s">
        <v>3120</v>
      </c>
      <c r="J894" s="6" t="s">
        <v>4517</v>
      </c>
      <c r="K894" s="6"/>
      <c r="L894" s="6" t="s">
        <v>1494</v>
      </c>
      <c r="M894" s="6" t="s">
        <v>7510</v>
      </c>
      <c r="N894" s="7">
        <f ca="1">RAND()</f>
        <v>0.62678935047148343</v>
      </c>
      <c r="O894" s="8">
        <v>45208</v>
      </c>
      <c r="P894" s="8">
        <v>45209</v>
      </c>
      <c r="Q894" s="8">
        <v>45211</v>
      </c>
      <c r="R894" s="8">
        <v>45215</v>
      </c>
      <c r="S894" s="8">
        <v>45222</v>
      </c>
      <c r="T894" s="8">
        <v>45235</v>
      </c>
      <c r="U894" s="8">
        <v>45801</v>
      </c>
      <c r="V894" s="10">
        <f>COUNTA(O894:U894)</f>
        <v>7</v>
      </c>
      <c r="W894" s="11">
        <f>_xlfn.IFNA(INDEX(reading[[#This Row],[Memo 01]:[Memo 07]],MATCH(0,reading[[#This Row],[Memo 01]:[Memo 07]],-1)),"")</f>
        <v>45801</v>
      </c>
      <c r="X894" s="11">
        <f ca="1">IFERROR(reading[[#This Row],[Previous]]+OFFSET(reading[[#Headers],[Memo 01]],-1,MATCH(0,reading[[#This Row],[Memo 01]:[Memo 07]],-1)-1),"")</f>
        <v>55801</v>
      </c>
      <c r="Y894" s="10" t="str">
        <f ca="1">IF(reading[[#This Row],[Next]]&lt;&gt;"",IF(reading[[#This Row],[Next]]&gt;TODAY(),"OK",""),"")</f>
        <v>OK</v>
      </c>
      <c r="Z894" s="13">
        <v>3</v>
      </c>
      <c r="AA894" s="13">
        <v>3</v>
      </c>
      <c r="AB894" s="13">
        <v>3</v>
      </c>
      <c r="AC894" s="13">
        <v>3</v>
      </c>
      <c r="AD894" s="13">
        <v>3</v>
      </c>
      <c r="AE894" s="13">
        <v>2</v>
      </c>
      <c r="AF894" s="13">
        <v>3</v>
      </c>
      <c r="AG894" s="16">
        <f>IFERROR(SUMIF(reading[[#This Row],[1st]:[7th]],"&gt;0")/COUNTIF(reading[[#This Row],[1st]:[7th]],"&gt;0"),"")</f>
        <v>2.8571428571428572</v>
      </c>
    </row>
    <row r="895" spans="1:33" hidden="1" x14ac:dyDescent="0.2">
      <c r="A895" s="4">
        <f>IF(B895=1,3,IF(D895=1,2,IF(F895=1,1,0)))</f>
        <v>0</v>
      </c>
      <c r="B895" s="4" t="str">
        <f>IF(C895=$L895,1,IF(C895="","",0))</f>
        <v/>
      </c>
      <c r="C895" s="42"/>
      <c r="D895" s="4" t="str">
        <f>IF(E895=$L895,1,IF(E895="","",0))</f>
        <v/>
      </c>
      <c r="E895" s="18"/>
      <c r="F895" s="4" t="str">
        <f>IF(G895=$L895,1,IF(G895="","",0))</f>
        <v/>
      </c>
      <c r="G895" s="14"/>
      <c r="H895" s="6">
        <v>1692</v>
      </c>
      <c r="I895" s="15" t="s">
        <v>3120</v>
      </c>
      <c r="J895" s="6" t="s">
        <v>4802</v>
      </c>
      <c r="K895" s="6"/>
      <c r="L895" s="6" t="s">
        <v>1772</v>
      </c>
      <c r="M895" s="6" t="s">
        <v>7798</v>
      </c>
      <c r="N895" s="7">
        <f ca="1">RAND()</f>
        <v>0.85368991034094133</v>
      </c>
      <c r="O895" s="8">
        <v>45210</v>
      </c>
      <c r="P895" s="8">
        <v>45211</v>
      </c>
      <c r="Q895" s="8">
        <v>45213</v>
      </c>
      <c r="R895" s="8">
        <v>45217</v>
      </c>
      <c r="S895" s="8">
        <v>45224</v>
      </c>
      <c r="T895" s="8">
        <v>45236</v>
      </c>
      <c r="U895" s="8">
        <v>45792</v>
      </c>
      <c r="V895" s="10">
        <f>COUNTA(O895:U895)</f>
        <v>7</v>
      </c>
      <c r="W895" s="11">
        <f>_xlfn.IFNA(INDEX(reading[[#This Row],[Memo 01]:[Memo 07]],MATCH(0,reading[[#This Row],[Memo 01]:[Memo 07]],-1)),"")</f>
        <v>45792</v>
      </c>
      <c r="X895" s="11">
        <f ca="1">IFERROR(reading[[#This Row],[Previous]]+OFFSET(reading[[#Headers],[Memo 01]],-1,MATCH(0,reading[[#This Row],[Memo 01]:[Memo 07]],-1)-1),"")</f>
        <v>55792</v>
      </c>
      <c r="Y895" s="10" t="str">
        <f ca="1">IF(reading[[#This Row],[Next]]&lt;&gt;"",IF(reading[[#This Row],[Next]]&gt;TODAY(),"OK",""),"")</f>
        <v>OK</v>
      </c>
      <c r="Z895" s="13">
        <v>3</v>
      </c>
      <c r="AA895" s="13">
        <v>3</v>
      </c>
      <c r="AB895" s="13">
        <v>3</v>
      </c>
      <c r="AC895" s="13">
        <v>3</v>
      </c>
      <c r="AD895" s="13">
        <v>2</v>
      </c>
      <c r="AE895" s="13">
        <v>3</v>
      </c>
      <c r="AF895" s="13">
        <v>3</v>
      </c>
      <c r="AG895" s="16">
        <f>IFERROR(SUMIF(reading[[#This Row],[1st]:[7th]],"&gt;0")/COUNTIF(reading[[#This Row],[1st]:[7th]],"&gt;0"),"")</f>
        <v>2.8571428571428572</v>
      </c>
    </row>
    <row r="896" spans="1:33" hidden="1" x14ac:dyDescent="0.2">
      <c r="A896" s="4">
        <f>IF(B896=1,3,IF(D896=1,2,IF(F896=1,1,0)))</f>
        <v>3</v>
      </c>
      <c r="B896" s="4">
        <f>IF(C896=$L896,1,IF(C896="","",0))</f>
        <v>1</v>
      </c>
      <c r="C896" s="22" t="s">
        <v>1012</v>
      </c>
      <c r="D896" s="4" t="str">
        <f>IF(E896=$L896,1,IF(E896="","",0))</f>
        <v/>
      </c>
      <c r="E896" s="14"/>
      <c r="F896" s="4" t="str">
        <f>IF(G896=$L896,1,IF(G896="","",0))</f>
        <v/>
      </c>
      <c r="G896" s="14"/>
      <c r="H896" s="6">
        <v>899</v>
      </c>
      <c r="I896" s="15" t="s">
        <v>3120</v>
      </c>
      <c r="J896" s="6" t="s">
        <v>4031</v>
      </c>
      <c r="K896" s="6"/>
      <c r="L896" s="6" t="s">
        <v>1012</v>
      </c>
      <c r="M896" s="6" t="s">
        <v>7008</v>
      </c>
      <c r="N896" s="7">
        <f ca="1">RAND()</f>
        <v>0.37791780917079509</v>
      </c>
      <c r="O896" s="8">
        <v>45204</v>
      </c>
      <c r="P896" s="8">
        <v>45204</v>
      </c>
      <c r="Q896" s="8">
        <v>45204</v>
      </c>
      <c r="R896" s="8">
        <v>45204</v>
      </c>
      <c r="S896" s="8">
        <v>45204</v>
      </c>
      <c r="T896" s="8">
        <v>45204</v>
      </c>
      <c r="U896" s="8">
        <v>45204</v>
      </c>
      <c r="V896" s="10">
        <f>COUNTA(O896:U896)</f>
        <v>7</v>
      </c>
      <c r="W896" s="11">
        <f>_xlfn.IFNA(INDEX(reading[[#This Row],[Memo 01]:[Memo 07]],MATCH(0,reading[[#This Row],[Memo 01]:[Memo 07]],-1)),"")</f>
        <v>45204</v>
      </c>
      <c r="X896" s="11">
        <f ca="1">IFERROR(reading[[#This Row],[Previous]]+OFFSET(reading[[#Headers],[Memo 01]],-1,MATCH(0,reading[[#This Row],[Memo 01]:[Memo 07]],-1)-1),"")</f>
        <v>55204</v>
      </c>
      <c r="Y896" s="10" t="str">
        <f ca="1">IF(reading[[#This Row],[Next]]&lt;&gt;"",IF(reading[[#This Row],[Next]]&gt;TODAY(),"OK",""),"")</f>
        <v>OK</v>
      </c>
      <c r="Z896" s="13">
        <v>3</v>
      </c>
      <c r="AA896" s="13"/>
      <c r="AB896" s="13"/>
      <c r="AC896" s="13"/>
      <c r="AD896" s="13"/>
      <c r="AE896" s="13"/>
      <c r="AF896" s="13"/>
      <c r="AG896" s="16">
        <f>IFERROR(SUMIF(reading[[#This Row],[1st]:[7th]],"&gt;0")/COUNTIF(reading[[#This Row],[1st]:[7th]],"&gt;0"),"")</f>
        <v>3</v>
      </c>
    </row>
    <row r="897" spans="1:33" hidden="1" x14ac:dyDescent="0.2">
      <c r="A897" s="4">
        <f>IF(B897=1,3,IF(D897=1,2,IF(F897=1,1,0)))</f>
        <v>0</v>
      </c>
      <c r="B897" s="4" t="str">
        <f>IF(C897=$L897,1,IF(C897="","",0))</f>
        <v/>
      </c>
      <c r="C897" s="42"/>
      <c r="D897" s="4" t="str">
        <f>IF(E897=$L897,1,IF(E897="","",0))</f>
        <v/>
      </c>
      <c r="E897" s="14"/>
      <c r="F897" s="4" t="str">
        <f>IF(G897=$L897,1,IF(G897="","",0))</f>
        <v/>
      </c>
      <c r="G897" s="14"/>
      <c r="H897" s="6">
        <v>2183</v>
      </c>
      <c r="I897" s="15" t="s">
        <v>3120</v>
      </c>
      <c r="J897" s="6" t="s">
        <v>5271</v>
      </c>
      <c r="K897" s="15" t="s">
        <v>3151</v>
      </c>
      <c r="L897" s="6" t="s">
        <v>2248</v>
      </c>
      <c r="M897" s="6" t="s">
        <v>8289</v>
      </c>
      <c r="N897" s="7">
        <f ca="1">RAND()</f>
        <v>0.34837180903500398</v>
      </c>
      <c r="O897" s="8">
        <v>45214</v>
      </c>
      <c r="P897" s="8">
        <v>45215</v>
      </c>
      <c r="Q897" s="8">
        <v>45217</v>
      </c>
      <c r="R897" s="8">
        <v>45221</v>
      </c>
      <c r="S897" s="8">
        <v>45228</v>
      </c>
      <c r="T897" s="8">
        <v>45792</v>
      </c>
      <c r="U897" s="8">
        <v>45819</v>
      </c>
      <c r="V897" s="10">
        <f>COUNTA(O897:U897)</f>
        <v>7</v>
      </c>
      <c r="W897" s="11">
        <f>_xlfn.IFNA(INDEX(reading[[#This Row],[Memo 01]:[Memo 07]],MATCH(0,reading[[#This Row],[Memo 01]:[Memo 07]],-1)),"")</f>
        <v>45819</v>
      </c>
      <c r="X897" s="11">
        <f ca="1">IFERROR(reading[[#This Row],[Previous]]+OFFSET(reading[[#Headers],[Memo 01]],-1,MATCH(0,reading[[#This Row],[Memo 01]:[Memo 07]],-1)-1),"")</f>
        <v>55819</v>
      </c>
      <c r="Y897" s="10" t="str">
        <f ca="1">IF(reading[[#This Row],[Next]]&lt;&gt;"",IF(reading[[#This Row],[Next]]&gt;TODAY(),"OK",""),"")</f>
        <v>OK</v>
      </c>
      <c r="Z897" s="13">
        <v>3</v>
      </c>
      <c r="AA897" s="13">
        <v>3</v>
      </c>
      <c r="AB897" s="13">
        <v>3</v>
      </c>
      <c r="AC897" s="13">
        <v>3</v>
      </c>
      <c r="AD897" s="13">
        <v>3</v>
      </c>
      <c r="AE897" s="13">
        <v>3</v>
      </c>
      <c r="AF897" s="13">
        <v>3</v>
      </c>
      <c r="AG897" s="16">
        <f>IFERROR(SUMIF(reading[[#This Row],[1st]:[7th]],"&gt;0")/COUNTIF(reading[[#This Row],[1st]:[7th]],"&gt;0"),"")</f>
        <v>3</v>
      </c>
    </row>
    <row r="898" spans="1:33" hidden="1" x14ac:dyDescent="0.2">
      <c r="A898" s="4">
        <f>IF(B898=1,3,IF(D898=1,2,IF(F898=1,1,0)))</f>
        <v>0</v>
      </c>
      <c r="B898" s="4" t="str">
        <f>IF(C898=$L898,1,IF(C898="","",0))</f>
        <v/>
      </c>
      <c r="C898" s="42"/>
      <c r="D898" s="4" t="str">
        <f>IF(E898=$L898,1,IF(E898="","",0))</f>
        <v/>
      </c>
      <c r="E898" s="23"/>
      <c r="F898" s="4" t="str">
        <f>IF(G898=$L898,1,IF(G898="","",0))</f>
        <v/>
      </c>
      <c r="G898" s="14"/>
      <c r="H898" s="6">
        <v>376</v>
      </c>
      <c r="I898" s="15" t="s">
        <v>3120</v>
      </c>
      <c r="J898" s="6" t="s">
        <v>3523</v>
      </c>
      <c r="K898" s="6"/>
      <c r="L898" s="6" t="s">
        <v>509</v>
      </c>
      <c r="M898" s="6" t="s">
        <v>6485</v>
      </c>
      <c r="N898" s="7">
        <f ca="1">RAND()</f>
        <v>0.71921694341197151</v>
      </c>
      <c r="O898" s="8">
        <v>45201</v>
      </c>
      <c r="P898" s="8">
        <v>45202</v>
      </c>
      <c r="Q898" s="8">
        <v>45204</v>
      </c>
      <c r="R898" s="8">
        <v>45208</v>
      </c>
      <c r="S898" s="8">
        <v>45215</v>
      </c>
      <c r="T898" s="8">
        <v>45227</v>
      </c>
      <c r="U898" s="8">
        <v>45811</v>
      </c>
      <c r="V898" s="10">
        <f>COUNTA(O898:U898)</f>
        <v>7</v>
      </c>
      <c r="W898" s="11">
        <f>_xlfn.IFNA(INDEX(reading[[#This Row],[Memo 01]:[Memo 07]],MATCH(0,reading[[#This Row],[Memo 01]:[Memo 07]],-1)),"")</f>
        <v>45811</v>
      </c>
      <c r="X898" s="11">
        <f ca="1">IFERROR(reading[[#This Row],[Previous]]+OFFSET(reading[[#Headers],[Memo 01]],-1,MATCH(0,reading[[#This Row],[Memo 01]:[Memo 07]],-1)-1),"")</f>
        <v>55811</v>
      </c>
      <c r="Y898" s="10" t="str">
        <f ca="1">IF(reading[[#This Row],[Next]]&lt;&gt;"",IF(reading[[#This Row],[Next]]&gt;TODAY(),"OK",""),"")</f>
        <v>OK</v>
      </c>
      <c r="Z898" s="13">
        <v>3</v>
      </c>
      <c r="AA898" s="13">
        <v>3</v>
      </c>
      <c r="AB898" s="13">
        <v>3</v>
      </c>
      <c r="AC898" s="13">
        <v>2</v>
      </c>
      <c r="AD898" s="13">
        <v>3</v>
      </c>
      <c r="AE898" s="13">
        <v>3</v>
      </c>
      <c r="AF898" s="13">
        <v>2</v>
      </c>
      <c r="AG898" s="16">
        <f>IFERROR(SUMIF(reading[[#This Row],[1st]:[7th]],"&gt;0")/COUNTIF(reading[[#This Row],[1st]:[7th]],"&gt;0"),"")</f>
        <v>2.7142857142857144</v>
      </c>
    </row>
    <row r="899" spans="1:33" hidden="1" x14ac:dyDescent="0.2">
      <c r="A899" s="4">
        <f>IF(B899=1,3,IF(D899=1,2,IF(F899=1,1,0)))</f>
        <v>0</v>
      </c>
      <c r="B899" s="4" t="str">
        <f>IF(C899=$L899,1,IF(C899="","",0))</f>
        <v/>
      </c>
      <c r="C899" s="42"/>
      <c r="D899" s="4" t="str">
        <f>IF(E899=$L899,1,IF(E899="","",0))</f>
        <v/>
      </c>
      <c r="E899" s="14"/>
      <c r="F899" s="4" t="str">
        <f>IF(G899=$L899,1,IF(G899="","",0))</f>
        <v/>
      </c>
      <c r="G899" s="14"/>
      <c r="H899" s="6">
        <v>1795</v>
      </c>
      <c r="I899" s="15" t="s">
        <v>3120</v>
      </c>
      <c r="J899" s="6" t="s">
        <v>4902</v>
      </c>
      <c r="K899" s="6"/>
      <c r="L899" s="6" t="s">
        <v>1874</v>
      </c>
      <c r="M899" s="6" t="s">
        <v>7901</v>
      </c>
      <c r="N899" s="7">
        <f ca="1">RAND()</f>
        <v>0.43379570669577194</v>
      </c>
      <c r="O899" s="8">
        <v>45211</v>
      </c>
      <c r="P899" s="8">
        <v>45212</v>
      </c>
      <c r="Q899" s="8">
        <v>45214</v>
      </c>
      <c r="R899" s="8">
        <v>45218</v>
      </c>
      <c r="S899" s="8">
        <v>45225</v>
      </c>
      <c r="T899" s="8">
        <v>45237</v>
      </c>
      <c r="U899" s="8">
        <v>45792</v>
      </c>
      <c r="V899" s="10">
        <f>COUNTA(O899:U899)</f>
        <v>7</v>
      </c>
      <c r="W899" s="11">
        <f>_xlfn.IFNA(INDEX(reading[[#This Row],[Memo 01]:[Memo 07]],MATCH(0,reading[[#This Row],[Memo 01]:[Memo 07]],-1)),"")</f>
        <v>45792</v>
      </c>
      <c r="X899" s="11">
        <f ca="1">IFERROR(reading[[#This Row],[Previous]]+OFFSET(reading[[#Headers],[Memo 01]],-1,MATCH(0,reading[[#This Row],[Memo 01]:[Memo 07]],-1)-1),"")</f>
        <v>55792</v>
      </c>
      <c r="Y899" s="10" t="str">
        <f ca="1">IF(reading[[#This Row],[Next]]&lt;&gt;"",IF(reading[[#This Row],[Next]]&gt;TODAY(),"OK",""),"")</f>
        <v>OK</v>
      </c>
      <c r="Z899" s="13">
        <v>3</v>
      </c>
      <c r="AA899" s="13">
        <v>3</v>
      </c>
      <c r="AB899" s="13">
        <v>3</v>
      </c>
      <c r="AC899" s="13">
        <v>3</v>
      </c>
      <c r="AD899" s="13">
        <v>3</v>
      </c>
      <c r="AE899" s="13">
        <v>3</v>
      </c>
      <c r="AF899" s="13">
        <v>3</v>
      </c>
      <c r="AG899" s="16">
        <f>IFERROR(SUMIF(reading[[#This Row],[1st]:[7th]],"&gt;0")/COUNTIF(reading[[#This Row],[1st]:[7th]],"&gt;0"),"")</f>
        <v>3</v>
      </c>
    </row>
    <row r="900" spans="1:33" hidden="1" x14ac:dyDescent="0.2">
      <c r="A900" s="4">
        <f>IF(B900=1,3,IF(D900=1,2,IF(F900=1,1,0)))</f>
        <v>0</v>
      </c>
      <c r="B900" s="4" t="str">
        <f>IF(C900=$L900,1,IF(C900="","",0))</f>
        <v/>
      </c>
      <c r="C900" s="42"/>
      <c r="D900" s="4" t="str">
        <f>IF(E900=$L900,1,IF(E900="","",0))</f>
        <v/>
      </c>
      <c r="E900" s="14"/>
      <c r="F900" s="4" t="str">
        <f>IF(G900=$L900,1,IF(G900="","",0))</f>
        <v/>
      </c>
      <c r="G900" s="14"/>
      <c r="H900" s="6">
        <v>1109</v>
      </c>
      <c r="I900" s="15" t="s">
        <v>3120</v>
      </c>
      <c r="J900" s="6" t="s">
        <v>4232</v>
      </c>
      <c r="K900" s="6"/>
      <c r="L900" s="6" t="s">
        <v>1215</v>
      </c>
      <c r="M900" s="6" t="s">
        <v>7217</v>
      </c>
      <c r="N900" s="7">
        <f ca="1">RAND()</f>
        <v>0.87720925104109704</v>
      </c>
      <c r="O900" s="8">
        <v>45205</v>
      </c>
      <c r="P900" s="8">
        <v>45206</v>
      </c>
      <c r="Q900" s="8">
        <v>45208</v>
      </c>
      <c r="R900" s="8">
        <v>45212</v>
      </c>
      <c r="S900" s="8">
        <v>45219</v>
      </c>
      <c r="T900" s="8">
        <v>45231</v>
      </c>
      <c r="U900" s="8">
        <v>45792</v>
      </c>
      <c r="V900" s="10">
        <f>COUNTA(O900:U900)</f>
        <v>7</v>
      </c>
      <c r="W900" s="11">
        <f>_xlfn.IFNA(INDEX(reading[[#This Row],[Memo 01]:[Memo 07]],MATCH(0,reading[[#This Row],[Memo 01]:[Memo 07]],-1)),"")</f>
        <v>45792</v>
      </c>
      <c r="X900" s="11">
        <f ca="1">IFERROR(reading[[#This Row],[Previous]]+OFFSET(reading[[#Headers],[Memo 01]],-1,MATCH(0,reading[[#This Row],[Memo 01]:[Memo 07]],-1)-1),"")</f>
        <v>55792</v>
      </c>
      <c r="Y900" s="10" t="str">
        <f ca="1">IF(reading[[#This Row],[Next]]&lt;&gt;"",IF(reading[[#This Row],[Next]]&gt;TODAY(),"OK",""),"")</f>
        <v>OK</v>
      </c>
      <c r="Z900" s="13">
        <v>3</v>
      </c>
      <c r="AA900" s="13">
        <v>3</v>
      </c>
      <c r="AB900" s="13">
        <v>3</v>
      </c>
      <c r="AC900" s="13">
        <v>3</v>
      </c>
      <c r="AD900" s="13">
        <v>3</v>
      </c>
      <c r="AE900" s="13">
        <v>3</v>
      </c>
      <c r="AF900" s="13">
        <v>3</v>
      </c>
      <c r="AG900" s="16">
        <f>IFERROR(SUMIF(reading[[#This Row],[1st]:[7th]],"&gt;0")/COUNTIF(reading[[#This Row],[1st]:[7th]],"&gt;0"),"")</f>
        <v>3</v>
      </c>
    </row>
    <row r="901" spans="1:33" hidden="1" x14ac:dyDescent="0.2">
      <c r="A901" s="4">
        <f>IF(B901=1,3,IF(D901=1,2,IF(F901=1,1,0)))</f>
        <v>3</v>
      </c>
      <c r="B901" s="4">
        <f>IF(C901=$L901,1,IF(C901="","",0))</f>
        <v>1</v>
      </c>
      <c r="C901" s="22" t="s">
        <v>1017</v>
      </c>
      <c r="D901" s="4" t="str">
        <f>IF(E901=$L901,1,IF(E901="","",0))</f>
        <v/>
      </c>
      <c r="E901" s="14"/>
      <c r="F901" s="4" t="str">
        <f>IF(G901=$L901,1,IF(G901="","",0))</f>
        <v/>
      </c>
      <c r="G901" s="14"/>
      <c r="H901" s="6">
        <v>904</v>
      </c>
      <c r="I901" s="15" t="s">
        <v>3120</v>
      </c>
      <c r="J901" s="6" t="s">
        <v>4036</v>
      </c>
      <c r="K901" s="6"/>
      <c r="L901" s="6" t="s">
        <v>1017</v>
      </c>
      <c r="M901" s="6" t="s">
        <v>7013</v>
      </c>
      <c r="N901" s="7">
        <f ca="1">RAND()</f>
        <v>0.37064275246794109</v>
      </c>
      <c r="O901" s="8">
        <v>45204</v>
      </c>
      <c r="P901" s="8">
        <v>45204</v>
      </c>
      <c r="Q901" s="8">
        <v>45204</v>
      </c>
      <c r="R901" s="8">
        <v>45204</v>
      </c>
      <c r="S901" s="8">
        <v>45204</v>
      </c>
      <c r="T901" s="8">
        <v>45204</v>
      </c>
      <c r="U901" s="8">
        <v>45204</v>
      </c>
      <c r="V901" s="10">
        <f>COUNTA(O901:U901)</f>
        <v>7</v>
      </c>
      <c r="W901" s="11">
        <f>_xlfn.IFNA(INDEX(reading[[#This Row],[Memo 01]:[Memo 07]],MATCH(0,reading[[#This Row],[Memo 01]:[Memo 07]],-1)),"")</f>
        <v>45204</v>
      </c>
      <c r="X901" s="11">
        <f ca="1">IFERROR(reading[[#This Row],[Previous]]+OFFSET(reading[[#Headers],[Memo 01]],-1,MATCH(0,reading[[#This Row],[Memo 01]:[Memo 07]],-1)-1),"")</f>
        <v>55204</v>
      </c>
      <c r="Y901" s="10" t="str">
        <f ca="1">IF(reading[[#This Row],[Next]]&lt;&gt;"",IF(reading[[#This Row],[Next]]&gt;TODAY(),"OK",""),"")</f>
        <v>OK</v>
      </c>
      <c r="Z901" s="13">
        <v>3</v>
      </c>
      <c r="AA901" s="13"/>
      <c r="AB901" s="13"/>
      <c r="AC901" s="13"/>
      <c r="AD901" s="13"/>
      <c r="AE901" s="13"/>
      <c r="AF901" s="13"/>
      <c r="AG901" s="16">
        <f>IFERROR(SUMIF(reading[[#This Row],[1st]:[7th]],"&gt;0")/COUNTIF(reading[[#This Row],[1st]:[7th]],"&gt;0"),"")</f>
        <v>3</v>
      </c>
    </row>
    <row r="902" spans="1:33" hidden="1" x14ac:dyDescent="0.2">
      <c r="A902" s="4">
        <f>IF(B902=1,3,IF(D902=1,2,IF(F902=1,1,0)))</f>
        <v>0</v>
      </c>
      <c r="B902" s="4" t="str">
        <f>IF(C902=$L902,1,IF(C902="","",0))</f>
        <v/>
      </c>
      <c r="C902" s="42"/>
      <c r="D902" s="4" t="str">
        <f>IF(E902=$L902,1,IF(E902="","",0))</f>
        <v/>
      </c>
      <c r="E902" s="14"/>
      <c r="F902" s="4" t="str">
        <f>IF(G902=$L902,1,IF(G902="","",0))</f>
        <v/>
      </c>
      <c r="G902" s="14"/>
      <c r="H902" s="6">
        <v>873</v>
      </c>
      <c r="I902" s="15" t="s">
        <v>3120</v>
      </c>
      <c r="J902" s="6" t="s">
        <v>4005</v>
      </c>
      <c r="K902" s="6"/>
      <c r="L902" s="6" t="s">
        <v>988</v>
      </c>
      <c r="M902" s="6" t="s">
        <v>6982</v>
      </c>
      <c r="N902" s="7">
        <f ca="1">RAND()</f>
        <v>0.30110965452580662</v>
      </c>
      <c r="O902" s="8">
        <v>45204</v>
      </c>
      <c r="P902" s="8">
        <v>45205</v>
      </c>
      <c r="Q902" s="8">
        <v>45207</v>
      </c>
      <c r="R902" s="8">
        <v>45211</v>
      </c>
      <c r="S902" s="8">
        <v>45218</v>
      </c>
      <c r="T902" s="8">
        <v>45230</v>
      </c>
      <c r="U902" s="8">
        <v>45792</v>
      </c>
      <c r="V902" s="10">
        <f>COUNTA(O902:U902)</f>
        <v>7</v>
      </c>
      <c r="W902" s="11">
        <f>_xlfn.IFNA(INDEX(reading[[#This Row],[Memo 01]:[Memo 07]],MATCH(0,reading[[#This Row],[Memo 01]:[Memo 07]],-1)),"")</f>
        <v>45792</v>
      </c>
      <c r="X902" s="11">
        <f ca="1">IFERROR(reading[[#This Row],[Previous]]+OFFSET(reading[[#Headers],[Memo 01]],-1,MATCH(0,reading[[#This Row],[Memo 01]:[Memo 07]],-1)-1),"")</f>
        <v>55792</v>
      </c>
      <c r="Y902" s="10" t="str">
        <f ca="1">IF(reading[[#This Row],[Next]]&lt;&gt;"",IF(reading[[#This Row],[Next]]&gt;TODAY(),"OK",""),"")</f>
        <v>OK</v>
      </c>
      <c r="Z902" s="13">
        <v>3</v>
      </c>
      <c r="AA902" s="13">
        <v>3</v>
      </c>
      <c r="AB902" s="13">
        <v>3</v>
      </c>
      <c r="AC902" s="13">
        <v>3</v>
      </c>
      <c r="AD902" s="13">
        <v>3</v>
      </c>
      <c r="AE902" s="13">
        <v>3</v>
      </c>
      <c r="AF902" s="13">
        <v>3</v>
      </c>
      <c r="AG902" s="16">
        <f>IFERROR(SUMIF(reading[[#This Row],[1st]:[7th]],"&gt;0")/COUNTIF(reading[[#This Row],[1st]:[7th]],"&gt;0"),"")</f>
        <v>3</v>
      </c>
    </row>
    <row r="903" spans="1:33" hidden="1" x14ac:dyDescent="0.2">
      <c r="A903" s="4">
        <f>IF(B903=1,3,IF(D903=1,2,IF(F903=1,1,0)))</f>
        <v>3</v>
      </c>
      <c r="B903" s="4">
        <f>IF(C903=$L903,1,IF(C903="","",0))</f>
        <v>1</v>
      </c>
      <c r="C903" s="22" t="s">
        <v>1018</v>
      </c>
      <c r="D903" s="4" t="str">
        <f>IF(E903=$L903,1,IF(E903="","",0))</f>
        <v/>
      </c>
      <c r="E903" s="14"/>
      <c r="F903" s="4" t="str">
        <f>IF(G903=$L903,1,IF(G903="","",0))</f>
        <v/>
      </c>
      <c r="G903" s="14"/>
      <c r="H903" s="6">
        <v>906</v>
      </c>
      <c r="I903" s="15" t="s">
        <v>3120</v>
      </c>
      <c r="J903" s="6" t="s">
        <v>4038</v>
      </c>
      <c r="K903" s="6"/>
      <c r="L903" s="6" t="s">
        <v>1018</v>
      </c>
      <c r="M903" s="6" t="s">
        <v>7015</v>
      </c>
      <c r="N903" s="7">
        <f ca="1">RAND()</f>
        <v>0.26821755457068974</v>
      </c>
      <c r="O903" s="8">
        <v>45204</v>
      </c>
      <c r="P903" s="8">
        <v>45204</v>
      </c>
      <c r="Q903" s="8">
        <v>45204</v>
      </c>
      <c r="R903" s="8">
        <v>45204</v>
      </c>
      <c r="S903" s="8">
        <v>45204</v>
      </c>
      <c r="T903" s="8">
        <v>45204</v>
      </c>
      <c r="U903" s="8">
        <v>45204</v>
      </c>
      <c r="V903" s="10">
        <f>COUNTA(O903:U903)</f>
        <v>7</v>
      </c>
      <c r="W903" s="11">
        <f>_xlfn.IFNA(INDEX(reading[[#This Row],[Memo 01]:[Memo 07]],MATCH(0,reading[[#This Row],[Memo 01]:[Memo 07]],-1)),"")</f>
        <v>45204</v>
      </c>
      <c r="X903" s="11">
        <f ca="1">IFERROR(reading[[#This Row],[Previous]]+OFFSET(reading[[#Headers],[Memo 01]],-1,MATCH(0,reading[[#This Row],[Memo 01]:[Memo 07]],-1)-1),"")</f>
        <v>55204</v>
      </c>
      <c r="Y903" s="10" t="str">
        <f ca="1">IF(reading[[#This Row],[Next]]&lt;&gt;"",IF(reading[[#This Row],[Next]]&gt;TODAY(),"OK",""),"")</f>
        <v>OK</v>
      </c>
      <c r="Z903" s="13">
        <v>3</v>
      </c>
      <c r="AA903" s="13"/>
      <c r="AB903" s="13"/>
      <c r="AC903" s="13"/>
      <c r="AD903" s="13"/>
      <c r="AE903" s="13"/>
      <c r="AF903" s="13"/>
      <c r="AG903" s="16">
        <f>IFERROR(SUMIF(reading[[#This Row],[1st]:[7th]],"&gt;0")/COUNTIF(reading[[#This Row],[1st]:[7th]],"&gt;0"),"")</f>
        <v>3</v>
      </c>
    </row>
    <row r="904" spans="1:33" hidden="1" x14ac:dyDescent="0.2">
      <c r="A904" s="4">
        <f>IF(B904=1,3,IF(D904=1,2,IF(F904=1,1,0)))</f>
        <v>0</v>
      </c>
      <c r="B904" s="4" t="str">
        <f>IF(C904=$L904,1,IF(C904="","",0))</f>
        <v/>
      </c>
      <c r="C904" s="42"/>
      <c r="D904" s="4" t="str">
        <f>IF(E904=$L904,1,IF(E904="","",0))</f>
        <v/>
      </c>
      <c r="E904" s="14"/>
      <c r="F904" s="4" t="str">
        <f>IF(G904=$L904,1,IF(G904="","",0))</f>
        <v/>
      </c>
      <c r="G904" s="14"/>
      <c r="H904" s="6">
        <v>1263</v>
      </c>
      <c r="I904" s="15" t="s">
        <v>3120</v>
      </c>
      <c r="J904" s="6" t="s">
        <v>4380</v>
      </c>
      <c r="K904" s="6"/>
      <c r="L904" s="6" t="s">
        <v>1361</v>
      </c>
      <c r="M904" s="6" t="s">
        <v>7370</v>
      </c>
      <c r="N904" s="7">
        <f ca="1">RAND()</f>
        <v>0.82492344236502047</v>
      </c>
      <c r="O904" s="8">
        <v>45207</v>
      </c>
      <c r="P904" s="8">
        <v>45208</v>
      </c>
      <c r="Q904" s="8">
        <v>45210</v>
      </c>
      <c r="R904" s="8">
        <v>45214</v>
      </c>
      <c r="S904" s="8">
        <v>45221</v>
      </c>
      <c r="T904" s="8">
        <v>45233</v>
      </c>
      <c r="U904" s="8">
        <v>45792</v>
      </c>
      <c r="V904" s="10">
        <f>COUNTA(O904:U904)</f>
        <v>7</v>
      </c>
      <c r="W904" s="11">
        <f>_xlfn.IFNA(INDEX(reading[[#This Row],[Memo 01]:[Memo 07]],MATCH(0,reading[[#This Row],[Memo 01]:[Memo 07]],-1)),"")</f>
        <v>45792</v>
      </c>
      <c r="X904" s="11">
        <f ca="1">IFERROR(reading[[#This Row],[Previous]]+OFFSET(reading[[#Headers],[Memo 01]],-1,MATCH(0,reading[[#This Row],[Memo 01]:[Memo 07]],-1)-1),"")</f>
        <v>55792</v>
      </c>
      <c r="Y904" s="10" t="str">
        <f ca="1">IF(reading[[#This Row],[Next]]&lt;&gt;"",IF(reading[[#This Row],[Next]]&gt;TODAY(),"OK",""),"")</f>
        <v>OK</v>
      </c>
      <c r="Z904" s="13">
        <v>3</v>
      </c>
      <c r="AA904" s="13">
        <v>3</v>
      </c>
      <c r="AB904" s="13">
        <v>3</v>
      </c>
      <c r="AC904" s="13">
        <v>3</v>
      </c>
      <c r="AD904" s="13">
        <v>3</v>
      </c>
      <c r="AE904" s="13">
        <v>3</v>
      </c>
      <c r="AF904" s="13">
        <v>3</v>
      </c>
      <c r="AG904" s="16">
        <f>IFERROR(SUMIF(reading[[#This Row],[1st]:[7th]],"&gt;0")/COUNTIF(reading[[#This Row],[1st]:[7th]],"&gt;0"),"")</f>
        <v>3</v>
      </c>
    </row>
    <row r="905" spans="1:33" hidden="1" x14ac:dyDescent="0.2">
      <c r="A905" s="4">
        <f>IF(B905=1,3,IF(D905=1,2,IF(F905=1,1,0)))</f>
        <v>3</v>
      </c>
      <c r="B905" s="4">
        <f>IF(C905=$L905,1,IF(C905="","",0))</f>
        <v>1</v>
      </c>
      <c r="C905" s="22" t="s">
        <v>1020</v>
      </c>
      <c r="D905" s="4" t="str">
        <f>IF(E905=$L905,1,IF(E905="","",0))</f>
        <v/>
      </c>
      <c r="E905" s="14"/>
      <c r="F905" s="4" t="str">
        <f>IF(G905=$L905,1,IF(G905="","",0))</f>
        <v/>
      </c>
      <c r="G905" s="14"/>
      <c r="H905" s="6">
        <v>908</v>
      </c>
      <c r="I905" s="15" t="s">
        <v>3120</v>
      </c>
      <c r="J905" s="6" t="s">
        <v>4040</v>
      </c>
      <c r="K905" s="6"/>
      <c r="L905" s="6" t="s">
        <v>1020</v>
      </c>
      <c r="M905" s="6" t="s">
        <v>7017</v>
      </c>
      <c r="N905" s="7">
        <f ca="1">RAND()</f>
        <v>0.86228227410449487</v>
      </c>
      <c r="O905" s="8">
        <v>45204</v>
      </c>
      <c r="P905" s="8">
        <v>45204</v>
      </c>
      <c r="Q905" s="8">
        <v>45204</v>
      </c>
      <c r="R905" s="8">
        <v>45204</v>
      </c>
      <c r="S905" s="8">
        <v>45204</v>
      </c>
      <c r="T905" s="8">
        <v>45204</v>
      </c>
      <c r="U905" s="8">
        <v>45204</v>
      </c>
      <c r="V905" s="10">
        <f>COUNTA(O905:U905)</f>
        <v>7</v>
      </c>
      <c r="W905" s="11">
        <f>_xlfn.IFNA(INDEX(reading[[#This Row],[Memo 01]:[Memo 07]],MATCH(0,reading[[#This Row],[Memo 01]:[Memo 07]],-1)),"")</f>
        <v>45204</v>
      </c>
      <c r="X905" s="11">
        <f ca="1">IFERROR(reading[[#This Row],[Previous]]+OFFSET(reading[[#Headers],[Memo 01]],-1,MATCH(0,reading[[#This Row],[Memo 01]:[Memo 07]],-1)-1),"")</f>
        <v>55204</v>
      </c>
      <c r="Y905" s="10" t="str">
        <f ca="1">IF(reading[[#This Row],[Next]]&lt;&gt;"",IF(reading[[#This Row],[Next]]&gt;TODAY(),"OK",""),"")</f>
        <v>OK</v>
      </c>
      <c r="Z905" s="13">
        <v>3</v>
      </c>
      <c r="AA905" s="13"/>
      <c r="AB905" s="13"/>
      <c r="AC905" s="13"/>
      <c r="AD905" s="13"/>
      <c r="AE905" s="13"/>
      <c r="AF905" s="13"/>
      <c r="AG905" s="16">
        <f>IFERROR(SUMIF(reading[[#This Row],[1st]:[7th]],"&gt;0")/COUNTIF(reading[[#This Row],[1st]:[7th]],"&gt;0"),"")</f>
        <v>3</v>
      </c>
    </row>
    <row r="906" spans="1:33" hidden="1" x14ac:dyDescent="0.2">
      <c r="A906" s="4">
        <f>IF(B906=1,3,IF(D906=1,2,IF(F906=1,1,0)))</f>
        <v>0</v>
      </c>
      <c r="B906" s="4" t="str">
        <f>IF(C906=$L906,1,IF(C906="","",0))</f>
        <v/>
      </c>
      <c r="C906" s="42"/>
      <c r="D906" s="4" t="str">
        <f>IF(E906=$L906,1,IF(E906="","",0))</f>
        <v/>
      </c>
      <c r="E906" s="23"/>
      <c r="F906" s="4" t="str">
        <f>IF(G906=$L906,1,IF(G906="","",0))</f>
        <v/>
      </c>
      <c r="G906" s="14"/>
      <c r="H906" s="6">
        <v>100</v>
      </c>
      <c r="I906" s="15" t="s">
        <v>3120</v>
      </c>
      <c r="J906" s="6" t="s">
        <v>3249</v>
      </c>
      <c r="K906" s="6"/>
      <c r="L906" s="6" t="s">
        <v>237</v>
      </c>
      <c r="M906" s="6" t="s">
        <v>6209</v>
      </c>
      <c r="N906" s="7">
        <f ca="1">RAND()</f>
        <v>0.64918291513453796</v>
      </c>
      <c r="O906" s="8">
        <v>45199</v>
      </c>
      <c r="P906" s="8">
        <v>45200</v>
      </c>
      <c r="Q906" s="8">
        <v>45202</v>
      </c>
      <c r="R906" s="8">
        <v>45206</v>
      </c>
      <c r="S906" s="8">
        <v>45213</v>
      </c>
      <c r="T906" s="8">
        <v>45225</v>
      </c>
      <c r="U906" s="8">
        <v>45815</v>
      </c>
      <c r="V906" s="10">
        <f>COUNTA(O906:U906)</f>
        <v>7</v>
      </c>
      <c r="W906" s="11">
        <f>_xlfn.IFNA(INDEX(reading[[#This Row],[Memo 01]:[Memo 07]],MATCH(0,reading[[#This Row],[Memo 01]:[Memo 07]],-1)),"")</f>
        <v>45815</v>
      </c>
      <c r="X906" s="11">
        <f ca="1">IFERROR(reading[[#This Row],[Previous]]+OFFSET(reading[[#Headers],[Memo 01]],-1,MATCH(0,reading[[#This Row],[Memo 01]:[Memo 07]],-1)-1),"")</f>
        <v>55815</v>
      </c>
      <c r="Y906" s="10" t="str">
        <f ca="1">IF(reading[[#This Row],[Next]]&lt;&gt;"",IF(reading[[#This Row],[Next]]&gt;TODAY(),"OK",""),"")</f>
        <v>OK</v>
      </c>
      <c r="Z906" s="13">
        <v>3</v>
      </c>
      <c r="AA906" s="13">
        <v>3</v>
      </c>
      <c r="AB906" s="13">
        <v>3</v>
      </c>
      <c r="AC906" s="13">
        <v>3</v>
      </c>
      <c r="AD906" s="13">
        <v>3</v>
      </c>
      <c r="AE906" s="13">
        <v>3</v>
      </c>
      <c r="AF906" s="13">
        <v>2</v>
      </c>
      <c r="AG906" s="16">
        <f>IFERROR(SUMIF(reading[[#This Row],[1st]:[7th]],"&gt;0")/COUNTIF(reading[[#This Row],[1st]:[7th]],"&gt;0"),"")</f>
        <v>2.8571428571428572</v>
      </c>
    </row>
    <row r="907" spans="1:33" hidden="1" x14ac:dyDescent="0.2">
      <c r="A907" s="4">
        <f>IF(B907=1,3,IF(D907=1,2,IF(F907=1,1,0)))</f>
        <v>0</v>
      </c>
      <c r="B907" s="4" t="str">
        <f>IF(C907=$L907,1,IF(C907="","",0))</f>
        <v/>
      </c>
      <c r="C907" s="42"/>
      <c r="D907" s="4" t="str">
        <f>IF(E907=$L907,1,IF(E907="","",0))</f>
        <v/>
      </c>
      <c r="E907" s="14"/>
      <c r="F907" s="4" t="str">
        <f>IF(G907=$L907,1,IF(G907="","",0))</f>
        <v/>
      </c>
      <c r="G907" s="14"/>
      <c r="H907" s="6">
        <v>129</v>
      </c>
      <c r="I907" s="15" t="s">
        <v>3120</v>
      </c>
      <c r="J907" s="6" t="s">
        <v>3278</v>
      </c>
      <c r="K907" s="6"/>
      <c r="L907" s="6" t="s">
        <v>266</v>
      </c>
      <c r="M907" s="6" t="s">
        <v>6238</v>
      </c>
      <c r="N907" s="7">
        <f ca="1">RAND()</f>
        <v>0.28767125737553245</v>
      </c>
      <c r="O907" s="8">
        <v>45199</v>
      </c>
      <c r="P907" s="8">
        <v>45200</v>
      </c>
      <c r="Q907" s="8">
        <v>45202</v>
      </c>
      <c r="R907" s="8">
        <v>45206</v>
      </c>
      <c r="S907" s="8">
        <v>45213</v>
      </c>
      <c r="T907" s="8">
        <v>45225</v>
      </c>
      <c r="U907" s="8">
        <v>45819</v>
      </c>
      <c r="V907" s="10">
        <f>COUNTA(O907:U907)</f>
        <v>7</v>
      </c>
      <c r="W907" s="11">
        <f>_xlfn.IFNA(INDEX(reading[[#This Row],[Memo 01]:[Memo 07]],MATCH(0,reading[[#This Row],[Memo 01]:[Memo 07]],-1)),"")</f>
        <v>45819</v>
      </c>
      <c r="X907" s="11">
        <f ca="1">IFERROR(reading[[#This Row],[Previous]]+OFFSET(reading[[#Headers],[Memo 01]],-1,MATCH(0,reading[[#This Row],[Memo 01]:[Memo 07]],-1)-1),"")</f>
        <v>55819</v>
      </c>
      <c r="Y907" s="10" t="str">
        <f ca="1">IF(reading[[#This Row],[Next]]&lt;&gt;"",IF(reading[[#This Row],[Next]]&gt;TODAY(),"OK",""),"")</f>
        <v>OK</v>
      </c>
      <c r="Z907" s="13">
        <v>3</v>
      </c>
      <c r="AA907" s="13">
        <v>3</v>
      </c>
      <c r="AB907" s="13">
        <v>3</v>
      </c>
      <c r="AC907" s="13">
        <v>3</v>
      </c>
      <c r="AD907" s="13">
        <v>3</v>
      </c>
      <c r="AE907" s="13">
        <v>3</v>
      </c>
      <c r="AF907" s="13">
        <v>3</v>
      </c>
      <c r="AG907" s="16">
        <f>IFERROR(SUMIF(reading[[#This Row],[1st]:[7th]],"&gt;0")/COUNTIF(reading[[#This Row],[1st]:[7th]],"&gt;0"),"")</f>
        <v>3</v>
      </c>
    </row>
    <row r="908" spans="1:33" hidden="1" x14ac:dyDescent="0.2">
      <c r="A908" s="4">
        <f>IF(B908=1,3,IF(D908=1,2,IF(F908=1,1,0)))</f>
        <v>0</v>
      </c>
      <c r="B908" s="4" t="str">
        <f>IF(C908=$L908,1,IF(C908="","",0))</f>
        <v/>
      </c>
      <c r="C908" s="42"/>
      <c r="D908" s="4" t="str">
        <f>IF(E908=$L908,1,IF(E908="","",0))</f>
        <v/>
      </c>
      <c r="E908" s="18"/>
      <c r="F908" s="4" t="str">
        <f>IF(G908=$L908,1,IF(G908="","",0))</f>
        <v/>
      </c>
      <c r="G908" s="14"/>
      <c r="H908" s="6">
        <v>701</v>
      </c>
      <c r="I908" s="15" t="s">
        <v>3120</v>
      </c>
      <c r="J908" s="6" t="s">
        <v>3840</v>
      </c>
      <c r="K908" s="6"/>
      <c r="L908" s="6" t="s">
        <v>824</v>
      </c>
      <c r="M908" s="6" t="s">
        <v>6810</v>
      </c>
      <c r="N908" s="7">
        <f ca="1">RAND()</f>
        <v>0.28788042204927777</v>
      </c>
      <c r="O908" s="8">
        <v>45203</v>
      </c>
      <c r="P908" s="8">
        <v>45204</v>
      </c>
      <c r="Q908" s="8">
        <v>45206</v>
      </c>
      <c r="R908" s="8">
        <v>45210</v>
      </c>
      <c r="S908" s="8">
        <v>45217</v>
      </c>
      <c r="T908" s="8">
        <v>45229</v>
      </c>
      <c r="U908" s="8">
        <v>45792</v>
      </c>
      <c r="V908" s="10">
        <f>COUNTA(O908:U908)</f>
        <v>7</v>
      </c>
      <c r="W908" s="11">
        <f>_xlfn.IFNA(INDEX(reading[[#This Row],[Memo 01]:[Memo 07]],MATCH(0,reading[[#This Row],[Memo 01]:[Memo 07]],-1)),"")</f>
        <v>45792</v>
      </c>
      <c r="X908" s="11">
        <f ca="1">IFERROR(reading[[#This Row],[Previous]]+OFFSET(reading[[#Headers],[Memo 01]],-1,MATCH(0,reading[[#This Row],[Memo 01]:[Memo 07]],-1)-1),"")</f>
        <v>55792</v>
      </c>
      <c r="Y908" s="10" t="str">
        <f ca="1">IF(reading[[#This Row],[Next]]&lt;&gt;"",IF(reading[[#This Row],[Next]]&gt;TODAY(),"OK",""),"")</f>
        <v>OK</v>
      </c>
      <c r="Z908" s="13">
        <v>3</v>
      </c>
      <c r="AA908" s="13">
        <v>3</v>
      </c>
      <c r="AB908" s="13">
        <v>3</v>
      </c>
      <c r="AC908" s="13">
        <v>3</v>
      </c>
      <c r="AD908" s="13">
        <v>2</v>
      </c>
      <c r="AE908" s="13">
        <v>3</v>
      </c>
      <c r="AF908" s="13">
        <v>3</v>
      </c>
      <c r="AG908" s="16">
        <f>IFERROR(SUMIF(reading[[#This Row],[1st]:[7th]],"&gt;0")/COUNTIF(reading[[#This Row],[1st]:[7th]],"&gt;0"),"")</f>
        <v>2.8571428571428572</v>
      </c>
    </row>
    <row r="909" spans="1:33" hidden="1" x14ac:dyDescent="0.2">
      <c r="A909" s="4">
        <f>IF(B909=1,3,IF(D909=1,2,IF(F909=1,1,0)))</f>
        <v>2</v>
      </c>
      <c r="B909" s="4">
        <f>IF(C909=$L909,1,IF(C909="","",0))</f>
        <v>0</v>
      </c>
      <c r="C909" s="22" t="s">
        <v>3121</v>
      </c>
      <c r="D909" s="4">
        <f>IF(E909=$L909,1,IF(E909="","",0))</f>
        <v>1</v>
      </c>
      <c r="E909" s="14" t="s">
        <v>1024</v>
      </c>
      <c r="F909" s="4" t="str">
        <f>IF(G909=$L909,1,IF(G909="","",0))</f>
        <v/>
      </c>
      <c r="G909" s="14"/>
      <c r="H909" s="6">
        <v>912</v>
      </c>
      <c r="I909" s="15" t="s">
        <v>3120</v>
      </c>
      <c r="J909" s="6" t="s">
        <v>4044</v>
      </c>
      <c r="K909" s="6"/>
      <c r="L909" s="6" t="s">
        <v>1024</v>
      </c>
      <c r="M909" s="6" t="s">
        <v>7021</v>
      </c>
      <c r="N909" s="7">
        <f ca="1">RAND()</f>
        <v>0.90718766574195453</v>
      </c>
      <c r="O909" s="8">
        <v>45204</v>
      </c>
      <c r="P909" s="8">
        <v>45204</v>
      </c>
      <c r="Q909" s="8">
        <v>45204</v>
      </c>
      <c r="R909" s="8">
        <v>45204</v>
      </c>
      <c r="S909" s="8">
        <v>45204</v>
      </c>
      <c r="T909" s="8">
        <v>45204</v>
      </c>
      <c r="U909" s="8">
        <v>45204</v>
      </c>
      <c r="V909" s="10">
        <f>COUNTA(O909:U909)</f>
        <v>7</v>
      </c>
      <c r="W909" s="11">
        <f>_xlfn.IFNA(INDEX(reading[[#This Row],[Memo 01]:[Memo 07]],MATCH(0,reading[[#This Row],[Memo 01]:[Memo 07]],-1)),"")</f>
        <v>45204</v>
      </c>
      <c r="X909" s="11">
        <f ca="1">IFERROR(reading[[#This Row],[Previous]]+OFFSET(reading[[#Headers],[Memo 01]],-1,MATCH(0,reading[[#This Row],[Memo 01]:[Memo 07]],-1)-1),"")</f>
        <v>55204</v>
      </c>
      <c r="Y909" s="10" t="str">
        <f ca="1">IF(reading[[#This Row],[Next]]&lt;&gt;"",IF(reading[[#This Row],[Next]]&gt;TODAY(),"OK",""),"")</f>
        <v>OK</v>
      </c>
      <c r="Z909" s="13">
        <v>3</v>
      </c>
      <c r="AA909" s="13"/>
      <c r="AB909" s="13"/>
      <c r="AC909" s="13"/>
      <c r="AD909" s="13"/>
      <c r="AE909" s="13"/>
      <c r="AF909" s="13"/>
      <c r="AG909" s="16">
        <f>IFERROR(SUMIF(reading[[#This Row],[1st]:[7th]],"&gt;0")/COUNTIF(reading[[#This Row],[1st]:[7th]],"&gt;0"),"")</f>
        <v>3</v>
      </c>
    </row>
    <row r="910" spans="1:33" hidden="1" x14ac:dyDescent="0.2">
      <c r="A910" s="4">
        <f>IF(B910=1,3,IF(D910=1,2,IF(F910=1,1,0)))</f>
        <v>0</v>
      </c>
      <c r="B910" s="4" t="str">
        <f>IF(C910=$L910,1,IF(C910="","",0))</f>
        <v/>
      </c>
      <c r="C910" s="42"/>
      <c r="D910" s="4" t="str">
        <f>IF(E910=$L910,1,IF(E910="","",0))</f>
        <v/>
      </c>
      <c r="E910" s="14"/>
      <c r="F910" s="4" t="str">
        <f>IF(G910=$L910,1,IF(G910="","",0))</f>
        <v/>
      </c>
      <c r="G910" s="14"/>
      <c r="H910" s="6">
        <v>535</v>
      </c>
      <c r="I910" s="15" t="s">
        <v>3120</v>
      </c>
      <c r="J910" s="6" t="s">
        <v>3680</v>
      </c>
      <c r="K910" s="6"/>
      <c r="L910" s="6" t="s">
        <v>663</v>
      </c>
      <c r="M910" s="6" t="s">
        <v>6644</v>
      </c>
      <c r="N910" s="7">
        <f ca="1">RAND()</f>
        <v>0.82959637443626888</v>
      </c>
      <c r="O910" s="8">
        <v>45202</v>
      </c>
      <c r="P910" s="8">
        <v>45203</v>
      </c>
      <c r="Q910" s="8">
        <v>45205</v>
      </c>
      <c r="R910" s="8">
        <v>45209</v>
      </c>
      <c r="S910" s="8">
        <v>45216</v>
      </c>
      <c r="T910" s="8">
        <v>45228</v>
      </c>
      <c r="U910" s="8">
        <v>45801</v>
      </c>
      <c r="V910" s="10">
        <f>COUNTA(O910:U910)</f>
        <v>7</v>
      </c>
      <c r="W910" s="11">
        <f>_xlfn.IFNA(INDEX(reading[[#This Row],[Memo 01]:[Memo 07]],MATCH(0,reading[[#This Row],[Memo 01]:[Memo 07]],-1)),"")</f>
        <v>45801</v>
      </c>
      <c r="X910" s="11">
        <f ca="1">IFERROR(reading[[#This Row],[Previous]]+OFFSET(reading[[#Headers],[Memo 01]],-1,MATCH(0,reading[[#This Row],[Memo 01]:[Memo 07]],-1)-1),"")</f>
        <v>55801</v>
      </c>
      <c r="Y910" s="10" t="str">
        <f ca="1">IF(reading[[#This Row],[Next]]&lt;&gt;"",IF(reading[[#This Row],[Next]]&gt;TODAY(),"OK",""),"")</f>
        <v>OK</v>
      </c>
      <c r="Z910" s="13">
        <v>3</v>
      </c>
      <c r="AA910" s="13">
        <v>3</v>
      </c>
      <c r="AB910" s="13">
        <v>3</v>
      </c>
      <c r="AC910" s="13">
        <v>3</v>
      </c>
      <c r="AD910" s="13">
        <v>3</v>
      </c>
      <c r="AE910" s="13">
        <v>3</v>
      </c>
      <c r="AF910" s="13">
        <v>3</v>
      </c>
      <c r="AG910" s="16">
        <f>IFERROR(SUMIF(reading[[#This Row],[1st]:[7th]],"&gt;0")/COUNTIF(reading[[#This Row],[1st]:[7th]],"&gt;0"),"")</f>
        <v>3</v>
      </c>
    </row>
    <row r="911" spans="1:33" hidden="1" x14ac:dyDescent="0.2">
      <c r="A911" s="4">
        <f>IF(B911=1,3,IF(D911=1,2,IF(F911=1,1,0)))</f>
        <v>0</v>
      </c>
      <c r="B911" s="4" t="str">
        <f>IF(C911=$L911,1,IF(C911="","",0))</f>
        <v/>
      </c>
      <c r="C911" s="42"/>
      <c r="D911" s="4" t="str">
        <f>IF(E911=$L911,1,IF(E911="","",0))</f>
        <v/>
      </c>
      <c r="E911" s="43"/>
      <c r="F911" s="4" t="str">
        <f>IF(G911=$L911,1,IF(G911="","",0))</f>
        <v/>
      </c>
      <c r="G911" s="14"/>
      <c r="H911" s="6">
        <v>291</v>
      </c>
      <c r="I911" s="15" t="s">
        <v>3120</v>
      </c>
      <c r="J911" s="6" t="s">
        <v>3439</v>
      </c>
      <c r="K911" s="15" t="s">
        <v>3139</v>
      </c>
      <c r="L911" s="6" t="s">
        <v>426</v>
      </c>
      <c r="M911" s="6" t="s">
        <v>6400</v>
      </c>
      <c r="N911" s="7">
        <f ca="1">RAND()</f>
        <v>0.42728520200379327</v>
      </c>
      <c r="O911" s="8">
        <v>45200</v>
      </c>
      <c r="P911" s="8">
        <v>45202</v>
      </c>
      <c r="Q911" s="8">
        <v>45204</v>
      </c>
      <c r="R911" s="8">
        <v>45208</v>
      </c>
      <c r="S911" s="8">
        <v>45215</v>
      </c>
      <c r="T911" s="8">
        <v>45251</v>
      </c>
      <c r="U911" s="8">
        <v>45825</v>
      </c>
      <c r="V911" s="10">
        <f>COUNTA(O911:U911)</f>
        <v>7</v>
      </c>
      <c r="W911" s="11">
        <f>_xlfn.IFNA(INDEX(reading[[#This Row],[Memo 01]:[Memo 07]],MATCH(0,reading[[#This Row],[Memo 01]:[Memo 07]],-1)),"")</f>
        <v>45825</v>
      </c>
      <c r="X911" s="11">
        <f ca="1">IFERROR(reading[[#This Row],[Previous]]+OFFSET(reading[[#Headers],[Memo 01]],-1,MATCH(0,reading[[#This Row],[Memo 01]:[Memo 07]],-1)-1),"")</f>
        <v>55825</v>
      </c>
      <c r="Y911" s="10" t="str">
        <f ca="1">IF(reading[[#This Row],[Next]]&lt;&gt;"",IF(reading[[#This Row],[Next]]&gt;TODAY(),"OK",""),"")</f>
        <v>OK</v>
      </c>
      <c r="Z911" s="13">
        <v>3</v>
      </c>
      <c r="AA911" s="13">
        <v>2</v>
      </c>
      <c r="AB911" s="13">
        <v>3</v>
      </c>
      <c r="AC911" s="13">
        <v>2</v>
      </c>
      <c r="AD911" s="13">
        <v>3</v>
      </c>
      <c r="AE911" s="13">
        <v>3</v>
      </c>
      <c r="AF911" s="13">
        <v>2</v>
      </c>
      <c r="AG911" s="16">
        <f>IFERROR(SUMIF(reading[[#This Row],[1st]:[7th]],"&gt;0")/COUNTIF(reading[[#This Row],[1st]:[7th]],"&gt;0"),"")</f>
        <v>2.5714285714285716</v>
      </c>
    </row>
    <row r="912" spans="1:33" hidden="1" x14ac:dyDescent="0.2">
      <c r="A912" s="4">
        <f>IF(B912=1,3,IF(D912=1,2,IF(F912=1,1,0)))</f>
        <v>0</v>
      </c>
      <c r="B912" s="4" t="str">
        <f>IF(C912=$L912,1,IF(C912="","",0))</f>
        <v/>
      </c>
      <c r="C912" s="42"/>
      <c r="D912" s="4" t="str">
        <f>IF(E912=$L912,1,IF(E912="","",0))</f>
        <v/>
      </c>
      <c r="E912" s="43"/>
      <c r="F912" s="4" t="str">
        <f>IF(G912=$L912,1,IF(G912="","",0))</f>
        <v/>
      </c>
      <c r="G912" s="23"/>
      <c r="H912" s="6">
        <v>684</v>
      </c>
      <c r="I912" s="15" t="s">
        <v>3120</v>
      </c>
      <c r="J912" s="6" t="s">
        <v>3823</v>
      </c>
      <c r="K912" s="6"/>
      <c r="L912" s="6" t="s">
        <v>807</v>
      </c>
      <c r="M912" s="6" t="s">
        <v>6793</v>
      </c>
      <c r="N912" s="7">
        <f ca="1">RAND()</f>
        <v>0.41636386272407178</v>
      </c>
      <c r="O912" s="8">
        <v>45203</v>
      </c>
      <c r="P912" s="8">
        <v>45204</v>
      </c>
      <c r="Q912" s="8">
        <v>45206</v>
      </c>
      <c r="R912" s="8">
        <v>45210</v>
      </c>
      <c r="S912" s="8">
        <v>45217</v>
      </c>
      <c r="T912" s="8">
        <v>45229</v>
      </c>
      <c r="U912" s="8">
        <v>45811</v>
      </c>
      <c r="V912" s="10">
        <f>COUNTA(O912:U912)</f>
        <v>7</v>
      </c>
      <c r="W912" s="11">
        <f>_xlfn.IFNA(INDEX(reading[[#This Row],[Memo 01]:[Memo 07]],MATCH(0,reading[[#This Row],[Memo 01]:[Memo 07]],-1)),"")</f>
        <v>45811</v>
      </c>
      <c r="X912" s="11">
        <f ca="1">IFERROR(reading[[#This Row],[Previous]]+OFFSET(reading[[#Headers],[Memo 01]],-1,MATCH(0,reading[[#This Row],[Memo 01]:[Memo 07]],-1)-1),"")</f>
        <v>55811</v>
      </c>
      <c r="Y912" s="10" t="str">
        <f ca="1">IF(reading[[#This Row],[Next]]&lt;&gt;"",IF(reading[[#This Row],[Next]]&gt;TODAY(),"OK",""),"")</f>
        <v>OK</v>
      </c>
      <c r="Z912" s="13">
        <v>3</v>
      </c>
      <c r="AA912" s="13">
        <v>3</v>
      </c>
      <c r="AB912" s="13">
        <v>3</v>
      </c>
      <c r="AC912" s="13">
        <v>3</v>
      </c>
      <c r="AD912" s="13">
        <v>2</v>
      </c>
      <c r="AE912" s="13">
        <v>3</v>
      </c>
      <c r="AF912" s="13">
        <v>1</v>
      </c>
      <c r="AG912" s="16">
        <f>IFERROR(SUMIF(reading[[#This Row],[1st]:[7th]],"&gt;0")/COUNTIF(reading[[#This Row],[1st]:[7th]],"&gt;0"),"")</f>
        <v>2.5714285714285716</v>
      </c>
    </row>
    <row r="913" spans="1:33" hidden="1" x14ac:dyDescent="0.2">
      <c r="A913" s="4">
        <f>IF(B913=1,3,IF(D913=1,2,IF(F913=1,1,0)))</f>
        <v>3</v>
      </c>
      <c r="B913" s="4">
        <f>IF(C913=$L913,1,IF(C913="","",0))</f>
        <v>1</v>
      </c>
      <c r="C913" s="22" t="s">
        <v>1028</v>
      </c>
      <c r="D913" s="4" t="str">
        <f>IF(E913=$L913,1,IF(E913="","",0))</f>
        <v/>
      </c>
      <c r="E913" s="14"/>
      <c r="F913" s="4" t="str">
        <f>IF(G913=$L913,1,IF(G913="","",0))</f>
        <v/>
      </c>
      <c r="G913" s="14"/>
      <c r="H913" s="6">
        <v>916</v>
      </c>
      <c r="I913" s="15" t="s">
        <v>3120</v>
      </c>
      <c r="J913" s="6" t="s">
        <v>4048</v>
      </c>
      <c r="K913" s="6"/>
      <c r="L913" s="6" t="s">
        <v>1028</v>
      </c>
      <c r="M913" s="6" t="s">
        <v>7025</v>
      </c>
      <c r="N913" s="7">
        <f ca="1">RAND()</f>
        <v>0.69278661015662879</v>
      </c>
      <c r="O913" s="8">
        <v>45204</v>
      </c>
      <c r="P913" s="8">
        <v>45204</v>
      </c>
      <c r="Q913" s="8">
        <v>45204</v>
      </c>
      <c r="R913" s="8">
        <v>45204</v>
      </c>
      <c r="S913" s="8">
        <v>45204</v>
      </c>
      <c r="T913" s="8">
        <v>45204</v>
      </c>
      <c r="U913" s="8">
        <v>45204</v>
      </c>
      <c r="V913" s="10">
        <f>COUNTA(O913:U913)</f>
        <v>7</v>
      </c>
      <c r="W913" s="11">
        <f>_xlfn.IFNA(INDEX(reading[[#This Row],[Memo 01]:[Memo 07]],MATCH(0,reading[[#This Row],[Memo 01]:[Memo 07]],-1)),"")</f>
        <v>45204</v>
      </c>
      <c r="X913" s="11">
        <f ca="1">IFERROR(reading[[#This Row],[Previous]]+OFFSET(reading[[#Headers],[Memo 01]],-1,MATCH(0,reading[[#This Row],[Memo 01]:[Memo 07]],-1)-1),"")</f>
        <v>55204</v>
      </c>
      <c r="Y913" s="10" t="str">
        <f ca="1">IF(reading[[#This Row],[Next]]&lt;&gt;"",IF(reading[[#This Row],[Next]]&gt;TODAY(),"OK",""),"")</f>
        <v>OK</v>
      </c>
      <c r="Z913" s="13">
        <v>3</v>
      </c>
      <c r="AA913" s="13"/>
      <c r="AB913" s="13"/>
      <c r="AC913" s="13"/>
      <c r="AD913" s="13"/>
      <c r="AE913" s="13"/>
      <c r="AF913" s="13"/>
      <c r="AG913" s="16">
        <f>IFERROR(SUMIF(reading[[#This Row],[1st]:[7th]],"&gt;0")/COUNTIF(reading[[#This Row],[1st]:[7th]],"&gt;0"),"")</f>
        <v>3</v>
      </c>
    </row>
    <row r="914" spans="1:33" hidden="1" x14ac:dyDescent="0.2">
      <c r="A914" s="4">
        <f>IF(B914=1,3,IF(D914=1,2,IF(F914=1,1,0)))</f>
        <v>0</v>
      </c>
      <c r="B914" s="4" t="str">
        <f>IF(C914=$L914,1,IF(C914="","",0))</f>
        <v/>
      </c>
      <c r="C914" s="42"/>
      <c r="D914" s="4" t="str">
        <f>IF(E914=$L914,1,IF(E914="","",0))</f>
        <v/>
      </c>
      <c r="E914" s="14"/>
      <c r="F914" s="4" t="str">
        <f>IF(G914=$L914,1,IF(G914="","",0))</f>
        <v/>
      </c>
      <c r="G914" s="14"/>
      <c r="H914" s="6">
        <v>1797</v>
      </c>
      <c r="I914" s="15" t="s">
        <v>3120</v>
      </c>
      <c r="J914" s="6" t="s">
        <v>4904</v>
      </c>
      <c r="K914" s="6"/>
      <c r="L914" s="6" t="s">
        <v>1876</v>
      </c>
      <c r="M914" s="6" t="s">
        <v>7903</v>
      </c>
      <c r="N914" s="7">
        <f ca="1">RAND()</f>
        <v>0.89724726767159158</v>
      </c>
      <c r="O914" s="8">
        <v>45211</v>
      </c>
      <c r="P914" s="8">
        <v>45213</v>
      </c>
      <c r="Q914" s="8">
        <v>45215</v>
      </c>
      <c r="R914" s="8">
        <v>45219</v>
      </c>
      <c r="S914" s="8">
        <v>45226</v>
      </c>
      <c r="T914" s="8">
        <v>45792</v>
      </c>
      <c r="U914" s="8">
        <v>45819</v>
      </c>
      <c r="V914" s="10">
        <f>COUNTA(O914:U914)</f>
        <v>7</v>
      </c>
      <c r="W914" s="11">
        <f>_xlfn.IFNA(INDEX(reading[[#This Row],[Memo 01]:[Memo 07]],MATCH(0,reading[[#This Row],[Memo 01]:[Memo 07]],-1)),"")</f>
        <v>45819</v>
      </c>
      <c r="X914" s="11">
        <f ca="1">IFERROR(reading[[#This Row],[Previous]]+OFFSET(reading[[#Headers],[Memo 01]],-1,MATCH(0,reading[[#This Row],[Memo 01]:[Memo 07]],-1)-1),"")</f>
        <v>55819</v>
      </c>
      <c r="Y914" s="10" t="str">
        <f ca="1">IF(reading[[#This Row],[Next]]&lt;&gt;"",IF(reading[[#This Row],[Next]]&gt;TODAY(),"OK",""),"")</f>
        <v>OK</v>
      </c>
      <c r="Z914" s="13">
        <v>3</v>
      </c>
      <c r="AA914" s="13">
        <v>2</v>
      </c>
      <c r="AB914" s="13">
        <v>3</v>
      </c>
      <c r="AC914" s="13">
        <v>3</v>
      </c>
      <c r="AD914" s="13">
        <v>3</v>
      </c>
      <c r="AE914" s="13">
        <v>3</v>
      </c>
      <c r="AF914" s="13">
        <v>3</v>
      </c>
      <c r="AG914" s="16">
        <f>IFERROR(SUMIF(reading[[#This Row],[1st]:[7th]],"&gt;0")/COUNTIF(reading[[#This Row],[1st]:[7th]],"&gt;0"),"")</f>
        <v>2.8571428571428572</v>
      </c>
    </row>
    <row r="915" spans="1:33" hidden="1" x14ac:dyDescent="0.2">
      <c r="A915" s="4">
        <f>IF(B915=1,3,IF(D915=1,2,IF(F915=1,1,0)))</f>
        <v>0</v>
      </c>
      <c r="B915" s="4" t="str">
        <f>IF(C915=$L915,1,IF(C915="","",0))</f>
        <v/>
      </c>
      <c r="C915" s="42"/>
      <c r="D915" s="4" t="str">
        <f>IF(E915=$L915,1,IF(E915="","",0))</f>
        <v/>
      </c>
      <c r="E915" s="14"/>
      <c r="F915" s="4" t="str">
        <f>IF(G915=$L915,1,IF(G915="","",0))</f>
        <v/>
      </c>
      <c r="G915" s="14"/>
      <c r="H915" s="6">
        <v>423</v>
      </c>
      <c r="I915" s="15" t="s">
        <v>3120</v>
      </c>
      <c r="J915" s="6" t="s">
        <v>3569</v>
      </c>
      <c r="K915" s="6"/>
      <c r="L915" s="6" t="s">
        <v>553</v>
      </c>
      <c r="M915" s="6" t="s">
        <v>6532</v>
      </c>
      <c r="N915" s="7">
        <f ca="1">RAND()</f>
        <v>0.65005545928440478</v>
      </c>
      <c r="O915" s="8">
        <v>45201</v>
      </c>
      <c r="P915" s="8">
        <v>45202</v>
      </c>
      <c r="Q915" s="8">
        <v>45204</v>
      </c>
      <c r="R915" s="8">
        <v>45208</v>
      </c>
      <c r="S915" s="8">
        <v>45215</v>
      </c>
      <c r="T915" s="8">
        <v>45227</v>
      </c>
      <c r="U915" s="8">
        <v>45819</v>
      </c>
      <c r="V915" s="10">
        <f>COUNTA(O915:U915)</f>
        <v>7</v>
      </c>
      <c r="W915" s="11">
        <f>_xlfn.IFNA(INDEX(reading[[#This Row],[Memo 01]:[Memo 07]],MATCH(0,reading[[#This Row],[Memo 01]:[Memo 07]],-1)),"")</f>
        <v>45819</v>
      </c>
      <c r="X915" s="11">
        <f ca="1">IFERROR(reading[[#This Row],[Previous]]+OFFSET(reading[[#Headers],[Memo 01]],-1,MATCH(0,reading[[#This Row],[Memo 01]:[Memo 07]],-1)-1),"")</f>
        <v>55819</v>
      </c>
      <c r="Y915" s="10" t="str">
        <f ca="1">IF(reading[[#This Row],[Next]]&lt;&gt;"",IF(reading[[#This Row],[Next]]&gt;TODAY(),"OK",""),"")</f>
        <v>OK</v>
      </c>
      <c r="Z915" s="13">
        <v>3</v>
      </c>
      <c r="AA915" s="13">
        <v>3</v>
      </c>
      <c r="AB915" s="13">
        <v>3</v>
      </c>
      <c r="AC915" s="13">
        <v>3</v>
      </c>
      <c r="AD915" s="13">
        <v>3</v>
      </c>
      <c r="AE915" s="13">
        <v>3</v>
      </c>
      <c r="AF915" s="13">
        <v>3</v>
      </c>
      <c r="AG915" s="16">
        <f>IFERROR(SUMIF(reading[[#This Row],[1st]:[7th]],"&gt;0")/COUNTIF(reading[[#This Row],[1st]:[7th]],"&gt;0"),"")</f>
        <v>3</v>
      </c>
    </row>
    <row r="916" spans="1:33" hidden="1" x14ac:dyDescent="0.2">
      <c r="A916" s="4">
        <f>IF(B916=1,3,IF(D916=1,2,IF(F916=1,1,0)))</f>
        <v>0</v>
      </c>
      <c r="B916" s="4" t="str">
        <f>IF(C916=$L916,1,IF(C916="","",0))</f>
        <v/>
      </c>
      <c r="C916" s="42"/>
      <c r="D916" s="4" t="str">
        <f>IF(E916=$L916,1,IF(E916="","",0))</f>
        <v/>
      </c>
      <c r="E916" s="18"/>
      <c r="F916" s="4" t="str">
        <f>IF(G916=$L916,1,IF(G916="","",0))</f>
        <v/>
      </c>
      <c r="G916" s="14"/>
      <c r="H916" s="6">
        <v>335</v>
      </c>
      <c r="I916" s="15" t="s">
        <v>3120</v>
      </c>
      <c r="J916" s="6" t="s">
        <v>3482</v>
      </c>
      <c r="K916" s="6"/>
      <c r="L916" s="6" t="s">
        <v>470</v>
      </c>
      <c r="M916" s="6" t="s">
        <v>6444</v>
      </c>
      <c r="N916" s="7">
        <f ca="1">RAND()</f>
        <v>0.26497703094223091</v>
      </c>
      <c r="O916" s="8">
        <v>45200</v>
      </c>
      <c r="P916" s="8">
        <v>45201</v>
      </c>
      <c r="Q916" s="8">
        <v>45203</v>
      </c>
      <c r="R916" s="8">
        <v>45207</v>
      </c>
      <c r="S916" s="8">
        <v>45214</v>
      </c>
      <c r="T916" s="8">
        <v>45226</v>
      </c>
      <c r="U916" s="8">
        <v>45792</v>
      </c>
      <c r="V916" s="10">
        <f>COUNTA(O916:U916)</f>
        <v>7</v>
      </c>
      <c r="W916" s="11">
        <f>_xlfn.IFNA(INDEX(reading[[#This Row],[Memo 01]:[Memo 07]],MATCH(0,reading[[#This Row],[Memo 01]:[Memo 07]],-1)),"")</f>
        <v>45792</v>
      </c>
      <c r="X916" s="11">
        <f ca="1">IFERROR(reading[[#This Row],[Previous]]+OFFSET(reading[[#Headers],[Memo 01]],-1,MATCH(0,reading[[#This Row],[Memo 01]:[Memo 07]],-1)-1),"")</f>
        <v>55792</v>
      </c>
      <c r="Y916" s="10" t="str">
        <f ca="1">IF(reading[[#This Row],[Next]]&lt;&gt;"",IF(reading[[#This Row],[Next]]&gt;TODAY(),"OK",""),"")</f>
        <v>OK</v>
      </c>
      <c r="Z916" s="13">
        <v>2</v>
      </c>
      <c r="AA916" s="13">
        <v>3</v>
      </c>
      <c r="AB916" s="13">
        <v>3</v>
      </c>
      <c r="AC916" s="13">
        <v>3</v>
      </c>
      <c r="AD916" s="13">
        <v>3</v>
      </c>
      <c r="AE916" s="13">
        <v>3</v>
      </c>
      <c r="AF916" s="13">
        <v>3</v>
      </c>
      <c r="AG916" s="16">
        <f>IFERROR(SUMIF(reading[[#This Row],[1st]:[7th]],"&gt;0")/COUNTIF(reading[[#This Row],[1st]:[7th]],"&gt;0"),"")</f>
        <v>2.8571428571428572</v>
      </c>
    </row>
    <row r="917" spans="1:33" hidden="1" x14ac:dyDescent="0.2">
      <c r="A917" s="4">
        <f>IF(B917=1,3,IF(D917=1,2,IF(F917=1,1,0)))</f>
        <v>0</v>
      </c>
      <c r="B917" s="4" t="str">
        <f>IF(C917=$L917,1,IF(C917="","",0))</f>
        <v/>
      </c>
      <c r="C917" s="42"/>
      <c r="D917" s="4" t="str">
        <f>IF(E917=$L917,1,IF(E917="","",0))</f>
        <v/>
      </c>
      <c r="E917" s="14"/>
      <c r="F917" s="4" t="str">
        <f>IF(G917=$L917,1,IF(G917="","",0))</f>
        <v/>
      </c>
      <c r="G917" s="14"/>
      <c r="H917" s="6">
        <v>938</v>
      </c>
      <c r="I917" s="15" t="s">
        <v>3120</v>
      </c>
      <c r="J917" s="6" t="s">
        <v>4068</v>
      </c>
      <c r="K917" s="6"/>
      <c r="L917" s="6" t="s">
        <v>1049</v>
      </c>
      <c r="M917" s="6" t="s">
        <v>7046</v>
      </c>
      <c r="N917" s="7">
        <f ca="1">RAND()</f>
        <v>0.49294828786799316</v>
      </c>
      <c r="O917" s="8">
        <v>45204</v>
      </c>
      <c r="P917" s="8">
        <v>45205</v>
      </c>
      <c r="Q917" s="8">
        <v>45207</v>
      </c>
      <c r="R917" s="8">
        <v>45211</v>
      </c>
      <c r="S917" s="8">
        <v>45218</v>
      </c>
      <c r="T917" s="8">
        <v>45230</v>
      </c>
      <c r="U917" s="8">
        <v>45792</v>
      </c>
      <c r="V917" s="10">
        <f>COUNTA(O917:U917)</f>
        <v>7</v>
      </c>
      <c r="W917" s="11">
        <f>_xlfn.IFNA(INDEX(reading[[#This Row],[Memo 01]:[Memo 07]],MATCH(0,reading[[#This Row],[Memo 01]:[Memo 07]],-1)),"")</f>
        <v>45792</v>
      </c>
      <c r="X917" s="11">
        <f ca="1">IFERROR(reading[[#This Row],[Previous]]+OFFSET(reading[[#Headers],[Memo 01]],-1,MATCH(0,reading[[#This Row],[Memo 01]:[Memo 07]],-1)-1),"")</f>
        <v>55792</v>
      </c>
      <c r="Y917" s="10" t="str">
        <f ca="1">IF(reading[[#This Row],[Next]]&lt;&gt;"",IF(reading[[#This Row],[Next]]&gt;TODAY(),"OK",""),"")</f>
        <v>OK</v>
      </c>
      <c r="Z917" s="13">
        <v>3</v>
      </c>
      <c r="AA917" s="13">
        <v>3</v>
      </c>
      <c r="AB917" s="13">
        <v>3</v>
      </c>
      <c r="AC917" s="13">
        <v>3</v>
      </c>
      <c r="AD917" s="13">
        <v>3</v>
      </c>
      <c r="AE917" s="13">
        <v>3</v>
      </c>
      <c r="AF917" s="13">
        <v>3</v>
      </c>
      <c r="AG917" s="16">
        <f>IFERROR(SUMIF(reading[[#This Row],[1st]:[7th]],"&gt;0")/COUNTIF(reading[[#This Row],[1st]:[7th]],"&gt;0"),"")</f>
        <v>3</v>
      </c>
    </row>
    <row r="918" spans="1:33" hidden="1" x14ac:dyDescent="0.2">
      <c r="A918" s="4">
        <f>IF(B918=1,3,IF(D918=1,2,IF(F918=1,1,0)))</f>
        <v>0</v>
      </c>
      <c r="B918" s="4" t="str">
        <f>IF(C918=$L918,1,IF(C918="","",0))</f>
        <v/>
      </c>
      <c r="C918" s="42"/>
      <c r="D918" s="4" t="str">
        <f>IF(E918=$L918,1,IF(E918="","",0))</f>
        <v/>
      </c>
      <c r="E918" s="14"/>
      <c r="F918" s="4" t="str">
        <f>IF(G918=$L918,1,IF(G918="","",0))</f>
        <v/>
      </c>
      <c r="G918" s="14"/>
      <c r="H918" s="6">
        <v>711</v>
      </c>
      <c r="I918" s="15" t="s">
        <v>3120</v>
      </c>
      <c r="J918" s="6" t="s">
        <v>3849</v>
      </c>
      <c r="K918" s="6"/>
      <c r="L918" s="6" t="s">
        <v>39</v>
      </c>
      <c r="M918" s="6" t="s">
        <v>6820</v>
      </c>
      <c r="N918" s="7">
        <f ca="1">RAND()</f>
        <v>0.92936984615101026</v>
      </c>
      <c r="O918" s="8">
        <v>45203</v>
      </c>
      <c r="P918" s="8">
        <v>45204</v>
      </c>
      <c r="Q918" s="8">
        <v>45206</v>
      </c>
      <c r="R918" s="8">
        <v>45210</v>
      </c>
      <c r="S918" s="8">
        <v>45217</v>
      </c>
      <c r="T918" s="8">
        <v>45229</v>
      </c>
      <c r="U918" s="8">
        <v>45792</v>
      </c>
      <c r="V918" s="10">
        <f>COUNTA(O918:U918)</f>
        <v>7</v>
      </c>
      <c r="W918" s="11">
        <f>_xlfn.IFNA(INDEX(reading[[#This Row],[Memo 01]:[Memo 07]],MATCH(0,reading[[#This Row],[Memo 01]:[Memo 07]],-1)),"")</f>
        <v>45792</v>
      </c>
      <c r="X918" s="11">
        <f ca="1">IFERROR(reading[[#This Row],[Previous]]+OFFSET(reading[[#Headers],[Memo 01]],-1,MATCH(0,reading[[#This Row],[Memo 01]:[Memo 07]],-1)-1),"")</f>
        <v>55792</v>
      </c>
      <c r="Y918" s="10" t="str">
        <f ca="1">IF(reading[[#This Row],[Next]]&lt;&gt;"",IF(reading[[#This Row],[Next]]&gt;TODAY(),"OK",""),"")</f>
        <v>OK</v>
      </c>
      <c r="Z918" s="13">
        <v>3</v>
      </c>
      <c r="AA918" s="13">
        <v>3</v>
      </c>
      <c r="AB918" s="13">
        <v>3</v>
      </c>
      <c r="AC918" s="13">
        <v>3</v>
      </c>
      <c r="AD918" s="13">
        <v>3</v>
      </c>
      <c r="AE918" s="13">
        <v>3</v>
      </c>
      <c r="AF918" s="13">
        <v>3</v>
      </c>
      <c r="AG918" s="16">
        <f>IFERROR(SUMIF(reading[[#This Row],[1st]:[7th]],"&gt;0")/COUNTIF(reading[[#This Row],[1st]:[7th]],"&gt;0"),"")</f>
        <v>3</v>
      </c>
    </row>
    <row r="919" spans="1:33" hidden="1" x14ac:dyDescent="0.2">
      <c r="A919" s="4">
        <f>IF(B919=1,3,IF(D919=1,2,IF(F919=1,1,0)))</f>
        <v>0</v>
      </c>
      <c r="B919" s="4" t="str">
        <f>IF(C919=$L919,1,IF(C919="","",0))</f>
        <v/>
      </c>
      <c r="C919" s="42"/>
      <c r="D919" s="4" t="str">
        <f>IF(E919=$L919,1,IF(E919="","",0))</f>
        <v/>
      </c>
      <c r="E919" s="14"/>
      <c r="F919" s="4" t="str">
        <f>IF(G919=$L919,1,IF(G919="","",0))</f>
        <v/>
      </c>
      <c r="G919" s="14"/>
      <c r="H919" s="6">
        <v>2225</v>
      </c>
      <c r="I919" s="15" t="s">
        <v>3120</v>
      </c>
      <c r="J919" s="6" t="s">
        <v>4730</v>
      </c>
      <c r="K919" s="6"/>
      <c r="L919" s="6" t="s">
        <v>2288</v>
      </c>
      <c r="M919" s="6" t="s">
        <v>8331</v>
      </c>
      <c r="N919" s="7">
        <f ca="1">RAND()</f>
        <v>0.31635395646980657</v>
      </c>
      <c r="O919" s="8">
        <v>45215</v>
      </c>
      <c r="P919" s="8">
        <v>45216</v>
      </c>
      <c r="Q919" s="8">
        <v>45218</v>
      </c>
      <c r="R919" s="8">
        <v>45222</v>
      </c>
      <c r="S919" s="8">
        <v>45229</v>
      </c>
      <c r="T919" s="8">
        <v>45824</v>
      </c>
      <c r="U919" s="8"/>
      <c r="V919" s="10">
        <f>COUNTA(O919:U919)</f>
        <v>6</v>
      </c>
      <c r="W919" s="11">
        <f>_xlfn.IFNA(INDEX(reading[[#This Row],[Memo 01]:[Memo 07]],MATCH(0,reading[[#This Row],[Memo 01]:[Memo 07]],-1)),"")</f>
        <v>45824</v>
      </c>
      <c r="X919" s="11">
        <f ca="1">IFERROR(reading[[#This Row],[Previous]]+OFFSET(reading[[#Headers],[Memo 01]],-1,MATCH(0,reading[[#This Row],[Memo 01]:[Memo 07]],-1)-1),"")</f>
        <v>45844</v>
      </c>
      <c r="Y919" s="10" t="str">
        <f ca="1">IF(reading[[#This Row],[Next]]&lt;&gt;"",IF(reading[[#This Row],[Next]]&gt;TODAY(),"OK",""),"")</f>
        <v>OK</v>
      </c>
      <c r="Z919" s="13">
        <v>3</v>
      </c>
      <c r="AA919" s="13">
        <v>3</v>
      </c>
      <c r="AB919" s="13">
        <v>3</v>
      </c>
      <c r="AC919" s="13">
        <v>3</v>
      </c>
      <c r="AD919" s="13">
        <v>3</v>
      </c>
      <c r="AE919" s="13">
        <v>3</v>
      </c>
      <c r="AF919" s="13"/>
      <c r="AG919" s="16">
        <f>IFERROR(SUMIF(reading[[#This Row],[1st]:[7th]],"&gt;0")/COUNTIF(reading[[#This Row],[1st]:[7th]],"&gt;0"),"")</f>
        <v>3</v>
      </c>
    </row>
    <row r="920" spans="1:33" hidden="1" x14ac:dyDescent="0.2">
      <c r="A920" s="4">
        <f>IF(B920=1,3,IF(D920=1,2,IF(F920=1,1,0)))</f>
        <v>0</v>
      </c>
      <c r="B920" s="4" t="str">
        <f>IF(C920=$L920,1,IF(C920="","",0))</f>
        <v/>
      </c>
      <c r="C920" s="42"/>
      <c r="D920" s="4" t="str">
        <f>IF(E920=$L920,1,IF(E920="","",0))</f>
        <v/>
      </c>
      <c r="E920" s="14"/>
      <c r="F920" s="4" t="str">
        <f>IF(G920=$L920,1,IF(G920="","",0))</f>
        <v/>
      </c>
      <c r="G920" s="14"/>
      <c r="H920" s="6">
        <v>522</v>
      </c>
      <c r="I920" s="15" t="s">
        <v>3120</v>
      </c>
      <c r="J920" s="6" t="s">
        <v>3667</v>
      </c>
      <c r="K920" s="15" t="s">
        <v>3138</v>
      </c>
      <c r="L920" s="6" t="s">
        <v>650</v>
      </c>
      <c r="M920" s="6" t="s">
        <v>6631</v>
      </c>
      <c r="N920" s="7">
        <f ca="1">RAND()</f>
        <v>0.41712687282834626</v>
      </c>
      <c r="O920" s="8">
        <v>45202</v>
      </c>
      <c r="P920" s="8">
        <v>45203</v>
      </c>
      <c r="Q920" s="8">
        <v>45205</v>
      </c>
      <c r="R920" s="8">
        <v>45209</v>
      </c>
      <c r="S920" s="8">
        <v>45216</v>
      </c>
      <c r="T920" s="8">
        <v>45228</v>
      </c>
      <c r="U920" s="8">
        <v>45792</v>
      </c>
      <c r="V920" s="10">
        <f>COUNTA(O920:U920)</f>
        <v>7</v>
      </c>
      <c r="W920" s="11">
        <f>_xlfn.IFNA(INDEX(reading[[#This Row],[Memo 01]:[Memo 07]],MATCH(0,reading[[#This Row],[Memo 01]:[Memo 07]],-1)),"")</f>
        <v>45792</v>
      </c>
      <c r="X920" s="11">
        <f ca="1">IFERROR(reading[[#This Row],[Previous]]+OFFSET(reading[[#Headers],[Memo 01]],-1,MATCH(0,reading[[#This Row],[Memo 01]:[Memo 07]],-1)-1),"")</f>
        <v>55792</v>
      </c>
      <c r="Y920" s="10" t="str">
        <f ca="1">IF(reading[[#This Row],[Next]]&lt;&gt;"",IF(reading[[#This Row],[Next]]&gt;TODAY(),"OK",""),"")</f>
        <v>OK</v>
      </c>
      <c r="Z920" s="13">
        <v>3</v>
      </c>
      <c r="AA920" s="13">
        <v>3</v>
      </c>
      <c r="AB920" s="13">
        <v>3</v>
      </c>
      <c r="AC920" s="13">
        <v>3</v>
      </c>
      <c r="AD920" s="13">
        <v>3</v>
      </c>
      <c r="AE920" s="13">
        <v>2</v>
      </c>
      <c r="AF920" s="13">
        <v>3</v>
      </c>
      <c r="AG920" s="16">
        <f>IFERROR(SUMIF(reading[[#This Row],[1st]:[7th]],"&gt;0")/COUNTIF(reading[[#This Row],[1st]:[7th]],"&gt;0"),"")</f>
        <v>2.8571428571428572</v>
      </c>
    </row>
    <row r="921" spans="1:33" hidden="1" x14ac:dyDescent="0.2">
      <c r="A921" s="4">
        <f>IF(B921=1,3,IF(D921=1,2,IF(F921=1,1,0)))</f>
        <v>0</v>
      </c>
      <c r="B921" s="4" t="str">
        <f>IF(C921=$L921,1,IF(C921="","",0))</f>
        <v/>
      </c>
      <c r="C921" s="42"/>
      <c r="D921" s="4" t="str">
        <f>IF(E921=$L921,1,IF(E921="","",0))</f>
        <v/>
      </c>
      <c r="E921" s="23"/>
      <c r="F921" s="4" t="str">
        <f>IF(G921=$L921,1,IF(G921="","",0))</f>
        <v/>
      </c>
      <c r="G921" s="14"/>
      <c r="H921" s="6">
        <v>2746</v>
      </c>
      <c r="I921" s="15" t="s">
        <v>3120</v>
      </c>
      <c r="J921" s="6" t="s">
        <v>5792</v>
      </c>
      <c r="K921" s="6"/>
      <c r="L921" s="6" t="s">
        <v>2784</v>
      </c>
      <c r="M921" s="6" t="s">
        <v>8850</v>
      </c>
      <c r="N921" s="7">
        <f ca="1">RAND()</f>
        <v>0.42811090557319187</v>
      </c>
      <c r="O921" s="8">
        <v>45221</v>
      </c>
      <c r="P921" s="8">
        <v>45222</v>
      </c>
      <c r="Q921" s="8">
        <v>45224</v>
      </c>
      <c r="R921" s="8">
        <v>45228</v>
      </c>
      <c r="S921" s="8">
        <v>45235</v>
      </c>
      <c r="T921" s="8">
        <v>45811</v>
      </c>
      <c r="U921" s="8"/>
      <c r="V921" s="10">
        <f>COUNTA(O921:U921)</f>
        <v>6</v>
      </c>
      <c r="W921" s="11">
        <f>_xlfn.IFNA(INDEX(reading[[#This Row],[Memo 01]:[Memo 07]],MATCH(0,reading[[#This Row],[Memo 01]:[Memo 07]],-1)),"")</f>
        <v>45811</v>
      </c>
      <c r="X921" s="11">
        <f ca="1">IFERROR(reading[[#This Row],[Previous]]+OFFSET(reading[[#Headers],[Memo 01]],-1,MATCH(0,reading[[#This Row],[Memo 01]:[Memo 07]],-1)-1),"")</f>
        <v>45831</v>
      </c>
      <c r="Y921" s="10" t="str">
        <f ca="1">IF(reading[[#This Row],[Next]]&lt;&gt;"",IF(reading[[#This Row],[Next]]&gt;TODAY(),"OK",""),"")</f>
        <v/>
      </c>
      <c r="Z921" s="13">
        <v>3</v>
      </c>
      <c r="AA921" s="13">
        <v>3</v>
      </c>
      <c r="AB921" s="13">
        <v>3</v>
      </c>
      <c r="AC921" s="13">
        <v>3</v>
      </c>
      <c r="AD921" s="13">
        <v>3</v>
      </c>
      <c r="AE921" s="13">
        <v>2</v>
      </c>
      <c r="AF921" s="13"/>
      <c r="AG921" s="16">
        <f>IFERROR(SUMIF(reading[[#This Row],[1st]:[7th]],"&gt;0")/COUNTIF(reading[[#This Row],[1st]:[7th]],"&gt;0"),"")</f>
        <v>2.8333333333333335</v>
      </c>
    </row>
    <row r="922" spans="1:33" hidden="1" x14ac:dyDescent="0.2">
      <c r="A922" s="4">
        <f>IF(B922=1,3,IF(D922=1,2,IF(F922=1,1,0)))</f>
        <v>0</v>
      </c>
      <c r="B922" s="4" t="str">
        <f>IF(C922=$L922,1,IF(C922="","",0))</f>
        <v/>
      </c>
      <c r="C922" s="42"/>
      <c r="D922" s="4" t="str">
        <f>IF(E922=$L922,1,IF(E922="","",0))</f>
        <v/>
      </c>
      <c r="E922" s="14"/>
      <c r="F922" s="4" t="str">
        <f>IF(G922=$L922,1,IF(G922="","",0))</f>
        <v/>
      </c>
      <c r="G922" s="14"/>
      <c r="H922" s="6">
        <v>1498</v>
      </c>
      <c r="I922" s="15" t="s">
        <v>3120</v>
      </c>
      <c r="J922" s="6" t="s">
        <v>4612</v>
      </c>
      <c r="K922" s="6"/>
      <c r="L922" s="6" t="s">
        <v>1584</v>
      </c>
      <c r="M922" s="6" t="s">
        <v>7605</v>
      </c>
      <c r="N922" s="7">
        <f ca="1">RAND()</f>
        <v>0.5228855047904285</v>
      </c>
      <c r="O922" s="8">
        <v>45208</v>
      </c>
      <c r="P922" s="8">
        <v>45209</v>
      </c>
      <c r="Q922" s="8">
        <v>45211</v>
      </c>
      <c r="R922" s="8">
        <v>45215</v>
      </c>
      <c r="S922" s="8">
        <v>45222</v>
      </c>
      <c r="T922" s="8">
        <v>45234</v>
      </c>
      <c r="U922" s="8">
        <v>45824</v>
      </c>
      <c r="V922" s="10">
        <f>COUNTA(O922:U922)</f>
        <v>7</v>
      </c>
      <c r="W922" s="11">
        <f>_xlfn.IFNA(INDEX(reading[[#This Row],[Memo 01]:[Memo 07]],MATCH(0,reading[[#This Row],[Memo 01]:[Memo 07]],-1)),"")</f>
        <v>45824</v>
      </c>
      <c r="X922" s="11">
        <f ca="1">IFERROR(reading[[#This Row],[Previous]]+OFFSET(reading[[#Headers],[Memo 01]],-1,MATCH(0,reading[[#This Row],[Memo 01]:[Memo 07]],-1)-1),"")</f>
        <v>55824</v>
      </c>
      <c r="Y922" s="10" t="str">
        <f ca="1">IF(reading[[#This Row],[Next]]&lt;&gt;"",IF(reading[[#This Row],[Next]]&gt;TODAY(),"OK",""),"")</f>
        <v>OK</v>
      </c>
      <c r="Z922" s="13">
        <v>3</v>
      </c>
      <c r="AA922" s="13">
        <v>3</v>
      </c>
      <c r="AB922" s="13">
        <v>3</v>
      </c>
      <c r="AC922" s="13">
        <v>3</v>
      </c>
      <c r="AD922" s="13">
        <v>3</v>
      </c>
      <c r="AE922" s="13">
        <v>3</v>
      </c>
      <c r="AF922" s="13">
        <v>3</v>
      </c>
      <c r="AG922" s="16">
        <f>IFERROR(SUMIF(reading[[#This Row],[1st]:[7th]],"&gt;0")/COUNTIF(reading[[#This Row],[1st]:[7th]],"&gt;0"),"")</f>
        <v>3</v>
      </c>
    </row>
    <row r="923" spans="1:33" hidden="1" x14ac:dyDescent="0.2">
      <c r="A923" s="4">
        <f>IF(B923=1,3,IF(D923=1,2,IF(F923=1,1,0)))</f>
        <v>0</v>
      </c>
      <c r="B923" s="4" t="str">
        <f>IF(C923=$L923,1,IF(C923="","",0))</f>
        <v/>
      </c>
      <c r="C923" s="42"/>
      <c r="D923" s="4" t="str">
        <f>IF(E923=$L923,1,IF(E923="","",0))</f>
        <v/>
      </c>
      <c r="E923" s="18"/>
      <c r="F923" s="4" t="str">
        <f>IF(G923=$L923,1,IF(G923="","",0))</f>
        <v/>
      </c>
      <c r="G923" s="14"/>
      <c r="H923" s="6">
        <v>1469</v>
      </c>
      <c r="I923" s="15" t="s">
        <v>3120</v>
      </c>
      <c r="J923" s="6" t="s">
        <v>4583</v>
      </c>
      <c r="K923" s="6"/>
      <c r="L923" s="6" t="s">
        <v>1556</v>
      </c>
      <c r="M923" s="6" t="s">
        <v>7576</v>
      </c>
      <c r="N923" s="7">
        <f ca="1">RAND()</f>
        <v>0.55544463914256692</v>
      </c>
      <c r="O923" s="8">
        <v>45208</v>
      </c>
      <c r="P923" s="8">
        <v>45209</v>
      </c>
      <c r="Q923" s="8">
        <v>45211</v>
      </c>
      <c r="R923" s="8">
        <v>45215</v>
      </c>
      <c r="S923" s="8">
        <v>45222</v>
      </c>
      <c r="T923" s="8">
        <v>45234</v>
      </c>
      <c r="U923" s="8">
        <v>45801</v>
      </c>
      <c r="V923" s="10">
        <f>COUNTA(O923:U923)</f>
        <v>7</v>
      </c>
      <c r="W923" s="11">
        <f>_xlfn.IFNA(INDEX(reading[[#This Row],[Memo 01]:[Memo 07]],MATCH(0,reading[[#This Row],[Memo 01]:[Memo 07]],-1)),"")</f>
        <v>45801</v>
      </c>
      <c r="X923" s="11">
        <f ca="1">IFERROR(reading[[#This Row],[Previous]]+OFFSET(reading[[#Headers],[Memo 01]],-1,MATCH(0,reading[[#This Row],[Memo 01]:[Memo 07]],-1)-1),"")</f>
        <v>55801</v>
      </c>
      <c r="Y923" s="10" t="str">
        <f ca="1">IF(reading[[#This Row],[Next]]&lt;&gt;"",IF(reading[[#This Row],[Next]]&gt;TODAY(),"OK",""),"")</f>
        <v>OK</v>
      </c>
      <c r="Z923" s="13">
        <v>3</v>
      </c>
      <c r="AA923" s="13">
        <v>3</v>
      </c>
      <c r="AB923" s="13">
        <v>3</v>
      </c>
      <c r="AC923" s="13">
        <v>3</v>
      </c>
      <c r="AD923" s="13">
        <v>2</v>
      </c>
      <c r="AE923" s="13">
        <v>3</v>
      </c>
      <c r="AF923" s="13">
        <v>3</v>
      </c>
      <c r="AG923" s="16">
        <f>IFERROR(SUMIF(reading[[#This Row],[1st]:[7th]],"&gt;0")/COUNTIF(reading[[#This Row],[1st]:[7th]],"&gt;0"),"")</f>
        <v>2.8571428571428572</v>
      </c>
    </row>
    <row r="924" spans="1:33" hidden="1" x14ac:dyDescent="0.2">
      <c r="A924" s="4">
        <f>IF(B924=1,3,IF(D924=1,2,IF(F924=1,1,0)))</f>
        <v>0</v>
      </c>
      <c r="B924" s="4" t="str">
        <f>IF(C924=$L924,1,IF(C924="","",0))</f>
        <v/>
      </c>
      <c r="C924" s="42"/>
      <c r="D924" s="4" t="str">
        <f>IF(E924=$L924,1,IF(E924="","",0))</f>
        <v/>
      </c>
      <c r="E924" s="14"/>
      <c r="F924" s="4" t="str">
        <f>IF(G924=$L924,1,IF(G924="","",0))</f>
        <v/>
      </c>
      <c r="G924" s="14"/>
      <c r="H924" s="6">
        <v>479</v>
      </c>
      <c r="I924" s="15" t="s">
        <v>3120</v>
      </c>
      <c r="J924" s="6" t="s">
        <v>3625</v>
      </c>
      <c r="K924" s="6"/>
      <c r="L924" s="6" t="s">
        <v>117</v>
      </c>
      <c r="M924" s="6" t="s">
        <v>6588</v>
      </c>
      <c r="N924" s="7">
        <f ca="1">RAND()</f>
        <v>0.38434964059614429</v>
      </c>
      <c r="O924" s="8">
        <v>45202</v>
      </c>
      <c r="P924" s="8">
        <v>45203</v>
      </c>
      <c r="Q924" s="8">
        <v>45205</v>
      </c>
      <c r="R924" s="8">
        <v>45209</v>
      </c>
      <c r="S924" s="8">
        <v>45216</v>
      </c>
      <c r="T924" s="8">
        <v>45228</v>
      </c>
      <c r="U924" s="8">
        <v>45792</v>
      </c>
      <c r="V924" s="10">
        <f>COUNTA(O924:U924)</f>
        <v>7</v>
      </c>
      <c r="W924" s="11">
        <f>_xlfn.IFNA(INDEX(reading[[#This Row],[Memo 01]:[Memo 07]],MATCH(0,reading[[#This Row],[Memo 01]:[Memo 07]],-1)),"")</f>
        <v>45792</v>
      </c>
      <c r="X924" s="11">
        <f ca="1">IFERROR(reading[[#This Row],[Previous]]+OFFSET(reading[[#Headers],[Memo 01]],-1,MATCH(0,reading[[#This Row],[Memo 01]:[Memo 07]],-1)-1),"")</f>
        <v>55792</v>
      </c>
      <c r="Y924" s="10" t="str">
        <f ca="1">IF(reading[[#This Row],[Next]]&lt;&gt;"",IF(reading[[#This Row],[Next]]&gt;TODAY(),"OK",""),"")</f>
        <v>OK</v>
      </c>
      <c r="Z924" s="13">
        <v>3</v>
      </c>
      <c r="AA924" s="13">
        <v>3</v>
      </c>
      <c r="AB924" s="13">
        <v>3</v>
      </c>
      <c r="AC924" s="13">
        <v>3</v>
      </c>
      <c r="AD924" s="13">
        <v>3</v>
      </c>
      <c r="AE924" s="13">
        <v>3</v>
      </c>
      <c r="AF924" s="13">
        <v>3</v>
      </c>
      <c r="AG924" s="16">
        <f>IFERROR(SUMIF(reading[[#This Row],[1st]:[7th]],"&gt;0")/COUNTIF(reading[[#This Row],[1st]:[7th]],"&gt;0"),"")</f>
        <v>3</v>
      </c>
    </row>
    <row r="925" spans="1:33" hidden="1" x14ac:dyDescent="0.2">
      <c r="A925" s="4">
        <f>IF(B925=1,3,IF(D925=1,2,IF(F925=1,1,0)))</f>
        <v>0</v>
      </c>
      <c r="B925" s="4" t="str">
        <f>IF(C925=$L925,1,IF(C925="","",0))</f>
        <v/>
      </c>
      <c r="C925" s="42"/>
      <c r="D925" s="4" t="str">
        <f>IF(E925=$L925,1,IF(E925="","",0))</f>
        <v/>
      </c>
      <c r="E925" s="18"/>
      <c r="F925" s="4" t="str">
        <f>IF(G925=$L925,1,IF(G925="","",0))</f>
        <v/>
      </c>
      <c r="G925" s="14"/>
      <c r="H925" s="6">
        <v>1597</v>
      </c>
      <c r="I925" s="15" t="s">
        <v>3120</v>
      </c>
      <c r="J925" s="6" t="s">
        <v>4709</v>
      </c>
      <c r="K925" s="15" t="s">
        <v>3138</v>
      </c>
      <c r="L925" s="6" t="s">
        <v>1680</v>
      </c>
      <c r="M925" s="6" t="s">
        <v>7703</v>
      </c>
      <c r="N925" s="7">
        <f ca="1">RAND()</f>
        <v>0.58124528334371039</v>
      </c>
      <c r="O925" s="8">
        <v>45209</v>
      </c>
      <c r="P925" s="8">
        <v>45210</v>
      </c>
      <c r="Q925" s="8">
        <v>45213</v>
      </c>
      <c r="R925" s="8">
        <v>45217</v>
      </c>
      <c r="S925" s="8">
        <v>45224</v>
      </c>
      <c r="T925" s="8">
        <v>45236</v>
      </c>
      <c r="U925" s="8">
        <v>45792</v>
      </c>
      <c r="V925" s="10">
        <f>COUNTA(O925:U925)</f>
        <v>7</v>
      </c>
      <c r="W925" s="11">
        <f>_xlfn.IFNA(INDEX(reading[[#This Row],[Memo 01]:[Memo 07]],MATCH(0,reading[[#This Row],[Memo 01]:[Memo 07]],-1)),"")</f>
        <v>45792</v>
      </c>
      <c r="X925" s="11">
        <f ca="1">IFERROR(reading[[#This Row],[Previous]]+OFFSET(reading[[#Headers],[Memo 01]],-1,MATCH(0,reading[[#This Row],[Memo 01]:[Memo 07]],-1)-1),"")</f>
        <v>55792</v>
      </c>
      <c r="Y925" s="10" t="str">
        <f ca="1">IF(reading[[#This Row],[Next]]&lt;&gt;"",IF(reading[[#This Row],[Next]]&gt;TODAY(),"OK",""),"")</f>
        <v>OK</v>
      </c>
      <c r="Z925" s="13">
        <v>3</v>
      </c>
      <c r="AA925" s="13">
        <v>3</v>
      </c>
      <c r="AB925" s="13">
        <v>2</v>
      </c>
      <c r="AC925" s="13">
        <v>2</v>
      </c>
      <c r="AD925" s="13">
        <v>2</v>
      </c>
      <c r="AE925" s="13">
        <v>3</v>
      </c>
      <c r="AF925" s="13">
        <v>3</v>
      </c>
      <c r="AG925" s="16">
        <f>IFERROR(SUMIF(reading[[#This Row],[1st]:[7th]],"&gt;0")/COUNTIF(reading[[#This Row],[1st]:[7th]],"&gt;0"),"")</f>
        <v>2.5714285714285716</v>
      </c>
    </row>
    <row r="926" spans="1:33" hidden="1" x14ac:dyDescent="0.2">
      <c r="A926" s="4">
        <f>IF(B926=1,3,IF(D926=1,2,IF(F926=1,1,0)))</f>
        <v>0</v>
      </c>
      <c r="B926" s="4" t="str">
        <f>IF(C926=$L926,1,IF(C926="","",0))</f>
        <v/>
      </c>
      <c r="C926" s="42"/>
      <c r="D926" s="4" t="str">
        <f>IF(E926=$L926,1,IF(E926="","",0))</f>
        <v/>
      </c>
      <c r="E926" s="14"/>
      <c r="F926" s="4" t="str">
        <f>IF(G926=$L926,1,IF(G926="","",0))</f>
        <v/>
      </c>
      <c r="G926" s="14"/>
      <c r="H926" s="6">
        <v>1684</v>
      </c>
      <c r="I926" s="15" t="s">
        <v>3120</v>
      </c>
      <c r="J926" s="6" t="s">
        <v>4794</v>
      </c>
      <c r="K926" s="6"/>
      <c r="L926" s="6" t="s">
        <v>1764</v>
      </c>
      <c r="M926" s="6" t="s">
        <v>7790</v>
      </c>
      <c r="N926" s="7">
        <f ca="1">RAND()</f>
        <v>0.8675156934026832</v>
      </c>
      <c r="O926" s="8">
        <v>45210</v>
      </c>
      <c r="P926" s="8">
        <v>45211</v>
      </c>
      <c r="Q926" s="8">
        <v>45213</v>
      </c>
      <c r="R926" s="8">
        <v>45217</v>
      </c>
      <c r="S926" s="8">
        <v>45224</v>
      </c>
      <c r="T926" s="8">
        <v>45236</v>
      </c>
      <c r="U926" s="8">
        <v>45792</v>
      </c>
      <c r="V926" s="10">
        <f>COUNTA(O926:U926)</f>
        <v>7</v>
      </c>
      <c r="W926" s="11">
        <f>_xlfn.IFNA(INDEX(reading[[#This Row],[Memo 01]:[Memo 07]],MATCH(0,reading[[#This Row],[Memo 01]:[Memo 07]],-1)),"")</f>
        <v>45792</v>
      </c>
      <c r="X926" s="11">
        <f ca="1">IFERROR(reading[[#This Row],[Previous]]+OFFSET(reading[[#Headers],[Memo 01]],-1,MATCH(0,reading[[#This Row],[Memo 01]:[Memo 07]],-1)-1),"")</f>
        <v>55792</v>
      </c>
      <c r="Y926" s="10" t="str">
        <f ca="1">IF(reading[[#This Row],[Next]]&lt;&gt;"",IF(reading[[#This Row],[Next]]&gt;TODAY(),"OK",""),"")</f>
        <v>OK</v>
      </c>
      <c r="Z926" s="13">
        <v>3</v>
      </c>
      <c r="AA926" s="13">
        <v>3</v>
      </c>
      <c r="AB926" s="13">
        <v>3</v>
      </c>
      <c r="AC926" s="13">
        <v>3</v>
      </c>
      <c r="AD926" s="13">
        <v>3</v>
      </c>
      <c r="AE926" s="13">
        <v>3</v>
      </c>
      <c r="AF926" s="13">
        <v>3</v>
      </c>
      <c r="AG926" s="16">
        <f>IFERROR(SUMIF(reading[[#This Row],[1st]:[7th]],"&gt;0")/COUNTIF(reading[[#This Row],[1st]:[7th]],"&gt;0"),"")</f>
        <v>3</v>
      </c>
    </row>
    <row r="927" spans="1:33" hidden="1" x14ac:dyDescent="0.2">
      <c r="A927" s="4">
        <f>IF(B927=1,3,IF(D927=1,2,IF(F927=1,1,0)))</f>
        <v>3</v>
      </c>
      <c r="B927" s="4">
        <f>IF(C927=$L927,1,IF(C927="","",0))</f>
        <v>1</v>
      </c>
      <c r="C927" s="22" t="s">
        <v>1042</v>
      </c>
      <c r="D927" s="4" t="str">
        <f>IF(E927=$L927,1,IF(E927="","",0))</f>
        <v/>
      </c>
      <c r="E927" s="14"/>
      <c r="F927" s="4" t="str">
        <f>IF(G927=$L927,1,IF(G927="","",0))</f>
        <v/>
      </c>
      <c r="G927" s="14"/>
      <c r="H927" s="6">
        <v>931</v>
      </c>
      <c r="I927" s="15" t="s">
        <v>3120</v>
      </c>
      <c r="J927" s="6" t="s">
        <v>4062</v>
      </c>
      <c r="K927" s="6"/>
      <c r="L927" s="6" t="s">
        <v>1042</v>
      </c>
      <c r="M927" s="6" t="s">
        <v>7039</v>
      </c>
      <c r="N927" s="7">
        <f ca="1">RAND()</f>
        <v>0.59111852023055234</v>
      </c>
      <c r="O927" s="8">
        <v>45204</v>
      </c>
      <c r="P927" s="8">
        <v>45204</v>
      </c>
      <c r="Q927" s="8">
        <v>45204</v>
      </c>
      <c r="R927" s="8">
        <v>45204</v>
      </c>
      <c r="S927" s="8">
        <v>45204</v>
      </c>
      <c r="T927" s="8">
        <v>45204</v>
      </c>
      <c r="U927" s="8">
        <v>45204</v>
      </c>
      <c r="V927" s="10">
        <f>COUNTA(O927:U927)</f>
        <v>7</v>
      </c>
      <c r="W927" s="11">
        <f>_xlfn.IFNA(INDEX(reading[[#This Row],[Memo 01]:[Memo 07]],MATCH(0,reading[[#This Row],[Memo 01]:[Memo 07]],-1)),"")</f>
        <v>45204</v>
      </c>
      <c r="X927" s="11">
        <f ca="1">IFERROR(reading[[#This Row],[Previous]]+OFFSET(reading[[#Headers],[Memo 01]],-1,MATCH(0,reading[[#This Row],[Memo 01]:[Memo 07]],-1)-1),"")</f>
        <v>55204</v>
      </c>
      <c r="Y927" s="10" t="str">
        <f ca="1">IF(reading[[#This Row],[Next]]&lt;&gt;"",IF(reading[[#This Row],[Next]]&gt;TODAY(),"OK",""),"")</f>
        <v>OK</v>
      </c>
      <c r="Z927" s="13">
        <v>3</v>
      </c>
      <c r="AA927" s="13"/>
      <c r="AB927" s="13"/>
      <c r="AC927" s="13"/>
      <c r="AD927" s="13"/>
      <c r="AE927" s="13"/>
      <c r="AF927" s="13"/>
      <c r="AG927" s="16">
        <f>IFERROR(SUMIF(reading[[#This Row],[1st]:[7th]],"&gt;0")/COUNTIF(reading[[#This Row],[1st]:[7th]],"&gt;0"),"")</f>
        <v>3</v>
      </c>
    </row>
    <row r="928" spans="1:33" hidden="1" x14ac:dyDescent="0.2">
      <c r="A928" s="4">
        <f>IF(B928=1,3,IF(D928=1,2,IF(F928=1,1,0)))</f>
        <v>0</v>
      </c>
      <c r="B928" s="4" t="str">
        <f>IF(C928=$L928,1,IF(C928="","",0))</f>
        <v/>
      </c>
      <c r="C928" s="42"/>
      <c r="D928" s="4" t="str">
        <f>IF(E928=$L928,1,IF(E928="","",0))</f>
        <v/>
      </c>
      <c r="E928" s="14"/>
      <c r="F928" s="4" t="str">
        <f>IF(G928=$L928,1,IF(G928="","",0))</f>
        <v/>
      </c>
      <c r="G928" s="14"/>
      <c r="H928" s="6">
        <v>992</v>
      </c>
      <c r="I928" s="15" t="s">
        <v>3120</v>
      </c>
      <c r="J928" s="6" t="s">
        <v>4121</v>
      </c>
      <c r="K928" s="6"/>
      <c r="L928" s="6" t="s">
        <v>1102</v>
      </c>
      <c r="M928" s="6" t="s">
        <v>7100</v>
      </c>
      <c r="N928" s="7">
        <f ca="1">RAND()</f>
        <v>0.43286977172844743</v>
      </c>
      <c r="O928" s="8">
        <v>45204</v>
      </c>
      <c r="P928" s="8">
        <v>45205</v>
      </c>
      <c r="Q928" s="8">
        <v>45207</v>
      </c>
      <c r="R928" s="8">
        <v>45211</v>
      </c>
      <c r="S928" s="8">
        <v>45218</v>
      </c>
      <c r="T928" s="8">
        <v>45230</v>
      </c>
      <c r="U928" s="8">
        <v>45801</v>
      </c>
      <c r="V928" s="10">
        <f>COUNTA(O928:U928)</f>
        <v>7</v>
      </c>
      <c r="W928" s="11">
        <f>_xlfn.IFNA(INDEX(reading[[#This Row],[Memo 01]:[Memo 07]],MATCH(0,reading[[#This Row],[Memo 01]:[Memo 07]],-1)),"")</f>
        <v>45801</v>
      </c>
      <c r="X928" s="11">
        <f ca="1">IFERROR(reading[[#This Row],[Previous]]+OFFSET(reading[[#Headers],[Memo 01]],-1,MATCH(0,reading[[#This Row],[Memo 01]:[Memo 07]],-1)-1),"")</f>
        <v>55801</v>
      </c>
      <c r="Y928" s="10" t="str">
        <f ca="1">IF(reading[[#This Row],[Next]]&lt;&gt;"",IF(reading[[#This Row],[Next]]&gt;TODAY(),"OK",""),"")</f>
        <v>OK</v>
      </c>
      <c r="Z928" s="13">
        <v>3</v>
      </c>
      <c r="AA928" s="13">
        <v>3</v>
      </c>
      <c r="AB928" s="13">
        <v>3</v>
      </c>
      <c r="AC928" s="13">
        <v>3</v>
      </c>
      <c r="AD928" s="13">
        <v>3</v>
      </c>
      <c r="AE928" s="13">
        <v>3</v>
      </c>
      <c r="AF928" s="13">
        <v>3</v>
      </c>
      <c r="AG928" s="16">
        <f>IFERROR(SUMIF(reading[[#This Row],[1st]:[7th]],"&gt;0")/COUNTIF(reading[[#This Row],[1st]:[7th]],"&gt;0"),"")</f>
        <v>3</v>
      </c>
    </row>
    <row r="929" spans="1:33" hidden="1" x14ac:dyDescent="0.2">
      <c r="A929" s="4">
        <f>IF(B929=1,3,IF(D929=1,2,IF(F929=1,1,0)))</f>
        <v>0</v>
      </c>
      <c r="B929" s="4" t="str">
        <f>IF(C929=$L929,1,IF(C929="","",0))</f>
        <v/>
      </c>
      <c r="C929" s="42"/>
      <c r="D929" s="4" t="str">
        <f>IF(E929=$L929,1,IF(E929="","",0))</f>
        <v/>
      </c>
      <c r="E929" s="18"/>
      <c r="F929" s="4" t="str">
        <f>IF(G929=$L929,1,IF(G929="","",0))</f>
        <v/>
      </c>
      <c r="G929" s="14"/>
      <c r="H929" s="6">
        <v>991</v>
      </c>
      <c r="I929" s="15" t="s">
        <v>3120</v>
      </c>
      <c r="J929" s="6" t="s">
        <v>4120</v>
      </c>
      <c r="K929" s="6"/>
      <c r="L929" s="6" t="s">
        <v>1101</v>
      </c>
      <c r="M929" s="6" t="s">
        <v>7099</v>
      </c>
      <c r="N929" s="7">
        <f ca="1">RAND()</f>
        <v>0.16645856737668874</v>
      </c>
      <c r="O929" s="8">
        <v>45204</v>
      </c>
      <c r="P929" s="8">
        <v>45205</v>
      </c>
      <c r="Q929" s="8">
        <v>45207</v>
      </c>
      <c r="R929" s="8">
        <v>45211</v>
      </c>
      <c r="S929" s="8">
        <v>45218</v>
      </c>
      <c r="T929" s="8">
        <v>45230</v>
      </c>
      <c r="U929" s="8">
        <v>45253</v>
      </c>
      <c r="V929" s="10">
        <f>COUNTA(O929:U929)</f>
        <v>7</v>
      </c>
      <c r="W929" s="11">
        <f>_xlfn.IFNA(INDEX(reading[[#This Row],[Memo 01]:[Memo 07]],MATCH(0,reading[[#This Row],[Memo 01]:[Memo 07]],-1)),"")</f>
        <v>45253</v>
      </c>
      <c r="X929" s="11">
        <f ca="1">IFERROR(reading[[#This Row],[Previous]]+OFFSET(reading[[#Headers],[Memo 01]],-1,MATCH(0,reading[[#This Row],[Memo 01]:[Memo 07]],-1)-1),"")</f>
        <v>55253</v>
      </c>
      <c r="Y929" s="10" t="str">
        <f ca="1">IF(reading[[#This Row],[Next]]&lt;&gt;"",IF(reading[[#This Row],[Next]]&gt;TODAY(),"OK",""),"")</f>
        <v>OK</v>
      </c>
      <c r="Z929" s="13">
        <v>3</v>
      </c>
      <c r="AA929" s="13">
        <v>3</v>
      </c>
      <c r="AB929" s="13">
        <v>3</v>
      </c>
      <c r="AC929" s="13">
        <v>3</v>
      </c>
      <c r="AD929" s="13">
        <v>2</v>
      </c>
      <c r="AE929" s="13">
        <v>2</v>
      </c>
      <c r="AF929" s="13">
        <v>2</v>
      </c>
      <c r="AG929" s="16">
        <f>IFERROR(SUMIF(reading[[#This Row],[1st]:[7th]],"&gt;0")/COUNTIF(reading[[#This Row],[1st]:[7th]],"&gt;0"),"")</f>
        <v>2.5714285714285716</v>
      </c>
    </row>
    <row r="930" spans="1:33" hidden="1" x14ac:dyDescent="0.2">
      <c r="A930" s="4">
        <f>IF(B930=1,3,IF(D930=1,2,IF(F930=1,1,0)))</f>
        <v>0</v>
      </c>
      <c r="B930" s="4" t="str">
        <f>IF(C930=$L930,1,IF(C930="","",0))</f>
        <v/>
      </c>
      <c r="C930" s="42"/>
      <c r="D930" s="4" t="str">
        <f>IF(E930=$L930,1,IF(E930="","",0))</f>
        <v/>
      </c>
      <c r="E930" s="43"/>
      <c r="F930" s="4" t="str">
        <f>IF(G930=$L930,1,IF(G930="","",0))</f>
        <v/>
      </c>
      <c r="G930" s="23"/>
      <c r="H930" s="6">
        <v>2969</v>
      </c>
      <c r="I930" s="15" t="s">
        <v>3120</v>
      </c>
      <c r="J930" s="6" t="s">
        <v>5999</v>
      </c>
      <c r="K930" s="6"/>
      <c r="L930" s="6" t="s">
        <v>2998</v>
      </c>
      <c r="M930" s="6" t="s">
        <v>9073</v>
      </c>
      <c r="N930" s="7">
        <f ca="1">RAND()</f>
        <v>0.17613109259861093</v>
      </c>
      <c r="O930" s="8">
        <v>45223</v>
      </c>
      <c r="P930" s="8">
        <v>45224</v>
      </c>
      <c r="Q930" s="8">
        <v>45226</v>
      </c>
      <c r="R930" s="8">
        <v>45230</v>
      </c>
      <c r="S930" s="8">
        <v>45237</v>
      </c>
      <c r="T930" s="8">
        <v>45811</v>
      </c>
      <c r="U930" s="8"/>
      <c r="V930" s="10">
        <f>COUNTA(O930:U930)</f>
        <v>6</v>
      </c>
      <c r="W930" s="11">
        <f>_xlfn.IFNA(INDEX(reading[[#This Row],[Memo 01]:[Memo 07]],MATCH(0,reading[[#This Row],[Memo 01]:[Memo 07]],-1)),"")</f>
        <v>45811</v>
      </c>
      <c r="X930" s="11">
        <f ca="1">IFERROR(reading[[#This Row],[Previous]]+OFFSET(reading[[#Headers],[Memo 01]],-1,MATCH(0,reading[[#This Row],[Memo 01]:[Memo 07]],-1)-1),"")</f>
        <v>45831</v>
      </c>
      <c r="Y930" s="10" t="str">
        <f ca="1">IF(reading[[#This Row],[Next]]&lt;&gt;"",IF(reading[[#This Row],[Next]]&gt;TODAY(),"OK",""),"")</f>
        <v/>
      </c>
      <c r="Z930" s="13">
        <v>3</v>
      </c>
      <c r="AA930" s="13">
        <v>3</v>
      </c>
      <c r="AB930" s="13">
        <v>3</v>
      </c>
      <c r="AC930" s="13">
        <v>2</v>
      </c>
      <c r="AD930" s="13">
        <v>3</v>
      </c>
      <c r="AE930" s="13">
        <v>1</v>
      </c>
      <c r="AF930" s="13"/>
      <c r="AG930" s="16">
        <f>IFERROR(SUMIF(reading[[#This Row],[1st]:[7th]],"&gt;0")/COUNTIF(reading[[#This Row],[1st]:[7th]],"&gt;0"),"")</f>
        <v>2.5</v>
      </c>
    </row>
    <row r="931" spans="1:33" hidden="1" x14ac:dyDescent="0.2">
      <c r="A931" s="4">
        <f>IF(B931=1,3,IF(D931=1,2,IF(F931=1,1,0)))</f>
        <v>0</v>
      </c>
      <c r="B931" s="4" t="str">
        <f>IF(C931=$L931,1,IF(C931="","",0))</f>
        <v/>
      </c>
      <c r="C931" s="42"/>
      <c r="D931" s="4" t="str">
        <f>IF(E931=$L931,1,IF(E931="","",0))</f>
        <v/>
      </c>
      <c r="E931" s="18"/>
      <c r="F931" s="4" t="str">
        <f>IF(G931=$L931,1,IF(G931="","",0))</f>
        <v/>
      </c>
      <c r="G931" s="18"/>
      <c r="H931" s="6">
        <v>1056</v>
      </c>
      <c r="I931" s="15" t="s">
        <v>3120</v>
      </c>
      <c r="J931" s="6" t="s">
        <v>4183</v>
      </c>
      <c r="K931" s="6"/>
      <c r="L931" s="6" t="s">
        <v>1164</v>
      </c>
      <c r="M931" s="6" t="s">
        <v>7164</v>
      </c>
      <c r="N931" s="7">
        <f ca="1">RAND()</f>
        <v>0.95476008467013174</v>
      </c>
      <c r="O931" s="8">
        <v>45205</v>
      </c>
      <c r="P931" s="8">
        <v>45206</v>
      </c>
      <c r="Q931" s="8">
        <v>45208</v>
      </c>
      <c r="R931" s="8">
        <v>45212</v>
      </c>
      <c r="S931" s="8">
        <v>45219</v>
      </c>
      <c r="T931" s="8">
        <v>45232</v>
      </c>
      <c r="U931" s="8">
        <v>45253</v>
      </c>
      <c r="V931" s="10">
        <f>COUNTA(O931:U931)</f>
        <v>7</v>
      </c>
      <c r="W931" s="11">
        <f>_xlfn.IFNA(INDEX(reading[[#This Row],[Memo 01]:[Memo 07]],MATCH(0,reading[[#This Row],[Memo 01]:[Memo 07]],-1)),"")</f>
        <v>45253</v>
      </c>
      <c r="X931" s="11">
        <f ca="1">IFERROR(reading[[#This Row],[Previous]]+OFFSET(reading[[#Headers],[Memo 01]],-1,MATCH(0,reading[[#This Row],[Memo 01]:[Memo 07]],-1)-1),"")</f>
        <v>55253</v>
      </c>
      <c r="Y931" s="10" t="str">
        <f ca="1">IF(reading[[#This Row],[Next]]&lt;&gt;"",IF(reading[[#This Row],[Next]]&gt;TODAY(),"OK",""),"")</f>
        <v>OK</v>
      </c>
      <c r="Z931" s="13">
        <v>3</v>
      </c>
      <c r="AA931" s="13">
        <v>3</v>
      </c>
      <c r="AB931" s="13">
        <v>2</v>
      </c>
      <c r="AC931" s="13">
        <v>3</v>
      </c>
      <c r="AD931" s="13">
        <v>1</v>
      </c>
      <c r="AE931" s="13">
        <v>1</v>
      </c>
      <c r="AF931" s="13">
        <v>2</v>
      </c>
      <c r="AG931" s="16">
        <f>IFERROR(SUMIF(reading[[#This Row],[1st]:[7th]],"&gt;0")/COUNTIF(reading[[#This Row],[1st]:[7th]],"&gt;0"),"")</f>
        <v>2.1428571428571428</v>
      </c>
    </row>
    <row r="932" spans="1:33" hidden="1" x14ac:dyDescent="0.2">
      <c r="A932" s="4">
        <f>IF(B932=1,3,IF(D932=1,2,IF(F932=1,1,0)))</f>
        <v>0</v>
      </c>
      <c r="B932" s="4" t="str">
        <f>IF(C932=$L932,1,IF(C932="","",0))</f>
        <v/>
      </c>
      <c r="C932" s="42"/>
      <c r="D932" s="4" t="str">
        <f>IF(E932=$L932,1,IF(E932="","",0))</f>
        <v/>
      </c>
      <c r="E932" s="14"/>
      <c r="F932" s="4" t="str">
        <f>IF(G932=$L932,1,IF(G932="","",0))</f>
        <v/>
      </c>
      <c r="G932" s="14"/>
      <c r="H932" s="6">
        <v>799</v>
      </c>
      <c r="I932" s="15" t="s">
        <v>3120</v>
      </c>
      <c r="J932" s="6" t="s">
        <v>3933</v>
      </c>
      <c r="K932" s="6"/>
      <c r="L932" s="6" t="s">
        <v>916</v>
      </c>
      <c r="M932" s="6" t="s">
        <v>6908</v>
      </c>
      <c r="N932" s="7">
        <f ca="1">RAND()</f>
        <v>0.25007679467557697</v>
      </c>
      <c r="O932" s="8">
        <v>45203</v>
      </c>
      <c r="P932" s="8">
        <v>45204</v>
      </c>
      <c r="Q932" s="8">
        <v>45206</v>
      </c>
      <c r="R932" s="8">
        <v>45210</v>
      </c>
      <c r="S932" s="8">
        <v>45217</v>
      </c>
      <c r="T932" s="8">
        <v>45229</v>
      </c>
      <c r="U932" s="8">
        <v>45801</v>
      </c>
      <c r="V932" s="10">
        <f>COUNTA(O932:U932)</f>
        <v>7</v>
      </c>
      <c r="W932" s="11">
        <f>_xlfn.IFNA(INDEX(reading[[#This Row],[Memo 01]:[Memo 07]],MATCH(0,reading[[#This Row],[Memo 01]:[Memo 07]],-1)),"")</f>
        <v>45801</v>
      </c>
      <c r="X932" s="11">
        <f ca="1">IFERROR(reading[[#This Row],[Previous]]+OFFSET(reading[[#Headers],[Memo 01]],-1,MATCH(0,reading[[#This Row],[Memo 01]:[Memo 07]],-1)-1),"")</f>
        <v>55801</v>
      </c>
      <c r="Y932" s="10" t="str">
        <f ca="1">IF(reading[[#This Row],[Next]]&lt;&gt;"",IF(reading[[#This Row],[Next]]&gt;TODAY(),"OK",""),"")</f>
        <v>OK</v>
      </c>
      <c r="Z932" s="13">
        <v>3</v>
      </c>
      <c r="AA932" s="13">
        <v>3</v>
      </c>
      <c r="AB932" s="13">
        <v>3</v>
      </c>
      <c r="AC932" s="13">
        <v>3</v>
      </c>
      <c r="AD932" s="13">
        <v>3</v>
      </c>
      <c r="AE932" s="13">
        <v>3</v>
      </c>
      <c r="AF932" s="13">
        <v>3</v>
      </c>
      <c r="AG932" s="16">
        <f>IFERROR(SUMIF(reading[[#This Row],[1st]:[7th]],"&gt;0")/COUNTIF(reading[[#This Row],[1st]:[7th]],"&gt;0"),"")</f>
        <v>3</v>
      </c>
    </row>
    <row r="933" spans="1:33" hidden="1" x14ac:dyDescent="0.2">
      <c r="A933" s="4">
        <f>IF(B933=1,3,IF(D933=1,2,IF(F933=1,1,0)))</f>
        <v>0</v>
      </c>
      <c r="B933" s="4" t="str">
        <f>IF(C933=$L933,1,IF(C933="","",0))</f>
        <v/>
      </c>
      <c r="C933" s="42"/>
      <c r="D933" s="4" t="str">
        <f>IF(E933=$L933,1,IF(E933="","",0))</f>
        <v/>
      </c>
      <c r="E933" s="23"/>
      <c r="F933" s="4" t="str">
        <f>IF(G933=$L933,1,IF(G933="","",0))</f>
        <v/>
      </c>
      <c r="G933" s="23"/>
      <c r="H933" s="6">
        <v>3085</v>
      </c>
      <c r="I933" s="15" t="s">
        <v>3120</v>
      </c>
      <c r="J933" s="6" t="s">
        <v>6104</v>
      </c>
      <c r="K933" s="6"/>
      <c r="L933" s="6" t="s">
        <v>3109</v>
      </c>
      <c r="M933" s="6" t="s">
        <v>9188</v>
      </c>
      <c r="N933" s="7">
        <f ca="1">RAND()</f>
        <v>0.5626219390786662</v>
      </c>
      <c r="O933" s="8">
        <v>45227</v>
      </c>
      <c r="P933" s="8">
        <v>45228</v>
      </c>
      <c r="Q933" s="8">
        <v>45230</v>
      </c>
      <c r="R933" s="8">
        <v>45234</v>
      </c>
      <c r="S933" s="8">
        <v>45249</v>
      </c>
      <c r="T933" s="8">
        <v>45811</v>
      </c>
      <c r="U933" s="8"/>
      <c r="V933" s="10">
        <f>COUNTA(O933:U933)</f>
        <v>6</v>
      </c>
      <c r="W933" s="11">
        <f>_xlfn.IFNA(INDEX(reading[[#This Row],[Memo 01]:[Memo 07]],MATCH(0,reading[[#This Row],[Memo 01]:[Memo 07]],-1)),"")</f>
        <v>45811</v>
      </c>
      <c r="X933" s="11">
        <f ca="1">IFERROR(reading[[#This Row],[Previous]]+OFFSET(reading[[#Headers],[Memo 01]],-1,MATCH(0,reading[[#This Row],[Memo 01]:[Memo 07]],-1)-1),"")</f>
        <v>45831</v>
      </c>
      <c r="Y933" s="10" t="str">
        <f ca="1">IF(reading[[#This Row],[Next]]&lt;&gt;"",IF(reading[[#This Row],[Next]]&gt;TODAY(),"OK",""),"")</f>
        <v/>
      </c>
      <c r="Z933" s="13">
        <v>3</v>
      </c>
      <c r="AA933" s="13">
        <v>3</v>
      </c>
      <c r="AB933" s="13">
        <v>3</v>
      </c>
      <c r="AC933" s="13">
        <v>3</v>
      </c>
      <c r="AD933" s="13">
        <v>3</v>
      </c>
      <c r="AE933" s="13">
        <v>1</v>
      </c>
      <c r="AF933" s="13"/>
      <c r="AG933" s="16">
        <f>IFERROR(SUMIF(reading[[#This Row],[1st]:[7th]],"&gt;0")/COUNTIF(reading[[#This Row],[1st]:[7th]],"&gt;0"),"")</f>
        <v>2.6666666666666665</v>
      </c>
    </row>
    <row r="934" spans="1:33" hidden="1" x14ac:dyDescent="0.2">
      <c r="A934" s="4">
        <f>IF(B934=1,3,IF(D934=1,2,IF(F934=1,1,0)))</f>
        <v>0</v>
      </c>
      <c r="B934" s="4" t="str">
        <f>IF(C934=$L934,1,IF(C934="","",0))</f>
        <v/>
      </c>
      <c r="C934" s="42"/>
      <c r="D934" s="4" t="str">
        <f>IF(E934=$L934,1,IF(E934="","",0))</f>
        <v/>
      </c>
      <c r="E934" s="14"/>
      <c r="F934" s="4" t="str">
        <f>IF(G934=$L934,1,IF(G934="","",0))</f>
        <v/>
      </c>
      <c r="G934" s="14"/>
      <c r="H934" s="6">
        <v>692</v>
      </c>
      <c r="I934" s="15" t="s">
        <v>3120</v>
      </c>
      <c r="J934" s="6" t="s">
        <v>3831</v>
      </c>
      <c r="K934" s="6"/>
      <c r="L934" s="6" t="s">
        <v>815</v>
      </c>
      <c r="M934" s="6" t="s">
        <v>6801</v>
      </c>
      <c r="N934" s="7">
        <f ca="1">RAND()</f>
        <v>0.13812787042011188</v>
      </c>
      <c r="O934" s="8">
        <v>45203</v>
      </c>
      <c r="P934" s="8">
        <v>45204</v>
      </c>
      <c r="Q934" s="8">
        <v>45206</v>
      </c>
      <c r="R934" s="8">
        <v>45210</v>
      </c>
      <c r="S934" s="8">
        <v>45217</v>
      </c>
      <c r="T934" s="8">
        <v>45229</v>
      </c>
      <c r="U934" s="8">
        <v>45801</v>
      </c>
      <c r="V934" s="10">
        <f>COUNTA(O934:U934)</f>
        <v>7</v>
      </c>
      <c r="W934" s="11">
        <f>_xlfn.IFNA(INDEX(reading[[#This Row],[Memo 01]:[Memo 07]],MATCH(0,reading[[#This Row],[Memo 01]:[Memo 07]],-1)),"")</f>
        <v>45801</v>
      </c>
      <c r="X934" s="11">
        <f ca="1">IFERROR(reading[[#This Row],[Previous]]+OFFSET(reading[[#Headers],[Memo 01]],-1,MATCH(0,reading[[#This Row],[Memo 01]:[Memo 07]],-1)-1),"")</f>
        <v>55801</v>
      </c>
      <c r="Y934" s="10" t="str">
        <f ca="1">IF(reading[[#This Row],[Next]]&lt;&gt;"",IF(reading[[#This Row],[Next]]&gt;TODAY(),"OK",""),"")</f>
        <v>OK</v>
      </c>
      <c r="Z934" s="13">
        <v>3</v>
      </c>
      <c r="AA934" s="13">
        <v>3</v>
      </c>
      <c r="AB934" s="13">
        <v>3</v>
      </c>
      <c r="AC934" s="13">
        <v>3</v>
      </c>
      <c r="AD934" s="13">
        <v>3</v>
      </c>
      <c r="AE934" s="13">
        <v>3</v>
      </c>
      <c r="AF934" s="13">
        <v>3</v>
      </c>
      <c r="AG934" s="16">
        <f>IFERROR(SUMIF(reading[[#This Row],[1st]:[7th]],"&gt;0")/COUNTIF(reading[[#This Row],[1st]:[7th]],"&gt;0"),"")</f>
        <v>3</v>
      </c>
    </row>
    <row r="935" spans="1:33" hidden="1" x14ac:dyDescent="0.2">
      <c r="A935" s="4">
        <f>IF(B935=1,3,IF(D935=1,2,IF(F935=1,1,0)))</f>
        <v>0</v>
      </c>
      <c r="B935" s="4" t="str">
        <f>IF(C935=$L935,1,IF(C935="","",0))</f>
        <v/>
      </c>
      <c r="C935" s="42"/>
      <c r="D935" s="4" t="str">
        <f>IF(E935=$L935,1,IF(E935="","",0))</f>
        <v/>
      </c>
      <c r="E935" s="14"/>
      <c r="F935" s="4" t="str">
        <f>IF(G935=$L935,1,IF(G935="","",0))</f>
        <v/>
      </c>
      <c r="G935" s="14"/>
      <c r="H935" s="6">
        <v>1313</v>
      </c>
      <c r="I935" s="15" t="s">
        <v>3120</v>
      </c>
      <c r="J935" s="6" t="s">
        <v>4430</v>
      </c>
      <c r="K935" s="6"/>
      <c r="L935" s="6" t="s">
        <v>1410</v>
      </c>
      <c r="M935" s="6" t="s">
        <v>7420</v>
      </c>
      <c r="N935" s="7">
        <f ca="1">RAND()</f>
        <v>0.49491156687327009</v>
      </c>
      <c r="O935" s="8">
        <v>45207</v>
      </c>
      <c r="P935" s="8">
        <v>45208</v>
      </c>
      <c r="Q935" s="8">
        <v>45210</v>
      </c>
      <c r="R935" s="8">
        <v>45214</v>
      </c>
      <c r="S935" s="8">
        <v>45221</v>
      </c>
      <c r="T935" s="8">
        <v>45233</v>
      </c>
      <c r="U935" s="8">
        <v>45792</v>
      </c>
      <c r="V935" s="10">
        <f>COUNTA(O935:U935)</f>
        <v>7</v>
      </c>
      <c r="W935" s="11">
        <f>_xlfn.IFNA(INDEX(reading[[#This Row],[Memo 01]:[Memo 07]],MATCH(0,reading[[#This Row],[Memo 01]:[Memo 07]],-1)),"")</f>
        <v>45792</v>
      </c>
      <c r="X935" s="11">
        <f ca="1">IFERROR(reading[[#This Row],[Previous]]+OFFSET(reading[[#Headers],[Memo 01]],-1,MATCH(0,reading[[#This Row],[Memo 01]:[Memo 07]],-1)-1),"")</f>
        <v>55792</v>
      </c>
      <c r="Y935" s="10" t="str">
        <f ca="1">IF(reading[[#This Row],[Next]]&lt;&gt;"",IF(reading[[#This Row],[Next]]&gt;TODAY(),"OK",""),"")</f>
        <v>OK</v>
      </c>
      <c r="Z935" s="13">
        <v>3</v>
      </c>
      <c r="AA935" s="13">
        <v>3</v>
      </c>
      <c r="AB935" s="13">
        <v>3</v>
      </c>
      <c r="AC935" s="13">
        <v>3</v>
      </c>
      <c r="AD935" s="13">
        <v>3</v>
      </c>
      <c r="AE935" s="13">
        <v>3</v>
      </c>
      <c r="AF935" s="13">
        <v>3</v>
      </c>
      <c r="AG935" s="16">
        <f>IFERROR(SUMIF(reading[[#This Row],[1st]:[7th]],"&gt;0")/COUNTIF(reading[[#This Row],[1st]:[7th]],"&gt;0"),"")</f>
        <v>3</v>
      </c>
    </row>
    <row r="936" spans="1:33" hidden="1" x14ac:dyDescent="0.2">
      <c r="A936" s="4">
        <f>IF(B936=1,3,IF(D936=1,2,IF(F936=1,1,0)))</f>
        <v>0</v>
      </c>
      <c r="B936" s="4" t="str">
        <f>IF(C936=$L936,1,IF(C936="","",0))</f>
        <v/>
      </c>
      <c r="C936" s="42"/>
      <c r="D936" s="4" t="str">
        <f>IF(E936=$L936,1,IF(E936="","",0))</f>
        <v/>
      </c>
      <c r="E936" s="14"/>
      <c r="F936" s="4" t="str">
        <f>IF(G936=$L936,1,IF(G936="","",0))</f>
        <v/>
      </c>
      <c r="G936" s="14"/>
      <c r="H936" s="6">
        <v>1153</v>
      </c>
      <c r="I936" s="15" t="s">
        <v>3120</v>
      </c>
      <c r="J936" s="6" t="s">
        <v>3998</v>
      </c>
      <c r="K936" s="6"/>
      <c r="L936" s="6" t="s">
        <v>1255</v>
      </c>
      <c r="M936" s="6" t="s">
        <v>7261</v>
      </c>
      <c r="N936" s="7">
        <f ca="1">RAND()</f>
        <v>0.17296279750213173</v>
      </c>
      <c r="O936" s="8">
        <v>45206</v>
      </c>
      <c r="P936" s="8">
        <v>45207</v>
      </c>
      <c r="Q936" s="8">
        <v>45209</v>
      </c>
      <c r="R936" s="8">
        <v>45213</v>
      </c>
      <c r="S936" s="8">
        <v>45220</v>
      </c>
      <c r="T936" s="8">
        <v>45232</v>
      </c>
      <c r="U936" s="8">
        <v>45792</v>
      </c>
      <c r="V936" s="10">
        <f>COUNTA(O936:U936)</f>
        <v>7</v>
      </c>
      <c r="W936" s="11">
        <f>_xlfn.IFNA(INDEX(reading[[#This Row],[Memo 01]:[Memo 07]],MATCH(0,reading[[#This Row],[Memo 01]:[Memo 07]],-1)),"")</f>
        <v>45792</v>
      </c>
      <c r="X936" s="11">
        <f ca="1">IFERROR(reading[[#This Row],[Previous]]+OFFSET(reading[[#Headers],[Memo 01]],-1,MATCH(0,reading[[#This Row],[Memo 01]:[Memo 07]],-1)-1),"")</f>
        <v>55792</v>
      </c>
      <c r="Y936" s="10" t="str">
        <f ca="1">IF(reading[[#This Row],[Next]]&lt;&gt;"",IF(reading[[#This Row],[Next]]&gt;TODAY(),"OK",""),"")</f>
        <v>OK</v>
      </c>
      <c r="Z936" s="13">
        <v>3</v>
      </c>
      <c r="AA936" s="13">
        <v>3</v>
      </c>
      <c r="AB936" s="13">
        <v>3</v>
      </c>
      <c r="AC936" s="13">
        <v>3</v>
      </c>
      <c r="AD936" s="13">
        <v>3</v>
      </c>
      <c r="AE936" s="13">
        <v>3</v>
      </c>
      <c r="AF936" s="13">
        <v>3</v>
      </c>
      <c r="AG936" s="16">
        <f>IFERROR(SUMIF(reading[[#This Row],[1st]:[7th]],"&gt;0")/COUNTIF(reading[[#This Row],[1st]:[7th]],"&gt;0"),"")</f>
        <v>3</v>
      </c>
    </row>
    <row r="937" spans="1:33" hidden="1" x14ac:dyDescent="0.2">
      <c r="A937" s="4">
        <f>IF(B937=1,3,IF(D937=1,2,IF(F937=1,1,0)))</f>
        <v>0</v>
      </c>
      <c r="B937" s="4" t="str">
        <f>IF(C937=$L937,1,IF(C937="","",0))</f>
        <v/>
      </c>
      <c r="C937" s="42"/>
      <c r="D937" s="4" t="str">
        <f>IF(E937=$L937,1,IF(E937="","",0))</f>
        <v/>
      </c>
      <c r="E937" s="14"/>
      <c r="F937" s="4" t="str">
        <f>IF(G937=$L937,1,IF(G937="","",0))</f>
        <v/>
      </c>
      <c r="G937" s="14"/>
      <c r="H937" s="6">
        <v>868</v>
      </c>
      <c r="I937" s="15" t="s">
        <v>3120</v>
      </c>
      <c r="J937" s="6" t="s">
        <v>4000</v>
      </c>
      <c r="K937" s="6"/>
      <c r="L937" s="6" t="s">
        <v>983</v>
      </c>
      <c r="M937" s="6" t="s">
        <v>6977</v>
      </c>
      <c r="N937" s="7">
        <f ca="1">RAND()</f>
        <v>6.9081412760010785E-2</v>
      </c>
      <c r="O937" s="8">
        <v>45204</v>
      </c>
      <c r="P937" s="8">
        <v>45205</v>
      </c>
      <c r="Q937" s="8">
        <v>45207</v>
      </c>
      <c r="R937" s="8">
        <v>45211</v>
      </c>
      <c r="S937" s="8">
        <v>45218</v>
      </c>
      <c r="T937" s="8">
        <v>45230</v>
      </c>
      <c r="U937" s="8">
        <v>45792</v>
      </c>
      <c r="V937" s="10">
        <f>COUNTA(O937:U937)</f>
        <v>7</v>
      </c>
      <c r="W937" s="11">
        <f>_xlfn.IFNA(INDEX(reading[[#This Row],[Memo 01]:[Memo 07]],MATCH(0,reading[[#This Row],[Memo 01]:[Memo 07]],-1)),"")</f>
        <v>45792</v>
      </c>
      <c r="X937" s="11">
        <f ca="1">IFERROR(reading[[#This Row],[Previous]]+OFFSET(reading[[#Headers],[Memo 01]],-1,MATCH(0,reading[[#This Row],[Memo 01]:[Memo 07]],-1)-1),"")</f>
        <v>55792</v>
      </c>
      <c r="Y937" s="10" t="str">
        <f ca="1">IF(reading[[#This Row],[Next]]&lt;&gt;"",IF(reading[[#This Row],[Next]]&gt;TODAY(),"OK",""),"")</f>
        <v>OK</v>
      </c>
      <c r="Z937" s="13">
        <v>3</v>
      </c>
      <c r="AA937" s="13">
        <v>3</v>
      </c>
      <c r="AB937" s="13">
        <v>3</v>
      </c>
      <c r="AC937" s="13">
        <v>3</v>
      </c>
      <c r="AD937" s="13">
        <v>3</v>
      </c>
      <c r="AE937" s="13">
        <v>3</v>
      </c>
      <c r="AF937" s="13">
        <v>3</v>
      </c>
      <c r="AG937" s="16">
        <f>IFERROR(SUMIF(reading[[#This Row],[1st]:[7th]],"&gt;0")/COUNTIF(reading[[#This Row],[1st]:[7th]],"&gt;0"),"")</f>
        <v>3</v>
      </c>
    </row>
    <row r="938" spans="1:33" hidden="1" x14ac:dyDescent="0.2">
      <c r="A938" s="4">
        <f>IF(B938=1,3,IF(D938=1,2,IF(F938=1,1,0)))</f>
        <v>0</v>
      </c>
      <c r="B938" s="4" t="str">
        <f>IF(C938=$L938,1,IF(C938="","",0))</f>
        <v/>
      </c>
      <c r="C938" s="42"/>
      <c r="D938" s="4" t="str">
        <f>IF(E938=$L938,1,IF(E938="","",0))</f>
        <v/>
      </c>
      <c r="E938" s="14"/>
      <c r="F938" s="4" t="str">
        <f>IF(G938=$L938,1,IF(G938="","",0))</f>
        <v/>
      </c>
      <c r="G938" s="14"/>
      <c r="H938" s="6">
        <v>3071</v>
      </c>
      <c r="I938" s="15" t="s">
        <v>3120</v>
      </c>
      <c r="J938" s="6" t="s">
        <v>6092</v>
      </c>
      <c r="K938" s="6"/>
      <c r="L938" s="6" t="s">
        <v>3096</v>
      </c>
      <c r="M938" s="6" t="s">
        <v>9174</v>
      </c>
      <c r="N938" s="7">
        <f ca="1">RAND()</f>
        <v>0.18623072884303149</v>
      </c>
      <c r="O938" s="8">
        <v>45224</v>
      </c>
      <c r="P938" s="8">
        <v>45225</v>
      </c>
      <c r="Q938" s="8">
        <v>45227</v>
      </c>
      <c r="R938" s="8">
        <v>45231</v>
      </c>
      <c r="S938" s="8">
        <v>45251</v>
      </c>
      <c r="T938" s="8">
        <v>45819</v>
      </c>
      <c r="U938" s="8"/>
      <c r="V938" s="10">
        <f>COUNTA(O938:U938)</f>
        <v>6</v>
      </c>
      <c r="W938" s="11">
        <f>_xlfn.IFNA(INDEX(reading[[#This Row],[Memo 01]:[Memo 07]],MATCH(0,reading[[#This Row],[Memo 01]:[Memo 07]],-1)),"")</f>
        <v>45819</v>
      </c>
      <c r="X938" s="11">
        <f ca="1">IFERROR(reading[[#This Row],[Previous]]+OFFSET(reading[[#Headers],[Memo 01]],-1,MATCH(0,reading[[#This Row],[Memo 01]:[Memo 07]],-1)-1),"")</f>
        <v>45839</v>
      </c>
      <c r="Y938" s="10" t="str">
        <f ca="1">IF(reading[[#This Row],[Next]]&lt;&gt;"",IF(reading[[#This Row],[Next]]&gt;TODAY(),"OK",""),"")</f>
        <v>OK</v>
      </c>
      <c r="Z938" s="13">
        <v>3</v>
      </c>
      <c r="AA938" s="13">
        <v>3</v>
      </c>
      <c r="AB938" s="13">
        <v>3</v>
      </c>
      <c r="AC938" s="13">
        <v>3</v>
      </c>
      <c r="AD938" s="13">
        <v>3</v>
      </c>
      <c r="AE938" s="13">
        <v>3</v>
      </c>
      <c r="AF938" s="13"/>
      <c r="AG938" s="16">
        <f>IFERROR(SUMIF(reading[[#This Row],[1st]:[7th]],"&gt;0")/COUNTIF(reading[[#This Row],[1st]:[7th]],"&gt;0"),"")</f>
        <v>3</v>
      </c>
    </row>
    <row r="939" spans="1:33" hidden="1" x14ac:dyDescent="0.2">
      <c r="A939" s="4">
        <f>IF(B939=1,3,IF(D939=1,2,IF(F939=1,1,0)))</f>
        <v>0</v>
      </c>
      <c r="B939" s="4" t="str">
        <f>IF(C939=$L939,1,IF(C939="","",0))</f>
        <v/>
      </c>
      <c r="C939" s="42"/>
      <c r="D939" s="4" t="str">
        <f>IF(E939=$L939,1,IF(E939="","",0))</f>
        <v/>
      </c>
      <c r="E939" s="14"/>
      <c r="F939" s="4" t="str">
        <f>IF(G939=$L939,1,IF(G939="","",0))</f>
        <v/>
      </c>
      <c r="G939" s="14"/>
      <c r="H939" s="6">
        <v>2520</v>
      </c>
      <c r="I939" s="15" t="s">
        <v>3120</v>
      </c>
      <c r="J939" s="6" t="s">
        <v>5582</v>
      </c>
      <c r="K939" s="6"/>
      <c r="L939" s="6" t="s">
        <v>2566</v>
      </c>
      <c r="M939" s="6" t="s">
        <v>8625</v>
      </c>
      <c r="N939" s="7">
        <f ca="1">RAND()</f>
        <v>0.7954739781934369</v>
      </c>
      <c r="O939" s="8">
        <v>45219</v>
      </c>
      <c r="P939" s="8">
        <v>45220</v>
      </c>
      <c r="Q939" s="8">
        <v>45222</v>
      </c>
      <c r="R939" s="8">
        <v>45226</v>
      </c>
      <c r="S939" s="8">
        <v>45233</v>
      </c>
      <c r="T939" s="8">
        <v>45783</v>
      </c>
      <c r="U939" s="8">
        <v>45819</v>
      </c>
      <c r="V939" s="10">
        <f>COUNTA(O939:U939)</f>
        <v>7</v>
      </c>
      <c r="W939" s="11">
        <f>_xlfn.IFNA(INDEX(reading[[#This Row],[Memo 01]:[Memo 07]],MATCH(0,reading[[#This Row],[Memo 01]:[Memo 07]],-1)),"")</f>
        <v>45819</v>
      </c>
      <c r="X939" s="11">
        <f ca="1">IFERROR(reading[[#This Row],[Previous]]+OFFSET(reading[[#Headers],[Memo 01]],-1,MATCH(0,reading[[#This Row],[Memo 01]:[Memo 07]],-1)-1),"")</f>
        <v>55819</v>
      </c>
      <c r="Y939" s="10" t="str">
        <f ca="1">IF(reading[[#This Row],[Next]]&lt;&gt;"",IF(reading[[#This Row],[Next]]&gt;TODAY(),"OK",""),"")</f>
        <v>OK</v>
      </c>
      <c r="Z939" s="13">
        <v>3</v>
      </c>
      <c r="AA939" s="13">
        <v>3</v>
      </c>
      <c r="AB939" s="13">
        <v>3</v>
      </c>
      <c r="AC939" s="13">
        <v>3</v>
      </c>
      <c r="AD939" s="13">
        <v>3</v>
      </c>
      <c r="AE939" s="13">
        <v>3</v>
      </c>
      <c r="AF939" s="13">
        <v>3</v>
      </c>
      <c r="AG939" s="16">
        <f>IFERROR(SUMIF(reading[[#This Row],[1st]:[7th]],"&gt;0")/COUNTIF(reading[[#This Row],[1st]:[7th]],"&gt;0"),"")</f>
        <v>3</v>
      </c>
    </row>
    <row r="940" spans="1:33" hidden="1" x14ac:dyDescent="0.2">
      <c r="A940" s="4">
        <f>IF(B940=1,3,IF(D940=1,2,IF(F940=1,1,0)))</f>
        <v>0</v>
      </c>
      <c r="B940" s="4" t="str">
        <f>IF(C940=$L940,1,IF(C940="","",0))</f>
        <v/>
      </c>
      <c r="C940" s="42"/>
      <c r="D940" s="4" t="str">
        <f>IF(E940=$L940,1,IF(E940="","",0))</f>
        <v/>
      </c>
      <c r="E940" s="18"/>
      <c r="F940" s="4" t="str">
        <f>IF(G940=$L940,1,IF(G940="","",0))</f>
        <v/>
      </c>
      <c r="G940" s="14"/>
      <c r="H940" s="6">
        <v>475</v>
      </c>
      <c r="I940" s="15" t="s">
        <v>3120</v>
      </c>
      <c r="J940" s="6" t="s">
        <v>3621</v>
      </c>
      <c r="K940" s="6"/>
      <c r="L940" s="6" t="s">
        <v>604</v>
      </c>
      <c r="M940" s="6" t="s">
        <v>6584</v>
      </c>
      <c r="N940" s="7">
        <f ca="1">RAND()</f>
        <v>0.36369871877938653</v>
      </c>
      <c r="O940" s="8">
        <v>45202</v>
      </c>
      <c r="P940" s="8">
        <v>45203</v>
      </c>
      <c r="Q940" s="8">
        <v>45205</v>
      </c>
      <c r="R940" s="8">
        <v>45209</v>
      </c>
      <c r="S940" s="8">
        <v>45216</v>
      </c>
      <c r="T940" s="8">
        <v>45228</v>
      </c>
      <c r="U940" s="8">
        <v>45801</v>
      </c>
      <c r="V940" s="10">
        <f>COUNTA(O940:U940)</f>
        <v>7</v>
      </c>
      <c r="W940" s="11">
        <f>_xlfn.IFNA(INDEX(reading[[#This Row],[Memo 01]:[Memo 07]],MATCH(0,reading[[#This Row],[Memo 01]:[Memo 07]],-1)),"")</f>
        <v>45801</v>
      </c>
      <c r="X940" s="11">
        <f ca="1">IFERROR(reading[[#This Row],[Previous]]+OFFSET(reading[[#Headers],[Memo 01]],-1,MATCH(0,reading[[#This Row],[Memo 01]:[Memo 07]],-1)-1),"")</f>
        <v>55801</v>
      </c>
      <c r="Y940" s="10" t="str">
        <f ca="1">IF(reading[[#This Row],[Next]]&lt;&gt;"",IF(reading[[#This Row],[Next]]&gt;TODAY(),"OK",""),"")</f>
        <v>OK</v>
      </c>
      <c r="Z940" s="13">
        <v>3</v>
      </c>
      <c r="AA940" s="13">
        <v>3</v>
      </c>
      <c r="AB940" s="13">
        <v>3</v>
      </c>
      <c r="AC940" s="13">
        <v>3</v>
      </c>
      <c r="AD940" s="13">
        <v>2</v>
      </c>
      <c r="AE940" s="13">
        <v>3</v>
      </c>
      <c r="AF940" s="13">
        <v>3</v>
      </c>
      <c r="AG940" s="16">
        <f>IFERROR(SUMIF(reading[[#This Row],[1st]:[7th]],"&gt;0")/COUNTIF(reading[[#This Row],[1st]:[7th]],"&gt;0"),"")</f>
        <v>2.8571428571428572</v>
      </c>
    </row>
    <row r="941" spans="1:33" hidden="1" x14ac:dyDescent="0.2">
      <c r="A941" s="4">
        <f>IF(B941=1,3,IF(D941=1,2,IF(F941=1,1,0)))</f>
        <v>0</v>
      </c>
      <c r="B941" s="4" t="str">
        <f>IF(C941=$L941,1,IF(C941="","",0))</f>
        <v/>
      </c>
      <c r="C941" s="42"/>
      <c r="D941" s="4" t="str">
        <f>IF(E941=$L941,1,IF(E941="","",0))</f>
        <v/>
      </c>
      <c r="E941" s="14"/>
      <c r="F941" s="4" t="str">
        <f>IF(G941=$L941,1,IF(G941="","",0))</f>
        <v/>
      </c>
      <c r="G941" s="14"/>
      <c r="H941" s="6">
        <v>1702</v>
      </c>
      <c r="I941" s="15" t="s">
        <v>3120</v>
      </c>
      <c r="J941" s="6" t="s">
        <v>4812</v>
      </c>
      <c r="K941" s="6"/>
      <c r="L941" s="6" t="s">
        <v>1782</v>
      </c>
      <c r="M941" s="6" t="s">
        <v>7808</v>
      </c>
      <c r="N941" s="7">
        <f ca="1">RAND()</f>
        <v>0.63850397198226383</v>
      </c>
      <c r="O941" s="8">
        <v>45211</v>
      </c>
      <c r="P941" s="8">
        <v>45212</v>
      </c>
      <c r="Q941" s="8">
        <v>45214</v>
      </c>
      <c r="R941" s="8">
        <v>45218</v>
      </c>
      <c r="S941" s="8">
        <v>45225</v>
      </c>
      <c r="T941" s="8">
        <v>45237</v>
      </c>
      <c r="U941" s="8">
        <v>45801</v>
      </c>
      <c r="V941" s="10">
        <f>COUNTA(O941:U941)</f>
        <v>7</v>
      </c>
      <c r="W941" s="11">
        <f>_xlfn.IFNA(INDEX(reading[[#This Row],[Memo 01]:[Memo 07]],MATCH(0,reading[[#This Row],[Memo 01]:[Memo 07]],-1)),"")</f>
        <v>45801</v>
      </c>
      <c r="X941" s="11">
        <f ca="1">IFERROR(reading[[#This Row],[Previous]]+OFFSET(reading[[#Headers],[Memo 01]],-1,MATCH(0,reading[[#This Row],[Memo 01]:[Memo 07]],-1)-1),"")</f>
        <v>55801</v>
      </c>
      <c r="Y941" s="10" t="str">
        <f ca="1">IF(reading[[#This Row],[Next]]&lt;&gt;"",IF(reading[[#This Row],[Next]]&gt;TODAY(),"OK",""),"")</f>
        <v>OK</v>
      </c>
      <c r="Z941" s="13">
        <v>3</v>
      </c>
      <c r="AA941" s="13">
        <v>3</v>
      </c>
      <c r="AB941" s="13">
        <v>3</v>
      </c>
      <c r="AC941" s="13">
        <v>3</v>
      </c>
      <c r="AD941" s="13">
        <v>3</v>
      </c>
      <c r="AE941" s="13">
        <v>3</v>
      </c>
      <c r="AF941" s="13">
        <v>3</v>
      </c>
      <c r="AG941" s="16">
        <f>IFERROR(SUMIF(reading[[#This Row],[1st]:[7th]],"&gt;0")/COUNTIF(reading[[#This Row],[1st]:[7th]],"&gt;0"),"")</f>
        <v>3</v>
      </c>
    </row>
    <row r="942" spans="1:33" hidden="1" x14ac:dyDescent="0.2">
      <c r="A942" s="4">
        <f>IF(B942=1,3,IF(D942=1,2,IF(F942=1,1,0)))</f>
        <v>0</v>
      </c>
      <c r="B942" s="4" t="str">
        <f>IF(C942=$L942,1,IF(C942="","",0))</f>
        <v/>
      </c>
      <c r="C942" s="42"/>
      <c r="D942" s="4" t="str">
        <f>IF(E942=$L942,1,IF(E942="","",0))</f>
        <v/>
      </c>
      <c r="E942" s="18"/>
      <c r="F942" s="4" t="str">
        <f>IF(G942=$L942,1,IF(G942="","",0))</f>
        <v/>
      </c>
      <c r="G942" s="14"/>
      <c r="H942" s="6">
        <v>385</v>
      </c>
      <c r="I942" s="15" t="s">
        <v>3120</v>
      </c>
      <c r="J942" s="6" t="s">
        <v>3331</v>
      </c>
      <c r="K942" s="6"/>
      <c r="L942" s="6" t="s">
        <v>517</v>
      </c>
      <c r="M942" s="6" t="s">
        <v>6494</v>
      </c>
      <c r="N942" s="7">
        <f ca="1">RAND()</f>
        <v>1.8878352683992961E-2</v>
      </c>
      <c r="O942" s="8">
        <v>45201</v>
      </c>
      <c r="P942" s="8">
        <v>45202</v>
      </c>
      <c r="Q942" s="8">
        <v>45204</v>
      </c>
      <c r="R942" s="8">
        <v>45208</v>
      </c>
      <c r="S942" s="8">
        <v>45215</v>
      </c>
      <c r="T942" s="8">
        <v>45227</v>
      </c>
      <c r="U942" s="8">
        <v>45801</v>
      </c>
      <c r="V942" s="10">
        <f>COUNTA(O942:U942)</f>
        <v>7</v>
      </c>
      <c r="W942" s="11">
        <f>_xlfn.IFNA(INDEX(reading[[#This Row],[Memo 01]:[Memo 07]],MATCH(0,reading[[#This Row],[Memo 01]:[Memo 07]],-1)),"")</f>
        <v>45801</v>
      </c>
      <c r="X942" s="11">
        <f ca="1">IFERROR(reading[[#This Row],[Previous]]+OFFSET(reading[[#Headers],[Memo 01]],-1,MATCH(0,reading[[#This Row],[Memo 01]:[Memo 07]],-1)-1),"")</f>
        <v>55801</v>
      </c>
      <c r="Y942" s="10" t="str">
        <f ca="1">IF(reading[[#This Row],[Next]]&lt;&gt;"",IF(reading[[#This Row],[Next]]&gt;TODAY(),"OK",""),"")</f>
        <v>OK</v>
      </c>
      <c r="Z942" s="13">
        <v>3</v>
      </c>
      <c r="AA942" s="13">
        <v>2</v>
      </c>
      <c r="AB942" s="13">
        <v>3</v>
      </c>
      <c r="AC942" s="13">
        <v>3</v>
      </c>
      <c r="AD942" s="13">
        <v>3</v>
      </c>
      <c r="AE942" s="13">
        <v>3</v>
      </c>
      <c r="AF942" s="13">
        <v>3</v>
      </c>
      <c r="AG942" s="16">
        <f>IFERROR(SUMIF(reading[[#This Row],[1st]:[7th]],"&gt;0")/COUNTIF(reading[[#This Row],[1st]:[7th]],"&gt;0"),"")</f>
        <v>2.8571428571428572</v>
      </c>
    </row>
    <row r="943" spans="1:33" hidden="1" x14ac:dyDescent="0.2">
      <c r="A943" s="4">
        <f>IF(B943=1,3,IF(D943=1,2,IF(F943=1,1,0)))</f>
        <v>0</v>
      </c>
      <c r="B943" s="4" t="str">
        <f>IF(C943=$L943,1,IF(C943="","",0))</f>
        <v/>
      </c>
      <c r="C943" s="42"/>
      <c r="D943" s="4" t="str">
        <f>IF(E943=$L943,1,IF(E943="","",0))</f>
        <v/>
      </c>
      <c r="E943" s="18"/>
      <c r="F943" s="4" t="str">
        <f>IF(G943=$L943,1,IF(G943="","",0))</f>
        <v/>
      </c>
      <c r="G943" s="14"/>
      <c r="H943" s="6">
        <v>1010</v>
      </c>
      <c r="I943" s="15" t="s">
        <v>3120</v>
      </c>
      <c r="J943" s="6" t="s">
        <v>4138</v>
      </c>
      <c r="K943" s="6"/>
      <c r="L943" s="6" t="s">
        <v>1120</v>
      </c>
      <c r="M943" s="6" t="s">
        <v>7118</v>
      </c>
      <c r="N943" s="7">
        <f ca="1">RAND()</f>
        <v>0.51596340231340532</v>
      </c>
      <c r="O943" s="8">
        <v>45205</v>
      </c>
      <c r="P943" s="8">
        <v>45206</v>
      </c>
      <c r="Q943" s="8">
        <v>45208</v>
      </c>
      <c r="R943" s="8">
        <v>45212</v>
      </c>
      <c r="S943" s="8">
        <v>45219</v>
      </c>
      <c r="T943" s="8">
        <v>45231</v>
      </c>
      <c r="U943" s="8">
        <v>45801</v>
      </c>
      <c r="V943" s="10">
        <f>COUNTA(O943:U943)</f>
        <v>7</v>
      </c>
      <c r="W943" s="11">
        <f>_xlfn.IFNA(INDEX(reading[[#This Row],[Memo 01]:[Memo 07]],MATCH(0,reading[[#This Row],[Memo 01]:[Memo 07]],-1)),"")</f>
        <v>45801</v>
      </c>
      <c r="X943" s="11">
        <f ca="1">IFERROR(reading[[#This Row],[Previous]]+OFFSET(reading[[#Headers],[Memo 01]],-1,MATCH(0,reading[[#This Row],[Memo 01]:[Memo 07]],-1)-1),"")</f>
        <v>55801</v>
      </c>
      <c r="Y943" s="10" t="str">
        <f ca="1">IF(reading[[#This Row],[Next]]&lt;&gt;"",IF(reading[[#This Row],[Next]]&gt;TODAY(),"OK",""),"")</f>
        <v>OK</v>
      </c>
      <c r="Z943" s="13">
        <v>3</v>
      </c>
      <c r="AA943" s="13">
        <v>3</v>
      </c>
      <c r="AB943" s="13">
        <v>3</v>
      </c>
      <c r="AC943" s="13">
        <v>3</v>
      </c>
      <c r="AD943" s="13">
        <v>2</v>
      </c>
      <c r="AE943" s="13">
        <v>3</v>
      </c>
      <c r="AF943" s="13">
        <v>3</v>
      </c>
      <c r="AG943" s="16">
        <f>IFERROR(SUMIF(reading[[#This Row],[1st]:[7th]],"&gt;0")/COUNTIF(reading[[#This Row],[1st]:[7th]],"&gt;0"),"")</f>
        <v>2.8571428571428572</v>
      </c>
    </row>
    <row r="944" spans="1:33" hidden="1" x14ac:dyDescent="0.2">
      <c r="A944" s="4">
        <f>IF(B944=1,3,IF(D944=1,2,IF(F944=1,1,0)))</f>
        <v>0</v>
      </c>
      <c r="B944" s="4" t="str">
        <f>IF(C944=$L944,1,IF(C944="","",0))</f>
        <v/>
      </c>
      <c r="C944" s="42"/>
      <c r="D944" s="4" t="str">
        <f>IF(E944=$L944,1,IF(E944="","",0))</f>
        <v/>
      </c>
      <c r="E944" s="23"/>
      <c r="F944" s="4" t="str">
        <f>IF(G944=$L944,1,IF(G944="","",0))</f>
        <v/>
      </c>
      <c r="G944" s="14"/>
      <c r="H944" s="6">
        <v>1523</v>
      </c>
      <c r="I944" s="15" t="s">
        <v>3120</v>
      </c>
      <c r="J944" s="6" t="s">
        <v>4636</v>
      </c>
      <c r="K944" s="6"/>
      <c r="L944" s="6" t="s">
        <v>1608</v>
      </c>
      <c r="M944" s="6" t="s">
        <v>7630</v>
      </c>
      <c r="N944" s="7">
        <f ca="1">RAND()</f>
        <v>0.21224649412199514</v>
      </c>
      <c r="O944" s="8">
        <v>45209</v>
      </c>
      <c r="P944" s="8">
        <v>45210</v>
      </c>
      <c r="Q944" s="8">
        <v>45212</v>
      </c>
      <c r="R944" s="8">
        <v>45216</v>
      </c>
      <c r="S944" s="8">
        <v>45223</v>
      </c>
      <c r="T944" s="8">
        <v>45235</v>
      </c>
      <c r="U944" s="8">
        <v>45816</v>
      </c>
      <c r="V944" s="10">
        <f>COUNTA(O944:U944)</f>
        <v>7</v>
      </c>
      <c r="W944" s="11">
        <f>_xlfn.IFNA(INDEX(reading[[#This Row],[Memo 01]:[Memo 07]],MATCH(0,reading[[#This Row],[Memo 01]:[Memo 07]],-1)),"")</f>
        <v>45816</v>
      </c>
      <c r="X944" s="11">
        <f ca="1">IFERROR(reading[[#This Row],[Previous]]+OFFSET(reading[[#Headers],[Memo 01]],-1,MATCH(0,reading[[#This Row],[Memo 01]:[Memo 07]],-1)-1),"")</f>
        <v>55816</v>
      </c>
      <c r="Y944" s="10" t="str">
        <f ca="1">IF(reading[[#This Row],[Next]]&lt;&gt;"",IF(reading[[#This Row],[Next]]&gt;TODAY(),"OK",""),"")</f>
        <v>OK</v>
      </c>
      <c r="Z944" s="13">
        <v>3</v>
      </c>
      <c r="AA944" s="13">
        <v>3</v>
      </c>
      <c r="AB944" s="13">
        <v>3</v>
      </c>
      <c r="AC944" s="13">
        <v>3</v>
      </c>
      <c r="AD944" s="13">
        <v>3</v>
      </c>
      <c r="AE944" s="13">
        <v>3</v>
      </c>
      <c r="AF944" s="13">
        <v>2</v>
      </c>
      <c r="AG944" s="16">
        <f>IFERROR(SUMIF(reading[[#This Row],[1st]:[7th]],"&gt;0")/COUNTIF(reading[[#This Row],[1st]:[7th]],"&gt;0"),"")</f>
        <v>2.8571428571428572</v>
      </c>
    </row>
    <row r="945" spans="1:33" hidden="1" x14ac:dyDescent="0.2">
      <c r="A945" s="4">
        <f>IF(B945=1,3,IF(D945=1,2,IF(F945=1,1,0)))</f>
        <v>0</v>
      </c>
      <c r="B945" s="4" t="str">
        <f>IF(C945=$L945,1,IF(C945="","",0))</f>
        <v/>
      </c>
      <c r="C945" s="42"/>
      <c r="D945" s="4" t="str">
        <f>IF(E945=$L945,1,IF(E945="","",0))</f>
        <v/>
      </c>
      <c r="E945" s="23"/>
      <c r="F945" s="4" t="str">
        <f>IF(G945=$L945,1,IF(G945="","",0))</f>
        <v/>
      </c>
      <c r="G945" s="14"/>
      <c r="H945" s="6">
        <v>766</v>
      </c>
      <c r="I945" s="15" t="s">
        <v>3120</v>
      </c>
      <c r="J945" s="6" t="s">
        <v>3901</v>
      </c>
      <c r="K945" s="6"/>
      <c r="L945" s="6" t="s">
        <v>885</v>
      </c>
      <c r="M945" s="6" t="s">
        <v>6875</v>
      </c>
      <c r="N945" s="7">
        <f ca="1">RAND()</f>
        <v>6.6561313394085775E-2</v>
      </c>
      <c r="O945" s="8">
        <v>45203</v>
      </c>
      <c r="P945" s="8">
        <v>45204</v>
      </c>
      <c r="Q945" s="8">
        <v>45206</v>
      </c>
      <c r="R945" s="8">
        <v>45210</v>
      </c>
      <c r="S945" s="8">
        <v>45217</v>
      </c>
      <c r="T945" s="8">
        <v>45229</v>
      </c>
      <c r="U945" s="8">
        <v>45792</v>
      </c>
      <c r="V945" s="10">
        <f>COUNTA(O945:U945)</f>
        <v>7</v>
      </c>
      <c r="W945" s="11">
        <f>_xlfn.IFNA(INDEX(reading[[#This Row],[Memo 01]:[Memo 07]],MATCH(0,reading[[#This Row],[Memo 01]:[Memo 07]],-1)),"")</f>
        <v>45792</v>
      </c>
      <c r="X945" s="11">
        <f ca="1">IFERROR(reading[[#This Row],[Previous]]+OFFSET(reading[[#Headers],[Memo 01]],-1,MATCH(0,reading[[#This Row],[Memo 01]:[Memo 07]],-1)-1),"")</f>
        <v>55792</v>
      </c>
      <c r="Y945" s="10" t="str">
        <f ca="1">IF(reading[[#This Row],[Next]]&lt;&gt;"",IF(reading[[#This Row],[Next]]&gt;TODAY(),"OK",""),"")</f>
        <v>OK</v>
      </c>
      <c r="Z945" s="13">
        <v>3</v>
      </c>
      <c r="AA945" s="13">
        <v>3</v>
      </c>
      <c r="AB945" s="13">
        <v>2</v>
      </c>
      <c r="AC945" s="13">
        <v>3</v>
      </c>
      <c r="AD945" s="13">
        <v>3</v>
      </c>
      <c r="AE945" s="13">
        <v>3</v>
      </c>
      <c r="AF945" s="13">
        <v>3</v>
      </c>
      <c r="AG945" s="16">
        <f>IFERROR(SUMIF(reading[[#This Row],[1st]:[7th]],"&gt;0")/COUNTIF(reading[[#This Row],[1st]:[7th]],"&gt;0"),"")</f>
        <v>2.8571428571428572</v>
      </c>
    </row>
    <row r="946" spans="1:33" hidden="1" x14ac:dyDescent="0.2">
      <c r="A946" s="4">
        <f>IF(B946=1,3,IF(D946=1,2,IF(F946=1,1,0)))</f>
        <v>0</v>
      </c>
      <c r="B946" s="4" t="str">
        <f>IF(C946=$L946,1,IF(C946="","",0))</f>
        <v/>
      </c>
      <c r="C946" s="43"/>
      <c r="D946" s="4" t="str">
        <f>IF(E946=$L946,1,IF(E946="","",0))</f>
        <v/>
      </c>
      <c r="E946" s="14"/>
      <c r="F946" s="4" t="str">
        <f>IF(G946=$L946,1,IF(G946="","",0))</f>
        <v/>
      </c>
      <c r="G946" s="14"/>
      <c r="H946" s="6">
        <v>39</v>
      </c>
      <c r="I946" s="15" t="s">
        <v>3120</v>
      </c>
      <c r="J946" s="6" t="s">
        <v>3194</v>
      </c>
      <c r="K946" s="6"/>
      <c r="L946" s="6" t="s">
        <v>182</v>
      </c>
      <c r="M946" s="6" t="s">
        <v>6153</v>
      </c>
      <c r="N946" s="7">
        <f ca="1">RAND()</f>
        <v>0.78828090636606929</v>
      </c>
      <c r="O946" s="8">
        <v>45198</v>
      </c>
      <c r="P946" s="8">
        <v>45199</v>
      </c>
      <c r="Q946" s="8">
        <v>45201</v>
      </c>
      <c r="R946" s="8">
        <v>45205</v>
      </c>
      <c r="S946" s="8">
        <v>45212</v>
      </c>
      <c r="T946" s="8">
        <v>45224</v>
      </c>
      <c r="U946" s="8">
        <v>45792</v>
      </c>
      <c r="V946" s="10">
        <f>COUNTA(O946:U946)</f>
        <v>7</v>
      </c>
      <c r="W946" s="11">
        <f>_xlfn.IFNA(INDEX(reading[[#This Row],[Memo 01]:[Memo 07]],MATCH(0,reading[[#This Row],[Memo 01]:[Memo 07]],-1)),"")</f>
        <v>45792</v>
      </c>
      <c r="X946" s="11">
        <f ca="1">IFERROR(reading[[#This Row],[Previous]]+OFFSET(reading[[#Headers],[Memo 01]],-1,MATCH(0,reading[[#This Row],[Memo 01]:[Memo 07]],-1)-1),"")</f>
        <v>55792</v>
      </c>
      <c r="Y946" s="10" t="str">
        <f ca="1">IF(reading[[#This Row],[Next]]&lt;&gt;"",IF(reading[[#This Row],[Next]]&gt;TODAY(),"OK",""),"")</f>
        <v>OK</v>
      </c>
      <c r="Z946" s="13">
        <v>3</v>
      </c>
      <c r="AA946" s="13">
        <v>3</v>
      </c>
      <c r="AB946" s="13">
        <v>3</v>
      </c>
      <c r="AC946" s="13">
        <v>3</v>
      </c>
      <c r="AD946" s="13">
        <v>3</v>
      </c>
      <c r="AE946" s="13">
        <v>3</v>
      </c>
      <c r="AF946" s="13">
        <v>3</v>
      </c>
      <c r="AG946" s="16">
        <f>IFERROR(SUMIF(reading[[#This Row],[1st]:[7th]],"&gt;0")/COUNTIF(reading[[#This Row],[1st]:[7th]],"&gt;0"),"")</f>
        <v>3</v>
      </c>
    </row>
    <row r="947" spans="1:33" hidden="1" x14ac:dyDescent="0.2">
      <c r="A947" s="4">
        <f>IF(B947=1,3,IF(D947=1,2,IF(F947=1,1,0)))</f>
        <v>0</v>
      </c>
      <c r="B947" s="4" t="str">
        <f>IF(C947=$L947,1,IF(C947="","",0))</f>
        <v/>
      </c>
      <c r="C947" s="42"/>
      <c r="D947" s="4" t="str">
        <f>IF(E947=$L947,1,IF(E947="","",0))</f>
        <v/>
      </c>
      <c r="E947" s="14"/>
      <c r="F947" s="4" t="str">
        <f>IF(G947=$L947,1,IF(G947="","",0))</f>
        <v/>
      </c>
      <c r="G947" s="14"/>
      <c r="H947" s="6">
        <v>710</v>
      </c>
      <c r="I947" s="15" t="s">
        <v>3120</v>
      </c>
      <c r="J947" s="6" t="s">
        <v>3848</v>
      </c>
      <c r="K947" s="6"/>
      <c r="L947" s="6" t="s">
        <v>832</v>
      </c>
      <c r="M947" s="6" t="s">
        <v>6819</v>
      </c>
      <c r="N947" s="7">
        <f ca="1">RAND()</f>
        <v>0.17135555399197877</v>
      </c>
      <c r="O947" s="8">
        <v>45203</v>
      </c>
      <c r="P947" s="8">
        <v>45204</v>
      </c>
      <c r="Q947" s="8">
        <v>45206</v>
      </c>
      <c r="R947" s="8">
        <v>45210</v>
      </c>
      <c r="S947" s="8">
        <v>45217</v>
      </c>
      <c r="T947" s="8">
        <v>45229</v>
      </c>
      <c r="U947" s="8">
        <v>45801</v>
      </c>
      <c r="V947" s="10">
        <f>COUNTA(O947:U947)</f>
        <v>7</v>
      </c>
      <c r="W947" s="11">
        <f>_xlfn.IFNA(INDEX(reading[[#This Row],[Memo 01]:[Memo 07]],MATCH(0,reading[[#This Row],[Memo 01]:[Memo 07]],-1)),"")</f>
        <v>45801</v>
      </c>
      <c r="X947" s="11">
        <f ca="1">IFERROR(reading[[#This Row],[Previous]]+OFFSET(reading[[#Headers],[Memo 01]],-1,MATCH(0,reading[[#This Row],[Memo 01]:[Memo 07]],-1)-1),"")</f>
        <v>55801</v>
      </c>
      <c r="Y947" s="10" t="str">
        <f ca="1">IF(reading[[#This Row],[Next]]&lt;&gt;"",IF(reading[[#This Row],[Next]]&gt;TODAY(),"OK",""),"")</f>
        <v>OK</v>
      </c>
      <c r="Z947" s="13">
        <v>3</v>
      </c>
      <c r="AA947" s="13">
        <v>3</v>
      </c>
      <c r="AB947" s="13">
        <v>3</v>
      </c>
      <c r="AC947" s="13">
        <v>3</v>
      </c>
      <c r="AD947" s="13">
        <v>3</v>
      </c>
      <c r="AE947" s="13">
        <v>3</v>
      </c>
      <c r="AF947" s="13">
        <v>3</v>
      </c>
      <c r="AG947" s="16">
        <f>IFERROR(SUMIF(reading[[#This Row],[1st]:[7th]],"&gt;0")/COUNTIF(reading[[#This Row],[1st]:[7th]],"&gt;0"),"")</f>
        <v>3</v>
      </c>
    </row>
    <row r="948" spans="1:33" hidden="1" x14ac:dyDescent="0.2">
      <c r="A948" s="4">
        <f>IF(B948=1,3,IF(D948=1,2,IF(F948=1,1,0)))</f>
        <v>0</v>
      </c>
      <c r="B948" s="4" t="str">
        <f>IF(C948=$L948,1,IF(C948="","",0))</f>
        <v/>
      </c>
      <c r="C948" s="42"/>
      <c r="D948" s="4" t="str">
        <f>IF(E948=$L948,1,IF(E948="","",0))</f>
        <v/>
      </c>
      <c r="E948" s="18"/>
      <c r="F948" s="4" t="str">
        <f>IF(G948=$L948,1,IF(G948="","",0))</f>
        <v/>
      </c>
      <c r="G948" s="14"/>
      <c r="H948" s="6">
        <v>432</v>
      </c>
      <c r="I948" s="15" t="s">
        <v>3120</v>
      </c>
      <c r="J948" s="6" t="s">
        <v>3578</v>
      </c>
      <c r="K948" s="6"/>
      <c r="L948" s="6" t="s">
        <v>562</v>
      </c>
      <c r="M948" s="6" t="s">
        <v>6541</v>
      </c>
      <c r="N948" s="7">
        <f ca="1">RAND()</f>
        <v>0.38661969074553237</v>
      </c>
      <c r="O948" s="8">
        <v>45201</v>
      </c>
      <c r="P948" s="8">
        <v>45202</v>
      </c>
      <c r="Q948" s="8">
        <v>45204</v>
      </c>
      <c r="R948" s="8">
        <v>45208</v>
      </c>
      <c r="S948" s="8">
        <v>45215</v>
      </c>
      <c r="T948" s="8">
        <v>45227</v>
      </c>
      <c r="U948" s="8">
        <v>45253</v>
      </c>
      <c r="V948" s="10">
        <f>COUNTA(O948:U948)</f>
        <v>7</v>
      </c>
      <c r="W948" s="11">
        <f>_xlfn.IFNA(INDEX(reading[[#This Row],[Memo 01]:[Memo 07]],MATCH(0,reading[[#This Row],[Memo 01]:[Memo 07]],-1)),"")</f>
        <v>45253</v>
      </c>
      <c r="X948" s="11">
        <f ca="1">IFERROR(reading[[#This Row],[Previous]]+OFFSET(reading[[#Headers],[Memo 01]],-1,MATCH(0,reading[[#This Row],[Memo 01]:[Memo 07]],-1)-1),"")</f>
        <v>55253</v>
      </c>
      <c r="Y948" s="10" t="str">
        <f ca="1">IF(reading[[#This Row],[Next]]&lt;&gt;"",IF(reading[[#This Row],[Next]]&gt;TODAY(),"OK",""),"")</f>
        <v>OK</v>
      </c>
      <c r="Z948" s="13">
        <v>3</v>
      </c>
      <c r="AA948" s="13">
        <v>3</v>
      </c>
      <c r="AB948" s="13">
        <v>3</v>
      </c>
      <c r="AC948" s="13">
        <v>2</v>
      </c>
      <c r="AD948" s="13">
        <v>3</v>
      </c>
      <c r="AE948" s="13">
        <v>2</v>
      </c>
      <c r="AF948" s="13">
        <v>2</v>
      </c>
      <c r="AG948" s="16">
        <f>IFERROR(SUMIF(reading[[#This Row],[1st]:[7th]],"&gt;0")/COUNTIF(reading[[#This Row],[1st]:[7th]],"&gt;0"),"")</f>
        <v>2.5714285714285716</v>
      </c>
    </row>
    <row r="949" spans="1:33" hidden="1" x14ac:dyDescent="0.2">
      <c r="A949" s="4">
        <f>IF(B949=1,3,IF(D949=1,2,IF(F949=1,1,0)))</f>
        <v>0</v>
      </c>
      <c r="B949" s="4" t="str">
        <f>IF(C949=$L949,1,IF(C949="","",0))</f>
        <v/>
      </c>
      <c r="C949" s="42"/>
      <c r="D949" s="4" t="str">
        <f>IF(E949=$L949,1,IF(E949="","",0))</f>
        <v/>
      </c>
      <c r="E949" s="14"/>
      <c r="F949" s="4" t="str">
        <f>IF(G949=$L949,1,IF(G949="","",0))</f>
        <v/>
      </c>
      <c r="G949" s="14"/>
      <c r="H949" s="6">
        <v>1022</v>
      </c>
      <c r="I949" s="15" t="s">
        <v>3120</v>
      </c>
      <c r="J949" s="6" t="s">
        <v>4150</v>
      </c>
      <c r="K949" s="6"/>
      <c r="L949" s="6" t="s">
        <v>1132</v>
      </c>
      <c r="M949" s="6" t="s">
        <v>7130</v>
      </c>
      <c r="N949" s="7">
        <f ca="1">RAND()</f>
        <v>0.4100592286110788</v>
      </c>
      <c r="O949" s="8">
        <v>45205</v>
      </c>
      <c r="P949" s="8">
        <v>45206</v>
      </c>
      <c r="Q949" s="8">
        <v>45208</v>
      </c>
      <c r="R949" s="8">
        <v>45212</v>
      </c>
      <c r="S949" s="8">
        <v>45219</v>
      </c>
      <c r="T949" s="8">
        <v>45231</v>
      </c>
      <c r="U949" s="8">
        <v>45792</v>
      </c>
      <c r="V949" s="10">
        <f>COUNTA(O949:U949)</f>
        <v>7</v>
      </c>
      <c r="W949" s="11">
        <f>_xlfn.IFNA(INDEX(reading[[#This Row],[Memo 01]:[Memo 07]],MATCH(0,reading[[#This Row],[Memo 01]:[Memo 07]],-1)),"")</f>
        <v>45792</v>
      </c>
      <c r="X949" s="11">
        <f ca="1">IFERROR(reading[[#This Row],[Previous]]+OFFSET(reading[[#Headers],[Memo 01]],-1,MATCH(0,reading[[#This Row],[Memo 01]:[Memo 07]],-1)-1),"")</f>
        <v>55792</v>
      </c>
      <c r="Y949" s="10" t="str">
        <f ca="1">IF(reading[[#This Row],[Next]]&lt;&gt;"",IF(reading[[#This Row],[Next]]&gt;TODAY(),"OK",""),"")</f>
        <v>OK</v>
      </c>
      <c r="Z949" s="13">
        <v>3</v>
      </c>
      <c r="AA949" s="13">
        <v>3</v>
      </c>
      <c r="AB949" s="13">
        <v>3</v>
      </c>
      <c r="AC949" s="13">
        <v>3</v>
      </c>
      <c r="AD949" s="13">
        <v>3</v>
      </c>
      <c r="AE949" s="13">
        <v>3</v>
      </c>
      <c r="AF949" s="13">
        <v>3</v>
      </c>
      <c r="AG949" s="16">
        <f>IFERROR(SUMIF(reading[[#This Row],[1st]:[7th]],"&gt;0")/COUNTIF(reading[[#This Row],[1st]:[7th]],"&gt;0"),"")</f>
        <v>3</v>
      </c>
    </row>
    <row r="950" spans="1:33" hidden="1" x14ac:dyDescent="0.2">
      <c r="A950" s="4">
        <f>IF(B950=1,3,IF(D950=1,2,IF(F950=1,1,0)))</f>
        <v>0</v>
      </c>
      <c r="B950" s="4" t="str">
        <f>IF(C950=$L950,1,IF(C950="","",0))</f>
        <v/>
      </c>
      <c r="C950" s="43"/>
      <c r="D950" s="4" t="str">
        <f>IF(E950=$L950,1,IF(E950="","",0))</f>
        <v/>
      </c>
      <c r="E950" s="14"/>
      <c r="F950" s="4" t="str">
        <f>IF(G950=$L950,1,IF(G950="","",0))</f>
        <v/>
      </c>
      <c r="G950" s="14"/>
      <c r="H950" s="6">
        <v>234</v>
      </c>
      <c r="I950" s="15" t="s">
        <v>3120</v>
      </c>
      <c r="J950" s="6" t="s">
        <v>3383</v>
      </c>
      <c r="K950" s="6"/>
      <c r="L950" s="6" t="s">
        <v>369</v>
      </c>
      <c r="M950" s="6" t="s">
        <v>6343</v>
      </c>
      <c r="N950" s="7">
        <f ca="1">RAND()</f>
        <v>0.65976607796142583</v>
      </c>
      <c r="O950" s="8">
        <v>45199</v>
      </c>
      <c r="P950" s="8">
        <v>45200</v>
      </c>
      <c r="Q950" s="8">
        <v>45202</v>
      </c>
      <c r="R950" s="8">
        <v>45206</v>
      </c>
      <c r="S950" s="8">
        <v>45213</v>
      </c>
      <c r="T950" s="8">
        <v>45225</v>
      </c>
      <c r="U950" s="8">
        <v>45801</v>
      </c>
      <c r="V950" s="10">
        <f>COUNTA(O950:U950)</f>
        <v>7</v>
      </c>
      <c r="W950" s="11">
        <f>_xlfn.IFNA(INDEX(reading[[#This Row],[Memo 01]:[Memo 07]],MATCH(0,reading[[#This Row],[Memo 01]:[Memo 07]],-1)),"")</f>
        <v>45801</v>
      </c>
      <c r="X950" s="11">
        <f ca="1">IFERROR(reading[[#This Row],[Previous]]+OFFSET(reading[[#Headers],[Memo 01]],-1,MATCH(0,reading[[#This Row],[Memo 01]:[Memo 07]],-1)-1),"")</f>
        <v>55801</v>
      </c>
      <c r="Y950" s="10" t="str">
        <f ca="1">IF(reading[[#This Row],[Next]]&lt;&gt;"",IF(reading[[#This Row],[Next]]&gt;TODAY(),"OK",""),"")</f>
        <v>OK</v>
      </c>
      <c r="Z950" s="13">
        <v>3</v>
      </c>
      <c r="AA950" s="13">
        <v>3</v>
      </c>
      <c r="AB950" s="13">
        <v>3</v>
      </c>
      <c r="AC950" s="13">
        <v>3</v>
      </c>
      <c r="AD950" s="13">
        <v>3</v>
      </c>
      <c r="AE950" s="13">
        <v>3</v>
      </c>
      <c r="AF950" s="13">
        <v>3</v>
      </c>
      <c r="AG950" s="16">
        <f>IFERROR(SUMIF(reading[[#This Row],[1st]:[7th]],"&gt;0")/COUNTIF(reading[[#This Row],[1st]:[7th]],"&gt;0"),"")</f>
        <v>3</v>
      </c>
    </row>
    <row r="951" spans="1:33" hidden="1" x14ac:dyDescent="0.2">
      <c r="A951" s="4">
        <f>IF(B951=1,3,IF(D951=1,2,IF(F951=1,1,0)))</f>
        <v>0</v>
      </c>
      <c r="B951" s="4" t="str">
        <f>IF(C951=$L951,1,IF(C951="","",0))</f>
        <v/>
      </c>
      <c r="C951" s="42"/>
      <c r="D951" s="4" t="str">
        <f>IF(E951=$L951,1,IF(E951="","",0))</f>
        <v/>
      </c>
      <c r="E951" s="14"/>
      <c r="F951" s="4" t="str">
        <f>IF(G951=$L951,1,IF(G951="","",0))</f>
        <v/>
      </c>
      <c r="G951" s="14"/>
      <c r="H951" s="6">
        <v>2618</v>
      </c>
      <c r="I951" s="15" t="s">
        <v>3120</v>
      </c>
      <c r="J951" s="6" t="s">
        <v>5673</v>
      </c>
      <c r="K951" s="6"/>
      <c r="L951" s="6" t="s">
        <v>2660</v>
      </c>
      <c r="M951" s="6" t="s">
        <v>8723</v>
      </c>
      <c r="N951" s="7">
        <f ca="1">RAND()</f>
        <v>0.34508010511937159</v>
      </c>
      <c r="O951" s="8">
        <v>45220</v>
      </c>
      <c r="P951" s="8">
        <v>45221</v>
      </c>
      <c r="Q951" s="8">
        <v>45223</v>
      </c>
      <c r="R951" s="8">
        <v>45227</v>
      </c>
      <c r="S951" s="8">
        <v>45234</v>
      </c>
      <c r="T951" s="8">
        <v>45801</v>
      </c>
      <c r="U951" s="8">
        <v>45824</v>
      </c>
      <c r="V951" s="10">
        <f>COUNTA(O951:U951)</f>
        <v>7</v>
      </c>
      <c r="W951" s="11">
        <f>_xlfn.IFNA(INDEX(reading[[#This Row],[Memo 01]:[Memo 07]],MATCH(0,reading[[#This Row],[Memo 01]:[Memo 07]],-1)),"")</f>
        <v>45824</v>
      </c>
      <c r="X951" s="11">
        <f ca="1">IFERROR(reading[[#This Row],[Previous]]+OFFSET(reading[[#Headers],[Memo 01]],-1,MATCH(0,reading[[#This Row],[Memo 01]:[Memo 07]],-1)-1),"")</f>
        <v>55824</v>
      </c>
      <c r="Y951" s="10" t="str">
        <f ca="1">IF(reading[[#This Row],[Next]]&lt;&gt;"",IF(reading[[#This Row],[Next]]&gt;TODAY(),"OK",""),"")</f>
        <v>OK</v>
      </c>
      <c r="Z951" s="13">
        <v>3</v>
      </c>
      <c r="AA951" s="13">
        <v>3</v>
      </c>
      <c r="AB951" s="13">
        <v>3</v>
      </c>
      <c r="AC951" s="13">
        <v>3</v>
      </c>
      <c r="AD951" s="13">
        <v>3</v>
      </c>
      <c r="AE951" s="13">
        <v>3</v>
      </c>
      <c r="AF951" s="13">
        <v>3</v>
      </c>
      <c r="AG951" s="16">
        <f>IFERROR(SUMIF(reading[[#This Row],[1st]:[7th]],"&gt;0")/COUNTIF(reading[[#This Row],[1st]:[7th]],"&gt;0"),"")</f>
        <v>3</v>
      </c>
    </row>
    <row r="952" spans="1:33" hidden="1" x14ac:dyDescent="0.2">
      <c r="A952" s="4">
        <f>IF(B952=1,3,IF(D952=1,2,IF(F952=1,1,0)))</f>
        <v>0</v>
      </c>
      <c r="B952" s="4" t="str">
        <f>IF(C952=$L952,1,IF(C952="","",0))</f>
        <v/>
      </c>
      <c r="C952" s="42"/>
      <c r="D952" s="4" t="str">
        <f>IF(E952=$L952,1,IF(E952="","",0))</f>
        <v/>
      </c>
      <c r="E952" s="43"/>
      <c r="F952" s="4" t="str">
        <f>IF(G952=$L952,1,IF(G952="","",0))</f>
        <v/>
      </c>
      <c r="G952" s="14"/>
      <c r="H952" s="6">
        <v>1575</v>
      </c>
      <c r="I952" s="15" t="s">
        <v>3120</v>
      </c>
      <c r="J952" s="6" t="s">
        <v>4688</v>
      </c>
      <c r="K952" s="6"/>
      <c r="L952" s="6" t="s">
        <v>1659</v>
      </c>
      <c r="M952" s="6" t="s">
        <v>7681</v>
      </c>
      <c r="N952" s="7">
        <f ca="1">RAND()</f>
        <v>0.92364601676893976</v>
      </c>
      <c r="O952" s="8">
        <v>45209</v>
      </c>
      <c r="P952" s="8">
        <v>45210</v>
      </c>
      <c r="Q952" s="8">
        <v>45213</v>
      </c>
      <c r="R952" s="8">
        <v>45217</v>
      </c>
      <c r="S952" s="8">
        <v>45224</v>
      </c>
      <c r="T952" s="8">
        <v>45236</v>
      </c>
      <c r="U952" s="8">
        <v>45811</v>
      </c>
      <c r="V952" s="10">
        <f>COUNTA(O952:U952)</f>
        <v>7</v>
      </c>
      <c r="W952" s="11">
        <f>_xlfn.IFNA(INDEX(reading[[#This Row],[Memo 01]:[Memo 07]],MATCH(0,reading[[#This Row],[Memo 01]:[Memo 07]],-1)),"")</f>
        <v>45811</v>
      </c>
      <c r="X952" s="11">
        <f ca="1">IFERROR(reading[[#This Row],[Previous]]+OFFSET(reading[[#Headers],[Memo 01]],-1,MATCH(0,reading[[#This Row],[Memo 01]:[Memo 07]],-1)-1),"")</f>
        <v>55811</v>
      </c>
      <c r="Y952" s="10" t="str">
        <f ca="1">IF(reading[[#This Row],[Next]]&lt;&gt;"",IF(reading[[#This Row],[Next]]&gt;TODAY(),"OK",""),"")</f>
        <v>OK</v>
      </c>
      <c r="Z952" s="13">
        <v>3</v>
      </c>
      <c r="AA952" s="13">
        <v>3</v>
      </c>
      <c r="AB952" s="13">
        <v>2</v>
      </c>
      <c r="AC952" s="13">
        <v>2</v>
      </c>
      <c r="AD952" s="13">
        <v>2</v>
      </c>
      <c r="AE952" s="13">
        <v>3</v>
      </c>
      <c r="AF952" s="13">
        <v>2</v>
      </c>
      <c r="AG952" s="16">
        <f>IFERROR(SUMIF(reading[[#This Row],[1st]:[7th]],"&gt;0")/COUNTIF(reading[[#This Row],[1st]:[7th]],"&gt;0"),"")</f>
        <v>2.4285714285714284</v>
      </c>
    </row>
    <row r="953" spans="1:33" hidden="1" x14ac:dyDescent="0.2">
      <c r="A953" s="4">
        <f>IF(B953=1,3,IF(D953=1,2,IF(F953=1,1,0)))</f>
        <v>0</v>
      </c>
      <c r="B953" s="4" t="str">
        <f>IF(C953=$L953,1,IF(C953="","",0))</f>
        <v/>
      </c>
      <c r="C953" s="42"/>
      <c r="D953" s="4" t="str">
        <f>IF(E953=$L953,1,IF(E953="","",0))</f>
        <v/>
      </c>
      <c r="E953" s="14"/>
      <c r="F953" s="4" t="str">
        <f>IF(G953=$L953,1,IF(G953="","",0))</f>
        <v/>
      </c>
      <c r="G953" s="14"/>
      <c r="H953" s="6">
        <v>545</v>
      </c>
      <c r="I953" s="15" t="s">
        <v>3120</v>
      </c>
      <c r="J953" s="6" t="s">
        <v>3690</v>
      </c>
      <c r="K953" s="6"/>
      <c r="L953" s="6" t="s">
        <v>673</v>
      </c>
      <c r="M953" s="6" t="s">
        <v>6654</v>
      </c>
      <c r="N953" s="7">
        <f ca="1">RAND()</f>
        <v>0.77407737589257442</v>
      </c>
      <c r="O953" s="8">
        <v>45202</v>
      </c>
      <c r="P953" s="8">
        <v>45203</v>
      </c>
      <c r="Q953" s="8">
        <v>45205</v>
      </c>
      <c r="R953" s="8">
        <v>45209</v>
      </c>
      <c r="S953" s="8">
        <v>45216</v>
      </c>
      <c r="T953" s="8">
        <v>45228</v>
      </c>
      <c r="U953" s="8">
        <v>45801</v>
      </c>
      <c r="V953" s="10">
        <f>COUNTA(O953:U953)</f>
        <v>7</v>
      </c>
      <c r="W953" s="11">
        <f>_xlfn.IFNA(INDEX(reading[[#This Row],[Memo 01]:[Memo 07]],MATCH(0,reading[[#This Row],[Memo 01]:[Memo 07]],-1)),"")</f>
        <v>45801</v>
      </c>
      <c r="X953" s="11">
        <f ca="1">IFERROR(reading[[#This Row],[Previous]]+OFFSET(reading[[#Headers],[Memo 01]],-1,MATCH(0,reading[[#This Row],[Memo 01]:[Memo 07]],-1)-1),"")</f>
        <v>55801</v>
      </c>
      <c r="Y953" s="10" t="str">
        <f ca="1">IF(reading[[#This Row],[Next]]&lt;&gt;"",IF(reading[[#This Row],[Next]]&gt;TODAY(),"OK",""),"")</f>
        <v>OK</v>
      </c>
      <c r="Z953" s="13">
        <v>3</v>
      </c>
      <c r="AA953" s="13">
        <v>3</v>
      </c>
      <c r="AB953" s="13">
        <v>3</v>
      </c>
      <c r="AC953" s="13">
        <v>3</v>
      </c>
      <c r="AD953" s="13">
        <v>3</v>
      </c>
      <c r="AE953" s="13">
        <v>3</v>
      </c>
      <c r="AF953" s="13">
        <v>3</v>
      </c>
      <c r="AG953" s="16">
        <f>IFERROR(SUMIF(reading[[#This Row],[1st]:[7th]],"&gt;0")/COUNTIF(reading[[#This Row],[1st]:[7th]],"&gt;0"),"")</f>
        <v>3</v>
      </c>
    </row>
    <row r="954" spans="1:33" hidden="1" x14ac:dyDescent="0.2">
      <c r="A954" s="4">
        <f>IF(B954=1,3,IF(D954=1,2,IF(F954=1,1,0)))</f>
        <v>0</v>
      </c>
      <c r="B954" s="4" t="str">
        <f>IF(C954=$L954,1,IF(C954="","",0))</f>
        <v/>
      </c>
      <c r="C954" s="42"/>
      <c r="D954" s="4" t="str">
        <f>IF(E954=$L954,1,IF(E954="","",0))</f>
        <v/>
      </c>
      <c r="E954" s="43"/>
      <c r="F954" s="4" t="str">
        <f>IF(G954=$L954,1,IF(G954="","",0))</f>
        <v/>
      </c>
      <c r="G954" s="23"/>
      <c r="H954" s="6">
        <v>698</v>
      </c>
      <c r="I954" s="15" t="s">
        <v>3120</v>
      </c>
      <c r="J954" s="6" t="s">
        <v>3837</v>
      </c>
      <c r="K954" s="6"/>
      <c r="L954" s="6" t="s">
        <v>821</v>
      </c>
      <c r="M954" s="6" t="s">
        <v>6807</v>
      </c>
      <c r="N954" s="7">
        <f ca="1">RAND()</f>
        <v>0.9102749559177844</v>
      </c>
      <c r="O954" s="8">
        <v>45203</v>
      </c>
      <c r="P954" s="8">
        <v>45204</v>
      </c>
      <c r="Q954" s="8">
        <v>45206</v>
      </c>
      <c r="R954" s="8">
        <v>45210</v>
      </c>
      <c r="S954" s="8">
        <v>45217</v>
      </c>
      <c r="T954" s="8">
        <v>45229</v>
      </c>
      <c r="U954" s="8">
        <v>45811</v>
      </c>
      <c r="V954" s="10">
        <f>COUNTA(O954:U954)</f>
        <v>7</v>
      </c>
      <c r="W954" s="11">
        <f>_xlfn.IFNA(INDEX(reading[[#This Row],[Memo 01]:[Memo 07]],MATCH(0,reading[[#This Row],[Memo 01]:[Memo 07]],-1)),"")</f>
        <v>45811</v>
      </c>
      <c r="X954" s="11">
        <f ca="1">IFERROR(reading[[#This Row],[Previous]]+OFFSET(reading[[#Headers],[Memo 01]],-1,MATCH(0,reading[[#This Row],[Memo 01]:[Memo 07]],-1)-1),"")</f>
        <v>55811</v>
      </c>
      <c r="Y954" s="10" t="str">
        <f ca="1">IF(reading[[#This Row],[Next]]&lt;&gt;"",IF(reading[[#This Row],[Next]]&gt;TODAY(),"OK",""),"")</f>
        <v>OK</v>
      </c>
      <c r="Z954" s="13">
        <v>3</v>
      </c>
      <c r="AA954" s="13">
        <v>2</v>
      </c>
      <c r="AB954" s="13">
        <v>3</v>
      </c>
      <c r="AC954" s="13">
        <v>3</v>
      </c>
      <c r="AD954" s="13">
        <v>3</v>
      </c>
      <c r="AE954" s="13">
        <v>3</v>
      </c>
      <c r="AF954" s="13">
        <v>1</v>
      </c>
      <c r="AG954" s="16">
        <f>IFERROR(SUMIF(reading[[#This Row],[1st]:[7th]],"&gt;0")/COUNTIF(reading[[#This Row],[1st]:[7th]],"&gt;0"),"")</f>
        <v>2.5714285714285716</v>
      </c>
    </row>
    <row r="955" spans="1:33" hidden="1" x14ac:dyDescent="0.2">
      <c r="A955" s="4">
        <f>IF(B955=1,3,IF(D955=1,2,IF(F955=1,1,0)))</f>
        <v>3</v>
      </c>
      <c r="B955" s="4">
        <f>IF(C955=$L955,1,IF(C955="","",0))</f>
        <v>1</v>
      </c>
      <c r="C955" s="22" t="s">
        <v>1069</v>
      </c>
      <c r="D955" s="4" t="str">
        <f>IF(E955=$L955,1,IF(E955="","",0))</f>
        <v/>
      </c>
      <c r="E955" s="14"/>
      <c r="F955" s="4" t="str">
        <f>IF(G955=$L955,1,IF(G955="","",0))</f>
        <v/>
      </c>
      <c r="G955" s="14"/>
      <c r="H955" s="6">
        <v>959</v>
      </c>
      <c r="I955" s="15" t="s">
        <v>3120</v>
      </c>
      <c r="J955" s="6" t="s">
        <v>4088</v>
      </c>
      <c r="K955" s="6"/>
      <c r="L955" s="6" t="s">
        <v>1069</v>
      </c>
      <c r="M955" s="6" t="s">
        <v>7067</v>
      </c>
      <c r="N955" s="7">
        <f ca="1">RAND()</f>
        <v>0.80496482758055499</v>
      </c>
      <c r="O955" s="8">
        <v>45204</v>
      </c>
      <c r="P955" s="8">
        <v>45204</v>
      </c>
      <c r="Q955" s="8">
        <v>45204</v>
      </c>
      <c r="R955" s="8">
        <v>45204</v>
      </c>
      <c r="S955" s="8">
        <v>45204</v>
      </c>
      <c r="T955" s="8">
        <v>45204</v>
      </c>
      <c r="U955" s="8">
        <v>45204</v>
      </c>
      <c r="V955" s="10">
        <f>COUNTA(O955:U955)</f>
        <v>7</v>
      </c>
      <c r="W955" s="11">
        <f>_xlfn.IFNA(INDEX(reading[[#This Row],[Memo 01]:[Memo 07]],MATCH(0,reading[[#This Row],[Memo 01]:[Memo 07]],-1)),"")</f>
        <v>45204</v>
      </c>
      <c r="X955" s="11">
        <f ca="1">IFERROR(reading[[#This Row],[Previous]]+OFFSET(reading[[#Headers],[Memo 01]],-1,MATCH(0,reading[[#This Row],[Memo 01]:[Memo 07]],-1)-1),"")</f>
        <v>55204</v>
      </c>
      <c r="Y955" s="10" t="str">
        <f ca="1">IF(reading[[#This Row],[Next]]&lt;&gt;"",IF(reading[[#This Row],[Next]]&gt;TODAY(),"OK",""),"")</f>
        <v>OK</v>
      </c>
      <c r="Z955" s="13">
        <v>3</v>
      </c>
      <c r="AA955" s="13"/>
      <c r="AB955" s="13"/>
      <c r="AC955" s="13"/>
      <c r="AD955" s="13"/>
      <c r="AE955" s="13"/>
      <c r="AF955" s="13"/>
      <c r="AG955" s="16">
        <f>IFERROR(SUMIF(reading[[#This Row],[1st]:[7th]],"&gt;0")/COUNTIF(reading[[#This Row],[1st]:[7th]],"&gt;0"),"")</f>
        <v>3</v>
      </c>
    </row>
    <row r="956" spans="1:33" hidden="1" x14ac:dyDescent="0.2">
      <c r="A956" s="4">
        <f>IF(B956=1,3,IF(D956=1,2,IF(F956=1,1,0)))</f>
        <v>0</v>
      </c>
      <c r="B956" s="4" t="str">
        <f>IF(C956=$L956,1,IF(C956="","",0))</f>
        <v/>
      </c>
      <c r="C956" s="42"/>
      <c r="D956" s="4" t="str">
        <f>IF(E956=$L956,1,IF(E956="","",0))</f>
        <v/>
      </c>
      <c r="E956" s="14"/>
      <c r="F956" s="4" t="str">
        <f>IF(G956=$L956,1,IF(G956="","",0))</f>
        <v/>
      </c>
      <c r="G956" s="14"/>
      <c r="H956" s="6">
        <v>863</v>
      </c>
      <c r="I956" s="15" t="s">
        <v>3120</v>
      </c>
      <c r="J956" s="6" t="s">
        <v>3995</v>
      </c>
      <c r="K956" s="6"/>
      <c r="L956" s="6" t="s">
        <v>122</v>
      </c>
      <c r="M956" s="6" t="s">
        <v>6972</v>
      </c>
      <c r="N956" s="7">
        <f ca="1">RAND()</f>
        <v>0.98101495468865441</v>
      </c>
      <c r="O956" s="8">
        <v>45203</v>
      </c>
      <c r="P956" s="8">
        <v>45204</v>
      </c>
      <c r="Q956" s="8">
        <v>45206</v>
      </c>
      <c r="R956" s="8">
        <v>45210</v>
      </c>
      <c r="S956" s="8">
        <v>45217</v>
      </c>
      <c r="T956" s="8">
        <v>45229</v>
      </c>
      <c r="U956" s="8">
        <v>45792</v>
      </c>
      <c r="V956" s="10">
        <f>COUNTA(O956:U956)</f>
        <v>7</v>
      </c>
      <c r="W956" s="11">
        <f>_xlfn.IFNA(INDEX(reading[[#This Row],[Memo 01]:[Memo 07]],MATCH(0,reading[[#This Row],[Memo 01]:[Memo 07]],-1)),"")</f>
        <v>45792</v>
      </c>
      <c r="X956" s="11">
        <f ca="1">IFERROR(reading[[#This Row],[Previous]]+OFFSET(reading[[#Headers],[Memo 01]],-1,MATCH(0,reading[[#This Row],[Memo 01]:[Memo 07]],-1)-1),"")</f>
        <v>55792</v>
      </c>
      <c r="Y956" s="10" t="str">
        <f ca="1">IF(reading[[#This Row],[Next]]&lt;&gt;"",IF(reading[[#This Row],[Next]]&gt;TODAY(),"OK",""),"")</f>
        <v>OK</v>
      </c>
      <c r="Z956" s="13">
        <v>3</v>
      </c>
      <c r="AA956" s="13">
        <v>3</v>
      </c>
      <c r="AB956" s="13">
        <v>3</v>
      </c>
      <c r="AC956" s="13">
        <v>3</v>
      </c>
      <c r="AD956" s="13">
        <v>3</v>
      </c>
      <c r="AE956" s="13">
        <v>3</v>
      </c>
      <c r="AF956" s="13">
        <v>3</v>
      </c>
      <c r="AG956" s="16">
        <f>IFERROR(SUMIF(reading[[#This Row],[1st]:[7th]],"&gt;0")/COUNTIF(reading[[#This Row],[1st]:[7th]],"&gt;0"),"")</f>
        <v>3</v>
      </c>
    </row>
    <row r="957" spans="1:33" hidden="1" x14ac:dyDescent="0.2">
      <c r="A957" s="4">
        <f>IF(B957=1,3,IF(D957=1,2,IF(F957=1,1,0)))</f>
        <v>0</v>
      </c>
      <c r="B957" s="4" t="str">
        <f>IF(C957=$L957,1,IF(C957="","",0))</f>
        <v/>
      </c>
      <c r="C957" s="42"/>
      <c r="D957" s="4" t="str">
        <f>IF(E957=$L957,1,IF(E957="","",0))</f>
        <v/>
      </c>
      <c r="E957" s="14"/>
      <c r="F957" s="4" t="str">
        <f>IF(G957=$L957,1,IF(G957="","",0))</f>
        <v/>
      </c>
      <c r="G957" s="14"/>
      <c r="H957" s="6">
        <v>1534</v>
      </c>
      <c r="I957" s="15" t="s">
        <v>3120</v>
      </c>
      <c r="J957" s="6" t="s">
        <v>4647</v>
      </c>
      <c r="K957" s="6"/>
      <c r="L957" s="6" t="s">
        <v>1619</v>
      </c>
      <c r="M957" s="6" t="s">
        <v>7641</v>
      </c>
      <c r="N957" s="7">
        <f ca="1">RAND()</f>
        <v>0.9166336751805011</v>
      </c>
      <c r="O957" s="8">
        <v>45209</v>
      </c>
      <c r="P957" s="8">
        <v>45210</v>
      </c>
      <c r="Q957" s="8">
        <v>45212</v>
      </c>
      <c r="R957" s="8">
        <v>45216</v>
      </c>
      <c r="S957" s="8">
        <v>45223</v>
      </c>
      <c r="T957" s="8">
        <v>45235</v>
      </c>
      <c r="U957" s="8">
        <v>45792</v>
      </c>
      <c r="V957" s="10">
        <f>COUNTA(O957:U957)</f>
        <v>7</v>
      </c>
      <c r="W957" s="11">
        <f>_xlfn.IFNA(INDEX(reading[[#This Row],[Memo 01]:[Memo 07]],MATCH(0,reading[[#This Row],[Memo 01]:[Memo 07]],-1)),"")</f>
        <v>45792</v>
      </c>
      <c r="X957" s="11">
        <f ca="1">IFERROR(reading[[#This Row],[Previous]]+OFFSET(reading[[#Headers],[Memo 01]],-1,MATCH(0,reading[[#This Row],[Memo 01]:[Memo 07]],-1)-1),"")</f>
        <v>55792</v>
      </c>
      <c r="Y957" s="10" t="str">
        <f ca="1">IF(reading[[#This Row],[Next]]&lt;&gt;"",IF(reading[[#This Row],[Next]]&gt;TODAY(),"OK",""),"")</f>
        <v>OK</v>
      </c>
      <c r="Z957" s="13">
        <v>3</v>
      </c>
      <c r="AA957" s="13">
        <v>3</v>
      </c>
      <c r="AB957" s="13">
        <v>3</v>
      </c>
      <c r="AC957" s="13">
        <v>3</v>
      </c>
      <c r="AD957" s="13">
        <v>3</v>
      </c>
      <c r="AE957" s="13">
        <v>3</v>
      </c>
      <c r="AF957" s="13">
        <v>3</v>
      </c>
      <c r="AG957" s="16">
        <f>IFERROR(SUMIF(reading[[#This Row],[1st]:[7th]],"&gt;0")/COUNTIF(reading[[#This Row],[1st]:[7th]],"&gt;0"),"")</f>
        <v>3</v>
      </c>
    </row>
    <row r="958" spans="1:33" hidden="1" x14ac:dyDescent="0.2">
      <c r="A958" s="4">
        <f>IF(B958=1,3,IF(D958=1,2,IF(F958=1,1,0)))</f>
        <v>0</v>
      </c>
      <c r="B958" s="4" t="str">
        <f>IF(C958=$L958,1,IF(C958="","",0))</f>
        <v/>
      </c>
      <c r="C958" s="42"/>
      <c r="D958" s="4" t="str">
        <f>IF(E958=$L958,1,IF(E958="","",0))</f>
        <v/>
      </c>
      <c r="E958" s="23"/>
      <c r="F958" s="4" t="str">
        <f>IF(G958=$L958,1,IF(G958="","",0))</f>
        <v/>
      </c>
      <c r="G958" s="23"/>
      <c r="H958" s="6">
        <v>1883</v>
      </c>
      <c r="I958" s="15" t="s">
        <v>3120</v>
      </c>
      <c r="J958" s="6" t="s">
        <v>4985</v>
      </c>
      <c r="K958" s="6"/>
      <c r="L958" s="6" t="s">
        <v>1960</v>
      </c>
      <c r="M958" s="6" t="s">
        <v>7989</v>
      </c>
      <c r="N958" s="7">
        <f ca="1">RAND()</f>
        <v>0.58198282456288108</v>
      </c>
      <c r="O958" s="8">
        <v>45213</v>
      </c>
      <c r="P958" s="8">
        <v>45214</v>
      </c>
      <c r="Q958" s="8">
        <v>45216</v>
      </c>
      <c r="R958" s="8">
        <v>45220</v>
      </c>
      <c r="S958" s="8">
        <v>45227</v>
      </c>
      <c r="T958" s="8">
        <v>45819</v>
      </c>
      <c r="U958" s="8"/>
      <c r="V958" s="10">
        <f>COUNTA(O958:U958)</f>
        <v>6</v>
      </c>
      <c r="W958" s="11">
        <f>_xlfn.IFNA(INDEX(reading[[#This Row],[Memo 01]:[Memo 07]],MATCH(0,reading[[#This Row],[Memo 01]:[Memo 07]],-1)),"")</f>
        <v>45819</v>
      </c>
      <c r="X958" s="11">
        <f ca="1">IFERROR(reading[[#This Row],[Previous]]+OFFSET(reading[[#Headers],[Memo 01]],-1,MATCH(0,reading[[#This Row],[Memo 01]:[Memo 07]],-1)-1),"")</f>
        <v>45839</v>
      </c>
      <c r="Y958" s="10" t="str">
        <f ca="1">IF(reading[[#This Row],[Next]]&lt;&gt;"",IF(reading[[#This Row],[Next]]&gt;TODAY(),"OK",""),"")</f>
        <v>OK</v>
      </c>
      <c r="Z958" s="13">
        <v>3</v>
      </c>
      <c r="AA958" s="13">
        <v>3</v>
      </c>
      <c r="AB958" s="13">
        <v>3</v>
      </c>
      <c r="AC958" s="13">
        <v>3</v>
      </c>
      <c r="AD958" s="13">
        <v>3</v>
      </c>
      <c r="AE958" s="13">
        <v>1</v>
      </c>
      <c r="AF958" s="13"/>
      <c r="AG958" s="16">
        <f>IFERROR(SUMIF(reading[[#This Row],[1st]:[7th]],"&gt;0")/COUNTIF(reading[[#This Row],[1st]:[7th]],"&gt;0"),"")</f>
        <v>2.6666666666666665</v>
      </c>
    </row>
    <row r="959" spans="1:33" hidden="1" x14ac:dyDescent="0.2">
      <c r="A959" s="4">
        <f>IF(B959=1,3,IF(D959=1,2,IF(F959=1,1,0)))</f>
        <v>0</v>
      </c>
      <c r="B959" s="4" t="str">
        <f>IF(C959=$L959,1,IF(C959="","",0))</f>
        <v/>
      </c>
      <c r="C959" s="42"/>
      <c r="D959" s="4" t="str">
        <f>IF(E959=$L959,1,IF(E959="","",0))</f>
        <v/>
      </c>
      <c r="E959" s="14"/>
      <c r="F959" s="4" t="str">
        <f>IF(G959=$L959,1,IF(G959="","",0))</f>
        <v/>
      </c>
      <c r="G959" s="14"/>
      <c r="H959" s="6">
        <v>1595</v>
      </c>
      <c r="I959" s="15" t="s">
        <v>3120</v>
      </c>
      <c r="J959" s="6" t="s">
        <v>4707</v>
      </c>
      <c r="K959" s="6"/>
      <c r="L959" s="6" t="s">
        <v>1678</v>
      </c>
      <c r="M959" s="6" t="s">
        <v>7701</v>
      </c>
      <c r="N959" s="7">
        <f ca="1">RAND()</f>
        <v>0.18679833930593326</v>
      </c>
      <c r="O959" s="8">
        <v>45209</v>
      </c>
      <c r="P959" s="8">
        <v>45210</v>
      </c>
      <c r="Q959" s="8">
        <v>45212</v>
      </c>
      <c r="R959" s="8">
        <v>45216</v>
      </c>
      <c r="S959" s="8">
        <v>45223</v>
      </c>
      <c r="T959" s="8">
        <v>45235</v>
      </c>
      <c r="U959" s="8">
        <v>45792</v>
      </c>
      <c r="V959" s="10">
        <f>COUNTA(O959:U959)</f>
        <v>7</v>
      </c>
      <c r="W959" s="11">
        <f>_xlfn.IFNA(INDEX(reading[[#This Row],[Memo 01]:[Memo 07]],MATCH(0,reading[[#This Row],[Memo 01]:[Memo 07]],-1)),"")</f>
        <v>45792</v>
      </c>
      <c r="X959" s="11">
        <f ca="1">IFERROR(reading[[#This Row],[Previous]]+OFFSET(reading[[#Headers],[Memo 01]],-1,MATCH(0,reading[[#This Row],[Memo 01]:[Memo 07]],-1)-1),"")</f>
        <v>55792</v>
      </c>
      <c r="Y959" s="10" t="str">
        <f ca="1">IF(reading[[#This Row],[Next]]&lt;&gt;"",IF(reading[[#This Row],[Next]]&gt;TODAY(),"OK",""),"")</f>
        <v>OK</v>
      </c>
      <c r="Z959" s="13">
        <v>3</v>
      </c>
      <c r="AA959" s="13">
        <v>2</v>
      </c>
      <c r="AB959" s="13">
        <v>3</v>
      </c>
      <c r="AC959" s="13">
        <v>3</v>
      </c>
      <c r="AD959" s="13">
        <v>3</v>
      </c>
      <c r="AE959" s="13">
        <v>3</v>
      </c>
      <c r="AF959" s="13">
        <v>3</v>
      </c>
      <c r="AG959" s="16">
        <f>IFERROR(SUMIF(reading[[#This Row],[1st]:[7th]],"&gt;0")/COUNTIF(reading[[#This Row],[1st]:[7th]],"&gt;0"),"")</f>
        <v>2.8571428571428572</v>
      </c>
    </row>
    <row r="960" spans="1:33" hidden="1" x14ac:dyDescent="0.2">
      <c r="A960" s="4">
        <f>IF(B960=1,3,IF(D960=1,2,IF(F960=1,1,0)))</f>
        <v>0</v>
      </c>
      <c r="B960" s="4" t="str">
        <f>IF(C960=$L960,1,IF(C960="","",0))</f>
        <v/>
      </c>
      <c r="C960" s="42"/>
      <c r="D960" s="4" t="str">
        <f>IF(E960=$L960,1,IF(E960="","",0))</f>
        <v/>
      </c>
      <c r="E960" s="43"/>
      <c r="F960" s="4" t="str">
        <f>IF(G960=$L960,1,IF(G960="","",0))</f>
        <v/>
      </c>
      <c r="G960" s="23"/>
      <c r="H960" s="6">
        <v>2434</v>
      </c>
      <c r="I960" s="15" t="s">
        <v>3120</v>
      </c>
      <c r="J960" s="6" t="s">
        <v>5504</v>
      </c>
      <c r="K960" s="6"/>
      <c r="L960" s="6" t="s">
        <v>2484</v>
      </c>
      <c r="M960" s="6" t="s">
        <v>8539</v>
      </c>
      <c r="N960" s="7">
        <f ca="1">RAND()</f>
        <v>0.8765953420083793</v>
      </c>
      <c r="O960" s="8">
        <v>45217</v>
      </c>
      <c r="P960" s="8">
        <v>45218</v>
      </c>
      <c r="Q960" s="8">
        <v>45220</v>
      </c>
      <c r="R960" s="8">
        <v>45224</v>
      </c>
      <c r="S960" s="8">
        <v>45231</v>
      </c>
      <c r="T960" s="8">
        <v>45251</v>
      </c>
      <c r="U960" s="8">
        <v>45811</v>
      </c>
      <c r="V960" s="10">
        <f>COUNTA(O960:U960)</f>
        <v>7</v>
      </c>
      <c r="W960" s="11">
        <f>_xlfn.IFNA(INDEX(reading[[#This Row],[Memo 01]:[Memo 07]],MATCH(0,reading[[#This Row],[Memo 01]:[Memo 07]],-1)),"")</f>
        <v>45811</v>
      </c>
      <c r="X960" s="11">
        <f ca="1">IFERROR(reading[[#This Row],[Previous]]+OFFSET(reading[[#Headers],[Memo 01]],-1,MATCH(0,reading[[#This Row],[Memo 01]:[Memo 07]],-1)-1),"")</f>
        <v>55811</v>
      </c>
      <c r="Y960" s="10" t="str">
        <f ca="1">IF(reading[[#This Row],[Next]]&lt;&gt;"",IF(reading[[#This Row],[Next]]&gt;TODAY(),"OK",""),"")</f>
        <v>OK</v>
      </c>
      <c r="Z960" s="13">
        <v>3</v>
      </c>
      <c r="AA960" s="13">
        <v>2</v>
      </c>
      <c r="AB960" s="13">
        <v>2</v>
      </c>
      <c r="AC960" s="13">
        <v>3</v>
      </c>
      <c r="AD960" s="13">
        <v>3</v>
      </c>
      <c r="AE960" s="13">
        <v>3</v>
      </c>
      <c r="AF960" s="13">
        <v>1</v>
      </c>
      <c r="AG960" s="16">
        <f>IFERROR(SUMIF(reading[[#This Row],[1st]:[7th]],"&gt;0")/COUNTIF(reading[[#This Row],[1st]:[7th]],"&gt;0"),"")</f>
        <v>2.4285714285714284</v>
      </c>
    </row>
    <row r="961" spans="1:33" hidden="1" x14ac:dyDescent="0.2">
      <c r="A961" s="4">
        <f>IF(B961=1,3,IF(D961=1,2,IF(F961=1,1,0)))</f>
        <v>0</v>
      </c>
      <c r="B961" s="4" t="str">
        <f>IF(C961=$L961,1,IF(C961="","",0))</f>
        <v/>
      </c>
      <c r="C961" s="42"/>
      <c r="D961" s="4" t="str">
        <f>IF(E961=$L961,1,IF(E961="","",0))</f>
        <v/>
      </c>
      <c r="E961" s="23"/>
      <c r="F961" s="4" t="str">
        <f>IF(G961=$L961,1,IF(G961="","",0))</f>
        <v/>
      </c>
      <c r="G961" s="23"/>
      <c r="H961" s="6">
        <v>1662</v>
      </c>
      <c r="I961" s="15" t="s">
        <v>3120</v>
      </c>
      <c r="J961" s="6" t="s">
        <v>4773</v>
      </c>
      <c r="K961" s="15" t="s">
        <v>3139</v>
      </c>
      <c r="L961" s="6" t="s">
        <v>1743</v>
      </c>
      <c r="M961" s="6" t="s">
        <v>7768</v>
      </c>
      <c r="N961" s="7">
        <f ca="1">RAND()</f>
        <v>0.62664719654603551</v>
      </c>
      <c r="O961" s="8">
        <v>45210</v>
      </c>
      <c r="P961" s="8">
        <v>45212</v>
      </c>
      <c r="Q961" s="8">
        <v>45214</v>
      </c>
      <c r="R961" s="8">
        <v>45218</v>
      </c>
      <c r="S961" s="8">
        <v>45225</v>
      </c>
      <c r="T961" s="8">
        <v>45237</v>
      </c>
      <c r="U961" s="8">
        <v>45811</v>
      </c>
      <c r="V961" s="10">
        <f>COUNTA(O961:U961)</f>
        <v>7</v>
      </c>
      <c r="W961" s="11">
        <f>_xlfn.IFNA(INDEX(reading[[#This Row],[Memo 01]:[Memo 07]],MATCH(0,reading[[#This Row],[Memo 01]:[Memo 07]],-1)),"")</f>
        <v>45811</v>
      </c>
      <c r="X961" s="11">
        <f ca="1">IFERROR(reading[[#This Row],[Previous]]+OFFSET(reading[[#Headers],[Memo 01]],-1,MATCH(0,reading[[#This Row],[Memo 01]:[Memo 07]],-1)-1),"")</f>
        <v>55811</v>
      </c>
      <c r="Y961" s="10" t="str">
        <f ca="1">IF(reading[[#This Row],[Next]]&lt;&gt;"",IF(reading[[#This Row],[Next]]&gt;TODAY(),"OK",""),"")</f>
        <v>OK</v>
      </c>
      <c r="Z961" s="13">
        <v>3</v>
      </c>
      <c r="AA961" s="13">
        <v>2</v>
      </c>
      <c r="AB961" s="13">
        <v>3</v>
      </c>
      <c r="AC961" s="13">
        <v>3</v>
      </c>
      <c r="AD961" s="13">
        <v>3</v>
      </c>
      <c r="AE961" s="13">
        <v>3</v>
      </c>
      <c r="AF961" s="13">
        <v>1</v>
      </c>
      <c r="AG961" s="16">
        <f>IFERROR(SUMIF(reading[[#This Row],[1st]:[7th]],"&gt;0")/COUNTIF(reading[[#This Row],[1st]:[7th]],"&gt;0"),"")</f>
        <v>2.5714285714285716</v>
      </c>
    </row>
    <row r="962" spans="1:33" hidden="1" x14ac:dyDescent="0.2">
      <c r="A962" s="4">
        <f>IF(B962=1,3,IF(D962=1,2,IF(F962=1,1,0)))</f>
        <v>0</v>
      </c>
      <c r="B962" s="4" t="str">
        <f>IF(C962=$L962,1,IF(C962="","",0))</f>
        <v/>
      </c>
      <c r="C962" s="42"/>
      <c r="D962" s="4" t="str">
        <f>IF(E962=$L962,1,IF(E962="","",0))</f>
        <v/>
      </c>
      <c r="E962" s="14"/>
      <c r="F962" s="4" t="str">
        <f>IF(G962=$L962,1,IF(G962="","",0))</f>
        <v/>
      </c>
      <c r="G962" s="14"/>
      <c r="H962" s="6">
        <v>2153</v>
      </c>
      <c r="I962" s="15" t="s">
        <v>3120</v>
      </c>
      <c r="J962" s="6" t="s">
        <v>5241</v>
      </c>
      <c r="K962" s="6"/>
      <c r="L962" s="6" t="s">
        <v>64</v>
      </c>
      <c r="M962" s="6" t="s">
        <v>8259</v>
      </c>
      <c r="N962" s="7">
        <f ca="1">RAND()</f>
        <v>0.78505067311262233</v>
      </c>
      <c r="O962" s="8">
        <v>45214</v>
      </c>
      <c r="P962" s="8">
        <v>45215</v>
      </c>
      <c r="Q962" s="8">
        <v>45217</v>
      </c>
      <c r="R962" s="8">
        <v>45221</v>
      </c>
      <c r="S962" s="8">
        <v>45228</v>
      </c>
      <c r="T962" s="8">
        <v>45819</v>
      </c>
      <c r="U962" s="8"/>
      <c r="V962" s="10">
        <f>COUNTA(O962:U962)</f>
        <v>6</v>
      </c>
      <c r="W962" s="11">
        <f>_xlfn.IFNA(INDEX(reading[[#This Row],[Memo 01]:[Memo 07]],MATCH(0,reading[[#This Row],[Memo 01]:[Memo 07]],-1)),"")</f>
        <v>45819</v>
      </c>
      <c r="X962" s="11">
        <f ca="1">IFERROR(reading[[#This Row],[Previous]]+OFFSET(reading[[#Headers],[Memo 01]],-1,MATCH(0,reading[[#This Row],[Memo 01]:[Memo 07]],-1)-1),"")</f>
        <v>45839</v>
      </c>
      <c r="Y962" s="10" t="str">
        <f ca="1">IF(reading[[#This Row],[Next]]&lt;&gt;"",IF(reading[[#This Row],[Next]]&gt;TODAY(),"OK",""),"")</f>
        <v>OK</v>
      </c>
      <c r="Z962" s="13">
        <v>3</v>
      </c>
      <c r="AA962" s="13">
        <v>3</v>
      </c>
      <c r="AB962" s="13">
        <v>3</v>
      </c>
      <c r="AC962" s="13">
        <v>3</v>
      </c>
      <c r="AD962" s="13">
        <v>3</v>
      </c>
      <c r="AE962" s="13">
        <v>3</v>
      </c>
      <c r="AF962" s="13"/>
      <c r="AG962" s="16">
        <f>IFERROR(SUMIF(reading[[#This Row],[1st]:[7th]],"&gt;0")/COUNTIF(reading[[#This Row],[1st]:[7th]],"&gt;0"),"")</f>
        <v>3</v>
      </c>
    </row>
    <row r="963" spans="1:33" hidden="1" x14ac:dyDescent="0.2">
      <c r="A963" s="4">
        <f>IF(B963=1,3,IF(D963=1,2,IF(F963=1,1,0)))</f>
        <v>0</v>
      </c>
      <c r="B963" s="4" t="str">
        <f>IF(C963=$L963,1,IF(C963="","",0))</f>
        <v/>
      </c>
      <c r="C963" s="42"/>
      <c r="D963" s="4" t="str">
        <f>IF(E963=$L963,1,IF(E963="","",0))</f>
        <v/>
      </c>
      <c r="E963" s="14"/>
      <c r="F963" s="4" t="str">
        <f>IF(G963=$L963,1,IF(G963="","",0))</f>
        <v/>
      </c>
      <c r="G963" s="14"/>
      <c r="H963" s="6">
        <v>510</v>
      </c>
      <c r="I963" s="15" t="s">
        <v>3120</v>
      </c>
      <c r="J963" s="6" t="s">
        <v>3655</v>
      </c>
      <c r="K963" s="6"/>
      <c r="L963" s="6" t="s">
        <v>638</v>
      </c>
      <c r="M963" s="6" t="s">
        <v>6619</v>
      </c>
      <c r="N963" s="7">
        <f ca="1">RAND()</f>
        <v>0.34892857056848303</v>
      </c>
      <c r="O963" s="8">
        <v>45202</v>
      </c>
      <c r="P963" s="8">
        <v>45203</v>
      </c>
      <c r="Q963" s="8">
        <v>45205</v>
      </c>
      <c r="R963" s="8">
        <v>45209</v>
      </c>
      <c r="S963" s="8">
        <v>45216</v>
      </c>
      <c r="T963" s="8">
        <v>45228</v>
      </c>
      <c r="U963" s="8">
        <v>45792</v>
      </c>
      <c r="V963" s="10">
        <f>COUNTA(O963:U963)</f>
        <v>7</v>
      </c>
      <c r="W963" s="11">
        <f>_xlfn.IFNA(INDEX(reading[[#This Row],[Memo 01]:[Memo 07]],MATCH(0,reading[[#This Row],[Memo 01]:[Memo 07]],-1)),"")</f>
        <v>45792</v>
      </c>
      <c r="X963" s="11">
        <f ca="1">IFERROR(reading[[#This Row],[Previous]]+OFFSET(reading[[#Headers],[Memo 01]],-1,MATCH(0,reading[[#This Row],[Memo 01]:[Memo 07]],-1)-1),"")</f>
        <v>55792</v>
      </c>
      <c r="Y963" s="10" t="str">
        <f ca="1">IF(reading[[#This Row],[Next]]&lt;&gt;"",IF(reading[[#This Row],[Next]]&gt;TODAY(),"OK",""),"")</f>
        <v>OK</v>
      </c>
      <c r="Z963" s="13">
        <v>3</v>
      </c>
      <c r="AA963" s="13">
        <v>3</v>
      </c>
      <c r="AB963" s="13">
        <v>3</v>
      </c>
      <c r="AC963" s="13">
        <v>3</v>
      </c>
      <c r="AD963" s="13">
        <v>3</v>
      </c>
      <c r="AE963" s="13">
        <v>3</v>
      </c>
      <c r="AF963" s="13">
        <v>3</v>
      </c>
      <c r="AG963" s="16">
        <f>IFERROR(SUMIF(reading[[#This Row],[1st]:[7th]],"&gt;0")/COUNTIF(reading[[#This Row],[1st]:[7th]],"&gt;0"),"")</f>
        <v>3</v>
      </c>
    </row>
    <row r="964" spans="1:33" hidden="1" x14ac:dyDescent="0.2">
      <c r="A964" s="4">
        <f>IF(B964=1,3,IF(D964=1,2,IF(F964=1,1,0)))</f>
        <v>0</v>
      </c>
      <c r="B964" s="4" t="str">
        <f>IF(C964=$L964,1,IF(C964="","",0))</f>
        <v/>
      </c>
      <c r="C964" s="42"/>
      <c r="D964" s="4" t="str">
        <f>IF(E964=$L964,1,IF(E964="","",0))</f>
        <v/>
      </c>
      <c r="E964" s="14"/>
      <c r="F964" s="4" t="str">
        <f>IF(G964=$L964,1,IF(G964="","",0))</f>
        <v/>
      </c>
      <c r="G964" s="14"/>
      <c r="H964" s="6">
        <v>608</v>
      </c>
      <c r="I964" s="15" t="s">
        <v>3120</v>
      </c>
      <c r="J964" s="6" t="s">
        <v>3750</v>
      </c>
      <c r="K964" s="6"/>
      <c r="L964" s="6" t="s">
        <v>44</v>
      </c>
      <c r="M964" s="6" t="s">
        <v>6717</v>
      </c>
      <c r="N964" s="7">
        <f ca="1">RAND()</f>
        <v>0.53489931382582656</v>
      </c>
      <c r="O964" s="8">
        <v>45202</v>
      </c>
      <c r="P964" s="8">
        <v>45203</v>
      </c>
      <c r="Q964" s="8">
        <v>45205</v>
      </c>
      <c r="R964" s="8">
        <v>45209</v>
      </c>
      <c r="S964" s="8">
        <v>45216</v>
      </c>
      <c r="T964" s="8">
        <v>45228</v>
      </c>
      <c r="U964" s="8">
        <v>45801</v>
      </c>
      <c r="V964" s="10">
        <f>COUNTA(O964:U964)</f>
        <v>7</v>
      </c>
      <c r="W964" s="11">
        <f>_xlfn.IFNA(INDEX(reading[[#This Row],[Memo 01]:[Memo 07]],MATCH(0,reading[[#This Row],[Memo 01]:[Memo 07]],-1)),"")</f>
        <v>45801</v>
      </c>
      <c r="X964" s="11">
        <f ca="1">IFERROR(reading[[#This Row],[Previous]]+OFFSET(reading[[#Headers],[Memo 01]],-1,MATCH(0,reading[[#This Row],[Memo 01]:[Memo 07]],-1)-1),"")</f>
        <v>55801</v>
      </c>
      <c r="Y964" s="10" t="str">
        <f ca="1">IF(reading[[#This Row],[Next]]&lt;&gt;"",IF(reading[[#This Row],[Next]]&gt;TODAY(),"OK",""),"")</f>
        <v>OK</v>
      </c>
      <c r="Z964" s="13">
        <v>3</v>
      </c>
      <c r="AA964" s="13">
        <v>3</v>
      </c>
      <c r="AB964" s="13">
        <v>3</v>
      </c>
      <c r="AC964" s="13">
        <v>3</v>
      </c>
      <c r="AD964" s="13">
        <v>3</v>
      </c>
      <c r="AE964" s="13">
        <v>3</v>
      </c>
      <c r="AF964" s="13">
        <v>3</v>
      </c>
      <c r="AG964" s="16">
        <f>IFERROR(SUMIF(reading[[#This Row],[1st]:[7th]],"&gt;0")/COUNTIF(reading[[#This Row],[1st]:[7th]],"&gt;0"),"")</f>
        <v>3</v>
      </c>
    </row>
    <row r="965" spans="1:33" hidden="1" x14ac:dyDescent="0.2">
      <c r="A965" s="4">
        <f>IF(B965=1,3,IF(D965=1,2,IF(F965=1,1,0)))</f>
        <v>0</v>
      </c>
      <c r="B965" s="4" t="str">
        <f>IF(C965=$L965,1,IF(C965="","",0))</f>
        <v/>
      </c>
      <c r="C965" s="42"/>
      <c r="D965" s="4" t="str">
        <f>IF(E965=$L965,1,IF(E965="","",0))</f>
        <v/>
      </c>
      <c r="E965" s="18"/>
      <c r="F965" s="4" t="str">
        <f>IF(G965=$L965,1,IF(G965="","",0))</f>
        <v/>
      </c>
      <c r="G965" s="14"/>
      <c r="H965" s="6">
        <v>1540</v>
      </c>
      <c r="I965" s="15" t="s">
        <v>3120</v>
      </c>
      <c r="J965" s="6" t="s">
        <v>4653</v>
      </c>
      <c r="K965" s="6"/>
      <c r="L965" s="6" t="s">
        <v>1625</v>
      </c>
      <c r="M965" s="6" t="s">
        <v>7647</v>
      </c>
      <c r="N965" s="7">
        <f ca="1">RAND()</f>
        <v>0.95703867943939303</v>
      </c>
      <c r="O965" s="8">
        <v>45209</v>
      </c>
      <c r="P965" s="8">
        <v>45210</v>
      </c>
      <c r="Q965" s="8">
        <v>45212</v>
      </c>
      <c r="R965" s="8">
        <v>45216</v>
      </c>
      <c r="S965" s="8">
        <v>45223</v>
      </c>
      <c r="T965" s="8">
        <v>45235</v>
      </c>
      <c r="U965" s="8">
        <v>45792</v>
      </c>
      <c r="V965" s="10">
        <f>COUNTA(O965:U965)</f>
        <v>7</v>
      </c>
      <c r="W965" s="11">
        <f>_xlfn.IFNA(INDEX(reading[[#This Row],[Memo 01]:[Memo 07]],MATCH(0,reading[[#This Row],[Memo 01]:[Memo 07]],-1)),"")</f>
        <v>45792</v>
      </c>
      <c r="X965" s="11">
        <f ca="1">IFERROR(reading[[#This Row],[Previous]]+OFFSET(reading[[#Headers],[Memo 01]],-1,MATCH(0,reading[[#This Row],[Memo 01]:[Memo 07]],-1)-1),"")</f>
        <v>55792</v>
      </c>
      <c r="Y965" s="10" t="str">
        <f ca="1">IF(reading[[#This Row],[Next]]&lt;&gt;"",IF(reading[[#This Row],[Next]]&gt;TODAY(),"OK",""),"")</f>
        <v>OK</v>
      </c>
      <c r="Z965" s="13">
        <v>3</v>
      </c>
      <c r="AA965" s="13">
        <v>3</v>
      </c>
      <c r="AB965" s="13">
        <v>3</v>
      </c>
      <c r="AC965" s="13">
        <v>2</v>
      </c>
      <c r="AD965" s="13">
        <v>3</v>
      </c>
      <c r="AE965" s="13">
        <v>3</v>
      </c>
      <c r="AF965" s="13">
        <v>3</v>
      </c>
      <c r="AG965" s="16">
        <f>IFERROR(SUMIF(reading[[#This Row],[1st]:[7th]],"&gt;0")/COUNTIF(reading[[#This Row],[1st]:[7th]],"&gt;0"),"")</f>
        <v>2.8571428571428572</v>
      </c>
    </row>
    <row r="966" spans="1:33" hidden="1" x14ac:dyDescent="0.2">
      <c r="A966" s="4">
        <f>IF(B966=1,3,IF(D966=1,2,IF(F966=1,1,0)))</f>
        <v>0</v>
      </c>
      <c r="B966" s="4" t="str">
        <f>IF(C966=$L966,1,IF(C966="","",0))</f>
        <v/>
      </c>
      <c r="C966" s="42"/>
      <c r="D966" s="4" t="str">
        <f>IF(E966=$L966,1,IF(E966="","",0))</f>
        <v/>
      </c>
      <c r="E966" s="14"/>
      <c r="F966" s="4" t="str">
        <f>IF(G966=$L966,1,IF(G966="","",0))</f>
        <v/>
      </c>
      <c r="G966" s="14"/>
      <c r="H966" s="6">
        <v>1529</v>
      </c>
      <c r="I966" s="15" t="s">
        <v>3120</v>
      </c>
      <c r="J966" s="6" t="s">
        <v>4642</v>
      </c>
      <c r="K966" s="6"/>
      <c r="L966" s="6" t="s">
        <v>1614</v>
      </c>
      <c r="M966" s="6" t="s">
        <v>7636</v>
      </c>
      <c r="N966" s="7">
        <f ca="1">RAND()</f>
        <v>0.79991731363731389</v>
      </c>
      <c r="O966" s="8">
        <v>45209</v>
      </c>
      <c r="P966" s="8">
        <v>45210</v>
      </c>
      <c r="Q966" s="8">
        <v>45212</v>
      </c>
      <c r="R966" s="8">
        <v>45216</v>
      </c>
      <c r="S966" s="8">
        <v>45223</v>
      </c>
      <c r="T966" s="8">
        <v>45235</v>
      </c>
      <c r="U966" s="8">
        <v>45792</v>
      </c>
      <c r="V966" s="10">
        <f>COUNTA(O966:U966)</f>
        <v>7</v>
      </c>
      <c r="W966" s="11">
        <f>_xlfn.IFNA(INDEX(reading[[#This Row],[Memo 01]:[Memo 07]],MATCH(0,reading[[#This Row],[Memo 01]:[Memo 07]],-1)),"")</f>
        <v>45792</v>
      </c>
      <c r="X966" s="11">
        <f ca="1">IFERROR(reading[[#This Row],[Previous]]+OFFSET(reading[[#Headers],[Memo 01]],-1,MATCH(0,reading[[#This Row],[Memo 01]:[Memo 07]],-1)-1),"")</f>
        <v>55792</v>
      </c>
      <c r="Y966" s="10" t="str">
        <f ca="1">IF(reading[[#This Row],[Next]]&lt;&gt;"",IF(reading[[#This Row],[Next]]&gt;TODAY(),"OK",""),"")</f>
        <v>OK</v>
      </c>
      <c r="Z966" s="13">
        <v>3</v>
      </c>
      <c r="AA966" s="13">
        <v>3</v>
      </c>
      <c r="AB966" s="13">
        <v>3</v>
      </c>
      <c r="AC966" s="13">
        <v>3</v>
      </c>
      <c r="AD966" s="13">
        <v>3</v>
      </c>
      <c r="AE966" s="13">
        <v>3</v>
      </c>
      <c r="AF966" s="13">
        <v>3</v>
      </c>
      <c r="AG966" s="16">
        <f>IFERROR(SUMIF(reading[[#This Row],[1st]:[7th]],"&gt;0")/COUNTIF(reading[[#This Row],[1st]:[7th]],"&gt;0"),"")</f>
        <v>3</v>
      </c>
    </row>
    <row r="967" spans="1:33" hidden="1" x14ac:dyDescent="0.2">
      <c r="A967" s="4">
        <f>IF(B967=1,3,IF(D967=1,2,IF(F967=1,1,0)))</f>
        <v>0</v>
      </c>
      <c r="B967" s="4" t="str">
        <f>IF(C967=$L967,1,IF(C967="","",0))</f>
        <v/>
      </c>
      <c r="C967" s="42"/>
      <c r="D967" s="4" t="str">
        <f>IF(E967=$L967,1,IF(E967="","",0))</f>
        <v/>
      </c>
      <c r="E967" s="23"/>
      <c r="F967" s="4" t="str">
        <f>IF(G967=$L967,1,IF(G967="","",0))</f>
        <v/>
      </c>
      <c r="G967" s="14"/>
      <c r="H967" s="6">
        <v>2738</v>
      </c>
      <c r="I967" s="15" t="s">
        <v>3120</v>
      </c>
      <c r="J967" s="6" t="s">
        <v>5786</v>
      </c>
      <c r="K967" s="6"/>
      <c r="L967" s="6" t="s">
        <v>2776</v>
      </c>
      <c r="M967" s="6" t="s">
        <v>8843</v>
      </c>
      <c r="N967" s="7">
        <f ca="1">RAND()</f>
        <v>0.81791040497972722</v>
      </c>
      <c r="O967" s="8">
        <v>45221</v>
      </c>
      <c r="P967" s="8">
        <v>45222</v>
      </c>
      <c r="Q967" s="8">
        <v>45224</v>
      </c>
      <c r="R967" s="8">
        <v>45228</v>
      </c>
      <c r="S967" s="8">
        <v>45235</v>
      </c>
      <c r="T967" s="8">
        <v>45792</v>
      </c>
      <c r="U967" s="8">
        <v>45820</v>
      </c>
      <c r="V967" s="10">
        <f>COUNTA(O967:U967)</f>
        <v>7</v>
      </c>
      <c r="W967" s="11">
        <f>_xlfn.IFNA(INDEX(reading[[#This Row],[Memo 01]:[Memo 07]],MATCH(0,reading[[#This Row],[Memo 01]:[Memo 07]],-1)),"")</f>
        <v>45820</v>
      </c>
      <c r="X967" s="11">
        <f ca="1">IFERROR(reading[[#This Row],[Previous]]+OFFSET(reading[[#Headers],[Memo 01]],-1,MATCH(0,reading[[#This Row],[Memo 01]:[Memo 07]],-1)-1),"")</f>
        <v>55820</v>
      </c>
      <c r="Y967" s="10" t="str">
        <f ca="1">IF(reading[[#This Row],[Next]]&lt;&gt;"",IF(reading[[#This Row],[Next]]&gt;TODAY(),"OK",""),"")</f>
        <v>OK</v>
      </c>
      <c r="Z967" s="13">
        <v>3</v>
      </c>
      <c r="AA967" s="13">
        <v>3</v>
      </c>
      <c r="AB967" s="13">
        <v>3</v>
      </c>
      <c r="AC967" s="13">
        <v>3</v>
      </c>
      <c r="AD967" s="13">
        <v>3</v>
      </c>
      <c r="AE967" s="13">
        <v>3</v>
      </c>
      <c r="AF967" s="13">
        <v>2</v>
      </c>
      <c r="AG967" s="16">
        <f>IFERROR(SUMIF(reading[[#This Row],[1st]:[7th]],"&gt;0")/COUNTIF(reading[[#This Row],[1st]:[7th]],"&gt;0"),"")</f>
        <v>2.8571428571428572</v>
      </c>
    </row>
    <row r="968" spans="1:33" hidden="1" x14ac:dyDescent="0.2">
      <c r="A968" s="4">
        <f>IF(B968=1,3,IF(D968=1,2,IF(F968=1,1,0)))</f>
        <v>0</v>
      </c>
      <c r="B968" s="4" t="str">
        <f>IF(C968=$L968,1,IF(C968="","",0))</f>
        <v/>
      </c>
      <c r="C968" s="42"/>
      <c r="D968" s="4" t="str">
        <f>IF(E968=$L968,1,IF(E968="","",0))</f>
        <v/>
      </c>
      <c r="E968" s="18"/>
      <c r="F968" s="4" t="str">
        <f>IF(G968=$L968,1,IF(G968="","",0))</f>
        <v/>
      </c>
      <c r="G968" s="14"/>
      <c r="H968" s="6">
        <v>1710</v>
      </c>
      <c r="I968" s="15" t="s">
        <v>3120</v>
      </c>
      <c r="J968" s="6" t="s">
        <v>4819</v>
      </c>
      <c r="K968" s="6"/>
      <c r="L968" s="6" t="s">
        <v>1790</v>
      </c>
      <c r="M968" s="6" t="s">
        <v>7816</v>
      </c>
      <c r="N968" s="7">
        <f ca="1">RAND()</f>
        <v>0.82508765972309872</v>
      </c>
      <c r="O968" s="8">
        <v>45211</v>
      </c>
      <c r="P968" s="8">
        <v>45212</v>
      </c>
      <c r="Q968" s="8">
        <v>45214</v>
      </c>
      <c r="R968" s="8">
        <v>45218</v>
      </c>
      <c r="S968" s="8">
        <v>45225</v>
      </c>
      <c r="T968" s="8">
        <v>45237</v>
      </c>
      <c r="U968" s="8">
        <v>45801</v>
      </c>
      <c r="V968" s="10">
        <f>COUNTA(O968:U968)</f>
        <v>7</v>
      </c>
      <c r="W968" s="11">
        <f>_xlfn.IFNA(INDEX(reading[[#This Row],[Memo 01]:[Memo 07]],MATCH(0,reading[[#This Row],[Memo 01]:[Memo 07]],-1)),"")</f>
        <v>45801</v>
      </c>
      <c r="X968" s="11">
        <f ca="1">IFERROR(reading[[#This Row],[Previous]]+OFFSET(reading[[#Headers],[Memo 01]],-1,MATCH(0,reading[[#This Row],[Memo 01]:[Memo 07]],-1)-1),"")</f>
        <v>55801</v>
      </c>
      <c r="Y968" s="10" t="str">
        <f ca="1">IF(reading[[#This Row],[Next]]&lt;&gt;"",IF(reading[[#This Row],[Next]]&gt;TODAY(),"OK",""),"")</f>
        <v>OK</v>
      </c>
      <c r="Z968" s="13">
        <v>3</v>
      </c>
      <c r="AA968" s="13">
        <v>3</v>
      </c>
      <c r="AB968" s="13">
        <v>3</v>
      </c>
      <c r="AC968" s="13">
        <v>2</v>
      </c>
      <c r="AD968" s="13">
        <v>3</v>
      </c>
      <c r="AE968" s="13">
        <v>3</v>
      </c>
      <c r="AF968" s="13">
        <v>3</v>
      </c>
      <c r="AG968" s="16">
        <f>IFERROR(SUMIF(reading[[#This Row],[1st]:[7th]],"&gt;0")/COUNTIF(reading[[#This Row],[1st]:[7th]],"&gt;0"),"")</f>
        <v>2.8571428571428572</v>
      </c>
    </row>
    <row r="969" spans="1:33" hidden="1" x14ac:dyDescent="0.2">
      <c r="A969" s="4">
        <f>IF(B969=1,3,IF(D969=1,2,IF(F969=1,1,0)))</f>
        <v>3</v>
      </c>
      <c r="B969" s="4">
        <f>IF(C969=$L969,1,IF(C969="","",0))</f>
        <v>1</v>
      </c>
      <c r="C969" s="22" t="s">
        <v>1083</v>
      </c>
      <c r="D969" s="4" t="str">
        <f>IF(E969=$L969,1,IF(E969="","",0))</f>
        <v/>
      </c>
      <c r="E969" s="14"/>
      <c r="F969" s="4" t="str">
        <f>IF(G969=$L969,1,IF(G969="","",0))</f>
        <v/>
      </c>
      <c r="G969" s="14"/>
      <c r="H969" s="6">
        <v>973</v>
      </c>
      <c r="I969" s="15" t="s">
        <v>3120</v>
      </c>
      <c r="J969" s="6" t="s">
        <v>4102</v>
      </c>
      <c r="K969" s="6"/>
      <c r="L969" s="6" t="s">
        <v>1083</v>
      </c>
      <c r="M969" s="6" t="s">
        <v>7081</v>
      </c>
      <c r="N969" s="7">
        <f ca="1">RAND()</f>
        <v>0.70591174429511194</v>
      </c>
      <c r="O969" s="8">
        <v>45204</v>
      </c>
      <c r="P969" s="8">
        <v>45204</v>
      </c>
      <c r="Q969" s="8">
        <v>45204</v>
      </c>
      <c r="R969" s="8">
        <v>45204</v>
      </c>
      <c r="S969" s="8">
        <v>45204</v>
      </c>
      <c r="T969" s="8">
        <v>45204</v>
      </c>
      <c r="U969" s="8">
        <v>45204</v>
      </c>
      <c r="V969" s="10">
        <f>COUNTA(O969:U969)</f>
        <v>7</v>
      </c>
      <c r="W969" s="11">
        <f>_xlfn.IFNA(INDEX(reading[[#This Row],[Memo 01]:[Memo 07]],MATCH(0,reading[[#This Row],[Memo 01]:[Memo 07]],-1)),"")</f>
        <v>45204</v>
      </c>
      <c r="X969" s="11">
        <f ca="1">IFERROR(reading[[#This Row],[Previous]]+OFFSET(reading[[#Headers],[Memo 01]],-1,MATCH(0,reading[[#This Row],[Memo 01]:[Memo 07]],-1)-1),"")</f>
        <v>55204</v>
      </c>
      <c r="Y969" s="10" t="str">
        <f ca="1">IF(reading[[#This Row],[Next]]&lt;&gt;"",IF(reading[[#This Row],[Next]]&gt;TODAY(),"OK",""),"")</f>
        <v>OK</v>
      </c>
      <c r="Z969" s="13">
        <v>3</v>
      </c>
      <c r="AA969" s="13"/>
      <c r="AB969" s="13"/>
      <c r="AC969" s="13"/>
      <c r="AD969" s="13"/>
      <c r="AE969" s="13"/>
      <c r="AF969" s="13"/>
      <c r="AG969" s="16">
        <f>IFERROR(SUMIF(reading[[#This Row],[1st]:[7th]],"&gt;0")/COUNTIF(reading[[#This Row],[1st]:[7th]],"&gt;0"),"")</f>
        <v>3</v>
      </c>
    </row>
    <row r="970" spans="1:33" hidden="1" x14ac:dyDescent="0.2">
      <c r="A970" s="4">
        <f>IF(B970=1,3,IF(D970=1,2,IF(F970=1,1,0)))</f>
        <v>0</v>
      </c>
      <c r="B970" s="4" t="str">
        <f>IF(C970=$L970,1,IF(C970="","",0))</f>
        <v/>
      </c>
      <c r="C970" s="43"/>
      <c r="D970" s="4" t="str">
        <f>IF(E970=$L970,1,IF(E970="","",0))</f>
        <v/>
      </c>
      <c r="E970" s="14"/>
      <c r="F970" s="4" t="str">
        <f>IF(G970=$L970,1,IF(G970="","",0))</f>
        <v/>
      </c>
      <c r="G970" s="14"/>
      <c r="H970" s="6">
        <v>20</v>
      </c>
      <c r="I970" s="15" t="s">
        <v>3120</v>
      </c>
      <c r="J970" s="6" t="s">
        <v>3175</v>
      </c>
      <c r="K970" s="6" t="s">
        <v>3138</v>
      </c>
      <c r="L970" s="6" t="s">
        <v>163</v>
      </c>
      <c r="M970" s="6" t="s">
        <v>6134</v>
      </c>
      <c r="N970" s="7">
        <f ca="1">RAND()</f>
        <v>3.1776751259411484E-2</v>
      </c>
      <c r="O970" s="8">
        <v>45198</v>
      </c>
      <c r="P970" s="8">
        <v>45199</v>
      </c>
      <c r="Q970" s="8">
        <v>45201</v>
      </c>
      <c r="R970" s="8">
        <v>45205</v>
      </c>
      <c r="S970" s="8">
        <v>45213</v>
      </c>
      <c r="T970" s="8">
        <v>45225</v>
      </c>
      <c r="U970" s="8">
        <v>45801</v>
      </c>
      <c r="V970" s="10">
        <f>COUNTA(O970:U970)</f>
        <v>7</v>
      </c>
      <c r="W970" s="11">
        <f>_xlfn.IFNA(INDEX(reading[[#This Row],[Memo 01]:[Memo 07]],MATCH(0,reading[[#This Row],[Memo 01]:[Memo 07]],-1)),"")</f>
        <v>45801</v>
      </c>
      <c r="X970" s="11">
        <f ca="1">IFERROR(reading[[#This Row],[Previous]]+OFFSET(reading[[#Headers],[Memo 01]],-1,MATCH(0,reading[[#This Row],[Memo 01]:[Memo 07]],-1)-1),"")</f>
        <v>55801</v>
      </c>
      <c r="Y970" s="10" t="str">
        <f ca="1">IF(reading[[#This Row],[Next]]&lt;&gt;"",IF(reading[[#This Row],[Next]]&gt;TODAY(),"OK",""),"")</f>
        <v>OK</v>
      </c>
      <c r="Z970" s="13">
        <v>3</v>
      </c>
      <c r="AA970" s="13">
        <v>3</v>
      </c>
      <c r="AB970" s="13">
        <v>3</v>
      </c>
      <c r="AC970" s="13">
        <v>3</v>
      </c>
      <c r="AD970" s="13">
        <v>2</v>
      </c>
      <c r="AE970" s="13">
        <v>3</v>
      </c>
      <c r="AF970" s="13">
        <v>3</v>
      </c>
      <c r="AG970" s="16">
        <f>IFERROR(SUMIF(reading[[#This Row],[1st]:[7th]],"&gt;0")/COUNTIF(reading[[#This Row],[1st]:[7th]],"&gt;0"),"")</f>
        <v>2.8571428571428572</v>
      </c>
    </row>
    <row r="971" spans="1:33" hidden="1" x14ac:dyDescent="0.2">
      <c r="A971" s="4">
        <f>IF(B971=1,3,IF(D971=1,2,IF(F971=1,1,0)))</f>
        <v>0</v>
      </c>
      <c r="B971" s="4" t="str">
        <f>IF(C971=$L971,1,IF(C971="","",0))</f>
        <v/>
      </c>
      <c r="C971" s="42"/>
      <c r="D971" s="4" t="str">
        <f>IF(E971=$L971,1,IF(E971="","",0))</f>
        <v/>
      </c>
      <c r="E971" s="14"/>
      <c r="F971" s="4" t="str">
        <f>IF(G971=$L971,1,IF(G971="","",0))</f>
        <v/>
      </c>
      <c r="G971" s="14"/>
      <c r="H971" s="6">
        <v>767</v>
      </c>
      <c r="I971" s="15" t="s">
        <v>3120</v>
      </c>
      <c r="J971" s="6" t="s">
        <v>3902</v>
      </c>
      <c r="K971" s="6"/>
      <c r="L971" s="6" t="s">
        <v>886</v>
      </c>
      <c r="M971" s="6" t="s">
        <v>6876</v>
      </c>
      <c r="N971" s="7">
        <f ca="1">RAND()</f>
        <v>0.99202415658610288</v>
      </c>
      <c r="O971" s="8">
        <v>45203</v>
      </c>
      <c r="P971" s="8">
        <v>45204</v>
      </c>
      <c r="Q971" s="8">
        <v>45206</v>
      </c>
      <c r="R971" s="8">
        <v>45210</v>
      </c>
      <c r="S971" s="8">
        <v>45217</v>
      </c>
      <c r="T971" s="8">
        <v>45229</v>
      </c>
      <c r="U971" s="8">
        <v>45801</v>
      </c>
      <c r="V971" s="10">
        <f>COUNTA(O971:U971)</f>
        <v>7</v>
      </c>
      <c r="W971" s="11">
        <f>_xlfn.IFNA(INDEX(reading[[#This Row],[Memo 01]:[Memo 07]],MATCH(0,reading[[#This Row],[Memo 01]:[Memo 07]],-1)),"")</f>
        <v>45801</v>
      </c>
      <c r="X971" s="11">
        <f ca="1">IFERROR(reading[[#This Row],[Previous]]+OFFSET(reading[[#Headers],[Memo 01]],-1,MATCH(0,reading[[#This Row],[Memo 01]:[Memo 07]],-1)-1),"")</f>
        <v>55801</v>
      </c>
      <c r="Y971" s="10" t="str">
        <f ca="1">IF(reading[[#This Row],[Next]]&lt;&gt;"",IF(reading[[#This Row],[Next]]&gt;TODAY(),"OK",""),"")</f>
        <v>OK</v>
      </c>
      <c r="Z971" s="13">
        <v>3</v>
      </c>
      <c r="AA971" s="13">
        <v>3</v>
      </c>
      <c r="AB971" s="13">
        <v>3</v>
      </c>
      <c r="AC971" s="13">
        <v>2</v>
      </c>
      <c r="AD971" s="13">
        <v>3</v>
      </c>
      <c r="AE971" s="13">
        <v>3</v>
      </c>
      <c r="AF971" s="13">
        <v>3</v>
      </c>
      <c r="AG971" s="16">
        <f>IFERROR(SUMIF(reading[[#This Row],[1st]:[7th]],"&gt;0")/COUNTIF(reading[[#This Row],[1st]:[7th]],"&gt;0"),"")</f>
        <v>2.8571428571428572</v>
      </c>
    </row>
    <row r="972" spans="1:33" hidden="1" x14ac:dyDescent="0.2">
      <c r="A972" s="4">
        <f>IF(B972=1,3,IF(D972=1,2,IF(F972=1,1,0)))</f>
        <v>0</v>
      </c>
      <c r="B972" s="4" t="str">
        <f>IF(C972=$L972,1,IF(C972="","",0))</f>
        <v/>
      </c>
      <c r="C972" s="42"/>
      <c r="D972" s="4" t="str">
        <f>IF(E972=$L972,1,IF(E972="","",0))</f>
        <v/>
      </c>
      <c r="E972" s="23"/>
      <c r="F972" s="4" t="str">
        <f>IF(G972=$L972,1,IF(G972="","",0))</f>
        <v/>
      </c>
      <c r="G972" s="14"/>
      <c r="H972" s="6">
        <v>364</v>
      </c>
      <c r="I972" s="15" t="s">
        <v>3120</v>
      </c>
      <c r="J972" s="6" t="s">
        <v>3511</v>
      </c>
      <c r="K972" s="6"/>
      <c r="L972" s="6" t="s">
        <v>497</v>
      </c>
      <c r="M972" s="6" t="s">
        <v>6473</v>
      </c>
      <c r="N972" s="7">
        <f ca="1">RAND()</f>
        <v>0.78565992008832664</v>
      </c>
      <c r="O972" s="8">
        <v>45201</v>
      </c>
      <c r="P972" s="8">
        <v>45202</v>
      </c>
      <c r="Q972" s="8">
        <v>45204</v>
      </c>
      <c r="R972" s="8">
        <v>45208</v>
      </c>
      <c r="S972" s="8">
        <v>45215</v>
      </c>
      <c r="T972" s="8">
        <v>45227</v>
      </c>
      <c r="U972" s="8">
        <v>45811</v>
      </c>
      <c r="V972" s="10">
        <f>COUNTA(O972:U972)</f>
        <v>7</v>
      </c>
      <c r="W972" s="11">
        <f>_xlfn.IFNA(INDEX(reading[[#This Row],[Memo 01]:[Memo 07]],MATCH(0,reading[[#This Row],[Memo 01]:[Memo 07]],-1)),"")</f>
        <v>45811</v>
      </c>
      <c r="X972" s="11">
        <f ca="1">IFERROR(reading[[#This Row],[Previous]]+OFFSET(reading[[#Headers],[Memo 01]],-1,MATCH(0,reading[[#This Row],[Memo 01]:[Memo 07]],-1)-1),"")</f>
        <v>55811</v>
      </c>
      <c r="Y972" s="10" t="str">
        <f ca="1">IF(reading[[#This Row],[Next]]&lt;&gt;"",IF(reading[[#This Row],[Next]]&gt;TODAY(),"OK",""),"")</f>
        <v>OK</v>
      </c>
      <c r="Z972" s="13">
        <v>3</v>
      </c>
      <c r="AA972" s="13">
        <v>3</v>
      </c>
      <c r="AB972" s="13">
        <v>3</v>
      </c>
      <c r="AC972" s="13">
        <v>2</v>
      </c>
      <c r="AD972" s="13">
        <v>3</v>
      </c>
      <c r="AE972" s="13">
        <v>3</v>
      </c>
      <c r="AF972" s="13">
        <v>2</v>
      </c>
      <c r="AG972" s="16">
        <f>IFERROR(SUMIF(reading[[#This Row],[1st]:[7th]],"&gt;0")/COUNTIF(reading[[#This Row],[1st]:[7th]],"&gt;0"),"")</f>
        <v>2.7142857142857144</v>
      </c>
    </row>
    <row r="973" spans="1:33" hidden="1" x14ac:dyDescent="0.2">
      <c r="A973" s="4">
        <f>IF(B973=1,3,IF(D973=1,2,IF(F973=1,1,0)))</f>
        <v>0</v>
      </c>
      <c r="B973" s="4" t="str">
        <f>IF(C973=$L973,1,IF(C973="","",0))</f>
        <v/>
      </c>
      <c r="C973" s="42"/>
      <c r="D973" s="4" t="str">
        <f>IF(E973=$L973,1,IF(E973="","",0))</f>
        <v/>
      </c>
      <c r="E973" s="14"/>
      <c r="F973" s="4" t="str">
        <f>IF(G973=$L973,1,IF(G973="","",0))</f>
        <v/>
      </c>
      <c r="G973" s="14"/>
      <c r="H973" s="6">
        <v>1538</v>
      </c>
      <c r="I973" s="15" t="s">
        <v>3120</v>
      </c>
      <c r="J973" s="6" t="s">
        <v>4651</v>
      </c>
      <c r="K973" s="6"/>
      <c r="L973" s="6" t="s">
        <v>1623</v>
      </c>
      <c r="M973" s="6" t="s">
        <v>7645</v>
      </c>
      <c r="N973" s="7">
        <f ca="1">RAND()</f>
        <v>0.3540558630515207</v>
      </c>
      <c r="O973" s="8">
        <v>45209</v>
      </c>
      <c r="P973" s="8">
        <v>45210</v>
      </c>
      <c r="Q973" s="8">
        <v>45212</v>
      </c>
      <c r="R973" s="8">
        <v>45216</v>
      </c>
      <c r="S973" s="8">
        <v>45223</v>
      </c>
      <c r="T973" s="8">
        <v>45235</v>
      </c>
      <c r="U973" s="8">
        <v>45792</v>
      </c>
      <c r="V973" s="10">
        <f>COUNTA(O973:U973)</f>
        <v>7</v>
      </c>
      <c r="W973" s="11">
        <f>_xlfn.IFNA(INDEX(reading[[#This Row],[Memo 01]:[Memo 07]],MATCH(0,reading[[#This Row],[Memo 01]:[Memo 07]],-1)),"")</f>
        <v>45792</v>
      </c>
      <c r="X973" s="11">
        <f ca="1">IFERROR(reading[[#This Row],[Previous]]+OFFSET(reading[[#Headers],[Memo 01]],-1,MATCH(0,reading[[#This Row],[Memo 01]:[Memo 07]],-1)-1),"")</f>
        <v>55792</v>
      </c>
      <c r="Y973" s="10" t="str">
        <f ca="1">IF(reading[[#This Row],[Next]]&lt;&gt;"",IF(reading[[#This Row],[Next]]&gt;TODAY(),"OK",""),"")</f>
        <v>OK</v>
      </c>
      <c r="Z973" s="13">
        <v>3</v>
      </c>
      <c r="AA973" s="13">
        <v>3</v>
      </c>
      <c r="AB973" s="13">
        <v>3</v>
      </c>
      <c r="AC973" s="13">
        <v>3</v>
      </c>
      <c r="AD973" s="13">
        <v>3</v>
      </c>
      <c r="AE973" s="13">
        <v>3</v>
      </c>
      <c r="AF973" s="13">
        <v>3</v>
      </c>
      <c r="AG973" s="16">
        <f>IFERROR(SUMIF(reading[[#This Row],[1st]:[7th]],"&gt;0")/COUNTIF(reading[[#This Row],[1st]:[7th]],"&gt;0"),"")</f>
        <v>3</v>
      </c>
    </row>
    <row r="974" spans="1:33" hidden="1" x14ac:dyDescent="0.2">
      <c r="A974" s="4">
        <f>IF(B974=1,3,IF(D974=1,2,IF(F974=1,1,0)))</f>
        <v>0</v>
      </c>
      <c r="B974" s="4" t="str">
        <f>IF(C974=$L974,1,IF(C974="","",0))</f>
        <v/>
      </c>
      <c r="C974" s="42"/>
      <c r="D974" s="4" t="str">
        <f>IF(E974=$L974,1,IF(E974="","",0))</f>
        <v/>
      </c>
      <c r="E974" s="43"/>
      <c r="F974" s="4" t="str">
        <f>IF(G974=$L974,1,IF(G974="","",0))</f>
        <v/>
      </c>
      <c r="G974" s="14"/>
      <c r="H974" s="6">
        <v>2941</v>
      </c>
      <c r="I974" s="15" t="s">
        <v>3120</v>
      </c>
      <c r="J974" s="6" t="s">
        <v>5975</v>
      </c>
      <c r="K974" s="6"/>
      <c r="L974" s="6" t="s">
        <v>2971</v>
      </c>
      <c r="M974" s="6" t="s">
        <v>9045</v>
      </c>
      <c r="N974" s="7">
        <f ca="1">RAND()</f>
        <v>4.6209702232848704E-2</v>
      </c>
      <c r="O974" s="8">
        <v>45223</v>
      </c>
      <c r="P974" s="8">
        <v>45224</v>
      </c>
      <c r="Q974" s="8">
        <v>45226</v>
      </c>
      <c r="R974" s="8">
        <v>45230</v>
      </c>
      <c r="S974" s="8">
        <v>45237</v>
      </c>
      <c r="T974" s="8">
        <v>45783</v>
      </c>
      <c r="U974" s="8">
        <v>45820</v>
      </c>
      <c r="V974" s="10">
        <f>COUNTA(O974:U974)</f>
        <v>7</v>
      </c>
      <c r="W974" s="11">
        <f>_xlfn.IFNA(INDEX(reading[[#This Row],[Memo 01]:[Memo 07]],MATCH(0,reading[[#This Row],[Memo 01]:[Memo 07]],-1)),"")</f>
        <v>45820</v>
      </c>
      <c r="X974" s="11">
        <f ca="1">IFERROR(reading[[#This Row],[Previous]]+OFFSET(reading[[#Headers],[Memo 01]],-1,MATCH(0,reading[[#This Row],[Memo 01]:[Memo 07]],-1)-1),"")</f>
        <v>55820</v>
      </c>
      <c r="Y974" s="10" t="str">
        <f ca="1">IF(reading[[#This Row],[Next]]&lt;&gt;"",IF(reading[[#This Row],[Next]]&gt;TODAY(),"OK",""),"")</f>
        <v>OK</v>
      </c>
      <c r="Z974" s="13">
        <v>3</v>
      </c>
      <c r="AA974" s="13">
        <v>2</v>
      </c>
      <c r="AB974" s="13">
        <v>3</v>
      </c>
      <c r="AC974" s="13">
        <v>3</v>
      </c>
      <c r="AD974" s="13">
        <v>3</v>
      </c>
      <c r="AE974" s="13">
        <v>3</v>
      </c>
      <c r="AF974" s="13">
        <v>2</v>
      </c>
      <c r="AG974" s="16">
        <f>IFERROR(SUMIF(reading[[#This Row],[1st]:[7th]],"&gt;0")/COUNTIF(reading[[#This Row],[1st]:[7th]],"&gt;0"),"")</f>
        <v>2.7142857142857144</v>
      </c>
    </row>
    <row r="975" spans="1:33" hidden="1" x14ac:dyDescent="0.2">
      <c r="A975" s="4">
        <f>IF(B975=1,3,IF(D975=1,2,IF(F975=1,1,0)))</f>
        <v>0</v>
      </c>
      <c r="B975" s="4" t="str">
        <f>IF(C975=$L975,1,IF(C975="","",0))</f>
        <v/>
      </c>
      <c r="C975" s="42"/>
      <c r="D975" s="4" t="str">
        <f>IF(E975=$L975,1,IF(E975="","",0))</f>
        <v/>
      </c>
      <c r="E975" s="23"/>
      <c r="F975" s="4" t="str">
        <f>IF(G975=$L975,1,IF(G975="","",0))</f>
        <v/>
      </c>
      <c r="G975" s="14"/>
      <c r="H975" s="6">
        <v>190</v>
      </c>
      <c r="I975" s="15" t="s">
        <v>3120</v>
      </c>
      <c r="J975" s="6" t="s">
        <v>3339</v>
      </c>
      <c r="K975" s="6"/>
      <c r="L975" s="6" t="s">
        <v>326</v>
      </c>
      <c r="M975" s="6" t="s">
        <v>6299</v>
      </c>
      <c r="N975" s="7">
        <f ca="1">RAND()</f>
        <v>0.27064249368954807</v>
      </c>
      <c r="O975" s="8">
        <v>45199</v>
      </c>
      <c r="P975" s="8">
        <v>45200</v>
      </c>
      <c r="Q975" s="8">
        <v>45202</v>
      </c>
      <c r="R975" s="8">
        <v>45206</v>
      </c>
      <c r="S975" s="8">
        <v>45213</v>
      </c>
      <c r="T975" s="8">
        <v>45225</v>
      </c>
      <c r="U975" s="8">
        <v>45815</v>
      </c>
      <c r="V975" s="10">
        <f>COUNTA(O975:U975)</f>
        <v>7</v>
      </c>
      <c r="W975" s="11">
        <f>_xlfn.IFNA(INDEX(reading[[#This Row],[Memo 01]:[Memo 07]],MATCH(0,reading[[#This Row],[Memo 01]:[Memo 07]],-1)),"")</f>
        <v>45815</v>
      </c>
      <c r="X975" s="11">
        <f ca="1">IFERROR(reading[[#This Row],[Previous]]+OFFSET(reading[[#Headers],[Memo 01]],-1,MATCH(0,reading[[#This Row],[Memo 01]:[Memo 07]],-1)-1),"")</f>
        <v>55815</v>
      </c>
      <c r="Y975" s="10" t="str">
        <f ca="1">IF(reading[[#This Row],[Next]]&lt;&gt;"",IF(reading[[#This Row],[Next]]&gt;TODAY(),"OK",""),"")</f>
        <v>OK</v>
      </c>
      <c r="Z975" s="13">
        <v>3</v>
      </c>
      <c r="AA975" s="13">
        <v>3</v>
      </c>
      <c r="AB975" s="13">
        <v>3</v>
      </c>
      <c r="AC975" s="13">
        <v>3</v>
      </c>
      <c r="AD975" s="13">
        <v>3</v>
      </c>
      <c r="AE975" s="13">
        <v>3</v>
      </c>
      <c r="AF975" s="13">
        <v>2</v>
      </c>
      <c r="AG975" s="16">
        <f>IFERROR(SUMIF(reading[[#This Row],[1st]:[7th]],"&gt;0")/COUNTIF(reading[[#This Row],[1st]:[7th]],"&gt;0"),"")</f>
        <v>2.8571428571428572</v>
      </c>
    </row>
    <row r="976" spans="1:33" hidden="1" x14ac:dyDescent="0.2">
      <c r="A976" s="4">
        <f>IF(B976=1,3,IF(D976=1,2,IF(F976=1,1,0)))</f>
        <v>0</v>
      </c>
      <c r="B976" s="4" t="str">
        <f>IF(C976=$L976,1,IF(C976="","",0))</f>
        <v/>
      </c>
      <c r="C976" s="42"/>
      <c r="D976" s="4" t="str">
        <f>IF(E976=$L976,1,IF(E976="","",0))</f>
        <v/>
      </c>
      <c r="E976" s="14"/>
      <c r="F976" s="4" t="str">
        <f>IF(G976=$L976,1,IF(G976="","",0))</f>
        <v/>
      </c>
      <c r="G976" s="14"/>
      <c r="H976" s="6">
        <v>1811</v>
      </c>
      <c r="I976" s="15" t="s">
        <v>3120</v>
      </c>
      <c r="J976" s="6" t="s">
        <v>4916</v>
      </c>
      <c r="K976" s="6"/>
      <c r="L976" s="6" t="s">
        <v>1890</v>
      </c>
      <c r="M976" s="6" t="s">
        <v>7917</v>
      </c>
      <c r="N976" s="7">
        <f ca="1">RAND()</f>
        <v>0.98226747120765945</v>
      </c>
      <c r="O976" s="8">
        <v>45212</v>
      </c>
      <c r="P976" s="8">
        <v>45213</v>
      </c>
      <c r="Q976" s="8">
        <v>45215</v>
      </c>
      <c r="R976" s="8">
        <v>45219</v>
      </c>
      <c r="S976" s="8">
        <v>45226</v>
      </c>
      <c r="T976" s="8">
        <v>45824</v>
      </c>
      <c r="U976" s="8"/>
      <c r="V976" s="10">
        <f>COUNTA(O976:U976)</f>
        <v>6</v>
      </c>
      <c r="W976" s="11">
        <f>_xlfn.IFNA(INDEX(reading[[#This Row],[Memo 01]:[Memo 07]],MATCH(0,reading[[#This Row],[Memo 01]:[Memo 07]],-1)),"")</f>
        <v>45824</v>
      </c>
      <c r="X976" s="11">
        <f ca="1">IFERROR(reading[[#This Row],[Previous]]+OFFSET(reading[[#Headers],[Memo 01]],-1,MATCH(0,reading[[#This Row],[Memo 01]:[Memo 07]],-1)-1),"")</f>
        <v>45844</v>
      </c>
      <c r="Y976" s="10" t="str">
        <f ca="1">IF(reading[[#This Row],[Next]]&lt;&gt;"",IF(reading[[#This Row],[Next]]&gt;TODAY(),"OK",""),"")</f>
        <v>OK</v>
      </c>
      <c r="Z976" s="13">
        <v>3</v>
      </c>
      <c r="AA976" s="13">
        <v>3</v>
      </c>
      <c r="AB976" s="13">
        <v>3</v>
      </c>
      <c r="AC976" s="13">
        <v>3</v>
      </c>
      <c r="AD976" s="13">
        <v>3</v>
      </c>
      <c r="AE976" s="13">
        <v>3</v>
      </c>
      <c r="AF976" s="13"/>
      <c r="AG976" s="16">
        <f>IFERROR(SUMIF(reading[[#This Row],[1st]:[7th]],"&gt;0")/COUNTIF(reading[[#This Row],[1st]:[7th]],"&gt;0"),"")</f>
        <v>3</v>
      </c>
    </row>
    <row r="977" spans="1:33" hidden="1" x14ac:dyDescent="0.2">
      <c r="A977" s="4">
        <f>IF(B977=1,3,IF(D977=1,2,IF(F977=1,1,0)))</f>
        <v>0</v>
      </c>
      <c r="B977" s="4" t="str">
        <f>IF(C977=$L977,1,IF(C977="","",0))</f>
        <v/>
      </c>
      <c r="C977" s="42"/>
      <c r="D977" s="4" t="str">
        <f>IF(E977=$L977,1,IF(E977="","",0))</f>
        <v/>
      </c>
      <c r="E977" s="14"/>
      <c r="F977" s="4" t="str">
        <f>IF(G977=$L977,1,IF(G977="","",0))</f>
        <v/>
      </c>
      <c r="G977" s="14"/>
      <c r="H977" s="6">
        <v>548</v>
      </c>
      <c r="I977" s="15" t="s">
        <v>3120</v>
      </c>
      <c r="J977" s="6" t="s">
        <v>3693</v>
      </c>
      <c r="K977" s="6"/>
      <c r="L977" s="6" t="s">
        <v>132</v>
      </c>
      <c r="M977" s="6" t="s">
        <v>6657</v>
      </c>
      <c r="N977" s="7">
        <f ca="1">RAND()</f>
        <v>0.49504470021762637</v>
      </c>
      <c r="O977" s="8">
        <v>45202</v>
      </c>
      <c r="P977" s="8">
        <v>45203</v>
      </c>
      <c r="Q977" s="8">
        <v>45205</v>
      </c>
      <c r="R977" s="8">
        <v>45209</v>
      </c>
      <c r="S977" s="8">
        <v>45216</v>
      </c>
      <c r="T977" s="8">
        <v>45228</v>
      </c>
      <c r="U977" s="8">
        <v>45792</v>
      </c>
      <c r="V977" s="10">
        <f>COUNTA(O977:U977)</f>
        <v>7</v>
      </c>
      <c r="W977" s="11">
        <f>_xlfn.IFNA(INDEX(reading[[#This Row],[Memo 01]:[Memo 07]],MATCH(0,reading[[#This Row],[Memo 01]:[Memo 07]],-1)),"")</f>
        <v>45792</v>
      </c>
      <c r="X977" s="11">
        <f ca="1">IFERROR(reading[[#This Row],[Previous]]+OFFSET(reading[[#Headers],[Memo 01]],-1,MATCH(0,reading[[#This Row],[Memo 01]:[Memo 07]],-1)-1),"")</f>
        <v>55792</v>
      </c>
      <c r="Y977" s="10" t="str">
        <f ca="1">IF(reading[[#This Row],[Next]]&lt;&gt;"",IF(reading[[#This Row],[Next]]&gt;TODAY(),"OK",""),"")</f>
        <v>OK</v>
      </c>
      <c r="Z977" s="13">
        <v>3</v>
      </c>
      <c r="AA977" s="13">
        <v>3</v>
      </c>
      <c r="AB977" s="13">
        <v>3</v>
      </c>
      <c r="AC977" s="13">
        <v>3</v>
      </c>
      <c r="AD977" s="13">
        <v>3</v>
      </c>
      <c r="AE977" s="13">
        <v>3</v>
      </c>
      <c r="AF977" s="13">
        <v>3</v>
      </c>
      <c r="AG977" s="16">
        <f>IFERROR(SUMIF(reading[[#This Row],[1st]:[7th]],"&gt;0")/COUNTIF(reading[[#This Row],[1st]:[7th]],"&gt;0"),"")</f>
        <v>3</v>
      </c>
    </row>
    <row r="978" spans="1:33" hidden="1" x14ac:dyDescent="0.2">
      <c r="A978" s="4">
        <f>IF(B978=1,3,IF(D978=1,2,IF(F978=1,1,0)))</f>
        <v>0</v>
      </c>
      <c r="B978" s="4" t="str">
        <f>IF(C978=$L978,1,IF(C978="","",0))</f>
        <v/>
      </c>
      <c r="C978" s="42"/>
      <c r="D978" s="4" t="str">
        <f>IF(E978=$L978,1,IF(E978="","",0))</f>
        <v/>
      </c>
      <c r="E978" s="14"/>
      <c r="F978" s="4" t="str">
        <f>IF(G978=$L978,1,IF(G978="","",0))</f>
        <v/>
      </c>
      <c r="G978" s="14"/>
      <c r="H978" s="6">
        <v>500</v>
      </c>
      <c r="I978" s="15" t="s">
        <v>3120</v>
      </c>
      <c r="J978" s="6" t="s">
        <v>3646</v>
      </c>
      <c r="K978" s="15" t="s">
        <v>3138</v>
      </c>
      <c r="L978" s="6" t="s">
        <v>628</v>
      </c>
      <c r="M978" s="6" t="s">
        <v>6609</v>
      </c>
      <c r="N978" s="7">
        <f ca="1">RAND()</f>
        <v>0.48990689525108422</v>
      </c>
      <c r="O978" s="8">
        <v>45202</v>
      </c>
      <c r="P978" s="8">
        <v>45203</v>
      </c>
      <c r="Q978" s="8">
        <v>45205</v>
      </c>
      <c r="R978" s="8">
        <v>45209</v>
      </c>
      <c r="S978" s="8">
        <v>45216</v>
      </c>
      <c r="T978" s="8">
        <v>45228</v>
      </c>
      <c r="U978" s="8">
        <v>45792</v>
      </c>
      <c r="V978" s="10">
        <f>COUNTA(O978:U978)</f>
        <v>7</v>
      </c>
      <c r="W978" s="11">
        <f>_xlfn.IFNA(INDEX(reading[[#This Row],[Memo 01]:[Memo 07]],MATCH(0,reading[[#This Row],[Memo 01]:[Memo 07]],-1)),"")</f>
        <v>45792</v>
      </c>
      <c r="X978" s="11">
        <f ca="1">IFERROR(reading[[#This Row],[Previous]]+OFFSET(reading[[#Headers],[Memo 01]],-1,MATCH(0,reading[[#This Row],[Memo 01]:[Memo 07]],-1)-1),"")</f>
        <v>55792</v>
      </c>
      <c r="Y978" s="10" t="str">
        <f ca="1">IF(reading[[#This Row],[Next]]&lt;&gt;"",IF(reading[[#This Row],[Next]]&gt;TODAY(),"OK",""),"")</f>
        <v>OK</v>
      </c>
      <c r="Z978" s="13">
        <v>3</v>
      </c>
      <c r="AA978" s="13">
        <v>2</v>
      </c>
      <c r="AB978" s="13">
        <v>3</v>
      </c>
      <c r="AC978" s="13">
        <v>3</v>
      </c>
      <c r="AD978" s="13">
        <v>3</v>
      </c>
      <c r="AE978" s="13">
        <v>3</v>
      </c>
      <c r="AF978" s="13">
        <v>3</v>
      </c>
      <c r="AG978" s="16">
        <f>IFERROR(SUMIF(reading[[#This Row],[1st]:[7th]],"&gt;0")/COUNTIF(reading[[#This Row],[1st]:[7th]],"&gt;0"),"")</f>
        <v>2.8571428571428572</v>
      </c>
    </row>
    <row r="979" spans="1:33" hidden="1" x14ac:dyDescent="0.2">
      <c r="A979" s="4">
        <f>IF(B979=1,3,IF(D979=1,2,IF(F979=1,1,0)))</f>
        <v>0</v>
      </c>
      <c r="B979" s="4" t="str">
        <f>IF(C979=$L979,1,IF(C979="","",0))</f>
        <v/>
      </c>
      <c r="C979" s="42"/>
      <c r="D979" s="4" t="str">
        <f>IF(E979=$L979,1,IF(E979="","",0))</f>
        <v/>
      </c>
      <c r="E979" s="14"/>
      <c r="F979" s="4" t="str">
        <f>IF(G979=$L979,1,IF(G979="","",0))</f>
        <v/>
      </c>
      <c r="G979" s="14"/>
      <c r="H979" s="6">
        <v>561</v>
      </c>
      <c r="I979" s="15" t="s">
        <v>3120</v>
      </c>
      <c r="J979" s="6" t="s">
        <v>3704</v>
      </c>
      <c r="K979" s="6"/>
      <c r="L979" s="6" t="s">
        <v>688</v>
      </c>
      <c r="M979" s="6" t="s">
        <v>6670</v>
      </c>
      <c r="N979" s="7">
        <f ca="1">RAND()</f>
        <v>0.31090040894189219</v>
      </c>
      <c r="O979" s="8">
        <v>45202</v>
      </c>
      <c r="P979" s="8">
        <v>45203</v>
      </c>
      <c r="Q979" s="8">
        <v>45205</v>
      </c>
      <c r="R979" s="8">
        <v>45209</v>
      </c>
      <c r="S979" s="8">
        <v>45216</v>
      </c>
      <c r="T979" s="8">
        <v>45228</v>
      </c>
      <c r="U979" s="8">
        <v>45819</v>
      </c>
      <c r="V979" s="10">
        <f>COUNTA(O979:U979)</f>
        <v>7</v>
      </c>
      <c r="W979" s="11">
        <f>_xlfn.IFNA(INDEX(reading[[#This Row],[Memo 01]:[Memo 07]],MATCH(0,reading[[#This Row],[Memo 01]:[Memo 07]],-1)),"")</f>
        <v>45819</v>
      </c>
      <c r="X979" s="11">
        <f ca="1">IFERROR(reading[[#This Row],[Previous]]+OFFSET(reading[[#Headers],[Memo 01]],-1,MATCH(0,reading[[#This Row],[Memo 01]:[Memo 07]],-1)-1),"")</f>
        <v>55819</v>
      </c>
      <c r="Y979" s="10" t="str">
        <f ca="1">IF(reading[[#This Row],[Next]]&lt;&gt;"",IF(reading[[#This Row],[Next]]&gt;TODAY(),"OK",""),"")</f>
        <v>OK</v>
      </c>
      <c r="Z979" s="13">
        <v>3</v>
      </c>
      <c r="AA979" s="13">
        <v>3</v>
      </c>
      <c r="AB979" s="13">
        <v>3</v>
      </c>
      <c r="AC979" s="13">
        <v>3</v>
      </c>
      <c r="AD979" s="13">
        <v>3</v>
      </c>
      <c r="AE979" s="13">
        <v>3</v>
      </c>
      <c r="AF979" s="13">
        <v>3</v>
      </c>
      <c r="AG979" s="16">
        <f>IFERROR(SUMIF(reading[[#This Row],[1st]:[7th]],"&gt;0")/COUNTIF(reading[[#This Row],[1st]:[7th]],"&gt;0"),"")</f>
        <v>3</v>
      </c>
    </row>
    <row r="980" spans="1:33" hidden="1" x14ac:dyDescent="0.2">
      <c r="A980" s="4">
        <f>IF(B980=1,3,IF(D980=1,2,IF(F980=1,1,0)))</f>
        <v>0</v>
      </c>
      <c r="B980" s="4" t="str">
        <f>IF(C980=$L980,1,IF(C980="","",0))</f>
        <v/>
      </c>
      <c r="C980" s="42"/>
      <c r="D980" s="4" t="str">
        <f>IF(E980=$L980,1,IF(E980="","",0))</f>
        <v/>
      </c>
      <c r="E980" s="23"/>
      <c r="F980" s="4" t="str">
        <f>IF(G980=$L980,1,IF(G980="","",0))</f>
        <v/>
      </c>
      <c r="G980" s="14"/>
      <c r="H980" s="6">
        <v>970</v>
      </c>
      <c r="I980" s="15" t="s">
        <v>3120</v>
      </c>
      <c r="J980" s="6" t="s">
        <v>4099</v>
      </c>
      <c r="K980" s="6"/>
      <c r="L980" s="6" t="s">
        <v>1080</v>
      </c>
      <c r="M980" s="6" t="s">
        <v>7078</v>
      </c>
      <c r="N980" s="7">
        <f ca="1">RAND()</f>
        <v>0.33328611280514631</v>
      </c>
      <c r="O980" s="8">
        <v>45204</v>
      </c>
      <c r="P980" s="8">
        <v>45205</v>
      </c>
      <c r="Q980" s="8">
        <v>45207</v>
      </c>
      <c r="R980" s="8">
        <v>45211</v>
      </c>
      <c r="S980" s="8">
        <v>45218</v>
      </c>
      <c r="T980" s="8">
        <v>45230</v>
      </c>
      <c r="U980" s="8">
        <v>45820</v>
      </c>
      <c r="V980" s="10">
        <f>COUNTA(O980:U980)</f>
        <v>7</v>
      </c>
      <c r="W980" s="11">
        <f>_xlfn.IFNA(INDEX(reading[[#This Row],[Memo 01]:[Memo 07]],MATCH(0,reading[[#This Row],[Memo 01]:[Memo 07]],-1)),"")</f>
        <v>45820</v>
      </c>
      <c r="X980" s="11">
        <f ca="1">IFERROR(reading[[#This Row],[Previous]]+OFFSET(reading[[#Headers],[Memo 01]],-1,MATCH(0,reading[[#This Row],[Memo 01]:[Memo 07]],-1)-1),"")</f>
        <v>55820</v>
      </c>
      <c r="Y980" s="10" t="str">
        <f ca="1">IF(reading[[#This Row],[Next]]&lt;&gt;"",IF(reading[[#This Row],[Next]]&gt;TODAY(),"OK",""),"")</f>
        <v>OK</v>
      </c>
      <c r="Z980" s="13">
        <v>3</v>
      </c>
      <c r="AA980" s="13">
        <v>2</v>
      </c>
      <c r="AB980" s="13">
        <v>3</v>
      </c>
      <c r="AC980" s="13">
        <v>3</v>
      </c>
      <c r="AD980" s="13">
        <v>3</v>
      </c>
      <c r="AE980" s="13">
        <v>3</v>
      </c>
      <c r="AF980" s="13">
        <v>2</v>
      </c>
      <c r="AG980" s="16">
        <f>IFERROR(SUMIF(reading[[#This Row],[1st]:[7th]],"&gt;0")/COUNTIF(reading[[#This Row],[1st]:[7th]],"&gt;0"),"")</f>
        <v>2.7142857142857144</v>
      </c>
    </row>
    <row r="981" spans="1:33" hidden="1" x14ac:dyDescent="0.2">
      <c r="A981" s="4">
        <f>IF(B981=1,3,IF(D981=1,2,IF(F981=1,1,0)))</f>
        <v>0</v>
      </c>
      <c r="B981" s="4" t="str">
        <f>IF(C981=$L981,1,IF(C981="","",0))</f>
        <v/>
      </c>
      <c r="C981" s="43"/>
      <c r="D981" s="4" t="str">
        <f>IF(E981=$L981,1,IF(E981="","",0))</f>
        <v/>
      </c>
      <c r="E981" s="14"/>
      <c r="F981" s="4" t="str">
        <f>IF(G981=$L981,1,IF(G981="","",0))</f>
        <v/>
      </c>
      <c r="G981" s="14"/>
      <c r="H981" s="6">
        <v>74</v>
      </c>
      <c r="I981" s="15" t="s">
        <v>3120</v>
      </c>
      <c r="J981" s="6" t="s">
        <v>3224</v>
      </c>
      <c r="K981" s="6"/>
      <c r="L981" s="6" t="s">
        <v>212</v>
      </c>
      <c r="M981" s="6" t="s">
        <v>6183</v>
      </c>
      <c r="N981" s="7">
        <f ca="1">RAND()</f>
        <v>0.44221772135702919</v>
      </c>
      <c r="O981" s="8">
        <v>45198</v>
      </c>
      <c r="P981" s="8">
        <v>45199</v>
      </c>
      <c r="Q981" s="8">
        <v>45201</v>
      </c>
      <c r="R981" s="8">
        <v>45205</v>
      </c>
      <c r="S981" s="8">
        <v>45212</v>
      </c>
      <c r="T981" s="8">
        <v>45224</v>
      </c>
      <c r="U981" s="8">
        <v>45801</v>
      </c>
      <c r="V981" s="10">
        <f>COUNTA(O981:U981)</f>
        <v>7</v>
      </c>
      <c r="W981" s="11">
        <f>_xlfn.IFNA(INDEX(reading[[#This Row],[Memo 01]:[Memo 07]],MATCH(0,reading[[#This Row],[Memo 01]:[Memo 07]],-1)),"")</f>
        <v>45801</v>
      </c>
      <c r="X981" s="11">
        <f ca="1">IFERROR(reading[[#This Row],[Previous]]+OFFSET(reading[[#Headers],[Memo 01]],-1,MATCH(0,reading[[#This Row],[Memo 01]:[Memo 07]],-1)-1),"")</f>
        <v>55801</v>
      </c>
      <c r="Y981" s="10" t="str">
        <f ca="1">IF(reading[[#This Row],[Next]]&lt;&gt;"",IF(reading[[#This Row],[Next]]&gt;TODAY(),"OK",""),"")</f>
        <v>OK</v>
      </c>
      <c r="Z981" s="13">
        <v>3</v>
      </c>
      <c r="AA981" s="13">
        <v>3</v>
      </c>
      <c r="AB981" s="13">
        <v>3</v>
      </c>
      <c r="AC981" s="13">
        <v>3</v>
      </c>
      <c r="AD981" s="13">
        <v>3</v>
      </c>
      <c r="AE981" s="13">
        <v>3</v>
      </c>
      <c r="AF981" s="13">
        <v>3</v>
      </c>
      <c r="AG981" s="16">
        <f>IFERROR(SUMIF(reading[[#This Row],[1st]:[7th]],"&gt;0")/COUNTIF(reading[[#This Row],[1st]:[7th]],"&gt;0"),"")</f>
        <v>3</v>
      </c>
    </row>
    <row r="982" spans="1:33" hidden="1" x14ac:dyDescent="0.2">
      <c r="A982" s="4">
        <f>IF(B982=1,3,IF(D982=1,2,IF(F982=1,1,0)))</f>
        <v>0</v>
      </c>
      <c r="B982" s="4" t="str">
        <f>IF(C982=$L982,1,IF(C982="","",0))</f>
        <v/>
      </c>
      <c r="C982" s="42"/>
      <c r="D982" s="4" t="str">
        <f>IF(E982=$L982,1,IF(E982="","",0))</f>
        <v/>
      </c>
      <c r="E982" s="23"/>
      <c r="F982" s="4" t="str">
        <f>IF(G982=$L982,1,IF(G982="","",0))</f>
        <v/>
      </c>
      <c r="G982" s="14"/>
      <c r="H982" s="6">
        <v>1980</v>
      </c>
      <c r="I982" s="15" t="s">
        <v>3120</v>
      </c>
      <c r="J982" s="6" t="s">
        <v>5079</v>
      </c>
      <c r="K982" s="6"/>
      <c r="L982" s="6" t="s">
        <v>2055</v>
      </c>
      <c r="M982" s="6" t="s">
        <v>8086</v>
      </c>
      <c r="N982" s="7">
        <f ca="1">RAND()</f>
        <v>0.45923675633935823</v>
      </c>
      <c r="O982" s="8">
        <v>45213</v>
      </c>
      <c r="P982" s="8">
        <v>45214</v>
      </c>
      <c r="Q982" s="8">
        <v>45216</v>
      </c>
      <c r="R982" s="8">
        <v>45220</v>
      </c>
      <c r="S982" s="8">
        <v>45227</v>
      </c>
      <c r="T982" s="8">
        <v>45825</v>
      </c>
      <c r="U982" s="8"/>
      <c r="V982" s="10">
        <f>COUNTA(O982:U982)</f>
        <v>6</v>
      </c>
      <c r="W982" s="11">
        <f>_xlfn.IFNA(INDEX(reading[[#This Row],[Memo 01]:[Memo 07]],MATCH(0,reading[[#This Row],[Memo 01]:[Memo 07]],-1)),"")</f>
        <v>45825</v>
      </c>
      <c r="X982" s="11">
        <f ca="1">IFERROR(reading[[#This Row],[Previous]]+OFFSET(reading[[#Headers],[Memo 01]],-1,MATCH(0,reading[[#This Row],[Memo 01]:[Memo 07]],-1)-1),"")</f>
        <v>45845</v>
      </c>
      <c r="Y982" s="10" t="str">
        <f ca="1">IF(reading[[#This Row],[Next]]&lt;&gt;"",IF(reading[[#This Row],[Next]]&gt;TODAY(),"OK",""),"")</f>
        <v>OK</v>
      </c>
      <c r="Z982" s="13">
        <v>3</v>
      </c>
      <c r="AA982" s="13">
        <v>3</v>
      </c>
      <c r="AB982" s="13">
        <v>3</v>
      </c>
      <c r="AC982" s="13">
        <v>3</v>
      </c>
      <c r="AD982" s="13">
        <v>3</v>
      </c>
      <c r="AE982" s="13">
        <v>2</v>
      </c>
      <c r="AF982" s="13"/>
      <c r="AG982" s="16">
        <f>IFERROR(SUMIF(reading[[#This Row],[1st]:[7th]],"&gt;0")/COUNTIF(reading[[#This Row],[1st]:[7th]],"&gt;0"),"")</f>
        <v>2.8333333333333335</v>
      </c>
    </row>
    <row r="983" spans="1:33" hidden="1" x14ac:dyDescent="0.2">
      <c r="A983" s="4">
        <f>IF(B983=1,3,IF(D983=1,2,IF(F983=1,1,0)))</f>
        <v>0</v>
      </c>
      <c r="B983" s="4" t="str">
        <f>IF(C983=$L983,1,IF(C983="","",0))</f>
        <v/>
      </c>
      <c r="C983" s="42"/>
      <c r="D983" s="4" t="str">
        <f>IF(E983=$L983,1,IF(E983="","",0))</f>
        <v/>
      </c>
      <c r="E983" s="14"/>
      <c r="F983" s="4" t="str">
        <f>IF(G983=$L983,1,IF(G983="","",0))</f>
        <v/>
      </c>
      <c r="G983" s="14"/>
      <c r="H983" s="6">
        <v>911</v>
      </c>
      <c r="I983" s="15" t="s">
        <v>3120</v>
      </c>
      <c r="J983" s="6" t="s">
        <v>4043</v>
      </c>
      <c r="K983" s="6"/>
      <c r="L983" s="6" t="s">
        <v>1023</v>
      </c>
      <c r="M983" s="6" t="s">
        <v>7020</v>
      </c>
      <c r="N983" s="7">
        <f ca="1">RAND()</f>
        <v>0.6944241931567896</v>
      </c>
      <c r="O983" s="8">
        <v>45204</v>
      </c>
      <c r="P983" s="8">
        <v>45205</v>
      </c>
      <c r="Q983" s="8">
        <v>45207</v>
      </c>
      <c r="R983" s="8">
        <v>45211</v>
      </c>
      <c r="S983" s="8">
        <v>45218</v>
      </c>
      <c r="T983" s="8">
        <v>45230</v>
      </c>
      <c r="U983" s="8">
        <v>45792</v>
      </c>
      <c r="V983" s="10">
        <f>COUNTA(O983:U983)</f>
        <v>7</v>
      </c>
      <c r="W983" s="11">
        <f>_xlfn.IFNA(INDEX(reading[[#This Row],[Memo 01]:[Memo 07]],MATCH(0,reading[[#This Row],[Memo 01]:[Memo 07]],-1)),"")</f>
        <v>45792</v>
      </c>
      <c r="X983" s="11">
        <f ca="1">IFERROR(reading[[#This Row],[Previous]]+OFFSET(reading[[#Headers],[Memo 01]],-1,MATCH(0,reading[[#This Row],[Memo 01]:[Memo 07]],-1)-1),"")</f>
        <v>55792</v>
      </c>
      <c r="Y983" s="10" t="str">
        <f ca="1">IF(reading[[#This Row],[Next]]&lt;&gt;"",IF(reading[[#This Row],[Next]]&gt;TODAY(),"OK",""),"")</f>
        <v>OK</v>
      </c>
      <c r="Z983" s="13">
        <v>3</v>
      </c>
      <c r="AA983" s="13">
        <v>3</v>
      </c>
      <c r="AB983" s="13">
        <v>3</v>
      </c>
      <c r="AC983" s="13">
        <v>3</v>
      </c>
      <c r="AD983" s="13">
        <v>3</v>
      </c>
      <c r="AE983" s="13">
        <v>3</v>
      </c>
      <c r="AF983" s="13">
        <v>3</v>
      </c>
      <c r="AG983" s="16">
        <f>IFERROR(SUMIF(reading[[#This Row],[1st]:[7th]],"&gt;0")/COUNTIF(reading[[#This Row],[1st]:[7th]],"&gt;0"),"")</f>
        <v>3</v>
      </c>
    </row>
    <row r="984" spans="1:33" hidden="1" x14ac:dyDescent="0.2">
      <c r="A984" s="4">
        <f>IF(B984=1,3,IF(D984=1,2,IF(F984=1,1,0)))</f>
        <v>0</v>
      </c>
      <c r="B984" s="4" t="str">
        <f>IF(C984=$L984,1,IF(C984="","",0))</f>
        <v/>
      </c>
      <c r="C984" s="42"/>
      <c r="D984" s="4" t="str">
        <f>IF(E984=$L984,1,IF(E984="","",0))</f>
        <v/>
      </c>
      <c r="E984" s="14"/>
      <c r="F984" s="4" t="str">
        <f>IF(G984=$L984,1,IF(G984="","",0))</f>
        <v/>
      </c>
      <c r="G984" s="14"/>
      <c r="H984" s="6">
        <v>1583</v>
      </c>
      <c r="I984" s="15" t="s">
        <v>3120</v>
      </c>
      <c r="J984" s="6" t="s">
        <v>4695</v>
      </c>
      <c r="K984" s="6"/>
      <c r="L984" s="6" t="s">
        <v>1666</v>
      </c>
      <c r="M984" s="6" t="s">
        <v>7689</v>
      </c>
      <c r="N984" s="7">
        <f ca="1">RAND()</f>
        <v>0.62186738565384281</v>
      </c>
      <c r="O984" s="8">
        <v>45209</v>
      </c>
      <c r="P984" s="8">
        <v>45210</v>
      </c>
      <c r="Q984" s="8">
        <v>45212</v>
      </c>
      <c r="R984" s="8">
        <v>45216</v>
      </c>
      <c r="S984" s="8">
        <v>45223</v>
      </c>
      <c r="T984" s="8">
        <v>45235</v>
      </c>
      <c r="U984" s="8">
        <v>45801</v>
      </c>
      <c r="V984" s="10">
        <f>COUNTA(O984:U984)</f>
        <v>7</v>
      </c>
      <c r="W984" s="11">
        <f>_xlfn.IFNA(INDEX(reading[[#This Row],[Memo 01]:[Memo 07]],MATCH(0,reading[[#This Row],[Memo 01]:[Memo 07]],-1)),"")</f>
        <v>45801</v>
      </c>
      <c r="X984" s="11">
        <f ca="1">IFERROR(reading[[#This Row],[Previous]]+OFFSET(reading[[#Headers],[Memo 01]],-1,MATCH(0,reading[[#This Row],[Memo 01]:[Memo 07]],-1)-1),"")</f>
        <v>55801</v>
      </c>
      <c r="Y984" s="10" t="str">
        <f ca="1">IF(reading[[#This Row],[Next]]&lt;&gt;"",IF(reading[[#This Row],[Next]]&gt;TODAY(),"OK",""),"")</f>
        <v>OK</v>
      </c>
      <c r="Z984" s="13">
        <v>3</v>
      </c>
      <c r="AA984" s="13">
        <v>3</v>
      </c>
      <c r="AB984" s="13">
        <v>3</v>
      </c>
      <c r="AC984" s="13">
        <v>3</v>
      </c>
      <c r="AD984" s="13">
        <v>3</v>
      </c>
      <c r="AE984" s="13">
        <v>3</v>
      </c>
      <c r="AF984" s="13">
        <v>3</v>
      </c>
      <c r="AG984" s="16">
        <f>IFERROR(SUMIF(reading[[#This Row],[1st]:[7th]],"&gt;0")/COUNTIF(reading[[#This Row],[1st]:[7th]],"&gt;0"),"")</f>
        <v>3</v>
      </c>
    </row>
    <row r="985" spans="1:33" hidden="1" x14ac:dyDescent="0.2">
      <c r="A985" s="4">
        <f>IF(B985=1,3,IF(D985=1,2,IF(F985=1,1,0)))</f>
        <v>0</v>
      </c>
      <c r="B985" s="4" t="str">
        <f>IF(C985=$L985,1,IF(C985="","",0))</f>
        <v/>
      </c>
      <c r="C985" s="42"/>
      <c r="D985" s="4" t="str">
        <f>IF(E985=$L985,1,IF(E985="","",0))</f>
        <v/>
      </c>
      <c r="E985" s="43"/>
      <c r="F985" s="4" t="str">
        <f>IF(G985=$L985,1,IF(G985="","",0))</f>
        <v/>
      </c>
      <c r="G985" s="14"/>
      <c r="H985" s="6">
        <v>3067</v>
      </c>
      <c r="I985" s="15" t="s">
        <v>3120</v>
      </c>
      <c r="J985" s="6" t="s">
        <v>6088</v>
      </c>
      <c r="K985" s="6"/>
      <c r="L985" s="6" t="s">
        <v>3092</v>
      </c>
      <c r="M985" s="6" t="s">
        <v>9170</v>
      </c>
      <c r="N985" s="7">
        <f ca="1">RAND()</f>
        <v>0.73700872185797306</v>
      </c>
      <c r="O985" s="8">
        <v>45224</v>
      </c>
      <c r="P985" s="8">
        <v>45225</v>
      </c>
      <c r="Q985" s="8">
        <v>45227</v>
      </c>
      <c r="R985" s="8">
        <v>45231</v>
      </c>
      <c r="S985" s="8">
        <v>45252</v>
      </c>
      <c r="T985" s="8">
        <v>45815</v>
      </c>
      <c r="U985" s="8"/>
      <c r="V985" s="10">
        <f>COUNTA(O985:U985)</f>
        <v>6</v>
      </c>
      <c r="W985" s="11">
        <f>_xlfn.IFNA(INDEX(reading[[#This Row],[Memo 01]:[Memo 07]],MATCH(0,reading[[#This Row],[Memo 01]:[Memo 07]],-1)),"")</f>
        <v>45815</v>
      </c>
      <c r="X985" s="11">
        <f ca="1">IFERROR(reading[[#This Row],[Previous]]+OFFSET(reading[[#Headers],[Memo 01]],-1,MATCH(0,reading[[#This Row],[Memo 01]:[Memo 07]],-1)-1),"")</f>
        <v>45835</v>
      </c>
      <c r="Y985" s="10" t="str">
        <f ca="1">IF(reading[[#This Row],[Next]]&lt;&gt;"",IF(reading[[#This Row],[Next]]&gt;TODAY(),"OK",""),"")</f>
        <v>OK</v>
      </c>
      <c r="Z985" s="13">
        <v>3</v>
      </c>
      <c r="AA985" s="13">
        <v>3</v>
      </c>
      <c r="AB985" s="13">
        <v>3</v>
      </c>
      <c r="AC985" s="13">
        <v>3</v>
      </c>
      <c r="AD985" s="13">
        <v>2</v>
      </c>
      <c r="AE985" s="13">
        <v>2</v>
      </c>
      <c r="AF985" s="13"/>
      <c r="AG985" s="16">
        <f>IFERROR(SUMIF(reading[[#This Row],[1st]:[7th]],"&gt;0")/COUNTIF(reading[[#This Row],[1st]:[7th]],"&gt;0"),"")</f>
        <v>2.6666666666666665</v>
      </c>
    </row>
    <row r="986" spans="1:33" hidden="1" x14ac:dyDescent="0.2">
      <c r="A986" s="4">
        <f>IF(B986=1,3,IF(D986=1,2,IF(F986=1,1,0)))</f>
        <v>3</v>
      </c>
      <c r="B986" s="4">
        <f>IF(C986=$L986,1,IF(C986="","",0))</f>
        <v>1</v>
      </c>
      <c r="C986" s="22" t="s">
        <v>1100</v>
      </c>
      <c r="D986" s="4" t="str">
        <f>IF(E986=$L986,1,IF(E986="","",0))</f>
        <v/>
      </c>
      <c r="E986" s="14"/>
      <c r="F986" s="4" t="str">
        <f>IF(G986=$L986,1,IF(G986="","",0))</f>
        <v/>
      </c>
      <c r="G986" s="14"/>
      <c r="H986" s="6">
        <v>990</v>
      </c>
      <c r="I986" s="15" t="s">
        <v>3120</v>
      </c>
      <c r="J986" s="6" t="s">
        <v>4119</v>
      </c>
      <c r="K986" s="6"/>
      <c r="L986" s="6" t="s">
        <v>1100</v>
      </c>
      <c r="M986" s="6" t="s">
        <v>7098</v>
      </c>
      <c r="N986" s="7">
        <f ca="1">RAND()</f>
        <v>0.36797583715019289</v>
      </c>
      <c r="O986" s="8">
        <v>45204</v>
      </c>
      <c r="P986" s="8">
        <v>45204</v>
      </c>
      <c r="Q986" s="8">
        <v>45204</v>
      </c>
      <c r="R986" s="8">
        <v>45204</v>
      </c>
      <c r="S986" s="8">
        <v>45204</v>
      </c>
      <c r="T986" s="8">
        <v>45204</v>
      </c>
      <c r="U986" s="8">
        <v>45204</v>
      </c>
      <c r="V986" s="10">
        <f>COUNTA(O986:U986)</f>
        <v>7</v>
      </c>
      <c r="W986" s="11">
        <f>_xlfn.IFNA(INDEX(reading[[#This Row],[Memo 01]:[Memo 07]],MATCH(0,reading[[#This Row],[Memo 01]:[Memo 07]],-1)),"")</f>
        <v>45204</v>
      </c>
      <c r="X986" s="11">
        <f ca="1">IFERROR(reading[[#This Row],[Previous]]+OFFSET(reading[[#Headers],[Memo 01]],-1,MATCH(0,reading[[#This Row],[Memo 01]:[Memo 07]],-1)-1),"")</f>
        <v>55204</v>
      </c>
      <c r="Y986" s="10" t="str">
        <f ca="1">IF(reading[[#This Row],[Next]]&lt;&gt;"",IF(reading[[#This Row],[Next]]&gt;TODAY(),"OK",""),"")</f>
        <v>OK</v>
      </c>
      <c r="Z986" s="13">
        <v>3</v>
      </c>
      <c r="AA986" s="13"/>
      <c r="AB986" s="13"/>
      <c r="AC986" s="13"/>
      <c r="AD986" s="13"/>
      <c r="AE986" s="13"/>
      <c r="AF986" s="13"/>
      <c r="AG986" s="16">
        <f>IFERROR(SUMIF(reading[[#This Row],[1st]:[7th]],"&gt;0")/COUNTIF(reading[[#This Row],[1st]:[7th]],"&gt;0"),"")</f>
        <v>3</v>
      </c>
    </row>
    <row r="987" spans="1:33" hidden="1" x14ac:dyDescent="0.2">
      <c r="A987" s="4">
        <f>IF(B987=1,3,IF(D987=1,2,IF(F987=1,1,0)))</f>
        <v>0</v>
      </c>
      <c r="B987" s="4" t="str">
        <f>IF(C987=$L987,1,IF(C987="","",0))</f>
        <v/>
      </c>
      <c r="C987" s="42"/>
      <c r="D987" s="4" t="str">
        <f>IF(E987=$L987,1,IF(E987="","",0))</f>
        <v/>
      </c>
      <c r="E987" s="23"/>
      <c r="F987" s="4" t="str">
        <f>IF(G987=$L987,1,IF(G987="","",0))</f>
        <v/>
      </c>
      <c r="G987" s="14"/>
      <c r="H987" s="6">
        <v>2509</v>
      </c>
      <c r="I987" s="15" t="s">
        <v>3120</v>
      </c>
      <c r="J987" s="6" t="s">
        <v>5573</v>
      </c>
      <c r="K987" s="6"/>
      <c r="L987" s="6" t="s">
        <v>2555</v>
      </c>
      <c r="M987" s="6" t="s">
        <v>8614</v>
      </c>
      <c r="N987" s="7">
        <f ca="1">RAND()</f>
        <v>0.15001199879068738</v>
      </c>
      <c r="O987" s="8">
        <v>45219</v>
      </c>
      <c r="P987" s="8">
        <v>45220</v>
      </c>
      <c r="Q987" s="8">
        <v>45222</v>
      </c>
      <c r="R987" s="8">
        <v>45226</v>
      </c>
      <c r="S987" s="8">
        <v>45233</v>
      </c>
      <c r="T987" s="8">
        <v>45815</v>
      </c>
      <c r="U987" s="8"/>
      <c r="V987" s="10">
        <f>COUNTA(O987:U987)</f>
        <v>6</v>
      </c>
      <c r="W987" s="11">
        <f>_xlfn.IFNA(INDEX(reading[[#This Row],[Memo 01]:[Memo 07]],MATCH(0,reading[[#This Row],[Memo 01]:[Memo 07]],-1)),"")</f>
        <v>45815</v>
      </c>
      <c r="X987" s="11">
        <f ca="1">IFERROR(reading[[#This Row],[Previous]]+OFFSET(reading[[#Headers],[Memo 01]],-1,MATCH(0,reading[[#This Row],[Memo 01]:[Memo 07]],-1)-1),"")</f>
        <v>45835</v>
      </c>
      <c r="Y987" s="10" t="str">
        <f ca="1">IF(reading[[#This Row],[Next]]&lt;&gt;"",IF(reading[[#This Row],[Next]]&gt;TODAY(),"OK",""),"")</f>
        <v>OK</v>
      </c>
      <c r="Z987" s="13">
        <v>3</v>
      </c>
      <c r="AA987" s="13">
        <v>3</v>
      </c>
      <c r="AB987" s="13">
        <v>3</v>
      </c>
      <c r="AC987" s="13">
        <v>3</v>
      </c>
      <c r="AD987" s="13">
        <v>3</v>
      </c>
      <c r="AE987" s="13">
        <v>2</v>
      </c>
      <c r="AF987" s="13"/>
      <c r="AG987" s="16">
        <f>IFERROR(SUMIF(reading[[#This Row],[1st]:[7th]],"&gt;0")/COUNTIF(reading[[#This Row],[1st]:[7th]],"&gt;0"),"")</f>
        <v>2.8333333333333335</v>
      </c>
    </row>
    <row r="988" spans="1:33" hidden="1" x14ac:dyDescent="0.2">
      <c r="A988" s="4">
        <f>IF(B988=1,3,IF(D988=1,2,IF(F988=1,1,0)))</f>
        <v>0</v>
      </c>
      <c r="B988" s="4" t="str">
        <f>IF(C988=$L988,1,IF(C988="","",0))</f>
        <v/>
      </c>
      <c r="C988" s="42"/>
      <c r="D988" s="4" t="str">
        <f>IF(E988=$L988,1,IF(E988="","",0))</f>
        <v/>
      </c>
      <c r="E988" s="18"/>
      <c r="F988" s="4" t="str">
        <f>IF(G988=$L988,1,IF(G988="","",0))</f>
        <v/>
      </c>
      <c r="G988" s="14"/>
      <c r="H988" s="6">
        <v>370</v>
      </c>
      <c r="I988" s="15" t="s">
        <v>3120</v>
      </c>
      <c r="J988" s="6" t="s">
        <v>3517</v>
      </c>
      <c r="K988" s="6"/>
      <c r="L988" s="6" t="s">
        <v>503</v>
      </c>
      <c r="M988" s="6" t="s">
        <v>6479</v>
      </c>
      <c r="N988" s="7">
        <f ca="1">RAND()</f>
        <v>0.72151943862425016</v>
      </c>
      <c r="O988" s="8">
        <v>45201</v>
      </c>
      <c r="P988" s="8">
        <v>45202</v>
      </c>
      <c r="Q988" s="8">
        <v>45204</v>
      </c>
      <c r="R988" s="8">
        <v>45208</v>
      </c>
      <c r="S988" s="8">
        <v>45215</v>
      </c>
      <c r="T988" s="8">
        <v>45227</v>
      </c>
      <c r="U988" s="8">
        <v>45824</v>
      </c>
      <c r="V988" s="10">
        <f>COUNTA(O988:U988)</f>
        <v>7</v>
      </c>
      <c r="W988" s="11">
        <f>_xlfn.IFNA(INDEX(reading[[#This Row],[Memo 01]:[Memo 07]],MATCH(0,reading[[#This Row],[Memo 01]:[Memo 07]],-1)),"")</f>
        <v>45824</v>
      </c>
      <c r="X988" s="11">
        <f ca="1">IFERROR(reading[[#This Row],[Previous]]+OFFSET(reading[[#Headers],[Memo 01]],-1,MATCH(0,reading[[#This Row],[Memo 01]:[Memo 07]],-1)-1),"")</f>
        <v>55824</v>
      </c>
      <c r="Y988" s="10" t="str">
        <f ca="1">IF(reading[[#This Row],[Next]]&lt;&gt;"",IF(reading[[#This Row],[Next]]&gt;TODAY(),"OK",""),"")</f>
        <v>OK</v>
      </c>
      <c r="Z988" s="13">
        <v>3</v>
      </c>
      <c r="AA988" s="13">
        <v>3</v>
      </c>
      <c r="AB988" s="13">
        <v>3</v>
      </c>
      <c r="AC988" s="13">
        <v>3</v>
      </c>
      <c r="AD988" s="13">
        <v>3</v>
      </c>
      <c r="AE988" s="13">
        <v>2</v>
      </c>
      <c r="AF988" s="13">
        <v>3</v>
      </c>
      <c r="AG988" s="16">
        <f>IFERROR(SUMIF(reading[[#This Row],[1st]:[7th]],"&gt;0")/COUNTIF(reading[[#This Row],[1st]:[7th]],"&gt;0"),"")</f>
        <v>2.8571428571428572</v>
      </c>
    </row>
    <row r="989" spans="1:33" hidden="1" x14ac:dyDescent="0.2">
      <c r="A989" s="4">
        <f>IF(B989=1,3,IF(D989=1,2,IF(F989=1,1,0)))</f>
        <v>0</v>
      </c>
      <c r="B989" s="4" t="str">
        <f>IF(C989=$L989,1,IF(C989="","",0))</f>
        <v/>
      </c>
      <c r="C989" s="42"/>
      <c r="D989" s="4" t="str">
        <f>IF(E989=$L989,1,IF(E989="","",0))</f>
        <v/>
      </c>
      <c r="E989" s="18"/>
      <c r="F989" s="4" t="str">
        <f>IF(G989=$L989,1,IF(G989="","",0))</f>
        <v/>
      </c>
      <c r="G989" s="14"/>
      <c r="H989" s="6">
        <v>999</v>
      </c>
      <c r="I989" s="15" t="s">
        <v>3120</v>
      </c>
      <c r="J989" s="6" t="s">
        <v>4128</v>
      </c>
      <c r="K989" s="6"/>
      <c r="L989" s="6" t="s">
        <v>1109</v>
      </c>
      <c r="M989" s="6" t="s">
        <v>7107</v>
      </c>
      <c r="N989" s="7">
        <f ca="1">RAND()</f>
        <v>0.10600187370949532</v>
      </c>
      <c r="O989" s="8">
        <v>45204</v>
      </c>
      <c r="P989" s="8">
        <v>45205</v>
      </c>
      <c r="Q989" s="8">
        <v>45207</v>
      </c>
      <c r="R989" s="8">
        <v>45211</v>
      </c>
      <c r="S989" s="8">
        <v>45218</v>
      </c>
      <c r="T989" s="8">
        <v>45230</v>
      </c>
      <c r="U989" s="8">
        <v>45801</v>
      </c>
      <c r="V989" s="10">
        <f>COUNTA(O989:U989)</f>
        <v>7</v>
      </c>
      <c r="W989" s="11">
        <f>_xlfn.IFNA(INDEX(reading[[#This Row],[Memo 01]:[Memo 07]],MATCH(0,reading[[#This Row],[Memo 01]:[Memo 07]],-1)),"")</f>
        <v>45801</v>
      </c>
      <c r="X989" s="11">
        <f ca="1">IFERROR(reading[[#This Row],[Previous]]+OFFSET(reading[[#Headers],[Memo 01]],-1,MATCH(0,reading[[#This Row],[Memo 01]:[Memo 07]],-1)-1),"")</f>
        <v>55801</v>
      </c>
      <c r="Y989" s="10" t="str">
        <f ca="1">IF(reading[[#This Row],[Next]]&lt;&gt;"",IF(reading[[#This Row],[Next]]&gt;TODAY(),"OK",""),"")</f>
        <v>OK</v>
      </c>
      <c r="Z989" s="13">
        <v>3</v>
      </c>
      <c r="AA989" s="13">
        <v>3</v>
      </c>
      <c r="AB989" s="13">
        <v>3</v>
      </c>
      <c r="AC989" s="13">
        <v>3</v>
      </c>
      <c r="AD989" s="13">
        <v>2</v>
      </c>
      <c r="AE989" s="13">
        <v>3</v>
      </c>
      <c r="AF989" s="13">
        <v>3</v>
      </c>
      <c r="AG989" s="16">
        <f>IFERROR(SUMIF(reading[[#This Row],[1st]:[7th]],"&gt;0")/COUNTIF(reading[[#This Row],[1st]:[7th]],"&gt;0"),"")</f>
        <v>2.8571428571428572</v>
      </c>
    </row>
    <row r="990" spans="1:33" hidden="1" x14ac:dyDescent="0.2">
      <c r="A990" s="4">
        <f>IF(B990=1,3,IF(D990=1,2,IF(F990=1,1,0)))</f>
        <v>0</v>
      </c>
      <c r="B990" s="4" t="str">
        <f>IF(C990=$L990,1,IF(C990="","",0))</f>
        <v/>
      </c>
      <c r="C990" s="42"/>
      <c r="D990" s="4" t="str">
        <f>IF(E990=$L990,1,IF(E990="","",0))</f>
        <v/>
      </c>
      <c r="E990" s="14"/>
      <c r="F990" s="4" t="str">
        <f>IF(G990=$L990,1,IF(G990="","",0))</f>
        <v/>
      </c>
      <c r="G990" s="14"/>
      <c r="H990" s="6">
        <v>1463</v>
      </c>
      <c r="I990" s="15" t="s">
        <v>3120</v>
      </c>
      <c r="J990" s="6" t="s">
        <v>4577</v>
      </c>
      <c r="K990" s="6"/>
      <c r="L990" s="6" t="s">
        <v>1550</v>
      </c>
      <c r="M990" s="6" t="s">
        <v>7570</v>
      </c>
      <c r="N990" s="7">
        <f ca="1">RAND()</f>
        <v>0.5350078682070547</v>
      </c>
      <c r="O990" s="8">
        <v>45208</v>
      </c>
      <c r="P990" s="8">
        <v>45209</v>
      </c>
      <c r="Q990" s="8">
        <v>45211</v>
      </c>
      <c r="R990" s="8">
        <v>45215</v>
      </c>
      <c r="S990" s="8">
        <v>45222</v>
      </c>
      <c r="T990" s="8">
        <v>45234</v>
      </c>
      <c r="U990" s="8">
        <v>45792</v>
      </c>
      <c r="V990" s="10">
        <f>COUNTA(O990:U990)</f>
        <v>7</v>
      </c>
      <c r="W990" s="11">
        <f>_xlfn.IFNA(INDEX(reading[[#This Row],[Memo 01]:[Memo 07]],MATCH(0,reading[[#This Row],[Memo 01]:[Memo 07]],-1)),"")</f>
        <v>45792</v>
      </c>
      <c r="X990" s="11">
        <f ca="1">IFERROR(reading[[#This Row],[Previous]]+OFFSET(reading[[#Headers],[Memo 01]],-1,MATCH(0,reading[[#This Row],[Memo 01]:[Memo 07]],-1)-1),"")</f>
        <v>55792</v>
      </c>
      <c r="Y990" s="10" t="str">
        <f ca="1">IF(reading[[#This Row],[Next]]&lt;&gt;"",IF(reading[[#This Row],[Next]]&gt;TODAY(),"OK",""),"")</f>
        <v>OK</v>
      </c>
      <c r="Z990" s="13">
        <v>3</v>
      </c>
      <c r="AA990" s="13">
        <v>3</v>
      </c>
      <c r="AB990" s="13">
        <v>3</v>
      </c>
      <c r="AC990" s="13">
        <v>3</v>
      </c>
      <c r="AD990" s="13">
        <v>3</v>
      </c>
      <c r="AE990" s="13">
        <v>3</v>
      </c>
      <c r="AF990" s="13">
        <v>3</v>
      </c>
      <c r="AG990" s="16">
        <f>IFERROR(SUMIF(reading[[#This Row],[1st]:[7th]],"&gt;0")/COUNTIF(reading[[#This Row],[1st]:[7th]],"&gt;0"),"")</f>
        <v>3</v>
      </c>
    </row>
    <row r="991" spans="1:33" hidden="1" x14ac:dyDescent="0.2">
      <c r="A991" s="4">
        <f>IF(B991=1,3,IF(D991=1,2,IF(F991=1,1,0)))</f>
        <v>0</v>
      </c>
      <c r="B991" s="4" t="str">
        <f>IF(C991=$L991,1,IF(C991="","",0))</f>
        <v/>
      </c>
      <c r="C991" s="42"/>
      <c r="D991" s="4" t="str">
        <f>IF(E991=$L991,1,IF(E991="","",0))</f>
        <v/>
      </c>
      <c r="E991" s="14"/>
      <c r="F991" s="4" t="str">
        <f>IF(G991=$L991,1,IF(G991="","",0))</f>
        <v/>
      </c>
      <c r="G991" s="14"/>
      <c r="H991" s="6">
        <v>968</v>
      </c>
      <c r="I991" s="15" t="s">
        <v>3120</v>
      </c>
      <c r="J991" s="6" t="s">
        <v>4097</v>
      </c>
      <c r="K991" s="6"/>
      <c r="L991" s="6" t="s">
        <v>1078</v>
      </c>
      <c r="M991" s="6" t="s">
        <v>7076</v>
      </c>
      <c r="N991" s="7">
        <f ca="1">RAND()</f>
        <v>0.95163859262728945</v>
      </c>
      <c r="O991" s="8">
        <v>45204</v>
      </c>
      <c r="P991" s="8">
        <v>45205</v>
      </c>
      <c r="Q991" s="8">
        <v>45207</v>
      </c>
      <c r="R991" s="8">
        <v>45211</v>
      </c>
      <c r="S991" s="8">
        <v>45218</v>
      </c>
      <c r="T991" s="8">
        <v>45230</v>
      </c>
      <c r="U991" s="8">
        <v>45801</v>
      </c>
      <c r="V991" s="10">
        <f>COUNTA(O991:U991)</f>
        <v>7</v>
      </c>
      <c r="W991" s="11">
        <f>_xlfn.IFNA(INDEX(reading[[#This Row],[Memo 01]:[Memo 07]],MATCH(0,reading[[#This Row],[Memo 01]:[Memo 07]],-1)),"")</f>
        <v>45801</v>
      </c>
      <c r="X991" s="11">
        <f ca="1">IFERROR(reading[[#This Row],[Previous]]+OFFSET(reading[[#Headers],[Memo 01]],-1,MATCH(0,reading[[#This Row],[Memo 01]:[Memo 07]],-1)-1),"")</f>
        <v>55801</v>
      </c>
      <c r="Y991" s="10" t="str">
        <f ca="1">IF(reading[[#This Row],[Next]]&lt;&gt;"",IF(reading[[#This Row],[Next]]&gt;TODAY(),"OK",""),"")</f>
        <v>OK</v>
      </c>
      <c r="Z991" s="13">
        <v>3</v>
      </c>
      <c r="AA991" s="13">
        <v>3</v>
      </c>
      <c r="AB991" s="13">
        <v>3</v>
      </c>
      <c r="AC991" s="13">
        <v>3</v>
      </c>
      <c r="AD991" s="13">
        <v>3</v>
      </c>
      <c r="AE991" s="13">
        <v>3</v>
      </c>
      <c r="AF991" s="13">
        <v>3</v>
      </c>
      <c r="AG991" s="16">
        <f>IFERROR(SUMIF(reading[[#This Row],[1st]:[7th]],"&gt;0")/COUNTIF(reading[[#This Row],[1st]:[7th]],"&gt;0"),"")</f>
        <v>3</v>
      </c>
    </row>
    <row r="992" spans="1:33" hidden="1" x14ac:dyDescent="0.2">
      <c r="A992" s="4">
        <f>IF(B992=1,3,IF(D992=1,2,IF(F992=1,1,0)))</f>
        <v>0</v>
      </c>
      <c r="B992" s="4" t="str">
        <f>IF(C992=$L992,1,IF(C992="","",0))</f>
        <v/>
      </c>
      <c r="C992" s="42"/>
      <c r="D992" s="4" t="str">
        <f>IF(E992=$L992,1,IF(E992="","",0))</f>
        <v/>
      </c>
      <c r="E992" s="14"/>
      <c r="F992" s="4" t="str">
        <f>IF(G992=$L992,1,IF(G992="","",0))</f>
        <v/>
      </c>
      <c r="G992" s="14"/>
      <c r="H992" s="6">
        <v>1786</v>
      </c>
      <c r="I992" s="15" t="s">
        <v>3120</v>
      </c>
      <c r="J992" s="6" t="s">
        <v>4893</v>
      </c>
      <c r="K992" s="6"/>
      <c r="L992" s="6" t="s">
        <v>1865</v>
      </c>
      <c r="M992" s="6" t="s">
        <v>7892</v>
      </c>
      <c r="N992" s="7">
        <f ca="1">RAND()</f>
        <v>0.92164911315442788</v>
      </c>
      <c r="O992" s="8">
        <v>45211</v>
      </c>
      <c r="P992" s="8">
        <v>45212</v>
      </c>
      <c r="Q992" s="8">
        <v>45214</v>
      </c>
      <c r="R992" s="8">
        <v>45218</v>
      </c>
      <c r="S992" s="8">
        <v>45225</v>
      </c>
      <c r="T992" s="8">
        <v>45237</v>
      </c>
      <c r="U992" s="8">
        <v>45819</v>
      </c>
      <c r="V992" s="10">
        <f>COUNTA(O992:U992)</f>
        <v>7</v>
      </c>
      <c r="W992" s="11">
        <f>_xlfn.IFNA(INDEX(reading[[#This Row],[Memo 01]:[Memo 07]],MATCH(0,reading[[#This Row],[Memo 01]:[Memo 07]],-1)),"")</f>
        <v>45819</v>
      </c>
      <c r="X992" s="11">
        <f ca="1">IFERROR(reading[[#This Row],[Previous]]+OFFSET(reading[[#Headers],[Memo 01]],-1,MATCH(0,reading[[#This Row],[Memo 01]:[Memo 07]],-1)-1),"")</f>
        <v>55819</v>
      </c>
      <c r="Y992" s="10" t="str">
        <f ca="1">IF(reading[[#This Row],[Next]]&lt;&gt;"",IF(reading[[#This Row],[Next]]&gt;TODAY(),"OK",""),"")</f>
        <v>OK</v>
      </c>
      <c r="Z992" s="13">
        <v>3</v>
      </c>
      <c r="AA992" s="13">
        <v>3</v>
      </c>
      <c r="AB992" s="13">
        <v>3</v>
      </c>
      <c r="AC992" s="13">
        <v>3</v>
      </c>
      <c r="AD992" s="13">
        <v>3</v>
      </c>
      <c r="AE992" s="13">
        <v>3</v>
      </c>
      <c r="AF992" s="13">
        <v>3</v>
      </c>
      <c r="AG992" s="16">
        <f>IFERROR(SUMIF(reading[[#This Row],[1st]:[7th]],"&gt;0")/COUNTIF(reading[[#This Row],[1st]:[7th]],"&gt;0"),"")</f>
        <v>3</v>
      </c>
    </row>
    <row r="993" spans="1:33" hidden="1" x14ac:dyDescent="0.2">
      <c r="A993" s="4">
        <f>IF(B993=1,3,IF(D993=1,2,IF(F993=1,1,0)))</f>
        <v>0</v>
      </c>
      <c r="B993" s="4" t="str">
        <f>IF(C993=$L993,1,IF(C993="","",0))</f>
        <v/>
      </c>
      <c r="C993" s="42"/>
      <c r="D993" s="4" t="str">
        <f>IF(E993=$L993,1,IF(E993="","",0))</f>
        <v/>
      </c>
      <c r="E993" s="18"/>
      <c r="F993" s="4" t="str">
        <f>IF(G993=$L993,1,IF(G993="","",0))</f>
        <v/>
      </c>
      <c r="G993" s="14"/>
      <c r="H993" s="6">
        <v>1107</v>
      </c>
      <c r="I993" s="15" t="s">
        <v>3120</v>
      </c>
      <c r="J993" s="6" t="s">
        <v>4230</v>
      </c>
      <c r="K993" s="6"/>
      <c r="L993" s="6" t="s">
        <v>1213</v>
      </c>
      <c r="M993" s="6" t="s">
        <v>7215</v>
      </c>
      <c r="N993" s="7">
        <f ca="1">RAND()</f>
        <v>0.99136575498862167</v>
      </c>
      <c r="O993" s="8">
        <v>45205</v>
      </c>
      <c r="P993" s="8">
        <v>45206</v>
      </c>
      <c r="Q993" s="8">
        <v>45208</v>
      </c>
      <c r="R993" s="8">
        <v>45212</v>
      </c>
      <c r="S993" s="8">
        <v>45219</v>
      </c>
      <c r="T993" s="8">
        <v>45231</v>
      </c>
      <c r="U993" s="8">
        <v>45792</v>
      </c>
      <c r="V993" s="10">
        <f>COUNTA(O993:U993)</f>
        <v>7</v>
      </c>
      <c r="W993" s="11">
        <f>_xlfn.IFNA(INDEX(reading[[#This Row],[Memo 01]:[Memo 07]],MATCH(0,reading[[#This Row],[Memo 01]:[Memo 07]],-1)),"")</f>
        <v>45792</v>
      </c>
      <c r="X993" s="11">
        <f ca="1">IFERROR(reading[[#This Row],[Previous]]+OFFSET(reading[[#Headers],[Memo 01]],-1,MATCH(0,reading[[#This Row],[Memo 01]:[Memo 07]],-1)-1),"")</f>
        <v>55792</v>
      </c>
      <c r="Y993" s="10" t="str">
        <f ca="1">IF(reading[[#This Row],[Next]]&lt;&gt;"",IF(reading[[#This Row],[Next]]&gt;TODAY(),"OK",""),"")</f>
        <v>OK</v>
      </c>
      <c r="Z993" s="13">
        <v>3</v>
      </c>
      <c r="AA993" s="13">
        <v>3</v>
      </c>
      <c r="AB993" s="13">
        <v>3</v>
      </c>
      <c r="AC993" s="13">
        <v>3</v>
      </c>
      <c r="AD993" s="13">
        <v>2</v>
      </c>
      <c r="AE993" s="13">
        <v>3</v>
      </c>
      <c r="AF993" s="13">
        <v>3</v>
      </c>
      <c r="AG993" s="16">
        <f>IFERROR(SUMIF(reading[[#This Row],[1st]:[7th]],"&gt;0")/COUNTIF(reading[[#This Row],[1st]:[7th]],"&gt;0"),"")</f>
        <v>2.8571428571428572</v>
      </c>
    </row>
    <row r="994" spans="1:33" hidden="1" x14ac:dyDescent="0.2">
      <c r="A994" s="4">
        <f>IF(B994=1,3,IF(D994=1,2,IF(F994=1,1,0)))</f>
        <v>0</v>
      </c>
      <c r="B994" s="4" t="str">
        <f>IF(C994=$L994,1,IF(C994="","",0))</f>
        <v/>
      </c>
      <c r="C994" s="42"/>
      <c r="D994" s="4" t="str">
        <f>IF(E994=$L994,1,IF(E994="","",0))</f>
        <v/>
      </c>
      <c r="E994" s="14"/>
      <c r="F994" s="4" t="str">
        <f>IF(G994=$L994,1,IF(G994="","",0))</f>
        <v/>
      </c>
      <c r="G994" s="14"/>
      <c r="H994" s="6">
        <v>1524</v>
      </c>
      <c r="I994" s="15" t="s">
        <v>3120</v>
      </c>
      <c r="J994" s="6" t="s">
        <v>4637</v>
      </c>
      <c r="K994" s="6"/>
      <c r="L994" s="6" t="s">
        <v>1609</v>
      </c>
      <c r="M994" s="6" t="s">
        <v>7631</v>
      </c>
      <c r="N994" s="7">
        <f ca="1">RAND()</f>
        <v>0.11017527824585405</v>
      </c>
      <c r="O994" s="8">
        <v>45209</v>
      </c>
      <c r="P994" s="8">
        <v>45210</v>
      </c>
      <c r="Q994" s="8">
        <v>45212</v>
      </c>
      <c r="R994" s="8">
        <v>45216</v>
      </c>
      <c r="S994" s="8">
        <v>45223</v>
      </c>
      <c r="T994" s="8">
        <v>45235</v>
      </c>
      <c r="U994" s="8">
        <v>45801</v>
      </c>
      <c r="V994" s="10">
        <f>COUNTA(O994:U994)</f>
        <v>7</v>
      </c>
      <c r="W994" s="11">
        <f>_xlfn.IFNA(INDEX(reading[[#This Row],[Memo 01]:[Memo 07]],MATCH(0,reading[[#This Row],[Memo 01]:[Memo 07]],-1)),"")</f>
        <v>45801</v>
      </c>
      <c r="X994" s="11">
        <f ca="1">IFERROR(reading[[#This Row],[Previous]]+OFFSET(reading[[#Headers],[Memo 01]],-1,MATCH(0,reading[[#This Row],[Memo 01]:[Memo 07]],-1)-1),"")</f>
        <v>55801</v>
      </c>
      <c r="Y994" s="10" t="str">
        <f ca="1">IF(reading[[#This Row],[Next]]&lt;&gt;"",IF(reading[[#This Row],[Next]]&gt;TODAY(),"OK",""),"")</f>
        <v>OK</v>
      </c>
      <c r="Z994" s="13">
        <v>3</v>
      </c>
      <c r="AA994" s="13">
        <v>3</v>
      </c>
      <c r="AB994" s="13">
        <v>3</v>
      </c>
      <c r="AC994" s="13">
        <v>3</v>
      </c>
      <c r="AD994" s="13">
        <v>3</v>
      </c>
      <c r="AE994" s="13">
        <v>3</v>
      </c>
      <c r="AF994" s="13">
        <v>3</v>
      </c>
      <c r="AG994" s="16">
        <f>IFERROR(SUMIF(reading[[#This Row],[1st]:[7th]],"&gt;0")/COUNTIF(reading[[#This Row],[1st]:[7th]],"&gt;0"),"")</f>
        <v>3</v>
      </c>
    </row>
    <row r="995" spans="1:33" hidden="1" x14ac:dyDescent="0.2">
      <c r="A995" s="4">
        <f>IF(B995=1,3,IF(D995=1,2,IF(F995=1,1,0)))</f>
        <v>0</v>
      </c>
      <c r="B995" s="4" t="str">
        <f>IF(C995=$L995,1,IF(C995="","",0))</f>
        <v/>
      </c>
      <c r="C995" s="42"/>
      <c r="D995" s="4" t="str">
        <f>IF(E995=$L995,1,IF(E995="","",0))</f>
        <v/>
      </c>
      <c r="E995" s="43"/>
      <c r="F995" s="4" t="str">
        <f>IF(G995=$L995,1,IF(G995="","",0))</f>
        <v/>
      </c>
      <c r="G995" s="14"/>
      <c r="H995" s="6">
        <v>2868</v>
      </c>
      <c r="I995" s="15" t="s">
        <v>3120</v>
      </c>
      <c r="J995" s="6" t="s">
        <v>5906</v>
      </c>
      <c r="K995" s="6"/>
      <c r="L995" s="6" t="s">
        <v>2899</v>
      </c>
      <c r="M995" s="6" t="s">
        <v>8972</v>
      </c>
      <c r="N995" s="7">
        <f ca="1">RAND()</f>
        <v>0.11980115516405998</v>
      </c>
      <c r="O995" s="8">
        <v>45222</v>
      </c>
      <c r="P995" s="8">
        <v>45223</v>
      </c>
      <c r="Q995" s="8">
        <v>45225</v>
      </c>
      <c r="R995" s="8">
        <v>45229</v>
      </c>
      <c r="S995" s="8">
        <v>45236</v>
      </c>
      <c r="T995" s="8">
        <v>45252</v>
      </c>
      <c r="U995" s="8">
        <v>45815</v>
      </c>
      <c r="V995" s="10">
        <f>COUNTA(O995:U995)</f>
        <v>7</v>
      </c>
      <c r="W995" s="11">
        <f>_xlfn.IFNA(INDEX(reading[[#This Row],[Memo 01]:[Memo 07]],MATCH(0,reading[[#This Row],[Memo 01]:[Memo 07]],-1)),"")</f>
        <v>45815</v>
      </c>
      <c r="X995" s="11">
        <f ca="1">IFERROR(reading[[#This Row],[Previous]]+OFFSET(reading[[#Headers],[Memo 01]],-1,MATCH(0,reading[[#This Row],[Memo 01]:[Memo 07]],-1)-1),"")</f>
        <v>55815</v>
      </c>
      <c r="Y995" s="10" t="str">
        <f ca="1">IF(reading[[#This Row],[Next]]&lt;&gt;"",IF(reading[[#This Row],[Next]]&gt;TODAY(),"OK",""),"")</f>
        <v>OK</v>
      </c>
      <c r="Z995" s="13">
        <v>3</v>
      </c>
      <c r="AA995" s="13">
        <v>2</v>
      </c>
      <c r="AB995" s="13">
        <v>3</v>
      </c>
      <c r="AC995" s="13">
        <v>2</v>
      </c>
      <c r="AD995" s="13">
        <v>3</v>
      </c>
      <c r="AE995" s="13">
        <v>2</v>
      </c>
      <c r="AF995" s="13">
        <v>2</v>
      </c>
      <c r="AG995" s="16">
        <f>IFERROR(SUMIF(reading[[#This Row],[1st]:[7th]],"&gt;0")/COUNTIF(reading[[#This Row],[1st]:[7th]],"&gt;0"),"")</f>
        <v>2.4285714285714284</v>
      </c>
    </row>
    <row r="996" spans="1:33" hidden="1" x14ac:dyDescent="0.2">
      <c r="A996" s="4">
        <f>IF(B996=1,3,IF(D996=1,2,IF(F996=1,1,0)))</f>
        <v>0</v>
      </c>
      <c r="B996" s="4" t="str">
        <f>IF(C996=$L996,1,IF(C996="","",0))</f>
        <v/>
      </c>
      <c r="C996" s="42"/>
      <c r="D996" s="4" t="str">
        <f>IF(E996=$L996,1,IF(E996="","",0))</f>
        <v/>
      </c>
      <c r="E996" s="14"/>
      <c r="F996" s="4" t="str">
        <f>IF(G996=$L996,1,IF(G996="","",0))</f>
        <v/>
      </c>
      <c r="G996" s="14"/>
      <c r="H996" s="6">
        <v>845</v>
      </c>
      <c r="I996" s="15" t="s">
        <v>3120</v>
      </c>
      <c r="J996" s="6" t="s">
        <v>3977</v>
      </c>
      <c r="K996" s="6"/>
      <c r="L996" s="6" t="s">
        <v>961</v>
      </c>
      <c r="M996" s="6" t="s">
        <v>6954</v>
      </c>
      <c r="N996" s="7">
        <f ca="1">RAND()</f>
        <v>0.25473059837399226</v>
      </c>
      <c r="O996" s="8">
        <v>45204</v>
      </c>
      <c r="P996" s="8">
        <v>45205</v>
      </c>
      <c r="Q996" s="8">
        <v>45207</v>
      </c>
      <c r="R996" s="8">
        <v>45211</v>
      </c>
      <c r="S996" s="8">
        <v>45218</v>
      </c>
      <c r="T996" s="8">
        <v>45230</v>
      </c>
      <c r="U996" s="8">
        <v>45792</v>
      </c>
      <c r="V996" s="10">
        <f>COUNTA(O996:U996)</f>
        <v>7</v>
      </c>
      <c r="W996" s="11">
        <f>_xlfn.IFNA(INDEX(reading[[#This Row],[Memo 01]:[Memo 07]],MATCH(0,reading[[#This Row],[Memo 01]:[Memo 07]],-1)),"")</f>
        <v>45792</v>
      </c>
      <c r="X996" s="11">
        <f ca="1">IFERROR(reading[[#This Row],[Previous]]+OFFSET(reading[[#Headers],[Memo 01]],-1,MATCH(0,reading[[#This Row],[Memo 01]:[Memo 07]],-1)-1),"")</f>
        <v>55792</v>
      </c>
      <c r="Y996" s="10" t="str">
        <f ca="1">IF(reading[[#This Row],[Next]]&lt;&gt;"",IF(reading[[#This Row],[Next]]&gt;TODAY(),"OK",""),"")</f>
        <v>OK</v>
      </c>
      <c r="Z996" s="13">
        <v>3</v>
      </c>
      <c r="AA996" s="13">
        <v>3</v>
      </c>
      <c r="AB996" s="13">
        <v>3</v>
      </c>
      <c r="AC996" s="13">
        <v>3</v>
      </c>
      <c r="AD996" s="13">
        <v>3</v>
      </c>
      <c r="AE996" s="13">
        <v>3</v>
      </c>
      <c r="AF996" s="13">
        <v>3</v>
      </c>
      <c r="AG996" s="16">
        <f>IFERROR(SUMIF(reading[[#This Row],[1st]:[7th]],"&gt;0")/COUNTIF(reading[[#This Row],[1st]:[7th]],"&gt;0"),"")</f>
        <v>3</v>
      </c>
    </row>
    <row r="997" spans="1:33" hidden="1" x14ac:dyDescent="0.2">
      <c r="A997" s="4">
        <f>IF(B997=1,3,IF(D997=1,2,IF(F997=1,1,0)))</f>
        <v>0</v>
      </c>
      <c r="B997" s="4" t="str">
        <f>IF(C997=$L997,1,IF(C997="","",0))</f>
        <v/>
      </c>
      <c r="C997" s="42"/>
      <c r="D997" s="4" t="str">
        <f>IF(E997=$L997,1,IF(E997="","",0))</f>
        <v/>
      </c>
      <c r="E997" s="14"/>
      <c r="F997" s="4" t="str">
        <f>IF(G997=$L997,1,IF(G997="","",0))</f>
        <v/>
      </c>
      <c r="G997" s="14"/>
      <c r="H997" s="6">
        <v>725</v>
      </c>
      <c r="I997" s="15" t="s">
        <v>3120</v>
      </c>
      <c r="J997" s="6" t="s">
        <v>3863</v>
      </c>
      <c r="K997" s="6"/>
      <c r="L997" s="6" t="s">
        <v>846</v>
      </c>
      <c r="M997" s="6" t="s">
        <v>6834</v>
      </c>
      <c r="N997" s="7">
        <f ca="1">RAND()</f>
        <v>0.52894074285524406</v>
      </c>
      <c r="O997" s="8">
        <v>45203</v>
      </c>
      <c r="P997" s="8">
        <v>45204</v>
      </c>
      <c r="Q997" s="8">
        <v>45206</v>
      </c>
      <c r="R997" s="8">
        <v>45210</v>
      </c>
      <c r="S997" s="8">
        <v>45217</v>
      </c>
      <c r="T997" s="8">
        <v>45229</v>
      </c>
      <c r="U997" s="8">
        <v>45824</v>
      </c>
      <c r="V997" s="10">
        <f>COUNTA(O997:U997)</f>
        <v>7</v>
      </c>
      <c r="W997" s="11">
        <f>_xlfn.IFNA(INDEX(reading[[#This Row],[Memo 01]:[Memo 07]],MATCH(0,reading[[#This Row],[Memo 01]:[Memo 07]],-1)),"")</f>
        <v>45824</v>
      </c>
      <c r="X997" s="11">
        <f ca="1">IFERROR(reading[[#This Row],[Previous]]+OFFSET(reading[[#Headers],[Memo 01]],-1,MATCH(0,reading[[#This Row],[Memo 01]:[Memo 07]],-1)-1),"")</f>
        <v>55824</v>
      </c>
      <c r="Y997" s="10" t="str">
        <f ca="1">IF(reading[[#This Row],[Next]]&lt;&gt;"",IF(reading[[#This Row],[Next]]&gt;TODAY(),"OK",""),"")</f>
        <v>OK</v>
      </c>
      <c r="Z997" s="13">
        <v>3</v>
      </c>
      <c r="AA997" s="13">
        <v>3</v>
      </c>
      <c r="AB997" s="13">
        <v>3</v>
      </c>
      <c r="AC997" s="13">
        <v>3</v>
      </c>
      <c r="AD997" s="13">
        <v>3</v>
      </c>
      <c r="AE997" s="13">
        <v>3</v>
      </c>
      <c r="AF997" s="13">
        <v>3</v>
      </c>
      <c r="AG997" s="16">
        <f>IFERROR(SUMIF(reading[[#This Row],[1st]:[7th]],"&gt;0")/COUNTIF(reading[[#This Row],[1st]:[7th]],"&gt;0"),"")</f>
        <v>3</v>
      </c>
    </row>
    <row r="998" spans="1:33" hidden="1" x14ac:dyDescent="0.2">
      <c r="A998" s="4">
        <f>IF(B998=1,3,IF(D998=1,2,IF(F998=1,1,0)))</f>
        <v>0</v>
      </c>
      <c r="B998" s="4" t="str">
        <f>IF(C998=$L998,1,IF(C998="","",0))</f>
        <v/>
      </c>
      <c r="C998" s="42"/>
      <c r="D998" s="4" t="str">
        <f>IF(E998=$L998,1,IF(E998="","",0))</f>
        <v/>
      </c>
      <c r="E998" s="23"/>
      <c r="F998" s="4" t="str">
        <f>IF(G998=$L998,1,IF(G998="","",0))</f>
        <v/>
      </c>
      <c r="G998" s="14"/>
      <c r="H998" s="6">
        <v>1000</v>
      </c>
      <c r="I998" s="15" t="s">
        <v>3120</v>
      </c>
      <c r="J998" s="6" t="s">
        <v>4129</v>
      </c>
      <c r="K998" s="6"/>
      <c r="L998" s="6" t="s">
        <v>1110</v>
      </c>
      <c r="M998" s="6" t="s">
        <v>7108</v>
      </c>
      <c r="N998" s="7">
        <f ca="1">RAND()</f>
        <v>0.9358582631240755</v>
      </c>
      <c r="O998" s="8">
        <v>45204</v>
      </c>
      <c r="P998" s="8">
        <v>45205</v>
      </c>
      <c r="Q998" s="8">
        <v>45207</v>
      </c>
      <c r="R998" s="8">
        <v>45211</v>
      </c>
      <c r="S998" s="8">
        <v>45218</v>
      </c>
      <c r="T998" s="8">
        <v>45230</v>
      </c>
      <c r="U998" s="8">
        <v>45815</v>
      </c>
      <c r="V998" s="10">
        <f>COUNTA(O998:U998)</f>
        <v>7</v>
      </c>
      <c r="W998" s="11">
        <f>_xlfn.IFNA(INDEX(reading[[#This Row],[Memo 01]:[Memo 07]],MATCH(0,reading[[#This Row],[Memo 01]:[Memo 07]],-1)),"")</f>
        <v>45815</v>
      </c>
      <c r="X998" s="11">
        <f ca="1">IFERROR(reading[[#This Row],[Previous]]+OFFSET(reading[[#Headers],[Memo 01]],-1,MATCH(0,reading[[#This Row],[Memo 01]:[Memo 07]],-1)-1),"")</f>
        <v>55815</v>
      </c>
      <c r="Y998" s="10" t="str">
        <f ca="1">IF(reading[[#This Row],[Next]]&lt;&gt;"",IF(reading[[#This Row],[Next]]&gt;TODAY(),"OK",""),"")</f>
        <v>OK</v>
      </c>
      <c r="Z998" s="13">
        <v>3</v>
      </c>
      <c r="AA998" s="13">
        <v>3</v>
      </c>
      <c r="AB998" s="13">
        <v>3</v>
      </c>
      <c r="AC998" s="13">
        <v>3</v>
      </c>
      <c r="AD998" s="13">
        <v>3</v>
      </c>
      <c r="AE998" s="13">
        <v>3</v>
      </c>
      <c r="AF998" s="13">
        <v>2</v>
      </c>
      <c r="AG998" s="16">
        <f>IFERROR(SUMIF(reading[[#This Row],[1st]:[7th]],"&gt;0")/COUNTIF(reading[[#This Row],[1st]:[7th]],"&gt;0"),"")</f>
        <v>2.8571428571428572</v>
      </c>
    </row>
    <row r="999" spans="1:33" hidden="1" x14ac:dyDescent="0.2">
      <c r="A999" s="4">
        <f>IF(B999=1,3,IF(D999=1,2,IF(F999=1,1,0)))</f>
        <v>0</v>
      </c>
      <c r="B999" s="4" t="str">
        <f>IF(C999=$L999,1,IF(C999="","",0))</f>
        <v/>
      </c>
      <c r="C999" s="42"/>
      <c r="D999" s="4" t="str">
        <f>IF(E999=$L999,1,IF(E999="","",0))</f>
        <v/>
      </c>
      <c r="E999" s="23"/>
      <c r="F999" s="4" t="str">
        <f>IF(G999=$L999,1,IF(G999="","",0))</f>
        <v/>
      </c>
      <c r="G999" s="14"/>
      <c r="H999" s="6">
        <v>1591</v>
      </c>
      <c r="I999" s="15" t="s">
        <v>3120</v>
      </c>
      <c r="J999" s="6" t="s">
        <v>4703</v>
      </c>
      <c r="K999" s="6"/>
      <c r="L999" s="6" t="s">
        <v>1674</v>
      </c>
      <c r="M999" s="6" t="s">
        <v>7697</v>
      </c>
      <c r="N999" s="7">
        <f ca="1">RAND()</f>
        <v>0.41929958808628365</v>
      </c>
      <c r="O999" s="8">
        <v>45209</v>
      </c>
      <c r="P999" s="8">
        <v>45210</v>
      </c>
      <c r="Q999" s="8">
        <v>45213</v>
      </c>
      <c r="R999" s="8">
        <v>45217</v>
      </c>
      <c r="S999" s="8">
        <v>45224</v>
      </c>
      <c r="T999" s="8">
        <v>45236</v>
      </c>
      <c r="U999" s="8">
        <v>45816</v>
      </c>
      <c r="V999" s="10">
        <f>COUNTA(O999:U999)</f>
        <v>7</v>
      </c>
      <c r="W999" s="11">
        <f>_xlfn.IFNA(INDEX(reading[[#This Row],[Memo 01]:[Memo 07]],MATCH(0,reading[[#This Row],[Memo 01]:[Memo 07]],-1)),"")</f>
        <v>45816</v>
      </c>
      <c r="X999" s="11">
        <f ca="1">IFERROR(reading[[#This Row],[Previous]]+OFFSET(reading[[#Headers],[Memo 01]],-1,MATCH(0,reading[[#This Row],[Memo 01]:[Memo 07]],-1)-1),"")</f>
        <v>55816</v>
      </c>
      <c r="Y999" s="10" t="str">
        <f ca="1">IF(reading[[#This Row],[Next]]&lt;&gt;"",IF(reading[[#This Row],[Next]]&gt;TODAY(),"OK",""),"")</f>
        <v>OK</v>
      </c>
      <c r="Z999" s="13">
        <v>3</v>
      </c>
      <c r="AA999" s="13">
        <v>3</v>
      </c>
      <c r="AB999" s="13">
        <v>2</v>
      </c>
      <c r="AC999" s="13">
        <v>3</v>
      </c>
      <c r="AD999" s="13">
        <v>3</v>
      </c>
      <c r="AE999" s="13">
        <v>3</v>
      </c>
      <c r="AF999" s="13">
        <v>2</v>
      </c>
      <c r="AG999" s="16">
        <f>IFERROR(SUMIF(reading[[#This Row],[1st]:[7th]],"&gt;0")/COUNTIF(reading[[#This Row],[1st]:[7th]],"&gt;0"),"")</f>
        <v>2.7142857142857144</v>
      </c>
    </row>
    <row r="1000" spans="1:33" hidden="1" x14ac:dyDescent="0.2">
      <c r="A1000" s="4">
        <f>IF(B1000=1,3,IF(D1000=1,2,IF(F1000=1,1,0)))</f>
        <v>0</v>
      </c>
      <c r="B1000" s="4" t="str">
        <f>IF(C1000=$L1000,1,IF(C1000="","",0))</f>
        <v/>
      </c>
      <c r="C1000" s="42"/>
      <c r="D1000" s="4" t="str">
        <f>IF(E1000=$L1000,1,IF(E1000="","",0))</f>
        <v/>
      </c>
      <c r="E1000" s="14"/>
      <c r="F1000" s="4" t="str">
        <f>IF(G1000=$L1000,1,IF(G1000="","",0))</f>
        <v/>
      </c>
      <c r="G1000" s="14"/>
      <c r="H1000" s="6">
        <v>814</v>
      </c>
      <c r="I1000" s="15" t="s">
        <v>3120</v>
      </c>
      <c r="J1000" s="6" t="s">
        <v>3948</v>
      </c>
      <c r="K1000" s="6"/>
      <c r="L1000" s="6" t="s">
        <v>930</v>
      </c>
      <c r="M1000" s="6" t="s">
        <v>6923</v>
      </c>
      <c r="N1000" s="7">
        <f ca="1">RAND()</f>
        <v>0.60556843977913077</v>
      </c>
      <c r="O1000" s="8">
        <v>45203</v>
      </c>
      <c r="P1000" s="8">
        <v>45204</v>
      </c>
      <c r="Q1000" s="8">
        <v>45206</v>
      </c>
      <c r="R1000" s="8">
        <v>45210</v>
      </c>
      <c r="S1000" s="8">
        <v>45217</v>
      </c>
      <c r="T1000" s="8">
        <v>45229</v>
      </c>
      <c r="U1000" s="8">
        <v>45792</v>
      </c>
      <c r="V1000" s="10">
        <f>COUNTA(O1000:U1000)</f>
        <v>7</v>
      </c>
      <c r="W1000" s="11">
        <f>_xlfn.IFNA(INDEX(reading[[#This Row],[Memo 01]:[Memo 07]],MATCH(0,reading[[#This Row],[Memo 01]:[Memo 07]],-1)),"")</f>
        <v>45792</v>
      </c>
      <c r="X1000" s="11">
        <f ca="1">IFERROR(reading[[#This Row],[Previous]]+OFFSET(reading[[#Headers],[Memo 01]],-1,MATCH(0,reading[[#This Row],[Memo 01]:[Memo 07]],-1)-1),"")</f>
        <v>55792</v>
      </c>
      <c r="Y1000" s="10" t="str">
        <f ca="1">IF(reading[[#This Row],[Next]]&lt;&gt;"",IF(reading[[#This Row],[Next]]&gt;TODAY(),"OK",""),"")</f>
        <v>OK</v>
      </c>
      <c r="Z1000" s="13">
        <v>3</v>
      </c>
      <c r="AA1000" s="13">
        <v>3</v>
      </c>
      <c r="AB1000" s="13">
        <v>3</v>
      </c>
      <c r="AC1000" s="13">
        <v>3</v>
      </c>
      <c r="AD1000" s="13">
        <v>3</v>
      </c>
      <c r="AE1000" s="13">
        <v>3</v>
      </c>
      <c r="AF1000" s="13">
        <v>3</v>
      </c>
      <c r="AG1000" s="16">
        <f>IFERROR(SUMIF(reading[[#This Row],[1st]:[7th]],"&gt;0")/COUNTIF(reading[[#This Row],[1st]:[7th]],"&gt;0"),"")</f>
        <v>3</v>
      </c>
    </row>
    <row r="1001" spans="1:33" hidden="1" x14ac:dyDescent="0.2">
      <c r="A1001" s="4">
        <f>IF(B1001=1,3,IF(D1001=1,2,IF(F1001=1,1,0)))</f>
        <v>0</v>
      </c>
      <c r="B1001" s="4" t="str">
        <f>IF(C1001=$L1001,1,IF(C1001="","",0))</f>
        <v/>
      </c>
      <c r="C1001" s="42"/>
      <c r="D1001" s="4" t="str">
        <f>IF(E1001=$L1001,1,IF(E1001="","",0))</f>
        <v/>
      </c>
      <c r="E1001" s="23"/>
      <c r="F1001" s="4" t="str">
        <f>IF(G1001=$L1001,1,IF(G1001="","",0))</f>
        <v/>
      </c>
      <c r="G1001" s="14"/>
      <c r="H1001" s="6">
        <v>619</v>
      </c>
      <c r="I1001" s="15" t="s">
        <v>3120</v>
      </c>
      <c r="J1001" s="6" t="s">
        <v>3761</v>
      </c>
      <c r="K1001" s="6"/>
      <c r="L1001" s="6" t="s">
        <v>742</v>
      </c>
      <c r="M1001" s="6" t="s">
        <v>6728</v>
      </c>
      <c r="N1001" s="7">
        <f ca="1">RAND()</f>
        <v>0.60960040066903776</v>
      </c>
      <c r="O1001" s="8">
        <v>45202</v>
      </c>
      <c r="P1001" s="8">
        <v>45203</v>
      </c>
      <c r="Q1001" s="8">
        <v>45205</v>
      </c>
      <c r="R1001" s="8">
        <v>45209</v>
      </c>
      <c r="S1001" s="8">
        <v>45216</v>
      </c>
      <c r="T1001" s="8">
        <v>45228</v>
      </c>
      <c r="U1001" s="8">
        <v>45815</v>
      </c>
      <c r="V1001" s="10">
        <f>COUNTA(O1001:U1001)</f>
        <v>7</v>
      </c>
      <c r="W1001" s="11">
        <f>_xlfn.IFNA(INDEX(reading[[#This Row],[Memo 01]:[Memo 07]],MATCH(0,reading[[#This Row],[Memo 01]:[Memo 07]],-1)),"")</f>
        <v>45815</v>
      </c>
      <c r="X1001" s="11">
        <f ca="1">IFERROR(reading[[#This Row],[Previous]]+OFFSET(reading[[#Headers],[Memo 01]],-1,MATCH(0,reading[[#This Row],[Memo 01]:[Memo 07]],-1)-1),"")</f>
        <v>55815</v>
      </c>
      <c r="Y1001" s="10" t="str">
        <f ca="1">IF(reading[[#This Row],[Next]]&lt;&gt;"",IF(reading[[#This Row],[Next]]&gt;TODAY(),"OK",""),"")</f>
        <v>OK</v>
      </c>
      <c r="Z1001" s="13">
        <v>3</v>
      </c>
      <c r="AA1001" s="13">
        <v>3</v>
      </c>
      <c r="AB1001" s="13">
        <v>3</v>
      </c>
      <c r="AC1001" s="13">
        <v>3</v>
      </c>
      <c r="AD1001" s="13">
        <v>3</v>
      </c>
      <c r="AE1001" s="13">
        <v>3</v>
      </c>
      <c r="AF1001" s="13">
        <v>2</v>
      </c>
      <c r="AG1001" s="16">
        <f>IFERROR(SUMIF(reading[[#This Row],[1st]:[7th]],"&gt;0")/COUNTIF(reading[[#This Row],[1st]:[7th]],"&gt;0"),"")</f>
        <v>2.8571428571428572</v>
      </c>
    </row>
    <row r="1002" spans="1:33" hidden="1" x14ac:dyDescent="0.2">
      <c r="A1002" s="4">
        <f>IF(B1002=1,3,IF(D1002=1,2,IF(F1002=1,1,0)))</f>
        <v>0</v>
      </c>
      <c r="B1002" s="4" t="str">
        <f>IF(C1002=$L1002,1,IF(C1002="","",0))</f>
        <v/>
      </c>
      <c r="C1002" s="42"/>
      <c r="D1002" s="4" t="str">
        <f>IF(E1002=$L1002,1,IF(E1002="","",0))</f>
        <v/>
      </c>
      <c r="E1002" s="18"/>
      <c r="F1002" s="4" t="str">
        <f>IF(G1002=$L1002,1,IF(G1002="","",0))</f>
        <v/>
      </c>
      <c r="G1002" s="14"/>
      <c r="H1002" s="6">
        <v>884</v>
      </c>
      <c r="I1002" s="15" t="s">
        <v>3120</v>
      </c>
      <c r="J1002" s="6" t="s">
        <v>4016</v>
      </c>
      <c r="K1002" s="6"/>
      <c r="L1002" s="6" t="s">
        <v>998</v>
      </c>
      <c r="M1002" s="6" t="s">
        <v>6993</v>
      </c>
      <c r="N1002" s="7">
        <f ca="1">RAND()</f>
        <v>0.16268750953540334</v>
      </c>
      <c r="O1002" s="8">
        <v>45204</v>
      </c>
      <c r="P1002" s="8">
        <v>45205</v>
      </c>
      <c r="Q1002" s="8">
        <v>45207</v>
      </c>
      <c r="R1002" s="8">
        <v>45211</v>
      </c>
      <c r="S1002" s="8">
        <v>45218</v>
      </c>
      <c r="T1002" s="8">
        <v>45230</v>
      </c>
      <c r="U1002" s="8">
        <v>45792</v>
      </c>
      <c r="V1002" s="10">
        <f>COUNTA(O1002:U1002)</f>
        <v>7</v>
      </c>
      <c r="W1002" s="11">
        <f>_xlfn.IFNA(INDEX(reading[[#This Row],[Memo 01]:[Memo 07]],MATCH(0,reading[[#This Row],[Memo 01]:[Memo 07]],-1)),"")</f>
        <v>45792</v>
      </c>
      <c r="X1002" s="11">
        <f ca="1">IFERROR(reading[[#This Row],[Previous]]+OFFSET(reading[[#Headers],[Memo 01]],-1,MATCH(0,reading[[#This Row],[Memo 01]:[Memo 07]],-1)-1),"")</f>
        <v>55792</v>
      </c>
      <c r="Y1002" s="10" t="str">
        <f ca="1">IF(reading[[#This Row],[Next]]&lt;&gt;"",IF(reading[[#This Row],[Next]]&gt;TODAY(),"OK",""),"")</f>
        <v>OK</v>
      </c>
      <c r="Z1002" s="13">
        <v>3</v>
      </c>
      <c r="AA1002" s="13">
        <v>3</v>
      </c>
      <c r="AB1002" s="13">
        <v>2</v>
      </c>
      <c r="AC1002" s="13">
        <v>3</v>
      </c>
      <c r="AD1002" s="13">
        <v>3</v>
      </c>
      <c r="AE1002" s="13">
        <v>3</v>
      </c>
      <c r="AF1002" s="13">
        <v>3</v>
      </c>
      <c r="AG1002" s="16">
        <f>IFERROR(SUMIF(reading[[#This Row],[1st]:[7th]],"&gt;0")/COUNTIF(reading[[#This Row],[1st]:[7th]],"&gt;0"),"")</f>
        <v>2.8571428571428572</v>
      </c>
    </row>
    <row r="1003" spans="1:33" hidden="1" x14ac:dyDescent="0.2">
      <c r="A1003" s="4">
        <f>IF(B1003=1,3,IF(D1003=1,2,IF(F1003=1,1,0)))</f>
        <v>0</v>
      </c>
      <c r="B1003" s="4" t="str">
        <f>IF(C1003=$L1003,1,IF(C1003="","",0))</f>
        <v/>
      </c>
      <c r="C1003" s="42"/>
      <c r="D1003" s="4" t="str">
        <f>IF(E1003=$L1003,1,IF(E1003="","",0))</f>
        <v/>
      </c>
      <c r="E1003" s="23"/>
      <c r="F1003" s="4" t="str">
        <f>IF(G1003=$L1003,1,IF(G1003="","",0))</f>
        <v/>
      </c>
      <c r="G1003" s="14"/>
      <c r="H1003" s="6">
        <v>2781</v>
      </c>
      <c r="I1003" s="15" t="s">
        <v>3120</v>
      </c>
      <c r="J1003" s="6" t="s">
        <v>5824</v>
      </c>
      <c r="K1003" s="6"/>
      <c r="L1003" s="6" t="s">
        <v>2819</v>
      </c>
      <c r="M1003" s="6" t="s">
        <v>8885</v>
      </c>
      <c r="N1003" s="7">
        <f ca="1">RAND()</f>
        <v>0.56520913865070366</v>
      </c>
      <c r="O1003" s="8">
        <v>45222</v>
      </c>
      <c r="P1003" s="8">
        <v>45223</v>
      </c>
      <c r="Q1003" s="8">
        <v>45225</v>
      </c>
      <c r="R1003" s="8">
        <v>45229</v>
      </c>
      <c r="S1003" s="8">
        <v>45236</v>
      </c>
      <c r="T1003" s="8">
        <v>45815</v>
      </c>
      <c r="U1003" s="8"/>
      <c r="V1003" s="10">
        <f>COUNTA(O1003:U1003)</f>
        <v>6</v>
      </c>
      <c r="W1003" s="11">
        <f>_xlfn.IFNA(INDEX(reading[[#This Row],[Memo 01]:[Memo 07]],MATCH(0,reading[[#This Row],[Memo 01]:[Memo 07]],-1)),"")</f>
        <v>45815</v>
      </c>
      <c r="X1003" s="11">
        <f ca="1">IFERROR(reading[[#This Row],[Previous]]+OFFSET(reading[[#Headers],[Memo 01]],-1,MATCH(0,reading[[#This Row],[Memo 01]:[Memo 07]],-1)-1),"")</f>
        <v>45835</v>
      </c>
      <c r="Y1003" s="10" t="str">
        <f ca="1">IF(reading[[#This Row],[Next]]&lt;&gt;"",IF(reading[[#This Row],[Next]]&gt;TODAY(),"OK",""),"")</f>
        <v>OK</v>
      </c>
      <c r="Z1003" s="13">
        <v>3</v>
      </c>
      <c r="AA1003" s="13">
        <v>3</v>
      </c>
      <c r="AB1003" s="13">
        <v>3</v>
      </c>
      <c r="AC1003" s="13">
        <v>3</v>
      </c>
      <c r="AD1003" s="13">
        <v>3</v>
      </c>
      <c r="AE1003" s="13">
        <v>2</v>
      </c>
      <c r="AF1003" s="13"/>
      <c r="AG1003" s="16">
        <f>IFERROR(SUMIF(reading[[#This Row],[1st]:[7th]],"&gt;0")/COUNTIF(reading[[#This Row],[1st]:[7th]],"&gt;0"),"")</f>
        <v>2.8333333333333335</v>
      </c>
    </row>
    <row r="1004" spans="1:33" hidden="1" x14ac:dyDescent="0.2">
      <c r="A1004" s="4">
        <f>IF(B1004=1,3,IF(D1004=1,2,IF(F1004=1,1,0)))</f>
        <v>0</v>
      </c>
      <c r="B1004" s="4" t="str">
        <f>IF(C1004=$L1004,1,IF(C1004="","",0))</f>
        <v/>
      </c>
      <c r="C1004" s="42"/>
      <c r="D1004" s="4" t="str">
        <f>IF(E1004=$L1004,1,IF(E1004="","",0))</f>
        <v/>
      </c>
      <c r="E1004" s="43"/>
      <c r="F1004" s="4" t="str">
        <f>IF(G1004=$L1004,1,IF(G1004="","",0))</f>
        <v/>
      </c>
      <c r="G1004" s="23"/>
      <c r="H1004" s="6">
        <v>3027</v>
      </c>
      <c r="I1004" s="15" t="s">
        <v>3120</v>
      </c>
      <c r="J1004" s="6" t="s">
        <v>6050</v>
      </c>
      <c r="K1004" s="24" t="s">
        <v>9227</v>
      </c>
      <c r="L1004" s="6" t="s">
        <v>3056</v>
      </c>
      <c r="M1004" s="6" t="s">
        <v>9130</v>
      </c>
      <c r="N1004" s="7">
        <f ca="1">RAND()</f>
        <v>0.19697556452894127</v>
      </c>
      <c r="O1004" s="8">
        <v>45224</v>
      </c>
      <c r="P1004" s="8">
        <v>45225</v>
      </c>
      <c r="Q1004" s="8">
        <v>45227</v>
      </c>
      <c r="R1004" s="8">
        <v>45231</v>
      </c>
      <c r="S1004" s="8">
        <v>45252</v>
      </c>
      <c r="T1004" s="8">
        <v>45820</v>
      </c>
      <c r="U1004" s="8"/>
      <c r="V1004" s="10">
        <f>COUNTA(O1004:U1004)</f>
        <v>6</v>
      </c>
      <c r="W1004" s="11">
        <f>_xlfn.IFNA(INDEX(reading[[#This Row],[Memo 01]:[Memo 07]],MATCH(0,reading[[#This Row],[Memo 01]:[Memo 07]],-1)),"")</f>
        <v>45820</v>
      </c>
      <c r="X1004" s="11">
        <f ca="1">IFERROR(reading[[#This Row],[Previous]]+OFFSET(reading[[#Headers],[Memo 01]],-1,MATCH(0,reading[[#This Row],[Memo 01]:[Memo 07]],-1)-1),"")</f>
        <v>45840</v>
      </c>
      <c r="Y1004" s="10" t="str">
        <f ca="1">IF(reading[[#This Row],[Next]]&lt;&gt;"",IF(reading[[#This Row],[Next]]&gt;TODAY(),"OK",""),"")</f>
        <v>OK</v>
      </c>
      <c r="Z1004" s="13">
        <v>3</v>
      </c>
      <c r="AA1004" s="13">
        <v>3</v>
      </c>
      <c r="AB1004" s="13">
        <v>3</v>
      </c>
      <c r="AC1004" s="13">
        <v>3</v>
      </c>
      <c r="AD1004" s="13">
        <v>2</v>
      </c>
      <c r="AE1004" s="13">
        <v>2</v>
      </c>
      <c r="AF1004" s="13"/>
      <c r="AG1004" s="16">
        <f>IFERROR(SUMIF(reading[[#This Row],[1st]:[7th]],"&gt;0")/COUNTIF(reading[[#This Row],[1st]:[7th]],"&gt;0"),"")</f>
        <v>2.6666666666666665</v>
      </c>
    </row>
    <row r="1005" spans="1:33" hidden="1" x14ac:dyDescent="0.2">
      <c r="A1005" s="4">
        <f>IF(B1005=1,3,IF(D1005=1,2,IF(F1005=1,1,0)))</f>
        <v>0</v>
      </c>
      <c r="B1005" s="4" t="str">
        <f>IF(C1005=$L1005,1,IF(C1005="","",0))</f>
        <v/>
      </c>
      <c r="C1005" s="42"/>
      <c r="D1005" s="4" t="str">
        <f>IF(E1005=$L1005,1,IF(E1005="","",0))</f>
        <v/>
      </c>
      <c r="E1005" s="23"/>
      <c r="F1005" s="4" t="str">
        <f>IF(G1005=$L1005,1,IF(G1005="","",0))</f>
        <v/>
      </c>
      <c r="G1005" s="14"/>
      <c r="H1005" s="6">
        <v>1984</v>
      </c>
      <c r="I1005" s="15" t="s">
        <v>3120</v>
      </c>
      <c r="J1005" s="6" t="s">
        <v>4943</v>
      </c>
      <c r="K1005" s="6"/>
      <c r="L1005" s="6" t="s">
        <v>2059</v>
      </c>
      <c r="M1005" s="6" t="s">
        <v>8090</v>
      </c>
      <c r="N1005" s="7">
        <f ca="1">RAND()</f>
        <v>0.95743108693006029</v>
      </c>
      <c r="O1005" s="8">
        <v>45213</v>
      </c>
      <c r="P1005" s="8">
        <v>45214</v>
      </c>
      <c r="Q1005" s="8">
        <v>45216</v>
      </c>
      <c r="R1005" s="8">
        <v>45220</v>
      </c>
      <c r="S1005" s="8">
        <v>45227</v>
      </c>
      <c r="T1005" s="8">
        <v>45815</v>
      </c>
      <c r="U1005" s="8"/>
      <c r="V1005" s="10">
        <f>COUNTA(O1005:U1005)</f>
        <v>6</v>
      </c>
      <c r="W1005" s="11">
        <f>_xlfn.IFNA(INDEX(reading[[#This Row],[Memo 01]:[Memo 07]],MATCH(0,reading[[#This Row],[Memo 01]:[Memo 07]],-1)),"")</f>
        <v>45815</v>
      </c>
      <c r="X1005" s="11">
        <f ca="1">IFERROR(reading[[#This Row],[Previous]]+OFFSET(reading[[#Headers],[Memo 01]],-1,MATCH(0,reading[[#This Row],[Memo 01]:[Memo 07]],-1)-1),"")</f>
        <v>45835</v>
      </c>
      <c r="Y1005" s="10" t="str">
        <f ca="1">IF(reading[[#This Row],[Next]]&lt;&gt;"",IF(reading[[#This Row],[Next]]&gt;TODAY(),"OK",""),"")</f>
        <v>OK</v>
      </c>
      <c r="Z1005" s="13">
        <v>3</v>
      </c>
      <c r="AA1005" s="13">
        <v>3</v>
      </c>
      <c r="AB1005" s="13">
        <v>3</v>
      </c>
      <c r="AC1005" s="13">
        <v>3</v>
      </c>
      <c r="AD1005" s="13">
        <v>3</v>
      </c>
      <c r="AE1005" s="13">
        <v>2</v>
      </c>
      <c r="AF1005" s="13"/>
      <c r="AG1005" s="16">
        <f>IFERROR(SUMIF(reading[[#This Row],[1st]:[7th]],"&gt;0")/COUNTIF(reading[[#This Row],[1st]:[7th]],"&gt;0"),"")</f>
        <v>2.8333333333333335</v>
      </c>
    </row>
    <row r="1006" spans="1:33" hidden="1" x14ac:dyDescent="0.2">
      <c r="A1006" s="4">
        <f>IF(B1006=1,3,IF(D1006=1,2,IF(F1006=1,1,0)))</f>
        <v>0</v>
      </c>
      <c r="B1006" s="4" t="str">
        <f>IF(C1006=$L1006,1,IF(C1006="","",0))</f>
        <v/>
      </c>
      <c r="C1006" s="42"/>
      <c r="D1006" s="4" t="str">
        <f>IF(E1006=$L1006,1,IF(E1006="","",0))</f>
        <v/>
      </c>
      <c r="E1006" s="14"/>
      <c r="F1006" s="4" t="str">
        <f>IF(G1006=$L1006,1,IF(G1006="","",0))</f>
        <v/>
      </c>
      <c r="G1006" s="14"/>
      <c r="H1006" s="6">
        <v>585</v>
      </c>
      <c r="I1006" s="15" t="s">
        <v>3120</v>
      </c>
      <c r="J1006" s="6" t="s">
        <v>3728</v>
      </c>
      <c r="K1006" s="6"/>
      <c r="L1006" s="6" t="s">
        <v>711</v>
      </c>
      <c r="M1006" s="6" t="s">
        <v>6694</v>
      </c>
      <c r="N1006" s="7">
        <f ca="1">RAND()</f>
        <v>0.94055940440487218</v>
      </c>
      <c r="O1006" s="8">
        <v>45202</v>
      </c>
      <c r="P1006" s="8">
        <v>45203</v>
      </c>
      <c r="Q1006" s="8">
        <v>45205</v>
      </c>
      <c r="R1006" s="8">
        <v>45209</v>
      </c>
      <c r="S1006" s="8">
        <v>45216</v>
      </c>
      <c r="T1006" s="8">
        <v>45228</v>
      </c>
      <c r="U1006" s="8">
        <v>45792</v>
      </c>
      <c r="V1006" s="10">
        <f>COUNTA(O1006:U1006)</f>
        <v>7</v>
      </c>
      <c r="W1006" s="11">
        <f>_xlfn.IFNA(INDEX(reading[[#This Row],[Memo 01]:[Memo 07]],MATCH(0,reading[[#This Row],[Memo 01]:[Memo 07]],-1)),"")</f>
        <v>45792</v>
      </c>
      <c r="X1006" s="11">
        <f ca="1">IFERROR(reading[[#This Row],[Previous]]+OFFSET(reading[[#Headers],[Memo 01]],-1,MATCH(0,reading[[#This Row],[Memo 01]:[Memo 07]],-1)-1),"")</f>
        <v>55792</v>
      </c>
      <c r="Y1006" s="10" t="str">
        <f ca="1">IF(reading[[#This Row],[Next]]&lt;&gt;"",IF(reading[[#This Row],[Next]]&gt;TODAY(),"OK",""),"")</f>
        <v>OK</v>
      </c>
      <c r="Z1006" s="13">
        <v>3</v>
      </c>
      <c r="AA1006" s="13">
        <v>3</v>
      </c>
      <c r="AB1006" s="13">
        <v>3</v>
      </c>
      <c r="AC1006" s="13">
        <v>3</v>
      </c>
      <c r="AD1006" s="13">
        <v>3</v>
      </c>
      <c r="AE1006" s="13">
        <v>3</v>
      </c>
      <c r="AF1006" s="13">
        <v>3</v>
      </c>
      <c r="AG1006" s="16">
        <f>IFERROR(SUMIF(reading[[#This Row],[1st]:[7th]],"&gt;0")/COUNTIF(reading[[#This Row],[1st]:[7th]],"&gt;0"),"")</f>
        <v>3</v>
      </c>
    </row>
    <row r="1007" spans="1:33" hidden="1" x14ac:dyDescent="0.2">
      <c r="A1007" s="4">
        <f>IF(B1007=1,3,IF(D1007=1,2,IF(F1007=1,1,0)))</f>
        <v>0</v>
      </c>
      <c r="B1007" s="4" t="str">
        <f>IF(C1007=$L1007,1,IF(C1007="","",0))</f>
        <v/>
      </c>
      <c r="C1007" s="42"/>
      <c r="D1007" s="4" t="str">
        <f>IF(E1007=$L1007,1,IF(E1007="","",0))</f>
        <v/>
      </c>
      <c r="E1007" s="23"/>
      <c r="F1007" s="4" t="str">
        <f>IF(G1007=$L1007,1,IF(G1007="","",0))</f>
        <v/>
      </c>
      <c r="G1007" s="23"/>
      <c r="H1007" s="6">
        <v>837</v>
      </c>
      <c r="I1007" s="15" t="s">
        <v>3120</v>
      </c>
      <c r="J1007" s="6" t="s">
        <v>3970</v>
      </c>
      <c r="K1007" s="24" t="s">
        <v>3136</v>
      </c>
      <c r="L1007" s="6" t="s">
        <v>953</v>
      </c>
      <c r="M1007" s="6" t="s">
        <v>6946</v>
      </c>
      <c r="N1007" s="7">
        <f ca="1">RAND()</f>
        <v>0.45389585458758031</v>
      </c>
      <c r="O1007" s="8">
        <v>45204</v>
      </c>
      <c r="P1007" s="8">
        <v>45205</v>
      </c>
      <c r="Q1007" s="8">
        <v>45207</v>
      </c>
      <c r="R1007" s="8">
        <v>45211</v>
      </c>
      <c r="S1007" s="8">
        <v>45218</v>
      </c>
      <c r="T1007" s="8">
        <v>45230</v>
      </c>
      <c r="U1007" s="8">
        <v>45816</v>
      </c>
      <c r="V1007" s="10">
        <f>COUNTA(O1007:U1007)</f>
        <v>7</v>
      </c>
      <c r="W1007" s="11">
        <f>_xlfn.IFNA(INDEX(reading[[#This Row],[Memo 01]:[Memo 07]],MATCH(0,reading[[#This Row],[Memo 01]:[Memo 07]],-1)),"")</f>
        <v>45816</v>
      </c>
      <c r="X1007" s="11">
        <f ca="1">IFERROR(reading[[#This Row],[Previous]]+OFFSET(reading[[#Headers],[Memo 01]],-1,MATCH(0,reading[[#This Row],[Memo 01]:[Memo 07]],-1)-1),"")</f>
        <v>55816</v>
      </c>
      <c r="Y1007" s="10" t="str">
        <f ca="1">IF(reading[[#This Row],[Next]]&lt;&gt;"",IF(reading[[#This Row],[Next]]&gt;TODAY(),"OK",""),"")</f>
        <v>OK</v>
      </c>
      <c r="Z1007" s="13">
        <v>3</v>
      </c>
      <c r="AA1007" s="13">
        <v>3</v>
      </c>
      <c r="AB1007" s="13">
        <v>3</v>
      </c>
      <c r="AC1007" s="13">
        <v>3</v>
      </c>
      <c r="AD1007" s="13">
        <v>3</v>
      </c>
      <c r="AE1007" s="13">
        <v>3</v>
      </c>
      <c r="AF1007" s="13">
        <v>1</v>
      </c>
      <c r="AG1007" s="16">
        <f>IFERROR(SUMIF(reading[[#This Row],[1st]:[7th]],"&gt;0")/COUNTIF(reading[[#This Row],[1st]:[7th]],"&gt;0"),"")</f>
        <v>2.7142857142857144</v>
      </c>
    </row>
    <row r="1008" spans="1:33" hidden="1" x14ac:dyDescent="0.2">
      <c r="A1008" s="4">
        <f>IF(B1008=1,3,IF(D1008=1,2,IF(F1008=1,1,0)))</f>
        <v>0</v>
      </c>
      <c r="B1008" s="4" t="str">
        <f>IF(C1008=$L1008,1,IF(C1008="","",0))</f>
        <v/>
      </c>
      <c r="C1008" s="42"/>
      <c r="D1008" s="4" t="str">
        <f>IF(E1008=$L1008,1,IF(E1008="","",0))</f>
        <v/>
      </c>
      <c r="E1008" s="43"/>
      <c r="F1008" s="4" t="str">
        <f>IF(G1008=$L1008,1,IF(G1008="","",0))</f>
        <v/>
      </c>
      <c r="G1008" s="18"/>
      <c r="H1008" s="6">
        <v>1606</v>
      </c>
      <c r="I1008" s="15" t="s">
        <v>3120</v>
      </c>
      <c r="J1008" s="6" t="s">
        <v>4718</v>
      </c>
      <c r="K1008" s="6"/>
      <c r="L1008" s="6" t="s">
        <v>1688</v>
      </c>
      <c r="M1008" s="6" t="s">
        <v>7712</v>
      </c>
      <c r="N1008" s="7">
        <f ca="1">RAND()</f>
        <v>0.55185936327918483</v>
      </c>
      <c r="O1008" s="8">
        <v>45211</v>
      </c>
      <c r="P1008" s="8">
        <v>45212</v>
      </c>
      <c r="Q1008" s="8">
        <v>45214</v>
      </c>
      <c r="R1008" s="8">
        <v>45218</v>
      </c>
      <c r="S1008" s="8">
        <v>45226</v>
      </c>
      <c r="T1008" s="8">
        <v>45250</v>
      </c>
      <c r="U1008" s="8">
        <v>45829</v>
      </c>
      <c r="V1008" s="10">
        <f>COUNTA(O1008:U1008)</f>
        <v>7</v>
      </c>
      <c r="W1008" s="11">
        <f>_xlfn.IFNA(INDEX(reading[[#This Row],[Memo 01]:[Memo 07]],MATCH(0,reading[[#This Row],[Memo 01]:[Memo 07]],-1)),"")</f>
        <v>45829</v>
      </c>
      <c r="X1008" s="11">
        <f ca="1">IFERROR(reading[[#This Row],[Previous]]+OFFSET(reading[[#Headers],[Memo 01]],-1,MATCH(0,reading[[#This Row],[Memo 01]:[Memo 07]],-1)-1),"")</f>
        <v>55829</v>
      </c>
      <c r="Y1008" s="10" t="str">
        <f ca="1">IF(reading[[#This Row],[Next]]&lt;&gt;"",IF(reading[[#This Row],[Next]]&gt;TODAY(),"OK",""),"")</f>
        <v>OK</v>
      </c>
      <c r="Z1008" s="13">
        <v>3</v>
      </c>
      <c r="AA1008" s="13">
        <v>3</v>
      </c>
      <c r="AB1008" s="13">
        <v>3</v>
      </c>
      <c r="AC1008" s="13">
        <v>2</v>
      </c>
      <c r="AD1008" s="13">
        <v>1</v>
      </c>
      <c r="AE1008" s="13">
        <v>1</v>
      </c>
      <c r="AF1008" s="13">
        <v>2</v>
      </c>
      <c r="AG1008" s="16">
        <f>IFERROR(SUMIF(reading[[#This Row],[1st]:[7th]],"&gt;0")/COUNTIF(reading[[#This Row],[1st]:[7th]],"&gt;0"),"")</f>
        <v>2.1428571428571428</v>
      </c>
    </row>
    <row r="1009" spans="1:33" hidden="1" x14ac:dyDescent="0.2">
      <c r="A1009" s="4">
        <f>IF(B1009=1,3,IF(D1009=1,2,IF(F1009=1,1,0)))</f>
        <v>0</v>
      </c>
      <c r="B1009" s="4" t="str">
        <f>IF(C1009=$L1009,1,IF(C1009="","",0))</f>
        <v/>
      </c>
      <c r="C1009" s="42"/>
      <c r="D1009" s="4" t="str">
        <f>IF(E1009=$L1009,1,IF(E1009="","",0))</f>
        <v/>
      </c>
      <c r="E1009" s="18"/>
      <c r="F1009" s="4" t="str">
        <f>IF(G1009=$L1009,1,IF(G1009="","",0))</f>
        <v/>
      </c>
      <c r="G1009" s="14"/>
      <c r="H1009" s="6">
        <v>260</v>
      </c>
      <c r="I1009" s="15" t="s">
        <v>3120</v>
      </c>
      <c r="J1009" s="6" t="s">
        <v>3409</v>
      </c>
      <c r="K1009" s="6"/>
      <c r="L1009" s="6" t="s">
        <v>395</v>
      </c>
      <c r="M1009" s="6" t="s">
        <v>6369</v>
      </c>
      <c r="N1009" s="7">
        <f ca="1">RAND()</f>
        <v>0.19670620256439642</v>
      </c>
      <c r="O1009" s="8">
        <v>45200</v>
      </c>
      <c r="P1009" s="8">
        <v>45201</v>
      </c>
      <c r="Q1009" s="8">
        <v>45203</v>
      </c>
      <c r="R1009" s="8">
        <v>45207</v>
      </c>
      <c r="S1009" s="8">
        <v>45214</v>
      </c>
      <c r="T1009" s="8">
        <v>45226</v>
      </c>
      <c r="U1009" s="8">
        <v>45253</v>
      </c>
      <c r="V1009" s="10">
        <f>COUNTA(O1009:U1009)</f>
        <v>7</v>
      </c>
      <c r="W1009" s="11">
        <f>_xlfn.IFNA(INDEX(reading[[#This Row],[Memo 01]:[Memo 07]],MATCH(0,reading[[#This Row],[Memo 01]:[Memo 07]],-1)),"")</f>
        <v>45253</v>
      </c>
      <c r="X1009" s="11">
        <f ca="1">IFERROR(reading[[#This Row],[Previous]]+OFFSET(reading[[#Headers],[Memo 01]],-1,MATCH(0,reading[[#This Row],[Memo 01]:[Memo 07]],-1)-1),"")</f>
        <v>55253</v>
      </c>
      <c r="Y1009" s="10" t="str">
        <f ca="1">IF(reading[[#This Row],[Next]]&lt;&gt;"",IF(reading[[#This Row],[Next]]&gt;TODAY(),"OK",""),"")</f>
        <v>OK</v>
      </c>
      <c r="Z1009" s="13">
        <v>3</v>
      </c>
      <c r="AA1009" s="13">
        <v>3</v>
      </c>
      <c r="AB1009" s="13">
        <v>2</v>
      </c>
      <c r="AC1009" s="13">
        <v>3</v>
      </c>
      <c r="AD1009" s="13">
        <v>3</v>
      </c>
      <c r="AE1009" s="13">
        <v>2</v>
      </c>
      <c r="AF1009" s="13">
        <v>2</v>
      </c>
      <c r="AG1009" s="16">
        <f>IFERROR(SUMIF(reading[[#This Row],[1st]:[7th]],"&gt;0")/COUNTIF(reading[[#This Row],[1st]:[7th]],"&gt;0"),"")</f>
        <v>2.5714285714285716</v>
      </c>
    </row>
    <row r="1010" spans="1:33" hidden="1" x14ac:dyDescent="0.2">
      <c r="A1010" s="4">
        <f>IF(B1010=1,3,IF(D1010=1,2,IF(F1010=1,1,0)))</f>
        <v>0</v>
      </c>
      <c r="B1010" s="4" t="str">
        <f>IF(C1010=$L1010,1,IF(C1010="","",0))</f>
        <v/>
      </c>
      <c r="C1010" s="42"/>
      <c r="D1010" s="4" t="str">
        <f>IF(E1010=$L1010,1,IF(E1010="","",0))</f>
        <v/>
      </c>
      <c r="E1010" s="14"/>
      <c r="F1010" s="4" t="str">
        <f>IF(G1010=$L1010,1,IF(G1010="","",0))</f>
        <v/>
      </c>
      <c r="G1010" s="14"/>
      <c r="H1010" s="6">
        <v>1328</v>
      </c>
      <c r="I1010" s="15" t="s">
        <v>3120</v>
      </c>
      <c r="J1010" s="6" t="s">
        <v>4444</v>
      </c>
      <c r="K1010" s="6"/>
      <c r="L1010" s="6" t="s">
        <v>1425</v>
      </c>
      <c r="M1010" s="6" t="s">
        <v>7435</v>
      </c>
      <c r="N1010" s="7">
        <f ca="1">RAND()</f>
        <v>0.39244279827065531</v>
      </c>
      <c r="O1010" s="8">
        <v>45207</v>
      </c>
      <c r="P1010" s="8">
        <v>45208</v>
      </c>
      <c r="Q1010" s="8">
        <v>45210</v>
      </c>
      <c r="R1010" s="8">
        <v>45214</v>
      </c>
      <c r="S1010" s="8">
        <v>45221</v>
      </c>
      <c r="T1010" s="8">
        <v>45233</v>
      </c>
      <c r="U1010" s="8">
        <v>45792</v>
      </c>
      <c r="V1010" s="10">
        <f>COUNTA(O1010:U1010)</f>
        <v>7</v>
      </c>
      <c r="W1010" s="11">
        <f>_xlfn.IFNA(INDEX(reading[[#This Row],[Memo 01]:[Memo 07]],MATCH(0,reading[[#This Row],[Memo 01]:[Memo 07]],-1)),"")</f>
        <v>45792</v>
      </c>
      <c r="X1010" s="11">
        <f ca="1">IFERROR(reading[[#This Row],[Previous]]+OFFSET(reading[[#Headers],[Memo 01]],-1,MATCH(0,reading[[#This Row],[Memo 01]:[Memo 07]],-1)-1),"")</f>
        <v>55792</v>
      </c>
      <c r="Y1010" s="10" t="str">
        <f ca="1">IF(reading[[#This Row],[Next]]&lt;&gt;"",IF(reading[[#This Row],[Next]]&gt;TODAY(),"OK",""),"")</f>
        <v>OK</v>
      </c>
      <c r="Z1010" s="13">
        <v>3</v>
      </c>
      <c r="AA1010" s="13">
        <v>3</v>
      </c>
      <c r="AB1010" s="13">
        <v>3</v>
      </c>
      <c r="AC1010" s="13">
        <v>3</v>
      </c>
      <c r="AD1010" s="13">
        <v>3</v>
      </c>
      <c r="AE1010" s="13">
        <v>3</v>
      </c>
      <c r="AF1010" s="13">
        <v>3</v>
      </c>
      <c r="AG1010" s="16">
        <f>IFERROR(SUMIF(reading[[#This Row],[1st]:[7th]],"&gt;0")/COUNTIF(reading[[#This Row],[1st]:[7th]],"&gt;0"),"")</f>
        <v>3</v>
      </c>
    </row>
    <row r="1011" spans="1:33" hidden="1" x14ac:dyDescent="0.2">
      <c r="A1011" s="4">
        <f>IF(B1011=1,3,IF(D1011=1,2,IF(F1011=1,1,0)))</f>
        <v>0</v>
      </c>
      <c r="B1011" s="4" t="str">
        <f>IF(C1011=$L1011,1,IF(C1011="","",0))</f>
        <v/>
      </c>
      <c r="C1011" s="42"/>
      <c r="D1011" s="4" t="str">
        <f>IF(E1011=$L1011,1,IF(E1011="","",0))</f>
        <v/>
      </c>
      <c r="E1011" s="14"/>
      <c r="F1011" s="4" t="str">
        <f>IF(G1011=$L1011,1,IF(G1011="","",0))</f>
        <v/>
      </c>
      <c r="G1011" s="14"/>
      <c r="H1011" s="6">
        <v>3026</v>
      </c>
      <c r="I1011" s="15" t="s">
        <v>3120</v>
      </c>
      <c r="J1011" s="6" t="s">
        <v>6049</v>
      </c>
      <c r="K1011" s="6"/>
      <c r="L1011" s="6" t="s">
        <v>3055</v>
      </c>
      <c r="M1011" s="6" t="s">
        <v>9129</v>
      </c>
      <c r="N1011" s="7">
        <f ca="1">RAND()</f>
        <v>0.87078887759107559</v>
      </c>
      <c r="O1011" s="8">
        <v>45224</v>
      </c>
      <c r="P1011" s="8">
        <v>45225</v>
      </c>
      <c r="Q1011" s="8">
        <v>45227</v>
      </c>
      <c r="R1011" s="8">
        <v>45231</v>
      </c>
      <c r="S1011" s="8">
        <v>45251</v>
      </c>
      <c r="T1011" s="8">
        <v>45824</v>
      </c>
      <c r="U1011" s="8"/>
      <c r="V1011" s="10">
        <f>COUNTA(O1011:U1011)</f>
        <v>6</v>
      </c>
      <c r="W1011" s="11">
        <f>_xlfn.IFNA(INDEX(reading[[#This Row],[Memo 01]:[Memo 07]],MATCH(0,reading[[#This Row],[Memo 01]:[Memo 07]],-1)),"")</f>
        <v>45824</v>
      </c>
      <c r="X1011" s="11">
        <f ca="1">IFERROR(reading[[#This Row],[Previous]]+OFFSET(reading[[#Headers],[Memo 01]],-1,MATCH(0,reading[[#This Row],[Memo 01]:[Memo 07]],-1)-1),"")</f>
        <v>45844</v>
      </c>
      <c r="Y1011" s="10" t="str">
        <f ca="1">IF(reading[[#This Row],[Next]]&lt;&gt;"",IF(reading[[#This Row],[Next]]&gt;TODAY(),"OK",""),"")</f>
        <v>OK</v>
      </c>
      <c r="Z1011" s="13">
        <v>3</v>
      </c>
      <c r="AA1011" s="13">
        <v>3</v>
      </c>
      <c r="AB1011" s="13">
        <v>3</v>
      </c>
      <c r="AC1011" s="13">
        <v>3</v>
      </c>
      <c r="AD1011" s="13">
        <v>3</v>
      </c>
      <c r="AE1011" s="13">
        <v>3</v>
      </c>
      <c r="AF1011" s="13"/>
      <c r="AG1011" s="16">
        <f>IFERROR(SUMIF(reading[[#This Row],[1st]:[7th]],"&gt;0")/COUNTIF(reading[[#This Row],[1st]:[7th]],"&gt;0"),"")</f>
        <v>3</v>
      </c>
    </row>
    <row r="1012" spans="1:33" hidden="1" x14ac:dyDescent="0.2">
      <c r="A1012" s="4">
        <f>IF(B1012=1,3,IF(D1012=1,2,IF(F1012=1,1,0)))</f>
        <v>0</v>
      </c>
      <c r="B1012" s="4" t="str">
        <f>IF(C1012=$L1012,1,IF(C1012="","",0))</f>
        <v/>
      </c>
      <c r="C1012" s="42"/>
      <c r="D1012" s="4" t="str">
        <f>IF(E1012=$L1012,1,IF(E1012="","",0))</f>
        <v/>
      </c>
      <c r="E1012" s="14"/>
      <c r="F1012" s="4" t="str">
        <f>IF(G1012=$L1012,1,IF(G1012="","",0))</f>
        <v/>
      </c>
      <c r="G1012" s="14"/>
      <c r="H1012" s="6">
        <v>425</v>
      </c>
      <c r="I1012" s="15" t="s">
        <v>3120</v>
      </c>
      <c r="J1012" s="6" t="s">
        <v>3571</v>
      </c>
      <c r="K1012" s="6"/>
      <c r="L1012" s="6" t="s">
        <v>555</v>
      </c>
      <c r="M1012" s="6" t="s">
        <v>6534</v>
      </c>
      <c r="N1012" s="7">
        <f ca="1">RAND()</f>
        <v>0.84029441618645295</v>
      </c>
      <c r="O1012" s="8">
        <v>45201</v>
      </c>
      <c r="P1012" s="8">
        <v>45202</v>
      </c>
      <c r="Q1012" s="8">
        <v>45204</v>
      </c>
      <c r="R1012" s="8">
        <v>45208</v>
      </c>
      <c r="S1012" s="8">
        <v>45215</v>
      </c>
      <c r="T1012" s="8">
        <v>45227</v>
      </c>
      <c r="U1012" s="8">
        <v>45801</v>
      </c>
      <c r="V1012" s="10">
        <f>COUNTA(O1012:U1012)</f>
        <v>7</v>
      </c>
      <c r="W1012" s="11">
        <f>_xlfn.IFNA(INDEX(reading[[#This Row],[Memo 01]:[Memo 07]],MATCH(0,reading[[#This Row],[Memo 01]:[Memo 07]],-1)),"")</f>
        <v>45801</v>
      </c>
      <c r="X1012" s="11">
        <f ca="1">IFERROR(reading[[#This Row],[Previous]]+OFFSET(reading[[#Headers],[Memo 01]],-1,MATCH(0,reading[[#This Row],[Memo 01]:[Memo 07]],-1)-1),"")</f>
        <v>55801</v>
      </c>
      <c r="Y1012" s="10" t="str">
        <f ca="1">IF(reading[[#This Row],[Next]]&lt;&gt;"",IF(reading[[#This Row],[Next]]&gt;TODAY(),"OK",""),"")</f>
        <v>OK</v>
      </c>
      <c r="Z1012" s="13">
        <v>3</v>
      </c>
      <c r="AA1012" s="13">
        <v>3</v>
      </c>
      <c r="AB1012" s="13">
        <v>3</v>
      </c>
      <c r="AC1012" s="13">
        <v>3</v>
      </c>
      <c r="AD1012" s="13">
        <v>3</v>
      </c>
      <c r="AE1012" s="13">
        <v>3</v>
      </c>
      <c r="AF1012" s="13">
        <v>3</v>
      </c>
      <c r="AG1012" s="16">
        <f>IFERROR(SUMIF(reading[[#This Row],[1st]:[7th]],"&gt;0")/COUNTIF(reading[[#This Row],[1st]:[7th]],"&gt;0"),"")</f>
        <v>3</v>
      </c>
    </row>
    <row r="1013" spans="1:33" hidden="1" x14ac:dyDescent="0.2">
      <c r="A1013" s="4">
        <f>IF(B1013=1,3,IF(D1013=1,2,IF(F1013=1,1,0)))</f>
        <v>0</v>
      </c>
      <c r="B1013" s="4" t="str">
        <f>IF(C1013=$L1013,1,IF(C1013="","",0))</f>
        <v/>
      </c>
      <c r="C1013" s="42"/>
      <c r="D1013" s="4" t="str">
        <f>IF(E1013=$L1013,1,IF(E1013="","",0))</f>
        <v/>
      </c>
      <c r="E1013" s="14"/>
      <c r="F1013" s="4" t="str">
        <f>IF(G1013=$L1013,1,IF(G1013="","",0))</f>
        <v/>
      </c>
      <c r="G1013" s="14"/>
      <c r="H1013" s="6">
        <v>1415</v>
      </c>
      <c r="I1013" s="15" t="s">
        <v>3120</v>
      </c>
      <c r="J1013" s="6" t="s">
        <v>4529</v>
      </c>
      <c r="K1013" s="6"/>
      <c r="L1013" s="6" t="s">
        <v>1506</v>
      </c>
      <c r="M1013" s="6" t="s">
        <v>7522</v>
      </c>
      <c r="N1013" s="7">
        <f ca="1">RAND()</f>
        <v>0.33440284800626741</v>
      </c>
      <c r="O1013" s="8">
        <v>45208</v>
      </c>
      <c r="P1013" s="8">
        <v>45209</v>
      </c>
      <c r="Q1013" s="8">
        <v>45211</v>
      </c>
      <c r="R1013" s="8">
        <v>45215</v>
      </c>
      <c r="S1013" s="8">
        <v>45222</v>
      </c>
      <c r="T1013" s="8">
        <v>45235</v>
      </c>
      <c r="U1013" s="8">
        <v>45792</v>
      </c>
      <c r="V1013" s="10">
        <f>COUNTA(O1013:U1013)</f>
        <v>7</v>
      </c>
      <c r="W1013" s="11">
        <f>_xlfn.IFNA(INDEX(reading[[#This Row],[Memo 01]:[Memo 07]],MATCH(0,reading[[#This Row],[Memo 01]:[Memo 07]],-1)),"")</f>
        <v>45792</v>
      </c>
      <c r="X1013" s="11">
        <f ca="1">IFERROR(reading[[#This Row],[Previous]]+OFFSET(reading[[#Headers],[Memo 01]],-1,MATCH(0,reading[[#This Row],[Memo 01]:[Memo 07]],-1)-1),"")</f>
        <v>55792</v>
      </c>
      <c r="Y1013" s="10" t="str">
        <f ca="1">IF(reading[[#This Row],[Next]]&lt;&gt;"",IF(reading[[#This Row],[Next]]&gt;TODAY(),"OK",""),"")</f>
        <v>OK</v>
      </c>
      <c r="Z1013" s="13">
        <v>3</v>
      </c>
      <c r="AA1013" s="13">
        <v>3</v>
      </c>
      <c r="AB1013" s="13">
        <v>3</v>
      </c>
      <c r="AC1013" s="13">
        <v>3</v>
      </c>
      <c r="AD1013" s="13">
        <v>3</v>
      </c>
      <c r="AE1013" s="13">
        <v>2</v>
      </c>
      <c r="AF1013" s="13">
        <v>3</v>
      </c>
      <c r="AG1013" s="16">
        <f>IFERROR(SUMIF(reading[[#This Row],[1st]:[7th]],"&gt;0")/COUNTIF(reading[[#This Row],[1st]:[7th]],"&gt;0"),"")</f>
        <v>2.8571428571428572</v>
      </c>
    </row>
    <row r="1014" spans="1:33" hidden="1" x14ac:dyDescent="0.2">
      <c r="A1014" s="4">
        <f>IF(B1014=1,3,IF(D1014=1,2,IF(F1014=1,1,0)))</f>
        <v>0</v>
      </c>
      <c r="B1014" s="4" t="str">
        <f>IF(C1014=$L1014,1,IF(C1014="","",0))</f>
        <v/>
      </c>
      <c r="C1014" s="42"/>
      <c r="D1014" s="4" t="str">
        <f>IF(E1014=$L1014,1,IF(E1014="","",0))</f>
        <v/>
      </c>
      <c r="E1014" s="43"/>
      <c r="F1014" s="4" t="str">
        <f>IF(G1014=$L1014,1,IF(G1014="","",0))</f>
        <v/>
      </c>
      <c r="G1014" s="14"/>
      <c r="H1014" s="6">
        <v>3034</v>
      </c>
      <c r="I1014" s="15" t="s">
        <v>3120</v>
      </c>
      <c r="J1014" s="6" t="s">
        <v>6056</v>
      </c>
      <c r="K1014" s="6"/>
      <c r="L1014" s="6" t="s">
        <v>3061</v>
      </c>
      <c r="M1014" s="6" t="s">
        <v>9137</v>
      </c>
      <c r="N1014" s="7">
        <f ca="1">RAND()</f>
        <v>2.1248156375228477E-2</v>
      </c>
      <c r="O1014" s="8">
        <v>45224</v>
      </c>
      <c r="P1014" s="8">
        <v>45225</v>
      </c>
      <c r="Q1014" s="8">
        <v>45227</v>
      </c>
      <c r="R1014" s="8">
        <v>45231</v>
      </c>
      <c r="S1014" s="8">
        <v>45250</v>
      </c>
      <c r="T1014" s="8">
        <v>45815</v>
      </c>
      <c r="U1014" s="8"/>
      <c r="V1014" s="10">
        <f>COUNTA(O1014:U1014)</f>
        <v>6</v>
      </c>
      <c r="W1014" s="11">
        <f>_xlfn.IFNA(INDEX(reading[[#This Row],[Memo 01]:[Memo 07]],MATCH(0,reading[[#This Row],[Memo 01]:[Memo 07]],-1)),"")</f>
        <v>45815</v>
      </c>
      <c r="X1014" s="11">
        <f ca="1">IFERROR(reading[[#This Row],[Previous]]+OFFSET(reading[[#Headers],[Memo 01]],-1,MATCH(0,reading[[#This Row],[Memo 01]:[Memo 07]],-1)-1),"")</f>
        <v>45835</v>
      </c>
      <c r="Y1014" s="10" t="str">
        <f ca="1">IF(reading[[#This Row],[Next]]&lt;&gt;"",IF(reading[[#This Row],[Next]]&gt;TODAY(),"OK",""),"")</f>
        <v>OK</v>
      </c>
      <c r="Z1014" s="13">
        <v>3</v>
      </c>
      <c r="AA1014" s="13">
        <v>2</v>
      </c>
      <c r="AB1014" s="13">
        <v>3</v>
      </c>
      <c r="AC1014" s="13">
        <v>2</v>
      </c>
      <c r="AD1014" s="13">
        <v>3</v>
      </c>
      <c r="AE1014" s="13">
        <v>2</v>
      </c>
      <c r="AF1014" s="13"/>
      <c r="AG1014" s="16">
        <f>IFERROR(SUMIF(reading[[#This Row],[1st]:[7th]],"&gt;0")/COUNTIF(reading[[#This Row],[1st]:[7th]],"&gt;0"),"")</f>
        <v>2.5</v>
      </c>
    </row>
    <row r="1015" spans="1:33" hidden="1" x14ac:dyDescent="0.2">
      <c r="A1015" s="4">
        <f>IF(B1015=1,3,IF(D1015=1,2,IF(F1015=1,1,0)))</f>
        <v>0</v>
      </c>
      <c r="B1015" s="4" t="str">
        <f>IF(C1015=$L1015,1,IF(C1015="","",0))</f>
        <v/>
      </c>
      <c r="C1015" s="42"/>
      <c r="D1015" s="4" t="str">
        <f>IF(E1015=$L1015,1,IF(E1015="","",0))</f>
        <v/>
      </c>
      <c r="E1015" s="14"/>
      <c r="F1015" s="4" t="str">
        <f>IF(G1015=$L1015,1,IF(G1015="","",0))</f>
        <v/>
      </c>
      <c r="G1015" s="14"/>
      <c r="H1015" s="6">
        <v>716</v>
      </c>
      <c r="I1015" s="15" t="s">
        <v>3120</v>
      </c>
      <c r="J1015" s="6" t="s">
        <v>3854</v>
      </c>
      <c r="K1015" s="6"/>
      <c r="L1015" s="6" t="s">
        <v>837</v>
      </c>
      <c r="M1015" s="6" t="s">
        <v>6825</v>
      </c>
      <c r="N1015" s="7">
        <f ca="1">RAND()</f>
        <v>0.81440040244431433</v>
      </c>
      <c r="O1015" s="8">
        <v>45203</v>
      </c>
      <c r="P1015" s="8">
        <v>45204</v>
      </c>
      <c r="Q1015" s="8">
        <v>45206</v>
      </c>
      <c r="R1015" s="8">
        <v>45210</v>
      </c>
      <c r="S1015" s="8">
        <v>45217</v>
      </c>
      <c r="T1015" s="8">
        <v>45229</v>
      </c>
      <c r="U1015" s="8">
        <v>45792</v>
      </c>
      <c r="V1015" s="10">
        <f>COUNTA(O1015:U1015)</f>
        <v>7</v>
      </c>
      <c r="W1015" s="11">
        <f>_xlfn.IFNA(INDEX(reading[[#This Row],[Memo 01]:[Memo 07]],MATCH(0,reading[[#This Row],[Memo 01]:[Memo 07]],-1)),"")</f>
        <v>45792</v>
      </c>
      <c r="X1015" s="11">
        <f ca="1">IFERROR(reading[[#This Row],[Previous]]+OFFSET(reading[[#Headers],[Memo 01]],-1,MATCH(0,reading[[#This Row],[Memo 01]:[Memo 07]],-1)-1),"")</f>
        <v>55792</v>
      </c>
      <c r="Y1015" s="10" t="str">
        <f ca="1">IF(reading[[#This Row],[Next]]&lt;&gt;"",IF(reading[[#This Row],[Next]]&gt;TODAY(),"OK",""),"")</f>
        <v>OK</v>
      </c>
      <c r="Z1015" s="13">
        <v>3</v>
      </c>
      <c r="AA1015" s="13">
        <v>3</v>
      </c>
      <c r="AB1015" s="13">
        <v>3</v>
      </c>
      <c r="AC1015" s="13">
        <v>3</v>
      </c>
      <c r="AD1015" s="13">
        <v>3</v>
      </c>
      <c r="AE1015" s="13">
        <v>3</v>
      </c>
      <c r="AF1015" s="13">
        <v>3</v>
      </c>
      <c r="AG1015" s="16">
        <f>IFERROR(SUMIF(reading[[#This Row],[1st]:[7th]],"&gt;0")/COUNTIF(reading[[#This Row],[1st]:[7th]],"&gt;0"),"")</f>
        <v>3</v>
      </c>
    </row>
    <row r="1016" spans="1:33" hidden="1" x14ac:dyDescent="0.2">
      <c r="A1016" s="4">
        <f>IF(B1016=1,3,IF(D1016=1,2,IF(F1016=1,1,0)))</f>
        <v>0</v>
      </c>
      <c r="B1016" s="4" t="str">
        <f>IF(C1016=$L1016,1,IF(C1016="","",0))</f>
        <v/>
      </c>
      <c r="C1016" s="42"/>
      <c r="D1016" s="4" t="str">
        <f>IF(E1016=$L1016,1,IF(E1016="","",0))</f>
        <v/>
      </c>
      <c r="E1016" s="14"/>
      <c r="F1016" s="4" t="str">
        <f>IF(G1016=$L1016,1,IF(G1016="","",0))</f>
        <v/>
      </c>
      <c r="G1016" s="14"/>
      <c r="H1016" s="6">
        <v>865</v>
      </c>
      <c r="I1016" s="15" t="s">
        <v>3120</v>
      </c>
      <c r="J1016" s="6" t="s">
        <v>3997</v>
      </c>
      <c r="K1016" s="6"/>
      <c r="L1016" s="6" t="s">
        <v>980</v>
      </c>
      <c r="M1016" s="6" t="s">
        <v>6974</v>
      </c>
      <c r="N1016" s="7">
        <f ca="1">RAND()</f>
        <v>2.6858053250453318E-2</v>
      </c>
      <c r="O1016" s="8">
        <v>45203</v>
      </c>
      <c r="P1016" s="8">
        <v>45204</v>
      </c>
      <c r="Q1016" s="8">
        <v>45206</v>
      </c>
      <c r="R1016" s="8">
        <v>45210</v>
      </c>
      <c r="S1016" s="8">
        <v>45217</v>
      </c>
      <c r="T1016" s="8">
        <v>45229</v>
      </c>
      <c r="U1016" s="8">
        <v>45792</v>
      </c>
      <c r="V1016" s="10">
        <f>COUNTA(O1016:U1016)</f>
        <v>7</v>
      </c>
      <c r="W1016" s="11">
        <f>_xlfn.IFNA(INDEX(reading[[#This Row],[Memo 01]:[Memo 07]],MATCH(0,reading[[#This Row],[Memo 01]:[Memo 07]],-1)),"")</f>
        <v>45792</v>
      </c>
      <c r="X1016" s="11">
        <f ca="1">IFERROR(reading[[#This Row],[Previous]]+OFFSET(reading[[#Headers],[Memo 01]],-1,MATCH(0,reading[[#This Row],[Memo 01]:[Memo 07]],-1)-1),"")</f>
        <v>55792</v>
      </c>
      <c r="Y1016" s="10" t="str">
        <f ca="1">IF(reading[[#This Row],[Next]]&lt;&gt;"",IF(reading[[#This Row],[Next]]&gt;TODAY(),"OK",""),"")</f>
        <v>OK</v>
      </c>
      <c r="Z1016" s="13">
        <v>3</v>
      </c>
      <c r="AA1016" s="13">
        <v>3</v>
      </c>
      <c r="AB1016" s="13">
        <v>3</v>
      </c>
      <c r="AC1016" s="13">
        <v>3</v>
      </c>
      <c r="AD1016" s="13">
        <v>3</v>
      </c>
      <c r="AE1016" s="13">
        <v>3</v>
      </c>
      <c r="AF1016" s="13">
        <v>3</v>
      </c>
      <c r="AG1016" s="16">
        <f>IFERROR(SUMIF(reading[[#This Row],[1st]:[7th]],"&gt;0")/COUNTIF(reading[[#This Row],[1st]:[7th]],"&gt;0"),"")</f>
        <v>3</v>
      </c>
    </row>
    <row r="1017" spans="1:33" hidden="1" x14ac:dyDescent="0.2">
      <c r="A1017" s="4">
        <f>IF(B1017=1,3,IF(D1017=1,2,IF(F1017=1,1,0)))</f>
        <v>0</v>
      </c>
      <c r="B1017" s="4" t="str">
        <f>IF(C1017=$L1017,1,IF(C1017="","",0))</f>
        <v/>
      </c>
      <c r="C1017" s="42"/>
      <c r="D1017" s="4" t="str">
        <f>IF(E1017=$L1017,1,IF(E1017="","",0))</f>
        <v/>
      </c>
      <c r="E1017" s="23"/>
      <c r="F1017" s="4" t="str">
        <f>IF(G1017=$L1017,1,IF(G1017="","",0))</f>
        <v/>
      </c>
      <c r="G1017" s="14"/>
      <c r="H1017" s="6">
        <v>654</v>
      </c>
      <c r="I1017" s="15" t="s">
        <v>3120</v>
      </c>
      <c r="J1017" s="6" t="s">
        <v>3794</v>
      </c>
      <c r="K1017" s="6"/>
      <c r="L1017" s="6" t="s">
        <v>777</v>
      </c>
      <c r="M1017" s="6" t="s">
        <v>6763</v>
      </c>
      <c r="N1017" s="7">
        <f ca="1">RAND()</f>
        <v>0.17156248408837094</v>
      </c>
      <c r="O1017" s="8">
        <v>45202</v>
      </c>
      <c r="P1017" s="8">
        <v>45203</v>
      </c>
      <c r="Q1017" s="8">
        <v>45205</v>
      </c>
      <c r="R1017" s="8">
        <v>45209</v>
      </c>
      <c r="S1017" s="8">
        <v>45216</v>
      </c>
      <c r="T1017" s="8">
        <v>45228</v>
      </c>
      <c r="U1017" s="8">
        <v>45815</v>
      </c>
      <c r="V1017" s="10">
        <f>COUNTA(O1017:U1017)</f>
        <v>7</v>
      </c>
      <c r="W1017" s="11">
        <f>_xlfn.IFNA(INDEX(reading[[#This Row],[Memo 01]:[Memo 07]],MATCH(0,reading[[#This Row],[Memo 01]:[Memo 07]],-1)),"")</f>
        <v>45815</v>
      </c>
      <c r="X1017" s="11">
        <f ca="1">IFERROR(reading[[#This Row],[Previous]]+OFFSET(reading[[#Headers],[Memo 01]],-1,MATCH(0,reading[[#This Row],[Memo 01]:[Memo 07]],-1)-1),"")</f>
        <v>55815</v>
      </c>
      <c r="Y1017" s="10" t="str">
        <f ca="1">IF(reading[[#This Row],[Next]]&lt;&gt;"",IF(reading[[#This Row],[Next]]&gt;TODAY(),"OK",""),"")</f>
        <v>OK</v>
      </c>
      <c r="Z1017" s="13">
        <v>3</v>
      </c>
      <c r="AA1017" s="13">
        <v>3</v>
      </c>
      <c r="AB1017" s="13">
        <v>3</v>
      </c>
      <c r="AC1017" s="13">
        <v>3</v>
      </c>
      <c r="AD1017" s="13">
        <v>3</v>
      </c>
      <c r="AE1017" s="13">
        <v>3</v>
      </c>
      <c r="AF1017" s="13">
        <v>2</v>
      </c>
      <c r="AG1017" s="16">
        <f>IFERROR(SUMIF(reading[[#This Row],[1st]:[7th]],"&gt;0")/COUNTIF(reading[[#This Row],[1st]:[7th]],"&gt;0"),"")</f>
        <v>2.8571428571428572</v>
      </c>
    </row>
    <row r="1018" spans="1:33" hidden="1" x14ac:dyDescent="0.2">
      <c r="A1018" s="4">
        <f>IF(B1018=1,3,IF(D1018=1,2,IF(F1018=1,1,0)))</f>
        <v>0</v>
      </c>
      <c r="B1018" s="4" t="str">
        <f>IF(C1018=$L1018,1,IF(C1018="","",0))</f>
        <v/>
      </c>
      <c r="C1018" s="42"/>
      <c r="D1018" s="4" t="str">
        <f>IF(E1018=$L1018,1,IF(E1018="","",0))</f>
        <v/>
      </c>
      <c r="E1018" s="43"/>
      <c r="F1018" s="4" t="str">
        <f>IF(G1018=$L1018,1,IF(G1018="","",0))</f>
        <v/>
      </c>
      <c r="G1018" s="23"/>
      <c r="H1018" s="6">
        <v>2092</v>
      </c>
      <c r="I1018" s="15" t="s">
        <v>3120</v>
      </c>
      <c r="J1018" s="6" t="s">
        <v>5183</v>
      </c>
      <c r="K1018" s="6"/>
      <c r="L1018" s="6" t="s">
        <v>2163</v>
      </c>
      <c r="M1018" s="6" t="s">
        <v>8198</v>
      </c>
      <c r="N1018" s="7">
        <f ca="1">RAND()</f>
        <v>0.47290145164683473</v>
      </c>
      <c r="O1018" s="8">
        <v>45214</v>
      </c>
      <c r="P1018" s="8">
        <v>45215</v>
      </c>
      <c r="Q1018" s="8">
        <v>45217</v>
      </c>
      <c r="R1018" s="8">
        <v>45221</v>
      </c>
      <c r="S1018" s="8">
        <v>45228</v>
      </c>
      <c r="T1018" s="8">
        <v>45252</v>
      </c>
      <c r="U1018" s="8">
        <v>45820</v>
      </c>
      <c r="V1018" s="10">
        <f>COUNTA(O1018:U1018)</f>
        <v>7</v>
      </c>
      <c r="W1018" s="11">
        <f>_xlfn.IFNA(INDEX(reading[[#This Row],[Memo 01]:[Memo 07]],MATCH(0,reading[[#This Row],[Memo 01]:[Memo 07]],-1)),"")</f>
        <v>45820</v>
      </c>
      <c r="X1018" s="11">
        <f ca="1">IFERROR(reading[[#This Row],[Previous]]+OFFSET(reading[[#Headers],[Memo 01]],-1,MATCH(0,reading[[#This Row],[Memo 01]:[Memo 07]],-1)-1),"")</f>
        <v>55820</v>
      </c>
      <c r="Y1018" s="10" t="str">
        <f ca="1">IF(reading[[#This Row],[Next]]&lt;&gt;"",IF(reading[[#This Row],[Next]]&gt;TODAY(),"OK",""),"")</f>
        <v>OK</v>
      </c>
      <c r="Z1018" s="13">
        <v>3</v>
      </c>
      <c r="AA1018" s="13">
        <v>2</v>
      </c>
      <c r="AB1018" s="13">
        <v>3</v>
      </c>
      <c r="AC1018" s="13">
        <v>3</v>
      </c>
      <c r="AD1018" s="13">
        <v>2</v>
      </c>
      <c r="AE1018" s="13">
        <v>2</v>
      </c>
      <c r="AF1018" s="13">
        <v>2</v>
      </c>
      <c r="AG1018" s="16">
        <f>IFERROR(SUMIF(reading[[#This Row],[1st]:[7th]],"&gt;0")/COUNTIF(reading[[#This Row],[1st]:[7th]],"&gt;0"),"")</f>
        <v>2.4285714285714284</v>
      </c>
    </row>
    <row r="1019" spans="1:33" hidden="1" x14ac:dyDescent="0.2">
      <c r="A1019" s="4">
        <f>IF(B1019=1,3,IF(D1019=1,2,IF(F1019=1,1,0)))</f>
        <v>0</v>
      </c>
      <c r="B1019" s="4" t="str">
        <f>IF(C1019=$L1019,1,IF(C1019="","",0))</f>
        <v/>
      </c>
      <c r="C1019" s="42"/>
      <c r="D1019" s="4" t="str">
        <f>IF(E1019=$L1019,1,IF(E1019="","",0))</f>
        <v/>
      </c>
      <c r="E1019" s="18"/>
      <c r="F1019" s="4" t="str">
        <f>IF(G1019=$L1019,1,IF(G1019="","",0))</f>
        <v/>
      </c>
      <c r="G1019" s="14"/>
      <c r="H1019" s="6">
        <v>309</v>
      </c>
      <c r="I1019" s="15" t="s">
        <v>3120</v>
      </c>
      <c r="J1019" s="6" t="s">
        <v>3457</v>
      </c>
      <c r="K1019" s="6"/>
      <c r="L1019" s="6" t="s">
        <v>444</v>
      </c>
      <c r="M1019" s="6" t="s">
        <v>6418</v>
      </c>
      <c r="N1019" s="7">
        <f ca="1">RAND()</f>
        <v>0.27006503169277341</v>
      </c>
      <c r="O1019" s="8">
        <v>45200</v>
      </c>
      <c r="P1019" s="8">
        <v>45202</v>
      </c>
      <c r="Q1019" s="8">
        <v>45204</v>
      </c>
      <c r="R1019" s="8">
        <v>45208</v>
      </c>
      <c r="S1019" s="8">
        <v>45215</v>
      </c>
      <c r="T1019" s="8">
        <v>45227</v>
      </c>
      <c r="U1019" s="8">
        <v>45801</v>
      </c>
      <c r="V1019" s="10">
        <f>COUNTA(O1019:U1019)</f>
        <v>7</v>
      </c>
      <c r="W1019" s="11">
        <f>_xlfn.IFNA(INDEX(reading[[#This Row],[Memo 01]:[Memo 07]],MATCH(0,reading[[#This Row],[Memo 01]:[Memo 07]],-1)),"")</f>
        <v>45801</v>
      </c>
      <c r="X1019" s="11">
        <f ca="1">IFERROR(reading[[#This Row],[Previous]]+OFFSET(reading[[#Headers],[Memo 01]],-1,MATCH(0,reading[[#This Row],[Memo 01]:[Memo 07]],-1)-1),"")</f>
        <v>55801</v>
      </c>
      <c r="Y1019" s="10" t="str">
        <f ca="1">IF(reading[[#This Row],[Next]]&lt;&gt;"",IF(reading[[#This Row],[Next]]&gt;TODAY(),"OK",""),"")</f>
        <v>OK</v>
      </c>
      <c r="Z1019" s="13">
        <v>3</v>
      </c>
      <c r="AA1019" s="13">
        <v>2</v>
      </c>
      <c r="AB1019" s="13">
        <v>3</v>
      </c>
      <c r="AC1019" s="13">
        <v>3</v>
      </c>
      <c r="AD1019" s="13">
        <v>3</v>
      </c>
      <c r="AE1019" s="13">
        <v>3</v>
      </c>
      <c r="AF1019" s="13">
        <v>3</v>
      </c>
      <c r="AG1019" s="16">
        <f>IFERROR(SUMIF(reading[[#This Row],[1st]:[7th]],"&gt;0")/COUNTIF(reading[[#This Row],[1st]:[7th]],"&gt;0"),"")</f>
        <v>2.8571428571428572</v>
      </c>
    </row>
    <row r="1020" spans="1:33" hidden="1" x14ac:dyDescent="0.2">
      <c r="A1020" s="4">
        <f>IF(B1020=1,3,IF(D1020=1,2,IF(F1020=1,1,0)))</f>
        <v>0</v>
      </c>
      <c r="B1020" s="4" t="str">
        <f>IF(C1020=$L1020,1,IF(C1020="","",0))</f>
        <v/>
      </c>
      <c r="C1020" s="42"/>
      <c r="D1020" s="4" t="str">
        <f>IF(E1020=$L1020,1,IF(E1020="","",0))</f>
        <v/>
      </c>
      <c r="E1020" s="23"/>
      <c r="F1020" s="4" t="str">
        <f>IF(G1020=$L1020,1,IF(G1020="","",0))</f>
        <v/>
      </c>
      <c r="G1020" s="14"/>
      <c r="H1020" s="6">
        <v>2755</v>
      </c>
      <c r="I1020" s="15" t="s">
        <v>3120</v>
      </c>
      <c r="J1020" s="6" t="s">
        <v>4716</v>
      </c>
      <c r="K1020" s="15" t="s">
        <v>3138</v>
      </c>
      <c r="L1020" s="6" t="s">
        <v>2793</v>
      </c>
      <c r="M1020" s="6" t="s">
        <v>8859</v>
      </c>
      <c r="N1020" s="7">
        <f ca="1">RAND()</f>
        <v>0.73606664801165844</v>
      </c>
      <c r="O1020" s="8">
        <v>45221</v>
      </c>
      <c r="P1020" s="8">
        <v>45222</v>
      </c>
      <c r="Q1020" s="8">
        <v>45224</v>
      </c>
      <c r="R1020" s="8">
        <v>45228</v>
      </c>
      <c r="S1020" s="8">
        <v>45235</v>
      </c>
      <c r="T1020" s="8">
        <v>45815</v>
      </c>
      <c r="U1020" s="8"/>
      <c r="V1020" s="10">
        <f>COUNTA(O1020:U1020)</f>
        <v>6</v>
      </c>
      <c r="W1020" s="11">
        <f>_xlfn.IFNA(INDEX(reading[[#This Row],[Memo 01]:[Memo 07]],MATCH(0,reading[[#This Row],[Memo 01]:[Memo 07]],-1)),"")</f>
        <v>45815</v>
      </c>
      <c r="X1020" s="11">
        <f ca="1">IFERROR(reading[[#This Row],[Previous]]+OFFSET(reading[[#Headers],[Memo 01]],-1,MATCH(0,reading[[#This Row],[Memo 01]:[Memo 07]],-1)-1),"")</f>
        <v>45835</v>
      </c>
      <c r="Y1020" s="10" t="str">
        <f ca="1">IF(reading[[#This Row],[Next]]&lt;&gt;"",IF(reading[[#This Row],[Next]]&gt;TODAY(),"OK",""),"")</f>
        <v>OK</v>
      </c>
      <c r="Z1020" s="13">
        <v>3</v>
      </c>
      <c r="AA1020" s="13">
        <v>3</v>
      </c>
      <c r="AB1020" s="13">
        <v>3</v>
      </c>
      <c r="AC1020" s="13">
        <v>2</v>
      </c>
      <c r="AD1020" s="13">
        <v>3</v>
      </c>
      <c r="AE1020" s="13">
        <v>2</v>
      </c>
      <c r="AF1020" s="13"/>
      <c r="AG1020" s="16">
        <f>IFERROR(SUMIF(reading[[#This Row],[1st]:[7th]],"&gt;0")/COUNTIF(reading[[#This Row],[1st]:[7th]],"&gt;0"),"")</f>
        <v>2.6666666666666665</v>
      </c>
    </row>
    <row r="1021" spans="1:33" hidden="1" x14ac:dyDescent="0.2">
      <c r="A1021" s="4">
        <f>IF(B1021=1,3,IF(D1021=1,2,IF(F1021=1,1,0)))</f>
        <v>0</v>
      </c>
      <c r="B1021" s="4" t="str">
        <f>IF(C1021=$L1021,1,IF(C1021="","",0))</f>
        <v/>
      </c>
      <c r="C1021" s="42"/>
      <c r="D1021" s="4" t="str">
        <f>IF(E1021=$L1021,1,IF(E1021="","",0))</f>
        <v/>
      </c>
      <c r="E1021" s="14"/>
      <c r="F1021" s="4" t="str">
        <f>IF(G1021=$L1021,1,IF(G1021="","",0))</f>
        <v/>
      </c>
      <c r="G1021" s="14"/>
      <c r="H1021" s="6">
        <v>2387</v>
      </c>
      <c r="I1021" s="15" t="s">
        <v>3120</v>
      </c>
      <c r="J1021" s="6" t="s">
        <v>5460</v>
      </c>
      <c r="K1021" s="6"/>
      <c r="L1021" s="6" t="s">
        <v>2438</v>
      </c>
      <c r="M1021" s="6" t="s">
        <v>8492</v>
      </c>
      <c r="N1021" s="7">
        <f ca="1">RAND()</f>
        <v>0.24086832685732362</v>
      </c>
      <c r="O1021" s="8">
        <v>45217</v>
      </c>
      <c r="P1021" s="8">
        <v>45218</v>
      </c>
      <c r="Q1021" s="8">
        <v>45220</v>
      </c>
      <c r="R1021" s="8">
        <v>45224</v>
      </c>
      <c r="S1021" s="8">
        <v>45231</v>
      </c>
      <c r="T1021" s="8">
        <v>45783</v>
      </c>
      <c r="U1021" s="8">
        <v>45819</v>
      </c>
      <c r="V1021" s="10">
        <f>COUNTA(O1021:U1021)</f>
        <v>7</v>
      </c>
      <c r="W1021" s="11">
        <f>_xlfn.IFNA(INDEX(reading[[#This Row],[Memo 01]:[Memo 07]],MATCH(0,reading[[#This Row],[Memo 01]:[Memo 07]],-1)),"")</f>
        <v>45819</v>
      </c>
      <c r="X1021" s="11">
        <f ca="1">IFERROR(reading[[#This Row],[Previous]]+OFFSET(reading[[#Headers],[Memo 01]],-1,MATCH(0,reading[[#This Row],[Memo 01]:[Memo 07]],-1)-1),"")</f>
        <v>55819</v>
      </c>
      <c r="Y1021" s="10" t="str">
        <f ca="1">IF(reading[[#This Row],[Next]]&lt;&gt;"",IF(reading[[#This Row],[Next]]&gt;TODAY(),"OK",""),"")</f>
        <v>OK</v>
      </c>
      <c r="Z1021" s="13">
        <v>3</v>
      </c>
      <c r="AA1021" s="13">
        <v>3</v>
      </c>
      <c r="AB1021" s="13">
        <v>3</v>
      </c>
      <c r="AC1021" s="13">
        <v>3</v>
      </c>
      <c r="AD1021" s="13">
        <v>3</v>
      </c>
      <c r="AE1021" s="13">
        <v>3</v>
      </c>
      <c r="AF1021" s="13">
        <v>3</v>
      </c>
      <c r="AG1021" s="16">
        <f>IFERROR(SUMIF(reading[[#This Row],[1st]:[7th]],"&gt;0")/COUNTIF(reading[[#This Row],[1st]:[7th]],"&gt;0"),"")</f>
        <v>3</v>
      </c>
    </row>
    <row r="1022" spans="1:33" hidden="1" x14ac:dyDescent="0.2">
      <c r="A1022" s="4">
        <f>IF(B1022=1,3,IF(D1022=1,2,IF(F1022=1,1,0)))</f>
        <v>0</v>
      </c>
      <c r="B1022" s="4" t="str">
        <f>IF(C1022=$L1022,1,IF(C1022="","",0))</f>
        <v/>
      </c>
      <c r="C1022" s="42"/>
      <c r="D1022" s="4" t="str">
        <f>IF(E1022=$L1022,1,IF(E1022="","",0))</f>
        <v/>
      </c>
      <c r="E1022" s="14"/>
      <c r="F1022" s="4" t="str">
        <f>IF(G1022=$L1022,1,IF(G1022="","",0))</f>
        <v/>
      </c>
      <c r="G1022" s="14"/>
      <c r="H1022" s="6">
        <v>1474</v>
      </c>
      <c r="I1022" s="15" t="s">
        <v>3120</v>
      </c>
      <c r="J1022" s="6" t="s">
        <v>4588</v>
      </c>
      <c r="K1022" s="6"/>
      <c r="L1022" s="6" t="s">
        <v>1561</v>
      </c>
      <c r="M1022" s="6" t="s">
        <v>7581</v>
      </c>
      <c r="N1022" s="7">
        <f ca="1">RAND()</f>
        <v>0.42005614337630037</v>
      </c>
      <c r="O1022" s="8">
        <v>45208</v>
      </c>
      <c r="P1022" s="8">
        <v>45209</v>
      </c>
      <c r="Q1022" s="8">
        <v>45211</v>
      </c>
      <c r="R1022" s="8">
        <v>45215</v>
      </c>
      <c r="S1022" s="8">
        <v>45222</v>
      </c>
      <c r="T1022" s="8">
        <v>45234</v>
      </c>
      <c r="U1022" s="8">
        <v>45801</v>
      </c>
      <c r="V1022" s="10">
        <f>COUNTA(O1022:U1022)</f>
        <v>7</v>
      </c>
      <c r="W1022" s="11">
        <f>_xlfn.IFNA(INDEX(reading[[#This Row],[Memo 01]:[Memo 07]],MATCH(0,reading[[#This Row],[Memo 01]:[Memo 07]],-1)),"")</f>
        <v>45801</v>
      </c>
      <c r="X1022" s="11">
        <f ca="1">IFERROR(reading[[#This Row],[Previous]]+OFFSET(reading[[#Headers],[Memo 01]],-1,MATCH(0,reading[[#This Row],[Memo 01]:[Memo 07]],-1)-1),"")</f>
        <v>55801</v>
      </c>
      <c r="Y1022" s="10" t="str">
        <f ca="1">IF(reading[[#This Row],[Next]]&lt;&gt;"",IF(reading[[#This Row],[Next]]&gt;TODAY(),"OK",""),"")</f>
        <v>OK</v>
      </c>
      <c r="Z1022" s="13">
        <v>3</v>
      </c>
      <c r="AA1022" s="13">
        <v>3</v>
      </c>
      <c r="AB1022" s="13">
        <v>3</v>
      </c>
      <c r="AC1022" s="13">
        <v>3</v>
      </c>
      <c r="AD1022" s="13">
        <v>3</v>
      </c>
      <c r="AE1022" s="13">
        <v>3</v>
      </c>
      <c r="AF1022" s="13">
        <v>3</v>
      </c>
      <c r="AG1022" s="16">
        <f>IFERROR(SUMIF(reading[[#This Row],[1st]:[7th]],"&gt;0")/COUNTIF(reading[[#This Row],[1st]:[7th]],"&gt;0"),"")</f>
        <v>3</v>
      </c>
    </row>
    <row r="1023" spans="1:33" hidden="1" x14ac:dyDescent="0.2">
      <c r="A1023" s="4">
        <f>IF(B1023=1,3,IF(D1023=1,2,IF(F1023=1,1,0)))</f>
        <v>0</v>
      </c>
      <c r="B1023" s="4" t="str">
        <f>IF(C1023=$L1023,1,IF(C1023="","",0))</f>
        <v/>
      </c>
      <c r="C1023" s="42"/>
      <c r="D1023" s="4" t="str">
        <f>IF(E1023=$L1023,1,IF(E1023="","",0))</f>
        <v/>
      </c>
      <c r="E1023" s="23"/>
      <c r="F1023" s="4" t="str">
        <f>IF(G1023=$L1023,1,IF(G1023="","",0))</f>
        <v/>
      </c>
      <c r="G1023" s="14"/>
      <c r="H1023" s="6">
        <v>2940</v>
      </c>
      <c r="I1023" s="15" t="s">
        <v>3120</v>
      </c>
      <c r="J1023" s="6" t="s">
        <v>5974</v>
      </c>
      <c r="K1023" s="6"/>
      <c r="L1023" s="6" t="s">
        <v>2970</v>
      </c>
      <c r="M1023" s="6" t="s">
        <v>9044</v>
      </c>
      <c r="N1023" s="7">
        <f ca="1">RAND()</f>
        <v>0.61196611227134068</v>
      </c>
      <c r="O1023" s="8">
        <v>45223</v>
      </c>
      <c r="P1023" s="8">
        <v>45224</v>
      </c>
      <c r="Q1023" s="8">
        <v>45226</v>
      </c>
      <c r="R1023" s="8">
        <v>45230</v>
      </c>
      <c r="S1023" s="8">
        <v>45237</v>
      </c>
      <c r="T1023" s="8">
        <v>45815</v>
      </c>
      <c r="U1023" s="8"/>
      <c r="V1023" s="10">
        <f>COUNTA(O1023:U1023)</f>
        <v>6</v>
      </c>
      <c r="W1023" s="11">
        <f>_xlfn.IFNA(INDEX(reading[[#This Row],[Memo 01]:[Memo 07]],MATCH(0,reading[[#This Row],[Memo 01]:[Memo 07]],-1)),"")</f>
        <v>45815</v>
      </c>
      <c r="X1023" s="11">
        <f ca="1">IFERROR(reading[[#This Row],[Previous]]+OFFSET(reading[[#Headers],[Memo 01]],-1,MATCH(0,reading[[#This Row],[Memo 01]:[Memo 07]],-1)-1),"")</f>
        <v>45835</v>
      </c>
      <c r="Y1023" s="10" t="str">
        <f ca="1">IF(reading[[#This Row],[Next]]&lt;&gt;"",IF(reading[[#This Row],[Next]]&gt;TODAY(),"OK",""),"")</f>
        <v>OK</v>
      </c>
      <c r="Z1023" s="13">
        <v>3</v>
      </c>
      <c r="AA1023" s="13">
        <v>3</v>
      </c>
      <c r="AB1023" s="13">
        <v>3</v>
      </c>
      <c r="AC1023" s="13">
        <v>3</v>
      </c>
      <c r="AD1023" s="13">
        <v>3</v>
      </c>
      <c r="AE1023" s="13">
        <v>2</v>
      </c>
      <c r="AF1023" s="13"/>
      <c r="AG1023" s="16">
        <f>IFERROR(SUMIF(reading[[#This Row],[1st]:[7th]],"&gt;0")/COUNTIF(reading[[#This Row],[1st]:[7th]],"&gt;0"),"")</f>
        <v>2.8333333333333335</v>
      </c>
    </row>
    <row r="1024" spans="1:33" hidden="1" x14ac:dyDescent="0.2">
      <c r="A1024" s="4">
        <f>IF(B1024=1,3,IF(D1024=1,2,IF(F1024=1,1,0)))</f>
        <v>0</v>
      </c>
      <c r="B1024" s="4" t="str">
        <f>IF(C1024=$L1024,1,IF(C1024="","",0))</f>
        <v/>
      </c>
      <c r="C1024" s="42"/>
      <c r="D1024" s="4" t="str">
        <f>IF(E1024=$L1024,1,IF(E1024="","",0))</f>
        <v/>
      </c>
      <c r="E1024" s="14"/>
      <c r="F1024" s="4" t="str">
        <f>IF(G1024=$L1024,1,IF(G1024="","",0))</f>
        <v/>
      </c>
      <c r="G1024" s="14"/>
      <c r="H1024" s="6">
        <v>690</v>
      </c>
      <c r="I1024" s="15" t="s">
        <v>3120</v>
      </c>
      <c r="J1024" s="6" t="s">
        <v>3829</v>
      </c>
      <c r="K1024" s="6"/>
      <c r="L1024" s="6" t="s">
        <v>813</v>
      </c>
      <c r="M1024" s="6" t="s">
        <v>6799</v>
      </c>
      <c r="N1024" s="7">
        <f ca="1">RAND()</f>
        <v>0.4059401264500696</v>
      </c>
      <c r="O1024" s="8">
        <v>45203</v>
      </c>
      <c r="P1024" s="8">
        <v>45204</v>
      </c>
      <c r="Q1024" s="8">
        <v>45206</v>
      </c>
      <c r="R1024" s="8">
        <v>45210</v>
      </c>
      <c r="S1024" s="8">
        <v>45217</v>
      </c>
      <c r="T1024" s="8">
        <v>45229</v>
      </c>
      <c r="U1024" s="8">
        <v>45792</v>
      </c>
      <c r="V1024" s="10">
        <f>COUNTA(O1024:U1024)</f>
        <v>7</v>
      </c>
      <c r="W1024" s="11">
        <f>_xlfn.IFNA(INDEX(reading[[#This Row],[Memo 01]:[Memo 07]],MATCH(0,reading[[#This Row],[Memo 01]:[Memo 07]],-1)),"")</f>
        <v>45792</v>
      </c>
      <c r="X1024" s="11">
        <f ca="1">IFERROR(reading[[#This Row],[Previous]]+OFFSET(reading[[#Headers],[Memo 01]],-1,MATCH(0,reading[[#This Row],[Memo 01]:[Memo 07]],-1)-1),"")</f>
        <v>55792</v>
      </c>
      <c r="Y1024" s="10" t="str">
        <f ca="1">IF(reading[[#This Row],[Next]]&lt;&gt;"",IF(reading[[#This Row],[Next]]&gt;TODAY(),"OK",""),"")</f>
        <v>OK</v>
      </c>
      <c r="Z1024" s="13">
        <v>3</v>
      </c>
      <c r="AA1024" s="13">
        <v>3</v>
      </c>
      <c r="AB1024" s="13">
        <v>3</v>
      </c>
      <c r="AC1024" s="13">
        <v>3</v>
      </c>
      <c r="AD1024" s="13">
        <v>3</v>
      </c>
      <c r="AE1024" s="13">
        <v>3</v>
      </c>
      <c r="AF1024" s="13">
        <v>3</v>
      </c>
      <c r="AG1024" s="16">
        <f>IFERROR(SUMIF(reading[[#This Row],[1st]:[7th]],"&gt;0")/COUNTIF(reading[[#This Row],[1st]:[7th]],"&gt;0"),"")</f>
        <v>3</v>
      </c>
    </row>
    <row r="1025" spans="1:33" hidden="1" x14ac:dyDescent="0.2">
      <c r="A1025" s="4">
        <f>IF(B1025=1,3,IF(D1025=1,2,IF(F1025=1,1,0)))</f>
        <v>0</v>
      </c>
      <c r="B1025" s="4" t="str">
        <f>IF(C1025=$L1025,1,IF(C1025="","",0))</f>
        <v/>
      </c>
      <c r="C1025" s="42"/>
      <c r="D1025" s="4" t="str">
        <f>IF(E1025=$L1025,1,IF(E1025="","",0))</f>
        <v/>
      </c>
      <c r="E1025" s="14"/>
      <c r="F1025" s="4" t="str">
        <f>IF(G1025=$L1025,1,IF(G1025="","",0))</f>
        <v/>
      </c>
      <c r="G1025" s="14"/>
      <c r="H1025" s="6">
        <v>1086</v>
      </c>
      <c r="I1025" s="15" t="s">
        <v>3120</v>
      </c>
      <c r="J1025" s="6" t="s">
        <v>4210</v>
      </c>
      <c r="K1025" s="6"/>
      <c r="L1025" s="6" t="s">
        <v>1193</v>
      </c>
      <c r="M1025" s="6" t="s">
        <v>7194</v>
      </c>
      <c r="N1025" s="7">
        <f ca="1">RAND()</f>
        <v>0.26030746678177885</v>
      </c>
      <c r="O1025" s="8">
        <v>45205</v>
      </c>
      <c r="P1025" s="8">
        <v>45206</v>
      </c>
      <c r="Q1025" s="8">
        <v>45208</v>
      </c>
      <c r="R1025" s="8">
        <v>45212</v>
      </c>
      <c r="S1025" s="8">
        <v>45219</v>
      </c>
      <c r="T1025" s="8">
        <v>45231</v>
      </c>
      <c r="U1025" s="8">
        <v>45792</v>
      </c>
      <c r="V1025" s="10">
        <f>COUNTA(O1025:U1025)</f>
        <v>7</v>
      </c>
      <c r="W1025" s="11">
        <f>_xlfn.IFNA(INDEX(reading[[#This Row],[Memo 01]:[Memo 07]],MATCH(0,reading[[#This Row],[Memo 01]:[Memo 07]],-1)),"")</f>
        <v>45792</v>
      </c>
      <c r="X1025" s="11">
        <f ca="1">IFERROR(reading[[#This Row],[Previous]]+OFFSET(reading[[#Headers],[Memo 01]],-1,MATCH(0,reading[[#This Row],[Memo 01]:[Memo 07]],-1)-1),"")</f>
        <v>55792</v>
      </c>
      <c r="Y1025" s="10" t="str">
        <f ca="1">IF(reading[[#This Row],[Next]]&lt;&gt;"",IF(reading[[#This Row],[Next]]&gt;TODAY(),"OK",""),"")</f>
        <v>OK</v>
      </c>
      <c r="Z1025" s="13">
        <v>3</v>
      </c>
      <c r="AA1025" s="13">
        <v>3</v>
      </c>
      <c r="AB1025" s="13">
        <v>3</v>
      </c>
      <c r="AC1025" s="13">
        <v>3</v>
      </c>
      <c r="AD1025" s="13">
        <v>3</v>
      </c>
      <c r="AE1025" s="13">
        <v>3</v>
      </c>
      <c r="AF1025" s="13">
        <v>3</v>
      </c>
      <c r="AG1025" s="16">
        <f>IFERROR(SUMIF(reading[[#This Row],[1st]:[7th]],"&gt;0")/COUNTIF(reading[[#This Row],[1st]:[7th]],"&gt;0"),"")</f>
        <v>3</v>
      </c>
    </row>
    <row r="1026" spans="1:33" hidden="1" x14ac:dyDescent="0.2">
      <c r="A1026" s="4">
        <f>IF(B1026=1,3,IF(D1026=1,2,IF(F1026=1,1,0)))</f>
        <v>3</v>
      </c>
      <c r="B1026" s="4">
        <f>IF(C1026=$L1026,1,IF(C1026="","",0))</f>
        <v>1</v>
      </c>
      <c r="C1026" s="25" t="s">
        <v>3128</v>
      </c>
      <c r="D1026" s="4" t="str">
        <f>IF(E1026=$L1026,1,IF(E1026="","",0))</f>
        <v/>
      </c>
      <c r="E1026" s="14"/>
      <c r="F1026" s="4" t="str">
        <f>IF(G1026=$L1026,1,IF(G1026="","",0))</f>
        <v/>
      </c>
      <c r="G1026" s="14"/>
      <c r="H1026" s="6">
        <v>1030</v>
      </c>
      <c r="I1026" s="15" t="s">
        <v>3120</v>
      </c>
      <c r="J1026" s="6" t="s">
        <v>4157</v>
      </c>
      <c r="K1026" s="6"/>
      <c r="L1026" s="6" t="s">
        <v>1139</v>
      </c>
      <c r="M1026" s="6" t="s">
        <v>7138</v>
      </c>
      <c r="N1026" s="7">
        <f ca="1">RAND()</f>
        <v>0.76984071398197895</v>
      </c>
      <c r="O1026" s="8">
        <v>45205</v>
      </c>
      <c r="P1026" s="8">
        <v>45205</v>
      </c>
      <c r="Q1026" s="8">
        <v>45205</v>
      </c>
      <c r="R1026" s="8">
        <v>45205</v>
      </c>
      <c r="S1026" s="8">
        <v>45205</v>
      </c>
      <c r="T1026" s="8">
        <v>45205</v>
      </c>
      <c r="U1026" s="8">
        <v>45205</v>
      </c>
      <c r="V1026" s="10">
        <f>COUNTA(O1026:U1026)</f>
        <v>7</v>
      </c>
      <c r="W1026" s="11">
        <f>_xlfn.IFNA(INDEX(reading[[#This Row],[Memo 01]:[Memo 07]],MATCH(0,reading[[#This Row],[Memo 01]:[Memo 07]],-1)),"")</f>
        <v>45205</v>
      </c>
      <c r="X1026" s="11">
        <f ca="1">IFERROR(reading[[#This Row],[Previous]]+OFFSET(reading[[#Headers],[Memo 01]],-1,MATCH(0,reading[[#This Row],[Memo 01]:[Memo 07]],-1)-1),"")</f>
        <v>55205</v>
      </c>
      <c r="Y1026" s="10" t="str">
        <f ca="1">IF(reading[[#This Row],[Next]]&lt;&gt;"",IF(reading[[#This Row],[Next]]&gt;TODAY(),"OK",""),"")</f>
        <v>OK</v>
      </c>
      <c r="Z1026" s="13">
        <v>3</v>
      </c>
      <c r="AA1026" s="13"/>
      <c r="AB1026" s="13"/>
      <c r="AC1026" s="13"/>
      <c r="AD1026" s="13"/>
      <c r="AE1026" s="13"/>
      <c r="AF1026" s="13"/>
      <c r="AG1026" s="16">
        <f>IFERROR(SUMIF(reading[[#This Row],[1st]:[7th]],"&gt;0")/COUNTIF(reading[[#This Row],[1st]:[7th]],"&gt;0"),"")</f>
        <v>3</v>
      </c>
    </row>
    <row r="1027" spans="1:33" hidden="1" x14ac:dyDescent="0.2">
      <c r="A1027" s="4">
        <f>IF(B1027=1,3,IF(D1027=1,2,IF(F1027=1,1,0)))</f>
        <v>3</v>
      </c>
      <c r="B1027" s="4">
        <f>IF(C1027=$L1027,1,IF(C1027="","",0))</f>
        <v>1</v>
      </c>
      <c r="C1027" s="25" t="s">
        <v>3133</v>
      </c>
      <c r="D1027" s="4" t="str">
        <f>IF(E1027=$L1027,1,IF(E1027="","",0))</f>
        <v/>
      </c>
      <c r="E1027" s="14"/>
      <c r="F1027" s="4" t="str">
        <f>IF(G1027=$L1027,1,IF(G1027="","",0))</f>
        <v/>
      </c>
      <c r="G1027" s="14"/>
      <c r="H1027" s="6">
        <v>1031</v>
      </c>
      <c r="I1027" s="15" t="s">
        <v>3120</v>
      </c>
      <c r="J1027" s="6" t="s">
        <v>4158</v>
      </c>
      <c r="K1027" s="6"/>
      <c r="L1027" s="6" t="s">
        <v>1140</v>
      </c>
      <c r="M1027" s="6" t="s">
        <v>7139</v>
      </c>
      <c r="N1027" s="7">
        <f ca="1">RAND()</f>
        <v>0.68895946689637555</v>
      </c>
      <c r="O1027" s="8">
        <v>45205</v>
      </c>
      <c r="P1027" s="8">
        <v>45205</v>
      </c>
      <c r="Q1027" s="8">
        <v>45205</v>
      </c>
      <c r="R1027" s="8">
        <v>45205</v>
      </c>
      <c r="S1027" s="8">
        <v>45205</v>
      </c>
      <c r="T1027" s="8">
        <v>45205</v>
      </c>
      <c r="U1027" s="8">
        <v>45205</v>
      </c>
      <c r="V1027" s="10">
        <f>COUNTA(O1027:U1027)</f>
        <v>7</v>
      </c>
      <c r="W1027" s="11">
        <f>_xlfn.IFNA(INDEX(reading[[#This Row],[Memo 01]:[Memo 07]],MATCH(0,reading[[#This Row],[Memo 01]:[Memo 07]],-1)),"")</f>
        <v>45205</v>
      </c>
      <c r="X1027" s="11">
        <f ca="1">IFERROR(reading[[#This Row],[Previous]]+OFFSET(reading[[#Headers],[Memo 01]],-1,MATCH(0,reading[[#This Row],[Memo 01]:[Memo 07]],-1)-1),"")</f>
        <v>55205</v>
      </c>
      <c r="Y1027" s="10" t="str">
        <f ca="1">IF(reading[[#This Row],[Next]]&lt;&gt;"",IF(reading[[#This Row],[Next]]&gt;TODAY(),"OK",""),"")</f>
        <v>OK</v>
      </c>
      <c r="Z1027" s="13">
        <v>3</v>
      </c>
      <c r="AA1027" s="13"/>
      <c r="AB1027" s="13"/>
      <c r="AC1027" s="13"/>
      <c r="AD1027" s="13"/>
      <c r="AE1027" s="13"/>
      <c r="AF1027" s="13"/>
      <c r="AG1027" s="16">
        <f>IFERROR(SUMIF(reading[[#This Row],[1st]:[7th]],"&gt;0")/COUNTIF(reading[[#This Row],[1st]:[7th]],"&gt;0"),"")</f>
        <v>3</v>
      </c>
    </row>
    <row r="1028" spans="1:33" hidden="1" x14ac:dyDescent="0.2">
      <c r="A1028" s="4">
        <f>IF(B1028=1,3,IF(D1028=1,2,IF(F1028=1,1,0)))</f>
        <v>0</v>
      </c>
      <c r="B1028" s="4" t="str">
        <f>IF(C1028=$L1028,1,IF(C1028="","",0))</f>
        <v/>
      </c>
      <c r="C1028" s="42"/>
      <c r="D1028" s="4" t="str">
        <f>IF(E1028=$L1028,1,IF(E1028="","",0))</f>
        <v/>
      </c>
      <c r="E1028" s="14"/>
      <c r="F1028" s="4" t="str">
        <f>IF(G1028=$L1028,1,IF(G1028="","",0))</f>
        <v/>
      </c>
      <c r="G1028" s="14"/>
      <c r="H1028" s="6">
        <v>474</v>
      </c>
      <c r="I1028" s="15" t="s">
        <v>3120</v>
      </c>
      <c r="J1028" s="6" t="s">
        <v>3620</v>
      </c>
      <c r="K1028" s="6" t="s">
        <v>3139</v>
      </c>
      <c r="L1028" s="6" t="s">
        <v>603</v>
      </c>
      <c r="M1028" s="6" t="s">
        <v>6583</v>
      </c>
      <c r="N1028" s="7">
        <f ca="1">RAND()</f>
        <v>0.90976121170688329</v>
      </c>
      <c r="O1028" s="8">
        <v>45202</v>
      </c>
      <c r="P1028" s="8">
        <v>45203</v>
      </c>
      <c r="Q1028" s="8">
        <v>45205</v>
      </c>
      <c r="R1028" s="8">
        <v>45209</v>
      </c>
      <c r="S1028" s="8">
        <v>45216</v>
      </c>
      <c r="T1028" s="8">
        <v>45228</v>
      </c>
      <c r="U1028" s="8">
        <v>45792</v>
      </c>
      <c r="V1028" s="10">
        <f>COUNTA(O1028:U1028)</f>
        <v>7</v>
      </c>
      <c r="W1028" s="11">
        <f>_xlfn.IFNA(INDEX(reading[[#This Row],[Memo 01]:[Memo 07]],MATCH(0,reading[[#This Row],[Memo 01]:[Memo 07]],-1)),"")</f>
        <v>45792</v>
      </c>
      <c r="X1028" s="11">
        <f ca="1">IFERROR(reading[[#This Row],[Previous]]+OFFSET(reading[[#Headers],[Memo 01]],-1,MATCH(0,reading[[#This Row],[Memo 01]:[Memo 07]],-1)-1),"")</f>
        <v>55792</v>
      </c>
      <c r="Y1028" s="10" t="str">
        <f ca="1">IF(reading[[#This Row],[Next]]&lt;&gt;"",IF(reading[[#This Row],[Next]]&gt;TODAY(),"OK",""),"")</f>
        <v>OK</v>
      </c>
      <c r="Z1028" s="13">
        <v>3</v>
      </c>
      <c r="AA1028" s="13">
        <v>2</v>
      </c>
      <c r="AB1028" s="13">
        <v>3</v>
      </c>
      <c r="AC1028" s="13">
        <v>3</v>
      </c>
      <c r="AD1028" s="13">
        <v>3</v>
      </c>
      <c r="AE1028" s="13">
        <v>2</v>
      </c>
      <c r="AF1028" s="13">
        <v>3</v>
      </c>
      <c r="AG1028" s="16">
        <f>IFERROR(SUMIF(reading[[#This Row],[1st]:[7th]],"&gt;0")/COUNTIF(reading[[#This Row],[1st]:[7th]],"&gt;0"),"")</f>
        <v>2.7142857142857144</v>
      </c>
    </row>
    <row r="1029" spans="1:33" hidden="1" x14ac:dyDescent="0.2">
      <c r="A1029" s="4">
        <f>IF(B1029=1,3,IF(D1029=1,2,IF(F1029=1,1,0)))</f>
        <v>0</v>
      </c>
      <c r="B1029" s="4" t="str">
        <f>IF(C1029=$L1029,1,IF(C1029="","",0))</f>
        <v/>
      </c>
      <c r="C1029" s="42"/>
      <c r="D1029" s="4" t="str">
        <f>IF(E1029=$L1029,1,IF(E1029="","",0))</f>
        <v/>
      </c>
      <c r="E1029" s="14"/>
      <c r="F1029" s="4" t="str">
        <f>IF(G1029=$L1029,1,IF(G1029="","",0))</f>
        <v/>
      </c>
      <c r="G1029" s="14"/>
      <c r="H1029" s="6">
        <v>1089</v>
      </c>
      <c r="I1029" s="15" t="s">
        <v>3120</v>
      </c>
      <c r="J1029" s="6" t="s">
        <v>4213</v>
      </c>
      <c r="K1029" s="6"/>
      <c r="L1029" s="6" t="s">
        <v>1195</v>
      </c>
      <c r="M1029" s="6" t="s">
        <v>7197</v>
      </c>
      <c r="N1029" s="7">
        <f ca="1">RAND()</f>
        <v>3.9648995025121869E-2</v>
      </c>
      <c r="O1029" s="8">
        <v>45205</v>
      </c>
      <c r="P1029" s="8">
        <v>45206</v>
      </c>
      <c r="Q1029" s="8">
        <v>45208</v>
      </c>
      <c r="R1029" s="8">
        <v>45212</v>
      </c>
      <c r="S1029" s="8">
        <v>45219</v>
      </c>
      <c r="T1029" s="8">
        <v>45231</v>
      </c>
      <c r="U1029" s="8">
        <v>45801</v>
      </c>
      <c r="V1029" s="10">
        <f>COUNTA(O1029:U1029)</f>
        <v>7</v>
      </c>
      <c r="W1029" s="11">
        <f>_xlfn.IFNA(INDEX(reading[[#This Row],[Memo 01]:[Memo 07]],MATCH(0,reading[[#This Row],[Memo 01]:[Memo 07]],-1)),"")</f>
        <v>45801</v>
      </c>
      <c r="X1029" s="11">
        <f ca="1">IFERROR(reading[[#This Row],[Previous]]+OFFSET(reading[[#Headers],[Memo 01]],-1,MATCH(0,reading[[#This Row],[Memo 01]:[Memo 07]],-1)-1),"")</f>
        <v>55801</v>
      </c>
      <c r="Y1029" s="10" t="str">
        <f ca="1">IF(reading[[#This Row],[Next]]&lt;&gt;"",IF(reading[[#This Row],[Next]]&gt;TODAY(),"OK",""),"")</f>
        <v>OK</v>
      </c>
      <c r="Z1029" s="13">
        <v>3</v>
      </c>
      <c r="AA1029" s="13">
        <v>3</v>
      </c>
      <c r="AB1029" s="13">
        <v>3</v>
      </c>
      <c r="AC1029" s="13">
        <v>3</v>
      </c>
      <c r="AD1029" s="13">
        <v>3</v>
      </c>
      <c r="AE1029" s="13">
        <v>3</v>
      </c>
      <c r="AF1029" s="13">
        <v>3</v>
      </c>
      <c r="AG1029" s="16">
        <f>IFERROR(SUMIF(reading[[#This Row],[1st]:[7th]],"&gt;0")/COUNTIF(reading[[#This Row],[1st]:[7th]],"&gt;0"),"")</f>
        <v>3</v>
      </c>
    </row>
    <row r="1030" spans="1:33" hidden="1" x14ac:dyDescent="0.2">
      <c r="A1030" s="4">
        <f>IF(B1030=1,3,IF(D1030=1,2,IF(F1030=1,1,0)))</f>
        <v>0</v>
      </c>
      <c r="B1030" s="4" t="str">
        <f>IF(C1030=$L1030,1,IF(C1030="","",0))</f>
        <v/>
      </c>
      <c r="C1030" s="42"/>
      <c r="D1030" s="4" t="str">
        <f>IF(E1030=$L1030,1,IF(E1030="","",0))</f>
        <v/>
      </c>
      <c r="E1030" s="18"/>
      <c r="F1030" s="4" t="str">
        <f>IF(G1030=$L1030,1,IF(G1030="","",0))</f>
        <v/>
      </c>
      <c r="G1030" s="14"/>
      <c r="H1030" s="6">
        <v>1550</v>
      </c>
      <c r="I1030" s="15" t="s">
        <v>3120</v>
      </c>
      <c r="J1030" s="6" t="s">
        <v>4663</v>
      </c>
      <c r="K1030" s="6"/>
      <c r="L1030" s="6" t="s">
        <v>1635</v>
      </c>
      <c r="M1030" s="6" t="s">
        <v>7657</v>
      </c>
      <c r="N1030" s="7">
        <f ca="1">RAND()</f>
        <v>0.68024064196705447</v>
      </c>
      <c r="O1030" s="8">
        <v>45209</v>
      </c>
      <c r="P1030" s="8">
        <v>45210</v>
      </c>
      <c r="Q1030" s="8">
        <v>45213</v>
      </c>
      <c r="R1030" s="8">
        <v>45217</v>
      </c>
      <c r="S1030" s="8">
        <v>45224</v>
      </c>
      <c r="T1030" s="8">
        <v>45236</v>
      </c>
      <c r="U1030" s="8">
        <v>45792</v>
      </c>
      <c r="V1030" s="10">
        <f>COUNTA(O1030:U1030)</f>
        <v>7</v>
      </c>
      <c r="W1030" s="11">
        <f>_xlfn.IFNA(INDEX(reading[[#This Row],[Memo 01]:[Memo 07]],MATCH(0,reading[[#This Row],[Memo 01]:[Memo 07]],-1)),"")</f>
        <v>45792</v>
      </c>
      <c r="X1030" s="11">
        <f ca="1">IFERROR(reading[[#This Row],[Previous]]+OFFSET(reading[[#Headers],[Memo 01]],-1,MATCH(0,reading[[#This Row],[Memo 01]:[Memo 07]],-1)-1),"")</f>
        <v>55792</v>
      </c>
      <c r="Y1030" s="10" t="str">
        <f ca="1">IF(reading[[#This Row],[Next]]&lt;&gt;"",IF(reading[[#This Row],[Next]]&gt;TODAY(),"OK",""),"")</f>
        <v>OK</v>
      </c>
      <c r="Z1030" s="13">
        <v>3</v>
      </c>
      <c r="AA1030" s="13">
        <v>3</v>
      </c>
      <c r="AB1030" s="13">
        <v>2</v>
      </c>
      <c r="AC1030" s="13">
        <v>2</v>
      </c>
      <c r="AD1030" s="13">
        <v>2</v>
      </c>
      <c r="AE1030" s="13">
        <v>3</v>
      </c>
      <c r="AF1030" s="13">
        <v>3</v>
      </c>
      <c r="AG1030" s="16">
        <f>IFERROR(SUMIF(reading[[#This Row],[1st]:[7th]],"&gt;0")/COUNTIF(reading[[#This Row],[1st]:[7th]],"&gt;0"),"")</f>
        <v>2.5714285714285716</v>
      </c>
    </row>
    <row r="1031" spans="1:33" hidden="1" x14ac:dyDescent="0.2">
      <c r="A1031" s="4">
        <f>IF(B1031=1,3,IF(D1031=1,2,IF(F1031=1,1,0)))</f>
        <v>0</v>
      </c>
      <c r="B1031" s="4" t="str">
        <f>IF(C1031=$L1031,1,IF(C1031="","",0))</f>
        <v/>
      </c>
      <c r="C1031" s="42"/>
      <c r="D1031" s="4" t="str">
        <f>IF(E1031=$L1031,1,IF(E1031="","",0))</f>
        <v/>
      </c>
      <c r="E1031" s="14"/>
      <c r="F1031" s="4" t="str">
        <f>IF(G1031=$L1031,1,IF(G1031="","",0))</f>
        <v/>
      </c>
      <c r="G1031" s="14"/>
      <c r="H1031" s="6">
        <v>1362</v>
      </c>
      <c r="I1031" s="15" t="s">
        <v>3120</v>
      </c>
      <c r="J1031" s="6" t="s">
        <v>4476</v>
      </c>
      <c r="K1031" s="6"/>
      <c r="L1031" s="6" t="s">
        <v>1456</v>
      </c>
      <c r="M1031" s="6" t="s">
        <v>7469</v>
      </c>
      <c r="N1031" s="7">
        <f ca="1">RAND()</f>
        <v>0.22473861329955613</v>
      </c>
      <c r="O1031" s="8">
        <v>45207</v>
      </c>
      <c r="P1031" s="8">
        <v>45208</v>
      </c>
      <c r="Q1031" s="8">
        <v>45210</v>
      </c>
      <c r="R1031" s="8">
        <v>45214</v>
      </c>
      <c r="S1031" s="8">
        <v>45221</v>
      </c>
      <c r="T1031" s="8">
        <v>45233</v>
      </c>
      <c r="U1031" s="8">
        <v>45792</v>
      </c>
      <c r="V1031" s="10">
        <f>COUNTA(O1031:U1031)</f>
        <v>7</v>
      </c>
      <c r="W1031" s="11">
        <f>_xlfn.IFNA(INDEX(reading[[#This Row],[Memo 01]:[Memo 07]],MATCH(0,reading[[#This Row],[Memo 01]:[Memo 07]],-1)),"")</f>
        <v>45792</v>
      </c>
      <c r="X1031" s="11">
        <f ca="1">IFERROR(reading[[#This Row],[Previous]]+OFFSET(reading[[#Headers],[Memo 01]],-1,MATCH(0,reading[[#This Row],[Memo 01]:[Memo 07]],-1)-1),"")</f>
        <v>55792</v>
      </c>
      <c r="Y1031" s="10" t="str">
        <f ca="1">IF(reading[[#This Row],[Next]]&lt;&gt;"",IF(reading[[#This Row],[Next]]&gt;TODAY(),"OK",""),"")</f>
        <v>OK</v>
      </c>
      <c r="Z1031" s="13">
        <v>3</v>
      </c>
      <c r="AA1031" s="13">
        <v>3</v>
      </c>
      <c r="AB1031" s="13">
        <v>3</v>
      </c>
      <c r="AC1031" s="13">
        <v>3</v>
      </c>
      <c r="AD1031" s="13">
        <v>3</v>
      </c>
      <c r="AE1031" s="13">
        <v>3</v>
      </c>
      <c r="AF1031" s="13">
        <v>3</v>
      </c>
      <c r="AG1031" s="16">
        <f>IFERROR(SUMIF(reading[[#This Row],[1st]:[7th]],"&gt;0")/COUNTIF(reading[[#This Row],[1st]:[7th]],"&gt;0"),"")</f>
        <v>3</v>
      </c>
    </row>
    <row r="1032" spans="1:33" hidden="1" x14ac:dyDescent="0.2">
      <c r="A1032" s="4">
        <f>IF(B1032=1,3,IF(D1032=1,2,IF(F1032=1,1,0)))</f>
        <v>0</v>
      </c>
      <c r="B1032" s="4" t="str">
        <f>IF(C1032=$L1032,1,IF(C1032="","",0))</f>
        <v/>
      </c>
      <c r="C1032" s="42"/>
      <c r="D1032" s="4" t="str">
        <f>IF(E1032=$L1032,1,IF(E1032="","",0))</f>
        <v/>
      </c>
      <c r="E1032" s="14"/>
      <c r="F1032" s="4" t="str">
        <f>IF(G1032=$L1032,1,IF(G1032="","",0))</f>
        <v/>
      </c>
      <c r="G1032" s="14"/>
      <c r="H1032" s="6">
        <v>2958</v>
      </c>
      <c r="I1032" s="15" t="s">
        <v>3120</v>
      </c>
      <c r="J1032" s="24" t="s">
        <v>9237</v>
      </c>
      <c r="K1032" s="6"/>
      <c r="L1032" s="6" t="s">
        <v>2988</v>
      </c>
      <c r="M1032" s="6" t="s">
        <v>9062</v>
      </c>
      <c r="N1032" s="7">
        <f ca="1">RAND()</f>
        <v>0.66883345743138589</v>
      </c>
      <c r="O1032" s="8">
        <v>45223</v>
      </c>
      <c r="P1032" s="8">
        <v>45224</v>
      </c>
      <c r="Q1032" s="8">
        <v>45226</v>
      </c>
      <c r="R1032" s="8">
        <v>45230</v>
      </c>
      <c r="S1032" s="8">
        <v>45248</v>
      </c>
      <c r="T1032" s="8">
        <v>45819</v>
      </c>
      <c r="U1032" s="8"/>
      <c r="V1032" s="10">
        <f>COUNTA(O1032:U1032)</f>
        <v>6</v>
      </c>
      <c r="W1032" s="11">
        <f>_xlfn.IFNA(INDEX(reading[[#This Row],[Memo 01]:[Memo 07]],MATCH(0,reading[[#This Row],[Memo 01]:[Memo 07]],-1)),"")</f>
        <v>45819</v>
      </c>
      <c r="X1032" s="11">
        <f ca="1">IFERROR(reading[[#This Row],[Previous]]+OFFSET(reading[[#Headers],[Memo 01]],-1,MATCH(0,reading[[#This Row],[Memo 01]:[Memo 07]],-1)-1),"")</f>
        <v>45839</v>
      </c>
      <c r="Y1032" s="10" t="str">
        <f ca="1">IF(reading[[#This Row],[Next]]&lt;&gt;"",IF(reading[[#This Row],[Next]]&gt;TODAY(),"OK",""),"")</f>
        <v>OK</v>
      </c>
      <c r="Z1032" s="13">
        <v>3</v>
      </c>
      <c r="AA1032" s="13">
        <v>3</v>
      </c>
      <c r="AB1032" s="13">
        <v>3</v>
      </c>
      <c r="AC1032" s="13">
        <v>3</v>
      </c>
      <c r="AD1032" s="13">
        <v>2</v>
      </c>
      <c r="AE1032" s="13">
        <v>3</v>
      </c>
      <c r="AF1032" s="13"/>
      <c r="AG1032" s="16">
        <f>IFERROR(SUMIF(reading[[#This Row],[1st]:[7th]],"&gt;0")/COUNTIF(reading[[#This Row],[1st]:[7th]],"&gt;0"),"")</f>
        <v>2.8333333333333335</v>
      </c>
    </row>
    <row r="1033" spans="1:33" hidden="1" x14ac:dyDescent="0.2">
      <c r="A1033" s="4">
        <f>IF(B1033=1,3,IF(D1033=1,2,IF(F1033=1,1,0)))</f>
        <v>0</v>
      </c>
      <c r="B1033" s="4" t="str">
        <f>IF(C1033=$L1033,1,IF(C1033="","",0))</f>
        <v/>
      </c>
      <c r="C1033" s="42"/>
      <c r="D1033" s="4" t="str">
        <f>IF(E1033=$L1033,1,IF(E1033="","",0))</f>
        <v/>
      </c>
      <c r="E1033" s="14"/>
      <c r="F1033" s="4" t="str">
        <f>IF(G1033=$L1033,1,IF(G1033="","",0))</f>
        <v/>
      </c>
      <c r="G1033" s="14"/>
      <c r="H1033" s="6">
        <v>1724</v>
      </c>
      <c r="I1033" s="15" t="s">
        <v>3120</v>
      </c>
      <c r="J1033" s="6" t="s">
        <v>4832</v>
      </c>
      <c r="K1033" s="6"/>
      <c r="L1033" s="6" t="s">
        <v>1804</v>
      </c>
      <c r="M1033" s="6" t="s">
        <v>7830</v>
      </c>
      <c r="N1033" s="7">
        <f ca="1">RAND()</f>
        <v>0.55072404672791442</v>
      </c>
      <c r="O1033" s="8">
        <v>45211</v>
      </c>
      <c r="P1033" s="8">
        <v>45212</v>
      </c>
      <c r="Q1033" s="8">
        <v>45214</v>
      </c>
      <c r="R1033" s="8">
        <v>45218</v>
      </c>
      <c r="S1033" s="8">
        <v>45225</v>
      </c>
      <c r="T1033" s="8">
        <v>45237</v>
      </c>
      <c r="U1033" s="8">
        <v>45792</v>
      </c>
      <c r="V1033" s="10">
        <f>COUNTA(O1033:U1033)</f>
        <v>7</v>
      </c>
      <c r="W1033" s="11">
        <f>_xlfn.IFNA(INDEX(reading[[#This Row],[Memo 01]:[Memo 07]],MATCH(0,reading[[#This Row],[Memo 01]:[Memo 07]],-1)),"")</f>
        <v>45792</v>
      </c>
      <c r="X1033" s="11">
        <f ca="1">IFERROR(reading[[#This Row],[Previous]]+OFFSET(reading[[#Headers],[Memo 01]],-1,MATCH(0,reading[[#This Row],[Memo 01]:[Memo 07]],-1)-1),"")</f>
        <v>55792</v>
      </c>
      <c r="Y1033" s="10" t="str">
        <f ca="1">IF(reading[[#This Row],[Next]]&lt;&gt;"",IF(reading[[#This Row],[Next]]&gt;TODAY(),"OK",""),"")</f>
        <v>OK</v>
      </c>
      <c r="Z1033" s="13">
        <v>3</v>
      </c>
      <c r="AA1033" s="13">
        <v>3</v>
      </c>
      <c r="AB1033" s="13">
        <v>3</v>
      </c>
      <c r="AC1033" s="13">
        <v>3</v>
      </c>
      <c r="AD1033" s="13">
        <v>3</v>
      </c>
      <c r="AE1033" s="13">
        <v>3</v>
      </c>
      <c r="AF1033" s="13">
        <v>3</v>
      </c>
      <c r="AG1033" s="16">
        <f>IFERROR(SUMIF(reading[[#This Row],[1st]:[7th]],"&gt;0")/COUNTIF(reading[[#This Row],[1st]:[7th]],"&gt;0"),"")</f>
        <v>3</v>
      </c>
    </row>
    <row r="1034" spans="1:33" hidden="1" x14ac:dyDescent="0.2">
      <c r="A1034" s="4">
        <f>IF(B1034=1,3,IF(D1034=1,2,IF(F1034=1,1,0)))</f>
        <v>0</v>
      </c>
      <c r="B1034" s="4" t="str">
        <f>IF(C1034=$L1034,1,IF(C1034="","",0))</f>
        <v/>
      </c>
      <c r="C1034" s="42"/>
      <c r="D1034" s="4" t="str">
        <f>IF(E1034=$L1034,1,IF(E1034="","",0))</f>
        <v/>
      </c>
      <c r="E1034" s="43"/>
      <c r="F1034" s="4" t="str">
        <f>IF(G1034=$L1034,1,IF(G1034="","",0))</f>
        <v/>
      </c>
      <c r="G1034" s="14"/>
      <c r="H1034" s="6">
        <v>2351</v>
      </c>
      <c r="I1034" s="15" t="s">
        <v>3120</v>
      </c>
      <c r="J1034" s="6" t="s">
        <v>5428</v>
      </c>
      <c r="K1034" s="6"/>
      <c r="L1034" s="6" t="s">
        <v>2404</v>
      </c>
      <c r="M1034" s="6" t="s">
        <v>8456</v>
      </c>
      <c r="N1034" s="7">
        <f ca="1">RAND()</f>
        <v>0.48749427053625694</v>
      </c>
      <c r="O1034" s="8">
        <v>45216</v>
      </c>
      <c r="P1034" s="8">
        <v>45217</v>
      </c>
      <c r="Q1034" s="8">
        <v>45219</v>
      </c>
      <c r="R1034" s="8">
        <v>45223</v>
      </c>
      <c r="S1034" s="8">
        <v>45230</v>
      </c>
      <c r="T1034" s="8">
        <v>45815</v>
      </c>
      <c r="U1034" s="8"/>
      <c r="V1034" s="10">
        <f>COUNTA(O1034:U1034)</f>
        <v>6</v>
      </c>
      <c r="W1034" s="11">
        <f>_xlfn.IFNA(INDEX(reading[[#This Row],[Memo 01]:[Memo 07]],MATCH(0,reading[[#This Row],[Memo 01]:[Memo 07]],-1)),"")</f>
        <v>45815</v>
      </c>
      <c r="X1034" s="11">
        <f ca="1">IFERROR(reading[[#This Row],[Previous]]+OFFSET(reading[[#Headers],[Memo 01]],-1,MATCH(0,reading[[#This Row],[Memo 01]:[Memo 07]],-1)-1),"")</f>
        <v>45835</v>
      </c>
      <c r="Y1034" s="10" t="str">
        <f ca="1">IF(reading[[#This Row],[Next]]&lt;&gt;"",IF(reading[[#This Row],[Next]]&gt;TODAY(),"OK",""),"")</f>
        <v>OK</v>
      </c>
      <c r="Z1034" s="13">
        <v>3</v>
      </c>
      <c r="AA1034" s="13">
        <v>3</v>
      </c>
      <c r="AB1034" s="13">
        <v>3</v>
      </c>
      <c r="AC1034" s="13">
        <v>2</v>
      </c>
      <c r="AD1034" s="13">
        <v>3</v>
      </c>
      <c r="AE1034" s="13">
        <v>2</v>
      </c>
      <c r="AF1034" s="13"/>
      <c r="AG1034" s="16">
        <f>IFERROR(SUMIF(reading[[#This Row],[1st]:[7th]],"&gt;0")/COUNTIF(reading[[#This Row],[1st]:[7th]],"&gt;0"),"")</f>
        <v>2.6666666666666665</v>
      </c>
    </row>
    <row r="1035" spans="1:33" hidden="1" x14ac:dyDescent="0.2">
      <c r="A1035" s="4">
        <f>IF(B1035=1,3,IF(D1035=1,2,IF(F1035=1,1,0)))</f>
        <v>0</v>
      </c>
      <c r="B1035" s="4" t="str">
        <f>IF(C1035=$L1035,1,IF(C1035="","",0))</f>
        <v/>
      </c>
      <c r="C1035" s="42"/>
      <c r="D1035" s="4" t="str">
        <f>IF(E1035=$L1035,1,IF(E1035="","",0))</f>
        <v/>
      </c>
      <c r="E1035" s="43"/>
      <c r="F1035" s="4" t="str">
        <f>IF(G1035=$L1035,1,IF(G1035="","",0))</f>
        <v/>
      </c>
      <c r="G1035" s="14"/>
      <c r="H1035" s="6">
        <v>2768</v>
      </c>
      <c r="I1035" s="15" t="s">
        <v>3120</v>
      </c>
      <c r="J1035" s="6" t="s">
        <v>5812</v>
      </c>
      <c r="K1035" s="6"/>
      <c r="L1035" s="6" t="s">
        <v>2806</v>
      </c>
      <c r="M1035" s="6" t="s">
        <v>8872</v>
      </c>
      <c r="N1035" s="7">
        <f ca="1">RAND()</f>
        <v>0.52254618521155438</v>
      </c>
      <c r="O1035" s="8">
        <v>45221</v>
      </c>
      <c r="P1035" s="8">
        <v>45222</v>
      </c>
      <c r="Q1035" s="8">
        <v>45224</v>
      </c>
      <c r="R1035" s="8">
        <v>45228</v>
      </c>
      <c r="S1035" s="8">
        <v>45235</v>
      </c>
      <c r="T1035" s="8">
        <v>45815</v>
      </c>
      <c r="U1035" s="8"/>
      <c r="V1035" s="10">
        <f>COUNTA(O1035:U1035)</f>
        <v>6</v>
      </c>
      <c r="W1035" s="11">
        <f>_xlfn.IFNA(INDEX(reading[[#This Row],[Memo 01]:[Memo 07]],MATCH(0,reading[[#This Row],[Memo 01]:[Memo 07]],-1)),"")</f>
        <v>45815</v>
      </c>
      <c r="X1035" s="11">
        <f ca="1">IFERROR(reading[[#This Row],[Previous]]+OFFSET(reading[[#Headers],[Memo 01]],-1,MATCH(0,reading[[#This Row],[Memo 01]:[Memo 07]],-1)-1),"")</f>
        <v>45835</v>
      </c>
      <c r="Y1035" s="10" t="str">
        <f ca="1">IF(reading[[#This Row],[Next]]&lt;&gt;"",IF(reading[[#This Row],[Next]]&gt;TODAY(),"OK",""),"")</f>
        <v>OK</v>
      </c>
      <c r="Z1035" s="13">
        <v>3</v>
      </c>
      <c r="AA1035" s="13">
        <v>2</v>
      </c>
      <c r="AB1035" s="13">
        <v>3</v>
      </c>
      <c r="AC1035" s="13">
        <v>3</v>
      </c>
      <c r="AD1035" s="13">
        <v>3</v>
      </c>
      <c r="AE1035" s="13">
        <v>2</v>
      </c>
      <c r="AF1035" s="13"/>
      <c r="AG1035" s="16">
        <f>IFERROR(SUMIF(reading[[#This Row],[1st]:[7th]],"&gt;0")/COUNTIF(reading[[#This Row],[1st]:[7th]],"&gt;0"),"")</f>
        <v>2.6666666666666665</v>
      </c>
    </row>
    <row r="1036" spans="1:33" hidden="1" x14ac:dyDescent="0.2">
      <c r="A1036" s="4">
        <f>IF(B1036=1,3,IF(D1036=1,2,IF(F1036=1,1,0)))</f>
        <v>3</v>
      </c>
      <c r="B1036" s="4">
        <f>IF(C1036=$L1036,1,IF(C1036="","",0))</f>
        <v>1</v>
      </c>
      <c r="C1036" s="25" t="s">
        <v>3123</v>
      </c>
      <c r="D1036" s="4" t="str">
        <f>IF(E1036=$L1036,1,IF(E1036="","",0))</f>
        <v/>
      </c>
      <c r="E1036" s="14"/>
      <c r="F1036" s="4" t="str">
        <f>IF(G1036=$L1036,1,IF(G1036="","",0))</f>
        <v/>
      </c>
      <c r="G1036" s="14"/>
      <c r="H1036" s="6">
        <v>1040</v>
      </c>
      <c r="I1036" s="15" t="s">
        <v>3120</v>
      </c>
      <c r="J1036" s="6" t="s">
        <v>4167</v>
      </c>
      <c r="K1036" s="6"/>
      <c r="L1036" s="6" t="s">
        <v>1149</v>
      </c>
      <c r="M1036" s="6" t="s">
        <v>7148</v>
      </c>
      <c r="N1036" s="7">
        <f ca="1">RAND()</f>
        <v>0.43550388807420903</v>
      </c>
      <c r="O1036" s="8">
        <v>45205</v>
      </c>
      <c r="P1036" s="8">
        <v>45205</v>
      </c>
      <c r="Q1036" s="8">
        <v>45205</v>
      </c>
      <c r="R1036" s="8">
        <v>45205</v>
      </c>
      <c r="S1036" s="8">
        <v>45205</v>
      </c>
      <c r="T1036" s="8">
        <v>45205</v>
      </c>
      <c r="U1036" s="8">
        <v>45205</v>
      </c>
      <c r="V1036" s="10">
        <f>COUNTA(O1036:U1036)</f>
        <v>7</v>
      </c>
      <c r="W1036" s="11">
        <f>_xlfn.IFNA(INDEX(reading[[#This Row],[Memo 01]:[Memo 07]],MATCH(0,reading[[#This Row],[Memo 01]:[Memo 07]],-1)),"")</f>
        <v>45205</v>
      </c>
      <c r="X1036" s="11">
        <f ca="1">IFERROR(reading[[#This Row],[Previous]]+OFFSET(reading[[#Headers],[Memo 01]],-1,MATCH(0,reading[[#This Row],[Memo 01]:[Memo 07]],-1)-1),"")</f>
        <v>55205</v>
      </c>
      <c r="Y1036" s="10" t="str">
        <f ca="1">IF(reading[[#This Row],[Next]]&lt;&gt;"",IF(reading[[#This Row],[Next]]&gt;TODAY(),"OK",""),"")</f>
        <v>OK</v>
      </c>
      <c r="Z1036" s="13">
        <v>3</v>
      </c>
      <c r="AA1036" s="13"/>
      <c r="AB1036" s="13"/>
      <c r="AC1036" s="13"/>
      <c r="AD1036" s="13"/>
      <c r="AE1036" s="13"/>
      <c r="AF1036" s="13"/>
      <c r="AG1036" s="16">
        <f>IFERROR(SUMIF(reading[[#This Row],[1st]:[7th]],"&gt;0")/COUNTIF(reading[[#This Row],[1st]:[7th]],"&gt;0"),"")</f>
        <v>3</v>
      </c>
    </row>
    <row r="1037" spans="1:33" hidden="1" x14ac:dyDescent="0.2">
      <c r="A1037" s="4">
        <f>IF(B1037=1,3,IF(D1037=1,2,IF(F1037=1,1,0)))</f>
        <v>0</v>
      </c>
      <c r="B1037" s="4" t="str">
        <f>IF(C1037=$L1037,1,IF(C1037="","",0))</f>
        <v/>
      </c>
      <c r="C1037" s="42"/>
      <c r="D1037" s="4" t="str">
        <f>IF(E1037=$L1037,1,IF(E1037="","",0))</f>
        <v/>
      </c>
      <c r="E1037" s="14"/>
      <c r="F1037" s="4" t="str">
        <f>IF(G1037=$L1037,1,IF(G1037="","",0))</f>
        <v/>
      </c>
      <c r="G1037" s="14"/>
      <c r="H1037" s="6">
        <v>675</v>
      </c>
      <c r="I1037" s="15" t="s">
        <v>3120</v>
      </c>
      <c r="J1037" s="6" t="s">
        <v>3814</v>
      </c>
      <c r="K1037" s="15" t="s">
        <v>3139</v>
      </c>
      <c r="L1037" s="6" t="s">
        <v>798</v>
      </c>
      <c r="M1037" s="6" t="s">
        <v>6784</v>
      </c>
      <c r="N1037" s="7">
        <f ca="1">RAND()</f>
        <v>0.11565507055047464</v>
      </c>
      <c r="O1037" s="8">
        <v>45203</v>
      </c>
      <c r="P1037" s="8">
        <v>45204</v>
      </c>
      <c r="Q1037" s="8">
        <v>45206</v>
      </c>
      <c r="R1037" s="8">
        <v>45210</v>
      </c>
      <c r="S1037" s="8">
        <v>45217</v>
      </c>
      <c r="T1037" s="8">
        <v>45229</v>
      </c>
      <c r="U1037" s="8">
        <v>45792</v>
      </c>
      <c r="V1037" s="10">
        <f>COUNTA(O1037:U1037)</f>
        <v>7</v>
      </c>
      <c r="W1037" s="11">
        <f>_xlfn.IFNA(INDEX(reading[[#This Row],[Memo 01]:[Memo 07]],MATCH(0,reading[[#This Row],[Memo 01]:[Memo 07]],-1)),"")</f>
        <v>45792</v>
      </c>
      <c r="X1037" s="11">
        <f ca="1">IFERROR(reading[[#This Row],[Previous]]+OFFSET(reading[[#Headers],[Memo 01]],-1,MATCH(0,reading[[#This Row],[Memo 01]:[Memo 07]],-1)-1),"")</f>
        <v>55792</v>
      </c>
      <c r="Y1037" s="10" t="str">
        <f ca="1">IF(reading[[#This Row],[Next]]&lt;&gt;"",IF(reading[[#This Row],[Next]]&gt;TODAY(),"OK",""),"")</f>
        <v>OK</v>
      </c>
      <c r="Z1037" s="13">
        <v>3</v>
      </c>
      <c r="AA1037" s="13">
        <v>3</v>
      </c>
      <c r="AB1037" s="13">
        <v>3</v>
      </c>
      <c r="AC1037" s="13">
        <v>3</v>
      </c>
      <c r="AD1037" s="13">
        <v>3</v>
      </c>
      <c r="AE1037" s="13">
        <v>3</v>
      </c>
      <c r="AF1037" s="13">
        <v>3</v>
      </c>
      <c r="AG1037" s="16">
        <f>IFERROR(SUMIF(reading[[#This Row],[1st]:[7th]],"&gt;0")/COUNTIF(reading[[#This Row],[1st]:[7th]],"&gt;0"),"")</f>
        <v>3</v>
      </c>
    </row>
    <row r="1038" spans="1:33" hidden="1" x14ac:dyDescent="0.2">
      <c r="A1038" s="4">
        <f>IF(B1038=1,3,IF(D1038=1,2,IF(F1038=1,1,0)))</f>
        <v>0</v>
      </c>
      <c r="B1038" s="4" t="str">
        <f>IF(C1038=$L1038,1,IF(C1038="","",0))</f>
        <v/>
      </c>
      <c r="C1038" s="42"/>
      <c r="D1038" s="4" t="str">
        <f>IF(E1038=$L1038,1,IF(E1038="","",0))</f>
        <v/>
      </c>
      <c r="E1038" s="43"/>
      <c r="F1038" s="4" t="str">
        <f>IF(G1038=$L1038,1,IF(G1038="","",0))</f>
        <v/>
      </c>
      <c r="G1038" s="14"/>
      <c r="H1038" s="6">
        <v>1979</v>
      </c>
      <c r="I1038" s="15" t="s">
        <v>3120</v>
      </c>
      <c r="J1038" s="6" t="s">
        <v>5078</v>
      </c>
      <c r="K1038" s="6"/>
      <c r="L1038" s="6" t="s">
        <v>2054</v>
      </c>
      <c r="M1038" s="6" t="s">
        <v>8085</v>
      </c>
      <c r="N1038" s="7">
        <f ca="1">RAND()</f>
        <v>0.63809839501413324</v>
      </c>
      <c r="O1038" s="8">
        <v>45213</v>
      </c>
      <c r="P1038" s="8">
        <v>45214</v>
      </c>
      <c r="Q1038" s="8">
        <v>45216</v>
      </c>
      <c r="R1038" s="8">
        <v>45220</v>
      </c>
      <c r="S1038" s="8">
        <v>45227</v>
      </c>
      <c r="T1038" s="8">
        <v>45251</v>
      </c>
      <c r="U1038" s="8">
        <v>45816</v>
      </c>
      <c r="V1038" s="10">
        <f>COUNTA(O1038:U1038)</f>
        <v>7</v>
      </c>
      <c r="W1038" s="11">
        <f>_xlfn.IFNA(INDEX(reading[[#This Row],[Memo 01]:[Memo 07]],MATCH(0,reading[[#This Row],[Memo 01]:[Memo 07]],-1)),"")</f>
        <v>45816</v>
      </c>
      <c r="X1038" s="11">
        <f ca="1">IFERROR(reading[[#This Row],[Previous]]+OFFSET(reading[[#Headers],[Memo 01]],-1,MATCH(0,reading[[#This Row],[Memo 01]:[Memo 07]],-1)-1),"")</f>
        <v>55816</v>
      </c>
      <c r="Y1038" s="10" t="str">
        <f ca="1">IF(reading[[#This Row],[Next]]&lt;&gt;"",IF(reading[[#This Row],[Next]]&gt;TODAY(),"OK",""),"")</f>
        <v>OK</v>
      </c>
      <c r="Z1038" s="13">
        <v>3</v>
      </c>
      <c r="AA1038" s="13">
        <v>3</v>
      </c>
      <c r="AB1038" s="13">
        <v>2</v>
      </c>
      <c r="AC1038" s="13">
        <v>2</v>
      </c>
      <c r="AD1038" s="13">
        <v>3</v>
      </c>
      <c r="AE1038" s="13">
        <v>3</v>
      </c>
      <c r="AF1038" s="13">
        <v>2</v>
      </c>
      <c r="AG1038" s="16">
        <f>IFERROR(SUMIF(reading[[#This Row],[1st]:[7th]],"&gt;0")/COUNTIF(reading[[#This Row],[1st]:[7th]],"&gt;0"),"")</f>
        <v>2.5714285714285716</v>
      </c>
    </row>
    <row r="1039" spans="1:33" hidden="1" x14ac:dyDescent="0.2">
      <c r="A1039" s="4">
        <f>IF(B1039=1,3,IF(D1039=1,2,IF(F1039=1,1,0)))</f>
        <v>0</v>
      </c>
      <c r="B1039" s="4" t="str">
        <f>IF(C1039=$L1039,1,IF(C1039="","",0))</f>
        <v/>
      </c>
      <c r="C1039" s="42"/>
      <c r="D1039" s="4" t="str">
        <f>IF(E1039=$L1039,1,IF(E1039="","",0))</f>
        <v/>
      </c>
      <c r="E1039" s="14"/>
      <c r="F1039" s="4" t="str">
        <f>IF(G1039=$L1039,1,IF(G1039="","",0))</f>
        <v/>
      </c>
      <c r="G1039" s="23"/>
      <c r="H1039" s="6">
        <v>427</v>
      </c>
      <c r="I1039" s="15" t="s">
        <v>3120</v>
      </c>
      <c r="J1039" s="6" t="s">
        <v>3573</v>
      </c>
      <c r="K1039" s="6"/>
      <c r="L1039" s="6" t="s">
        <v>557</v>
      </c>
      <c r="M1039" s="6" t="s">
        <v>6536</v>
      </c>
      <c r="N1039" s="7">
        <f ca="1">RAND()</f>
        <v>0.88931073797750049</v>
      </c>
      <c r="O1039" s="8">
        <v>45201</v>
      </c>
      <c r="P1039" s="8">
        <v>45202</v>
      </c>
      <c r="Q1039" s="8">
        <v>45204</v>
      </c>
      <c r="R1039" s="8">
        <v>45208</v>
      </c>
      <c r="S1039" s="8">
        <v>45215</v>
      </c>
      <c r="T1039" s="8">
        <v>45227</v>
      </c>
      <c r="U1039" s="8">
        <v>45817</v>
      </c>
      <c r="V1039" s="10">
        <f>COUNTA(O1039:U1039)</f>
        <v>7</v>
      </c>
      <c r="W1039" s="11">
        <f>_xlfn.IFNA(INDEX(reading[[#This Row],[Memo 01]:[Memo 07]],MATCH(0,reading[[#This Row],[Memo 01]:[Memo 07]],-1)),"")</f>
        <v>45817</v>
      </c>
      <c r="X1039" s="11">
        <f ca="1">IFERROR(reading[[#This Row],[Previous]]+OFFSET(reading[[#Headers],[Memo 01]],-1,MATCH(0,reading[[#This Row],[Memo 01]:[Memo 07]],-1)-1),"")</f>
        <v>55817</v>
      </c>
      <c r="Y1039" s="10" t="str">
        <f ca="1">IF(reading[[#This Row],[Next]]&lt;&gt;"",IF(reading[[#This Row],[Next]]&gt;TODAY(),"OK",""),"")</f>
        <v>OK</v>
      </c>
      <c r="Z1039" s="13">
        <v>3</v>
      </c>
      <c r="AA1039" s="13">
        <v>3</v>
      </c>
      <c r="AB1039" s="13">
        <v>3</v>
      </c>
      <c r="AC1039" s="13">
        <v>3</v>
      </c>
      <c r="AD1039" s="13">
        <v>3</v>
      </c>
      <c r="AE1039" s="13">
        <v>3</v>
      </c>
      <c r="AF1039" s="13">
        <v>1</v>
      </c>
      <c r="AG1039" s="16">
        <f>IFERROR(SUMIF(reading[[#This Row],[1st]:[7th]],"&gt;0")/COUNTIF(reading[[#This Row],[1st]:[7th]],"&gt;0"),"")</f>
        <v>2.7142857142857144</v>
      </c>
    </row>
    <row r="1040" spans="1:33" hidden="1" x14ac:dyDescent="0.2">
      <c r="A1040" s="4">
        <f>IF(B1040=1,3,IF(D1040=1,2,IF(F1040=1,1,0)))</f>
        <v>0</v>
      </c>
      <c r="B1040" s="4" t="str">
        <f>IF(C1040=$L1040,1,IF(C1040="","",0))</f>
        <v/>
      </c>
      <c r="C1040" s="42"/>
      <c r="D1040" s="4" t="str">
        <f>IF(E1040=$L1040,1,IF(E1040="","",0))</f>
        <v/>
      </c>
      <c r="E1040" s="23"/>
      <c r="F1040" s="4" t="str">
        <f>IF(G1040=$L1040,1,IF(G1040="","",0))</f>
        <v/>
      </c>
      <c r="G1040" s="14"/>
      <c r="H1040" s="6">
        <v>2369</v>
      </c>
      <c r="I1040" s="15" t="s">
        <v>3120</v>
      </c>
      <c r="J1040" s="24" t="s">
        <v>9235</v>
      </c>
      <c r="K1040" s="24" t="s">
        <v>9227</v>
      </c>
      <c r="L1040" s="6" t="s">
        <v>2421</v>
      </c>
      <c r="M1040" s="6" t="s">
        <v>8474</v>
      </c>
      <c r="N1040" s="7">
        <f ca="1">RAND()</f>
        <v>0.1867621247979474</v>
      </c>
      <c r="O1040" s="8">
        <v>45216</v>
      </c>
      <c r="P1040" s="8">
        <v>45217</v>
      </c>
      <c r="Q1040" s="8">
        <v>45219</v>
      </c>
      <c r="R1040" s="8">
        <v>45223</v>
      </c>
      <c r="S1040" s="8">
        <v>45230</v>
      </c>
      <c r="T1040" s="8">
        <v>45820</v>
      </c>
      <c r="U1040" s="8"/>
      <c r="V1040" s="10">
        <f>COUNTA(O1040:U1040)</f>
        <v>6</v>
      </c>
      <c r="W1040" s="11">
        <f>_xlfn.IFNA(INDEX(reading[[#This Row],[Memo 01]:[Memo 07]],MATCH(0,reading[[#This Row],[Memo 01]:[Memo 07]],-1)),"")</f>
        <v>45820</v>
      </c>
      <c r="X1040" s="11">
        <f ca="1">IFERROR(reading[[#This Row],[Previous]]+OFFSET(reading[[#Headers],[Memo 01]],-1,MATCH(0,reading[[#This Row],[Memo 01]:[Memo 07]],-1)-1),"")</f>
        <v>45840</v>
      </c>
      <c r="Y1040" s="10" t="str">
        <f ca="1">IF(reading[[#This Row],[Next]]&lt;&gt;"",IF(reading[[#This Row],[Next]]&gt;TODAY(),"OK",""),"")</f>
        <v>OK</v>
      </c>
      <c r="Z1040" s="13">
        <v>3</v>
      </c>
      <c r="AA1040" s="13">
        <v>3</v>
      </c>
      <c r="AB1040" s="13">
        <v>3</v>
      </c>
      <c r="AC1040" s="13">
        <v>3</v>
      </c>
      <c r="AD1040" s="13">
        <v>3</v>
      </c>
      <c r="AE1040" s="13">
        <v>2</v>
      </c>
      <c r="AF1040" s="13"/>
      <c r="AG1040" s="16">
        <f>IFERROR(SUMIF(reading[[#This Row],[1st]:[7th]],"&gt;0")/COUNTIF(reading[[#This Row],[1st]:[7th]],"&gt;0"),"")</f>
        <v>2.8333333333333335</v>
      </c>
    </row>
    <row r="1041" spans="1:33" hidden="1" x14ac:dyDescent="0.2">
      <c r="A1041" s="4">
        <f>IF(B1041=1,3,IF(D1041=1,2,IF(F1041=1,1,0)))</f>
        <v>0</v>
      </c>
      <c r="B1041" s="4" t="str">
        <f>IF(C1041=$L1041,1,IF(C1041="","",0))</f>
        <v/>
      </c>
      <c r="C1041" s="42"/>
      <c r="D1041" s="4" t="str">
        <f>IF(E1041=$L1041,1,IF(E1041="","",0))</f>
        <v/>
      </c>
      <c r="E1041" s="23"/>
      <c r="F1041" s="4" t="str">
        <f>IF(G1041=$L1041,1,IF(G1041="","",0))</f>
        <v/>
      </c>
      <c r="G1041" s="14"/>
      <c r="H1041" s="6">
        <v>2536</v>
      </c>
      <c r="I1041" s="15" t="s">
        <v>3120</v>
      </c>
      <c r="J1041" s="6" t="s">
        <v>5598</v>
      </c>
      <c r="K1041" s="6"/>
      <c r="L1041" s="6" t="s">
        <v>2581</v>
      </c>
      <c r="M1041" s="6" t="s">
        <v>8641</v>
      </c>
      <c r="N1041" s="7">
        <f ca="1">RAND()</f>
        <v>0.107850966747701</v>
      </c>
      <c r="O1041" s="8">
        <v>45219</v>
      </c>
      <c r="P1041" s="8">
        <v>45220</v>
      </c>
      <c r="Q1041" s="8">
        <v>45222</v>
      </c>
      <c r="R1041" s="8">
        <v>45226</v>
      </c>
      <c r="S1041" s="8">
        <v>45233</v>
      </c>
      <c r="T1041" s="8">
        <v>45820</v>
      </c>
      <c r="U1041" s="8"/>
      <c r="V1041" s="10">
        <f>COUNTA(O1041:U1041)</f>
        <v>6</v>
      </c>
      <c r="W1041" s="11">
        <f>_xlfn.IFNA(INDEX(reading[[#This Row],[Memo 01]:[Memo 07]],MATCH(0,reading[[#This Row],[Memo 01]:[Memo 07]],-1)),"")</f>
        <v>45820</v>
      </c>
      <c r="X1041" s="11">
        <f ca="1">IFERROR(reading[[#This Row],[Previous]]+OFFSET(reading[[#Headers],[Memo 01]],-1,MATCH(0,reading[[#This Row],[Memo 01]:[Memo 07]],-1)-1),"")</f>
        <v>45840</v>
      </c>
      <c r="Y1041" s="10" t="str">
        <f ca="1">IF(reading[[#This Row],[Next]]&lt;&gt;"",IF(reading[[#This Row],[Next]]&gt;TODAY(),"OK",""),"")</f>
        <v>OK</v>
      </c>
      <c r="Z1041" s="13">
        <v>3</v>
      </c>
      <c r="AA1041" s="13">
        <v>3</v>
      </c>
      <c r="AB1041" s="13">
        <v>3</v>
      </c>
      <c r="AC1041" s="13">
        <v>3</v>
      </c>
      <c r="AD1041" s="13">
        <v>3</v>
      </c>
      <c r="AE1041" s="13">
        <v>2</v>
      </c>
      <c r="AF1041" s="13"/>
      <c r="AG1041" s="16">
        <f>IFERROR(SUMIF(reading[[#This Row],[1st]:[7th]],"&gt;0")/COUNTIF(reading[[#This Row],[1st]:[7th]],"&gt;0"),"")</f>
        <v>2.8333333333333335</v>
      </c>
    </row>
    <row r="1042" spans="1:33" hidden="1" x14ac:dyDescent="0.2">
      <c r="A1042" s="4">
        <f>IF(B1042=1,3,IF(D1042=1,2,IF(F1042=1,1,0)))</f>
        <v>0</v>
      </c>
      <c r="B1042" s="4" t="str">
        <f>IF(C1042=$L1042,1,IF(C1042="","",0))</f>
        <v/>
      </c>
      <c r="C1042" s="42"/>
      <c r="D1042" s="4" t="str">
        <f>IF(E1042=$L1042,1,IF(E1042="","",0))</f>
        <v/>
      </c>
      <c r="E1042" s="23"/>
      <c r="F1042" s="4" t="str">
        <f>IF(G1042=$L1042,1,IF(G1042="","",0))</f>
        <v/>
      </c>
      <c r="G1042" s="14"/>
      <c r="H1042" s="6">
        <v>2051</v>
      </c>
      <c r="I1042" s="15" t="s">
        <v>3120</v>
      </c>
      <c r="J1042" s="6" t="s">
        <v>5147</v>
      </c>
      <c r="K1042" s="6"/>
      <c r="L1042" s="6" t="s">
        <v>2126</v>
      </c>
      <c r="M1042" s="6" t="s">
        <v>8157</v>
      </c>
      <c r="N1042" s="7">
        <f ca="1">RAND()</f>
        <v>0.32424669588952415</v>
      </c>
      <c r="O1042" s="8">
        <v>45214</v>
      </c>
      <c r="P1042" s="8">
        <v>45215</v>
      </c>
      <c r="Q1042" s="8">
        <v>45217</v>
      </c>
      <c r="R1042" s="8">
        <v>45221</v>
      </c>
      <c r="S1042" s="8">
        <v>45228</v>
      </c>
      <c r="T1042" s="8">
        <v>45815</v>
      </c>
      <c r="U1042" s="8"/>
      <c r="V1042" s="10">
        <f>COUNTA(O1042:U1042)</f>
        <v>6</v>
      </c>
      <c r="W1042" s="11">
        <f>_xlfn.IFNA(INDEX(reading[[#This Row],[Memo 01]:[Memo 07]],MATCH(0,reading[[#This Row],[Memo 01]:[Memo 07]],-1)),"")</f>
        <v>45815</v>
      </c>
      <c r="X1042" s="11">
        <f ca="1">IFERROR(reading[[#This Row],[Previous]]+OFFSET(reading[[#Headers],[Memo 01]],-1,MATCH(0,reading[[#This Row],[Memo 01]:[Memo 07]],-1)-1),"")</f>
        <v>45835</v>
      </c>
      <c r="Y1042" s="10" t="str">
        <f ca="1">IF(reading[[#This Row],[Next]]&lt;&gt;"",IF(reading[[#This Row],[Next]]&gt;TODAY(),"OK",""),"")</f>
        <v>OK</v>
      </c>
      <c r="Z1042" s="13">
        <v>3</v>
      </c>
      <c r="AA1042" s="13">
        <v>3</v>
      </c>
      <c r="AB1042" s="13">
        <v>3</v>
      </c>
      <c r="AC1042" s="13">
        <v>3</v>
      </c>
      <c r="AD1042" s="13">
        <v>3</v>
      </c>
      <c r="AE1042" s="13">
        <v>2</v>
      </c>
      <c r="AF1042" s="13"/>
      <c r="AG1042" s="16">
        <f>IFERROR(SUMIF(reading[[#This Row],[1st]:[7th]],"&gt;0")/COUNTIF(reading[[#This Row],[1st]:[7th]],"&gt;0"),"")</f>
        <v>2.8333333333333335</v>
      </c>
    </row>
    <row r="1043" spans="1:33" hidden="1" x14ac:dyDescent="0.2">
      <c r="A1043" s="4">
        <f>IF(B1043=1,3,IF(D1043=1,2,IF(F1043=1,1,0)))</f>
        <v>0</v>
      </c>
      <c r="B1043" s="4" t="str">
        <f>IF(C1043=$L1043,1,IF(C1043="","",0))</f>
        <v/>
      </c>
      <c r="C1043" s="42"/>
      <c r="D1043" s="4" t="str">
        <f>IF(E1043=$L1043,1,IF(E1043="","",0))</f>
        <v/>
      </c>
      <c r="E1043" s="14"/>
      <c r="F1043" s="4" t="str">
        <f>IF(G1043=$L1043,1,IF(G1043="","",0))</f>
        <v/>
      </c>
      <c r="G1043" s="14"/>
      <c r="H1043" s="6">
        <v>414</v>
      </c>
      <c r="I1043" s="15" t="s">
        <v>3120</v>
      </c>
      <c r="J1043" s="6" t="s">
        <v>3560</v>
      </c>
      <c r="K1043" s="6"/>
      <c r="L1043" s="6" t="s">
        <v>544</v>
      </c>
      <c r="M1043" s="6" t="s">
        <v>6523</v>
      </c>
      <c r="N1043" s="7">
        <f ca="1">RAND()</f>
        <v>0.53031712204249615</v>
      </c>
      <c r="O1043" s="8">
        <v>45201</v>
      </c>
      <c r="P1043" s="8">
        <v>45202</v>
      </c>
      <c r="Q1043" s="8">
        <v>45204</v>
      </c>
      <c r="R1043" s="8">
        <v>45208</v>
      </c>
      <c r="S1043" s="8">
        <v>45215</v>
      </c>
      <c r="T1043" s="8">
        <v>45227</v>
      </c>
      <c r="U1043" s="8">
        <v>45819</v>
      </c>
      <c r="V1043" s="10">
        <f>COUNTA(O1043:U1043)</f>
        <v>7</v>
      </c>
      <c r="W1043" s="11">
        <f>_xlfn.IFNA(INDEX(reading[[#This Row],[Memo 01]:[Memo 07]],MATCH(0,reading[[#This Row],[Memo 01]:[Memo 07]],-1)),"")</f>
        <v>45819</v>
      </c>
      <c r="X1043" s="11">
        <f ca="1">IFERROR(reading[[#This Row],[Previous]]+OFFSET(reading[[#Headers],[Memo 01]],-1,MATCH(0,reading[[#This Row],[Memo 01]:[Memo 07]],-1)-1),"")</f>
        <v>55819</v>
      </c>
      <c r="Y1043" s="10" t="str">
        <f ca="1">IF(reading[[#This Row],[Next]]&lt;&gt;"",IF(reading[[#This Row],[Next]]&gt;TODAY(),"OK",""),"")</f>
        <v>OK</v>
      </c>
      <c r="Z1043" s="13">
        <v>3</v>
      </c>
      <c r="AA1043" s="13">
        <v>3</v>
      </c>
      <c r="AB1043" s="13">
        <v>3</v>
      </c>
      <c r="AC1043" s="13">
        <v>3</v>
      </c>
      <c r="AD1043" s="13">
        <v>3</v>
      </c>
      <c r="AE1043" s="13">
        <v>3</v>
      </c>
      <c r="AF1043" s="13">
        <v>3</v>
      </c>
      <c r="AG1043" s="16">
        <f>IFERROR(SUMIF(reading[[#This Row],[1st]:[7th]],"&gt;0")/COUNTIF(reading[[#This Row],[1st]:[7th]],"&gt;0"),"")</f>
        <v>3</v>
      </c>
    </row>
    <row r="1044" spans="1:33" hidden="1" x14ac:dyDescent="0.2">
      <c r="A1044" s="4">
        <f>IF(B1044=1,3,IF(D1044=1,2,IF(F1044=1,1,0)))</f>
        <v>0</v>
      </c>
      <c r="B1044" s="4" t="str">
        <f>IF(C1044=$L1044,1,IF(C1044="","",0))</f>
        <v/>
      </c>
      <c r="C1044" s="42"/>
      <c r="D1044" s="4" t="str">
        <f>IF(E1044=$L1044,1,IF(E1044="","",0))</f>
        <v/>
      </c>
      <c r="E1044" s="23"/>
      <c r="F1044" s="4" t="str">
        <f>IF(G1044=$L1044,1,IF(G1044="","",0))</f>
        <v/>
      </c>
      <c r="G1044" s="23"/>
      <c r="H1044" s="6">
        <v>2174</v>
      </c>
      <c r="I1044" s="15" t="s">
        <v>3120</v>
      </c>
      <c r="J1044" s="6" t="s">
        <v>5262</v>
      </c>
      <c r="K1044" s="15" t="s">
        <v>3139</v>
      </c>
      <c r="L1044" s="6" t="s">
        <v>2240</v>
      </c>
      <c r="M1044" s="6" t="s">
        <v>8280</v>
      </c>
      <c r="N1044" s="7">
        <f ca="1">RAND()</f>
        <v>0.86974881868098819</v>
      </c>
      <c r="O1044" s="8">
        <v>45215</v>
      </c>
      <c r="P1044" s="8">
        <v>45216</v>
      </c>
      <c r="Q1044" s="8">
        <v>45218</v>
      </c>
      <c r="R1044" s="8">
        <v>45222</v>
      </c>
      <c r="S1044" s="8">
        <v>45229</v>
      </c>
      <c r="T1044" s="8">
        <v>45816</v>
      </c>
      <c r="U1044" s="8"/>
      <c r="V1044" s="10">
        <f>COUNTA(O1044:U1044)</f>
        <v>6</v>
      </c>
      <c r="W1044" s="11">
        <f>_xlfn.IFNA(INDEX(reading[[#This Row],[Memo 01]:[Memo 07]],MATCH(0,reading[[#This Row],[Memo 01]:[Memo 07]],-1)),"")</f>
        <v>45816</v>
      </c>
      <c r="X1044" s="11">
        <f ca="1">IFERROR(reading[[#This Row],[Previous]]+OFFSET(reading[[#Headers],[Memo 01]],-1,MATCH(0,reading[[#This Row],[Memo 01]:[Memo 07]],-1)-1),"")</f>
        <v>45836</v>
      </c>
      <c r="Y1044" s="10" t="str">
        <f ca="1">IF(reading[[#This Row],[Next]]&lt;&gt;"",IF(reading[[#This Row],[Next]]&gt;TODAY(),"OK",""),"")</f>
        <v>OK</v>
      </c>
      <c r="Z1044" s="13">
        <v>3</v>
      </c>
      <c r="AA1044" s="13">
        <v>3</v>
      </c>
      <c r="AB1044" s="13">
        <v>3</v>
      </c>
      <c r="AC1044" s="13">
        <v>3</v>
      </c>
      <c r="AD1044" s="13">
        <v>3</v>
      </c>
      <c r="AE1044" s="13">
        <v>1</v>
      </c>
      <c r="AF1044" s="13"/>
      <c r="AG1044" s="16">
        <f>IFERROR(SUMIF(reading[[#This Row],[1st]:[7th]],"&gt;0")/COUNTIF(reading[[#This Row],[1st]:[7th]],"&gt;0"),"")</f>
        <v>2.6666666666666665</v>
      </c>
    </row>
    <row r="1045" spans="1:33" hidden="1" x14ac:dyDescent="0.2">
      <c r="A1045" s="4">
        <f>IF(B1045=1,3,IF(D1045=1,2,IF(F1045=1,1,0)))</f>
        <v>0</v>
      </c>
      <c r="B1045" s="4" t="str">
        <f>IF(C1045=$L1045,1,IF(C1045="","",0))</f>
        <v/>
      </c>
      <c r="C1045" s="42"/>
      <c r="D1045" s="4" t="str">
        <f>IF(E1045=$L1045,1,IF(E1045="","",0))</f>
        <v/>
      </c>
      <c r="E1045" s="14"/>
      <c r="F1045" s="4" t="str">
        <f>IF(G1045=$L1045,1,IF(G1045="","",0))</f>
        <v/>
      </c>
      <c r="G1045" s="14"/>
      <c r="H1045" s="6">
        <v>1779</v>
      </c>
      <c r="I1045" s="15" t="s">
        <v>3120</v>
      </c>
      <c r="J1045" s="6" t="s">
        <v>4886</v>
      </c>
      <c r="K1045" s="6"/>
      <c r="L1045" s="6" t="s">
        <v>72</v>
      </c>
      <c r="M1045" s="6" t="s">
        <v>7885</v>
      </c>
      <c r="N1045" s="7">
        <f ca="1">RAND()</f>
        <v>0.76654520305160645</v>
      </c>
      <c r="O1045" s="8">
        <v>45211</v>
      </c>
      <c r="P1045" s="8">
        <v>45212</v>
      </c>
      <c r="Q1045" s="8">
        <v>45214</v>
      </c>
      <c r="R1045" s="8">
        <v>45218</v>
      </c>
      <c r="S1045" s="8">
        <v>45225</v>
      </c>
      <c r="T1045" s="8">
        <v>45237</v>
      </c>
      <c r="U1045" s="8">
        <v>45792</v>
      </c>
      <c r="V1045" s="10">
        <f>COUNTA(O1045:U1045)</f>
        <v>7</v>
      </c>
      <c r="W1045" s="11">
        <f>_xlfn.IFNA(INDEX(reading[[#This Row],[Memo 01]:[Memo 07]],MATCH(0,reading[[#This Row],[Memo 01]:[Memo 07]],-1)),"")</f>
        <v>45792</v>
      </c>
      <c r="X1045" s="11">
        <f ca="1">IFERROR(reading[[#This Row],[Previous]]+OFFSET(reading[[#Headers],[Memo 01]],-1,MATCH(0,reading[[#This Row],[Memo 01]:[Memo 07]],-1)-1),"")</f>
        <v>55792</v>
      </c>
      <c r="Y1045" s="10" t="str">
        <f ca="1">IF(reading[[#This Row],[Next]]&lt;&gt;"",IF(reading[[#This Row],[Next]]&gt;TODAY(),"OK",""),"")</f>
        <v>OK</v>
      </c>
      <c r="Z1045" s="13">
        <v>3</v>
      </c>
      <c r="AA1045" s="13">
        <v>3</v>
      </c>
      <c r="AB1045" s="13">
        <v>3</v>
      </c>
      <c r="AC1045" s="13">
        <v>3</v>
      </c>
      <c r="AD1045" s="13">
        <v>3</v>
      </c>
      <c r="AE1045" s="13">
        <v>3</v>
      </c>
      <c r="AF1045" s="13">
        <v>3</v>
      </c>
      <c r="AG1045" s="16">
        <f>IFERROR(SUMIF(reading[[#This Row],[1st]:[7th]],"&gt;0")/COUNTIF(reading[[#This Row],[1st]:[7th]],"&gt;0"),"")</f>
        <v>3</v>
      </c>
    </row>
    <row r="1046" spans="1:33" hidden="1" x14ac:dyDescent="0.2">
      <c r="A1046" s="4">
        <f>IF(B1046=1,3,IF(D1046=1,2,IF(F1046=1,1,0)))</f>
        <v>0</v>
      </c>
      <c r="B1046" s="4" t="str">
        <f>IF(C1046=$L1046,1,IF(C1046="","",0))</f>
        <v/>
      </c>
      <c r="C1046" s="42"/>
      <c r="D1046" s="4" t="str">
        <f>IF(E1046=$L1046,1,IF(E1046="","",0))</f>
        <v/>
      </c>
      <c r="E1046" s="14"/>
      <c r="F1046" s="4" t="str">
        <f>IF(G1046=$L1046,1,IF(G1046="","",0))</f>
        <v/>
      </c>
      <c r="G1046" s="14"/>
      <c r="H1046" s="6">
        <v>1880</v>
      </c>
      <c r="I1046" s="15" t="s">
        <v>3120</v>
      </c>
      <c r="J1046" s="6" t="s">
        <v>4982</v>
      </c>
      <c r="K1046" s="6"/>
      <c r="L1046" s="6" t="s">
        <v>1957</v>
      </c>
      <c r="M1046" s="6" t="s">
        <v>7986</v>
      </c>
      <c r="N1046" s="7">
        <f ca="1">RAND()</f>
        <v>0.28398974786766795</v>
      </c>
      <c r="O1046" s="8">
        <v>45213</v>
      </c>
      <c r="P1046" s="8">
        <v>45214</v>
      </c>
      <c r="Q1046" s="8">
        <v>45216</v>
      </c>
      <c r="R1046" s="8">
        <v>45220</v>
      </c>
      <c r="S1046" s="8">
        <v>45227</v>
      </c>
      <c r="T1046" s="8">
        <v>45824</v>
      </c>
      <c r="U1046" s="8"/>
      <c r="V1046" s="10">
        <f>COUNTA(O1046:U1046)</f>
        <v>6</v>
      </c>
      <c r="W1046" s="11">
        <f>_xlfn.IFNA(INDEX(reading[[#This Row],[Memo 01]:[Memo 07]],MATCH(0,reading[[#This Row],[Memo 01]:[Memo 07]],-1)),"")</f>
        <v>45824</v>
      </c>
      <c r="X1046" s="11">
        <f ca="1">IFERROR(reading[[#This Row],[Previous]]+OFFSET(reading[[#Headers],[Memo 01]],-1,MATCH(0,reading[[#This Row],[Memo 01]:[Memo 07]],-1)-1),"")</f>
        <v>45844</v>
      </c>
      <c r="Y1046" s="10" t="str">
        <f ca="1">IF(reading[[#This Row],[Next]]&lt;&gt;"",IF(reading[[#This Row],[Next]]&gt;TODAY(),"OK",""),"")</f>
        <v>OK</v>
      </c>
      <c r="Z1046" s="13">
        <v>3</v>
      </c>
      <c r="AA1046" s="13">
        <v>3</v>
      </c>
      <c r="AB1046" s="13">
        <v>3</v>
      </c>
      <c r="AC1046" s="13">
        <v>3</v>
      </c>
      <c r="AD1046" s="13">
        <v>3</v>
      </c>
      <c r="AE1046" s="13">
        <v>3</v>
      </c>
      <c r="AF1046" s="13"/>
      <c r="AG1046" s="16">
        <f>IFERROR(SUMIF(reading[[#This Row],[1st]:[7th]],"&gt;0")/COUNTIF(reading[[#This Row],[1st]:[7th]],"&gt;0"),"")</f>
        <v>3</v>
      </c>
    </row>
    <row r="1047" spans="1:33" hidden="1" x14ac:dyDescent="0.2">
      <c r="A1047" s="4">
        <f>IF(B1047=1,3,IF(D1047=1,2,IF(F1047=1,1,0)))</f>
        <v>3</v>
      </c>
      <c r="B1047" s="4">
        <f>IF(C1047=$L1047,1,IF(C1047="","",0))</f>
        <v>1</v>
      </c>
      <c r="C1047" s="25" t="s">
        <v>3124</v>
      </c>
      <c r="D1047" s="4" t="str">
        <f>IF(E1047=$L1047,1,IF(E1047="","",0))</f>
        <v/>
      </c>
      <c r="E1047" s="14"/>
      <c r="F1047" s="4" t="str">
        <f>IF(G1047=$L1047,1,IF(G1047="","",0))</f>
        <v/>
      </c>
      <c r="G1047" s="14"/>
      <c r="H1047" s="6">
        <v>1051</v>
      </c>
      <c r="I1047" s="15" t="s">
        <v>3120</v>
      </c>
      <c r="J1047" s="6" t="s">
        <v>4178</v>
      </c>
      <c r="K1047" s="6"/>
      <c r="L1047" s="6" t="s">
        <v>1159</v>
      </c>
      <c r="M1047" s="6" t="s">
        <v>7159</v>
      </c>
      <c r="N1047" s="7">
        <f ca="1">RAND()</f>
        <v>1.6999661464442095E-2</v>
      </c>
      <c r="O1047" s="8">
        <v>45205</v>
      </c>
      <c r="P1047" s="8">
        <v>45205</v>
      </c>
      <c r="Q1047" s="8">
        <v>45205</v>
      </c>
      <c r="R1047" s="8">
        <v>45205</v>
      </c>
      <c r="S1047" s="8">
        <v>45205</v>
      </c>
      <c r="T1047" s="8">
        <v>45205</v>
      </c>
      <c r="U1047" s="8">
        <v>45205</v>
      </c>
      <c r="V1047" s="10">
        <f>COUNTA(O1047:U1047)</f>
        <v>7</v>
      </c>
      <c r="W1047" s="11">
        <f>_xlfn.IFNA(INDEX(reading[[#This Row],[Memo 01]:[Memo 07]],MATCH(0,reading[[#This Row],[Memo 01]:[Memo 07]],-1)),"")</f>
        <v>45205</v>
      </c>
      <c r="X1047" s="11">
        <f ca="1">IFERROR(reading[[#This Row],[Previous]]+OFFSET(reading[[#Headers],[Memo 01]],-1,MATCH(0,reading[[#This Row],[Memo 01]:[Memo 07]],-1)-1),"")</f>
        <v>55205</v>
      </c>
      <c r="Y1047" s="10" t="str">
        <f ca="1">IF(reading[[#This Row],[Next]]&lt;&gt;"",IF(reading[[#This Row],[Next]]&gt;TODAY(),"OK",""),"")</f>
        <v>OK</v>
      </c>
      <c r="Z1047" s="13">
        <v>3</v>
      </c>
      <c r="AA1047" s="13"/>
      <c r="AB1047" s="13"/>
      <c r="AC1047" s="13"/>
      <c r="AD1047" s="13"/>
      <c r="AE1047" s="13"/>
      <c r="AF1047" s="13"/>
      <c r="AG1047" s="16">
        <f>IFERROR(SUMIF(reading[[#This Row],[1st]:[7th]],"&gt;0")/COUNTIF(reading[[#This Row],[1st]:[7th]],"&gt;0"),"")</f>
        <v>3</v>
      </c>
    </row>
    <row r="1048" spans="1:33" hidden="1" x14ac:dyDescent="0.2">
      <c r="A1048" s="4">
        <f>IF(B1048=1,3,IF(D1048=1,2,IF(F1048=1,1,0)))</f>
        <v>0</v>
      </c>
      <c r="B1048" s="4" t="str">
        <f>IF(C1048=$L1048,1,IF(C1048="","",0))</f>
        <v/>
      </c>
      <c r="C1048" s="42"/>
      <c r="D1048" s="4" t="str">
        <f>IF(E1048=$L1048,1,IF(E1048="","",0))</f>
        <v/>
      </c>
      <c r="E1048" s="14"/>
      <c r="F1048" s="4" t="str">
        <f>IF(G1048=$L1048,1,IF(G1048="","",0))</f>
        <v/>
      </c>
      <c r="G1048" s="14"/>
      <c r="H1048" s="6">
        <v>611</v>
      </c>
      <c r="I1048" s="15" t="s">
        <v>3120</v>
      </c>
      <c r="J1048" s="6" t="s">
        <v>3753</v>
      </c>
      <c r="K1048" s="6"/>
      <c r="L1048" s="6" t="s">
        <v>735</v>
      </c>
      <c r="M1048" s="6" t="s">
        <v>6720</v>
      </c>
      <c r="N1048" s="7">
        <f ca="1">RAND()</f>
        <v>0.41708192536078981</v>
      </c>
      <c r="O1048" s="8">
        <v>45202</v>
      </c>
      <c r="P1048" s="8">
        <v>45203</v>
      </c>
      <c r="Q1048" s="8">
        <v>45205</v>
      </c>
      <c r="R1048" s="8">
        <v>45209</v>
      </c>
      <c r="S1048" s="8">
        <v>45216</v>
      </c>
      <c r="T1048" s="8">
        <v>45228</v>
      </c>
      <c r="U1048" s="8">
        <v>45801</v>
      </c>
      <c r="V1048" s="10">
        <f>COUNTA(O1048:U1048)</f>
        <v>7</v>
      </c>
      <c r="W1048" s="11">
        <f>_xlfn.IFNA(INDEX(reading[[#This Row],[Memo 01]:[Memo 07]],MATCH(0,reading[[#This Row],[Memo 01]:[Memo 07]],-1)),"")</f>
        <v>45801</v>
      </c>
      <c r="X1048" s="11">
        <f ca="1">IFERROR(reading[[#This Row],[Previous]]+OFFSET(reading[[#Headers],[Memo 01]],-1,MATCH(0,reading[[#This Row],[Memo 01]:[Memo 07]],-1)-1),"")</f>
        <v>55801</v>
      </c>
      <c r="Y1048" s="10" t="str">
        <f ca="1">IF(reading[[#This Row],[Next]]&lt;&gt;"",IF(reading[[#This Row],[Next]]&gt;TODAY(),"OK",""),"")</f>
        <v>OK</v>
      </c>
      <c r="Z1048" s="13">
        <v>3</v>
      </c>
      <c r="AA1048" s="13">
        <v>3</v>
      </c>
      <c r="AB1048" s="13">
        <v>3</v>
      </c>
      <c r="AC1048" s="13">
        <v>3</v>
      </c>
      <c r="AD1048" s="13">
        <v>3</v>
      </c>
      <c r="AE1048" s="13">
        <v>3</v>
      </c>
      <c r="AF1048" s="13">
        <v>3</v>
      </c>
      <c r="AG1048" s="16">
        <f>IFERROR(SUMIF(reading[[#This Row],[1st]:[7th]],"&gt;0")/COUNTIF(reading[[#This Row],[1st]:[7th]],"&gt;0"),"")</f>
        <v>3</v>
      </c>
    </row>
    <row r="1049" spans="1:33" x14ac:dyDescent="0.2">
      <c r="A1049" s="4">
        <f>IF(B1049=1,3,IF(D1049=1,2,IF(F1049=1,1,0)))</f>
        <v>3</v>
      </c>
      <c r="B1049" s="4">
        <f>IF(C1049=$L1049,1,IF(C1049="","",0))</f>
        <v>1</v>
      </c>
      <c r="C1049" s="42" t="s">
        <v>9306</v>
      </c>
      <c r="D1049" s="4" t="str">
        <f>IF(E1049=$L1049,1,IF(E1049="","",0))</f>
        <v/>
      </c>
      <c r="E1049" s="14"/>
      <c r="F1049" s="4" t="str">
        <f>IF(G1049=$L1049,1,IF(G1049="","",0))</f>
        <v/>
      </c>
      <c r="G1049" s="14"/>
      <c r="H1049" s="6">
        <v>2413</v>
      </c>
      <c r="I1049" s="15" t="s">
        <v>3120</v>
      </c>
      <c r="J1049" s="6" t="s">
        <v>5484</v>
      </c>
      <c r="K1049" s="6"/>
      <c r="L1049" s="6" t="s">
        <v>2463</v>
      </c>
      <c r="M1049" s="6" t="s">
        <v>8518</v>
      </c>
      <c r="N1049" s="7">
        <f ca="1">RAND()</f>
        <v>0.42653509312261884</v>
      </c>
      <c r="O1049" s="8">
        <v>45218</v>
      </c>
      <c r="P1049" s="8">
        <v>45219</v>
      </c>
      <c r="Q1049" s="8">
        <v>45221</v>
      </c>
      <c r="R1049" s="8">
        <v>45225</v>
      </c>
      <c r="S1049" s="8">
        <v>45232</v>
      </c>
      <c r="T1049" s="8"/>
      <c r="U1049" s="8"/>
      <c r="V1049" s="10">
        <f>COUNTA(O1049:U1049)</f>
        <v>5</v>
      </c>
      <c r="W1049" s="11">
        <f>_xlfn.IFNA(INDEX(reading[[#This Row],[Memo 01]:[Memo 07]],MATCH(0,reading[[#This Row],[Memo 01]:[Memo 07]],-1)),"")</f>
        <v>45232</v>
      </c>
      <c r="X1049" s="11">
        <f ca="1">IFERROR(reading[[#This Row],[Previous]]+OFFSET(reading[[#Headers],[Memo 01]],-1,MATCH(0,reading[[#This Row],[Memo 01]:[Memo 07]],-1)-1),"")</f>
        <v>45244</v>
      </c>
      <c r="Y1049" s="10" t="str">
        <f ca="1">IF(reading[[#This Row],[Next]]&lt;&gt;"",IF(reading[[#This Row],[Next]]&gt;TODAY(),"OK",""),"")</f>
        <v/>
      </c>
      <c r="Z1049" s="13">
        <v>3</v>
      </c>
      <c r="AA1049" s="13">
        <v>3</v>
      </c>
      <c r="AB1049" s="13">
        <v>3</v>
      </c>
      <c r="AC1049" s="13">
        <v>3</v>
      </c>
      <c r="AD1049" s="13">
        <v>3</v>
      </c>
      <c r="AE1049" s="13"/>
      <c r="AF1049" s="13"/>
      <c r="AG1049" s="16">
        <f>IFERROR(SUMIF(reading[[#This Row],[1st]:[7th]],"&gt;0")/COUNTIF(reading[[#This Row],[1st]:[7th]],"&gt;0"),"")</f>
        <v>3</v>
      </c>
    </row>
    <row r="1050" spans="1:33" hidden="1" x14ac:dyDescent="0.2">
      <c r="A1050" s="4">
        <f>IF(B1050=1,3,IF(D1050=1,2,IF(F1050=1,1,0)))</f>
        <v>0</v>
      </c>
      <c r="B1050" s="4" t="str">
        <f>IF(C1050=$L1050,1,IF(C1050="","",0))</f>
        <v/>
      </c>
      <c r="C1050" s="42"/>
      <c r="D1050" s="4" t="str">
        <f>IF(E1050=$L1050,1,IF(E1050="","",0))</f>
        <v/>
      </c>
      <c r="E1050" s="23"/>
      <c r="F1050" s="4" t="str">
        <f>IF(G1050=$L1050,1,IF(G1050="","",0))</f>
        <v/>
      </c>
      <c r="G1050" s="23"/>
      <c r="H1050" s="6">
        <v>1334</v>
      </c>
      <c r="I1050" s="15" t="s">
        <v>3120</v>
      </c>
      <c r="J1050" s="6" t="s">
        <v>3191</v>
      </c>
      <c r="K1050" s="6" t="s">
        <v>3138</v>
      </c>
      <c r="L1050" s="6" t="s">
        <v>1431</v>
      </c>
      <c r="M1050" s="6" t="s">
        <v>7441</v>
      </c>
      <c r="N1050" s="7">
        <f ca="1">RAND()</f>
        <v>0.20935428907395692</v>
      </c>
      <c r="O1050" s="8">
        <v>45207</v>
      </c>
      <c r="P1050" s="8">
        <v>45208</v>
      </c>
      <c r="Q1050" s="8">
        <v>45210</v>
      </c>
      <c r="R1050" s="8">
        <v>45214</v>
      </c>
      <c r="S1050" s="8">
        <v>45221</v>
      </c>
      <c r="T1050" s="8">
        <v>45233</v>
      </c>
      <c r="U1050" s="8">
        <v>45816</v>
      </c>
      <c r="V1050" s="10">
        <f>COUNTA(O1050:U1050)</f>
        <v>7</v>
      </c>
      <c r="W1050" s="11">
        <f>_xlfn.IFNA(INDEX(reading[[#This Row],[Memo 01]:[Memo 07]],MATCH(0,reading[[#This Row],[Memo 01]:[Memo 07]],-1)),"")</f>
        <v>45816</v>
      </c>
      <c r="X1050" s="11">
        <f ca="1">IFERROR(reading[[#This Row],[Previous]]+OFFSET(reading[[#Headers],[Memo 01]],-1,MATCH(0,reading[[#This Row],[Memo 01]:[Memo 07]],-1)-1),"")</f>
        <v>55816</v>
      </c>
      <c r="Y1050" s="10" t="str">
        <f ca="1">IF(reading[[#This Row],[Next]]&lt;&gt;"",IF(reading[[#This Row],[Next]]&gt;TODAY(),"OK",""),"")</f>
        <v>OK</v>
      </c>
      <c r="Z1050" s="13">
        <v>3</v>
      </c>
      <c r="AA1050" s="13">
        <v>2</v>
      </c>
      <c r="AB1050" s="13">
        <v>2</v>
      </c>
      <c r="AC1050" s="13">
        <v>3</v>
      </c>
      <c r="AD1050" s="13">
        <v>3</v>
      </c>
      <c r="AE1050" s="13">
        <v>2</v>
      </c>
      <c r="AF1050" s="13">
        <v>1</v>
      </c>
      <c r="AG1050" s="16">
        <f>IFERROR(SUMIF(reading[[#This Row],[1st]:[7th]],"&gt;0")/COUNTIF(reading[[#This Row],[1st]:[7th]],"&gt;0"),"")</f>
        <v>2.2857142857142856</v>
      </c>
    </row>
    <row r="1051" spans="1:33" hidden="1" x14ac:dyDescent="0.2">
      <c r="A1051" s="4">
        <f>IF(B1051=1,3,IF(D1051=1,2,IF(F1051=1,1,0)))</f>
        <v>0</v>
      </c>
      <c r="B1051" s="4" t="str">
        <f>IF(C1051=$L1051,1,IF(C1051="","",0))</f>
        <v/>
      </c>
      <c r="C1051" s="42"/>
      <c r="D1051" s="4" t="str">
        <f>IF(E1051=$L1051,1,IF(E1051="","",0))</f>
        <v/>
      </c>
      <c r="E1051" s="43"/>
      <c r="F1051" s="4" t="str">
        <f>IF(G1051=$L1051,1,IF(G1051="","",0))</f>
        <v/>
      </c>
      <c r="G1051" s="23"/>
      <c r="H1051" s="6">
        <v>2880</v>
      </c>
      <c r="I1051" s="15" t="s">
        <v>3120</v>
      </c>
      <c r="J1051" s="6" t="s">
        <v>5917</v>
      </c>
      <c r="K1051" s="6"/>
      <c r="L1051" s="6" t="s">
        <v>2911</v>
      </c>
      <c r="M1051" s="6" t="s">
        <v>8984</v>
      </c>
      <c r="N1051" s="7">
        <f ca="1">RAND()</f>
        <v>0.92500397642971011</v>
      </c>
      <c r="O1051" s="8">
        <v>45222</v>
      </c>
      <c r="P1051" s="8">
        <v>45223</v>
      </c>
      <c r="Q1051" s="8">
        <v>45225</v>
      </c>
      <c r="R1051" s="8">
        <v>45229</v>
      </c>
      <c r="S1051" s="8">
        <v>45236</v>
      </c>
      <c r="T1051" s="8">
        <v>45816</v>
      </c>
      <c r="U1051" s="8"/>
      <c r="V1051" s="10">
        <f>COUNTA(O1051:U1051)</f>
        <v>6</v>
      </c>
      <c r="W1051" s="11">
        <f>_xlfn.IFNA(INDEX(reading[[#This Row],[Memo 01]:[Memo 07]],MATCH(0,reading[[#This Row],[Memo 01]:[Memo 07]],-1)),"")</f>
        <v>45816</v>
      </c>
      <c r="X1051" s="11">
        <f ca="1">IFERROR(reading[[#This Row],[Previous]]+OFFSET(reading[[#Headers],[Memo 01]],-1,MATCH(0,reading[[#This Row],[Memo 01]:[Memo 07]],-1)-1),"")</f>
        <v>45836</v>
      </c>
      <c r="Y1051" s="10" t="str">
        <f ca="1">IF(reading[[#This Row],[Next]]&lt;&gt;"",IF(reading[[#This Row],[Next]]&gt;TODAY(),"OK",""),"")</f>
        <v>OK</v>
      </c>
      <c r="Z1051" s="13">
        <v>3</v>
      </c>
      <c r="AA1051" s="13">
        <v>3</v>
      </c>
      <c r="AB1051" s="13">
        <v>2</v>
      </c>
      <c r="AC1051" s="13">
        <v>3</v>
      </c>
      <c r="AD1051" s="13">
        <v>3</v>
      </c>
      <c r="AE1051" s="13">
        <v>1</v>
      </c>
      <c r="AF1051" s="13"/>
      <c r="AG1051" s="16">
        <f>IFERROR(SUMIF(reading[[#This Row],[1st]:[7th]],"&gt;0")/COUNTIF(reading[[#This Row],[1st]:[7th]],"&gt;0"),"")</f>
        <v>2.5</v>
      </c>
    </row>
    <row r="1052" spans="1:33" hidden="1" x14ac:dyDescent="0.2">
      <c r="A1052" s="4">
        <f>IF(B1052=1,3,IF(D1052=1,2,IF(F1052=1,1,0)))</f>
        <v>0</v>
      </c>
      <c r="B1052" s="4" t="str">
        <f>IF(C1052=$L1052,1,IF(C1052="","",0))</f>
        <v/>
      </c>
      <c r="C1052" s="42"/>
      <c r="D1052" s="4" t="str">
        <f>IF(E1052=$L1052,1,IF(E1052="","",0))</f>
        <v/>
      </c>
      <c r="E1052" s="14"/>
      <c r="F1052" s="4" t="str">
        <f>IF(G1052=$L1052,1,IF(G1052="","",0))</f>
        <v/>
      </c>
      <c r="G1052" s="14"/>
      <c r="H1052" s="6">
        <v>1147</v>
      </c>
      <c r="I1052" s="15" t="s">
        <v>3120</v>
      </c>
      <c r="J1052" s="6" t="s">
        <v>4268</v>
      </c>
      <c r="K1052" s="6"/>
      <c r="L1052" s="6" t="s">
        <v>1249</v>
      </c>
      <c r="M1052" s="6" t="s">
        <v>7255</v>
      </c>
      <c r="N1052" s="7">
        <f ca="1">RAND()</f>
        <v>0.7012371553598572</v>
      </c>
      <c r="O1052" s="8">
        <v>45205</v>
      </c>
      <c r="P1052" s="8">
        <v>45206</v>
      </c>
      <c r="Q1052" s="8">
        <v>45208</v>
      </c>
      <c r="R1052" s="8">
        <v>45212</v>
      </c>
      <c r="S1052" s="8">
        <v>45219</v>
      </c>
      <c r="T1052" s="8">
        <v>45231</v>
      </c>
      <c r="U1052" s="8">
        <v>45792</v>
      </c>
      <c r="V1052" s="10">
        <f>COUNTA(O1052:U1052)</f>
        <v>7</v>
      </c>
      <c r="W1052" s="11">
        <f>_xlfn.IFNA(INDEX(reading[[#This Row],[Memo 01]:[Memo 07]],MATCH(0,reading[[#This Row],[Memo 01]:[Memo 07]],-1)),"")</f>
        <v>45792</v>
      </c>
      <c r="X1052" s="11">
        <f ca="1">IFERROR(reading[[#This Row],[Previous]]+OFFSET(reading[[#Headers],[Memo 01]],-1,MATCH(0,reading[[#This Row],[Memo 01]:[Memo 07]],-1)-1),"")</f>
        <v>55792</v>
      </c>
      <c r="Y1052" s="10" t="str">
        <f ca="1">IF(reading[[#This Row],[Next]]&lt;&gt;"",IF(reading[[#This Row],[Next]]&gt;TODAY(),"OK",""),"")</f>
        <v>OK</v>
      </c>
      <c r="Z1052" s="13">
        <v>3</v>
      </c>
      <c r="AA1052" s="13">
        <v>3</v>
      </c>
      <c r="AB1052" s="13">
        <v>3</v>
      </c>
      <c r="AC1052" s="13">
        <v>3</v>
      </c>
      <c r="AD1052" s="13">
        <v>3</v>
      </c>
      <c r="AE1052" s="13">
        <v>3</v>
      </c>
      <c r="AF1052" s="13">
        <v>3</v>
      </c>
      <c r="AG1052" s="16">
        <f>IFERROR(SUMIF(reading[[#This Row],[1st]:[7th]],"&gt;0")/COUNTIF(reading[[#This Row],[1st]:[7th]],"&gt;0"),"")</f>
        <v>3</v>
      </c>
    </row>
    <row r="1053" spans="1:33" hidden="1" x14ac:dyDescent="0.2">
      <c r="A1053" s="4">
        <f>IF(B1053=1,3,IF(D1053=1,2,IF(F1053=1,1,0)))</f>
        <v>0</v>
      </c>
      <c r="B1053" s="4" t="str">
        <f>IF(C1053=$L1053,1,IF(C1053="","",0))</f>
        <v/>
      </c>
      <c r="C1053" s="42"/>
      <c r="D1053" s="4" t="str">
        <f>IF(E1053=$L1053,1,IF(E1053="","",0))</f>
        <v/>
      </c>
      <c r="E1053" s="23"/>
      <c r="F1053" s="4" t="str">
        <f>IF(G1053=$L1053,1,IF(G1053="","",0))</f>
        <v/>
      </c>
      <c r="G1053" s="14"/>
      <c r="H1053" s="6">
        <v>1483</v>
      </c>
      <c r="I1053" s="15" t="s">
        <v>3120</v>
      </c>
      <c r="J1053" s="6" t="s">
        <v>4597</v>
      </c>
      <c r="K1053" s="24" t="s">
        <v>9227</v>
      </c>
      <c r="L1053" s="6" t="s">
        <v>1569</v>
      </c>
      <c r="M1053" s="6" t="s">
        <v>7590</v>
      </c>
      <c r="N1053" s="7">
        <f ca="1">RAND()</f>
        <v>0.54267444709045165</v>
      </c>
      <c r="O1053" s="8">
        <v>45208</v>
      </c>
      <c r="P1053" s="8">
        <v>45209</v>
      </c>
      <c r="Q1053" s="8">
        <v>45211</v>
      </c>
      <c r="R1053" s="8">
        <v>45215</v>
      </c>
      <c r="S1053" s="8">
        <v>45222</v>
      </c>
      <c r="T1053" s="8">
        <v>45234</v>
      </c>
      <c r="U1053" s="8">
        <v>45815</v>
      </c>
      <c r="V1053" s="10">
        <f>COUNTA(O1053:U1053)</f>
        <v>7</v>
      </c>
      <c r="W1053" s="11">
        <f>_xlfn.IFNA(INDEX(reading[[#This Row],[Memo 01]:[Memo 07]],MATCH(0,reading[[#This Row],[Memo 01]:[Memo 07]],-1)),"")</f>
        <v>45815</v>
      </c>
      <c r="X1053" s="11">
        <f ca="1">IFERROR(reading[[#This Row],[Previous]]+OFFSET(reading[[#Headers],[Memo 01]],-1,MATCH(0,reading[[#This Row],[Memo 01]:[Memo 07]],-1)-1),"")</f>
        <v>55815</v>
      </c>
      <c r="Y1053" s="10" t="str">
        <f ca="1">IF(reading[[#This Row],[Next]]&lt;&gt;"",IF(reading[[#This Row],[Next]]&gt;TODAY(),"OK",""),"")</f>
        <v>OK</v>
      </c>
      <c r="Z1053" s="13">
        <v>3</v>
      </c>
      <c r="AA1053" s="13">
        <v>2</v>
      </c>
      <c r="AB1053" s="13">
        <v>3</v>
      </c>
      <c r="AC1053" s="13">
        <v>2</v>
      </c>
      <c r="AD1053" s="13">
        <v>3</v>
      </c>
      <c r="AE1053" s="13">
        <v>3</v>
      </c>
      <c r="AF1053" s="13">
        <v>2</v>
      </c>
      <c r="AG1053" s="16">
        <f>IFERROR(SUMIF(reading[[#This Row],[1st]:[7th]],"&gt;0")/COUNTIF(reading[[#This Row],[1st]:[7th]],"&gt;0"),"")</f>
        <v>2.5714285714285716</v>
      </c>
    </row>
    <row r="1054" spans="1:33" hidden="1" x14ac:dyDescent="0.2">
      <c r="A1054" s="4">
        <f>IF(B1054=1,3,IF(D1054=1,2,IF(F1054=1,1,0)))</f>
        <v>0</v>
      </c>
      <c r="B1054" s="4" t="str">
        <f>IF(C1054=$L1054,1,IF(C1054="","",0))</f>
        <v/>
      </c>
      <c r="C1054" s="42"/>
      <c r="D1054" s="4" t="str">
        <f>IF(E1054=$L1054,1,IF(E1054="","",0))</f>
        <v/>
      </c>
      <c r="E1054" s="14"/>
      <c r="F1054" s="4" t="str">
        <f>IF(G1054=$L1054,1,IF(G1054="","",0))</f>
        <v/>
      </c>
      <c r="G1054" s="14"/>
      <c r="H1054" s="6">
        <v>1174</v>
      </c>
      <c r="I1054" s="15" t="s">
        <v>3120</v>
      </c>
      <c r="J1054" s="6" t="s">
        <v>4293</v>
      </c>
      <c r="K1054" s="6"/>
      <c r="L1054" s="6" t="s">
        <v>1276</v>
      </c>
      <c r="M1054" s="6" t="s">
        <v>7282</v>
      </c>
      <c r="N1054" s="7">
        <f ca="1">RAND()</f>
        <v>0.20259354500987004</v>
      </c>
      <c r="O1054" s="8">
        <v>45206</v>
      </c>
      <c r="P1054" s="8">
        <v>45207</v>
      </c>
      <c r="Q1054" s="8">
        <v>45209</v>
      </c>
      <c r="R1054" s="8">
        <v>45213</v>
      </c>
      <c r="S1054" s="8">
        <v>45220</v>
      </c>
      <c r="T1054" s="8">
        <v>45232</v>
      </c>
      <c r="U1054" s="8">
        <v>45792</v>
      </c>
      <c r="V1054" s="10">
        <f>COUNTA(O1054:U1054)</f>
        <v>7</v>
      </c>
      <c r="W1054" s="11">
        <f>_xlfn.IFNA(INDEX(reading[[#This Row],[Memo 01]:[Memo 07]],MATCH(0,reading[[#This Row],[Memo 01]:[Memo 07]],-1)),"")</f>
        <v>45792</v>
      </c>
      <c r="X1054" s="11">
        <f ca="1">IFERROR(reading[[#This Row],[Previous]]+OFFSET(reading[[#Headers],[Memo 01]],-1,MATCH(0,reading[[#This Row],[Memo 01]:[Memo 07]],-1)-1),"")</f>
        <v>55792</v>
      </c>
      <c r="Y1054" s="10" t="str">
        <f ca="1">IF(reading[[#This Row],[Next]]&lt;&gt;"",IF(reading[[#This Row],[Next]]&gt;TODAY(),"OK",""),"")</f>
        <v>OK</v>
      </c>
      <c r="Z1054" s="13">
        <v>3</v>
      </c>
      <c r="AA1054" s="13">
        <v>3</v>
      </c>
      <c r="AB1054" s="13">
        <v>3</v>
      </c>
      <c r="AC1054" s="13">
        <v>3</v>
      </c>
      <c r="AD1054" s="13">
        <v>3</v>
      </c>
      <c r="AE1054" s="13">
        <v>3</v>
      </c>
      <c r="AF1054" s="13">
        <v>3</v>
      </c>
      <c r="AG1054" s="16">
        <f>IFERROR(SUMIF(reading[[#This Row],[1st]:[7th]],"&gt;0")/COUNTIF(reading[[#This Row],[1st]:[7th]],"&gt;0"),"")</f>
        <v>3</v>
      </c>
    </row>
    <row r="1055" spans="1:33" hidden="1" x14ac:dyDescent="0.2">
      <c r="A1055" s="4">
        <f>IF(B1055=1,3,IF(D1055=1,2,IF(F1055=1,1,0)))</f>
        <v>3</v>
      </c>
      <c r="B1055" s="4">
        <f>IF(C1055=$L1055,1,IF(C1055="","",0))</f>
        <v>1</v>
      </c>
      <c r="C1055" s="25" t="s">
        <v>3122</v>
      </c>
      <c r="D1055" s="4" t="str">
        <f>IF(E1055=$L1055,1,IF(E1055="","",0))</f>
        <v/>
      </c>
      <c r="E1055" s="14"/>
      <c r="F1055" s="4" t="str">
        <f>IF(G1055=$L1055,1,IF(G1055="","",0))</f>
        <v/>
      </c>
      <c r="G1055" s="14"/>
      <c r="H1055" s="6">
        <v>1059</v>
      </c>
      <c r="I1055" s="15" t="s">
        <v>3120</v>
      </c>
      <c r="J1055" s="6" t="s">
        <v>4186</v>
      </c>
      <c r="K1055" s="6"/>
      <c r="L1055" s="6" t="s">
        <v>1167</v>
      </c>
      <c r="M1055" s="6" t="s">
        <v>7167</v>
      </c>
      <c r="N1055" s="7">
        <f ca="1">RAND()</f>
        <v>0.91072569305424589</v>
      </c>
      <c r="O1055" s="8">
        <v>45205</v>
      </c>
      <c r="P1055" s="8">
        <v>45205</v>
      </c>
      <c r="Q1055" s="8">
        <v>45205</v>
      </c>
      <c r="R1055" s="8">
        <v>45205</v>
      </c>
      <c r="S1055" s="8">
        <v>45205</v>
      </c>
      <c r="T1055" s="8">
        <v>45205</v>
      </c>
      <c r="U1055" s="8">
        <v>45205</v>
      </c>
      <c r="V1055" s="10">
        <f>COUNTA(O1055:U1055)</f>
        <v>7</v>
      </c>
      <c r="W1055" s="11">
        <f>_xlfn.IFNA(INDEX(reading[[#This Row],[Memo 01]:[Memo 07]],MATCH(0,reading[[#This Row],[Memo 01]:[Memo 07]],-1)),"")</f>
        <v>45205</v>
      </c>
      <c r="X1055" s="11">
        <f ca="1">IFERROR(reading[[#This Row],[Previous]]+OFFSET(reading[[#Headers],[Memo 01]],-1,MATCH(0,reading[[#This Row],[Memo 01]:[Memo 07]],-1)-1),"")</f>
        <v>55205</v>
      </c>
      <c r="Y1055" s="10" t="str">
        <f ca="1">IF(reading[[#This Row],[Next]]&lt;&gt;"",IF(reading[[#This Row],[Next]]&gt;TODAY(),"OK",""),"")</f>
        <v>OK</v>
      </c>
      <c r="Z1055" s="13">
        <v>3</v>
      </c>
      <c r="AA1055" s="13"/>
      <c r="AB1055" s="13"/>
      <c r="AC1055" s="13"/>
      <c r="AD1055" s="13"/>
      <c r="AE1055" s="13"/>
      <c r="AF1055" s="13"/>
      <c r="AG1055" s="16">
        <f>IFERROR(SUMIF(reading[[#This Row],[1st]:[7th]],"&gt;0")/COUNTIF(reading[[#This Row],[1st]:[7th]],"&gt;0"),"")</f>
        <v>3</v>
      </c>
    </row>
    <row r="1056" spans="1:33" hidden="1" x14ac:dyDescent="0.2">
      <c r="A1056" s="4">
        <f>IF(B1056=1,3,IF(D1056=1,2,IF(F1056=1,1,0)))</f>
        <v>0</v>
      </c>
      <c r="B1056" s="4" t="str">
        <f>IF(C1056=$L1056,1,IF(C1056="","",0))</f>
        <v/>
      </c>
      <c r="C1056" s="42"/>
      <c r="D1056" s="4" t="str">
        <f>IF(E1056=$L1056,1,IF(E1056="","",0))</f>
        <v/>
      </c>
      <c r="E1056" s="23"/>
      <c r="F1056" s="4" t="str">
        <f>IF(G1056=$L1056,1,IF(G1056="","",0))</f>
        <v/>
      </c>
      <c r="G1056" s="23"/>
      <c r="H1056" s="6">
        <v>2898</v>
      </c>
      <c r="I1056" s="15" t="s">
        <v>3120</v>
      </c>
      <c r="J1056" s="6" t="s">
        <v>5934</v>
      </c>
      <c r="K1056" s="6"/>
      <c r="L1056" s="6" t="s">
        <v>2928</v>
      </c>
      <c r="M1056" s="6" t="s">
        <v>9002</v>
      </c>
      <c r="N1056" s="7">
        <f ca="1">RAND()</f>
        <v>0.60538766646731557</v>
      </c>
      <c r="O1056" s="8">
        <v>45223</v>
      </c>
      <c r="P1056" s="8">
        <v>45224</v>
      </c>
      <c r="Q1056" s="8">
        <v>45226</v>
      </c>
      <c r="R1056" s="8">
        <v>45230</v>
      </c>
      <c r="S1056" s="8">
        <v>45237</v>
      </c>
      <c r="T1056" s="8">
        <v>45820</v>
      </c>
      <c r="U1056" s="8"/>
      <c r="V1056" s="10">
        <f>COUNTA(O1056:U1056)</f>
        <v>6</v>
      </c>
      <c r="W1056" s="11">
        <f>_xlfn.IFNA(INDEX(reading[[#This Row],[Memo 01]:[Memo 07]],MATCH(0,reading[[#This Row],[Memo 01]:[Memo 07]],-1)),"")</f>
        <v>45820</v>
      </c>
      <c r="X1056" s="11">
        <f ca="1">IFERROR(reading[[#This Row],[Previous]]+OFFSET(reading[[#Headers],[Memo 01]],-1,MATCH(0,reading[[#This Row],[Memo 01]:[Memo 07]],-1)-1),"")</f>
        <v>45840</v>
      </c>
      <c r="Y1056" s="10" t="str">
        <f ca="1">IF(reading[[#This Row],[Next]]&lt;&gt;"",IF(reading[[#This Row],[Next]]&gt;TODAY(),"OK",""),"")</f>
        <v>OK</v>
      </c>
      <c r="Z1056" s="13">
        <v>3</v>
      </c>
      <c r="AA1056" s="13">
        <v>3</v>
      </c>
      <c r="AB1056" s="13">
        <v>3</v>
      </c>
      <c r="AC1056" s="13">
        <v>3</v>
      </c>
      <c r="AD1056" s="13">
        <v>3</v>
      </c>
      <c r="AE1056" s="13">
        <v>2</v>
      </c>
      <c r="AF1056" s="13"/>
      <c r="AG1056" s="16">
        <f>IFERROR(SUMIF(reading[[#This Row],[1st]:[7th]],"&gt;0")/COUNTIF(reading[[#This Row],[1st]:[7th]],"&gt;0"),"")</f>
        <v>2.8333333333333335</v>
      </c>
    </row>
    <row r="1057" spans="1:33" hidden="1" x14ac:dyDescent="0.2">
      <c r="A1057" s="4">
        <f>IF(B1057=1,3,IF(D1057=1,2,IF(F1057=1,1,0)))</f>
        <v>0</v>
      </c>
      <c r="B1057" s="4" t="str">
        <f>IF(C1057=$L1057,1,IF(C1057="","",0))</f>
        <v/>
      </c>
      <c r="C1057" s="42"/>
      <c r="D1057" s="4" t="str">
        <f>IF(E1057=$L1057,1,IF(E1057="","",0))</f>
        <v/>
      </c>
      <c r="E1057" s="14"/>
      <c r="F1057" s="4" t="str">
        <f>IF(G1057=$L1057,1,IF(G1057="","",0))</f>
        <v/>
      </c>
      <c r="G1057" s="14"/>
      <c r="H1057" s="6">
        <v>752</v>
      </c>
      <c r="I1057" s="15" t="s">
        <v>3120</v>
      </c>
      <c r="J1057" s="6" t="s">
        <v>3887</v>
      </c>
      <c r="K1057" s="6"/>
      <c r="L1057" s="6" t="s">
        <v>871</v>
      </c>
      <c r="M1057" s="6" t="s">
        <v>6861</v>
      </c>
      <c r="N1057" s="7">
        <f ca="1">RAND()</f>
        <v>0.8854428070338306</v>
      </c>
      <c r="O1057" s="8">
        <v>45203</v>
      </c>
      <c r="P1057" s="8">
        <v>45204</v>
      </c>
      <c r="Q1057" s="8">
        <v>45206</v>
      </c>
      <c r="R1057" s="8">
        <v>45210</v>
      </c>
      <c r="S1057" s="8">
        <v>45217</v>
      </c>
      <c r="T1057" s="8">
        <v>45229</v>
      </c>
      <c r="U1057" s="8">
        <v>45801</v>
      </c>
      <c r="V1057" s="10">
        <f>COUNTA(O1057:U1057)</f>
        <v>7</v>
      </c>
      <c r="W1057" s="11">
        <f>_xlfn.IFNA(INDEX(reading[[#This Row],[Memo 01]:[Memo 07]],MATCH(0,reading[[#This Row],[Memo 01]:[Memo 07]],-1)),"")</f>
        <v>45801</v>
      </c>
      <c r="X1057" s="11">
        <f ca="1">IFERROR(reading[[#This Row],[Previous]]+OFFSET(reading[[#Headers],[Memo 01]],-1,MATCH(0,reading[[#This Row],[Memo 01]:[Memo 07]],-1)-1),"")</f>
        <v>55801</v>
      </c>
      <c r="Y1057" s="10" t="str">
        <f ca="1">IF(reading[[#This Row],[Next]]&lt;&gt;"",IF(reading[[#This Row],[Next]]&gt;TODAY(),"OK",""),"")</f>
        <v>OK</v>
      </c>
      <c r="Z1057" s="13">
        <v>3</v>
      </c>
      <c r="AA1057" s="13">
        <v>3</v>
      </c>
      <c r="AB1057" s="13">
        <v>3</v>
      </c>
      <c r="AC1057" s="13">
        <v>3</v>
      </c>
      <c r="AD1057" s="13">
        <v>3</v>
      </c>
      <c r="AE1057" s="13">
        <v>3</v>
      </c>
      <c r="AF1057" s="13">
        <v>3</v>
      </c>
      <c r="AG1057" s="16">
        <f>IFERROR(SUMIF(reading[[#This Row],[1st]:[7th]],"&gt;0")/COUNTIF(reading[[#This Row],[1st]:[7th]],"&gt;0"),"")</f>
        <v>3</v>
      </c>
    </row>
    <row r="1058" spans="1:33" hidden="1" x14ac:dyDescent="0.2">
      <c r="A1058" s="4">
        <f>IF(B1058=1,3,IF(D1058=1,2,IF(F1058=1,1,0)))</f>
        <v>0</v>
      </c>
      <c r="B1058" s="4" t="str">
        <f>IF(C1058=$L1058,1,IF(C1058="","",0))</f>
        <v/>
      </c>
      <c r="C1058" s="42"/>
      <c r="D1058" s="4" t="str">
        <f>IF(E1058=$L1058,1,IF(E1058="","",0))</f>
        <v/>
      </c>
      <c r="E1058" s="18"/>
      <c r="F1058" s="4" t="str">
        <f>IF(G1058=$L1058,1,IF(G1058="","",0))</f>
        <v/>
      </c>
      <c r="G1058" s="14"/>
      <c r="H1058" s="6">
        <v>512</v>
      </c>
      <c r="I1058" s="15" t="s">
        <v>3120</v>
      </c>
      <c r="J1058" s="6" t="s">
        <v>3657</v>
      </c>
      <c r="K1058" s="6"/>
      <c r="L1058" s="6" t="s">
        <v>640</v>
      </c>
      <c r="M1058" s="6" t="s">
        <v>6621</v>
      </c>
      <c r="N1058" s="7">
        <f ca="1">RAND()</f>
        <v>0.67781859260752186</v>
      </c>
      <c r="O1058" s="8">
        <v>45203</v>
      </c>
      <c r="P1058" s="8">
        <v>45204</v>
      </c>
      <c r="Q1058" s="8">
        <v>45206</v>
      </c>
      <c r="R1058" s="8">
        <v>45210</v>
      </c>
      <c r="S1058" s="8">
        <v>45217</v>
      </c>
      <c r="T1058" s="8">
        <v>45229</v>
      </c>
      <c r="U1058" s="8">
        <v>45801</v>
      </c>
      <c r="V1058" s="10">
        <f>COUNTA(O1058:U1058)</f>
        <v>7</v>
      </c>
      <c r="W1058" s="11">
        <f>_xlfn.IFNA(INDEX(reading[[#This Row],[Memo 01]:[Memo 07]],MATCH(0,reading[[#This Row],[Memo 01]:[Memo 07]],-1)),"")</f>
        <v>45801</v>
      </c>
      <c r="X1058" s="11">
        <f ca="1">IFERROR(reading[[#This Row],[Previous]]+OFFSET(reading[[#Headers],[Memo 01]],-1,MATCH(0,reading[[#This Row],[Memo 01]:[Memo 07]],-1)-1),"")</f>
        <v>55801</v>
      </c>
      <c r="Y1058" s="10" t="str">
        <f ca="1">IF(reading[[#This Row],[Next]]&lt;&gt;"",IF(reading[[#This Row],[Next]]&gt;TODAY(),"OK",""),"")</f>
        <v>OK</v>
      </c>
      <c r="Z1058" s="13">
        <v>3</v>
      </c>
      <c r="AA1058" s="13">
        <v>2</v>
      </c>
      <c r="AB1058" s="13">
        <v>3</v>
      </c>
      <c r="AC1058" s="13">
        <v>3</v>
      </c>
      <c r="AD1058" s="13">
        <v>3</v>
      </c>
      <c r="AE1058" s="13">
        <v>3</v>
      </c>
      <c r="AF1058" s="13">
        <v>3</v>
      </c>
      <c r="AG1058" s="16">
        <f>IFERROR(SUMIF(reading[[#This Row],[1st]:[7th]],"&gt;0")/COUNTIF(reading[[#This Row],[1st]:[7th]],"&gt;0"),"")</f>
        <v>2.8571428571428572</v>
      </c>
    </row>
    <row r="1059" spans="1:33" hidden="1" x14ac:dyDescent="0.2">
      <c r="A1059" s="4">
        <f>IF(B1059=1,3,IF(D1059=1,2,IF(F1059=1,1,0)))</f>
        <v>0</v>
      </c>
      <c r="B1059" s="4" t="str">
        <f>IF(C1059=$L1059,1,IF(C1059="","",0))</f>
        <v/>
      </c>
      <c r="C1059" s="42"/>
      <c r="D1059" s="4" t="str">
        <f>IF(E1059=$L1059,1,IF(E1059="","",0))</f>
        <v/>
      </c>
      <c r="E1059" s="43"/>
      <c r="F1059" s="4" t="str">
        <f>IF(G1059=$L1059,1,IF(G1059="","",0))</f>
        <v/>
      </c>
      <c r="G1059" s="14"/>
      <c r="H1059" s="6">
        <v>2251</v>
      </c>
      <c r="I1059" s="15" t="s">
        <v>3120</v>
      </c>
      <c r="J1059" s="6" t="s">
        <v>5335</v>
      </c>
      <c r="K1059" s="6"/>
      <c r="L1059" s="6" t="s">
        <v>2313</v>
      </c>
      <c r="M1059" s="6" t="s">
        <v>8356</v>
      </c>
      <c r="N1059" s="7">
        <f ca="1">RAND()</f>
        <v>0.73754123381175563</v>
      </c>
      <c r="O1059" s="8">
        <v>45216</v>
      </c>
      <c r="P1059" s="8">
        <v>45217</v>
      </c>
      <c r="Q1059" s="8">
        <v>45219</v>
      </c>
      <c r="R1059" s="8">
        <v>45223</v>
      </c>
      <c r="S1059" s="8">
        <v>45230</v>
      </c>
      <c r="T1059" s="8">
        <v>45815</v>
      </c>
      <c r="U1059" s="8"/>
      <c r="V1059" s="10">
        <f>COUNTA(O1059:U1059)</f>
        <v>6</v>
      </c>
      <c r="W1059" s="11">
        <f>_xlfn.IFNA(INDEX(reading[[#This Row],[Memo 01]:[Memo 07]],MATCH(0,reading[[#This Row],[Memo 01]:[Memo 07]],-1)),"")</f>
        <v>45815</v>
      </c>
      <c r="X1059" s="11">
        <f ca="1">IFERROR(reading[[#This Row],[Previous]]+OFFSET(reading[[#Headers],[Memo 01]],-1,MATCH(0,reading[[#This Row],[Memo 01]:[Memo 07]],-1)-1),"")</f>
        <v>45835</v>
      </c>
      <c r="Y1059" s="10" t="str">
        <f ca="1">IF(reading[[#This Row],[Next]]&lt;&gt;"",IF(reading[[#This Row],[Next]]&gt;TODAY(),"OK",""),"")</f>
        <v>OK</v>
      </c>
      <c r="Z1059" s="13">
        <v>3</v>
      </c>
      <c r="AA1059" s="13">
        <v>3</v>
      </c>
      <c r="AB1059" s="13">
        <v>3</v>
      </c>
      <c r="AC1059" s="13">
        <v>2</v>
      </c>
      <c r="AD1059" s="13">
        <v>3</v>
      </c>
      <c r="AE1059" s="13">
        <v>2</v>
      </c>
      <c r="AF1059" s="13"/>
      <c r="AG1059" s="16">
        <f>IFERROR(SUMIF(reading[[#This Row],[1st]:[7th]],"&gt;0")/COUNTIF(reading[[#This Row],[1st]:[7th]],"&gt;0"),"")</f>
        <v>2.6666666666666665</v>
      </c>
    </row>
    <row r="1060" spans="1:33" hidden="1" x14ac:dyDescent="0.2">
      <c r="A1060" s="4">
        <f>IF(B1060=1,3,IF(D1060=1,2,IF(F1060=1,1,0)))</f>
        <v>0</v>
      </c>
      <c r="B1060" s="4">
        <f>IF(C1060=$L1060,1,IF(C1060="","",0))</f>
        <v>0</v>
      </c>
      <c r="C1060" s="42" t="s">
        <v>9200</v>
      </c>
      <c r="D1060" s="4">
        <f>IF(E1060=$L1060,1,IF(E1060="","",0))</f>
        <v>0</v>
      </c>
      <c r="E1060" s="23" t="s">
        <v>9270</v>
      </c>
      <c r="F1060" s="4" t="str">
        <f>IF(G1060=$L1060,1,IF(G1060="","",0))</f>
        <v/>
      </c>
      <c r="G1060" s="14"/>
      <c r="H1060" s="6">
        <v>2727</v>
      </c>
      <c r="I1060" s="15" t="s">
        <v>3120</v>
      </c>
      <c r="J1060" s="6" t="s">
        <v>4486</v>
      </c>
      <c r="K1060" s="15" t="s">
        <v>3138</v>
      </c>
      <c r="L1060" s="6" t="s">
        <v>2765</v>
      </c>
      <c r="M1060" s="6" t="s">
        <v>8832</v>
      </c>
      <c r="N1060" s="7">
        <f ca="1">RAND()</f>
        <v>0.20905072509242939</v>
      </c>
      <c r="O1060" s="8">
        <v>45221</v>
      </c>
      <c r="P1060" s="8">
        <v>45222</v>
      </c>
      <c r="Q1060" s="8">
        <v>45224</v>
      </c>
      <c r="R1060" s="8">
        <v>45228</v>
      </c>
      <c r="S1060" s="8">
        <v>45235</v>
      </c>
      <c r="T1060" s="8"/>
      <c r="U1060" s="8"/>
      <c r="V1060" s="10">
        <f>COUNTA(O1060:U1060)</f>
        <v>5</v>
      </c>
      <c r="W1060" s="11">
        <f>_xlfn.IFNA(INDEX(reading[[#This Row],[Memo 01]:[Memo 07]],MATCH(0,reading[[#This Row],[Memo 01]:[Memo 07]],-1)),"")</f>
        <v>45235</v>
      </c>
      <c r="X1060" s="11">
        <f ca="1">IFERROR(reading[[#This Row],[Previous]]+OFFSET(reading[[#Headers],[Memo 01]],-1,MATCH(0,reading[[#This Row],[Memo 01]:[Memo 07]],-1)-1),"")</f>
        <v>45247</v>
      </c>
      <c r="Y1060" s="10" t="str">
        <f ca="1">IF(reading[[#This Row],[Next]]&lt;&gt;"",IF(reading[[#This Row],[Next]]&gt;TODAY(),"OK",""),"")</f>
        <v/>
      </c>
      <c r="Z1060" s="13">
        <v>3</v>
      </c>
      <c r="AA1060" s="13">
        <v>3</v>
      </c>
      <c r="AB1060" s="13">
        <v>3</v>
      </c>
      <c r="AC1060" s="13">
        <v>3</v>
      </c>
      <c r="AD1060" s="13">
        <v>2</v>
      </c>
      <c r="AE1060" s="13"/>
      <c r="AF1060" s="13"/>
      <c r="AG1060" s="16">
        <f>IFERROR(SUMIF(reading[[#This Row],[1st]:[7th]],"&gt;0")/COUNTIF(reading[[#This Row],[1st]:[7th]],"&gt;0"),"")</f>
        <v>2.8</v>
      </c>
    </row>
    <row r="1061" spans="1:33" hidden="1" x14ac:dyDescent="0.2">
      <c r="A1061" s="4">
        <f>IF(B1061=1,3,IF(D1061=1,2,IF(F1061=1,1,0)))</f>
        <v>0</v>
      </c>
      <c r="B1061" s="4" t="str">
        <f>IF(C1061=$L1061,1,IF(C1061="","",0))</f>
        <v/>
      </c>
      <c r="C1061" s="42"/>
      <c r="D1061" s="4" t="str">
        <f>IF(E1061=$L1061,1,IF(E1061="","",0))</f>
        <v/>
      </c>
      <c r="E1061" s="14"/>
      <c r="F1061" s="4" t="str">
        <f>IF(G1061=$L1061,1,IF(G1061="","",0))</f>
        <v/>
      </c>
      <c r="G1061" s="14"/>
      <c r="H1061" s="6">
        <v>1372</v>
      </c>
      <c r="I1061" s="15" t="s">
        <v>3120</v>
      </c>
      <c r="J1061" s="6" t="s">
        <v>4486</v>
      </c>
      <c r="K1061" s="6"/>
      <c r="L1061" s="6" t="s">
        <v>1466</v>
      </c>
      <c r="M1061" s="6" t="s">
        <v>7479</v>
      </c>
      <c r="N1061" s="7">
        <f ca="1">RAND()</f>
        <v>0.89550545782067226</v>
      </c>
      <c r="O1061" s="8">
        <v>45207</v>
      </c>
      <c r="P1061" s="8">
        <v>45208</v>
      </c>
      <c r="Q1061" s="8">
        <v>45210</v>
      </c>
      <c r="R1061" s="8">
        <v>45214</v>
      </c>
      <c r="S1061" s="8">
        <v>45221</v>
      </c>
      <c r="T1061" s="8">
        <v>45233</v>
      </c>
      <c r="U1061" s="8">
        <v>45792</v>
      </c>
      <c r="V1061" s="10">
        <f>COUNTA(O1061:U1061)</f>
        <v>7</v>
      </c>
      <c r="W1061" s="11">
        <f>_xlfn.IFNA(INDEX(reading[[#This Row],[Memo 01]:[Memo 07]],MATCH(0,reading[[#This Row],[Memo 01]:[Memo 07]],-1)),"")</f>
        <v>45792</v>
      </c>
      <c r="X1061" s="11">
        <f ca="1">IFERROR(reading[[#This Row],[Previous]]+OFFSET(reading[[#Headers],[Memo 01]],-1,MATCH(0,reading[[#This Row],[Memo 01]:[Memo 07]],-1)-1),"")</f>
        <v>55792</v>
      </c>
      <c r="Y1061" s="10" t="str">
        <f ca="1">IF(reading[[#This Row],[Next]]&lt;&gt;"",IF(reading[[#This Row],[Next]]&gt;TODAY(),"OK",""),"")</f>
        <v>OK</v>
      </c>
      <c r="Z1061" s="13">
        <v>3</v>
      </c>
      <c r="AA1061" s="13">
        <v>3</v>
      </c>
      <c r="AB1061" s="13">
        <v>3</v>
      </c>
      <c r="AC1061" s="13">
        <v>3</v>
      </c>
      <c r="AD1061" s="13">
        <v>3</v>
      </c>
      <c r="AE1061" s="13">
        <v>3</v>
      </c>
      <c r="AF1061" s="13">
        <v>3</v>
      </c>
      <c r="AG1061" s="16">
        <f>IFERROR(SUMIF(reading[[#This Row],[1st]:[7th]],"&gt;0")/COUNTIF(reading[[#This Row],[1st]:[7th]],"&gt;0"),"")</f>
        <v>3</v>
      </c>
    </row>
    <row r="1062" spans="1:33" hidden="1" x14ac:dyDescent="0.2">
      <c r="A1062" s="4">
        <f>IF(B1062=1,3,IF(D1062=1,2,IF(F1062=1,1,0)))</f>
        <v>0</v>
      </c>
      <c r="B1062" s="4" t="str">
        <f>IF(C1062=$L1062,1,IF(C1062="","",0))</f>
        <v/>
      </c>
      <c r="C1062" s="42"/>
      <c r="D1062" s="4" t="str">
        <f>IF(E1062=$L1062,1,IF(E1062="","",0))</f>
        <v/>
      </c>
      <c r="E1062" s="23"/>
      <c r="F1062" s="4" t="str">
        <f>IF(G1062=$L1062,1,IF(G1062="","",0))</f>
        <v/>
      </c>
      <c r="G1062" s="14"/>
      <c r="H1062" s="6">
        <v>2637</v>
      </c>
      <c r="I1062" s="15" t="s">
        <v>3120</v>
      </c>
      <c r="J1062" s="6" t="s">
        <v>5691</v>
      </c>
      <c r="K1062" s="15" t="s">
        <v>3153</v>
      </c>
      <c r="L1062" s="6" t="s">
        <v>2678</v>
      </c>
      <c r="M1062" s="6" t="s">
        <v>8742</v>
      </c>
      <c r="N1062" s="7">
        <f ca="1">RAND()</f>
        <v>0.79817905304047831</v>
      </c>
      <c r="O1062" s="8">
        <v>45220</v>
      </c>
      <c r="P1062" s="8">
        <v>45221</v>
      </c>
      <c r="Q1062" s="8">
        <v>45223</v>
      </c>
      <c r="R1062" s="8">
        <v>45227</v>
      </c>
      <c r="S1062" s="8">
        <v>45234</v>
      </c>
      <c r="T1062" s="8">
        <v>45816</v>
      </c>
      <c r="U1062" s="8"/>
      <c r="V1062" s="10">
        <f>COUNTA(O1062:U1062)</f>
        <v>6</v>
      </c>
      <c r="W1062" s="11">
        <f>_xlfn.IFNA(INDEX(reading[[#This Row],[Memo 01]:[Memo 07]],MATCH(0,reading[[#This Row],[Memo 01]:[Memo 07]],-1)),"")</f>
        <v>45816</v>
      </c>
      <c r="X1062" s="11">
        <f ca="1">IFERROR(reading[[#This Row],[Previous]]+OFFSET(reading[[#Headers],[Memo 01]],-1,MATCH(0,reading[[#This Row],[Memo 01]:[Memo 07]],-1)-1),"")</f>
        <v>45836</v>
      </c>
      <c r="Y1062" s="10" t="str">
        <f ca="1">IF(reading[[#This Row],[Next]]&lt;&gt;"",IF(reading[[#This Row],[Next]]&gt;TODAY(),"OK",""),"")</f>
        <v>OK</v>
      </c>
      <c r="Z1062" s="13">
        <v>3</v>
      </c>
      <c r="AA1062" s="13">
        <v>3</v>
      </c>
      <c r="AB1062" s="13">
        <v>3</v>
      </c>
      <c r="AC1062" s="13">
        <v>3</v>
      </c>
      <c r="AD1062" s="13">
        <v>3</v>
      </c>
      <c r="AE1062" s="13">
        <v>2</v>
      </c>
      <c r="AF1062" s="13"/>
      <c r="AG1062" s="16">
        <f>IFERROR(SUMIF(reading[[#This Row],[1st]:[7th]],"&gt;0")/COUNTIF(reading[[#This Row],[1st]:[7th]],"&gt;0"),"")</f>
        <v>2.8333333333333335</v>
      </c>
    </row>
    <row r="1063" spans="1:33" hidden="1" x14ac:dyDescent="0.2">
      <c r="A1063" s="4">
        <f>IF(B1063=1,3,IF(D1063=1,2,IF(F1063=1,1,0)))</f>
        <v>0</v>
      </c>
      <c r="B1063" s="4" t="str">
        <f>IF(C1063=$L1063,1,IF(C1063="","",0))</f>
        <v/>
      </c>
      <c r="C1063" s="42"/>
      <c r="D1063" s="4" t="str">
        <f>IF(E1063=$L1063,1,IF(E1063="","",0))</f>
        <v/>
      </c>
      <c r="E1063" s="23"/>
      <c r="F1063" s="4" t="str">
        <f>IF(G1063=$L1063,1,IF(G1063="","",0))</f>
        <v/>
      </c>
      <c r="G1063" s="14"/>
      <c r="H1063" s="6">
        <v>2157</v>
      </c>
      <c r="I1063" s="15" t="s">
        <v>3120</v>
      </c>
      <c r="J1063" s="6" t="s">
        <v>5245</v>
      </c>
      <c r="K1063" s="6"/>
      <c r="L1063" s="6" t="s">
        <v>2223</v>
      </c>
      <c r="M1063" s="6" t="s">
        <v>8263</v>
      </c>
      <c r="N1063" s="7">
        <f ca="1">RAND()</f>
        <v>0.38283175421892679</v>
      </c>
      <c r="O1063" s="8">
        <v>45214</v>
      </c>
      <c r="P1063" s="8">
        <v>45215</v>
      </c>
      <c r="Q1063" s="8">
        <v>45217</v>
      </c>
      <c r="R1063" s="8">
        <v>45221</v>
      </c>
      <c r="S1063" s="8">
        <v>45228</v>
      </c>
      <c r="T1063" s="8">
        <v>45816</v>
      </c>
      <c r="U1063" s="8"/>
      <c r="V1063" s="10">
        <f>COUNTA(O1063:U1063)</f>
        <v>6</v>
      </c>
      <c r="W1063" s="11">
        <f>_xlfn.IFNA(INDEX(reading[[#This Row],[Memo 01]:[Memo 07]],MATCH(0,reading[[#This Row],[Memo 01]:[Memo 07]],-1)),"")</f>
        <v>45816</v>
      </c>
      <c r="X1063" s="11">
        <f ca="1">IFERROR(reading[[#This Row],[Previous]]+OFFSET(reading[[#Headers],[Memo 01]],-1,MATCH(0,reading[[#This Row],[Memo 01]:[Memo 07]],-1)-1),"")</f>
        <v>45836</v>
      </c>
      <c r="Y1063" s="10" t="str">
        <f ca="1">IF(reading[[#This Row],[Next]]&lt;&gt;"",IF(reading[[#This Row],[Next]]&gt;TODAY(),"OK",""),"")</f>
        <v>OK</v>
      </c>
      <c r="Z1063" s="13">
        <v>3</v>
      </c>
      <c r="AA1063" s="13">
        <v>3</v>
      </c>
      <c r="AB1063" s="13">
        <v>3</v>
      </c>
      <c r="AC1063" s="13">
        <v>3</v>
      </c>
      <c r="AD1063" s="13">
        <v>3</v>
      </c>
      <c r="AE1063" s="13">
        <v>2</v>
      </c>
      <c r="AF1063" s="13"/>
      <c r="AG1063" s="16">
        <f>IFERROR(SUMIF(reading[[#This Row],[1st]:[7th]],"&gt;0")/COUNTIF(reading[[#This Row],[1st]:[7th]],"&gt;0"),"")</f>
        <v>2.8333333333333335</v>
      </c>
    </row>
    <row r="1064" spans="1:33" hidden="1" x14ac:dyDescent="0.2">
      <c r="A1064" s="4">
        <f>IF(B1064=1,3,IF(D1064=1,2,IF(F1064=1,1,0)))</f>
        <v>0</v>
      </c>
      <c r="B1064" s="4" t="str">
        <f>IF(C1064=$L1064,1,IF(C1064="","",0))</f>
        <v/>
      </c>
      <c r="C1064" s="42"/>
      <c r="D1064" s="4" t="str">
        <f>IF(E1064=$L1064,1,IF(E1064="","",0))</f>
        <v/>
      </c>
      <c r="E1064" s="43"/>
      <c r="F1064" s="4" t="str">
        <f>IF(G1064=$L1064,1,IF(G1064="","",0))</f>
        <v/>
      </c>
      <c r="G1064" s="14"/>
      <c r="H1064" s="6">
        <v>2360</v>
      </c>
      <c r="I1064" s="15" t="s">
        <v>3120</v>
      </c>
      <c r="J1064" s="6" t="s">
        <v>5437</v>
      </c>
      <c r="K1064" s="6"/>
      <c r="L1064" s="6" t="s">
        <v>2413</v>
      </c>
      <c r="M1064" s="6" t="s">
        <v>8465</v>
      </c>
      <c r="N1064" s="7">
        <f ca="1">RAND()</f>
        <v>0.45092748700417618</v>
      </c>
      <c r="O1064" s="8">
        <v>45217</v>
      </c>
      <c r="P1064" s="8">
        <v>45218</v>
      </c>
      <c r="Q1064" s="8">
        <v>45220</v>
      </c>
      <c r="R1064" s="8">
        <v>45224</v>
      </c>
      <c r="S1064" s="8">
        <v>45231</v>
      </c>
      <c r="T1064" s="8">
        <v>45251</v>
      </c>
      <c r="U1064" s="8">
        <v>45815</v>
      </c>
      <c r="V1064" s="10">
        <f>COUNTA(O1064:U1064)</f>
        <v>7</v>
      </c>
      <c r="W1064" s="11">
        <f>_xlfn.IFNA(INDEX(reading[[#This Row],[Memo 01]:[Memo 07]],MATCH(0,reading[[#This Row],[Memo 01]:[Memo 07]],-1)),"")</f>
        <v>45815</v>
      </c>
      <c r="X1064" s="11">
        <f ca="1">IFERROR(reading[[#This Row],[Previous]]+OFFSET(reading[[#Headers],[Memo 01]],-1,MATCH(0,reading[[#This Row],[Memo 01]:[Memo 07]],-1)-1),"")</f>
        <v>55815</v>
      </c>
      <c r="Y1064" s="10" t="str">
        <f ca="1">IF(reading[[#This Row],[Next]]&lt;&gt;"",IF(reading[[#This Row],[Next]]&gt;TODAY(),"OK",""),"")</f>
        <v>OK</v>
      </c>
      <c r="Z1064" s="13">
        <v>3</v>
      </c>
      <c r="AA1064" s="13">
        <v>2</v>
      </c>
      <c r="AB1064" s="13">
        <v>3</v>
      </c>
      <c r="AC1064" s="13">
        <v>3</v>
      </c>
      <c r="AD1064" s="13">
        <v>2</v>
      </c>
      <c r="AE1064" s="13">
        <v>3</v>
      </c>
      <c r="AF1064" s="13">
        <v>2</v>
      </c>
      <c r="AG1064" s="16">
        <f>IFERROR(SUMIF(reading[[#This Row],[1st]:[7th]],"&gt;0")/COUNTIF(reading[[#This Row],[1st]:[7th]],"&gt;0"),"")</f>
        <v>2.5714285714285716</v>
      </c>
    </row>
    <row r="1065" spans="1:33" hidden="1" x14ac:dyDescent="0.2">
      <c r="A1065" s="4">
        <f>IF(B1065=1,3,IF(D1065=1,2,IF(F1065=1,1,0)))</f>
        <v>0</v>
      </c>
      <c r="B1065" s="4" t="str">
        <f>IF(C1065=$L1065,1,IF(C1065="","",0))</f>
        <v/>
      </c>
      <c r="C1065" s="41"/>
      <c r="D1065" s="4" t="str">
        <f>IF(E1065=$L1065,1,IF(E1065="","",0))</f>
        <v/>
      </c>
      <c r="E1065" s="23"/>
      <c r="F1065" s="4" t="str">
        <f>IF(G1065=$L1065,1,IF(G1065="","",0))</f>
        <v/>
      </c>
      <c r="G1065" s="14"/>
      <c r="H1065" s="6">
        <v>518</v>
      </c>
      <c r="I1065" s="15" t="s">
        <v>3120</v>
      </c>
      <c r="J1065" s="6" t="s">
        <v>3663</v>
      </c>
      <c r="K1065" s="6"/>
      <c r="L1065" s="6" t="s">
        <v>646</v>
      </c>
      <c r="M1065" s="6" t="s">
        <v>6627</v>
      </c>
      <c r="N1065" s="7">
        <f ca="1">RAND()</f>
        <v>0.49763487089883529</v>
      </c>
      <c r="O1065" s="8">
        <v>45202</v>
      </c>
      <c r="P1065" s="8">
        <v>45203</v>
      </c>
      <c r="Q1065" s="8">
        <v>45205</v>
      </c>
      <c r="R1065" s="8">
        <v>45209</v>
      </c>
      <c r="S1065" s="8">
        <v>45216</v>
      </c>
      <c r="T1065" s="8">
        <v>45228</v>
      </c>
      <c r="U1065" s="8">
        <v>45250</v>
      </c>
      <c r="V1065" s="10">
        <f>COUNTA(O1065:U1065)</f>
        <v>7</v>
      </c>
      <c r="W1065" s="11">
        <f>_xlfn.IFNA(INDEX(reading[[#This Row],[Memo 01]:[Memo 07]],MATCH(0,reading[[#This Row],[Memo 01]:[Memo 07]],-1)),"")</f>
        <v>45250</v>
      </c>
      <c r="X1065" s="11">
        <f ca="1">IFERROR(reading[[#This Row],[Previous]]+OFFSET(reading[[#Headers],[Memo 01]],-1,MATCH(0,reading[[#This Row],[Memo 01]:[Memo 07]],-1)-1),"")</f>
        <v>55250</v>
      </c>
      <c r="Y1065" s="10" t="str">
        <f ca="1">IF(reading[[#This Row],[Next]]&lt;&gt;"",IF(reading[[#This Row],[Next]]&gt;TODAY(),"OK",""),"")</f>
        <v>OK</v>
      </c>
      <c r="Z1065" s="13">
        <v>3</v>
      </c>
      <c r="AA1065" s="13">
        <v>3</v>
      </c>
      <c r="AB1065" s="13">
        <v>2</v>
      </c>
      <c r="AC1065" s="13">
        <v>2</v>
      </c>
      <c r="AD1065" s="13">
        <v>3</v>
      </c>
      <c r="AE1065" s="13">
        <v>2</v>
      </c>
      <c r="AF1065" s="13">
        <v>1</v>
      </c>
      <c r="AG1065" s="16">
        <f>IFERROR(SUMIF(reading[[#This Row],[1st]:[7th]],"&gt;0")/COUNTIF(reading[[#This Row],[1st]:[7th]],"&gt;0"),"")</f>
        <v>2.2857142857142856</v>
      </c>
    </row>
    <row r="1066" spans="1:33" hidden="1" x14ac:dyDescent="0.2">
      <c r="A1066" s="4">
        <f>IF(B1066=1,3,IF(D1066=1,2,IF(F1066=1,1,0)))</f>
        <v>0</v>
      </c>
      <c r="B1066" s="4" t="str">
        <f>IF(C1066=$L1066,1,IF(C1066="","",0))</f>
        <v/>
      </c>
      <c r="C1066" s="42"/>
      <c r="D1066" s="4" t="str">
        <f>IF(E1066=$L1066,1,IF(E1066="","",0))</f>
        <v/>
      </c>
      <c r="E1066" s="23"/>
      <c r="F1066" s="4" t="str">
        <f>IF(G1066=$L1066,1,IF(G1066="","",0))</f>
        <v/>
      </c>
      <c r="G1066" s="14"/>
      <c r="H1066" s="6">
        <v>2694</v>
      </c>
      <c r="I1066" s="15" t="s">
        <v>3120</v>
      </c>
      <c r="J1066" s="6" t="s">
        <v>5745</v>
      </c>
      <c r="K1066" s="6"/>
      <c r="L1066" s="6" t="s">
        <v>2733</v>
      </c>
      <c r="M1066" s="6" t="s">
        <v>8799</v>
      </c>
      <c r="N1066" s="7">
        <f ca="1">RAND()</f>
        <v>0.28771214486638352</v>
      </c>
      <c r="O1066" s="8">
        <v>45220</v>
      </c>
      <c r="P1066" s="8">
        <v>45221</v>
      </c>
      <c r="Q1066" s="8">
        <v>45223</v>
      </c>
      <c r="R1066" s="8">
        <v>45227</v>
      </c>
      <c r="S1066" s="8">
        <v>45234</v>
      </c>
      <c r="T1066" s="8">
        <v>45816</v>
      </c>
      <c r="U1066" s="8"/>
      <c r="V1066" s="10">
        <f>COUNTA(O1066:U1066)</f>
        <v>6</v>
      </c>
      <c r="W1066" s="11">
        <f>_xlfn.IFNA(INDEX(reading[[#This Row],[Memo 01]:[Memo 07]],MATCH(0,reading[[#This Row],[Memo 01]:[Memo 07]],-1)),"")</f>
        <v>45816</v>
      </c>
      <c r="X1066" s="11">
        <f ca="1">IFERROR(reading[[#This Row],[Previous]]+OFFSET(reading[[#Headers],[Memo 01]],-1,MATCH(0,reading[[#This Row],[Memo 01]:[Memo 07]],-1)-1),"")</f>
        <v>45836</v>
      </c>
      <c r="Y1066" s="10" t="str">
        <f ca="1">IF(reading[[#This Row],[Next]]&lt;&gt;"",IF(reading[[#This Row],[Next]]&gt;TODAY(),"OK",""),"")</f>
        <v>OK</v>
      </c>
      <c r="Z1066" s="13">
        <v>3</v>
      </c>
      <c r="AA1066" s="13">
        <v>3</v>
      </c>
      <c r="AB1066" s="13">
        <v>3</v>
      </c>
      <c r="AC1066" s="13">
        <v>3</v>
      </c>
      <c r="AD1066" s="13">
        <v>3</v>
      </c>
      <c r="AE1066" s="13">
        <v>2</v>
      </c>
      <c r="AF1066" s="13"/>
      <c r="AG1066" s="16">
        <f>IFERROR(SUMIF(reading[[#This Row],[1st]:[7th]],"&gt;0")/COUNTIF(reading[[#This Row],[1st]:[7th]],"&gt;0"),"")</f>
        <v>2.8333333333333335</v>
      </c>
    </row>
    <row r="1067" spans="1:33" hidden="1" x14ac:dyDescent="0.2">
      <c r="A1067" s="4">
        <f>IF(B1067=1,3,IF(D1067=1,2,IF(F1067=1,1,0)))</f>
        <v>0</v>
      </c>
      <c r="B1067" s="4" t="str">
        <f>IF(C1067=$L1067,1,IF(C1067="","",0))</f>
        <v/>
      </c>
      <c r="C1067" s="42"/>
      <c r="D1067" s="4" t="str">
        <f>IF(E1067=$L1067,1,IF(E1067="","",0))</f>
        <v/>
      </c>
      <c r="E1067" s="43"/>
      <c r="F1067" s="4" t="str">
        <f>IF(G1067=$L1067,1,IF(G1067="","",0))</f>
        <v/>
      </c>
      <c r="G1067" s="43"/>
      <c r="H1067" s="6">
        <v>2702</v>
      </c>
      <c r="I1067" s="15" t="s">
        <v>3120</v>
      </c>
      <c r="J1067" s="6" t="s">
        <v>5752</v>
      </c>
      <c r="K1067" s="6"/>
      <c r="L1067" s="6" t="s">
        <v>2741</v>
      </c>
      <c r="M1067" s="6" t="s">
        <v>8807</v>
      </c>
      <c r="N1067" s="7">
        <f ca="1">RAND()</f>
        <v>0.43132117572626016</v>
      </c>
      <c r="O1067" s="8">
        <v>45221</v>
      </c>
      <c r="P1067" s="8">
        <v>45222</v>
      </c>
      <c r="Q1067" s="8">
        <v>45224</v>
      </c>
      <c r="R1067" s="8">
        <v>45228</v>
      </c>
      <c r="S1067" s="8">
        <v>45235</v>
      </c>
      <c r="T1067" s="8">
        <v>45249</v>
      </c>
      <c r="U1067" s="8">
        <v>45817</v>
      </c>
      <c r="V1067" s="10">
        <f>COUNTA(O1067:U1067)</f>
        <v>7</v>
      </c>
      <c r="W1067" s="11">
        <f>_xlfn.IFNA(INDEX(reading[[#This Row],[Memo 01]:[Memo 07]],MATCH(0,reading[[#This Row],[Memo 01]:[Memo 07]],-1)),"")</f>
        <v>45817</v>
      </c>
      <c r="X1067" s="11">
        <f ca="1">IFERROR(reading[[#This Row],[Previous]]+OFFSET(reading[[#Headers],[Memo 01]],-1,MATCH(0,reading[[#This Row],[Memo 01]:[Memo 07]],-1)-1),"")</f>
        <v>55817</v>
      </c>
      <c r="Y1067" s="10" t="str">
        <f ca="1">IF(reading[[#This Row],[Next]]&lt;&gt;"",IF(reading[[#This Row],[Next]]&gt;TODAY(),"OK",""),"")</f>
        <v>OK</v>
      </c>
      <c r="Z1067" s="13">
        <v>3</v>
      </c>
      <c r="AA1067" s="13">
        <v>3</v>
      </c>
      <c r="AB1067" s="13">
        <v>1</v>
      </c>
      <c r="AC1067" s="13">
        <v>2</v>
      </c>
      <c r="AD1067" s="13">
        <v>3</v>
      </c>
      <c r="AE1067" s="13">
        <v>2</v>
      </c>
      <c r="AF1067" s="13">
        <v>1</v>
      </c>
      <c r="AG1067" s="16">
        <f>IFERROR(SUMIF(reading[[#This Row],[1st]:[7th]],"&gt;0")/COUNTIF(reading[[#This Row],[1st]:[7th]],"&gt;0"),"")</f>
        <v>2.1428571428571428</v>
      </c>
    </row>
    <row r="1068" spans="1:33" hidden="1" x14ac:dyDescent="0.2">
      <c r="A1068" s="4">
        <f>IF(B1068=1,3,IF(D1068=1,2,IF(F1068=1,1,0)))</f>
        <v>0</v>
      </c>
      <c r="B1068" s="4" t="str">
        <f>IF(C1068=$L1068,1,IF(C1068="","",0))</f>
        <v/>
      </c>
      <c r="C1068" s="42"/>
      <c r="D1068" s="4" t="str">
        <f>IF(E1068=$L1068,1,IF(E1068="","",0))</f>
        <v/>
      </c>
      <c r="E1068" s="23"/>
      <c r="F1068" s="4" t="str">
        <f>IF(G1068=$L1068,1,IF(G1068="","",0))</f>
        <v/>
      </c>
      <c r="G1068" s="14"/>
      <c r="H1068" s="6">
        <v>2499</v>
      </c>
      <c r="I1068" s="15" t="s">
        <v>3120</v>
      </c>
      <c r="J1068" s="6" t="s">
        <v>5565</v>
      </c>
      <c r="K1068" s="6"/>
      <c r="L1068" s="6" t="s">
        <v>2545</v>
      </c>
      <c r="M1068" s="6" t="s">
        <v>8604</v>
      </c>
      <c r="N1068" s="7">
        <f ca="1">RAND()</f>
        <v>0.14376296174547287</v>
      </c>
      <c r="O1068" s="8">
        <v>45218</v>
      </c>
      <c r="P1068" s="8">
        <v>45219</v>
      </c>
      <c r="Q1068" s="8">
        <v>45221</v>
      </c>
      <c r="R1068" s="8">
        <v>45225</v>
      </c>
      <c r="S1068" s="8">
        <v>45232</v>
      </c>
      <c r="T1068" s="8">
        <v>45815</v>
      </c>
      <c r="U1068" s="8"/>
      <c r="V1068" s="10">
        <f>COUNTA(O1068:U1068)</f>
        <v>6</v>
      </c>
      <c r="W1068" s="11">
        <f>_xlfn.IFNA(INDEX(reading[[#This Row],[Memo 01]:[Memo 07]],MATCH(0,reading[[#This Row],[Memo 01]:[Memo 07]],-1)),"")</f>
        <v>45815</v>
      </c>
      <c r="X1068" s="11">
        <f ca="1">IFERROR(reading[[#This Row],[Previous]]+OFFSET(reading[[#Headers],[Memo 01]],-1,MATCH(0,reading[[#This Row],[Memo 01]:[Memo 07]],-1)-1),"")</f>
        <v>45835</v>
      </c>
      <c r="Y1068" s="10" t="str">
        <f ca="1">IF(reading[[#This Row],[Next]]&lt;&gt;"",IF(reading[[#This Row],[Next]]&gt;TODAY(),"OK",""),"")</f>
        <v>OK</v>
      </c>
      <c r="Z1068" s="13">
        <v>3</v>
      </c>
      <c r="AA1068" s="13">
        <v>3</v>
      </c>
      <c r="AB1068" s="13">
        <v>3</v>
      </c>
      <c r="AC1068" s="13">
        <v>3</v>
      </c>
      <c r="AD1068" s="13">
        <v>3</v>
      </c>
      <c r="AE1068" s="13">
        <v>2</v>
      </c>
      <c r="AF1068" s="13"/>
      <c r="AG1068" s="16">
        <f>IFERROR(SUMIF(reading[[#This Row],[1st]:[7th]],"&gt;0")/COUNTIF(reading[[#This Row],[1st]:[7th]],"&gt;0"),"")</f>
        <v>2.8333333333333335</v>
      </c>
    </row>
    <row r="1069" spans="1:33" hidden="1" x14ac:dyDescent="0.2">
      <c r="A1069" s="4">
        <f>IF(B1069=1,3,IF(D1069=1,2,IF(F1069=1,1,0)))</f>
        <v>0</v>
      </c>
      <c r="B1069" s="4" t="str">
        <f>IF(C1069=$L1069,1,IF(C1069="","",0))</f>
        <v/>
      </c>
      <c r="C1069" s="42"/>
      <c r="D1069" s="4" t="str">
        <f>IF(E1069=$L1069,1,IF(E1069="","",0))</f>
        <v/>
      </c>
      <c r="E1069" s="23"/>
      <c r="F1069" s="4" t="str">
        <f>IF(G1069=$L1069,1,IF(G1069="","",0))</f>
        <v/>
      </c>
      <c r="G1069" s="14"/>
      <c r="H1069" s="6">
        <v>1271</v>
      </c>
      <c r="I1069" s="15" t="s">
        <v>3120</v>
      </c>
      <c r="J1069" s="6" t="s">
        <v>4388</v>
      </c>
      <c r="K1069" s="6"/>
      <c r="L1069" s="6" t="s">
        <v>1369</v>
      </c>
      <c r="M1069" s="6" t="s">
        <v>7378</v>
      </c>
      <c r="N1069" s="7">
        <f ca="1">RAND()</f>
        <v>0.59951557419617418</v>
      </c>
      <c r="O1069" s="8">
        <v>45207</v>
      </c>
      <c r="P1069" s="8">
        <v>45208</v>
      </c>
      <c r="Q1069" s="8">
        <v>45210</v>
      </c>
      <c r="R1069" s="8">
        <v>45214</v>
      </c>
      <c r="S1069" s="8">
        <v>45221</v>
      </c>
      <c r="T1069" s="8">
        <v>45233</v>
      </c>
      <c r="U1069" s="8">
        <v>45815</v>
      </c>
      <c r="V1069" s="10">
        <f>COUNTA(O1069:U1069)</f>
        <v>7</v>
      </c>
      <c r="W1069" s="11">
        <f>_xlfn.IFNA(INDEX(reading[[#This Row],[Memo 01]:[Memo 07]],MATCH(0,reading[[#This Row],[Memo 01]:[Memo 07]],-1)),"")</f>
        <v>45815</v>
      </c>
      <c r="X1069" s="11">
        <f ca="1">IFERROR(reading[[#This Row],[Previous]]+OFFSET(reading[[#Headers],[Memo 01]],-1,MATCH(0,reading[[#This Row],[Memo 01]:[Memo 07]],-1)-1),"")</f>
        <v>55815</v>
      </c>
      <c r="Y1069" s="10" t="str">
        <f ca="1">IF(reading[[#This Row],[Next]]&lt;&gt;"",IF(reading[[#This Row],[Next]]&gt;TODAY(),"OK",""),"")</f>
        <v>OK</v>
      </c>
      <c r="Z1069" s="13">
        <v>3</v>
      </c>
      <c r="AA1069" s="13">
        <v>3</v>
      </c>
      <c r="AB1069" s="13">
        <v>3</v>
      </c>
      <c r="AC1069" s="13">
        <v>3</v>
      </c>
      <c r="AD1069" s="13">
        <v>3</v>
      </c>
      <c r="AE1069" s="13">
        <v>3</v>
      </c>
      <c r="AF1069" s="13">
        <v>2</v>
      </c>
      <c r="AG1069" s="16">
        <f>IFERROR(SUMIF(reading[[#This Row],[1st]:[7th]],"&gt;0")/COUNTIF(reading[[#This Row],[1st]:[7th]],"&gt;0"),"")</f>
        <v>2.8571428571428572</v>
      </c>
    </row>
    <row r="1070" spans="1:33" hidden="1" x14ac:dyDescent="0.2">
      <c r="A1070" s="4">
        <f>IF(B1070=1,3,IF(D1070=1,2,IF(F1070=1,1,0)))</f>
        <v>0</v>
      </c>
      <c r="B1070" s="4" t="str">
        <f>IF(C1070=$L1070,1,IF(C1070="","",0))</f>
        <v/>
      </c>
      <c r="C1070" s="42"/>
      <c r="D1070" s="4" t="str">
        <f>IF(E1070=$L1070,1,IF(E1070="","",0))</f>
        <v/>
      </c>
      <c r="E1070" s="23"/>
      <c r="F1070" s="4" t="str">
        <f>IF(G1070=$L1070,1,IF(G1070="","",0))</f>
        <v/>
      </c>
      <c r="G1070" s="23"/>
      <c r="H1070" s="6">
        <v>2934</v>
      </c>
      <c r="I1070" s="15" t="s">
        <v>3120</v>
      </c>
      <c r="J1070" s="6" t="s">
        <v>5969</v>
      </c>
      <c r="K1070" s="6"/>
      <c r="L1070" s="6" t="s">
        <v>2964</v>
      </c>
      <c r="M1070" s="6" t="s">
        <v>9038</v>
      </c>
      <c r="N1070" s="7">
        <f ca="1">RAND()</f>
        <v>0.89381402052667824</v>
      </c>
      <c r="O1070" s="8">
        <v>45223</v>
      </c>
      <c r="P1070" s="8">
        <v>45224</v>
      </c>
      <c r="Q1070" s="8">
        <v>45226</v>
      </c>
      <c r="R1070" s="8">
        <v>45230</v>
      </c>
      <c r="S1070" s="8">
        <v>45237</v>
      </c>
      <c r="T1070" s="8">
        <v>45817</v>
      </c>
      <c r="U1070" s="8"/>
      <c r="V1070" s="10">
        <f>COUNTA(O1070:U1070)</f>
        <v>6</v>
      </c>
      <c r="W1070" s="11">
        <f>_xlfn.IFNA(INDEX(reading[[#This Row],[Memo 01]:[Memo 07]],MATCH(0,reading[[#This Row],[Memo 01]:[Memo 07]],-1)),"")</f>
        <v>45817</v>
      </c>
      <c r="X1070" s="11">
        <f ca="1">IFERROR(reading[[#This Row],[Previous]]+OFFSET(reading[[#Headers],[Memo 01]],-1,MATCH(0,reading[[#This Row],[Memo 01]:[Memo 07]],-1)-1),"")</f>
        <v>45837</v>
      </c>
      <c r="Y1070" s="10" t="str">
        <f ca="1">IF(reading[[#This Row],[Next]]&lt;&gt;"",IF(reading[[#This Row],[Next]]&gt;TODAY(),"OK",""),"")</f>
        <v>OK</v>
      </c>
      <c r="Z1070" s="13">
        <v>3</v>
      </c>
      <c r="AA1070" s="13">
        <v>3</v>
      </c>
      <c r="AB1070" s="13">
        <v>3</v>
      </c>
      <c r="AC1070" s="13">
        <v>3</v>
      </c>
      <c r="AD1070" s="13">
        <v>3</v>
      </c>
      <c r="AE1070" s="13">
        <v>1</v>
      </c>
      <c r="AF1070" s="13"/>
      <c r="AG1070" s="16">
        <f>IFERROR(SUMIF(reading[[#This Row],[1st]:[7th]],"&gt;0")/COUNTIF(reading[[#This Row],[1st]:[7th]],"&gt;0"),"")</f>
        <v>2.6666666666666665</v>
      </c>
    </row>
    <row r="1071" spans="1:33" hidden="1" x14ac:dyDescent="0.2">
      <c r="A1071" s="4">
        <f>IF(B1071=1,3,IF(D1071=1,2,IF(F1071=1,1,0)))</f>
        <v>0</v>
      </c>
      <c r="B1071" s="4" t="str">
        <f>IF(C1071=$L1071,1,IF(C1071="","",0))</f>
        <v/>
      </c>
      <c r="C1071" s="42"/>
      <c r="D1071" s="4" t="str">
        <f>IF(E1071=$L1071,1,IF(E1071="","",0))</f>
        <v/>
      </c>
      <c r="E1071" s="23"/>
      <c r="F1071" s="4" t="str">
        <f>IF(G1071=$L1071,1,IF(G1071="","",0))</f>
        <v/>
      </c>
      <c r="G1071" s="14"/>
      <c r="H1071" s="6">
        <v>2444</v>
      </c>
      <c r="I1071" s="15" t="s">
        <v>3120</v>
      </c>
      <c r="J1071" s="6" t="s">
        <v>5514</v>
      </c>
      <c r="K1071" s="6"/>
      <c r="L1071" s="6" t="s">
        <v>34</v>
      </c>
      <c r="M1071" s="6" t="s">
        <v>8549</v>
      </c>
      <c r="N1071" s="7">
        <f ca="1">RAND()</f>
        <v>0.97980106557778024</v>
      </c>
      <c r="O1071" s="8">
        <v>45217</v>
      </c>
      <c r="P1071" s="8">
        <v>45218</v>
      </c>
      <c r="Q1071" s="8">
        <v>45220</v>
      </c>
      <c r="R1071" s="8">
        <v>45224</v>
      </c>
      <c r="S1071" s="8">
        <v>45231</v>
      </c>
      <c r="T1071" s="8">
        <v>45815</v>
      </c>
      <c r="U1071" s="8"/>
      <c r="V1071" s="10">
        <f>COUNTA(O1071:U1071)</f>
        <v>6</v>
      </c>
      <c r="W1071" s="11">
        <f>_xlfn.IFNA(INDEX(reading[[#This Row],[Memo 01]:[Memo 07]],MATCH(0,reading[[#This Row],[Memo 01]:[Memo 07]],-1)),"")</f>
        <v>45815</v>
      </c>
      <c r="X1071" s="11">
        <f ca="1">IFERROR(reading[[#This Row],[Previous]]+OFFSET(reading[[#Headers],[Memo 01]],-1,MATCH(0,reading[[#This Row],[Memo 01]:[Memo 07]],-1)-1),"")</f>
        <v>45835</v>
      </c>
      <c r="Y1071" s="10" t="str">
        <f ca="1">IF(reading[[#This Row],[Next]]&lt;&gt;"",IF(reading[[#This Row],[Next]]&gt;TODAY(),"OK",""),"")</f>
        <v>OK</v>
      </c>
      <c r="Z1071" s="13">
        <v>3</v>
      </c>
      <c r="AA1071" s="13">
        <v>3</v>
      </c>
      <c r="AB1071" s="13">
        <v>3</v>
      </c>
      <c r="AC1071" s="13">
        <v>3</v>
      </c>
      <c r="AD1071" s="13">
        <v>3</v>
      </c>
      <c r="AE1071" s="13">
        <v>2</v>
      </c>
      <c r="AF1071" s="13"/>
      <c r="AG1071" s="16">
        <f>IFERROR(SUMIF(reading[[#This Row],[1st]:[7th]],"&gt;0")/COUNTIF(reading[[#This Row],[1st]:[7th]],"&gt;0"),"")</f>
        <v>2.8333333333333335</v>
      </c>
    </row>
    <row r="1072" spans="1:33" hidden="1" x14ac:dyDescent="0.2">
      <c r="A1072" s="4">
        <f>IF(B1072=1,3,IF(D1072=1,2,IF(F1072=1,1,0)))</f>
        <v>0</v>
      </c>
      <c r="B1072" s="4" t="str">
        <f>IF(C1072=$L1072,1,IF(C1072="","",0))</f>
        <v/>
      </c>
      <c r="C1072" s="42"/>
      <c r="D1072" s="4" t="str">
        <f>IF(E1072=$L1072,1,IF(E1072="","",0))</f>
        <v/>
      </c>
      <c r="E1072" s="23"/>
      <c r="F1072" s="4" t="str">
        <f>IF(G1072=$L1072,1,IF(G1072="","",0))</f>
        <v/>
      </c>
      <c r="G1072" s="14"/>
      <c r="H1072" s="6">
        <v>435</v>
      </c>
      <c r="I1072" s="15" t="s">
        <v>3120</v>
      </c>
      <c r="J1072" s="6" t="s">
        <v>3581</v>
      </c>
      <c r="K1072" s="6" t="s">
        <v>3139</v>
      </c>
      <c r="L1072" s="6" t="s">
        <v>565</v>
      </c>
      <c r="M1072" s="6" t="s">
        <v>6544</v>
      </c>
      <c r="N1072" s="7">
        <f ca="1">RAND()</f>
        <v>0.1740316902369512</v>
      </c>
      <c r="O1072" s="8">
        <v>45201</v>
      </c>
      <c r="P1072" s="8">
        <v>45202</v>
      </c>
      <c r="Q1072" s="8">
        <v>45204</v>
      </c>
      <c r="R1072" s="8">
        <v>45208</v>
      </c>
      <c r="S1072" s="8">
        <v>45215</v>
      </c>
      <c r="T1072" s="8">
        <v>45227</v>
      </c>
      <c r="U1072" s="8">
        <v>45816</v>
      </c>
      <c r="V1072" s="10">
        <f>COUNTA(O1072:U1072)</f>
        <v>7</v>
      </c>
      <c r="W1072" s="11">
        <f>_xlfn.IFNA(INDEX(reading[[#This Row],[Memo 01]:[Memo 07]],MATCH(0,reading[[#This Row],[Memo 01]:[Memo 07]],-1)),"")</f>
        <v>45816</v>
      </c>
      <c r="X1072" s="11">
        <f ca="1">IFERROR(reading[[#This Row],[Previous]]+OFFSET(reading[[#Headers],[Memo 01]],-1,MATCH(0,reading[[#This Row],[Memo 01]:[Memo 07]],-1)-1),"")</f>
        <v>55816</v>
      </c>
      <c r="Y1072" s="10" t="str">
        <f ca="1">IF(reading[[#This Row],[Next]]&lt;&gt;"",IF(reading[[#This Row],[Next]]&gt;TODAY(),"OK",""),"")</f>
        <v>OK</v>
      </c>
      <c r="Z1072" s="13">
        <v>3</v>
      </c>
      <c r="AA1072" s="13">
        <v>3</v>
      </c>
      <c r="AB1072" s="13">
        <v>3</v>
      </c>
      <c r="AC1072" s="13">
        <v>2</v>
      </c>
      <c r="AD1072" s="13">
        <v>3</v>
      </c>
      <c r="AE1072" s="13">
        <v>3</v>
      </c>
      <c r="AF1072" s="13">
        <v>2</v>
      </c>
      <c r="AG1072" s="16">
        <f>IFERROR(SUMIF(reading[[#This Row],[1st]:[7th]],"&gt;0")/COUNTIF(reading[[#This Row],[1st]:[7th]],"&gt;0"),"")</f>
        <v>2.7142857142857144</v>
      </c>
    </row>
    <row r="1073" spans="1:33" hidden="1" x14ac:dyDescent="0.2">
      <c r="A1073" s="4">
        <f>IF(B1073=1,3,IF(D1073=1,2,IF(F1073=1,1,0)))</f>
        <v>0</v>
      </c>
      <c r="B1073" s="4" t="str">
        <f>IF(C1073=$L1073,1,IF(C1073="","",0))</f>
        <v/>
      </c>
      <c r="C1073" s="42"/>
      <c r="D1073" s="4" t="str">
        <f>IF(E1073=$L1073,1,IF(E1073="","",0))</f>
        <v/>
      </c>
      <c r="E1073" s="23"/>
      <c r="F1073" s="4" t="str">
        <f>IF(G1073=$L1073,1,IF(G1073="","",0))</f>
        <v/>
      </c>
      <c r="G1073" s="23"/>
      <c r="H1073" s="6">
        <v>2184</v>
      </c>
      <c r="I1073" s="15" t="s">
        <v>3120</v>
      </c>
      <c r="J1073" s="6" t="s">
        <v>5272</v>
      </c>
      <c r="K1073" s="6"/>
      <c r="L1073" s="6" t="s">
        <v>2249</v>
      </c>
      <c r="M1073" s="6" t="s">
        <v>8290</v>
      </c>
      <c r="N1073" s="7">
        <f ca="1">RAND()</f>
        <v>0.78999443062900032</v>
      </c>
      <c r="O1073" s="8">
        <v>45215</v>
      </c>
      <c r="P1073" s="8">
        <v>45216</v>
      </c>
      <c r="Q1073" s="8">
        <v>45218</v>
      </c>
      <c r="R1073" s="8">
        <v>45222</v>
      </c>
      <c r="S1073" s="8">
        <v>45229</v>
      </c>
      <c r="T1073" s="8">
        <v>45817</v>
      </c>
      <c r="U1073" s="8"/>
      <c r="V1073" s="10">
        <f>COUNTA(O1073:U1073)</f>
        <v>6</v>
      </c>
      <c r="W1073" s="11">
        <f>_xlfn.IFNA(INDEX(reading[[#This Row],[Memo 01]:[Memo 07]],MATCH(0,reading[[#This Row],[Memo 01]:[Memo 07]],-1)),"")</f>
        <v>45817</v>
      </c>
      <c r="X1073" s="11">
        <f ca="1">IFERROR(reading[[#This Row],[Previous]]+OFFSET(reading[[#Headers],[Memo 01]],-1,MATCH(0,reading[[#This Row],[Memo 01]:[Memo 07]],-1)-1),"")</f>
        <v>45837</v>
      </c>
      <c r="Y1073" s="10" t="str">
        <f ca="1">IF(reading[[#This Row],[Next]]&lt;&gt;"",IF(reading[[#This Row],[Next]]&gt;TODAY(),"OK",""),"")</f>
        <v>OK</v>
      </c>
      <c r="Z1073" s="13">
        <v>3</v>
      </c>
      <c r="AA1073" s="13">
        <v>3</v>
      </c>
      <c r="AB1073" s="13">
        <v>3</v>
      </c>
      <c r="AC1073" s="13">
        <v>3</v>
      </c>
      <c r="AD1073" s="13">
        <v>3</v>
      </c>
      <c r="AE1073" s="13">
        <v>1</v>
      </c>
      <c r="AF1073" s="13"/>
      <c r="AG1073" s="16">
        <f>IFERROR(SUMIF(reading[[#This Row],[1st]:[7th]],"&gt;0")/COUNTIF(reading[[#This Row],[1st]:[7th]],"&gt;0"),"")</f>
        <v>2.6666666666666665</v>
      </c>
    </row>
    <row r="1074" spans="1:33" hidden="1" x14ac:dyDescent="0.2">
      <c r="A1074" s="4">
        <f>IF(B1074=1,3,IF(D1074=1,2,IF(F1074=1,1,0)))</f>
        <v>0</v>
      </c>
      <c r="B1074" s="4" t="str">
        <f>IF(C1074=$L1074,1,IF(C1074="","",0))</f>
        <v/>
      </c>
      <c r="C1074" s="42"/>
      <c r="D1074" s="4" t="str">
        <f>IF(E1074=$L1074,1,IF(E1074="","",0))</f>
        <v/>
      </c>
      <c r="E1074" s="23"/>
      <c r="F1074" s="4" t="str">
        <f>IF(G1074=$L1074,1,IF(G1074="","",0))</f>
        <v/>
      </c>
      <c r="G1074" s="14"/>
      <c r="H1074" s="6">
        <v>2829</v>
      </c>
      <c r="I1074" s="15" t="s">
        <v>3120</v>
      </c>
      <c r="J1074" s="6" t="s">
        <v>5870</v>
      </c>
      <c r="K1074" s="15" t="s">
        <v>3140</v>
      </c>
      <c r="L1074" s="6" t="s">
        <v>2865</v>
      </c>
      <c r="M1074" s="6" t="s">
        <v>8933</v>
      </c>
      <c r="N1074" s="7">
        <f ca="1">RAND()</f>
        <v>0.5449491992831863</v>
      </c>
      <c r="O1074" s="8">
        <v>45222</v>
      </c>
      <c r="P1074" s="8">
        <v>45223</v>
      </c>
      <c r="Q1074" s="8">
        <v>45225</v>
      </c>
      <c r="R1074" s="8">
        <v>45229</v>
      </c>
      <c r="S1074" s="8">
        <v>45236</v>
      </c>
      <c r="T1074" s="8">
        <v>45816</v>
      </c>
      <c r="U1074" s="8"/>
      <c r="V1074" s="10">
        <f>COUNTA(O1074:U1074)</f>
        <v>6</v>
      </c>
      <c r="W1074" s="11">
        <f>_xlfn.IFNA(INDEX(reading[[#This Row],[Memo 01]:[Memo 07]],MATCH(0,reading[[#This Row],[Memo 01]:[Memo 07]],-1)),"")</f>
        <v>45816</v>
      </c>
      <c r="X1074" s="11">
        <f ca="1">IFERROR(reading[[#This Row],[Previous]]+OFFSET(reading[[#Headers],[Memo 01]],-1,MATCH(0,reading[[#This Row],[Memo 01]:[Memo 07]],-1)-1),"")</f>
        <v>45836</v>
      </c>
      <c r="Y1074" s="10" t="str">
        <f ca="1">IF(reading[[#This Row],[Next]]&lt;&gt;"",IF(reading[[#This Row],[Next]]&gt;TODAY(),"OK",""),"")</f>
        <v>OK</v>
      </c>
      <c r="Z1074" s="13">
        <v>3</v>
      </c>
      <c r="AA1074" s="13">
        <v>3</v>
      </c>
      <c r="AB1074" s="13">
        <v>3</v>
      </c>
      <c r="AC1074" s="13">
        <v>3</v>
      </c>
      <c r="AD1074" s="13">
        <v>3</v>
      </c>
      <c r="AE1074" s="13">
        <v>2</v>
      </c>
      <c r="AF1074" s="13"/>
      <c r="AG1074" s="16">
        <f>IFERROR(SUMIF(reading[[#This Row],[1st]:[7th]],"&gt;0")/COUNTIF(reading[[#This Row],[1st]:[7th]],"&gt;0"),"")</f>
        <v>2.8333333333333335</v>
      </c>
    </row>
    <row r="1075" spans="1:33" hidden="1" x14ac:dyDescent="0.2">
      <c r="A1075" s="4">
        <f>IF(B1075=1,3,IF(D1075=1,2,IF(F1075=1,1,0)))</f>
        <v>0</v>
      </c>
      <c r="B1075" s="4" t="str">
        <f>IF(C1075=$L1075,1,IF(C1075="","",0))</f>
        <v/>
      </c>
      <c r="C1075" s="42"/>
      <c r="D1075" s="4" t="str">
        <f>IF(E1075=$L1075,1,IF(E1075="","",0))</f>
        <v/>
      </c>
      <c r="E1075" s="43"/>
      <c r="F1075" s="4" t="str">
        <f>IF(G1075=$L1075,1,IF(G1075="","",0))</f>
        <v/>
      </c>
      <c r="G1075" s="14"/>
      <c r="H1075" s="6">
        <v>1818</v>
      </c>
      <c r="I1075" s="15" t="s">
        <v>3120</v>
      </c>
      <c r="J1075" s="6" t="s">
        <v>4923</v>
      </c>
      <c r="K1075" s="6"/>
      <c r="L1075" s="6" t="s">
        <v>1896</v>
      </c>
      <c r="M1075" s="6" t="s">
        <v>7924</v>
      </c>
      <c r="N1075" s="7">
        <f ca="1">RAND()</f>
        <v>0.47534101018817043</v>
      </c>
      <c r="O1075" s="8">
        <v>45213</v>
      </c>
      <c r="P1075" s="8">
        <v>45214</v>
      </c>
      <c r="Q1075" s="8">
        <v>45216</v>
      </c>
      <c r="R1075" s="8">
        <v>45220</v>
      </c>
      <c r="S1075" s="8">
        <v>45227</v>
      </c>
      <c r="T1075" s="8">
        <v>45815</v>
      </c>
      <c r="U1075" s="8"/>
      <c r="V1075" s="10">
        <f>COUNTA(O1075:U1075)</f>
        <v>6</v>
      </c>
      <c r="W1075" s="11">
        <f>_xlfn.IFNA(INDEX(reading[[#This Row],[Memo 01]:[Memo 07]],MATCH(0,reading[[#This Row],[Memo 01]:[Memo 07]],-1)),"")</f>
        <v>45815</v>
      </c>
      <c r="X1075" s="11">
        <f ca="1">IFERROR(reading[[#This Row],[Previous]]+OFFSET(reading[[#Headers],[Memo 01]],-1,MATCH(0,reading[[#This Row],[Memo 01]:[Memo 07]],-1)-1),"")</f>
        <v>45835</v>
      </c>
      <c r="Y1075" s="10" t="str">
        <f ca="1">IF(reading[[#This Row],[Next]]&lt;&gt;"",IF(reading[[#This Row],[Next]]&gt;TODAY(),"OK",""),"")</f>
        <v>OK</v>
      </c>
      <c r="Z1075" s="13">
        <v>3</v>
      </c>
      <c r="AA1075" s="13">
        <v>3</v>
      </c>
      <c r="AB1075" s="13">
        <v>2</v>
      </c>
      <c r="AC1075" s="13">
        <v>3</v>
      </c>
      <c r="AD1075" s="13">
        <v>3</v>
      </c>
      <c r="AE1075" s="13">
        <v>2</v>
      </c>
      <c r="AF1075" s="13"/>
      <c r="AG1075" s="16">
        <f>IFERROR(SUMIF(reading[[#This Row],[1st]:[7th]],"&gt;0")/COUNTIF(reading[[#This Row],[1st]:[7th]],"&gt;0"),"")</f>
        <v>2.6666666666666665</v>
      </c>
    </row>
    <row r="1076" spans="1:33" hidden="1" x14ac:dyDescent="0.2">
      <c r="A1076" s="4">
        <f>IF(B1076=1,3,IF(D1076=1,2,IF(F1076=1,1,0)))</f>
        <v>3</v>
      </c>
      <c r="B1076" s="4">
        <f>IF(C1076=$L1076,1,IF(C1076="","",0))</f>
        <v>1</v>
      </c>
      <c r="C1076" s="25" t="s">
        <v>3127</v>
      </c>
      <c r="D1076" s="4" t="str">
        <f>IF(E1076=$L1076,1,IF(E1076="","",0))</f>
        <v/>
      </c>
      <c r="E1076" s="14"/>
      <c r="F1076" s="4" t="str">
        <f>IF(G1076=$L1076,1,IF(G1076="","",0))</f>
        <v/>
      </c>
      <c r="G1076" s="14"/>
      <c r="H1076" s="6">
        <v>1080</v>
      </c>
      <c r="I1076" s="15" t="s">
        <v>3120</v>
      </c>
      <c r="J1076" s="6" t="s">
        <v>4204</v>
      </c>
      <c r="K1076" s="6"/>
      <c r="L1076" s="6" t="s">
        <v>1187</v>
      </c>
      <c r="M1076" s="6" t="s">
        <v>7188</v>
      </c>
      <c r="N1076" s="7">
        <f ca="1">RAND()</f>
        <v>0.2480497296257379</v>
      </c>
      <c r="O1076" s="8">
        <v>45205</v>
      </c>
      <c r="P1076" s="8">
        <v>45205</v>
      </c>
      <c r="Q1076" s="8">
        <v>45205</v>
      </c>
      <c r="R1076" s="8">
        <v>45205</v>
      </c>
      <c r="S1076" s="8">
        <v>45205</v>
      </c>
      <c r="T1076" s="8">
        <v>45205</v>
      </c>
      <c r="U1076" s="8">
        <v>45205</v>
      </c>
      <c r="V1076" s="10">
        <f>COUNTA(O1076:U1076)</f>
        <v>7</v>
      </c>
      <c r="W1076" s="11">
        <f>_xlfn.IFNA(INDEX(reading[[#This Row],[Memo 01]:[Memo 07]],MATCH(0,reading[[#This Row],[Memo 01]:[Memo 07]],-1)),"")</f>
        <v>45205</v>
      </c>
      <c r="X1076" s="11">
        <f ca="1">IFERROR(reading[[#This Row],[Previous]]+OFFSET(reading[[#Headers],[Memo 01]],-1,MATCH(0,reading[[#This Row],[Memo 01]:[Memo 07]],-1)-1),"")</f>
        <v>55205</v>
      </c>
      <c r="Y1076" s="10" t="str">
        <f ca="1">IF(reading[[#This Row],[Next]]&lt;&gt;"",IF(reading[[#This Row],[Next]]&gt;TODAY(),"OK",""),"")</f>
        <v>OK</v>
      </c>
      <c r="Z1076" s="13">
        <v>3</v>
      </c>
      <c r="AA1076" s="13"/>
      <c r="AB1076" s="13"/>
      <c r="AC1076" s="13"/>
      <c r="AD1076" s="13"/>
      <c r="AE1076" s="13"/>
      <c r="AF1076" s="13"/>
      <c r="AG1076" s="16">
        <f>IFERROR(SUMIF(reading[[#This Row],[1st]:[7th]],"&gt;0")/COUNTIF(reading[[#This Row],[1st]:[7th]],"&gt;0"),"")</f>
        <v>3</v>
      </c>
    </row>
    <row r="1077" spans="1:33" hidden="1" x14ac:dyDescent="0.2">
      <c r="A1077" s="4">
        <f>IF(B1077=1,3,IF(D1077=1,2,IF(F1077=1,1,0)))</f>
        <v>0</v>
      </c>
      <c r="B1077" s="4" t="str">
        <f>IF(C1077=$L1077,1,IF(C1077="","",0))</f>
        <v/>
      </c>
      <c r="C1077" s="42"/>
      <c r="D1077" s="4" t="str">
        <f>IF(E1077=$L1077,1,IF(E1077="","",0))</f>
        <v/>
      </c>
      <c r="E1077" s="18"/>
      <c r="F1077" s="4" t="str">
        <f>IF(G1077=$L1077,1,IF(G1077="","",0))</f>
        <v/>
      </c>
      <c r="G1077" s="14"/>
      <c r="H1077" s="6">
        <v>2372</v>
      </c>
      <c r="I1077" s="15" t="s">
        <v>3120</v>
      </c>
      <c r="J1077" s="6" t="s">
        <v>5446</v>
      </c>
      <c r="K1077" s="6"/>
      <c r="L1077" s="6" t="s">
        <v>2424</v>
      </c>
      <c r="M1077" s="6" t="s">
        <v>8477</v>
      </c>
      <c r="N1077" s="7">
        <f ca="1">RAND()</f>
        <v>0.80759909872693991</v>
      </c>
      <c r="O1077" s="8">
        <v>45216</v>
      </c>
      <c r="P1077" s="8">
        <v>45217</v>
      </c>
      <c r="Q1077" s="8">
        <v>45219</v>
      </c>
      <c r="R1077" s="8">
        <v>45223</v>
      </c>
      <c r="S1077" s="8">
        <v>45230</v>
      </c>
      <c r="T1077" s="8">
        <v>45819</v>
      </c>
      <c r="U1077" s="8"/>
      <c r="V1077" s="10">
        <f>COUNTA(O1077:U1077)</f>
        <v>6</v>
      </c>
      <c r="W1077" s="11">
        <f>_xlfn.IFNA(INDEX(reading[[#This Row],[Memo 01]:[Memo 07]],MATCH(0,reading[[#This Row],[Memo 01]:[Memo 07]],-1)),"")</f>
        <v>45819</v>
      </c>
      <c r="X1077" s="11">
        <f ca="1">IFERROR(reading[[#This Row],[Previous]]+OFFSET(reading[[#Headers],[Memo 01]],-1,MATCH(0,reading[[#This Row],[Memo 01]:[Memo 07]],-1)-1),"")</f>
        <v>45839</v>
      </c>
      <c r="Y1077" s="10" t="str">
        <f ca="1">IF(reading[[#This Row],[Next]]&lt;&gt;"",IF(reading[[#This Row],[Next]]&gt;TODAY(),"OK",""),"")</f>
        <v>OK</v>
      </c>
      <c r="Z1077" s="13">
        <v>3</v>
      </c>
      <c r="AA1077" s="13">
        <v>3</v>
      </c>
      <c r="AB1077" s="13">
        <v>3</v>
      </c>
      <c r="AC1077" s="13">
        <v>3</v>
      </c>
      <c r="AD1077" s="13">
        <v>2</v>
      </c>
      <c r="AE1077" s="13">
        <v>3</v>
      </c>
      <c r="AF1077" s="13"/>
      <c r="AG1077" s="16">
        <f>IFERROR(SUMIF(reading[[#This Row],[1st]:[7th]],"&gt;0")/COUNTIF(reading[[#This Row],[1st]:[7th]],"&gt;0"),"")</f>
        <v>2.8333333333333335</v>
      </c>
    </row>
    <row r="1078" spans="1:33" hidden="1" x14ac:dyDescent="0.2">
      <c r="A1078" s="4">
        <f>IF(B1078=1,3,IF(D1078=1,2,IF(F1078=1,1,0)))</f>
        <v>3</v>
      </c>
      <c r="B1078" s="4">
        <f>IF(C1078=$L1078,1,IF(C1078="","",0))</f>
        <v>1</v>
      </c>
      <c r="C1078" s="25" t="s">
        <v>3135</v>
      </c>
      <c r="D1078" s="4" t="str">
        <f>IF(E1078=$L1078,1,IF(E1078="","",0))</f>
        <v/>
      </c>
      <c r="E1078" s="14"/>
      <c r="F1078" s="4" t="str">
        <f>IF(G1078=$L1078,1,IF(G1078="","",0))</f>
        <v/>
      </c>
      <c r="G1078" s="14"/>
      <c r="H1078" s="6">
        <v>1082</v>
      </c>
      <c r="I1078" s="15" t="s">
        <v>3120</v>
      </c>
      <c r="J1078" s="6" t="s">
        <v>4206</v>
      </c>
      <c r="K1078" s="6"/>
      <c r="L1078" s="6" t="s">
        <v>1189</v>
      </c>
      <c r="M1078" s="6" t="s">
        <v>7190</v>
      </c>
      <c r="N1078" s="7">
        <f ca="1">RAND()</f>
        <v>0.83743871948119697</v>
      </c>
      <c r="O1078" s="8">
        <v>45205</v>
      </c>
      <c r="P1078" s="8">
        <v>45205</v>
      </c>
      <c r="Q1078" s="8">
        <v>45205</v>
      </c>
      <c r="R1078" s="8">
        <v>45205</v>
      </c>
      <c r="S1078" s="8">
        <v>45205</v>
      </c>
      <c r="T1078" s="8">
        <v>45205</v>
      </c>
      <c r="U1078" s="8">
        <v>45205</v>
      </c>
      <c r="V1078" s="10">
        <f>COUNTA(O1078:U1078)</f>
        <v>7</v>
      </c>
      <c r="W1078" s="11">
        <f>_xlfn.IFNA(INDEX(reading[[#This Row],[Memo 01]:[Memo 07]],MATCH(0,reading[[#This Row],[Memo 01]:[Memo 07]],-1)),"")</f>
        <v>45205</v>
      </c>
      <c r="X1078" s="11">
        <f ca="1">IFERROR(reading[[#This Row],[Previous]]+OFFSET(reading[[#Headers],[Memo 01]],-1,MATCH(0,reading[[#This Row],[Memo 01]:[Memo 07]],-1)-1),"")</f>
        <v>55205</v>
      </c>
      <c r="Y1078" s="10" t="str">
        <f ca="1">IF(reading[[#This Row],[Next]]&lt;&gt;"",IF(reading[[#This Row],[Next]]&gt;TODAY(),"OK",""),"")</f>
        <v>OK</v>
      </c>
      <c r="Z1078" s="13">
        <v>3</v>
      </c>
      <c r="AA1078" s="13"/>
      <c r="AB1078" s="13"/>
      <c r="AC1078" s="13"/>
      <c r="AD1078" s="13"/>
      <c r="AE1078" s="13"/>
      <c r="AF1078" s="13"/>
      <c r="AG1078" s="16">
        <f>IFERROR(SUMIF(reading[[#This Row],[1st]:[7th]],"&gt;0")/COUNTIF(reading[[#This Row],[1st]:[7th]],"&gt;0"),"")</f>
        <v>3</v>
      </c>
    </row>
    <row r="1079" spans="1:33" hidden="1" x14ac:dyDescent="0.2">
      <c r="A1079" s="4">
        <f>IF(B1079=1,3,IF(D1079=1,2,IF(F1079=1,1,0)))</f>
        <v>0</v>
      </c>
      <c r="B1079" s="4" t="str">
        <f>IF(C1079=$L1079,1,IF(C1079="","",0))</f>
        <v/>
      </c>
      <c r="C1079" s="42"/>
      <c r="D1079" s="4" t="str">
        <f>IF(E1079=$L1079,1,IF(E1079="","",0))</f>
        <v/>
      </c>
      <c r="E1079" s="14"/>
      <c r="F1079" s="4" t="str">
        <f>IF(G1079=$L1079,1,IF(G1079="","",0))</f>
        <v/>
      </c>
      <c r="G1079" s="14"/>
      <c r="H1079" s="6">
        <v>549</v>
      </c>
      <c r="I1079" s="15" t="s">
        <v>3120</v>
      </c>
      <c r="J1079" s="6" t="s">
        <v>3694</v>
      </c>
      <c r="K1079" s="6"/>
      <c r="L1079" s="6" t="s">
        <v>676</v>
      </c>
      <c r="M1079" s="6" t="s">
        <v>6658</v>
      </c>
      <c r="N1079" s="7">
        <f ca="1">RAND()</f>
        <v>0.86161897473226035</v>
      </c>
      <c r="O1079" s="8">
        <v>45202</v>
      </c>
      <c r="P1079" s="8">
        <v>45203</v>
      </c>
      <c r="Q1079" s="8">
        <v>45205</v>
      </c>
      <c r="R1079" s="8">
        <v>45209</v>
      </c>
      <c r="S1079" s="8">
        <v>45216</v>
      </c>
      <c r="T1079" s="8">
        <v>45228</v>
      </c>
      <c r="U1079" s="8">
        <v>45824</v>
      </c>
      <c r="V1079" s="10">
        <f>COUNTA(O1079:U1079)</f>
        <v>7</v>
      </c>
      <c r="W1079" s="11">
        <f>_xlfn.IFNA(INDEX(reading[[#This Row],[Memo 01]:[Memo 07]],MATCH(0,reading[[#This Row],[Memo 01]:[Memo 07]],-1)),"")</f>
        <v>45824</v>
      </c>
      <c r="X1079" s="11">
        <f ca="1">IFERROR(reading[[#This Row],[Previous]]+OFFSET(reading[[#Headers],[Memo 01]],-1,MATCH(0,reading[[#This Row],[Memo 01]:[Memo 07]],-1)-1),"")</f>
        <v>55824</v>
      </c>
      <c r="Y1079" s="10" t="str">
        <f ca="1">IF(reading[[#This Row],[Next]]&lt;&gt;"",IF(reading[[#This Row],[Next]]&gt;TODAY(),"OK",""),"")</f>
        <v>OK</v>
      </c>
      <c r="Z1079" s="13">
        <v>3</v>
      </c>
      <c r="AA1079" s="13">
        <v>3</v>
      </c>
      <c r="AB1079" s="13">
        <v>3</v>
      </c>
      <c r="AC1079" s="13">
        <v>3</v>
      </c>
      <c r="AD1079" s="13">
        <v>3</v>
      </c>
      <c r="AE1079" s="13">
        <v>3</v>
      </c>
      <c r="AF1079" s="13">
        <v>3</v>
      </c>
      <c r="AG1079" s="16">
        <f>IFERROR(SUMIF(reading[[#This Row],[1st]:[7th]],"&gt;0")/COUNTIF(reading[[#This Row],[1st]:[7th]],"&gt;0"),"")</f>
        <v>3</v>
      </c>
    </row>
    <row r="1080" spans="1:33" hidden="1" x14ac:dyDescent="0.2">
      <c r="A1080" s="4">
        <f>IF(B1080=1,3,IF(D1080=1,2,IF(F1080=1,1,0)))</f>
        <v>0</v>
      </c>
      <c r="B1080" s="4" t="str">
        <f>IF(C1080=$L1080,1,IF(C1080="","",0))</f>
        <v/>
      </c>
      <c r="C1080" s="42"/>
      <c r="D1080" s="4" t="str">
        <f>IF(E1080=$L1080,1,IF(E1080="","",0))</f>
        <v/>
      </c>
      <c r="E1080" s="23"/>
      <c r="F1080" s="4" t="str">
        <f>IF(G1080=$L1080,1,IF(G1080="","",0))</f>
        <v/>
      </c>
      <c r="G1080" s="14"/>
      <c r="H1080" s="6">
        <v>1166</v>
      </c>
      <c r="I1080" s="15" t="s">
        <v>3120</v>
      </c>
      <c r="J1080" s="6" t="s">
        <v>4285</v>
      </c>
      <c r="K1080" s="6"/>
      <c r="L1080" s="6" t="s">
        <v>1268</v>
      </c>
      <c r="M1080" s="6" t="s">
        <v>7274</v>
      </c>
      <c r="N1080" s="7">
        <f ca="1">RAND()</f>
        <v>0.57127140392441533</v>
      </c>
      <c r="O1080" s="8">
        <v>45206</v>
      </c>
      <c r="P1080" s="8">
        <v>45207</v>
      </c>
      <c r="Q1080" s="8">
        <v>45209</v>
      </c>
      <c r="R1080" s="8">
        <v>45213</v>
      </c>
      <c r="S1080" s="8">
        <v>45220</v>
      </c>
      <c r="T1080" s="8">
        <v>45232</v>
      </c>
      <c r="U1080" s="8">
        <v>45825</v>
      </c>
      <c r="V1080" s="10">
        <f>COUNTA(O1080:U1080)</f>
        <v>7</v>
      </c>
      <c r="W1080" s="11">
        <f>_xlfn.IFNA(INDEX(reading[[#This Row],[Memo 01]:[Memo 07]],MATCH(0,reading[[#This Row],[Memo 01]:[Memo 07]],-1)),"")</f>
        <v>45825</v>
      </c>
      <c r="X1080" s="11">
        <f ca="1">IFERROR(reading[[#This Row],[Previous]]+OFFSET(reading[[#Headers],[Memo 01]],-1,MATCH(0,reading[[#This Row],[Memo 01]:[Memo 07]],-1)-1),"")</f>
        <v>55825</v>
      </c>
      <c r="Y1080" s="10" t="str">
        <f ca="1">IF(reading[[#This Row],[Next]]&lt;&gt;"",IF(reading[[#This Row],[Next]]&gt;TODAY(),"OK",""),"")</f>
        <v>OK</v>
      </c>
      <c r="Z1080" s="13">
        <v>3</v>
      </c>
      <c r="AA1080" s="13">
        <v>3</v>
      </c>
      <c r="AB1080" s="13">
        <v>3</v>
      </c>
      <c r="AC1080" s="13">
        <v>3</v>
      </c>
      <c r="AD1080" s="13">
        <v>3</v>
      </c>
      <c r="AE1080" s="13">
        <v>3</v>
      </c>
      <c r="AF1080" s="13">
        <v>2</v>
      </c>
      <c r="AG1080" s="16">
        <f>IFERROR(SUMIF(reading[[#This Row],[1st]:[7th]],"&gt;0")/COUNTIF(reading[[#This Row],[1st]:[7th]],"&gt;0"),"")</f>
        <v>2.8571428571428572</v>
      </c>
    </row>
    <row r="1081" spans="1:33" hidden="1" x14ac:dyDescent="0.2">
      <c r="A1081" s="4">
        <f>IF(B1081=1,3,IF(D1081=1,2,IF(F1081=1,1,0)))</f>
        <v>0</v>
      </c>
      <c r="B1081" s="4" t="str">
        <f>IF(C1081=$L1081,1,IF(C1081="","",0))</f>
        <v/>
      </c>
      <c r="C1081" s="42"/>
      <c r="D1081" s="4" t="str">
        <f>IF(E1081=$L1081,1,IF(E1081="","",0))</f>
        <v/>
      </c>
      <c r="E1081" s="43"/>
      <c r="F1081" s="4" t="str">
        <f>IF(G1081=$L1081,1,IF(G1081="","",0))</f>
        <v/>
      </c>
      <c r="G1081" s="14"/>
      <c r="H1081" s="6">
        <v>2977</v>
      </c>
      <c r="I1081" s="15" t="s">
        <v>3120</v>
      </c>
      <c r="J1081" s="6" t="s">
        <v>5176</v>
      </c>
      <c r="K1081" s="6"/>
      <c r="L1081" s="6" t="s">
        <v>3006</v>
      </c>
      <c r="M1081" s="6" t="s">
        <v>9081</v>
      </c>
      <c r="N1081" s="7">
        <f ca="1">RAND()</f>
        <v>6.1324968449319783E-2</v>
      </c>
      <c r="O1081" s="8">
        <v>45223</v>
      </c>
      <c r="P1081" s="8">
        <v>45224</v>
      </c>
      <c r="Q1081" s="8">
        <v>45226</v>
      </c>
      <c r="R1081" s="8">
        <v>45230</v>
      </c>
      <c r="S1081" s="8">
        <v>45237</v>
      </c>
      <c r="T1081" s="8">
        <v>45815</v>
      </c>
      <c r="U1081" s="8"/>
      <c r="V1081" s="10">
        <f>COUNTA(O1081:U1081)</f>
        <v>6</v>
      </c>
      <c r="W1081" s="11">
        <f>_xlfn.IFNA(INDEX(reading[[#This Row],[Memo 01]:[Memo 07]],MATCH(0,reading[[#This Row],[Memo 01]:[Memo 07]],-1)),"")</f>
        <v>45815</v>
      </c>
      <c r="X1081" s="11">
        <f ca="1">IFERROR(reading[[#This Row],[Previous]]+OFFSET(reading[[#Headers],[Memo 01]],-1,MATCH(0,reading[[#This Row],[Memo 01]:[Memo 07]],-1)-1),"")</f>
        <v>45835</v>
      </c>
      <c r="Y1081" s="10" t="str">
        <f ca="1">IF(reading[[#This Row],[Next]]&lt;&gt;"",IF(reading[[#This Row],[Next]]&gt;TODAY(),"OK",""),"")</f>
        <v>OK</v>
      </c>
      <c r="Z1081" s="13">
        <v>3</v>
      </c>
      <c r="AA1081" s="13">
        <v>3</v>
      </c>
      <c r="AB1081" s="13">
        <v>2</v>
      </c>
      <c r="AC1081" s="13">
        <v>3</v>
      </c>
      <c r="AD1081" s="13">
        <v>3</v>
      </c>
      <c r="AE1081" s="13">
        <v>2</v>
      </c>
      <c r="AF1081" s="13"/>
      <c r="AG1081" s="16">
        <f>IFERROR(SUMIF(reading[[#This Row],[1st]:[7th]],"&gt;0")/COUNTIF(reading[[#This Row],[1st]:[7th]],"&gt;0"),"")</f>
        <v>2.6666666666666665</v>
      </c>
    </row>
    <row r="1082" spans="1:33" hidden="1" x14ac:dyDescent="0.2">
      <c r="A1082" s="4">
        <f>IF(B1082=1,3,IF(D1082=1,2,IF(F1082=1,1,0)))</f>
        <v>0</v>
      </c>
      <c r="B1082" s="4" t="str">
        <f>IF(C1082=$L1082,1,IF(C1082="","",0))</f>
        <v/>
      </c>
      <c r="C1082" s="42"/>
      <c r="D1082" s="4" t="str">
        <f>IF(E1082=$L1082,1,IF(E1082="","",0))</f>
        <v/>
      </c>
      <c r="E1082" s="23"/>
      <c r="F1082" s="4" t="str">
        <f>IF(G1082=$L1082,1,IF(G1082="","",0))</f>
        <v/>
      </c>
      <c r="G1082" s="14"/>
      <c r="H1082" s="6">
        <v>3023</v>
      </c>
      <c r="I1082" s="15" t="s">
        <v>3120</v>
      </c>
      <c r="J1082" s="6" t="s">
        <v>6046</v>
      </c>
      <c r="K1082" s="6"/>
      <c r="L1082" s="6" t="s">
        <v>3052</v>
      </c>
      <c r="M1082" s="6" t="s">
        <v>9126</v>
      </c>
      <c r="N1082" s="7">
        <f ca="1">RAND()</f>
        <v>0.60369656495665724</v>
      </c>
      <c r="O1082" s="8">
        <v>45224</v>
      </c>
      <c r="P1082" s="8">
        <v>45225</v>
      </c>
      <c r="Q1082" s="8">
        <v>45227</v>
      </c>
      <c r="R1082" s="8">
        <v>45231</v>
      </c>
      <c r="S1082" s="8">
        <v>45249</v>
      </c>
      <c r="T1082" s="8">
        <v>45825</v>
      </c>
      <c r="U1082" s="8"/>
      <c r="V1082" s="10">
        <f>COUNTA(O1082:U1082)</f>
        <v>6</v>
      </c>
      <c r="W1082" s="11">
        <f>_xlfn.IFNA(INDEX(reading[[#This Row],[Memo 01]:[Memo 07]],MATCH(0,reading[[#This Row],[Memo 01]:[Memo 07]],-1)),"")</f>
        <v>45825</v>
      </c>
      <c r="X1082" s="11">
        <f ca="1">IFERROR(reading[[#This Row],[Previous]]+OFFSET(reading[[#Headers],[Memo 01]],-1,MATCH(0,reading[[#This Row],[Memo 01]:[Memo 07]],-1)-1),"")</f>
        <v>45845</v>
      </c>
      <c r="Y1082" s="10" t="str">
        <f ca="1">IF(reading[[#This Row],[Next]]&lt;&gt;"",IF(reading[[#This Row],[Next]]&gt;TODAY(),"OK",""),"")</f>
        <v>OK</v>
      </c>
      <c r="Z1082" s="13">
        <v>3</v>
      </c>
      <c r="AA1082" s="13">
        <v>3</v>
      </c>
      <c r="AB1082" s="13">
        <v>3</v>
      </c>
      <c r="AC1082" s="13">
        <v>3</v>
      </c>
      <c r="AD1082" s="13">
        <v>3</v>
      </c>
      <c r="AE1082" s="13">
        <v>2</v>
      </c>
      <c r="AF1082" s="13"/>
      <c r="AG1082" s="16">
        <f>IFERROR(SUMIF(reading[[#This Row],[1st]:[7th]],"&gt;0")/COUNTIF(reading[[#This Row],[1st]:[7th]],"&gt;0"),"")</f>
        <v>2.8333333333333335</v>
      </c>
    </row>
    <row r="1083" spans="1:33" hidden="1" x14ac:dyDescent="0.2">
      <c r="A1083" s="4">
        <f>IF(B1083=1,3,IF(D1083=1,2,IF(F1083=1,1,0)))</f>
        <v>0</v>
      </c>
      <c r="B1083" s="4" t="str">
        <f>IF(C1083=$L1083,1,IF(C1083="","",0))</f>
        <v/>
      </c>
      <c r="C1083" s="42"/>
      <c r="D1083" s="4" t="str">
        <f>IF(E1083=$L1083,1,IF(E1083="","",0))</f>
        <v/>
      </c>
      <c r="E1083" s="14"/>
      <c r="F1083" s="4" t="str">
        <f>IF(G1083=$L1083,1,IF(G1083="","",0))</f>
        <v/>
      </c>
      <c r="G1083" s="14"/>
      <c r="H1083" s="6">
        <v>2053</v>
      </c>
      <c r="I1083" s="15" t="s">
        <v>3120</v>
      </c>
      <c r="J1083" s="6" t="s">
        <v>3806</v>
      </c>
      <c r="K1083" s="6"/>
      <c r="L1083" s="6" t="s">
        <v>2128</v>
      </c>
      <c r="M1083" s="6" t="s">
        <v>8159</v>
      </c>
      <c r="N1083" s="7">
        <f ca="1">RAND()</f>
        <v>0.91341133729523249</v>
      </c>
      <c r="O1083" s="8">
        <v>45214</v>
      </c>
      <c r="P1083" s="8">
        <v>45215</v>
      </c>
      <c r="Q1083" s="8">
        <v>45217</v>
      </c>
      <c r="R1083" s="8">
        <v>45221</v>
      </c>
      <c r="S1083" s="8">
        <v>45228</v>
      </c>
      <c r="T1083" s="8">
        <v>45824</v>
      </c>
      <c r="U1083" s="8"/>
      <c r="V1083" s="10">
        <f>COUNTA(O1083:U1083)</f>
        <v>6</v>
      </c>
      <c r="W1083" s="11">
        <f>_xlfn.IFNA(INDEX(reading[[#This Row],[Memo 01]:[Memo 07]],MATCH(0,reading[[#This Row],[Memo 01]:[Memo 07]],-1)),"")</f>
        <v>45824</v>
      </c>
      <c r="X1083" s="11">
        <f ca="1">IFERROR(reading[[#This Row],[Previous]]+OFFSET(reading[[#Headers],[Memo 01]],-1,MATCH(0,reading[[#This Row],[Memo 01]:[Memo 07]],-1)-1),"")</f>
        <v>45844</v>
      </c>
      <c r="Y1083" s="10" t="str">
        <f ca="1">IF(reading[[#This Row],[Next]]&lt;&gt;"",IF(reading[[#This Row],[Next]]&gt;TODAY(),"OK",""),"")</f>
        <v>OK</v>
      </c>
      <c r="Z1083" s="13">
        <v>3</v>
      </c>
      <c r="AA1083" s="13">
        <v>3</v>
      </c>
      <c r="AB1083" s="13">
        <v>3</v>
      </c>
      <c r="AC1083" s="13">
        <v>3</v>
      </c>
      <c r="AD1083" s="13">
        <v>3</v>
      </c>
      <c r="AE1083" s="13">
        <v>3</v>
      </c>
      <c r="AF1083" s="13"/>
      <c r="AG1083" s="16">
        <f>IFERROR(SUMIF(reading[[#This Row],[1st]:[7th]],"&gt;0")/COUNTIF(reading[[#This Row],[1st]:[7th]],"&gt;0"),"")</f>
        <v>3</v>
      </c>
    </row>
    <row r="1084" spans="1:33" hidden="1" x14ac:dyDescent="0.2">
      <c r="A1084" s="4">
        <f>IF(B1084=1,3,IF(D1084=1,2,IF(F1084=1,1,0)))</f>
        <v>0</v>
      </c>
      <c r="B1084" s="4" t="str">
        <f>IF(C1084=$L1084,1,IF(C1084="","",0))</f>
        <v/>
      </c>
      <c r="C1084" s="42"/>
      <c r="D1084" s="4" t="str">
        <f>IF(E1084=$L1084,1,IF(E1084="","",0))</f>
        <v/>
      </c>
      <c r="E1084" s="14"/>
      <c r="F1084" s="4" t="str">
        <f>IF(G1084=$L1084,1,IF(G1084="","",0))</f>
        <v/>
      </c>
      <c r="G1084" s="14"/>
      <c r="H1084" s="6">
        <v>829</v>
      </c>
      <c r="I1084" s="15" t="s">
        <v>3120</v>
      </c>
      <c r="J1084" s="6" t="s">
        <v>3962</v>
      </c>
      <c r="K1084" s="6"/>
      <c r="L1084" s="6" t="s">
        <v>945</v>
      </c>
      <c r="M1084" s="6" t="s">
        <v>6938</v>
      </c>
      <c r="N1084" s="7">
        <f ca="1">RAND()</f>
        <v>0.31775863696294582</v>
      </c>
      <c r="O1084" s="8">
        <v>45203</v>
      </c>
      <c r="P1084" s="8">
        <v>45204</v>
      </c>
      <c r="Q1084" s="8">
        <v>45206</v>
      </c>
      <c r="R1084" s="8">
        <v>45210</v>
      </c>
      <c r="S1084" s="8">
        <v>45217</v>
      </c>
      <c r="T1084" s="8">
        <v>45229</v>
      </c>
      <c r="U1084" s="8">
        <v>45801</v>
      </c>
      <c r="V1084" s="10">
        <f>COUNTA(O1084:U1084)</f>
        <v>7</v>
      </c>
      <c r="W1084" s="11">
        <f>_xlfn.IFNA(INDEX(reading[[#This Row],[Memo 01]:[Memo 07]],MATCH(0,reading[[#This Row],[Memo 01]:[Memo 07]],-1)),"")</f>
        <v>45801</v>
      </c>
      <c r="X1084" s="11">
        <f ca="1">IFERROR(reading[[#This Row],[Previous]]+OFFSET(reading[[#Headers],[Memo 01]],-1,MATCH(0,reading[[#This Row],[Memo 01]:[Memo 07]],-1)-1),"")</f>
        <v>55801</v>
      </c>
      <c r="Y1084" s="10" t="str">
        <f ca="1">IF(reading[[#This Row],[Next]]&lt;&gt;"",IF(reading[[#This Row],[Next]]&gt;TODAY(),"OK",""),"")</f>
        <v>OK</v>
      </c>
      <c r="Z1084" s="13">
        <v>3</v>
      </c>
      <c r="AA1084" s="13">
        <v>3</v>
      </c>
      <c r="AB1084" s="13">
        <v>3</v>
      </c>
      <c r="AC1084" s="13">
        <v>3</v>
      </c>
      <c r="AD1084" s="13">
        <v>3</v>
      </c>
      <c r="AE1084" s="13">
        <v>3</v>
      </c>
      <c r="AF1084" s="13">
        <v>3</v>
      </c>
      <c r="AG1084" s="16">
        <f>IFERROR(SUMIF(reading[[#This Row],[1st]:[7th]],"&gt;0")/COUNTIF(reading[[#This Row],[1st]:[7th]],"&gt;0"),"")</f>
        <v>3</v>
      </c>
    </row>
    <row r="1085" spans="1:33" hidden="1" x14ac:dyDescent="0.2">
      <c r="A1085" s="4">
        <f>IF(B1085=1,3,IF(D1085=1,2,IF(F1085=1,1,0)))</f>
        <v>0</v>
      </c>
      <c r="B1085" s="4" t="str">
        <f>IF(C1085=$L1085,1,IF(C1085="","",0))</f>
        <v/>
      </c>
      <c r="C1085" s="42"/>
      <c r="D1085" s="4" t="str">
        <f>IF(E1085=$L1085,1,IF(E1085="","",0))</f>
        <v/>
      </c>
      <c r="E1085" s="23"/>
      <c r="F1085" s="4" t="str">
        <f>IF(G1085=$L1085,1,IF(G1085="","",0))</f>
        <v/>
      </c>
      <c r="G1085" s="23"/>
      <c r="H1085" s="6">
        <v>2442</v>
      </c>
      <c r="I1085" s="15" t="s">
        <v>3120</v>
      </c>
      <c r="J1085" s="6" t="s">
        <v>5512</v>
      </c>
      <c r="K1085" s="6"/>
      <c r="L1085" s="6" t="s">
        <v>2492</v>
      </c>
      <c r="M1085" s="6" t="s">
        <v>8547</v>
      </c>
      <c r="N1085" s="7">
        <f ca="1">RAND()</f>
        <v>0.71083907421499581</v>
      </c>
      <c r="O1085" s="8">
        <v>45218</v>
      </c>
      <c r="P1085" s="8">
        <v>45219</v>
      </c>
      <c r="Q1085" s="8">
        <v>45221</v>
      </c>
      <c r="R1085" s="8">
        <v>45225</v>
      </c>
      <c r="S1085" s="8">
        <v>45232</v>
      </c>
      <c r="T1085" s="8">
        <v>45817</v>
      </c>
      <c r="U1085" s="8"/>
      <c r="V1085" s="10">
        <f>COUNTA(O1085:U1085)</f>
        <v>6</v>
      </c>
      <c r="W1085" s="11">
        <f>_xlfn.IFNA(INDEX(reading[[#This Row],[Memo 01]:[Memo 07]],MATCH(0,reading[[#This Row],[Memo 01]:[Memo 07]],-1)),"")</f>
        <v>45817</v>
      </c>
      <c r="X1085" s="11">
        <f ca="1">IFERROR(reading[[#This Row],[Previous]]+OFFSET(reading[[#Headers],[Memo 01]],-1,MATCH(0,reading[[#This Row],[Memo 01]:[Memo 07]],-1)-1),"")</f>
        <v>45837</v>
      </c>
      <c r="Y1085" s="10" t="str">
        <f ca="1">IF(reading[[#This Row],[Next]]&lt;&gt;"",IF(reading[[#This Row],[Next]]&gt;TODAY(),"OK",""),"")</f>
        <v>OK</v>
      </c>
      <c r="Z1085" s="13">
        <v>3</v>
      </c>
      <c r="AA1085" s="13">
        <v>3</v>
      </c>
      <c r="AB1085" s="13">
        <v>3</v>
      </c>
      <c r="AC1085" s="13">
        <v>3</v>
      </c>
      <c r="AD1085" s="13">
        <v>3</v>
      </c>
      <c r="AE1085" s="13">
        <v>1</v>
      </c>
      <c r="AF1085" s="13"/>
      <c r="AG1085" s="16">
        <f>IFERROR(SUMIF(reading[[#This Row],[1st]:[7th]],"&gt;0")/COUNTIF(reading[[#This Row],[1st]:[7th]],"&gt;0"),"")</f>
        <v>2.6666666666666665</v>
      </c>
    </row>
    <row r="1086" spans="1:33" hidden="1" x14ac:dyDescent="0.2">
      <c r="A1086" s="4">
        <f>IF(B1086=1,3,IF(D1086=1,2,IF(F1086=1,1,0)))</f>
        <v>0</v>
      </c>
      <c r="B1086" s="4" t="str">
        <f>IF(C1086=$L1086,1,IF(C1086="","",0))</f>
        <v/>
      </c>
      <c r="C1086" s="42"/>
      <c r="D1086" s="4" t="str">
        <f>IF(E1086=$L1086,1,IF(E1086="","",0))</f>
        <v/>
      </c>
      <c r="E1086" s="43"/>
      <c r="F1086" s="4" t="str">
        <f>IF(G1086=$L1086,1,IF(G1086="","",0))</f>
        <v/>
      </c>
      <c r="G1086" s="14"/>
      <c r="H1086" s="6">
        <v>1978</v>
      </c>
      <c r="I1086" s="15" t="s">
        <v>3120</v>
      </c>
      <c r="J1086" s="6" t="s">
        <v>5077</v>
      </c>
      <c r="K1086" s="6"/>
      <c r="L1086" s="6" t="s">
        <v>2053</v>
      </c>
      <c r="M1086" s="6" t="s">
        <v>8084</v>
      </c>
      <c r="N1086" s="7">
        <f ca="1">RAND()</f>
        <v>0.39937293728667389</v>
      </c>
      <c r="O1086" s="8">
        <v>45213</v>
      </c>
      <c r="P1086" s="8">
        <v>45214</v>
      </c>
      <c r="Q1086" s="8">
        <v>45216</v>
      </c>
      <c r="R1086" s="8">
        <v>45220</v>
      </c>
      <c r="S1086" s="8">
        <v>45227</v>
      </c>
      <c r="T1086" s="8">
        <v>45816</v>
      </c>
      <c r="U1086" s="8"/>
      <c r="V1086" s="10">
        <f>COUNTA(O1086:U1086)</f>
        <v>6</v>
      </c>
      <c r="W1086" s="11">
        <f>_xlfn.IFNA(INDEX(reading[[#This Row],[Memo 01]:[Memo 07]],MATCH(0,reading[[#This Row],[Memo 01]:[Memo 07]],-1)),"")</f>
        <v>45816</v>
      </c>
      <c r="X1086" s="11">
        <f ca="1">IFERROR(reading[[#This Row],[Previous]]+OFFSET(reading[[#Headers],[Memo 01]],-1,MATCH(0,reading[[#This Row],[Memo 01]:[Memo 07]],-1)-1),"")</f>
        <v>45836</v>
      </c>
      <c r="Y1086" s="10" t="str">
        <f ca="1">IF(reading[[#This Row],[Next]]&lt;&gt;"",IF(reading[[#This Row],[Next]]&gt;TODAY(),"OK",""),"")</f>
        <v>OK</v>
      </c>
      <c r="Z1086" s="13">
        <v>3</v>
      </c>
      <c r="AA1086" s="13">
        <v>2</v>
      </c>
      <c r="AB1086" s="13">
        <v>3</v>
      </c>
      <c r="AC1086" s="13">
        <v>3</v>
      </c>
      <c r="AD1086" s="13">
        <v>3</v>
      </c>
      <c r="AE1086" s="13">
        <v>2</v>
      </c>
      <c r="AF1086" s="13"/>
      <c r="AG1086" s="16">
        <f>IFERROR(SUMIF(reading[[#This Row],[1st]:[7th]],"&gt;0")/COUNTIF(reading[[#This Row],[1st]:[7th]],"&gt;0"),"")</f>
        <v>2.6666666666666665</v>
      </c>
    </row>
    <row r="1087" spans="1:33" hidden="1" x14ac:dyDescent="0.2">
      <c r="A1087" s="4">
        <f>IF(B1087=1,3,IF(D1087=1,2,IF(F1087=1,1,0)))</f>
        <v>0</v>
      </c>
      <c r="B1087" s="4" t="str">
        <f>IF(C1087=$L1087,1,IF(C1087="","",0))</f>
        <v/>
      </c>
      <c r="C1087" s="42"/>
      <c r="D1087" s="4" t="str">
        <f>IF(E1087=$L1087,1,IF(E1087="","",0))</f>
        <v/>
      </c>
      <c r="E1087" s="23"/>
      <c r="F1087" s="4" t="str">
        <f>IF(G1087=$L1087,1,IF(G1087="","",0))</f>
        <v/>
      </c>
      <c r="G1087" s="14"/>
      <c r="H1087" s="6">
        <v>2797</v>
      </c>
      <c r="I1087" s="15" t="s">
        <v>3120</v>
      </c>
      <c r="J1087" s="6" t="s">
        <v>5840</v>
      </c>
      <c r="K1087" s="6"/>
      <c r="L1087" s="6" t="s">
        <v>2834</v>
      </c>
      <c r="M1087" s="6" t="s">
        <v>8901</v>
      </c>
      <c r="N1087" s="7">
        <f ca="1">RAND()</f>
        <v>0.63219312901765512</v>
      </c>
      <c r="O1087" s="8">
        <v>45221</v>
      </c>
      <c r="P1087" s="8">
        <v>45222</v>
      </c>
      <c r="Q1087" s="8">
        <v>45224</v>
      </c>
      <c r="R1087" s="8">
        <v>45228</v>
      </c>
      <c r="S1087" s="8">
        <v>45235</v>
      </c>
      <c r="T1087" s="8">
        <v>45815</v>
      </c>
      <c r="U1087" s="8"/>
      <c r="V1087" s="10">
        <f>COUNTA(O1087:U1087)</f>
        <v>6</v>
      </c>
      <c r="W1087" s="11">
        <f>_xlfn.IFNA(INDEX(reading[[#This Row],[Memo 01]:[Memo 07]],MATCH(0,reading[[#This Row],[Memo 01]:[Memo 07]],-1)),"")</f>
        <v>45815</v>
      </c>
      <c r="X1087" s="11">
        <f ca="1">IFERROR(reading[[#This Row],[Previous]]+OFFSET(reading[[#Headers],[Memo 01]],-1,MATCH(0,reading[[#This Row],[Memo 01]:[Memo 07]],-1)-1),"")</f>
        <v>45835</v>
      </c>
      <c r="Y1087" s="10" t="str">
        <f ca="1">IF(reading[[#This Row],[Next]]&lt;&gt;"",IF(reading[[#This Row],[Next]]&gt;TODAY(),"OK",""),"")</f>
        <v>OK</v>
      </c>
      <c r="Z1087" s="13">
        <v>3</v>
      </c>
      <c r="AA1087" s="13">
        <v>3</v>
      </c>
      <c r="AB1087" s="13">
        <v>3</v>
      </c>
      <c r="AC1087" s="13">
        <v>3</v>
      </c>
      <c r="AD1087" s="13">
        <v>3</v>
      </c>
      <c r="AE1087" s="13">
        <v>2</v>
      </c>
      <c r="AF1087" s="13"/>
      <c r="AG1087" s="16">
        <f>IFERROR(SUMIF(reading[[#This Row],[1st]:[7th]],"&gt;0")/COUNTIF(reading[[#This Row],[1st]:[7th]],"&gt;0"),"")</f>
        <v>2.8333333333333335</v>
      </c>
    </row>
    <row r="1088" spans="1:33" hidden="1" x14ac:dyDescent="0.2">
      <c r="A1088" s="4">
        <f>IF(B1088=1,3,IF(D1088=1,2,IF(F1088=1,1,0)))</f>
        <v>0</v>
      </c>
      <c r="B1088" s="4" t="str">
        <f>IF(C1088=$L1088,1,IF(C1088="","",0))</f>
        <v/>
      </c>
      <c r="C1088" s="41"/>
      <c r="D1088" s="4" t="str">
        <f>IF(E1088=$L1088,1,IF(E1088="","",0))</f>
        <v/>
      </c>
      <c r="E1088" s="18"/>
      <c r="F1088" s="4" t="str">
        <f>IF(G1088=$L1088,1,IF(G1088="","",0))</f>
        <v/>
      </c>
      <c r="G1088" s="14"/>
      <c r="H1088" s="6">
        <v>977</v>
      </c>
      <c r="I1088" s="15" t="s">
        <v>3120</v>
      </c>
      <c r="J1088" s="6" t="s">
        <v>4106</v>
      </c>
      <c r="K1088" s="6" t="s">
        <v>3139</v>
      </c>
      <c r="L1088" s="6" t="s">
        <v>1087</v>
      </c>
      <c r="M1088" s="6" t="s">
        <v>7085</v>
      </c>
      <c r="N1088" s="7">
        <f ca="1">RAND()</f>
        <v>0.83974208658632243</v>
      </c>
      <c r="O1088" s="8">
        <v>45204</v>
      </c>
      <c r="P1088" s="8">
        <v>45205</v>
      </c>
      <c r="Q1088" s="8">
        <v>45207</v>
      </c>
      <c r="R1088" s="8">
        <v>45212</v>
      </c>
      <c r="S1088" s="8">
        <v>45219</v>
      </c>
      <c r="T1088" s="8">
        <v>45231</v>
      </c>
      <c r="U1088" s="8">
        <v>45252</v>
      </c>
      <c r="V1088" s="10">
        <f>COUNTA(O1088:U1088)</f>
        <v>7</v>
      </c>
      <c r="W1088" s="11">
        <f>_xlfn.IFNA(INDEX(reading[[#This Row],[Memo 01]:[Memo 07]],MATCH(0,reading[[#This Row],[Memo 01]:[Memo 07]],-1)),"")</f>
        <v>45252</v>
      </c>
      <c r="X1088" s="11">
        <f ca="1">IFERROR(reading[[#This Row],[Previous]]+OFFSET(reading[[#Headers],[Memo 01]],-1,MATCH(0,reading[[#This Row],[Memo 01]:[Memo 07]],-1)-1),"")</f>
        <v>55252</v>
      </c>
      <c r="Y1088" s="10" t="str">
        <f ca="1">IF(reading[[#This Row],[Next]]&lt;&gt;"",IF(reading[[#This Row],[Next]]&gt;TODAY(),"OK",""),"")</f>
        <v>OK</v>
      </c>
      <c r="Z1088" s="13">
        <v>3</v>
      </c>
      <c r="AA1088" s="13">
        <v>3</v>
      </c>
      <c r="AB1088" s="13">
        <v>3</v>
      </c>
      <c r="AC1088" s="13">
        <v>2</v>
      </c>
      <c r="AD1088" s="13">
        <v>2</v>
      </c>
      <c r="AE1088" s="13">
        <v>2</v>
      </c>
      <c r="AF1088" s="13">
        <v>2</v>
      </c>
      <c r="AG1088" s="16">
        <f>IFERROR(SUMIF(reading[[#This Row],[1st]:[7th]],"&gt;0")/COUNTIF(reading[[#This Row],[1st]:[7th]],"&gt;0"),"")</f>
        <v>2.4285714285714284</v>
      </c>
    </row>
    <row r="1089" spans="1:33" hidden="1" x14ac:dyDescent="0.2">
      <c r="A1089" s="4">
        <f>IF(B1089=1,3,IF(D1089=1,2,IF(F1089=1,1,0)))</f>
        <v>0</v>
      </c>
      <c r="B1089" s="4" t="str">
        <f>IF(C1089=$L1089,1,IF(C1089="","",0))</f>
        <v/>
      </c>
      <c r="C1089" s="42"/>
      <c r="D1089" s="4" t="str">
        <f>IF(E1089=$L1089,1,IF(E1089="","",0))</f>
        <v/>
      </c>
      <c r="E1089" s="14"/>
      <c r="F1089" s="4" t="str">
        <f>IF(G1089=$L1089,1,IF(G1089="","",0))</f>
        <v/>
      </c>
      <c r="G1089" s="14"/>
      <c r="H1089" s="6">
        <v>2007</v>
      </c>
      <c r="I1089" s="15" t="s">
        <v>3120</v>
      </c>
      <c r="J1089" s="6" t="s">
        <v>5105</v>
      </c>
      <c r="K1089" s="6"/>
      <c r="L1089" s="6" t="s">
        <v>2082</v>
      </c>
      <c r="M1089" s="6" t="s">
        <v>8113</v>
      </c>
      <c r="N1089" s="7">
        <f ca="1">RAND()</f>
        <v>0.98103097132285522</v>
      </c>
      <c r="O1089" s="8">
        <v>45213</v>
      </c>
      <c r="P1089" s="8">
        <v>45214</v>
      </c>
      <c r="Q1089" s="8">
        <v>45216</v>
      </c>
      <c r="R1089" s="8">
        <v>45220</v>
      </c>
      <c r="S1089" s="8">
        <v>45227</v>
      </c>
      <c r="T1089" s="8">
        <v>45783</v>
      </c>
      <c r="U1089" s="8">
        <v>45824</v>
      </c>
      <c r="V1089" s="10">
        <f>COUNTA(O1089:U1089)</f>
        <v>7</v>
      </c>
      <c r="W1089" s="11">
        <f>_xlfn.IFNA(INDEX(reading[[#This Row],[Memo 01]:[Memo 07]],MATCH(0,reading[[#This Row],[Memo 01]:[Memo 07]],-1)),"")</f>
        <v>45824</v>
      </c>
      <c r="X1089" s="11">
        <f ca="1">IFERROR(reading[[#This Row],[Previous]]+OFFSET(reading[[#Headers],[Memo 01]],-1,MATCH(0,reading[[#This Row],[Memo 01]:[Memo 07]],-1)-1),"")</f>
        <v>55824</v>
      </c>
      <c r="Y1089" s="10" t="str">
        <f ca="1">IF(reading[[#This Row],[Next]]&lt;&gt;"",IF(reading[[#This Row],[Next]]&gt;TODAY(),"OK",""),"")</f>
        <v>OK</v>
      </c>
      <c r="Z1089" s="13">
        <v>3</v>
      </c>
      <c r="AA1089" s="13">
        <v>3</v>
      </c>
      <c r="AB1089" s="13">
        <v>3</v>
      </c>
      <c r="AC1089" s="13">
        <v>3</v>
      </c>
      <c r="AD1089" s="13">
        <v>3</v>
      </c>
      <c r="AE1089" s="13">
        <v>3</v>
      </c>
      <c r="AF1089" s="13">
        <v>3</v>
      </c>
      <c r="AG1089" s="16">
        <f>IFERROR(SUMIF(reading[[#This Row],[1st]:[7th]],"&gt;0")/COUNTIF(reading[[#This Row],[1st]:[7th]],"&gt;0"),"")</f>
        <v>3</v>
      </c>
    </row>
    <row r="1090" spans="1:33" hidden="1" x14ac:dyDescent="0.2">
      <c r="A1090" s="4">
        <f>IF(B1090=1,3,IF(D1090=1,2,IF(F1090=1,1,0)))</f>
        <v>0</v>
      </c>
      <c r="B1090" s="4" t="str">
        <f>IF(C1090=$L1090,1,IF(C1090="","",0))</f>
        <v/>
      </c>
      <c r="C1090" s="42"/>
      <c r="D1090" s="4" t="str">
        <f>IF(E1090=$L1090,1,IF(E1090="","",0))</f>
        <v/>
      </c>
      <c r="E1090" s="23"/>
      <c r="F1090" s="4" t="str">
        <f>IF(G1090=$L1090,1,IF(G1090="","",0))</f>
        <v/>
      </c>
      <c r="G1090" s="14"/>
      <c r="H1090" s="6">
        <v>2915</v>
      </c>
      <c r="I1090" s="15" t="s">
        <v>3120</v>
      </c>
      <c r="J1090" s="6" t="s">
        <v>4785</v>
      </c>
      <c r="K1090" s="6"/>
      <c r="L1090" s="6" t="s">
        <v>2945</v>
      </c>
      <c r="M1090" s="6" t="s">
        <v>9019</v>
      </c>
      <c r="N1090" s="7">
        <f ca="1">RAND()</f>
        <v>7.3602636855148673E-2</v>
      </c>
      <c r="O1090" s="8">
        <v>45223</v>
      </c>
      <c r="P1090" s="8">
        <v>45224</v>
      </c>
      <c r="Q1090" s="8">
        <v>45226</v>
      </c>
      <c r="R1090" s="8">
        <v>45230</v>
      </c>
      <c r="S1090" s="8">
        <v>45237</v>
      </c>
      <c r="T1090" s="8">
        <v>45815</v>
      </c>
      <c r="U1090" s="8"/>
      <c r="V1090" s="10">
        <f>COUNTA(O1090:U1090)</f>
        <v>6</v>
      </c>
      <c r="W1090" s="11">
        <f>_xlfn.IFNA(INDEX(reading[[#This Row],[Memo 01]:[Memo 07]],MATCH(0,reading[[#This Row],[Memo 01]:[Memo 07]],-1)),"")</f>
        <v>45815</v>
      </c>
      <c r="X1090" s="11">
        <f ca="1">IFERROR(reading[[#This Row],[Previous]]+OFFSET(reading[[#Headers],[Memo 01]],-1,MATCH(0,reading[[#This Row],[Memo 01]:[Memo 07]],-1)-1),"")</f>
        <v>45835</v>
      </c>
      <c r="Y1090" s="10" t="str">
        <f ca="1">IF(reading[[#This Row],[Next]]&lt;&gt;"",IF(reading[[#This Row],[Next]]&gt;TODAY(),"OK",""),"")</f>
        <v>OK</v>
      </c>
      <c r="Z1090" s="13">
        <v>3</v>
      </c>
      <c r="AA1090" s="13">
        <v>3</v>
      </c>
      <c r="AB1090" s="13">
        <v>3</v>
      </c>
      <c r="AC1090" s="13">
        <v>3</v>
      </c>
      <c r="AD1090" s="13">
        <v>3</v>
      </c>
      <c r="AE1090" s="13">
        <v>2</v>
      </c>
      <c r="AF1090" s="13"/>
      <c r="AG1090" s="16">
        <f>IFERROR(SUMIF(reading[[#This Row],[1st]:[7th]],"&gt;0")/COUNTIF(reading[[#This Row],[1st]:[7th]],"&gt;0"),"")</f>
        <v>2.8333333333333335</v>
      </c>
    </row>
    <row r="1091" spans="1:33" hidden="1" x14ac:dyDescent="0.2">
      <c r="A1091" s="4">
        <f>IF(B1091=1,3,IF(D1091=1,2,IF(F1091=1,1,0)))</f>
        <v>3</v>
      </c>
      <c r="B1091" s="4">
        <f>IF(C1091=$L1091,1,IF(C1091="","",0))</f>
        <v>1</v>
      </c>
      <c r="C1091" s="25" t="s">
        <v>3129</v>
      </c>
      <c r="D1091" s="4" t="str">
        <f>IF(E1091=$L1091,1,IF(E1091="","",0))</f>
        <v/>
      </c>
      <c r="E1091" s="14"/>
      <c r="F1091" s="4" t="str">
        <f>IF(G1091=$L1091,1,IF(G1091="","",0))</f>
        <v/>
      </c>
      <c r="G1091" s="14"/>
      <c r="H1091" s="6">
        <v>1095</v>
      </c>
      <c r="I1091" s="15" t="s">
        <v>3120</v>
      </c>
      <c r="J1091" s="6" t="s">
        <v>4219</v>
      </c>
      <c r="K1091" s="6"/>
      <c r="L1091" s="6" t="s">
        <v>1201</v>
      </c>
      <c r="M1091" s="6" t="s">
        <v>7203</v>
      </c>
      <c r="N1091" s="7">
        <f ca="1">RAND()</f>
        <v>0.43684586141758819</v>
      </c>
      <c r="O1091" s="8">
        <v>45205</v>
      </c>
      <c r="P1091" s="8">
        <v>45205</v>
      </c>
      <c r="Q1091" s="8">
        <v>45205</v>
      </c>
      <c r="R1091" s="8">
        <v>45205</v>
      </c>
      <c r="S1091" s="8">
        <v>45205</v>
      </c>
      <c r="T1091" s="8">
        <v>45205</v>
      </c>
      <c r="U1091" s="8">
        <v>45205</v>
      </c>
      <c r="V1091" s="10">
        <f>COUNTA(O1091:U1091)</f>
        <v>7</v>
      </c>
      <c r="W1091" s="11">
        <f>_xlfn.IFNA(INDEX(reading[[#This Row],[Memo 01]:[Memo 07]],MATCH(0,reading[[#This Row],[Memo 01]:[Memo 07]],-1)),"")</f>
        <v>45205</v>
      </c>
      <c r="X1091" s="11">
        <f ca="1">IFERROR(reading[[#This Row],[Previous]]+OFFSET(reading[[#Headers],[Memo 01]],-1,MATCH(0,reading[[#This Row],[Memo 01]:[Memo 07]],-1)-1),"")</f>
        <v>55205</v>
      </c>
      <c r="Y1091" s="10" t="str">
        <f ca="1">IF(reading[[#This Row],[Next]]&lt;&gt;"",IF(reading[[#This Row],[Next]]&gt;TODAY(),"OK",""),"")</f>
        <v>OK</v>
      </c>
      <c r="Z1091" s="13">
        <v>3</v>
      </c>
      <c r="AA1091" s="13"/>
      <c r="AB1091" s="13"/>
      <c r="AC1091" s="13"/>
      <c r="AD1091" s="13"/>
      <c r="AE1091" s="13"/>
      <c r="AF1091" s="13"/>
      <c r="AG1091" s="16">
        <f>IFERROR(SUMIF(reading[[#This Row],[1st]:[7th]],"&gt;0")/COUNTIF(reading[[#This Row],[1st]:[7th]],"&gt;0"),"")</f>
        <v>3</v>
      </c>
    </row>
    <row r="1092" spans="1:33" hidden="1" x14ac:dyDescent="0.2">
      <c r="A1092" s="4">
        <f>IF(B1092=1,3,IF(D1092=1,2,IF(F1092=1,1,0)))</f>
        <v>0</v>
      </c>
      <c r="B1092" s="4" t="str">
        <f>IF(C1092=$L1092,1,IF(C1092="","",0))</f>
        <v/>
      </c>
      <c r="C1092" s="43"/>
      <c r="D1092" s="4" t="str">
        <f>IF(E1092=$L1092,1,IF(E1092="","",0))</f>
        <v/>
      </c>
      <c r="E1092" s="14"/>
      <c r="F1092" s="4" t="str">
        <f>IF(G1092=$L1092,1,IF(G1092="","",0))</f>
        <v/>
      </c>
      <c r="G1092" s="14"/>
      <c r="H1092" s="6">
        <v>94</v>
      </c>
      <c r="I1092" s="15" t="s">
        <v>3120</v>
      </c>
      <c r="J1092" s="6" t="s">
        <v>3244</v>
      </c>
      <c r="K1092" s="6"/>
      <c r="L1092" s="6" t="s">
        <v>231</v>
      </c>
      <c r="M1092" s="6" t="s">
        <v>6203</v>
      </c>
      <c r="N1092" s="7">
        <f ca="1">RAND()</f>
        <v>3.5676254788915007E-2</v>
      </c>
      <c r="O1092" s="8">
        <v>45198</v>
      </c>
      <c r="P1092" s="8">
        <v>45199</v>
      </c>
      <c r="Q1092" s="8">
        <v>45201</v>
      </c>
      <c r="R1092" s="8">
        <v>45205</v>
      </c>
      <c r="S1092" s="8">
        <v>45212</v>
      </c>
      <c r="T1092" s="8">
        <v>45224</v>
      </c>
      <c r="U1092" s="8">
        <v>45801</v>
      </c>
      <c r="V1092" s="10">
        <f>COUNTA(O1092:U1092)</f>
        <v>7</v>
      </c>
      <c r="W1092" s="11">
        <f>_xlfn.IFNA(INDEX(reading[[#This Row],[Memo 01]:[Memo 07]],MATCH(0,reading[[#This Row],[Memo 01]:[Memo 07]],-1)),"")</f>
        <v>45801</v>
      </c>
      <c r="X1092" s="11">
        <f ca="1">IFERROR(reading[[#This Row],[Previous]]+OFFSET(reading[[#Headers],[Memo 01]],-1,MATCH(0,reading[[#This Row],[Memo 01]:[Memo 07]],-1)-1),"")</f>
        <v>55801</v>
      </c>
      <c r="Y1092" s="10" t="str">
        <f ca="1">IF(reading[[#This Row],[Next]]&lt;&gt;"",IF(reading[[#This Row],[Next]]&gt;TODAY(),"OK",""),"")</f>
        <v>OK</v>
      </c>
      <c r="Z1092" s="13">
        <v>3</v>
      </c>
      <c r="AA1092" s="13">
        <v>3</v>
      </c>
      <c r="AB1092" s="13">
        <v>3</v>
      </c>
      <c r="AC1092" s="13">
        <v>2</v>
      </c>
      <c r="AD1092" s="13">
        <v>3</v>
      </c>
      <c r="AE1092" s="13">
        <v>3</v>
      </c>
      <c r="AF1092" s="13">
        <v>3</v>
      </c>
      <c r="AG1092" s="16">
        <f>IFERROR(SUMIF(reading[[#This Row],[1st]:[7th]],"&gt;0")/COUNTIF(reading[[#This Row],[1st]:[7th]],"&gt;0"),"")</f>
        <v>2.8571428571428572</v>
      </c>
    </row>
    <row r="1093" spans="1:33" hidden="1" x14ac:dyDescent="0.2">
      <c r="A1093" s="4">
        <f>IF(B1093=1,3,IF(D1093=1,2,IF(F1093=1,1,0)))</f>
        <v>0</v>
      </c>
      <c r="B1093" s="4" t="str">
        <f>IF(C1093=$L1093,1,IF(C1093="","",0))</f>
        <v/>
      </c>
      <c r="C1093" s="42"/>
      <c r="D1093" s="4" t="str">
        <f>IF(E1093=$L1093,1,IF(E1093="","",0))</f>
        <v/>
      </c>
      <c r="E1093" s="14"/>
      <c r="F1093" s="4" t="str">
        <f>IF(G1093=$L1093,1,IF(G1093="","",0))</f>
        <v/>
      </c>
      <c r="G1093" s="14"/>
      <c r="H1093" s="6">
        <v>1003</v>
      </c>
      <c r="I1093" s="15" t="s">
        <v>3120</v>
      </c>
      <c r="J1093" s="6" t="s">
        <v>4132</v>
      </c>
      <c r="K1093" s="6"/>
      <c r="L1093" s="6" t="s">
        <v>1113</v>
      </c>
      <c r="M1093" s="6" t="s">
        <v>7111</v>
      </c>
      <c r="N1093" s="7">
        <f ca="1">RAND()</f>
        <v>0.47149318899021764</v>
      </c>
      <c r="O1093" s="8">
        <v>45205</v>
      </c>
      <c r="P1093" s="8">
        <v>45206</v>
      </c>
      <c r="Q1093" s="8">
        <v>45208</v>
      </c>
      <c r="R1093" s="8">
        <v>45212</v>
      </c>
      <c r="S1093" s="8">
        <v>45219</v>
      </c>
      <c r="T1093" s="8">
        <v>45231</v>
      </c>
      <c r="U1093" s="8">
        <v>45801</v>
      </c>
      <c r="V1093" s="10">
        <f>COUNTA(O1093:U1093)</f>
        <v>7</v>
      </c>
      <c r="W1093" s="11">
        <f>_xlfn.IFNA(INDEX(reading[[#This Row],[Memo 01]:[Memo 07]],MATCH(0,reading[[#This Row],[Memo 01]:[Memo 07]],-1)),"")</f>
        <v>45801</v>
      </c>
      <c r="X1093" s="11">
        <f ca="1">IFERROR(reading[[#This Row],[Previous]]+OFFSET(reading[[#Headers],[Memo 01]],-1,MATCH(0,reading[[#This Row],[Memo 01]:[Memo 07]],-1)-1),"")</f>
        <v>55801</v>
      </c>
      <c r="Y1093" s="10" t="str">
        <f ca="1">IF(reading[[#This Row],[Next]]&lt;&gt;"",IF(reading[[#This Row],[Next]]&gt;TODAY(),"OK",""),"")</f>
        <v>OK</v>
      </c>
      <c r="Z1093" s="13">
        <v>3</v>
      </c>
      <c r="AA1093" s="13">
        <v>3</v>
      </c>
      <c r="AB1093" s="13">
        <v>3</v>
      </c>
      <c r="AC1093" s="13">
        <v>3</v>
      </c>
      <c r="AD1093" s="13">
        <v>3</v>
      </c>
      <c r="AE1093" s="13">
        <v>3</v>
      </c>
      <c r="AF1093" s="13">
        <v>3</v>
      </c>
      <c r="AG1093" s="16">
        <f>IFERROR(SUMIF(reading[[#This Row],[1st]:[7th]],"&gt;0")/COUNTIF(reading[[#This Row],[1st]:[7th]],"&gt;0"),"")</f>
        <v>3</v>
      </c>
    </row>
    <row r="1094" spans="1:33" hidden="1" x14ac:dyDescent="0.2">
      <c r="A1094" s="4">
        <f>IF(B1094=1,3,IF(D1094=1,2,IF(F1094=1,1,0)))</f>
        <v>0</v>
      </c>
      <c r="B1094" s="4" t="str">
        <f>IF(C1094=$L1094,1,IF(C1094="","",0))</f>
        <v/>
      </c>
      <c r="C1094" s="42"/>
      <c r="D1094" s="4" t="str">
        <f>IF(E1094=$L1094,1,IF(E1094="","",0))</f>
        <v/>
      </c>
      <c r="E1094" s="43"/>
      <c r="F1094" s="4" t="str">
        <f>IF(G1094=$L1094,1,IF(G1094="","",0))</f>
        <v/>
      </c>
      <c r="G1094" s="18"/>
      <c r="H1094" s="6">
        <v>1759</v>
      </c>
      <c r="I1094" s="15" t="s">
        <v>3120</v>
      </c>
      <c r="J1094" s="6" t="s">
        <v>4867</v>
      </c>
      <c r="K1094" s="6"/>
      <c r="L1094" s="6" t="s">
        <v>1839</v>
      </c>
      <c r="M1094" s="6" t="s">
        <v>7865</v>
      </c>
      <c r="N1094" s="7">
        <f ca="1">RAND()</f>
        <v>0.41061248570108821</v>
      </c>
      <c r="O1094" s="8">
        <v>45212</v>
      </c>
      <c r="P1094" s="8">
        <v>45213</v>
      </c>
      <c r="Q1094" s="8">
        <v>45215</v>
      </c>
      <c r="R1094" s="8">
        <v>45219</v>
      </c>
      <c r="S1094" s="8">
        <v>45226</v>
      </c>
      <c r="T1094" s="8">
        <v>45250</v>
      </c>
      <c r="U1094" s="8">
        <v>45816</v>
      </c>
      <c r="V1094" s="10">
        <f>COUNTA(O1094:U1094)</f>
        <v>7</v>
      </c>
      <c r="W1094" s="11">
        <f>_xlfn.IFNA(INDEX(reading[[#This Row],[Memo 01]:[Memo 07]],MATCH(0,reading[[#This Row],[Memo 01]:[Memo 07]],-1)),"")</f>
        <v>45816</v>
      </c>
      <c r="X1094" s="11">
        <f ca="1">IFERROR(reading[[#This Row],[Previous]]+OFFSET(reading[[#Headers],[Memo 01]],-1,MATCH(0,reading[[#This Row],[Memo 01]:[Memo 07]],-1)-1),"")</f>
        <v>55816</v>
      </c>
      <c r="Y1094" s="10" t="str">
        <f ca="1">IF(reading[[#This Row],[Next]]&lt;&gt;"",IF(reading[[#This Row],[Next]]&gt;TODAY(),"OK",""),"")</f>
        <v>OK</v>
      </c>
      <c r="Z1094" s="13">
        <v>3</v>
      </c>
      <c r="AA1094" s="13">
        <v>1</v>
      </c>
      <c r="AB1094" s="13">
        <v>2</v>
      </c>
      <c r="AC1094" s="13">
        <v>3</v>
      </c>
      <c r="AD1094" s="13">
        <v>2</v>
      </c>
      <c r="AE1094" s="13">
        <v>2</v>
      </c>
      <c r="AF1094" s="13">
        <v>2</v>
      </c>
      <c r="AG1094" s="16">
        <f>IFERROR(SUMIF(reading[[#This Row],[1st]:[7th]],"&gt;0")/COUNTIF(reading[[#This Row],[1st]:[7th]],"&gt;0"),"")</f>
        <v>2.1428571428571428</v>
      </c>
    </row>
    <row r="1095" spans="1:33" hidden="1" x14ac:dyDescent="0.2">
      <c r="A1095" s="4">
        <f>IF(B1095=1,3,IF(D1095=1,2,IF(F1095=1,1,0)))</f>
        <v>0</v>
      </c>
      <c r="B1095" s="4" t="str">
        <f>IF(C1095=$L1095,1,IF(C1095="","",0))</f>
        <v/>
      </c>
      <c r="C1095" s="42"/>
      <c r="D1095" s="4" t="str">
        <f>IF(E1095=$L1095,1,IF(E1095="","",0))</f>
        <v/>
      </c>
      <c r="E1095" s="14"/>
      <c r="F1095" s="4" t="str">
        <f>IF(G1095=$L1095,1,IF(G1095="","",0))</f>
        <v/>
      </c>
      <c r="G1095" s="14"/>
      <c r="H1095" s="6">
        <v>546</v>
      </c>
      <c r="I1095" s="15" t="s">
        <v>3120</v>
      </c>
      <c r="J1095" s="6" t="s">
        <v>3691</v>
      </c>
      <c r="K1095" s="6"/>
      <c r="L1095" s="6" t="s">
        <v>674</v>
      </c>
      <c r="M1095" s="6" t="s">
        <v>6655</v>
      </c>
      <c r="N1095" s="7">
        <f ca="1">RAND()</f>
        <v>0.25164995246247746</v>
      </c>
      <c r="O1095" s="8">
        <v>45202</v>
      </c>
      <c r="P1095" s="8">
        <v>45203</v>
      </c>
      <c r="Q1095" s="8">
        <v>45205</v>
      </c>
      <c r="R1095" s="8">
        <v>45209</v>
      </c>
      <c r="S1095" s="8">
        <v>45216</v>
      </c>
      <c r="T1095" s="8">
        <v>45228</v>
      </c>
      <c r="U1095" s="8">
        <v>45801</v>
      </c>
      <c r="V1095" s="10">
        <f>COUNTA(O1095:U1095)</f>
        <v>7</v>
      </c>
      <c r="W1095" s="11">
        <f>_xlfn.IFNA(INDEX(reading[[#This Row],[Memo 01]:[Memo 07]],MATCH(0,reading[[#This Row],[Memo 01]:[Memo 07]],-1)),"")</f>
        <v>45801</v>
      </c>
      <c r="X1095" s="11">
        <f ca="1">IFERROR(reading[[#This Row],[Previous]]+OFFSET(reading[[#Headers],[Memo 01]],-1,MATCH(0,reading[[#This Row],[Memo 01]:[Memo 07]],-1)-1),"")</f>
        <v>55801</v>
      </c>
      <c r="Y1095" s="10" t="str">
        <f ca="1">IF(reading[[#This Row],[Next]]&lt;&gt;"",IF(reading[[#This Row],[Next]]&gt;TODAY(),"OK",""),"")</f>
        <v>OK</v>
      </c>
      <c r="Z1095" s="13">
        <v>3</v>
      </c>
      <c r="AA1095" s="13">
        <v>3</v>
      </c>
      <c r="AB1095" s="13">
        <v>3</v>
      </c>
      <c r="AC1095" s="13">
        <v>3</v>
      </c>
      <c r="AD1095" s="13">
        <v>3</v>
      </c>
      <c r="AE1095" s="13">
        <v>3</v>
      </c>
      <c r="AF1095" s="13">
        <v>3</v>
      </c>
      <c r="AG1095" s="16">
        <f>IFERROR(SUMIF(reading[[#This Row],[1st]:[7th]],"&gt;0")/COUNTIF(reading[[#This Row],[1st]:[7th]],"&gt;0"),"")</f>
        <v>3</v>
      </c>
    </row>
    <row r="1096" spans="1:33" hidden="1" x14ac:dyDescent="0.2">
      <c r="A1096" s="4">
        <f>IF(B1096=1,3,IF(D1096=1,2,IF(F1096=1,1,0)))</f>
        <v>0</v>
      </c>
      <c r="B1096" s="4" t="str">
        <f>IF(C1096=$L1096,1,IF(C1096="","",0))</f>
        <v/>
      </c>
      <c r="C1096" s="42"/>
      <c r="D1096" s="4" t="str">
        <f>IF(E1096=$L1096,1,IF(E1096="","",0))</f>
        <v/>
      </c>
      <c r="E1096" s="14"/>
      <c r="F1096" s="4" t="str">
        <f>IF(G1096=$L1096,1,IF(G1096="","",0))</f>
        <v/>
      </c>
      <c r="G1096" s="14"/>
      <c r="H1096" s="6">
        <v>583</v>
      </c>
      <c r="I1096" s="15" t="s">
        <v>3120</v>
      </c>
      <c r="J1096" s="6" t="s">
        <v>3726</v>
      </c>
      <c r="K1096" s="6"/>
      <c r="L1096" s="6" t="s">
        <v>709</v>
      </c>
      <c r="M1096" s="6" t="s">
        <v>6692</v>
      </c>
      <c r="N1096" s="7">
        <f ca="1">RAND()</f>
        <v>3.7814045810438235E-2</v>
      </c>
      <c r="O1096" s="8">
        <v>45202</v>
      </c>
      <c r="P1096" s="8">
        <v>45203</v>
      </c>
      <c r="Q1096" s="8">
        <v>45205</v>
      </c>
      <c r="R1096" s="8">
        <v>45209</v>
      </c>
      <c r="S1096" s="8">
        <v>45216</v>
      </c>
      <c r="T1096" s="8">
        <v>45228</v>
      </c>
      <c r="U1096" s="8">
        <v>45801</v>
      </c>
      <c r="V1096" s="10">
        <f>COUNTA(O1096:U1096)</f>
        <v>7</v>
      </c>
      <c r="W1096" s="11">
        <f>_xlfn.IFNA(INDEX(reading[[#This Row],[Memo 01]:[Memo 07]],MATCH(0,reading[[#This Row],[Memo 01]:[Memo 07]],-1)),"")</f>
        <v>45801</v>
      </c>
      <c r="X1096" s="11">
        <f ca="1">IFERROR(reading[[#This Row],[Previous]]+OFFSET(reading[[#Headers],[Memo 01]],-1,MATCH(0,reading[[#This Row],[Memo 01]:[Memo 07]],-1)-1),"")</f>
        <v>55801</v>
      </c>
      <c r="Y1096" s="10" t="str">
        <f ca="1">IF(reading[[#This Row],[Next]]&lt;&gt;"",IF(reading[[#This Row],[Next]]&gt;TODAY(),"OK",""),"")</f>
        <v>OK</v>
      </c>
      <c r="Z1096" s="13">
        <v>3</v>
      </c>
      <c r="AA1096" s="13">
        <v>3</v>
      </c>
      <c r="AB1096" s="13">
        <v>3</v>
      </c>
      <c r="AC1096" s="13">
        <v>3</v>
      </c>
      <c r="AD1096" s="13">
        <v>3</v>
      </c>
      <c r="AE1096" s="13">
        <v>3</v>
      </c>
      <c r="AF1096" s="13">
        <v>3</v>
      </c>
      <c r="AG1096" s="16">
        <f>IFERROR(SUMIF(reading[[#This Row],[1st]:[7th]],"&gt;0")/COUNTIF(reading[[#This Row],[1st]:[7th]],"&gt;0"),"")</f>
        <v>3</v>
      </c>
    </row>
    <row r="1097" spans="1:33" hidden="1" x14ac:dyDescent="0.2">
      <c r="A1097" s="4">
        <f>IF(B1097=1,3,IF(D1097=1,2,IF(F1097=1,1,0)))</f>
        <v>3</v>
      </c>
      <c r="B1097" s="4">
        <f>IF(C1097=$L1097,1,IF(C1097="","",0))</f>
        <v>1</v>
      </c>
      <c r="C1097" s="25" t="s">
        <v>3126</v>
      </c>
      <c r="D1097" s="4" t="str">
        <f>IF(E1097=$L1097,1,IF(E1097="","",0))</f>
        <v/>
      </c>
      <c r="E1097" s="14"/>
      <c r="F1097" s="4" t="str">
        <f>IF(G1097=$L1097,1,IF(G1097="","",0))</f>
        <v/>
      </c>
      <c r="G1097" s="14"/>
      <c r="H1097" s="6">
        <v>1101</v>
      </c>
      <c r="I1097" s="15" t="s">
        <v>3120</v>
      </c>
      <c r="J1097" s="6" t="s">
        <v>4225</v>
      </c>
      <c r="K1097" s="6"/>
      <c r="L1097" s="6" t="s">
        <v>1207</v>
      </c>
      <c r="M1097" s="6" t="s">
        <v>7209</v>
      </c>
      <c r="N1097" s="7">
        <f ca="1">RAND()</f>
        <v>0.47598027092376716</v>
      </c>
      <c r="O1097" s="8">
        <v>45205</v>
      </c>
      <c r="P1097" s="8">
        <v>45205</v>
      </c>
      <c r="Q1097" s="8">
        <v>45205</v>
      </c>
      <c r="R1097" s="8">
        <v>45205</v>
      </c>
      <c r="S1097" s="8">
        <v>45205</v>
      </c>
      <c r="T1097" s="8">
        <v>45205</v>
      </c>
      <c r="U1097" s="8">
        <v>45205</v>
      </c>
      <c r="V1097" s="10">
        <f>COUNTA(O1097:U1097)</f>
        <v>7</v>
      </c>
      <c r="W1097" s="11">
        <f>_xlfn.IFNA(INDEX(reading[[#This Row],[Memo 01]:[Memo 07]],MATCH(0,reading[[#This Row],[Memo 01]:[Memo 07]],-1)),"")</f>
        <v>45205</v>
      </c>
      <c r="X1097" s="11">
        <f ca="1">IFERROR(reading[[#This Row],[Previous]]+OFFSET(reading[[#Headers],[Memo 01]],-1,MATCH(0,reading[[#This Row],[Memo 01]:[Memo 07]],-1)-1),"")</f>
        <v>55205</v>
      </c>
      <c r="Y1097" s="10" t="str">
        <f ca="1">IF(reading[[#This Row],[Next]]&lt;&gt;"",IF(reading[[#This Row],[Next]]&gt;TODAY(),"OK",""),"")</f>
        <v>OK</v>
      </c>
      <c r="Z1097" s="13">
        <v>3</v>
      </c>
      <c r="AA1097" s="13"/>
      <c r="AB1097" s="13"/>
      <c r="AC1097" s="13"/>
      <c r="AD1097" s="13"/>
      <c r="AE1097" s="13"/>
      <c r="AF1097" s="13"/>
      <c r="AG1097" s="16">
        <f>IFERROR(SUMIF(reading[[#This Row],[1st]:[7th]],"&gt;0")/COUNTIF(reading[[#This Row],[1st]:[7th]],"&gt;0"),"")</f>
        <v>3</v>
      </c>
    </row>
    <row r="1098" spans="1:33" hidden="1" x14ac:dyDescent="0.2">
      <c r="A1098" s="4">
        <f>IF(B1098=1,3,IF(D1098=1,2,IF(F1098=1,1,0)))</f>
        <v>0</v>
      </c>
      <c r="B1098" s="4" t="str">
        <f>IF(C1098=$L1098,1,IF(C1098="","",0))</f>
        <v/>
      </c>
      <c r="C1098" s="42"/>
      <c r="D1098" s="4" t="str">
        <f>IF(E1098=$L1098,1,IF(E1098="","",0))</f>
        <v/>
      </c>
      <c r="E1098" s="14"/>
      <c r="F1098" s="4" t="str">
        <f>IF(G1098=$L1098,1,IF(G1098="","",0))</f>
        <v/>
      </c>
      <c r="G1098" s="14"/>
      <c r="H1098" s="6">
        <v>627</v>
      </c>
      <c r="I1098" s="15" t="s">
        <v>3120</v>
      </c>
      <c r="J1098" s="6" t="s">
        <v>3769</v>
      </c>
      <c r="K1098" s="6"/>
      <c r="L1098" s="6" t="s">
        <v>750</v>
      </c>
      <c r="M1098" s="6" t="s">
        <v>6736</v>
      </c>
      <c r="N1098" s="7">
        <f ca="1">RAND()</f>
        <v>0.83962070136443112</v>
      </c>
      <c r="O1098" s="8">
        <v>45202</v>
      </c>
      <c r="P1098" s="8">
        <v>45203</v>
      </c>
      <c r="Q1098" s="8">
        <v>45205</v>
      </c>
      <c r="R1098" s="8">
        <v>45209</v>
      </c>
      <c r="S1098" s="8">
        <v>45216</v>
      </c>
      <c r="T1098" s="8">
        <v>45228</v>
      </c>
      <c r="U1098" s="8">
        <v>45801</v>
      </c>
      <c r="V1098" s="10">
        <f>COUNTA(O1098:U1098)</f>
        <v>7</v>
      </c>
      <c r="W1098" s="11">
        <f>_xlfn.IFNA(INDEX(reading[[#This Row],[Memo 01]:[Memo 07]],MATCH(0,reading[[#This Row],[Memo 01]:[Memo 07]],-1)),"")</f>
        <v>45801</v>
      </c>
      <c r="X1098" s="11">
        <f ca="1">IFERROR(reading[[#This Row],[Previous]]+OFFSET(reading[[#Headers],[Memo 01]],-1,MATCH(0,reading[[#This Row],[Memo 01]:[Memo 07]],-1)-1),"")</f>
        <v>55801</v>
      </c>
      <c r="Y1098" s="10" t="str">
        <f ca="1">IF(reading[[#This Row],[Next]]&lt;&gt;"",IF(reading[[#This Row],[Next]]&gt;TODAY(),"OK",""),"")</f>
        <v>OK</v>
      </c>
      <c r="Z1098" s="13">
        <v>3</v>
      </c>
      <c r="AA1098" s="13">
        <v>3</v>
      </c>
      <c r="AB1098" s="13">
        <v>3</v>
      </c>
      <c r="AC1098" s="13">
        <v>3</v>
      </c>
      <c r="AD1098" s="13">
        <v>3</v>
      </c>
      <c r="AE1098" s="13">
        <v>2</v>
      </c>
      <c r="AF1098" s="13">
        <v>3</v>
      </c>
      <c r="AG1098" s="16">
        <f>IFERROR(SUMIF(reading[[#This Row],[1st]:[7th]],"&gt;0")/COUNTIF(reading[[#This Row],[1st]:[7th]],"&gt;0"),"")</f>
        <v>2.8571428571428572</v>
      </c>
    </row>
    <row r="1099" spans="1:33" hidden="1" x14ac:dyDescent="0.2">
      <c r="A1099" s="4">
        <f>IF(B1099=1,3,IF(D1099=1,2,IF(F1099=1,1,0)))</f>
        <v>3</v>
      </c>
      <c r="B1099" s="4">
        <f>IF(C1099=$L1099,1,IF(C1099="","",0))</f>
        <v>1</v>
      </c>
      <c r="C1099" s="25" t="s">
        <v>3134</v>
      </c>
      <c r="D1099" s="4" t="str">
        <f>IF(E1099=$L1099,1,IF(E1099="","",0))</f>
        <v/>
      </c>
      <c r="E1099" s="14"/>
      <c r="F1099" s="4" t="str">
        <f>IF(G1099=$L1099,1,IF(G1099="","",0))</f>
        <v/>
      </c>
      <c r="G1099" s="14"/>
      <c r="H1099" s="6">
        <v>1103</v>
      </c>
      <c r="I1099" s="15" t="s">
        <v>3120</v>
      </c>
      <c r="J1099" s="6" t="s">
        <v>4227</v>
      </c>
      <c r="K1099" s="6"/>
      <c r="L1099" s="6" t="s">
        <v>1209</v>
      </c>
      <c r="M1099" s="6" t="s">
        <v>7211</v>
      </c>
      <c r="N1099" s="7">
        <f ca="1">RAND()</f>
        <v>0.96265989941205765</v>
      </c>
      <c r="O1099" s="8">
        <v>45205</v>
      </c>
      <c r="P1099" s="8">
        <v>45205</v>
      </c>
      <c r="Q1099" s="8">
        <v>45205</v>
      </c>
      <c r="R1099" s="8">
        <v>45205</v>
      </c>
      <c r="S1099" s="8">
        <v>45205</v>
      </c>
      <c r="T1099" s="8">
        <v>45205</v>
      </c>
      <c r="U1099" s="8">
        <v>45205</v>
      </c>
      <c r="V1099" s="10">
        <f>COUNTA(O1099:U1099)</f>
        <v>7</v>
      </c>
      <c r="W1099" s="11">
        <f>_xlfn.IFNA(INDEX(reading[[#This Row],[Memo 01]:[Memo 07]],MATCH(0,reading[[#This Row],[Memo 01]:[Memo 07]],-1)),"")</f>
        <v>45205</v>
      </c>
      <c r="X1099" s="11">
        <f ca="1">IFERROR(reading[[#This Row],[Previous]]+OFFSET(reading[[#Headers],[Memo 01]],-1,MATCH(0,reading[[#This Row],[Memo 01]:[Memo 07]],-1)-1),"")</f>
        <v>55205</v>
      </c>
      <c r="Y1099" s="10" t="str">
        <f ca="1">IF(reading[[#This Row],[Next]]&lt;&gt;"",IF(reading[[#This Row],[Next]]&gt;TODAY(),"OK",""),"")</f>
        <v>OK</v>
      </c>
      <c r="Z1099" s="13">
        <v>3</v>
      </c>
      <c r="AA1099" s="13"/>
      <c r="AB1099" s="13"/>
      <c r="AC1099" s="13"/>
      <c r="AD1099" s="13"/>
      <c r="AE1099" s="13"/>
      <c r="AF1099" s="13"/>
      <c r="AG1099" s="16">
        <f>IFERROR(SUMIF(reading[[#This Row],[1st]:[7th]],"&gt;0")/COUNTIF(reading[[#This Row],[1st]:[7th]],"&gt;0"),"")</f>
        <v>3</v>
      </c>
    </row>
    <row r="1100" spans="1:33" hidden="1" x14ac:dyDescent="0.2">
      <c r="A1100" s="4">
        <f>IF(B1100=1,3,IF(D1100=1,2,IF(F1100=1,1,0)))</f>
        <v>0</v>
      </c>
      <c r="B1100" s="4" t="str">
        <f>IF(C1100=$L1100,1,IF(C1100="","",0))</f>
        <v/>
      </c>
      <c r="C1100" s="42"/>
      <c r="D1100" s="4" t="str">
        <f>IF(E1100=$L1100,1,IF(E1100="","",0))</f>
        <v/>
      </c>
      <c r="E1100" s="23"/>
      <c r="F1100" s="4" t="str">
        <f>IF(G1100=$L1100,1,IF(G1100="","",0))</f>
        <v/>
      </c>
      <c r="G1100" s="14"/>
      <c r="H1100" s="6">
        <v>1497</v>
      </c>
      <c r="I1100" s="15" t="s">
        <v>3120</v>
      </c>
      <c r="J1100" s="6" t="s">
        <v>4611</v>
      </c>
      <c r="K1100" s="6"/>
      <c r="L1100" s="6" t="s">
        <v>1583</v>
      </c>
      <c r="M1100" s="6" t="s">
        <v>7604</v>
      </c>
      <c r="N1100" s="7">
        <f ca="1">RAND()</f>
        <v>0.74547557602012038</v>
      </c>
      <c r="O1100" s="8">
        <v>45208</v>
      </c>
      <c r="P1100" s="8">
        <v>45209</v>
      </c>
      <c r="Q1100" s="8">
        <v>45211</v>
      </c>
      <c r="R1100" s="8">
        <v>45215</v>
      </c>
      <c r="S1100" s="8">
        <v>45222</v>
      </c>
      <c r="T1100" s="8">
        <v>45234</v>
      </c>
      <c r="U1100" s="8">
        <v>45815</v>
      </c>
      <c r="V1100" s="10">
        <f>COUNTA(O1100:U1100)</f>
        <v>7</v>
      </c>
      <c r="W1100" s="11">
        <f>_xlfn.IFNA(INDEX(reading[[#This Row],[Memo 01]:[Memo 07]],MATCH(0,reading[[#This Row],[Memo 01]:[Memo 07]],-1)),"")</f>
        <v>45815</v>
      </c>
      <c r="X1100" s="11">
        <f ca="1">IFERROR(reading[[#This Row],[Previous]]+OFFSET(reading[[#Headers],[Memo 01]],-1,MATCH(0,reading[[#This Row],[Memo 01]:[Memo 07]],-1)-1),"")</f>
        <v>55815</v>
      </c>
      <c r="Y1100" s="10" t="str">
        <f ca="1">IF(reading[[#This Row],[Next]]&lt;&gt;"",IF(reading[[#This Row],[Next]]&gt;TODAY(),"OK",""),"")</f>
        <v>OK</v>
      </c>
      <c r="Z1100" s="13">
        <v>3</v>
      </c>
      <c r="AA1100" s="13">
        <v>3</v>
      </c>
      <c r="AB1100" s="13">
        <v>3</v>
      </c>
      <c r="AC1100" s="13">
        <v>3</v>
      </c>
      <c r="AD1100" s="13">
        <v>3</v>
      </c>
      <c r="AE1100" s="13">
        <v>3</v>
      </c>
      <c r="AF1100" s="13">
        <v>2</v>
      </c>
      <c r="AG1100" s="16">
        <f>IFERROR(SUMIF(reading[[#This Row],[1st]:[7th]],"&gt;0")/COUNTIF(reading[[#This Row],[1st]:[7th]],"&gt;0"),"")</f>
        <v>2.8571428571428572</v>
      </c>
    </row>
    <row r="1101" spans="1:33" hidden="1" x14ac:dyDescent="0.2">
      <c r="A1101" s="4">
        <f>IF(B1101=1,3,IF(D1101=1,2,IF(F1101=1,1,0)))</f>
        <v>0</v>
      </c>
      <c r="B1101" s="4" t="str">
        <f>IF(C1101=$L1101,1,IF(C1101="","",0))</f>
        <v/>
      </c>
      <c r="C1101" s="42"/>
      <c r="D1101" s="4" t="str">
        <f>IF(E1101=$L1101,1,IF(E1101="","",0))</f>
        <v/>
      </c>
      <c r="E1101" s="23"/>
      <c r="F1101" s="4" t="str">
        <f>IF(G1101=$L1101,1,IF(G1101="","",0))</f>
        <v/>
      </c>
      <c r="G1101" s="14"/>
      <c r="H1101" s="6">
        <v>358</v>
      </c>
      <c r="I1101" s="15" t="s">
        <v>3120</v>
      </c>
      <c r="J1101" s="6" t="s">
        <v>3505</v>
      </c>
      <c r="K1101" s="6"/>
      <c r="L1101" s="6" t="s">
        <v>492</v>
      </c>
      <c r="M1101" s="6" t="s">
        <v>6467</v>
      </c>
      <c r="N1101" s="7">
        <f ca="1">RAND()</f>
        <v>0.58824618937662387</v>
      </c>
      <c r="O1101" s="8">
        <v>45200</v>
      </c>
      <c r="P1101" s="8">
        <v>45201</v>
      </c>
      <c r="Q1101" s="8">
        <v>45203</v>
      </c>
      <c r="R1101" s="8">
        <v>45207</v>
      </c>
      <c r="S1101" s="8">
        <v>45214</v>
      </c>
      <c r="T1101" s="8">
        <v>45226</v>
      </c>
      <c r="U1101" s="8">
        <v>45815</v>
      </c>
      <c r="V1101" s="10">
        <f>COUNTA(O1101:U1101)</f>
        <v>7</v>
      </c>
      <c r="W1101" s="11">
        <f>_xlfn.IFNA(INDEX(reading[[#This Row],[Memo 01]:[Memo 07]],MATCH(0,reading[[#This Row],[Memo 01]:[Memo 07]],-1)),"")</f>
        <v>45815</v>
      </c>
      <c r="X1101" s="11">
        <f ca="1">IFERROR(reading[[#This Row],[Previous]]+OFFSET(reading[[#Headers],[Memo 01]],-1,MATCH(0,reading[[#This Row],[Memo 01]:[Memo 07]],-1)-1),"")</f>
        <v>55815</v>
      </c>
      <c r="Y1101" s="10" t="str">
        <f ca="1">IF(reading[[#This Row],[Next]]&lt;&gt;"",IF(reading[[#This Row],[Next]]&gt;TODAY(),"OK",""),"")</f>
        <v>OK</v>
      </c>
      <c r="Z1101" s="13">
        <v>3</v>
      </c>
      <c r="AA1101" s="13">
        <v>3</v>
      </c>
      <c r="AB1101" s="13">
        <v>3</v>
      </c>
      <c r="AC1101" s="13">
        <v>3</v>
      </c>
      <c r="AD1101" s="13">
        <v>3</v>
      </c>
      <c r="AE1101" s="13">
        <v>3</v>
      </c>
      <c r="AF1101" s="13">
        <v>2</v>
      </c>
      <c r="AG1101" s="16">
        <f>IFERROR(SUMIF(reading[[#This Row],[1st]:[7th]],"&gt;0")/COUNTIF(reading[[#This Row],[1st]:[7th]],"&gt;0"),"")</f>
        <v>2.8571428571428572</v>
      </c>
    </row>
    <row r="1102" spans="1:33" hidden="1" x14ac:dyDescent="0.2">
      <c r="A1102" s="4">
        <f>IF(B1102=1,3,IF(D1102=1,2,IF(F1102=1,1,0)))</f>
        <v>0</v>
      </c>
      <c r="B1102" s="4" t="str">
        <f>IF(C1102=$L1102,1,IF(C1102="","",0))</f>
        <v/>
      </c>
      <c r="C1102" s="42"/>
      <c r="D1102" s="4" t="str">
        <f>IF(E1102=$L1102,1,IF(E1102="","",0))</f>
        <v/>
      </c>
      <c r="E1102" s="14"/>
      <c r="F1102" s="4" t="str">
        <f>IF(G1102=$L1102,1,IF(G1102="","",0))</f>
        <v/>
      </c>
      <c r="G1102" s="14"/>
      <c r="H1102" s="6">
        <v>2054</v>
      </c>
      <c r="I1102" s="15" t="s">
        <v>3120</v>
      </c>
      <c r="J1102" s="6" t="s">
        <v>5149</v>
      </c>
      <c r="K1102" s="6"/>
      <c r="L1102" s="6" t="s">
        <v>2129</v>
      </c>
      <c r="M1102" s="6" t="s">
        <v>8160</v>
      </c>
      <c r="N1102" s="7">
        <f ca="1">RAND()</f>
        <v>0.61030587482276133</v>
      </c>
      <c r="O1102" s="8">
        <v>45214</v>
      </c>
      <c r="P1102" s="8">
        <v>45215</v>
      </c>
      <c r="Q1102" s="8">
        <v>45217</v>
      </c>
      <c r="R1102" s="8">
        <v>45221</v>
      </c>
      <c r="S1102" s="8">
        <v>45228</v>
      </c>
      <c r="T1102" s="8">
        <v>45824</v>
      </c>
      <c r="U1102" s="8"/>
      <c r="V1102" s="10">
        <f>COUNTA(O1102:U1102)</f>
        <v>6</v>
      </c>
      <c r="W1102" s="11">
        <f>_xlfn.IFNA(INDEX(reading[[#This Row],[Memo 01]:[Memo 07]],MATCH(0,reading[[#This Row],[Memo 01]:[Memo 07]],-1)),"")</f>
        <v>45824</v>
      </c>
      <c r="X1102" s="11">
        <f ca="1">IFERROR(reading[[#This Row],[Previous]]+OFFSET(reading[[#Headers],[Memo 01]],-1,MATCH(0,reading[[#This Row],[Memo 01]:[Memo 07]],-1)-1),"")</f>
        <v>45844</v>
      </c>
      <c r="Y1102" s="10" t="str">
        <f ca="1">IF(reading[[#This Row],[Next]]&lt;&gt;"",IF(reading[[#This Row],[Next]]&gt;TODAY(),"OK",""),"")</f>
        <v>OK</v>
      </c>
      <c r="Z1102" s="13">
        <v>3</v>
      </c>
      <c r="AA1102" s="13">
        <v>3</v>
      </c>
      <c r="AB1102" s="13">
        <v>3</v>
      </c>
      <c r="AC1102" s="13">
        <v>3</v>
      </c>
      <c r="AD1102" s="13">
        <v>3</v>
      </c>
      <c r="AE1102" s="13">
        <v>3</v>
      </c>
      <c r="AF1102" s="13"/>
      <c r="AG1102" s="16">
        <f>IFERROR(SUMIF(reading[[#This Row],[1st]:[7th]],"&gt;0")/COUNTIF(reading[[#This Row],[1st]:[7th]],"&gt;0"),"")</f>
        <v>3</v>
      </c>
    </row>
    <row r="1103" spans="1:33" hidden="1" x14ac:dyDescent="0.2">
      <c r="A1103" s="4">
        <f>IF(B1103=1,3,IF(D1103=1,2,IF(F1103=1,1,0)))</f>
        <v>0</v>
      </c>
      <c r="B1103" s="4" t="str">
        <f>IF(C1103=$L1103,1,IF(C1103="","",0))</f>
        <v/>
      </c>
      <c r="C1103" s="42"/>
      <c r="D1103" s="4" t="str">
        <f>IF(E1103=$L1103,1,IF(E1103="","",0))</f>
        <v/>
      </c>
      <c r="E1103" s="14"/>
      <c r="F1103" s="4" t="str">
        <f>IF(G1103=$L1103,1,IF(G1103="","",0))</f>
        <v/>
      </c>
      <c r="G1103" s="14"/>
      <c r="H1103" s="6">
        <v>537</v>
      </c>
      <c r="I1103" s="15" t="s">
        <v>3120</v>
      </c>
      <c r="J1103" s="6" t="s">
        <v>3682</v>
      </c>
      <c r="K1103" s="6"/>
      <c r="L1103" s="6" t="s">
        <v>665</v>
      </c>
      <c r="M1103" s="6" t="s">
        <v>6646</v>
      </c>
      <c r="N1103" s="7">
        <f ca="1">RAND()</f>
        <v>0.14877536694976712</v>
      </c>
      <c r="O1103" s="8">
        <v>45202</v>
      </c>
      <c r="P1103" s="8">
        <v>45203</v>
      </c>
      <c r="Q1103" s="8">
        <v>45205</v>
      </c>
      <c r="R1103" s="8">
        <v>45209</v>
      </c>
      <c r="S1103" s="8">
        <v>45216</v>
      </c>
      <c r="T1103" s="8">
        <v>45228</v>
      </c>
      <c r="U1103" s="8">
        <v>45819</v>
      </c>
      <c r="V1103" s="10">
        <f>COUNTA(O1103:U1103)</f>
        <v>7</v>
      </c>
      <c r="W1103" s="11">
        <f>_xlfn.IFNA(INDEX(reading[[#This Row],[Memo 01]:[Memo 07]],MATCH(0,reading[[#This Row],[Memo 01]:[Memo 07]],-1)),"")</f>
        <v>45819</v>
      </c>
      <c r="X1103" s="11">
        <f ca="1">IFERROR(reading[[#This Row],[Previous]]+OFFSET(reading[[#Headers],[Memo 01]],-1,MATCH(0,reading[[#This Row],[Memo 01]:[Memo 07]],-1)-1),"")</f>
        <v>55819</v>
      </c>
      <c r="Y1103" s="10" t="str">
        <f ca="1">IF(reading[[#This Row],[Next]]&lt;&gt;"",IF(reading[[#This Row],[Next]]&gt;TODAY(),"OK",""),"")</f>
        <v>OK</v>
      </c>
      <c r="Z1103" s="13">
        <v>3</v>
      </c>
      <c r="AA1103" s="13">
        <v>3</v>
      </c>
      <c r="AB1103" s="13">
        <v>3</v>
      </c>
      <c r="AC1103" s="13">
        <v>3</v>
      </c>
      <c r="AD1103" s="13">
        <v>3</v>
      </c>
      <c r="AE1103" s="13">
        <v>3</v>
      </c>
      <c r="AF1103" s="13">
        <v>3</v>
      </c>
      <c r="AG1103" s="16">
        <f>IFERROR(SUMIF(reading[[#This Row],[1st]:[7th]],"&gt;0")/COUNTIF(reading[[#This Row],[1st]:[7th]],"&gt;0"),"")</f>
        <v>3</v>
      </c>
    </row>
    <row r="1104" spans="1:33" hidden="1" x14ac:dyDescent="0.2">
      <c r="A1104" s="4">
        <f>IF(B1104=1,3,IF(D1104=1,2,IF(F1104=1,1,0)))</f>
        <v>0</v>
      </c>
      <c r="B1104" s="4" t="str">
        <f>IF(C1104=$L1104,1,IF(C1104="","",0))</f>
        <v/>
      </c>
      <c r="C1104" s="42"/>
      <c r="D1104" s="4" t="str">
        <f>IF(E1104=$L1104,1,IF(E1104="","",0))</f>
        <v/>
      </c>
      <c r="E1104" s="43"/>
      <c r="F1104" s="4" t="str">
        <f>IF(G1104=$L1104,1,IF(G1104="","",0))</f>
        <v/>
      </c>
      <c r="G1104" s="23"/>
      <c r="H1104" s="6">
        <v>1094</v>
      </c>
      <c r="I1104" s="15" t="s">
        <v>3120</v>
      </c>
      <c r="J1104" s="6" t="s">
        <v>4218</v>
      </c>
      <c r="K1104" s="6"/>
      <c r="L1104" s="6" t="s">
        <v>1200</v>
      </c>
      <c r="M1104" s="6" t="s">
        <v>7202</v>
      </c>
      <c r="N1104" s="7">
        <f ca="1">RAND()</f>
        <v>0.51575269889021536</v>
      </c>
      <c r="O1104" s="8">
        <v>45205</v>
      </c>
      <c r="P1104" s="8">
        <v>45206</v>
      </c>
      <c r="Q1104" s="8">
        <v>45208</v>
      </c>
      <c r="R1104" s="8">
        <v>45212</v>
      </c>
      <c r="S1104" s="8">
        <v>45219</v>
      </c>
      <c r="T1104" s="8">
        <v>45231</v>
      </c>
      <c r="U1104" s="8">
        <v>45816</v>
      </c>
      <c r="V1104" s="10">
        <f>COUNTA(O1104:U1104)</f>
        <v>7</v>
      </c>
      <c r="W1104" s="11">
        <f>_xlfn.IFNA(INDEX(reading[[#This Row],[Memo 01]:[Memo 07]],MATCH(0,reading[[#This Row],[Memo 01]:[Memo 07]],-1)),"")</f>
        <v>45816</v>
      </c>
      <c r="X1104" s="11">
        <f ca="1">IFERROR(reading[[#This Row],[Previous]]+OFFSET(reading[[#Headers],[Memo 01]],-1,MATCH(0,reading[[#This Row],[Memo 01]:[Memo 07]],-1)-1),"")</f>
        <v>55816</v>
      </c>
      <c r="Y1104" s="10" t="str">
        <f ca="1">IF(reading[[#This Row],[Next]]&lt;&gt;"",IF(reading[[#This Row],[Next]]&gt;TODAY(),"OK",""),"")</f>
        <v>OK</v>
      </c>
      <c r="Z1104" s="13">
        <v>3</v>
      </c>
      <c r="AA1104" s="13">
        <v>3</v>
      </c>
      <c r="AB1104" s="13">
        <v>3</v>
      </c>
      <c r="AC1104" s="13">
        <v>3</v>
      </c>
      <c r="AD1104" s="13">
        <v>2</v>
      </c>
      <c r="AE1104" s="13">
        <v>3</v>
      </c>
      <c r="AF1104" s="13">
        <v>1</v>
      </c>
      <c r="AG1104" s="16">
        <f>IFERROR(SUMIF(reading[[#This Row],[1st]:[7th]],"&gt;0")/COUNTIF(reading[[#This Row],[1st]:[7th]],"&gt;0"),"")</f>
        <v>2.5714285714285716</v>
      </c>
    </row>
    <row r="1105" spans="1:33" hidden="1" x14ac:dyDescent="0.2">
      <c r="A1105" s="4">
        <f>IF(B1105=1,3,IF(D1105=1,2,IF(F1105=1,1,0)))</f>
        <v>0</v>
      </c>
      <c r="B1105" s="4" t="str">
        <f>IF(C1105=$L1105,1,IF(C1105="","",0))</f>
        <v/>
      </c>
      <c r="C1105" s="42"/>
      <c r="D1105" s="4" t="str">
        <f>IF(E1105=$L1105,1,IF(E1105="","",0))</f>
        <v/>
      </c>
      <c r="E1105" s="14"/>
      <c r="F1105" s="4" t="str">
        <f>IF(G1105=$L1105,1,IF(G1105="","",0))</f>
        <v/>
      </c>
      <c r="G1105" s="14"/>
      <c r="H1105" s="6">
        <v>943</v>
      </c>
      <c r="I1105" s="15" t="s">
        <v>3120</v>
      </c>
      <c r="J1105" s="6" t="s">
        <v>4073</v>
      </c>
      <c r="K1105" s="15" t="s">
        <v>3138</v>
      </c>
      <c r="L1105" s="6" t="s">
        <v>1053</v>
      </c>
      <c r="M1105" s="6" t="s">
        <v>7051</v>
      </c>
      <c r="N1105" s="7">
        <f ca="1">RAND()</f>
        <v>0.42477356845682501</v>
      </c>
      <c r="O1105" s="8">
        <v>45204</v>
      </c>
      <c r="P1105" s="8">
        <v>45205</v>
      </c>
      <c r="Q1105" s="8">
        <v>45207</v>
      </c>
      <c r="R1105" s="8">
        <v>45211</v>
      </c>
      <c r="S1105" s="8">
        <v>45218</v>
      </c>
      <c r="T1105" s="8">
        <v>45230</v>
      </c>
      <c r="U1105" s="8">
        <v>45801</v>
      </c>
      <c r="V1105" s="10">
        <f>COUNTA(O1105:U1105)</f>
        <v>7</v>
      </c>
      <c r="W1105" s="11">
        <f>_xlfn.IFNA(INDEX(reading[[#This Row],[Memo 01]:[Memo 07]],MATCH(0,reading[[#This Row],[Memo 01]:[Memo 07]],-1)),"")</f>
        <v>45801</v>
      </c>
      <c r="X1105" s="11">
        <f ca="1">IFERROR(reading[[#This Row],[Previous]]+OFFSET(reading[[#Headers],[Memo 01]],-1,MATCH(0,reading[[#This Row],[Memo 01]:[Memo 07]],-1)-1),"")</f>
        <v>55801</v>
      </c>
      <c r="Y1105" s="10" t="str">
        <f ca="1">IF(reading[[#This Row],[Next]]&lt;&gt;"",IF(reading[[#This Row],[Next]]&gt;TODAY(),"OK",""),"")</f>
        <v>OK</v>
      </c>
      <c r="Z1105" s="13">
        <v>3</v>
      </c>
      <c r="AA1105" s="13">
        <v>3</v>
      </c>
      <c r="AB1105" s="13">
        <v>3</v>
      </c>
      <c r="AC1105" s="13">
        <v>3</v>
      </c>
      <c r="AD1105" s="13">
        <v>3</v>
      </c>
      <c r="AE1105" s="13">
        <v>3</v>
      </c>
      <c r="AF1105" s="13">
        <v>3</v>
      </c>
      <c r="AG1105" s="16">
        <f>IFERROR(SUMIF(reading[[#This Row],[1st]:[7th]],"&gt;0")/COUNTIF(reading[[#This Row],[1st]:[7th]],"&gt;0"),"")</f>
        <v>3</v>
      </c>
    </row>
    <row r="1106" spans="1:33" hidden="1" x14ac:dyDescent="0.2">
      <c r="A1106" s="4">
        <f>IF(B1106=1,3,IF(D1106=1,2,IF(F1106=1,1,0)))</f>
        <v>0</v>
      </c>
      <c r="B1106" s="4" t="str">
        <f>IF(C1106=$L1106,1,IF(C1106="","",0))</f>
        <v/>
      </c>
      <c r="C1106" s="42"/>
      <c r="D1106" s="4" t="str">
        <f>IF(E1106=$L1106,1,IF(E1106="","",0))</f>
        <v/>
      </c>
      <c r="E1106" s="43"/>
      <c r="F1106" s="4" t="str">
        <f>IF(G1106=$L1106,1,IF(G1106="","",0))</f>
        <v/>
      </c>
      <c r="G1106" s="23"/>
      <c r="H1106" s="6">
        <v>2248</v>
      </c>
      <c r="I1106" s="15" t="s">
        <v>3120</v>
      </c>
      <c r="J1106" s="6" t="s">
        <v>5332</v>
      </c>
      <c r="K1106" s="15" t="s">
        <v>3138</v>
      </c>
      <c r="L1106" s="6" t="s">
        <v>2310</v>
      </c>
      <c r="M1106" s="6" t="s">
        <v>8353</v>
      </c>
      <c r="N1106" s="7">
        <f ca="1">RAND()</f>
        <v>8.0604045828029713E-2</v>
      </c>
      <c r="O1106" s="8">
        <v>45216</v>
      </c>
      <c r="P1106" s="8">
        <v>45217</v>
      </c>
      <c r="Q1106" s="8">
        <v>45219</v>
      </c>
      <c r="R1106" s="8">
        <v>45223</v>
      </c>
      <c r="S1106" s="8">
        <v>45230</v>
      </c>
      <c r="T1106" s="8">
        <v>45252</v>
      </c>
      <c r="U1106" s="8">
        <v>45816</v>
      </c>
      <c r="V1106" s="10">
        <f>COUNTA(O1106:U1106)</f>
        <v>7</v>
      </c>
      <c r="W1106" s="11">
        <f>_xlfn.IFNA(INDEX(reading[[#This Row],[Memo 01]:[Memo 07]],MATCH(0,reading[[#This Row],[Memo 01]:[Memo 07]],-1)),"")</f>
        <v>45816</v>
      </c>
      <c r="X1106" s="11">
        <f ca="1">IFERROR(reading[[#This Row],[Previous]]+OFFSET(reading[[#Headers],[Memo 01]],-1,MATCH(0,reading[[#This Row],[Memo 01]:[Memo 07]],-1)-1),"")</f>
        <v>55816</v>
      </c>
      <c r="Y1106" s="10" t="str">
        <f ca="1">IF(reading[[#This Row],[Next]]&lt;&gt;"",IF(reading[[#This Row],[Next]]&gt;TODAY(),"OK",""),"")</f>
        <v>OK</v>
      </c>
      <c r="Z1106" s="13">
        <v>3</v>
      </c>
      <c r="AA1106" s="13">
        <v>3</v>
      </c>
      <c r="AB1106" s="13">
        <v>3</v>
      </c>
      <c r="AC1106" s="13">
        <v>2</v>
      </c>
      <c r="AD1106" s="13">
        <v>2</v>
      </c>
      <c r="AE1106" s="13">
        <v>2</v>
      </c>
      <c r="AF1106" s="13">
        <v>1</v>
      </c>
      <c r="AG1106" s="16">
        <f>IFERROR(SUMIF(reading[[#This Row],[1st]:[7th]],"&gt;0")/COUNTIF(reading[[#This Row],[1st]:[7th]],"&gt;0"),"")</f>
        <v>2.2857142857142856</v>
      </c>
    </row>
    <row r="1107" spans="1:33" hidden="1" x14ac:dyDescent="0.2">
      <c r="A1107" s="4">
        <f>IF(B1107=1,3,IF(D1107=1,2,IF(F1107=1,1,0)))</f>
        <v>0</v>
      </c>
      <c r="B1107" s="4" t="str">
        <f>IF(C1107=$L1107,1,IF(C1107="","",0))</f>
        <v/>
      </c>
      <c r="C1107" s="42"/>
      <c r="D1107" s="4" t="str">
        <f>IF(E1107=$L1107,1,IF(E1107="","",0))</f>
        <v/>
      </c>
      <c r="E1107" s="43"/>
      <c r="F1107" s="4" t="str">
        <f>IF(G1107=$L1107,1,IF(G1107="","",0))</f>
        <v/>
      </c>
      <c r="G1107" s="14"/>
      <c r="H1107" s="6">
        <v>937</v>
      </c>
      <c r="I1107" s="15" t="s">
        <v>3120</v>
      </c>
      <c r="J1107" s="6" t="s">
        <v>4067</v>
      </c>
      <c r="K1107" s="6"/>
      <c r="L1107" s="6" t="s">
        <v>1048</v>
      </c>
      <c r="M1107" s="6" t="s">
        <v>7045</v>
      </c>
      <c r="N1107" s="7">
        <f ca="1">RAND()</f>
        <v>0.19416857529019838</v>
      </c>
      <c r="O1107" s="8">
        <v>45204</v>
      </c>
      <c r="P1107" s="8">
        <v>45205</v>
      </c>
      <c r="Q1107" s="8">
        <v>45207</v>
      </c>
      <c r="R1107" s="8">
        <v>45211</v>
      </c>
      <c r="S1107" s="8">
        <v>45218</v>
      </c>
      <c r="T1107" s="8">
        <v>45230</v>
      </c>
      <c r="U1107" s="8">
        <v>45815</v>
      </c>
      <c r="V1107" s="10">
        <f>COUNTA(O1107:U1107)</f>
        <v>7</v>
      </c>
      <c r="W1107" s="11">
        <f>_xlfn.IFNA(INDEX(reading[[#This Row],[Memo 01]:[Memo 07]],MATCH(0,reading[[#This Row],[Memo 01]:[Memo 07]],-1)),"")</f>
        <v>45815</v>
      </c>
      <c r="X1107" s="11">
        <f ca="1">IFERROR(reading[[#This Row],[Previous]]+OFFSET(reading[[#Headers],[Memo 01]],-1,MATCH(0,reading[[#This Row],[Memo 01]:[Memo 07]],-1)-1),"")</f>
        <v>55815</v>
      </c>
      <c r="Y1107" s="10" t="str">
        <f ca="1">IF(reading[[#This Row],[Next]]&lt;&gt;"",IF(reading[[#This Row],[Next]]&gt;TODAY(),"OK",""),"")</f>
        <v>OK</v>
      </c>
      <c r="Z1107" s="13">
        <v>3</v>
      </c>
      <c r="AA1107" s="13">
        <v>3</v>
      </c>
      <c r="AB1107" s="13">
        <v>3</v>
      </c>
      <c r="AC1107" s="13">
        <v>3</v>
      </c>
      <c r="AD1107" s="13">
        <v>3</v>
      </c>
      <c r="AE1107" s="13">
        <v>2</v>
      </c>
      <c r="AF1107" s="13">
        <v>2</v>
      </c>
      <c r="AG1107" s="16">
        <f>IFERROR(SUMIF(reading[[#This Row],[1st]:[7th]],"&gt;0")/COUNTIF(reading[[#This Row],[1st]:[7th]],"&gt;0"),"")</f>
        <v>2.7142857142857144</v>
      </c>
    </row>
    <row r="1108" spans="1:33" hidden="1" x14ac:dyDescent="0.2">
      <c r="A1108" s="4">
        <f>IF(B1108=1,3,IF(D1108=1,2,IF(F1108=1,1,0)))</f>
        <v>0</v>
      </c>
      <c r="B1108" s="4" t="str">
        <f>IF(C1108=$L1108,1,IF(C1108="","",0))</f>
        <v/>
      </c>
      <c r="C1108" s="42"/>
      <c r="D1108" s="4" t="str">
        <f>IF(E1108=$L1108,1,IF(E1108="","",0))</f>
        <v/>
      </c>
      <c r="E1108" s="23"/>
      <c r="F1108" s="4" t="str">
        <f>IF(G1108=$L1108,1,IF(G1108="","",0))</f>
        <v/>
      </c>
      <c r="G1108" s="14"/>
      <c r="H1108" s="6">
        <v>520</v>
      </c>
      <c r="I1108" s="15" t="s">
        <v>3120</v>
      </c>
      <c r="J1108" s="6" t="s">
        <v>3665</v>
      </c>
      <c r="K1108" s="6"/>
      <c r="L1108" s="6" t="s">
        <v>648</v>
      </c>
      <c r="M1108" s="6" t="s">
        <v>6629</v>
      </c>
      <c r="N1108" s="7">
        <f ca="1">RAND()</f>
        <v>0.87045819739187236</v>
      </c>
      <c r="O1108" s="8">
        <v>45202</v>
      </c>
      <c r="P1108" s="8">
        <v>45203</v>
      </c>
      <c r="Q1108" s="8">
        <v>45205</v>
      </c>
      <c r="R1108" s="8">
        <v>45209</v>
      </c>
      <c r="S1108" s="8">
        <v>45216</v>
      </c>
      <c r="T1108" s="8">
        <v>45228</v>
      </c>
      <c r="U1108" s="8">
        <v>45816</v>
      </c>
      <c r="V1108" s="10">
        <f>COUNTA(O1108:U1108)</f>
        <v>7</v>
      </c>
      <c r="W1108" s="11">
        <f>_xlfn.IFNA(INDEX(reading[[#This Row],[Memo 01]:[Memo 07]],MATCH(0,reading[[#This Row],[Memo 01]:[Memo 07]],-1)),"")</f>
        <v>45816</v>
      </c>
      <c r="X1108" s="11">
        <f ca="1">IFERROR(reading[[#This Row],[Previous]]+OFFSET(reading[[#Headers],[Memo 01]],-1,MATCH(0,reading[[#This Row],[Memo 01]:[Memo 07]],-1)-1),"")</f>
        <v>55816</v>
      </c>
      <c r="Y1108" s="10" t="str">
        <f ca="1">IF(reading[[#This Row],[Next]]&lt;&gt;"",IF(reading[[#This Row],[Next]]&gt;TODAY(),"OK",""),"")</f>
        <v>OK</v>
      </c>
      <c r="Z1108" s="13">
        <v>3</v>
      </c>
      <c r="AA1108" s="13">
        <v>3</v>
      </c>
      <c r="AB1108" s="13">
        <v>3</v>
      </c>
      <c r="AC1108" s="13">
        <v>3</v>
      </c>
      <c r="AD1108" s="13">
        <v>3</v>
      </c>
      <c r="AE1108" s="13">
        <v>3</v>
      </c>
      <c r="AF1108" s="13">
        <v>2</v>
      </c>
      <c r="AG1108" s="16">
        <f>IFERROR(SUMIF(reading[[#This Row],[1st]:[7th]],"&gt;0")/COUNTIF(reading[[#This Row],[1st]:[7th]],"&gt;0"),"")</f>
        <v>2.8571428571428572</v>
      </c>
    </row>
    <row r="1109" spans="1:33" hidden="1" x14ac:dyDescent="0.2">
      <c r="A1109" s="4">
        <f>IF(B1109=1,3,IF(D1109=1,2,IF(F1109=1,1,0)))</f>
        <v>0</v>
      </c>
      <c r="B1109" s="4" t="str">
        <f>IF(C1109=$L1109,1,IF(C1109="","",0))</f>
        <v/>
      </c>
      <c r="C1109" s="42"/>
      <c r="D1109" s="4" t="str">
        <f>IF(E1109=$L1109,1,IF(E1109="","",0))</f>
        <v/>
      </c>
      <c r="E1109" s="43"/>
      <c r="F1109" s="4" t="str">
        <f>IF(G1109=$L1109,1,IF(G1109="","",0))</f>
        <v/>
      </c>
      <c r="G1109" s="14"/>
      <c r="H1109" s="6">
        <v>1823</v>
      </c>
      <c r="I1109" s="15" t="s">
        <v>3120</v>
      </c>
      <c r="J1109" s="6" t="s">
        <v>4928</v>
      </c>
      <c r="K1109" s="6"/>
      <c r="L1109" s="6" t="s">
        <v>1901</v>
      </c>
      <c r="M1109" s="6" t="s">
        <v>7929</v>
      </c>
      <c r="N1109" s="7">
        <f ca="1">RAND()</f>
        <v>0.71944020436168499</v>
      </c>
      <c r="O1109" s="8">
        <v>45212</v>
      </c>
      <c r="P1109" s="8">
        <v>45213</v>
      </c>
      <c r="Q1109" s="8">
        <v>45215</v>
      </c>
      <c r="R1109" s="8">
        <v>45219</v>
      </c>
      <c r="S1109" s="8">
        <v>45226</v>
      </c>
      <c r="T1109" s="8">
        <v>45816</v>
      </c>
      <c r="U1109" s="8"/>
      <c r="V1109" s="10">
        <f>COUNTA(O1109:U1109)</f>
        <v>6</v>
      </c>
      <c r="W1109" s="11">
        <f>_xlfn.IFNA(INDEX(reading[[#This Row],[Memo 01]:[Memo 07]],MATCH(0,reading[[#This Row],[Memo 01]:[Memo 07]],-1)),"")</f>
        <v>45816</v>
      </c>
      <c r="X1109" s="11">
        <f ca="1">IFERROR(reading[[#This Row],[Previous]]+OFFSET(reading[[#Headers],[Memo 01]],-1,MATCH(0,reading[[#This Row],[Memo 01]:[Memo 07]],-1)-1),"")</f>
        <v>45836</v>
      </c>
      <c r="Y1109" s="10" t="str">
        <f ca="1">IF(reading[[#This Row],[Next]]&lt;&gt;"",IF(reading[[#This Row],[Next]]&gt;TODAY(),"OK",""),"")</f>
        <v>OK</v>
      </c>
      <c r="Z1109" s="13">
        <v>3</v>
      </c>
      <c r="AA1109" s="13">
        <v>3</v>
      </c>
      <c r="AB1109" s="13">
        <v>2</v>
      </c>
      <c r="AC1109" s="13">
        <v>3</v>
      </c>
      <c r="AD1109" s="13">
        <v>3</v>
      </c>
      <c r="AE1109" s="13">
        <v>2</v>
      </c>
      <c r="AF1109" s="13"/>
      <c r="AG1109" s="16">
        <f>IFERROR(SUMIF(reading[[#This Row],[1st]:[7th]],"&gt;0")/COUNTIF(reading[[#This Row],[1st]:[7th]],"&gt;0"),"")</f>
        <v>2.6666666666666665</v>
      </c>
    </row>
    <row r="1110" spans="1:33" hidden="1" x14ac:dyDescent="0.2">
      <c r="A1110" s="4">
        <f>IF(B1110=1,3,IF(D1110=1,2,IF(F1110=1,1,0)))</f>
        <v>0</v>
      </c>
      <c r="B1110" s="4" t="str">
        <f>IF(C1110=$L1110,1,IF(C1110="","",0))</f>
        <v/>
      </c>
      <c r="C1110" s="42"/>
      <c r="D1110" s="4" t="str">
        <f>IF(E1110=$L1110,1,IF(E1110="","",0))</f>
        <v/>
      </c>
      <c r="E1110" s="43"/>
      <c r="F1110" s="4" t="str">
        <f>IF(G1110=$L1110,1,IF(G1110="","",0))</f>
        <v/>
      </c>
      <c r="G1110" s="14"/>
      <c r="H1110" s="6">
        <v>2318</v>
      </c>
      <c r="I1110" s="15" t="s">
        <v>3120</v>
      </c>
      <c r="J1110" s="6" t="s">
        <v>5396</v>
      </c>
      <c r="K1110" s="6"/>
      <c r="L1110" s="6" t="s">
        <v>2374</v>
      </c>
      <c r="M1110" s="6" t="s">
        <v>8423</v>
      </c>
      <c r="N1110" s="7">
        <f ca="1">RAND()</f>
        <v>0.71019306347918376</v>
      </c>
      <c r="O1110" s="8">
        <v>45216</v>
      </c>
      <c r="P1110" s="8">
        <v>45217</v>
      </c>
      <c r="Q1110" s="8">
        <v>45219</v>
      </c>
      <c r="R1110" s="8">
        <v>45223</v>
      </c>
      <c r="S1110" s="8">
        <v>45230</v>
      </c>
      <c r="T1110" s="8">
        <v>45815</v>
      </c>
      <c r="U1110" s="8"/>
      <c r="V1110" s="10">
        <f>COUNTA(O1110:U1110)</f>
        <v>6</v>
      </c>
      <c r="W1110" s="11">
        <f>_xlfn.IFNA(INDEX(reading[[#This Row],[Memo 01]:[Memo 07]],MATCH(0,reading[[#This Row],[Memo 01]:[Memo 07]],-1)),"")</f>
        <v>45815</v>
      </c>
      <c r="X1110" s="11">
        <f ca="1">IFERROR(reading[[#This Row],[Previous]]+OFFSET(reading[[#Headers],[Memo 01]],-1,MATCH(0,reading[[#This Row],[Memo 01]:[Memo 07]],-1)-1),"")</f>
        <v>45835</v>
      </c>
      <c r="Y1110" s="10" t="str">
        <f ca="1">IF(reading[[#This Row],[Next]]&lt;&gt;"",IF(reading[[#This Row],[Next]]&gt;TODAY(),"OK",""),"")</f>
        <v>OK</v>
      </c>
      <c r="Z1110" s="13">
        <v>3</v>
      </c>
      <c r="AA1110" s="13">
        <v>3</v>
      </c>
      <c r="AB1110" s="13">
        <v>3</v>
      </c>
      <c r="AC1110" s="13">
        <v>3</v>
      </c>
      <c r="AD1110" s="13">
        <v>2</v>
      </c>
      <c r="AE1110" s="13">
        <v>2</v>
      </c>
      <c r="AF1110" s="13"/>
      <c r="AG1110" s="16">
        <f>IFERROR(SUMIF(reading[[#This Row],[1st]:[7th]],"&gt;0")/COUNTIF(reading[[#This Row],[1st]:[7th]],"&gt;0"),"")</f>
        <v>2.6666666666666665</v>
      </c>
    </row>
    <row r="1111" spans="1:33" hidden="1" x14ac:dyDescent="0.2">
      <c r="A1111" s="4">
        <f>IF(B1111=1,3,IF(D1111=1,2,IF(F1111=1,1,0)))</f>
        <v>0</v>
      </c>
      <c r="B1111" s="4" t="str">
        <f>IF(C1111=$L1111,1,IF(C1111="","",0))</f>
        <v/>
      </c>
      <c r="C1111" s="42"/>
      <c r="D1111" s="4" t="str">
        <f>IF(E1111=$L1111,1,IF(E1111="","",0))</f>
        <v/>
      </c>
      <c r="E1111" s="23"/>
      <c r="F1111" s="4" t="str">
        <f>IF(G1111=$L1111,1,IF(G1111="","",0))</f>
        <v/>
      </c>
      <c r="G1111" s="14"/>
      <c r="H1111" s="6">
        <v>956</v>
      </c>
      <c r="I1111" s="15" t="s">
        <v>3120</v>
      </c>
      <c r="J1111" s="6" t="s">
        <v>4085</v>
      </c>
      <c r="K1111" s="6"/>
      <c r="L1111" s="6" t="s">
        <v>1066</v>
      </c>
      <c r="M1111" s="6" t="s">
        <v>7064</v>
      </c>
      <c r="N1111" s="7">
        <f ca="1">RAND()</f>
        <v>0.92287207908420699</v>
      </c>
      <c r="O1111" s="8">
        <v>45204</v>
      </c>
      <c r="P1111" s="8">
        <v>45205</v>
      </c>
      <c r="Q1111" s="8">
        <v>45207</v>
      </c>
      <c r="R1111" s="8">
        <v>45211</v>
      </c>
      <c r="S1111" s="8">
        <v>45218</v>
      </c>
      <c r="T1111" s="8">
        <v>45230</v>
      </c>
      <c r="U1111" s="8">
        <v>45816</v>
      </c>
      <c r="V1111" s="10">
        <f>COUNTA(O1111:U1111)</f>
        <v>7</v>
      </c>
      <c r="W1111" s="11">
        <f>_xlfn.IFNA(INDEX(reading[[#This Row],[Memo 01]:[Memo 07]],MATCH(0,reading[[#This Row],[Memo 01]:[Memo 07]],-1)),"")</f>
        <v>45816</v>
      </c>
      <c r="X1111" s="11">
        <f ca="1">IFERROR(reading[[#This Row],[Previous]]+OFFSET(reading[[#Headers],[Memo 01]],-1,MATCH(0,reading[[#This Row],[Memo 01]:[Memo 07]],-1)-1),"")</f>
        <v>55816</v>
      </c>
      <c r="Y1111" s="10" t="str">
        <f ca="1">IF(reading[[#This Row],[Next]]&lt;&gt;"",IF(reading[[#This Row],[Next]]&gt;TODAY(),"OK",""),"")</f>
        <v>OK</v>
      </c>
      <c r="Z1111" s="13">
        <v>3</v>
      </c>
      <c r="AA1111" s="13">
        <v>3</v>
      </c>
      <c r="AB1111" s="13">
        <v>3</v>
      </c>
      <c r="AC1111" s="13">
        <v>3</v>
      </c>
      <c r="AD1111" s="13">
        <v>3</v>
      </c>
      <c r="AE1111" s="13">
        <v>3</v>
      </c>
      <c r="AF1111" s="13">
        <v>2</v>
      </c>
      <c r="AG1111" s="16">
        <f>IFERROR(SUMIF(reading[[#This Row],[1st]:[7th]],"&gt;0")/COUNTIF(reading[[#This Row],[1st]:[7th]],"&gt;0"),"")</f>
        <v>2.8571428571428572</v>
      </c>
    </row>
    <row r="1112" spans="1:33" hidden="1" x14ac:dyDescent="0.2">
      <c r="A1112" s="4">
        <f>IF(B1112=1,3,IF(D1112=1,2,IF(F1112=1,1,0)))</f>
        <v>0</v>
      </c>
      <c r="B1112" s="4" t="str">
        <f>IF(C1112=$L1112,1,IF(C1112="","",0))</f>
        <v/>
      </c>
      <c r="C1112" s="42"/>
      <c r="D1112" s="4" t="str">
        <f>IF(E1112=$L1112,1,IF(E1112="","",0))</f>
        <v/>
      </c>
      <c r="E1112" s="14"/>
      <c r="F1112" s="4" t="str">
        <f>IF(G1112=$L1112,1,IF(G1112="","",0))</f>
        <v/>
      </c>
      <c r="G1112" s="14"/>
      <c r="H1112" s="6">
        <v>861</v>
      </c>
      <c r="I1112" s="15" t="s">
        <v>3120</v>
      </c>
      <c r="J1112" s="6" t="s">
        <v>3993</v>
      </c>
      <c r="K1112" s="6"/>
      <c r="L1112" s="6" t="s">
        <v>977</v>
      </c>
      <c r="M1112" s="6" t="s">
        <v>6970</v>
      </c>
      <c r="N1112" s="7">
        <f ca="1">RAND()</f>
        <v>0.9873044430661243</v>
      </c>
      <c r="O1112" s="8">
        <v>45203</v>
      </c>
      <c r="P1112" s="8">
        <v>45204</v>
      </c>
      <c r="Q1112" s="8">
        <v>45206</v>
      </c>
      <c r="R1112" s="8">
        <v>45210</v>
      </c>
      <c r="S1112" s="8">
        <v>45217</v>
      </c>
      <c r="T1112" s="8">
        <v>45229</v>
      </c>
      <c r="U1112" s="8">
        <v>45801</v>
      </c>
      <c r="V1112" s="10">
        <f>COUNTA(O1112:U1112)</f>
        <v>7</v>
      </c>
      <c r="W1112" s="11">
        <f>_xlfn.IFNA(INDEX(reading[[#This Row],[Memo 01]:[Memo 07]],MATCH(0,reading[[#This Row],[Memo 01]:[Memo 07]],-1)),"")</f>
        <v>45801</v>
      </c>
      <c r="X1112" s="11">
        <f ca="1">IFERROR(reading[[#This Row],[Previous]]+OFFSET(reading[[#Headers],[Memo 01]],-1,MATCH(0,reading[[#This Row],[Memo 01]:[Memo 07]],-1)-1),"")</f>
        <v>55801</v>
      </c>
      <c r="Y1112" s="10" t="str">
        <f ca="1">IF(reading[[#This Row],[Next]]&lt;&gt;"",IF(reading[[#This Row],[Next]]&gt;TODAY(),"OK",""),"")</f>
        <v>OK</v>
      </c>
      <c r="Z1112" s="13">
        <v>3</v>
      </c>
      <c r="AA1112" s="13">
        <v>3</v>
      </c>
      <c r="AB1112" s="13">
        <v>3</v>
      </c>
      <c r="AC1112" s="13">
        <v>3</v>
      </c>
      <c r="AD1112" s="13">
        <v>3</v>
      </c>
      <c r="AE1112" s="13">
        <v>3</v>
      </c>
      <c r="AF1112" s="13">
        <v>3</v>
      </c>
      <c r="AG1112" s="16">
        <f>IFERROR(SUMIF(reading[[#This Row],[1st]:[7th]],"&gt;0")/COUNTIF(reading[[#This Row],[1st]:[7th]],"&gt;0"),"")</f>
        <v>3</v>
      </c>
    </row>
    <row r="1113" spans="1:33" hidden="1" x14ac:dyDescent="0.2">
      <c r="A1113" s="4">
        <f>IF(B1113=1,3,IF(D1113=1,2,IF(F1113=1,1,0)))</f>
        <v>0</v>
      </c>
      <c r="B1113" s="4" t="str">
        <f>IF(C1113=$L1113,1,IF(C1113="","",0))</f>
        <v/>
      </c>
      <c r="C1113" s="42"/>
      <c r="D1113" s="4" t="str">
        <f>IF(E1113=$L1113,1,IF(E1113="","",0))</f>
        <v/>
      </c>
      <c r="E1113" s="23"/>
      <c r="F1113" s="4" t="str">
        <f>IF(G1113=$L1113,1,IF(G1113="","",0))</f>
        <v/>
      </c>
      <c r="G1113" s="23"/>
      <c r="H1113" s="6">
        <v>2927</v>
      </c>
      <c r="I1113" s="15" t="s">
        <v>3120</v>
      </c>
      <c r="J1113" s="6" t="s">
        <v>5962</v>
      </c>
      <c r="K1113" s="6"/>
      <c r="L1113" s="6" t="s">
        <v>2957</v>
      </c>
      <c r="M1113" s="6" t="s">
        <v>9031</v>
      </c>
      <c r="N1113" s="7">
        <f ca="1">RAND()</f>
        <v>0.27698508318066717</v>
      </c>
      <c r="O1113" s="8">
        <v>45223</v>
      </c>
      <c r="P1113" s="8">
        <v>45224</v>
      </c>
      <c r="Q1113" s="8">
        <v>45226</v>
      </c>
      <c r="R1113" s="8">
        <v>45230</v>
      </c>
      <c r="S1113" s="8">
        <v>45237</v>
      </c>
      <c r="T1113" s="8">
        <v>45817</v>
      </c>
      <c r="U1113" s="8"/>
      <c r="V1113" s="10">
        <f>COUNTA(O1113:U1113)</f>
        <v>6</v>
      </c>
      <c r="W1113" s="11">
        <f>_xlfn.IFNA(INDEX(reading[[#This Row],[Memo 01]:[Memo 07]],MATCH(0,reading[[#This Row],[Memo 01]:[Memo 07]],-1)),"")</f>
        <v>45817</v>
      </c>
      <c r="X1113" s="11">
        <f ca="1">IFERROR(reading[[#This Row],[Previous]]+OFFSET(reading[[#Headers],[Memo 01]],-1,MATCH(0,reading[[#This Row],[Memo 01]:[Memo 07]],-1)-1),"")</f>
        <v>45837</v>
      </c>
      <c r="Y1113" s="10" t="str">
        <f ca="1">IF(reading[[#This Row],[Next]]&lt;&gt;"",IF(reading[[#This Row],[Next]]&gt;TODAY(),"OK",""),"")</f>
        <v>OK</v>
      </c>
      <c r="Z1113" s="13">
        <v>3</v>
      </c>
      <c r="AA1113" s="13">
        <v>3</v>
      </c>
      <c r="AB1113" s="13">
        <v>3</v>
      </c>
      <c r="AC1113" s="13">
        <v>3</v>
      </c>
      <c r="AD1113" s="13">
        <v>3</v>
      </c>
      <c r="AE1113" s="13">
        <v>1</v>
      </c>
      <c r="AF1113" s="13"/>
      <c r="AG1113" s="16">
        <f>IFERROR(SUMIF(reading[[#This Row],[1st]:[7th]],"&gt;0")/COUNTIF(reading[[#This Row],[1st]:[7th]],"&gt;0"),"")</f>
        <v>2.6666666666666665</v>
      </c>
    </row>
    <row r="1114" spans="1:33" hidden="1" x14ac:dyDescent="0.2">
      <c r="A1114" s="4">
        <f>IF(B1114=1,3,IF(D1114=1,2,IF(F1114=1,1,0)))</f>
        <v>0</v>
      </c>
      <c r="B1114" s="4" t="str">
        <f>IF(C1114=$L1114,1,IF(C1114="","",0))</f>
        <v/>
      </c>
      <c r="C1114" s="42"/>
      <c r="D1114" s="4" t="str">
        <f>IF(E1114=$L1114,1,IF(E1114="","",0))</f>
        <v/>
      </c>
      <c r="E1114" s="23"/>
      <c r="F1114" s="4" t="str">
        <f>IF(G1114=$L1114,1,IF(G1114="","",0))</f>
        <v/>
      </c>
      <c r="G1114" s="23"/>
      <c r="H1114" s="6">
        <v>2516</v>
      </c>
      <c r="I1114" s="15" t="s">
        <v>3120</v>
      </c>
      <c r="J1114" s="6" t="s">
        <v>3390</v>
      </c>
      <c r="K1114" s="6"/>
      <c r="L1114" s="6" t="s">
        <v>2562</v>
      </c>
      <c r="M1114" s="6" t="s">
        <v>8621</v>
      </c>
      <c r="N1114" s="7">
        <f ca="1">RAND()</f>
        <v>0.21620158643841303</v>
      </c>
      <c r="O1114" s="8">
        <v>45219</v>
      </c>
      <c r="P1114" s="8">
        <v>45220</v>
      </c>
      <c r="Q1114" s="8">
        <v>45222</v>
      </c>
      <c r="R1114" s="8">
        <v>45226</v>
      </c>
      <c r="S1114" s="8">
        <v>45233</v>
      </c>
      <c r="T1114" s="8">
        <v>45817</v>
      </c>
      <c r="U1114" s="8"/>
      <c r="V1114" s="10">
        <f>COUNTA(O1114:U1114)</f>
        <v>6</v>
      </c>
      <c r="W1114" s="11">
        <f>_xlfn.IFNA(INDEX(reading[[#This Row],[Memo 01]:[Memo 07]],MATCH(0,reading[[#This Row],[Memo 01]:[Memo 07]],-1)),"")</f>
        <v>45817</v>
      </c>
      <c r="X1114" s="11">
        <f ca="1">IFERROR(reading[[#This Row],[Previous]]+OFFSET(reading[[#Headers],[Memo 01]],-1,MATCH(0,reading[[#This Row],[Memo 01]:[Memo 07]],-1)-1),"")</f>
        <v>45837</v>
      </c>
      <c r="Y1114" s="10" t="str">
        <f ca="1">IF(reading[[#This Row],[Next]]&lt;&gt;"",IF(reading[[#This Row],[Next]]&gt;TODAY(),"OK",""),"")</f>
        <v>OK</v>
      </c>
      <c r="Z1114" s="13">
        <v>3</v>
      </c>
      <c r="AA1114" s="13">
        <v>3</v>
      </c>
      <c r="AB1114" s="13">
        <v>3</v>
      </c>
      <c r="AC1114" s="13">
        <v>3</v>
      </c>
      <c r="AD1114" s="13">
        <v>3</v>
      </c>
      <c r="AE1114" s="13">
        <v>1</v>
      </c>
      <c r="AF1114" s="13"/>
      <c r="AG1114" s="16">
        <f>IFERROR(SUMIF(reading[[#This Row],[1st]:[7th]],"&gt;0")/COUNTIF(reading[[#This Row],[1st]:[7th]],"&gt;0"),"")</f>
        <v>2.6666666666666665</v>
      </c>
    </row>
    <row r="1115" spans="1:33" hidden="1" x14ac:dyDescent="0.2">
      <c r="A1115" s="4">
        <f>IF(B1115=1,3,IF(D1115=1,2,IF(F1115=1,1,0)))</f>
        <v>0</v>
      </c>
      <c r="B1115" s="4" t="str">
        <f>IF(C1115=$L1115,1,IF(C1115="","",0))</f>
        <v/>
      </c>
      <c r="C1115" s="42"/>
      <c r="D1115" s="4" t="str">
        <f>IF(E1115=$L1115,1,IF(E1115="","",0))</f>
        <v/>
      </c>
      <c r="E1115" s="43"/>
      <c r="F1115" s="4" t="str">
        <f>IF(G1115=$L1115,1,IF(G1115="","",0))</f>
        <v/>
      </c>
      <c r="G1115" s="14"/>
      <c r="H1115" s="6">
        <v>647</v>
      </c>
      <c r="I1115" s="15" t="s">
        <v>3120</v>
      </c>
      <c r="J1115" s="6" t="s">
        <v>3787</v>
      </c>
      <c r="K1115" s="6"/>
      <c r="L1115" s="6" t="s">
        <v>770</v>
      </c>
      <c r="M1115" s="6" t="s">
        <v>6756</v>
      </c>
      <c r="N1115" s="7">
        <f ca="1">RAND()</f>
        <v>0.55669080197905763</v>
      </c>
      <c r="O1115" s="8">
        <v>45202</v>
      </c>
      <c r="P1115" s="8">
        <v>45203</v>
      </c>
      <c r="Q1115" s="8">
        <v>45205</v>
      </c>
      <c r="R1115" s="8">
        <v>45209</v>
      </c>
      <c r="S1115" s="8">
        <v>45216</v>
      </c>
      <c r="T1115" s="8">
        <v>45228</v>
      </c>
      <c r="U1115" s="8">
        <v>45816</v>
      </c>
      <c r="V1115" s="10">
        <f>COUNTA(O1115:U1115)</f>
        <v>7</v>
      </c>
      <c r="W1115" s="11">
        <f>_xlfn.IFNA(INDEX(reading[[#This Row],[Memo 01]:[Memo 07]],MATCH(0,reading[[#This Row],[Memo 01]:[Memo 07]],-1)),"")</f>
        <v>45816</v>
      </c>
      <c r="X1115" s="11">
        <f ca="1">IFERROR(reading[[#This Row],[Previous]]+OFFSET(reading[[#Headers],[Memo 01]],-1,MATCH(0,reading[[#This Row],[Memo 01]:[Memo 07]],-1)-1),"")</f>
        <v>55816</v>
      </c>
      <c r="Y1115" s="10" t="str">
        <f ca="1">IF(reading[[#This Row],[Next]]&lt;&gt;"",IF(reading[[#This Row],[Next]]&gt;TODAY(),"OK",""),"")</f>
        <v>OK</v>
      </c>
      <c r="Z1115" s="13">
        <v>3</v>
      </c>
      <c r="AA1115" s="13">
        <v>3</v>
      </c>
      <c r="AB1115" s="13">
        <v>3</v>
      </c>
      <c r="AC1115" s="13">
        <v>3</v>
      </c>
      <c r="AD1115" s="13">
        <v>2</v>
      </c>
      <c r="AE1115" s="13">
        <v>3</v>
      </c>
      <c r="AF1115" s="13">
        <v>2</v>
      </c>
      <c r="AG1115" s="16">
        <f>IFERROR(SUMIF(reading[[#This Row],[1st]:[7th]],"&gt;0")/COUNTIF(reading[[#This Row],[1st]:[7th]],"&gt;0"),"")</f>
        <v>2.7142857142857144</v>
      </c>
    </row>
    <row r="1116" spans="1:33" hidden="1" x14ac:dyDescent="0.2">
      <c r="A1116" s="4">
        <f>IF(B1116=1,3,IF(D1116=1,2,IF(F1116=1,1,0)))</f>
        <v>0</v>
      </c>
      <c r="B1116" s="4" t="str">
        <f>IF(C1116=$L1116,1,IF(C1116="","",0))</f>
        <v/>
      </c>
      <c r="C1116" s="42"/>
      <c r="D1116" s="4" t="str">
        <f>IF(E1116=$L1116,1,IF(E1116="","",0))</f>
        <v/>
      </c>
      <c r="E1116" s="43"/>
      <c r="F1116" s="4" t="str">
        <f>IF(G1116=$L1116,1,IF(G1116="","",0))</f>
        <v/>
      </c>
      <c r="G1116" s="23"/>
      <c r="H1116" s="6">
        <v>2337</v>
      </c>
      <c r="I1116" s="15" t="s">
        <v>3120</v>
      </c>
      <c r="J1116" s="6" t="s">
        <v>5414</v>
      </c>
      <c r="K1116" s="6"/>
      <c r="L1116" s="6" t="s">
        <v>2390</v>
      </c>
      <c r="M1116" s="6" t="s">
        <v>8442</v>
      </c>
      <c r="N1116" s="7">
        <f ca="1">RAND()</f>
        <v>0.53816957567461299</v>
      </c>
      <c r="O1116" s="8">
        <v>45216</v>
      </c>
      <c r="P1116" s="8">
        <v>45217</v>
      </c>
      <c r="Q1116" s="8">
        <v>45219</v>
      </c>
      <c r="R1116" s="8">
        <v>45223</v>
      </c>
      <c r="S1116" s="8">
        <v>45230</v>
      </c>
      <c r="T1116" s="8">
        <v>45251</v>
      </c>
      <c r="U1116" s="8">
        <v>45817</v>
      </c>
      <c r="V1116" s="10">
        <f>COUNTA(O1116:U1116)</f>
        <v>7</v>
      </c>
      <c r="W1116" s="11">
        <f>_xlfn.IFNA(INDEX(reading[[#This Row],[Memo 01]:[Memo 07]],MATCH(0,reading[[#This Row],[Memo 01]:[Memo 07]],-1)),"")</f>
        <v>45817</v>
      </c>
      <c r="X1116" s="11">
        <f ca="1">IFERROR(reading[[#This Row],[Previous]]+OFFSET(reading[[#Headers],[Memo 01]],-1,MATCH(0,reading[[#This Row],[Memo 01]:[Memo 07]],-1)-1),"")</f>
        <v>55817</v>
      </c>
      <c r="Y1116" s="10" t="str">
        <f ca="1">IF(reading[[#This Row],[Next]]&lt;&gt;"",IF(reading[[#This Row],[Next]]&gt;TODAY(),"OK",""),"")</f>
        <v>OK</v>
      </c>
      <c r="Z1116" s="13">
        <v>3</v>
      </c>
      <c r="AA1116" s="13">
        <v>3</v>
      </c>
      <c r="AB1116" s="13">
        <v>2</v>
      </c>
      <c r="AC1116" s="13">
        <v>2</v>
      </c>
      <c r="AD1116" s="13">
        <v>3</v>
      </c>
      <c r="AE1116" s="13">
        <v>3</v>
      </c>
      <c r="AF1116" s="13">
        <v>1</v>
      </c>
      <c r="AG1116" s="16">
        <f>IFERROR(SUMIF(reading[[#This Row],[1st]:[7th]],"&gt;0")/COUNTIF(reading[[#This Row],[1st]:[7th]],"&gt;0"),"")</f>
        <v>2.4285714285714284</v>
      </c>
    </row>
    <row r="1117" spans="1:33" hidden="1" x14ac:dyDescent="0.2">
      <c r="A1117" s="4">
        <f>IF(B1117=1,3,IF(D1117=1,2,IF(F1117=1,1,0)))</f>
        <v>0</v>
      </c>
      <c r="B1117" s="4" t="str">
        <f>IF(C1117=$L1117,1,IF(C1117="","",0))</f>
        <v/>
      </c>
      <c r="C1117" s="42"/>
      <c r="D1117" s="4" t="str">
        <f>IF(E1117=$L1117,1,IF(E1117="","",0))</f>
        <v/>
      </c>
      <c r="E1117" s="14"/>
      <c r="F1117" s="4" t="str">
        <f>IF(G1117=$L1117,1,IF(G1117="","",0))</f>
        <v/>
      </c>
      <c r="G1117" s="14"/>
      <c r="H1117" s="6">
        <v>1078</v>
      </c>
      <c r="I1117" s="15" t="s">
        <v>3120</v>
      </c>
      <c r="J1117" s="6" t="s">
        <v>4203</v>
      </c>
      <c r="K1117" s="6"/>
      <c r="L1117" s="6" t="s">
        <v>1185</v>
      </c>
      <c r="M1117" s="6" t="s">
        <v>7186</v>
      </c>
      <c r="N1117" s="7">
        <f ca="1">RAND()</f>
        <v>0.83930341005560682</v>
      </c>
      <c r="O1117" s="8">
        <v>45205</v>
      </c>
      <c r="P1117" s="8">
        <v>45206</v>
      </c>
      <c r="Q1117" s="8">
        <v>45208</v>
      </c>
      <c r="R1117" s="8">
        <v>45212</v>
      </c>
      <c r="S1117" s="8">
        <v>45219</v>
      </c>
      <c r="T1117" s="8">
        <v>45231</v>
      </c>
      <c r="U1117" s="8">
        <v>45801</v>
      </c>
      <c r="V1117" s="10">
        <f>COUNTA(O1117:U1117)</f>
        <v>7</v>
      </c>
      <c r="W1117" s="11">
        <f>_xlfn.IFNA(INDEX(reading[[#This Row],[Memo 01]:[Memo 07]],MATCH(0,reading[[#This Row],[Memo 01]:[Memo 07]],-1)),"")</f>
        <v>45801</v>
      </c>
      <c r="X1117" s="11">
        <f ca="1">IFERROR(reading[[#This Row],[Previous]]+OFFSET(reading[[#Headers],[Memo 01]],-1,MATCH(0,reading[[#This Row],[Memo 01]:[Memo 07]],-1)-1),"")</f>
        <v>55801</v>
      </c>
      <c r="Y1117" s="10" t="str">
        <f ca="1">IF(reading[[#This Row],[Next]]&lt;&gt;"",IF(reading[[#This Row],[Next]]&gt;TODAY(),"OK",""),"")</f>
        <v>OK</v>
      </c>
      <c r="Z1117" s="13">
        <v>3</v>
      </c>
      <c r="AA1117" s="13">
        <v>3</v>
      </c>
      <c r="AB1117" s="13">
        <v>3</v>
      </c>
      <c r="AC1117" s="13">
        <v>3</v>
      </c>
      <c r="AD1117" s="13">
        <v>3</v>
      </c>
      <c r="AE1117" s="13">
        <v>3</v>
      </c>
      <c r="AF1117" s="13">
        <v>3</v>
      </c>
      <c r="AG1117" s="16">
        <f>IFERROR(SUMIF(reading[[#This Row],[1st]:[7th]],"&gt;0")/COUNTIF(reading[[#This Row],[1st]:[7th]],"&gt;0"),"")</f>
        <v>3</v>
      </c>
    </row>
    <row r="1118" spans="1:33" hidden="1" x14ac:dyDescent="0.2">
      <c r="A1118" s="4">
        <f>IF(B1118=1,3,IF(D1118=1,2,IF(F1118=1,1,0)))</f>
        <v>0</v>
      </c>
      <c r="B1118" s="4" t="str">
        <f>IF(C1118=$L1118,1,IF(C1118="","",0))</f>
        <v/>
      </c>
      <c r="C1118" s="42"/>
      <c r="D1118" s="4" t="str">
        <f>IF(E1118=$L1118,1,IF(E1118="","",0))</f>
        <v/>
      </c>
      <c r="E1118" s="14"/>
      <c r="F1118" s="4" t="str">
        <f>IF(G1118=$L1118,1,IF(G1118="","",0))</f>
        <v/>
      </c>
      <c r="G1118" s="14"/>
      <c r="H1118" s="6">
        <v>1507</v>
      </c>
      <c r="I1118" s="15" t="s">
        <v>3120</v>
      </c>
      <c r="J1118" s="6" t="s">
        <v>4620</v>
      </c>
      <c r="K1118" s="15" t="s">
        <v>3138</v>
      </c>
      <c r="L1118" s="6" t="s">
        <v>1592</v>
      </c>
      <c r="M1118" s="6" t="s">
        <v>7614</v>
      </c>
      <c r="N1118" s="7">
        <f ca="1">RAND()</f>
        <v>0.49941135769125666</v>
      </c>
      <c r="O1118" s="8">
        <v>45209</v>
      </c>
      <c r="P1118" s="8">
        <v>45210</v>
      </c>
      <c r="Q1118" s="8">
        <v>45212</v>
      </c>
      <c r="R1118" s="8">
        <v>45216</v>
      </c>
      <c r="S1118" s="8">
        <v>45223</v>
      </c>
      <c r="T1118" s="8">
        <v>45235</v>
      </c>
      <c r="U1118" s="8">
        <v>45819</v>
      </c>
      <c r="V1118" s="10">
        <f>COUNTA(O1118:U1118)</f>
        <v>7</v>
      </c>
      <c r="W1118" s="11">
        <f>_xlfn.IFNA(INDEX(reading[[#This Row],[Memo 01]:[Memo 07]],MATCH(0,reading[[#This Row],[Memo 01]:[Memo 07]],-1)),"")</f>
        <v>45819</v>
      </c>
      <c r="X1118" s="11">
        <f ca="1">IFERROR(reading[[#This Row],[Previous]]+OFFSET(reading[[#Headers],[Memo 01]],-1,MATCH(0,reading[[#This Row],[Memo 01]:[Memo 07]],-1)-1),"")</f>
        <v>55819</v>
      </c>
      <c r="Y1118" s="10" t="str">
        <f ca="1">IF(reading[[#This Row],[Next]]&lt;&gt;"",IF(reading[[#This Row],[Next]]&gt;TODAY(),"OK",""),"")</f>
        <v>OK</v>
      </c>
      <c r="Z1118" s="13">
        <v>3</v>
      </c>
      <c r="AA1118" s="13">
        <v>3</v>
      </c>
      <c r="AB1118" s="13">
        <v>3</v>
      </c>
      <c r="AC1118" s="13">
        <v>3</v>
      </c>
      <c r="AD1118" s="13">
        <v>3</v>
      </c>
      <c r="AE1118" s="13">
        <v>3</v>
      </c>
      <c r="AF1118" s="13">
        <v>3</v>
      </c>
      <c r="AG1118" s="16">
        <f>IFERROR(SUMIF(reading[[#This Row],[1st]:[7th]],"&gt;0")/COUNTIF(reading[[#This Row],[1st]:[7th]],"&gt;0"),"")</f>
        <v>3</v>
      </c>
    </row>
    <row r="1119" spans="1:33" hidden="1" x14ac:dyDescent="0.2">
      <c r="A1119" s="4">
        <f>IF(B1119=1,3,IF(D1119=1,2,IF(F1119=1,1,0)))</f>
        <v>0</v>
      </c>
      <c r="B1119" s="4" t="str">
        <f>IF(C1119=$L1119,1,IF(C1119="","",0))</f>
        <v/>
      </c>
      <c r="C1119" s="42"/>
      <c r="D1119" s="4" t="str">
        <f>IF(E1119=$L1119,1,IF(E1119="","",0))</f>
        <v/>
      </c>
      <c r="E1119" s="14"/>
      <c r="F1119" s="4" t="str">
        <f>IF(G1119=$L1119,1,IF(G1119="","",0))</f>
        <v/>
      </c>
      <c r="G1119" s="14"/>
      <c r="H1119" s="6">
        <v>1222</v>
      </c>
      <c r="I1119" s="15" t="s">
        <v>3120</v>
      </c>
      <c r="J1119" s="6" t="s">
        <v>4339</v>
      </c>
      <c r="K1119" s="6"/>
      <c r="L1119" s="6" t="s">
        <v>1323</v>
      </c>
      <c r="M1119" s="6" t="s">
        <v>7329</v>
      </c>
      <c r="N1119" s="7">
        <f ca="1">RAND()</f>
        <v>0.62110673828336582</v>
      </c>
      <c r="O1119" s="8">
        <v>45206</v>
      </c>
      <c r="P1119" s="8">
        <v>45207</v>
      </c>
      <c r="Q1119" s="8">
        <v>45209</v>
      </c>
      <c r="R1119" s="8">
        <v>45213</v>
      </c>
      <c r="S1119" s="8">
        <v>45220</v>
      </c>
      <c r="T1119" s="8">
        <v>45232</v>
      </c>
      <c r="U1119" s="8">
        <v>45819</v>
      </c>
      <c r="V1119" s="10">
        <f>COUNTA(O1119:U1119)</f>
        <v>7</v>
      </c>
      <c r="W1119" s="11">
        <f>_xlfn.IFNA(INDEX(reading[[#This Row],[Memo 01]:[Memo 07]],MATCH(0,reading[[#This Row],[Memo 01]:[Memo 07]],-1)),"")</f>
        <v>45819</v>
      </c>
      <c r="X1119" s="11">
        <f ca="1">IFERROR(reading[[#This Row],[Previous]]+OFFSET(reading[[#Headers],[Memo 01]],-1,MATCH(0,reading[[#This Row],[Memo 01]:[Memo 07]],-1)-1),"")</f>
        <v>55819</v>
      </c>
      <c r="Y1119" s="10" t="str">
        <f ca="1">IF(reading[[#This Row],[Next]]&lt;&gt;"",IF(reading[[#This Row],[Next]]&gt;TODAY(),"OK",""),"")</f>
        <v>OK</v>
      </c>
      <c r="Z1119" s="13">
        <v>3</v>
      </c>
      <c r="AA1119" s="13">
        <v>3</v>
      </c>
      <c r="AB1119" s="13">
        <v>3</v>
      </c>
      <c r="AC1119" s="13">
        <v>3</v>
      </c>
      <c r="AD1119" s="13">
        <v>3</v>
      </c>
      <c r="AE1119" s="13">
        <v>3</v>
      </c>
      <c r="AF1119" s="13">
        <v>3</v>
      </c>
      <c r="AG1119" s="16">
        <f>IFERROR(SUMIF(reading[[#This Row],[1st]:[7th]],"&gt;0")/COUNTIF(reading[[#This Row],[1st]:[7th]],"&gt;0"),"")</f>
        <v>3</v>
      </c>
    </row>
    <row r="1120" spans="1:33" hidden="1" x14ac:dyDescent="0.2">
      <c r="A1120" s="4">
        <f>IF(B1120=1,3,IF(D1120=1,2,IF(F1120=1,1,0)))</f>
        <v>0</v>
      </c>
      <c r="B1120" s="4" t="str">
        <f>IF(C1120=$L1120,1,IF(C1120="","",0))</f>
        <v/>
      </c>
      <c r="C1120" s="42"/>
      <c r="D1120" s="4" t="str">
        <f>IF(E1120=$L1120,1,IF(E1120="","",0))</f>
        <v/>
      </c>
      <c r="E1120" s="43"/>
      <c r="F1120" s="4" t="str">
        <f>IF(G1120=$L1120,1,IF(G1120="","",0))</f>
        <v/>
      </c>
      <c r="G1120" s="23"/>
      <c r="H1120" s="6">
        <v>1138</v>
      </c>
      <c r="I1120" s="15" t="s">
        <v>3120</v>
      </c>
      <c r="J1120" s="6" t="s">
        <v>4259</v>
      </c>
      <c r="K1120" s="6"/>
      <c r="L1120" s="6" t="s">
        <v>1240</v>
      </c>
      <c r="M1120" s="6" t="s">
        <v>7246</v>
      </c>
      <c r="N1120" s="7">
        <f ca="1">RAND()</f>
        <v>0.25204490112700972</v>
      </c>
      <c r="O1120" s="8">
        <v>45205</v>
      </c>
      <c r="P1120" s="8">
        <v>45206</v>
      </c>
      <c r="Q1120" s="8">
        <v>45208</v>
      </c>
      <c r="R1120" s="8">
        <v>45212</v>
      </c>
      <c r="S1120" s="8">
        <v>45219</v>
      </c>
      <c r="T1120" s="8">
        <v>45231</v>
      </c>
      <c r="U1120" s="8">
        <v>45820</v>
      </c>
      <c r="V1120" s="10">
        <f>COUNTA(O1120:U1120)</f>
        <v>7</v>
      </c>
      <c r="W1120" s="11">
        <f>_xlfn.IFNA(INDEX(reading[[#This Row],[Memo 01]:[Memo 07]],MATCH(0,reading[[#This Row],[Memo 01]:[Memo 07]],-1)),"")</f>
        <v>45820</v>
      </c>
      <c r="X1120" s="11">
        <f ca="1">IFERROR(reading[[#This Row],[Previous]]+OFFSET(reading[[#Headers],[Memo 01]],-1,MATCH(0,reading[[#This Row],[Memo 01]:[Memo 07]],-1)-1),"")</f>
        <v>55820</v>
      </c>
      <c r="Y1120" s="10" t="str">
        <f ca="1">IF(reading[[#This Row],[Next]]&lt;&gt;"",IF(reading[[#This Row],[Next]]&gt;TODAY(),"OK",""),"")</f>
        <v>OK</v>
      </c>
      <c r="Z1120" s="13">
        <v>3</v>
      </c>
      <c r="AA1120" s="13">
        <v>2</v>
      </c>
      <c r="AB1120" s="13">
        <v>3</v>
      </c>
      <c r="AC1120" s="13">
        <v>3</v>
      </c>
      <c r="AD1120" s="13">
        <v>3</v>
      </c>
      <c r="AE1120" s="13">
        <v>3</v>
      </c>
      <c r="AF1120" s="13">
        <v>2</v>
      </c>
      <c r="AG1120" s="16">
        <f>IFERROR(SUMIF(reading[[#This Row],[1st]:[7th]],"&gt;0")/COUNTIF(reading[[#This Row],[1st]:[7th]],"&gt;0"),"")</f>
        <v>2.7142857142857144</v>
      </c>
    </row>
    <row r="1121" spans="1:33" hidden="1" x14ac:dyDescent="0.2">
      <c r="A1121" s="4">
        <f>IF(B1121=1,3,IF(D1121=1,2,IF(F1121=1,1,0)))</f>
        <v>0</v>
      </c>
      <c r="B1121" s="4" t="str">
        <f>IF(C1121=$L1121,1,IF(C1121="","",0))</f>
        <v/>
      </c>
      <c r="C1121" s="42"/>
      <c r="D1121" s="4" t="str">
        <f>IF(E1121=$L1121,1,IF(E1121="","",0))</f>
        <v/>
      </c>
      <c r="E1121" s="23"/>
      <c r="F1121" s="4" t="str">
        <f>IF(G1121=$L1121,1,IF(G1121="","",0))</f>
        <v/>
      </c>
      <c r="G1121" s="14"/>
      <c r="H1121" s="6">
        <v>2585</v>
      </c>
      <c r="I1121" s="15" t="s">
        <v>3120</v>
      </c>
      <c r="J1121" s="6" t="s">
        <v>5643</v>
      </c>
      <c r="K1121" s="6"/>
      <c r="L1121" s="6" t="s">
        <v>2629</v>
      </c>
      <c r="M1121" s="6" t="s">
        <v>8690</v>
      </c>
      <c r="N1121" s="7">
        <f ca="1">RAND()</f>
        <v>0.7822593100593177</v>
      </c>
      <c r="O1121" s="8">
        <v>45220</v>
      </c>
      <c r="P1121" s="8">
        <v>45221</v>
      </c>
      <c r="Q1121" s="8">
        <v>45223</v>
      </c>
      <c r="R1121" s="8">
        <v>45227</v>
      </c>
      <c r="S1121" s="8">
        <v>45234</v>
      </c>
      <c r="T1121" s="8">
        <v>45819</v>
      </c>
      <c r="U1121" s="8"/>
      <c r="V1121" s="10">
        <f>COUNTA(O1121:U1121)</f>
        <v>6</v>
      </c>
      <c r="W1121" s="11">
        <f>_xlfn.IFNA(INDEX(reading[[#This Row],[Memo 01]:[Memo 07]],MATCH(0,reading[[#This Row],[Memo 01]:[Memo 07]],-1)),"")</f>
        <v>45819</v>
      </c>
      <c r="X1121" s="11">
        <f ca="1">IFERROR(reading[[#This Row],[Previous]]+OFFSET(reading[[#Headers],[Memo 01]],-1,MATCH(0,reading[[#This Row],[Memo 01]:[Memo 07]],-1)-1),"")</f>
        <v>45839</v>
      </c>
      <c r="Y1121" s="10" t="str">
        <f ca="1">IF(reading[[#This Row],[Next]]&lt;&gt;"",IF(reading[[#This Row],[Next]]&gt;TODAY(),"OK",""),"")</f>
        <v>OK</v>
      </c>
      <c r="Z1121" s="13">
        <v>3</v>
      </c>
      <c r="AA1121" s="13">
        <v>3</v>
      </c>
      <c r="AB1121" s="13">
        <v>3</v>
      </c>
      <c r="AC1121" s="13">
        <v>3</v>
      </c>
      <c r="AD1121" s="13">
        <v>3</v>
      </c>
      <c r="AE1121" s="13">
        <v>2</v>
      </c>
      <c r="AF1121" s="13"/>
      <c r="AG1121" s="16">
        <f>IFERROR(SUMIF(reading[[#This Row],[1st]:[7th]],"&gt;0")/COUNTIF(reading[[#This Row],[1st]:[7th]],"&gt;0"),"")</f>
        <v>2.8333333333333335</v>
      </c>
    </row>
    <row r="1122" spans="1:33" hidden="1" x14ac:dyDescent="0.2">
      <c r="A1122" s="4">
        <f>IF(B1122=1,3,IF(D1122=1,2,IF(F1122=1,1,0)))</f>
        <v>3</v>
      </c>
      <c r="B1122" s="4">
        <f>IF(C1122=$L1122,1,IF(C1122="","",0))</f>
        <v>1</v>
      </c>
      <c r="C1122" s="25" t="s">
        <v>3131</v>
      </c>
      <c r="D1122" s="4" t="str">
        <f>IF(E1122=$L1122,1,IF(E1122="","",0))</f>
        <v/>
      </c>
      <c r="E1122" s="14"/>
      <c r="F1122" s="4" t="str">
        <f>IF(G1122=$L1122,1,IF(G1122="","",0))</f>
        <v/>
      </c>
      <c r="G1122" s="14"/>
      <c r="H1122" s="6">
        <v>1126</v>
      </c>
      <c r="I1122" s="15" t="s">
        <v>3120</v>
      </c>
      <c r="J1122" s="6" t="s">
        <v>4248</v>
      </c>
      <c r="K1122" s="6"/>
      <c r="L1122" s="6" t="s">
        <v>1230</v>
      </c>
      <c r="M1122" s="6" t="s">
        <v>7234</v>
      </c>
      <c r="N1122" s="7">
        <f ca="1">RAND()</f>
        <v>0.82448279486978793</v>
      </c>
      <c r="O1122" s="8">
        <v>45205</v>
      </c>
      <c r="P1122" s="8">
        <v>45205</v>
      </c>
      <c r="Q1122" s="8">
        <v>45205</v>
      </c>
      <c r="R1122" s="8">
        <v>45205</v>
      </c>
      <c r="S1122" s="8">
        <v>45205</v>
      </c>
      <c r="T1122" s="8">
        <v>45205</v>
      </c>
      <c r="U1122" s="8">
        <v>45205</v>
      </c>
      <c r="V1122" s="10">
        <f>COUNTA(O1122:U1122)</f>
        <v>7</v>
      </c>
      <c r="W1122" s="11">
        <f>_xlfn.IFNA(INDEX(reading[[#This Row],[Memo 01]:[Memo 07]],MATCH(0,reading[[#This Row],[Memo 01]:[Memo 07]],-1)),"")</f>
        <v>45205</v>
      </c>
      <c r="X1122" s="11">
        <f ca="1">IFERROR(reading[[#This Row],[Previous]]+OFFSET(reading[[#Headers],[Memo 01]],-1,MATCH(0,reading[[#This Row],[Memo 01]:[Memo 07]],-1)-1),"")</f>
        <v>55205</v>
      </c>
      <c r="Y1122" s="10" t="str">
        <f ca="1">IF(reading[[#This Row],[Next]]&lt;&gt;"",IF(reading[[#This Row],[Next]]&gt;TODAY(),"OK",""),"")</f>
        <v>OK</v>
      </c>
      <c r="Z1122" s="13">
        <v>3</v>
      </c>
      <c r="AA1122" s="13"/>
      <c r="AB1122" s="13"/>
      <c r="AC1122" s="13"/>
      <c r="AD1122" s="13"/>
      <c r="AE1122" s="13"/>
      <c r="AF1122" s="13"/>
      <c r="AG1122" s="16">
        <f>IFERROR(SUMIF(reading[[#This Row],[1st]:[7th]],"&gt;0")/COUNTIF(reading[[#This Row],[1st]:[7th]],"&gt;0"),"")</f>
        <v>3</v>
      </c>
    </row>
    <row r="1123" spans="1:33" hidden="1" x14ac:dyDescent="0.2">
      <c r="A1123" s="4">
        <f>IF(B1123=1,3,IF(D1123=1,2,IF(F1123=1,1,0)))</f>
        <v>0</v>
      </c>
      <c r="B1123" s="4" t="str">
        <f>IF(C1123=$L1123,1,IF(C1123="","",0))</f>
        <v/>
      </c>
      <c r="C1123" s="42"/>
      <c r="D1123" s="4" t="str">
        <f>IF(E1123=$L1123,1,IF(E1123="","",0))</f>
        <v/>
      </c>
      <c r="E1123" s="43"/>
      <c r="F1123" s="4" t="str">
        <f>IF(G1123=$L1123,1,IF(G1123="","",0))</f>
        <v/>
      </c>
      <c r="G1123" s="14"/>
      <c r="H1123" s="6">
        <v>1832</v>
      </c>
      <c r="I1123" s="15" t="s">
        <v>3120</v>
      </c>
      <c r="J1123" s="6" t="s">
        <v>4937</v>
      </c>
      <c r="K1123" s="6"/>
      <c r="L1123" s="6" t="s">
        <v>1910</v>
      </c>
      <c r="M1123" s="6" t="s">
        <v>7938</v>
      </c>
      <c r="N1123" s="7">
        <f ca="1">RAND()</f>
        <v>0.39783854888737191</v>
      </c>
      <c r="O1123" s="8">
        <v>45212</v>
      </c>
      <c r="P1123" s="8">
        <v>45213</v>
      </c>
      <c r="Q1123" s="8">
        <v>45215</v>
      </c>
      <c r="R1123" s="8">
        <v>45219</v>
      </c>
      <c r="S1123" s="8">
        <v>45226</v>
      </c>
      <c r="T1123" s="8">
        <v>45252</v>
      </c>
      <c r="U1123" s="8">
        <v>45815</v>
      </c>
      <c r="V1123" s="10">
        <f>COUNTA(O1123:U1123)</f>
        <v>7</v>
      </c>
      <c r="W1123" s="11">
        <f>_xlfn.IFNA(INDEX(reading[[#This Row],[Memo 01]:[Memo 07]],MATCH(0,reading[[#This Row],[Memo 01]:[Memo 07]],-1)),"")</f>
        <v>45815</v>
      </c>
      <c r="X1123" s="11">
        <f ca="1">IFERROR(reading[[#This Row],[Previous]]+OFFSET(reading[[#Headers],[Memo 01]],-1,MATCH(0,reading[[#This Row],[Memo 01]:[Memo 07]],-1)-1),"")</f>
        <v>55815</v>
      </c>
      <c r="Y1123" s="10" t="str">
        <f ca="1">IF(reading[[#This Row],[Next]]&lt;&gt;"",IF(reading[[#This Row],[Next]]&gt;TODAY(),"OK",""),"")</f>
        <v>OK</v>
      </c>
      <c r="Z1123" s="13">
        <v>3</v>
      </c>
      <c r="AA1123" s="13">
        <v>3</v>
      </c>
      <c r="AB1123" s="13">
        <v>2</v>
      </c>
      <c r="AC1123" s="13">
        <v>3</v>
      </c>
      <c r="AD1123" s="13">
        <v>2</v>
      </c>
      <c r="AE1123" s="13">
        <v>2</v>
      </c>
      <c r="AF1123" s="13">
        <v>2</v>
      </c>
      <c r="AG1123" s="16">
        <f>IFERROR(SUMIF(reading[[#This Row],[1st]:[7th]],"&gt;0")/COUNTIF(reading[[#This Row],[1st]:[7th]],"&gt;0"),"")</f>
        <v>2.4285714285714284</v>
      </c>
    </row>
    <row r="1124" spans="1:33" hidden="1" x14ac:dyDescent="0.2">
      <c r="A1124" s="4">
        <f>IF(B1124=1,3,IF(D1124=1,2,IF(F1124=1,1,0)))</f>
        <v>0</v>
      </c>
      <c r="B1124" s="4" t="str">
        <f>IF(C1124=$L1124,1,IF(C1124="","",0))</f>
        <v/>
      </c>
      <c r="C1124" s="42"/>
      <c r="D1124" s="4" t="str">
        <f>IF(E1124=$L1124,1,IF(E1124="","",0))</f>
        <v/>
      </c>
      <c r="E1124" s="14"/>
      <c r="F1124" s="4" t="str">
        <f>IF(G1124=$L1124,1,IF(G1124="","",0))</f>
        <v/>
      </c>
      <c r="G1124" s="14"/>
      <c r="H1124" s="6">
        <v>502</v>
      </c>
      <c r="I1124" s="15" t="s">
        <v>3120</v>
      </c>
      <c r="J1124" s="6" t="s">
        <v>3647</v>
      </c>
      <c r="K1124" s="6"/>
      <c r="L1124" s="6" t="s">
        <v>630</v>
      </c>
      <c r="M1124" s="6" t="s">
        <v>6611</v>
      </c>
      <c r="N1124" s="7">
        <f ca="1">RAND()</f>
        <v>0.79917749417400641</v>
      </c>
      <c r="O1124" s="8">
        <v>45202</v>
      </c>
      <c r="P1124" s="8">
        <v>45203</v>
      </c>
      <c r="Q1124" s="8">
        <v>45205</v>
      </c>
      <c r="R1124" s="8">
        <v>45209</v>
      </c>
      <c r="S1124" s="8">
        <v>45216</v>
      </c>
      <c r="T1124" s="8">
        <v>45228</v>
      </c>
      <c r="U1124" s="8">
        <v>45819</v>
      </c>
      <c r="V1124" s="10">
        <f>COUNTA(O1124:U1124)</f>
        <v>7</v>
      </c>
      <c r="W1124" s="11">
        <f>_xlfn.IFNA(INDEX(reading[[#This Row],[Memo 01]:[Memo 07]],MATCH(0,reading[[#This Row],[Memo 01]:[Memo 07]],-1)),"")</f>
        <v>45819</v>
      </c>
      <c r="X1124" s="11">
        <f ca="1">IFERROR(reading[[#This Row],[Previous]]+OFFSET(reading[[#Headers],[Memo 01]],-1,MATCH(0,reading[[#This Row],[Memo 01]:[Memo 07]],-1)-1),"")</f>
        <v>55819</v>
      </c>
      <c r="Y1124" s="10" t="str">
        <f ca="1">IF(reading[[#This Row],[Next]]&lt;&gt;"",IF(reading[[#This Row],[Next]]&gt;TODAY(),"OK",""),"")</f>
        <v>OK</v>
      </c>
      <c r="Z1124" s="13">
        <v>3</v>
      </c>
      <c r="AA1124" s="13">
        <v>3</v>
      </c>
      <c r="AB1124" s="13">
        <v>3</v>
      </c>
      <c r="AC1124" s="13">
        <v>3</v>
      </c>
      <c r="AD1124" s="13">
        <v>3</v>
      </c>
      <c r="AE1124" s="13">
        <v>2</v>
      </c>
      <c r="AF1124" s="13">
        <v>3</v>
      </c>
      <c r="AG1124" s="16">
        <f>IFERROR(SUMIF(reading[[#This Row],[1st]:[7th]],"&gt;0")/COUNTIF(reading[[#This Row],[1st]:[7th]],"&gt;0"),"")</f>
        <v>2.8571428571428572</v>
      </c>
    </row>
    <row r="1125" spans="1:33" hidden="1" x14ac:dyDescent="0.2">
      <c r="A1125" s="4">
        <f>IF(B1125=1,3,IF(D1125=1,2,IF(F1125=1,1,0)))</f>
        <v>0</v>
      </c>
      <c r="B1125" s="4" t="str">
        <f>IF(C1125=$L1125,1,IF(C1125="","",0))</f>
        <v/>
      </c>
      <c r="C1125" s="42"/>
      <c r="D1125" s="4" t="str">
        <f>IF(E1125=$L1125,1,IF(E1125="","",0))</f>
        <v/>
      </c>
      <c r="E1125" s="23"/>
      <c r="F1125" s="4" t="str">
        <f>IF(G1125=$L1125,1,IF(G1125="","",0))</f>
        <v/>
      </c>
      <c r="G1125" s="14"/>
      <c r="H1125" s="6">
        <v>413</v>
      </c>
      <c r="I1125" s="15" t="s">
        <v>3120</v>
      </c>
      <c r="J1125" s="6" t="s">
        <v>3559</v>
      </c>
      <c r="K1125" s="6"/>
      <c r="L1125" s="6" t="s">
        <v>41</v>
      </c>
      <c r="M1125" s="6" t="s">
        <v>6522</v>
      </c>
      <c r="N1125" s="7">
        <f ca="1">RAND()</f>
        <v>0.41150412569744432</v>
      </c>
      <c r="O1125" s="8">
        <v>45201</v>
      </c>
      <c r="P1125" s="8">
        <v>45202</v>
      </c>
      <c r="Q1125" s="8">
        <v>45204</v>
      </c>
      <c r="R1125" s="8">
        <v>45208</v>
      </c>
      <c r="S1125" s="8">
        <v>45215</v>
      </c>
      <c r="T1125" s="8">
        <v>45227</v>
      </c>
      <c r="U1125" s="8">
        <v>45816</v>
      </c>
      <c r="V1125" s="10">
        <f>COUNTA(O1125:U1125)</f>
        <v>7</v>
      </c>
      <c r="W1125" s="11">
        <f>_xlfn.IFNA(INDEX(reading[[#This Row],[Memo 01]:[Memo 07]],MATCH(0,reading[[#This Row],[Memo 01]:[Memo 07]],-1)),"")</f>
        <v>45816</v>
      </c>
      <c r="X1125" s="11">
        <f ca="1">IFERROR(reading[[#This Row],[Previous]]+OFFSET(reading[[#Headers],[Memo 01]],-1,MATCH(0,reading[[#This Row],[Memo 01]:[Memo 07]],-1)-1),"")</f>
        <v>55816</v>
      </c>
      <c r="Y1125" s="10" t="str">
        <f ca="1">IF(reading[[#This Row],[Next]]&lt;&gt;"",IF(reading[[#This Row],[Next]]&gt;TODAY(),"OK",""),"")</f>
        <v>OK</v>
      </c>
      <c r="Z1125" s="13">
        <v>3</v>
      </c>
      <c r="AA1125" s="13">
        <v>3</v>
      </c>
      <c r="AB1125" s="13">
        <v>3</v>
      </c>
      <c r="AC1125" s="13">
        <v>3</v>
      </c>
      <c r="AD1125" s="13">
        <v>3</v>
      </c>
      <c r="AE1125" s="13">
        <v>3</v>
      </c>
      <c r="AF1125" s="13">
        <v>2</v>
      </c>
      <c r="AG1125" s="16">
        <f>IFERROR(SUMIF(reading[[#This Row],[1st]:[7th]],"&gt;0")/COUNTIF(reading[[#This Row],[1st]:[7th]],"&gt;0"),"")</f>
        <v>2.8571428571428572</v>
      </c>
    </row>
    <row r="1126" spans="1:33" hidden="1" x14ac:dyDescent="0.2">
      <c r="A1126" s="4">
        <f>IF(B1126=1,3,IF(D1126=1,2,IF(F1126=1,1,0)))</f>
        <v>0</v>
      </c>
      <c r="B1126" s="4" t="str">
        <f>IF(C1126=$L1126,1,IF(C1126="","",0))</f>
        <v/>
      </c>
      <c r="C1126" s="42"/>
      <c r="D1126" s="4" t="str">
        <f>IF(E1126=$L1126,1,IF(E1126="","",0))</f>
        <v/>
      </c>
      <c r="E1126" s="14"/>
      <c r="F1126" s="4" t="str">
        <f>IF(G1126=$L1126,1,IF(G1126="","",0))</f>
        <v/>
      </c>
      <c r="G1126" s="14"/>
      <c r="H1126" s="6">
        <v>1901</v>
      </c>
      <c r="I1126" s="15" t="s">
        <v>3120</v>
      </c>
      <c r="J1126" s="6" t="s">
        <v>5002</v>
      </c>
      <c r="K1126" s="6"/>
      <c r="L1126" s="6" t="s">
        <v>1977</v>
      </c>
      <c r="M1126" s="6" t="s">
        <v>8007</v>
      </c>
      <c r="N1126" s="7">
        <f ca="1">RAND()</f>
        <v>0.29317173106916594</v>
      </c>
      <c r="O1126" s="8">
        <v>45213</v>
      </c>
      <c r="P1126" s="8">
        <v>45214</v>
      </c>
      <c r="Q1126" s="8">
        <v>45216</v>
      </c>
      <c r="R1126" s="8">
        <v>45220</v>
      </c>
      <c r="S1126" s="8">
        <v>45227</v>
      </c>
      <c r="T1126" s="8">
        <v>45819</v>
      </c>
      <c r="U1126" s="8"/>
      <c r="V1126" s="10">
        <f>COUNTA(O1126:U1126)</f>
        <v>6</v>
      </c>
      <c r="W1126" s="11">
        <f>_xlfn.IFNA(INDEX(reading[[#This Row],[Memo 01]:[Memo 07]],MATCH(0,reading[[#This Row],[Memo 01]:[Memo 07]],-1)),"")</f>
        <v>45819</v>
      </c>
      <c r="X1126" s="11">
        <f ca="1">IFERROR(reading[[#This Row],[Previous]]+OFFSET(reading[[#Headers],[Memo 01]],-1,MATCH(0,reading[[#This Row],[Memo 01]:[Memo 07]],-1)-1),"")</f>
        <v>45839</v>
      </c>
      <c r="Y1126" s="10" t="str">
        <f ca="1">IF(reading[[#This Row],[Next]]&lt;&gt;"",IF(reading[[#This Row],[Next]]&gt;TODAY(),"OK",""),"")</f>
        <v>OK</v>
      </c>
      <c r="Z1126" s="13">
        <v>3</v>
      </c>
      <c r="AA1126" s="13">
        <v>3</v>
      </c>
      <c r="AB1126" s="13">
        <v>3</v>
      </c>
      <c r="AC1126" s="13">
        <v>3</v>
      </c>
      <c r="AD1126" s="13">
        <v>3</v>
      </c>
      <c r="AE1126" s="13">
        <v>3</v>
      </c>
      <c r="AF1126" s="13"/>
      <c r="AG1126" s="16">
        <f>IFERROR(SUMIF(reading[[#This Row],[1st]:[7th]],"&gt;0")/COUNTIF(reading[[#This Row],[1st]:[7th]],"&gt;0"),"")</f>
        <v>3</v>
      </c>
    </row>
    <row r="1127" spans="1:33" hidden="1" x14ac:dyDescent="0.2">
      <c r="A1127" s="4">
        <f>IF(B1127=1,3,IF(D1127=1,2,IF(F1127=1,1,0)))</f>
        <v>0</v>
      </c>
      <c r="B1127" s="4" t="str">
        <f>IF(C1127=$L1127,1,IF(C1127="","",0))</f>
        <v/>
      </c>
      <c r="C1127" s="42"/>
      <c r="D1127" s="4" t="str">
        <f>IF(E1127=$L1127,1,IF(E1127="","",0))</f>
        <v/>
      </c>
      <c r="E1127" s="14"/>
      <c r="F1127" s="4" t="str">
        <f>IF(G1127=$L1127,1,IF(G1127="","",0))</f>
        <v/>
      </c>
      <c r="G1127" s="14"/>
      <c r="H1127" s="6">
        <v>925</v>
      </c>
      <c r="I1127" s="15" t="s">
        <v>3120</v>
      </c>
      <c r="J1127" s="6" t="s">
        <v>4056</v>
      </c>
      <c r="K1127" s="6"/>
      <c r="L1127" s="6" t="s">
        <v>1036</v>
      </c>
      <c r="M1127" s="6" t="s">
        <v>7033</v>
      </c>
      <c r="N1127" s="7">
        <f ca="1">RAND()</f>
        <v>0.42557482674579972</v>
      </c>
      <c r="O1127" s="8">
        <v>45204</v>
      </c>
      <c r="P1127" s="8">
        <v>45205</v>
      </c>
      <c r="Q1127" s="8">
        <v>45207</v>
      </c>
      <c r="R1127" s="8">
        <v>45212</v>
      </c>
      <c r="S1127" s="8">
        <v>45219</v>
      </c>
      <c r="T1127" s="8">
        <v>45231</v>
      </c>
      <c r="U1127" s="8">
        <v>45819</v>
      </c>
      <c r="V1127" s="10">
        <f>COUNTA(O1127:U1127)</f>
        <v>7</v>
      </c>
      <c r="W1127" s="11">
        <f>_xlfn.IFNA(INDEX(reading[[#This Row],[Memo 01]:[Memo 07]],MATCH(0,reading[[#This Row],[Memo 01]:[Memo 07]],-1)),"")</f>
        <v>45819</v>
      </c>
      <c r="X1127" s="11">
        <f ca="1">IFERROR(reading[[#This Row],[Previous]]+OFFSET(reading[[#Headers],[Memo 01]],-1,MATCH(0,reading[[#This Row],[Memo 01]:[Memo 07]],-1)-1),"")</f>
        <v>55819</v>
      </c>
      <c r="Y1127" s="10" t="str">
        <f ca="1">IF(reading[[#This Row],[Next]]&lt;&gt;"",IF(reading[[#This Row],[Next]]&gt;TODAY(),"OK",""),"")</f>
        <v>OK</v>
      </c>
      <c r="Z1127" s="13">
        <v>3</v>
      </c>
      <c r="AA1127" s="13">
        <v>3</v>
      </c>
      <c r="AB1127" s="13">
        <v>3</v>
      </c>
      <c r="AC1127" s="13">
        <v>2</v>
      </c>
      <c r="AD1127" s="13">
        <v>3</v>
      </c>
      <c r="AE1127" s="13">
        <v>3</v>
      </c>
      <c r="AF1127" s="13">
        <v>3</v>
      </c>
      <c r="AG1127" s="16">
        <f>IFERROR(SUMIF(reading[[#This Row],[1st]:[7th]],"&gt;0")/COUNTIF(reading[[#This Row],[1st]:[7th]],"&gt;0"),"")</f>
        <v>2.8571428571428572</v>
      </c>
    </row>
    <row r="1128" spans="1:33" hidden="1" x14ac:dyDescent="0.2">
      <c r="A1128" s="4">
        <f>IF(B1128=1,3,IF(D1128=1,2,IF(F1128=1,1,0)))</f>
        <v>0</v>
      </c>
      <c r="B1128" s="4" t="str">
        <f>IF(C1128=$L1128,1,IF(C1128="","",0))</f>
        <v/>
      </c>
      <c r="C1128" s="42"/>
      <c r="D1128" s="4" t="str">
        <f>IF(E1128=$L1128,1,IF(E1128="","",0))</f>
        <v/>
      </c>
      <c r="E1128" s="18"/>
      <c r="F1128" s="4" t="str">
        <f>IF(G1128=$L1128,1,IF(G1128="","",0))</f>
        <v/>
      </c>
      <c r="G1128" s="14"/>
      <c r="H1128" s="6">
        <v>2471</v>
      </c>
      <c r="I1128" s="15" t="s">
        <v>3120</v>
      </c>
      <c r="J1128" s="6" t="s">
        <v>5539</v>
      </c>
      <c r="K1128" s="6"/>
      <c r="L1128" s="6" t="s">
        <v>2519</v>
      </c>
      <c r="M1128" s="6" t="s">
        <v>8576</v>
      </c>
      <c r="N1128" s="7">
        <f ca="1">RAND()</f>
        <v>0.78967098004043723</v>
      </c>
      <c r="O1128" s="8">
        <v>45218</v>
      </c>
      <c r="P1128" s="8">
        <v>45219</v>
      </c>
      <c r="Q1128" s="8">
        <v>45221</v>
      </c>
      <c r="R1128" s="8">
        <v>45225</v>
      </c>
      <c r="S1128" s="8">
        <v>45232</v>
      </c>
      <c r="T1128" s="8">
        <v>45819</v>
      </c>
      <c r="U1128" s="8"/>
      <c r="V1128" s="10">
        <f>COUNTA(O1128:U1128)</f>
        <v>6</v>
      </c>
      <c r="W1128" s="11">
        <f>_xlfn.IFNA(INDEX(reading[[#This Row],[Memo 01]:[Memo 07]],MATCH(0,reading[[#This Row],[Memo 01]:[Memo 07]],-1)),"")</f>
        <v>45819</v>
      </c>
      <c r="X1128" s="11">
        <f ca="1">IFERROR(reading[[#This Row],[Previous]]+OFFSET(reading[[#Headers],[Memo 01]],-1,MATCH(0,reading[[#This Row],[Memo 01]:[Memo 07]],-1)-1),"")</f>
        <v>45839</v>
      </c>
      <c r="Y1128" s="10" t="str">
        <f ca="1">IF(reading[[#This Row],[Next]]&lt;&gt;"",IF(reading[[#This Row],[Next]]&gt;TODAY(),"OK",""),"")</f>
        <v>OK</v>
      </c>
      <c r="Z1128" s="13">
        <v>3</v>
      </c>
      <c r="AA1128" s="13">
        <v>3</v>
      </c>
      <c r="AB1128" s="13">
        <v>3</v>
      </c>
      <c r="AC1128" s="13">
        <v>2</v>
      </c>
      <c r="AD1128" s="13">
        <v>3</v>
      </c>
      <c r="AE1128" s="13">
        <v>3</v>
      </c>
      <c r="AF1128" s="13"/>
      <c r="AG1128" s="16">
        <f>IFERROR(SUMIF(reading[[#This Row],[1st]:[7th]],"&gt;0")/COUNTIF(reading[[#This Row],[1st]:[7th]],"&gt;0"),"")</f>
        <v>2.8333333333333335</v>
      </c>
    </row>
    <row r="1129" spans="1:33" hidden="1" x14ac:dyDescent="0.2">
      <c r="A1129" s="4">
        <f>IF(B1129=1,3,IF(D1129=1,2,IF(F1129=1,1,0)))</f>
        <v>0</v>
      </c>
      <c r="B1129" s="4" t="str">
        <f>IF(C1129=$L1129,1,IF(C1129="","",0))</f>
        <v/>
      </c>
      <c r="C1129" s="18"/>
      <c r="D1129" s="4" t="str">
        <f>IF(E1129=$L1129,1,IF(E1129="","",0))</f>
        <v/>
      </c>
      <c r="E1129" s="18"/>
      <c r="F1129" s="4" t="str">
        <f>IF(G1129=$L1129,1,IF(G1129="","",0))</f>
        <v/>
      </c>
      <c r="G1129" s="18"/>
      <c r="H1129" s="6">
        <v>225</v>
      </c>
      <c r="I1129" s="15" t="s">
        <v>3120</v>
      </c>
      <c r="J1129" s="6" t="s">
        <v>3374</v>
      </c>
      <c r="K1129" s="6"/>
      <c r="L1129" s="6" t="s">
        <v>360</v>
      </c>
      <c r="M1129" s="6" t="s">
        <v>6334</v>
      </c>
      <c r="N1129" s="7">
        <f ca="1">RAND()</f>
        <v>0.40688971931405116</v>
      </c>
      <c r="O1129" s="8">
        <v>45199</v>
      </c>
      <c r="P1129" s="8">
        <v>45200</v>
      </c>
      <c r="Q1129" s="8">
        <v>45202</v>
      </c>
      <c r="R1129" s="8">
        <v>45206</v>
      </c>
      <c r="S1129" s="8">
        <v>45213</v>
      </c>
      <c r="T1129" s="8">
        <v>45225</v>
      </c>
      <c r="U1129" s="8">
        <v>45250</v>
      </c>
      <c r="V1129" s="10">
        <f>COUNTA(O1129:U1129)</f>
        <v>7</v>
      </c>
      <c r="W1129" s="11">
        <f>_xlfn.IFNA(INDEX(reading[[#This Row],[Memo 01]:[Memo 07]],MATCH(0,reading[[#This Row],[Memo 01]:[Memo 07]],-1)),"")</f>
        <v>45250</v>
      </c>
      <c r="X1129" s="11">
        <f ca="1">IFERROR(reading[[#This Row],[Previous]]+OFFSET(reading[[#Headers],[Memo 01]],-1,MATCH(0,reading[[#This Row],[Memo 01]:[Memo 07]],-1)-1),"")</f>
        <v>55250</v>
      </c>
      <c r="Y1129" s="10" t="str">
        <f ca="1">IF(reading[[#This Row],[Next]]&lt;&gt;"",IF(reading[[#This Row],[Next]]&gt;TODAY(),"OK",""),"")</f>
        <v>OK</v>
      </c>
      <c r="Z1129" s="13">
        <v>3</v>
      </c>
      <c r="AA1129" s="13">
        <v>2</v>
      </c>
      <c r="AB1129" s="13">
        <v>3</v>
      </c>
      <c r="AC1129" s="13">
        <v>1</v>
      </c>
      <c r="AD1129" s="13">
        <v>2</v>
      </c>
      <c r="AE1129" s="13">
        <v>2</v>
      </c>
      <c r="AF1129" s="13">
        <v>1</v>
      </c>
      <c r="AG1129" s="16">
        <f>IFERROR(SUMIF(reading[[#This Row],[1st]:[7th]],"&gt;0")/COUNTIF(reading[[#This Row],[1st]:[7th]],"&gt;0"),"")</f>
        <v>2</v>
      </c>
    </row>
    <row r="1130" spans="1:33" hidden="1" x14ac:dyDescent="0.2">
      <c r="A1130" s="4">
        <f>IF(B1130=1,3,IF(D1130=1,2,IF(F1130=1,1,0)))</f>
        <v>0</v>
      </c>
      <c r="B1130" s="4" t="str">
        <f>IF(C1130=$L1130,1,IF(C1130="","",0))</f>
        <v/>
      </c>
      <c r="C1130" s="42"/>
      <c r="D1130" s="4" t="str">
        <f>IF(E1130=$L1130,1,IF(E1130="","",0))</f>
        <v/>
      </c>
      <c r="E1130" s="14"/>
      <c r="F1130" s="4" t="str">
        <f>IF(G1130=$L1130,1,IF(G1130="","",0))</f>
        <v/>
      </c>
      <c r="G1130" s="14"/>
      <c r="H1130" s="6">
        <v>1787</v>
      </c>
      <c r="I1130" s="15" t="s">
        <v>3120</v>
      </c>
      <c r="J1130" s="6" t="s">
        <v>4894</v>
      </c>
      <c r="K1130" s="15" t="s">
        <v>3138</v>
      </c>
      <c r="L1130" s="6" t="s">
        <v>1866</v>
      </c>
      <c r="M1130" s="6" t="s">
        <v>7893</v>
      </c>
      <c r="N1130" s="7">
        <f ca="1">RAND()</f>
        <v>0.7769746516566356</v>
      </c>
      <c r="O1130" s="8">
        <v>45211</v>
      </c>
      <c r="P1130" s="8">
        <v>45212</v>
      </c>
      <c r="Q1130" s="8">
        <v>45214</v>
      </c>
      <c r="R1130" s="8">
        <v>45218</v>
      </c>
      <c r="S1130" s="8">
        <v>45225</v>
      </c>
      <c r="T1130" s="8">
        <v>45237</v>
      </c>
      <c r="U1130" s="8">
        <v>45819</v>
      </c>
      <c r="V1130" s="10">
        <f>COUNTA(O1130:U1130)</f>
        <v>7</v>
      </c>
      <c r="W1130" s="11">
        <f>_xlfn.IFNA(INDEX(reading[[#This Row],[Memo 01]:[Memo 07]],MATCH(0,reading[[#This Row],[Memo 01]:[Memo 07]],-1)),"")</f>
        <v>45819</v>
      </c>
      <c r="X1130" s="11">
        <f ca="1">IFERROR(reading[[#This Row],[Previous]]+OFFSET(reading[[#Headers],[Memo 01]],-1,MATCH(0,reading[[#This Row],[Memo 01]:[Memo 07]],-1)-1),"")</f>
        <v>55819</v>
      </c>
      <c r="Y1130" s="10" t="str">
        <f ca="1">IF(reading[[#This Row],[Next]]&lt;&gt;"",IF(reading[[#This Row],[Next]]&gt;TODAY(),"OK",""),"")</f>
        <v>OK</v>
      </c>
      <c r="Z1130" s="13">
        <v>3</v>
      </c>
      <c r="AA1130" s="13">
        <v>3</v>
      </c>
      <c r="AB1130" s="13">
        <v>3</v>
      </c>
      <c r="AC1130" s="13">
        <v>3</v>
      </c>
      <c r="AD1130" s="13">
        <v>3</v>
      </c>
      <c r="AE1130" s="13">
        <v>3</v>
      </c>
      <c r="AF1130" s="13">
        <v>3</v>
      </c>
      <c r="AG1130" s="16">
        <f>IFERROR(SUMIF(reading[[#This Row],[1st]:[7th]],"&gt;0")/COUNTIF(reading[[#This Row],[1st]:[7th]],"&gt;0"),"")</f>
        <v>3</v>
      </c>
    </row>
    <row r="1131" spans="1:33" hidden="1" x14ac:dyDescent="0.2">
      <c r="A1131" s="4">
        <f>IF(B1131=1,3,IF(D1131=1,2,IF(F1131=1,1,0)))</f>
        <v>3</v>
      </c>
      <c r="B1131" s="4">
        <f>IF(C1131=$L1131,1,IF(C1131="","",0))</f>
        <v>1</v>
      </c>
      <c r="C1131" s="25" t="s">
        <v>3130</v>
      </c>
      <c r="D1131" s="4" t="str">
        <f>IF(E1131=$L1131,1,IF(E1131="","",0))</f>
        <v/>
      </c>
      <c r="E1131" s="14"/>
      <c r="F1131" s="4" t="str">
        <f>IF(G1131=$L1131,1,IF(G1131="","",0))</f>
        <v/>
      </c>
      <c r="G1131" s="14"/>
      <c r="H1131" s="6">
        <v>1135</v>
      </c>
      <c r="I1131" s="15" t="s">
        <v>3120</v>
      </c>
      <c r="J1131" s="6" t="s">
        <v>4256</v>
      </c>
      <c r="K1131" s="6"/>
      <c r="L1131" s="6" t="s">
        <v>1237</v>
      </c>
      <c r="M1131" s="6" t="s">
        <v>7243</v>
      </c>
      <c r="N1131" s="7">
        <f ca="1">RAND()</f>
        <v>0.55442679254601002</v>
      </c>
      <c r="O1131" s="8">
        <v>45205</v>
      </c>
      <c r="P1131" s="8">
        <v>45205</v>
      </c>
      <c r="Q1131" s="8">
        <v>45205</v>
      </c>
      <c r="R1131" s="8">
        <v>45205</v>
      </c>
      <c r="S1131" s="8">
        <v>45205</v>
      </c>
      <c r="T1131" s="8">
        <v>45205</v>
      </c>
      <c r="U1131" s="8">
        <v>45205</v>
      </c>
      <c r="V1131" s="10">
        <f>COUNTA(O1131:U1131)</f>
        <v>7</v>
      </c>
      <c r="W1131" s="11">
        <f>_xlfn.IFNA(INDEX(reading[[#This Row],[Memo 01]:[Memo 07]],MATCH(0,reading[[#This Row],[Memo 01]:[Memo 07]],-1)),"")</f>
        <v>45205</v>
      </c>
      <c r="X1131" s="11">
        <f ca="1">IFERROR(reading[[#This Row],[Previous]]+OFFSET(reading[[#Headers],[Memo 01]],-1,MATCH(0,reading[[#This Row],[Memo 01]:[Memo 07]],-1)-1),"")</f>
        <v>55205</v>
      </c>
      <c r="Y1131" s="10" t="str">
        <f ca="1">IF(reading[[#This Row],[Next]]&lt;&gt;"",IF(reading[[#This Row],[Next]]&gt;TODAY(),"OK",""),"")</f>
        <v>OK</v>
      </c>
      <c r="Z1131" s="13">
        <v>3</v>
      </c>
      <c r="AA1131" s="13"/>
      <c r="AB1131" s="13"/>
      <c r="AC1131" s="13"/>
      <c r="AD1131" s="13"/>
      <c r="AE1131" s="13"/>
      <c r="AF1131" s="13"/>
      <c r="AG1131" s="16">
        <f>IFERROR(SUMIF(reading[[#This Row],[1st]:[7th]],"&gt;0")/COUNTIF(reading[[#This Row],[1st]:[7th]],"&gt;0"),"")</f>
        <v>3</v>
      </c>
    </row>
    <row r="1132" spans="1:33" hidden="1" x14ac:dyDescent="0.2">
      <c r="A1132" s="4">
        <f>IF(B1132=1,3,IF(D1132=1,2,IF(F1132=1,1,0)))</f>
        <v>0</v>
      </c>
      <c r="B1132" s="4" t="str">
        <f>IF(C1132=$L1132,1,IF(C1132="","",0))</f>
        <v/>
      </c>
      <c r="C1132" s="43"/>
      <c r="D1132" s="4" t="str">
        <f>IF(E1132=$L1132,1,IF(E1132="","",0))</f>
        <v/>
      </c>
      <c r="E1132" s="18"/>
      <c r="F1132" s="4" t="str">
        <f>IF(G1132=$L1132,1,IF(G1132="","",0))</f>
        <v/>
      </c>
      <c r="G1132" s="14"/>
      <c r="H1132" s="6">
        <v>5</v>
      </c>
      <c r="I1132" s="15" t="s">
        <v>3120</v>
      </c>
      <c r="J1132" s="6" t="s">
        <v>3160</v>
      </c>
      <c r="K1132" s="6"/>
      <c r="L1132" s="6" t="s">
        <v>150</v>
      </c>
      <c r="M1132" s="6" t="s">
        <v>6119</v>
      </c>
      <c r="N1132" s="7">
        <f ca="1">RAND()</f>
        <v>0.39180629342521567</v>
      </c>
      <c r="O1132" s="8">
        <v>45198</v>
      </c>
      <c r="P1132" s="8">
        <v>45199</v>
      </c>
      <c r="Q1132" s="8">
        <v>45201</v>
      </c>
      <c r="R1132" s="8">
        <v>45205</v>
      </c>
      <c r="S1132" s="8">
        <v>45212</v>
      </c>
      <c r="T1132" s="8">
        <v>45224</v>
      </c>
      <c r="U1132" s="8">
        <v>45819</v>
      </c>
      <c r="V1132" s="10">
        <f>COUNTA(O1132:U1132)</f>
        <v>7</v>
      </c>
      <c r="W1132" s="11">
        <f>_xlfn.IFNA(INDEX(reading[[#This Row],[Memo 01]:[Memo 07]],MATCH(0,reading[[#This Row],[Memo 01]:[Memo 07]],-1)),"")</f>
        <v>45819</v>
      </c>
      <c r="X1132" s="11">
        <f ca="1">IFERROR(reading[[#This Row],[Previous]]+OFFSET(reading[[#Headers],[Memo 01]],-1,MATCH(0,reading[[#This Row],[Memo 01]:[Memo 07]],-1)-1),"")</f>
        <v>55819</v>
      </c>
      <c r="Y1132" s="10" t="str">
        <f ca="1">IF(reading[[#This Row],[Next]]&lt;&gt;"",IF(reading[[#This Row],[Next]]&gt;TODAY(),"OK",""),"")</f>
        <v>OK</v>
      </c>
      <c r="Z1132" s="13">
        <v>3</v>
      </c>
      <c r="AA1132" s="13">
        <v>3</v>
      </c>
      <c r="AB1132" s="13">
        <v>3</v>
      </c>
      <c r="AC1132" s="13">
        <v>3</v>
      </c>
      <c r="AD1132" s="13">
        <v>3</v>
      </c>
      <c r="AE1132" s="13">
        <v>2</v>
      </c>
      <c r="AF1132" s="13">
        <v>3</v>
      </c>
      <c r="AG1132" s="16">
        <f>IFERROR(SUMIF(reading[[#This Row],[1st]:[7th]],"&gt;0")/COUNTIF(reading[[#This Row],[1st]:[7th]],"&gt;0"),"")</f>
        <v>2.8571428571428572</v>
      </c>
    </row>
    <row r="1133" spans="1:33" hidden="1" x14ac:dyDescent="0.2">
      <c r="A1133" s="4">
        <f>IF(B1133=1,3,IF(D1133=1,2,IF(F1133=1,1,0)))</f>
        <v>0</v>
      </c>
      <c r="B1133" s="4" t="str">
        <f>IF(C1133=$L1133,1,IF(C1133="","",0))</f>
        <v/>
      </c>
      <c r="C1133" s="43"/>
      <c r="D1133" s="4" t="str">
        <f>IF(E1133=$L1133,1,IF(E1133="","",0))</f>
        <v/>
      </c>
      <c r="E1133" s="43"/>
      <c r="F1133" s="4" t="str">
        <f>IF(G1133=$L1133,1,IF(G1133="","",0))</f>
        <v/>
      </c>
      <c r="G1133" s="14"/>
      <c r="H1133" s="6">
        <v>163</v>
      </c>
      <c r="I1133" s="15" t="s">
        <v>3120</v>
      </c>
      <c r="J1133" s="6" t="s">
        <v>3312</v>
      </c>
      <c r="K1133" s="6"/>
      <c r="L1133" s="6" t="s">
        <v>300</v>
      </c>
      <c r="M1133" s="6" t="s">
        <v>6272</v>
      </c>
      <c r="N1133" s="7">
        <f ca="1">RAND()</f>
        <v>0.32605597525070495</v>
      </c>
      <c r="O1133" s="8">
        <v>45199</v>
      </c>
      <c r="P1133" s="8">
        <v>45200</v>
      </c>
      <c r="Q1133" s="8">
        <v>45202</v>
      </c>
      <c r="R1133" s="8">
        <v>45206</v>
      </c>
      <c r="S1133" s="8">
        <v>45213</v>
      </c>
      <c r="T1133" s="8">
        <v>45225</v>
      </c>
      <c r="U1133" s="8">
        <v>45816</v>
      </c>
      <c r="V1133" s="10">
        <f>COUNTA(O1133:U1133)</f>
        <v>7</v>
      </c>
      <c r="W1133" s="11">
        <f>_xlfn.IFNA(INDEX(reading[[#This Row],[Memo 01]:[Memo 07]],MATCH(0,reading[[#This Row],[Memo 01]:[Memo 07]],-1)),"")</f>
        <v>45816</v>
      </c>
      <c r="X1133" s="11">
        <f ca="1">IFERROR(reading[[#This Row],[Previous]]+OFFSET(reading[[#Headers],[Memo 01]],-1,MATCH(0,reading[[#This Row],[Memo 01]:[Memo 07]],-1)-1),"")</f>
        <v>55816</v>
      </c>
      <c r="Y1133" s="10" t="str">
        <f ca="1">IF(reading[[#This Row],[Next]]&lt;&gt;"",IF(reading[[#This Row],[Next]]&gt;TODAY(),"OK",""),"")</f>
        <v>OK</v>
      </c>
      <c r="Z1133" s="13">
        <v>3</v>
      </c>
      <c r="AA1133" s="13">
        <v>3</v>
      </c>
      <c r="AB1133" s="13">
        <v>3</v>
      </c>
      <c r="AC1133" s="13">
        <v>2</v>
      </c>
      <c r="AD1133" s="13">
        <v>3</v>
      </c>
      <c r="AE1133" s="13">
        <v>3</v>
      </c>
      <c r="AF1133" s="13">
        <v>2</v>
      </c>
      <c r="AG1133" s="16">
        <f>IFERROR(SUMIF(reading[[#This Row],[1st]:[7th]],"&gt;0")/COUNTIF(reading[[#This Row],[1st]:[7th]],"&gt;0"),"")</f>
        <v>2.7142857142857144</v>
      </c>
    </row>
    <row r="1134" spans="1:33" hidden="1" x14ac:dyDescent="0.2">
      <c r="A1134" s="4">
        <f>IF(B1134=1,3,IF(D1134=1,2,IF(F1134=1,1,0)))</f>
        <v>0</v>
      </c>
      <c r="B1134" s="4" t="str">
        <f>IF(C1134=$L1134,1,IF(C1134="","",0))</f>
        <v/>
      </c>
      <c r="C1134" s="42"/>
      <c r="D1134" s="4" t="str">
        <f>IF(E1134=$L1134,1,IF(E1134="","",0))</f>
        <v/>
      </c>
      <c r="E1134" s="43"/>
      <c r="F1134" s="4" t="str">
        <f>IF(G1134=$L1134,1,IF(G1134="","",0))</f>
        <v/>
      </c>
      <c r="G1134" s="14"/>
      <c r="H1134" s="6">
        <v>288</v>
      </c>
      <c r="I1134" s="15" t="s">
        <v>3120</v>
      </c>
      <c r="J1134" s="6" t="s">
        <v>3436</v>
      </c>
      <c r="K1134" s="6"/>
      <c r="L1134" s="6" t="s">
        <v>423</v>
      </c>
      <c r="M1134" s="6" t="s">
        <v>6397</v>
      </c>
      <c r="N1134" s="7">
        <f ca="1">RAND()</f>
        <v>0.70712463928930591</v>
      </c>
      <c r="O1134" s="8">
        <v>45200</v>
      </c>
      <c r="P1134" s="8">
        <v>45201</v>
      </c>
      <c r="Q1134" s="8">
        <v>45203</v>
      </c>
      <c r="R1134" s="8">
        <v>45207</v>
      </c>
      <c r="S1134" s="8">
        <v>45214</v>
      </c>
      <c r="T1134" s="8">
        <v>45226</v>
      </c>
      <c r="U1134" s="8">
        <v>45816</v>
      </c>
      <c r="V1134" s="10">
        <f>COUNTA(O1134:U1134)</f>
        <v>7</v>
      </c>
      <c r="W1134" s="11">
        <f>_xlfn.IFNA(INDEX(reading[[#This Row],[Memo 01]:[Memo 07]],MATCH(0,reading[[#This Row],[Memo 01]:[Memo 07]],-1)),"")</f>
        <v>45816</v>
      </c>
      <c r="X1134" s="11">
        <f ca="1">IFERROR(reading[[#This Row],[Previous]]+OFFSET(reading[[#Headers],[Memo 01]],-1,MATCH(0,reading[[#This Row],[Memo 01]:[Memo 07]],-1)-1),"")</f>
        <v>55816</v>
      </c>
      <c r="Y1134" s="10" t="str">
        <f ca="1">IF(reading[[#This Row],[Next]]&lt;&gt;"",IF(reading[[#This Row],[Next]]&gt;TODAY(),"OK",""),"")</f>
        <v>OK</v>
      </c>
      <c r="Z1134" s="13">
        <v>3</v>
      </c>
      <c r="AA1134" s="13">
        <v>3</v>
      </c>
      <c r="AB1134" s="13">
        <v>3</v>
      </c>
      <c r="AC1134" s="13">
        <v>2</v>
      </c>
      <c r="AD1134" s="13">
        <v>2</v>
      </c>
      <c r="AE1134" s="13">
        <v>3</v>
      </c>
      <c r="AF1134" s="13">
        <v>2</v>
      </c>
      <c r="AG1134" s="16">
        <f>IFERROR(SUMIF(reading[[#This Row],[1st]:[7th]],"&gt;0")/COUNTIF(reading[[#This Row],[1st]:[7th]],"&gt;0"),"")</f>
        <v>2.5714285714285716</v>
      </c>
    </row>
    <row r="1135" spans="1:33" hidden="1" x14ac:dyDescent="0.2">
      <c r="A1135" s="4">
        <f>IF(B1135=1,3,IF(D1135=1,2,IF(F1135=1,1,0)))</f>
        <v>0</v>
      </c>
      <c r="B1135" s="4" t="str">
        <f>IF(C1135=$L1135,1,IF(C1135="","",0))</f>
        <v/>
      </c>
      <c r="C1135" s="42"/>
      <c r="D1135" s="4" t="str">
        <f>IF(E1135=$L1135,1,IF(E1135="","",0))</f>
        <v/>
      </c>
      <c r="E1135" s="23"/>
      <c r="F1135" s="4" t="str">
        <f>IF(G1135=$L1135,1,IF(G1135="","",0))</f>
        <v/>
      </c>
      <c r="G1135" s="14"/>
      <c r="H1135" s="6">
        <v>2635</v>
      </c>
      <c r="I1135" s="15" t="s">
        <v>3120</v>
      </c>
      <c r="J1135" s="6" t="s">
        <v>5689</v>
      </c>
      <c r="K1135" s="6"/>
      <c r="L1135" s="6" t="s">
        <v>2676</v>
      </c>
      <c r="M1135" s="6" t="s">
        <v>8740</v>
      </c>
      <c r="N1135" s="7">
        <f ca="1">RAND()</f>
        <v>0.90764877276651479</v>
      </c>
      <c r="O1135" s="8">
        <v>45220</v>
      </c>
      <c r="P1135" s="8">
        <v>45221</v>
      </c>
      <c r="Q1135" s="8">
        <v>45223</v>
      </c>
      <c r="R1135" s="8">
        <v>45227</v>
      </c>
      <c r="S1135" s="8">
        <v>45234</v>
      </c>
      <c r="T1135" s="8">
        <v>45820</v>
      </c>
      <c r="U1135" s="8"/>
      <c r="V1135" s="10">
        <f>COUNTA(O1135:U1135)</f>
        <v>6</v>
      </c>
      <c r="W1135" s="11">
        <f>_xlfn.IFNA(INDEX(reading[[#This Row],[Memo 01]:[Memo 07]],MATCH(0,reading[[#This Row],[Memo 01]:[Memo 07]],-1)),"")</f>
        <v>45820</v>
      </c>
      <c r="X1135" s="11">
        <f ca="1">IFERROR(reading[[#This Row],[Previous]]+OFFSET(reading[[#Headers],[Memo 01]],-1,MATCH(0,reading[[#This Row],[Memo 01]:[Memo 07]],-1)-1),"")</f>
        <v>45840</v>
      </c>
      <c r="Y1135" s="10" t="str">
        <f ca="1">IF(reading[[#This Row],[Next]]&lt;&gt;"",IF(reading[[#This Row],[Next]]&gt;TODAY(),"OK",""),"")</f>
        <v>OK</v>
      </c>
      <c r="Z1135" s="13">
        <v>3</v>
      </c>
      <c r="AA1135" s="13">
        <v>3</v>
      </c>
      <c r="AB1135" s="13">
        <v>3</v>
      </c>
      <c r="AC1135" s="13">
        <v>3</v>
      </c>
      <c r="AD1135" s="13">
        <v>3</v>
      </c>
      <c r="AE1135" s="13">
        <v>2</v>
      </c>
      <c r="AF1135" s="13"/>
      <c r="AG1135" s="16">
        <f>IFERROR(SUMIF(reading[[#This Row],[1st]:[7th]],"&gt;0")/COUNTIF(reading[[#This Row],[1st]:[7th]],"&gt;0"),"")</f>
        <v>2.8333333333333335</v>
      </c>
    </row>
    <row r="1136" spans="1:33" hidden="1" x14ac:dyDescent="0.2">
      <c r="A1136" s="4">
        <f>IF(B1136=1,3,IF(D1136=1,2,IF(F1136=1,1,0)))</f>
        <v>0</v>
      </c>
      <c r="B1136" s="4" t="str">
        <f>IF(C1136=$L1136,1,IF(C1136="","",0))</f>
        <v/>
      </c>
      <c r="C1136" s="42"/>
      <c r="D1136" s="4" t="str">
        <f>IF(E1136=$L1136,1,IF(E1136="","",0))</f>
        <v/>
      </c>
      <c r="E1136" s="14"/>
      <c r="F1136" s="4" t="str">
        <f>IF(G1136=$L1136,1,IF(G1136="","",0))</f>
        <v/>
      </c>
      <c r="G1136" s="14"/>
      <c r="H1136" s="6">
        <v>1776</v>
      </c>
      <c r="I1136" s="15" t="s">
        <v>3120</v>
      </c>
      <c r="J1136" s="6" t="s">
        <v>4883</v>
      </c>
      <c r="K1136" s="24" t="s">
        <v>3136</v>
      </c>
      <c r="L1136" s="6" t="s">
        <v>1856</v>
      </c>
      <c r="M1136" s="6" t="s">
        <v>7882</v>
      </c>
      <c r="N1136" s="7">
        <f ca="1">RAND()</f>
        <v>0.85823067717013735</v>
      </c>
      <c r="O1136" s="8">
        <v>45211</v>
      </c>
      <c r="P1136" s="8">
        <v>45212</v>
      </c>
      <c r="Q1136" s="8">
        <v>45214</v>
      </c>
      <c r="R1136" s="8">
        <v>45218</v>
      </c>
      <c r="S1136" s="8">
        <v>45225</v>
      </c>
      <c r="T1136" s="8">
        <v>45237</v>
      </c>
      <c r="U1136" s="8">
        <v>45819</v>
      </c>
      <c r="V1136" s="10">
        <f>COUNTA(O1136:U1136)</f>
        <v>7</v>
      </c>
      <c r="W1136" s="11">
        <f>_xlfn.IFNA(INDEX(reading[[#This Row],[Memo 01]:[Memo 07]],MATCH(0,reading[[#This Row],[Memo 01]:[Memo 07]],-1)),"")</f>
        <v>45819</v>
      </c>
      <c r="X1136" s="11">
        <f ca="1">IFERROR(reading[[#This Row],[Previous]]+OFFSET(reading[[#Headers],[Memo 01]],-1,MATCH(0,reading[[#This Row],[Memo 01]:[Memo 07]],-1)-1),"")</f>
        <v>55819</v>
      </c>
      <c r="Y1136" s="10" t="str">
        <f ca="1">IF(reading[[#This Row],[Next]]&lt;&gt;"",IF(reading[[#This Row],[Next]]&gt;TODAY(),"OK",""),"")</f>
        <v>OK</v>
      </c>
      <c r="Z1136" s="13">
        <v>3</v>
      </c>
      <c r="AA1136" s="13">
        <v>3</v>
      </c>
      <c r="AB1136" s="13">
        <v>3</v>
      </c>
      <c r="AC1136" s="13">
        <v>3</v>
      </c>
      <c r="AD1136" s="13">
        <v>3</v>
      </c>
      <c r="AE1136" s="13">
        <v>3</v>
      </c>
      <c r="AF1136" s="13">
        <v>3</v>
      </c>
      <c r="AG1136" s="16">
        <f>IFERROR(SUMIF(reading[[#This Row],[1st]:[7th]],"&gt;0")/COUNTIF(reading[[#This Row],[1st]:[7th]],"&gt;0"),"")</f>
        <v>3</v>
      </c>
    </row>
    <row r="1137" spans="1:33" hidden="1" x14ac:dyDescent="0.2">
      <c r="A1137" s="4">
        <f>IF(B1137=1,3,IF(D1137=1,2,IF(F1137=1,1,0)))</f>
        <v>3</v>
      </c>
      <c r="B1137" s="4">
        <f>IF(C1137=$L1137,1,IF(C1137="","",0))</f>
        <v>1</v>
      </c>
      <c r="C1137" s="25" t="s">
        <v>3132</v>
      </c>
      <c r="D1137" s="4" t="str">
        <f>IF(E1137=$L1137,1,IF(E1137="","",0))</f>
        <v/>
      </c>
      <c r="E1137" s="14"/>
      <c r="F1137" s="4" t="str">
        <f>IF(G1137=$L1137,1,IF(G1137="","",0))</f>
        <v/>
      </c>
      <c r="G1137" s="14"/>
      <c r="H1137" s="6">
        <v>1141</v>
      </c>
      <c r="I1137" s="15" t="s">
        <v>3120</v>
      </c>
      <c r="J1137" s="6" t="s">
        <v>4262</v>
      </c>
      <c r="K1137" s="6"/>
      <c r="L1137" s="6" t="s">
        <v>1243</v>
      </c>
      <c r="M1137" s="6" t="s">
        <v>7249</v>
      </c>
      <c r="N1137" s="7">
        <f ca="1">RAND()</f>
        <v>0.90269112863258028</v>
      </c>
      <c r="O1137" s="8">
        <v>45205</v>
      </c>
      <c r="P1137" s="8">
        <v>45205</v>
      </c>
      <c r="Q1137" s="8">
        <v>45205</v>
      </c>
      <c r="R1137" s="8">
        <v>45205</v>
      </c>
      <c r="S1137" s="8">
        <v>45205</v>
      </c>
      <c r="T1137" s="8">
        <v>45205</v>
      </c>
      <c r="U1137" s="8">
        <v>45205</v>
      </c>
      <c r="V1137" s="10">
        <f>COUNTA(O1137:U1137)</f>
        <v>7</v>
      </c>
      <c r="W1137" s="11">
        <f>_xlfn.IFNA(INDEX(reading[[#This Row],[Memo 01]:[Memo 07]],MATCH(0,reading[[#This Row],[Memo 01]:[Memo 07]],-1)),"")</f>
        <v>45205</v>
      </c>
      <c r="X1137" s="11">
        <f ca="1">IFERROR(reading[[#This Row],[Previous]]+OFFSET(reading[[#Headers],[Memo 01]],-1,MATCH(0,reading[[#This Row],[Memo 01]:[Memo 07]],-1)-1),"")</f>
        <v>55205</v>
      </c>
      <c r="Y1137" s="10" t="str">
        <f ca="1">IF(reading[[#This Row],[Next]]&lt;&gt;"",IF(reading[[#This Row],[Next]]&gt;TODAY(),"OK",""),"")</f>
        <v>OK</v>
      </c>
      <c r="Z1137" s="13">
        <v>3</v>
      </c>
      <c r="AA1137" s="13"/>
      <c r="AB1137" s="13"/>
      <c r="AC1137" s="13"/>
      <c r="AD1137" s="13"/>
      <c r="AE1137" s="13"/>
      <c r="AF1137" s="13"/>
      <c r="AG1137" s="16">
        <f>IFERROR(SUMIF(reading[[#This Row],[1st]:[7th]],"&gt;0")/COUNTIF(reading[[#This Row],[1st]:[7th]],"&gt;0"),"")</f>
        <v>3</v>
      </c>
    </row>
    <row r="1138" spans="1:33" hidden="1" x14ac:dyDescent="0.2">
      <c r="A1138" s="4">
        <f>IF(B1138=1,3,IF(D1138=1,2,IF(F1138=1,1,0)))</f>
        <v>0</v>
      </c>
      <c r="B1138" s="4" t="str">
        <f>IF(C1138=$L1138,1,IF(C1138="","",0))</f>
        <v/>
      </c>
      <c r="C1138" s="42"/>
      <c r="D1138" s="4" t="str">
        <f>IF(E1138=$L1138,1,IF(E1138="","",0))</f>
        <v/>
      </c>
      <c r="E1138" s="14"/>
      <c r="F1138" s="4" t="str">
        <f>IF(G1138=$L1138,1,IF(G1138="","",0))</f>
        <v/>
      </c>
      <c r="G1138" s="14"/>
      <c r="H1138" s="6">
        <v>1816</v>
      </c>
      <c r="I1138" s="15" t="s">
        <v>3120</v>
      </c>
      <c r="J1138" s="6" t="s">
        <v>4921</v>
      </c>
      <c r="K1138" s="6"/>
      <c r="L1138" s="6" t="s">
        <v>1894</v>
      </c>
      <c r="M1138" s="6" t="s">
        <v>7922</v>
      </c>
      <c r="N1138" s="7">
        <f ca="1">RAND()</f>
        <v>0.19734417321874487</v>
      </c>
      <c r="O1138" s="8">
        <v>45212</v>
      </c>
      <c r="P1138" s="8">
        <v>45213</v>
      </c>
      <c r="Q1138" s="8">
        <v>45215</v>
      </c>
      <c r="R1138" s="8">
        <v>45219</v>
      </c>
      <c r="S1138" s="8">
        <v>45226</v>
      </c>
      <c r="T1138" s="8">
        <v>45819</v>
      </c>
      <c r="U1138" s="8"/>
      <c r="V1138" s="10">
        <f>COUNTA(O1138:U1138)</f>
        <v>6</v>
      </c>
      <c r="W1138" s="11">
        <f>_xlfn.IFNA(INDEX(reading[[#This Row],[Memo 01]:[Memo 07]],MATCH(0,reading[[#This Row],[Memo 01]:[Memo 07]],-1)),"")</f>
        <v>45819</v>
      </c>
      <c r="X1138" s="11">
        <f ca="1">IFERROR(reading[[#This Row],[Previous]]+OFFSET(reading[[#Headers],[Memo 01]],-1,MATCH(0,reading[[#This Row],[Memo 01]:[Memo 07]],-1)-1),"")</f>
        <v>45839</v>
      </c>
      <c r="Y1138" s="10" t="str">
        <f ca="1">IF(reading[[#This Row],[Next]]&lt;&gt;"",IF(reading[[#This Row],[Next]]&gt;TODAY(),"OK",""),"")</f>
        <v>OK</v>
      </c>
      <c r="Z1138" s="13">
        <v>3</v>
      </c>
      <c r="AA1138" s="13">
        <v>3</v>
      </c>
      <c r="AB1138" s="13">
        <v>3</v>
      </c>
      <c r="AC1138" s="13">
        <v>3</v>
      </c>
      <c r="AD1138" s="13">
        <v>3</v>
      </c>
      <c r="AE1138" s="13">
        <v>3</v>
      </c>
      <c r="AF1138" s="13"/>
      <c r="AG1138" s="16">
        <f>IFERROR(SUMIF(reading[[#This Row],[1st]:[7th]],"&gt;0")/COUNTIF(reading[[#This Row],[1st]:[7th]],"&gt;0"),"")</f>
        <v>3</v>
      </c>
    </row>
    <row r="1139" spans="1:33" hidden="1" x14ac:dyDescent="0.2">
      <c r="A1139" s="4">
        <f>IF(B1139=1,3,IF(D1139=1,2,IF(F1139=1,1,0)))</f>
        <v>0</v>
      </c>
      <c r="B1139" s="4" t="str">
        <f>IF(C1139=$L1139,1,IF(C1139="","",0))</f>
        <v/>
      </c>
      <c r="C1139" s="42"/>
      <c r="D1139" s="4" t="str">
        <f>IF(E1139=$L1139,1,IF(E1139="","",0))</f>
        <v/>
      </c>
      <c r="E1139" s="18"/>
      <c r="F1139" s="4" t="str">
        <f>IF(G1139=$L1139,1,IF(G1139="","",0))</f>
        <v/>
      </c>
      <c r="G1139" s="14"/>
      <c r="H1139" s="6">
        <v>855</v>
      </c>
      <c r="I1139" s="15" t="s">
        <v>3120</v>
      </c>
      <c r="J1139" s="6" t="s">
        <v>3987</v>
      </c>
      <c r="K1139" s="6"/>
      <c r="L1139" s="6" t="s">
        <v>971</v>
      </c>
      <c r="M1139" s="6" t="s">
        <v>6964</v>
      </c>
      <c r="N1139" s="7">
        <f ca="1">RAND()</f>
        <v>0.31772202176958597</v>
      </c>
      <c r="O1139" s="8">
        <v>45204</v>
      </c>
      <c r="P1139" s="8">
        <v>45205</v>
      </c>
      <c r="Q1139" s="8">
        <v>45207</v>
      </c>
      <c r="R1139" s="8">
        <v>45212</v>
      </c>
      <c r="S1139" s="8">
        <v>45219</v>
      </c>
      <c r="T1139" s="8">
        <v>45231</v>
      </c>
      <c r="U1139" s="8">
        <v>45253</v>
      </c>
      <c r="V1139" s="10">
        <f>COUNTA(O1139:U1139)</f>
        <v>7</v>
      </c>
      <c r="W1139" s="11">
        <f>_xlfn.IFNA(INDEX(reading[[#This Row],[Memo 01]:[Memo 07]],MATCH(0,reading[[#This Row],[Memo 01]:[Memo 07]],-1)),"")</f>
        <v>45253</v>
      </c>
      <c r="X1139" s="11">
        <f ca="1">IFERROR(reading[[#This Row],[Previous]]+OFFSET(reading[[#Headers],[Memo 01]],-1,MATCH(0,reading[[#This Row],[Memo 01]:[Memo 07]],-1)-1),"")</f>
        <v>55253</v>
      </c>
      <c r="Y1139" s="10" t="str">
        <f ca="1">IF(reading[[#This Row],[Next]]&lt;&gt;"",IF(reading[[#This Row],[Next]]&gt;TODAY(),"OK",""),"")</f>
        <v>OK</v>
      </c>
      <c r="Z1139" s="13">
        <v>3</v>
      </c>
      <c r="AA1139" s="13">
        <v>3</v>
      </c>
      <c r="AB1139" s="13">
        <v>2</v>
      </c>
      <c r="AC1139" s="13">
        <v>2</v>
      </c>
      <c r="AD1139" s="13">
        <v>3</v>
      </c>
      <c r="AE1139" s="13">
        <v>3</v>
      </c>
      <c r="AF1139" s="13">
        <v>2</v>
      </c>
      <c r="AG1139" s="16">
        <f>IFERROR(SUMIF(reading[[#This Row],[1st]:[7th]],"&gt;0")/COUNTIF(reading[[#This Row],[1st]:[7th]],"&gt;0"),"")</f>
        <v>2.5714285714285716</v>
      </c>
    </row>
    <row r="1140" spans="1:33" hidden="1" x14ac:dyDescent="0.2">
      <c r="A1140" s="4">
        <f>IF(B1140=1,3,IF(D1140=1,2,IF(F1140=1,1,0)))</f>
        <v>0</v>
      </c>
      <c r="B1140" s="4" t="str">
        <f>IF(C1140=$L1140,1,IF(C1140="","",0))</f>
        <v/>
      </c>
      <c r="C1140" s="42"/>
      <c r="D1140" s="4" t="str">
        <f>IF(E1140=$L1140,1,IF(E1140="","",0))</f>
        <v/>
      </c>
      <c r="E1140" s="14"/>
      <c r="F1140" s="4" t="str">
        <f>IF(G1140=$L1140,1,IF(G1140="","",0))</f>
        <v/>
      </c>
      <c r="G1140" s="14"/>
      <c r="H1140" s="6">
        <v>2559</v>
      </c>
      <c r="I1140" s="15" t="s">
        <v>3120</v>
      </c>
      <c r="J1140" s="6" t="s">
        <v>5620</v>
      </c>
      <c r="K1140" s="6"/>
      <c r="L1140" s="6" t="s">
        <v>2604</v>
      </c>
      <c r="M1140" s="6" t="s">
        <v>8664</v>
      </c>
      <c r="N1140" s="7">
        <f ca="1">RAND()</f>
        <v>0.21752722892029186</v>
      </c>
      <c r="O1140" s="8">
        <v>45219</v>
      </c>
      <c r="P1140" s="8">
        <v>45220</v>
      </c>
      <c r="Q1140" s="8">
        <v>45222</v>
      </c>
      <c r="R1140" s="8">
        <v>45226</v>
      </c>
      <c r="S1140" s="8">
        <v>45233</v>
      </c>
      <c r="T1140" s="8">
        <v>45792</v>
      </c>
      <c r="U1140" s="8">
        <v>45823</v>
      </c>
      <c r="V1140" s="10">
        <f>COUNTA(O1140:U1140)</f>
        <v>7</v>
      </c>
      <c r="W1140" s="11">
        <f>_xlfn.IFNA(INDEX(reading[[#This Row],[Memo 01]:[Memo 07]],MATCH(0,reading[[#This Row],[Memo 01]:[Memo 07]],-1)),"")</f>
        <v>45823</v>
      </c>
      <c r="X1140" s="11">
        <f ca="1">IFERROR(reading[[#This Row],[Previous]]+OFFSET(reading[[#Headers],[Memo 01]],-1,MATCH(0,reading[[#This Row],[Memo 01]:[Memo 07]],-1)-1),"")</f>
        <v>55823</v>
      </c>
      <c r="Y1140" s="10" t="str">
        <f ca="1">IF(reading[[#This Row],[Next]]&lt;&gt;"",IF(reading[[#This Row],[Next]]&gt;TODAY(),"OK",""),"")</f>
        <v>OK</v>
      </c>
      <c r="Z1140" s="13">
        <v>3</v>
      </c>
      <c r="AA1140" s="13">
        <v>3</v>
      </c>
      <c r="AB1140" s="13">
        <v>3</v>
      </c>
      <c r="AC1140" s="13">
        <v>3</v>
      </c>
      <c r="AD1140" s="13">
        <v>3</v>
      </c>
      <c r="AE1140" s="13">
        <v>3</v>
      </c>
      <c r="AF1140" s="13">
        <v>3</v>
      </c>
      <c r="AG1140" s="16">
        <f>IFERROR(SUMIF(reading[[#This Row],[1st]:[7th]],"&gt;0")/COUNTIF(reading[[#This Row],[1st]:[7th]],"&gt;0"),"")</f>
        <v>3</v>
      </c>
    </row>
    <row r="1141" spans="1:33" hidden="1" x14ac:dyDescent="0.2">
      <c r="A1141" s="4">
        <f>IF(B1141=1,3,IF(D1141=1,2,IF(F1141=1,1,0)))</f>
        <v>0</v>
      </c>
      <c r="B1141" s="4" t="str">
        <f>IF(C1141=$L1141,1,IF(C1141="","",0))</f>
        <v/>
      </c>
      <c r="C1141" s="42"/>
      <c r="D1141" s="4" t="str">
        <f>IF(E1141=$L1141,1,IF(E1141="","",0))</f>
        <v/>
      </c>
      <c r="E1141" s="14"/>
      <c r="F1141" s="4" t="str">
        <f>IF(G1141=$L1141,1,IF(G1141="","",0))</f>
        <v/>
      </c>
      <c r="G1141" s="14"/>
      <c r="H1141" s="6">
        <v>892</v>
      </c>
      <c r="I1141" s="15" t="s">
        <v>3120</v>
      </c>
      <c r="J1141" s="6" t="s">
        <v>4024</v>
      </c>
      <c r="K1141" s="6" t="s">
        <v>3139</v>
      </c>
      <c r="L1141" s="6" t="s">
        <v>1005</v>
      </c>
      <c r="M1141" s="6" t="s">
        <v>7001</v>
      </c>
      <c r="N1141" s="7">
        <f ca="1">RAND()</f>
        <v>0.42449441300537449</v>
      </c>
      <c r="O1141" s="8">
        <v>45204</v>
      </c>
      <c r="P1141" s="8">
        <v>45205</v>
      </c>
      <c r="Q1141" s="8">
        <v>45207</v>
      </c>
      <c r="R1141" s="8">
        <v>45212</v>
      </c>
      <c r="S1141" s="8">
        <v>45219</v>
      </c>
      <c r="T1141" s="8">
        <v>45231</v>
      </c>
      <c r="U1141" s="8">
        <v>45253</v>
      </c>
      <c r="V1141" s="10">
        <f>COUNTA(O1141:U1141)</f>
        <v>7</v>
      </c>
      <c r="W1141" s="11">
        <f>_xlfn.IFNA(INDEX(reading[[#This Row],[Memo 01]:[Memo 07]],MATCH(0,reading[[#This Row],[Memo 01]:[Memo 07]],-1)),"")</f>
        <v>45253</v>
      </c>
      <c r="X1141" s="11">
        <f ca="1">IFERROR(reading[[#This Row],[Previous]]+OFFSET(reading[[#Headers],[Memo 01]],-1,MATCH(0,reading[[#This Row],[Memo 01]:[Memo 07]],-1)-1),"")</f>
        <v>55253</v>
      </c>
      <c r="Y1141" s="10" t="str">
        <f ca="1">IF(reading[[#This Row],[Next]]&lt;&gt;"",IF(reading[[#This Row],[Next]]&gt;TODAY(),"OK",""),"")</f>
        <v>OK</v>
      </c>
      <c r="Z1141" s="13">
        <v>3</v>
      </c>
      <c r="AA1141" s="13">
        <v>3</v>
      </c>
      <c r="AB1141" s="13">
        <v>3</v>
      </c>
      <c r="AC1141" s="13">
        <v>2</v>
      </c>
      <c r="AD1141" s="13">
        <v>3</v>
      </c>
      <c r="AE1141" s="13">
        <v>2</v>
      </c>
      <c r="AF1141" s="13">
        <v>2</v>
      </c>
      <c r="AG1141" s="16">
        <f>IFERROR(SUMIF(reading[[#This Row],[1st]:[7th]],"&gt;0")/COUNTIF(reading[[#This Row],[1st]:[7th]],"&gt;0"),"")</f>
        <v>2.5714285714285716</v>
      </c>
    </row>
    <row r="1142" spans="1:33" hidden="1" x14ac:dyDescent="0.2">
      <c r="A1142" s="4">
        <f>IF(B1142=1,3,IF(D1142=1,2,IF(F1142=1,1,0)))</f>
        <v>0</v>
      </c>
      <c r="B1142" s="4" t="str">
        <f>IF(C1142=$L1142,1,IF(C1142="","",0))</f>
        <v/>
      </c>
      <c r="C1142" s="42"/>
      <c r="D1142" s="4" t="str">
        <f>IF(E1142=$L1142,1,IF(E1142="","",0))</f>
        <v/>
      </c>
      <c r="E1142" s="14"/>
      <c r="F1142" s="4" t="str">
        <f>IF(G1142=$L1142,1,IF(G1142="","",0))</f>
        <v/>
      </c>
      <c r="G1142" s="14"/>
      <c r="H1142" s="6">
        <v>1361</v>
      </c>
      <c r="I1142" s="15" t="s">
        <v>3120</v>
      </c>
      <c r="J1142" s="6" t="s">
        <v>4475</v>
      </c>
      <c r="K1142" s="6"/>
      <c r="L1142" s="6" t="s">
        <v>1455</v>
      </c>
      <c r="M1142" s="6" t="s">
        <v>7468</v>
      </c>
      <c r="N1142" s="7">
        <f ca="1">RAND()</f>
        <v>0.7552088218977715</v>
      </c>
      <c r="O1142" s="8">
        <v>45207</v>
      </c>
      <c r="P1142" s="8">
        <v>45208</v>
      </c>
      <c r="Q1142" s="8">
        <v>45210</v>
      </c>
      <c r="R1142" s="8">
        <v>45214</v>
      </c>
      <c r="S1142" s="8">
        <v>45221</v>
      </c>
      <c r="T1142" s="8">
        <v>45233</v>
      </c>
      <c r="U1142" s="8">
        <v>45819</v>
      </c>
      <c r="V1142" s="10">
        <f>COUNTA(O1142:U1142)</f>
        <v>7</v>
      </c>
      <c r="W1142" s="11">
        <f>_xlfn.IFNA(INDEX(reading[[#This Row],[Memo 01]:[Memo 07]],MATCH(0,reading[[#This Row],[Memo 01]:[Memo 07]],-1)),"")</f>
        <v>45819</v>
      </c>
      <c r="X1142" s="11">
        <f ca="1">IFERROR(reading[[#This Row],[Previous]]+OFFSET(reading[[#Headers],[Memo 01]],-1,MATCH(0,reading[[#This Row],[Memo 01]:[Memo 07]],-1)-1),"")</f>
        <v>55819</v>
      </c>
      <c r="Y1142" s="10" t="str">
        <f ca="1">IF(reading[[#This Row],[Next]]&lt;&gt;"",IF(reading[[#This Row],[Next]]&gt;TODAY(),"OK",""),"")</f>
        <v>OK</v>
      </c>
      <c r="Z1142" s="13">
        <v>3</v>
      </c>
      <c r="AA1142" s="13">
        <v>3</v>
      </c>
      <c r="AB1142" s="13">
        <v>3</v>
      </c>
      <c r="AC1142" s="13">
        <v>3</v>
      </c>
      <c r="AD1142" s="13">
        <v>3</v>
      </c>
      <c r="AE1142" s="13">
        <v>3</v>
      </c>
      <c r="AF1142" s="13">
        <v>3</v>
      </c>
      <c r="AG1142" s="16">
        <f>IFERROR(SUMIF(reading[[#This Row],[1st]:[7th]],"&gt;0")/COUNTIF(reading[[#This Row],[1st]:[7th]],"&gt;0"),"")</f>
        <v>3</v>
      </c>
    </row>
    <row r="1143" spans="1:33" hidden="1" x14ac:dyDescent="0.2">
      <c r="A1143" s="4">
        <f>IF(B1143=1,3,IF(D1143=1,2,IF(F1143=1,1,0)))</f>
        <v>0</v>
      </c>
      <c r="B1143" s="4" t="str">
        <f>IF(C1143=$L1143,1,IF(C1143="","",0))</f>
        <v/>
      </c>
      <c r="C1143" s="42"/>
      <c r="D1143" s="4" t="str">
        <f>IF(E1143=$L1143,1,IF(E1143="","",0))</f>
        <v/>
      </c>
      <c r="E1143" s="18"/>
      <c r="F1143" s="4" t="str">
        <f>IF(G1143=$L1143,1,IF(G1143="","",0))</f>
        <v/>
      </c>
      <c r="G1143" s="14"/>
      <c r="H1143" s="6">
        <v>468</v>
      </c>
      <c r="I1143" s="15" t="s">
        <v>3120</v>
      </c>
      <c r="J1143" s="6" t="s">
        <v>3614</v>
      </c>
      <c r="K1143" s="6"/>
      <c r="L1143" s="6" t="s">
        <v>597</v>
      </c>
      <c r="M1143" s="6" t="s">
        <v>6577</v>
      </c>
      <c r="N1143" s="7">
        <f ca="1">RAND()</f>
        <v>0.10614714168619355</v>
      </c>
      <c r="O1143" s="8">
        <v>45202</v>
      </c>
      <c r="P1143" s="8">
        <v>45203</v>
      </c>
      <c r="Q1143" s="8">
        <v>45205</v>
      </c>
      <c r="R1143" s="8">
        <v>45209</v>
      </c>
      <c r="S1143" s="8">
        <v>45216</v>
      </c>
      <c r="T1143" s="8">
        <v>45228</v>
      </c>
      <c r="U1143" s="8">
        <v>45253</v>
      </c>
      <c r="V1143" s="10">
        <f>COUNTA(O1143:U1143)</f>
        <v>7</v>
      </c>
      <c r="W1143" s="11">
        <f>_xlfn.IFNA(INDEX(reading[[#This Row],[Memo 01]:[Memo 07]],MATCH(0,reading[[#This Row],[Memo 01]:[Memo 07]],-1)),"")</f>
        <v>45253</v>
      </c>
      <c r="X1143" s="11">
        <f ca="1">IFERROR(reading[[#This Row],[Previous]]+OFFSET(reading[[#Headers],[Memo 01]],-1,MATCH(0,reading[[#This Row],[Memo 01]:[Memo 07]],-1)-1),"")</f>
        <v>55253</v>
      </c>
      <c r="Y1143" s="10" t="str">
        <f ca="1">IF(reading[[#This Row],[Next]]&lt;&gt;"",IF(reading[[#This Row],[Next]]&gt;TODAY(),"OK",""),"")</f>
        <v>OK</v>
      </c>
      <c r="Z1143" s="13">
        <v>3</v>
      </c>
      <c r="AA1143" s="13">
        <v>2</v>
      </c>
      <c r="AB1143" s="13">
        <v>3</v>
      </c>
      <c r="AC1143" s="13">
        <v>3</v>
      </c>
      <c r="AD1143" s="13">
        <v>2</v>
      </c>
      <c r="AE1143" s="13">
        <v>3</v>
      </c>
      <c r="AF1143" s="13">
        <v>2</v>
      </c>
      <c r="AG1143" s="16">
        <f>IFERROR(SUMIF(reading[[#This Row],[1st]:[7th]],"&gt;0")/COUNTIF(reading[[#This Row],[1st]:[7th]],"&gt;0"),"")</f>
        <v>2.5714285714285716</v>
      </c>
    </row>
    <row r="1144" spans="1:33" hidden="1" x14ac:dyDescent="0.2">
      <c r="A1144" s="4">
        <f>IF(B1144=1,3,IF(D1144=1,2,IF(F1144=1,1,0)))</f>
        <v>0</v>
      </c>
      <c r="B1144" s="4" t="str">
        <f>IF(C1144=$L1144,1,IF(C1144="","",0))</f>
        <v/>
      </c>
      <c r="C1144" s="43"/>
      <c r="D1144" s="4" t="str">
        <f>IF(E1144=$L1144,1,IF(E1144="","",0))</f>
        <v/>
      </c>
      <c r="E1144" s="23"/>
      <c r="F1144" s="4" t="str">
        <f>IF(G1144=$L1144,1,IF(G1144="","",0))</f>
        <v/>
      </c>
      <c r="G1144" s="14"/>
      <c r="H1144" s="6">
        <v>25</v>
      </c>
      <c r="I1144" s="15" t="s">
        <v>3120</v>
      </c>
      <c r="J1144" s="6" t="s">
        <v>3180</v>
      </c>
      <c r="K1144" s="6"/>
      <c r="L1144" s="6" t="s">
        <v>168</v>
      </c>
      <c r="M1144" s="6" t="s">
        <v>6139</v>
      </c>
      <c r="N1144" s="7">
        <f ca="1">RAND()</f>
        <v>0.88104820974628573</v>
      </c>
      <c r="O1144" s="8">
        <v>45198</v>
      </c>
      <c r="P1144" s="8">
        <v>45199</v>
      </c>
      <c r="Q1144" s="8">
        <v>45201</v>
      </c>
      <c r="R1144" s="8">
        <v>45205</v>
      </c>
      <c r="S1144" s="8">
        <v>45212</v>
      </c>
      <c r="T1144" s="8">
        <v>45224</v>
      </c>
      <c r="U1144" s="8">
        <v>45820</v>
      </c>
      <c r="V1144" s="10">
        <f>COUNTA(O1144:U1144)</f>
        <v>7</v>
      </c>
      <c r="W1144" s="11">
        <f>_xlfn.IFNA(INDEX(reading[[#This Row],[Memo 01]:[Memo 07]],MATCH(0,reading[[#This Row],[Memo 01]:[Memo 07]],-1)),"")</f>
        <v>45820</v>
      </c>
      <c r="X1144" s="11">
        <f ca="1">IFERROR(reading[[#This Row],[Previous]]+OFFSET(reading[[#Headers],[Memo 01]],-1,MATCH(0,reading[[#This Row],[Memo 01]:[Memo 07]],-1)-1),"")</f>
        <v>55820</v>
      </c>
      <c r="Y1144" s="10" t="str">
        <f ca="1">IF(reading[[#This Row],[Next]]&lt;&gt;"",IF(reading[[#This Row],[Next]]&gt;TODAY(),"OK",""),"")</f>
        <v>OK</v>
      </c>
      <c r="Z1144" s="13">
        <v>3</v>
      </c>
      <c r="AA1144" s="13">
        <v>3</v>
      </c>
      <c r="AB1144" s="13">
        <v>3</v>
      </c>
      <c r="AC1144" s="13">
        <v>3</v>
      </c>
      <c r="AD1144" s="13">
        <v>3</v>
      </c>
      <c r="AE1144" s="13">
        <v>3</v>
      </c>
      <c r="AF1144" s="13">
        <v>2</v>
      </c>
      <c r="AG1144" s="16">
        <f>IFERROR(SUMIF(reading[[#This Row],[1st]:[7th]],"&gt;0")/COUNTIF(reading[[#This Row],[1st]:[7th]],"&gt;0"),"")</f>
        <v>2.8571428571428572</v>
      </c>
    </row>
    <row r="1145" spans="1:33" hidden="1" x14ac:dyDescent="0.2">
      <c r="A1145" s="4">
        <f>IF(B1145=1,3,IF(D1145=1,2,IF(F1145=1,1,0)))</f>
        <v>3</v>
      </c>
      <c r="B1145" s="4">
        <f>IF(C1145=$L1145,1,IF(C1145="","",0))</f>
        <v>1</v>
      </c>
      <c r="C1145" s="25" t="s">
        <v>3125</v>
      </c>
      <c r="D1145" s="4" t="str">
        <f>IF(E1145=$L1145,1,IF(E1145="","",0))</f>
        <v/>
      </c>
      <c r="E1145" s="14"/>
      <c r="F1145" s="4" t="str">
        <f>IF(G1145=$L1145,1,IF(G1145="","",0))</f>
        <v/>
      </c>
      <c r="G1145" s="14"/>
      <c r="H1145" s="6">
        <v>1149</v>
      </c>
      <c r="I1145" s="15" t="s">
        <v>3120</v>
      </c>
      <c r="J1145" s="6" t="s">
        <v>4270</v>
      </c>
      <c r="K1145" s="6"/>
      <c r="L1145" s="6" t="s">
        <v>1251</v>
      </c>
      <c r="M1145" s="6" t="s">
        <v>7257</v>
      </c>
      <c r="N1145" s="7">
        <f ca="1">RAND()</f>
        <v>2.7302114032599301E-2</v>
      </c>
      <c r="O1145" s="8">
        <v>45205</v>
      </c>
      <c r="P1145" s="8">
        <v>45205</v>
      </c>
      <c r="Q1145" s="8">
        <v>45205</v>
      </c>
      <c r="R1145" s="8">
        <v>45205</v>
      </c>
      <c r="S1145" s="8">
        <v>45205</v>
      </c>
      <c r="T1145" s="8">
        <v>45205</v>
      </c>
      <c r="U1145" s="8">
        <v>45205</v>
      </c>
      <c r="V1145" s="10">
        <f>COUNTA(O1145:U1145)</f>
        <v>7</v>
      </c>
      <c r="W1145" s="11">
        <f>_xlfn.IFNA(INDEX(reading[[#This Row],[Memo 01]:[Memo 07]],MATCH(0,reading[[#This Row],[Memo 01]:[Memo 07]],-1)),"")</f>
        <v>45205</v>
      </c>
      <c r="X1145" s="11">
        <f ca="1">IFERROR(reading[[#This Row],[Previous]]+OFFSET(reading[[#Headers],[Memo 01]],-1,MATCH(0,reading[[#This Row],[Memo 01]:[Memo 07]],-1)-1),"")</f>
        <v>55205</v>
      </c>
      <c r="Y1145" s="10" t="str">
        <f ca="1">IF(reading[[#This Row],[Next]]&lt;&gt;"",IF(reading[[#This Row],[Next]]&gt;TODAY(),"OK",""),"")</f>
        <v>OK</v>
      </c>
      <c r="Z1145" s="13">
        <v>3</v>
      </c>
      <c r="AA1145" s="13"/>
      <c r="AB1145" s="13"/>
      <c r="AC1145" s="13"/>
      <c r="AD1145" s="13"/>
      <c r="AE1145" s="13"/>
      <c r="AF1145" s="13"/>
      <c r="AG1145" s="16">
        <f>IFERROR(SUMIF(reading[[#This Row],[1st]:[7th]],"&gt;0")/COUNTIF(reading[[#This Row],[1st]:[7th]],"&gt;0"),"")</f>
        <v>3</v>
      </c>
    </row>
    <row r="1146" spans="1:33" hidden="1" x14ac:dyDescent="0.2">
      <c r="A1146" s="4">
        <f>IF(B1146=1,3,IF(D1146=1,2,IF(F1146=1,1,0)))</f>
        <v>0</v>
      </c>
      <c r="B1146" s="4" t="str">
        <f>IF(C1146=$L1146,1,IF(C1146="","",0))</f>
        <v/>
      </c>
      <c r="C1146" s="42"/>
      <c r="D1146" s="4" t="str">
        <f>IF(E1146=$L1146,1,IF(E1146="","",0))</f>
        <v/>
      </c>
      <c r="E1146" s="14"/>
      <c r="F1146" s="4" t="str">
        <f>IF(G1146=$L1146,1,IF(G1146="","",0))</f>
        <v/>
      </c>
      <c r="G1146" s="14"/>
      <c r="H1146" s="6">
        <v>2655</v>
      </c>
      <c r="I1146" s="15" t="s">
        <v>3120</v>
      </c>
      <c r="J1146" s="6" t="s">
        <v>5708</v>
      </c>
      <c r="K1146" s="6"/>
      <c r="L1146" s="6" t="s">
        <v>2694</v>
      </c>
      <c r="M1146" s="6" t="s">
        <v>8760</v>
      </c>
      <c r="N1146" s="7">
        <f ca="1">RAND()</f>
        <v>0.77018504972437341</v>
      </c>
      <c r="O1146" s="8">
        <v>45220</v>
      </c>
      <c r="P1146" s="8">
        <v>45221</v>
      </c>
      <c r="Q1146" s="8">
        <v>45223</v>
      </c>
      <c r="R1146" s="8">
        <v>45227</v>
      </c>
      <c r="S1146" s="8">
        <v>45234</v>
      </c>
      <c r="T1146" s="8">
        <v>45819</v>
      </c>
      <c r="U1146" s="8"/>
      <c r="V1146" s="10">
        <f>COUNTA(O1146:U1146)</f>
        <v>6</v>
      </c>
      <c r="W1146" s="11">
        <f>_xlfn.IFNA(INDEX(reading[[#This Row],[Memo 01]:[Memo 07]],MATCH(0,reading[[#This Row],[Memo 01]:[Memo 07]],-1)),"")</f>
        <v>45819</v>
      </c>
      <c r="X1146" s="11">
        <f ca="1">IFERROR(reading[[#This Row],[Previous]]+OFFSET(reading[[#Headers],[Memo 01]],-1,MATCH(0,reading[[#This Row],[Memo 01]:[Memo 07]],-1)-1),"")</f>
        <v>45839</v>
      </c>
      <c r="Y1146" s="10" t="str">
        <f ca="1">IF(reading[[#This Row],[Next]]&lt;&gt;"",IF(reading[[#This Row],[Next]]&gt;TODAY(),"OK",""),"")</f>
        <v>OK</v>
      </c>
      <c r="Z1146" s="13">
        <v>3</v>
      </c>
      <c r="AA1146" s="13">
        <v>3</v>
      </c>
      <c r="AB1146" s="13">
        <v>3</v>
      </c>
      <c r="AC1146" s="13">
        <v>3</v>
      </c>
      <c r="AD1146" s="13">
        <v>3</v>
      </c>
      <c r="AE1146" s="13">
        <v>3</v>
      </c>
      <c r="AF1146" s="13"/>
      <c r="AG1146" s="16">
        <f>IFERROR(SUMIF(reading[[#This Row],[1st]:[7th]],"&gt;0")/COUNTIF(reading[[#This Row],[1st]:[7th]],"&gt;0"),"")</f>
        <v>3</v>
      </c>
    </row>
    <row r="1147" spans="1:33" hidden="1" x14ac:dyDescent="0.2">
      <c r="A1147" s="4">
        <f>IF(B1147=1,3,IF(D1147=1,2,IF(F1147=1,1,0)))</f>
        <v>0</v>
      </c>
      <c r="B1147" s="4" t="str">
        <f>IF(C1147=$L1147,1,IF(C1147="","",0))</f>
        <v/>
      </c>
      <c r="C1147" s="42"/>
      <c r="D1147" s="4" t="str">
        <f>IF(E1147=$L1147,1,IF(E1147="","",0))</f>
        <v/>
      </c>
      <c r="E1147" s="43"/>
      <c r="F1147" s="4" t="str">
        <f>IF(G1147=$L1147,1,IF(G1147="","",0))</f>
        <v/>
      </c>
      <c r="G1147" s="14"/>
      <c r="H1147" s="6">
        <v>2802</v>
      </c>
      <c r="I1147" s="15" t="s">
        <v>3120</v>
      </c>
      <c r="J1147" s="6" t="s">
        <v>5845</v>
      </c>
      <c r="K1147" s="6"/>
      <c r="L1147" s="6" t="s">
        <v>2839</v>
      </c>
      <c r="M1147" s="6" t="s">
        <v>8906</v>
      </c>
      <c r="N1147" s="7">
        <f ca="1">RAND()</f>
        <v>0.83247933569700894</v>
      </c>
      <c r="O1147" s="8">
        <v>45222</v>
      </c>
      <c r="P1147" s="8">
        <v>45223</v>
      </c>
      <c r="Q1147" s="8">
        <v>45225</v>
      </c>
      <c r="R1147" s="8">
        <v>45237</v>
      </c>
      <c r="S1147" s="8">
        <v>45252</v>
      </c>
      <c r="T1147" s="8">
        <v>45820</v>
      </c>
      <c r="U1147" s="8"/>
      <c r="V1147" s="10">
        <f>COUNTA(O1147:U1147)</f>
        <v>6</v>
      </c>
      <c r="W1147" s="11">
        <f>_xlfn.IFNA(INDEX(reading[[#This Row],[Memo 01]:[Memo 07]],MATCH(0,reading[[#This Row],[Memo 01]:[Memo 07]],-1)),"")</f>
        <v>45820</v>
      </c>
      <c r="X1147" s="11">
        <f ca="1">IFERROR(reading[[#This Row],[Previous]]+OFFSET(reading[[#Headers],[Memo 01]],-1,MATCH(0,reading[[#This Row],[Memo 01]:[Memo 07]],-1)-1),"")</f>
        <v>45840</v>
      </c>
      <c r="Y1147" s="10" t="str">
        <f ca="1">IF(reading[[#This Row],[Next]]&lt;&gt;"",IF(reading[[#This Row],[Next]]&gt;TODAY(),"OK",""),"")</f>
        <v>OK</v>
      </c>
      <c r="Z1147" s="13">
        <v>3</v>
      </c>
      <c r="AA1147" s="13">
        <v>3</v>
      </c>
      <c r="AB1147" s="13">
        <v>3</v>
      </c>
      <c r="AC1147" s="13">
        <v>3</v>
      </c>
      <c r="AD1147" s="13">
        <v>2</v>
      </c>
      <c r="AE1147" s="13">
        <v>2</v>
      </c>
      <c r="AF1147" s="13"/>
      <c r="AG1147" s="16">
        <f>IFERROR(SUMIF(reading[[#This Row],[1st]:[7th]],"&gt;0")/COUNTIF(reading[[#This Row],[1st]:[7th]],"&gt;0"),"")</f>
        <v>2.6666666666666665</v>
      </c>
    </row>
    <row r="1148" spans="1:33" hidden="1" x14ac:dyDescent="0.2">
      <c r="A1148" s="4">
        <f>IF(B1148=1,3,IF(D1148=1,2,IF(F1148=1,1,0)))</f>
        <v>0</v>
      </c>
      <c r="B1148" s="4" t="str">
        <f>IF(C1148=$L1148,1,IF(C1148="","",0))</f>
        <v/>
      </c>
      <c r="C1148" s="42"/>
      <c r="D1148" s="4" t="str">
        <f>IF(E1148=$L1148,1,IF(E1148="","",0))</f>
        <v/>
      </c>
      <c r="E1148" s="23"/>
      <c r="F1148" s="4" t="str">
        <f>IF(G1148=$L1148,1,IF(G1148="","",0))</f>
        <v/>
      </c>
      <c r="G1148" s="14"/>
      <c r="H1148" s="6">
        <v>1681</v>
      </c>
      <c r="I1148" s="15" t="s">
        <v>3120</v>
      </c>
      <c r="J1148" s="6" t="s">
        <v>4791</v>
      </c>
      <c r="K1148" s="6"/>
      <c r="L1148" s="6" t="s">
        <v>1761</v>
      </c>
      <c r="M1148" s="6" t="s">
        <v>7787</v>
      </c>
      <c r="N1148" s="7">
        <f ca="1">RAND()</f>
        <v>0.22598312869224213</v>
      </c>
      <c r="O1148" s="8">
        <v>45210</v>
      </c>
      <c r="P1148" s="8">
        <v>45211</v>
      </c>
      <c r="Q1148" s="8">
        <v>45213</v>
      </c>
      <c r="R1148" s="8">
        <v>45217</v>
      </c>
      <c r="S1148" s="8">
        <v>45224</v>
      </c>
      <c r="T1148" s="8">
        <v>45236</v>
      </c>
      <c r="U1148" s="8">
        <v>45820</v>
      </c>
      <c r="V1148" s="10">
        <f>COUNTA(O1148:U1148)</f>
        <v>7</v>
      </c>
      <c r="W1148" s="11">
        <f>_xlfn.IFNA(INDEX(reading[[#This Row],[Memo 01]:[Memo 07]],MATCH(0,reading[[#This Row],[Memo 01]:[Memo 07]],-1)),"")</f>
        <v>45820</v>
      </c>
      <c r="X1148" s="11">
        <f ca="1">IFERROR(reading[[#This Row],[Previous]]+OFFSET(reading[[#Headers],[Memo 01]],-1,MATCH(0,reading[[#This Row],[Memo 01]:[Memo 07]],-1)-1),"")</f>
        <v>55820</v>
      </c>
      <c r="Y1148" s="10" t="str">
        <f ca="1">IF(reading[[#This Row],[Next]]&lt;&gt;"",IF(reading[[#This Row],[Next]]&gt;TODAY(),"OK",""),"")</f>
        <v>OK</v>
      </c>
      <c r="Z1148" s="13">
        <v>3</v>
      </c>
      <c r="AA1148" s="13">
        <v>3</v>
      </c>
      <c r="AB1148" s="13">
        <v>3</v>
      </c>
      <c r="AC1148" s="13">
        <v>3</v>
      </c>
      <c r="AD1148" s="13">
        <v>3</v>
      </c>
      <c r="AE1148" s="13">
        <v>3</v>
      </c>
      <c r="AF1148" s="13">
        <v>2</v>
      </c>
      <c r="AG1148" s="16">
        <f>IFERROR(SUMIF(reading[[#This Row],[1st]:[7th]],"&gt;0")/COUNTIF(reading[[#This Row],[1st]:[7th]],"&gt;0"),"")</f>
        <v>2.8571428571428572</v>
      </c>
    </row>
    <row r="1149" spans="1:33" hidden="1" x14ac:dyDescent="0.2">
      <c r="A1149" s="4">
        <f>IF(B1149=1,3,IF(D1149=1,2,IF(F1149=1,1,0)))</f>
        <v>0</v>
      </c>
      <c r="B1149" s="4" t="str">
        <f>IF(C1149=$L1149,1,IF(C1149="","",0))</f>
        <v/>
      </c>
      <c r="C1149" s="42"/>
      <c r="D1149" s="4" t="str">
        <f>IF(E1149=$L1149,1,IF(E1149="","",0))</f>
        <v/>
      </c>
      <c r="E1149" s="43"/>
      <c r="F1149" s="4" t="str">
        <f>IF(G1149=$L1149,1,IF(G1149="","",0))</f>
        <v/>
      </c>
      <c r="G1149" s="14"/>
      <c r="H1149" s="6">
        <v>1655</v>
      </c>
      <c r="I1149" s="15" t="s">
        <v>3120</v>
      </c>
      <c r="J1149" s="6" t="s">
        <v>4766</v>
      </c>
      <c r="K1149" s="6"/>
      <c r="L1149" s="6" t="s">
        <v>1736</v>
      </c>
      <c r="M1149" s="6" t="s">
        <v>7761</v>
      </c>
      <c r="N1149" s="7">
        <f ca="1">RAND()</f>
        <v>0.87455500693370347</v>
      </c>
      <c r="O1149" s="8">
        <v>45210</v>
      </c>
      <c r="P1149" s="8">
        <v>45211</v>
      </c>
      <c r="Q1149" s="8">
        <v>45213</v>
      </c>
      <c r="R1149" s="8">
        <v>45217</v>
      </c>
      <c r="S1149" s="8">
        <v>45224</v>
      </c>
      <c r="T1149" s="8">
        <v>45236</v>
      </c>
      <c r="U1149" s="8">
        <v>45816</v>
      </c>
      <c r="V1149" s="10">
        <f>COUNTA(O1149:U1149)</f>
        <v>7</v>
      </c>
      <c r="W1149" s="11">
        <f>_xlfn.IFNA(INDEX(reading[[#This Row],[Memo 01]:[Memo 07]],MATCH(0,reading[[#This Row],[Memo 01]:[Memo 07]],-1)),"")</f>
        <v>45816</v>
      </c>
      <c r="X1149" s="11">
        <f ca="1">IFERROR(reading[[#This Row],[Previous]]+OFFSET(reading[[#Headers],[Memo 01]],-1,MATCH(0,reading[[#This Row],[Memo 01]:[Memo 07]],-1)-1),"")</f>
        <v>55816</v>
      </c>
      <c r="Y1149" s="10" t="str">
        <f ca="1">IF(reading[[#This Row],[Next]]&lt;&gt;"",IF(reading[[#This Row],[Next]]&gt;TODAY(),"OK",""),"")</f>
        <v>OK</v>
      </c>
      <c r="Z1149" s="13">
        <v>3</v>
      </c>
      <c r="AA1149" s="13">
        <v>3</v>
      </c>
      <c r="AB1149" s="13">
        <v>3</v>
      </c>
      <c r="AC1149" s="13">
        <v>3</v>
      </c>
      <c r="AD1149" s="13">
        <v>2</v>
      </c>
      <c r="AE1149" s="13">
        <v>3</v>
      </c>
      <c r="AF1149" s="13">
        <v>2</v>
      </c>
      <c r="AG1149" s="16">
        <f>IFERROR(SUMIF(reading[[#This Row],[1st]:[7th]],"&gt;0")/COUNTIF(reading[[#This Row],[1st]:[7th]],"&gt;0"),"")</f>
        <v>2.7142857142857144</v>
      </c>
    </row>
    <row r="1150" spans="1:33" hidden="1" x14ac:dyDescent="0.2">
      <c r="A1150" s="4">
        <f>IF(B1150=1,3,IF(D1150=1,2,IF(F1150=1,1,0)))</f>
        <v>3</v>
      </c>
      <c r="B1150" s="4">
        <f>IF(C1150=$L1150,1,IF(C1150="","",0))</f>
        <v>1</v>
      </c>
      <c r="C1150" s="26" t="s">
        <v>1256</v>
      </c>
      <c r="D1150" s="4" t="str">
        <f>IF(E1150=$L1150,1,IF(E1150="","",0))</f>
        <v/>
      </c>
      <c r="E1150" s="14"/>
      <c r="F1150" s="4" t="str">
        <f>IF(G1150=$L1150,1,IF(G1150="","",0))</f>
        <v/>
      </c>
      <c r="G1150" s="14"/>
      <c r="H1150" s="6">
        <v>1154</v>
      </c>
      <c r="I1150" s="15" t="s">
        <v>3120</v>
      </c>
      <c r="J1150" s="6" t="s">
        <v>4274</v>
      </c>
      <c r="K1150" s="6"/>
      <c r="L1150" s="6" t="s">
        <v>1256</v>
      </c>
      <c r="M1150" s="6" t="s">
        <v>7262</v>
      </c>
      <c r="N1150" s="7">
        <f ca="1">RAND()</f>
        <v>5.810017905424314E-2</v>
      </c>
      <c r="O1150" s="8">
        <v>45206</v>
      </c>
      <c r="P1150" s="8">
        <v>45206</v>
      </c>
      <c r="Q1150" s="8">
        <v>45206</v>
      </c>
      <c r="R1150" s="8">
        <v>45206</v>
      </c>
      <c r="S1150" s="8">
        <v>45206</v>
      </c>
      <c r="T1150" s="8">
        <v>45206</v>
      </c>
      <c r="U1150" s="8">
        <v>45206</v>
      </c>
      <c r="V1150" s="10">
        <f>COUNTA(O1150:U1150)</f>
        <v>7</v>
      </c>
      <c r="W1150" s="11">
        <f>_xlfn.IFNA(INDEX(reading[[#This Row],[Memo 01]:[Memo 07]],MATCH(0,reading[[#This Row],[Memo 01]:[Memo 07]],-1)),"")</f>
        <v>45206</v>
      </c>
      <c r="X1150" s="11">
        <f ca="1">IFERROR(reading[[#This Row],[Previous]]+OFFSET(reading[[#Headers],[Memo 01]],-1,MATCH(0,reading[[#This Row],[Memo 01]:[Memo 07]],-1)-1),"")</f>
        <v>55206</v>
      </c>
      <c r="Y1150" s="10" t="str">
        <f ca="1">IF(reading[[#This Row],[Next]]&lt;&gt;"",IF(reading[[#This Row],[Next]]&gt;TODAY(),"OK",""),"")</f>
        <v>OK</v>
      </c>
      <c r="Z1150" s="13">
        <v>3</v>
      </c>
      <c r="AA1150" s="13"/>
      <c r="AB1150" s="13"/>
      <c r="AC1150" s="13"/>
      <c r="AD1150" s="13"/>
      <c r="AE1150" s="13"/>
      <c r="AF1150" s="13"/>
      <c r="AG1150" s="16">
        <f>IFERROR(SUMIF(reading[[#This Row],[1st]:[7th]],"&gt;0")/COUNTIF(reading[[#This Row],[1st]:[7th]],"&gt;0"),"")</f>
        <v>3</v>
      </c>
    </row>
    <row r="1151" spans="1:33" hidden="1" x14ac:dyDescent="0.2">
      <c r="A1151" s="4">
        <f>IF(B1151=1,3,IF(D1151=1,2,IF(F1151=1,1,0)))</f>
        <v>0</v>
      </c>
      <c r="B1151" s="4" t="str">
        <f>IF(C1151=$L1151,1,IF(C1151="","",0))</f>
        <v/>
      </c>
      <c r="C1151" s="42"/>
      <c r="D1151" s="4" t="str">
        <f>IF(E1151=$L1151,1,IF(E1151="","",0))</f>
        <v/>
      </c>
      <c r="E1151" s="23"/>
      <c r="F1151" s="4" t="str">
        <f>IF(G1151=$L1151,1,IF(G1151="","",0))</f>
        <v/>
      </c>
      <c r="G1151" s="14"/>
      <c r="H1151" s="6">
        <v>2341</v>
      </c>
      <c r="I1151" s="15" t="s">
        <v>3120</v>
      </c>
      <c r="J1151" s="6" t="s">
        <v>5418</v>
      </c>
      <c r="K1151" s="6"/>
      <c r="L1151" s="6" t="s">
        <v>2394</v>
      </c>
      <c r="M1151" s="6" t="s">
        <v>8446</v>
      </c>
      <c r="N1151" s="7">
        <f ca="1">RAND()</f>
        <v>0.80973369253459271</v>
      </c>
      <c r="O1151" s="8">
        <v>45216</v>
      </c>
      <c r="P1151" s="8">
        <v>45217</v>
      </c>
      <c r="Q1151" s="8">
        <v>45219</v>
      </c>
      <c r="R1151" s="8">
        <v>45223</v>
      </c>
      <c r="S1151" s="8">
        <v>45230</v>
      </c>
      <c r="T1151" s="8">
        <v>45815</v>
      </c>
      <c r="U1151" s="8"/>
      <c r="V1151" s="10">
        <f>COUNTA(O1151:U1151)</f>
        <v>6</v>
      </c>
      <c r="W1151" s="11">
        <f>_xlfn.IFNA(INDEX(reading[[#This Row],[Memo 01]:[Memo 07]],MATCH(0,reading[[#This Row],[Memo 01]:[Memo 07]],-1)),"")</f>
        <v>45815</v>
      </c>
      <c r="X1151" s="11">
        <f ca="1">IFERROR(reading[[#This Row],[Previous]]+OFFSET(reading[[#Headers],[Memo 01]],-1,MATCH(0,reading[[#This Row],[Memo 01]:[Memo 07]],-1)-1),"")</f>
        <v>45835</v>
      </c>
      <c r="Y1151" s="10" t="str">
        <f ca="1">IF(reading[[#This Row],[Next]]&lt;&gt;"",IF(reading[[#This Row],[Next]]&gt;TODAY(),"OK",""),"")</f>
        <v>OK</v>
      </c>
      <c r="Z1151" s="13">
        <v>3</v>
      </c>
      <c r="AA1151" s="13">
        <v>3</v>
      </c>
      <c r="AB1151" s="13">
        <v>3</v>
      </c>
      <c r="AC1151" s="13">
        <v>3</v>
      </c>
      <c r="AD1151" s="13">
        <v>3</v>
      </c>
      <c r="AE1151" s="13">
        <v>2</v>
      </c>
      <c r="AF1151" s="13"/>
      <c r="AG1151" s="16">
        <f>IFERROR(SUMIF(reading[[#This Row],[1st]:[7th]],"&gt;0")/COUNTIF(reading[[#This Row],[1st]:[7th]],"&gt;0"),"")</f>
        <v>2.8333333333333335</v>
      </c>
    </row>
    <row r="1152" spans="1:33" hidden="1" x14ac:dyDescent="0.2">
      <c r="A1152" s="4">
        <f>IF(B1152=1,3,IF(D1152=1,2,IF(F1152=1,1,0)))</f>
        <v>0</v>
      </c>
      <c r="B1152" s="4" t="str">
        <f>IF(C1152=$L1152,1,IF(C1152="","",0))</f>
        <v/>
      </c>
      <c r="C1152" s="42"/>
      <c r="D1152" s="4" t="str">
        <f>IF(E1152=$L1152,1,IF(E1152="","",0))</f>
        <v/>
      </c>
      <c r="E1152" s="23"/>
      <c r="F1152" s="4" t="str">
        <f>IF(G1152=$L1152,1,IF(G1152="","",0))</f>
        <v/>
      </c>
      <c r="G1152" s="14"/>
      <c r="H1152" s="6">
        <v>2465</v>
      </c>
      <c r="I1152" s="15" t="s">
        <v>3120</v>
      </c>
      <c r="J1152" s="6" t="s">
        <v>5534</v>
      </c>
      <c r="K1152" s="6"/>
      <c r="L1152" s="6" t="s">
        <v>2513</v>
      </c>
      <c r="M1152" s="6" t="s">
        <v>8570</v>
      </c>
      <c r="N1152" s="7">
        <f ca="1">RAND()</f>
        <v>0.31413530984771454</v>
      </c>
      <c r="O1152" s="8">
        <v>45218</v>
      </c>
      <c r="P1152" s="8">
        <v>45219</v>
      </c>
      <c r="Q1152" s="8">
        <v>45221</v>
      </c>
      <c r="R1152" s="8">
        <v>45225</v>
      </c>
      <c r="S1152" s="8">
        <v>45232</v>
      </c>
      <c r="T1152" s="8">
        <v>45820</v>
      </c>
      <c r="U1152" s="8"/>
      <c r="V1152" s="10">
        <f>COUNTA(O1152:U1152)</f>
        <v>6</v>
      </c>
      <c r="W1152" s="11">
        <f>_xlfn.IFNA(INDEX(reading[[#This Row],[Memo 01]:[Memo 07]],MATCH(0,reading[[#This Row],[Memo 01]:[Memo 07]],-1)),"")</f>
        <v>45820</v>
      </c>
      <c r="X1152" s="11">
        <f ca="1">IFERROR(reading[[#This Row],[Previous]]+OFFSET(reading[[#Headers],[Memo 01]],-1,MATCH(0,reading[[#This Row],[Memo 01]:[Memo 07]],-1)-1),"")</f>
        <v>45840</v>
      </c>
      <c r="Y1152" s="10" t="str">
        <f ca="1">IF(reading[[#This Row],[Next]]&lt;&gt;"",IF(reading[[#This Row],[Next]]&gt;TODAY(),"OK",""),"")</f>
        <v>OK</v>
      </c>
      <c r="Z1152" s="13">
        <v>3</v>
      </c>
      <c r="AA1152" s="13">
        <v>3</v>
      </c>
      <c r="AB1152" s="13">
        <v>3</v>
      </c>
      <c r="AC1152" s="13">
        <v>3</v>
      </c>
      <c r="AD1152" s="13">
        <v>3</v>
      </c>
      <c r="AE1152" s="13">
        <v>2</v>
      </c>
      <c r="AF1152" s="13"/>
      <c r="AG1152" s="16">
        <f>IFERROR(SUMIF(reading[[#This Row],[1st]:[7th]],"&gt;0")/COUNTIF(reading[[#This Row],[1st]:[7th]],"&gt;0"),"")</f>
        <v>2.8333333333333335</v>
      </c>
    </row>
    <row r="1153" spans="1:33" hidden="1" x14ac:dyDescent="0.2">
      <c r="A1153" s="4">
        <f>IF(B1153=1,3,IF(D1153=1,2,IF(F1153=1,1,0)))</f>
        <v>0</v>
      </c>
      <c r="B1153" s="4" t="str">
        <f>IF(C1153=$L1153,1,IF(C1153="","",0))</f>
        <v/>
      </c>
      <c r="C1153" s="42"/>
      <c r="D1153" s="4" t="str">
        <f>IF(E1153=$L1153,1,IF(E1153="","",0))</f>
        <v/>
      </c>
      <c r="E1153" s="23"/>
      <c r="F1153" s="4" t="str">
        <f>IF(G1153=$L1153,1,IF(G1153="","",0))</f>
        <v/>
      </c>
      <c r="G1153" s="14"/>
      <c r="H1153" s="6">
        <v>2129</v>
      </c>
      <c r="I1153" s="15" t="s">
        <v>3120</v>
      </c>
      <c r="J1153" s="6" t="s">
        <v>5217</v>
      </c>
      <c r="K1153" s="6"/>
      <c r="L1153" s="6" t="s">
        <v>2196</v>
      </c>
      <c r="M1153" s="6" t="s">
        <v>8235</v>
      </c>
      <c r="N1153" s="7">
        <f ca="1">RAND()</f>
        <v>0.99231904399490267</v>
      </c>
      <c r="O1153" s="8">
        <v>45214</v>
      </c>
      <c r="P1153" s="8">
        <v>45215</v>
      </c>
      <c r="Q1153" s="8">
        <v>45217</v>
      </c>
      <c r="R1153" s="8">
        <v>45221</v>
      </c>
      <c r="S1153" s="8">
        <v>45228</v>
      </c>
      <c r="T1153" s="8">
        <v>45816</v>
      </c>
      <c r="U1153" s="8"/>
      <c r="V1153" s="10">
        <f>COUNTA(O1153:U1153)</f>
        <v>6</v>
      </c>
      <c r="W1153" s="11">
        <f>_xlfn.IFNA(INDEX(reading[[#This Row],[Memo 01]:[Memo 07]],MATCH(0,reading[[#This Row],[Memo 01]:[Memo 07]],-1)),"")</f>
        <v>45816</v>
      </c>
      <c r="X1153" s="11">
        <f ca="1">IFERROR(reading[[#This Row],[Previous]]+OFFSET(reading[[#Headers],[Memo 01]],-1,MATCH(0,reading[[#This Row],[Memo 01]:[Memo 07]],-1)-1),"")</f>
        <v>45836</v>
      </c>
      <c r="Y1153" s="10" t="str">
        <f ca="1">IF(reading[[#This Row],[Next]]&lt;&gt;"",IF(reading[[#This Row],[Next]]&gt;TODAY(),"OK",""),"")</f>
        <v>OK</v>
      </c>
      <c r="Z1153" s="13">
        <v>3</v>
      </c>
      <c r="AA1153" s="13">
        <v>3</v>
      </c>
      <c r="AB1153" s="13">
        <v>3</v>
      </c>
      <c r="AC1153" s="13">
        <v>3</v>
      </c>
      <c r="AD1153" s="13">
        <v>3</v>
      </c>
      <c r="AE1153" s="13">
        <v>2</v>
      </c>
      <c r="AF1153" s="13"/>
      <c r="AG1153" s="16">
        <f>IFERROR(SUMIF(reading[[#This Row],[1st]:[7th]],"&gt;0")/COUNTIF(reading[[#This Row],[1st]:[7th]],"&gt;0"),"")</f>
        <v>2.8333333333333335</v>
      </c>
    </row>
    <row r="1154" spans="1:33" hidden="1" x14ac:dyDescent="0.2">
      <c r="A1154" s="4">
        <f>IF(B1154=1,3,IF(D1154=1,2,IF(F1154=1,1,0)))</f>
        <v>0</v>
      </c>
      <c r="B1154" s="4" t="str">
        <f>IF(C1154=$L1154,1,IF(C1154="","",0))</f>
        <v/>
      </c>
      <c r="C1154" s="42"/>
      <c r="D1154" s="4" t="str">
        <f>IF(E1154=$L1154,1,IF(E1154="","",0))</f>
        <v/>
      </c>
      <c r="E1154" s="14"/>
      <c r="F1154" s="4" t="str">
        <f>IF(G1154=$L1154,1,IF(G1154="","",0))</f>
        <v/>
      </c>
      <c r="G1154" s="14"/>
      <c r="H1154" s="6">
        <v>2218</v>
      </c>
      <c r="I1154" s="15" t="s">
        <v>3120</v>
      </c>
      <c r="J1154" s="6" t="s">
        <v>5304</v>
      </c>
      <c r="K1154" s="6"/>
      <c r="L1154" s="6" t="s">
        <v>2281</v>
      </c>
      <c r="M1154" s="6" t="s">
        <v>8324</v>
      </c>
      <c r="N1154" s="7">
        <f ca="1">RAND()</f>
        <v>0.15243552842964769</v>
      </c>
      <c r="O1154" s="8">
        <v>45215</v>
      </c>
      <c r="P1154" s="8">
        <v>45216</v>
      </c>
      <c r="Q1154" s="8">
        <v>45218</v>
      </c>
      <c r="R1154" s="8">
        <v>45222</v>
      </c>
      <c r="S1154" s="8">
        <v>45229</v>
      </c>
      <c r="T1154" s="8">
        <v>45819</v>
      </c>
      <c r="U1154" s="8"/>
      <c r="V1154" s="10">
        <f>COUNTA(O1154:U1154)</f>
        <v>6</v>
      </c>
      <c r="W1154" s="11">
        <f>_xlfn.IFNA(INDEX(reading[[#This Row],[Memo 01]:[Memo 07]],MATCH(0,reading[[#This Row],[Memo 01]:[Memo 07]],-1)),"")</f>
        <v>45819</v>
      </c>
      <c r="X1154" s="11">
        <f ca="1">IFERROR(reading[[#This Row],[Previous]]+OFFSET(reading[[#Headers],[Memo 01]],-1,MATCH(0,reading[[#This Row],[Memo 01]:[Memo 07]],-1)-1),"")</f>
        <v>45839</v>
      </c>
      <c r="Y1154" s="10" t="str">
        <f ca="1">IF(reading[[#This Row],[Next]]&lt;&gt;"",IF(reading[[#This Row],[Next]]&gt;TODAY(),"OK",""),"")</f>
        <v>OK</v>
      </c>
      <c r="Z1154" s="13">
        <v>3</v>
      </c>
      <c r="AA1154" s="13">
        <v>3</v>
      </c>
      <c r="AB1154" s="13">
        <v>3</v>
      </c>
      <c r="AC1154" s="13">
        <v>3</v>
      </c>
      <c r="AD1154" s="13">
        <v>3</v>
      </c>
      <c r="AE1154" s="13">
        <v>3</v>
      </c>
      <c r="AF1154" s="13"/>
      <c r="AG1154" s="16">
        <f>IFERROR(SUMIF(reading[[#This Row],[1st]:[7th]],"&gt;0")/COUNTIF(reading[[#This Row],[1st]:[7th]],"&gt;0"),"")</f>
        <v>3</v>
      </c>
    </row>
    <row r="1155" spans="1:33" hidden="1" x14ac:dyDescent="0.2">
      <c r="A1155" s="4">
        <f>IF(B1155=1,3,IF(D1155=1,2,IF(F1155=1,1,0)))</f>
        <v>0</v>
      </c>
      <c r="B1155" s="4" t="str">
        <f>IF(C1155=$L1155,1,IF(C1155="","",0))</f>
        <v/>
      </c>
      <c r="C1155" s="42"/>
      <c r="D1155" s="4" t="str">
        <f>IF(E1155=$L1155,1,IF(E1155="","",0))</f>
        <v/>
      </c>
      <c r="E1155" s="14"/>
      <c r="F1155" s="4" t="str">
        <f>IF(G1155=$L1155,1,IF(G1155="","",0))</f>
        <v/>
      </c>
      <c r="G1155" s="14"/>
      <c r="H1155" s="6">
        <v>2712</v>
      </c>
      <c r="I1155" s="15" t="s">
        <v>3120</v>
      </c>
      <c r="J1155" s="6" t="s">
        <v>5762</v>
      </c>
      <c r="K1155" s="6"/>
      <c r="L1155" s="6" t="s">
        <v>2751</v>
      </c>
      <c r="M1155" s="6" t="s">
        <v>8817</v>
      </c>
      <c r="N1155" s="7">
        <f ca="1">RAND()</f>
        <v>0.37353021190382463</v>
      </c>
      <c r="O1155" s="8">
        <v>45221</v>
      </c>
      <c r="P1155" s="8">
        <v>45222</v>
      </c>
      <c r="Q1155" s="8">
        <v>45224</v>
      </c>
      <c r="R1155" s="8">
        <v>45228</v>
      </c>
      <c r="S1155" s="8">
        <v>45235</v>
      </c>
      <c r="T1155" s="8">
        <v>45792</v>
      </c>
      <c r="U1155" s="8">
        <v>45819</v>
      </c>
      <c r="V1155" s="10">
        <f>COUNTA(O1155:U1155)</f>
        <v>7</v>
      </c>
      <c r="W1155" s="11">
        <f>_xlfn.IFNA(INDEX(reading[[#This Row],[Memo 01]:[Memo 07]],MATCH(0,reading[[#This Row],[Memo 01]:[Memo 07]],-1)),"")</f>
        <v>45819</v>
      </c>
      <c r="X1155" s="11">
        <f ca="1">IFERROR(reading[[#This Row],[Previous]]+OFFSET(reading[[#Headers],[Memo 01]],-1,MATCH(0,reading[[#This Row],[Memo 01]:[Memo 07]],-1)-1),"")</f>
        <v>55819</v>
      </c>
      <c r="Y1155" s="10" t="str">
        <f ca="1">IF(reading[[#This Row],[Next]]&lt;&gt;"",IF(reading[[#This Row],[Next]]&gt;TODAY(),"OK",""),"")</f>
        <v>OK</v>
      </c>
      <c r="Z1155" s="13">
        <v>3</v>
      </c>
      <c r="AA1155" s="13">
        <v>3</v>
      </c>
      <c r="AB1155" s="13">
        <v>3</v>
      </c>
      <c r="AC1155" s="13">
        <v>3</v>
      </c>
      <c r="AD1155" s="13">
        <v>3</v>
      </c>
      <c r="AE1155" s="13">
        <v>3</v>
      </c>
      <c r="AF1155" s="13">
        <v>3</v>
      </c>
      <c r="AG1155" s="16">
        <f>IFERROR(SUMIF(reading[[#This Row],[1st]:[7th]],"&gt;0")/COUNTIF(reading[[#This Row],[1st]:[7th]],"&gt;0"),"")</f>
        <v>3</v>
      </c>
    </row>
    <row r="1156" spans="1:33" hidden="1" x14ac:dyDescent="0.2">
      <c r="A1156" s="4">
        <f>IF(B1156=1,3,IF(D1156=1,2,IF(F1156=1,1,0)))</f>
        <v>0</v>
      </c>
      <c r="B1156" s="4" t="str">
        <f>IF(C1156=$L1156,1,IF(C1156="","",0))</f>
        <v/>
      </c>
      <c r="C1156" s="42"/>
      <c r="D1156" s="4" t="str">
        <f>IF(E1156=$L1156,1,IF(E1156="","",0))</f>
        <v/>
      </c>
      <c r="E1156" s="23"/>
      <c r="F1156" s="4" t="str">
        <f>IF(G1156=$L1156,1,IF(G1156="","",0))</f>
        <v/>
      </c>
      <c r="G1156" s="14"/>
      <c r="H1156" s="6">
        <v>2601</v>
      </c>
      <c r="I1156" s="15" t="s">
        <v>3120</v>
      </c>
      <c r="J1156" s="6" t="s">
        <v>5658</v>
      </c>
      <c r="K1156" s="15" t="s">
        <v>3139</v>
      </c>
      <c r="L1156" s="6" t="s">
        <v>2644</v>
      </c>
      <c r="M1156" s="6" t="s">
        <v>8706</v>
      </c>
      <c r="N1156" s="7">
        <f ca="1">RAND()</f>
        <v>0.32775826318188883</v>
      </c>
      <c r="O1156" s="8">
        <v>45220</v>
      </c>
      <c r="P1156" s="8">
        <v>45221</v>
      </c>
      <c r="Q1156" s="8">
        <v>45223</v>
      </c>
      <c r="R1156" s="8">
        <v>45227</v>
      </c>
      <c r="S1156" s="8">
        <v>45234</v>
      </c>
      <c r="T1156" s="8">
        <v>45820</v>
      </c>
      <c r="U1156" s="8"/>
      <c r="V1156" s="10">
        <f>COUNTA(O1156:U1156)</f>
        <v>6</v>
      </c>
      <c r="W1156" s="11">
        <f>_xlfn.IFNA(INDEX(reading[[#This Row],[Memo 01]:[Memo 07]],MATCH(0,reading[[#This Row],[Memo 01]:[Memo 07]],-1)),"")</f>
        <v>45820</v>
      </c>
      <c r="X1156" s="11">
        <f ca="1">IFERROR(reading[[#This Row],[Previous]]+OFFSET(reading[[#Headers],[Memo 01]],-1,MATCH(0,reading[[#This Row],[Memo 01]:[Memo 07]],-1)-1),"")</f>
        <v>45840</v>
      </c>
      <c r="Y1156" s="10" t="str">
        <f ca="1">IF(reading[[#This Row],[Next]]&lt;&gt;"",IF(reading[[#This Row],[Next]]&gt;TODAY(),"OK",""),"")</f>
        <v>OK</v>
      </c>
      <c r="Z1156" s="13">
        <v>3</v>
      </c>
      <c r="AA1156" s="13">
        <v>3</v>
      </c>
      <c r="AB1156" s="13">
        <v>3</v>
      </c>
      <c r="AC1156" s="13">
        <v>3</v>
      </c>
      <c r="AD1156" s="13">
        <v>3</v>
      </c>
      <c r="AE1156" s="13">
        <v>2</v>
      </c>
      <c r="AF1156" s="13"/>
      <c r="AG1156" s="16">
        <f>IFERROR(SUMIF(reading[[#This Row],[1st]:[7th]],"&gt;0")/COUNTIF(reading[[#This Row],[1st]:[7th]],"&gt;0"),"")</f>
        <v>2.8333333333333335</v>
      </c>
    </row>
    <row r="1157" spans="1:33" hidden="1" x14ac:dyDescent="0.2">
      <c r="A1157" s="4">
        <f>IF(B1157=1,3,IF(D1157=1,2,IF(F1157=1,1,0)))</f>
        <v>3</v>
      </c>
      <c r="B1157" s="4">
        <f>IF(C1157=$L1157,1,IF(C1157="","",0))</f>
        <v>1</v>
      </c>
      <c r="C1157" s="26" t="s">
        <v>1263</v>
      </c>
      <c r="D1157" s="4" t="str">
        <f>IF(E1157=$L1157,1,IF(E1157="","",0))</f>
        <v/>
      </c>
      <c r="E1157" s="14"/>
      <c r="F1157" s="4" t="str">
        <f>IF(G1157=$L1157,1,IF(G1157="","",0))</f>
        <v/>
      </c>
      <c r="G1157" s="14"/>
      <c r="H1157" s="6">
        <v>1161</v>
      </c>
      <c r="I1157" s="15" t="s">
        <v>3120</v>
      </c>
      <c r="J1157" s="6" t="s">
        <v>4281</v>
      </c>
      <c r="K1157" s="6"/>
      <c r="L1157" s="6" t="s">
        <v>1263</v>
      </c>
      <c r="M1157" s="6" t="s">
        <v>7269</v>
      </c>
      <c r="N1157" s="7">
        <f ca="1">RAND()</f>
        <v>0.93928263193961981</v>
      </c>
      <c r="O1157" s="8">
        <v>45206</v>
      </c>
      <c r="P1157" s="8">
        <v>45206</v>
      </c>
      <c r="Q1157" s="8">
        <v>45206</v>
      </c>
      <c r="R1157" s="8">
        <v>45206</v>
      </c>
      <c r="S1157" s="8">
        <v>45206</v>
      </c>
      <c r="T1157" s="8">
        <v>45206</v>
      </c>
      <c r="U1157" s="8">
        <v>45206</v>
      </c>
      <c r="V1157" s="10">
        <f>COUNTA(O1157:U1157)</f>
        <v>7</v>
      </c>
      <c r="W1157" s="11">
        <f>_xlfn.IFNA(INDEX(reading[[#This Row],[Memo 01]:[Memo 07]],MATCH(0,reading[[#This Row],[Memo 01]:[Memo 07]],-1)),"")</f>
        <v>45206</v>
      </c>
      <c r="X1157" s="11">
        <f ca="1">IFERROR(reading[[#This Row],[Previous]]+OFFSET(reading[[#Headers],[Memo 01]],-1,MATCH(0,reading[[#This Row],[Memo 01]:[Memo 07]],-1)-1),"")</f>
        <v>55206</v>
      </c>
      <c r="Y1157" s="10" t="str">
        <f ca="1">IF(reading[[#This Row],[Next]]&lt;&gt;"",IF(reading[[#This Row],[Next]]&gt;TODAY(),"OK",""),"")</f>
        <v>OK</v>
      </c>
      <c r="Z1157" s="13">
        <v>3</v>
      </c>
      <c r="AA1157" s="13"/>
      <c r="AB1157" s="13"/>
      <c r="AC1157" s="13"/>
      <c r="AD1157" s="13"/>
      <c r="AE1157" s="13"/>
      <c r="AF1157" s="13"/>
      <c r="AG1157" s="16">
        <f>IFERROR(SUMIF(reading[[#This Row],[1st]:[7th]],"&gt;0")/COUNTIF(reading[[#This Row],[1st]:[7th]],"&gt;0"),"")</f>
        <v>3</v>
      </c>
    </row>
    <row r="1158" spans="1:33" hidden="1" x14ac:dyDescent="0.2">
      <c r="A1158" s="4">
        <f>IF(B1158=1,3,IF(D1158=1,2,IF(F1158=1,1,0)))</f>
        <v>3</v>
      </c>
      <c r="B1158" s="4">
        <f>IF(C1158=$L1158,1,IF(C1158="","",0))</f>
        <v>1</v>
      </c>
      <c r="C1158" s="26" t="s">
        <v>1264</v>
      </c>
      <c r="D1158" s="4" t="str">
        <f>IF(E1158=$L1158,1,IF(E1158="","",0))</f>
        <v/>
      </c>
      <c r="E1158" s="14"/>
      <c r="F1158" s="4" t="str">
        <f>IF(G1158=$L1158,1,IF(G1158="","",0))</f>
        <v/>
      </c>
      <c r="G1158" s="14"/>
      <c r="H1158" s="6">
        <v>1162</v>
      </c>
      <c r="I1158" s="15" t="s">
        <v>3120</v>
      </c>
      <c r="J1158" s="6" t="s">
        <v>4282</v>
      </c>
      <c r="K1158" s="6"/>
      <c r="L1158" s="6" t="s">
        <v>1264</v>
      </c>
      <c r="M1158" s="6" t="s">
        <v>7270</v>
      </c>
      <c r="N1158" s="7">
        <f ca="1">RAND()</f>
        <v>0.54304388400425252</v>
      </c>
      <c r="O1158" s="8">
        <v>45206</v>
      </c>
      <c r="P1158" s="8">
        <v>45206</v>
      </c>
      <c r="Q1158" s="8">
        <v>45206</v>
      </c>
      <c r="R1158" s="8">
        <v>45206</v>
      </c>
      <c r="S1158" s="8">
        <v>45206</v>
      </c>
      <c r="T1158" s="8">
        <v>45206</v>
      </c>
      <c r="U1158" s="8">
        <v>45206</v>
      </c>
      <c r="V1158" s="10">
        <f>COUNTA(O1158:U1158)</f>
        <v>7</v>
      </c>
      <c r="W1158" s="11">
        <f>_xlfn.IFNA(INDEX(reading[[#This Row],[Memo 01]:[Memo 07]],MATCH(0,reading[[#This Row],[Memo 01]:[Memo 07]],-1)),"")</f>
        <v>45206</v>
      </c>
      <c r="X1158" s="11">
        <f ca="1">IFERROR(reading[[#This Row],[Previous]]+OFFSET(reading[[#Headers],[Memo 01]],-1,MATCH(0,reading[[#This Row],[Memo 01]:[Memo 07]],-1)-1),"")</f>
        <v>55206</v>
      </c>
      <c r="Y1158" s="10" t="str">
        <f ca="1">IF(reading[[#This Row],[Next]]&lt;&gt;"",IF(reading[[#This Row],[Next]]&gt;TODAY(),"OK",""),"")</f>
        <v>OK</v>
      </c>
      <c r="Z1158" s="13">
        <v>3</v>
      </c>
      <c r="AA1158" s="13"/>
      <c r="AB1158" s="13"/>
      <c r="AC1158" s="13"/>
      <c r="AD1158" s="13"/>
      <c r="AE1158" s="13"/>
      <c r="AF1158" s="13"/>
      <c r="AG1158" s="16">
        <f>IFERROR(SUMIF(reading[[#This Row],[1st]:[7th]],"&gt;0")/COUNTIF(reading[[#This Row],[1st]:[7th]],"&gt;0"),"")</f>
        <v>3</v>
      </c>
    </row>
    <row r="1159" spans="1:33" hidden="1" x14ac:dyDescent="0.2">
      <c r="A1159" s="4">
        <f>IF(B1159=1,3,IF(D1159=1,2,IF(F1159=1,1,0)))</f>
        <v>0</v>
      </c>
      <c r="B1159" s="4" t="str">
        <f>IF(C1159=$L1159,1,IF(C1159="","",0))</f>
        <v/>
      </c>
      <c r="C1159" s="42"/>
      <c r="D1159" s="4" t="str">
        <f>IF(E1159=$L1159,1,IF(E1159="","",0))</f>
        <v/>
      </c>
      <c r="E1159" s="14"/>
      <c r="F1159" s="4" t="str">
        <f>IF(G1159=$L1159,1,IF(G1159="","",0))</f>
        <v/>
      </c>
      <c r="G1159" s="14"/>
      <c r="H1159" s="6">
        <v>2389</v>
      </c>
      <c r="I1159" s="15" t="s">
        <v>3120</v>
      </c>
      <c r="J1159" s="6" t="s">
        <v>5462</v>
      </c>
      <c r="K1159" s="6"/>
      <c r="L1159" s="6" t="s">
        <v>2440</v>
      </c>
      <c r="M1159" s="6" t="s">
        <v>8494</v>
      </c>
      <c r="N1159" s="7">
        <f ca="1">RAND()</f>
        <v>0.790418854659101</v>
      </c>
      <c r="O1159" s="8">
        <v>45217</v>
      </c>
      <c r="P1159" s="8">
        <v>45218</v>
      </c>
      <c r="Q1159" s="8">
        <v>45220</v>
      </c>
      <c r="R1159" s="8">
        <v>45224</v>
      </c>
      <c r="S1159" s="8">
        <v>45231</v>
      </c>
      <c r="T1159" s="8">
        <v>45792</v>
      </c>
      <c r="U1159" s="8">
        <v>45819</v>
      </c>
      <c r="V1159" s="10">
        <f>COUNTA(O1159:U1159)</f>
        <v>7</v>
      </c>
      <c r="W1159" s="11">
        <f>_xlfn.IFNA(INDEX(reading[[#This Row],[Memo 01]:[Memo 07]],MATCH(0,reading[[#This Row],[Memo 01]:[Memo 07]],-1)),"")</f>
        <v>45819</v>
      </c>
      <c r="X1159" s="11">
        <f ca="1">IFERROR(reading[[#This Row],[Previous]]+OFFSET(reading[[#Headers],[Memo 01]],-1,MATCH(0,reading[[#This Row],[Memo 01]:[Memo 07]],-1)-1),"")</f>
        <v>55819</v>
      </c>
      <c r="Y1159" s="10" t="str">
        <f ca="1">IF(reading[[#This Row],[Next]]&lt;&gt;"",IF(reading[[#This Row],[Next]]&gt;TODAY(),"OK",""),"")</f>
        <v>OK</v>
      </c>
      <c r="Z1159" s="13">
        <v>3</v>
      </c>
      <c r="AA1159" s="13">
        <v>3</v>
      </c>
      <c r="AB1159" s="13">
        <v>3</v>
      </c>
      <c r="AC1159" s="13">
        <v>3</v>
      </c>
      <c r="AD1159" s="13">
        <v>3</v>
      </c>
      <c r="AE1159" s="13">
        <v>3</v>
      </c>
      <c r="AF1159" s="13">
        <v>3</v>
      </c>
      <c r="AG1159" s="16">
        <f>IFERROR(SUMIF(reading[[#This Row],[1st]:[7th]],"&gt;0")/COUNTIF(reading[[#This Row],[1st]:[7th]],"&gt;0"),"")</f>
        <v>3</v>
      </c>
    </row>
    <row r="1160" spans="1:33" hidden="1" x14ac:dyDescent="0.2">
      <c r="A1160" s="4">
        <f>IF(B1160=1,3,IF(D1160=1,2,IF(F1160=1,1,0)))</f>
        <v>0</v>
      </c>
      <c r="B1160" s="4" t="str">
        <f>IF(C1160=$L1160,1,IF(C1160="","",0))</f>
        <v/>
      </c>
      <c r="C1160" s="42"/>
      <c r="D1160" s="4" t="str">
        <f>IF(E1160=$L1160,1,IF(E1160="","",0))</f>
        <v/>
      </c>
      <c r="E1160" s="14"/>
      <c r="F1160" s="4" t="str">
        <f>IF(G1160=$L1160,1,IF(G1160="","",0))</f>
        <v/>
      </c>
      <c r="G1160" s="14"/>
      <c r="H1160" s="6">
        <v>1270</v>
      </c>
      <c r="I1160" s="15" t="s">
        <v>3120</v>
      </c>
      <c r="J1160" s="6" t="s">
        <v>4387</v>
      </c>
      <c r="K1160" s="6"/>
      <c r="L1160" s="6" t="s">
        <v>1368</v>
      </c>
      <c r="M1160" s="6" t="s">
        <v>7377</v>
      </c>
      <c r="N1160" s="7">
        <f ca="1">RAND()</f>
        <v>0.5843819798530433</v>
      </c>
      <c r="O1160" s="8">
        <v>45207</v>
      </c>
      <c r="P1160" s="8">
        <v>45208</v>
      </c>
      <c r="Q1160" s="8">
        <v>45210</v>
      </c>
      <c r="R1160" s="8">
        <v>45214</v>
      </c>
      <c r="S1160" s="8">
        <v>45221</v>
      </c>
      <c r="T1160" s="8">
        <v>45233</v>
      </c>
      <c r="U1160" s="8">
        <v>45819</v>
      </c>
      <c r="V1160" s="10">
        <f>COUNTA(O1160:U1160)</f>
        <v>7</v>
      </c>
      <c r="W1160" s="11">
        <f>_xlfn.IFNA(INDEX(reading[[#This Row],[Memo 01]:[Memo 07]],MATCH(0,reading[[#This Row],[Memo 01]:[Memo 07]],-1)),"")</f>
        <v>45819</v>
      </c>
      <c r="X1160" s="11">
        <f ca="1">IFERROR(reading[[#This Row],[Previous]]+OFFSET(reading[[#Headers],[Memo 01]],-1,MATCH(0,reading[[#This Row],[Memo 01]:[Memo 07]],-1)-1),"")</f>
        <v>55819</v>
      </c>
      <c r="Y1160" s="10" t="str">
        <f ca="1">IF(reading[[#This Row],[Next]]&lt;&gt;"",IF(reading[[#This Row],[Next]]&gt;TODAY(),"OK",""),"")</f>
        <v>OK</v>
      </c>
      <c r="Z1160" s="13">
        <v>3</v>
      </c>
      <c r="AA1160" s="13">
        <v>3</v>
      </c>
      <c r="AB1160" s="13">
        <v>3</v>
      </c>
      <c r="AC1160" s="13">
        <v>3</v>
      </c>
      <c r="AD1160" s="13">
        <v>3</v>
      </c>
      <c r="AE1160" s="13">
        <v>3</v>
      </c>
      <c r="AF1160" s="13">
        <v>3</v>
      </c>
      <c r="AG1160" s="16">
        <f>IFERROR(SUMIF(reading[[#This Row],[1st]:[7th]],"&gt;0")/COUNTIF(reading[[#This Row],[1st]:[7th]],"&gt;0"),"")</f>
        <v>3</v>
      </c>
    </row>
    <row r="1161" spans="1:33" hidden="1" x14ac:dyDescent="0.2">
      <c r="A1161" s="4">
        <f>IF(B1161=1,3,IF(D1161=1,2,IF(F1161=1,1,0)))</f>
        <v>0</v>
      </c>
      <c r="B1161" s="4" t="str">
        <f>IF(C1161=$L1161,1,IF(C1161="","",0))</f>
        <v/>
      </c>
      <c r="C1161" s="42"/>
      <c r="D1161" s="4" t="str">
        <f>IF(E1161=$L1161,1,IF(E1161="","",0))</f>
        <v/>
      </c>
      <c r="E1161" s="14"/>
      <c r="F1161" s="4" t="str">
        <f>IF(G1161=$L1161,1,IF(G1161="","",0))</f>
        <v/>
      </c>
      <c r="G1161" s="14"/>
      <c r="H1161" s="6">
        <v>2766</v>
      </c>
      <c r="I1161" s="15" t="s">
        <v>3120</v>
      </c>
      <c r="J1161" s="6" t="s">
        <v>5810</v>
      </c>
      <c r="K1161" s="6"/>
      <c r="L1161" s="6" t="s">
        <v>2804</v>
      </c>
      <c r="M1161" s="6" t="s">
        <v>8870</v>
      </c>
      <c r="N1161" s="7">
        <f ca="1">RAND()</f>
        <v>0.72616342601937511</v>
      </c>
      <c r="O1161" s="8">
        <v>45221</v>
      </c>
      <c r="P1161" s="8">
        <v>45222</v>
      </c>
      <c r="Q1161" s="8">
        <v>45224</v>
      </c>
      <c r="R1161" s="8">
        <v>45228</v>
      </c>
      <c r="S1161" s="8">
        <v>45235</v>
      </c>
      <c r="T1161" s="8">
        <v>45819</v>
      </c>
      <c r="U1161" s="8"/>
      <c r="V1161" s="10">
        <f>COUNTA(O1161:U1161)</f>
        <v>6</v>
      </c>
      <c r="W1161" s="11">
        <f>_xlfn.IFNA(INDEX(reading[[#This Row],[Memo 01]:[Memo 07]],MATCH(0,reading[[#This Row],[Memo 01]:[Memo 07]],-1)),"")</f>
        <v>45819</v>
      </c>
      <c r="X1161" s="11">
        <f ca="1">IFERROR(reading[[#This Row],[Previous]]+OFFSET(reading[[#Headers],[Memo 01]],-1,MATCH(0,reading[[#This Row],[Memo 01]:[Memo 07]],-1)-1),"")</f>
        <v>45839</v>
      </c>
      <c r="Y1161" s="10" t="str">
        <f ca="1">IF(reading[[#This Row],[Next]]&lt;&gt;"",IF(reading[[#This Row],[Next]]&gt;TODAY(),"OK",""),"")</f>
        <v>OK</v>
      </c>
      <c r="Z1161" s="13">
        <v>3</v>
      </c>
      <c r="AA1161" s="13">
        <v>3</v>
      </c>
      <c r="AB1161" s="13">
        <v>3</v>
      </c>
      <c r="AC1161" s="13">
        <v>3</v>
      </c>
      <c r="AD1161" s="13">
        <v>3</v>
      </c>
      <c r="AE1161" s="13">
        <v>3</v>
      </c>
      <c r="AF1161" s="13"/>
      <c r="AG1161" s="16">
        <f>IFERROR(SUMIF(reading[[#This Row],[1st]:[7th]],"&gt;0")/COUNTIF(reading[[#This Row],[1st]:[7th]],"&gt;0"),"")</f>
        <v>3</v>
      </c>
    </row>
    <row r="1162" spans="1:33" hidden="1" x14ac:dyDescent="0.2">
      <c r="A1162" s="4">
        <f>IF(B1162=1,3,IF(D1162=1,2,IF(F1162=1,1,0)))</f>
        <v>0</v>
      </c>
      <c r="B1162" s="4" t="str">
        <f>IF(C1162=$L1162,1,IF(C1162="","",0))</f>
        <v/>
      </c>
      <c r="C1162" s="42"/>
      <c r="D1162" s="4" t="str">
        <f>IF(E1162=$L1162,1,IF(E1162="","",0))</f>
        <v/>
      </c>
      <c r="E1162" s="23"/>
      <c r="F1162" s="4" t="str">
        <f>IF(G1162=$L1162,1,IF(G1162="","",0))</f>
        <v/>
      </c>
      <c r="G1162" s="23"/>
      <c r="H1162" s="6">
        <v>2924</v>
      </c>
      <c r="I1162" s="15" t="s">
        <v>3120</v>
      </c>
      <c r="J1162" s="6" t="s">
        <v>5959</v>
      </c>
      <c r="K1162" s="6"/>
      <c r="L1162" s="6" t="s">
        <v>2954</v>
      </c>
      <c r="M1162" s="6" t="s">
        <v>9028</v>
      </c>
      <c r="N1162" s="7">
        <f ca="1">RAND()</f>
        <v>0.96012687597156632</v>
      </c>
      <c r="O1162" s="8">
        <v>45223</v>
      </c>
      <c r="P1162" s="8">
        <v>45224</v>
      </c>
      <c r="Q1162" s="8">
        <v>45226</v>
      </c>
      <c r="R1162" s="8">
        <v>45230</v>
      </c>
      <c r="S1162" s="8">
        <v>45237</v>
      </c>
      <c r="T1162" s="8">
        <v>45817</v>
      </c>
      <c r="U1162" s="8"/>
      <c r="V1162" s="10">
        <f>COUNTA(O1162:U1162)</f>
        <v>6</v>
      </c>
      <c r="W1162" s="11">
        <f>_xlfn.IFNA(INDEX(reading[[#This Row],[Memo 01]:[Memo 07]],MATCH(0,reading[[#This Row],[Memo 01]:[Memo 07]],-1)),"")</f>
        <v>45817</v>
      </c>
      <c r="X1162" s="11">
        <f ca="1">IFERROR(reading[[#This Row],[Previous]]+OFFSET(reading[[#Headers],[Memo 01]],-1,MATCH(0,reading[[#This Row],[Memo 01]:[Memo 07]],-1)-1),"")</f>
        <v>45837</v>
      </c>
      <c r="Y1162" s="10" t="str">
        <f ca="1">IF(reading[[#This Row],[Next]]&lt;&gt;"",IF(reading[[#This Row],[Next]]&gt;TODAY(),"OK",""),"")</f>
        <v>OK</v>
      </c>
      <c r="Z1162" s="13">
        <v>3</v>
      </c>
      <c r="AA1162" s="13">
        <v>3</v>
      </c>
      <c r="AB1162" s="13">
        <v>3</v>
      </c>
      <c r="AC1162" s="13">
        <v>3</v>
      </c>
      <c r="AD1162" s="13">
        <v>3</v>
      </c>
      <c r="AE1162" s="13">
        <v>1</v>
      </c>
      <c r="AF1162" s="13"/>
      <c r="AG1162" s="16">
        <f>IFERROR(SUMIF(reading[[#This Row],[1st]:[7th]],"&gt;0")/COUNTIF(reading[[#This Row],[1st]:[7th]],"&gt;0"),"")</f>
        <v>2.6666666666666665</v>
      </c>
    </row>
    <row r="1163" spans="1:33" hidden="1" x14ac:dyDescent="0.2">
      <c r="A1163" s="4">
        <f>IF(B1163=1,3,IF(D1163=1,2,IF(F1163=1,1,0)))</f>
        <v>0</v>
      </c>
      <c r="B1163" s="4" t="str">
        <f>IF(C1163=$L1163,1,IF(C1163="","",0))</f>
        <v/>
      </c>
      <c r="C1163" s="42"/>
      <c r="D1163" s="4" t="str">
        <f>IF(E1163=$L1163,1,IF(E1163="","",0))</f>
        <v/>
      </c>
      <c r="E1163" s="14"/>
      <c r="F1163" s="4" t="str">
        <f>IF(G1163=$L1163,1,IF(G1163="","",0))</f>
        <v/>
      </c>
      <c r="G1163" s="14"/>
      <c r="H1163" s="6">
        <v>112</v>
      </c>
      <c r="I1163" s="15" t="s">
        <v>3120</v>
      </c>
      <c r="J1163" s="6" t="s">
        <v>3261</v>
      </c>
      <c r="K1163" s="6"/>
      <c r="L1163" s="6" t="s">
        <v>249</v>
      </c>
      <c r="M1163" s="6" t="s">
        <v>6221</v>
      </c>
      <c r="N1163" s="7">
        <f ca="1">RAND()</f>
        <v>0.69309652312831238</v>
      </c>
      <c r="O1163" s="8">
        <v>45199</v>
      </c>
      <c r="P1163" s="8">
        <v>45200</v>
      </c>
      <c r="Q1163" s="8">
        <v>45202</v>
      </c>
      <c r="R1163" s="8">
        <v>45206</v>
      </c>
      <c r="S1163" s="8">
        <v>45213</v>
      </c>
      <c r="T1163" s="8">
        <v>45225</v>
      </c>
      <c r="U1163" s="8">
        <v>45819</v>
      </c>
      <c r="V1163" s="10">
        <f>COUNTA(O1163:U1163)</f>
        <v>7</v>
      </c>
      <c r="W1163" s="11">
        <f>_xlfn.IFNA(INDEX(reading[[#This Row],[Memo 01]:[Memo 07]],MATCH(0,reading[[#This Row],[Memo 01]:[Memo 07]],-1)),"")</f>
        <v>45819</v>
      </c>
      <c r="X1163" s="11">
        <f ca="1">IFERROR(reading[[#This Row],[Previous]]+OFFSET(reading[[#Headers],[Memo 01]],-1,MATCH(0,reading[[#This Row],[Memo 01]:[Memo 07]],-1)-1),"")</f>
        <v>55819</v>
      </c>
      <c r="Y1163" s="10" t="str">
        <f ca="1">IF(reading[[#This Row],[Next]]&lt;&gt;"",IF(reading[[#This Row],[Next]]&gt;TODAY(),"OK",""),"")</f>
        <v>OK</v>
      </c>
      <c r="Z1163" s="13">
        <v>3</v>
      </c>
      <c r="AA1163" s="13">
        <v>3</v>
      </c>
      <c r="AB1163" s="13">
        <v>3</v>
      </c>
      <c r="AC1163" s="13">
        <v>3</v>
      </c>
      <c r="AD1163" s="13">
        <v>3</v>
      </c>
      <c r="AE1163" s="13">
        <v>3</v>
      </c>
      <c r="AF1163" s="13">
        <v>3</v>
      </c>
      <c r="AG1163" s="16">
        <f>IFERROR(SUMIF(reading[[#This Row],[1st]:[7th]],"&gt;0")/COUNTIF(reading[[#This Row],[1st]:[7th]],"&gt;0"),"")</f>
        <v>3</v>
      </c>
    </row>
    <row r="1164" spans="1:33" hidden="1" x14ac:dyDescent="0.2">
      <c r="A1164" s="4">
        <f>IF(B1164=1,3,IF(D1164=1,2,IF(F1164=1,1,0)))</f>
        <v>0</v>
      </c>
      <c r="B1164" s="4" t="str">
        <f>IF(C1164=$L1164,1,IF(C1164="","",0))</f>
        <v/>
      </c>
      <c r="C1164" s="42"/>
      <c r="D1164" s="4" t="str">
        <f>IF(E1164=$L1164,1,IF(E1164="","",0))</f>
        <v/>
      </c>
      <c r="E1164" s="23"/>
      <c r="F1164" s="4" t="str">
        <f>IF(G1164=$L1164,1,IF(G1164="","",0))</f>
        <v/>
      </c>
      <c r="G1164" s="23"/>
      <c r="H1164" s="6">
        <v>2331</v>
      </c>
      <c r="I1164" s="15" t="s">
        <v>3120</v>
      </c>
      <c r="J1164" s="6" t="s">
        <v>5408</v>
      </c>
      <c r="K1164" s="6"/>
      <c r="L1164" s="6" t="s">
        <v>2385</v>
      </c>
      <c r="M1164" s="6" t="s">
        <v>8436</v>
      </c>
      <c r="N1164" s="7">
        <f ca="1">RAND()</f>
        <v>0.52918458869084273</v>
      </c>
      <c r="O1164" s="8">
        <v>45216</v>
      </c>
      <c r="P1164" s="8">
        <v>45217</v>
      </c>
      <c r="Q1164" s="8">
        <v>45219</v>
      </c>
      <c r="R1164" s="8">
        <v>45223</v>
      </c>
      <c r="S1164" s="8">
        <v>45230</v>
      </c>
      <c r="T1164" s="8">
        <v>45817</v>
      </c>
      <c r="U1164" s="8"/>
      <c r="V1164" s="10">
        <f>COUNTA(O1164:U1164)</f>
        <v>6</v>
      </c>
      <c r="W1164" s="11">
        <f>_xlfn.IFNA(INDEX(reading[[#This Row],[Memo 01]:[Memo 07]],MATCH(0,reading[[#This Row],[Memo 01]:[Memo 07]],-1)),"")</f>
        <v>45817</v>
      </c>
      <c r="X1164" s="11">
        <f ca="1">IFERROR(reading[[#This Row],[Previous]]+OFFSET(reading[[#Headers],[Memo 01]],-1,MATCH(0,reading[[#This Row],[Memo 01]:[Memo 07]],-1)-1),"")</f>
        <v>45837</v>
      </c>
      <c r="Y1164" s="10" t="str">
        <f ca="1">IF(reading[[#This Row],[Next]]&lt;&gt;"",IF(reading[[#This Row],[Next]]&gt;TODAY(),"OK",""),"")</f>
        <v>OK</v>
      </c>
      <c r="Z1164" s="13">
        <v>3</v>
      </c>
      <c r="AA1164" s="13">
        <v>3</v>
      </c>
      <c r="AB1164" s="13">
        <v>3</v>
      </c>
      <c r="AC1164" s="13">
        <v>3</v>
      </c>
      <c r="AD1164" s="13">
        <v>3</v>
      </c>
      <c r="AE1164" s="13">
        <v>1</v>
      </c>
      <c r="AF1164" s="13"/>
      <c r="AG1164" s="16">
        <f>IFERROR(SUMIF(reading[[#This Row],[1st]:[7th]],"&gt;0")/COUNTIF(reading[[#This Row],[1st]:[7th]],"&gt;0"),"")</f>
        <v>2.6666666666666665</v>
      </c>
    </row>
    <row r="1165" spans="1:33" hidden="1" x14ac:dyDescent="0.2">
      <c r="A1165" s="4">
        <f>IF(B1165=1,3,IF(D1165=1,2,IF(F1165=1,1,0)))</f>
        <v>0</v>
      </c>
      <c r="B1165" s="4" t="str">
        <f>IF(C1165=$L1165,1,IF(C1165="","",0))</f>
        <v/>
      </c>
      <c r="C1165" s="42"/>
      <c r="D1165" s="4" t="str">
        <f>IF(E1165=$L1165,1,IF(E1165="","",0))</f>
        <v/>
      </c>
      <c r="E1165" s="14"/>
      <c r="F1165" s="4" t="str">
        <f>IF(G1165=$L1165,1,IF(G1165="","",0))</f>
        <v/>
      </c>
      <c r="G1165" s="14"/>
      <c r="H1165" s="6">
        <v>1718</v>
      </c>
      <c r="I1165" s="15" t="s">
        <v>3120</v>
      </c>
      <c r="J1165" s="6" t="s">
        <v>4826</v>
      </c>
      <c r="K1165" s="6"/>
      <c r="L1165" s="6" t="s">
        <v>1798</v>
      </c>
      <c r="M1165" s="6" t="s">
        <v>7824</v>
      </c>
      <c r="N1165" s="7">
        <f ca="1">RAND()</f>
        <v>0.11969915526373898</v>
      </c>
      <c r="O1165" s="8">
        <v>45211</v>
      </c>
      <c r="P1165" s="8">
        <v>45212</v>
      </c>
      <c r="Q1165" s="8">
        <v>45214</v>
      </c>
      <c r="R1165" s="8">
        <v>45218</v>
      </c>
      <c r="S1165" s="8">
        <v>45225</v>
      </c>
      <c r="T1165" s="8">
        <v>45237</v>
      </c>
      <c r="U1165" s="8">
        <v>45819</v>
      </c>
      <c r="V1165" s="10">
        <f>COUNTA(O1165:U1165)</f>
        <v>7</v>
      </c>
      <c r="W1165" s="11">
        <f>_xlfn.IFNA(INDEX(reading[[#This Row],[Memo 01]:[Memo 07]],MATCH(0,reading[[#This Row],[Memo 01]:[Memo 07]],-1)),"")</f>
        <v>45819</v>
      </c>
      <c r="X1165" s="11">
        <f ca="1">IFERROR(reading[[#This Row],[Previous]]+OFFSET(reading[[#Headers],[Memo 01]],-1,MATCH(0,reading[[#This Row],[Memo 01]:[Memo 07]],-1)-1),"")</f>
        <v>55819</v>
      </c>
      <c r="Y1165" s="10" t="str">
        <f ca="1">IF(reading[[#This Row],[Next]]&lt;&gt;"",IF(reading[[#This Row],[Next]]&gt;TODAY(),"OK",""),"")</f>
        <v>OK</v>
      </c>
      <c r="Z1165" s="13">
        <v>3</v>
      </c>
      <c r="AA1165" s="13">
        <v>3</v>
      </c>
      <c r="AB1165" s="13">
        <v>3</v>
      </c>
      <c r="AC1165" s="13">
        <v>3</v>
      </c>
      <c r="AD1165" s="13">
        <v>3</v>
      </c>
      <c r="AE1165" s="13">
        <v>3</v>
      </c>
      <c r="AF1165" s="13">
        <v>3</v>
      </c>
      <c r="AG1165" s="16">
        <f>IFERROR(SUMIF(reading[[#This Row],[1st]:[7th]],"&gt;0")/COUNTIF(reading[[#This Row],[1st]:[7th]],"&gt;0"),"")</f>
        <v>3</v>
      </c>
    </row>
    <row r="1166" spans="1:33" hidden="1" x14ac:dyDescent="0.2">
      <c r="A1166" s="4">
        <f>IF(B1166=1,3,IF(D1166=1,2,IF(F1166=1,1,0)))</f>
        <v>3</v>
      </c>
      <c r="B1166" s="4">
        <f>IF(C1166=$L1166,1,IF(C1166="","",0))</f>
        <v>1</v>
      </c>
      <c r="C1166" s="26" t="s">
        <v>1272</v>
      </c>
      <c r="D1166" s="4" t="str">
        <f>IF(E1166=$L1166,1,IF(E1166="","",0))</f>
        <v/>
      </c>
      <c r="E1166" s="14"/>
      <c r="F1166" s="4" t="str">
        <f>IF(G1166=$L1166,1,IF(G1166="","",0))</f>
        <v/>
      </c>
      <c r="G1166" s="14"/>
      <c r="H1166" s="6">
        <v>1170</v>
      </c>
      <c r="I1166" s="15" t="s">
        <v>3120</v>
      </c>
      <c r="J1166" s="6" t="s">
        <v>4289</v>
      </c>
      <c r="K1166" s="6"/>
      <c r="L1166" s="6" t="s">
        <v>1272</v>
      </c>
      <c r="M1166" s="6" t="s">
        <v>7278</v>
      </c>
      <c r="N1166" s="7">
        <f ca="1">RAND()</f>
        <v>0.43897270216811324</v>
      </c>
      <c r="O1166" s="8">
        <v>45206</v>
      </c>
      <c r="P1166" s="8">
        <v>45206</v>
      </c>
      <c r="Q1166" s="8">
        <v>45206</v>
      </c>
      <c r="R1166" s="8">
        <v>45206</v>
      </c>
      <c r="S1166" s="8">
        <v>45206</v>
      </c>
      <c r="T1166" s="8">
        <v>45206</v>
      </c>
      <c r="U1166" s="8">
        <v>45206</v>
      </c>
      <c r="V1166" s="10">
        <f>COUNTA(O1166:U1166)</f>
        <v>7</v>
      </c>
      <c r="W1166" s="11">
        <f>_xlfn.IFNA(INDEX(reading[[#This Row],[Memo 01]:[Memo 07]],MATCH(0,reading[[#This Row],[Memo 01]:[Memo 07]],-1)),"")</f>
        <v>45206</v>
      </c>
      <c r="X1166" s="11">
        <f ca="1">IFERROR(reading[[#This Row],[Previous]]+OFFSET(reading[[#Headers],[Memo 01]],-1,MATCH(0,reading[[#This Row],[Memo 01]:[Memo 07]],-1)-1),"")</f>
        <v>55206</v>
      </c>
      <c r="Y1166" s="10" t="str">
        <f ca="1">IF(reading[[#This Row],[Next]]&lt;&gt;"",IF(reading[[#This Row],[Next]]&gt;TODAY(),"OK",""),"")</f>
        <v>OK</v>
      </c>
      <c r="Z1166" s="13">
        <v>3</v>
      </c>
      <c r="AA1166" s="13"/>
      <c r="AB1166" s="13"/>
      <c r="AC1166" s="13"/>
      <c r="AD1166" s="13"/>
      <c r="AE1166" s="13"/>
      <c r="AF1166" s="13"/>
      <c r="AG1166" s="16">
        <f>IFERROR(SUMIF(reading[[#This Row],[1st]:[7th]],"&gt;0")/COUNTIF(reading[[#This Row],[1st]:[7th]],"&gt;0"),"")</f>
        <v>3</v>
      </c>
    </row>
    <row r="1167" spans="1:33" hidden="1" x14ac:dyDescent="0.2">
      <c r="A1167" s="4">
        <f>IF(B1167=1,3,IF(D1167=1,2,IF(F1167=1,1,0)))</f>
        <v>0</v>
      </c>
      <c r="B1167" s="4" t="str">
        <f>IF(C1167=$L1167,1,IF(C1167="","",0))</f>
        <v/>
      </c>
      <c r="C1167" s="42"/>
      <c r="D1167" s="4" t="str">
        <f>IF(E1167=$L1167,1,IF(E1167="","",0))</f>
        <v/>
      </c>
      <c r="E1167" s="43"/>
      <c r="F1167" s="4" t="str">
        <f>IF(G1167=$L1167,1,IF(G1167="","",0))</f>
        <v/>
      </c>
      <c r="G1167" s="14"/>
      <c r="H1167" s="6">
        <v>1680</v>
      </c>
      <c r="I1167" s="15" t="s">
        <v>3120</v>
      </c>
      <c r="J1167" s="6" t="s">
        <v>4790</v>
      </c>
      <c r="K1167" s="6"/>
      <c r="L1167" s="6" t="s">
        <v>1760</v>
      </c>
      <c r="M1167" s="6" t="s">
        <v>7786</v>
      </c>
      <c r="N1167" s="7">
        <f ca="1">RAND()</f>
        <v>0.20559833362403301</v>
      </c>
      <c r="O1167" s="8">
        <v>45210</v>
      </c>
      <c r="P1167" s="8">
        <v>45211</v>
      </c>
      <c r="Q1167" s="8">
        <v>45213</v>
      </c>
      <c r="R1167" s="8">
        <v>45217</v>
      </c>
      <c r="S1167" s="8">
        <v>45224</v>
      </c>
      <c r="T1167" s="8">
        <v>45236</v>
      </c>
      <c r="U1167" s="8">
        <v>45816</v>
      </c>
      <c r="V1167" s="10">
        <f>COUNTA(O1167:U1167)</f>
        <v>7</v>
      </c>
      <c r="W1167" s="11">
        <f>_xlfn.IFNA(INDEX(reading[[#This Row],[Memo 01]:[Memo 07]],MATCH(0,reading[[#This Row],[Memo 01]:[Memo 07]],-1)),"")</f>
        <v>45816</v>
      </c>
      <c r="X1167" s="11">
        <f ca="1">IFERROR(reading[[#This Row],[Previous]]+OFFSET(reading[[#Headers],[Memo 01]],-1,MATCH(0,reading[[#This Row],[Memo 01]:[Memo 07]],-1)-1),"")</f>
        <v>55816</v>
      </c>
      <c r="Y1167" s="10" t="str">
        <f ca="1">IF(reading[[#This Row],[Next]]&lt;&gt;"",IF(reading[[#This Row],[Next]]&gt;TODAY(),"OK",""),"")</f>
        <v>OK</v>
      </c>
      <c r="Z1167" s="13">
        <v>3</v>
      </c>
      <c r="AA1167" s="13">
        <v>3</v>
      </c>
      <c r="AB1167" s="13">
        <v>3</v>
      </c>
      <c r="AC1167" s="13">
        <v>2</v>
      </c>
      <c r="AD1167" s="13">
        <v>2</v>
      </c>
      <c r="AE1167" s="13">
        <v>3</v>
      </c>
      <c r="AF1167" s="13">
        <v>2</v>
      </c>
      <c r="AG1167" s="16">
        <f>IFERROR(SUMIF(reading[[#This Row],[1st]:[7th]],"&gt;0")/COUNTIF(reading[[#This Row],[1st]:[7th]],"&gt;0"),"")</f>
        <v>2.5714285714285716</v>
      </c>
    </row>
    <row r="1168" spans="1:33" hidden="1" x14ac:dyDescent="0.2">
      <c r="A1168" s="4">
        <f>IF(B1168=1,3,IF(D1168=1,2,IF(F1168=1,1,0)))</f>
        <v>0</v>
      </c>
      <c r="B1168" s="4" t="str">
        <f>IF(C1168=$L1168,1,IF(C1168="","",0))</f>
        <v/>
      </c>
      <c r="C1168" s="42"/>
      <c r="D1168" s="4" t="str">
        <f>IF(E1168=$L1168,1,IF(E1168="","",0))</f>
        <v/>
      </c>
      <c r="E1168" s="14"/>
      <c r="F1168" s="4" t="str">
        <f>IF(G1168=$L1168,1,IF(G1168="","",0))</f>
        <v/>
      </c>
      <c r="G1168" s="14"/>
      <c r="H1168" s="6">
        <v>2818</v>
      </c>
      <c r="I1168" s="15" t="s">
        <v>3120</v>
      </c>
      <c r="J1168" s="6" t="s">
        <v>5861</v>
      </c>
      <c r="K1168" s="6"/>
      <c r="L1168" s="6" t="s">
        <v>2854</v>
      </c>
      <c r="M1168" s="6" t="s">
        <v>8922</v>
      </c>
      <c r="N1168" s="7">
        <f ca="1">RAND()</f>
        <v>0.59491865661109644</v>
      </c>
      <c r="O1168" s="8">
        <v>45222</v>
      </c>
      <c r="P1168" s="8">
        <v>45223</v>
      </c>
      <c r="Q1168" s="8">
        <v>45225</v>
      </c>
      <c r="R1168" s="8">
        <v>45229</v>
      </c>
      <c r="S1168" s="8">
        <v>45236</v>
      </c>
      <c r="T1168" s="8">
        <v>45819</v>
      </c>
      <c r="U1168" s="8"/>
      <c r="V1168" s="10">
        <f>COUNTA(O1168:U1168)</f>
        <v>6</v>
      </c>
      <c r="W1168" s="11">
        <f>_xlfn.IFNA(INDEX(reading[[#This Row],[Memo 01]:[Memo 07]],MATCH(0,reading[[#This Row],[Memo 01]:[Memo 07]],-1)),"")</f>
        <v>45819</v>
      </c>
      <c r="X1168" s="11">
        <f ca="1">IFERROR(reading[[#This Row],[Previous]]+OFFSET(reading[[#Headers],[Memo 01]],-1,MATCH(0,reading[[#This Row],[Memo 01]:[Memo 07]],-1)-1),"")</f>
        <v>45839</v>
      </c>
      <c r="Y1168" s="10" t="str">
        <f ca="1">IF(reading[[#This Row],[Next]]&lt;&gt;"",IF(reading[[#This Row],[Next]]&gt;TODAY(),"OK",""),"")</f>
        <v>OK</v>
      </c>
      <c r="Z1168" s="13">
        <v>3</v>
      </c>
      <c r="AA1168" s="13">
        <v>3</v>
      </c>
      <c r="AB1168" s="13">
        <v>3</v>
      </c>
      <c r="AC1168" s="13">
        <v>3</v>
      </c>
      <c r="AD1168" s="13">
        <v>3</v>
      </c>
      <c r="AE1168" s="13">
        <v>3</v>
      </c>
      <c r="AF1168" s="13"/>
      <c r="AG1168" s="16">
        <f>IFERROR(SUMIF(reading[[#This Row],[1st]:[7th]],"&gt;0")/COUNTIF(reading[[#This Row],[1st]:[7th]],"&gt;0"),"")</f>
        <v>3</v>
      </c>
    </row>
    <row r="1169" spans="1:33" hidden="1" x14ac:dyDescent="0.2">
      <c r="A1169" s="4">
        <f>IF(B1169=1,3,IF(D1169=1,2,IF(F1169=1,1,0)))</f>
        <v>0</v>
      </c>
      <c r="B1169" s="4" t="str">
        <f>IF(C1169=$L1169,1,IF(C1169="","",0))</f>
        <v/>
      </c>
      <c r="C1169" s="42"/>
      <c r="D1169" s="4" t="str">
        <f>IF(E1169=$L1169,1,IF(E1169="","",0))</f>
        <v/>
      </c>
      <c r="E1169" s="14"/>
      <c r="F1169" s="4" t="str">
        <f>IF(G1169=$L1169,1,IF(G1169="","",0))</f>
        <v/>
      </c>
      <c r="G1169" s="14"/>
      <c r="H1169" s="6">
        <v>2626</v>
      </c>
      <c r="I1169" s="15" t="s">
        <v>3120</v>
      </c>
      <c r="J1169" s="6" t="s">
        <v>5681</v>
      </c>
      <c r="K1169" s="6"/>
      <c r="L1169" s="6" t="s">
        <v>2668</v>
      </c>
      <c r="M1169" s="6" t="s">
        <v>8731</v>
      </c>
      <c r="N1169" s="7">
        <f ca="1">RAND()</f>
        <v>0.61079621459481004</v>
      </c>
      <c r="O1169" s="8">
        <v>45220</v>
      </c>
      <c r="P1169" s="8">
        <v>45221</v>
      </c>
      <c r="Q1169" s="8">
        <v>45223</v>
      </c>
      <c r="R1169" s="8">
        <v>45227</v>
      </c>
      <c r="S1169" s="8">
        <v>45234</v>
      </c>
      <c r="T1169" s="8">
        <v>45819</v>
      </c>
      <c r="U1169" s="8"/>
      <c r="V1169" s="10">
        <f>COUNTA(O1169:U1169)</f>
        <v>6</v>
      </c>
      <c r="W1169" s="11">
        <f>_xlfn.IFNA(INDEX(reading[[#This Row],[Memo 01]:[Memo 07]],MATCH(0,reading[[#This Row],[Memo 01]:[Memo 07]],-1)),"")</f>
        <v>45819</v>
      </c>
      <c r="X1169" s="11">
        <f ca="1">IFERROR(reading[[#This Row],[Previous]]+OFFSET(reading[[#Headers],[Memo 01]],-1,MATCH(0,reading[[#This Row],[Memo 01]:[Memo 07]],-1)-1),"")</f>
        <v>45839</v>
      </c>
      <c r="Y1169" s="10" t="str">
        <f ca="1">IF(reading[[#This Row],[Next]]&lt;&gt;"",IF(reading[[#This Row],[Next]]&gt;TODAY(),"OK",""),"")</f>
        <v>OK</v>
      </c>
      <c r="Z1169" s="13">
        <v>3</v>
      </c>
      <c r="AA1169" s="13">
        <v>3</v>
      </c>
      <c r="AB1169" s="13">
        <v>3</v>
      </c>
      <c r="AC1169" s="13">
        <v>3</v>
      </c>
      <c r="AD1169" s="13">
        <v>3</v>
      </c>
      <c r="AE1169" s="13">
        <v>3</v>
      </c>
      <c r="AF1169" s="13"/>
      <c r="AG1169" s="16">
        <f>IFERROR(SUMIF(reading[[#This Row],[1st]:[7th]],"&gt;0")/COUNTIF(reading[[#This Row],[1st]:[7th]],"&gt;0"),"")</f>
        <v>3</v>
      </c>
    </row>
    <row r="1170" spans="1:33" hidden="1" x14ac:dyDescent="0.2">
      <c r="A1170" s="4">
        <f>IF(B1170=1,3,IF(D1170=1,2,IF(F1170=1,1,0)))</f>
        <v>0</v>
      </c>
      <c r="B1170" s="4" t="str">
        <f>IF(C1170=$L1170,1,IF(C1170="","",0))</f>
        <v/>
      </c>
      <c r="C1170" s="42"/>
      <c r="D1170" s="4" t="str">
        <f>IF(E1170=$L1170,1,IF(E1170="","",0))</f>
        <v/>
      </c>
      <c r="E1170" s="43"/>
      <c r="F1170" s="4" t="str">
        <f>IF(G1170=$L1170,1,IF(G1170="","",0))</f>
        <v/>
      </c>
      <c r="G1170" s="23"/>
      <c r="H1170" s="6">
        <v>2365</v>
      </c>
      <c r="I1170" s="15" t="s">
        <v>3120</v>
      </c>
      <c r="J1170" s="6" t="s">
        <v>4094</v>
      </c>
      <c r="K1170" s="6"/>
      <c r="L1170" s="6" t="s">
        <v>2418</v>
      </c>
      <c r="M1170" s="6" t="s">
        <v>8470</v>
      </c>
      <c r="N1170" s="7">
        <f ca="1">RAND()</f>
        <v>0.85776835179844857</v>
      </c>
      <c r="O1170" s="8">
        <v>45216</v>
      </c>
      <c r="P1170" s="8">
        <v>45217</v>
      </c>
      <c r="Q1170" s="8">
        <v>45219</v>
      </c>
      <c r="R1170" s="8">
        <v>45223</v>
      </c>
      <c r="S1170" s="8">
        <v>45230</v>
      </c>
      <c r="T1170" s="8">
        <v>45817</v>
      </c>
      <c r="U1170" s="8"/>
      <c r="V1170" s="10">
        <f>COUNTA(O1170:U1170)</f>
        <v>6</v>
      </c>
      <c r="W1170" s="11">
        <f>_xlfn.IFNA(INDEX(reading[[#This Row],[Memo 01]:[Memo 07]],MATCH(0,reading[[#This Row],[Memo 01]:[Memo 07]],-1)),"")</f>
        <v>45817</v>
      </c>
      <c r="X1170" s="11">
        <f ca="1">IFERROR(reading[[#This Row],[Previous]]+OFFSET(reading[[#Headers],[Memo 01]],-1,MATCH(0,reading[[#This Row],[Memo 01]:[Memo 07]],-1)-1),"")</f>
        <v>45837</v>
      </c>
      <c r="Y1170" s="10" t="str">
        <f ca="1">IF(reading[[#This Row],[Next]]&lt;&gt;"",IF(reading[[#This Row],[Next]]&gt;TODAY(),"OK",""),"")</f>
        <v>OK</v>
      </c>
      <c r="Z1170" s="13">
        <v>3</v>
      </c>
      <c r="AA1170" s="13">
        <v>3</v>
      </c>
      <c r="AB1170" s="13">
        <v>3</v>
      </c>
      <c r="AC1170" s="13">
        <v>2</v>
      </c>
      <c r="AD1170" s="13">
        <v>3</v>
      </c>
      <c r="AE1170" s="13">
        <v>1</v>
      </c>
      <c r="AF1170" s="13"/>
      <c r="AG1170" s="16">
        <f>IFERROR(SUMIF(reading[[#This Row],[1st]:[7th]],"&gt;0")/COUNTIF(reading[[#This Row],[1st]:[7th]],"&gt;0"),"")</f>
        <v>2.5</v>
      </c>
    </row>
    <row r="1171" spans="1:33" hidden="1" x14ac:dyDescent="0.2">
      <c r="A1171" s="4">
        <f>IF(B1171=1,3,IF(D1171=1,2,IF(F1171=1,1,0)))</f>
        <v>0</v>
      </c>
      <c r="B1171" s="4" t="str">
        <f>IF(C1171=$L1171,1,IF(C1171="","",0))</f>
        <v/>
      </c>
      <c r="C1171" s="43"/>
      <c r="D1171" s="4" t="str">
        <f>IF(E1171=$L1171,1,IF(E1171="","",0))</f>
        <v/>
      </c>
      <c r="E1171" s="14"/>
      <c r="F1171" s="4" t="str">
        <f>IF(G1171=$L1171,1,IF(G1171="","",0))</f>
        <v/>
      </c>
      <c r="G1171" s="14"/>
      <c r="H1171" s="6">
        <v>247</v>
      </c>
      <c r="I1171" s="15" t="s">
        <v>3120</v>
      </c>
      <c r="J1171" s="6" t="s">
        <v>3396</v>
      </c>
      <c r="K1171" s="6"/>
      <c r="L1171" s="6" t="s">
        <v>382</v>
      </c>
      <c r="M1171" s="6" t="s">
        <v>6356</v>
      </c>
      <c r="N1171" s="7">
        <f ca="1">RAND()</f>
        <v>0.18837218791309196</v>
      </c>
      <c r="O1171" s="8">
        <v>45199</v>
      </c>
      <c r="P1171" s="8">
        <v>45200</v>
      </c>
      <c r="Q1171" s="8">
        <v>45202</v>
      </c>
      <c r="R1171" s="8">
        <v>45206</v>
      </c>
      <c r="S1171" s="8">
        <v>45213</v>
      </c>
      <c r="T1171" s="8">
        <v>45225</v>
      </c>
      <c r="U1171" s="8">
        <v>45819</v>
      </c>
      <c r="V1171" s="10">
        <f>COUNTA(O1171:U1171)</f>
        <v>7</v>
      </c>
      <c r="W1171" s="11">
        <f>_xlfn.IFNA(INDEX(reading[[#This Row],[Memo 01]:[Memo 07]],MATCH(0,reading[[#This Row],[Memo 01]:[Memo 07]],-1)),"")</f>
        <v>45819</v>
      </c>
      <c r="X1171" s="11">
        <f ca="1">IFERROR(reading[[#This Row],[Previous]]+OFFSET(reading[[#Headers],[Memo 01]],-1,MATCH(0,reading[[#This Row],[Memo 01]:[Memo 07]],-1)-1),"")</f>
        <v>55819</v>
      </c>
      <c r="Y1171" s="10" t="str">
        <f ca="1">IF(reading[[#This Row],[Next]]&lt;&gt;"",IF(reading[[#This Row],[Next]]&gt;TODAY(),"OK",""),"")</f>
        <v>OK</v>
      </c>
      <c r="Z1171" s="13">
        <v>3</v>
      </c>
      <c r="AA1171" s="13">
        <v>3</v>
      </c>
      <c r="AB1171" s="13">
        <v>3</v>
      </c>
      <c r="AC1171" s="13">
        <v>3</v>
      </c>
      <c r="AD1171" s="13">
        <v>3</v>
      </c>
      <c r="AE1171" s="13">
        <v>3</v>
      </c>
      <c r="AF1171" s="13">
        <v>3</v>
      </c>
      <c r="AG1171" s="16">
        <f>IFERROR(SUMIF(reading[[#This Row],[1st]:[7th]],"&gt;0")/COUNTIF(reading[[#This Row],[1st]:[7th]],"&gt;0"),"")</f>
        <v>3</v>
      </c>
    </row>
    <row r="1172" spans="1:33" hidden="1" x14ac:dyDescent="0.2">
      <c r="A1172" s="4">
        <f>IF(B1172=1,3,IF(D1172=1,2,IF(F1172=1,1,0)))</f>
        <v>0</v>
      </c>
      <c r="B1172" s="4" t="str">
        <f>IF(C1172=$L1172,1,IF(C1172="","",0))</f>
        <v/>
      </c>
      <c r="C1172" s="42"/>
      <c r="D1172" s="4" t="str">
        <f>IF(E1172=$L1172,1,IF(E1172="","",0))</f>
        <v/>
      </c>
      <c r="E1172" s="14"/>
      <c r="F1172" s="4" t="str">
        <f>IF(G1172=$L1172,1,IF(G1172="","",0))</f>
        <v/>
      </c>
      <c r="G1172" s="14"/>
      <c r="H1172" s="6">
        <v>1266</v>
      </c>
      <c r="I1172" s="15" t="s">
        <v>3120</v>
      </c>
      <c r="J1172" s="6" t="s">
        <v>4383</v>
      </c>
      <c r="K1172" s="6"/>
      <c r="L1172" s="6" t="s">
        <v>1364</v>
      </c>
      <c r="M1172" s="6" t="s">
        <v>7373</v>
      </c>
      <c r="N1172" s="7">
        <f ca="1">RAND()</f>
        <v>0.74896081389481184</v>
      </c>
      <c r="O1172" s="8">
        <v>45207</v>
      </c>
      <c r="P1172" s="8">
        <v>45208</v>
      </c>
      <c r="Q1172" s="8">
        <v>45210</v>
      </c>
      <c r="R1172" s="8">
        <v>45214</v>
      </c>
      <c r="S1172" s="8">
        <v>45221</v>
      </c>
      <c r="T1172" s="8">
        <v>45233</v>
      </c>
      <c r="U1172" s="8">
        <v>45819</v>
      </c>
      <c r="V1172" s="10">
        <f>COUNTA(O1172:U1172)</f>
        <v>7</v>
      </c>
      <c r="W1172" s="11">
        <f>_xlfn.IFNA(INDEX(reading[[#This Row],[Memo 01]:[Memo 07]],MATCH(0,reading[[#This Row],[Memo 01]:[Memo 07]],-1)),"")</f>
        <v>45819</v>
      </c>
      <c r="X1172" s="11">
        <f ca="1">IFERROR(reading[[#This Row],[Previous]]+OFFSET(reading[[#Headers],[Memo 01]],-1,MATCH(0,reading[[#This Row],[Memo 01]:[Memo 07]],-1)-1),"")</f>
        <v>55819</v>
      </c>
      <c r="Y1172" s="10" t="str">
        <f ca="1">IF(reading[[#This Row],[Next]]&lt;&gt;"",IF(reading[[#This Row],[Next]]&gt;TODAY(),"OK",""),"")</f>
        <v>OK</v>
      </c>
      <c r="Z1172" s="13">
        <v>3</v>
      </c>
      <c r="AA1172" s="13">
        <v>3</v>
      </c>
      <c r="AB1172" s="13">
        <v>3</v>
      </c>
      <c r="AC1172" s="13">
        <v>3</v>
      </c>
      <c r="AD1172" s="13">
        <v>3</v>
      </c>
      <c r="AE1172" s="13">
        <v>3</v>
      </c>
      <c r="AF1172" s="13">
        <v>3</v>
      </c>
      <c r="AG1172" s="16">
        <f>IFERROR(SUMIF(reading[[#This Row],[1st]:[7th]],"&gt;0")/COUNTIF(reading[[#This Row],[1st]:[7th]],"&gt;0"),"")</f>
        <v>3</v>
      </c>
    </row>
    <row r="1173" spans="1:33" hidden="1" x14ac:dyDescent="0.2">
      <c r="A1173" s="4">
        <f>IF(B1173=1,3,IF(D1173=1,2,IF(F1173=1,1,0)))</f>
        <v>0</v>
      </c>
      <c r="B1173" s="4" t="str">
        <f>IF(C1173=$L1173,1,IF(C1173="","",0))</f>
        <v/>
      </c>
      <c r="C1173" s="42"/>
      <c r="D1173" s="4" t="str">
        <f>IF(E1173=$L1173,1,IF(E1173="","",0))</f>
        <v/>
      </c>
      <c r="E1173" s="18"/>
      <c r="F1173" s="4" t="str">
        <f>IF(G1173=$L1173,1,IF(G1173="","",0))</f>
        <v/>
      </c>
      <c r="G1173" s="14"/>
      <c r="H1173" s="6">
        <v>2991</v>
      </c>
      <c r="I1173" s="15" t="s">
        <v>3120</v>
      </c>
      <c r="J1173" s="6" t="s">
        <v>5359</v>
      </c>
      <c r="K1173" s="6"/>
      <c r="L1173" s="6" t="s">
        <v>3020</v>
      </c>
      <c r="M1173" s="6" t="s">
        <v>9095</v>
      </c>
      <c r="N1173" s="7">
        <f ca="1">RAND()</f>
        <v>0.74948696361669898</v>
      </c>
      <c r="O1173" s="8">
        <v>45223</v>
      </c>
      <c r="P1173" s="8">
        <v>45224</v>
      </c>
      <c r="Q1173" s="8">
        <v>45226</v>
      </c>
      <c r="R1173" s="8">
        <v>45230</v>
      </c>
      <c r="S1173" s="8">
        <v>45237</v>
      </c>
      <c r="T1173" s="8">
        <v>45819</v>
      </c>
      <c r="U1173" s="8"/>
      <c r="V1173" s="10">
        <f>COUNTA(O1173:U1173)</f>
        <v>6</v>
      </c>
      <c r="W1173" s="11">
        <f>_xlfn.IFNA(INDEX(reading[[#This Row],[Memo 01]:[Memo 07]],MATCH(0,reading[[#This Row],[Memo 01]:[Memo 07]],-1)),"")</f>
        <v>45819</v>
      </c>
      <c r="X1173" s="11">
        <f ca="1">IFERROR(reading[[#This Row],[Previous]]+OFFSET(reading[[#Headers],[Memo 01]],-1,MATCH(0,reading[[#This Row],[Memo 01]:[Memo 07]],-1)-1),"")</f>
        <v>45839</v>
      </c>
      <c r="Y1173" s="10" t="str">
        <f ca="1">IF(reading[[#This Row],[Next]]&lt;&gt;"",IF(reading[[#This Row],[Next]]&gt;TODAY(),"OK",""),"")</f>
        <v>OK</v>
      </c>
      <c r="Z1173" s="13">
        <v>3</v>
      </c>
      <c r="AA1173" s="13">
        <v>3</v>
      </c>
      <c r="AB1173" s="13">
        <v>2</v>
      </c>
      <c r="AC1173" s="13">
        <v>3</v>
      </c>
      <c r="AD1173" s="13">
        <v>3</v>
      </c>
      <c r="AE1173" s="13">
        <v>3</v>
      </c>
      <c r="AF1173" s="13"/>
      <c r="AG1173" s="16">
        <f>IFERROR(SUMIF(reading[[#This Row],[1st]:[7th]],"&gt;0")/COUNTIF(reading[[#This Row],[1st]:[7th]],"&gt;0"),"")</f>
        <v>2.8333333333333335</v>
      </c>
    </row>
    <row r="1174" spans="1:33" hidden="1" x14ac:dyDescent="0.2">
      <c r="A1174" s="4">
        <f>IF(B1174=1,3,IF(D1174=1,2,IF(F1174=1,1,0)))</f>
        <v>3</v>
      </c>
      <c r="B1174" s="4">
        <f>IF(C1174=$L1174,1,IF(C1174="","",0))</f>
        <v>1</v>
      </c>
      <c r="C1174" s="26" t="s">
        <v>1280</v>
      </c>
      <c r="D1174" s="4" t="str">
        <f>IF(E1174=$L1174,1,IF(E1174="","",0))</f>
        <v/>
      </c>
      <c r="E1174" s="14"/>
      <c r="F1174" s="4" t="str">
        <f>IF(G1174=$L1174,1,IF(G1174="","",0))</f>
        <v/>
      </c>
      <c r="G1174" s="14"/>
      <c r="H1174" s="6">
        <v>1178</v>
      </c>
      <c r="I1174" s="15" t="s">
        <v>3120</v>
      </c>
      <c r="J1174" s="6" t="s">
        <v>4297</v>
      </c>
      <c r="K1174" s="6"/>
      <c r="L1174" s="6" t="s">
        <v>1280</v>
      </c>
      <c r="M1174" s="6" t="s">
        <v>7286</v>
      </c>
      <c r="N1174" s="7">
        <f ca="1">RAND()</f>
        <v>0.13097539423359617</v>
      </c>
      <c r="O1174" s="8">
        <v>45206</v>
      </c>
      <c r="P1174" s="8">
        <v>45206</v>
      </c>
      <c r="Q1174" s="8">
        <v>45206</v>
      </c>
      <c r="R1174" s="8">
        <v>45206</v>
      </c>
      <c r="S1174" s="8">
        <v>45206</v>
      </c>
      <c r="T1174" s="8">
        <v>45206</v>
      </c>
      <c r="U1174" s="8">
        <v>45206</v>
      </c>
      <c r="V1174" s="10">
        <f>COUNTA(O1174:U1174)</f>
        <v>7</v>
      </c>
      <c r="W1174" s="11">
        <f>_xlfn.IFNA(INDEX(reading[[#This Row],[Memo 01]:[Memo 07]],MATCH(0,reading[[#This Row],[Memo 01]:[Memo 07]],-1)),"")</f>
        <v>45206</v>
      </c>
      <c r="X1174" s="11">
        <f ca="1">IFERROR(reading[[#This Row],[Previous]]+OFFSET(reading[[#Headers],[Memo 01]],-1,MATCH(0,reading[[#This Row],[Memo 01]:[Memo 07]],-1)-1),"")</f>
        <v>55206</v>
      </c>
      <c r="Y1174" s="10" t="str">
        <f ca="1">IF(reading[[#This Row],[Next]]&lt;&gt;"",IF(reading[[#This Row],[Next]]&gt;TODAY(),"OK",""),"")</f>
        <v>OK</v>
      </c>
      <c r="Z1174" s="13">
        <v>3</v>
      </c>
      <c r="AA1174" s="13"/>
      <c r="AB1174" s="13"/>
      <c r="AC1174" s="13"/>
      <c r="AD1174" s="13"/>
      <c r="AE1174" s="13"/>
      <c r="AF1174" s="13"/>
      <c r="AG1174" s="16">
        <f>IFERROR(SUMIF(reading[[#This Row],[1st]:[7th]],"&gt;0")/COUNTIF(reading[[#This Row],[1st]:[7th]],"&gt;0"),"")</f>
        <v>3</v>
      </c>
    </row>
    <row r="1175" spans="1:33" hidden="1" x14ac:dyDescent="0.2">
      <c r="A1175" s="4">
        <f>IF(B1175=1,3,IF(D1175=1,2,IF(F1175=1,1,0)))</f>
        <v>0</v>
      </c>
      <c r="B1175" s="4" t="str">
        <f>IF(C1175=$L1175,1,IF(C1175="","",0))</f>
        <v/>
      </c>
      <c r="C1175" s="42"/>
      <c r="D1175" s="4" t="str">
        <f>IF(E1175=$L1175,1,IF(E1175="","",0))</f>
        <v/>
      </c>
      <c r="E1175" s="18"/>
      <c r="F1175" s="4" t="str">
        <f>IF(G1175=$L1175,1,IF(G1175="","",0))</f>
        <v/>
      </c>
      <c r="G1175" s="14"/>
      <c r="H1175" s="6">
        <v>2017</v>
      </c>
      <c r="I1175" s="15" t="s">
        <v>3120</v>
      </c>
      <c r="J1175" s="6" t="s">
        <v>5114</v>
      </c>
      <c r="K1175" s="6"/>
      <c r="L1175" s="6" t="s">
        <v>2092</v>
      </c>
      <c r="M1175" s="6" t="s">
        <v>8123</v>
      </c>
      <c r="N1175" s="7">
        <f ca="1">RAND()</f>
        <v>0.30266912560539538</v>
      </c>
      <c r="O1175" s="8">
        <v>45213</v>
      </c>
      <c r="P1175" s="8">
        <v>45214</v>
      </c>
      <c r="Q1175" s="8">
        <v>45216</v>
      </c>
      <c r="R1175" s="8">
        <v>45220</v>
      </c>
      <c r="S1175" s="8">
        <v>45227</v>
      </c>
      <c r="T1175" s="8">
        <v>45819</v>
      </c>
      <c r="U1175" s="8"/>
      <c r="V1175" s="10">
        <f>COUNTA(O1175:U1175)</f>
        <v>6</v>
      </c>
      <c r="W1175" s="11">
        <f>_xlfn.IFNA(INDEX(reading[[#This Row],[Memo 01]:[Memo 07]],MATCH(0,reading[[#This Row],[Memo 01]:[Memo 07]],-1)),"")</f>
        <v>45819</v>
      </c>
      <c r="X1175" s="11">
        <f ca="1">IFERROR(reading[[#This Row],[Previous]]+OFFSET(reading[[#Headers],[Memo 01]],-1,MATCH(0,reading[[#This Row],[Memo 01]:[Memo 07]],-1)-1),"")</f>
        <v>45839</v>
      </c>
      <c r="Y1175" s="10" t="str">
        <f ca="1">IF(reading[[#This Row],[Next]]&lt;&gt;"",IF(reading[[#This Row],[Next]]&gt;TODAY(),"OK",""),"")</f>
        <v>OK</v>
      </c>
      <c r="Z1175" s="13">
        <v>3</v>
      </c>
      <c r="AA1175" s="13">
        <v>3</v>
      </c>
      <c r="AB1175" s="13">
        <v>3</v>
      </c>
      <c r="AC1175" s="13">
        <v>3</v>
      </c>
      <c r="AD1175" s="13">
        <v>2</v>
      </c>
      <c r="AE1175" s="13">
        <v>3</v>
      </c>
      <c r="AF1175" s="13"/>
      <c r="AG1175" s="16">
        <f>IFERROR(SUMIF(reading[[#This Row],[1st]:[7th]],"&gt;0")/COUNTIF(reading[[#This Row],[1st]:[7th]],"&gt;0"),"")</f>
        <v>2.8333333333333335</v>
      </c>
    </row>
    <row r="1176" spans="1:33" hidden="1" x14ac:dyDescent="0.2">
      <c r="A1176" s="4">
        <f>IF(B1176=1,3,IF(D1176=1,2,IF(F1176=1,1,0)))</f>
        <v>0</v>
      </c>
      <c r="B1176" s="4" t="str">
        <f>IF(C1176=$L1176,1,IF(C1176="","",0))</f>
        <v/>
      </c>
      <c r="C1176" s="42"/>
      <c r="D1176" s="4" t="str">
        <f>IF(E1176=$L1176,1,IF(E1176="","",0))</f>
        <v/>
      </c>
      <c r="E1176" s="18"/>
      <c r="F1176" s="4" t="str">
        <f>IF(G1176=$L1176,1,IF(G1176="","",0))</f>
        <v/>
      </c>
      <c r="G1176" s="14"/>
      <c r="H1176" s="6">
        <v>1861</v>
      </c>
      <c r="I1176" s="15" t="s">
        <v>3120</v>
      </c>
      <c r="J1176" s="6" t="s">
        <v>4963</v>
      </c>
      <c r="K1176" s="6"/>
      <c r="L1176" s="6" t="s">
        <v>1939</v>
      </c>
      <c r="M1176" s="6" t="s">
        <v>7967</v>
      </c>
      <c r="N1176" s="7">
        <f ca="1">RAND()</f>
        <v>0.3923941859515212</v>
      </c>
      <c r="O1176" s="8">
        <v>45213</v>
      </c>
      <c r="P1176" s="8">
        <v>45214</v>
      </c>
      <c r="Q1176" s="8">
        <v>45216</v>
      </c>
      <c r="R1176" s="8">
        <v>45220</v>
      </c>
      <c r="S1176" s="8">
        <v>45227</v>
      </c>
      <c r="T1176" s="8">
        <v>45792</v>
      </c>
      <c r="U1176" s="8">
        <v>45819</v>
      </c>
      <c r="V1176" s="10">
        <f>COUNTA(O1176:U1176)</f>
        <v>7</v>
      </c>
      <c r="W1176" s="11">
        <f>_xlfn.IFNA(INDEX(reading[[#This Row],[Memo 01]:[Memo 07]],MATCH(0,reading[[#This Row],[Memo 01]:[Memo 07]],-1)),"")</f>
        <v>45819</v>
      </c>
      <c r="X1176" s="11">
        <f ca="1">IFERROR(reading[[#This Row],[Previous]]+OFFSET(reading[[#Headers],[Memo 01]],-1,MATCH(0,reading[[#This Row],[Memo 01]:[Memo 07]],-1)-1),"")</f>
        <v>55819</v>
      </c>
      <c r="Y1176" s="10" t="str">
        <f ca="1">IF(reading[[#This Row],[Next]]&lt;&gt;"",IF(reading[[#This Row],[Next]]&gt;TODAY(),"OK",""),"")</f>
        <v>OK</v>
      </c>
      <c r="Z1176" s="13">
        <v>3</v>
      </c>
      <c r="AA1176" s="13">
        <v>3</v>
      </c>
      <c r="AB1176" s="13">
        <v>3</v>
      </c>
      <c r="AC1176" s="13">
        <v>3</v>
      </c>
      <c r="AD1176" s="13">
        <v>2</v>
      </c>
      <c r="AE1176" s="13">
        <v>3</v>
      </c>
      <c r="AF1176" s="13">
        <v>3</v>
      </c>
      <c r="AG1176" s="16">
        <f>IFERROR(SUMIF(reading[[#This Row],[1st]:[7th]],"&gt;0")/COUNTIF(reading[[#This Row],[1st]:[7th]],"&gt;0"),"")</f>
        <v>2.8571428571428572</v>
      </c>
    </row>
    <row r="1177" spans="1:33" hidden="1" x14ac:dyDescent="0.2">
      <c r="A1177" s="4">
        <f>IF(B1177=1,3,IF(D1177=1,2,IF(F1177=1,1,0)))</f>
        <v>0</v>
      </c>
      <c r="B1177" s="4" t="str">
        <f>IF(C1177=$L1177,1,IF(C1177="","",0))</f>
        <v/>
      </c>
      <c r="C1177" s="42"/>
      <c r="D1177" s="4" t="str">
        <f>IF(E1177=$L1177,1,IF(E1177="","",0))</f>
        <v/>
      </c>
      <c r="E1177" s="43"/>
      <c r="F1177" s="4" t="str">
        <f>IF(G1177=$L1177,1,IF(G1177="","",0))</f>
        <v/>
      </c>
      <c r="G1177" s="43"/>
      <c r="H1177" s="6">
        <v>2587</v>
      </c>
      <c r="I1177" s="15" t="s">
        <v>3120</v>
      </c>
      <c r="J1177" s="6" t="s">
        <v>5645</v>
      </c>
      <c r="K1177" s="6"/>
      <c r="L1177" s="6" t="s">
        <v>2630</v>
      </c>
      <c r="M1177" s="6" t="s">
        <v>8692</v>
      </c>
      <c r="N1177" s="7">
        <f ca="1">RAND()</f>
        <v>0.8389988452660444</v>
      </c>
      <c r="O1177" s="8">
        <v>45220</v>
      </c>
      <c r="P1177" s="8">
        <v>45221</v>
      </c>
      <c r="Q1177" s="8">
        <v>45223</v>
      </c>
      <c r="R1177" s="8">
        <v>45227</v>
      </c>
      <c r="S1177" s="8">
        <v>45234</v>
      </c>
      <c r="T1177" s="8">
        <v>45249</v>
      </c>
      <c r="U1177" s="8">
        <v>45816</v>
      </c>
      <c r="V1177" s="10">
        <f>COUNTA(O1177:U1177)</f>
        <v>7</v>
      </c>
      <c r="W1177" s="11">
        <f>_xlfn.IFNA(INDEX(reading[[#This Row],[Memo 01]:[Memo 07]],MATCH(0,reading[[#This Row],[Memo 01]:[Memo 07]],-1)),"")</f>
        <v>45816</v>
      </c>
      <c r="X1177" s="11">
        <f ca="1">IFERROR(reading[[#This Row],[Previous]]+OFFSET(reading[[#Headers],[Memo 01]],-1,MATCH(0,reading[[#This Row],[Memo 01]:[Memo 07]],-1)-1),"")</f>
        <v>55816</v>
      </c>
      <c r="Y1177" s="10" t="str">
        <f ca="1">IF(reading[[#This Row],[Next]]&lt;&gt;"",IF(reading[[#This Row],[Next]]&gt;TODAY(),"OK",""),"")</f>
        <v>OK</v>
      </c>
      <c r="Z1177" s="13">
        <v>3</v>
      </c>
      <c r="AA1177" s="13">
        <v>2</v>
      </c>
      <c r="AB1177" s="13">
        <v>1</v>
      </c>
      <c r="AC1177" s="13">
        <v>3</v>
      </c>
      <c r="AD1177" s="13">
        <v>3</v>
      </c>
      <c r="AE1177" s="13">
        <v>2</v>
      </c>
      <c r="AF1177" s="13">
        <v>1</v>
      </c>
      <c r="AG1177" s="16">
        <f>IFERROR(SUMIF(reading[[#This Row],[1st]:[7th]],"&gt;0")/COUNTIF(reading[[#This Row],[1st]:[7th]],"&gt;0"),"")</f>
        <v>2.1428571428571428</v>
      </c>
    </row>
    <row r="1178" spans="1:33" hidden="1" x14ac:dyDescent="0.2">
      <c r="A1178" s="4">
        <f>IF(B1178=1,3,IF(D1178=1,2,IF(F1178=1,1,0)))</f>
        <v>3</v>
      </c>
      <c r="B1178" s="4">
        <f>IF(C1178=$L1178,1,IF(C1178="","",0))</f>
        <v>1</v>
      </c>
      <c r="C1178" s="26" t="s">
        <v>1284</v>
      </c>
      <c r="D1178" s="4" t="str">
        <f>IF(E1178=$L1178,1,IF(E1178="","",0))</f>
        <v/>
      </c>
      <c r="E1178" s="14"/>
      <c r="F1178" s="4" t="str">
        <f>IF(G1178=$L1178,1,IF(G1178="","",0))</f>
        <v/>
      </c>
      <c r="G1178" s="14"/>
      <c r="H1178" s="6">
        <v>1182</v>
      </c>
      <c r="I1178" s="15" t="s">
        <v>3120</v>
      </c>
      <c r="J1178" s="6" t="s">
        <v>4301</v>
      </c>
      <c r="K1178" s="6"/>
      <c r="L1178" s="6" t="s">
        <v>1284</v>
      </c>
      <c r="M1178" s="6" t="s">
        <v>7290</v>
      </c>
      <c r="N1178" s="7">
        <f ca="1">RAND()</f>
        <v>0.12322686850397391</v>
      </c>
      <c r="O1178" s="8">
        <v>45206</v>
      </c>
      <c r="P1178" s="8">
        <v>45206</v>
      </c>
      <c r="Q1178" s="8">
        <v>45206</v>
      </c>
      <c r="R1178" s="8">
        <v>45206</v>
      </c>
      <c r="S1178" s="8">
        <v>45206</v>
      </c>
      <c r="T1178" s="8">
        <v>45206</v>
      </c>
      <c r="U1178" s="8">
        <v>45206</v>
      </c>
      <c r="V1178" s="10">
        <f>COUNTA(O1178:U1178)</f>
        <v>7</v>
      </c>
      <c r="W1178" s="11">
        <f>_xlfn.IFNA(INDEX(reading[[#This Row],[Memo 01]:[Memo 07]],MATCH(0,reading[[#This Row],[Memo 01]:[Memo 07]],-1)),"")</f>
        <v>45206</v>
      </c>
      <c r="X1178" s="11">
        <f ca="1">IFERROR(reading[[#This Row],[Previous]]+OFFSET(reading[[#Headers],[Memo 01]],-1,MATCH(0,reading[[#This Row],[Memo 01]:[Memo 07]],-1)-1),"")</f>
        <v>55206</v>
      </c>
      <c r="Y1178" s="10" t="str">
        <f ca="1">IF(reading[[#This Row],[Next]]&lt;&gt;"",IF(reading[[#This Row],[Next]]&gt;TODAY(),"OK",""),"")</f>
        <v>OK</v>
      </c>
      <c r="Z1178" s="13">
        <v>3</v>
      </c>
      <c r="AA1178" s="13"/>
      <c r="AB1178" s="13"/>
      <c r="AC1178" s="13"/>
      <c r="AD1178" s="13"/>
      <c r="AE1178" s="13"/>
      <c r="AF1178" s="13"/>
      <c r="AG1178" s="16">
        <f>IFERROR(SUMIF(reading[[#This Row],[1st]:[7th]],"&gt;0")/COUNTIF(reading[[#This Row],[1st]:[7th]],"&gt;0"),"")</f>
        <v>3</v>
      </c>
    </row>
    <row r="1179" spans="1:33" hidden="1" x14ac:dyDescent="0.2">
      <c r="A1179" s="4">
        <f>IF(B1179=1,3,IF(D1179=1,2,IF(F1179=1,1,0)))</f>
        <v>0</v>
      </c>
      <c r="B1179" s="4" t="str">
        <f>IF(C1179=$L1179,1,IF(C1179="","",0))</f>
        <v/>
      </c>
      <c r="C1179" s="42"/>
      <c r="D1179" s="4" t="str">
        <f>IF(E1179=$L1179,1,IF(E1179="","",0))</f>
        <v/>
      </c>
      <c r="E1179" s="43"/>
      <c r="F1179" s="4" t="str">
        <f>IF(G1179=$L1179,1,IF(G1179="","",0))</f>
        <v/>
      </c>
      <c r="G1179" s="14"/>
      <c r="H1179" s="6">
        <v>1520</v>
      </c>
      <c r="I1179" s="15" t="s">
        <v>3120</v>
      </c>
      <c r="J1179" s="6" t="s">
        <v>4633</v>
      </c>
      <c r="K1179" s="6" t="s">
        <v>3138</v>
      </c>
      <c r="L1179" s="6" t="s">
        <v>1605</v>
      </c>
      <c r="M1179" s="6" t="s">
        <v>7627</v>
      </c>
      <c r="N1179" s="7">
        <f ca="1">RAND()</f>
        <v>0.27357681118953303</v>
      </c>
      <c r="O1179" s="8">
        <v>45209</v>
      </c>
      <c r="P1179" s="8">
        <v>45210</v>
      </c>
      <c r="Q1179" s="8">
        <v>45213</v>
      </c>
      <c r="R1179" s="8">
        <v>45217</v>
      </c>
      <c r="S1179" s="8">
        <v>45224</v>
      </c>
      <c r="T1179" s="8">
        <v>45236</v>
      </c>
      <c r="U1179" s="8">
        <v>45820</v>
      </c>
      <c r="V1179" s="10">
        <f>COUNTA(O1179:U1179)</f>
        <v>7</v>
      </c>
      <c r="W1179" s="11">
        <f>_xlfn.IFNA(INDEX(reading[[#This Row],[Memo 01]:[Memo 07]],MATCH(0,reading[[#This Row],[Memo 01]:[Memo 07]],-1)),"")</f>
        <v>45820</v>
      </c>
      <c r="X1179" s="11">
        <f ca="1">IFERROR(reading[[#This Row],[Previous]]+OFFSET(reading[[#Headers],[Memo 01]],-1,MATCH(0,reading[[#This Row],[Memo 01]:[Memo 07]],-1)-1),"")</f>
        <v>55820</v>
      </c>
      <c r="Y1179" s="10" t="str">
        <f ca="1">IF(reading[[#This Row],[Next]]&lt;&gt;"",IF(reading[[#This Row],[Next]]&gt;TODAY(),"OK",""),"")</f>
        <v>OK</v>
      </c>
      <c r="Z1179" s="13">
        <v>3</v>
      </c>
      <c r="AA1179" s="13">
        <v>3</v>
      </c>
      <c r="AB1179" s="13">
        <v>2</v>
      </c>
      <c r="AC1179" s="13">
        <v>3</v>
      </c>
      <c r="AD1179" s="13">
        <v>2</v>
      </c>
      <c r="AE1179" s="13">
        <v>2</v>
      </c>
      <c r="AF1179" s="13">
        <v>2</v>
      </c>
      <c r="AG1179" s="16">
        <f>IFERROR(SUMIF(reading[[#This Row],[1st]:[7th]],"&gt;0")/COUNTIF(reading[[#This Row],[1st]:[7th]],"&gt;0"),"")</f>
        <v>2.4285714285714284</v>
      </c>
    </row>
    <row r="1180" spans="1:33" hidden="1" x14ac:dyDescent="0.2">
      <c r="A1180" s="4">
        <f>IF(B1180=1,3,IF(D1180=1,2,IF(F1180=1,1,0)))</f>
        <v>0</v>
      </c>
      <c r="B1180" s="4" t="str">
        <f>IF(C1180=$L1180,1,IF(C1180="","",0))</f>
        <v/>
      </c>
      <c r="C1180" s="42"/>
      <c r="D1180" s="4" t="str">
        <f>IF(E1180=$L1180,1,IF(E1180="","",0))</f>
        <v/>
      </c>
      <c r="E1180" s="18"/>
      <c r="F1180" s="4" t="str">
        <f>IF(G1180=$L1180,1,IF(G1180="","",0))</f>
        <v/>
      </c>
      <c r="G1180" s="18"/>
      <c r="H1180" s="6">
        <v>1971</v>
      </c>
      <c r="I1180" s="15" t="s">
        <v>3120</v>
      </c>
      <c r="J1180" s="6" t="s">
        <v>5070</v>
      </c>
      <c r="K1180" s="15" t="s">
        <v>3138</v>
      </c>
      <c r="L1180" s="6" t="s">
        <v>2046</v>
      </c>
      <c r="M1180" s="6" t="s">
        <v>8077</v>
      </c>
      <c r="N1180" s="7">
        <f ca="1">RAND()</f>
        <v>0.10155418272332883</v>
      </c>
      <c r="O1180" s="8">
        <v>45213</v>
      </c>
      <c r="P1180" s="8">
        <v>45214</v>
      </c>
      <c r="Q1180" s="8">
        <v>45216</v>
      </c>
      <c r="R1180" s="8">
        <v>45220</v>
      </c>
      <c r="S1180" s="8">
        <v>45227</v>
      </c>
      <c r="T1180" s="8">
        <v>45250</v>
      </c>
      <c r="U1180" s="8">
        <v>45819</v>
      </c>
      <c r="V1180" s="10">
        <f>COUNTA(O1180:U1180)</f>
        <v>7</v>
      </c>
      <c r="W1180" s="11">
        <f>_xlfn.IFNA(INDEX(reading[[#This Row],[Memo 01]:[Memo 07]],MATCH(0,reading[[#This Row],[Memo 01]:[Memo 07]],-1)),"")</f>
        <v>45819</v>
      </c>
      <c r="X1180" s="11">
        <f ca="1">IFERROR(reading[[#This Row],[Previous]]+OFFSET(reading[[#Headers],[Memo 01]],-1,MATCH(0,reading[[#This Row],[Memo 01]:[Memo 07]],-1)-1),"")</f>
        <v>55819</v>
      </c>
      <c r="Y1180" s="10" t="str">
        <f ca="1">IF(reading[[#This Row],[Next]]&lt;&gt;"",IF(reading[[#This Row],[Next]]&gt;TODAY(),"OK",""),"")</f>
        <v>OK</v>
      </c>
      <c r="Z1180" s="13">
        <v>3</v>
      </c>
      <c r="AA1180" s="13">
        <v>3</v>
      </c>
      <c r="AB1180" s="13">
        <v>3</v>
      </c>
      <c r="AC1180" s="13">
        <v>1</v>
      </c>
      <c r="AD1180" s="13">
        <v>2</v>
      </c>
      <c r="AE1180" s="13">
        <v>1</v>
      </c>
      <c r="AF1180" s="13">
        <v>3</v>
      </c>
      <c r="AG1180" s="16">
        <f>IFERROR(SUMIF(reading[[#This Row],[1st]:[7th]],"&gt;0")/COUNTIF(reading[[#This Row],[1st]:[7th]],"&gt;0"),"")</f>
        <v>2.2857142857142856</v>
      </c>
    </row>
    <row r="1181" spans="1:33" hidden="1" x14ac:dyDescent="0.2">
      <c r="A1181" s="4">
        <f>IF(B1181=1,3,IF(D1181=1,2,IF(F1181=1,1,0)))</f>
        <v>0</v>
      </c>
      <c r="B1181" s="4" t="str">
        <f>IF(C1181=$L1181,1,IF(C1181="","",0))</f>
        <v/>
      </c>
      <c r="C1181" s="43"/>
      <c r="D1181" s="4" t="str">
        <f>IF(E1181=$L1181,1,IF(E1181="","",0))</f>
        <v/>
      </c>
      <c r="E1181" s="43"/>
      <c r="F1181" s="4" t="str">
        <f>IF(G1181=$L1181,1,IF(G1181="","",0))</f>
        <v/>
      </c>
      <c r="G1181" s="23"/>
      <c r="H1181" s="6">
        <v>192</v>
      </c>
      <c r="I1181" s="15" t="s">
        <v>3120</v>
      </c>
      <c r="J1181" s="6" t="s">
        <v>3341</v>
      </c>
      <c r="K1181" s="6"/>
      <c r="L1181" s="6" t="s">
        <v>328</v>
      </c>
      <c r="M1181" s="6" t="s">
        <v>6301</v>
      </c>
      <c r="N1181" s="7">
        <f ca="1">RAND()</f>
        <v>0.68173665037866937</v>
      </c>
      <c r="O1181" s="8">
        <v>45199</v>
      </c>
      <c r="P1181" s="8">
        <v>45200</v>
      </c>
      <c r="Q1181" s="8">
        <v>45202</v>
      </c>
      <c r="R1181" s="8">
        <v>45206</v>
      </c>
      <c r="S1181" s="8">
        <v>45213</v>
      </c>
      <c r="T1181" s="8">
        <v>45225</v>
      </c>
      <c r="U1181" s="8">
        <v>45817</v>
      </c>
      <c r="V1181" s="10">
        <f>COUNTA(O1181:U1181)</f>
        <v>7</v>
      </c>
      <c r="W1181" s="11">
        <f>_xlfn.IFNA(INDEX(reading[[#This Row],[Memo 01]:[Memo 07]],MATCH(0,reading[[#This Row],[Memo 01]:[Memo 07]],-1)),"")</f>
        <v>45817</v>
      </c>
      <c r="X1181" s="11">
        <f ca="1">IFERROR(reading[[#This Row],[Previous]]+OFFSET(reading[[#Headers],[Memo 01]],-1,MATCH(0,reading[[#This Row],[Memo 01]:[Memo 07]],-1)-1),"")</f>
        <v>55817</v>
      </c>
      <c r="Y1181" s="10" t="str">
        <f ca="1">IF(reading[[#This Row],[Next]]&lt;&gt;"",IF(reading[[#This Row],[Next]]&gt;TODAY(),"OK",""),"")</f>
        <v>OK</v>
      </c>
      <c r="Z1181" s="13">
        <v>3</v>
      </c>
      <c r="AA1181" s="13">
        <v>2</v>
      </c>
      <c r="AB1181" s="13">
        <v>3</v>
      </c>
      <c r="AC1181" s="13">
        <v>2</v>
      </c>
      <c r="AD1181" s="13">
        <v>3</v>
      </c>
      <c r="AE1181" s="13">
        <v>3</v>
      </c>
      <c r="AF1181" s="13">
        <v>1</v>
      </c>
      <c r="AG1181" s="16">
        <f>IFERROR(SUMIF(reading[[#This Row],[1st]:[7th]],"&gt;0")/COUNTIF(reading[[#This Row],[1st]:[7th]],"&gt;0"),"")</f>
        <v>2.4285714285714284</v>
      </c>
    </row>
    <row r="1182" spans="1:33" hidden="1" x14ac:dyDescent="0.2">
      <c r="A1182" s="4">
        <f>IF(B1182=1,3,IF(D1182=1,2,IF(F1182=1,1,0)))</f>
        <v>0</v>
      </c>
      <c r="B1182" s="4" t="str">
        <f>IF(C1182=$L1182,1,IF(C1182="","",0))</f>
        <v/>
      </c>
      <c r="C1182" s="42"/>
      <c r="D1182" s="4" t="str">
        <f>IF(E1182=$L1182,1,IF(E1182="","",0))</f>
        <v/>
      </c>
      <c r="E1182" s="14"/>
      <c r="F1182" s="4" t="str">
        <f>IF(G1182=$L1182,1,IF(G1182="","",0))</f>
        <v/>
      </c>
      <c r="G1182" s="14"/>
      <c r="H1182" s="6">
        <v>2634</v>
      </c>
      <c r="I1182" s="15" t="s">
        <v>3120</v>
      </c>
      <c r="J1182" s="6" t="s">
        <v>5688</v>
      </c>
      <c r="K1182" s="6"/>
      <c r="L1182" s="6" t="s">
        <v>2675</v>
      </c>
      <c r="M1182" s="6" t="s">
        <v>8739</v>
      </c>
      <c r="N1182" s="7">
        <f ca="1">RAND()</f>
        <v>0.42383682354610741</v>
      </c>
      <c r="O1182" s="8">
        <v>45220</v>
      </c>
      <c r="P1182" s="8">
        <v>45221</v>
      </c>
      <c r="Q1182" s="8">
        <v>45223</v>
      </c>
      <c r="R1182" s="8">
        <v>45227</v>
      </c>
      <c r="S1182" s="8">
        <v>45234</v>
      </c>
      <c r="T1182" s="8">
        <v>45819</v>
      </c>
      <c r="U1182" s="8"/>
      <c r="V1182" s="10">
        <f>COUNTA(O1182:U1182)</f>
        <v>6</v>
      </c>
      <c r="W1182" s="11">
        <f>_xlfn.IFNA(INDEX(reading[[#This Row],[Memo 01]:[Memo 07]],MATCH(0,reading[[#This Row],[Memo 01]:[Memo 07]],-1)),"")</f>
        <v>45819</v>
      </c>
      <c r="X1182" s="11">
        <f ca="1">IFERROR(reading[[#This Row],[Previous]]+OFFSET(reading[[#Headers],[Memo 01]],-1,MATCH(0,reading[[#This Row],[Memo 01]:[Memo 07]],-1)-1),"")</f>
        <v>45839</v>
      </c>
      <c r="Y1182" s="10" t="str">
        <f ca="1">IF(reading[[#This Row],[Next]]&lt;&gt;"",IF(reading[[#This Row],[Next]]&gt;TODAY(),"OK",""),"")</f>
        <v>OK</v>
      </c>
      <c r="Z1182" s="13">
        <v>3</v>
      </c>
      <c r="AA1182" s="13">
        <v>3</v>
      </c>
      <c r="AB1182" s="13">
        <v>3</v>
      </c>
      <c r="AC1182" s="13">
        <v>3</v>
      </c>
      <c r="AD1182" s="13">
        <v>3</v>
      </c>
      <c r="AE1182" s="13">
        <v>3</v>
      </c>
      <c r="AF1182" s="13"/>
      <c r="AG1182" s="16">
        <f>IFERROR(SUMIF(reading[[#This Row],[1st]:[7th]],"&gt;0")/COUNTIF(reading[[#This Row],[1st]:[7th]],"&gt;0"),"")</f>
        <v>3</v>
      </c>
    </row>
    <row r="1183" spans="1:33" hidden="1" x14ac:dyDescent="0.2">
      <c r="A1183" s="4">
        <f>IF(B1183=1,3,IF(D1183=1,2,IF(F1183=1,1,0)))</f>
        <v>0</v>
      </c>
      <c r="B1183" s="4" t="str">
        <f>IF(C1183=$L1183,1,IF(C1183="","",0))</f>
        <v/>
      </c>
      <c r="C1183" s="42"/>
      <c r="D1183" s="4" t="str">
        <f>IF(E1183=$L1183,1,IF(E1183="","",0))</f>
        <v/>
      </c>
      <c r="E1183" s="43"/>
      <c r="F1183" s="4" t="str">
        <f>IF(G1183=$L1183,1,IF(G1183="","",0))</f>
        <v/>
      </c>
      <c r="G1183" s="23"/>
      <c r="H1183" s="6">
        <v>2695</v>
      </c>
      <c r="I1183" s="15" t="s">
        <v>3120</v>
      </c>
      <c r="J1183" s="24" t="s">
        <v>9233</v>
      </c>
      <c r="K1183" s="15" t="s">
        <v>3138</v>
      </c>
      <c r="L1183" s="6" t="s">
        <v>2734</v>
      </c>
      <c r="M1183" s="6" t="s">
        <v>8800</v>
      </c>
      <c r="N1183" s="7">
        <f ca="1">RAND()</f>
        <v>0.63314530532766067</v>
      </c>
      <c r="O1183" s="8">
        <v>45221</v>
      </c>
      <c r="P1183" s="8">
        <v>45222</v>
      </c>
      <c r="Q1183" s="8">
        <v>45224</v>
      </c>
      <c r="R1183" s="8">
        <v>45228</v>
      </c>
      <c r="S1183" s="8">
        <v>45235</v>
      </c>
      <c r="T1183" s="8">
        <v>45252</v>
      </c>
      <c r="U1183" s="8">
        <v>45820</v>
      </c>
      <c r="V1183" s="10">
        <f>COUNTA(O1183:U1183)</f>
        <v>7</v>
      </c>
      <c r="W1183" s="11">
        <f>_xlfn.IFNA(INDEX(reading[[#This Row],[Memo 01]:[Memo 07]],MATCH(0,reading[[#This Row],[Memo 01]:[Memo 07]],-1)),"")</f>
        <v>45820</v>
      </c>
      <c r="X1183" s="11">
        <f ca="1">IFERROR(reading[[#This Row],[Previous]]+OFFSET(reading[[#Headers],[Memo 01]],-1,MATCH(0,reading[[#This Row],[Memo 01]:[Memo 07]],-1)-1),"")</f>
        <v>55820</v>
      </c>
      <c r="Y1183" s="10" t="str">
        <f ca="1">IF(reading[[#This Row],[Next]]&lt;&gt;"",IF(reading[[#This Row],[Next]]&gt;TODAY(),"OK",""),"")</f>
        <v>OK</v>
      </c>
      <c r="Z1183" s="13">
        <v>3</v>
      </c>
      <c r="AA1183" s="13">
        <v>2</v>
      </c>
      <c r="AB1183" s="13">
        <v>3</v>
      </c>
      <c r="AC1183" s="13">
        <v>2</v>
      </c>
      <c r="AD1183" s="13">
        <v>3</v>
      </c>
      <c r="AE1183" s="13">
        <v>2</v>
      </c>
      <c r="AF1183" s="13">
        <v>2</v>
      </c>
      <c r="AG1183" s="16">
        <f>IFERROR(SUMIF(reading[[#This Row],[1st]:[7th]],"&gt;0")/COUNTIF(reading[[#This Row],[1st]:[7th]],"&gt;0"),"")</f>
        <v>2.4285714285714284</v>
      </c>
    </row>
    <row r="1184" spans="1:33" hidden="1" x14ac:dyDescent="0.2">
      <c r="A1184" s="4">
        <f>IF(B1184=1,3,IF(D1184=1,2,IF(F1184=1,1,0)))</f>
        <v>0</v>
      </c>
      <c r="B1184" s="4" t="str">
        <f>IF(C1184=$L1184,1,IF(C1184="","",0))</f>
        <v/>
      </c>
      <c r="C1184" s="42"/>
      <c r="D1184" s="4" t="str">
        <f>IF(E1184=$L1184,1,IF(E1184="","",0))</f>
        <v/>
      </c>
      <c r="E1184" s="43"/>
      <c r="F1184" s="4" t="str">
        <f>IF(G1184=$L1184,1,IF(G1184="","",0))</f>
        <v/>
      </c>
      <c r="G1184" s="14"/>
      <c r="H1184" s="6">
        <v>1396</v>
      </c>
      <c r="I1184" s="15" t="s">
        <v>3120</v>
      </c>
      <c r="J1184" s="6" t="s">
        <v>4510</v>
      </c>
      <c r="K1184" s="6"/>
      <c r="L1184" s="6" t="s">
        <v>1488</v>
      </c>
      <c r="M1184" s="6" t="s">
        <v>7503</v>
      </c>
      <c r="N1184" s="7">
        <f ca="1">RAND()</f>
        <v>0.89860915445218903</v>
      </c>
      <c r="O1184" s="8">
        <v>45207</v>
      </c>
      <c r="P1184" s="8">
        <v>45208</v>
      </c>
      <c r="Q1184" s="8">
        <v>45210</v>
      </c>
      <c r="R1184" s="8">
        <v>45214</v>
      </c>
      <c r="S1184" s="8">
        <v>45221</v>
      </c>
      <c r="T1184" s="8">
        <v>45233</v>
      </c>
      <c r="U1184" s="8">
        <v>45816</v>
      </c>
      <c r="V1184" s="10">
        <f>COUNTA(O1184:U1184)</f>
        <v>7</v>
      </c>
      <c r="W1184" s="11">
        <f>_xlfn.IFNA(INDEX(reading[[#This Row],[Memo 01]:[Memo 07]],MATCH(0,reading[[#This Row],[Memo 01]:[Memo 07]],-1)),"")</f>
        <v>45816</v>
      </c>
      <c r="X1184" s="11">
        <f ca="1">IFERROR(reading[[#This Row],[Previous]]+OFFSET(reading[[#Headers],[Memo 01]],-1,MATCH(0,reading[[#This Row],[Memo 01]:[Memo 07]],-1)-1),"")</f>
        <v>55816</v>
      </c>
      <c r="Y1184" s="10" t="str">
        <f ca="1">IF(reading[[#This Row],[Next]]&lt;&gt;"",IF(reading[[#This Row],[Next]]&gt;TODAY(),"OK",""),"")</f>
        <v>OK</v>
      </c>
      <c r="Z1184" s="13">
        <v>3</v>
      </c>
      <c r="AA1184" s="13">
        <v>2</v>
      </c>
      <c r="AB1184" s="13">
        <v>3</v>
      </c>
      <c r="AC1184" s="13">
        <v>2</v>
      </c>
      <c r="AD1184" s="13">
        <v>3</v>
      </c>
      <c r="AE1184" s="13">
        <v>3</v>
      </c>
      <c r="AF1184" s="13">
        <v>2</v>
      </c>
      <c r="AG1184" s="16">
        <f>IFERROR(SUMIF(reading[[#This Row],[1st]:[7th]],"&gt;0")/COUNTIF(reading[[#This Row],[1st]:[7th]],"&gt;0"),"")</f>
        <v>2.5714285714285716</v>
      </c>
    </row>
    <row r="1185" spans="1:33" hidden="1" x14ac:dyDescent="0.2">
      <c r="A1185" s="4">
        <f>IF(B1185=1,3,IF(D1185=1,2,IF(F1185=1,1,0)))</f>
        <v>0</v>
      </c>
      <c r="B1185" s="4" t="str">
        <f>IF(C1185=$L1185,1,IF(C1185="","",0))</f>
        <v/>
      </c>
      <c r="C1185" s="42"/>
      <c r="D1185" s="4" t="str">
        <f>IF(E1185=$L1185,1,IF(E1185="","",0))</f>
        <v/>
      </c>
      <c r="E1185" s="14"/>
      <c r="F1185" s="4" t="str">
        <f>IF(G1185=$L1185,1,IF(G1185="","",0))</f>
        <v/>
      </c>
      <c r="G1185" s="14"/>
      <c r="H1185" s="6">
        <v>2617</v>
      </c>
      <c r="I1185" s="15" t="s">
        <v>3120</v>
      </c>
      <c r="J1185" s="6" t="s">
        <v>5672</v>
      </c>
      <c r="K1185" s="6"/>
      <c r="L1185" s="6" t="s">
        <v>83</v>
      </c>
      <c r="M1185" s="6" t="s">
        <v>8722</v>
      </c>
      <c r="N1185" s="7">
        <f ca="1">RAND()</f>
        <v>0.94444217114249607</v>
      </c>
      <c r="O1185" s="8">
        <v>45220</v>
      </c>
      <c r="P1185" s="8">
        <v>45221</v>
      </c>
      <c r="Q1185" s="8">
        <v>45223</v>
      </c>
      <c r="R1185" s="8">
        <v>45227</v>
      </c>
      <c r="S1185" s="8">
        <v>45234</v>
      </c>
      <c r="T1185" s="8">
        <v>45819</v>
      </c>
      <c r="U1185" s="8"/>
      <c r="V1185" s="10">
        <f>COUNTA(O1185:U1185)</f>
        <v>6</v>
      </c>
      <c r="W1185" s="11">
        <f>_xlfn.IFNA(INDEX(reading[[#This Row],[Memo 01]:[Memo 07]],MATCH(0,reading[[#This Row],[Memo 01]:[Memo 07]],-1)),"")</f>
        <v>45819</v>
      </c>
      <c r="X1185" s="11">
        <f ca="1">IFERROR(reading[[#This Row],[Previous]]+OFFSET(reading[[#Headers],[Memo 01]],-1,MATCH(0,reading[[#This Row],[Memo 01]:[Memo 07]],-1)-1),"")</f>
        <v>45839</v>
      </c>
      <c r="Y1185" s="10" t="str">
        <f ca="1">IF(reading[[#This Row],[Next]]&lt;&gt;"",IF(reading[[#This Row],[Next]]&gt;TODAY(),"OK",""),"")</f>
        <v>OK</v>
      </c>
      <c r="Z1185" s="13">
        <v>3</v>
      </c>
      <c r="AA1185" s="13">
        <v>3</v>
      </c>
      <c r="AB1185" s="13">
        <v>3</v>
      </c>
      <c r="AC1185" s="13">
        <v>3</v>
      </c>
      <c r="AD1185" s="13">
        <v>3</v>
      </c>
      <c r="AE1185" s="13">
        <v>3</v>
      </c>
      <c r="AF1185" s="13"/>
      <c r="AG1185" s="16">
        <f>IFERROR(SUMIF(reading[[#This Row],[1st]:[7th]],"&gt;0")/COUNTIF(reading[[#This Row],[1st]:[7th]],"&gt;0"),"")</f>
        <v>3</v>
      </c>
    </row>
    <row r="1186" spans="1:33" hidden="1" x14ac:dyDescent="0.2">
      <c r="A1186" s="4">
        <f>IF(B1186=1,3,IF(D1186=1,2,IF(F1186=1,1,0)))</f>
        <v>0</v>
      </c>
      <c r="B1186" s="4" t="str">
        <f>IF(C1186=$L1186,1,IF(C1186="","",0))</f>
        <v/>
      </c>
      <c r="C1186" s="42"/>
      <c r="D1186" s="4" t="str">
        <f>IF(E1186=$L1186,1,IF(E1186="","",0))</f>
        <v/>
      </c>
      <c r="E1186" s="14"/>
      <c r="F1186" s="4" t="str">
        <f>IF(G1186=$L1186,1,IF(G1186="","",0))</f>
        <v/>
      </c>
      <c r="G1186" s="14"/>
      <c r="H1186" s="6">
        <v>1948</v>
      </c>
      <c r="I1186" s="15" t="s">
        <v>3120</v>
      </c>
      <c r="J1186" s="6" t="s">
        <v>5047</v>
      </c>
      <c r="K1186" s="15" t="s">
        <v>3138</v>
      </c>
      <c r="L1186" s="6" t="s">
        <v>2023</v>
      </c>
      <c r="M1186" s="6" t="s">
        <v>8054</v>
      </c>
      <c r="N1186" s="7">
        <f ca="1">RAND()</f>
        <v>0.56983232910000026</v>
      </c>
      <c r="O1186" s="8">
        <v>45212</v>
      </c>
      <c r="P1186" s="8">
        <v>45213</v>
      </c>
      <c r="Q1186" s="8">
        <v>45215</v>
      </c>
      <c r="R1186" s="8">
        <v>45219</v>
      </c>
      <c r="S1186" s="8">
        <v>45226</v>
      </c>
      <c r="T1186" s="8">
        <v>45819</v>
      </c>
      <c r="U1186" s="8"/>
      <c r="V1186" s="10">
        <f>COUNTA(O1186:U1186)</f>
        <v>6</v>
      </c>
      <c r="W1186" s="11">
        <f>_xlfn.IFNA(INDEX(reading[[#This Row],[Memo 01]:[Memo 07]],MATCH(0,reading[[#This Row],[Memo 01]:[Memo 07]],-1)),"")</f>
        <v>45819</v>
      </c>
      <c r="X1186" s="11">
        <f ca="1">IFERROR(reading[[#This Row],[Previous]]+OFFSET(reading[[#Headers],[Memo 01]],-1,MATCH(0,reading[[#This Row],[Memo 01]:[Memo 07]],-1)-1),"")</f>
        <v>45839</v>
      </c>
      <c r="Y1186" s="10" t="str">
        <f ca="1">IF(reading[[#This Row],[Next]]&lt;&gt;"",IF(reading[[#This Row],[Next]]&gt;TODAY(),"OK",""),"")</f>
        <v>OK</v>
      </c>
      <c r="Z1186" s="13">
        <v>3</v>
      </c>
      <c r="AA1186" s="13">
        <v>3</v>
      </c>
      <c r="AB1186" s="13">
        <v>3</v>
      </c>
      <c r="AC1186" s="13">
        <v>3</v>
      </c>
      <c r="AD1186" s="13">
        <v>3</v>
      </c>
      <c r="AE1186" s="13">
        <v>3</v>
      </c>
      <c r="AF1186" s="13"/>
      <c r="AG1186" s="16">
        <f>IFERROR(SUMIF(reading[[#This Row],[1st]:[7th]],"&gt;0")/COUNTIF(reading[[#This Row],[1st]:[7th]],"&gt;0"),"")</f>
        <v>3</v>
      </c>
    </row>
    <row r="1187" spans="1:33" hidden="1" x14ac:dyDescent="0.2">
      <c r="A1187" s="4">
        <f>IF(B1187=1,3,IF(D1187=1,2,IF(F1187=1,1,0)))</f>
        <v>0</v>
      </c>
      <c r="B1187" s="4" t="str">
        <f>IF(C1187=$L1187,1,IF(C1187="","",0))</f>
        <v/>
      </c>
      <c r="C1187" s="42"/>
      <c r="D1187" s="4" t="str">
        <f>IF(E1187=$L1187,1,IF(E1187="","",0))</f>
        <v/>
      </c>
      <c r="E1187" s="14"/>
      <c r="F1187" s="4" t="str">
        <f>IF(G1187=$L1187,1,IF(G1187="","",0))</f>
        <v/>
      </c>
      <c r="G1187" s="14"/>
      <c r="H1187" s="6">
        <v>1848</v>
      </c>
      <c r="I1187" s="15" t="s">
        <v>3120</v>
      </c>
      <c r="J1187" s="6" t="s">
        <v>4951</v>
      </c>
      <c r="K1187" s="6"/>
      <c r="L1187" s="6" t="s">
        <v>1926</v>
      </c>
      <c r="M1187" s="6" t="s">
        <v>7954</v>
      </c>
      <c r="N1187" s="7">
        <f ca="1">RAND()</f>
        <v>3.7006040942751728E-2</v>
      </c>
      <c r="O1187" s="8">
        <v>45212</v>
      </c>
      <c r="P1187" s="8">
        <v>45213</v>
      </c>
      <c r="Q1187" s="8">
        <v>45215</v>
      </c>
      <c r="R1187" s="8">
        <v>45219</v>
      </c>
      <c r="S1187" s="8">
        <v>45226</v>
      </c>
      <c r="T1187" s="8">
        <v>45819</v>
      </c>
      <c r="U1187" s="8"/>
      <c r="V1187" s="10">
        <f>COUNTA(O1187:U1187)</f>
        <v>6</v>
      </c>
      <c r="W1187" s="11">
        <f>_xlfn.IFNA(INDEX(reading[[#This Row],[Memo 01]:[Memo 07]],MATCH(0,reading[[#This Row],[Memo 01]:[Memo 07]],-1)),"")</f>
        <v>45819</v>
      </c>
      <c r="X1187" s="11">
        <f ca="1">IFERROR(reading[[#This Row],[Previous]]+OFFSET(reading[[#Headers],[Memo 01]],-1,MATCH(0,reading[[#This Row],[Memo 01]:[Memo 07]],-1)-1),"")</f>
        <v>45839</v>
      </c>
      <c r="Y1187" s="10" t="str">
        <f ca="1">IF(reading[[#This Row],[Next]]&lt;&gt;"",IF(reading[[#This Row],[Next]]&gt;TODAY(),"OK",""),"")</f>
        <v>OK</v>
      </c>
      <c r="Z1187" s="13">
        <v>3</v>
      </c>
      <c r="AA1187" s="13">
        <v>3</v>
      </c>
      <c r="AB1187" s="13">
        <v>3</v>
      </c>
      <c r="AC1187" s="13">
        <v>3</v>
      </c>
      <c r="AD1187" s="13">
        <v>3</v>
      </c>
      <c r="AE1187" s="13">
        <v>3</v>
      </c>
      <c r="AF1187" s="13"/>
      <c r="AG1187" s="16">
        <f>IFERROR(SUMIF(reading[[#This Row],[1st]:[7th]],"&gt;0")/COUNTIF(reading[[#This Row],[1st]:[7th]],"&gt;0"),"")</f>
        <v>3</v>
      </c>
    </row>
    <row r="1188" spans="1:33" hidden="1" x14ac:dyDescent="0.2">
      <c r="A1188" s="4">
        <f>IF(B1188=1,3,IF(D1188=1,2,IF(F1188=1,1,0)))</f>
        <v>0</v>
      </c>
      <c r="B1188" s="4" t="str">
        <f>IF(C1188=$L1188,1,IF(C1188="","",0))</f>
        <v/>
      </c>
      <c r="C1188" s="42"/>
      <c r="D1188" s="4" t="str">
        <f>IF(E1188=$L1188,1,IF(E1188="","",0))</f>
        <v/>
      </c>
      <c r="E1188" s="23"/>
      <c r="F1188" s="4" t="str">
        <f>IF(G1188=$L1188,1,IF(G1188="","",0))</f>
        <v/>
      </c>
      <c r="G1188" s="23"/>
      <c r="H1188" s="6">
        <v>2870</v>
      </c>
      <c r="I1188" s="15" t="s">
        <v>3120</v>
      </c>
      <c r="J1188" s="6" t="s">
        <v>5908</v>
      </c>
      <c r="K1188" s="6"/>
      <c r="L1188" s="6" t="s">
        <v>2901</v>
      </c>
      <c r="M1188" s="6" t="s">
        <v>8974</v>
      </c>
      <c r="N1188" s="7">
        <f ca="1">RAND()</f>
        <v>0.66787000582374445</v>
      </c>
      <c r="O1188" s="8">
        <v>45222</v>
      </c>
      <c r="P1188" s="8">
        <v>45223</v>
      </c>
      <c r="Q1188" s="8">
        <v>45225</v>
      </c>
      <c r="R1188" s="8">
        <v>45229</v>
      </c>
      <c r="S1188" s="8">
        <v>45236</v>
      </c>
      <c r="T1188" s="8">
        <v>45820</v>
      </c>
      <c r="U1188" s="8"/>
      <c r="V1188" s="10">
        <f>COUNTA(O1188:U1188)</f>
        <v>6</v>
      </c>
      <c r="W1188" s="11">
        <f>_xlfn.IFNA(INDEX(reading[[#This Row],[Memo 01]:[Memo 07]],MATCH(0,reading[[#This Row],[Memo 01]:[Memo 07]],-1)),"")</f>
        <v>45820</v>
      </c>
      <c r="X1188" s="11">
        <f ca="1">IFERROR(reading[[#This Row],[Previous]]+OFFSET(reading[[#Headers],[Memo 01]],-1,MATCH(0,reading[[#This Row],[Memo 01]:[Memo 07]],-1)-1),"")</f>
        <v>45840</v>
      </c>
      <c r="Y1188" s="10" t="str">
        <f ca="1">IF(reading[[#This Row],[Next]]&lt;&gt;"",IF(reading[[#This Row],[Next]]&gt;TODAY(),"OK",""),"")</f>
        <v>OK</v>
      </c>
      <c r="Z1188" s="13">
        <v>3</v>
      </c>
      <c r="AA1188" s="13">
        <v>3</v>
      </c>
      <c r="AB1188" s="13">
        <v>3</v>
      </c>
      <c r="AC1188" s="13">
        <v>3</v>
      </c>
      <c r="AD1188" s="13">
        <v>3</v>
      </c>
      <c r="AE1188" s="13">
        <v>2</v>
      </c>
      <c r="AF1188" s="13"/>
      <c r="AG1188" s="16">
        <f>IFERROR(SUMIF(reading[[#This Row],[1st]:[7th]],"&gt;0")/COUNTIF(reading[[#This Row],[1st]:[7th]],"&gt;0"),"")</f>
        <v>2.8333333333333335</v>
      </c>
    </row>
    <row r="1189" spans="1:33" hidden="1" x14ac:dyDescent="0.2">
      <c r="A1189" s="4">
        <f>IF(B1189=1,3,IF(D1189=1,2,IF(F1189=1,1,0)))</f>
        <v>3</v>
      </c>
      <c r="B1189" s="4">
        <f>IF(C1189=$L1189,1,IF(C1189="","",0))</f>
        <v>1</v>
      </c>
      <c r="C1189" s="26" t="s">
        <v>1295</v>
      </c>
      <c r="D1189" s="4" t="str">
        <f>IF(E1189=$L1189,1,IF(E1189="","",0))</f>
        <v/>
      </c>
      <c r="E1189" s="14"/>
      <c r="F1189" s="4" t="str">
        <f>IF(G1189=$L1189,1,IF(G1189="","",0))</f>
        <v/>
      </c>
      <c r="G1189" s="14"/>
      <c r="H1189" s="6">
        <v>1193</v>
      </c>
      <c r="I1189" s="15" t="s">
        <v>3120</v>
      </c>
      <c r="J1189" s="6" t="s">
        <v>4312</v>
      </c>
      <c r="K1189" s="6"/>
      <c r="L1189" s="6" t="s">
        <v>1295</v>
      </c>
      <c r="M1189" s="6" t="s">
        <v>7300</v>
      </c>
      <c r="N1189" s="7">
        <f ca="1">RAND()</f>
        <v>0.47014848740302095</v>
      </c>
      <c r="O1189" s="8">
        <v>45206</v>
      </c>
      <c r="P1189" s="8">
        <v>45206</v>
      </c>
      <c r="Q1189" s="8">
        <v>45206</v>
      </c>
      <c r="R1189" s="8">
        <v>45206</v>
      </c>
      <c r="S1189" s="8">
        <v>45206</v>
      </c>
      <c r="T1189" s="8">
        <v>45206</v>
      </c>
      <c r="U1189" s="8">
        <v>45206</v>
      </c>
      <c r="V1189" s="10">
        <f>COUNTA(O1189:U1189)</f>
        <v>7</v>
      </c>
      <c r="W1189" s="11">
        <f>_xlfn.IFNA(INDEX(reading[[#This Row],[Memo 01]:[Memo 07]],MATCH(0,reading[[#This Row],[Memo 01]:[Memo 07]],-1)),"")</f>
        <v>45206</v>
      </c>
      <c r="X1189" s="11">
        <f ca="1">IFERROR(reading[[#This Row],[Previous]]+OFFSET(reading[[#Headers],[Memo 01]],-1,MATCH(0,reading[[#This Row],[Memo 01]:[Memo 07]],-1)-1),"")</f>
        <v>55206</v>
      </c>
      <c r="Y1189" s="10" t="str">
        <f ca="1">IF(reading[[#This Row],[Next]]&lt;&gt;"",IF(reading[[#This Row],[Next]]&gt;TODAY(),"OK",""),"")</f>
        <v>OK</v>
      </c>
      <c r="Z1189" s="13">
        <v>3</v>
      </c>
      <c r="AA1189" s="13"/>
      <c r="AB1189" s="13"/>
      <c r="AC1189" s="13"/>
      <c r="AD1189" s="13"/>
      <c r="AE1189" s="13"/>
      <c r="AF1189" s="13"/>
      <c r="AG1189" s="16">
        <f>IFERROR(SUMIF(reading[[#This Row],[1st]:[7th]],"&gt;0")/COUNTIF(reading[[#This Row],[1st]:[7th]],"&gt;0"),"")</f>
        <v>3</v>
      </c>
    </row>
    <row r="1190" spans="1:33" hidden="1" x14ac:dyDescent="0.2">
      <c r="A1190" s="4">
        <f>IF(B1190=1,3,IF(D1190=1,2,IF(F1190=1,1,0)))</f>
        <v>0</v>
      </c>
      <c r="B1190" s="4" t="str">
        <f>IF(C1190=$L1190,1,IF(C1190="","",0))</f>
        <v/>
      </c>
      <c r="C1190" s="42"/>
      <c r="D1190" s="4" t="str">
        <f>IF(E1190=$L1190,1,IF(E1190="","",0))</f>
        <v/>
      </c>
      <c r="E1190" s="23"/>
      <c r="F1190" s="4" t="str">
        <f>IF(G1190=$L1190,1,IF(G1190="","",0))</f>
        <v/>
      </c>
      <c r="G1190" s="14"/>
      <c r="H1190" s="6">
        <v>195</v>
      </c>
      <c r="I1190" s="15" t="s">
        <v>3120</v>
      </c>
      <c r="J1190" s="6" t="s">
        <v>3344</v>
      </c>
      <c r="K1190" s="24" t="s">
        <v>9231</v>
      </c>
      <c r="L1190" s="6" t="s">
        <v>331</v>
      </c>
      <c r="M1190" s="6" t="s">
        <v>6304</v>
      </c>
      <c r="N1190" s="7">
        <f ca="1">RAND()</f>
        <v>0.54925094236043037</v>
      </c>
      <c r="O1190" s="8">
        <v>45199</v>
      </c>
      <c r="P1190" s="8">
        <v>45200</v>
      </c>
      <c r="Q1190" s="8">
        <v>45202</v>
      </c>
      <c r="R1190" s="8">
        <v>45206</v>
      </c>
      <c r="S1190" s="8">
        <v>45213</v>
      </c>
      <c r="T1190" s="8">
        <v>45225</v>
      </c>
      <c r="U1190" s="8">
        <v>45816</v>
      </c>
      <c r="V1190" s="10">
        <f>COUNTA(O1190:U1190)</f>
        <v>7</v>
      </c>
      <c r="W1190" s="11">
        <f>_xlfn.IFNA(INDEX(reading[[#This Row],[Memo 01]:[Memo 07]],MATCH(0,reading[[#This Row],[Memo 01]:[Memo 07]],-1)),"")</f>
        <v>45816</v>
      </c>
      <c r="X1190" s="11">
        <f ca="1">IFERROR(reading[[#This Row],[Previous]]+OFFSET(reading[[#Headers],[Memo 01]],-1,MATCH(0,reading[[#This Row],[Memo 01]:[Memo 07]],-1)-1),"")</f>
        <v>55816</v>
      </c>
      <c r="Y1190" s="10" t="str">
        <f ca="1">IF(reading[[#This Row],[Next]]&lt;&gt;"",IF(reading[[#This Row],[Next]]&gt;TODAY(),"OK",""),"")</f>
        <v>OK</v>
      </c>
      <c r="Z1190" s="13">
        <v>3</v>
      </c>
      <c r="AA1190" s="13">
        <v>3</v>
      </c>
      <c r="AB1190" s="13">
        <v>3</v>
      </c>
      <c r="AC1190" s="13">
        <v>3</v>
      </c>
      <c r="AD1190" s="13">
        <v>3</v>
      </c>
      <c r="AE1190" s="13">
        <v>3</v>
      </c>
      <c r="AF1190" s="13">
        <v>2</v>
      </c>
      <c r="AG1190" s="16">
        <f>IFERROR(SUMIF(reading[[#This Row],[1st]:[7th]],"&gt;0")/COUNTIF(reading[[#This Row],[1st]:[7th]],"&gt;0"),"")</f>
        <v>2.8571428571428572</v>
      </c>
    </row>
    <row r="1191" spans="1:33" hidden="1" x14ac:dyDescent="0.2">
      <c r="A1191" s="4">
        <f>IF(B1191=1,3,IF(D1191=1,2,IF(F1191=1,1,0)))</f>
        <v>0</v>
      </c>
      <c r="B1191" s="4" t="str">
        <f>IF(C1191=$L1191,1,IF(C1191="","",0))</f>
        <v/>
      </c>
      <c r="C1191" s="42"/>
      <c r="D1191" s="4" t="str">
        <f>IF(E1191=$L1191,1,IF(E1191="","",0))</f>
        <v/>
      </c>
      <c r="E1191" s="23"/>
      <c r="F1191" s="4" t="str">
        <f>IF(G1191=$L1191,1,IF(G1191="","",0))</f>
        <v/>
      </c>
      <c r="G1191" s="14"/>
      <c r="H1191" s="6">
        <v>707</v>
      </c>
      <c r="I1191" s="15" t="s">
        <v>3120</v>
      </c>
      <c r="J1191" s="6" t="s">
        <v>3846</v>
      </c>
      <c r="K1191" s="6"/>
      <c r="L1191" s="6" t="s">
        <v>829</v>
      </c>
      <c r="M1191" s="6" t="s">
        <v>6816</v>
      </c>
      <c r="N1191" s="7">
        <f ca="1">RAND()</f>
        <v>0.92369330258020577</v>
      </c>
      <c r="O1191" s="8">
        <v>45203</v>
      </c>
      <c r="P1191" s="8">
        <v>45204</v>
      </c>
      <c r="Q1191" s="8">
        <v>45206</v>
      </c>
      <c r="R1191" s="8">
        <v>45210</v>
      </c>
      <c r="S1191" s="8">
        <v>45217</v>
      </c>
      <c r="T1191" s="8">
        <v>45229</v>
      </c>
      <c r="U1191" s="8">
        <v>45820</v>
      </c>
      <c r="V1191" s="10">
        <f>COUNTA(O1191:U1191)</f>
        <v>7</v>
      </c>
      <c r="W1191" s="11">
        <f>_xlfn.IFNA(INDEX(reading[[#This Row],[Memo 01]:[Memo 07]],MATCH(0,reading[[#This Row],[Memo 01]:[Memo 07]],-1)),"")</f>
        <v>45820</v>
      </c>
      <c r="X1191" s="11">
        <f ca="1">IFERROR(reading[[#This Row],[Previous]]+OFFSET(reading[[#Headers],[Memo 01]],-1,MATCH(0,reading[[#This Row],[Memo 01]:[Memo 07]],-1)-1),"")</f>
        <v>55820</v>
      </c>
      <c r="Y1191" s="10" t="str">
        <f ca="1">IF(reading[[#This Row],[Next]]&lt;&gt;"",IF(reading[[#This Row],[Next]]&gt;TODAY(),"OK",""),"")</f>
        <v>OK</v>
      </c>
      <c r="Z1191" s="13">
        <v>3</v>
      </c>
      <c r="AA1191" s="13">
        <v>3</v>
      </c>
      <c r="AB1191" s="13">
        <v>3</v>
      </c>
      <c r="AC1191" s="13">
        <v>3</v>
      </c>
      <c r="AD1191" s="13">
        <v>3</v>
      </c>
      <c r="AE1191" s="13">
        <v>3</v>
      </c>
      <c r="AF1191" s="13">
        <v>2</v>
      </c>
      <c r="AG1191" s="16">
        <f>IFERROR(SUMIF(reading[[#This Row],[1st]:[7th]],"&gt;0")/COUNTIF(reading[[#This Row],[1st]:[7th]],"&gt;0"),"")</f>
        <v>2.8571428571428572</v>
      </c>
    </row>
    <row r="1192" spans="1:33" hidden="1" x14ac:dyDescent="0.2">
      <c r="A1192" s="4">
        <f>IF(B1192=1,3,IF(D1192=1,2,IF(F1192=1,1,0)))</f>
        <v>0</v>
      </c>
      <c r="B1192" s="4" t="str">
        <f>IF(C1192=$L1192,1,IF(C1192="","",0))</f>
        <v/>
      </c>
      <c r="C1192" s="42"/>
      <c r="D1192" s="4" t="str">
        <f>IF(E1192=$L1192,1,IF(E1192="","",0))</f>
        <v/>
      </c>
      <c r="E1192" s="14"/>
      <c r="F1192" s="4" t="str">
        <f>IF(G1192=$L1192,1,IF(G1192="","",0))</f>
        <v/>
      </c>
      <c r="G1192" s="14"/>
      <c r="H1192" s="6">
        <v>2223</v>
      </c>
      <c r="I1192" s="15" t="s">
        <v>3120</v>
      </c>
      <c r="J1192" s="6" t="s">
        <v>5309</v>
      </c>
      <c r="K1192" s="6"/>
      <c r="L1192" s="6" t="s">
        <v>2286</v>
      </c>
      <c r="M1192" s="6" t="s">
        <v>8329</v>
      </c>
      <c r="N1192" s="7">
        <f ca="1">RAND()</f>
        <v>8.4143372839514674E-2</v>
      </c>
      <c r="O1192" s="8">
        <v>45215</v>
      </c>
      <c r="P1192" s="8">
        <v>45216</v>
      </c>
      <c r="Q1192" s="8">
        <v>45218</v>
      </c>
      <c r="R1192" s="8">
        <v>45222</v>
      </c>
      <c r="S1192" s="8">
        <v>45229</v>
      </c>
      <c r="T1192" s="8">
        <v>45783</v>
      </c>
      <c r="U1192" s="8">
        <v>45819</v>
      </c>
      <c r="V1192" s="10">
        <f>COUNTA(O1192:U1192)</f>
        <v>7</v>
      </c>
      <c r="W1192" s="11">
        <f>_xlfn.IFNA(INDEX(reading[[#This Row],[Memo 01]:[Memo 07]],MATCH(0,reading[[#This Row],[Memo 01]:[Memo 07]],-1)),"")</f>
        <v>45819</v>
      </c>
      <c r="X1192" s="11">
        <f ca="1">IFERROR(reading[[#This Row],[Previous]]+OFFSET(reading[[#Headers],[Memo 01]],-1,MATCH(0,reading[[#This Row],[Memo 01]:[Memo 07]],-1)-1),"")</f>
        <v>55819</v>
      </c>
      <c r="Y1192" s="10" t="str">
        <f ca="1">IF(reading[[#This Row],[Next]]&lt;&gt;"",IF(reading[[#This Row],[Next]]&gt;TODAY(),"OK",""),"")</f>
        <v>OK</v>
      </c>
      <c r="Z1192" s="13">
        <v>3</v>
      </c>
      <c r="AA1192" s="13">
        <v>3</v>
      </c>
      <c r="AB1192" s="13">
        <v>3</v>
      </c>
      <c r="AC1192" s="13">
        <v>3</v>
      </c>
      <c r="AD1192" s="13">
        <v>3</v>
      </c>
      <c r="AE1192" s="13">
        <v>3</v>
      </c>
      <c r="AF1192" s="13">
        <v>3</v>
      </c>
      <c r="AG1192" s="16">
        <f>IFERROR(SUMIF(reading[[#This Row],[1st]:[7th]],"&gt;0")/COUNTIF(reading[[#This Row],[1st]:[7th]],"&gt;0"),"")</f>
        <v>3</v>
      </c>
    </row>
    <row r="1193" spans="1:33" hidden="1" x14ac:dyDescent="0.2">
      <c r="A1193" s="4">
        <f>IF(B1193=1,3,IF(D1193=1,2,IF(F1193=1,1,0)))</f>
        <v>0</v>
      </c>
      <c r="B1193" s="4" t="str">
        <f>IF(C1193=$L1193,1,IF(C1193="","",0))</f>
        <v/>
      </c>
      <c r="C1193" s="42"/>
      <c r="D1193" s="4" t="str">
        <f>IF(E1193=$L1193,1,IF(E1193="","",0))</f>
        <v/>
      </c>
      <c r="E1193" s="23"/>
      <c r="F1193" s="4" t="str">
        <f>IF(G1193=$L1193,1,IF(G1193="","",0))</f>
        <v/>
      </c>
      <c r="G1193" s="14"/>
      <c r="H1193" s="6">
        <v>2160</v>
      </c>
      <c r="I1193" s="15" t="s">
        <v>3120</v>
      </c>
      <c r="J1193" s="6" t="s">
        <v>5248</v>
      </c>
      <c r="K1193" s="6"/>
      <c r="L1193" s="6" t="s">
        <v>2226</v>
      </c>
      <c r="M1193" s="6" t="s">
        <v>8266</v>
      </c>
      <c r="N1193" s="7">
        <f ca="1">RAND()</f>
        <v>0.56479477495687413</v>
      </c>
      <c r="O1193" s="8">
        <v>45216</v>
      </c>
      <c r="P1193" s="8">
        <v>45217</v>
      </c>
      <c r="Q1193" s="8">
        <v>45219</v>
      </c>
      <c r="R1193" s="8">
        <v>45223</v>
      </c>
      <c r="S1193" s="8">
        <v>45230</v>
      </c>
      <c r="T1193" s="8">
        <v>45820</v>
      </c>
      <c r="U1193" s="8"/>
      <c r="V1193" s="10">
        <f>COUNTA(O1193:U1193)</f>
        <v>6</v>
      </c>
      <c r="W1193" s="11">
        <f>_xlfn.IFNA(INDEX(reading[[#This Row],[Memo 01]:[Memo 07]],MATCH(0,reading[[#This Row],[Memo 01]:[Memo 07]],-1)),"")</f>
        <v>45820</v>
      </c>
      <c r="X1193" s="11">
        <f ca="1">IFERROR(reading[[#This Row],[Previous]]+OFFSET(reading[[#Headers],[Memo 01]],-1,MATCH(0,reading[[#This Row],[Memo 01]:[Memo 07]],-1)-1),"")</f>
        <v>45840</v>
      </c>
      <c r="Y1193" s="10" t="str">
        <f ca="1">IF(reading[[#This Row],[Next]]&lt;&gt;"",IF(reading[[#This Row],[Next]]&gt;TODAY(),"OK",""),"")</f>
        <v>OK</v>
      </c>
      <c r="Z1193" s="13">
        <v>3</v>
      </c>
      <c r="AA1193" s="13">
        <v>3</v>
      </c>
      <c r="AB1193" s="13">
        <v>3</v>
      </c>
      <c r="AC1193" s="13">
        <v>3</v>
      </c>
      <c r="AD1193" s="13">
        <v>3</v>
      </c>
      <c r="AE1193" s="13">
        <v>2</v>
      </c>
      <c r="AF1193" s="13"/>
      <c r="AG1193" s="16">
        <f>IFERROR(SUMIF(reading[[#This Row],[1st]:[7th]],"&gt;0")/COUNTIF(reading[[#This Row],[1st]:[7th]],"&gt;0"),"")</f>
        <v>2.8333333333333335</v>
      </c>
    </row>
    <row r="1194" spans="1:33" hidden="1" x14ac:dyDescent="0.2">
      <c r="A1194" s="4">
        <f>IF(B1194=1,3,IF(D1194=1,2,IF(F1194=1,1,0)))</f>
        <v>0</v>
      </c>
      <c r="B1194" s="4" t="str">
        <f>IF(C1194=$L1194,1,IF(C1194="","",0))</f>
        <v/>
      </c>
      <c r="C1194" s="42"/>
      <c r="D1194" s="4" t="str">
        <f>IF(E1194=$L1194,1,IF(E1194="","",0))</f>
        <v/>
      </c>
      <c r="E1194" s="23"/>
      <c r="F1194" s="4" t="str">
        <f>IF(G1194=$L1194,1,IF(G1194="","",0))</f>
        <v/>
      </c>
      <c r="G1194" s="18"/>
      <c r="H1194" s="6">
        <v>1239</v>
      </c>
      <c r="I1194" s="15" t="s">
        <v>3120</v>
      </c>
      <c r="J1194" s="6" t="s">
        <v>4356</v>
      </c>
      <c r="K1194" s="6"/>
      <c r="L1194" s="6" t="s">
        <v>1339</v>
      </c>
      <c r="M1194" s="6" t="s">
        <v>7346</v>
      </c>
      <c r="N1194" s="7">
        <f ca="1">RAND()</f>
        <v>0.96099467920745452</v>
      </c>
      <c r="O1194" s="8">
        <v>45206</v>
      </c>
      <c r="P1194" s="8">
        <v>45207</v>
      </c>
      <c r="Q1194" s="8">
        <v>45209</v>
      </c>
      <c r="R1194" s="8">
        <v>45213</v>
      </c>
      <c r="S1194" s="8">
        <v>45220</v>
      </c>
      <c r="T1194" s="8">
        <v>45232</v>
      </c>
      <c r="U1194" s="8">
        <v>45253</v>
      </c>
      <c r="V1194" s="10">
        <f>COUNTA(O1194:U1194)</f>
        <v>7</v>
      </c>
      <c r="W1194" s="11">
        <f>_xlfn.IFNA(INDEX(reading[[#This Row],[Memo 01]:[Memo 07]],MATCH(0,reading[[#This Row],[Memo 01]:[Memo 07]],-1)),"")</f>
        <v>45253</v>
      </c>
      <c r="X1194" s="11">
        <f ca="1">IFERROR(reading[[#This Row],[Previous]]+OFFSET(reading[[#Headers],[Memo 01]],-1,MATCH(0,reading[[#This Row],[Memo 01]:[Memo 07]],-1)-1),"")</f>
        <v>55253</v>
      </c>
      <c r="Y1194" s="10" t="str">
        <f ca="1">IF(reading[[#This Row],[Next]]&lt;&gt;"",IF(reading[[#This Row],[Next]]&gt;TODAY(),"OK",""),"")</f>
        <v>OK</v>
      </c>
      <c r="Z1194" s="13">
        <v>3</v>
      </c>
      <c r="AA1194" s="13">
        <v>3</v>
      </c>
      <c r="AB1194" s="13">
        <v>2</v>
      </c>
      <c r="AC1194" s="13">
        <v>1</v>
      </c>
      <c r="AD1194" s="13">
        <v>1</v>
      </c>
      <c r="AE1194" s="13">
        <v>3</v>
      </c>
      <c r="AF1194" s="13">
        <v>2</v>
      </c>
      <c r="AG1194" s="16">
        <f>IFERROR(SUMIF(reading[[#This Row],[1st]:[7th]],"&gt;0")/COUNTIF(reading[[#This Row],[1st]:[7th]],"&gt;0"),"")</f>
        <v>2.1428571428571428</v>
      </c>
    </row>
    <row r="1195" spans="1:33" hidden="1" x14ac:dyDescent="0.2">
      <c r="A1195" s="4">
        <f>IF(B1195=1,3,IF(D1195=1,2,IF(F1195=1,1,0)))</f>
        <v>0</v>
      </c>
      <c r="B1195" s="4" t="str">
        <f>IF(C1195=$L1195,1,IF(C1195="","",0))</f>
        <v/>
      </c>
      <c r="C1195" s="43"/>
      <c r="D1195" s="4" t="str">
        <f>IF(E1195=$L1195,1,IF(E1195="","",0))</f>
        <v/>
      </c>
      <c r="E1195" s="23"/>
      <c r="F1195" s="4" t="str">
        <f>IF(G1195=$L1195,1,IF(G1195="","",0))</f>
        <v/>
      </c>
      <c r="G1195" s="14"/>
      <c r="H1195" s="6">
        <v>248</v>
      </c>
      <c r="I1195" s="15" t="s">
        <v>3120</v>
      </c>
      <c r="J1195" s="6" t="s">
        <v>3397</v>
      </c>
      <c r="K1195" s="6"/>
      <c r="L1195" s="6" t="s">
        <v>383</v>
      </c>
      <c r="M1195" s="6" t="s">
        <v>6357</v>
      </c>
      <c r="N1195" s="7">
        <f ca="1">RAND()</f>
        <v>0.14381835313324498</v>
      </c>
      <c r="O1195" s="8">
        <v>45199</v>
      </c>
      <c r="P1195" s="8">
        <v>45200</v>
      </c>
      <c r="Q1195" s="8">
        <v>45202</v>
      </c>
      <c r="R1195" s="8">
        <v>45206</v>
      </c>
      <c r="S1195" s="8">
        <v>45213</v>
      </c>
      <c r="T1195" s="8">
        <v>45225</v>
      </c>
      <c r="U1195" s="8">
        <v>45820</v>
      </c>
      <c r="V1195" s="10">
        <f>COUNTA(O1195:U1195)</f>
        <v>7</v>
      </c>
      <c r="W1195" s="11">
        <f>_xlfn.IFNA(INDEX(reading[[#This Row],[Memo 01]:[Memo 07]],MATCH(0,reading[[#This Row],[Memo 01]:[Memo 07]],-1)),"")</f>
        <v>45820</v>
      </c>
      <c r="X1195" s="11">
        <f ca="1">IFERROR(reading[[#This Row],[Previous]]+OFFSET(reading[[#Headers],[Memo 01]],-1,MATCH(0,reading[[#This Row],[Memo 01]:[Memo 07]],-1)-1),"")</f>
        <v>55820</v>
      </c>
      <c r="Y1195" s="10" t="str">
        <f ca="1">IF(reading[[#This Row],[Next]]&lt;&gt;"",IF(reading[[#This Row],[Next]]&gt;TODAY(),"OK",""),"")</f>
        <v>OK</v>
      </c>
      <c r="Z1195" s="13">
        <v>3</v>
      </c>
      <c r="AA1195" s="13">
        <v>3</v>
      </c>
      <c r="AB1195" s="13">
        <v>3</v>
      </c>
      <c r="AC1195" s="13">
        <v>2</v>
      </c>
      <c r="AD1195" s="13">
        <v>3</v>
      </c>
      <c r="AE1195" s="13">
        <v>3</v>
      </c>
      <c r="AF1195" s="13">
        <v>2</v>
      </c>
      <c r="AG1195" s="16">
        <f>IFERROR(SUMIF(reading[[#This Row],[1st]:[7th]],"&gt;0")/COUNTIF(reading[[#This Row],[1st]:[7th]],"&gt;0"),"")</f>
        <v>2.7142857142857144</v>
      </c>
    </row>
    <row r="1196" spans="1:33" hidden="1" x14ac:dyDescent="0.2">
      <c r="A1196" s="4">
        <f>IF(B1196=1,3,IF(D1196=1,2,IF(F1196=1,1,0)))</f>
        <v>0</v>
      </c>
      <c r="B1196" s="4" t="str">
        <f>IF(C1196=$L1196,1,IF(C1196="","",0))</f>
        <v/>
      </c>
      <c r="C1196" s="42"/>
      <c r="D1196" s="4" t="str">
        <f>IF(E1196=$L1196,1,IF(E1196="","",0))</f>
        <v/>
      </c>
      <c r="E1196" s="18"/>
      <c r="F1196" s="4" t="str">
        <f>IF(G1196=$L1196,1,IF(G1196="","",0))</f>
        <v/>
      </c>
      <c r="G1196" s="14"/>
      <c r="H1196" s="6">
        <v>1553</v>
      </c>
      <c r="I1196" s="15" t="s">
        <v>3120</v>
      </c>
      <c r="J1196" s="6" t="s">
        <v>4666</v>
      </c>
      <c r="K1196" s="6"/>
      <c r="L1196" s="6" t="s">
        <v>1638</v>
      </c>
      <c r="M1196" s="6" t="s">
        <v>7660</v>
      </c>
      <c r="N1196" s="7">
        <f ca="1">RAND()</f>
        <v>0.60022576256716853</v>
      </c>
      <c r="O1196" s="8">
        <v>45209</v>
      </c>
      <c r="P1196" s="8">
        <v>45210</v>
      </c>
      <c r="Q1196" s="8">
        <v>45213</v>
      </c>
      <c r="R1196" s="8">
        <v>45217</v>
      </c>
      <c r="S1196" s="8">
        <v>45224</v>
      </c>
      <c r="T1196" s="8">
        <v>45236</v>
      </c>
      <c r="U1196" s="8">
        <v>45824</v>
      </c>
      <c r="V1196" s="10">
        <f>COUNTA(O1196:U1196)</f>
        <v>7</v>
      </c>
      <c r="W1196" s="11">
        <f>_xlfn.IFNA(INDEX(reading[[#This Row],[Memo 01]:[Memo 07]],MATCH(0,reading[[#This Row],[Memo 01]:[Memo 07]],-1)),"")</f>
        <v>45824</v>
      </c>
      <c r="X1196" s="11">
        <f ca="1">IFERROR(reading[[#This Row],[Previous]]+OFFSET(reading[[#Headers],[Memo 01]],-1,MATCH(0,reading[[#This Row],[Memo 01]:[Memo 07]],-1)-1),"")</f>
        <v>55824</v>
      </c>
      <c r="Y1196" s="10" t="str">
        <f ca="1">IF(reading[[#This Row],[Next]]&lt;&gt;"",IF(reading[[#This Row],[Next]]&gt;TODAY(),"OK",""),"")</f>
        <v>OK</v>
      </c>
      <c r="Z1196" s="13">
        <v>3</v>
      </c>
      <c r="AA1196" s="13">
        <v>3</v>
      </c>
      <c r="AB1196" s="13">
        <v>2</v>
      </c>
      <c r="AC1196" s="13">
        <v>2</v>
      </c>
      <c r="AD1196" s="13">
        <v>3</v>
      </c>
      <c r="AE1196" s="13">
        <v>3</v>
      </c>
      <c r="AF1196" s="13">
        <v>3</v>
      </c>
      <c r="AG1196" s="16">
        <f>IFERROR(SUMIF(reading[[#This Row],[1st]:[7th]],"&gt;0")/COUNTIF(reading[[#This Row],[1st]:[7th]],"&gt;0"),"")</f>
        <v>2.7142857142857144</v>
      </c>
    </row>
    <row r="1197" spans="1:33" hidden="1" x14ac:dyDescent="0.2">
      <c r="A1197" s="4">
        <f>IF(B1197=1,3,IF(D1197=1,2,IF(F1197=1,1,0)))</f>
        <v>0</v>
      </c>
      <c r="B1197" s="4" t="str">
        <f>IF(C1197=$L1197,1,IF(C1197="","",0))</f>
        <v/>
      </c>
      <c r="C1197" s="42"/>
      <c r="D1197" s="4" t="str">
        <f>IF(E1197=$L1197,1,IF(E1197="","",0))</f>
        <v/>
      </c>
      <c r="E1197" s="43"/>
      <c r="F1197" s="4" t="str">
        <f>IF(G1197=$L1197,1,IF(G1197="","",0))</f>
        <v/>
      </c>
      <c r="G1197" s="23"/>
      <c r="H1197" s="6">
        <v>2501</v>
      </c>
      <c r="I1197" s="15" t="s">
        <v>3120</v>
      </c>
      <c r="J1197" s="6" t="s">
        <v>5567</v>
      </c>
      <c r="K1197" s="6"/>
      <c r="L1197" s="6" t="s">
        <v>2547</v>
      </c>
      <c r="M1197" s="6" t="s">
        <v>8606</v>
      </c>
      <c r="N1197" s="7">
        <f ca="1">RAND()</f>
        <v>0.65128732541547574</v>
      </c>
      <c r="O1197" s="8">
        <v>45220</v>
      </c>
      <c r="P1197" s="8">
        <v>45221</v>
      </c>
      <c r="Q1197" s="8">
        <v>45223</v>
      </c>
      <c r="R1197" s="8">
        <v>45227</v>
      </c>
      <c r="S1197" s="8">
        <v>45234</v>
      </c>
      <c r="T1197" s="8">
        <v>45820</v>
      </c>
      <c r="U1197" s="8"/>
      <c r="V1197" s="10">
        <f>COUNTA(O1197:U1197)</f>
        <v>6</v>
      </c>
      <c r="W1197" s="11">
        <f>_xlfn.IFNA(INDEX(reading[[#This Row],[Memo 01]:[Memo 07]],MATCH(0,reading[[#This Row],[Memo 01]:[Memo 07]],-1)),"")</f>
        <v>45820</v>
      </c>
      <c r="X1197" s="11">
        <f ca="1">IFERROR(reading[[#This Row],[Previous]]+OFFSET(reading[[#Headers],[Memo 01]],-1,MATCH(0,reading[[#This Row],[Memo 01]:[Memo 07]],-1)-1),"")</f>
        <v>45840</v>
      </c>
      <c r="Y1197" s="10" t="str">
        <f ca="1">IF(reading[[#This Row],[Next]]&lt;&gt;"",IF(reading[[#This Row],[Next]]&gt;TODAY(),"OK",""),"")</f>
        <v>OK</v>
      </c>
      <c r="Z1197" s="13">
        <v>3</v>
      </c>
      <c r="AA1197" s="13">
        <v>2</v>
      </c>
      <c r="AB1197" s="13">
        <v>3</v>
      </c>
      <c r="AC1197" s="13">
        <v>3</v>
      </c>
      <c r="AD1197" s="13">
        <v>3</v>
      </c>
      <c r="AE1197" s="13">
        <v>2</v>
      </c>
      <c r="AF1197" s="13"/>
      <c r="AG1197" s="16">
        <f>IFERROR(SUMIF(reading[[#This Row],[1st]:[7th]],"&gt;0")/COUNTIF(reading[[#This Row],[1st]:[7th]],"&gt;0"),"")</f>
        <v>2.6666666666666665</v>
      </c>
    </row>
    <row r="1198" spans="1:33" hidden="1" x14ac:dyDescent="0.2">
      <c r="A1198" s="4">
        <f>IF(B1198=1,3,IF(D1198=1,2,IF(F1198=1,1,0)))</f>
        <v>0</v>
      </c>
      <c r="B1198" s="4" t="str">
        <f>IF(C1198=$L1198,1,IF(C1198="","",0))</f>
        <v/>
      </c>
      <c r="C1198" s="42"/>
      <c r="D1198" s="4" t="str">
        <f>IF(E1198=$L1198,1,IF(E1198="","",0))</f>
        <v/>
      </c>
      <c r="E1198" s="23"/>
      <c r="F1198" s="4" t="str">
        <f>IF(G1198=$L1198,1,IF(G1198="","",0))</f>
        <v/>
      </c>
      <c r="G1198" s="14"/>
      <c r="H1198" s="6">
        <v>1788</v>
      </c>
      <c r="I1198" s="15" t="s">
        <v>3120</v>
      </c>
      <c r="J1198" s="6" t="s">
        <v>4895</v>
      </c>
      <c r="K1198" s="6"/>
      <c r="L1198" s="6" t="s">
        <v>1867</v>
      </c>
      <c r="M1198" s="6" t="s">
        <v>7894</v>
      </c>
      <c r="N1198" s="7">
        <f ca="1">RAND()</f>
        <v>2.9296099205402548E-3</v>
      </c>
      <c r="O1198" s="8">
        <v>45212</v>
      </c>
      <c r="P1198" s="8">
        <v>45213</v>
      </c>
      <c r="Q1198" s="8">
        <v>45215</v>
      </c>
      <c r="R1198" s="8">
        <v>45219</v>
      </c>
      <c r="S1198" s="8">
        <v>45226</v>
      </c>
      <c r="T1198" s="8">
        <v>45820</v>
      </c>
      <c r="U1198" s="8"/>
      <c r="V1198" s="10">
        <f>COUNTA(O1198:U1198)</f>
        <v>6</v>
      </c>
      <c r="W1198" s="11">
        <f>_xlfn.IFNA(INDEX(reading[[#This Row],[Memo 01]:[Memo 07]],MATCH(0,reading[[#This Row],[Memo 01]:[Memo 07]],-1)),"")</f>
        <v>45820</v>
      </c>
      <c r="X1198" s="11">
        <f ca="1">IFERROR(reading[[#This Row],[Previous]]+OFFSET(reading[[#Headers],[Memo 01]],-1,MATCH(0,reading[[#This Row],[Memo 01]:[Memo 07]],-1)-1),"")</f>
        <v>45840</v>
      </c>
      <c r="Y1198" s="10" t="str">
        <f ca="1">IF(reading[[#This Row],[Next]]&lt;&gt;"",IF(reading[[#This Row],[Next]]&gt;TODAY(),"OK",""),"")</f>
        <v>OK</v>
      </c>
      <c r="Z1198" s="13">
        <v>3</v>
      </c>
      <c r="AA1198" s="13">
        <v>3</v>
      </c>
      <c r="AB1198" s="13">
        <v>3</v>
      </c>
      <c r="AC1198" s="13">
        <v>3</v>
      </c>
      <c r="AD1198" s="13">
        <v>3</v>
      </c>
      <c r="AE1198" s="13">
        <v>2</v>
      </c>
      <c r="AF1198" s="13"/>
      <c r="AG1198" s="16">
        <f>IFERROR(SUMIF(reading[[#This Row],[1st]:[7th]],"&gt;0")/COUNTIF(reading[[#This Row],[1st]:[7th]],"&gt;0"),"")</f>
        <v>2.8333333333333335</v>
      </c>
    </row>
    <row r="1199" spans="1:33" hidden="1" x14ac:dyDescent="0.2">
      <c r="A1199" s="4">
        <f>IF(B1199=1,3,IF(D1199=1,2,IF(F1199=1,1,0)))</f>
        <v>0</v>
      </c>
      <c r="B1199" s="4" t="str">
        <f>IF(C1199=$L1199,1,IF(C1199="","",0))</f>
        <v/>
      </c>
      <c r="C1199" s="42"/>
      <c r="D1199" s="4" t="str">
        <f>IF(E1199=$L1199,1,IF(E1199="","",0))</f>
        <v/>
      </c>
      <c r="E1199" s="23"/>
      <c r="F1199" s="4" t="str">
        <f>IF(G1199=$L1199,1,IF(G1199="","",0))</f>
        <v/>
      </c>
      <c r="G1199" s="14"/>
      <c r="H1199" s="6">
        <v>2921</v>
      </c>
      <c r="I1199" s="15" t="s">
        <v>3120</v>
      </c>
      <c r="J1199" s="6" t="s">
        <v>5956</v>
      </c>
      <c r="K1199" s="6"/>
      <c r="L1199" s="6" t="s">
        <v>2951</v>
      </c>
      <c r="M1199" s="6" t="s">
        <v>9025</v>
      </c>
      <c r="N1199" s="7">
        <f ca="1">RAND()</f>
        <v>0.80648790658271519</v>
      </c>
      <c r="O1199" s="8">
        <v>45223</v>
      </c>
      <c r="P1199" s="8">
        <v>45224</v>
      </c>
      <c r="Q1199" s="8">
        <v>45226</v>
      </c>
      <c r="R1199" s="8">
        <v>45230</v>
      </c>
      <c r="S1199" s="8">
        <v>45237</v>
      </c>
      <c r="T1199" s="8">
        <v>45820</v>
      </c>
      <c r="U1199" s="8"/>
      <c r="V1199" s="10">
        <f>COUNTA(O1199:U1199)</f>
        <v>6</v>
      </c>
      <c r="W1199" s="11">
        <f>_xlfn.IFNA(INDEX(reading[[#This Row],[Memo 01]:[Memo 07]],MATCH(0,reading[[#This Row],[Memo 01]:[Memo 07]],-1)),"")</f>
        <v>45820</v>
      </c>
      <c r="X1199" s="11">
        <f ca="1">IFERROR(reading[[#This Row],[Previous]]+OFFSET(reading[[#Headers],[Memo 01]],-1,MATCH(0,reading[[#This Row],[Memo 01]:[Memo 07]],-1)-1),"")</f>
        <v>45840</v>
      </c>
      <c r="Y1199" s="10" t="str">
        <f ca="1">IF(reading[[#This Row],[Next]]&lt;&gt;"",IF(reading[[#This Row],[Next]]&gt;TODAY(),"OK",""),"")</f>
        <v>OK</v>
      </c>
      <c r="Z1199" s="13">
        <v>3</v>
      </c>
      <c r="AA1199" s="13">
        <v>3</v>
      </c>
      <c r="AB1199" s="13">
        <v>3</v>
      </c>
      <c r="AC1199" s="13">
        <v>3</v>
      </c>
      <c r="AD1199" s="13">
        <v>3</v>
      </c>
      <c r="AE1199" s="13">
        <v>2</v>
      </c>
      <c r="AF1199" s="13"/>
      <c r="AG1199" s="16">
        <f>IFERROR(SUMIF(reading[[#This Row],[1st]:[7th]],"&gt;0")/COUNTIF(reading[[#This Row],[1st]:[7th]],"&gt;0"),"")</f>
        <v>2.8333333333333335</v>
      </c>
    </row>
    <row r="1200" spans="1:33" hidden="1" x14ac:dyDescent="0.2">
      <c r="A1200" s="4">
        <f>IF(B1200=1,3,IF(D1200=1,2,IF(F1200=1,1,0)))</f>
        <v>0</v>
      </c>
      <c r="B1200" s="4" t="str">
        <f>IF(C1200=$L1200,1,IF(C1200="","",0))</f>
        <v/>
      </c>
      <c r="C1200" s="42"/>
      <c r="D1200" s="4" t="str">
        <f>IF(E1200=$L1200,1,IF(E1200="","",0))</f>
        <v/>
      </c>
      <c r="E1200" s="23"/>
      <c r="F1200" s="4" t="str">
        <f>IF(G1200=$L1200,1,IF(G1200="","",0))</f>
        <v/>
      </c>
      <c r="G1200" s="14"/>
      <c r="H1200" s="6">
        <v>2244</v>
      </c>
      <c r="I1200" s="15" t="s">
        <v>3120</v>
      </c>
      <c r="J1200" s="6" t="s">
        <v>5328</v>
      </c>
      <c r="K1200" s="6"/>
      <c r="L1200" s="6" t="s">
        <v>2306</v>
      </c>
      <c r="M1200" s="6" t="s">
        <v>8349</v>
      </c>
      <c r="N1200" s="7">
        <f ca="1">RAND()</f>
        <v>0.51394347053172906</v>
      </c>
      <c r="O1200" s="8">
        <v>45216</v>
      </c>
      <c r="P1200" s="8">
        <v>45217</v>
      </c>
      <c r="Q1200" s="8">
        <v>45219</v>
      </c>
      <c r="R1200" s="8">
        <v>45223</v>
      </c>
      <c r="S1200" s="8">
        <v>45230</v>
      </c>
      <c r="T1200" s="8">
        <v>45820</v>
      </c>
      <c r="U1200" s="8"/>
      <c r="V1200" s="10">
        <f>COUNTA(O1200:U1200)</f>
        <v>6</v>
      </c>
      <c r="W1200" s="11">
        <f>_xlfn.IFNA(INDEX(reading[[#This Row],[Memo 01]:[Memo 07]],MATCH(0,reading[[#This Row],[Memo 01]:[Memo 07]],-1)),"")</f>
        <v>45820</v>
      </c>
      <c r="X1200" s="11">
        <f ca="1">IFERROR(reading[[#This Row],[Previous]]+OFFSET(reading[[#Headers],[Memo 01]],-1,MATCH(0,reading[[#This Row],[Memo 01]:[Memo 07]],-1)-1),"")</f>
        <v>45840</v>
      </c>
      <c r="Y1200" s="10" t="str">
        <f ca="1">IF(reading[[#This Row],[Next]]&lt;&gt;"",IF(reading[[#This Row],[Next]]&gt;TODAY(),"OK",""),"")</f>
        <v>OK</v>
      </c>
      <c r="Z1200" s="13">
        <v>3</v>
      </c>
      <c r="AA1200" s="13">
        <v>3</v>
      </c>
      <c r="AB1200" s="13">
        <v>3</v>
      </c>
      <c r="AC1200" s="13">
        <v>3</v>
      </c>
      <c r="AD1200" s="13">
        <v>3</v>
      </c>
      <c r="AE1200" s="13">
        <v>2</v>
      </c>
      <c r="AF1200" s="13"/>
      <c r="AG1200" s="16">
        <f>IFERROR(SUMIF(reading[[#This Row],[1st]:[7th]],"&gt;0")/COUNTIF(reading[[#This Row],[1st]:[7th]],"&gt;0"),"")</f>
        <v>2.8333333333333335</v>
      </c>
    </row>
    <row r="1201" spans="1:33" hidden="1" x14ac:dyDescent="0.2">
      <c r="A1201" s="4">
        <f>IF(B1201=1,3,IF(D1201=1,2,IF(F1201=1,1,0)))</f>
        <v>0</v>
      </c>
      <c r="B1201" s="4" t="str">
        <f>IF(C1201=$L1201,1,IF(C1201="","",0))</f>
        <v/>
      </c>
      <c r="C1201" s="42"/>
      <c r="D1201" s="4" t="str">
        <f>IF(E1201=$L1201,1,IF(E1201="","",0))</f>
        <v/>
      </c>
      <c r="E1201" s="43"/>
      <c r="F1201" s="4" t="str">
        <f>IF(G1201=$L1201,1,IF(G1201="","",0))</f>
        <v/>
      </c>
      <c r="G1201" s="43"/>
      <c r="H1201" s="6">
        <v>2919</v>
      </c>
      <c r="I1201" s="15" t="s">
        <v>3120</v>
      </c>
      <c r="J1201" s="6" t="s">
        <v>5954</v>
      </c>
      <c r="K1201" s="6"/>
      <c r="L1201" s="6" t="s">
        <v>2949</v>
      </c>
      <c r="M1201" s="6" t="s">
        <v>9023</v>
      </c>
      <c r="N1201" s="7">
        <f ca="1">RAND()</f>
        <v>0.54278137331844545</v>
      </c>
      <c r="O1201" s="8">
        <v>45223</v>
      </c>
      <c r="P1201" s="8">
        <v>45224</v>
      </c>
      <c r="Q1201" s="8">
        <v>45226</v>
      </c>
      <c r="R1201" s="8">
        <v>45230</v>
      </c>
      <c r="S1201" s="8">
        <v>45237</v>
      </c>
      <c r="T1201" s="8">
        <v>45252</v>
      </c>
      <c r="U1201" s="8">
        <v>45816</v>
      </c>
      <c r="V1201" s="10">
        <f>COUNTA(O1201:U1201)</f>
        <v>7</v>
      </c>
      <c r="W1201" s="11">
        <f>_xlfn.IFNA(INDEX(reading[[#This Row],[Memo 01]:[Memo 07]],MATCH(0,reading[[#This Row],[Memo 01]:[Memo 07]],-1)),"")</f>
        <v>45816</v>
      </c>
      <c r="X1201" s="11">
        <f ca="1">IFERROR(reading[[#This Row],[Previous]]+OFFSET(reading[[#Headers],[Memo 01]],-1,MATCH(0,reading[[#This Row],[Memo 01]:[Memo 07]],-1)-1),"")</f>
        <v>55816</v>
      </c>
      <c r="Y1201" s="10" t="str">
        <f ca="1">IF(reading[[#This Row],[Next]]&lt;&gt;"",IF(reading[[#This Row],[Next]]&gt;TODAY(),"OK",""),"")</f>
        <v>OK</v>
      </c>
      <c r="Z1201" s="13">
        <v>3</v>
      </c>
      <c r="AA1201" s="13">
        <v>1</v>
      </c>
      <c r="AB1201" s="13">
        <v>3</v>
      </c>
      <c r="AC1201" s="13">
        <v>3</v>
      </c>
      <c r="AD1201" s="13">
        <v>3</v>
      </c>
      <c r="AE1201" s="13">
        <v>2</v>
      </c>
      <c r="AF1201" s="13">
        <v>1</v>
      </c>
      <c r="AG1201" s="16">
        <f>IFERROR(SUMIF(reading[[#This Row],[1st]:[7th]],"&gt;0")/COUNTIF(reading[[#This Row],[1st]:[7th]],"&gt;0"),"")</f>
        <v>2.2857142857142856</v>
      </c>
    </row>
    <row r="1202" spans="1:33" hidden="1" x14ac:dyDescent="0.2">
      <c r="A1202" s="4">
        <f>IF(B1202=1,3,IF(D1202=1,2,IF(F1202=1,1,0)))</f>
        <v>0</v>
      </c>
      <c r="B1202" s="4" t="str">
        <f>IF(C1202=$L1202,1,IF(C1202="","",0))</f>
        <v/>
      </c>
      <c r="C1202" s="42"/>
      <c r="D1202" s="4" t="str">
        <f>IF(E1202=$L1202,1,IF(E1202="","",0))</f>
        <v/>
      </c>
      <c r="E1202" s="23"/>
      <c r="F1202" s="4" t="str">
        <f>IF(G1202=$L1202,1,IF(G1202="","",0))</f>
        <v/>
      </c>
      <c r="G1202" s="14"/>
      <c r="H1202" s="6">
        <v>2288</v>
      </c>
      <c r="I1202" s="15" t="s">
        <v>3120</v>
      </c>
      <c r="J1202" s="6" t="s">
        <v>5369</v>
      </c>
      <c r="K1202" s="6"/>
      <c r="L1202" s="6" t="s">
        <v>2347</v>
      </c>
      <c r="M1202" s="6" t="s">
        <v>8393</v>
      </c>
      <c r="N1202" s="7">
        <f ca="1">RAND()</f>
        <v>0.42752293776356476</v>
      </c>
      <c r="O1202" s="8">
        <v>45215</v>
      </c>
      <c r="P1202" s="8">
        <v>45216</v>
      </c>
      <c r="Q1202" s="8">
        <v>45218</v>
      </c>
      <c r="R1202" s="8">
        <v>45222</v>
      </c>
      <c r="S1202" s="8">
        <v>45229</v>
      </c>
      <c r="T1202" s="8">
        <v>45820</v>
      </c>
      <c r="U1202" s="8"/>
      <c r="V1202" s="10">
        <f>COUNTA(O1202:U1202)</f>
        <v>6</v>
      </c>
      <c r="W1202" s="11">
        <f>_xlfn.IFNA(INDEX(reading[[#This Row],[Memo 01]:[Memo 07]],MATCH(0,reading[[#This Row],[Memo 01]:[Memo 07]],-1)),"")</f>
        <v>45820</v>
      </c>
      <c r="X1202" s="11">
        <f ca="1">IFERROR(reading[[#This Row],[Previous]]+OFFSET(reading[[#Headers],[Memo 01]],-1,MATCH(0,reading[[#This Row],[Memo 01]:[Memo 07]],-1)-1),"")</f>
        <v>45840</v>
      </c>
      <c r="Y1202" s="10" t="str">
        <f ca="1">IF(reading[[#This Row],[Next]]&lt;&gt;"",IF(reading[[#This Row],[Next]]&gt;TODAY(),"OK",""),"")</f>
        <v>OK</v>
      </c>
      <c r="Z1202" s="13">
        <v>3</v>
      </c>
      <c r="AA1202" s="13">
        <v>3</v>
      </c>
      <c r="AB1202" s="13">
        <v>3</v>
      </c>
      <c r="AC1202" s="13">
        <v>3</v>
      </c>
      <c r="AD1202" s="13">
        <v>3</v>
      </c>
      <c r="AE1202" s="13">
        <v>2</v>
      </c>
      <c r="AF1202" s="13"/>
      <c r="AG1202" s="16">
        <f>IFERROR(SUMIF(reading[[#This Row],[1st]:[7th]],"&gt;0")/COUNTIF(reading[[#This Row],[1st]:[7th]],"&gt;0"),"")</f>
        <v>2.8333333333333335</v>
      </c>
    </row>
    <row r="1203" spans="1:33" hidden="1" x14ac:dyDescent="0.2">
      <c r="A1203" s="4">
        <f>IF(B1203=1,3,IF(D1203=1,2,IF(F1203=1,1,0)))</f>
        <v>3</v>
      </c>
      <c r="B1203" s="4">
        <f>IF(C1203=$L1203,1,IF(C1203="","",0))</f>
        <v>1</v>
      </c>
      <c r="C1203" s="26" t="s">
        <v>1309</v>
      </c>
      <c r="D1203" s="4" t="str">
        <f>IF(E1203=$L1203,1,IF(E1203="","",0))</f>
        <v/>
      </c>
      <c r="E1203" s="14"/>
      <c r="F1203" s="4" t="str">
        <f>IF(G1203=$L1203,1,IF(G1203="","",0))</f>
        <v/>
      </c>
      <c r="G1203" s="14"/>
      <c r="H1203" s="6">
        <v>1207</v>
      </c>
      <c r="I1203" s="15" t="s">
        <v>3120</v>
      </c>
      <c r="J1203" s="6" t="s">
        <v>4326</v>
      </c>
      <c r="K1203" s="6"/>
      <c r="L1203" s="6" t="s">
        <v>1309</v>
      </c>
      <c r="M1203" s="6" t="s">
        <v>7314</v>
      </c>
      <c r="N1203" s="7">
        <f ca="1">RAND()</f>
        <v>0.99432532325316236</v>
      </c>
      <c r="O1203" s="8">
        <v>45206</v>
      </c>
      <c r="P1203" s="8">
        <v>45206</v>
      </c>
      <c r="Q1203" s="8">
        <v>45206</v>
      </c>
      <c r="R1203" s="8">
        <v>45206</v>
      </c>
      <c r="S1203" s="8">
        <v>45206</v>
      </c>
      <c r="T1203" s="8">
        <v>45206</v>
      </c>
      <c r="U1203" s="8">
        <v>45206</v>
      </c>
      <c r="V1203" s="10">
        <f>COUNTA(O1203:U1203)</f>
        <v>7</v>
      </c>
      <c r="W1203" s="11">
        <f>_xlfn.IFNA(INDEX(reading[[#This Row],[Memo 01]:[Memo 07]],MATCH(0,reading[[#This Row],[Memo 01]:[Memo 07]],-1)),"")</f>
        <v>45206</v>
      </c>
      <c r="X1203" s="11">
        <f ca="1">IFERROR(reading[[#This Row],[Previous]]+OFFSET(reading[[#Headers],[Memo 01]],-1,MATCH(0,reading[[#This Row],[Memo 01]:[Memo 07]],-1)-1),"")</f>
        <v>55206</v>
      </c>
      <c r="Y1203" s="10" t="str">
        <f ca="1">IF(reading[[#This Row],[Next]]&lt;&gt;"",IF(reading[[#This Row],[Next]]&gt;TODAY(),"OK",""),"")</f>
        <v>OK</v>
      </c>
      <c r="Z1203" s="13">
        <v>3</v>
      </c>
      <c r="AA1203" s="13"/>
      <c r="AB1203" s="13"/>
      <c r="AC1203" s="13"/>
      <c r="AD1203" s="13"/>
      <c r="AE1203" s="13"/>
      <c r="AF1203" s="13"/>
      <c r="AG1203" s="16">
        <f>IFERROR(SUMIF(reading[[#This Row],[1st]:[7th]],"&gt;0")/COUNTIF(reading[[#This Row],[1st]:[7th]],"&gt;0"),"")</f>
        <v>3</v>
      </c>
    </row>
    <row r="1204" spans="1:33" hidden="1" x14ac:dyDescent="0.2">
      <c r="A1204" s="4">
        <f>IF(B1204=1,3,IF(D1204=1,2,IF(F1204=1,1,0)))</f>
        <v>0</v>
      </c>
      <c r="B1204" s="4" t="str">
        <f>IF(C1204=$L1204,1,IF(C1204="","",0))</f>
        <v/>
      </c>
      <c r="C1204" s="42"/>
      <c r="D1204" s="4" t="str">
        <f>IF(E1204=$L1204,1,IF(E1204="","",0))</f>
        <v/>
      </c>
      <c r="E1204" s="23"/>
      <c r="F1204" s="4" t="str">
        <f>IF(G1204=$L1204,1,IF(G1204="","",0))</f>
        <v/>
      </c>
      <c r="G1204" s="14"/>
      <c r="H1204" s="6">
        <v>2367</v>
      </c>
      <c r="I1204" s="15" t="s">
        <v>3120</v>
      </c>
      <c r="J1204" s="6" t="s">
        <v>5442</v>
      </c>
      <c r="K1204" s="6"/>
      <c r="L1204" s="6" t="s">
        <v>65</v>
      </c>
      <c r="M1204" s="6" t="s">
        <v>8472</v>
      </c>
      <c r="N1204" s="7">
        <f ca="1">RAND()</f>
        <v>5.2727487408546159E-2</v>
      </c>
      <c r="O1204" s="8">
        <v>45216</v>
      </c>
      <c r="P1204" s="8">
        <v>45217</v>
      </c>
      <c r="Q1204" s="8">
        <v>45219</v>
      </c>
      <c r="R1204" s="8">
        <v>45223</v>
      </c>
      <c r="S1204" s="8">
        <v>45230</v>
      </c>
      <c r="T1204" s="8">
        <v>45820</v>
      </c>
      <c r="U1204" s="8"/>
      <c r="V1204" s="10">
        <f>COUNTA(O1204:U1204)</f>
        <v>6</v>
      </c>
      <c r="W1204" s="11">
        <f>_xlfn.IFNA(INDEX(reading[[#This Row],[Memo 01]:[Memo 07]],MATCH(0,reading[[#This Row],[Memo 01]:[Memo 07]],-1)),"")</f>
        <v>45820</v>
      </c>
      <c r="X1204" s="11">
        <f ca="1">IFERROR(reading[[#This Row],[Previous]]+OFFSET(reading[[#Headers],[Memo 01]],-1,MATCH(0,reading[[#This Row],[Memo 01]:[Memo 07]],-1)-1),"")</f>
        <v>45840</v>
      </c>
      <c r="Y1204" s="10" t="str">
        <f ca="1">IF(reading[[#This Row],[Next]]&lt;&gt;"",IF(reading[[#This Row],[Next]]&gt;TODAY(),"OK",""),"")</f>
        <v>OK</v>
      </c>
      <c r="Z1204" s="13">
        <v>3</v>
      </c>
      <c r="AA1204" s="13">
        <v>3</v>
      </c>
      <c r="AB1204" s="13">
        <v>3</v>
      </c>
      <c r="AC1204" s="13">
        <v>3</v>
      </c>
      <c r="AD1204" s="13">
        <v>3</v>
      </c>
      <c r="AE1204" s="13">
        <v>2</v>
      </c>
      <c r="AF1204" s="13"/>
      <c r="AG1204" s="16">
        <f>IFERROR(SUMIF(reading[[#This Row],[1st]:[7th]],"&gt;0")/COUNTIF(reading[[#This Row],[1st]:[7th]],"&gt;0"),"")</f>
        <v>2.8333333333333335</v>
      </c>
    </row>
    <row r="1205" spans="1:33" hidden="1" x14ac:dyDescent="0.2">
      <c r="A1205" s="4">
        <f>IF(B1205=1,3,IF(D1205=1,2,IF(F1205=1,1,0)))</f>
        <v>0</v>
      </c>
      <c r="B1205" s="4" t="str">
        <f>IF(C1205=$L1205,1,IF(C1205="","",0))</f>
        <v/>
      </c>
      <c r="C1205" s="42"/>
      <c r="D1205" s="4" t="str">
        <f>IF(E1205=$L1205,1,IF(E1205="","",0))</f>
        <v/>
      </c>
      <c r="E1205" s="43"/>
      <c r="F1205" s="4" t="str">
        <f>IF(G1205=$L1205,1,IF(G1205="","",0))</f>
        <v/>
      </c>
      <c r="G1205" s="18"/>
      <c r="H1205" s="6">
        <v>2212</v>
      </c>
      <c r="I1205" s="15" t="s">
        <v>3120</v>
      </c>
      <c r="J1205" s="6" t="s">
        <v>5298</v>
      </c>
      <c r="K1205" s="6"/>
      <c r="L1205" s="6" t="s">
        <v>2275</v>
      </c>
      <c r="M1205" s="6" t="s">
        <v>8318</v>
      </c>
      <c r="N1205" s="7">
        <f ca="1">RAND()</f>
        <v>0.88017655704026065</v>
      </c>
      <c r="O1205" s="8">
        <v>45215</v>
      </c>
      <c r="P1205" s="8">
        <v>45216</v>
      </c>
      <c r="Q1205" s="8">
        <v>45218</v>
      </c>
      <c r="R1205" s="8">
        <v>45222</v>
      </c>
      <c r="S1205" s="8">
        <v>45229</v>
      </c>
      <c r="T1205" s="8">
        <v>45249</v>
      </c>
      <c r="U1205" s="8">
        <v>45816</v>
      </c>
      <c r="V1205" s="10">
        <f>COUNTA(O1205:U1205)</f>
        <v>7</v>
      </c>
      <c r="W1205" s="11">
        <f>_xlfn.IFNA(INDEX(reading[[#This Row],[Memo 01]:[Memo 07]],MATCH(0,reading[[#This Row],[Memo 01]:[Memo 07]],-1)),"")</f>
        <v>45816</v>
      </c>
      <c r="X1205" s="11">
        <f ca="1">IFERROR(reading[[#This Row],[Previous]]+OFFSET(reading[[#Headers],[Memo 01]],-1,MATCH(0,reading[[#This Row],[Memo 01]:[Memo 07]],-1)-1),"")</f>
        <v>55816</v>
      </c>
      <c r="Y1205" s="10" t="str">
        <f ca="1">IF(reading[[#This Row],[Next]]&lt;&gt;"",IF(reading[[#This Row],[Next]]&gt;TODAY(),"OK",""),"")</f>
        <v>OK</v>
      </c>
      <c r="Z1205" s="13">
        <v>3</v>
      </c>
      <c r="AA1205" s="13">
        <v>3</v>
      </c>
      <c r="AB1205" s="13">
        <v>2</v>
      </c>
      <c r="AC1205" s="13">
        <v>3</v>
      </c>
      <c r="AD1205" s="13">
        <v>1</v>
      </c>
      <c r="AE1205" s="13">
        <v>2</v>
      </c>
      <c r="AF1205" s="13">
        <v>2</v>
      </c>
      <c r="AG1205" s="16">
        <f>IFERROR(SUMIF(reading[[#This Row],[1st]:[7th]],"&gt;0")/COUNTIF(reading[[#This Row],[1st]:[7th]],"&gt;0"),"")</f>
        <v>2.2857142857142856</v>
      </c>
    </row>
    <row r="1206" spans="1:33" hidden="1" x14ac:dyDescent="0.2">
      <c r="A1206" s="4">
        <f>IF(B1206=1,3,IF(D1206=1,2,IF(F1206=1,1,0)))</f>
        <v>0</v>
      </c>
      <c r="B1206" s="4" t="str">
        <f>IF(C1206=$L1206,1,IF(C1206="","",0))</f>
        <v/>
      </c>
      <c r="C1206" s="42"/>
      <c r="D1206" s="4" t="str">
        <f>IF(E1206=$L1206,1,IF(E1206="","",0))</f>
        <v/>
      </c>
      <c r="E1206" s="23"/>
      <c r="F1206" s="4" t="str">
        <f>IF(G1206=$L1206,1,IF(G1206="","",0))</f>
        <v/>
      </c>
      <c r="G1206" s="14"/>
      <c r="H1206" s="6">
        <v>350</v>
      </c>
      <c r="I1206" s="15" t="s">
        <v>3120</v>
      </c>
      <c r="J1206" s="6" t="s">
        <v>3497</v>
      </c>
      <c r="K1206" s="6"/>
      <c r="L1206" s="6" t="s">
        <v>484</v>
      </c>
      <c r="M1206" s="6" t="s">
        <v>6459</v>
      </c>
      <c r="N1206" s="7">
        <f ca="1">RAND()</f>
        <v>0.89182350906048102</v>
      </c>
      <c r="O1206" s="8">
        <v>45200</v>
      </c>
      <c r="P1206" s="8">
        <v>45201</v>
      </c>
      <c r="Q1206" s="8">
        <v>45203</v>
      </c>
      <c r="R1206" s="8">
        <v>45207</v>
      </c>
      <c r="S1206" s="8">
        <v>45214</v>
      </c>
      <c r="T1206" s="8">
        <v>45226</v>
      </c>
      <c r="U1206" s="8">
        <v>45820</v>
      </c>
      <c r="V1206" s="10">
        <f>COUNTA(O1206:U1206)</f>
        <v>7</v>
      </c>
      <c r="W1206" s="11">
        <f>_xlfn.IFNA(INDEX(reading[[#This Row],[Memo 01]:[Memo 07]],MATCH(0,reading[[#This Row],[Memo 01]:[Memo 07]],-1)),"")</f>
        <v>45820</v>
      </c>
      <c r="X1206" s="11">
        <f ca="1">IFERROR(reading[[#This Row],[Previous]]+OFFSET(reading[[#Headers],[Memo 01]],-1,MATCH(0,reading[[#This Row],[Memo 01]:[Memo 07]],-1)-1),"")</f>
        <v>55820</v>
      </c>
      <c r="Y1206" s="10" t="str">
        <f ca="1">IF(reading[[#This Row],[Next]]&lt;&gt;"",IF(reading[[#This Row],[Next]]&gt;TODAY(),"OK",""),"")</f>
        <v>OK</v>
      </c>
      <c r="Z1206" s="13">
        <v>3</v>
      </c>
      <c r="AA1206" s="13">
        <v>3</v>
      </c>
      <c r="AB1206" s="13">
        <v>3</v>
      </c>
      <c r="AC1206" s="13">
        <v>3</v>
      </c>
      <c r="AD1206" s="13">
        <v>3</v>
      </c>
      <c r="AE1206" s="13">
        <v>3</v>
      </c>
      <c r="AF1206" s="13">
        <v>2</v>
      </c>
      <c r="AG1206" s="16">
        <f>IFERROR(SUMIF(reading[[#This Row],[1st]:[7th]],"&gt;0")/COUNTIF(reading[[#This Row],[1st]:[7th]],"&gt;0"),"")</f>
        <v>2.8571428571428572</v>
      </c>
    </row>
    <row r="1207" spans="1:33" hidden="1" x14ac:dyDescent="0.2">
      <c r="A1207" s="4">
        <f>IF(B1207=1,3,IF(D1207=1,2,IF(F1207=1,1,0)))</f>
        <v>3</v>
      </c>
      <c r="B1207" s="4">
        <f>IF(C1207=$L1207,1,IF(C1207="","",0))</f>
        <v>1</v>
      </c>
      <c r="C1207" s="26" t="s">
        <v>1313</v>
      </c>
      <c r="D1207" s="4" t="str">
        <f>IF(E1207=$L1207,1,IF(E1207="","",0))</f>
        <v/>
      </c>
      <c r="E1207" s="14"/>
      <c r="F1207" s="4" t="str">
        <f>IF(G1207=$L1207,1,IF(G1207="","",0))</f>
        <v/>
      </c>
      <c r="G1207" s="14"/>
      <c r="H1207" s="6">
        <v>1211</v>
      </c>
      <c r="I1207" s="15" t="s">
        <v>3120</v>
      </c>
      <c r="J1207" s="6" t="s">
        <v>4330</v>
      </c>
      <c r="K1207" s="6"/>
      <c r="L1207" s="6" t="s">
        <v>1313</v>
      </c>
      <c r="M1207" s="6" t="s">
        <v>7318</v>
      </c>
      <c r="N1207" s="7">
        <f ca="1">RAND()</f>
        <v>0.65674109026031546</v>
      </c>
      <c r="O1207" s="8">
        <v>45206</v>
      </c>
      <c r="P1207" s="8">
        <v>45206</v>
      </c>
      <c r="Q1207" s="8">
        <v>45206</v>
      </c>
      <c r="R1207" s="8">
        <v>45206</v>
      </c>
      <c r="S1207" s="8">
        <v>45206</v>
      </c>
      <c r="T1207" s="8">
        <v>45206</v>
      </c>
      <c r="U1207" s="8">
        <v>45206</v>
      </c>
      <c r="V1207" s="10">
        <f>COUNTA(O1207:U1207)</f>
        <v>7</v>
      </c>
      <c r="W1207" s="11">
        <f>_xlfn.IFNA(INDEX(reading[[#This Row],[Memo 01]:[Memo 07]],MATCH(0,reading[[#This Row],[Memo 01]:[Memo 07]],-1)),"")</f>
        <v>45206</v>
      </c>
      <c r="X1207" s="11">
        <f ca="1">IFERROR(reading[[#This Row],[Previous]]+OFFSET(reading[[#Headers],[Memo 01]],-1,MATCH(0,reading[[#This Row],[Memo 01]:[Memo 07]],-1)-1),"")</f>
        <v>55206</v>
      </c>
      <c r="Y1207" s="10" t="str">
        <f ca="1">IF(reading[[#This Row],[Next]]&lt;&gt;"",IF(reading[[#This Row],[Next]]&gt;TODAY(),"OK",""),"")</f>
        <v>OK</v>
      </c>
      <c r="Z1207" s="13">
        <v>3</v>
      </c>
      <c r="AA1207" s="13"/>
      <c r="AB1207" s="13"/>
      <c r="AC1207" s="13"/>
      <c r="AD1207" s="13"/>
      <c r="AE1207" s="13"/>
      <c r="AF1207" s="13"/>
      <c r="AG1207" s="16">
        <f>IFERROR(SUMIF(reading[[#This Row],[1st]:[7th]],"&gt;0")/COUNTIF(reading[[#This Row],[1st]:[7th]],"&gt;0"),"")</f>
        <v>3</v>
      </c>
    </row>
    <row r="1208" spans="1:33" hidden="1" x14ac:dyDescent="0.2">
      <c r="A1208" s="4">
        <f>IF(B1208=1,3,IF(D1208=1,2,IF(F1208=1,1,0)))</f>
        <v>0</v>
      </c>
      <c r="B1208" s="4" t="str">
        <f>IF(C1208=$L1208,1,IF(C1208="","",0))</f>
        <v/>
      </c>
      <c r="C1208" s="42"/>
      <c r="D1208" s="4" t="str">
        <f>IF(E1208=$L1208,1,IF(E1208="","",0))</f>
        <v/>
      </c>
      <c r="E1208" s="43"/>
      <c r="F1208" s="4" t="str">
        <f>IF(G1208=$L1208,1,IF(G1208="","",0))</f>
        <v/>
      </c>
      <c r="G1208" s="14"/>
      <c r="H1208" s="6">
        <v>2227</v>
      </c>
      <c r="I1208" s="15" t="s">
        <v>3120</v>
      </c>
      <c r="J1208" s="6" t="s">
        <v>5312</v>
      </c>
      <c r="K1208" s="6"/>
      <c r="L1208" s="6" t="s">
        <v>2290</v>
      </c>
      <c r="M1208" s="6" t="s">
        <v>8333</v>
      </c>
      <c r="N1208" s="7">
        <f ca="1">RAND()</f>
        <v>0.39721671816557325</v>
      </c>
      <c r="O1208" s="8">
        <v>45215</v>
      </c>
      <c r="P1208" s="8">
        <v>45216</v>
      </c>
      <c r="Q1208" s="8">
        <v>45218</v>
      </c>
      <c r="R1208" s="8">
        <v>45222</v>
      </c>
      <c r="S1208" s="8">
        <v>45229</v>
      </c>
      <c r="T1208" s="8">
        <v>45820</v>
      </c>
      <c r="U1208" s="8"/>
      <c r="V1208" s="10">
        <f>COUNTA(O1208:U1208)</f>
        <v>6</v>
      </c>
      <c r="W1208" s="11">
        <f>_xlfn.IFNA(INDEX(reading[[#This Row],[Memo 01]:[Memo 07]],MATCH(0,reading[[#This Row],[Memo 01]:[Memo 07]],-1)),"")</f>
        <v>45820</v>
      </c>
      <c r="X1208" s="11">
        <f ca="1">IFERROR(reading[[#This Row],[Previous]]+OFFSET(reading[[#Headers],[Memo 01]],-1,MATCH(0,reading[[#This Row],[Memo 01]:[Memo 07]],-1)-1),"")</f>
        <v>45840</v>
      </c>
      <c r="Y1208" s="10" t="str">
        <f ca="1">IF(reading[[#This Row],[Next]]&lt;&gt;"",IF(reading[[#This Row],[Next]]&gt;TODAY(),"OK",""),"")</f>
        <v>OK</v>
      </c>
      <c r="Z1208" s="13">
        <v>3</v>
      </c>
      <c r="AA1208" s="13">
        <v>3</v>
      </c>
      <c r="AB1208" s="13">
        <v>3</v>
      </c>
      <c r="AC1208" s="13">
        <v>3</v>
      </c>
      <c r="AD1208" s="13">
        <v>2</v>
      </c>
      <c r="AE1208" s="13">
        <v>2</v>
      </c>
      <c r="AF1208" s="13"/>
      <c r="AG1208" s="16">
        <f>IFERROR(SUMIF(reading[[#This Row],[1st]:[7th]],"&gt;0")/COUNTIF(reading[[#This Row],[1st]:[7th]],"&gt;0"),"")</f>
        <v>2.6666666666666665</v>
      </c>
    </row>
    <row r="1209" spans="1:33" hidden="1" x14ac:dyDescent="0.2">
      <c r="A1209" s="4">
        <f>IF(B1209=1,3,IF(D1209=1,2,IF(F1209=1,1,0)))</f>
        <v>3</v>
      </c>
      <c r="B1209" s="4">
        <f>IF(C1209=$L1209,1,IF(C1209="","",0))</f>
        <v>1</v>
      </c>
      <c r="C1209" s="26" t="s">
        <v>1315</v>
      </c>
      <c r="D1209" s="4" t="str">
        <f>IF(E1209=$L1209,1,IF(E1209="","",0))</f>
        <v/>
      </c>
      <c r="E1209" s="14"/>
      <c r="F1209" s="4" t="str">
        <f>IF(G1209=$L1209,1,IF(G1209="","",0))</f>
        <v/>
      </c>
      <c r="G1209" s="14"/>
      <c r="H1209" s="6">
        <v>1213</v>
      </c>
      <c r="I1209" s="15" t="s">
        <v>3120</v>
      </c>
      <c r="J1209" s="6" t="s">
        <v>4117</v>
      </c>
      <c r="K1209" s="6"/>
      <c r="L1209" s="6" t="s">
        <v>1315</v>
      </c>
      <c r="M1209" s="6" t="s">
        <v>7320</v>
      </c>
      <c r="N1209" s="7">
        <f ca="1">RAND()</f>
        <v>1.2595672357684662E-2</v>
      </c>
      <c r="O1209" s="8">
        <v>45206</v>
      </c>
      <c r="P1209" s="8">
        <v>45206</v>
      </c>
      <c r="Q1209" s="8">
        <v>45206</v>
      </c>
      <c r="R1209" s="8">
        <v>45206</v>
      </c>
      <c r="S1209" s="8">
        <v>45206</v>
      </c>
      <c r="T1209" s="8">
        <v>45206</v>
      </c>
      <c r="U1209" s="8">
        <v>45206</v>
      </c>
      <c r="V1209" s="10">
        <f>COUNTA(O1209:U1209)</f>
        <v>7</v>
      </c>
      <c r="W1209" s="11">
        <f>_xlfn.IFNA(INDEX(reading[[#This Row],[Memo 01]:[Memo 07]],MATCH(0,reading[[#This Row],[Memo 01]:[Memo 07]],-1)),"")</f>
        <v>45206</v>
      </c>
      <c r="X1209" s="11">
        <f ca="1">IFERROR(reading[[#This Row],[Previous]]+OFFSET(reading[[#Headers],[Memo 01]],-1,MATCH(0,reading[[#This Row],[Memo 01]:[Memo 07]],-1)-1),"")</f>
        <v>55206</v>
      </c>
      <c r="Y1209" s="10" t="str">
        <f ca="1">IF(reading[[#This Row],[Next]]&lt;&gt;"",IF(reading[[#This Row],[Next]]&gt;TODAY(),"OK",""),"")</f>
        <v>OK</v>
      </c>
      <c r="Z1209" s="13">
        <v>3</v>
      </c>
      <c r="AA1209" s="13"/>
      <c r="AB1209" s="13"/>
      <c r="AC1209" s="13"/>
      <c r="AD1209" s="13"/>
      <c r="AE1209" s="13"/>
      <c r="AF1209" s="13"/>
      <c r="AG1209" s="16">
        <f>IFERROR(SUMIF(reading[[#This Row],[1st]:[7th]],"&gt;0")/COUNTIF(reading[[#This Row],[1st]:[7th]],"&gt;0"),"")</f>
        <v>3</v>
      </c>
    </row>
    <row r="1210" spans="1:33" hidden="1" x14ac:dyDescent="0.2">
      <c r="A1210" s="4">
        <f>IF(B1210=1,3,IF(D1210=1,2,IF(F1210=1,1,0)))</f>
        <v>0</v>
      </c>
      <c r="B1210" s="4" t="str">
        <f>IF(C1210=$L1210,1,IF(C1210="","",0))</f>
        <v/>
      </c>
      <c r="C1210" s="42"/>
      <c r="D1210" s="4" t="str">
        <f>IF(E1210=$L1210,1,IF(E1210="","",0))</f>
        <v/>
      </c>
      <c r="E1210" s="18"/>
      <c r="F1210" s="4" t="str">
        <f>IF(G1210=$L1210,1,IF(G1210="","",0))</f>
        <v/>
      </c>
      <c r="G1210" s="14"/>
      <c r="H1210" s="6">
        <v>1696</v>
      </c>
      <c r="I1210" s="15" t="s">
        <v>3120</v>
      </c>
      <c r="J1210" s="6" t="s">
        <v>4806</v>
      </c>
      <c r="K1210" s="6"/>
      <c r="L1210" s="6" t="s">
        <v>1776</v>
      </c>
      <c r="M1210" s="6" t="s">
        <v>7802</v>
      </c>
      <c r="N1210" s="7">
        <f ca="1">RAND()</f>
        <v>0.76253557856892706</v>
      </c>
      <c r="O1210" s="8">
        <v>45210</v>
      </c>
      <c r="P1210" s="8">
        <v>45211</v>
      </c>
      <c r="Q1210" s="8">
        <v>45213</v>
      </c>
      <c r="R1210" s="8">
        <v>45217</v>
      </c>
      <c r="S1210" s="8">
        <v>45224</v>
      </c>
      <c r="T1210" s="8">
        <v>45236</v>
      </c>
      <c r="U1210" s="8">
        <v>45823</v>
      </c>
      <c r="V1210" s="10">
        <f>COUNTA(O1210:U1210)</f>
        <v>7</v>
      </c>
      <c r="W1210" s="11">
        <f>_xlfn.IFNA(INDEX(reading[[#This Row],[Memo 01]:[Memo 07]],MATCH(0,reading[[#This Row],[Memo 01]:[Memo 07]],-1)),"")</f>
        <v>45823</v>
      </c>
      <c r="X1210" s="11">
        <f ca="1">IFERROR(reading[[#This Row],[Previous]]+OFFSET(reading[[#Headers],[Memo 01]],-1,MATCH(0,reading[[#This Row],[Memo 01]:[Memo 07]],-1)-1),"")</f>
        <v>55823</v>
      </c>
      <c r="Y1210" s="10" t="str">
        <f ca="1">IF(reading[[#This Row],[Next]]&lt;&gt;"",IF(reading[[#This Row],[Next]]&gt;TODAY(),"OK",""),"")</f>
        <v>OK</v>
      </c>
      <c r="Z1210" s="13">
        <v>3</v>
      </c>
      <c r="AA1210" s="13">
        <v>3</v>
      </c>
      <c r="AB1210" s="13">
        <v>3</v>
      </c>
      <c r="AC1210" s="13">
        <v>3</v>
      </c>
      <c r="AD1210" s="13">
        <v>2</v>
      </c>
      <c r="AE1210" s="13">
        <v>3</v>
      </c>
      <c r="AF1210" s="13">
        <v>3</v>
      </c>
      <c r="AG1210" s="16">
        <f>IFERROR(SUMIF(reading[[#This Row],[1st]:[7th]],"&gt;0")/COUNTIF(reading[[#This Row],[1st]:[7th]],"&gt;0"),"")</f>
        <v>2.8571428571428572</v>
      </c>
    </row>
    <row r="1211" spans="1:33" hidden="1" x14ac:dyDescent="0.2">
      <c r="A1211" s="4">
        <f>IF(B1211=1,3,IF(D1211=1,2,IF(F1211=1,1,0)))</f>
        <v>3</v>
      </c>
      <c r="B1211" s="4">
        <f>IF(C1211=$L1211,1,IF(C1211="","",0))</f>
        <v>1</v>
      </c>
      <c r="C1211" s="26" t="s">
        <v>125</v>
      </c>
      <c r="D1211" s="4" t="str">
        <f>IF(E1211=$L1211,1,IF(E1211="","",0))</f>
        <v/>
      </c>
      <c r="E1211" s="14"/>
      <c r="F1211" s="4" t="str">
        <f>IF(G1211=$L1211,1,IF(G1211="","",0))</f>
        <v/>
      </c>
      <c r="G1211" s="14"/>
      <c r="H1211" s="6">
        <v>1215</v>
      </c>
      <c r="I1211" s="15" t="s">
        <v>3120</v>
      </c>
      <c r="J1211" s="6" t="s">
        <v>3244</v>
      </c>
      <c r="K1211" s="6"/>
      <c r="L1211" s="6" t="s">
        <v>125</v>
      </c>
      <c r="M1211" s="6" t="s">
        <v>7322</v>
      </c>
      <c r="N1211" s="7">
        <f ca="1">RAND()</f>
        <v>0.62369543565933117</v>
      </c>
      <c r="O1211" s="8">
        <v>45206</v>
      </c>
      <c r="P1211" s="8">
        <v>45206</v>
      </c>
      <c r="Q1211" s="8">
        <v>45206</v>
      </c>
      <c r="R1211" s="8">
        <v>45206</v>
      </c>
      <c r="S1211" s="8">
        <v>45206</v>
      </c>
      <c r="T1211" s="8">
        <v>45206</v>
      </c>
      <c r="U1211" s="8">
        <v>45206</v>
      </c>
      <c r="V1211" s="10">
        <f>COUNTA(O1211:U1211)</f>
        <v>7</v>
      </c>
      <c r="W1211" s="11">
        <f>_xlfn.IFNA(INDEX(reading[[#This Row],[Memo 01]:[Memo 07]],MATCH(0,reading[[#This Row],[Memo 01]:[Memo 07]],-1)),"")</f>
        <v>45206</v>
      </c>
      <c r="X1211" s="11">
        <f ca="1">IFERROR(reading[[#This Row],[Previous]]+OFFSET(reading[[#Headers],[Memo 01]],-1,MATCH(0,reading[[#This Row],[Memo 01]:[Memo 07]],-1)-1),"")</f>
        <v>55206</v>
      </c>
      <c r="Y1211" s="10" t="str">
        <f ca="1">IF(reading[[#This Row],[Next]]&lt;&gt;"",IF(reading[[#This Row],[Next]]&gt;TODAY(),"OK",""),"")</f>
        <v>OK</v>
      </c>
      <c r="Z1211" s="13">
        <v>3</v>
      </c>
      <c r="AA1211" s="13"/>
      <c r="AB1211" s="13"/>
      <c r="AC1211" s="13"/>
      <c r="AD1211" s="13"/>
      <c r="AE1211" s="13"/>
      <c r="AF1211" s="13"/>
      <c r="AG1211" s="16">
        <f>IFERROR(SUMIF(reading[[#This Row],[1st]:[7th]],"&gt;0")/COUNTIF(reading[[#This Row],[1st]:[7th]],"&gt;0"),"")</f>
        <v>3</v>
      </c>
    </row>
    <row r="1212" spans="1:33" hidden="1" x14ac:dyDescent="0.2">
      <c r="A1212" s="4">
        <f>IF(B1212=1,3,IF(D1212=1,2,IF(F1212=1,1,0)))</f>
        <v>0</v>
      </c>
      <c r="B1212" s="4" t="str">
        <f>IF(C1212=$L1212,1,IF(C1212="","",0))</f>
        <v/>
      </c>
      <c r="C1212" s="42"/>
      <c r="D1212" s="4" t="str">
        <f>IF(E1212=$L1212,1,IF(E1212="","",0))</f>
        <v/>
      </c>
      <c r="E1212" s="43"/>
      <c r="F1212" s="4" t="str">
        <f>IF(G1212=$L1212,1,IF(G1212="","",0))</f>
        <v/>
      </c>
      <c r="G1212" s="18"/>
      <c r="H1212" s="6">
        <v>2396</v>
      </c>
      <c r="I1212" s="15" t="s">
        <v>3120</v>
      </c>
      <c r="J1212" s="6" t="s">
        <v>5468</v>
      </c>
      <c r="K1212" s="24" t="s">
        <v>3137</v>
      </c>
      <c r="L1212" s="6" t="s">
        <v>2447</v>
      </c>
      <c r="M1212" s="6" t="s">
        <v>8501</v>
      </c>
      <c r="N1212" s="7">
        <f ca="1">RAND()</f>
        <v>0.79138334467944793</v>
      </c>
      <c r="O1212" s="8">
        <v>45217</v>
      </c>
      <c r="P1212" s="8">
        <v>45218</v>
      </c>
      <c r="Q1212" s="8">
        <v>45220</v>
      </c>
      <c r="R1212" s="8">
        <v>45224</v>
      </c>
      <c r="S1212" s="8">
        <v>45231</v>
      </c>
      <c r="T1212" s="8">
        <v>45251</v>
      </c>
      <c r="U1212" s="8">
        <v>45820</v>
      </c>
      <c r="V1212" s="10">
        <f>COUNTA(O1212:U1212)</f>
        <v>7</v>
      </c>
      <c r="W1212" s="11">
        <f>_xlfn.IFNA(INDEX(reading[[#This Row],[Memo 01]:[Memo 07]],MATCH(0,reading[[#This Row],[Memo 01]:[Memo 07]],-1)),"")</f>
        <v>45820</v>
      </c>
      <c r="X1212" s="11">
        <f ca="1">IFERROR(reading[[#This Row],[Previous]]+OFFSET(reading[[#Headers],[Memo 01]],-1,MATCH(0,reading[[#This Row],[Memo 01]:[Memo 07]],-1)-1),"")</f>
        <v>55820</v>
      </c>
      <c r="Y1212" s="10" t="str">
        <f ca="1">IF(reading[[#This Row],[Next]]&lt;&gt;"",IF(reading[[#This Row],[Next]]&gt;TODAY(),"OK",""),"")</f>
        <v>OK</v>
      </c>
      <c r="Z1212" s="13">
        <v>3</v>
      </c>
      <c r="AA1212" s="13">
        <v>3</v>
      </c>
      <c r="AB1212" s="13">
        <v>3</v>
      </c>
      <c r="AC1212" s="13">
        <v>1</v>
      </c>
      <c r="AD1212" s="13">
        <v>3</v>
      </c>
      <c r="AE1212" s="13">
        <v>3</v>
      </c>
      <c r="AF1212" s="13">
        <v>2</v>
      </c>
      <c r="AG1212" s="16">
        <f>IFERROR(SUMIF(reading[[#This Row],[1st]:[7th]],"&gt;0")/COUNTIF(reading[[#This Row],[1st]:[7th]],"&gt;0"),"")</f>
        <v>2.5714285714285716</v>
      </c>
    </row>
    <row r="1213" spans="1:33" hidden="1" x14ac:dyDescent="0.2">
      <c r="A1213" s="4">
        <f>IF(B1213=1,3,IF(D1213=1,2,IF(F1213=1,1,0)))</f>
        <v>0</v>
      </c>
      <c r="B1213" s="4" t="str">
        <f>IF(C1213=$L1213,1,IF(C1213="","",0))</f>
        <v/>
      </c>
      <c r="C1213" s="42"/>
      <c r="D1213" s="4" t="str">
        <f>IF(E1213=$L1213,1,IF(E1213="","",0))</f>
        <v/>
      </c>
      <c r="E1213" s="43"/>
      <c r="F1213" s="4" t="str">
        <f>IF(G1213=$L1213,1,IF(G1213="","",0))</f>
        <v/>
      </c>
      <c r="G1213" s="14"/>
      <c r="H1213" s="6">
        <v>1383</v>
      </c>
      <c r="I1213" s="15" t="s">
        <v>3120</v>
      </c>
      <c r="J1213" s="6" t="s">
        <v>4497</v>
      </c>
      <c r="K1213" s="6"/>
      <c r="L1213" s="6" t="s">
        <v>1477</v>
      </c>
      <c r="M1213" s="6" t="s">
        <v>7490</v>
      </c>
      <c r="N1213" s="7">
        <f ca="1">RAND()</f>
        <v>0.89005345562303673</v>
      </c>
      <c r="O1213" s="8">
        <v>45207</v>
      </c>
      <c r="P1213" s="8">
        <v>45208</v>
      </c>
      <c r="Q1213" s="8">
        <v>45210</v>
      </c>
      <c r="R1213" s="8">
        <v>45214</v>
      </c>
      <c r="S1213" s="8">
        <v>45221</v>
      </c>
      <c r="T1213" s="8">
        <v>45233</v>
      </c>
      <c r="U1213" s="8">
        <v>45816</v>
      </c>
      <c r="V1213" s="10">
        <f>COUNTA(O1213:U1213)</f>
        <v>7</v>
      </c>
      <c r="W1213" s="11">
        <f>_xlfn.IFNA(INDEX(reading[[#This Row],[Memo 01]:[Memo 07]],MATCH(0,reading[[#This Row],[Memo 01]:[Memo 07]],-1)),"")</f>
        <v>45816</v>
      </c>
      <c r="X1213" s="11">
        <f ca="1">IFERROR(reading[[#This Row],[Previous]]+OFFSET(reading[[#Headers],[Memo 01]],-1,MATCH(0,reading[[#This Row],[Memo 01]:[Memo 07]],-1)-1),"")</f>
        <v>55816</v>
      </c>
      <c r="Y1213" s="10" t="str">
        <f ca="1">IF(reading[[#This Row],[Next]]&lt;&gt;"",IF(reading[[#This Row],[Next]]&gt;TODAY(),"OK",""),"")</f>
        <v>OK</v>
      </c>
      <c r="Z1213" s="13">
        <v>3</v>
      </c>
      <c r="AA1213" s="13">
        <v>3</v>
      </c>
      <c r="AB1213" s="13">
        <v>3</v>
      </c>
      <c r="AC1213" s="13">
        <v>2</v>
      </c>
      <c r="AD1213" s="13">
        <v>2</v>
      </c>
      <c r="AE1213" s="13">
        <v>3</v>
      </c>
      <c r="AF1213" s="13">
        <v>2</v>
      </c>
      <c r="AG1213" s="16">
        <f>IFERROR(SUMIF(reading[[#This Row],[1st]:[7th]],"&gt;0")/COUNTIF(reading[[#This Row],[1st]:[7th]],"&gt;0"),"")</f>
        <v>2.5714285714285716</v>
      </c>
    </row>
    <row r="1214" spans="1:33" hidden="1" x14ac:dyDescent="0.2">
      <c r="A1214" s="4">
        <f>IF(B1214=1,3,IF(D1214=1,2,IF(F1214=1,1,0)))</f>
        <v>0</v>
      </c>
      <c r="B1214" s="4" t="str">
        <f>IF(C1214=$L1214,1,IF(C1214="","",0))</f>
        <v/>
      </c>
      <c r="C1214" s="42"/>
      <c r="D1214" s="4" t="str">
        <f>IF(E1214=$L1214,1,IF(E1214="","",0))</f>
        <v/>
      </c>
      <c r="E1214" s="43"/>
      <c r="F1214" s="4" t="str">
        <f>IF(G1214=$L1214,1,IF(G1214="","",0))</f>
        <v/>
      </c>
      <c r="G1214" s="14"/>
      <c r="H1214" s="6">
        <v>1624</v>
      </c>
      <c r="I1214" s="15" t="s">
        <v>3120</v>
      </c>
      <c r="J1214" s="6" t="s">
        <v>4736</v>
      </c>
      <c r="K1214" s="6"/>
      <c r="L1214" s="6" t="s">
        <v>1706</v>
      </c>
      <c r="M1214" s="6" t="s">
        <v>7730</v>
      </c>
      <c r="N1214" s="7">
        <f ca="1">RAND()</f>
        <v>0.99148011276665382</v>
      </c>
      <c r="O1214" s="8">
        <v>45210</v>
      </c>
      <c r="P1214" s="8">
        <v>45211</v>
      </c>
      <c r="Q1214" s="8">
        <v>45213</v>
      </c>
      <c r="R1214" s="8">
        <v>45217</v>
      </c>
      <c r="S1214" s="8">
        <v>45224</v>
      </c>
      <c r="T1214" s="8">
        <v>45236</v>
      </c>
      <c r="U1214" s="8">
        <v>45820</v>
      </c>
      <c r="V1214" s="10">
        <f>COUNTA(O1214:U1214)</f>
        <v>7</v>
      </c>
      <c r="W1214" s="11">
        <f>_xlfn.IFNA(INDEX(reading[[#This Row],[Memo 01]:[Memo 07]],MATCH(0,reading[[#This Row],[Memo 01]:[Memo 07]],-1)),"")</f>
        <v>45820</v>
      </c>
      <c r="X1214" s="11">
        <f ca="1">IFERROR(reading[[#This Row],[Previous]]+OFFSET(reading[[#Headers],[Memo 01]],-1,MATCH(0,reading[[#This Row],[Memo 01]:[Memo 07]],-1)-1),"")</f>
        <v>55820</v>
      </c>
      <c r="Y1214" s="10" t="str">
        <f ca="1">IF(reading[[#This Row],[Next]]&lt;&gt;"",IF(reading[[#This Row],[Next]]&gt;TODAY(),"OK",""),"")</f>
        <v>OK</v>
      </c>
      <c r="Z1214" s="13">
        <v>3</v>
      </c>
      <c r="AA1214" s="13">
        <v>3</v>
      </c>
      <c r="AB1214" s="13">
        <v>3</v>
      </c>
      <c r="AC1214" s="13">
        <v>3</v>
      </c>
      <c r="AD1214" s="13">
        <v>2</v>
      </c>
      <c r="AE1214" s="13">
        <v>3</v>
      </c>
      <c r="AF1214" s="13">
        <v>2</v>
      </c>
      <c r="AG1214" s="16">
        <f>IFERROR(SUMIF(reading[[#This Row],[1st]:[7th]],"&gt;0")/COUNTIF(reading[[#This Row],[1st]:[7th]],"&gt;0"),"")</f>
        <v>2.7142857142857144</v>
      </c>
    </row>
    <row r="1215" spans="1:33" hidden="1" x14ac:dyDescent="0.2">
      <c r="A1215" s="4">
        <f>IF(B1215=1,3,IF(D1215=1,2,IF(F1215=1,1,0)))</f>
        <v>0</v>
      </c>
      <c r="B1215" s="4" t="str">
        <f>IF(C1215=$L1215,1,IF(C1215="","",0))</f>
        <v/>
      </c>
      <c r="C1215" s="42"/>
      <c r="D1215" s="4" t="str">
        <f>IF(E1215=$L1215,1,IF(E1215="","",0))</f>
        <v/>
      </c>
      <c r="E1215" s="14"/>
      <c r="F1215" s="4" t="str">
        <f>IF(G1215=$L1215,1,IF(G1215="","",0))</f>
        <v/>
      </c>
      <c r="G1215" s="14"/>
      <c r="H1215" s="6">
        <v>1237</v>
      </c>
      <c r="I1215" s="15" t="s">
        <v>3120</v>
      </c>
      <c r="J1215" s="6" t="s">
        <v>4354</v>
      </c>
      <c r="K1215" s="6"/>
      <c r="L1215" s="6" t="s">
        <v>1337</v>
      </c>
      <c r="M1215" s="6" t="s">
        <v>7344</v>
      </c>
      <c r="N1215" s="7">
        <f ca="1">RAND()</f>
        <v>8.6986344789670711E-2</v>
      </c>
      <c r="O1215" s="8">
        <v>45206</v>
      </c>
      <c r="P1215" s="8">
        <v>45207</v>
      </c>
      <c r="Q1215" s="8">
        <v>45209</v>
      </c>
      <c r="R1215" s="8">
        <v>45213</v>
      </c>
      <c r="S1215" s="8">
        <v>45220</v>
      </c>
      <c r="T1215" s="8">
        <v>45232</v>
      </c>
      <c r="U1215" s="8">
        <v>45823</v>
      </c>
      <c r="V1215" s="10">
        <f>COUNTA(O1215:U1215)</f>
        <v>7</v>
      </c>
      <c r="W1215" s="11">
        <f>_xlfn.IFNA(INDEX(reading[[#This Row],[Memo 01]:[Memo 07]],MATCH(0,reading[[#This Row],[Memo 01]:[Memo 07]],-1)),"")</f>
        <v>45823</v>
      </c>
      <c r="X1215" s="11">
        <f ca="1">IFERROR(reading[[#This Row],[Previous]]+OFFSET(reading[[#Headers],[Memo 01]],-1,MATCH(0,reading[[#This Row],[Memo 01]:[Memo 07]],-1)-1),"")</f>
        <v>55823</v>
      </c>
      <c r="Y1215" s="10" t="str">
        <f ca="1">IF(reading[[#This Row],[Next]]&lt;&gt;"",IF(reading[[#This Row],[Next]]&gt;TODAY(),"OK",""),"")</f>
        <v>OK</v>
      </c>
      <c r="Z1215" s="13">
        <v>3</v>
      </c>
      <c r="AA1215" s="13">
        <v>3</v>
      </c>
      <c r="AB1215" s="13">
        <v>3</v>
      </c>
      <c r="AC1215" s="13">
        <v>3</v>
      </c>
      <c r="AD1215" s="13">
        <v>3</v>
      </c>
      <c r="AE1215" s="13">
        <v>3</v>
      </c>
      <c r="AF1215" s="13">
        <v>3</v>
      </c>
      <c r="AG1215" s="16">
        <f>IFERROR(SUMIF(reading[[#This Row],[1st]:[7th]],"&gt;0")/COUNTIF(reading[[#This Row],[1st]:[7th]],"&gt;0"),"")</f>
        <v>3</v>
      </c>
    </row>
    <row r="1216" spans="1:33" hidden="1" x14ac:dyDescent="0.2">
      <c r="A1216" s="4">
        <f>IF(B1216=1,3,IF(D1216=1,2,IF(F1216=1,1,0)))</f>
        <v>0</v>
      </c>
      <c r="B1216" s="4" t="str">
        <f>IF(C1216=$L1216,1,IF(C1216="","",0))</f>
        <v/>
      </c>
      <c r="C1216" s="42"/>
      <c r="D1216" s="4" t="str">
        <f>IF(E1216=$L1216,1,IF(E1216="","",0))</f>
        <v/>
      </c>
      <c r="E1216" s="23"/>
      <c r="F1216" s="4" t="str">
        <f>IF(G1216=$L1216,1,IF(G1216="","",0))</f>
        <v/>
      </c>
      <c r="G1216" s="14"/>
      <c r="H1216" s="6">
        <v>2182</v>
      </c>
      <c r="I1216" s="15" t="s">
        <v>3120</v>
      </c>
      <c r="J1216" s="6" t="s">
        <v>5270</v>
      </c>
      <c r="K1216" s="6"/>
      <c r="L1216" s="6" t="s">
        <v>2247</v>
      </c>
      <c r="M1216" s="6" t="s">
        <v>8288</v>
      </c>
      <c r="N1216" s="7">
        <f ca="1">RAND()</f>
        <v>0.80147785097515001</v>
      </c>
      <c r="O1216" s="8">
        <v>45214</v>
      </c>
      <c r="P1216" s="8">
        <v>45215</v>
      </c>
      <c r="Q1216" s="8">
        <v>45217</v>
      </c>
      <c r="R1216" s="8">
        <v>45221</v>
      </c>
      <c r="S1216" s="8">
        <v>45228</v>
      </c>
      <c r="T1216" s="8">
        <v>45820</v>
      </c>
      <c r="U1216" s="8"/>
      <c r="V1216" s="10">
        <f>COUNTA(O1216:U1216)</f>
        <v>6</v>
      </c>
      <c r="W1216" s="11">
        <f>_xlfn.IFNA(INDEX(reading[[#This Row],[Memo 01]:[Memo 07]],MATCH(0,reading[[#This Row],[Memo 01]:[Memo 07]],-1)),"")</f>
        <v>45820</v>
      </c>
      <c r="X1216" s="11">
        <f ca="1">IFERROR(reading[[#This Row],[Previous]]+OFFSET(reading[[#Headers],[Memo 01]],-1,MATCH(0,reading[[#This Row],[Memo 01]:[Memo 07]],-1)-1),"")</f>
        <v>45840</v>
      </c>
      <c r="Y1216" s="10" t="str">
        <f ca="1">IF(reading[[#This Row],[Next]]&lt;&gt;"",IF(reading[[#This Row],[Next]]&gt;TODAY(),"OK",""),"")</f>
        <v>OK</v>
      </c>
      <c r="Z1216" s="13">
        <v>3</v>
      </c>
      <c r="AA1216" s="13">
        <v>3</v>
      </c>
      <c r="AB1216" s="13">
        <v>3</v>
      </c>
      <c r="AC1216" s="13">
        <v>3</v>
      </c>
      <c r="AD1216" s="13">
        <v>3</v>
      </c>
      <c r="AE1216" s="13">
        <v>2</v>
      </c>
      <c r="AF1216" s="13"/>
      <c r="AG1216" s="16">
        <f>IFERROR(SUMIF(reading[[#This Row],[1st]:[7th]],"&gt;0")/COUNTIF(reading[[#This Row],[1st]:[7th]],"&gt;0"),"")</f>
        <v>2.8333333333333335</v>
      </c>
    </row>
    <row r="1217" spans="1:33" hidden="1" x14ac:dyDescent="0.2">
      <c r="A1217" s="4">
        <f>IF(B1217=1,3,IF(D1217=1,2,IF(F1217=1,1,0)))</f>
        <v>0</v>
      </c>
      <c r="B1217" s="4" t="str">
        <f>IF(C1217=$L1217,1,IF(C1217="","",0))</f>
        <v/>
      </c>
      <c r="C1217" s="42"/>
      <c r="D1217" s="4" t="str">
        <f>IF(E1217=$L1217,1,IF(E1217="","",0))</f>
        <v/>
      </c>
      <c r="E1217" s="14"/>
      <c r="F1217" s="4" t="str">
        <f>IF(G1217=$L1217,1,IF(G1217="","",0))</f>
        <v/>
      </c>
      <c r="G1217" s="14"/>
      <c r="H1217" s="6">
        <v>2877</v>
      </c>
      <c r="I1217" s="15" t="s">
        <v>3120</v>
      </c>
      <c r="J1217" s="6" t="s">
        <v>5914</v>
      </c>
      <c r="K1217" s="15" t="s">
        <v>3139</v>
      </c>
      <c r="L1217" s="6" t="s">
        <v>2908</v>
      </c>
      <c r="M1217" s="6" t="s">
        <v>8981</v>
      </c>
      <c r="N1217" s="7">
        <f ca="1">RAND()</f>
        <v>0.57636878280447401</v>
      </c>
      <c r="O1217" s="8">
        <v>45222</v>
      </c>
      <c r="P1217" s="8">
        <v>45223</v>
      </c>
      <c r="Q1217" s="8">
        <v>45225</v>
      </c>
      <c r="R1217" s="8">
        <v>45229</v>
      </c>
      <c r="S1217" s="8">
        <v>45236</v>
      </c>
      <c r="T1217" s="8">
        <v>45823</v>
      </c>
      <c r="U1217" s="8"/>
      <c r="V1217" s="10">
        <f>COUNTA(O1217:U1217)</f>
        <v>6</v>
      </c>
      <c r="W1217" s="11">
        <f>_xlfn.IFNA(INDEX(reading[[#This Row],[Memo 01]:[Memo 07]],MATCH(0,reading[[#This Row],[Memo 01]:[Memo 07]],-1)),"")</f>
        <v>45823</v>
      </c>
      <c r="X1217" s="11">
        <f ca="1">IFERROR(reading[[#This Row],[Previous]]+OFFSET(reading[[#Headers],[Memo 01]],-1,MATCH(0,reading[[#This Row],[Memo 01]:[Memo 07]],-1)-1),"")</f>
        <v>45843</v>
      </c>
      <c r="Y1217" s="10" t="str">
        <f ca="1">IF(reading[[#This Row],[Next]]&lt;&gt;"",IF(reading[[#This Row],[Next]]&gt;TODAY(),"OK",""),"")</f>
        <v>OK</v>
      </c>
      <c r="Z1217" s="13">
        <v>3</v>
      </c>
      <c r="AA1217" s="13">
        <v>3</v>
      </c>
      <c r="AB1217" s="13">
        <v>3</v>
      </c>
      <c r="AC1217" s="13">
        <v>3</v>
      </c>
      <c r="AD1217" s="13">
        <v>3</v>
      </c>
      <c r="AE1217" s="13">
        <v>3</v>
      </c>
      <c r="AF1217" s="13"/>
      <c r="AG1217" s="16">
        <f>IFERROR(SUMIF(reading[[#This Row],[1st]:[7th]],"&gt;0")/COUNTIF(reading[[#This Row],[1st]:[7th]],"&gt;0"),"")</f>
        <v>3</v>
      </c>
    </row>
    <row r="1218" spans="1:33" hidden="1" x14ac:dyDescent="0.2">
      <c r="A1218" s="4">
        <f>IF(B1218=1,3,IF(D1218=1,2,IF(F1218=1,1,0)))</f>
        <v>0</v>
      </c>
      <c r="B1218" s="4" t="str">
        <f>IF(C1218=$L1218,1,IF(C1218="","",0))</f>
        <v/>
      </c>
      <c r="C1218" s="42"/>
      <c r="D1218" s="4" t="str">
        <f>IF(E1218=$L1218,1,IF(E1218="","",0))</f>
        <v/>
      </c>
      <c r="E1218" s="23"/>
      <c r="F1218" s="4" t="str">
        <f>IF(G1218=$L1218,1,IF(G1218="","",0))</f>
        <v/>
      </c>
      <c r="G1218" s="14"/>
      <c r="H1218" s="6">
        <v>2181</v>
      </c>
      <c r="I1218" s="15" t="s">
        <v>3120</v>
      </c>
      <c r="J1218" s="6" t="s">
        <v>5269</v>
      </c>
      <c r="K1218" s="6"/>
      <c r="L1218" s="6" t="s">
        <v>2246</v>
      </c>
      <c r="M1218" s="6" t="s">
        <v>8287</v>
      </c>
      <c r="N1218" s="7">
        <f ca="1">RAND()</f>
        <v>0.30367656950006838</v>
      </c>
      <c r="O1218" s="8">
        <v>45214</v>
      </c>
      <c r="P1218" s="8">
        <v>45215</v>
      </c>
      <c r="Q1218" s="8">
        <v>45217</v>
      </c>
      <c r="R1218" s="8">
        <v>45221</v>
      </c>
      <c r="S1218" s="8">
        <v>45228</v>
      </c>
      <c r="T1218" s="8">
        <v>45816</v>
      </c>
      <c r="U1218" s="8"/>
      <c r="V1218" s="10">
        <f>COUNTA(O1218:U1218)</f>
        <v>6</v>
      </c>
      <c r="W1218" s="11">
        <f>_xlfn.IFNA(INDEX(reading[[#This Row],[Memo 01]:[Memo 07]],MATCH(0,reading[[#This Row],[Memo 01]:[Memo 07]],-1)),"")</f>
        <v>45816</v>
      </c>
      <c r="X1218" s="11">
        <f ca="1">IFERROR(reading[[#This Row],[Previous]]+OFFSET(reading[[#Headers],[Memo 01]],-1,MATCH(0,reading[[#This Row],[Memo 01]:[Memo 07]],-1)-1),"")</f>
        <v>45836</v>
      </c>
      <c r="Y1218" s="10" t="str">
        <f ca="1">IF(reading[[#This Row],[Next]]&lt;&gt;"",IF(reading[[#This Row],[Next]]&gt;TODAY(),"OK",""),"")</f>
        <v>OK</v>
      </c>
      <c r="Z1218" s="13">
        <v>3</v>
      </c>
      <c r="AA1218" s="13">
        <v>3</v>
      </c>
      <c r="AB1218" s="13">
        <v>3</v>
      </c>
      <c r="AC1218" s="13">
        <v>3</v>
      </c>
      <c r="AD1218" s="13">
        <v>3</v>
      </c>
      <c r="AE1218" s="13">
        <v>2</v>
      </c>
      <c r="AF1218" s="13"/>
      <c r="AG1218" s="16">
        <f>IFERROR(SUMIF(reading[[#This Row],[1st]:[7th]],"&gt;0")/COUNTIF(reading[[#This Row],[1st]:[7th]],"&gt;0"),"")</f>
        <v>2.8333333333333335</v>
      </c>
    </row>
    <row r="1219" spans="1:33" hidden="1" x14ac:dyDescent="0.2">
      <c r="A1219" s="4">
        <f>IF(B1219=1,3,IF(D1219=1,2,IF(F1219=1,1,0)))</f>
        <v>0</v>
      </c>
      <c r="B1219" s="4" t="str">
        <f>IF(C1219=$L1219,1,IF(C1219="","",0))</f>
        <v/>
      </c>
      <c r="C1219" s="42"/>
      <c r="D1219" s="4" t="str">
        <f>IF(E1219=$L1219,1,IF(E1219="","",0))</f>
        <v/>
      </c>
      <c r="E1219" s="23"/>
      <c r="F1219" s="4" t="str">
        <f>IF(G1219=$L1219,1,IF(G1219="","",0))</f>
        <v/>
      </c>
      <c r="G1219" s="14"/>
      <c r="H1219" s="6">
        <v>1259</v>
      </c>
      <c r="I1219" s="15" t="s">
        <v>3120</v>
      </c>
      <c r="J1219" s="6" t="s">
        <v>4376</v>
      </c>
      <c r="K1219" s="6"/>
      <c r="L1219" s="6" t="s">
        <v>1358</v>
      </c>
      <c r="M1219" s="6" t="s">
        <v>7366</v>
      </c>
      <c r="N1219" s="7">
        <f ca="1">RAND()</f>
        <v>0.61679388361487586</v>
      </c>
      <c r="O1219" s="8">
        <v>45207</v>
      </c>
      <c r="P1219" s="8">
        <v>45208</v>
      </c>
      <c r="Q1219" s="8">
        <v>45210</v>
      </c>
      <c r="R1219" s="8">
        <v>45214</v>
      </c>
      <c r="S1219" s="8">
        <v>45221</v>
      </c>
      <c r="T1219" s="8">
        <v>45233</v>
      </c>
      <c r="U1219" s="8">
        <v>45820</v>
      </c>
      <c r="V1219" s="10">
        <f>COUNTA(O1219:U1219)</f>
        <v>7</v>
      </c>
      <c r="W1219" s="11">
        <f>_xlfn.IFNA(INDEX(reading[[#This Row],[Memo 01]:[Memo 07]],MATCH(0,reading[[#This Row],[Memo 01]:[Memo 07]],-1)),"")</f>
        <v>45820</v>
      </c>
      <c r="X1219" s="11">
        <f ca="1">IFERROR(reading[[#This Row],[Previous]]+OFFSET(reading[[#Headers],[Memo 01]],-1,MATCH(0,reading[[#This Row],[Memo 01]:[Memo 07]],-1)-1),"")</f>
        <v>55820</v>
      </c>
      <c r="Y1219" s="10" t="str">
        <f ca="1">IF(reading[[#This Row],[Next]]&lt;&gt;"",IF(reading[[#This Row],[Next]]&gt;TODAY(),"OK",""),"")</f>
        <v>OK</v>
      </c>
      <c r="Z1219" s="13">
        <v>3</v>
      </c>
      <c r="AA1219" s="13">
        <v>3</v>
      </c>
      <c r="AB1219" s="13">
        <v>3</v>
      </c>
      <c r="AC1219" s="13">
        <v>3</v>
      </c>
      <c r="AD1219" s="13">
        <v>3</v>
      </c>
      <c r="AE1219" s="13">
        <v>3</v>
      </c>
      <c r="AF1219" s="13">
        <v>2</v>
      </c>
      <c r="AG1219" s="16">
        <f>IFERROR(SUMIF(reading[[#This Row],[1st]:[7th]],"&gt;0")/COUNTIF(reading[[#This Row],[1st]:[7th]],"&gt;0"),"")</f>
        <v>2.8571428571428572</v>
      </c>
    </row>
    <row r="1220" spans="1:33" hidden="1" x14ac:dyDescent="0.2">
      <c r="A1220" s="4">
        <f>IF(B1220=1,3,IF(D1220=1,2,IF(F1220=1,1,0)))</f>
        <v>0</v>
      </c>
      <c r="B1220" s="4" t="str">
        <f>IF(C1220=$L1220,1,IF(C1220="","",0))</f>
        <v/>
      </c>
      <c r="C1220" s="42"/>
      <c r="D1220" s="4" t="str">
        <f>IF(E1220=$L1220,1,IF(E1220="","",0))</f>
        <v/>
      </c>
      <c r="E1220" s="43"/>
      <c r="F1220" s="4" t="str">
        <f>IF(G1220=$L1220,1,IF(G1220="","",0))</f>
        <v/>
      </c>
      <c r="G1220" s="14"/>
      <c r="H1220" s="6">
        <v>2446</v>
      </c>
      <c r="I1220" s="15" t="s">
        <v>3120</v>
      </c>
      <c r="J1220" s="6" t="s">
        <v>5516</v>
      </c>
      <c r="K1220" s="6"/>
      <c r="L1220" s="6" t="s">
        <v>2495</v>
      </c>
      <c r="M1220" s="6" t="s">
        <v>8551</v>
      </c>
      <c r="N1220" s="7">
        <f ca="1">RAND()</f>
        <v>0.39263030580700575</v>
      </c>
      <c r="O1220" s="8">
        <v>45218</v>
      </c>
      <c r="P1220" s="8">
        <v>45219</v>
      </c>
      <c r="Q1220" s="8">
        <v>45221</v>
      </c>
      <c r="R1220" s="8">
        <v>45225</v>
      </c>
      <c r="S1220" s="8">
        <v>45232</v>
      </c>
      <c r="T1220" s="8">
        <v>45820</v>
      </c>
      <c r="U1220" s="8"/>
      <c r="V1220" s="10">
        <f>COUNTA(O1220:U1220)</f>
        <v>6</v>
      </c>
      <c r="W1220" s="11">
        <f>_xlfn.IFNA(INDEX(reading[[#This Row],[Memo 01]:[Memo 07]],MATCH(0,reading[[#This Row],[Memo 01]:[Memo 07]],-1)),"")</f>
        <v>45820</v>
      </c>
      <c r="X1220" s="11">
        <f ca="1">IFERROR(reading[[#This Row],[Previous]]+OFFSET(reading[[#Headers],[Memo 01]],-1,MATCH(0,reading[[#This Row],[Memo 01]:[Memo 07]],-1)-1),"")</f>
        <v>45840</v>
      </c>
      <c r="Y1220" s="10" t="str">
        <f ca="1">IF(reading[[#This Row],[Next]]&lt;&gt;"",IF(reading[[#This Row],[Next]]&gt;TODAY(),"OK",""),"")</f>
        <v>OK</v>
      </c>
      <c r="Z1220" s="13">
        <v>3</v>
      </c>
      <c r="AA1220" s="13">
        <v>3</v>
      </c>
      <c r="AB1220" s="13">
        <v>3</v>
      </c>
      <c r="AC1220" s="13">
        <v>2</v>
      </c>
      <c r="AD1220" s="13">
        <v>3</v>
      </c>
      <c r="AE1220" s="13">
        <v>2</v>
      </c>
      <c r="AF1220" s="13"/>
      <c r="AG1220" s="16">
        <f>IFERROR(SUMIF(reading[[#This Row],[1st]:[7th]],"&gt;0")/COUNTIF(reading[[#This Row],[1st]:[7th]],"&gt;0"),"")</f>
        <v>2.6666666666666665</v>
      </c>
    </row>
    <row r="1221" spans="1:33" hidden="1" x14ac:dyDescent="0.2">
      <c r="A1221" s="4">
        <f>IF(B1221=1,3,IF(D1221=1,2,IF(F1221=1,1,0)))</f>
        <v>3</v>
      </c>
      <c r="B1221" s="4">
        <f>IF(C1221=$L1221,1,IF(C1221="","",0))</f>
        <v>1</v>
      </c>
      <c r="C1221" s="26" t="s">
        <v>1326</v>
      </c>
      <c r="D1221" s="4" t="str">
        <f>IF(E1221=$L1221,1,IF(E1221="","",0))</f>
        <v/>
      </c>
      <c r="E1221" s="14"/>
      <c r="F1221" s="4" t="str">
        <f>IF(G1221=$L1221,1,IF(G1221="","",0))</f>
        <v/>
      </c>
      <c r="G1221" s="14"/>
      <c r="H1221" s="6">
        <v>1225</v>
      </c>
      <c r="I1221" s="15" t="s">
        <v>3120</v>
      </c>
      <c r="J1221" s="6" t="s">
        <v>4342</v>
      </c>
      <c r="K1221" s="6"/>
      <c r="L1221" s="6" t="s">
        <v>1326</v>
      </c>
      <c r="M1221" s="6" t="s">
        <v>7332</v>
      </c>
      <c r="N1221" s="7">
        <f ca="1">RAND()</f>
        <v>0.9856291481865419</v>
      </c>
      <c r="O1221" s="8">
        <v>45206</v>
      </c>
      <c r="P1221" s="8">
        <v>45206</v>
      </c>
      <c r="Q1221" s="8">
        <v>45206</v>
      </c>
      <c r="R1221" s="8">
        <v>45206</v>
      </c>
      <c r="S1221" s="8">
        <v>45206</v>
      </c>
      <c r="T1221" s="8">
        <v>45206</v>
      </c>
      <c r="U1221" s="8">
        <v>45206</v>
      </c>
      <c r="V1221" s="10">
        <f>COUNTA(O1221:U1221)</f>
        <v>7</v>
      </c>
      <c r="W1221" s="11">
        <f>_xlfn.IFNA(INDEX(reading[[#This Row],[Memo 01]:[Memo 07]],MATCH(0,reading[[#This Row],[Memo 01]:[Memo 07]],-1)),"")</f>
        <v>45206</v>
      </c>
      <c r="X1221" s="11">
        <f ca="1">IFERROR(reading[[#This Row],[Previous]]+OFFSET(reading[[#Headers],[Memo 01]],-1,MATCH(0,reading[[#This Row],[Memo 01]:[Memo 07]],-1)-1),"")</f>
        <v>55206</v>
      </c>
      <c r="Y1221" s="10" t="str">
        <f ca="1">IF(reading[[#This Row],[Next]]&lt;&gt;"",IF(reading[[#This Row],[Next]]&gt;TODAY(),"OK",""),"")</f>
        <v>OK</v>
      </c>
      <c r="Z1221" s="13">
        <v>3</v>
      </c>
      <c r="AA1221" s="13"/>
      <c r="AB1221" s="13"/>
      <c r="AC1221" s="13"/>
      <c r="AD1221" s="13"/>
      <c r="AE1221" s="13"/>
      <c r="AF1221" s="13"/>
      <c r="AG1221" s="16">
        <f>IFERROR(SUMIF(reading[[#This Row],[1st]:[7th]],"&gt;0")/COUNTIF(reading[[#This Row],[1st]:[7th]],"&gt;0"),"")</f>
        <v>3</v>
      </c>
    </row>
    <row r="1222" spans="1:33" hidden="1" x14ac:dyDescent="0.2">
      <c r="A1222" s="4">
        <f>IF(B1222=1,3,IF(D1222=1,2,IF(F1222=1,1,0)))</f>
        <v>0</v>
      </c>
      <c r="B1222" s="4" t="str">
        <f>IF(C1222=$L1222,1,IF(C1222="","",0))</f>
        <v/>
      </c>
      <c r="C1222" s="42"/>
      <c r="D1222" s="4" t="str">
        <f>IF(E1222=$L1222,1,IF(E1222="","",0))</f>
        <v/>
      </c>
      <c r="E1222" s="18"/>
      <c r="F1222" s="4" t="str">
        <f>IF(G1222=$L1222,1,IF(G1222="","",0))</f>
        <v/>
      </c>
      <c r="G1222" s="14"/>
      <c r="H1222" s="6">
        <v>2726</v>
      </c>
      <c r="I1222" s="15" t="s">
        <v>3120</v>
      </c>
      <c r="J1222" s="6" t="s">
        <v>5776</v>
      </c>
      <c r="K1222" s="6"/>
      <c r="L1222" s="6" t="s">
        <v>2764</v>
      </c>
      <c r="M1222" s="6" t="s">
        <v>8831</v>
      </c>
      <c r="N1222" s="7">
        <f ca="1">RAND()</f>
        <v>0.49939629084216708</v>
      </c>
      <c r="O1222" s="8">
        <v>45221</v>
      </c>
      <c r="P1222" s="8">
        <v>45222</v>
      </c>
      <c r="Q1222" s="8">
        <v>45224</v>
      </c>
      <c r="R1222" s="8">
        <v>45228</v>
      </c>
      <c r="S1222" s="8">
        <v>45235</v>
      </c>
      <c r="T1222" s="8">
        <v>45823</v>
      </c>
      <c r="U1222" s="8"/>
      <c r="V1222" s="10">
        <f>COUNTA(O1222:U1222)</f>
        <v>6</v>
      </c>
      <c r="W1222" s="11">
        <f>_xlfn.IFNA(INDEX(reading[[#This Row],[Memo 01]:[Memo 07]],MATCH(0,reading[[#This Row],[Memo 01]:[Memo 07]],-1)),"")</f>
        <v>45823</v>
      </c>
      <c r="X1222" s="11">
        <f ca="1">IFERROR(reading[[#This Row],[Previous]]+OFFSET(reading[[#Headers],[Memo 01]],-1,MATCH(0,reading[[#This Row],[Memo 01]:[Memo 07]],-1)-1),"")</f>
        <v>45843</v>
      </c>
      <c r="Y1222" s="10" t="str">
        <f ca="1">IF(reading[[#This Row],[Next]]&lt;&gt;"",IF(reading[[#This Row],[Next]]&gt;TODAY(),"OK",""),"")</f>
        <v>OK</v>
      </c>
      <c r="Z1222" s="13">
        <v>3</v>
      </c>
      <c r="AA1222" s="13">
        <v>3</v>
      </c>
      <c r="AB1222" s="13">
        <v>2</v>
      </c>
      <c r="AC1222" s="13">
        <v>3</v>
      </c>
      <c r="AD1222" s="13">
        <v>3</v>
      </c>
      <c r="AE1222" s="13">
        <v>3</v>
      </c>
      <c r="AF1222" s="13"/>
      <c r="AG1222" s="16">
        <f>IFERROR(SUMIF(reading[[#This Row],[1st]:[7th]],"&gt;0")/COUNTIF(reading[[#This Row],[1st]:[7th]],"&gt;0"),"")</f>
        <v>2.8333333333333335</v>
      </c>
    </row>
    <row r="1223" spans="1:33" hidden="1" x14ac:dyDescent="0.2">
      <c r="A1223" s="4">
        <f>IF(B1223=1,3,IF(D1223=1,2,IF(F1223=1,1,0)))</f>
        <v>0</v>
      </c>
      <c r="B1223" s="4" t="str">
        <f>IF(C1223=$L1223,1,IF(C1223="","",0))</f>
        <v/>
      </c>
      <c r="C1223" s="42"/>
      <c r="D1223" s="4" t="str">
        <f>IF(E1223=$L1223,1,IF(E1223="","",0))</f>
        <v/>
      </c>
      <c r="E1223" s="43"/>
      <c r="F1223" s="4" t="str">
        <f>IF(G1223=$L1223,1,IF(G1223="","",0))</f>
        <v/>
      </c>
      <c r="G1223" s="23"/>
      <c r="H1223" s="6">
        <v>2466</v>
      </c>
      <c r="I1223" s="15" t="s">
        <v>3120</v>
      </c>
      <c r="J1223" s="6" t="s">
        <v>5535</v>
      </c>
      <c r="K1223" s="6"/>
      <c r="L1223" s="6" t="s">
        <v>2514</v>
      </c>
      <c r="M1223" s="6" t="s">
        <v>8571</v>
      </c>
      <c r="N1223" s="7">
        <f ca="1">RAND()</f>
        <v>6.5385543529812962E-2</v>
      </c>
      <c r="O1223" s="8">
        <v>45218</v>
      </c>
      <c r="P1223" s="8">
        <v>45219</v>
      </c>
      <c r="Q1223" s="8">
        <v>45221</v>
      </c>
      <c r="R1223" s="8">
        <v>45225</v>
      </c>
      <c r="S1223" s="8">
        <v>45232</v>
      </c>
      <c r="T1223" s="8">
        <v>45820</v>
      </c>
      <c r="U1223" s="8"/>
      <c r="V1223" s="10">
        <f>COUNTA(O1223:U1223)</f>
        <v>6</v>
      </c>
      <c r="W1223" s="11">
        <f>_xlfn.IFNA(INDEX(reading[[#This Row],[Memo 01]:[Memo 07]],MATCH(0,reading[[#This Row],[Memo 01]:[Memo 07]],-1)),"")</f>
        <v>45820</v>
      </c>
      <c r="X1223" s="11">
        <f ca="1">IFERROR(reading[[#This Row],[Previous]]+OFFSET(reading[[#Headers],[Memo 01]],-1,MATCH(0,reading[[#This Row],[Memo 01]:[Memo 07]],-1)-1),"")</f>
        <v>45840</v>
      </c>
      <c r="Y1223" s="10" t="str">
        <f ca="1">IF(reading[[#This Row],[Next]]&lt;&gt;"",IF(reading[[#This Row],[Next]]&gt;TODAY(),"OK",""),"")</f>
        <v>OK</v>
      </c>
      <c r="Z1223" s="13">
        <v>3</v>
      </c>
      <c r="AA1223" s="13">
        <v>2</v>
      </c>
      <c r="AB1223" s="13">
        <v>3</v>
      </c>
      <c r="AC1223" s="13">
        <v>3</v>
      </c>
      <c r="AD1223" s="13">
        <v>3</v>
      </c>
      <c r="AE1223" s="13">
        <v>1</v>
      </c>
      <c r="AF1223" s="13"/>
      <c r="AG1223" s="16">
        <f>IFERROR(SUMIF(reading[[#This Row],[1st]:[7th]],"&gt;0")/COUNTIF(reading[[#This Row],[1st]:[7th]],"&gt;0"),"")</f>
        <v>2.5</v>
      </c>
    </row>
    <row r="1224" spans="1:33" hidden="1" x14ac:dyDescent="0.2">
      <c r="A1224" s="4">
        <f>IF(B1224=1,3,IF(D1224=1,2,IF(F1224=1,1,0)))</f>
        <v>3</v>
      </c>
      <c r="B1224" s="4">
        <f>IF(C1224=$L1224,1,IF(C1224="","",0))</f>
        <v>1</v>
      </c>
      <c r="C1224" s="26" t="s">
        <v>111</v>
      </c>
      <c r="D1224" s="4" t="str">
        <f>IF(E1224=$L1224,1,IF(E1224="","",0))</f>
        <v/>
      </c>
      <c r="E1224" s="14"/>
      <c r="F1224" s="4" t="str">
        <f>IF(G1224=$L1224,1,IF(G1224="","",0))</f>
        <v/>
      </c>
      <c r="G1224" s="14"/>
      <c r="H1224" s="6">
        <v>1228</v>
      </c>
      <c r="I1224" s="15" t="s">
        <v>3120</v>
      </c>
      <c r="J1224" s="6" t="s">
        <v>4345</v>
      </c>
      <c r="K1224" s="6"/>
      <c r="L1224" s="6" t="s">
        <v>111</v>
      </c>
      <c r="M1224" s="6" t="s">
        <v>7335</v>
      </c>
      <c r="N1224" s="7">
        <f ca="1">RAND()</f>
        <v>0.70376483616886698</v>
      </c>
      <c r="O1224" s="8">
        <v>45206</v>
      </c>
      <c r="P1224" s="8">
        <v>45206</v>
      </c>
      <c r="Q1224" s="8">
        <v>45206</v>
      </c>
      <c r="R1224" s="8">
        <v>45206</v>
      </c>
      <c r="S1224" s="8">
        <v>45206</v>
      </c>
      <c r="T1224" s="8">
        <v>45206</v>
      </c>
      <c r="U1224" s="8">
        <v>45206</v>
      </c>
      <c r="V1224" s="10">
        <f>COUNTA(O1224:U1224)</f>
        <v>7</v>
      </c>
      <c r="W1224" s="11">
        <f>_xlfn.IFNA(INDEX(reading[[#This Row],[Memo 01]:[Memo 07]],MATCH(0,reading[[#This Row],[Memo 01]:[Memo 07]],-1)),"")</f>
        <v>45206</v>
      </c>
      <c r="X1224" s="11">
        <f ca="1">IFERROR(reading[[#This Row],[Previous]]+OFFSET(reading[[#Headers],[Memo 01]],-1,MATCH(0,reading[[#This Row],[Memo 01]:[Memo 07]],-1)-1),"")</f>
        <v>55206</v>
      </c>
      <c r="Y1224" s="10" t="str">
        <f ca="1">IF(reading[[#This Row],[Next]]&lt;&gt;"",IF(reading[[#This Row],[Next]]&gt;TODAY(),"OK",""),"")</f>
        <v>OK</v>
      </c>
      <c r="Z1224" s="13">
        <v>3</v>
      </c>
      <c r="AA1224" s="13"/>
      <c r="AB1224" s="13"/>
      <c r="AC1224" s="13"/>
      <c r="AD1224" s="13"/>
      <c r="AE1224" s="13"/>
      <c r="AF1224" s="13"/>
      <c r="AG1224" s="16">
        <f>IFERROR(SUMIF(reading[[#This Row],[1st]:[7th]],"&gt;0")/COUNTIF(reading[[#This Row],[1st]:[7th]],"&gt;0"),"")</f>
        <v>3</v>
      </c>
    </row>
    <row r="1225" spans="1:33" hidden="1" x14ac:dyDescent="0.2">
      <c r="A1225" s="4">
        <f>IF(B1225=1,3,IF(D1225=1,2,IF(F1225=1,1,0)))</f>
        <v>0</v>
      </c>
      <c r="B1225" s="4" t="str">
        <f>IF(C1225=$L1225,1,IF(C1225="","",0))</f>
        <v/>
      </c>
      <c r="C1225" s="42"/>
      <c r="D1225" s="4" t="str">
        <f>IF(E1225=$L1225,1,IF(E1225="","",0))</f>
        <v/>
      </c>
      <c r="E1225" s="23"/>
      <c r="F1225" s="4" t="str">
        <f>IF(G1225=$L1225,1,IF(G1225="","",0))</f>
        <v/>
      </c>
      <c r="G1225" s="14"/>
      <c r="H1225" s="6">
        <v>2979</v>
      </c>
      <c r="I1225" s="15" t="s">
        <v>3120</v>
      </c>
      <c r="J1225" s="6" t="s">
        <v>6008</v>
      </c>
      <c r="K1225" s="15" t="s">
        <v>3139</v>
      </c>
      <c r="L1225" s="6" t="s">
        <v>3008</v>
      </c>
      <c r="M1225" s="6" t="s">
        <v>9083</v>
      </c>
      <c r="N1225" s="7">
        <f ca="1">RAND()</f>
        <v>0.16815578348294047</v>
      </c>
      <c r="O1225" s="8">
        <v>45223</v>
      </c>
      <c r="P1225" s="8">
        <v>45224</v>
      </c>
      <c r="Q1225" s="8">
        <v>45226</v>
      </c>
      <c r="R1225" s="8">
        <v>45230</v>
      </c>
      <c r="S1225" s="8">
        <v>45237</v>
      </c>
      <c r="T1225" s="8">
        <v>45820</v>
      </c>
      <c r="U1225" s="8"/>
      <c r="V1225" s="10">
        <f>COUNTA(O1225:U1225)</f>
        <v>6</v>
      </c>
      <c r="W1225" s="11">
        <f>_xlfn.IFNA(INDEX(reading[[#This Row],[Memo 01]:[Memo 07]],MATCH(0,reading[[#This Row],[Memo 01]:[Memo 07]],-1)),"")</f>
        <v>45820</v>
      </c>
      <c r="X1225" s="11">
        <f ca="1">IFERROR(reading[[#This Row],[Previous]]+OFFSET(reading[[#Headers],[Memo 01]],-1,MATCH(0,reading[[#This Row],[Memo 01]:[Memo 07]],-1)-1),"")</f>
        <v>45840</v>
      </c>
      <c r="Y1225" s="10" t="str">
        <f ca="1">IF(reading[[#This Row],[Next]]&lt;&gt;"",IF(reading[[#This Row],[Next]]&gt;TODAY(),"OK",""),"")</f>
        <v>OK</v>
      </c>
      <c r="Z1225" s="13">
        <v>3</v>
      </c>
      <c r="AA1225" s="13">
        <v>3</v>
      </c>
      <c r="AB1225" s="13">
        <v>3</v>
      </c>
      <c r="AC1225" s="13">
        <v>3</v>
      </c>
      <c r="AD1225" s="13">
        <v>3</v>
      </c>
      <c r="AE1225" s="13">
        <v>2</v>
      </c>
      <c r="AF1225" s="13"/>
      <c r="AG1225" s="16">
        <f>IFERROR(SUMIF(reading[[#This Row],[1st]:[7th]],"&gt;0")/COUNTIF(reading[[#This Row],[1st]:[7th]],"&gt;0"),"")</f>
        <v>2.8333333333333335</v>
      </c>
    </row>
    <row r="1226" spans="1:33" hidden="1" x14ac:dyDescent="0.2">
      <c r="A1226" s="4">
        <f>IF(B1226=1,3,IF(D1226=1,2,IF(F1226=1,1,0)))</f>
        <v>0</v>
      </c>
      <c r="B1226" s="4" t="str">
        <f>IF(C1226=$L1226,1,IF(C1226="","",0))</f>
        <v/>
      </c>
      <c r="C1226" s="42"/>
      <c r="D1226" s="4" t="str">
        <f>IF(E1226=$L1226,1,IF(E1226="","",0))</f>
        <v/>
      </c>
      <c r="E1226" s="14"/>
      <c r="F1226" s="4" t="str">
        <f>IF(G1226=$L1226,1,IF(G1226="","",0))</f>
        <v/>
      </c>
      <c r="G1226" s="14"/>
      <c r="H1226" s="6">
        <v>1414</v>
      </c>
      <c r="I1226" s="15" t="s">
        <v>3120</v>
      </c>
      <c r="J1226" s="6" t="s">
        <v>4528</v>
      </c>
      <c r="K1226" s="6"/>
      <c r="L1226" s="6" t="s">
        <v>1505</v>
      </c>
      <c r="M1226" s="6" t="s">
        <v>7521</v>
      </c>
      <c r="N1226" s="7">
        <f ca="1">RAND()</f>
        <v>0.65387638124571612</v>
      </c>
      <c r="O1226" s="8">
        <v>45208</v>
      </c>
      <c r="P1226" s="8">
        <v>45209</v>
      </c>
      <c r="Q1226" s="8">
        <v>45211</v>
      </c>
      <c r="R1226" s="8">
        <v>45215</v>
      </c>
      <c r="S1226" s="8">
        <v>45222</v>
      </c>
      <c r="T1226" s="8">
        <v>45234</v>
      </c>
      <c r="U1226" s="8">
        <v>45823</v>
      </c>
      <c r="V1226" s="10">
        <f>COUNTA(O1226:U1226)</f>
        <v>7</v>
      </c>
      <c r="W1226" s="11">
        <f>_xlfn.IFNA(INDEX(reading[[#This Row],[Memo 01]:[Memo 07]],MATCH(0,reading[[#This Row],[Memo 01]:[Memo 07]],-1)),"")</f>
        <v>45823</v>
      </c>
      <c r="X1226" s="11">
        <f ca="1">IFERROR(reading[[#This Row],[Previous]]+OFFSET(reading[[#Headers],[Memo 01]],-1,MATCH(0,reading[[#This Row],[Memo 01]:[Memo 07]],-1)-1),"")</f>
        <v>55823</v>
      </c>
      <c r="Y1226" s="10" t="str">
        <f ca="1">IF(reading[[#This Row],[Next]]&lt;&gt;"",IF(reading[[#This Row],[Next]]&gt;TODAY(),"OK",""),"")</f>
        <v>OK</v>
      </c>
      <c r="Z1226" s="13">
        <v>3</v>
      </c>
      <c r="AA1226" s="13">
        <v>3</v>
      </c>
      <c r="AB1226" s="13">
        <v>3</v>
      </c>
      <c r="AC1226" s="13">
        <v>3</v>
      </c>
      <c r="AD1226" s="13">
        <v>3</v>
      </c>
      <c r="AE1226" s="13">
        <v>3</v>
      </c>
      <c r="AF1226" s="13">
        <v>3</v>
      </c>
      <c r="AG1226" s="16">
        <f>IFERROR(SUMIF(reading[[#This Row],[1st]:[7th]],"&gt;0")/COUNTIF(reading[[#This Row],[1st]:[7th]],"&gt;0"),"")</f>
        <v>3</v>
      </c>
    </row>
    <row r="1227" spans="1:33" hidden="1" x14ac:dyDescent="0.2">
      <c r="A1227" s="4">
        <f>IF(B1227=1,3,IF(D1227=1,2,IF(F1227=1,1,0)))</f>
        <v>0</v>
      </c>
      <c r="B1227" s="4" t="str">
        <f>IF(C1227=$L1227,1,IF(C1227="","",0))</f>
        <v/>
      </c>
      <c r="C1227" s="42"/>
      <c r="D1227" s="4" t="str">
        <f>IF(E1227=$L1227,1,IF(E1227="","",0))</f>
        <v/>
      </c>
      <c r="E1227" s="14"/>
      <c r="F1227" s="4" t="str">
        <f>IF(G1227=$L1227,1,IF(G1227="","",0))</f>
        <v/>
      </c>
      <c r="G1227" s="14"/>
      <c r="H1227" s="6">
        <v>1756</v>
      </c>
      <c r="I1227" s="15" t="s">
        <v>3120</v>
      </c>
      <c r="J1227" s="6" t="s">
        <v>4864</v>
      </c>
      <c r="K1227" s="6"/>
      <c r="L1227" s="6" t="s">
        <v>1836</v>
      </c>
      <c r="M1227" s="6" t="s">
        <v>7862</v>
      </c>
      <c r="N1227" s="7">
        <f ca="1">RAND()</f>
        <v>0.33093086805761673</v>
      </c>
      <c r="O1227" s="8">
        <v>45212</v>
      </c>
      <c r="P1227" s="8">
        <v>45213</v>
      </c>
      <c r="Q1227" s="8">
        <v>45215</v>
      </c>
      <c r="R1227" s="8">
        <v>45219</v>
      </c>
      <c r="S1227" s="8">
        <v>45226</v>
      </c>
      <c r="T1227" s="8">
        <v>45823</v>
      </c>
      <c r="U1227" s="8"/>
      <c r="V1227" s="10">
        <f>COUNTA(O1227:U1227)</f>
        <v>6</v>
      </c>
      <c r="W1227" s="11">
        <f>_xlfn.IFNA(INDEX(reading[[#This Row],[Memo 01]:[Memo 07]],MATCH(0,reading[[#This Row],[Memo 01]:[Memo 07]],-1)),"")</f>
        <v>45823</v>
      </c>
      <c r="X1227" s="11">
        <f ca="1">IFERROR(reading[[#This Row],[Previous]]+OFFSET(reading[[#Headers],[Memo 01]],-1,MATCH(0,reading[[#This Row],[Memo 01]:[Memo 07]],-1)-1),"")</f>
        <v>45843</v>
      </c>
      <c r="Y1227" s="10" t="str">
        <f ca="1">IF(reading[[#This Row],[Next]]&lt;&gt;"",IF(reading[[#This Row],[Next]]&gt;TODAY(),"OK",""),"")</f>
        <v>OK</v>
      </c>
      <c r="Z1227" s="13">
        <v>3</v>
      </c>
      <c r="AA1227" s="13">
        <v>3</v>
      </c>
      <c r="AB1227" s="13">
        <v>3</v>
      </c>
      <c r="AC1227" s="13">
        <v>3</v>
      </c>
      <c r="AD1227" s="13">
        <v>3</v>
      </c>
      <c r="AE1227" s="13">
        <v>3</v>
      </c>
      <c r="AF1227" s="13"/>
      <c r="AG1227" s="16">
        <f>IFERROR(SUMIF(reading[[#This Row],[1st]:[7th]],"&gt;0")/COUNTIF(reading[[#This Row],[1st]:[7th]],"&gt;0"),"")</f>
        <v>3</v>
      </c>
    </row>
    <row r="1228" spans="1:33" hidden="1" x14ac:dyDescent="0.2">
      <c r="A1228" s="4">
        <f>IF(B1228=1,3,IF(D1228=1,2,IF(F1228=1,1,0)))</f>
        <v>0</v>
      </c>
      <c r="B1228" s="4" t="str">
        <f>IF(C1228=$L1228,1,IF(C1228="","",0))</f>
        <v/>
      </c>
      <c r="C1228" s="42"/>
      <c r="D1228" s="4" t="str">
        <f>IF(E1228=$L1228,1,IF(E1228="","",0))</f>
        <v/>
      </c>
      <c r="E1228" s="23"/>
      <c r="F1228" s="4" t="str">
        <f>IF(G1228=$L1228,1,IF(G1228="","",0))</f>
        <v/>
      </c>
      <c r="G1228" s="14"/>
      <c r="H1228" s="6">
        <v>2171</v>
      </c>
      <c r="I1228" s="15" t="s">
        <v>3120</v>
      </c>
      <c r="J1228" s="6" t="s">
        <v>5259</v>
      </c>
      <c r="K1228" s="6"/>
      <c r="L1228" s="6" t="s">
        <v>2237</v>
      </c>
      <c r="M1228" s="6" t="s">
        <v>8277</v>
      </c>
      <c r="N1228" s="7">
        <f ca="1">RAND()</f>
        <v>0.62106929056995464</v>
      </c>
      <c r="O1228" s="8">
        <v>45214</v>
      </c>
      <c r="P1228" s="8">
        <v>45215</v>
      </c>
      <c r="Q1228" s="8">
        <v>45217</v>
      </c>
      <c r="R1228" s="8">
        <v>45221</v>
      </c>
      <c r="S1228" s="8">
        <v>45228</v>
      </c>
      <c r="T1228" s="8">
        <v>45820</v>
      </c>
      <c r="U1228" s="8"/>
      <c r="V1228" s="10">
        <f>COUNTA(O1228:U1228)</f>
        <v>6</v>
      </c>
      <c r="W1228" s="11">
        <f>_xlfn.IFNA(INDEX(reading[[#This Row],[Memo 01]:[Memo 07]],MATCH(0,reading[[#This Row],[Memo 01]:[Memo 07]],-1)),"")</f>
        <v>45820</v>
      </c>
      <c r="X1228" s="11">
        <f ca="1">IFERROR(reading[[#This Row],[Previous]]+OFFSET(reading[[#Headers],[Memo 01]],-1,MATCH(0,reading[[#This Row],[Memo 01]:[Memo 07]],-1)-1),"")</f>
        <v>45840</v>
      </c>
      <c r="Y1228" s="10" t="str">
        <f ca="1">IF(reading[[#This Row],[Next]]&lt;&gt;"",IF(reading[[#This Row],[Next]]&gt;TODAY(),"OK",""),"")</f>
        <v>OK</v>
      </c>
      <c r="Z1228" s="13">
        <v>3</v>
      </c>
      <c r="AA1228" s="13">
        <v>3</v>
      </c>
      <c r="AB1228" s="13">
        <v>3</v>
      </c>
      <c r="AC1228" s="13">
        <v>3</v>
      </c>
      <c r="AD1228" s="13">
        <v>3</v>
      </c>
      <c r="AE1228" s="13">
        <v>2</v>
      </c>
      <c r="AF1228" s="13"/>
      <c r="AG1228" s="16">
        <f>IFERROR(SUMIF(reading[[#This Row],[1st]:[7th]],"&gt;0")/COUNTIF(reading[[#This Row],[1st]:[7th]],"&gt;0"),"")</f>
        <v>2.8333333333333335</v>
      </c>
    </row>
    <row r="1229" spans="1:33" hidden="1" x14ac:dyDescent="0.2">
      <c r="A1229" s="4">
        <f>IF(B1229=1,3,IF(D1229=1,2,IF(F1229=1,1,0)))</f>
        <v>0</v>
      </c>
      <c r="B1229" s="4" t="str">
        <f>IF(C1229=$L1229,1,IF(C1229="","",0))</f>
        <v/>
      </c>
      <c r="C1229" s="42"/>
      <c r="D1229" s="4" t="str">
        <f>IF(E1229=$L1229,1,IF(E1229="","",0))</f>
        <v/>
      </c>
      <c r="E1229" s="18"/>
      <c r="F1229" s="4" t="str">
        <f>IF(G1229=$L1229,1,IF(G1229="","",0))</f>
        <v/>
      </c>
      <c r="G1229" s="14"/>
      <c r="H1229" s="6">
        <v>2404</v>
      </c>
      <c r="I1229" s="15" t="s">
        <v>3120</v>
      </c>
      <c r="J1229" s="6" t="s">
        <v>5475</v>
      </c>
      <c r="K1229" s="15" t="s">
        <v>3139</v>
      </c>
      <c r="L1229" s="6" t="s">
        <v>2454</v>
      </c>
      <c r="M1229" s="6" t="s">
        <v>8509</v>
      </c>
      <c r="N1229" s="7">
        <f ca="1">RAND()</f>
        <v>0.49174643232246384</v>
      </c>
      <c r="O1229" s="8">
        <v>45217</v>
      </c>
      <c r="P1229" s="8">
        <v>45218</v>
      </c>
      <c r="Q1229" s="8">
        <v>45220</v>
      </c>
      <c r="R1229" s="8">
        <v>45224</v>
      </c>
      <c r="S1229" s="8">
        <v>45231</v>
      </c>
      <c r="T1229" s="8">
        <v>45251</v>
      </c>
      <c r="U1229" s="8">
        <v>45823</v>
      </c>
      <c r="V1229" s="10">
        <f>COUNTA(O1229:U1229)</f>
        <v>7</v>
      </c>
      <c r="W1229" s="11">
        <f>_xlfn.IFNA(INDEX(reading[[#This Row],[Memo 01]:[Memo 07]],MATCH(0,reading[[#This Row],[Memo 01]:[Memo 07]],-1)),"")</f>
        <v>45823</v>
      </c>
      <c r="X1229" s="11">
        <f ca="1">IFERROR(reading[[#This Row],[Previous]]+OFFSET(reading[[#Headers],[Memo 01]],-1,MATCH(0,reading[[#This Row],[Memo 01]:[Memo 07]],-1)-1),"")</f>
        <v>55823</v>
      </c>
      <c r="Y1229" s="10" t="str">
        <f ca="1">IF(reading[[#This Row],[Next]]&lt;&gt;"",IF(reading[[#This Row],[Next]]&gt;TODAY(),"OK",""),"")</f>
        <v>OK</v>
      </c>
      <c r="Z1229" s="13">
        <v>3</v>
      </c>
      <c r="AA1229" s="13">
        <v>3</v>
      </c>
      <c r="AB1229" s="13">
        <v>2</v>
      </c>
      <c r="AC1229" s="13">
        <v>3</v>
      </c>
      <c r="AD1229" s="13">
        <v>2</v>
      </c>
      <c r="AE1229" s="13">
        <v>3</v>
      </c>
      <c r="AF1229" s="13">
        <v>3</v>
      </c>
      <c r="AG1229" s="16">
        <f>IFERROR(SUMIF(reading[[#This Row],[1st]:[7th]],"&gt;0")/COUNTIF(reading[[#This Row],[1st]:[7th]],"&gt;0"),"")</f>
        <v>2.7142857142857144</v>
      </c>
    </row>
    <row r="1230" spans="1:33" hidden="1" x14ac:dyDescent="0.2">
      <c r="A1230" s="4">
        <f>IF(B1230=1,3,IF(D1230=1,2,IF(F1230=1,1,0)))</f>
        <v>0</v>
      </c>
      <c r="B1230" s="4" t="str">
        <f>IF(C1230=$L1230,1,IF(C1230="","",0))</f>
        <v/>
      </c>
      <c r="C1230" s="42"/>
      <c r="D1230" s="4" t="str">
        <f>IF(E1230=$L1230,1,IF(E1230="","",0))</f>
        <v/>
      </c>
      <c r="E1230" s="43"/>
      <c r="F1230" s="4" t="str">
        <f>IF(G1230=$L1230,1,IF(G1230="","",0))</f>
        <v/>
      </c>
      <c r="G1230" s="14"/>
      <c r="H1230" s="6">
        <v>3062</v>
      </c>
      <c r="I1230" s="15" t="s">
        <v>3120</v>
      </c>
      <c r="J1230" s="6" t="s">
        <v>6083</v>
      </c>
      <c r="K1230" s="6"/>
      <c r="L1230" s="6" t="s">
        <v>3087</v>
      </c>
      <c r="M1230" s="6" t="s">
        <v>9165</v>
      </c>
      <c r="N1230" s="7">
        <f ca="1">RAND()</f>
        <v>2.1494256318296268E-3</v>
      </c>
      <c r="O1230" s="8">
        <v>45227</v>
      </c>
      <c r="P1230" s="8">
        <v>45228</v>
      </c>
      <c r="Q1230" s="8">
        <v>45230</v>
      </c>
      <c r="R1230" s="8">
        <v>45234</v>
      </c>
      <c r="S1230" s="8">
        <v>45252</v>
      </c>
      <c r="T1230" s="8">
        <v>45820</v>
      </c>
      <c r="U1230" s="8"/>
      <c r="V1230" s="10">
        <f>COUNTA(O1230:U1230)</f>
        <v>6</v>
      </c>
      <c r="W1230" s="11">
        <f>_xlfn.IFNA(INDEX(reading[[#This Row],[Memo 01]:[Memo 07]],MATCH(0,reading[[#This Row],[Memo 01]:[Memo 07]],-1)),"")</f>
        <v>45820</v>
      </c>
      <c r="X1230" s="11">
        <f ca="1">IFERROR(reading[[#This Row],[Previous]]+OFFSET(reading[[#Headers],[Memo 01]],-1,MATCH(0,reading[[#This Row],[Memo 01]:[Memo 07]],-1)-1),"")</f>
        <v>45840</v>
      </c>
      <c r="Y1230" s="10" t="str">
        <f ca="1">IF(reading[[#This Row],[Next]]&lt;&gt;"",IF(reading[[#This Row],[Next]]&gt;TODAY(),"OK",""),"")</f>
        <v>OK</v>
      </c>
      <c r="Z1230" s="13">
        <v>3</v>
      </c>
      <c r="AA1230" s="13">
        <v>3</v>
      </c>
      <c r="AB1230" s="13">
        <v>3</v>
      </c>
      <c r="AC1230" s="13">
        <v>3</v>
      </c>
      <c r="AD1230" s="13">
        <v>2</v>
      </c>
      <c r="AE1230" s="13">
        <v>2</v>
      </c>
      <c r="AF1230" s="13"/>
      <c r="AG1230" s="16">
        <f>IFERROR(SUMIF(reading[[#This Row],[1st]:[7th]],"&gt;0")/COUNTIF(reading[[#This Row],[1st]:[7th]],"&gt;0"),"")</f>
        <v>2.6666666666666665</v>
      </c>
    </row>
    <row r="1231" spans="1:33" hidden="1" x14ac:dyDescent="0.2">
      <c r="A1231" s="4">
        <f>IF(B1231=1,3,IF(D1231=1,2,IF(F1231=1,1,0)))</f>
        <v>0</v>
      </c>
      <c r="B1231" s="4" t="str">
        <f>IF(C1231=$L1231,1,IF(C1231="","",0))</f>
        <v/>
      </c>
      <c r="C1231" s="42"/>
      <c r="D1231" s="4" t="str">
        <f>IF(E1231=$L1231,1,IF(E1231="","",0))</f>
        <v/>
      </c>
      <c r="E1231" s="23"/>
      <c r="F1231" s="4" t="str">
        <f>IF(G1231=$L1231,1,IF(G1231="","",0))</f>
        <v/>
      </c>
      <c r="G1231" s="14"/>
      <c r="H1231" s="6">
        <v>2485</v>
      </c>
      <c r="I1231" s="15" t="s">
        <v>3120</v>
      </c>
      <c r="J1231" s="6" t="s">
        <v>5553</v>
      </c>
      <c r="K1231" s="6"/>
      <c r="L1231" s="6" t="s">
        <v>2531</v>
      </c>
      <c r="M1231" s="6" t="s">
        <v>8590</v>
      </c>
      <c r="N1231" s="7">
        <f ca="1">RAND()</f>
        <v>0.86143042259020819</v>
      </c>
      <c r="O1231" s="8">
        <v>45218</v>
      </c>
      <c r="P1231" s="8">
        <v>45219</v>
      </c>
      <c r="Q1231" s="8">
        <v>45221</v>
      </c>
      <c r="R1231" s="8">
        <v>45225</v>
      </c>
      <c r="S1231" s="8">
        <v>45232</v>
      </c>
      <c r="T1231" s="8">
        <v>45816</v>
      </c>
      <c r="U1231" s="8"/>
      <c r="V1231" s="10">
        <f>COUNTA(O1231:U1231)</f>
        <v>6</v>
      </c>
      <c r="W1231" s="11">
        <f>_xlfn.IFNA(INDEX(reading[[#This Row],[Memo 01]:[Memo 07]],MATCH(0,reading[[#This Row],[Memo 01]:[Memo 07]],-1)),"")</f>
        <v>45816</v>
      </c>
      <c r="X1231" s="11">
        <f ca="1">IFERROR(reading[[#This Row],[Previous]]+OFFSET(reading[[#Headers],[Memo 01]],-1,MATCH(0,reading[[#This Row],[Memo 01]:[Memo 07]],-1)-1),"")</f>
        <v>45836</v>
      </c>
      <c r="Y1231" s="10" t="str">
        <f ca="1">IF(reading[[#This Row],[Next]]&lt;&gt;"",IF(reading[[#This Row],[Next]]&gt;TODAY(),"OK",""),"")</f>
        <v>OK</v>
      </c>
      <c r="Z1231" s="13">
        <v>3</v>
      </c>
      <c r="AA1231" s="13">
        <v>3</v>
      </c>
      <c r="AB1231" s="13">
        <v>3</v>
      </c>
      <c r="AC1231" s="13">
        <v>3</v>
      </c>
      <c r="AD1231" s="13">
        <v>2</v>
      </c>
      <c r="AE1231" s="13">
        <v>2</v>
      </c>
      <c r="AF1231" s="13"/>
      <c r="AG1231" s="16">
        <f>IFERROR(SUMIF(reading[[#This Row],[1st]:[7th]],"&gt;0")/COUNTIF(reading[[#This Row],[1st]:[7th]],"&gt;0"),"")</f>
        <v>2.6666666666666665</v>
      </c>
    </row>
    <row r="1232" spans="1:33" hidden="1" x14ac:dyDescent="0.2">
      <c r="A1232" s="4">
        <f>IF(B1232=1,3,IF(D1232=1,2,IF(F1232=1,1,0)))</f>
        <v>3</v>
      </c>
      <c r="B1232" s="4">
        <f>IF(C1232=$L1232,1,IF(C1232="","",0))</f>
        <v>1</v>
      </c>
      <c r="C1232" s="26" t="s">
        <v>1336</v>
      </c>
      <c r="D1232" s="4" t="str">
        <f>IF(E1232=$L1232,1,IF(E1232="","",0))</f>
        <v/>
      </c>
      <c r="E1232" s="14"/>
      <c r="F1232" s="4" t="str">
        <f>IF(G1232=$L1232,1,IF(G1232="","",0))</f>
        <v/>
      </c>
      <c r="G1232" s="14"/>
      <c r="H1232" s="6">
        <v>1236</v>
      </c>
      <c r="I1232" s="15" t="s">
        <v>3120</v>
      </c>
      <c r="J1232" s="6" t="s">
        <v>4353</v>
      </c>
      <c r="K1232" s="6"/>
      <c r="L1232" s="6" t="s">
        <v>1336</v>
      </c>
      <c r="M1232" s="6" t="s">
        <v>7343</v>
      </c>
      <c r="N1232" s="7">
        <f ca="1">RAND()</f>
        <v>0.55733124307673487</v>
      </c>
      <c r="O1232" s="8">
        <v>45206</v>
      </c>
      <c r="P1232" s="8">
        <v>45206</v>
      </c>
      <c r="Q1232" s="8">
        <v>45206</v>
      </c>
      <c r="R1232" s="8">
        <v>45206</v>
      </c>
      <c r="S1232" s="8">
        <v>45206</v>
      </c>
      <c r="T1232" s="8">
        <v>45206</v>
      </c>
      <c r="U1232" s="8">
        <v>45206</v>
      </c>
      <c r="V1232" s="10">
        <f>COUNTA(O1232:U1232)</f>
        <v>7</v>
      </c>
      <c r="W1232" s="11">
        <f>_xlfn.IFNA(INDEX(reading[[#This Row],[Memo 01]:[Memo 07]],MATCH(0,reading[[#This Row],[Memo 01]:[Memo 07]],-1)),"")</f>
        <v>45206</v>
      </c>
      <c r="X1232" s="11">
        <f ca="1">IFERROR(reading[[#This Row],[Previous]]+OFFSET(reading[[#Headers],[Memo 01]],-1,MATCH(0,reading[[#This Row],[Memo 01]:[Memo 07]],-1)-1),"")</f>
        <v>55206</v>
      </c>
      <c r="Y1232" s="10" t="str">
        <f ca="1">IF(reading[[#This Row],[Next]]&lt;&gt;"",IF(reading[[#This Row],[Next]]&gt;TODAY(),"OK",""),"")</f>
        <v>OK</v>
      </c>
      <c r="Z1232" s="13">
        <v>3</v>
      </c>
      <c r="AA1232" s="13"/>
      <c r="AB1232" s="13"/>
      <c r="AC1232" s="13"/>
      <c r="AD1232" s="13"/>
      <c r="AE1232" s="13"/>
      <c r="AF1232" s="13"/>
      <c r="AG1232" s="16">
        <f>IFERROR(SUMIF(reading[[#This Row],[1st]:[7th]],"&gt;0")/COUNTIF(reading[[#This Row],[1st]:[7th]],"&gt;0"),"")</f>
        <v>3</v>
      </c>
    </row>
    <row r="1233" spans="1:33" hidden="1" x14ac:dyDescent="0.2">
      <c r="A1233" s="4">
        <f>IF(B1233=1,3,IF(D1233=1,2,IF(F1233=1,1,0)))</f>
        <v>0</v>
      </c>
      <c r="B1233" s="4" t="str">
        <f>IF(C1233=$L1233,1,IF(C1233="","",0))</f>
        <v/>
      </c>
      <c r="C1233" s="42"/>
      <c r="D1233" s="4" t="str">
        <f>IF(E1233=$L1233,1,IF(E1233="","",0))</f>
        <v/>
      </c>
      <c r="E1233" s="23"/>
      <c r="F1233" s="4" t="str">
        <f>IF(G1233=$L1233,1,IF(G1233="","",0))</f>
        <v/>
      </c>
      <c r="G1233" s="14"/>
      <c r="H1233" s="6">
        <v>464</v>
      </c>
      <c r="I1233" s="15" t="s">
        <v>3120</v>
      </c>
      <c r="J1233" s="6" t="s">
        <v>3610</v>
      </c>
      <c r="K1233" s="6"/>
      <c r="L1233" s="6" t="s">
        <v>593</v>
      </c>
      <c r="M1233" s="6" t="s">
        <v>6573</v>
      </c>
      <c r="N1233" s="7">
        <f ca="1">RAND()</f>
        <v>0.18765970780223307</v>
      </c>
      <c r="O1233" s="8">
        <v>45202</v>
      </c>
      <c r="P1233" s="8">
        <v>45203</v>
      </c>
      <c r="Q1233" s="8">
        <v>45205</v>
      </c>
      <c r="R1233" s="8">
        <v>45209</v>
      </c>
      <c r="S1233" s="8">
        <v>45216</v>
      </c>
      <c r="T1233" s="8">
        <v>45228</v>
      </c>
      <c r="U1233" s="8">
        <v>45820</v>
      </c>
      <c r="V1233" s="10">
        <f>COUNTA(O1233:U1233)</f>
        <v>7</v>
      </c>
      <c r="W1233" s="11">
        <f>_xlfn.IFNA(INDEX(reading[[#This Row],[Memo 01]:[Memo 07]],MATCH(0,reading[[#This Row],[Memo 01]:[Memo 07]],-1)),"")</f>
        <v>45820</v>
      </c>
      <c r="X1233" s="11">
        <f ca="1">IFERROR(reading[[#This Row],[Previous]]+OFFSET(reading[[#Headers],[Memo 01]],-1,MATCH(0,reading[[#This Row],[Memo 01]:[Memo 07]],-1)-1),"")</f>
        <v>55820</v>
      </c>
      <c r="Y1233" s="10" t="str">
        <f ca="1">IF(reading[[#This Row],[Next]]&lt;&gt;"",IF(reading[[#This Row],[Next]]&gt;TODAY(),"OK",""),"")</f>
        <v>OK</v>
      </c>
      <c r="Z1233" s="13">
        <v>3</v>
      </c>
      <c r="AA1233" s="13">
        <v>3</v>
      </c>
      <c r="AB1233" s="13">
        <v>3</v>
      </c>
      <c r="AC1233" s="13">
        <v>3</v>
      </c>
      <c r="AD1233" s="13">
        <v>3</v>
      </c>
      <c r="AE1233" s="13">
        <v>3</v>
      </c>
      <c r="AF1233" s="13">
        <v>2</v>
      </c>
      <c r="AG1233" s="16">
        <f>IFERROR(SUMIF(reading[[#This Row],[1st]:[7th]],"&gt;0")/COUNTIF(reading[[#This Row],[1st]:[7th]],"&gt;0"),"")</f>
        <v>2.8571428571428572</v>
      </c>
    </row>
    <row r="1234" spans="1:33" hidden="1" x14ac:dyDescent="0.2">
      <c r="A1234" s="4">
        <f>IF(B1234=1,3,IF(D1234=1,2,IF(F1234=1,1,0)))</f>
        <v>0</v>
      </c>
      <c r="B1234" s="4" t="str">
        <f>IF(C1234=$L1234,1,IF(C1234="","",0))</f>
        <v/>
      </c>
      <c r="C1234" s="42"/>
      <c r="D1234" s="4" t="str">
        <f>IF(E1234=$L1234,1,IF(E1234="","",0))</f>
        <v/>
      </c>
      <c r="E1234" s="14"/>
      <c r="F1234" s="4" t="str">
        <f>IF(G1234=$L1234,1,IF(G1234="","",0))</f>
        <v/>
      </c>
      <c r="G1234" s="14"/>
      <c r="H1234" s="6">
        <v>688</v>
      </c>
      <c r="I1234" s="15" t="s">
        <v>3120</v>
      </c>
      <c r="J1234" s="6" t="s">
        <v>3827</v>
      </c>
      <c r="K1234" s="6"/>
      <c r="L1234" s="6" t="s">
        <v>811</v>
      </c>
      <c r="M1234" s="6" t="s">
        <v>6797</v>
      </c>
      <c r="N1234" s="7">
        <f ca="1">RAND()</f>
        <v>0.51737082836678649</v>
      </c>
      <c r="O1234" s="8">
        <v>45203</v>
      </c>
      <c r="P1234" s="8">
        <v>45204</v>
      </c>
      <c r="Q1234" s="8">
        <v>45206</v>
      </c>
      <c r="R1234" s="8">
        <v>45210</v>
      </c>
      <c r="S1234" s="8">
        <v>45217</v>
      </c>
      <c r="T1234" s="8">
        <v>45229</v>
      </c>
      <c r="U1234" s="8">
        <v>45824</v>
      </c>
      <c r="V1234" s="10">
        <f>COUNTA(O1234:U1234)</f>
        <v>7</v>
      </c>
      <c r="W1234" s="11">
        <f>_xlfn.IFNA(INDEX(reading[[#This Row],[Memo 01]:[Memo 07]],MATCH(0,reading[[#This Row],[Memo 01]:[Memo 07]],-1)),"")</f>
        <v>45824</v>
      </c>
      <c r="X1234" s="11">
        <f ca="1">IFERROR(reading[[#This Row],[Previous]]+OFFSET(reading[[#Headers],[Memo 01]],-1,MATCH(0,reading[[#This Row],[Memo 01]:[Memo 07]],-1)-1),"")</f>
        <v>55824</v>
      </c>
      <c r="Y1234" s="10" t="str">
        <f ca="1">IF(reading[[#This Row],[Next]]&lt;&gt;"",IF(reading[[#This Row],[Next]]&gt;TODAY(),"OK",""),"")</f>
        <v>OK</v>
      </c>
      <c r="Z1234" s="13">
        <v>3</v>
      </c>
      <c r="AA1234" s="13">
        <v>3</v>
      </c>
      <c r="AB1234" s="13">
        <v>3</v>
      </c>
      <c r="AC1234" s="13">
        <v>3</v>
      </c>
      <c r="AD1234" s="13">
        <v>3</v>
      </c>
      <c r="AE1234" s="13">
        <v>3</v>
      </c>
      <c r="AF1234" s="13">
        <v>3</v>
      </c>
      <c r="AG1234" s="16">
        <f>IFERROR(SUMIF(reading[[#This Row],[1st]:[7th]],"&gt;0")/COUNTIF(reading[[#This Row],[1st]:[7th]],"&gt;0"),"")</f>
        <v>3</v>
      </c>
    </row>
    <row r="1235" spans="1:33" hidden="1" x14ac:dyDescent="0.2">
      <c r="A1235" s="4">
        <f>IF(B1235=1,3,IF(D1235=1,2,IF(F1235=1,1,0)))</f>
        <v>0</v>
      </c>
      <c r="B1235" s="4" t="str">
        <f>IF(C1235=$L1235,1,IF(C1235="","",0))</f>
        <v/>
      </c>
      <c r="C1235" s="42"/>
      <c r="D1235" s="4" t="str">
        <f>IF(E1235=$L1235,1,IF(E1235="","",0))</f>
        <v/>
      </c>
      <c r="E1235" s="23"/>
      <c r="F1235" s="4" t="str">
        <f>IF(G1235=$L1235,1,IF(G1235="","",0))</f>
        <v/>
      </c>
      <c r="G1235" s="14"/>
      <c r="H1235" s="6">
        <v>1774</v>
      </c>
      <c r="I1235" s="15" t="s">
        <v>3120</v>
      </c>
      <c r="J1235" s="6" t="s">
        <v>4881</v>
      </c>
      <c r="K1235" s="6"/>
      <c r="L1235" s="6" t="s">
        <v>1854</v>
      </c>
      <c r="M1235" s="6" t="s">
        <v>7880</v>
      </c>
      <c r="N1235" s="7">
        <f ca="1">RAND()</f>
        <v>0.39268571070601244</v>
      </c>
      <c r="O1235" s="8">
        <v>45211</v>
      </c>
      <c r="P1235" s="8">
        <v>45212</v>
      </c>
      <c r="Q1235" s="8">
        <v>45214</v>
      </c>
      <c r="R1235" s="8">
        <v>45218</v>
      </c>
      <c r="S1235" s="8">
        <v>45225</v>
      </c>
      <c r="T1235" s="8">
        <v>45237</v>
      </c>
      <c r="U1235" s="8">
        <v>45816</v>
      </c>
      <c r="V1235" s="10">
        <f>COUNTA(O1235:U1235)</f>
        <v>7</v>
      </c>
      <c r="W1235" s="11">
        <f>_xlfn.IFNA(INDEX(reading[[#This Row],[Memo 01]:[Memo 07]],MATCH(0,reading[[#This Row],[Memo 01]:[Memo 07]],-1)),"")</f>
        <v>45816</v>
      </c>
      <c r="X1235" s="11">
        <f ca="1">IFERROR(reading[[#This Row],[Previous]]+OFFSET(reading[[#Headers],[Memo 01]],-1,MATCH(0,reading[[#This Row],[Memo 01]:[Memo 07]],-1)-1),"")</f>
        <v>55816</v>
      </c>
      <c r="Y1235" s="10" t="str">
        <f ca="1">IF(reading[[#This Row],[Next]]&lt;&gt;"",IF(reading[[#This Row],[Next]]&gt;TODAY(),"OK",""),"")</f>
        <v>OK</v>
      </c>
      <c r="Z1235" s="13">
        <v>3</v>
      </c>
      <c r="AA1235" s="13">
        <v>3</v>
      </c>
      <c r="AB1235" s="13">
        <v>3</v>
      </c>
      <c r="AC1235" s="13">
        <v>3</v>
      </c>
      <c r="AD1235" s="13">
        <v>3</v>
      </c>
      <c r="AE1235" s="13">
        <v>3</v>
      </c>
      <c r="AF1235" s="13">
        <v>2</v>
      </c>
      <c r="AG1235" s="16">
        <f>IFERROR(SUMIF(reading[[#This Row],[1st]:[7th]],"&gt;0")/COUNTIF(reading[[#This Row],[1st]:[7th]],"&gt;0"),"")</f>
        <v>2.8571428571428572</v>
      </c>
    </row>
    <row r="1236" spans="1:33" hidden="1" x14ac:dyDescent="0.2">
      <c r="A1236" s="4">
        <f>IF(B1236=1,3,IF(D1236=1,2,IF(F1236=1,1,0)))</f>
        <v>0</v>
      </c>
      <c r="B1236" s="4" t="str">
        <f>IF(C1236=$L1236,1,IF(C1236="","",0))</f>
        <v/>
      </c>
      <c r="C1236" s="42"/>
      <c r="D1236" s="4" t="str">
        <f>IF(E1236=$L1236,1,IF(E1236="","",0))</f>
        <v/>
      </c>
      <c r="E1236" s="23"/>
      <c r="F1236" s="4" t="str">
        <f>IF(G1236=$L1236,1,IF(G1236="","",0))</f>
        <v/>
      </c>
      <c r="G1236" s="14"/>
      <c r="H1236" s="6">
        <v>3042</v>
      </c>
      <c r="I1236" s="15" t="s">
        <v>3120</v>
      </c>
      <c r="J1236" s="6" t="s">
        <v>6064</v>
      </c>
      <c r="K1236" s="6"/>
      <c r="L1236" s="6" t="s">
        <v>3068</v>
      </c>
      <c r="M1236" s="6" t="s">
        <v>9145</v>
      </c>
      <c r="N1236" s="7">
        <f ca="1">RAND()</f>
        <v>0.9684033388965877</v>
      </c>
      <c r="O1236" s="8">
        <v>45224</v>
      </c>
      <c r="P1236" s="8">
        <v>45225</v>
      </c>
      <c r="Q1236" s="8">
        <v>45227</v>
      </c>
      <c r="R1236" s="8">
        <v>45231</v>
      </c>
      <c r="S1236" s="8">
        <v>45249</v>
      </c>
      <c r="T1236" s="8">
        <v>45820</v>
      </c>
      <c r="U1236" s="8"/>
      <c r="V1236" s="10">
        <f>COUNTA(O1236:U1236)</f>
        <v>6</v>
      </c>
      <c r="W1236" s="11">
        <f>_xlfn.IFNA(INDEX(reading[[#This Row],[Memo 01]:[Memo 07]],MATCH(0,reading[[#This Row],[Memo 01]:[Memo 07]],-1)),"")</f>
        <v>45820</v>
      </c>
      <c r="X1236" s="11">
        <f ca="1">IFERROR(reading[[#This Row],[Previous]]+OFFSET(reading[[#Headers],[Memo 01]],-1,MATCH(0,reading[[#This Row],[Memo 01]:[Memo 07]],-1)-1),"")</f>
        <v>45840</v>
      </c>
      <c r="Y1236" s="10" t="str">
        <f ca="1">IF(reading[[#This Row],[Next]]&lt;&gt;"",IF(reading[[#This Row],[Next]]&gt;TODAY(),"OK",""),"")</f>
        <v>OK</v>
      </c>
      <c r="Z1236" s="13">
        <v>3</v>
      </c>
      <c r="AA1236" s="13">
        <v>3</v>
      </c>
      <c r="AB1236" s="13">
        <v>3</v>
      </c>
      <c r="AC1236" s="13">
        <v>3</v>
      </c>
      <c r="AD1236" s="13">
        <v>3</v>
      </c>
      <c r="AE1236" s="13">
        <v>2</v>
      </c>
      <c r="AF1236" s="13"/>
      <c r="AG1236" s="16">
        <f>IFERROR(SUMIF(reading[[#This Row],[1st]:[7th]],"&gt;0")/COUNTIF(reading[[#This Row],[1st]:[7th]],"&gt;0"),"")</f>
        <v>2.8333333333333335</v>
      </c>
    </row>
    <row r="1237" spans="1:33" hidden="1" x14ac:dyDescent="0.2">
      <c r="A1237" s="4">
        <f>IF(B1237=1,3,IF(D1237=1,2,IF(F1237=1,1,0)))</f>
        <v>0</v>
      </c>
      <c r="B1237" s="4" t="str">
        <f>IF(C1237=$L1237,1,IF(C1237="","",0))</f>
        <v/>
      </c>
      <c r="C1237" s="42"/>
      <c r="D1237" s="4" t="str">
        <f>IF(E1237=$L1237,1,IF(E1237="","",0))</f>
        <v/>
      </c>
      <c r="E1237" s="43"/>
      <c r="F1237" s="4" t="str">
        <f>IF(G1237=$L1237,1,IF(G1237="","",0))</f>
        <v/>
      </c>
      <c r="G1237" s="23"/>
      <c r="H1237" s="6">
        <v>1112</v>
      </c>
      <c r="I1237" s="15" t="s">
        <v>3120</v>
      </c>
      <c r="J1237" s="6" t="s">
        <v>4235</v>
      </c>
      <c r="K1237" s="6"/>
      <c r="L1237" s="6" t="s">
        <v>1218</v>
      </c>
      <c r="M1237" s="6" t="s">
        <v>7220</v>
      </c>
      <c r="N1237" s="7">
        <f ca="1">RAND()</f>
        <v>0.62954737940490402</v>
      </c>
      <c r="O1237" s="8">
        <v>45205</v>
      </c>
      <c r="P1237" s="8">
        <v>45206</v>
      </c>
      <c r="Q1237" s="8">
        <v>45213</v>
      </c>
      <c r="R1237" s="8">
        <v>45217</v>
      </c>
      <c r="S1237" s="8">
        <v>45224</v>
      </c>
      <c r="T1237" s="8">
        <v>45236</v>
      </c>
      <c r="U1237" s="8">
        <v>45820</v>
      </c>
      <c r="V1237" s="10">
        <f>COUNTA(O1237:U1237)</f>
        <v>7</v>
      </c>
      <c r="W1237" s="11">
        <f>_xlfn.IFNA(INDEX(reading[[#This Row],[Memo 01]:[Memo 07]],MATCH(0,reading[[#This Row],[Memo 01]:[Memo 07]],-1)),"")</f>
        <v>45820</v>
      </c>
      <c r="X1237" s="11">
        <f ca="1">IFERROR(reading[[#This Row],[Previous]]+OFFSET(reading[[#Headers],[Memo 01]],-1,MATCH(0,reading[[#This Row],[Memo 01]:[Memo 07]],-1)-1),"")</f>
        <v>55820</v>
      </c>
      <c r="Y1237" s="10" t="str">
        <f ca="1">IF(reading[[#This Row],[Next]]&lt;&gt;"",IF(reading[[#This Row],[Next]]&gt;TODAY(),"OK",""),"")</f>
        <v>OK</v>
      </c>
      <c r="Z1237" s="13">
        <v>3</v>
      </c>
      <c r="AA1237" s="13">
        <v>3</v>
      </c>
      <c r="AB1237" s="13">
        <v>3</v>
      </c>
      <c r="AC1237" s="13">
        <v>3</v>
      </c>
      <c r="AD1237" s="13">
        <v>2</v>
      </c>
      <c r="AE1237" s="13">
        <v>2</v>
      </c>
      <c r="AF1237" s="13">
        <v>2</v>
      </c>
      <c r="AG1237" s="16">
        <f>IFERROR(SUMIF(reading[[#This Row],[1st]:[7th]],"&gt;0")/COUNTIF(reading[[#This Row],[1st]:[7th]],"&gt;0"),"")</f>
        <v>2.5714285714285716</v>
      </c>
    </row>
    <row r="1238" spans="1:33" hidden="1" x14ac:dyDescent="0.2">
      <c r="A1238" s="4">
        <f>IF(B1238=1,3,IF(D1238=1,2,IF(F1238=1,1,0)))</f>
        <v>0</v>
      </c>
      <c r="B1238" s="4" t="str">
        <f>IF(C1238=$L1238,1,IF(C1238="","",0))</f>
        <v/>
      </c>
      <c r="C1238" s="42"/>
      <c r="D1238" s="4" t="str">
        <f>IF(E1238=$L1238,1,IF(E1238="","",0))</f>
        <v/>
      </c>
      <c r="E1238" s="23"/>
      <c r="F1238" s="4" t="str">
        <f>IF(G1238=$L1238,1,IF(G1238="","",0))</f>
        <v/>
      </c>
      <c r="G1238" s="14"/>
      <c r="H1238" s="6">
        <v>1764</v>
      </c>
      <c r="I1238" s="15" t="s">
        <v>3120</v>
      </c>
      <c r="J1238" s="6" t="s">
        <v>4871</v>
      </c>
      <c r="K1238" s="6"/>
      <c r="L1238" s="6" t="s">
        <v>1844</v>
      </c>
      <c r="M1238" s="6" t="s">
        <v>7870</v>
      </c>
      <c r="N1238" s="7">
        <f ca="1">RAND()</f>
        <v>0.49523373667916104</v>
      </c>
      <c r="O1238" s="8">
        <v>45211</v>
      </c>
      <c r="P1238" s="8">
        <v>45213</v>
      </c>
      <c r="Q1238" s="8">
        <v>45215</v>
      </c>
      <c r="R1238" s="8">
        <v>45219</v>
      </c>
      <c r="S1238" s="8">
        <v>45226</v>
      </c>
      <c r="T1238" s="8">
        <v>45820</v>
      </c>
      <c r="U1238" s="8"/>
      <c r="V1238" s="10">
        <f>COUNTA(O1238:U1238)</f>
        <v>6</v>
      </c>
      <c r="W1238" s="11">
        <f>_xlfn.IFNA(INDEX(reading[[#This Row],[Memo 01]:[Memo 07]],MATCH(0,reading[[#This Row],[Memo 01]:[Memo 07]],-1)),"")</f>
        <v>45820</v>
      </c>
      <c r="X1238" s="11">
        <f ca="1">IFERROR(reading[[#This Row],[Previous]]+OFFSET(reading[[#Headers],[Memo 01]],-1,MATCH(0,reading[[#This Row],[Memo 01]:[Memo 07]],-1)-1),"")</f>
        <v>45840</v>
      </c>
      <c r="Y1238" s="10" t="str">
        <f ca="1">IF(reading[[#This Row],[Next]]&lt;&gt;"",IF(reading[[#This Row],[Next]]&gt;TODAY(),"OK",""),"")</f>
        <v>OK</v>
      </c>
      <c r="Z1238" s="13">
        <v>3</v>
      </c>
      <c r="AA1238" s="13">
        <v>2</v>
      </c>
      <c r="AB1238" s="13">
        <v>3</v>
      </c>
      <c r="AC1238" s="13">
        <v>3</v>
      </c>
      <c r="AD1238" s="13">
        <v>3</v>
      </c>
      <c r="AE1238" s="13">
        <v>2</v>
      </c>
      <c r="AF1238" s="13"/>
      <c r="AG1238" s="16">
        <f>IFERROR(SUMIF(reading[[#This Row],[1st]:[7th]],"&gt;0")/COUNTIF(reading[[#This Row],[1st]:[7th]],"&gt;0"),"")</f>
        <v>2.6666666666666665</v>
      </c>
    </row>
    <row r="1239" spans="1:33" hidden="1" x14ac:dyDescent="0.2">
      <c r="A1239" s="4">
        <f>IF(B1239=1,3,IF(D1239=1,2,IF(F1239=1,1,0)))</f>
        <v>0</v>
      </c>
      <c r="B1239" s="4" t="str">
        <f>IF(C1239=$L1239,1,IF(C1239="","",0))</f>
        <v/>
      </c>
      <c r="C1239" s="42"/>
      <c r="D1239" s="4" t="str">
        <f>IF(E1239=$L1239,1,IF(E1239="","",0))</f>
        <v/>
      </c>
      <c r="E1239" s="23"/>
      <c r="F1239" s="4" t="str">
        <f>IF(G1239=$L1239,1,IF(G1239="","",0))</f>
        <v/>
      </c>
      <c r="G1239" s="23"/>
      <c r="H1239" s="6">
        <v>1543</v>
      </c>
      <c r="I1239" s="15" t="s">
        <v>3120</v>
      </c>
      <c r="J1239" s="6" t="s">
        <v>4656</v>
      </c>
      <c r="K1239" s="15" t="s">
        <v>3138</v>
      </c>
      <c r="L1239" s="6" t="s">
        <v>1628</v>
      </c>
      <c r="M1239" s="6" t="s">
        <v>7650</v>
      </c>
      <c r="N1239" s="7">
        <f ca="1">RAND()</f>
        <v>1.4364690628935306E-2</v>
      </c>
      <c r="O1239" s="8">
        <v>45209</v>
      </c>
      <c r="P1239" s="8">
        <v>45210</v>
      </c>
      <c r="Q1239" s="8">
        <v>45212</v>
      </c>
      <c r="R1239" s="8">
        <v>45216</v>
      </c>
      <c r="S1239" s="8">
        <v>45223</v>
      </c>
      <c r="T1239" s="8">
        <v>45235</v>
      </c>
      <c r="U1239" s="8">
        <v>45817</v>
      </c>
      <c r="V1239" s="10">
        <f>COUNTA(O1239:U1239)</f>
        <v>7</v>
      </c>
      <c r="W1239" s="11">
        <f>_xlfn.IFNA(INDEX(reading[[#This Row],[Memo 01]:[Memo 07]],MATCH(0,reading[[#This Row],[Memo 01]:[Memo 07]],-1)),"")</f>
        <v>45817</v>
      </c>
      <c r="X1239" s="11">
        <f ca="1">IFERROR(reading[[#This Row],[Previous]]+OFFSET(reading[[#Headers],[Memo 01]],-1,MATCH(0,reading[[#This Row],[Memo 01]:[Memo 07]],-1)-1),"")</f>
        <v>55817</v>
      </c>
      <c r="Y1239" s="10" t="str">
        <f ca="1">IF(reading[[#This Row],[Next]]&lt;&gt;"",IF(reading[[#This Row],[Next]]&gt;TODAY(),"OK",""),"")</f>
        <v>OK</v>
      </c>
      <c r="Z1239" s="13">
        <v>3</v>
      </c>
      <c r="AA1239" s="13">
        <v>3</v>
      </c>
      <c r="AB1239" s="13">
        <v>3</v>
      </c>
      <c r="AC1239" s="13">
        <v>3</v>
      </c>
      <c r="AD1239" s="13">
        <v>3</v>
      </c>
      <c r="AE1239" s="13">
        <v>3</v>
      </c>
      <c r="AF1239" s="13">
        <v>1</v>
      </c>
      <c r="AG1239" s="16">
        <f>IFERROR(SUMIF(reading[[#This Row],[1st]:[7th]],"&gt;0")/COUNTIF(reading[[#This Row],[1st]:[7th]],"&gt;0"),"")</f>
        <v>2.7142857142857144</v>
      </c>
    </row>
    <row r="1240" spans="1:33" hidden="1" x14ac:dyDescent="0.2">
      <c r="A1240" s="4">
        <f>IF(B1240=1,3,IF(D1240=1,2,IF(F1240=1,1,0)))</f>
        <v>0</v>
      </c>
      <c r="B1240" s="4" t="str">
        <f>IF(C1240=$L1240,1,IF(C1240="","",0))</f>
        <v/>
      </c>
      <c r="C1240" s="42"/>
      <c r="D1240" s="4" t="str">
        <f>IF(E1240=$L1240,1,IF(E1240="","",0))</f>
        <v/>
      </c>
      <c r="E1240" s="43"/>
      <c r="F1240" s="4" t="str">
        <f>IF(G1240=$L1240,1,IF(G1240="","",0))</f>
        <v/>
      </c>
      <c r="G1240" s="14"/>
      <c r="H1240" s="6">
        <v>2269</v>
      </c>
      <c r="I1240" s="15" t="s">
        <v>3120</v>
      </c>
      <c r="J1240" s="6" t="s">
        <v>5351</v>
      </c>
      <c r="K1240" s="6"/>
      <c r="L1240" s="6" t="s">
        <v>2329</v>
      </c>
      <c r="M1240" s="6" t="s">
        <v>8374</v>
      </c>
      <c r="N1240" s="7">
        <f ca="1">RAND()</f>
        <v>0.41525431229580312</v>
      </c>
      <c r="O1240" s="8">
        <v>45215</v>
      </c>
      <c r="P1240" s="8">
        <v>45216</v>
      </c>
      <c r="Q1240" s="8">
        <v>45218</v>
      </c>
      <c r="R1240" s="8">
        <v>45222</v>
      </c>
      <c r="S1240" s="8">
        <v>45229</v>
      </c>
      <c r="T1240" s="8">
        <v>45820</v>
      </c>
      <c r="U1240" s="8"/>
      <c r="V1240" s="10">
        <f>COUNTA(O1240:U1240)</f>
        <v>6</v>
      </c>
      <c r="W1240" s="11">
        <f>_xlfn.IFNA(INDEX(reading[[#This Row],[Memo 01]:[Memo 07]],MATCH(0,reading[[#This Row],[Memo 01]:[Memo 07]],-1)),"")</f>
        <v>45820</v>
      </c>
      <c r="X1240" s="11">
        <f ca="1">IFERROR(reading[[#This Row],[Previous]]+OFFSET(reading[[#Headers],[Memo 01]],-1,MATCH(0,reading[[#This Row],[Memo 01]:[Memo 07]],-1)-1),"")</f>
        <v>45840</v>
      </c>
      <c r="Y1240" s="10" t="str">
        <f ca="1">IF(reading[[#This Row],[Next]]&lt;&gt;"",IF(reading[[#This Row],[Next]]&gt;TODAY(),"OK",""),"")</f>
        <v>OK</v>
      </c>
      <c r="Z1240" s="13">
        <v>3</v>
      </c>
      <c r="AA1240" s="13">
        <v>3</v>
      </c>
      <c r="AB1240" s="13">
        <v>3</v>
      </c>
      <c r="AC1240" s="13">
        <v>2</v>
      </c>
      <c r="AD1240" s="13">
        <v>3</v>
      </c>
      <c r="AE1240" s="13">
        <v>2</v>
      </c>
      <c r="AF1240" s="13"/>
      <c r="AG1240" s="16">
        <f>IFERROR(SUMIF(reading[[#This Row],[1st]:[7th]],"&gt;0")/COUNTIF(reading[[#This Row],[1st]:[7th]],"&gt;0"),"")</f>
        <v>2.6666666666666665</v>
      </c>
    </row>
    <row r="1241" spans="1:33" hidden="1" x14ac:dyDescent="0.2">
      <c r="A1241" s="4">
        <f>IF(B1241=1,3,IF(D1241=1,2,IF(F1241=1,1,0)))</f>
        <v>0</v>
      </c>
      <c r="B1241" s="4" t="str">
        <f>IF(C1241=$L1241,1,IF(C1241="","",0))</f>
        <v/>
      </c>
      <c r="C1241" s="42"/>
      <c r="D1241" s="4" t="str">
        <f>IF(E1241=$L1241,1,IF(E1241="","",0))</f>
        <v/>
      </c>
      <c r="E1241" s="43"/>
      <c r="F1241" s="4" t="str">
        <f>IF(G1241=$L1241,1,IF(G1241="","",0))</f>
        <v/>
      </c>
      <c r="G1241" s="18"/>
      <c r="H1241" s="6">
        <v>715</v>
      </c>
      <c r="I1241" s="15" t="s">
        <v>3120</v>
      </c>
      <c r="J1241" s="6" t="s">
        <v>3853</v>
      </c>
      <c r="K1241" s="6"/>
      <c r="L1241" s="6" t="s">
        <v>836</v>
      </c>
      <c r="M1241" s="6" t="s">
        <v>6824</v>
      </c>
      <c r="N1241" s="7">
        <f ca="1">RAND()</f>
        <v>0.94980644438277662</v>
      </c>
      <c r="O1241" s="8">
        <v>45203</v>
      </c>
      <c r="P1241" s="8">
        <v>45204</v>
      </c>
      <c r="Q1241" s="8">
        <v>45206</v>
      </c>
      <c r="R1241" s="8">
        <v>45210</v>
      </c>
      <c r="S1241" s="8">
        <v>45217</v>
      </c>
      <c r="T1241" s="8">
        <v>45229</v>
      </c>
      <c r="U1241" s="8">
        <v>45820</v>
      </c>
      <c r="V1241" s="10">
        <f>COUNTA(O1241:U1241)</f>
        <v>7</v>
      </c>
      <c r="W1241" s="11">
        <f>_xlfn.IFNA(INDEX(reading[[#This Row],[Memo 01]:[Memo 07]],MATCH(0,reading[[#This Row],[Memo 01]:[Memo 07]],-1)),"")</f>
        <v>45820</v>
      </c>
      <c r="X1241" s="11">
        <f ca="1">IFERROR(reading[[#This Row],[Previous]]+OFFSET(reading[[#Headers],[Memo 01]],-1,MATCH(0,reading[[#This Row],[Memo 01]:[Memo 07]],-1)-1),"")</f>
        <v>55820</v>
      </c>
      <c r="Y1241" s="10" t="str">
        <f ca="1">IF(reading[[#This Row],[Next]]&lt;&gt;"",IF(reading[[#This Row],[Next]]&gt;TODAY(),"OK",""),"")</f>
        <v>OK</v>
      </c>
      <c r="Z1241" s="13">
        <v>3</v>
      </c>
      <c r="AA1241" s="13">
        <v>3</v>
      </c>
      <c r="AB1241" s="13">
        <v>3</v>
      </c>
      <c r="AC1241" s="13">
        <v>3</v>
      </c>
      <c r="AD1241" s="13">
        <v>3</v>
      </c>
      <c r="AE1241" s="13">
        <v>1</v>
      </c>
      <c r="AF1241" s="13">
        <v>2</v>
      </c>
      <c r="AG1241" s="16">
        <f>IFERROR(SUMIF(reading[[#This Row],[1st]:[7th]],"&gt;0")/COUNTIF(reading[[#This Row],[1st]:[7th]],"&gt;0"),"")</f>
        <v>2.5714285714285716</v>
      </c>
    </row>
    <row r="1242" spans="1:33" hidden="1" x14ac:dyDescent="0.2">
      <c r="A1242" s="4">
        <f>IF(B1242=1,3,IF(D1242=1,2,IF(F1242=1,1,0)))</f>
        <v>0</v>
      </c>
      <c r="B1242" s="4" t="str">
        <f>IF(C1242=$L1242,1,IF(C1242="","",0))</f>
        <v/>
      </c>
      <c r="C1242" s="42"/>
      <c r="D1242" s="4" t="str">
        <f>IF(E1242=$L1242,1,IF(E1242="","",0))</f>
        <v/>
      </c>
      <c r="E1242" s="23"/>
      <c r="F1242" s="4" t="str">
        <f>IF(G1242=$L1242,1,IF(G1242="","",0))</f>
        <v/>
      </c>
      <c r="G1242" s="14"/>
      <c r="H1242" s="6">
        <v>1125</v>
      </c>
      <c r="I1242" s="15" t="s">
        <v>3120</v>
      </c>
      <c r="J1242" s="6" t="s">
        <v>4247</v>
      </c>
      <c r="K1242" s="6"/>
      <c r="L1242" s="6" t="s">
        <v>1229</v>
      </c>
      <c r="M1242" s="6" t="s">
        <v>7233</v>
      </c>
      <c r="N1242" s="7">
        <f ca="1">RAND()</f>
        <v>0.25515510024269628</v>
      </c>
      <c r="O1242" s="8">
        <v>45205</v>
      </c>
      <c r="P1242" s="8">
        <v>45206</v>
      </c>
      <c r="Q1242" s="8">
        <v>45208</v>
      </c>
      <c r="R1242" s="8">
        <v>45213</v>
      </c>
      <c r="S1242" s="8">
        <v>45220</v>
      </c>
      <c r="T1242" s="8">
        <v>45232</v>
      </c>
      <c r="U1242" s="8">
        <v>45820</v>
      </c>
      <c r="V1242" s="10">
        <f>COUNTA(O1242:U1242)</f>
        <v>7</v>
      </c>
      <c r="W1242" s="11">
        <f>_xlfn.IFNA(INDEX(reading[[#This Row],[Memo 01]:[Memo 07]],MATCH(0,reading[[#This Row],[Memo 01]:[Memo 07]],-1)),"")</f>
        <v>45820</v>
      </c>
      <c r="X1242" s="11">
        <f ca="1">IFERROR(reading[[#This Row],[Previous]]+OFFSET(reading[[#Headers],[Memo 01]],-1,MATCH(0,reading[[#This Row],[Memo 01]:[Memo 07]],-1)-1),"")</f>
        <v>55820</v>
      </c>
      <c r="Y1242" s="10" t="str">
        <f ca="1">IF(reading[[#This Row],[Next]]&lt;&gt;"",IF(reading[[#This Row],[Next]]&gt;TODAY(),"OK",""),"")</f>
        <v>OK</v>
      </c>
      <c r="Z1242" s="13">
        <v>3</v>
      </c>
      <c r="AA1242" s="13">
        <v>3</v>
      </c>
      <c r="AB1242" s="13">
        <v>3</v>
      </c>
      <c r="AC1242" s="13">
        <v>2</v>
      </c>
      <c r="AD1242" s="13">
        <v>3</v>
      </c>
      <c r="AE1242" s="13">
        <v>3</v>
      </c>
      <c r="AF1242" s="13">
        <v>2</v>
      </c>
      <c r="AG1242" s="16">
        <f>IFERROR(SUMIF(reading[[#This Row],[1st]:[7th]],"&gt;0")/COUNTIF(reading[[#This Row],[1st]:[7th]],"&gt;0"),"")</f>
        <v>2.7142857142857144</v>
      </c>
    </row>
    <row r="1243" spans="1:33" hidden="1" x14ac:dyDescent="0.2">
      <c r="A1243" s="4">
        <f>IF(B1243=1,3,IF(D1243=1,2,IF(F1243=1,1,0)))</f>
        <v>3</v>
      </c>
      <c r="B1243" s="4">
        <f>IF(C1243=$L1243,1,IF(C1243="","",0))</f>
        <v>1</v>
      </c>
      <c r="C1243" s="26" t="s">
        <v>1347</v>
      </c>
      <c r="D1243" s="4" t="str">
        <f>IF(E1243=$L1243,1,IF(E1243="","",0))</f>
        <v/>
      </c>
      <c r="E1243" s="14"/>
      <c r="F1243" s="4" t="str">
        <f>IF(G1243=$L1243,1,IF(G1243="","",0))</f>
        <v/>
      </c>
      <c r="G1243" s="14"/>
      <c r="H1243" s="6">
        <v>1247</v>
      </c>
      <c r="I1243" s="15" t="s">
        <v>3120</v>
      </c>
      <c r="J1243" s="6" t="s">
        <v>4364</v>
      </c>
      <c r="K1243" s="6"/>
      <c r="L1243" s="6" t="s">
        <v>1347</v>
      </c>
      <c r="M1243" s="6" t="s">
        <v>7354</v>
      </c>
      <c r="N1243" s="7">
        <f ca="1">RAND()</f>
        <v>0.17730752470457056</v>
      </c>
      <c r="O1243" s="8">
        <v>45206</v>
      </c>
      <c r="P1243" s="8">
        <v>45206</v>
      </c>
      <c r="Q1243" s="8">
        <v>45206</v>
      </c>
      <c r="R1243" s="8">
        <v>45206</v>
      </c>
      <c r="S1243" s="8">
        <v>45206</v>
      </c>
      <c r="T1243" s="8">
        <v>45206</v>
      </c>
      <c r="U1243" s="8">
        <v>45206</v>
      </c>
      <c r="V1243" s="10">
        <f>COUNTA(O1243:U1243)</f>
        <v>7</v>
      </c>
      <c r="W1243" s="11">
        <f>_xlfn.IFNA(INDEX(reading[[#This Row],[Memo 01]:[Memo 07]],MATCH(0,reading[[#This Row],[Memo 01]:[Memo 07]],-1)),"")</f>
        <v>45206</v>
      </c>
      <c r="X1243" s="11">
        <f ca="1">IFERROR(reading[[#This Row],[Previous]]+OFFSET(reading[[#Headers],[Memo 01]],-1,MATCH(0,reading[[#This Row],[Memo 01]:[Memo 07]],-1)-1),"")</f>
        <v>55206</v>
      </c>
      <c r="Y1243" s="10" t="str">
        <f ca="1">IF(reading[[#This Row],[Next]]&lt;&gt;"",IF(reading[[#This Row],[Next]]&gt;TODAY(),"OK",""),"")</f>
        <v>OK</v>
      </c>
      <c r="Z1243" s="13">
        <v>3</v>
      </c>
      <c r="AA1243" s="13"/>
      <c r="AB1243" s="13"/>
      <c r="AC1243" s="13"/>
      <c r="AD1243" s="13"/>
      <c r="AE1243" s="13"/>
      <c r="AF1243" s="13"/>
      <c r="AG1243" s="16">
        <f>IFERROR(SUMIF(reading[[#This Row],[1st]:[7th]],"&gt;0")/COUNTIF(reading[[#This Row],[1st]:[7th]],"&gt;0"),"")</f>
        <v>3</v>
      </c>
    </row>
    <row r="1244" spans="1:33" hidden="1" x14ac:dyDescent="0.2">
      <c r="A1244" s="4">
        <f>IF(B1244=1,3,IF(D1244=1,2,IF(F1244=1,1,0)))</f>
        <v>0</v>
      </c>
      <c r="B1244" s="4" t="str">
        <f>IF(C1244=$L1244,1,IF(C1244="","",0))</f>
        <v/>
      </c>
      <c r="C1244" s="42"/>
      <c r="D1244" s="4" t="str">
        <f>IF(E1244=$L1244,1,IF(E1244="","",0))</f>
        <v/>
      </c>
      <c r="E1244" s="23"/>
      <c r="F1244" s="4" t="str">
        <f>IF(G1244=$L1244,1,IF(G1244="","",0))</f>
        <v/>
      </c>
      <c r="G1244" s="14"/>
      <c r="H1244" s="6">
        <v>1438</v>
      </c>
      <c r="I1244" s="15" t="s">
        <v>3120</v>
      </c>
      <c r="J1244" s="6" t="s">
        <v>4552</v>
      </c>
      <c r="K1244" s="6"/>
      <c r="L1244" s="6" t="s">
        <v>1528</v>
      </c>
      <c r="M1244" s="6" t="s">
        <v>7545</v>
      </c>
      <c r="N1244" s="7">
        <f ca="1">RAND()</f>
        <v>0.43697402699125354</v>
      </c>
      <c r="O1244" s="8">
        <v>45208</v>
      </c>
      <c r="P1244" s="8">
        <v>45209</v>
      </c>
      <c r="Q1244" s="8">
        <v>45212</v>
      </c>
      <c r="R1244" s="8">
        <v>45216</v>
      </c>
      <c r="S1244" s="8">
        <v>45223</v>
      </c>
      <c r="T1244" s="8">
        <v>45235</v>
      </c>
      <c r="U1244" s="8">
        <v>45820</v>
      </c>
      <c r="V1244" s="10">
        <f>COUNTA(O1244:U1244)</f>
        <v>7</v>
      </c>
      <c r="W1244" s="11">
        <f>_xlfn.IFNA(INDEX(reading[[#This Row],[Memo 01]:[Memo 07]],MATCH(0,reading[[#This Row],[Memo 01]:[Memo 07]],-1)),"")</f>
        <v>45820</v>
      </c>
      <c r="X1244" s="11">
        <f ca="1">IFERROR(reading[[#This Row],[Previous]]+OFFSET(reading[[#Headers],[Memo 01]],-1,MATCH(0,reading[[#This Row],[Memo 01]:[Memo 07]],-1)-1),"")</f>
        <v>55820</v>
      </c>
      <c r="Y1244" s="10" t="str">
        <f ca="1">IF(reading[[#This Row],[Next]]&lt;&gt;"",IF(reading[[#This Row],[Next]]&gt;TODAY(),"OK",""),"")</f>
        <v>OK</v>
      </c>
      <c r="Z1244" s="13">
        <v>3</v>
      </c>
      <c r="AA1244" s="13">
        <v>3</v>
      </c>
      <c r="AB1244" s="13">
        <v>2</v>
      </c>
      <c r="AC1244" s="13">
        <v>3</v>
      </c>
      <c r="AD1244" s="13">
        <v>3</v>
      </c>
      <c r="AE1244" s="13">
        <v>3</v>
      </c>
      <c r="AF1244" s="13">
        <v>2</v>
      </c>
      <c r="AG1244" s="16">
        <f>IFERROR(SUMIF(reading[[#This Row],[1st]:[7th]],"&gt;0")/COUNTIF(reading[[#This Row],[1st]:[7th]],"&gt;0"),"")</f>
        <v>2.7142857142857144</v>
      </c>
    </row>
    <row r="1245" spans="1:33" hidden="1" x14ac:dyDescent="0.2">
      <c r="A1245" s="4">
        <f>IF(B1245=1,3,IF(D1245=1,2,IF(F1245=1,1,0)))</f>
        <v>3</v>
      </c>
      <c r="B1245" s="4">
        <f>IF(C1245=$L1245,1,IF(C1245="","",0))</f>
        <v>1</v>
      </c>
      <c r="C1245" s="26" t="s">
        <v>1349</v>
      </c>
      <c r="D1245" s="4" t="str">
        <f>IF(E1245=$L1245,1,IF(E1245="","",0))</f>
        <v/>
      </c>
      <c r="E1245" s="14"/>
      <c r="F1245" s="4" t="str">
        <f>IF(G1245=$L1245,1,IF(G1245="","",0))</f>
        <v/>
      </c>
      <c r="G1245" s="14"/>
      <c r="H1245" s="6">
        <v>1249</v>
      </c>
      <c r="I1245" s="15" t="s">
        <v>3120</v>
      </c>
      <c r="J1245" s="6" t="s">
        <v>4366</v>
      </c>
      <c r="K1245" s="6"/>
      <c r="L1245" s="6" t="s">
        <v>1349</v>
      </c>
      <c r="M1245" s="6" t="s">
        <v>7356</v>
      </c>
      <c r="N1245" s="7">
        <f ca="1">RAND()</f>
        <v>0.97044363248192078</v>
      </c>
      <c r="O1245" s="8">
        <v>45206</v>
      </c>
      <c r="P1245" s="8">
        <v>45206</v>
      </c>
      <c r="Q1245" s="8">
        <v>45206</v>
      </c>
      <c r="R1245" s="8">
        <v>45206</v>
      </c>
      <c r="S1245" s="8">
        <v>45206</v>
      </c>
      <c r="T1245" s="8">
        <v>45206</v>
      </c>
      <c r="U1245" s="8">
        <v>45206</v>
      </c>
      <c r="V1245" s="10">
        <f>COUNTA(O1245:U1245)</f>
        <v>7</v>
      </c>
      <c r="W1245" s="11">
        <f>_xlfn.IFNA(INDEX(reading[[#This Row],[Memo 01]:[Memo 07]],MATCH(0,reading[[#This Row],[Memo 01]:[Memo 07]],-1)),"")</f>
        <v>45206</v>
      </c>
      <c r="X1245" s="11">
        <f ca="1">IFERROR(reading[[#This Row],[Previous]]+OFFSET(reading[[#Headers],[Memo 01]],-1,MATCH(0,reading[[#This Row],[Memo 01]:[Memo 07]],-1)-1),"")</f>
        <v>55206</v>
      </c>
      <c r="Y1245" s="10" t="str">
        <f ca="1">IF(reading[[#This Row],[Next]]&lt;&gt;"",IF(reading[[#This Row],[Next]]&gt;TODAY(),"OK",""),"")</f>
        <v>OK</v>
      </c>
      <c r="Z1245" s="13">
        <v>3</v>
      </c>
      <c r="AA1245" s="13"/>
      <c r="AB1245" s="13"/>
      <c r="AC1245" s="13"/>
      <c r="AD1245" s="13"/>
      <c r="AE1245" s="13"/>
      <c r="AF1245" s="13"/>
      <c r="AG1245" s="16">
        <f>IFERROR(SUMIF(reading[[#This Row],[1st]:[7th]],"&gt;0")/COUNTIF(reading[[#This Row],[1st]:[7th]],"&gt;0"),"")</f>
        <v>3</v>
      </c>
    </row>
    <row r="1246" spans="1:33" hidden="1" x14ac:dyDescent="0.2">
      <c r="A1246" s="4">
        <f>IF(B1246=1,3,IF(D1246=1,2,IF(F1246=1,1,0)))</f>
        <v>0</v>
      </c>
      <c r="B1246" s="4" t="str">
        <f>IF(C1246=$L1246,1,IF(C1246="","",0))</f>
        <v/>
      </c>
      <c r="C1246" s="42"/>
      <c r="D1246" s="4" t="str">
        <f>IF(E1246=$L1246,1,IF(E1246="","",0))</f>
        <v/>
      </c>
      <c r="E1246" s="23"/>
      <c r="F1246" s="4" t="str">
        <f>IF(G1246=$L1246,1,IF(G1246="","",0))</f>
        <v/>
      </c>
      <c r="G1246" s="23"/>
      <c r="H1246" s="6">
        <v>1515</v>
      </c>
      <c r="I1246" s="15" t="s">
        <v>3120</v>
      </c>
      <c r="J1246" s="6" t="s">
        <v>4628</v>
      </c>
      <c r="K1246" s="6"/>
      <c r="L1246" s="6" t="s">
        <v>1600</v>
      </c>
      <c r="M1246" s="6" t="s">
        <v>7622</v>
      </c>
      <c r="N1246" s="7">
        <f ca="1">RAND()</f>
        <v>0.84544778026282374</v>
      </c>
      <c r="O1246" s="8">
        <v>45209</v>
      </c>
      <c r="P1246" s="8">
        <v>45210</v>
      </c>
      <c r="Q1246" s="8">
        <v>45212</v>
      </c>
      <c r="R1246" s="8">
        <v>45216</v>
      </c>
      <c r="S1246" s="8">
        <v>45223</v>
      </c>
      <c r="T1246" s="8">
        <v>45235</v>
      </c>
      <c r="U1246" s="8">
        <v>45816</v>
      </c>
      <c r="V1246" s="10">
        <f>COUNTA(O1246:U1246)</f>
        <v>7</v>
      </c>
      <c r="W1246" s="11">
        <f>_xlfn.IFNA(INDEX(reading[[#This Row],[Memo 01]:[Memo 07]],MATCH(0,reading[[#This Row],[Memo 01]:[Memo 07]],-1)),"")</f>
        <v>45816</v>
      </c>
      <c r="X1246" s="11">
        <f ca="1">IFERROR(reading[[#This Row],[Previous]]+OFFSET(reading[[#Headers],[Memo 01]],-1,MATCH(0,reading[[#This Row],[Memo 01]:[Memo 07]],-1)-1),"")</f>
        <v>55816</v>
      </c>
      <c r="Y1246" s="10" t="str">
        <f ca="1">IF(reading[[#This Row],[Next]]&lt;&gt;"",IF(reading[[#This Row],[Next]]&gt;TODAY(),"OK",""),"")</f>
        <v>OK</v>
      </c>
      <c r="Z1246" s="13">
        <v>3</v>
      </c>
      <c r="AA1246" s="13">
        <v>3</v>
      </c>
      <c r="AB1246" s="13">
        <v>3</v>
      </c>
      <c r="AC1246" s="13">
        <v>3</v>
      </c>
      <c r="AD1246" s="13">
        <v>3</v>
      </c>
      <c r="AE1246" s="13">
        <v>3</v>
      </c>
      <c r="AF1246" s="13">
        <v>1</v>
      </c>
      <c r="AG1246" s="16">
        <f>IFERROR(SUMIF(reading[[#This Row],[1st]:[7th]],"&gt;0")/COUNTIF(reading[[#This Row],[1st]:[7th]],"&gt;0"),"")</f>
        <v>2.7142857142857144</v>
      </c>
    </row>
    <row r="1247" spans="1:33" hidden="1" x14ac:dyDescent="0.2">
      <c r="A1247" s="4">
        <f>IF(B1247=1,3,IF(D1247=1,2,IF(F1247=1,1,0)))</f>
        <v>0</v>
      </c>
      <c r="B1247" s="4" t="str">
        <f>IF(C1247=$L1247,1,IF(C1247="","",0))</f>
        <v/>
      </c>
      <c r="C1247" s="41"/>
      <c r="D1247" s="4" t="str">
        <f>IF(E1247=$L1247,1,IF(E1247="","",0))</f>
        <v/>
      </c>
      <c r="E1247" s="18"/>
      <c r="F1247" s="4" t="str">
        <f>IF(G1247=$L1247,1,IF(G1247="","",0))</f>
        <v/>
      </c>
      <c r="G1247" s="14"/>
      <c r="H1247" s="6">
        <v>136</v>
      </c>
      <c r="I1247" s="15" t="s">
        <v>3120</v>
      </c>
      <c r="J1247" s="6" t="s">
        <v>3285</v>
      </c>
      <c r="K1247" s="6"/>
      <c r="L1247" s="6" t="s">
        <v>273</v>
      </c>
      <c r="M1247" s="6" t="s">
        <v>6245</v>
      </c>
      <c r="N1247" s="7">
        <f ca="1">RAND()</f>
        <v>0.54059683854224516</v>
      </c>
      <c r="O1247" s="8">
        <v>45199</v>
      </c>
      <c r="P1247" s="8">
        <v>45200</v>
      </c>
      <c r="Q1247" s="8">
        <v>45202</v>
      </c>
      <c r="R1247" s="8">
        <v>45206</v>
      </c>
      <c r="S1247" s="8">
        <v>45213</v>
      </c>
      <c r="T1247" s="8">
        <v>45225</v>
      </c>
      <c r="U1247" s="8">
        <v>45249</v>
      </c>
      <c r="V1247" s="10">
        <f>COUNTA(O1247:U1247)</f>
        <v>7</v>
      </c>
      <c r="W1247" s="11">
        <f>_xlfn.IFNA(INDEX(reading[[#This Row],[Memo 01]:[Memo 07]],MATCH(0,reading[[#This Row],[Memo 01]:[Memo 07]],-1)),"")</f>
        <v>45249</v>
      </c>
      <c r="X1247" s="11">
        <f ca="1">IFERROR(reading[[#This Row],[Previous]]+OFFSET(reading[[#Headers],[Memo 01]],-1,MATCH(0,reading[[#This Row],[Memo 01]:[Memo 07]],-1)-1),"")</f>
        <v>55249</v>
      </c>
      <c r="Y1247" s="10" t="str">
        <f ca="1">IF(reading[[#This Row],[Next]]&lt;&gt;"",IF(reading[[#This Row],[Next]]&gt;TODAY(),"OK",""),"")</f>
        <v>OK</v>
      </c>
      <c r="Z1247" s="13">
        <v>3</v>
      </c>
      <c r="AA1247" s="13">
        <v>2</v>
      </c>
      <c r="AB1247" s="13">
        <v>2</v>
      </c>
      <c r="AC1247" s="13">
        <v>2</v>
      </c>
      <c r="AD1247" s="13">
        <v>2</v>
      </c>
      <c r="AE1247" s="13">
        <v>3</v>
      </c>
      <c r="AF1247" s="13">
        <v>2</v>
      </c>
      <c r="AG1247" s="16">
        <f>IFERROR(SUMIF(reading[[#This Row],[1st]:[7th]],"&gt;0")/COUNTIF(reading[[#This Row],[1st]:[7th]],"&gt;0"),"")</f>
        <v>2.2857142857142856</v>
      </c>
    </row>
    <row r="1248" spans="1:33" hidden="1" x14ac:dyDescent="0.2">
      <c r="A1248" s="4">
        <f>IF(B1248=1,3,IF(D1248=1,2,IF(F1248=1,1,0)))</f>
        <v>0</v>
      </c>
      <c r="B1248" s="4" t="str">
        <f>IF(C1248=$L1248,1,IF(C1248="","",0))</f>
        <v/>
      </c>
      <c r="C1248" s="42"/>
      <c r="D1248" s="4" t="str">
        <f>IF(E1248=$L1248,1,IF(E1248="","",0))</f>
        <v/>
      </c>
      <c r="E1248" s="14"/>
      <c r="F1248" s="4" t="str">
        <f>IF(G1248=$L1248,1,IF(G1248="","",0))</f>
        <v/>
      </c>
      <c r="G1248" s="14"/>
      <c r="H1248" s="6">
        <v>1356</v>
      </c>
      <c r="I1248" s="15" t="s">
        <v>3120</v>
      </c>
      <c r="J1248" s="6" t="s">
        <v>4470</v>
      </c>
      <c r="K1248" s="6"/>
      <c r="L1248" s="6" t="s">
        <v>1450</v>
      </c>
      <c r="M1248" s="6" t="s">
        <v>7463</v>
      </c>
      <c r="N1248" s="7">
        <f ca="1">RAND()</f>
        <v>0.16307464843833785</v>
      </c>
      <c r="O1248" s="8">
        <v>45207</v>
      </c>
      <c r="P1248" s="8">
        <v>45208</v>
      </c>
      <c r="Q1248" s="8">
        <v>45210</v>
      </c>
      <c r="R1248" s="8">
        <v>45214</v>
      </c>
      <c r="S1248" s="8">
        <v>45221</v>
      </c>
      <c r="T1248" s="8">
        <v>45233</v>
      </c>
      <c r="U1248" s="8">
        <v>45824</v>
      </c>
      <c r="V1248" s="10">
        <f>COUNTA(O1248:U1248)</f>
        <v>7</v>
      </c>
      <c r="W1248" s="11">
        <f>_xlfn.IFNA(INDEX(reading[[#This Row],[Memo 01]:[Memo 07]],MATCH(0,reading[[#This Row],[Memo 01]:[Memo 07]],-1)),"")</f>
        <v>45824</v>
      </c>
      <c r="X1248" s="11">
        <f ca="1">IFERROR(reading[[#This Row],[Previous]]+OFFSET(reading[[#Headers],[Memo 01]],-1,MATCH(0,reading[[#This Row],[Memo 01]:[Memo 07]],-1)-1),"")</f>
        <v>55824</v>
      </c>
      <c r="Y1248" s="10" t="str">
        <f ca="1">IF(reading[[#This Row],[Next]]&lt;&gt;"",IF(reading[[#This Row],[Next]]&gt;TODAY(),"OK",""),"")</f>
        <v>OK</v>
      </c>
      <c r="Z1248" s="13">
        <v>3</v>
      </c>
      <c r="AA1248" s="13">
        <v>2</v>
      </c>
      <c r="AB1248" s="13">
        <v>3</v>
      </c>
      <c r="AC1248" s="13">
        <v>3</v>
      </c>
      <c r="AD1248" s="13">
        <v>3</v>
      </c>
      <c r="AE1248" s="13">
        <v>3</v>
      </c>
      <c r="AF1248" s="13">
        <v>3</v>
      </c>
      <c r="AG1248" s="16">
        <f>IFERROR(SUMIF(reading[[#This Row],[1st]:[7th]],"&gt;0")/COUNTIF(reading[[#This Row],[1st]:[7th]],"&gt;0"),"")</f>
        <v>2.8571428571428572</v>
      </c>
    </row>
    <row r="1249" spans="1:33" hidden="1" x14ac:dyDescent="0.2">
      <c r="A1249" s="4">
        <f>IF(B1249=1,3,IF(D1249=1,2,IF(F1249=1,1,0)))</f>
        <v>0</v>
      </c>
      <c r="B1249" s="4" t="str">
        <f>IF(C1249=$L1249,1,IF(C1249="","",0))</f>
        <v/>
      </c>
      <c r="C1249" s="42"/>
      <c r="D1249" s="4" t="str">
        <f>IF(E1249=$L1249,1,IF(E1249="","",0))</f>
        <v/>
      </c>
      <c r="E1249" s="23"/>
      <c r="F1249" s="4" t="str">
        <f>IF(G1249=$L1249,1,IF(G1249="","",0))</f>
        <v/>
      </c>
      <c r="G1249" s="14"/>
      <c r="H1249" s="6">
        <v>1803</v>
      </c>
      <c r="I1249" s="15" t="s">
        <v>3120</v>
      </c>
      <c r="J1249" s="6" t="s">
        <v>4910</v>
      </c>
      <c r="K1249" s="6"/>
      <c r="L1249" s="6" t="s">
        <v>1882</v>
      </c>
      <c r="M1249" s="6" t="s">
        <v>7909</v>
      </c>
      <c r="N1249" s="7">
        <f ca="1">RAND()</f>
        <v>0.40933371286412423</v>
      </c>
      <c r="O1249" s="8">
        <v>45212</v>
      </c>
      <c r="P1249" s="8">
        <v>45213</v>
      </c>
      <c r="Q1249" s="8">
        <v>45215</v>
      </c>
      <c r="R1249" s="8">
        <v>45219</v>
      </c>
      <c r="S1249" s="8">
        <v>45226</v>
      </c>
      <c r="T1249" s="8">
        <v>45816</v>
      </c>
      <c r="U1249" s="8"/>
      <c r="V1249" s="10">
        <f>COUNTA(O1249:U1249)</f>
        <v>6</v>
      </c>
      <c r="W1249" s="11">
        <f>_xlfn.IFNA(INDEX(reading[[#This Row],[Memo 01]:[Memo 07]],MATCH(0,reading[[#This Row],[Memo 01]:[Memo 07]],-1)),"")</f>
        <v>45816</v>
      </c>
      <c r="X1249" s="11">
        <f ca="1">IFERROR(reading[[#This Row],[Previous]]+OFFSET(reading[[#Headers],[Memo 01]],-1,MATCH(0,reading[[#This Row],[Memo 01]:[Memo 07]],-1)-1),"")</f>
        <v>45836</v>
      </c>
      <c r="Y1249" s="10" t="str">
        <f ca="1">IF(reading[[#This Row],[Next]]&lt;&gt;"",IF(reading[[#This Row],[Next]]&gt;TODAY(),"OK",""),"")</f>
        <v>OK</v>
      </c>
      <c r="Z1249" s="13">
        <v>3</v>
      </c>
      <c r="AA1249" s="13">
        <v>3</v>
      </c>
      <c r="AB1249" s="13">
        <v>3</v>
      </c>
      <c r="AC1249" s="13">
        <v>3</v>
      </c>
      <c r="AD1249" s="13">
        <v>3</v>
      </c>
      <c r="AE1249" s="13">
        <v>2</v>
      </c>
      <c r="AF1249" s="13"/>
      <c r="AG1249" s="16">
        <f>IFERROR(SUMIF(reading[[#This Row],[1st]:[7th]],"&gt;0")/COUNTIF(reading[[#This Row],[1st]:[7th]],"&gt;0"),"")</f>
        <v>2.8333333333333335</v>
      </c>
    </row>
    <row r="1250" spans="1:33" hidden="1" x14ac:dyDescent="0.2">
      <c r="A1250" s="4">
        <f>IF(B1250=1,3,IF(D1250=1,2,IF(F1250=1,1,0)))</f>
        <v>0</v>
      </c>
      <c r="B1250" s="4" t="str">
        <f>IF(C1250=$L1250,1,IF(C1250="","",0))</f>
        <v/>
      </c>
      <c r="C1250" s="42"/>
      <c r="D1250" s="4" t="str">
        <f>IF(E1250=$L1250,1,IF(E1250="","",0))</f>
        <v/>
      </c>
      <c r="E1250" s="43"/>
      <c r="F1250" s="4" t="str">
        <f>IF(G1250=$L1250,1,IF(G1250="","",0))</f>
        <v/>
      </c>
      <c r="G1250" s="18"/>
      <c r="H1250" s="6">
        <v>2487</v>
      </c>
      <c r="I1250" s="15" t="s">
        <v>3120</v>
      </c>
      <c r="J1250" s="6" t="s">
        <v>5555</v>
      </c>
      <c r="K1250" s="6"/>
      <c r="L1250" s="6" t="s">
        <v>2533</v>
      </c>
      <c r="M1250" s="6" t="s">
        <v>8592</v>
      </c>
      <c r="N1250" s="7">
        <f ca="1">RAND()</f>
        <v>0.92246060340298286</v>
      </c>
      <c r="O1250" s="8">
        <v>45218</v>
      </c>
      <c r="P1250" s="8">
        <v>45219</v>
      </c>
      <c r="Q1250" s="8">
        <v>45221</v>
      </c>
      <c r="R1250" s="8">
        <v>45225</v>
      </c>
      <c r="S1250" s="8">
        <v>45232</v>
      </c>
      <c r="T1250" s="8">
        <v>45248</v>
      </c>
      <c r="U1250" s="8">
        <v>45820</v>
      </c>
      <c r="V1250" s="10">
        <f>COUNTA(O1250:U1250)</f>
        <v>7</v>
      </c>
      <c r="W1250" s="11">
        <f>_xlfn.IFNA(INDEX(reading[[#This Row],[Memo 01]:[Memo 07]],MATCH(0,reading[[#This Row],[Memo 01]:[Memo 07]],-1)),"")</f>
        <v>45820</v>
      </c>
      <c r="X1250" s="11">
        <f ca="1">IFERROR(reading[[#This Row],[Previous]]+OFFSET(reading[[#Headers],[Memo 01]],-1,MATCH(0,reading[[#This Row],[Memo 01]:[Memo 07]],-1)-1),"")</f>
        <v>55820</v>
      </c>
      <c r="Y1250" s="10" t="str">
        <f ca="1">IF(reading[[#This Row],[Next]]&lt;&gt;"",IF(reading[[#This Row],[Next]]&gt;TODAY(),"OK",""),"")</f>
        <v>OK</v>
      </c>
      <c r="Z1250" s="13">
        <v>3</v>
      </c>
      <c r="AA1250" s="13">
        <v>3</v>
      </c>
      <c r="AB1250" s="13">
        <v>1</v>
      </c>
      <c r="AC1250" s="13">
        <v>3</v>
      </c>
      <c r="AD1250" s="13">
        <v>2</v>
      </c>
      <c r="AE1250" s="13">
        <v>3</v>
      </c>
      <c r="AF1250" s="13">
        <v>2</v>
      </c>
      <c r="AG1250" s="16">
        <f>IFERROR(SUMIF(reading[[#This Row],[1st]:[7th]],"&gt;0")/COUNTIF(reading[[#This Row],[1st]:[7th]],"&gt;0"),"")</f>
        <v>2.4285714285714284</v>
      </c>
    </row>
    <row r="1251" spans="1:33" hidden="1" x14ac:dyDescent="0.2">
      <c r="A1251" s="4">
        <f>IF(B1251=1,3,IF(D1251=1,2,IF(F1251=1,1,0)))</f>
        <v>0</v>
      </c>
      <c r="B1251" s="4" t="str">
        <f>IF(C1251=$L1251,1,IF(C1251="","",0))</f>
        <v/>
      </c>
      <c r="C1251" s="42"/>
      <c r="D1251" s="4" t="str">
        <f>IF(E1251=$L1251,1,IF(E1251="","",0))</f>
        <v/>
      </c>
      <c r="E1251" s="23"/>
      <c r="F1251" s="4" t="str">
        <f>IF(G1251=$L1251,1,IF(G1251="","",0))</f>
        <v/>
      </c>
      <c r="G1251" s="14"/>
      <c r="H1251" s="6">
        <v>2795</v>
      </c>
      <c r="I1251" s="15" t="s">
        <v>3120</v>
      </c>
      <c r="J1251" s="6" t="s">
        <v>5838</v>
      </c>
      <c r="K1251" s="6"/>
      <c r="L1251" s="6" t="s">
        <v>2832</v>
      </c>
      <c r="M1251" s="6" t="s">
        <v>8899</v>
      </c>
      <c r="N1251" s="7">
        <f ca="1">RAND()</f>
        <v>0.78579079147399256</v>
      </c>
      <c r="O1251" s="8">
        <v>45222</v>
      </c>
      <c r="P1251" s="8">
        <v>45223</v>
      </c>
      <c r="Q1251" s="8">
        <v>45225</v>
      </c>
      <c r="R1251" s="8">
        <v>45229</v>
      </c>
      <c r="S1251" s="8">
        <v>45236</v>
      </c>
      <c r="T1251" s="8">
        <v>45820</v>
      </c>
      <c r="U1251" s="8"/>
      <c r="V1251" s="10">
        <f>COUNTA(O1251:U1251)</f>
        <v>6</v>
      </c>
      <c r="W1251" s="11">
        <f>_xlfn.IFNA(INDEX(reading[[#This Row],[Memo 01]:[Memo 07]],MATCH(0,reading[[#This Row],[Memo 01]:[Memo 07]],-1)),"")</f>
        <v>45820</v>
      </c>
      <c r="X1251" s="11">
        <f ca="1">IFERROR(reading[[#This Row],[Previous]]+OFFSET(reading[[#Headers],[Memo 01]],-1,MATCH(0,reading[[#This Row],[Memo 01]:[Memo 07]],-1)-1),"")</f>
        <v>45840</v>
      </c>
      <c r="Y1251" s="10" t="str">
        <f ca="1">IF(reading[[#This Row],[Next]]&lt;&gt;"",IF(reading[[#This Row],[Next]]&gt;TODAY(),"OK",""),"")</f>
        <v>OK</v>
      </c>
      <c r="Z1251" s="13">
        <v>3</v>
      </c>
      <c r="AA1251" s="13">
        <v>3</v>
      </c>
      <c r="AB1251" s="13">
        <v>3</v>
      </c>
      <c r="AC1251" s="13">
        <v>3</v>
      </c>
      <c r="AD1251" s="13">
        <v>3</v>
      </c>
      <c r="AE1251" s="13">
        <v>2</v>
      </c>
      <c r="AF1251" s="13"/>
      <c r="AG1251" s="16">
        <f>IFERROR(SUMIF(reading[[#This Row],[1st]:[7th]],"&gt;0")/COUNTIF(reading[[#This Row],[1st]:[7th]],"&gt;0"),"")</f>
        <v>2.8333333333333335</v>
      </c>
    </row>
    <row r="1252" spans="1:33" hidden="1" x14ac:dyDescent="0.2">
      <c r="A1252" s="4">
        <f>IF(B1252=1,3,IF(D1252=1,2,IF(F1252=1,1,0)))</f>
        <v>0</v>
      </c>
      <c r="B1252" s="4" t="str">
        <f>IF(C1252=$L1252,1,IF(C1252="","",0))</f>
        <v/>
      </c>
      <c r="C1252" s="42"/>
      <c r="D1252" s="4" t="str">
        <f>IF(E1252=$L1252,1,IF(E1252="","",0))</f>
        <v/>
      </c>
      <c r="E1252" s="23"/>
      <c r="F1252" s="4" t="str">
        <f>IF(G1252=$L1252,1,IF(G1252="","",0))</f>
        <v/>
      </c>
      <c r="G1252" s="14"/>
      <c r="H1252" s="6">
        <v>403</v>
      </c>
      <c r="I1252" s="15" t="s">
        <v>3120</v>
      </c>
      <c r="J1252" s="6" t="s">
        <v>3549</v>
      </c>
      <c r="K1252" s="6"/>
      <c r="L1252" s="6" t="s">
        <v>534</v>
      </c>
      <c r="M1252" s="6" t="s">
        <v>6512</v>
      </c>
      <c r="N1252" s="7">
        <f ca="1">RAND()</f>
        <v>6.5409744335900299E-2</v>
      </c>
      <c r="O1252" s="8">
        <v>45202</v>
      </c>
      <c r="P1252" s="8">
        <v>45203</v>
      </c>
      <c r="Q1252" s="8">
        <v>45205</v>
      </c>
      <c r="R1252" s="8">
        <v>45209</v>
      </c>
      <c r="S1252" s="8">
        <v>45216</v>
      </c>
      <c r="T1252" s="8">
        <v>45228</v>
      </c>
      <c r="U1252" s="8">
        <v>45820</v>
      </c>
      <c r="V1252" s="10">
        <f>COUNTA(O1252:U1252)</f>
        <v>7</v>
      </c>
      <c r="W1252" s="11">
        <f>_xlfn.IFNA(INDEX(reading[[#This Row],[Memo 01]:[Memo 07]],MATCH(0,reading[[#This Row],[Memo 01]:[Memo 07]],-1)),"")</f>
        <v>45820</v>
      </c>
      <c r="X1252" s="11">
        <f ca="1">IFERROR(reading[[#This Row],[Previous]]+OFFSET(reading[[#Headers],[Memo 01]],-1,MATCH(0,reading[[#This Row],[Memo 01]:[Memo 07]],-1)-1),"")</f>
        <v>55820</v>
      </c>
      <c r="Y1252" s="10" t="str">
        <f ca="1">IF(reading[[#This Row],[Next]]&lt;&gt;"",IF(reading[[#This Row],[Next]]&gt;TODAY(),"OK",""),"")</f>
        <v>OK</v>
      </c>
      <c r="Z1252" s="13">
        <v>3</v>
      </c>
      <c r="AA1252" s="13">
        <v>3</v>
      </c>
      <c r="AB1252" s="13">
        <v>3</v>
      </c>
      <c r="AC1252" s="13">
        <v>3</v>
      </c>
      <c r="AD1252" s="13">
        <v>3</v>
      </c>
      <c r="AE1252" s="13">
        <v>3</v>
      </c>
      <c r="AF1252" s="13">
        <v>2</v>
      </c>
      <c r="AG1252" s="16">
        <f>IFERROR(SUMIF(reading[[#This Row],[1st]:[7th]],"&gt;0")/COUNTIF(reading[[#This Row],[1st]:[7th]],"&gt;0"),"")</f>
        <v>2.8571428571428572</v>
      </c>
    </row>
    <row r="1253" spans="1:33" hidden="1" x14ac:dyDescent="0.2">
      <c r="A1253" s="4">
        <f>IF(B1253=1,3,IF(D1253=1,2,IF(F1253=1,1,0)))</f>
        <v>0</v>
      </c>
      <c r="B1253" s="4" t="str">
        <f>IF(C1253=$L1253,1,IF(C1253="","",0))</f>
        <v/>
      </c>
      <c r="C1253" s="42"/>
      <c r="D1253" s="4" t="str">
        <f>IF(E1253=$L1253,1,IF(E1253="","",0))</f>
        <v/>
      </c>
      <c r="E1253" s="14"/>
      <c r="F1253" s="4" t="str">
        <f>IF(G1253=$L1253,1,IF(G1253="","",0))</f>
        <v/>
      </c>
      <c r="G1253" s="14"/>
      <c r="H1253" s="6">
        <v>1015</v>
      </c>
      <c r="I1253" s="15" t="s">
        <v>3120</v>
      </c>
      <c r="J1253" s="6" t="s">
        <v>4143</v>
      </c>
      <c r="K1253" s="6"/>
      <c r="L1253" s="6" t="s">
        <v>1125</v>
      </c>
      <c r="M1253" s="6" t="s">
        <v>7123</v>
      </c>
      <c r="N1253" s="7">
        <f ca="1">RAND()</f>
        <v>0.23478381000498072</v>
      </c>
      <c r="O1253" s="8">
        <v>45205</v>
      </c>
      <c r="P1253" s="8">
        <v>45206</v>
      </c>
      <c r="Q1253" s="8">
        <v>45208</v>
      </c>
      <c r="R1253" s="8">
        <v>45213</v>
      </c>
      <c r="S1253" s="8">
        <v>45220</v>
      </c>
      <c r="T1253" s="8">
        <v>45232</v>
      </c>
      <c r="U1253" s="8">
        <v>45253</v>
      </c>
      <c r="V1253" s="10">
        <f>COUNTA(O1253:U1253)</f>
        <v>7</v>
      </c>
      <c r="W1253" s="11">
        <f>_xlfn.IFNA(INDEX(reading[[#This Row],[Memo 01]:[Memo 07]],MATCH(0,reading[[#This Row],[Memo 01]:[Memo 07]],-1)),"")</f>
        <v>45253</v>
      </c>
      <c r="X1253" s="11">
        <f ca="1">IFERROR(reading[[#This Row],[Previous]]+OFFSET(reading[[#Headers],[Memo 01]],-1,MATCH(0,reading[[#This Row],[Memo 01]:[Memo 07]],-1)-1),"")</f>
        <v>55253</v>
      </c>
      <c r="Y1253" s="10" t="str">
        <f ca="1">IF(reading[[#This Row],[Next]]&lt;&gt;"",IF(reading[[#This Row],[Next]]&gt;TODAY(),"OK",""),"")</f>
        <v>OK</v>
      </c>
      <c r="Z1253" s="13">
        <v>3</v>
      </c>
      <c r="AA1253" s="13">
        <v>3</v>
      </c>
      <c r="AB1253" s="13">
        <v>3</v>
      </c>
      <c r="AC1253" s="13">
        <v>1</v>
      </c>
      <c r="AD1253" s="13">
        <v>3</v>
      </c>
      <c r="AE1253" s="13">
        <v>3</v>
      </c>
      <c r="AF1253" s="13">
        <v>2</v>
      </c>
      <c r="AG1253" s="16">
        <f>IFERROR(SUMIF(reading[[#This Row],[1st]:[7th]],"&gt;0")/COUNTIF(reading[[#This Row],[1st]:[7th]],"&gt;0"),"")</f>
        <v>2.5714285714285716</v>
      </c>
    </row>
    <row r="1254" spans="1:33" hidden="1" x14ac:dyDescent="0.2">
      <c r="A1254" s="4">
        <f>IF(B1254=1,3,IF(D1254=1,2,IF(F1254=1,1,0)))</f>
        <v>0</v>
      </c>
      <c r="B1254" s="4" t="str">
        <f>IF(C1254=$L1254,1,IF(C1254="","",0))</f>
        <v/>
      </c>
      <c r="C1254" s="18"/>
      <c r="D1254" s="4" t="str">
        <f>IF(E1254=$L1254,1,IF(E1254="","",0))</f>
        <v/>
      </c>
      <c r="E1254" s="18"/>
      <c r="F1254" s="4" t="str">
        <f>IF(G1254=$L1254,1,IF(G1254="","",0))</f>
        <v/>
      </c>
      <c r="G1254" s="14"/>
      <c r="H1254" s="6">
        <v>56</v>
      </c>
      <c r="I1254" s="15" t="s">
        <v>3120</v>
      </c>
      <c r="J1254" s="6" t="s">
        <v>3210</v>
      </c>
      <c r="K1254" s="6"/>
      <c r="L1254" s="6" t="s">
        <v>198</v>
      </c>
      <c r="M1254" s="6" t="s">
        <v>6169</v>
      </c>
      <c r="N1254" s="7">
        <f ca="1">RAND()</f>
        <v>6.2896356579039581E-2</v>
      </c>
      <c r="O1254" s="8">
        <v>45198</v>
      </c>
      <c r="P1254" s="8">
        <v>45199</v>
      </c>
      <c r="Q1254" s="8">
        <v>45201</v>
      </c>
      <c r="R1254" s="8">
        <v>45205</v>
      </c>
      <c r="S1254" s="8">
        <v>45213</v>
      </c>
      <c r="T1254" s="8">
        <v>45225</v>
      </c>
      <c r="U1254" s="8">
        <v>45253</v>
      </c>
      <c r="V1254" s="10">
        <f>COUNTA(O1254:U1254)</f>
        <v>7</v>
      </c>
      <c r="W1254" s="11">
        <f>_xlfn.IFNA(INDEX(reading[[#This Row],[Memo 01]:[Memo 07]],MATCH(0,reading[[#This Row],[Memo 01]:[Memo 07]],-1)),"")</f>
        <v>45253</v>
      </c>
      <c r="X1254" s="11">
        <f ca="1">IFERROR(reading[[#This Row],[Previous]]+OFFSET(reading[[#Headers],[Memo 01]],-1,MATCH(0,reading[[#This Row],[Memo 01]:[Memo 07]],-1)-1),"")</f>
        <v>55253</v>
      </c>
      <c r="Y1254" s="10" t="str">
        <f ca="1">IF(reading[[#This Row],[Next]]&lt;&gt;"",IF(reading[[#This Row],[Next]]&gt;TODAY(),"OK",""),"")</f>
        <v>OK</v>
      </c>
      <c r="Z1254" s="13">
        <v>3</v>
      </c>
      <c r="AA1254" s="13">
        <v>3</v>
      </c>
      <c r="AB1254" s="13">
        <v>3</v>
      </c>
      <c r="AC1254" s="13">
        <v>3</v>
      </c>
      <c r="AD1254" s="13">
        <v>2</v>
      </c>
      <c r="AE1254" s="13">
        <v>2</v>
      </c>
      <c r="AF1254" s="13">
        <v>2</v>
      </c>
      <c r="AG1254" s="16">
        <f>IFERROR(SUMIF(reading[[#This Row],[1st]:[7th]],"&gt;0")/COUNTIF(reading[[#This Row],[1st]:[7th]],"&gt;0"),"")</f>
        <v>2.5714285714285716</v>
      </c>
    </row>
    <row r="1255" spans="1:33" hidden="1" x14ac:dyDescent="0.2">
      <c r="A1255" s="4">
        <f>IF(B1255=1,3,IF(D1255=1,2,IF(F1255=1,1,0)))</f>
        <v>0</v>
      </c>
      <c r="B1255" s="4" t="str">
        <f>IF(C1255=$L1255,1,IF(C1255="","",0))</f>
        <v/>
      </c>
      <c r="C1255" s="42"/>
      <c r="D1255" s="4" t="str">
        <f>IF(E1255=$L1255,1,IF(E1255="","",0))</f>
        <v/>
      </c>
      <c r="E1255" s="43"/>
      <c r="F1255" s="4" t="str">
        <f>IF(G1255=$L1255,1,IF(G1255="","",0))</f>
        <v/>
      </c>
      <c r="G1255" s="23"/>
      <c r="H1255" s="6">
        <v>2032</v>
      </c>
      <c r="I1255" s="15" t="s">
        <v>3120</v>
      </c>
      <c r="J1255" s="6" t="s">
        <v>5128</v>
      </c>
      <c r="K1255" s="6"/>
      <c r="L1255" s="6" t="s">
        <v>2107</v>
      </c>
      <c r="M1255" s="6" t="s">
        <v>8138</v>
      </c>
      <c r="N1255" s="7">
        <f ca="1">RAND()</f>
        <v>0.15610748947419562</v>
      </c>
      <c r="O1255" s="8">
        <v>45213</v>
      </c>
      <c r="P1255" s="8">
        <v>45214</v>
      </c>
      <c r="Q1255" s="8">
        <v>45216</v>
      </c>
      <c r="R1255" s="8">
        <v>45220</v>
      </c>
      <c r="S1255" s="8">
        <v>45227</v>
      </c>
      <c r="T1255" s="8">
        <v>45820</v>
      </c>
      <c r="U1255" s="8"/>
      <c r="V1255" s="10">
        <f>COUNTA(O1255:U1255)</f>
        <v>6</v>
      </c>
      <c r="W1255" s="11">
        <f>_xlfn.IFNA(INDEX(reading[[#This Row],[Memo 01]:[Memo 07]],MATCH(0,reading[[#This Row],[Memo 01]:[Memo 07]],-1)),"")</f>
        <v>45820</v>
      </c>
      <c r="X1255" s="11">
        <f ca="1">IFERROR(reading[[#This Row],[Previous]]+OFFSET(reading[[#Headers],[Memo 01]],-1,MATCH(0,reading[[#This Row],[Memo 01]:[Memo 07]],-1)-1),"")</f>
        <v>45840</v>
      </c>
      <c r="Y1255" s="10" t="str">
        <f ca="1">IF(reading[[#This Row],[Next]]&lt;&gt;"",IF(reading[[#This Row],[Next]]&gt;TODAY(),"OK",""),"")</f>
        <v>OK</v>
      </c>
      <c r="Z1255" s="13">
        <v>3</v>
      </c>
      <c r="AA1255" s="13">
        <v>3</v>
      </c>
      <c r="AB1255" s="13">
        <v>3</v>
      </c>
      <c r="AC1255" s="13">
        <v>2</v>
      </c>
      <c r="AD1255" s="13">
        <v>3</v>
      </c>
      <c r="AE1255" s="13">
        <v>2</v>
      </c>
      <c r="AF1255" s="13"/>
      <c r="AG1255" s="16">
        <f>IFERROR(SUMIF(reading[[#This Row],[1st]:[7th]],"&gt;0")/COUNTIF(reading[[#This Row],[1st]:[7th]],"&gt;0"),"")</f>
        <v>2.6666666666666665</v>
      </c>
    </row>
    <row r="1256" spans="1:33" hidden="1" x14ac:dyDescent="0.2">
      <c r="A1256" s="4">
        <f>IF(B1256=1,3,IF(D1256=1,2,IF(F1256=1,1,0)))</f>
        <v>0</v>
      </c>
      <c r="B1256" s="4" t="str">
        <f>IF(C1256=$L1256,1,IF(C1256="","",0))</f>
        <v/>
      </c>
      <c r="C1256" s="42"/>
      <c r="D1256" s="4" t="str">
        <f>IF(E1256=$L1256,1,IF(E1256="","",0))</f>
        <v/>
      </c>
      <c r="E1256" s="43"/>
      <c r="F1256" s="4" t="str">
        <f>IF(G1256=$L1256,1,IF(G1256="","",0))</f>
        <v/>
      </c>
      <c r="G1256" s="14"/>
      <c r="H1256" s="6">
        <v>2004</v>
      </c>
      <c r="I1256" s="15" t="s">
        <v>3120</v>
      </c>
      <c r="J1256" s="6" t="s">
        <v>5102</v>
      </c>
      <c r="K1256" s="6"/>
      <c r="L1256" s="6" t="s">
        <v>2079</v>
      </c>
      <c r="M1256" s="6" t="s">
        <v>8110</v>
      </c>
      <c r="N1256" s="7">
        <f ca="1">RAND()</f>
        <v>0.26763805512279826</v>
      </c>
      <c r="O1256" s="8">
        <v>45214</v>
      </c>
      <c r="P1256" s="8">
        <v>45215</v>
      </c>
      <c r="Q1256" s="8">
        <v>45217</v>
      </c>
      <c r="R1256" s="8">
        <v>45221</v>
      </c>
      <c r="S1256" s="8">
        <v>45228</v>
      </c>
      <c r="T1256" s="8">
        <v>45820</v>
      </c>
      <c r="U1256" s="8"/>
      <c r="V1256" s="10">
        <f>COUNTA(O1256:U1256)</f>
        <v>6</v>
      </c>
      <c r="W1256" s="11">
        <f>_xlfn.IFNA(INDEX(reading[[#This Row],[Memo 01]:[Memo 07]],MATCH(0,reading[[#This Row],[Memo 01]:[Memo 07]],-1)),"")</f>
        <v>45820</v>
      </c>
      <c r="X1256" s="11">
        <f ca="1">IFERROR(reading[[#This Row],[Previous]]+OFFSET(reading[[#Headers],[Memo 01]],-1,MATCH(0,reading[[#This Row],[Memo 01]:[Memo 07]],-1)-1),"")</f>
        <v>45840</v>
      </c>
      <c r="Y1256" s="10" t="str">
        <f ca="1">IF(reading[[#This Row],[Next]]&lt;&gt;"",IF(reading[[#This Row],[Next]]&gt;TODAY(),"OK",""),"")</f>
        <v>OK</v>
      </c>
      <c r="Z1256" s="13">
        <v>3</v>
      </c>
      <c r="AA1256" s="13">
        <v>2</v>
      </c>
      <c r="AB1256" s="13">
        <v>3</v>
      </c>
      <c r="AC1256" s="13">
        <v>3</v>
      </c>
      <c r="AD1256" s="13">
        <v>3</v>
      </c>
      <c r="AE1256" s="13">
        <v>2</v>
      </c>
      <c r="AF1256" s="13"/>
      <c r="AG1256" s="16">
        <f>IFERROR(SUMIF(reading[[#This Row],[1st]:[7th]],"&gt;0")/COUNTIF(reading[[#This Row],[1st]:[7th]],"&gt;0"),"")</f>
        <v>2.6666666666666665</v>
      </c>
    </row>
    <row r="1257" spans="1:33" hidden="1" x14ac:dyDescent="0.2">
      <c r="A1257" s="4">
        <f>IF(B1257=1,3,IF(D1257=1,2,IF(F1257=1,1,0)))</f>
        <v>0</v>
      </c>
      <c r="B1257" s="4" t="str">
        <f>IF(C1257=$L1257,1,IF(C1257="","",0))</f>
        <v/>
      </c>
      <c r="C1257" s="42"/>
      <c r="D1257" s="4" t="str">
        <f>IF(E1257=$L1257,1,IF(E1257="","",0))</f>
        <v/>
      </c>
      <c r="E1257" s="43"/>
      <c r="F1257" s="4" t="str">
        <f>IF(G1257=$L1257,1,IF(G1257="","",0))</f>
        <v/>
      </c>
      <c r="G1257" s="14"/>
      <c r="H1257" s="6">
        <v>1885</v>
      </c>
      <c r="I1257" s="15" t="s">
        <v>3120</v>
      </c>
      <c r="J1257" s="6" t="s">
        <v>4987</v>
      </c>
      <c r="K1257" s="6"/>
      <c r="L1257" s="6" t="s">
        <v>1962</v>
      </c>
      <c r="M1257" s="6" t="s">
        <v>7991</v>
      </c>
      <c r="N1257" s="7">
        <f ca="1">RAND()</f>
        <v>4.9065414580419242E-3</v>
      </c>
      <c r="O1257" s="8">
        <v>45212</v>
      </c>
      <c r="P1257" s="8">
        <v>45213</v>
      </c>
      <c r="Q1257" s="8">
        <v>45215</v>
      </c>
      <c r="R1257" s="8">
        <v>45219</v>
      </c>
      <c r="S1257" s="8">
        <v>45226</v>
      </c>
      <c r="T1257" s="8">
        <v>45252</v>
      </c>
      <c r="U1257" s="8">
        <v>45816</v>
      </c>
      <c r="V1257" s="10">
        <f>COUNTA(O1257:U1257)</f>
        <v>7</v>
      </c>
      <c r="W1257" s="11">
        <f>_xlfn.IFNA(INDEX(reading[[#This Row],[Memo 01]:[Memo 07]],MATCH(0,reading[[#This Row],[Memo 01]:[Memo 07]],-1)),"")</f>
        <v>45816</v>
      </c>
      <c r="X1257" s="11">
        <f ca="1">IFERROR(reading[[#This Row],[Previous]]+OFFSET(reading[[#Headers],[Memo 01]],-1,MATCH(0,reading[[#This Row],[Memo 01]:[Memo 07]],-1)-1),"")</f>
        <v>55816</v>
      </c>
      <c r="Y1257" s="10" t="str">
        <f ca="1">IF(reading[[#This Row],[Next]]&lt;&gt;"",IF(reading[[#This Row],[Next]]&gt;TODAY(),"OK",""),"")</f>
        <v>OK</v>
      </c>
      <c r="Z1257" s="13">
        <v>3</v>
      </c>
      <c r="AA1257" s="13">
        <v>3</v>
      </c>
      <c r="AB1257" s="13">
        <v>2</v>
      </c>
      <c r="AC1257" s="13">
        <v>3</v>
      </c>
      <c r="AD1257" s="13">
        <v>2</v>
      </c>
      <c r="AE1257" s="13">
        <v>2</v>
      </c>
      <c r="AF1257" s="13">
        <v>2</v>
      </c>
      <c r="AG1257" s="16">
        <f>IFERROR(SUMIF(reading[[#This Row],[1st]:[7th]],"&gt;0")/COUNTIF(reading[[#This Row],[1st]:[7th]],"&gt;0"),"")</f>
        <v>2.4285714285714284</v>
      </c>
    </row>
    <row r="1258" spans="1:33" hidden="1" x14ac:dyDescent="0.2">
      <c r="A1258" s="4">
        <f>IF(B1258=1,3,IF(D1258=1,2,IF(F1258=1,1,0)))</f>
        <v>0</v>
      </c>
      <c r="B1258" s="4" t="str">
        <f>IF(C1258=$L1258,1,IF(C1258="","",0))</f>
        <v/>
      </c>
      <c r="C1258" s="42"/>
      <c r="D1258" s="4" t="str">
        <f>IF(E1258=$L1258,1,IF(E1258="","",0))</f>
        <v/>
      </c>
      <c r="E1258" s="43"/>
      <c r="F1258" s="4" t="str">
        <f>IF(G1258=$L1258,1,IF(G1258="","",0))</f>
        <v/>
      </c>
      <c r="G1258" s="14"/>
      <c r="H1258" s="6">
        <v>2359</v>
      </c>
      <c r="I1258" s="15" t="s">
        <v>3120</v>
      </c>
      <c r="J1258" s="6" t="s">
        <v>5436</v>
      </c>
      <c r="K1258" s="6"/>
      <c r="L1258" s="6" t="s">
        <v>2412</v>
      </c>
      <c r="M1258" s="6" t="s">
        <v>8464</v>
      </c>
      <c r="N1258" s="7">
        <f ca="1">RAND()</f>
        <v>0.24942233519227375</v>
      </c>
      <c r="O1258" s="8">
        <v>45216</v>
      </c>
      <c r="P1258" s="8">
        <v>45217</v>
      </c>
      <c r="Q1258" s="8">
        <v>45219</v>
      </c>
      <c r="R1258" s="8">
        <v>45223</v>
      </c>
      <c r="S1258" s="8">
        <v>45230</v>
      </c>
      <c r="T1258" s="8">
        <v>45251</v>
      </c>
      <c r="U1258" s="8">
        <v>45820</v>
      </c>
      <c r="V1258" s="10">
        <f>COUNTA(O1258:U1258)</f>
        <v>7</v>
      </c>
      <c r="W1258" s="11">
        <f>_xlfn.IFNA(INDEX(reading[[#This Row],[Memo 01]:[Memo 07]],MATCH(0,reading[[#This Row],[Memo 01]:[Memo 07]],-1)),"")</f>
        <v>45820</v>
      </c>
      <c r="X1258" s="11">
        <f ca="1">IFERROR(reading[[#This Row],[Previous]]+OFFSET(reading[[#Headers],[Memo 01]],-1,MATCH(0,reading[[#This Row],[Memo 01]:[Memo 07]],-1)-1),"")</f>
        <v>55820</v>
      </c>
      <c r="Y1258" s="10" t="str">
        <f ca="1">IF(reading[[#This Row],[Next]]&lt;&gt;"",IF(reading[[#This Row],[Next]]&gt;TODAY(),"OK",""),"")</f>
        <v>OK</v>
      </c>
      <c r="Z1258" s="13">
        <v>3</v>
      </c>
      <c r="AA1258" s="13">
        <v>3</v>
      </c>
      <c r="AB1258" s="13">
        <v>2</v>
      </c>
      <c r="AC1258" s="13">
        <v>3</v>
      </c>
      <c r="AD1258" s="13">
        <v>2</v>
      </c>
      <c r="AE1258" s="13">
        <v>3</v>
      </c>
      <c r="AF1258" s="13">
        <v>2</v>
      </c>
      <c r="AG1258" s="16">
        <f>IFERROR(SUMIF(reading[[#This Row],[1st]:[7th]],"&gt;0")/COUNTIF(reading[[#This Row],[1st]:[7th]],"&gt;0"),"")</f>
        <v>2.5714285714285716</v>
      </c>
    </row>
    <row r="1259" spans="1:33" hidden="1" x14ac:dyDescent="0.2">
      <c r="A1259" s="4">
        <f>IF(B1259=1,3,IF(D1259=1,2,IF(F1259=1,1,0)))</f>
        <v>0</v>
      </c>
      <c r="B1259" s="4" t="str">
        <f>IF(C1259=$L1259,1,IF(C1259="","",0))</f>
        <v/>
      </c>
      <c r="C1259" s="42"/>
      <c r="D1259" s="4" t="str">
        <f>IF(E1259=$L1259,1,IF(E1259="","",0))</f>
        <v/>
      </c>
      <c r="E1259" s="18"/>
      <c r="F1259" s="4" t="str">
        <f>IF(G1259=$L1259,1,IF(G1259="","",0))</f>
        <v/>
      </c>
      <c r="G1259" s="14"/>
      <c r="H1259" s="6">
        <v>2366</v>
      </c>
      <c r="I1259" s="15" t="s">
        <v>3120</v>
      </c>
      <c r="J1259" s="6" t="s">
        <v>5441</v>
      </c>
      <c r="K1259" s="6"/>
      <c r="L1259" s="6" t="s">
        <v>2419</v>
      </c>
      <c r="M1259" s="6" t="s">
        <v>8471</v>
      </c>
      <c r="N1259" s="7">
        <f ca="1">RAND()</f>
        <v>0.35886028932307512</v>
      </c>
      <c r="O1259" s="8">
        <v>45217</v>
      </c>
      <c r="P1259" s="8">
        <v>45218</v>
      </c>
      <c r="Q1259" s="8">
        <v>45220</v>
      </c>
      <c r="R1259" s="8">
        <v>45224</v>
      </c>
      <c r="S1259" s="8">
        <v>45231</v>
      </c>
      <c r="T1259" s="8">
        <v>45783</v>
      </c>
      <c r="U1259" s="8">
        <v>45823</v>
      </c>
      <c r="V1259" s="10">
        <f>COUNTA(O1259:U1259)</f>
        <v>7</v>
      </c>
      <c r="W1259" s="11">
        <f>_xlfn.IFNA(INDEX(reading[[#This Row],[Memo 01]:[Memo 07]],MATCH(0,reading[[#This Row],[Memo 01]:[Memo 07]],-1)),"")</f>
        <v>45823</v>
      </c>
      <c r="X1259" s="11">
        <f ca="1">IFERROR(reading[[#This Row],[Previous]]+OFFSET(reading[[#Headers],[Memo 01]],-1,MATCH(0,reading[[#This Row],[Memo 01]:[Memo 07]],-1)-1),"")</f>
        <v>55823</v>
      </c>
      <c r="Y1259" s="10" t="str">
        <f ca="1">IF(reading[[#This Row],[Next]]&lt;&gt;"",IF(reading[[#This Row],[Next]]&gt;TODAY(),"OK",""),"")</f>
        <v>OK</v>
      </c>
      <c r="Z1259" s="13">
        <v>3</v>
      </c>
      <c r="AA1259" s="13">
        <v>2</v>
      </c>
      <c r="AB1259" s="13">
        <v>3</v>
      </c>
      <c r="AC1259" s="13">
        <v>3</v>
      </c>
      <c r="AD1259" s="13">
        <v>3</v>
      </c>
      <c r="AE1259" s="13">
        <v>3</v>
      </c>
      <c r="AF1259" s="13">
        <v>3</v>
      </c>
      <c r="AG1259" s="16">
        <f>IFERROR(SUMIF(reading[[#This Row],[1st]:[7th]],"&gt;0")/COUNTIF(reading[[#This Row],[1st]:[7th]],"&gt;0"),"")</f>
        <v>2.8571428571428572</v>
      </c>
    </row>
    <row r="1260" spans="1:33" hidden="1" x14ac:dyDescent="0.2">
      <c r="A1260" s="4">
        <f>IF(B1260=1,3,IF(D1260=1,2,IF(F1260=1,1,0)))</f>
        <v>0</v>
      </c>
      <c r="B1260" s="4" t="str">
        <f>IF(C1260=$L1260,1,IF(C1260="","",0))</f>
        <v/>
      </c>
      <c r="C1260" s="42"/>
      <c r="D1260" s="4" t="str">
        <f>IF(E1260=$L1260,1,IF(E1260="","",0))</f>
        <v/>
      </c>
      <c r="E1260" s="23"/>
      <c r="F1260" s="4" t="str">
        <f>IF(G1260=$L1260,1,IF(G1260="","",0))</f>
        <v/>
      </c>
      <c r="G1260" s="14"/>
      <c r="H1260" s="6">
        <v>2764</v>
      </c>
      <c r="I1260" s="15" t="s">
        <v>3120</v>
      </c>
      <c r="J1260" s="6" t="s">
        <v>5808</v>
      </c>
      <c r="K1260" s="6"/>
      <c r="L1260" s="6" t="s">
        <v>2802</v>
      </c>
      <c r="M1260" s="6" t="s">
        <v>8868</v>
      </c>
      <c r="N1260" s="7">
        <f ca="1">RAND()</f>
        <v>0.79997325763920824</v>
      </c>
      <c r="O1260" s="8">
        <v>45222</v>
      </c>
      <c r="P1260" s="8">
        <v>45223</v>
      </c>
      <c r="Q1260" s="8">
        <v>45225</v>
      </c>
      <c r="R1260" s="8">
        <v>45229</v>
      </c>
      <c r="S1260" s="8">
        <v>45236</v>
      </c>
      <c r="T1260" s="8">
        <v>45820</v>
      </c>
      <c r="U1260" s="8"/>
      <c r="V1260" s="10">
        <f>COUNTA(O1260:U1260)</f>
        <v>6</v>
      </c>
      <c r="W1260" s="11">
        <f>_xlfn.IFNA(INDEX(reading[[#This Row],[Memo 01]:[Memo 07]],MATCH(0,reading[[#This Row],[Memo 01]:[Memo 07]],-1)),"")</f>
        <v>45820</v>
      </c>
      <c r="X1260" s="11">
        <f ca="1">IFERROR(reading[[#This Row],[Previous]]+OFFSET(reading[[#Headers],[Memo 01]],-1,MATCH(0,reading[[#This Row],[Memo 01]:[Memo 07]],-1)-1),"")</f>
        <v>45840</v>
      </c>
      <c r="Y1260" s="10" t="str">
        <f ca="1">IF(reading[[#This Row],[Next]]&lt;&gt;"",IF(reading[[#This Row],[Next]]&gt;TODAY(),"OK",""),"")</f>
        <v>OK</v>
      </c>
      <c r="Z1260" s="13">
        <v>3</v>
      </c>
      <c r="AA1260" s="13">
        <v>3</v>
      </c>
      <c r="AB1260" s="13">
        <v>3</v>
      </c>
      <c r="AC1260" s="13">
        <v>3</v>
      </c>
      <c r="AD1260" s="13">
        <v>3</v>
      </c>
      <c r="AE1260" s="13">
        <v>2</v>
      </c>
      <c r="AF1260" s="13"/>
      <c r="AG1260" s="16">
        <f>IFERROR(SUMIF(reading[[#This Row],[1st]:[7th]],"&gt;0")/COUNTIF(reading[[#This Row],[1st]:[7th]],"&gt;0"),"")</f>
        <v>2.8333333333333335</v>
      </c>
    </row>
    <row r="1261" spans="1:33" hidden="1" x14ac:dyDescent="0.2">
      <c r="A1261" s="4">
        <f>IF(B1261=1,3,IF(D1261=1,2,IF(F1261=1,1,0)))</f>
        <v>0</v>
      </c>
      <c r="B1261" s="4" t="str">
        <f>IF(C1261=$L1261,1,IF(C1261="","",0))</f>
        <v/>
      </c>
      <c r="C1261" s="42"/>
      <c r="D1261" s="4" t="str">
        <f>IF(E1261=$L1261,1,IF(E1261="","",0))</f>
        <v/>
      </c>
      <c r="E1261" s="23"/>
      <c r="F1261" s="4" t="str">
        <f>IF(G1261=$L1261,1,IF(G1261="","",0))</f>
        <v/>
      </c>
      <c r="G1261" s="23"/>
      <c r="H1261" s="6">
        <v>2029</v>
      </c>
      <c r="I1261" s="15" t="s">
        <v>3120</v>
      </c>
      <c r="J1261" s="6" t="s">
        <v>3857</v>
      </c>
      <c r="K1261" s="6"/>
      <c r="L1261" s="6" t="s">
        <v>2104</v>
      </c>
      <c r="M1261" s="6" t="s">
        <v>8135</v>
      </c>
      <c r="N1261" s="7">
        <f ca="1">RAND()</f>
        <v>0.31975716799372988</v>
      </c>
      <c r="O1261" s="8">
        <v>45214</v>
      </c>
      <c r="P1261" s="8">
        <v>45215</v>
      </c>
      <c r="Q1261" s="8">
        <v>45217</v>
      </c>
      <c r="R1261" s="8">
        <v>45221</v>
      </c>
      <c r="S1261" s="8">
        <v>45228</v>
      </c>
      <c r="T1261" s="8">
        <v>45817</v>
      </c>
      <c r="U1261" s="8"/>
      <c r="V1261" s="10">
        <f>COUNTA(O1261:U1261)</f>
        <v>6</v>
      </c>
      <c r="W1261" s="11">
        <f>_xlfn.IFNA(INDEX(reading[[#This Row],[Memo 01]:[Memo 07]],MATCH(0,reading[[#This Row],[Memo 01]:[Memo 07]],-1)),"")</f>
        <v>45817</v>
      </c>
      <c r="X1261" s="11">
        <f ca="1">IFERROR(reading[[#This Row],[Previous]]+OFFSET(reading[[#Headers],[Memo 01]],-1,MATCH(0,reading[[#This Row],[Memo 01]:[Memo 07]],-1)-1),"")</f>
        <v>45837</v>
      </c>
      <c r="Y1261" s="10" t="str">
        <f ca="1">IF(reading[[#This Row],[Next]]&lt;&gt;"",IF(reading[[#This Row],[Next]]&gt;TODAY(),"OK",""),"")</f>
        <v>OK</v>
      </c>
      <c r="Z1261" s="13">
        <v>3</v>
      </c>
      <c r="AA1261" s="13">
        <v>3</v>
      </c>
      <c r="AB1261" s="13">
        <v>3</v>
      </c>
      <c r="AC1261" s="13">
        <v>3</v>
      </c>
      <c r="AD1261" s="13">
        <v>3</v>
      </c>
      <c r="AE1261" s="13">
        <v>1</v>
      </c>
      <c r="AF1261" s="13"/>
      <c r="AG1261" s="16">
        <f>IFERROR(SUMIF(reading[[#This Row],[1st]:[7th]],"&gt;0")/COUNTIF(reading[[#This Row],[1st]:[7th]],"&gt;0"),"")</f>
        <v>2.6666666666666665</v>
      </c>
    </row>
    <row r="1262" spans="1:33" hidden="1" x14ac:dyDescent="0.2">
      <c r="A1262" s="4">
        <f>IF(B1262=1,3,IF(D1262=1,2,IF(F1262=1,1,0)))</f>
        <v>0</v>
      </c>
      <c r="B1262" s="4" t="str">
        <f>IF(C1262=$L1262,1,IF(C1262="","",0))</f>
        <v/>
      </c>
      <c r="C1262" s="42"/>
      <c r="D1262" s="4" t="str">
        <f>IF(E1262=$L1262,1,IF(E1262="","",0))</f>
        <v/>
      </c>
      <c r="E1262" s="23"/>
      <c r="F1262" s="4" t="str">
        <f>IF(G1262=$L1262,1,IF(G1262="","",0))</f>
        <v/>
      </c>
      <c r="G1262" s="14"/>
      <c r="H1262" s="6">
        <v>1422</v>
      </c>
      <c r="I1262" s="15" t="s">
        <v>3120</v>
      </c>
      <c r="J1262" s="6" t="s">
        <v>4536</v>
      </c>
      <c r="K1262" s="24" t="s">
        <v>3150</v>
      </c>
      <c r="L1262" s="6" t="s">
        <v>1513</v>
      </c>
      <c r="M1262" s="6" t="s">
        <v>7529</v>
      </c>
      <c r="N1262" s="7">
        <f ca="1">RAND()</f>
        <v>0.59300573811197954</v>
      </c>
      <c r="O1262" s="8">
        <v>45208</v>
      </c>
      <c r="P1262" s="8">
        <v>45209</v>
      </c>
      <c r="Q1262" s="8">
        <v>45212</v>
      </c>
      <c r="R1262" s="8">
        <v>45216</v>
      </c>
      <c r="S1262" s="8">
        <v>45223</v>
      </c>
      <c r="T1262" s="8">
        <v>45235</v>
      </c>
      <c r="U1262" s="8">
        <v>45820</v>
      </c>
      <c r="V1262" s="10">
        <f>COUNTA(O1262:U1262)</f>
        <v>7</v>
      </c>
      <c r="W1262" s="11">
        <f>_xlfn.IFNA(INDEX(reading[[#This Row],[Memo 01]:[Memo 07]],MATCH(0,reading[[#This Row],[Memo 01]:[Memo 07]],-1)),"")</f>
        <v>45820</v>
      </c>
      <c r="X1262" s="11">
        <f ca="1">IFERROR(reading[[#This Row],[Previous]]+OFFSET(reading[[#Headers],[Memo 01]],-1,MATCH(0,reading[[#This Row],[Memo 01]:[Memo 07]],-1)-1),"")</f>
        <v>55820</v>
      </c>
      <c r="Y1262" s="10" t="str">
        <f ca="1">IF(reading[[#This Row],[Next]]&lt;&gt;"",IF(reading[[#This Row],[Next]]&gt;TODAY(),"OK",""),"")</f>
        <v>OK</v>
      </c>
      <c r="Z1262" s="13">
        <v>3</v>
      </c>
      <c r="AA1262" s="13">
        <v>1</v>
      </c>
      <c r="AB1262" s="13">
        <v>2</v>
      </c>
      <c r="AC1262" s="13">
        <v>2</v>
      </c>
      <c r="AD1262" s="13">
        <v>2</v>
      </c>
      <c r="AE1262" s="13">
        <v>2</v>
      </c>
      <c r="AF1262" s="13">
        <v>2</v>
      </c>
      <c r="AG1262" s="16">
        <f>IFERROR(SUMIF(reading[[#This Row],[1st]:[7th]],"&gt;0")/COUNTIF(reading[[#This Row],[1st]:[7th]],"&gt;0"),"")</f>
        <v>2</v>
      </c>
    </row>
    <row r="1263" spans="1:33" hidden="1" x14ac:dyDescent="0.2">
      <c r="A1263" s="4">
        <f>IF(B1263=1,3,IF(D1263=1,2,IF(F1263=1,1,0)))</f>
        <v>0</v>
      </c>
      <c r="B1263" s="4" t="str">
        <f>IF(C1263=$L1263,1,IF(C1263="","",0))</f>
        <v/>
      </c>
      <c r="C1263" s="42"/>
      <c r="D1263" s="4" t="str">
        <f>IF(E1263=$L1263,1,IF(E1263="","",0))</f>
        <v/>
      </c>
      <c r="E1263" s="43"/>
      <c r="F1263" s="4" t="str">
        <f>IF(G1263=$L1263,1,IF(G1263="","",0))</f>
        <v/>
      </c>
      <c r="G1263" s="23"/>
      <c r="H1263" s="6">
        <v>1949</v>
      </c>
      <c r="I1263" s="15" t="s">
        <v>3120</v>
      </c>
      <c r="J1263" s="6" t="s">
        <v>5048</v>
      </c>
      <c r="K1263" s="6"/>
      <c r="L1263" s="6" t="s">
        <v>2024</v>
      </c>
      <c r="M1263" s="6" t="s">
        <v>8055</v>
      </c>
      <c r="N1263" s="7">
        <f ca="1">RAND()</f>
        <v>0.50999837989434138</v>
      </c>
      <c r="O1263" s="8">
        <v>45213</v>
      </c>
      <c r="P1263" s="8">
        <v>45214</v>
      </c>
      <c r="Q1263" s="8">
        <v>45216</v>
      </c>
      <c r="R1263" s="8">
        <v>45220</v>
      </c>
      <c r="S1263" s="8">
        <v>45227</v>
      </c>
      <c r="T1263" s="8">
        <v>45251</v>
      </c>
      <c r="U1263" s="8">
        <v>45820</v>
      </c>
      <c r="V1263" s="10">
        <f>COUNTA(O1263:U1263)</f>
        <v>7</v>
      </c>
      <c r="W1263" s="11">
        <f>_xlfn.IFNA(INDEX(reading[[#This Row],[Memo 01]:[Memo 07]],MATCH(0,reading[[#This Row],[Memo 01]:[Memo 07]],-1)),"")</f>
        <v>45820</v>
      </c>
      <c r="X1263" s="11">
        <f ca="1">IFERROR(reading[[#This Row],[Previous]]+OFFSET(reading[[#Headers],[Memo 01]],-1,MATCH(0,reading[[#This Row],[Memo 01]:[Memo 07]],-1)-1),"")</f>
        <v>55820</v>
      </c>
      <c r="Y1263" s="10" t="str">
        <f ca="1">IF(reading[[#This Row],[Next]]&lt;&gt;"",IF(reading[[#This Row],[Next]]&gt;TODAY(),"OK",""),"")</f>
        <v>OK</v>
      </c>
      <c r="Z1263" s="13">
        <v>3</v>
      </c>
      <c r="AA1263" s="13">
        <v>3</v>
      </c>
      <c r="AB1263" s="13">
        <v>2</v>
      </c>
      <c r="AC1263" s="13">
        <v>3</v>
      </c>
      <c r="AD1263" s="13">
        <v>2</v>
      </c>
      <c r="AE1263" s="13">
        <v>3</v>
      </c>
      <c r="AF1263" s="13">
        <v>2</v>
      </c>
      <c r="AG1263" s="16">
        <f>IFERROR(SUMIF(reading[[#This Row],[1st]:[7th]],"&gt;0")/COUNTIF(reading[[#This Row],[1st]:[7th]],"&gt;0"),"")</f>
        <v>2.5714285714285716</v>
      </c>
    </row>
    <row r="1264" spans="1:33" hidden="1" x14ac:dyDescent="0.2">
      <c r="A1264" s="4">
        <f>IF(B1264=1,3,IF(D1264=1,2,IF(F1264=1,1,0)))</f>
        <v>0</v>
      </c>
      <c r="B1264" s="4" t="str">
        <f>IF(C1264=$L1264,1,IF(C1264="","",0))</f>
        <v/>
      </c>
      <c r="C1264" s="42"/>
      <c r="D1264" s="4" t="str">
        <f>IF(E1264=$L1264,1,IF(E1264="","",0))</f>
        <v/>
      </c>
      <c r="E1264" s="23"/>
      <c r="F1264" s="4" t="str">
        <f>IF(G1264=$L1264,1,IF(G1264="","",0))</f>
        <v/>
      </c>
      <c r="G1264" s="14"/>
      <c r="H1264" s="6">
        <v>2504</v>
      </c>
      <c r="I1264" s="15" t="s">
        <v>3120</v>
      </c>
      <c r="J1264" s="6" t="s">
        <v>5570</v>
      </c>
      <c r="K1264" s="15" t="s">
        <v>3138</v>
      </c>
      <c r="L1264" s="6" t="s">
        <v>2550</v>
      </c>
      <c r="M1264" s="6" t="s">
        <v>8609</v>
      </c>
      <c r="N1264" s="7">
        <f ca="1">RAND()</f>
        <v>0.97674301631224814</v>
      </c>
      <c r="O1264" s="8">
        <v>45219</v>
      </c>
      <c r="P1264" s="8">
        <v>45220</v>
      </c>
      <c r="Q1264" s="8">
        <v>45222</v>
      </c>
      <c r="R1264" s="8">
        <v>45226</v>
      </c>
      <c r="S1264" s="8">
        <v>45233</v>
      </c>
      <c r="T1264" s="8">
        <v>45820</v>
      </c>
      <c r="U1264" s="8"/>
      <c r="V1264" s="10">
        <f>COUNTA(O1264:U1264)</f>
        <v>6</v>
      </c>
      <c r="W1264" s="11">
        <f>_xlfn.IFNA(INDEX(reading[[#This Row],[Memo 01]:[Memo 07]],MATCH(0,reading[[#This Row],[Memo 01]:[Memo 07]],-1)),"")</f>
        <v>45820</v>
      </c>
      <c r="X1264" s="11">
        <f ca="1">IFERROR(reading[[#This Row],[Previous]]+OFFSET(reading[[#Headers],[Memo 01]],-1,MATCH(0,reading[[#This Row],[Memo 01]:[Memo 07]],-1)-1),"")</f>
        <v>45840</v>
      </c>
      <c r="Y1264" s="10" t="str">
        <f ca="1">IF(reading[[#This Row],[Next]]&lt;&gt;"",IF(reading[[#This Row],[Next]]&gt;TODAY(),"OK",""),"")</f>
        <v>OK</v>
      </c>
      <c r="Z1264" s="13">
        <v>3</v>
      </c>
      <c r="AA1264" s="13">
        <v>3</v>
      </c>
      <c r="AB1264" s="13">
        <v>3</v>
      </c>
      <c r="AC1264" s="13">
        <v>3</v>
      </c>
      <c r="AD1264" s="13">
        <v>3</v>
      </c>
      <c r="AE1264" s="13">
        <v>2</v>
      </c>
      <c r="AF1264" s="13"/>
      <c r="AG1264" s="16">
        <f>IFERROR(SUMIF(reading[[#This Row],[1st]:[7th]],"&gt;0")/COUNTIF(reading[[#This Row],[1st]:[7th]],"&gt;0"),"")</f>
        <v>2.8333333333333335</v>
      </c>
    </row>
    <row r="1265" spans="1:33" hidden="1" x14ac:dyDescent="0.2">
      <c r="A1265" s="4">
        <f>IF(B1265=1,3,IF(D1265=1,2,IF(F1265=1,1,0)))</f>
        <v>0</v>
      </c>
      <c r="B1265" s="4" t="str">
        <f>IF(C1265=$L1265,1,IF(C1265="","",0))</f>
        <v/>
      </c>
      <c r="C1265" s="42"/>
      <c r="D1265" s="4" t="str">
        <f>IF(E1265=$L1265,1,IF(E1265="","",0))</f>
        <v/>
      </c>
      <c r="E1265" s="43"/>
      <c r="F1265" s="4" t="str">
        <f>IF(G1265=$L1265,1,IF(G1265="","",0))</f>
        <v/>
      </c>
      <c r="G1265" s="14"/>
      <c r="H1265" s="6">
        <v>1160</v>
      </c>
      <c r="I1265" s="15" t="s">
        <v>3120</v>
      </c>
      <c r="J1265" s="6" t="s">
        <v>4280</v>
      </c>
      <c r="K1265" s="15" t="s">
        <v>3138</v>
      </c>
      <c r="L1265" s="6" t="s">
        <v>1262</v>
      </c>
      <c r="M1265" s="6" t="s">
        <v>7268</v>
      </c>
      <c r="N1265" s="7">
        <f ca="1">RAND()</f>
        <v>0.21100645965009979</v>
      </c>
      <c r="O1265" s="8">
        <v>45206</v>
      </c>
      <c r="P1265" s="8">
        <v>45207</v>
      </c>
      <c r="Q1265" s="8">
        <v>45209</v>
      </c>
      <c r="R1265" s="8">
        <v>45213</v>
      </c>
      <c r="S1265" s="8">
        <v>45220</v>
      </c>
      <c r="T1265" s="8">
        <v>45232</v>
      </c>
      <c r="U1265" s="8">
        <v>45820</v>
      </c>
      <c r="V1265" s="10">
        <f>COUNTA(O1265:U1265)</f>
        <v>7</v>
      </c>
      <c r="W1265" s="11">
        <f>_xlfn.IFNA(INDEX(reading[[#This Row],[Memo 01]:[Memo 07]],MATCH(0,reading[[#This Row],[Memo 01]:[Memo 07]],-1)),"")</f>
        <v>45820</v>
      </c>
      <c r="X1265" s="11">
        <f ca="1">IFERROR(reading[[#This Row],[Previous]]+OFFSET(reading[[#Headers],[Memo 01]],-1,MATCH(0,reading[[#This Row],[Memo 01]:[Memo 07]],-1)-1),"")</f>
        <v>55820</v>
      </c>
      <c r="Y1265" s="10" t="str">
        <f ca="1">IF(reading[[#This Row],[Next]]&lt;&gt;"",IF(reading[[#This Row],[Next]]&gt;TODAY(),"OK",""),"")</f>
        <v>OK</v>
      </c>
      <c r="Z1265" s="13">
        <v>3</v>
      </c>
      <c r="AA1265" s="13">
        <v>3</v>
      </c>
      <c r="AB1265" s="13">
        <v>3</v>
      </c>
      <c r="AC1265" s="13">
        <v>3</v>
      </c>
      <c r="AD1265" s="13">
        <v>2</v>
      </c>
      <c r="AE1265" s="13">
        <v>3</v>
      </c>
      <c r="AF1265" s="13">
        <v>2</v>
      </c>
      <c r="AG1265" s="16">
        <f>IFERROR(SUMIF(reading[[#This Row],[1st]:[7th]],"&gt;0")/COUNTIF(reading[[#This Row],[1st]:[7th]],"&gt;0"),"")</f>
        <v>2.7142857142857144</v>
      </c>
    </row>
    <row r="1266" spans="1:33" hidden="1" x14ac:dyDescent="0.2">
      <c r="A1266" s="4">
        <f>IF(B1266=1,3,IF(D1266=1,2,IF(F1266=1,1,0)))</f>
        <v>0</v>
      </c>
      <c r="B1266" s="4" t="str">
        <f>IF(C1266=$L1266,1,IF(C1266="","",0))</f>
        <v/>
      </c>
      <c r="C1266" s="42"/>
      <c r="D1266" s="4" t="str">
        <f>IF(E1266=$L1266,1,IF(E1266="","",0))</f>
        <v/>
      </c>
      <c r="E1266" s="18"/>
      <c r="F1266" s="4" t="str">
        <f>IF(G1266=$L1266,1,IF(G1266="","",0))</f>
        <v/>
      </c>
      <c r="G1266" s="14"/>
      <c r="H1266" s="6">
        <v>140</v>
      </c>
      <c r="I1266" s="15" t="s">
        <v>3120</v>
      </c>
      <c r="J1266" s="6" t="s">
        <v>3289</v>
      </c>
      <c r="K1266" s="6"/>
      <c r="L1266" s="6" t="s">
        <v>277</v>
      </c>
      <c r="M1266" s="6" t="s">
        <v>6249</v>
      </c>
      <c r="N1266" s="7">
        <f ca="1">RAND()</f>
        <v>0.82803751519439217</v>
      </c>
      <c r="O1266" s="8">
        <v>45199</v>
      </c>
      <c r="P1266" s="8">
        <v>45200</v>
      </c>
      <c r="Q1266" s="8">
        <v>45202</v>
      </c>
      <c r="R1266" s="8">
        <v>45206</v>
      </c>
      <c r="S1266" s="8">
        <v>45213</v>
      </c>
      <c r="T1266" s="8">
        <v>45225</v>
      </c>
      <c r="U1266" s="8">
        <v>45824</v>
      </c>
      <c r="V1266" s="10">
        <f>COUNTA(O1266:U1266)</f>
        <v>7</v>
      </c>
      <c r="W1266" s="11">
        <f>_xlfn.IFNA(INDEX(reading[[#This Row],[Memo 01]:[Memo 07]],MATCH(0,reading[[#This Row],[Memo 01]:[Memo 07]],-1)),"")</f>
        <v>45824</v>
      </c>
      <c r="X1266" s="11">
        <f ca="1">IFERROR(reading[[#This Row],[Previous]]+OFFSET(reading[[#Headers],[Memo 01]],-1,MATCH(0,reading[[#This Row],[Memo 01]:[Memo 07]],-1)-1),"")</f>
        <v>55824</v>
      </c>
      <c r="Y1266" s="10" t="str">
        <f ca="1">IF(reading[[#This Row],[Next]]&lt;&gt;"",IF(reading[[#This Row],[Next]]&gt;TODAY(),"OK",""),"")</f>
        <v>OK</v>
      </c>
      <c r="Z1266" s="13">
        <v>3</v>
      </c>
      <c r="AA1266" s="13">
        <v>3</v>
      </c>
      <c r="AB1266" s="13">
        <v>3</v>
      </c>
      <c r="AC1266" s="13">
        <v>3</v>
      </c>
      <c r="AD1266" s="13">
        <v>3</v>
      </c>
      <c r="AE1266" s="13">
        <v>2</v>
      </c>
      <c r="AF1266" s="13">
        <v>3</v>
      </c>
      <c r="AG1266" s="16">
        <f>IFERROR(SUMIF(reading[[#This Row],[1st]:[7th]],"&gt;0")/COUNTIF(reading[[#This Row],[1st]:[7th]],"&gt;0"),"")</f>
        <v>2.8571428571428572</v>
      </c>
    </row>
    <row r="1267" spans="1:33" hidden="1" x14ac:dyDescent="0.2">
      <c r="A1267" s="4">
        <f>IF(B1267=1,3,IF(D1267=1,2,IF(F1267=1,1,0)))</f>
        <v>0</v>
      </c>
      <c r="B1267" s="4" t="str">
        <f>IF(C1267=$L1267,1,IF(C1267="","",0))</f>
        <v/>
      </c>
      <c r="C1267" s="42"/>
      <c r="D1267" s="4" t="str">
        <f>IF(E1267=$L1267,1,IF(E1267="","",0))</f>
        <v/>
      </c>
      <c r="E1267" s="23"/>
      <c r="F1267" s="4" t="str">
        <f>IF(G1267=$L1267,1,IF(G1267="","",0))</f>
        <v/>
      </c>
      <c r="G1267" s="14"/>
      <c r="H1267" s="6">
        <v>2778</v>
      </c>
      <c r="I1267" s="15" t="s">
        <v>3120</v>
      </c>
      <c r="J1267" s="6" t="s">
        <v>5821</v>
      </c>
      <c r="K1267" s="6"/>
      <c r="L1267" s="6" t="s">
        <v>2816</v>
      </c>
      <c r="M1267" s="6" t="s">
        <v>8882</v>
      </c>
      <c r="N1267" s="7">
        <f ca="1">RAND()</f>
        <v>0.10196620485080199</v>
      </c>
      <c r="O1267" s="8">
        <v>45222</v>
      </c>
      <c r="P1267" s="8">
        <v>45223</v>
      </c>
      <c r="Q1267" s="8">
        <v>45225</v>
      </c>
      <c r="R1267" s="8">
        <v>45229</v>
      </c>
      <c r="S1267" s="8">
        <v>45236</v>
      </c>
      <c r="T1267" s="8">
        <v>45820</v>
      </c>
      <c r="U1267" s="8"/>
      <c r="V1267" s="10">
        <f>COUNTA(O1267:U1267)</f>
        <v>6</v>
      </c>
      <c r="W1267" s="11">
        <f>_xlfn.IFNA(INDEX(reading[[#This Row],[Memo 01]:[Memo 07]],MATCH(0,reading[[#This Row],[Memo 01]:[Memo 07]],-1)),"")</f>
        <v>45820</v>
      </c>
      <c r="X1267" s="11">
        <f ca="1">IFERROR(reading[[#This Row],[Previous]]+OFFSET(reading[[#Headers],[Memo 01]],-1,MATCH(0,reading[[#This Row],[Memo 01]:[Memo 07]],-1)-1),"")</f>
        <v>45840</v>
      </c>
      <c r="Y1267" s="10" t="str">
        <f ca="1">IF(reading[[#This Row],[Next]]&lt;&gt;"",IF(reading[[#This Row],[Next]]&gt;TODAY(),"OK",""),"")</f>
        <v>OK</v>
      </c>
      <c r="Z1267" s="13">
        <v>3</v>
      </c>
      <c r="AA1267" s="13">
        <v>3</v>
      </c>
      <c r="AB1267" s="13">
        <v>3</v>
      </c>
      <c r="AC1267" s="13">
        <v>3</v>
      </c>
      <c r="AD1267" s="13">
        <v>3</v>
      </c>
      <c r="AE1267" s="13">
        <v>2</v>
      </c>
      <c r="AF1267" s="13"/>
      <c r="AG1267" s="16">
        <f>IFERROR(SUMIF(reading[[#This Row],[1st]:[7th]],"&gt;0")/COUNTIF(reading[[#This Row],[1st]:[7th]],"&gt;0"),"")</f>
        <v>2.8333333333333335</v>
      </c>
    </row>
    <row r="1268" spans="1:33" hidden="1" x14ac:dyDescent="0.2">
      <c r="A1268" s="4">
        <f>IF(B1268=1,3,IF(D1268=1,2,IF(F1268=1,1,0)))</f>
        <v>0</v>
      </c>
      <c r="B1268" s="4" t="str">
        <f>IF(C1268=$L1268,1,IF(C1268="","",0))</f>
        <v/>
      </c>
      <c r="C1268" s="42"/>
      <c r="D1268" s="4" t="str">
        <f>IF(E1268=$L1268,1,IF(E1268="","",0))</f>
        <v/>
      </c>
      <c r="E1268" s="43"/>
      <c r="F1268" s="4" t="str">
        <f>IF(G1268=$L1268,1,IF(G1268="","",0))</f>
        <v/>
      </c>
      <c r="G1268" s="14"/>
      <c r="H1268" s="6">
        <v>3017</v>
      </c>
      <c r="I1268" s="15" t="s">
        <v>3120</v>
      </c>
      <c r="J1268" s="6" t="s">
        <v>6040</v>
      </c>
      <c r="K1268" s="15" t="s">
        <v>3138</v>
      </c>
      <c r="L1268" s="6" t="s">
        <v>3046</v>
      </c>
      <c r="M1268" s="6" t="s">
        <v>9120</v>
      </c>
      <c r="N1268" s="7">
        <f ca="1">RAND()</f>
        <v>0.91852717162056985</v>
      </c>
      <c r="O1268" s="8">
        <v>45224</v>
      </c>
      <c r="P1268" s="8">
        <v>45225</v>
      </c>
      <c r="Q1268" s="8">
        <v>45227</v>
      </c>
      <c r="R1268" s="8">
        <v>45231</v>
      </c>
      <c r="S1268" s="8">
        <v>45250</v>
      </c>
      <c r="T1268" s="8">
        <v>45820</v>
      </c>
      <c r="U1268" s="8"/>
      <c r="V1268" s="10">
        <f>COUNTA(O1268:U1268)</f>
        <v>6</v>
      </c>
      <c r="W1268" s="11">
        <f>_xlfn.IFNA(INDEX(reading[[#This Row],[Memo 01]:[Memo 07]],MATCH(0,reading[[#This Row],[Memo 01]:[Memo 07]],-1)),"")</f>
        <v>45820</v>
      </c>
      <c r="X1268" s="11">
        <f ca="1">IFERROR(reading[[#This Row],[Previous]]+OFFSET(reading[[#Headers],[Memo 01]],-1,MATCH(0,reading[[#This Row],[Memo 01]:[Memo 07]],-1)-1),"")</f>
        <v>45840</v>
      </c>
      <c r="Y1268" s="10" t="str">
        <f ca="1">IF(reading[[#This Row],[Next]]&lt;&gt;"",IF(reading[[#This Row],[Next]]&gt;TODAY(),"OK",""),"")</f>
        <v>OK</v>
      </c>
      <c r="Z1268" s="13">
        <v>3</v>
      </c>
      <c r="AA1268" s="13">
        <v>2</v>
      </c>
      <c r="AB1268" s="13">
        <v>3</v>
      </c>
      <c r="AC1268" s="13">
        <v>3</v>
      </c>
      <c r="AD1268" s="13">
        <v>2</v>
      </c>
      <c r="AE1268" s="13">
        <v>2</v>
      </c>
      <c r="AF1268" s="13"/>
      <c r="AG1268" s="16">
        <f>IFERROR(SUMIF(reading[[#This Row],[1st]:[7th]],"&gt;0")/COUNTIF(reading[[#This Row],[1st]:[7th]],"&gt;0"),"")</f>
        <v>2.5</v>
      </c>
    </row>
    <row r="1269" spans="1:33" hidden="1" x14ac:dyDescent="0.2">
      <c r="A1269" s="4">
        <f>IF(B1269=1,3,IF(D1269=1,2,IF(F1269=1,1,0)))</f>
        <v>0</v>
      </c>
      <c r="B1269" s="4" t="str">
        <f>IF(C1269=$L1269,1,IF(C1269="","",0))</f>
        <v/>
      </c>
      <c r="C1269" s="42"/>
      <c r="D1269" s="4" t="str">
        <f>IF(E1269=$L1269,1,IF(E1269="","",0))</f>
        <v/>
      </c>
      <c r="E1269" s="14"/>
      <c r="F1269" s="4" t="str">
        <f>IF(G1269=$L1269,1,IF(G1269="","",0))</f>
        <v/>
      </c>
      <c r="G1269" s="14"/>
      <c r="H1269" s="6">
        <v>880</v>
      </c>
      <c r="I1269" s="15" t="s">
        <v>3120</v>
      </c>
      <c r="J1269" s="6" t="s">
        <v>4012</v>
      </c>
      <c r="K1269" s="6"/>
      <c r="L1269" s="6" t="s">
        <v>994</v>
      </c>
      <c r="M1269" s="6" t="s">
        <v>6989</v>
      </c>
      <c r="N1269" s="7">
        <f ca="1">RAND()</f>
        <v>0.42855903287583574</v>
      </c>
      <c r="O1269" s="8">
        <v>45204</v>
      </c>
      <c r="P1269" s="8">
        <v>45205</v>
      </c>
      <c r="Q1269" s="8">
        <v>45207</v>
      </c>
      <c r="R1269" s="8">
        <v>45211</v>
      </c>
      <c r="S1269" s="8">
        <v>45218</v>
      </c>
      <c r="T1269" s="8">
        <v>45230</v>
      </c>
      <c r="U1269" s="8">
        <v>45823</v>
      </c>
      <c r="V1269" s="10">
        <f>COUNTA(O1269:U1269)</f>
        <v>7</v>
      </c>
      <c r="W1269" s="11">
        <f>_xlfn.IFNA(INDEX(reading[[#This Row],[Memo 01]:[Memo 07]],MATCH(0,reading[[#This Row],[Memo 01]:[Memo 07]],-1)),"")</f>
        <v>45823</v>
      </c>
      <c r="X1269" s="11">
        <f ca="1">IFERROR(reading[[#This Row],[Previous]]+OFFSET(reading[[#Headers],[Memo 01]],-1,MATCH(0,reading[[#This Row],[Memo 01]:[Memo 07]],-1)-1),"")</f>
        <v>55823</v>
      </c>
      <c r="Y1269" s="10" t="str">
        <f ca="1">IF(reading[[#This Row],[Next]]&lt;&gt;"",IF(reading[[#This Row],[Next]]&gt;TODAY(),"OK",""),"")</f>
        <v>OK</v>
      </c>
      <c r="Z1269" s="13">
        <v>3</v>
      </c>
      <c r="AA1269" s="13">
        <v>3</v>
      </c>
      <c r="AB1269" s="13">
        <v>3</v>
      </c>
      <c r="AC1269" s="13">
        <v>3</v>
      </c>
      <c r="AD1269" s="13">
        <v>3</v>
      </c>
      <c r="AE1269" s="13">
        <v>3</v>
      </c>
      <c r="AF1269" s="13">
        <v>3</v>
      </c>
      <c r="AG1269" s="16">
        <f>IFERROR(SUMIF(reading[[#This Row],[1st]:[7th]],"&gt;0")/COUNTIF(reading[[#This Row],[1st]:[7th]],"&gt;0"),"")</f>
        <v>3</v>
      </c>
    </row>
    <row r="1270" spans="1:33" hidden="1" x14ac:dyDescent="0.2">
      <c r="A1270" s="4">
        <f>IF(B1270=1,3,IF(D1270=1,2,IF(F1270=1,1,0)))</f>
        <v>0</v>
      </c>
      <c r="B1270" s="4" t="str">
        <f>IF(C1270=$L1270,1,IF(C1270="","",0))</f>
        <v/>
      </c>
      <c r="C1270" s="42"/>
      <c r="D1270" s="4" t="str">
        <f>IF(E1270=$L1270,1,IF(E1270="","",0))</f>
        <v/>
      </c>
      <c r="E1270" s="23"/>
      <c r="F1270" s="4" t="str">
        <f>IF(G1270=$L1270,1,IF(G1270="","",0))</f>
        <v/>
      </c>
      <c r="G1270" s="23"/>
      <c r="H1270" s="6">
        <v>2121</v>
      </c>
      <c r="I1270" s="15" t="s">
        <v>3120</v>
      </c>
      <c r="J1270" s="6" t="s">
        <v>5209</v>
      </c>
      <c r="K1270" s="6"/>
      <c r="L1270" s="6" t="s">
        <v>2188</v>
      </c>
      <c r="M1270" s="6" t="s">
        <v>8227</v>
      </c>
      <c r="N1270" s="7">
        <f ca="1">RAND()</f>
        <v>0.31595500995004733</v>
      </c>
      <c r="O1270" s="8">
        <v>45214</v>
      </c>
      <c r="P1270" s="8">
        <v>45215</v>
      </c>
      <c r="Q1270" s="8">
        <v>45217</v>
      </c>
      <c r="R1270" s="8">
        <v>45221</v>
      </c>
      <c r="S1270" s="8">
        <v>45228</v>
      </c>
      <c r="T1270" s="8">
        <v>45816</v>
      </c>
      <c r="U1270" s="8"/>
      <c r="V1270" s="10">
        <f>COUNTA(O1270:U1270)</f>
        <v>6</v>
      </c>
      <c r="W1270" s="11">
        <f>_xlfn.IFNA(INDEX(reading[[#This Row],[Memo 01]:[Memo 07]],MATCH(0,reading[[#This Row],[Memo 01]:[Memo 07]],-1)),"")</f>
        <v>45816</v>
      </c>
      <c r="X1270" s="11">
        <f ca="1">IFERROR(reading[[#This Row],[Previous]]+OFFSET(reading[[#Headers],[Memo 01]],-1,MATCH(0,reading[[#This Row],[Memo 01]:[Memo 07]],-1)-1),"")</f>
        <v>45836</v>
      </c>
      <c r="Y1270" s="10" t="str">
        <f ca="1">IF(reading[[#This Row],[Next]]&lt;&gt;"",IF(reading[[#This Row],[Next]]&gt;TODAY(),"OK",""),"")</f>
        <v>OK</v>
      </c>
      <c r="Z1270" s="13">
        <v>3</v>
      </c>
      <c r="AA1270" s="13">
        <v>3</v>
      </c>
      <c r="AB1270" s="13">
        <v>3</v>
      </c>
      <c r="AC1270" s="13">
        <v>3</v>
      </c>
      <c r="AD1270" s="13">
        <v>3</v>
      </c>
      <c r="AE1270" s="13">
        <v>1</v>
      </c>
      <c r="AF1270" s="13"/>
      <c r="AG1270" s="16">
        <f>IFERROR(SUMIF(reading[[#This Row],[1st]:[7th]],"&gt;0")/COUNTIF(reading[[#This Row],[1st]:[7th]],"&gt;0"),"")</f>
        <v>2.6666666666666665</v>
      </c>
    </row>
    <row r="1271" spans="1:33" hidden="1" x14ac:dyDescent="0.2">
      <c r="A1271" s="4">
        <f>IF(B1271=1,3,IF(D1271=1,2,IF(F1271=1,1,0)))</f>
        <v>0</v>
      </c>
      <c r="B1271" s="4" t="str">
        <f>IF(C1271=$L1271,1,IF(C1271="","",0))</f>
        <v/>
      </c>
      <c r="C1271" s="42"/>
      <c r="D1271" s="4" t="str">
        <f>IF(E1271=$L1271,1,IF(E1271="","",0))</f>
        <v/>
      </c>
      <c r="E1271" s="23"/>
      <c r="F1271" s="4" t="str">
        <f>IF(G1271=$L1271,1,IF(G1271="","",0))</f>
        <v/>
      </c>
      <c r="G1271" s="14"/>
      <c r="H1271" s="6">
        <v>2759</v>
      </c>
      <c r="I1271" s="15" t="s">
        <v>3120</v>
      </c>
      <c r="J1271" s="6" t="s">
        <v>5804</v>
      </c>
      <c r="K1271" s="6"/>
      <c r="L1271" s="6" t="s">
        <v>2797</v>
      </c>
      <c r="M1271" s="6" t="s">
        <v>8863</v>
      </c>
      <c r="N1271" s="7">
        <f ca="1">RAND()</f>
        <v>0.43124126052362277</v>
      </c>
      <c r="O1271" s="8">
        <v>45221</v>
      </c>
      <c r="P1271" s="8">
        <v>45222</v>
      </c>
      <c r="Q1271" s="8">
        <v>45224</v>
      </c>
      <c r="R1271" s="8">
        <v>45228</v>
      </c>
      <c r="S1271" s="8">
        <v>45235</v>
      </c>
      <c r="T1271" s="8">
        <v>45820</v>
      </c>
      <c r="U1271" s="8"/>
      <c r="V1271" s="10">
        <f>COUNTA(O1271:U1271)</f>
        <v>6</v>
      </c>
      <c r="W1271" s="11">
        <f>_xlfn.IFNA(INDEX(reading[[#This Row],[Memo 01]:[Memo 07]],MATCH(0,reading[[#This Row],[Memo 01]:[Memo 07]],-1)),"")</f>
        <v>45820</v>
      </c>
      <c r="X1271" s="11">
        <f ca="1">IFERROR(reading[[#This Row],[Previous]]+OFFSET(reading[[#Headers],[Memo 01]],-1,MATCH(0,reading[[#This Row],[Memo 01]:[Memo 07]],-1)-1),"")</f>
        <v>45840</v>
      </c>
      <c r="Y1271" s="10" t="str">
        <f ca="1">IF(reading[[#This Row],[Next]]&lt;&gt;"",IF(reading[[#This Row],[Next]]&gt;TODAY(),"OK",""),"")</f>
        <v>OK</v>
      </c>
      <c r="Z1271" s="13">
        <v>3</v>
      </c>
      <c r="AA1271" s="13">
        <v>3</v>
      </c>
      <c r="AB1271" s="13">
        <v>3</v>
      </c>
      <c r="AC1271" s="13">
        <v>3</v>
      </c>
      <c r="AD1271" s="13">
        <v>3</v>
      </c>
      <c r="AE1271" s="13">
        <v>2</v>
      </c>
      <c r="AF1271" s="13"/>
      <c r="AG1271" s="16">
        <f>IFERROR(SUMIF(reading[[#This Row],[1st]:[7th]],"&gt;0")/COUNTIF(reading[[#This Row],[1st]:[7th]],"&gt;0"),"")</f>
        <v>2.8333333333333335</v>
      </c>
    </row>
    <row r="1272" spans="1:33" hidden="1" x14ac:dyDescent="0.2">
      <c r="A1272" s="4">
        <f>IF(B1272=1,3,IF(D1272=1,2,IF(F1272=1,1,0)))</f>
        <v>3</v>
      </c>
      <c r="B1272" s="4">
        <f>IF(C1272=$L1272,1,IF(C1272="","",0))</f>
        <v>1</v>
      </c>
      <c r="C1272" s="27" t="s">
        <v>1374</v>
      </c>
      <c r="D1272" s="4" t="str">
        <f>IF(E1272=$L1272,1,IF(E1272="","",0))</f>
        <v/>
      </c>
      <c r="E1272" s="14"/>
      <c r="F1272" s="4" t="str">
        <f>IF(G1272=$L1272,1,IF(G1272="","",0))</f>
        <v/>
      </c>
      <c r="G1272" s="14"/>
      <c r="H1272" s="6">
        <v>1276</v>
      </c>
      <c r="I1272" s="15" t="s">
        <v>3120</v>
      </c>
      <c r="J1272" s="6" t="s">
        <v>4393</v>
      </c>
      <c r="K1272" s="6"/>
      <c r="L1272" s="6" t="s">
        <v>1374</v>
      </c>
      <c r="M1272" s="6" t="s">
        <v>7383</v>
      </c>
      <c r="N1272" s="7">
        <f ca="1">RAND()</f>
        <v>0.99648933497864867</v>
      </c>
      <c r="O1272" s="8">
        <v>45207</v>
      </c>
      <c r="P1272" s="8">
        <v>45207</v>
      </c>
      <c r="Q1272" s="8">
        <v>45207</v>
      </c>
      <c r="R1272" s="8">
        <v>45207</v>
      </c>
      <c r="S1272" s="8">
        <v>45207</v>
      </c>
      <c r="T1272" s="8">
        <v>45207</v>
      </c>
      <c r="U1272" s="8">
        <v>45207</v>
      </c>
      <c r="V1272" s="10">
        <f>COUNTA(O1272:U1272)</f>
        <v>7</v>
      </c>
      <c r="W1272" s="11">
        <f>_xlfn.IFNA(INDEX(reading[[#This Row],[Memo 01]:[Memo 07]],MATCH(0,reading[[#This Row],[Memo 01]:[Memo 07]],-1)),"")</f>
        <v>45207</v>
      </c>
      <c r="X1272" s="11">
        <f ca="1">IFERROR(reading[[#This Row],[Previous]]+OFFSET(reading[[#Headers],[Memo 01]],-1,MATCH(0,reading[[#This Row],[Memo 01]:[Memo 07]],-1)-1),"")</f>
        <v>55207</v>
      </c>
      <c r="Y1272" s="10" t="str">
        <f ca="1">IF(reading[[#This Row],[Next]]&lt;&gt;"",IF(reading[[#This Row],[Next]]&gt;TODAY(),"OK",""),"")</f>
        <v>OK</v>
      </c>
      <c r="Z1272" s="13">
        <v>3</v>
      </c>
      <c r="AA1272" s="13"/>
      <c r="AB1272" s="13"/>
      <c r="AC1272" s="13"/>
      <c r="AD1272" s="13"/>
      <c r="AE1272" s="13"/>
      <c r="AF1272" s="13"/>
      <c r="AG1272" s="16">
        <f>IFERROR(SUMIF(reading[[#This Row],[1st]:[7th]],"&gt;0")/COUNTIF(reading[[#This Row],[1st]:[7th]],"&gt;0"),"")</f>
        <v>3</v>
      </c>
    </row>
    <row r="1273" spans="1:33" hidden="1" x14ac:dyDescent="0.2">
      <c r="A1273" s="4">
        <f>IF(B1273=1,3,IF(D1273=1,2,IF(F1273=1,1,0)))</f>
        <v>0</v>
      </c>
      <c r="B1273" s="4" t="str">
        <f>IF(C1273=$L1273,1,IF(C1273="","",0))</f>
        <v/>
      </c>
      <c r="C1273" s="42"/>
      <c r="D1273" s="4" t="str">
        <f>IF(E1273=$L1273,1,IF(E1273="","",0))</f>
        <v/>
      </c>
      <c r="E1273" s="43"/>
      <c r="F1273" s="4" t="str">
        <f>IF(G1273=$L1273,1,IF(G1273="","",0))</f>
        <v/>
      </c>
      <c r="G1273" s="14"/>
      <c r="H1273" s="6">
        <v>1889</v>
      </c>
      <c r="I1273" s="15" t="s">
        <v>3120</v>
      </c>
      <c r="J1273" s="6" t="s">
        <v>4991</v>
      </c>
      <c r="K1273" s="6"/>
      <c r="L1273" s="6" t="s">
        <v>1966</v>
      </c>
      <c r="M1273" s="6" t="s">
        <v>7995</v>
      </c>
      <c r="N1273" s="7">
        <f ca="1">RAND()</f>
        <v>0.37212426440872959</v>
      </c>
      <c r="O1273" s="8">
        <v>45212</v>
      </c>
      <c r="P1273" s="8">
        <v>45213</v>
      </c>
      <c r="Q1273" s="8">
        <v>45215</v>
      </c>
      <c r="R1273" s="8">
        <v>45219</v>
      </c>
      <c r="S1273" s="8">
        <v>45226</v>
      </c>
      <c r="T1273" s="8">
        <v>45253</v>
      </c>
      <c r="U1273" s="8">
        <v>45820</v>
      </c>
      <c r="V1273" s="10">
        <f>COUNTA(O1273:U1273)</f>
        <v>7</v>
      </c>
      <c r="W1273" s="11">
        <f>_xlfn.IFNA(INDEX(reading[[#This Row],[Memo 01]:[Memo 07]],MATCH(0,reading[[#This Row],[Memo 01]:[Memo 07]],-1)),"")</f>
        <v>45820</v>
      </c>
      <c r="X1273" s="11">
        <f ca="1">IFERROR(reading[[#This Row],[Previous]]+OFFSET(reading[[#Headers],[Memo 01]],-1,MATCH(0,reading[[#This Row],[Memo 01]:[Memo 07]],-1)-1),"")</f>
        <v>55820</v>
      </c>
      <c r="Y1273" s="10" t="str">
        <f ca="1">IF(reading[[#This Row],[Next]]&lt;&gt;"",IF(reading[[#This Row],[Next]]&gt;TODAY(),"OK",""),"")</f>
        <v>OK</v>
      </c>
      <c r="Z1273" s="13">
        <v>3</v>
      </c>
      <c r="AA1273" s="13">
        <v>3</v>
      </c>
      <c r="AB1273" s="13">
        <v>2</v>
      </c>
      <c r="AC1273" s="13">
        <v>3</v>
      </c>
      <c r="AD1273" s="13">
        <v>2</v>
      </c>
      <c r="AE1273" s="13">
        <v>1</v>
      </c>
      <c r="AF1273" s="13">
        <v>2</v>
      </c>
      <c r="AG1273" s="16">
        <f>IFERROR(SUMIF(reading[[#This Row],[1st]:[7th]],"&gt;0")/COUNTIF(reading[[#This Row],[1st]:[7th]],"&gt;0"),"")</f>
        <v>2.2857142857142856</v>
      </c>
    </row>
    <row r="1274" spans="1:33" hidden="1" x14ac:dyDescent="0.2">
      <c r="A1274" s="4">
        <f>IF(B1274=1,3,IF(D1274=1,2,IF(F1274=1,1,0)))</f>
        <v>0</v>
      </c>
      <c r="B1274" s="4" t="str">
        <f>IF(C1274=$L1274,1,IF(C1274="","",0))</f>
        <v/>
      </c>
      <c r="C1274" s="42"/>
      <c r="D1274" s="4" t="str">
        <f>IF(E1274=$L1274,1,IF(E1274="","",0))</f>
        <v/>
      </c>
      <c r="E1274" s="23"/>
      <c r="F1274" s="4" t="str">
        <f>IF(G1274=$L1274,1,IF(G1274="","",0))</f>
        <v/>
      </c>
      <c r="G1274" s="14"/>
      <c r="H1274" s="6">
        <v>1745</v>
      </c>
      <c r="I1274" s="15" t="s">
        <v>3120</v>
      </c>
      <c r="J1274" s="6" t="s">
        <v>4853</v>
      </c>
      <c r="K1274" s="6"/>
      <c r="L1274" s="6" t="s">
        <v>1825</v>
      </c>
      <c r="M1274" s="6" t="s">
        <v>7851</v>
      </c>
      <c r="N1274" s="7">
        <f ca="1">RAND()</f>
        <v>0.7282574752103389</v>
      </c>
      <c r="O1274" s="8">
        <v>45211</v>
      </c>
      <c r="P1274" s="8">
        <v>45212</v>
      </c>
      <c r="Q1274" s="8">
        <v>45214</v>
      </c>
      <c r="R1274" s="8">
        <v>45218</v>
      </c>
      <c r="S1274" s="8">
        <v>45225</v>
      </c>
      <c r="T1274" s="8">
        <v>45237</v>
      </c>
      <c r="U1274" s="8">
        <v>45816</v>
      </c>
      <c r="V1274" s="10">
        <f>COUNTA(O1274:U1274)</f>
        <v>7</v>
      </c>
      <c r="W1274" s="11">
        <f>_xlfn.IFNA(INDEX(reading[[#This Row],[Memo 01]:[Memo 07]],MATCH(0,reading[[#This Row],[Memo 01]:[Memo 07]],-1)),"")</f>
        <v>45816</v>
      </c>
      <c r="X1274" s="11">
        <f ca="1">IFERROR(reading[[#This Row],[Previous]]+OFFSET(reading[[#Headers],[Memo 01]],-1,MATCH(0,reading[[#This Row],[Memo 01]:[Memo 07]],-1)-1),"")</f>
        <v>55816</v>
      </c>
      <c r="Y1274" s="10" t="str">
        <f ca="1">IF(reading[[#This Row],[Next]]&lt;&gt;"",IF(reading[[#This Row],[Next]]&gt;TODAY(),"OK",""),"")</f>
        <v>OK</v>
      </c>
      <c r="Z1274" s="13">
        <v>3</v>
      </c>
      <c r="AA1274" s="13">
        <v>3</v>
      </c>
      <c r="AB1274" s="13">
        <v>3</v>
      </c>
      <c r="AC1274" s="13">
        <v>3</v>
      </c>
      <c r="AD1274" s="13">
        <v>3</v>
      </c>
      <c r="AE1274" s="13">
        <v>3</v>
      </c>
      <c r="AF1274" s="13">
        <v>2</v>
      </c>
      <c r="AG1274" s="16">
        <f>IFERROR(SUMIF(reading[[#This Row],[1st]:[7th]],"&gt;0")/COUNTIF(reading[[#This Row],[1st]:[7th]],"&gt;0"),"")</f>
        <v>2.8571428571428572</v>
      </c>
    </row>
    <row r="1275" spans="1:33" hidden="1" x14ac:dyDescent="0.2">
      <c r="A1275" s="4">
        <f>IF(B1275=1,3,IF(D1275=1,2,IF(F1275=1,1,0)))</f>
        <v>0</v>
      </c>
      <c r="B1275" s="4" t="str">
        <f>IF(C1275=$L1275,1,IF(C1275="","",0))</f>
        <v/>
      </c>
      <c r="C1275" s="42"/>
      <c r="D1275" s="4" t="str">
        <f>IF(E1275=$L1275,1,IF(E1275="","",0))</f>
        <v/>
      </c>
      <c r="E1275" s="23"/>
      <c r="F1275" s="4" t="str">
        <f>IF(G1275=$L1275,1,IF(G1275="","",0))</f>
        <v/>
      </c>
      <c r="G1275" s="14"/>
      <c r="H1275" s="6">
        <v>2217</v>
      </c>
      <c r="I1275" s="15" t="s">
        <v>3120</v>
      </c>
      <c r="J1275" s="6" t="s">
        <v>5303</v>
      </c>
      <c r="K1275" s="6"/>
      <c r="L1275" s="6" t="s">
        <v>2280</v>
      </c>
      <c r="M1275" s="6" t="s">
        <v>8323</v>
      </c>
      <c r="N1275" s="7">
        <f ca="1">RAND()</f>
        <v>0.24637305020423772</v>
      </c>
      <c r="O1275" s="8">
        <v>45215</v>
      </c>
      <c r="P1275" s="8">
        <v>45216</v>
      </c>
      <c r="Q1275" s="8">
        <v>45218</v>
      </c>
      <c r="R1275" s="8">
        <v>45222</v>
      </c>
      <c r="S1275" s="8">
        <v>45229</v>
      </c>
      <c r="T1275" s="8">
        <v>45820</v>
      </c>
      <c r="U1275" s="8"/>
      <c r="V1275" s="10">
        <f>COUNTA(O1275:U1275)</f>
        <v>6</v>
      </c>
      <c r="W1275" s="11">
        <f>_xlfn.IFNA(INDEX(reading[[#This Row],[Memo 01]:[Memo 07]],MATCH(0,reading[[#This Row],[Memo 01]:[Memo 07]],-1)),"")</f>
        <v>45820</v>
      </c>
      <c r="X1275" s="11">
        <f ca="1">IFERROR(reading[[#This Row],[Previous]]+OFFSET(reading[[#Headers],[Memo 01]],-1,MATCH(0,reading[[#This Row],[Memo 01]:[Memo 07]],-1)-1),"")</f>
        <v>45840</v>
      </c>
      <c r="Y1275" s="10" t="str">
        <f ca="1">IF(reading[[#This Row],[Next]]&lt;&gt;"",IF(reading[[#This Row],[Next]]&gt;TODAY(),"OK",""),"")</f>
        <v>OK</v>
      </c>
      <c r="Z1275" s="13">
        <v>3</v>
      </c>
      <c r="AA1275" s="13">
        <v>3</v>
      </c>
      <c r="AB1275" s="13">
        <v>3</v>
      </c>
      <c r="AC1275" s="13">
        <v>3</v>
      </c>
      <c r="AD1275" s="13">
        <v>3</v>
      </c>
      <c r="AE1275" s="13">
        <v>2</v>
      </c>
      <c r="AF1275" s="13"/>
      <c r="AG1275" s="16">
        <f>IFERROR(SUMIF(reading[[#This Row],[1st]:[7th]],"&gt;0")/COUNTIF(reading[[#This Row],[1st]:[7th]],"&gt;0"),"")</f>
        <v>2.8333333333333335</v>
      </c>
    </row>
    <row r="1276" spans="1:33" hidden="1" x14ac:dyDescent="0.2">
      <c r="A1276" s="4">
        <f>IF(B1276=1,3,IF(D1276=1,2,IF(F1276=1,1,0)))</f>
        <v>3</v>
      </c>
      <c r="B1276" s="4">
        <f>IF(C1276=$L1276,1,IF(C1276="","",0))</f>
        <v>1</v>
      </c>
      <c r="C1276" s="27" t="s">
        <v>1378</v>
      </c>
      <c r="D1276" s="4" t="str">
        <f>IF(E1276=$L1276,1,IF(E1276="","",0))</f>
        <v/>
      </c>
      <c r="E1276" s="14"/>
      <c r="F1276" s="4" t="str">
        <f>IF(G1276=$L1276,1,IF(G1276="","",0))</f>
        <v/>
      </c>
      <c r="G1276" s="14"/>
      <c r="H1276" s="6">
        <v>1280</v>
      </c>
      <c r="I1276" s="15" t="s">
        <v>3120</v>
      </c>
      <c r="J1276" s="6" t="s">
        <v>4397</v>
      </c>
      <c r="K1276" s="6"/>
      <c r="L1276" s="6" t="s">
        <v>1378</v>
      </c>
      <c r="M1276" s="6" t="s">
        <v>7387</v>
      </c>
      <c r="N1276" s="7">
        <f ca="1">RAND()</f>
        <v>0.40125362198948367</v>
      </c>
      <c r="O1276" s="8">
        <v>45207</v>
      </c>
      <c r="P1276" s="8">
        <v>45207</v>
      </c>
      <c r="Q1276" s="8">
        <v>45207</v>
      </c>
      <c r="R1276" s="8">
        <v>45207</v>
      </c>
      <c r="S1276" s="8">
        <v>45207</v>
      </c>
      <c r="T1276" s="8">
        <v>45207</v>
      </c>
      <c r="U1276" s="8">
        <v>45207</v>
      </c>
      <c r="V1276" s="10">
        <f>COUNTA(O1276:U1276)</f>
        <v>7</v>
      </c>
      <c r="W1276" s="11">
        <f>_xlfn.IFNA(INDEX(reading[[#This Row],[Memo 01]:[Memo 07]],MATCH(0,reading[[#This Row],[Memo 01]:[Memo 07]],-1)),"")</f>
        <v>45207</v>
      </c>
      <c r="X1276" s="11">
        <f ca="1">IFERROR(reading[[#This Row],[Previous]]+OFFSET(reading[[#Headers],[Memo 01]],-1,MATCH(0,reading[[#This Row],[Memo 01]:[Memo 07]],-1)-1),"")</f>
        <v>55207</v>
      </c>
      <c r="Y1276" s="10" t="str">
        <f ca="1">IF(reading[[#This Row],[Next]]&lt;&gt;"",IF(reading[[#This Row],[Next]]&gt;TODAY(),"OK",""),"")</f>
        <v>OK</v>
      </c>
      <c r="Z1276" s="13">
        <v>3</v>
      </c>
      <c r="AA1276" s="13"/>
      <c r="AB1276" s="13"/>
      <c r="AC1276" s="13"/>
      <c r="AD1276" s="13"/>
      <c r="AE1276" s="13"/>
      <c r="AF1276" s="13"/>
      <c r="AG1276" s="16">
        <f>IFERROR(SUMIF(reading[[#This Row],[1st]:[7th]],"&gt;0")/COUNTIF(reading[[#This Row],[1st]:[7th]],"&gt;0"),"")</f>
        <v>3</v>
      </c>
    </row>
    <row r="1277" spans="1:33" hidden="1" x14ac:dyDescent="0.2">
      <c r="A1277" s="4">
        <f>IF(B1277=1,3,IF(D1277=1,2,IF(F1277=1,1,0)))</f>
        <v>0</v>
      </c>
      <c r="B1277" s="4" t="str">
        <f>IF(C1277=$L1277,1,IF(C1277="","",0))</f>
        <v/>
      </c>
      <c r="C1277" s="42"/>
      <c r="D1277" s="4" t="str">
        <f>IF(E1277=$L1277,1,IF(E1277="","",0))</f>
        <v/>
      </c>
      <c r="E1277" s="14"/>
      <c r="F1277" s="4" t="str">
        <f>IF(G1277=$L1277,1,IF(G1277="","",0))</f>
        <v/>
      </c>
      <c r="G1277" s="14"/>
      <c r="H1277" s="6">
        <v>2887</v>
      </c>
      <c r="I1277" s="15" t="s">
        <v>3120</v>
      </c>
      <c r="J1277" s="6" t="s">
        <v>5924</v>
      </c>
      <c r="K1277" s="6"/>
      <c r="L1277" s="6" t="s">
        <v>2918</v>
      </c>
      <c r="M1277" s="6" t="s">
        <v>8991</v>
      </c>
      <c r="N1277" s="7">
        <f ca="1">RAND()</f>
        <v>0.8902015536066431</v>
      </c>
      <c r="O1277" s="8">
        <v>45222</v>
      </c>
      <c r="P1277" s="8">
        <v>45223</v>
      </c>
      <c r="Q1277" s="8">
        <v>45225</v>
      </c>
      <c r="R1277" s="8">
        <v>45229</v>
      </c>
      <c r="S1277" s="8">
        <v>45236</v>
      </c>
      <c r="T1277" s="8">
        <v>45824</v>
      </c>
      <c r="U1277" s="8"/>
      <c r="V1277" s="10">
        <f>COUNTA(O1277:U1277)</f>
        <v>6</v>
      </c>
      <c r="W1277" s="11">
        <f>_xlfn.IFNA(INDEX(reading[[#This Row],[Memo 01]:[Memo 07]],MATCH(0,reading[[#This Row],[Memo 01]:[Memo 07]],-1)),"")</f>
        <v>45824</v>
      </c>
      <c r="X1277" s="11">
        <f ca="1">IFERROR(reading[[#This Row],[Previous]]+OFFSET(reading[[#Headers],[Memo 01]],-1,MATCH(0,reading[[#This Row],[Memo 01]:[Memo 07]],-1)-1),"")</f>
        <v>45844</v>
      </c>
      <c r="Y1277" s="10" t="str">
        <f ca="1">IF(reading[[#This Row],[Next]]&lt;&gt;"",IF(reading[[#This Row],[Next]]&gt;TODAY(),"OK",""),"")</f>
        <v>OK</v>
      </c>
      <c r="Z1277" s="13">
        <v>3</v>
      </c>
      <c r="AA1277" s="13">
        <v>3</v>
      </c>
      <c r="AB1277" s="13">
        <v>3</v>
      </c>
      <c r="AC1277" s="13">
        <v>3</v>
      </c>
      <c r="AD1277" s="13">
        <v>2</v>
      </c>
      <c r="AE1277" s="13">
        <v>3</v>
      </c>
      <c r="AF1277" s="13"/>
      <c r="AG1277" s="16">
        <f>IFERROR(SUMIF(reading[[#This Row],[1st]:[7th]],"&gt;0")/COUNTIF(reading[[#This Row],[1st]:[7th]],"&gt;0"),"")</f>
        <v>2.8333333333333335</v>
      </c>
    </row>
    <row r="1278" spans="1:33" hidden="1" x14ac:dyDescent="0.2">
      <c r="A1278" s="4">
        <f>IF(B1278=1,3,IF(D1278=1,2,IF(F1278=1,1,0)))</f>
        <v>0</v>
      </c>
      <c r="B1278" s="4" t="str">
        <f>IF(C1278=$L1278,1,IF(C1278="","",0))</f>
        <v/>
      </c>
      <c r="C1278" s="42"/>
      <c r="D1278" s="4" t="str">
        <f>IF(E1278=$L1278,1,IF(E1278="","",0))</f>
        <v/>
      </c>
      <c r="E1278" s="23"/>
      <c r="F1278" s="4" t="str">
        <f>IF(G1278=$L1278,1,IF(G1278="","",0))</f>
        <v/>
      </c>
      <c r="G1278" s="14"/>
      <c r="H1278" s="6">
        <v>1528</v>
      </c>
      <c r="I1278" s="15" t="s">
        <v>3120</v>
      </c>
      <c r="J1278" s="6" t="s">
        <v>4641</v>
      </c>
      <c r="K1278" s="6"/>
      <c r="L1278" s="6" t="s">
        <v>1613</v>
      </c>
      <c r="M1278" s="6" t="s">
        <v>7635</v>
      </c>
      <c r="N1278" s="7">
        <f ca="1">RAND()</f>
        <v>0.17737349335217323</v>
      </c>
      <c r="O1278" s="8">
        <v>45209</v>
      </c>
      <c r="P1278" s="8">
        <v>45210</v>
      </c>
      <c r="Q1278" s="8">
        <v>45212</v>
      </c>
      <c r="R1278" s="8">
        <v>45216</v>
      </c>
      <c r="S1278" s="8">
        <v>45223</v>
      </c>
      <c r="T1278" s="8">
        <v>45235</v>
      </c>
      <c r="U1278" s="8">
        <v>45820</v>
      </c>
      <c r="V1278" s="10">
        <f>COUNTA(O1278:U1278)</f>
        <v>7</v>
      </c>
      <c r="W1278" s="11">
        <f>_xlfn.IFNA(INDEX(reading[[#This Row],[Memo 01]:[Memo 07]],MATCH(0,reading[[#This Row],[Memo 01]:[Memo 07]],-1)),"")</f>
        <v>45820</v>
      </c>
      <c r="X1278" s="11">
        <f ca="1">IFERROR(reading[[#This Row],[Previous]]+OFFSET(reading[[#Headers],[Memo 01]],-1,MATCH(0,reading[[#This Row],[Memo 01]:[Memo 07]],-1)-1),"")</f>
        <v>55820</v>
      </c>
      <c r="Y1278" s="10" t="str">
        <f ca="1">IF(reading[[#This Row],[Next]]&lt;&gt;"",IF(reading[[#This Row],[Next]]&gt;TODAY(),"OK",""),"")</f>
        <v>OK</v>
      </c>
      <c r="Z1278" s="13">
        <v>3</v>
      </c>
      <c r="AA1278" s="13">
        <v>3</v>
      </c>
      <c r="AB1278" s="13">
        <v>3</v>
      </c>
      <c r="AC1278" s="13">
        <v>3</v>
      </c>
      <c r="AD1278" s="13">
        <v>3</v>
      </c>
      <c r="AE1278" s="13">
        <v>3</v>
      </c>
      <c r="AF1278" s="13">
        <v>2</v>
      </c>
      <c r="AG1278" s="16">
        <f>IFERROR(SUMIF(reading[[#This Row],[1st]:[7th]],"&gt;0")/COUNTIF(reading[[#This Row],[1st]:[7th]],"&gt;0"),"")</f>
        <v>2.8571428571428572</v>
      </c>
    </row>
    <row r="1279" spans="1:33" hidden="1" x14ac:dyDescent="0.2">
      <c r="A1279" s="4">
        <f>IF(B1279=1,3,IF(D1279=1,2,IF(F1279=1,1,0)))</f>
        <v>0</v>
      </c>
      <c r="B1279" s="4" t="str">
        <f>IF(C1279=$L1279,1,IF(C1279="","",0))</f>
        <v/>
      </c>
      <c r="C1279" s="42"/>
      <c r="D1279" s="4" t="str">
        <f>IF(E1279=$L1279,1,IF(E1279="","",0))</f>
        <v/>
      </c>
      <c r="E1279" s="43"/>
      <c r="F1279" s="4" t="str">
        <f>IF(G1279=$L1279,1,IF(G1279="","",0))</f>
        <v/>
      </c>
      <c r="G1279" s="14"/>
      <c r="H1279" s="6">
        <v>2290</v>
      </c>
      <c r="I1279" s="15" t="s">
        <v>3120</v>
      </c>
      <c r="J1279" s="6" t="s">
        <v>5371</v>
      </c>
      <c r="K1279" s="6"/>
      <c r="L1279" s="6" t="s">
        <v>2349</v>
      </c>
      <c r="M1279" s="6" t="s">
        <v>8395</v>
      </c>
      <c r="N1279" s="7">
        <f ca="1">RAND()</f>
        <v>0.27947023846194397</v>
      </c>
      <c r="O1279" s="8">
        <v>45216</v>
      </c>
      <c r="P1279" s="8">
        <v>45217</v>
      </c>
      <c r="Q1279" s="8">
        <v>45219</v>
      </c>
      <c r="R1279" s="8">
        <v>45223</v>
      </c>
      <c r="S1279" s="8">
        <v>45230</v>
      </c>
      <c r="T1279" s="8">
        <v>45820</v>
      </c>
      <c r="U1279" s="8"/>
      <c r="V1279" s="10">
        <f>COUNTA(O1279:U1279)</f>
        <v>6</v>
      </c>
      <c r="W1279" s="11">
        <f>_xlfn.IFNA(INDEX(reading[[#This Row],[Memo 01]:[Memo 07]],MATCH(0,reading[[#This Row],[Memo 01]:[Memo 07]],-1)),"")</f>
        <v>45820</v>
      </c>
      <c r="X1279" s="11">
        <f ca="1">IFERROR(reading[[#This Row],[Previous]]+OFFSET(reading[[#Headers],[Memo 01]],-1,MATCH(0,reading[[#This Row],[Memo 01]:[Memo 07]],-1)-1),"")</f>
        <v>45840</v>
      </c>
      <c r="Y1279" s="10" t="str">
        <f ca="1">IF(reading[[#This Row],[Next]]&lt;&gt;"",IF(reading[[#This Row],[Next]]&gt;TODAY(),"OK",""),"")</f>
        <v>OK</v>
      </c>
      <c r="Z1279" s="13">
        <v>3</v>
      </c>
      <c r="AA1279" s="13">
        <v>3</v>
      </c>
      <c r="AB1279" s="13">
        <v>2</v>
      </c>
      <c r="AC1279" s="13">
        <v>3</v>
      </c>
      <c r="AD1279" s="13">
        <v>3</v>
      </c>
      <c r="AE1279" s="13">
        <v>2</v>
      </c>
      <c r="AF1279" s="13"/>
      <c r="AG1279" s="16">
        <f>IFERROR(SUMIF(reading[[#This Row],[1st]:[7th]],"&gt;0")/COUNTIF(reading[[#This Row],[1st]:[7th]],"&gt;0"),"")</f>
        <v>2.6666666666666665</v>
      </c>
    </row>
    <row r="1280" spans="1:33" hidden="1" x14ac:dyDescent="0.2">
      <c r="A1280" s="4">
        <f>IF(B1280=1,3,IF(D1280=1,2,IF(F1280=1,1,0)))</f>
        <v>0</v>
      </c>
      <c r="B1280" s="4" t="str">
        <f>IF(C1280=$L1280,1,IF(C1280="","",0))</f>
        <v/>
      </c>
      <c r="C1280" s="42"/>
      <c r="D1280" s="4" t="str">
        <f>IF(E1280=$L1280,1,IF(E1280="","",0))</f>
        <v/>
      </c>
      <c r="E1280" s="23"/>
      <c r="F1280" s="4" t="str">
        <f>IF(G1280=$L1280,1,IF(G1280="","",0))</f>
        <v/>
      </c>
      <c r="G1280" s="14"/>
      <c r="H1280" s="6">
        <v>2659</v>
      </c>
      <c r="I1280" s="15" t="s">
        <v>3120</v>
      </c>
      <c r="J1280" s="6" t="s">
        <v>5712</v>
      </c>
      <c r="K1280" s="6"/>
      <c r="L1280" s="6" t="s">
        <v>2698</v>
      </c>
      <c r="M1280" s="6" t="s">
        <v>8764</v>
      </c>
      <c r="N1280" s="7">
        <f ca="1">RAND()</f>
        <v>0.2233643995378668</v>
      </c>
      <c r="O1280" s="8">
        <v>45220</v>
      </c>
      <c r="P1280" s="8">
        <v>45221</v>
      </c>
      <c r="Q1280" s="8">
        <v>45223</v>
      </c>
      <c r="R1280" s="8">
        <v>45227</v>
      </c>
      <c r="S1280" s="8">
        <v>45234</v>
      </c>
      <c r="T1280" s="8">
        <v>45825</v>
      </c>
      <c r="U1280" s="8"/>
      <c r="V1280" s="10">
        <f>COUNTA(O1280:U1280)</f>
        <v>6</v>
      </c>
      <c r="W1280" s="11">
        <f>_xlfn.IFNA(INDEX(reading[[#This Row],[Memo 01]:[Memo 07]],MATCH(0,reading[[#This Row],[Memo 01]:[Memo 07]],-1)),"")</f>
        <v>45825</v>
      </c>
      <c r="X1280" s="11">
        <f ca="1">IFERROR(reading[[#This Row],[Previous]]+OFFSET(reading[[#Headers],[Memo 01]],-1,MATCH(0,reading[[#This Row],[Memo 01]:[Memo 07]],-1)-1),"")</f>
        <v>45845</v>
      </c>
      <c r="Y1280" s="10" t="str">
        <f ca="1">IF(reading[[#This Row],[Next]]&lt;&gt;"",IF(reading[[#This Row],[Next]]&gt;TODAY(),"OK",""),"")</f>
        <v>OK</v>
      </c>
      <c r="Z1280" s="13">
        <v>3</v>
      </c>
      <c r="AA1280" s="13">
        <v>3</v>
      </c>
      <c r="AB1280" s="13">
        <v>3</v>
      </c>
      <c r="AC1280" s="13">
        <v>3</v>
      </c>
      <c r="AD1280" s="13">
        <v>3</v>
      </c>
      <c r="AE1280" s="13">
        <v>2</v>
      </c>
      <c r="AF1280" s="13"/>
      <c r="AG1280" s="16">
        <f>IFERROR(SUMIF(reading[[#This Row],[1st]:[7th]],"&gt;0")/COUNTIF(reading[[#This Row],[1st]:[7th]],"&gt;0"),"")</f>
        <v>2.8333333333333335</v>
      </c>
    </row>
    <row r="1281" spans="1:33" hidden="1" x14ac:dyDescent="0.2">
      <c r="A1281" s="4">
        <f>IF(B1281=1,3,IF(D1281=1,2,IF(F1281=1,1,0)))</f>
        <v>0</v>
      </c>
      <c r="B1281" s="4" t="str">
        <f>IF(C1281=$L1281,1,IF(C1281="","",0))</f>
        <v/>
      </c>
      <c r="C1281" s="42"/>
      <c r="D1281" s="4" t="str">
        <f>IF(E1281=$L1281,1,IF(E1281="","",0))</f>
        <v/>
      </c>
      <c r="E1281" s="14"/>
      <c r="F1281" s="4" t="str">
        <f>IF(G1281=$L1281,1,IF(G1281="","",0))</f>
        <v/>
      </c>
      <c r="G1281" s="14"/>
      <c r="H1281" s="6">
        <v>988</v>
      </c>
      <c r="I1281" s="15" t="s">
        <v>3120</v>
      </c>
      <c r="J1281" s="6" t="s">
        <v>4117</v>
      </c>
      <c r="K1281" s="6"/>
      <c r="L1281" s="6" t="s">
        <v>1098</v>
      </c>
      <c r="M1281" s="6" t="s">
        <v>7096</v>
      </c>
      <c r="N1281" s="7">
        <f ca="1">RAND()</f>
        <v>0.91895078138938335</v>
      </c>
      <c r="O1281" s="8">
        <v>45204</v>
      </c>
      <c r="P1281" s="8">
        <v>45205</v>
      </c>
      <c r="Q1281" s="8">
        <v>45207</v>
      </c>
      <c r="R1281" s="8">
        <v>45211</v>
      </c>
      <c r="S1281" s="8">
        <v>45218</v>
      </c>
      <c r="T1281" s="8">
        <v>45230</v>
      </c>
      <c r="U1281" s="8">
        <v>45823</v>
      </c>
      <c r="V1281" s="10">
        <f>COUNTA(O1281:U1281)</f>
        <v>7</v>
      </c>
      <c r="W1281" s="11">
        <f>_xlfn.IFNA(INDEX(reading[[#This Row],[Memo 01]:[Memo 07]],MATCH(0,reading[[#This Row],[Memo 01]:[Memo 07]],-1)),"")</f>
        <v>45823</v>
      </c>
      <c r="X1281" s="11">
        <f ca="1">IFERROR(reading[[#This Row],[Previous]]+OFFSET(reading[[#Headers],[Memo 01]],-1,MATCH(0,reading[[#This Row],[Memo 01]:[Memo 07]],-1)-1),"")</f>
        <v>55823</v>
      </c>
      <c r="Y1281" s="10" t="str">
        <f ca="1">IF(reading[[#This Row],[Next]]&lt;&gt;"",IF(reading[[#This Row],[Next]]&gt;TODAY(),"OK",""),"")</f>
        <v>OK</v>
      </c>
      <c r="Z1281" s="13">
        <v>3</v>
      </c>
      <c r="AA1281" s="13">
        <v>3</v>
      </c>
      <c r="AB1281" s="13">
        <v>3</v>
      </c>
      <c r="AC1281" s="13">
        <v>3</v>
      </c>
      <c r="AD1281" s="13">
        <v>3</v>
      </c>
      <c r="AE1281" s="13">
        <v>3</v>
      </c>
      <c r="AF1281" s="13">
        <v>3</v>
      </c>
      <c r="AG1281" s="16">
        <f>IFERROR(SUMIF(reading[[#This Row],[1st]:[7th]],"&gt;0")/COUNTIF(reading[[#This Row],[1st]:[7th]],"&gt;0"),"")</f>
        <v>3</v>
      </c>
    </row>
    <row r="1282" spans="1:33" hidden="1" x14ac:dyDescent="0.2">
      <c r="A1282" s="4">
        <f>IF(B1282=1,3,IF(D1282=1,2,IF(F1282=1,1,0)))</f>
        <v>0</v>
      </c>
      <c r="B1282" s="4" t="str">
        <f>IF(C1282=$L1282,1,IF(C1282="","",0))</f>
        <v/>
      </c>
      <c r="C1282" s="42"/>
      <c r="D1282" s="4" t="str">
        <f>IF(E1282=$L1282,1,IF(E1282="","",0))</f>
        <v/>
      </c>
      <c r="E1282" s="23"/>
      <c r="F1282" s="4" t="str">
        <f>IF(G1282=$L1282,1,IF(G1282="","",0))</f>
        <v/>
      </c>
      <c r="G1282" s="14"/>
      <c r="H1282" s="6">
        <v>1461</v>
      </c>
      <c r="I1282" s="15" t="s">
        <v>3120</v>
      </c>
      <c r="J1282" s="6" t="s">
        <v>4575</v>
      </c>
      <c r="K1282" s="6"/>
      <c r="L1282" s="6" t="s">
        <v>1548</v>
      </c>
      <c r="M1282" s="6" t="s">
        <v>7568</v>
      </c>
      <c r="N1282" s="7">
        <f ca="1">RAND()</f>
        <v>0.43206748102559622</v>
      </c>
      <c r="O1282" s="8">
        <v>45208</v>
      </c>
      <c r="P1282" s="8">
        <v>45209</v>
      </c>
      <c r="Q1282" s="8">
        <v>45212</v>
      </c>
      <c r="R1282" s="8">
        <v>45216</v>
      </c>
      <c r="S1282" s="8">
        <v>45223</v>
      </c>
      <c r="T1282" s="8">
        <v>45235</v>
      </c>
      <c r="U1282" s="8">
        <v>45816</v>
      </c>
      <c r="V1282" s="10">
        <f>COUNTA(O1282:U1282)</f>
        <v>7</v>
      </c>
      <c r="W1282" s="11">
        <f>_xlfn.IFNA(INDEX(reading[[#This Row],[Memo 01]:[Memo 07]],MATCH(0,reading[[#This Row],[Memo 01]:[Memo 07]],-1)),"")</f>
        <v>45816</v>
      </c>
      <c r="X1282" s="11">
        <f ca="1">IFERROR(reading[[#This Row],[Previous]]+OFFSET(reading[[#Headers],[Memo 01]],-1,MATCH(0,reading[[#This Row],[Memo 01]:[Memo 07]],-1)-1),"")</f>
        <v>55816</v>
      </c>
      <c r="Y1282" s="10" t="str">
        <f ca="1">IF(reading[[#This Row],[Next]]&lt;&gt;"",IF(reading[[#This Row],[Next]]&gt;TODAY(),"OK",""),"")</f>
        <v>OK</v>
      </c>
      <c r="Z1282" s="13">
        <v>3</v>
      </c>
      <c r="AA1282" s="13">
        <v>3</v>
      </c>
      <c r="AB1282" s="13">
        <v>2</v>
      </c>
      <c r="AC1282" s="13">
        <v>3</v>
      </c>
      <c r="AD1282" s="13">
        <v>3</v>
      </c>
      <c r="AE1282" s="13">
        <v>3</v>
      </c>
      <c r="AF1282" s="13">
        <v>2</v>
      </c>
      <c r="AG1282" s="16">
        <f>IFERROR(SUMIF(reading[[#This Row],[1st]:[7th]],"&gt;0")/COUNTIF(reading[[#This Row],[1st]:[7th]],"&gt;0"),"")</f>
        <v>2.7142857142857144</v>
      </c>
    </row>
    <row r="1283" spans="1:33" hidden="1" x14ac:dyDescent="0.2">
      <c r="A1283" s="4">
        <f>IF(B1283=1,3,IF(D1283=1,2,IF(F1283=1,1,0)))</f>
        <v>3</v>
      </c>
      <c r="B1283" s="4">
        <f>IF(C1283=$L1283,1,IF(C1283="","",0))</f>
        <v>1</v>
      </c>
      <c r="C1283" s="27" t="s">
        <v>1385</v>
      </c>
      <c r="D1283" s="4" t="str">
        <f>IF(E1283=$L1283,1,IF(E1283="","",0))</f>
        <v/>
      </c>
      <c r="E1283" s="14"/>
      <c r="F1283" s="4" t="str">
        <f>IF(G1283=$L1283,1,IF(G1283="","",0))</f>
        <v/>
      </c>
      <c r="G1283" s="14"/>
      <c r="H1283" s="6">
        <v>1287</v>
      </c>
      <c r="I1283" s="15" t="s">
        <v>3120</v>
      </c>
      <c r="J1283" s="6" t="s">
        <v>4404</v>
      </c>
      <c r="K1283" s="6"/>
      <c r="L1283" s="6" t="s">
        <v>1385</v>
      </c>
      <c r="M1283" s="6" t="s">
        <v>7394</v>
      </c>
      <c r="N1283" s="7">
        <f ca="1">RAND()</f>
        <v>0.89706856339249752</v>
      </c>
      <c r="O1283" s="8">
        <v>45207</v>
      </c>
      <c r="P1283" s="8">
        <v>45207</v>
      </c>
      <c r="Q1283" s="8">
        <v>45207</v>
      </c>
      <c r="R1283" s="8">
        <v>45207</v>
      </c>
      <c r="S1283" s="8">
        <v>45207</v>
      </c>
      <c r="T1283" s="8">
        <v>45207</v>
      </c>
      <c r="U1283" s="8">
        <v>45207</v>
      </c>
      <c r="V1283" s="10">
        <f>COUNTA(O1283:U1283)</f>
        <v>7</v>
      </c>
      <c r="W1283" s="11">
        <f>_xlfn.IFNA(INDEX(reading[[#This Row],[Memo 01]:[Memo 07]],MATCH(0,reading[[#This Row],[Memo 01]:[Memo 07]],-1)),"")</f>
        <v>45207</v>
      </c>
      <c r="X1283" s="11">
        <f ca="1">IFERROR(reading[[#This Row],[Previous]]+OFFSET(reading[[#Headers],[Memo 01]],-1,MATCH(0,reading[[#This Row],[Memo 01]:[Memo 07]],-1)-1),"")</f>
        <v>55207</v>
      </c>
      <c r="Y1283" s="10" t="str">
        <f ca="1">IF(reading[[#This Row],[Next]]&lt;&gt;"",IF(reading[[#This Row],[Next]]&gt;TODAY(),"OK",""),"")</f>
        <v>OK</v>
      </c>
      <c r="Z1283" s="13">
        <v>3</v>
      </c>
      <c r="AA1283" s="13"/>
      <c r="AB1283" s="13"/>
      <c r="AC1283" s="13"/>
      <c r="AD1283" s="13"/>
      <c r="AE1283" s="13"/>
      <c r="AF1283" s="13"/>
      <c r="AG1283" s="16">
        <f>IFERROR(SUMIF(reading[[#This Row],[1st]:[7th]],"&gt;0")/COUNTIF(reading[[#This Row],[1st]:[7th]],"&gt;0"),"")</f>
        <v>3</v>
      </c>
    </row>
    <row r="1284" spans="1:33" hidden="1" x14ac:dyDescent="0.2">
      <c r="A1284" s="4">
        <f>IF(B1284=1,3,IF(D1284=1,2,IF(F1284=1,1,0)))</f>
        <v>3</v>
      </c>
      <c r="B1284" s="4">
        <f>IF(C1284=$L1284,1,IF(C1284="","",0))</f>
        <v>1</v>
      </c>
      <c r="C1284" s="28" t="s">
        <v>1386</v>
      </c>
      <c r="D1284" s="4" t="str">
        <f>IF(E1284=$L1284,1,IF(E1284="","",0))</f>
        <v/>
      </c>
      <c r="E1284" s="14"/>
      <c r="F1284" s="4" t="str">
        <f>IF(G1284=$L1284,1,IF(G1284="","",0))</f>
        <v/>
      </c>
      <c r="G1284" s="14"/>
      <c r="H1284" s="6">
        <v>1288</v>
      </c>
      <c r="I1284" s="15" t="s">
        <v>3120</v>
      </c>
      <c r="J1284" s="6" t="s">
        <v>4405</v>
      </c>
      <c r="K1284" s="6"/>
      <c r="L1284" s="6" t="s">
        <v>1386</v>
      </c>
      <c r="M1284" s="6" t="s">
        <v>7395</v>
      </c>
      <c r="N1284" s="7">
        <f ca="1">RAND()</f>
        <v>0.1685275605957508</v>
      </c>
      <c r="O1284" s="8">
        <v>45207</v>
      </c>
      <c r="P1284" s="8">
        <v>45207</v>
      </c>
      <c r="Q1284" s="8">
        <v>45207</v>
      </c>
      <c r="R1284" s="8">
        <v>45207</v>
      </c>
      <c r="S1284" s="8">
        <v>45207</v>
      </c>
      <c r="T1284" s="8">
        <v>45207</v>
      </c>
      <c r="U1284" s="8">
        <v>45207</v>
      </c>
      <c r="V1284" s="10">
        <f>COUNTA(O1284:U1284)</f>
        <v>7</v>
      </c>
      <c r="W1284" s="11">
        <f>_xlfn.IFNA(INDEX(reading[[#This Row],[Memo 01]:[Memo 07]],MATCH(0,reading[[#This Row],[Memo 01]:[Memo 07]],-1)),"")</f>
        <v>45207</v>
      </c>
      <c r="X1284" s="11">
        <f ca="1">IFERROR(reading[[#This Row],[Previous]]+OFFSET(reading[[#Headers],[Memo 01]],-1,MATCH(0,reading[[#This Row],[Memo 01]:[Memo 07]],-1)-1),"")</f>
        <v>55207</v>
      </c>
      <c r="Y1284" s="10" t="str">
        <f ca="1">IF(reading[[#This Row],[Next]]&lt;&gt;"",IF(reading[[#This Row],[Next]]&gt;TODAY(),"OK",""),"")</f>
        <v>OK</v>
      </c>
      <c r="Z1284" s="13">
        <v>3</v>
      </c>
      <c r="AA1284" s="13"/>
      <c r="AB1284" s="13"/>
      <c r="AC1284" s="13"/>
      <c r="AD1284" s="13"/>
      <c r="AE1284" s="13"/>
      <c r="AF1284" s="13"/>
      <c r="AG1284" s="16">
        <f>IFERROR(SUMIF(reading[[#This Row],[1st]:[7th]],"&gt;0")/COUNTIF(reading[[#This Row],[1st]:[7th]],"&gt;0"),"")</f>
        <v>3</v>
      </c>
    </row>
    <row r="1285" spans="1:33" hidden="1" x14ac:dyDescent="0.2">
      <c r="A1285" s="4">
        <f>IF(B1285=1,3,IF(D1285=1,2,IF(F1285=1,1,0)))</f>
        <v>3</v>
      </c>
      <c r="B1285" s="4">
        <f>IF(C1285=$L1285,1,IF(C1285="","",0))</f>
        <v>1</v>
      </c>
      <c r="C1285" s="28" t="s">
        <v>1387</v>
      </c>
      <c r="D1285" s="4" t="str">
        <f>IF(E1285=$L1285,1,IF(E1285="","",0))</f>
        <v/>
      </c>
      <c r="E1285" s="14"/>
      <c r="F1285" s="4" t="str">
        <f>IF(G1285=$L1285,1,IF(G1285="","",0))</f>
        <v/>
      </c>
      <c r="G1285" s="14"/>
      <c r="H1285" s="6">
        <v>1289</v>
      </c>
      <c r="I1285" s="15" t="s">
        <v>3120</v>
      </c>
      <c r="J1285" s="6" t="s">
        <v>4406</v>
      </c>
      <c r="K1285" s="6"/>
      <c r="L1285" s="6" t="s">
        <v>1387</v>
      </c>
      <c r="M1285" s="6" t="s">
        <v>7396</v>
      </c>
      <c r="N1285" s="7">
        <f ca="1">RAND()</f>
        <v>0.65849648913713199</v>
      </c>
      <c r="O1285" s="8">
        <v>45207</v>
      </c>
      <c r="P1285" s="8">
        <v>45207</v>
      </c>
      <c r="Q1285" s="8">
        <v>45207</v>
      </c>
      <c r="R1285" s="8">
        <v>45207</v>
      </c>
      <c r="S1285" s="8">
        <v>45207</v>
      </c>
      <c r="T1285" s="8">
        <v>45207</v>
      </c>
      <c r="U1285" s="8">
        <v>45207</v>
      </c>
      <c r="V1285" s="10">
        <f>COUNTA(O1285:U1285)</f>
        <v>7</v>
      </c>
      <c r="W1285" s="11">
        <f>_xlfn.IFNA(INDEX(reading[[#This Row],[Memo 01]:[Memo 07]],MATCH(0,reading[[#This Row],[Memo 01]:[Memo 07]],-1)),"")</f>
        <v>45207</v>
      </c>
      <c r="X1285" s="11">
        <f ca="1">IFERROR(reading[[#This Row],[Previous]]+OFFSET(reading[[#Headers],[Memo 01]],-1,MATCH(0,reading[[#This Row],[Memo 01]:[Memo 07]],-1)-1),"")</f>
        <v>55207</v>
      </c>
      <c r="Y1285" s="10" t="str">
        <f ca="1">IF(reading[[#This Row],[Next]]&lt;&gt;"",IF(reading[[#This Row],[Next]]&gt;TODAY(),"OK",""),"")</f>
        <v>OK</v>
      </c>
      <c r="Z1285" s="13">
        <v>3</v>
      </c>
      <c r="AA1285" s="13"/>
      <c r="AB1285" s="13"/>
      <c r="AC1285" s="13"/>
      <c r="AD1285" s="13"/>
      <c r="AE1285" s="13"/>
      <c r="AF1285" s="13"/>
      <c r="AG1285" s="16">
        <f>IFERROR(SUMIF(reading[[#This Row],[1st]:[7th]],"&gt;0")/COUNTIF(reading[[#This Row],[1st]:[7th]],"&gt;0"),"")</f>
        <v>3</v>
      </c>
    </row>
    <row r="1286" spans="1:33" hidden="1" x14ac:dyDescent="0.2">
      <c r="A1286" s="4">
        <f>IF(B1286=1,3,IF(D1286=1,2,IF(F1286=1,1,0)))</f>
        <v>0</v>
      </c>
      <c r="B1286" s="4" t="str">
        <f>IF(C1286=$L1286,1,IF(C1286="","",0))</f>
        <v/>
      </c>
      <c r="C1286" s="42"/>
      <c r="D1286" s="4" t="str">
        <f>IF(E1286=$L1286,1,IF(E1286="","",0))</f>
        <v/>
      </c>
      <c r="E1286" s="43"/>
      <c r="F1286" s="4" t="str">
        <f>IF(G1286=$L1286,1,IF(G1286="","",0))</f>
        <v/>
      </c>
      <c r="G1286" s="14"/>
      <c r="H1286" s="6">
        <v>677</v>
      </c>
      <c r="I1286" s="15" t="s">
        <v>3120</v>
      </c>
      <c r="J1286" s="6" t="s">
        <v>3816</v>
      </c>
      <c r="K1286" s="6"/>
      <c r="L1286" s="6" t="s">
        <v>800</v>
      </c>
      <c r="M1286" s="6" t="s">
        <v>6786</v>
      </c>
      <c r="N1286" s="7">
        <f ca="1">RAND()</f>
        <v>0.65650576935666805</v>
      </c>
      <c r="O1286" s="8">
        <v>45203</v>
      </c>
      <c r="P1286" s="8">
        <v>45204</v>
      </c>
      <c r="Q1286" s="8">
        <v>45206</v>
      </c>
      <c r="R1286" s="8">
        <v>45210</v>
      </c>
      <c r="S1286" s="8">
        <v>45217</v>
      </c>
      <c r="T1286" s="8">
        <v>45229</v>
      </c>
      <c r="U1286" s="8">
        <v>45816</v>
      </c>
      <c r="V1286" s="10">
        <f>COUNTA(O1286:U1286)</f>
        <v>7</v>
      </c>
      <c r="W1286" s="11">
        <f>_xlfn.IFNA(INDEX(reading[[#This Row],[Memo 01]:[Memo 07]],MATCH(0,reading[[#This Row],[Memo 01]:[Memo 07]],-1)),"")</f>
        <v>45816</v>
      </c>
      <c r="X1286" s="11">
        <f ca="1">IFERROR(reading[[#This Row],[Previous]]+OFFSET(reading[[#Headers],[Memo 01]],-1,MATCH(0,reading[[#This Row],[Memo 01]:[Memo 07]],-1)-1),"")</f>
        <v>55816</v>
      </c>
      <c r="Y1286" s="10" t="str">
        <f ca="1">IF(reading[[#This Row],[Next]]&lt;&gt;"",IF(reading[[#This Row],[Next]]&gt;TODAY(),"OK",""),"")</f>
        <v>OK</v>
      </c>
      <c r="Z1286" s="13">
        <v>3</v>
      </c>
      <c r="AA1286" s="13">
        <v>2</v>
      </c>
      <c r="AB1286" s="13">
        <v>3</v>
      </c>
      <c r="AC1286" s="13">
        <v>3</v>
      </c>
      <c r="AD1286" s="13">
        <v>3</v>
      </c>
      <c r="AE1286" s="13">
        <v>3</v>
      </c>
      <c r="AF1286" s="13">
        <v>2</v>
      </c>
      <c r="AG1286" s="16">
        <f>IFERROR(SUMIF(reading[[#This Row],[1st]:[7th]],"&gt;0")/COUNTIF(reading[[#This Row],[1st]:[7th]],"&gt;0"),"")</f>
        <v>2.7142857142857144</v>
      </c>
    </row>
    <row r="1287" spans="1:33" hidden="1" x14ac:dyDescent="0.2">
      <c r="A1287" s="4">
        <f>IF(B1287=1,3,IF(D1287=1,2,IF(F1287=1,1,0)))</f>
        <v>0</v>
      </c>
      <c r="B1287" s="4" t="str">
        <f>IF(C1287=$L1287,1,IF(C1287="","",0))</f>
        <v/>
      </c>
      <c r="C1287" s="42"/>
      <c r="D1287" s="4" t="str">
        <f>IF(E1287=$L1287,1,IF(E1287="","",0))</f>
        <v/>
      </c>
      <c r="E1287" s="18"/>
      <c r="F1287" s="4" t="str">
        <f>IF(G1287=$L1287,1,IF(G1287="","",0))</f>
        <v/>
      </c>
      <c r="G1287" s="14"/>
      <c r="H1287" s="6">
        <v>836</v>
      </c>
      <c r="I1287" s="15" t="s">
        <v>3120</v>
      </c>
      <c r="J1287" s="6" t="s">
        <v>3969</v>
      </c>
      <c r="K1287" s="6"/>
      <c r="L1287" s="6" t="s">
        <v>952</v>
      </c>
      <c r="M1287" s="6" t="s">
        <v>6945</v>
      </c>
      <c r="N1287" s="7">
        <f ca="1">RAND()</f>
        <v>0.27179226963854142</v>
      </c>
      <c r="O1287" s="8">
        <v>45204</v>
      </c>
      <c r="P1287" s="8">
        <v>45205</v>
      </c>
      <c r="Q1287" s="8">
        <v>45207</v>
      </c>
      <c r="R1287" s="8">
        <v>45211</v>
      </c>
      <c r="S1287" s="8">
        <v>45218</v>
      </c>
      <c r="T1287" s="8">
        <v>45230</v>
      </c>
      <c r="U1287" s="8">
        <v>45823</v>
      </c>
      <c r="V1287" s="10">
        <f>COUNTA(O1287:U1287)</f>
        <v>7</v>
      </c>
      <c r="W1287" s="11">
        <f>_xlfn.IFNA(INDEX(reading[[#This Row],[Memo 01]:[Memo 07]],MATCH(0,reading[[#This Row],[Memo 01]:[Memo 07]],-1)),"")</f>
        <v>45823</v>
      </c>
      <c r="X1287" s="11">
        <f ca="1">IFERROR(reading[[#This Row],[Previous]]+OFFSET(reading[[#Headers],[Memo 01]],-1,MATCH(0,reading[[#This Row],[Memo 01]:[Memo 07]],-1)-1),"")</f>
        <v>55823</v>
      </c>
      <c r="Y1287" s="10" t="str">
        <f ca="1">IF(reading[[#This Row],[Next]]&lt;&gt;"",IF(reading[[#This Row],[Next]]&gt;TODAY(),"OK",""),"")</f>
        <v>OK</v>
      </c>
      <c r="Z1287" s="13">
        <v>3</v>
      </c>
      <c r="AA1287" s="13">
        <v>3</v>
      </c>
      <c r="AB1287" s="13">
        <v>3</v>
      </c>
      <c r="AC1287" s="13">
        <v>3</v>
      </c>
      <c r="AD1287" s="13">
        <v>2</v>
      </c>
      <c r="AE1287" s="13">
        <v>3</v>
      </c>
      <c r="AF1287" s="13">
        <v>3</v>
      </c>
      <c r="AG1287" s="16">
        <f>IFERROR(SUMIF(reading[[#This Row],[1st]:[7th]],"&gt;0")/COUNTIF(reading[[#This Row],[1st]:[7th]],"&gt;0"),"")</f>
        <v>2.8571428571428572</v>
      </c>
    </row>
    <row r="1288" spans="1:33" hidden="1" x14ac:dyDescent="0.2">
      <c r="A1288" s="4">
        <f>IF(B1288=1,3,IF(D1288=1,2,IF(F1288=1,1,0)))</f>
        <v>0</v>
      </c>
      <c r="B1288" s="4" t="str">
        <f>IF(C1288=$L1288,1,IF(C1288="","",0))</f>
        <v/>
      </c>
      <c r="C1288" s="42"/>
      <c r="D1288" s="4" t="str">
        <f>IF(E1288=$L1288,1,IF(E1288="","",0))</f>
        <v/>
      </c>
      <c r="E1288" s="14"/>
      <c r="F1288" s="4" t="str">
        <f>IF(G1288=$L1288,1,IF(G1288="","",0))</f>
        <v/>
      </c>
      <c r="G1288" s="14"/>
      <c r="H1288" s="6">
        <v>1919</v>
      </c>
      <c r="I1288" s="15" t="s">
        <v>3120</v>
      </c>
      <c r="J1288" s="6" t="s">
        <v>3786</v>
      </c>
      <c r="K1288" s="6"/>
      <c r="L1288" s="6" t="s">
        <v>1995</v>
      </c>
      <c r="M1288" s="6" t="s">
        <v>8025</v>
      </c>
      <c r="N1288" s="7">
        <f ca="1">RAND()</f>
        <v>0.4136569617410375</v>
      </c>
      <c r="O1288" s="8">
        <v>45212</v>
      </c>
      <c r="P1288" s="8">
        <v>45213</v>
      </c>
      <c r="Q1288" s="8">
        <v>45215</v>
      </c>
      <c r="R1288" s="8">
        <v>45219</v>
      </c>
      <c r="S1288" s="8">
        <v>45226</v>
      </c>
      <c r="T1288" s="8">
        <v>45801</v>
      </c>
      <c r="U1288" s="8">
        <v>45824</v>
      </c>
      <c r="V1288" s="10">
        <f>COUNTA(O1288:U1288)</f>
        <v>7</v>
      </c>
      <c r="W1288" s="11">
        <f>_xlfn.IFNA(INDEX(reading[[#This Row],[Memo 01]:[Memo 07]],MATCH(0,reading[[#This Row],[Memo 01]:[Memo 07]],-1)),"")</f>
        <v>45824</v>
      </c>
      <c r="X1288" s="11">
        <f ca="1">IFERROR(reading[[#This Row],[Previous]]+OFFSET(reading[[#Headers],[Memo 01]],-1,MATCH(0,reading[[#This Row],[Memo 01]:[Memo 07]],-1)-1),"")</f>
        <v>55824</v>
      </c>
      <c r="Y1288" s="10" t="str">
        <f ca="1">IF(reading[[#This Row],[Next]]&lt;&gt;"",IF(reading[[#This Row],[Next]]&gt;TODAY(),"OK",""),"")</f>
        <v>OK</v>
      </c>
      <c r="Z1288" s="13">
        <v>3</v>
      </c>
      <c r="AA1288" s="13">
        <v>3</v>
      </c>
      <c r="AB1288" s="13">
        <v>3</v>
      </c>
      <c r="AC1288" s="13">
        <v>3</v>
      </c>
      <c r="AD1288" s="13">
        <v>3</v>
      </c>
      <c r="AE1288" s="13">
        <v>3</v>
      </c>
      <c r="AF1288" s="13">
        <v>3</v>
      </c>
      <c r="AG1288" s="16">
        <f>IFERROR(SUMIF(reading[[#This Row],[1st]:[7th]],"&gt;0")/COUNTIF(reading[[#This Row],[1st]:[7th]],"&gt;0"),"")</f>
        <v>3</v>
      </c>
    </row>
    <row r="1289" spans="1:33" hidden="1" x14ac:dyDescent="0.2">
      <c r="A1289" s="4">
        <f>IF(B1289=1,3,IF(D1289=1,2,IF(F1289=1,1,0)))</f>
        <v>0</v>
      </c>
      <c r="B1289" s="4" t="str">
        <f>IF(C1289=$L1289,1,IF(C1289="","",0))</f>
        <v/>
      </c>
      <c r="C1289" s="41"/>
      <c r="D1289" s="4" t="str">
        <f>IF(E1289=$L1289,1,IF(E1289="","",0))</f>
        <v/>
      </c>
      <c r="E1289" s="18"/>
      <c r="F1289" s="4" t="str">
        <f>IF(G1289=$L1289,1,IF(G1289="","",0))</f>
        <v/>
      </c>
      <c r="G1289" s="14"/>
      <c r="H1289" s="6">
        <v>166</v>
      </c>
      <c r="I1289" s="15" t="s">
        <v>3120</v>
      </c>
      <c r="J1289" s="6" t="s">
        <v>3315</v>
      </c>
      <c r="K1289" s="6"/>
      <c r="L1289" s="6" t="s">
        <v>303</v>
      </c>
      <c r="M1289" s="6" t="s">
        <v>6275</v>
      </c>
      <c r="N1289" s="7">
        <f ca="1">RAND()</f>
        <v>0.12603810722906994</v>
      </c>
      <c r="O1289" s="8">
        <v>45199</v>
      </c>
      <c r="P1289" s="8">
        <v>45200</v>
      </c>
      <c r="Q1289" s="8">
        <v>45202</v>
      </c>
      <c r="R1289" s="8">
        <v>45206</v>
      </c>
      <c r="S1289" s="8">
        <v>45213</v>
      </c>
      <c r="T1289" s="8">
        <v>45225</v>
      </c>
      <c r="U1289" s="8">
        <v>45249</v>
      </c>
      <c r="V1289" s="10">
        <f>COUNTA(O1289:U1289)</f>
        <v>7</v>
      </c>
      <c r="W1289" s="11">
        <f>_xlfn.IFNA(INDEX(reading[[#This Row],[Memo 01]:[Memo 07]],MATCH(0,reading[[#This Row],[Memo 01]:[Memo 07]],-1)),"")</f>
        <v>45249</v>
      </c>
      <c r="X1289" s="11">
        <f ca="1">IFERROR(reading[[#This Row],[Previous]]+OFFSET(reading[[#Headers],[Memo 01]],-1,MATCH(0,reading[[#This Row],[Memo 01]:[Memo 07]],-1)-1),"")</f>
        <v>55249</v>
      </c>
      <c r="Y1289" s="10" t="str">
        <f ca="1">IF(reading[[#This Row],[Next]]&lt;&gt;"",IF(reading[[#This Row],[Next]]&gt;TODAY(),"OK",""),"")</f>
        <v>OK</v>
      </c>
      <c r="Z1289" s="13">
        <v>3</v>
      </c>
      <c r="AA1289" s="13">
        <v>2</v>
      </c>
      <c r="AB1289" s="13">
        <v>3</v>
      </c>
      <c r="AC1289" s="13">
        <v>2</v>
      </c>
      <c r="AD1289" s="13">
        <v>2</v>
      </c>
      <c r="AE1289" s="13">
        <v>2</v>
      </c>
      <c r="AF1289" s="13">
        <v>2</v>
      </c>
      <c r="AG1289" s="16">
        <f>IFERROR(SUMIF(reading[[#This Row],[1st]:[7th]],"&gt;0")/COUNTIF(reading[[#This Row],[1st]:[7th]],"&gt;0"),"")</f>
        <v>2.2857142857142856</v>
      </c>
    </row>
    <row r="1290" spans="1:33" hidden="1" x14ac:dyDescent="0.2">
      <c r="A1290" s="4">
        <f>IF(B1290=1,3,IF(D1290=1,2,IF(F1290=1,1,0)))</f>
        <v>3</v>
      </c>
      <c r="B1290" s="4">
        <f>IF(C1290=$L1290,1,IF(C1290="","",0))</f>
        <v>1</v>
      </c>
      <c r="C1290" s="27" t="s">
        <v>1391</v>
      </c>
      <c r="D1290" s="4" t="str">
        <f>IF(E1290=$L1290,1,IF(E1290="","",0))</f>
        <v/>
      </c>
      <c r="E1290" s="14"/>
      <c r="F1290" s="4" t="str">
        <f>IF(G1290=$L1290,1,IF(G1290="","",0))</f>
        <v/>
      </c>
      <c r="G1290" s="14"/>
      <c r="H1290" s="6">
        <v>1294</v>
      </c>
      <c r="I1290" s="15" t="s">
        <v>3120</v>
      </c>
      <c r="J1290" s="6" t="s">
        <v>4411</v>
      </c>
      <c r="K1290" s="6"/>
      <c r="L1290" s="6" t="s">
        <v>1391</v>
      </c>
      <c r="M1290" s="6" t="s">
        <v>7401</v>
      </c>
      <c r="N1290" s="7">
        <f ca="1">RAND()</f>
        <v>0.7820962943571157</v>
      </c>
      <c r="O1290" s="8">
        <v>45207</v>
      </c>
      <c r="P1290" s="8">
        <v>45207</v>
      </c>
      <c r="Q1290" s="8">
        <v>45207</v>
      </c>
      <c r="R1290" s="8">
        <v>45207</v>
      </c>
      <c r="S1290" s="8">
        <v>45207</v>
      </c>
      <c r="T1290" s="8">
        <v>45207</v>
      </c>
      <c r="U1290" s="8">
        <v>45207</v>
      </c>
      <c r="V1290" s="10">
        <f>COUNTA(O1290:U1290)</f>
        <v>7</v>
      </c>
      <c r="W1290" s="11">
        <f>_xlfn.IFNA(INDEX(reading[[#This Row],[Memo 01]:[Memo 07]],MATCH(0,reading[[#This Row],[Memo 01]:[Memo 07]],-1)),"")</f>
        <v>45207</v>
      </c>
      <c r="X1290" s="11">
        <f ca="1">IFERROR(reading[[#This Row],[Previous]]+OFFSET(reading[[#Headers],[Memo 01]],-1,MATCH(0,reading[[#This Row],[Memo 01]:[Memo 07]],-1)-1),"")</f>
        <v>55207</v>
      </c>
      <c r="Y1290" s="10" t="str">
        <f ca="1">IF(reading[[#This Row],[Next]]&lt;&gt;"",IF(reading[[#This Row],[Next]]&gt;TODAY(),"OK",""),"")</f>
        <v>OK</v>
      </c>
      <c r="Z1290" s="13">
        <v>3</v>
      </c>
      <c r="AA1290" s="13"/>
      <c r="AB1290" s="13"/>
      <c r="AC1290" s="13"/>
      <c r="AD1290" s="13"/>
      <c r="AE1290" s="13"/>
      <c r="AF1290" s="13"/>
      <c r="AG1290" s="16">
        <f>IFERROR(SUMIF(reading[[#This Row],[1st]:[7th]],"&gt;0")/COUNTIF(reading[[#This Row],[1st]:[7th]],"&gt;0"),"")</f>
        <v>3</v>
      </c>
    </row>
    <row r="1291" spans="1:33" hidden="1" x14ac:dyDescent="0.2">
      <c r="A1291" s="4">
        <f>IF(B1291=1,3,IF(D1291=1,2,IF(F1291=1,1,0)))</f>
        <v>0</v>
      </c>
      <c r="B1291" s="4" t="str">
        <f>IF(C1291=$L1291,1,IF(C1291="","",0))</f>
        <v/>
      </c>
      <c r="C1291" s="42"/>
      <c r="D1291" s="4" t="str">
        <f>IF(E1291=$L1291,1,IF(E1291="","",0))</f>
        <v/>
      </c>
      <c r="E1291" s="14"/>
      <c r="F1291" s="4" t="str">
        <f>IF(G1291=$L1291,1,IF(G1291="","",0))</f>
        <v/>
      </c>
      <c r="G1291" s="14"/>
      <c r="H1291" s="6">
        <v>2671</v>
      </c>
      <c r="I1291" s="15" t="s">
        <v>3120</v>
      </c>
      <c r="J1291" s="6" t="s">
        <v>5723</v>
      </c>
      <c r="K1291" s="6"/>
      <c r="L1291" s="6" t="s">
        <v>2710</v>
      </c>
      <c r="M1291" s="6" t="s">
        <v>8776</v>
      </c>
      <c r="N1291" s="7">
        <f ca="1">RAND()</f>
        <v>8.3464703430893739E-2</v>
      </c>
      <c r="O1291" s="8">
        <v>45220</v>
      </c>
      <c r="P1291" s="8">
        <v>45221</v>
      </c>
      <c r="Q1291" s="8">
        <v>45223</v>
      </c>
      <c r="R1291" s="8">
        <v>45227</v>
      </c>
      <c r="S1291" s="8">
        <v>45234</v>
      </c>
      <c r="T1291" s="8">
        <v>45783</v>
      </c>
      <c r="U1291" s="8">
        <v>45823</v>
      </c>
      <c r="V1291" s="10">
        <f>COUNTA(O1291:U1291)</f>
        <v>7</v>
      </c>
      <c r="W1291" s="11">
        <f>_xlfn.IFNA(INDEX(reading[[#This Row],[Memo 01]:[Memo 07]],MATCH(0,reading[[#This Row],[Memo 01]:[Memo 07]],-1)),"")</f>
        <v>45823</v>
      </c>
      <c r="X1291" s="11">
        <f ca="1">IFERROR(reading[[#This Row],[Previous]]+OFFSET(reading[[#Headers],[Memo 01]],-1,MATCH(0,reading[[#This Row],[Memo 01]:[Memo 07]],-1)-1),"")</f>
        <v>55823</v>
      </c>
      <c r="Y1291" s="10" t="str">
        <f ca="1">IF(reading[[#This Row],[Next]]&lt;&gt;"",IF(reading[[#This Row],[Next]]&gt;TODAY(),"OK",""),"")</f>
        <v>OK</v>
      </c>
      <c r="Z1291" s="13">
        <v>3</v>
      </c>
      <c r="AA1291" s="13">
        <v>3</v>
      </c>
      <c r="AB1291" s="13">
        <v>3</v>
      </c>
      <c r="AC1291" s="13">
        <v>3</v>
      </c>
      <c r="AD1291" s="13">
        <v>3</v>
      </c>
      <c r="AE1291" s="13">
        <v>3</v>
      </c>
      <c r="AF1291" s="13">
        <v>3</v>
      </c>
      <c r="AG1291" s="16">
        <f>IFERROR(SUMIF(reading[[#This Row],[1st]:[7th]],"&gt;0")/COUNTIF(reading[[#This Row],[1st]:[7th]],"&gt;0"),"")</f>
        <v>3</v>
      </c>
    </row>
    <row r="1292" spans="1:33" hidden="1" x14ac:dyDescent="0.2">
      <c r="A1292" s="4">
        <f>IF(B1292=1,3,IF(D1292=1,2,IF(F1292=1,1,0)))</f>
        <v>0</v>
      </c>
      <c r="B1292" s="4" t="str">
        <f>IF(C1292=$L1292,1,IF(C1292="","",0))</f>
        <v/>
      </c>
      <c r="C1292" s="42"/>
      <c r="D1292" s="4" t="str">
        <f>IF(E1292=$L1292,1,IF(E1292="","",0))</f>
        <v/>
      </c>
      <c r="E1292" s="43"/>
      <c r="F1292" s="4" t="str">
        <f>IF(G1292=$L1292,1,IF(G1292="","",0))</f>
        <v/>
      </c>
      <c r="G1292" s="23"/>
      <c r="H1292" s="6">
        <v>3056</v>
      </c>
      <c r="I1292" s="15" t="s">
        <v>3120</v>
      </c>
      <c r="J1292" s="6" t="s">
        <v>6077</v>
      </c>
      <c r="K1292" s="15" t="s">
        <v>3138</v>
      </c>
      <c r="L1292" s="6" t="s">
        <v>3082</v>
      </c>
      <c r="M1292" s="6" t="s">
        <v>9159</v>
      </c>
      <c r="N1292" s="7">
        <f ca="1">RAND()</f>
        <v>0.48606393520824598</v>
      </c>
      <c r="O1292" s="8">
        <v>45224</v>
      </c>
      <c r="P1292" s="8">
        <v>45225</v>
      </c>
      <c r="Q1292" s="8">
        <v>45227</v>
      </c>
      <c r="R1292" s="8">
        <v>45231</v>
      </c>
      <c r="S1292" s="8">
        <v>45252</v>
      </c>
      <c r="T1292" s="8">
        <v>45817</v>
      </c>
      <c r="U1292" s="8"/>
      <c r="V1292" s="10">
        <f>COUNTA(O1292:U1292)</f>
        <v>6</v>
      </c>
      <c r="W1292" s="11">
        <f>_xlfn.IFNA(INDEX(reading[[#This Row],[Memo 01]:[Memo 07]],MATCH(0,reading[[#This Row],[Memo 01]:[Memo 07]],-1)),"")</f>
        <v>45817</v>
      </c>
      <c r="X1292" s="11">
        <f ca="1">IFERROR(reading[[#This Row],[Previous]]+OFFSET(reading[[#Headers],[Memo 01]],-1,MATCH(0,reading[[#This Row],[Memo 01]:[Memo 07]],-1)-1),"")</f>
        <v>45837</v>
      </c>
      <c r="Y1292" s="10" t="str">
        <f ca="1">IF(reading[[#This Row],[Next]]&lt;&gt;"",IF(reading[[#This Row],[Next]]&gt;TODAY(),"OK",""),"")</f>
        <v>OK</v>
      </c>
      <c r="Z1292" s="13">
        <v>3</v>
      </c>
      <c r="AA1292" s="13">
        <v>2</v>
      </c>
      <c r="AB1292" s="13">
        <v>3</v>
      </c>
      <c r="AC1292" s="13">
        <v>3</v>
      </c>
      <c r="AD1292" s="13">
        <v>2</v>
      </c>
      <c r="AE1292" s="13">
        <v>1</v>
      </c>
      <c r="AF1292" s="13"/>
      <c r="AG1292" s="16">
        <f>IFERROR(SUMIF(reading[[#This Row],[1st]:[7th]],"&gt;0")/COUNTIF(reading[[#This Row],[1st]:[7th]],"&gt;0"),"")</f>
        <v>2.3333333333333335</v>
      </c>
    </row>
    <row r="1293" spans="1:33" hidden="1" x14ac:dyDescent="0.2">
      <c r="A1293" s="4">
        <f>IF(B1293=1,3,IF(D1293=1,2,IF(F1293=1,1,0)))</f>
        <v>0</v>
      </c>
      <c r="B1293" s="4" t="str">
        <f>IF(C1293=$L1293,1,IF(C1293="","",0))</f>
        <v/>
      </c>
      <c r="C1293" s="42"/>
      <c r="D1293" s="4" t="str">
        <f>IF(E1293=$L1293,1,IF(E1293="","",0))</f>
        <v/>
      </c>
      <c r="E1293" s="14"/>
      <c r="F1293" s="4" t="str">
        <f>IF(G1293=$L1293,1,IF(G1293="","",0))</f>
        <v/>
      </c>
      <c r="G1293" s="14"/>
      <c r="H1293" s="6">
        <v>2344</v>
      </c>
      <c r="I1293" s="15" t="s">
        <v>3120</v>
      </c>
      <c r="J1293" s="6" t="s">
        <v>5421</v>
      </c>
      <c r="K1293" s="6"/>
      <c r="L1293" s="6" t="s">
        <v>2397</v>
      </c>
      <c r="M1293" s="6" t="s">
        <v>8449</v>
      </c>
      <c r="N1293" s="7">
        <f ca="1">RAND()</f>
        <v>0.72503470753661237</v>
      </c>
      <c r="O1293" s="8">
        <v>45216</v>
      </c>
      <c r="P1293" s="8">
        <v>45217</v>
      </c>
      <c r="Q1293" s="8">
        <v>45219</v>
      </c>
      <c r="R1293" s="8">
        <v>45223</v>
      </c>
      <c r="S1293" s="8">
        <v>45230</v>
      </c>
      <c r="T1293" s="8">
        <v>45792</v>
      </c>
      <c r="U1293" s="8">
        <v>45824</v>
      </c>
      <c r="V1293" s="10">
        <f>COUNTA(O1293:U1293)</f>
        <v>7</v>
      </c>
      <c r="W1293" s="11">
        <f>_xlfn.IFNA(INDEX(reading[[#This Row],[Memo 01]:[Memo 07]],MATCH(0,reading[[#This Row],[Memo 01]:[Memo 07]],-1)),"")</f>
        <v>45824</v>
      </c>
      <c r="X1293" s="11">
        <f ca="1">IFERROR(reading[[#This Row],[Previous]]+OFFSET(reading[[#Headers],[Memo 01]],-1,MATCH(0,reading[[#This Row],[Memo 01]:[Memo 07]],-1)-1),"")</f>
        <v>55824</v>
      </c>
      <c r="Y1293" s="10" t="str">
        <f ca="1">IF(reading[[#This Row],[Next]]&lt;&gt;"",IF(reading[[#This Row],[Next]]&gt;TODAY(),"OK",""),"")</f>
        <v>OK</v>
      </c>
      <c r="Z1293" s="13">
        <v>3</v>
      </c>
      <c r="AA1293" s="13">
        <v>3</v>
      </c>
      <c r="AB1293" s="13">
        <v>3</v>
      </c>
      <c r="AC1293" s="13">
        <v>3</v>
      </c>
      <c r="AD1293" s="13">
        <v>3</v>
      </c>
      <c r="AE1293" s="13">
        <v>3</v>
      </c>
      <c r="AF1293" s="13">
        <v>3</v>
      </c>
      <c r="AG1293" s="16">
        <f>IFERROR(SUMIF(reading[[#This Row],[1st]:[7th]],"&gt;0")/COUNTIF(reading[[#This Row],[1st]:[7th]],"&gt;0"),"")</f>
        <v>3</v>
      </c>
    </row>
    <row r="1294" spans="1:33" hidden="1" x14ac:dyDescent="0.2">
      <c r="A1294" s="4">
        <f>IF(B1294=1,3,IF(D1294=1,2,IF(F1294=1,1,0)))</f>
        <v>0</v>
      </c>
      <c r="B1294" s="4" t="str">
        <f>IF(C1294=$L1294,1,IF(C1294="","",0))</f>
        <v/>
      </c>
      <c r="C1294" s="42"/>
      <c r="D1294" s="4" t="str">
        <f>IF(E1294=$L1294,1,IF(E1294="","",0))</f>
        <v/>
      </c>
      <c r="E1294" s="18"/>
      <c r="F1294" s="4" t="str">
        <f>IF(G1294=$L1294,1,IF(G1294="","",0))</f>
        <v/>
      </c>
      <c r="G1294" s="14"/>
      <c r="H1294" s="6">
        <v>1379</v>
      </c>
      <c r="I1294" s="15" t="s">
        <v>3120</v>
      </c>
      <c r="J1294" s="6" t="s">
        <v>4493</v>
      </c>
      <c r="K1294" s="6"/>
      <c r="L1294" s="6" t="s">
        <v>1473</v>
      </c>
      <c r="M1294" s="6" t="s">
        <v>7486</v>
      </c>
      <c r="N1294" s="7">
        <f ca="1">RAND()</f>
        <v>0.60092190312976279</v>
      </c>
      <c r="O1294" s="8">
        <v>45207</v>
      </c>
      <c r="P1294" s="8">
        <v>45208</v>
      </c>
      <c r="Q1294" s="8">
        <v>45210</v>
      </c>
      <c r="R1294" s="8">
        <v>45214</v>
      </c>
      <c r="S1294" s="8">
        <v>45221</v>
      </c>
      <c r="T1294" s="8">
        <v>45233</v>
      </c>
      <c r="U1294" s="8">
        <v>45824</v>
      </c>
      <c r="V1294" s="10">
        <f>COUNTA(O1294:U1294)</f>
        <v>7</v>
      </c>
      <c r="W1294" s="11">
        <f>_xlfn.IFNA(INDEX(reading[[#This Row],[Memo 01]:[Memo 07]],MATCH(0,reading[[#This Row],[Memo 01]:[Memo 07]],-1)),"")</f>
        <v>45824</v>
      </c>
      <c r="X1294" s="11">
        <f ca="1">IFERROR(reading[[#This Row],[Previous]]+OFFSET(reading[[#Headers],[Memo 01]],-1,MATCH(0,reading[[#This Row],[Memo 01]:[Memo 07]],-1)-1),"")</f>
        <v>55824</v>
      </c>
      <c r="Y1294" s="10" t="str">
        <f ca="1">IF(reading[[#This Row],[Next]]&lt;&gt;"",IF(reading[[#This Row],[Next]]&gt;TODAY(),"OK",""),"")</f>
        <v>OK</v>
      </c>
      <c r="Z1294" s="13">
        <v>3</v>
      </c>
      <c r="AA1294" s="13">
        <v>3</v>
      </c>
      <c r="AB1294" s="13">
        <v>3</v>
      </c>
      <c r="AC1294" s="13">
        <v>3</v>
      </c>
      <c r="AD1294" s="13">
        <v>2</v>
      </c>
      <c r="AE1294" s="13">
        <v>3</v>
      </c>
      <c r="AF1294" s="13">
        <v>3</v>
      </c>
      <c r="AG1294" s="16">
        <f>IFERROR(SUMIF(reading[[#This Row],[1st]:[7th]],"&gt;0")/COUNTIF(reading[[#This Row],[1st]:[7th]],"&gt;0"),"")</f>
        <v>2.8571428571428572</v>
      </c>
    </row>
    <row r="1295" spans="1:33" hidden="1" x14ac:dyDescent="0.2">
      <c r="A1295" s="4">
        <f>IF(B1295=1,3,IF(D1295=1,2,IF(F1295=1,1,0)))</f>
        <v>0</v>
      </c>
      <c r="B1295" s="4" t="str">
        <f>IF(C1295=$L1295,1,IF(C1295="","",0))</f>
        <v/>
      </c>
      <c r="C1295" s="43"/>
      <c r="D1295" s="4" t="str">
        <f>IF(E1295=$L1295,1,IF(E1295="","",0))</f>
        <v/>
      </c>
      <c r="E1295" s="18"/>
      <c r="F1295" s="4" t="str">
        <f>IF(G1295=$L1295,1,IF(G1295="","",0))</f>
        <v/>
      </c>
      <c r="G1295" s="14"/>
      <c r="H1295" s="6">
        <v>233</v>
      </c>
      <c r="I1295" s="15" t="s">
        <v>3120</v>
      </c>
      <c r="J1295" s="6" t="s">
        <v>3382</v>
      </c>
      <c r="K1295" s="6"/>
      <c r="L1295" s="6" t="s">
        <v>368</v>
      </c>
      <c r="M1295" s="6" t="s">
        <v>6342</v>
      </c>
      <c r="N1295" s="7">
        <f ca="1">RAND()</f>
        <v>0.1737315507876086</v>
      </c>
      <c r="O1295" s="8">
        <v>45199</v>
      </c>
      <c r="P1295" s="8">
        <v>45200</v>
      </c>
      <c r="Q1295" s="8">
        <v>45202</v>
      </c>
      <c r="R1295" s="8">
        <v>45206</v>
      </c>
      <c r="S1295" s="8">
        <v>45213</v>
      </c>
      <c r="T1295" s="8">
        <v>45225</v>
      </c>
      <c r="U1295" s="8">
        <v>45823</v>
      </c>
      <c r="V1295" s="10">
        <f>COUNTA(O1295:U1295)</f>
        <v>7</v>
      </c>
      <c r="W1295" s="11">
        <f>_xlfn.IFNA(INDEX(reading[[#This Row],[Memo 01]:[Memo 07]],MATCH(0,reading[[#This Row],[Memo 01]:[Memo 07]],-1)),"")</f>
        <v>45823</v>
      </c>
      <c r="X1295" s="11">
        <f ca="1">IFERROR(reading[[#This Row],[Previous]]+OFFSET(reading[[#Headers],[Memo 01]],-1,MATCH(0,reading[[#This Row],[Memo 01]:[Memo 07]],-1)-1),"")</f>
        <v>55823</v>
      </c>
      <c r="Y1295" s="10" t="str">
        <f ca="1">IF(reading[[#This Row],[Next]]&lt;&gt;"",IF(reading[[#This Row],[Next]]&gt;TODAY(),"OK",""),"")</f>
        <v>OK</v>
      </c>
      <c r="Z1295" s="13">
        <v>3</v>
      </c>
      <c r="AA1295" s="13">
        <v>3</v>
      </c>
      <c r="AB1295" s="13">
        <v>2</v>
      </c>
      <c r="AC1295" s="13">
        <v>3</v>
      </c>
      <c r="AD1295" s="13">
        <v>3</v>
      </c>
      <c r="AE1295" s="13">
        <v>3</v>
      </c>
      <c r="AF1295" s="13">
        <v>3</v>
      </c>
      <c r="AG1295" s="16">
        <f>IFERROR(SUMIF(reading[[#This Row],[1st]:[7th]],"&gt;0")/COUNTIF(reading[[#This Row],[1st]:[7th]],"&gt;0"),"")</f>
        <v>2.8571428571428572</v>
      </c>
    </row>
    <row r="1296" spans="1:33" hidden="1" x14ac:dyDescent="0.2">
      <c r="A1296" s="4">
        <f>IF(B1296=1,3,IF(D1296=1,2,IF(F1296=1,1,0)))</f>
        <v>0</v>
      </c>
      <c r="B1296" s="4" t="str">
        <f>IF(C1296=$L1296,1,IF(C1296="","",0))</f>
        <v/>
      </c>
      <c r="C1296" s="42"/>
      <c r="D1296" s="4" t="str">
        <f>IF(E1296=$L1296,1,IF(E1296="","",0))</f>
        <v/>
      </c>
      <c r="E1296" s="43"/>
      <c r="F1296" s="4" t="str">
        <f>IF(G1296=$L1296,1,IF(G1296="","",0))</f>
        <v/>
      </c>
      <c r="G1296" s="18"/>
      <c r="H1296" s="6">
        <v>138</v>
      </c>
      <c r="I1296" s="15" t="s">
        <v>3120</v>
      </c>
      <c r="J1296" s="6" t="s">
        <v>3287</v>
      </c>
      <c r="K1296" s="6"/>
      <c r="L1296" s="6" t="s">
        <v>275</v>
      </c>
      <c r="M1296" s="6" t="s">
        <v>6247</v>
      </c>
      <c r="N1296" s="7">
        <f ca="1">RAND()</f>
        <v>0.81219602307047456</v>
      </c>
      <c r="O1296" s="8">
        <v>45199</v>
      </c>
      <c r="P1296" s="8">
        <v>45200</v>
      </c>
      <c r="Q1296" s="8">
        <v>45202</v>
      </c>
      <c r="R1296" s="8">
        <v>45206</v>
      </c>
      <c r="S1296" s="8">
        <v>45213</v>
      </c>
      <c r="T1296" s="8">
        <v>45251</v>
      </c>
      <c r="U1296" s="8">
        <v>45825</v>
      </c>
      <c r="V1296" s="10">
        <f>COUNTA(O1296:U1296)</f>
        <v>7</v>
      </c>
      <c r="W1296" s="11">
        <f>_xlfn.IFNA(INDEX(reading[[#This Row],[Memo 01]:[Memo 07]],MATCH(0,reading[[#This Row],[Memo 01]:[Memo 07]],-1)),"")</f>
        <v>45825</v>
      </c>
      <c r="X1296" s="11">
        <f ca="1">IFERROR(reading[[#This Row],[Previous]]+OFFSET(reading[[#Headers],[Memo 01]],-1,MATCH(0,reading[[#This Row],[Memo 01]:[Memo 07]],-1)-1),"")</f>
        <v>55825</v>
      </c>
      <c r="Y1296" s="10" t="str">
        <f ca="1">IF(reading[[#This Row],[Next]]&lt;&gt;"",IF(reading[[#This Row],[Next]]&gt;TODAY(),"OK",""),"")</f>
        <v>OK</v>
      </c>
      <c r="Z1296" s="13">
        <v>3</v>
      </c>
      <c r="AA1296" s="13">
        <v>2</v>
      </c>
      <c r="AB1296" s="13">
        <v>3</v>
      </c>
      <c r="AC1296" s="13">
        <v>3</v>
      </c>
      <c r="AD1296" s="13">
        <v>2</v>
      </c>
      <c r="AE1296" s="13">
        <v>3</v>
      </c>
      <c r="AF1296" s="13">
        <v>2</v>
      </c>
      <c r="AG1296" s="16">
        <f>IFERROR(SUMIF(reading[[#This Row],[1st]:[7th]],"&gt;0")/COUNTIF(reading[[#This Row],[1st]:[7th]],"&gt;0"),"")</f>
        <v>2.5714285714285716</v>
      </c>
    </row>
    <row r="1297" spans="1:33" hidden="1" x14ac:dyDescent="0.2">
      <c r="A1297" s="4">
        <f>IF(B1297=1,3,IF(D1297=1,2,IF(F1297=1,1,0)))</f>
        <v>0</v>
      </c>
      <c r="B1297" s="4" t="str">
        <f>IF(C1297=$L1297,1,IF(C1297="","",0))</f>
        <v/>
      </c>
      <c r="C1297" s="42"/>
      <c r="D1297" s="4" t="str">
        <f>IF(E1297=$L1297,1,IF(E1297="","",0))</f>
        <v/>
      </c>
      <c r="E1297" s="14"/>
      <c r="F1297" s="4" t="str">
        <f>IF(G1297=$L1297,1,IF(G1297="","",0))</f>
        <v/>
      </c>
      <c r="G1297" s="14"/>
      <c r="H1297" s="6">
        <v>1961</v>
      </c>
      <c r="I1297" s="15" t="s">
        <v>3120</v>
      </c>
      <c r="J1297" s="6" t="s">
        <v>5060</v>
      </c>
      <c r="K1297" s="6"/>
      <c r="L1297" s="6" t="s">
        <v>2036</v>
      </c>
      <c r="M1297" s="6" t="s">
        <v>8067</v>
      </c>
      <c r="N1297" s="7">
        <f ca="1">RAND()</f>
        <v>0.80660699128870583</v>
      </c>
      <c r="O1297" s="8">
        <v>45213</v>
      </c>
      <c r="P1297" s="8">
        <v>45214</v>
      </c>
      <c r="Q1297" s="8">
        <v>45216</v>
      </c>
      <c r="R1297" s="8">
        <v>45220</v>
      </c>
      <c r="S1297" s="8">
        <v>45227</v>
      </c>
      <c r="T1297" s="8">
        <v>45792</v>
      </c>
      <c r="U1297" s="8">
        <v>45823</v>
      </c>
      <c r="V1297" s="10">
        <f>COUNTA(O1297:U1297)</f>
        <v>7</v>
      </c>
      <c r="W1297" s="11">
        <f>_xlfn.IFNA(INDEX(reading[[#This Row],[Memo 01]:[Memo 07]],MATCH(0,reading[[#This Row],[Memo 01]:[Memo 07]],-1)),"")</f>
        <v>45823</v>
      </c>
      <c r="X1297" s="11">
        <f ca="1">IFERROR(reading[[#This Row],[Previous]]+OFFSET(reading[[#Headers],[Memo 01]],-1,MATCH(0,reading[[#This Row],[Memo 01]:[Memo 07]],-1)-1),"")</f>
        <v>55823</v>
      </c>
      <c r="Y1297" s="10" t="str">
        <f ca="1">IF(reading[[#This Row],[Next]]&lt;&gt;"",IF(reading[[#This Row],[Next]]&gt;TODAY(),"OK",""),"")</f>
        <v>OK</v>
      </c>
      <c r="Z1297" s="13">
        <v>3</v>
      </c>
      <c r="AA1297" s="13">
        <v>3</v>
      </c>
      <c r="AB1297" s="13">
        <v>3</v>
      </c>
      <c r="AC1297" s="13">
        <v>3</v>
      </c>
      <c r="AD1297" s="13">
        <v>3</v>
      </c>
      <c r="AE1297" s="13">
        <v>3</v>
      </c>
      <c r="AF1297" s="13">
        <v>3</v>
      </c>
      <c r="AG1297" s="16">
        <f>IFERROR(SUMIF(reading[[#This Row],[1st]:[7th]],"&gt;0")/COUNTIF(reading[[#This Row],[1st]:[7th]],"&gt;0"),"")</f>
        <v>3</v>
      </c>
    </row>
    <row r="1298" spans="1:33" hidden="1" x14ac:dyDescent="0.2">
      <c r="A1298" s="4">
        <f>IF(B1298=1,3,IF(D1298=1,2,IF(F1298=1,1,0)))</f>
        <v>3</v>
      </c>
      <c r="B1298" s="4">
        <f>IF(C1298=$L1298,1,IF(C1298="","",0))</f>
        <v>1</v>
      </c>
      <c r="C1298" s="28" t="s">
        <v>1399</v>
      </c>
      <c r="D1298" s="4" t="str">
        <f>IF(E1298=$L1298,1,IF(E1298="","",0))</f>
        <v/>
      </c>
      <c r="E1298" s="14"/>
      <c r="F1298" s="4" t="str">
        <f>IF(G1298=$L1298,1,IF(G1298="","",0))</f>
        <v/>
      </c>
      <c r="G1298" s="14"/>
      <c r="H1298" s="6">
        <v>1302</v>
      </c>
      <c r="I1298" s="15" t="s">
        <v>3120</v>
      </c>
      <c r="J1298" s="6" t="s">
        <v>4419</v>
      </c>
      <c r="K1298" s="6"/>
      <c r="L1298" s="6" t="s">
        <v>1399</v>
      </c>
      <c r="M1298" s="6" t="s">
        <v>7409</v>
      </c>
      <c r="N1298" s="7">
        <f ca="1">RAND()</f>
        <v>0.7619205825005877</v>
      </c>
      <c r="O1298" s="8">
        <v>45207</v>
      </c>
      <c r="P1298" s="8">
        <v>45207</v>
      </c>
      <c r="Q1298" s="8">
        <v>45207</v>
      </c>
      <c r="R1298" s="8">
        <v>45207</v>
      </c>
      <c r="S1298" s="8">
        <v>45207</v>
      </c>
      <c r="T1298" s="8">
        <v>45207</v>
      </c>
      <c r="U1298" s="8">
        <v>45207</v>
      </c>
      <c r="V1298" s="10">
        <f>COUNTA(O1298:U1298)</f>
        <v>7</v>
      </c>
      <c r="W1298" s="11">
        <f>_xlfn.IFNA(INDEX(reading[[#This Row],[Memo 01]:[Memo 07]],MATCH(0,reading[[#This Row],[Memo 01]:[Memo 07]],-1)),"")</f>
        <v>45207</v>
      </c>
      <c r="X1298" s="11">
        <f ca="1">IFERROR(reading[[#This Row],[Previous]]+OFFSET(reading[[#Headers],[Memo 01]],-1,MATCH(0,reading[[#This Row],[Memo 01]:[Memo 07]],-1)-1),"")</f>
        <v>55207</v>
      </c>
      <c r="Y1298" s="10" t="str">
        <f ca="1">IF(reading[[#This Row],[Next]]&lt;&gt;"",IF(reading[[#This Row],[Next]]&gt;TODAY(),"OK",""),"")</f>
        <v>OK</v>
      </c>
      <c r="Z1298" s="13">
        <v>3</v>
      </c>
      <c r="AA1298" s="13"/>
      <c r="AB1298" s="13"/>
      <c r="AC1298" s="13"/>
      <c r="AD1298" s="13"/>
      <c r="AE1298" s="13"/>
      <c r="AF1298" s="13"/>
      <c r="AG1298" s="16">
        <f>IFERROR(SUMIF(reading[[#This Row],[1st]:[7th]],"&gt;0")/COUNTIF(reading[[#This Row],[1st]:[7th]],"&gt;0"),"")</f>
        <v>3</v>
      </c>
    </row>
    <row r="1299" spans="1:33" hidden="1" x14ac:dyDescent="0.2">
      <c r="A1299" s="4">
        <f>IF(B1299=1,3,IF(D1299=1,2,IF(F1299=1,1,0)))</f>
        <v>0</v>
      </c>
      <c r="B1299" s="4" t="str">
        <f>IF(C1299=$L1299,1,IF(C1299="","",0))</f>
        <v/>
      </c>
      <c r="C1299" s="42"/>
      <c r="D1299" s="4" t="str">
        <f>IF(E1299=$L1299,1,IF(E1299="","",0))</f>
        <v/>
      </c>
      <c r="E1299" s="14"/>
      <c r="F1299" s="4" t="str">
        <f>IF(G1299=$L1299,1,IF(G1299="","",0))</f>
        <v/>
      </c>
      <c r="G1299" s="14"/>
      <c r="H1299" s="6">
        <v>462</v>
      </c>
      <c r="I1299" s="15" t="s">
        <v>3120</v>
      </c>
      <c r="J1299" s="6" t="s">
        <v>3608</v>
      </c>
      <c r="K1299" s="6"/>
      <c r="L1299" s="6" t="s">
        <v>591</v>
      </c>
      <c r="M1299" s="6" t="s">
        <v>6571</v>
      </c>
      <c r="N1299" s="7">
        <f ca="1">RAND()</f>
        <v>0.55484417667267849</v>
      </c>
      <c r="O1299" s="8">
        <v>45202</v>
      </c>
      <c r="P1299" s="8">
        <v>45203</v>
      </c>
      <c r="Q1299" s="8">
        <v>45205</v>
      </c>
      <c r="R1299" s="8">
        <v>45209</v>
      </c>
      <c r="S1299" s="8">
        <v>45216</v>
      </c>
      <c r="T1299" s="8">
        <v>45228</v>
      </c>
      <c r="U1299" s="8">
        <v>45824</v>
      </c>
      <c r="V1299" s="10">
        <f>COUNTA(O1299:U1299)</f>
        <v>7</v>
      </c>
      <c r="W1299" s="11">
        <f>_xlfn.IFNA(INDEX(reading[[#This Row],[Memo 01]:[Memo 07]],MATCH(0,reading[[#This Row],[Memo 01]:[Memo 07]],-1)),"")</f>
        <v>45824</v>
      </c>
      <c r="X1299" s="11">
        <f ca="1">IFERROR(reading[[#This Row],[Previous]]+OFFSET(reading[[#Headers],[Memo 01]],-1,MATCH(0,reading[[#This Row],[Memo 01]:[Memo 07]],-1)-1),"")</f>
        <v>55824</v>
      </c>
      <c r="Y1299" s="10" t="str">
        <f ca="1">IF(reading[[#This Row],[Next]]&lt;&gt;"",IF(reading[[#This Row],[Next]]&gt;TODAY(),"OK",""),"")</f>
        <v>OK</v>
      </c>
      <c r="Z1299" s="13">
        <v>3</v>
      </c>
      <c r="AA1299" s="13">
        <v>3</v>
      </c>
      <c r="AB1299" s="13">
        <v>3</v>
      </c>
      <c r="AC1299" s="13">
        <v>3</v>
      </c>
      <c r="AD1299" s="13">
        <v>3</v>
      </c>
      <c r="AE1299" s="13">
        <v>3</v>
      </c>
      <c r="AF1299" s="13">
        <v>3</v>
      </c>
      <c r="AG1299" s="16">
        <f>IFERROR(SUMIF(reading[[#This Row],[1st]:[7th]],"&gt;0")/COUNTIF(reading[[#This Row],[1st]:[7th]],"&gt;0"),"")</f>
        <v>3</v>
      </c>
    </row>
    <row r="1300" spans="1:33" hidden="1" x14ac:dyDescent="0.2">
      <c r="A1300" s="4">
        <f>IF(B1300=1,3,IF(D1300=1,2,IF(F1300=1,1,0)))</f>
        <v>0</v>
      </c>
      <c r="B1300" s="4" t="str">
        <f>IF(C1300=$L1300,1,IF(C1300="","",0))</f>
        <v/>
      </c>
      <c r="C1300" s="42"/>
      <c r="D1300" s="4" t="str">
        <f>IF(E1300=$L1300,1,IF(E1300="","",0))</f>
        <v/>
      </c>
      <c r="E1300" s="43"/>
      <c r="F1300" s="4" t="str">
        <f>IF(G1300=$L1300,1,IF(G1300="","",0))</f>
        <v/>
      </c>
      <c r="G1300" s="18"/>
      <c r="H1300" s="6">
        <v>2414</v>
      </c>
      <c r="I1300" s="15" t="s">
        <v>3120</v>
      </c>
      <c r="J1300" s="6" t="s">
        <v>5485</v>
      </c>
      <c r="K1300" s="6"/>
      <c r="L1300" s="6" t="s">
        <v>2464</v>
      </c>
      <c r="M1300" s="6" t="s">
        <v>8519</v>
      </c>
      <c r="N1300" s="7">
        <f ca="1">RAND()</f>
        <v>0.31480146976303236</v>
      </c>
      <c r="O1300" s="8">
        <v>45218</v>
      </c>
      <c r="P1300" s="8">
        <v>45219</v>
      </c>
      <c r="Q1300" s="8">
        <v>45221</v>
      </c>
      <c r="R1300" s="8">
        <v>45225</v>
      </c>
      <c r="S1300" s="8">
        <v>45232</v>
      </c>
      <c r="T1300" s="8">
        <v>45248</v>
      </c>
      <c r="U1300" s="8">
        <v>45816</v>
      </c>
      <c r="V1300" s="10">
        <f>COUNTA(O1300:U1300)</f>
        <v>7</v>
      </c>
      <c r="W1300" s="11">
        <f>_xlfn.IFNA(INDEX(reading[[#This Row],[Memo 01]:[Memo 07]],MATCH(0,reading[[#This Row],[Memo 01]:[Memo 07]],-1)),"")</f>
        <v>45816</v>
      </c>
      <c r="X1300" s="11">
        <f ca="1">IFERROR(reading[[#This Row],[Previous]]+OFFSET(reading[[#Headers],[Memo 01]],-1,MATCH(0,reading[[#This Row],[Memo 01]:[Memo 07]],-1)-1),"")</f>
        <v>55816</v>
      </c>
      <c r="Y1300" s="10" t="str">
        <f ca="1">IF(reading[[#This Row],[Next]]&lt;&gt;"",IF(reading[[#This Row],[Next]]&gt;TODAY(),"OK",""),"")</f>
        <v>OK</v>
      </c>
      <c r="Z1300" s="13">
        <v>3</v>
      </c>
      <c r="AA1300" s="13">
        <v>3</v>
      </c>
      <c r="AB1300" s="13">
        <v>1</v>
      </c>
      <c r="AC1300" s="13">
        <v>2</v>
      </c>
      <c r="AD1300" s="13">
        <v>3</v>
      </c>
      <c r="AE1300" s="13">
        <v>3</v>
      </c>
      <c r="AF1300" s="13">
        <v>2</v>
      </c>
      <c r="AG1300" s="16">
        <f>IFERROR(SUMIF(reading[[#This Row],[1st]:[7th]],"&gt;0")/COUNTIF(reading[[#This Row],[1st]:[7th]],"&gt;0"),"")</f>
        <v>2.4285714285714284</v>
      </c>
    </row>
    <row r="1301" spans="1:33" hidden="1" x14ac:dyDescent="0.2">
      <c r="A1301" s="4">
        <f>IF(B1301=1,3,IF(D1301=1,2,IF(F1301=1,1,0)))</f>
        <v>0</v>
      </c>
      <c r="B1301" s="4" t="str">
        <f>IF(C1301=$L1301,1,IF(C1301="","",0))</f>
        <v/>
      </c>
      <c r="C1301" s="42"/>
      <c r="D1301" s="4" t="str">
        <f>IF(E1301=$L1301,1,IF(E1301="","",0))</f>
        <v/>
      </c>
      <c r="E1301" s="23"/>
      <c r="F1301" s="4" t="str">
        <f>IF(G1301=$L1301,1,IF(G1301="","",0))</f>
        <v/>
      </c>
      <c r="G1301" s="23"/>
      <c r="H1301" s="6">
        <v>1888</v>
      </c>
      <c r="I1301" s="15" t="s">
        <v>3120</v>
      </c>
      <c r="J1301" s="6" t="s">
        <v>4990</v>
      </c>
      <c r="K1301" s="6"/>
      <c r="L1301" s="6" t="s">
        <v>1965</v>
      </c>
      <c r="M1301" s="6" t="s">
        <v>7994</v>
      </c>
      <c r="N1301" s="7">
        <f ca="1">RAND()</f>
        <v>0.63655534783250545</v>
      </c>
      <c r="O1301" s="8">
        <v>45213</v>
      </c>
      <c r="P1301" s="8">
        <v>45214</v>
      </c>
      <c r="Q1301" s="8">
        <v>45216</v>
      </c>
      <c r="R1301" s="8">
        <v>45220</v>
      </c>
      <c r="S1301" s="8">
        <v>45227</v>
      </c>
      <c r="T1301" s="8">
        <v>45817</v>
      </c>
      <c r="U1301" s="8"/>
      <c r="V1301" s="10">
        <f>COUNTA(O1301:U1301)</f>
        <v>6</v>
      </c>
      <c r="W1301" s="11">
        <f>_xlfn.IFNA(INDEX(reading[[#This Row],[Memo 01]:[Memo 07]],MATCH(0,reading[[#This Row],[Memo 01]:[Memo 07]],-1)),"")</f>
        <v>45817</v>
      </c>
      <c r="X1301" s="11">
        <f ca="1">IFERROR(reading[[#This Row],[Previous]]+OFFSET(reading[[#Headers],[Memo 01]],-1,MATCH(0,reading[[#This Row],[Memo 01]:[Memo 07]],-1)-1),"")</f>
        <v>45837</v>
      </c>
      <c r="Y1301" s="10" t="str">
        <f ca="1">IF(reading[[#This Row],[Next]]&lt;&gt;"",IF(reading[[#This Row],[Next]]&gt;TODAY(),"OK",""),"")</f>
        <v>OK</v>
      </c>
      <c r="Z1301" s="13">
        <v>3</v>
      </c>
      <c r="AA1301" s="13">
        <v>3</v>
      </c>
      <c r="AB1301" s="13">
        <v>3</v>
      </c>
      <c r="AC1301" s="13">
        <v>3</v>
      </c>
      <c r="AD1301" s="13">
        <v>3</v>
      </c>
      <c r="AE1301" s="13">
        <v>1</v>
      </c>
      <c r="AF1301" s="13"/>
      <c r="AG1301" s="16">
        <f>IFERROR(SUMIF(reading[[#This Row],[1st]:[7th]],"&gt;0")/COUNTIF(reading[[#This Row],[1st]:[7th]],"&gt;0"),"")</f>
        <v>2.6666666666666665</v>
      </c>
    </row>
    <row r="1302" spans="1:33" hidden="1" x14ac:dyDescent="0.2">
      <c r="A1302" s="4">
        <f>IF(B1302=1,3,IF(D1302=1,2,IF(F1302=1,1,0)))</f>
        <v>0</v>
      </c>
      <c r="B1302" s="4" t="str">
        <f>IF(C1302=$L1302,1,IF(C1302="","",0))</f>
        <v/>
      </c>
      <c r="C1302" s="42"/>
      <c r="D1302" s="4" t="str">
        <f>IF(E1302=$L1302,1,IF(E1302="","",0))</f>
        <v/>
      </c>
      <c r="E1302" s="23"/>
      <c r="F1302" s="4" t="str">
        <f>IF(G1302=$L1302,1,IF(G1302="","",0))</f>
        <v/>
      </c>
      <c r="G1302" s="23"/>
      <c r="H1302" s="6">
        <v>2865</v>
      </c>
      <c r="I1302" s="15" t="s">
        <v>3120</v>
      </c>
      <c r="J1302" s="6" t="s">
        <v>3213</v>
      </c>
      <c r="K1302" s="6"/>
      <c r="L1302" s="6" t="s">
        <v>2896</v>
      </c>
      <c r="M1302" s="6" t="s">
        <v>8969</v>
      </c>
      <c r="N1302" s="7">
        <f ca="1">RAND()</f>
        <v>0.46699054891737601</v>
      </c>
      <c r="O1302" s="8">
        <v>45223</v>
      </c>
      <c r="P1302" s="8">
        <v>45224</v>
      </c>
      <c r="Q1302" s="8">
        <v>45226</v>
      </c>
      <c r="R1302" s="8">
        <v>45230</v>
      </c>
      <c r="S1302" s="8">
        <v>45237</v>
      </c>
      <c r="T1302" s="8">
        <v>45817</v>
      </c>
      <c r="U1302" s="8"/>
      <c r="V1302" s="10">
        <f>COUNTA(O1302:U1302)</f>
        <v>6</v>
      </c>
      <c r="W1302" s="11">
        <f>_xlfn.IFNA(INDEX(reading[[#This Row],[Memo 01]:[Memo 07]],MATCH(0,reading[[#This Row],[Memo 01]:[Memo 07]],-1)),"")</f>
        <v>45817</v>
      </c>
      <c r="X1302" s="11">
        <f ca="1">IFERROR(reading[[#This Row],[Previous]]+OFFSET(reading[[#Headers],[Memo 01]],-1,MATCH(0,reading[[#This Row],[Memo 01]:[Memo 07]],-1)-1),"")</f>
        <v>45837</v>
      </c>
      <c r="Y1302" s="10" t="str">
        <f ca="1">IF(reading[[#This Row],[Next]]&lt;&gt;"",IF(reading[[#This Row],[Next]]&gt;TODAY(),"OK",""),"")</f>
        <v>OK</v>
      </c>
      <c r="Z1302" s="13">
        <v>3</v>
      </c>
      <c r="AA1302" s="13">
        <v>3</v>
      </c>
      <c r="AB1302" s="13">
        <v>3</v>
      </c>
      <c r="AC1302" s="13">
        <v>3</v>
      </c>
      <c r="AD1302" s="13">
        <v>3</v>
      </c>
      <c r="AE1302" s="13">
        <v>1</v>
      </c>
      <c r="AF1302" s="13"/>
      <c r="AG1302" s="16">
        <f>IFERROR(SUMIF(reading[[#This Row],[1st]:[7th]],"&gt;0")/COUNTIF(reading[[#This Row],[1st]:[7th]],"&gt;0"),"")</f>
        <v>2.6666666666666665</v>
      </c>
    </row>
    <row r="1303" spans="1:33" hidden="1" x14ac:dyDescent="0.2">
      <c r="A1303" s="4">
        <f>IF(B1303=1,3,IF(D1303=1,2,IF(F1303=1,1,0)))</f>
        <v>0</v>
      </c>
      <c r="B1303" s="4" t="str">
        <f>IF(C1303=$L1303,1,IF(C1303="","",0))</f>
        <v/>
      </c>
      <c r="C1303" s="42"/>
      <c r="D1303" s="4" t="str">
        <f>IF(E1303=$L1303,1,IF(E1303="","",0))</f>
        <v/>
      </c>
      <c r="E1303" s="14"/>
      <c r="F1303" s="4" t="str">
        <f>IF(G1303=$L1303,1,IF(G1303="","",0))</f>
        <v/>
      </c>
      <c r="G1303" s="14"/>
      <c r="H1303" s="6">
        <v>2370</v>
      </c>
      <c r="I1303" s="15" t="s">
        <v>3120</v>
      </c>
      <c r="J1303" s="6" t="s">
        <v>5444</v>
      </c>
      <c r="K1303" s="6"/>
      <c r="L1303" s="6" t="s">
        <v>2422</v>
      </c>
      <c r="M1303" s="6" t="s">
        <v>8475</v>
      </c>
      <c r="N1303" s="7">
        <f ca="1">RAND()</f>
        <v>0.43729631475838182</v>
      </c>
      <c r="O1303" s="8">
        <v>45216</v>
      </c>
      <c r="P1303" s="8">
        <v>45217</v>
      </c>
      <c r="Q1303" s="8">
        <v>45219</v>
      </c>
      <c r="R1303" s="8">
        <v>45223</v>
      </c>
      <c r="S1303" s="8">
        <v>45230</v>
      </c>
      <c r="T1303" s="8">
        <v>45823</v>
      </c>
      <c r="U1303" s="8"/>
      <c r="V1303" s="10">
        <f>COUNTA(O1303:U1303)</f>
        <v>6</v>
      </c>
      <c r="W1303" s="11">
        <f>_xlfn.IFNA(INDEX(reading[[#This Row],[Memo 01]:[Memo 07]],MATCH(0,reading[[#This Row],[Memo 01]:[Memo 07]],-1)),"")</f>
        <v>45823</v>
      </c>
      <c r="X1303" s="11">
        <f ca="1">IFERROR(reading[[#This Row],[Previous]]+OFFSET(reading[[#Headers],[Memo 01]],-1,MATCH(0,reading[[#This Row],[Memo 01]:[Memo 07]],-1)-1),"")</f>
        <v>45843</v>
      </c>
      <c r="Y1303" s="10" t="str">
        <f ca="1">IF(reading[[#This Row],[Next]]&lt;&gt;"",IF(reading[[#This Row],[Next]]&gt;TODAY(),"OK",""),"")</f>
        <v>OK</v>
      </c>
      <c r="Z1303" s="13">
        <v>3</v>
      </c>
      <c r="AA1303" s="13">
        <v>3</v>
      </c>
      <c r="AB1303" s="13">
        <v>3</v>
      </c>
      <c r="AC1303" s="13">
        <v>3</v>
      </c>
      <c r="AD1303" s="13">
        <v>3</v>
      </c>
      <c r="AE1303" s="13">
        <v>3</v>
      </c>
      <c r="AF1303" s="13"/>
      <c r="AG1303" s="16">
        <f>IFERROR(SUMIF(reading[[#This Row],[1st]:[7th]],"&gt;0")/COUNTIF(reading[[#This Row],[1st]:[7th]],"&gt;0"),"")</f>
        <v>3</v>
      </c>
    </row>
    <row r="1304" spans="1:33" hidden="1" x14ac:dyDescent="0.2">
      <c r="A1304" s="4">
        <f>IF(B1304=1,3,IF(D1304=1,2,IF(F1304=1,1,0)))</f>
        <v>0</v>
      </c>
      <c r="B1304" s="4" t="str">
        <f>IF(C1304=$L1304,1,IF(C1304="","",0))</f>
        <v/>
      </c>
      <c r="C1304" s="42"/>
      <c r="D1304" s="4" t="str">
        <f>IF(E1304=$L1304,1,IF(E1304="","",0))</f>
        <v/>
      </c>
      <c r="E1304" s="14"/>
      <c r="F1304" s="4" t="str">
        <f>IF(G1304=$L1304,1,IF(G1304="","",0))</f>
        <v/>
      </c>
      <c r="G1304" s="14"/>
      <c r="H1304" s="6">
        <v>2295</v>
      </c>
      <c r="I1304" s="15" t="s">
        <v>3120</v>
      </c>
      <c r="J1304" s="6" t="s">
        <v>5375</v>
      </c>
      <c r="K1304" s="6"/>
      <c r="L1304" s="6" t="s">
        <v>2353</v>
      </c>
      <c r="M1304" s="6" t="s">
        <v>8400</v>
      </c>
      <c r="N1304" s="7">
        <f ca="1">RAND()</f>
        <v>0.35909496686671061</v>
      </c>
      <c r="O1304" s="8">
        <v>45215</v>
      </c>
      <c r="P1304" s="8">
        <v>45216</v>
      </c>
      <c r="Q1304" s="8">
        <v>45218</v>
      </c>
      <c r="R1304" s="8">
        <v>45222</v>
      </c>
      <c r="S1304" s="8">
        <v>45229</v>
      </c>
      <c r="T1304" s="8">
        <v>45801</v>
      </c>
      <c r="U1304" s="8">
        <v>45824</v>
      </c>
      <c r="V1304" s="10">
        <f>COUNTA(O1304:U1304)</f>
        <v>7</v>
      </c>
      <c r="W1304" s="11">
        <f>_xlfn.IFNA(INDEX(reading[[#This Row],[Memo 01]:[Memo 07]],MATCH(0,reading[[#This Row],[Memo 01]:[Memo 07]],-1)),"")</f>
        <v>45824</v>
      </c>
      <c r="X1304" s="11">
        <f ca="1">IFERROR(reading[[#This Row],[Previous]]+OFFSET(reading[[#Headers],[Memo 01]],-1,MATCH(0,reading[[#This Row],[Memo 01]:[Memo 07]],-1)-1),"")</f>
        <v>55824</v>
      </c>
      <c r="Y1304" s="10" t="str">
        <f ca="1">IF(reading[[#This Row],[Next]]&lt;&gt;"",IF(reading[[#This Row],[Next]]&gt;TODAY(),"OK",""),"")</f>
        <v>OK</v>
      </c>
      <c r="Z1304" s="13">
        <v>3</v>
      </c>
      <c r="AA1304" s="13">
        <v>3</v>
      </c>
      <c r="AB1304" s="13">
        <v>3</v>
      </c>
      <c r="AC1304" s="13">
        <v>3</v>
      </c>
      <c r="AD1304" s="13">
        <v>3</v>
      </c>
      <c r="AE1304" s="13">
        <v>3</v>
      </c>
      <c r="AF1304" s="13">
        <v>3</v>
      </c>
      <c r="AG1304" s="16">
        <f>IFERROR(SUMIF(reading[[#This Row],[1st]:[7th]],"&gt;0")/COUNTIF(reading[[#This Row],[1st]:[7th]],"&gt;0"),"")</f>
        <v>3</v>
      </c>
    </row>
    <row r="1305" spans="1:33" hidden="1" x14ac:dyDescent="0.2">
      <c r="A1305" s="4">
        <f>IF(B1305=1,3,IF(D1305=1,2,IF(F1305=1,1,0)))</f>
        <v>0</v>
      </c>
      <c r="B1305" s="4" t="str">
        <f>IF(C1305=$L1305,1,IF(C1305="","",0))</f>
        <v/>
      </c>
      <c r="C1305" s="42"/>
      <c r="D1305" s="4" t="str">
        <f>IF(E1305=$L1305,1,IF(E1305="","",0))</f>
        <v/>
      </c>
      <c r="E1305" s="14"/>
      <c r="F1305" s="4" t="str">
        <f>IF(G1305=$L1305,1,IF(G1305="","",0))</f>
        <v/>
      </c>
      <c r="G1305" s="14"/>
      <c r="H1305" s="6">
        <v>2329</v>
      </c>
      <c r="I1305" s="15" t="s">
        <v>3120</v>
      </c>
      <c r="J1305" s="6" t="s">
        <v>5406</v>
      </c>
      <c r="K1305" s="6"/>
      <c r="L1305" s="6" t="s">
        <v>2383</v>
      </c>
      <c r="M1305" s="6" t="s">
        <v>8434</v>
      </c>
      <c r="N1305" s="7">
        <f ca="1">RAND()</f>
        <v>0.14029941811091995</v>
      </c>
      <c r="O1305" s="8">
        <v>45216</v>
      </c>
      <c r="P1305" s="8">
        <v>45217</v>
      </c>
      <c r="Q1305" s="8">
        <v>45219</v>
      </c>
      <c r="R1305" s="8">
        <v>45223</v>
      </c>
      <c r="S1305" s="8">
        <v>45230</v>
      </c>
      <c r="T1305" s="8">
        <v>45824</v>
      </c>
      <c r="U1305" s="8"/>
      <c r="V1305" s="10">
        <f>COUNTA(O1305:U1305)</f>
        <v>6</v>
      </c>
      <c r="W1305" s="11">
        <f>_xlfn.IFNA(INDEX(reading[[#This Row],[Memo 01]:[Memo 07]],MATCH(0,reading[[#This Row],[Memo 01]:[Memo 07]],-1)),"")</f>
        <v>45824</v>
      </c>
      <c r="X1305" s="11">
        <f ca="1">IFERROR(reading[[#This Row],[Previous]]+OFFSET(reading[[#Headers],[Memo 01]],-1,MATCH(0,reading[[#This Row],[Memo 01]:[Memo 07]],-1)-1),"")</f>
        <v>45844</v>
      </c>
      <c r="Y1305" s="10" t="str">
        <f ca="1">IF(reading[[#This Row],[Next]]&lt;&gt;"",IF(reading[[#This Row],[Next]]&gt;TODAY(),"OK",""),"")</f>
        <v>OK</v>
      </c>
      <c r="Z1305" s="13">
        <v>3</v>
      </c>
      <c r="AA1305" s="13">
        <v>3</v>
      </c>
      <c r="AB1305" s="13">
        <v>3</v>
      </c>
      <c r="AC1305" s="13">
        <v>3</v>
      </c>
      <c r="AD1305" s="13">
        <v>3</v>
      </c>
      <c r="AE1305" s="13">
        <v>3</v>
      </c>
      <c r="AF1305" s="13"/>
      <c r="AG1305" s="16">
        <f>IFERROR(SUMIF(reading[[#This Row],[1st]:[7th]],"&gt;0")/COUNTIF(reading[[#This Row],[1st]:[7th]],"&gt;0"),"")</f>
        <v>3</v>
      </c>
    </row>
    <row r="1306" spans="1:33" hidden="1" x14ac:dyDescent="0.2">
      <c r="A1306" s="4">
        <f>IF(B1306=1,3,IF(D1306=1,2,IF(F1306=1,1,0)))</f>
        <v>0</v>
      </c>
      <c r="B1306" s="4">
        <f>IF(C1306=$L1306,1,IF(C1306="","",0))</f>
        <v>0</v>
      </c>
      <c r="C1306" s="42" t="s">
        <v>9200</v>
      </c>
      <c r="D1306" s="4">
        <f>IF(E1306=$L1306,1,IF(E1306="","",0))</f>
        <v>0</v>
      </c>
      <c r="E1306" s="43" t="s">
        <v>9200</v>
      </c>
      <c r="F1306" s="4" t="str">
        <f>IF(G1306=$L1306,1,IF(G1306="","",0))</f>
        <v/>
      </c>
      <c r="G1306" s="23"/>
      <c r="H1306" s="6">
        <v>1932</v>
      </c>
      <c r="I1306" s="15" t="s">
        <v>3120</v>
      </c>
      <c r="J1306" s="6" t="s">
        <v>5031</v>
      </c>
      <c r="K1306" s="6"/>
      <c r="L1306" s="6" t="s">
        <v>2008</v>
      </c>
      <c r="M1306" s="6" t="s">
        <v>8038</v>
      </c>
      <c r="N1306" s="7">
        <f ca="1">RAND()</f>
        <v>0.50582422351702849</v>
      </c>
      <c r="O1306" s="8">
        <v>45212</v>
      </c>
      <c r="P1306" s="8">
        <v>45213</v>
      </c>
      <c r="Q1306" s="8">
        <v>45215</v>
      </c>
      <c r="R1306" s="8">
        <v>45219</v>
      </c>
      <c r="S1306" s="8">
        <v>45226</v>
      </c>
      <c r="T1306" s="8"/>
      <c r="U1306" s="8"/>
      <c r="V1306" s="10">
        <f>COUNTA(O1306:U1306)</f>
        <v>5</v>
      </c>
      <c r="W1306" s="11">
        <f>_xlfn.IFNA(INDEX(reading[[#This Row],[Memo 01]:[Memo 07]],MATCH(0,reading[[#This Row],[Memo 01]:[Memo 07]],-1)),"")</f>
        <v>45226</v>
      </c>
      <c r="X1306" s="11">
        <f ca="1">IFERROR(reading[[#This Row],[Previous]]+OFFSET(reading[[#Headers],[Memo 01]],-1,MATCH(0,reading[[#This Row],[Memo 01]:[Memo 07]],-1)-1),"")</f>
        <v>45238</v>
      </c>
      <c r="Y1306" s="10" t="str">
        <f ca="1">IF(reading[[#This Row],[Next]]&lt;&gt;"",IF(reading[[#This Row],[Next]]&gt;TODAY(),"OK",""),"")</f>
        <v/>
      </c>
      <c r="Z1306" s="13">
        <v>3</v>
      </c>
      <c r="AA1306" s="13">
        <v>2</v>
      </c>
      <c r="AB1306" s="13">
        <v>3</v>
      </c>
      <c r="AC1306" s="13">
        <v>3</v>
      </c>
      <c r="AD1306" s="13">
        <v>3</v>
      </c>
      <c r="AE1306" s="13"/>
      <c r="AF1306" s="13"/>
      <c r="AG1306" s="16">
        <f>IFERROR(SUMIF(reading[[#This Row],[1st]:[7th]],"&gt;0")/COUNTIF(reading[[#This Row],[1st]:[7th]],"&gt;0"),"")</f>
        <v>2.8</v>
      </c>
    </row>
    <row r="1307" spans="1:33" hidden="1" x14ac:dyDescent="0.2">
      <c r="A1307" s="4">
        <f>IF(B1307=1,3,IF(D1307=1,2,IF(F1307=1,1,0)))</f>
        <v>0</v>
      </c>
      <c r="B1307" s="4" t="str">
        <f>IF(C1307=$L1307,1,IF(C1307="","",0))</f>
        <v/>
      </c>
      <c r="C1307" s="42"/>
      <c r="D1307" s="4" t="str">
        <f>IF(E1307=$L1307,1,IF(E1307="","",0))</f>
        <v/>
      </c>
      <c r="E1307" s="18"/>
      <c r="F1307" s="4" t="str">
        <f>IF(G1307=$L1307,1,IF(G1307="","",0))</f>
        <v/>
      </c>
      <c r="G1307" s="14"/>
      <c r="H1307" s="6">
        <v>2551</v>
      </c>
      <c r="I1307" s="15" t="s">
        <v>3120</v>
      </c>
      <c r="J1307" s="6" t="s">
        <v>5612</v>
      </c>
      <c r="K1307" s="6"/>
      <c r="L1307" s="6" t="s">
        <v>2596</v>
      </c>
      <c r="M1307" s="6" t="s">
        <v>8656</v>
      </c>
      <c r="N1307" s="7">
        <f ca="1">RAND()</f>
        <v>0.44296078035083331</v>
      </c>
      <c r="O1307" s="8">
        <v>45219</v>
      </c>
      <c r="P1307" s="8">
        <v>45220</v>
      </c>
      <c r="Q1307" s="8">
        <v>45222</v>
      </c>
      <c r="R1307" s="8">
        <v>45226</v>
      </c>
      <c r="S1307" s="8">
        <v>45233</v>
      </c>
      <c r="T1307" s="8">
        <v>45823</v>
      </c>
      <c r="U1307" s="8"/>
      <c r="V1307" s="10">
        <f>COUNTA(O1307:U1307)</f>
        <v>6</v>
      </c>
      <c r="W1307" s="11">
        <f>_xlfn.IFNA(INDEX(reading[[#This Row],[Memo 01]:[Memo 07]],MATCH(0,reading[[#This Row],[Memo 01]:[Memo 07]],-1)),"")</f>
        <v>45823</v>
      </c>
      <c r="X1307" s="11">
        <f ca="1">IFERROR(reading[[#This Row],[Previous]]+OFFSET(reading[[#Headers],[Memo 01]],-1,MATCH(0,reading[[#This Row],[Memo 01]:[Memo 07]],-1)-1),"")</f>
        <v>45843</v>
      </c>
      <c r="Y1307" s="10" t="str">
        <f ca="1">IF(reading[[#This Row],[Next]]&lt;&gt;"",IF(reading[[#This Row],[Next]]&gt;TODAY(),"OK",""),"")</f>
        <v>OK</v>
      </c>
      <c r="Z1307" s="13">
        <v>3</v>
      </c>
      <c r="AA1307" s="13">
        <v>2</v>
      </c>
      <c r="AB1307" s="13">
        <v>3</v>
      </c>
      <c r="AC1307" s="13">
        <v>3</v>
      </c>
      <c r="AD1307" s="13">
        <v>3</v>
      </c>
      <c r="AE1307" s="13">
        <v>3</v>
      </c>
      <c r="AF1307" s="13"/>
      <c r="AG1307" s="16">
        <f>IFERROR(SUMIF(reading[[#This Row],[1st]:[7th]],"&gt;0")/COUNTIF(reading[[#This Row],[1st]:[7th]],"&gt;0"),"")</f>
        <v>2.8333333333333335</v>
      </c>
    </row>
    <row r="1308" spans="1:33" hidden="1" x14ac:dyDescent="0.2">
      <c r="A1308" s="4">
        <f>IF(B1308=1,3,IF(D1308=1,2,IF(F1308=1,1,0)))</f>
        <v>3</v>
      </c>
      <c r="B1308" s="4">
        <f>IF(C1308=$L1308,1,IF(C1308="","",0))</f>
        <v>1</v>
      </c>
      <c r="C1308" s="27" t="s">
        <v>1409</v>
      </c>
      <c r="D1308" s="4" t="str">
        <f>IF(E1308=$L1308,1,IF(E1308="","",0))</f>
        <v/>
      </c>
      <c r="E1308" s="14"/>
      <c r="F1308" s="4" t="str">
        <f>IF(G1308=$L1308,1,IF(G1308="","",0))</f>
        <v/>
      </c>
      <c r="G1308" s="14"/>
      <c r="H1308" s="6">
        <v>1312</v>
      </c>
      <c r="I1308" s="15" t="s">
        <v>3120</v>
      </c>
      <c r="J1308" s="6" t="s">
        <v>4429</v>
      </c>
      <c r="K1308" s="6"/>
      <c r="L1308" s="6" t="s">
        <v>1409</v>
      </c>
      <c r="M1308" s="6" t="s">
        <v>7419</v>
      </c>
      <c r="N1308" s="7">
        <f ca="1">RAND()</f>
        <v>0.39565470132547065</v>
      </c>
      <c r="O1308" s="8">
        <v>45207</v>
      </c>
      <c r="P1308" s="8">
        <v>45207</v>
      </c>
      <c r="Q1308" s="8">
        <v>45207</v>
      </c>
      <c r="R1308" s="8">
        <v>45207</v>
      </c>
      <c r="S1308" s="8">
        <v>45207</v>
      </c>
      <c r="T1308" s="8">
        <v>45207</v>
      </c>
      <c r="U1308" s="8">
        <v>45207</v>
      </c>
      <c r="V1308" s="10">
        <f>COUNTA(O1308:U1308)</f>
        <v>7</v>
      </c>
      <c r="W1308" s="11">
        <f>_xlfn.IFNA(INDEX(reading[[#This Row],[Memo 01]:[Memo 07]],MATCH(0,reading[[#This Row],[Memo 01]:[Memo 07]],-1)),"")</f>
        <v>45207</v>
      </c>
      <c r="X1308" s="11">
        <f ca="1">IFERROR(reading[[#This Row],[Previous]]+OFFSET(reading[[#Headers],[Memo 01]],-1,MATCH(0,reading[[#This Row],[Memo 01]:[Memo 07]],-1)-1),"")</f>
        <v>55207</v>
      </c>
      <c r="Y1308" s="10" t="str">
        <f ca="1">IF(reading[[#This Row],[Next]]&lt;&gt;"",IF(reading[[#This Row],[Next]]&gt;TODAY(),"OK",""),"")</f>
        <v>OK</v>
      </c>
      <c r="Z1308" s="13">
        <v>3</v>
      </c>
      <c r="AA1308" s="13"/>
      <c r="AB1308" s="13"/>
      <c r="AC1308" s="13"/>
      <c r="AD1308" s="13"/>
      <c r="AE1308" s="13"/>
      <c r="AF1308" s="13"/>
      <c r="AG1308" s="16">
        <f>IFERROR(SUMIF(reading[[#This Row],[1st]:[7th]],"&gt;0")/COUNTIF(reading[[#This Row],[1st]:[7th]],"&gt;0"),"")</f>
        <v>3</v>
      </c>
    </row>
    <row r="1309" spans="1:33" hidden="1" x14ac:dyDescent="0.2">
      <c r="A1309" s="4">
        <f>IF(B1309=1,3,IF(D1309=1,2,IF(F1309=1,1,0)))</f>
        <v>0</v>
      </c>
      <c r="B1309" s="4" t="str">
        <f>IF(C1309=$L1309,1,IF(C1309="","",0))</f>
        <v/>
      </c>
      <c r="C1309" s="42"/>
      <c r="D1309" s="4" t="str">
        <f>IF(E1309=$L1309,1,IF(E1309="","",0))</f>
        <v/>
      </c>
      <c r="E1309" s="14"/>
      <c r="F1309" s="4" t="str">
        <f>IF(G1309=$L1309,1,IF(G1309="","",0))</f>
        <v/>
      </c>
      <c r="G1309" s="14"/>
      <c r="H1309" s="6">
        <v>2105</v>
      </c>
      <c r="I1309" s="15" t="s">
        <v>3120</v>
      </c>
      <c r="J1309" s="6" t="s">
        <v>5194</v>
      </c>
      <c r="K1309" s="6"/>
      <c r="L1309" s="6" t="s">
        <v>2174</v>
      </c>
      <c r="M1309" s="6" t="s">
        <v>8211</v>
      </c>
      <c r="N1309" s="7">
        <f ca="1">RAND()</f>
        <v>0.5451401024732655</v>
      </c>
      <c r="O1309" s="8">
        <v>45214</v>
      </c>
      <c r="P1309" s="8">
        <v>45215</v>
      </c>
      <c r="Q1309" s="8">
        <v>45217</v>
      </c>
      <c r="R1309" s="8">
        <v>45221</v>
      </c>
      <c r="S1309" s="8">
        <v>45228</v>
      </c>
      <c r="T1309" s="8">
        <v>45824</v>
      </c>
      <c r="U1309" s="8"/>
      <c r="V1309" s="10">
        <f>COUNTA(O1309:U1309)</f>
        <v>6</v>
      </c>
      <c r="W1309" s="11">
        <f>_xlfn.IFNA(INDEX(reading[[#This Row],[Memo 01]:[Memo 07]],MATCH(0,reading[[#This Row],[Memo 01]:[Memo 07]],-1)),"")</f>
        <v>45824</v>
      </c>
      <c r="X1309" s="11">
        <f ca="1">IFERROR(reading[[#This Row],[Previous]]+OFFSET(reading[[#Headers],[Memo 01]],-1,MATCH(0,reading[[#This Row],[Memo 01]:[Memo 07]],-1)-1),"")</f>
        <v>45844</v>
      </c>
      <c r="Y1309" s="10" t="str">
        <f ca="1">IF(reading[[#This Row],[Next]]&lt;&gt;"",IF(reading[[#This Row],[Next]]&gt;TODAY(),"OK",""),"")</f>
        <v>OK</v>
      </c>
      <c r="Z1309" s="13">
        <v>3</v>
      </c>
      <c r="AA1309" s="13">
        <v>3</v>
      </c>
      <c r="AB1309" s="13">
        <v>3</v>
      </c>
      <c r="AC1309" s="13">
        <v>3</v>
      </c>
      <c r="AD1309" s="13">
        <v>3</v>
      </c>
      <c r="AE1309" s="13">
        <v>3</v>
      </c>
      <c r="AF1309" s="13"/>
      <c r="AG1309" s="16">
        <f>IFERROR(SUMIF(reading[[#This Row],[1st]:[7th]],"&gt;0")/COUNTIF(reading[[#This Row],[1st]:[7th]],"&gt;0"),"")</f>
        <v>3</v>
      </c>
    </row>
    <row r="1310" spans="1:33" hidden="1" x14ac:dyDescent="0.2">
      <c r="A1310" s="4">
        <f>IF(B1310=1,3,IF(D1310=1,2,IF(F1310=1,1,0)))</f>
        <v>0</v>
      </c>
      <c r="B1310" s="4" t="str">
        <f>IF(C1310=$L1310,1,IF(C1310="","",0))</f>
        <v/>
      </c>
      <c r="C1310" s="42"/>
      <c r="D1310" s="4" t="str">
        <f>IF(E1310=$L1310,1,IF(E1310="","",0))</f>
        <v/>
      </c>
      <c r="E1310" s="43"/>
      <c r="F1310" s="4" t="str">
        <f>IF(G1310=$L1310,1,IF(G1310="","",0))</f>
        <v/>
      </c>
      <c r="G1310" s="23"/>
      <c r="H1310" s="6">
        <v>1018</v>
      </c>
      <c r="I1310" s="15" t="s">
        <v>3120</v>
      </c>
      <c r="J1310" s="6" t="s">
        <v>4146</v>
      </c>
      <c r="K1310" s="6"/>
      <c r="L1310" s="6" t="s">
        <v>1128</v>
      </c>
      <c r="M1310" s="6" t="s">
        <v>7126</v>
      </c>
      <c r="N1310" s="7">
        <f ca="1">RAND()</f>
        <v>3.3220318259320147E-2</v>
      </c>
      <c r="O1310" s="8">
        <v>45205</v>
      </c>
      <c r="P1310" s="8">
        <v>45206</v>
      </c>
      <c r="Q1310" s="8">
        <v>45208</v>
      </c>
      <c r="R1310" s="8">
        <v>45212</v>
      </c>
      <c r="S1310" s="8">
        <v>45219</v>
      </c>
      <c r="T1310" s="8">
        <v>45231</v>
      </c>
      <c r="U1310" s="8">
        <v>45817</v>
      </c>
      <c r="V1310" s="10">
        <f>COUNTA(O1310:U1310)</f>
        <v>7</v>
      </c>
      <c r="W1310" s="11">
        <f>_xlfn.IFNA(INDEX(reading[[#This Row],[Memo 01]:[Memo 07]],MATCH(0,reading[[#This Row],[Memo 01]:[Memo 07]],-1)),"")</f>
        <v>45817</v>
      </c>
      <c r="X1310" s="11">
        <f ca="1">IFERROR(reading[[#This Row],[Previous]]+OFFSET(reading[[#Headers],[Memo 01]],-1,MATCH(0,reading[[#This Row],[Memo 01]:[Memo 07]],-1)-1),"")</f>
        <v>55817</v>
      </c>
      <c r="Y1310" s="10" t="str">
        <f ca="1">IF(reading[[#This Row],[Next]]&lt;&gt;"",IF(reading[[#This Row],[Next]]&gt;TODAY(),"OK",""),"")</f>
        <v>OK</v>
      </c>
      <c r="Z1310" s="13">
        <v>3</v>
      </c>
      <c r="AA1310" s="13">
        <v>3</v>
      </c>
      <c r="AB1310" s="13">
        <v>3</v>
      </c>
      <c r="AC1310" s="13">
        <v>3</v>
      </c>
      <c r="AD1310" s="13">
        <v>2</v>
      </c>
      <c r="AE1310" s="13">
        <v>3</v>
      </c>
      <c r="AF1310" s="13">
        <v>1</v>
      </c>
      <c r="AG1310" s="16">
        <f>IFERROR(SUMIF(reading[[#This Row],[1st]:[7th]],"&gt;0")/COUNTIF(reading[[#This Row],[1st]:[7th]],"&gt;0"),"")</f>
        <v>2.5714285714285716</v>
      </c>
    </row>
    <row r="1311" spans="1:33" hidden="1" x14ac:dyDescent="0.2">
      <c r="A1311" s="4">
        <f>IF(B1311=1,3,IF(D1311=1,2,IF(F1311=1,1,0)))</f>
        <v>3</v>
      </c>
      <c r="B1311" s="4">
        <f>IF(C1311=$L1311,1,IF(C1311="","",0))</f>
        <v>1</v>
      </c>
      <c r="C1311" s="28" t="s">
        <v>1412</v>
      </c>
      <c r="D1311" s="4" t="str">
        <f>IF(E1311=$L1311,1,IF(E1311="","",0))</f>
        <v/>
      </c>
      <c r="E1311" s="14"/>
      <c r="F1311" s="4" t="str">
        <f>IF(G1311=$L1311,1,IF(G1311="","",0))</f>
        <v/>
      </c>
      <c r="G1311" s="14"/>
      <c r="H1311" s="6">
        <v>1315</v>
      </c>
      <c r="I1311" s="15" t="s">
        <v>3120</v>
      </c>
      <c r="J1311" s="6" t="s">
        <v>4432</v>
      </c>
      <c r="K1311" s="6"/>
      <c r="L1311" s="6" t="s">
        <v>1412</v>
      </c>
      <c r="M1311" s="6" t="s">
        <v>7422</v>
      </c>
      <c r="N1311" s="7">
        <f ca="1">RAND()</f>
        <v>0.87111513188056544</v>
      </c>
      <c r="O1311" s="8">
        <v>45207</v>
      </c>
      <c r="P1311" s="8">
        <v>45207</v>
      </c>
      <c r="Q1311" s="8">
        <v>45207</v>
      </c>
      <c r="R1311" s="8">
        <v>45207</v>
      </c>
      <c r="S1311" s="8">
        <v>45207</v>
      </c>
      <c r="T1311" s="8">
        <v>45207</v>
      </c>
      <c r="U1311" s="8">
        <v>45207</v>
      </c>
      <c r="V1311" s="10">
        <f>COUNTA(O1311:U1311)</f>
        <v>7</v>
      </c>
      <c r="W1311" s="11">
        <f>_xlfn.IFNA(INDEX(reading[[#This Row],[Memo 01]:[Memo 07]],MATCH(0,reading[[#This Row],[Memo 01]:[Memo 07]],-1)),"")</f>
        <v>45207</v>
      </c>
      <c r="X1311" s="11">
        <f ca="1">IFERROR(reading[[#This Row],[Previous]]+OFFSET(reading[[#Headers],[Memo 01]],-1,MATCH(0,reading[[#This Row],[Memo 01]:[Memo 07]],-1)-1),"")</f>
        <v>55207</v>
      </c>
      <c r="Y1311" s="10" t="str">
        <f ca="1">IF(reading[[#This Row],[Next]]&lt;&gt;"",IF(reading[[#This Row],[Next]]&gt;TODAY(),"OK",""),"")</f>
        <v>OK</v>
      </c>
      <c r="Z1311" s="13">
        <v>3</v>
      </c>
      <c r="AA1311" s="13"/>
      <c r="AB1311" s="13"/>
      <c r="AC1311" s="13"/>
      <c r="AD1311" s="13"/>
      <c r="AE1311" s="13"/>
      <c r="AF1311" s="13"/>
      <c r="AG1311" s="16">
        <f>IFERROR(SUMIF(reading[[#This Row],[1st]:[7th]],"&gt;0")/COUNTIF(reading[[#This Row],[1st]:[7th]],"&gt;0"),"")</f>
        <v>3</v>
      </c>
    </row>
    <row r="1312" spans="1:33" hidden="1" x14ac:dyDescent="0.2">
      <c r="A1312" s="4">
        <f>IF(B1312=1,3,IF(D1312=1,2,IF(F1312=1,1,0)))</f>
        <v>0</v>
      </c>
      <c r="B1312" s="4" t="str">
        <f>IF(C1312=$L1312,1,IF(C1312="","",0))</f>
        <v/>
      </c>
      <c r="C1312" s="42"/>
      <c r="D1312" s="4" t="str">
        <f>IF(E1312=$L1312,1,IF(E1312="","",0))</f>
        <v/>
      </c>
      <c r="E1312" s="14"/>
      <c r="F1312" s="4" t="str">
        <f>IF(G1312=$L1312,1,IF(G1312="","",0))</f>
        <v/>
      </c>
      <c r="G1312" s="14"/>
      <c r="H1312" s="6">
        <v>1333</v>
      </c>
      <c r="I1312" s="15" t="s">
        <v>3120</v>
      </c>
      <c r="J1312" s="6" t="s">
        <v>4449</v>
      </c>
      <c r="K1312" s="6"/>
      <c r="L1312" s="6" t="s">
        <v>1430</v>
      </c>
      <c r="M1312" s="6" t="s">
        <v>7440</v>
      </c>
      <c r="N1312" s="7">
        <f ca="1">RAND()</f>
        <v>0.18903017103728259</v>
      </c>
      <c r="O1312" s="8">
        <v>45207</v>
      </c>
      <c r="P1312" s="8">
        <v>45208</v>
      </c>
      <c r="Q1312" s="8">
        <v>45210</v>
      </c>
      <c r="R1312" s="8">
        <v>45214</v>
      </c>
      <c r="S1312" s="8">
        <v>45221</v>
      </c>
      <c r="T1312" s="8">
        <v>45233</v>
      </c>
      <c r="U1312" s="8">
        <v>45823</v>
      </c>
      <c r="V1312" s="10">
        <f>COUNTA(O1312:U1312)</f>
        <v>7</v>
      </c>
      <c r="W1312" s="11">
        <f>_xlfn.IFNA(INDEX(reading[[#This Row],[Memo 01]:[Memo 07]],MATCH(0,reading[[#This Row],[Memo 01]:[Memo 07]],-1)),"")</f>
        <v>45823</v>
      </c>
      <c r="X1312" s="11">
        <f ca="1">IFERROR(reading[[#This Row],[Previous]]+OFFSET(reading[[#Headers],[Memo 01]],-1,MATCH(0,reading[[#This Row],[Memo 01]:[Memo 07]],-1)-1),"")</f>
        <v>55823</v>
      </c>
      <c r="Y1312" s="10" t="str">
        <f ca="1">IF(reading[[#This Row],[Next]]&lt;&gt;"",IF(reading[[#This Row],[Next]]&gt;TODAY(),"OK",""),"")</f>
        <v>OK</v>
      </c>
      <c r="Z1312" s="13">
        <v>3</v>
      </c>
      <c r="AA1312" s="13">
        <v>3</v>
      </c>
      <c r="AB1312" s="13">
        <v>2</v>
      </c>
      <c r="AC1312" s="13">
        <v>3</v>
      </c>
      <c r="AD1312" s="13">
        <v>3</v>
      </c>
      <c r="AE1312" s="13">
        <v>3</v>
      </c>
      <c r="AF1312" s="13">
        <v>3</v>
      </c>
      <c r="AG1312" s="16">
        <f>IFERROR(SUMIF(reading[[#This Row],[1st]:[7th]],"&gt;0")/COUNTIF(reading[[#This Row],[1st]:[7th]],"&gt;0"),"")</f>
        <v>2.8571428571428572</v>
      </c>
    </row>
    <row r="1313" spans="1:33" hidden="1" x14ac:dyDescent="0.2">
      <c r="A1313" s="4">
        <f>IF(B1313=1,3,IF(D1313=1,2,IF(F1313=1,1,0)))</f>
        <v>0</v>
      </c>
      <c r="B1313" s="4" t="str">
        <f>IF(C1313=$L1313,1,IF(C1313="","",0))</f>
        <v/>
      </c>
      <c r="C1313" s="42"/>
      <c r="D1313" s="4" t="str">
        <f>IF(E1313=$L1313,1,IF(E1313="","",0))</f>
        <v/>
      </c>
      <c r="E1313" s="14"/>
      <c r="F1313" s="4" t="str">
        <f>IF(G1313=$L1313,1,IF(G1313="","",0))</f>
        <v/>
      </c>
      <c r="G1313" s="14"/>
      <c r="H1313" s="6">
        <v>2061</v>
      </c>
      <c r="I1313" s="15" t="s">
        <v>3120</v>
      </c>
      <c r="J1313" s="6" t="s">
        <v>5156</v>
      </c>
      <c r="K1313" s="6"/>
      <c r="L1313" s="6" t="s">
        <v>2134</v>
      </c>
      <c r="M1313" s="6" t="s">
        <v>8167</v>
      </c>
      <c r="N1313" s="7">
        <f ca="1">RAND()</f>
        <v>0.62919963505117382</v>
      </c>
      <c r="O1313" s="8">
        <v>45214</v>
      </c>
      <c r="P1313" s="8">
        <v>45215</v>
      </c>
      <c r="Q1313" s="8">
        <v>45217</v>
      </c>
      <c r="R1313" s="8">
        <v>45221</v>
      </c>
      <c r="S1313" s="8">
        <v>45228</v>
      </c>
      <c r="T1313" s="8">
        <v>45801</v>
      </c>
      <c r="U1313" s="8">
        <v>45824</v>
      </c>
      <c r="V1313" s="10">
        <f>COUNTA(O1313:U1313)</f>
        <v>7</v>
      </c>
      <c r="W1313" s="11">
        <f>_xlfn.IFNA(INDEX(reading[[#This Row],[Memo 01]:[Memo 07]],MATCH(0,reading[[#This Row],[Memo 01]:[Memo 07]],-1)),"")</f>
        <v>45824</v>
      </c>
      <c r="X1313" s="11">
        <f ca="1">IFERROR(reading[[#This Row],[Previous]]+OFFSET(reading[[#Headers],[Memo 01]],-1,MATCH(0,reading[[#This Row],[Memo 01]:[Memo 07]],-1)-1),"")</f>
        <v>55824</v>
      </c>
      <c r="Y1313" s="10" t="str">
        <f ca="1">IF(reading[[#This Row],[Next]]&lt;&gt;"",IF(reading[[#This Row],[Next]]&gt;TODAY(),"OK",""),"")</f>
        <v>OK</v>
      </c>
      <c r="Z1313" s="13">
        <v>3</v>
      </c>
      <c r="AA1313" s="13">
        <v>3</v>
      </c>
      <c r="AB1313" s="13">
        <v>3</v>
      </c>
      <c r="AC1313" s="13">
        <v>3</v>
      </c>
      <c r="AD1313" s="13">
        <v>3</v>
      </c>
      <c r="AE1313" s="13">
        <v>3</v>
      </c>
      <c r="AF1313" s="13">
        <v>3</v>
      </c>
      <c r="AG1313" s="16">
        <f>IFERROR(SUMIF(reading[[#This Row],[1st]:[7th]],"&gt;0")/COUNTIF(reading[[#This Row],[1st]:[7th]],"&gt;0"),"")</f>
        <v>3</v>
      </c>
    </row>
    <row r="1314" spans="1:33" hidden="1" x14ac:dyDescent="0.2">
      <c r="A1314" s="4">
        <f>IF(B1314=1,3,IF(D1314=1,2,IF(F1314=1,1,0)))</f>
        <v>0</v>
      </c>
      <c r="B1314" s="4" t="str">
        <f>IF(C1314=$L1314,1,IF(C1314="","",0))</f>
        <v/>
      </c>
      <c r="C1314" s="43"/>
      <c r="D1314" s="4" t="str">
        <f>IF(E1314=$L1314,1,IF(E1314="","",0))</f>
        <v/>
      </c>
      <c r="E1314" s="14"/>
      <c r="F1314" s="4" t="str">
        <f>IF(G1314=$L1314,1,IF(G1314="","",0))</f>
        <v/>
      </c>
      <c r="G1314" s="14"/>
      <c r="H1314" s="6">
        <v>97</v>
      </c>
      <c r="I1314" s="15" t="s">
        <v>3120</v>
      </c>
      <c r="J1314" s="6" t="s">
        <v>3247</v>
      </c>
      <c r="K1314" s="6"/>
      <c r="L1314" s="6" t="s">
        <v>234</v>
      </c>
      <c r="M1314" s="6" t="s">
        <v>6206</v>
      </c>
      <c r="N1314" s="7">
        <f ca="1">RAND()</f>
        <v>0.31286822438914574</v>
      </c>
      <c r="O1314" s="8">
        <v>45198</v>
      </c>
      <c r="P1314" s="8">
        <v>45199</v>
      </c>
      <c r="Q1314" s="8">
        <v>45201</v>
      </c>
      <c r="R1314" s="8">
        <v>45205</v>
      </c>
      <c r="S1314" s="8">
        <v>45212</v>
      </c>
      <c r="T1314" s="8">
        <v>45224</v>
      </c>
      <c r="U1314" s="8">
        <v>45824</v>
      </c>
      <c r="V1314" s="10">
        <f>COUNTA(O1314:U1314)</f>
        <v>7</v>
      </c>
      <c r="W1314" s="11">
        <f>_xlfn.IFNA(INDEX(reading[[#This Row],[Memo 01]:[Memo 07]],MATCH(0,reading[[#This Row],[Memo 01]:[Memo 07]],-1)),"")</f>
        <v>45824</v>
      </c>
      <c r="X1314" s="11">
        <f ca="1">IFERROR(reading[[#This Row],[Previous]]+OFFSET(reading[[#Headers],[Memo 01]],-1,MATCH(0,reading[[#This Row],[Memo 01]:[Memo 07]],-1)-1),"")</f>
        <v>55824</v>
      </c>
      <c r="Y1314" s="10" t="str">
        <f ca="1">IF(reading[[#This Row],[Next]]&lt;&gt;"",IF(reading[[#This Row],[Next]]&gt;TODAY(),"OK",""),"")</f>
        <v>OK</v>
      </c>
      <c r="Z1314" s="13">
        <v>3</v>
      </c>
      <c r="AA1314" s="13">
        <v>3</v>
      </c>
      <c r="AB1314" s="13">
        <v>3</v>
      </c>
      <c r="AC1314" s="13">
        <v>3</v>
      </c>
      <c r="AD1314" s="13">
        <v>3</v>
      </c>
      <c r="AE1314" s="13">
        <v>3</v>
      </c>
      <c r="AF1314" s="13">
        <v>3</v>
      </c>
      <c r="AG1314" s="16">
        <f>IFERROR(SUMIF(reading[[#This Row],[1st]:[7th]],"&gt;0")/COUNTIF(reading[[#This Row],[1st]:[7th]],"&gt;0"),"")</f>
        <v>3</v>
      </c>
    </row>
    <row r="1315" spans="1:33" hidden="1" x14ac:dyDescent="0.2">
      <c r="A1315" s="4">
        <f>IF(B1315=1,3,IF(D1315=1,2,IF(F1315=1,1,0)))</f>
        <v>0</v>
      </c>
      <c r="B1315" s="4" t="str">
        <f>IF(C1315=$L1315,1,IF(C1315="","",0))</f>
        <v/>
      </c>
      <c r="C1315" s="42"/>
      <c r="D1315" s="4" t="str">
        <f>IF(E1315=$L1315,1,IF(E1315="","",0))</f>
        <v/>
      </c>
      <c r="E1315" s="23"/>
      <c r="F1315" s="4" t="str">
        <f>IF(G1315=$L1315,1,IF(G1315="","",0))</f>
        <v/>
      </c>
      <c r="G1315" s="14"/>
      <c r="H1315" s="6">
        <v>1480</v>
      </c>
      <c r="I1315" s="15" t="s">
        <v>3120</v>
      </c>
      <c r="J1315" s="6" t="s">
        <v>4594</v>
      </c>
      <c r="K1315" s="6"/>
      <c r="L1315" s="6" t="s">
        <v>1566</v>
      </c>
      <c r="M1315" s="6" t="s">
        <v>7587</v>
      </c>
      <c r="N1315" s="7">
        <f ca="1">RAND()</f>
        <v>0.77953493310011812</v>
      </c>
      <c r="O1315" s="8">
        <v>45208</v>
      </c>
      <c r="P1315" s="8">
        <v>45209</v>
      </c>
      <c r="Q1315" s="8">
        <v>45211</v>
      </c>
      <c r="R1315" s="8">
        <v>45215</v>
      </c>
      <c r="S1315" s="8">
        <v>45222</v>
      </c>
      <c r="T1315" s="8">
        <v>45234</v>
      </c>
      <c r="U1315" s="8">
        <v>45816</v>
      </c>
      <c r="V1315" s="10">
        <f>COUNTA(O1315:U1315)</f>
        <v>7</v>
      </c>
      <c r="W1315" s="11">
        <f>_xlfn.IFNA(INDEX(reading[[#This Row],[Memo 01]:[Memo 07]],MATCH(0,reading[[#This Row],[Memo 01]:[Memo 07]],-1)),"")</f>
        <v>45816</v>
      </c>
      <c r="X1315" s="11">
        <f ca="1">IFERROR(reading[[#This Row],[Previous]]+OFFSET(reading[[#Headers],[Memo 01]],-1,MATCH(0,reading[[#This Row],[Memo 01]:[Memo 07]],-1)-1),"")</f>
        <v>55816</v>
      </c>
      <c r="Y1315" s="10" t="str">
        <f ca="1">IF(reading[[#This Row],[Next]]&lt;&gt;"",IF(reading[[#This Row],[Next]]&gt;TODAY(),"OK",""),"")</f>
        <v>OK</v>
      </c>
      <c r="Z1315" s="13">
        <v>3</v>
      </c>
      <c r="AA1315" s="13">
        <v>3</v>
      </c>
      <c r="AB1315" s="13">
        <v>3</v>
      </c>
      <c r="AC1315" s="13">
        <v>3</v>
      </c>
      <c r="AD1315" s="13">
        <v>3</v>
      </c>
      <c r="AE1315" s="13">
        <v>3</v>
      </c>
      <c r="AF1315" s="13">
        <v>2</v>
      </c>
      <c r="AG1315" s="16">
        <f>IFERROR(SUMIF(reading[[#This Row],[1st]:[7th]],"&gt;0")/COUNTIF(reading[[#This Row],[1st]:[7th]],"&gt;0"),"")</f>
        <v>2.8571428571428572</v>
      </c>
    </row>
    <row r="1316" spans="1:33" hidden="1" x14ac:dyDescent="0.2">
      <c r="A1316" s="4">
        <f>IF(B1316=1,3,IF(D1316=1,2,IF(F1316=1,1,0)))</f>
        <v>0</v>
      </c>
      <c r="B1316" s="4" t="str">
        <f>IF(C1316=$L1316,1,IF(C1316="","",0))</f>
        <v/>
      </c>
      <c r="C1316" s="42"/>
      <c r="D1316" s="4" t="str">
        <f>IF(E1316=$L1316,1,IF(E1316="","",0))</f>
        <v/>
      </c>
      <c r="E1316" s="43"/>
      <c r="F1316" s="4" t="str">
        <f>IF(G1316=$L1316,1,IF(G1316="","",0))</f>
        <v/>
      </c>
      <c r="G1316" s="43"/>
      <c r="H1316" s="6">
        <v>2842</v>
      </c>
      <c r="I1316" s="15" t="s">
        <v>3120</v>
      </c>
      <c r="J1316" s="6" t="s">
        <v>5883</v>
      </c>
      <c r="K1316" s="6"/>
      <c r="L1316" s="6" t="s">
        <v>2877</v>
      </c>
      <c r="M1316" s="6" t="s">
        <v>8946</v>
      </c>
      <c r="N1316" s="7">
        <f ca="1">RAND()</f>
        <v>0.14135436732780682</v>
      </c>
      <c r="O1316" s="8">
        <v>45222</v>
      </c>
      <c r="P1316" s="8">
        <v>45223</v>
      </c>
      <c r="Q1316" s="8">
        <v>45225</v>
      </c>
      <c r="R1316" s="8">
        <v>45229</v>
      </c>
      <c r="S1316" s="8">
        <v>45236</v>
      </c>
      <c r="T1316" s="8">
        <v>45248</v>
      </c>
      <c r="U1316" s="8">
        <v>45816</v>
      </c>
      <c r="V1316" s="10">
        <f>COUNTA(O1316:U1316)</f>
        <v>7</v>
      </c>
      <c r="W1316" s="11">
        <f>_xlfn.IFNA(INDEX(reading[[#This Row],[Memo 01]:[Memo 07]],MATCH(0,reading[[#This Row],[Memo 01]:[Memo 07]],-1)),"")</f>
        <v>45816</v>
      </c>
      <c r="X1316" s="11">
        <f ca="1">IFERROR(reading[[#This Row],[Previous]]+OFFSET(reading[[#Headers],[Memo 01]],-1,MATCH(0,reading[[#This Row],[Memo 01]:[Memo 07]],-1)-1),"")</f>
        <v>55816</v>
      </c>
      <c r="Y1316" s="10" t="str">
        <f ca="1">IF(reading[[#This Row],[Next]]&lt;&gt;"",IF(reading[[#This Row],[Next]]&gt;TODAY(),"OK",""),"")</f>
        <v>OK</v>
      </c>
      <c r="Z1316" s="13">
        <v>3</v>
      </c>
      <c r="AA1316" s="13">
        <v>1</v>
      </c>
      <c r="AB1316" s="13">
        <v>2</v>
      </c>
      <c r="AC1316" s="13">
        <v>3</v>
      </c>
      <c r="AD1316" s="13">
        <v>3</v>
      </c>
      <c r="AE1316" s="13">
        <v>3</v>
      </c>
      <c r="AF1316" s="13">
        <v>1</v>
      </c>
      <c r="AG1316" s="16">
        <f>IFERROR(SUMIF(reading[[#This Row],[1st]:[7th]],"&gt;0")/COUNTIF(reading[[#This Row],[1st]:[7th]],"&gt;0"),"")</f>
        <v>2.2857142857142856</v>
      </c>
    </row>
    <row r="1317" spans="1:33" hidden="1" x14ac:dyDescent="0.2">
      <c r="A1317" s="4">
        <f>IF(B1317=1,3,IF(D1317=1,2,IF(F1317=1,1,0)))</f>
        <v>0</v>
      </c>
      <c r="B1317" s="4" t="str">
        <f>IF(C1317=$L1317,1,IF(C1317="","",0))</f>
        <v/>
      </c>
      <c r="C1317" s="42"/>
      <c r="D1317" s="4" t="str">
        <f>IF(E1317=$L1317,1,IF(E1317="","",0))</f>
        <v/>
      </c>
      <c r="E1317" s="14"/>
      <c r="F1317" s="4" t="str">
        <f>IF(G1317=$L1317,1,IF(G1317="","",0))</f>
        <v/>
      </c>
      <c r="G1317" s="14"/>
      <c r="H1317" s="6">
        <v>2190</v>
      </c>
      <c r="I1317" s="15" t="s">
        <v>3120</v>
      </c>
      <c r="J1317" s="6" t="s">
        <v>5277</v>
      </c>
      <c r="K1317" s="6"/>
      <c r="L1317" s="6" t="s">
        <v>2255</v>
      </c>
      <c r="M1317" s="6" t="s">
        <v>8296</v>
      </c>
      <c r="N1317" s="7">
        <f ca="1">RAND()</f>
        <v>5.8573546627705642E-2</v>
      </c>
      <c r="O1317" s="8">
        <v>45214</v>
      </c>
      <c r="P1317" s="8">
        <v>45215</v>
      </c>
      <c r="Q1317" s="8">
        <v>45217</v>
      </c>
      <c r="R1317" s="8">
        <v>45221</v>
      </c>
      <c r="S1317" s="8">
        <v>45228</v>
      </c>
      <c r="T1317" s="8">
        <v>45783</v>
      </c>
      <c r="U1317" s="8">
        <v>45823</v>
      </c>
      <c r="V1317" s="10">
        <f>COUNTA(O1317:U1317)</f>
        <v>7</v>
      </c>
      <c r="W1317" s="11">
        <f>_xlfn.IFNA(INDEX(reading[[#This Row],[Memo 01]:[Memo 07]],MATCH(0,reading[[#This Row],[Memo 01]:[Memo 07]],-1)),"")</f>
        <v>45823</v>
      </c>
      <c r="X1317" s="11">
        <f ca="1">IFERROR(reading[[#This Row],[Previous]]+OFFSET(reading[[#Headers],[Memo 01]],-1,MATCH(0,reading[[#This Row],[Memo 01]:[Memo 07]],-1)-1),"")</f>
        <v>55823</v>
      </c>
      <c r="Y1317" s="10" t="str">
        <f ca="1">IF(reading[[#This Row],[Next]]&lt;&gt;"",IF(reading[[#This Row],[Next]]&gt;TODAY(),"OK",""),"")</f>
        <v>OK</v>
      </c>
      <c r="Z1317" s="13">
        <v>3</v>
      </c>
      <c r="AA1317" s="13">
        <v>3</v>
      </c>
      <c r="AB1317" s="13">
        <v>3</v>
      </c>
      <c r="AC1317" s="13">
        <v>3</v>
      </c>
      <c r="AD1317" s="13">
        <v>3</v>
      </c>
      <c r="AE1317" s="13">
        <v>3</v>
      </c>
      <c r="AF1317" s="13">
        <v>3</v>
      </c>
      <c r="AG1317" s="16">
        <f>IFERROR(SUMIF(reading[[#This Row],[1st]:[7th]],"&gt;0")/COUNTIF(reading[[#This Row],[1st]:[7th]],"&gt;0"),"")</f>
        <v>3</v>
      </c>
    </row>
    <row r="1318" spans="1:33" hidden="1" x14ac:dyDescent="0.2">
      <c r="A1318" s="4">
        <f>IF(B1318=1,3,IF(D1318=1,2,IF(F1318=1,1,0)))</f>
        <v>0</v>
      </c>
      <c r="B1318" s="4" t="str">
        <f>IF(C1318=$L1318,1,IF(C1318="","",0))</f>
        <v/>
      </c>
      <c r="C1318" s="42"/>
      <c r="D1318" s="4" t="str">
        <f>IF(E1318=$L1318,1,IF(E1318="","",0))</f>
        <v/>
      </c>
      <c r="E1318" s="14"/>
      <c r="F1318" s="4" t="str">
        <f>IF(G1318=$L1318,1,IF(G1318="","",0))</f>
        <v/>
      </c>
      <c r="G1318" s="14"/>
      <c r="H1318" s="6">
        <v>445</v>
      </c>
      <c r="I1318" s="15" t="s">
        <v>3120</v>
      </c>
      <c r="J1318" s="6" t="s">
        <v>3591</v>
      </c>
      <c r="K1318" s="6"/>
      <c r="L1318" s="6" t="s">
        <v>574</v>
      </c>
      <c r="M1318" s="6" t="s">
        <v>6554</v>
      </c>
      <c r="N1318" s="7">
        <f ca="1">RAND()</f>
        <v>0.40451743237649818</v>
      </c>
      <c r="O1318" s="8">
        <v>45202</v>
      </c>
      <c r="P1318" s="8">
        <v>45203</v>
      </c>
      <c r="Q1318" s="8">
        <v>45205</v>
      </c>
      <c r="R1318" s="8">
        <v>45209</v>
      </c>
      <c r="S1318" s="8">
        <v>45216</v>
      </c>
      <c r="T1318" s="8">
        <v>45228</v>
      </c>
      <c r="U1318" s="8">
        <v>45823</v>
      </c>
      <c r="V1318" s="10">
        <f>COUNTA(O1318:U1318)</f>
        <v>7</v>
      </c>
      <c r="W1318" s="11">
        <f>_xlfn.IFNA(INDEX(reading[[#This Row],[Memo 01]:[Memo 07]],MATCH(0,reading[[#This Row],[Memo 01]:[Memo 07]],-1)),"")</f>
        <v>45823</v>
      </c>
      <c r="X1318" s="11">
        <f ca="1">IFERROR(reading[[#This Row],[Previous]]+OFFSET(reading[[#Headers],[Memo 01]],-1,MATCH(0,reading[[#This Row],[Memo 01]:[Memo 07]],-1)-1),"")</f>
        <v>55823</v>
      </c>
      <c r="Y1318" s="10" t="str">
        <f ca="1">IF(reading[[#This Row],[Next]]&lt;&gt;"",IF(reading[[#This Row],[Next]]&gt;TODAY(),"OK",""),"")</f>
        <v>OK</v>
      </c>
      <c r="Z1318" s="13">
        <v>3</v>
      </c>
      <c r="AA1318" s="13">
        <v>3</v>
      </c>
      <c r="AB1318" s="13">
        <v>3</v>
      </c>
      <c r="AC1318" s="13">
        <v>3</v>
      </c>
      <c r="AD1318" s="13">
        <v>3</v>
      </c>
      <c r="AE1318" s="13">
        <v>3</v>
      </c>
      <c r="AF1318" s="13">
        <v>3</v>
      </c>
      <c r="AG1318" s="16">
        <f>IFERROR(SUMIF(reading[[#This Row],[1st]:[7th]],"&gt;0")/COUNTIF(reading[[#This Row],[1st]:[7th]],"&gt;0"),"")</f>
        <v>3</v>
      </c>
    </row>
    <row r="1319" spans="1:33" hidden="1" x14ac:dyDescent="0.2">
      <c r="A1319" s="4">
        <f>IF(B1319=1,3,IF(D1319=1,2,IF(F1319=1,1,0)))</f>
        <v>0</v>
      </c>
      <c r="B1319" s="4" t="str">
        <f>IF(C1319=$L1319,1,IF(C1319="","",0))</f>
        <v/>
      </c>
      <c r="C1319" s="42"/>
      <c r="D1319" s="4" t="str">
        <f>IF(E1319=$L1319,1,IF(E1319="","",0))</f>
        <v/>
      </c>
      <c r="E1319" s="23"/>
      <c r="F1319" s="4" t="str">
        <f>IF(G1319=$L1319,1,IF(G1319="","",0))</f>
        <v/>
      </c>
      <c r="G1319" s="23"/>
      <c r="H1319" s="6">
        <v>2716</v>
      </c>
      <c r="I1319" s="15" t="s">
        <v>3120</v>
      </c>
      <c r="J1319" s="6" t="s">
        <v>5766</v>
      </c>
      <c r="K1319" s="6"/>
      <c r="L1319" s="6" t="s">
        <v>2754</v>
      </c>
      <c r="M1319" s="6" t="s">
        <v>8821</v>
      </c>
      <c r="N1319" s="7">
        <f ca="1">RAND()</f>
        <v>9.4847582033802835E-2</v>
      </c>
      <c r="O1319" s="8">
        <v>45221</v>
      </c>
      <c r="P1319" s="8">
        <v>45222</v>
      </c>
      <c r="Q1319" s="8">
        <v>45224</v>
      </c>
      <c r="R1319" s="8">
        <v>45228</v>
      </c>
      <c r="S1319" s="8">
        <v>45235</v>
      </c>
      <c r="T1319" s="8">
        <v>45816</v>
      </c>
      <c r="U1319" s="8"/>
      <c r="V1319" s="10">
        <f>COUNTA(O1319:U1319)</f>
        <v>6</v>
      </c>
      <c r="W1319" s="11">
        <f>_xlfn.IFNA(INDEX(reading[[#This Row],[Memo 01]:[Memo 07]],MATCH(0,reading[[#This Row],[Memo 01]:[Memo 07]],-1)),"")</f>
        <v>45816</v>
      </c>
      <c r="X1319" s="11">
        <f ca="1">IFERROR(reading[[#This Row],[Previous]]+OFFSET(reading[[#Headers],[Memo 01]],-1,MATCH(0,reading[[#This Row],[Memo 01]:[Memo 07]],-1)-1),"")</f>
        <v>45836</v>
      </c>
      <c r="Y1319" s="10" t="str">
        <f ca="1">IF(reading[[#This Row],[Next]]&lt;&gt;"",IF(reading[[#This Row],[Next]]&gt;TODAY(),"OK",""),"")</f>
        <v>OK</v>
      </c>
      <c r="Z1319" s="13">
        <v>3</v>
      </c>
      <c r="AA1319" s="13">
        <v>3</v>
      </c>
      <c r="AB1319" s="13">
        <v>3</v>
      </c>
      <c r="AC1319" s="13">
        <v>3</v>
      </c>
      <c r="AD1319" s="13">
        <v>3</v>
      </c>
      <c r="AE1319" s="13">
        <v>1</v>
      </c>
      <c r="AF1319" s="13"/>
      <c r="AG1319" s="16">
        <f>IFERROR(SUMIF(reading[[#This Row],[1st]:[7th]],"&gt;0")/COUNTIF(reading[[#This Row],[1st]:[7th]],"&gt;0"),"")</f>
        <v>2.6666666666666665</v>
      </c>
    </row>
    <row r="1320" spans="1:33" hidden="1" x14ac:dyDescent="0.2">
      <c r="A1320" s="4">
        <f>IF(B1320=1,3,IF(D1320=1,2,IF(F1320=1,1,0)))</f>
        <v>0</v>
      </c>
      <c r="B1320" s="4" t="str">
        <f>IF(C1320=$L1320,1,IF(C1320="","",0))</f>
        <v/>
      </c>
      <c r="C1320" s="42"/>
      <c r="D1320" s="4" t="str">
        <f>IF(E1320=$L1320,1,IF(E1320="","",0))</f>
        <v/>
      </c>
      <c r="E1320" s="14"/>
      <c r="F1320" s="4" t="str">
        <f>IF(G1320=$L1320,1,IF(G1320="","",0))</f>
        <v/>
      </c>
      <c r="G1320" s="14"/>
      <c r="H1320" s="6">
        <v>1223</v>
      </c>
      <c r="I1320" s="15" t="s">
        <v>3120</v>
      </c>
      <c r="J1320" s="6" t="s">
        <v>4340</v>
      </c>
      <c r="K1320" s="6"/>
      <c r="L1320" s="6" t="s">
        <v>1324</v>
      </c>
      <c r="M1320" s="6" t="s">
        <v>7330</v>
      </c>
      <c r="N1320" s="7">
        <f ca="1">RAND()</f>
        <v>0.2077302456602238</v>
      </c>
      <c r="O1320" s="8">
        <v>45206</v>
      </c>
      <c r="P1320" s="8">
        <v>45207</v>
      </c>
      <c r="Q1320" s="8">
        <v>45209</v>
      </c>
      <c r="R1320" s="8">
        <v>45213</v>
      </c>
      <c r="S1320" s="8">
        <v>45220</v>
      </c>
      <c r="T1320" s="8">
        <v>45232</v>
      </c>
      <c r="U1320" s="8">
        <v>45824</v>
      </c>
      <c r="V1320" s="10">
        <f>COUNTA(O1320:U1320)</f>
        <v>7</v>
      </c>
      <c r="W1320" s="11">
        <f>_xlfn.IFNA(INDEX(reading[[#This Row],[Memo 01]:[Memo 07]],MATCH(0,reading[[#This Row],[Memo 01]:[Memo 07]],-1)),"")</f>
        <v>45824</v>
      </c>
      <c r="X1320" s="11">
        <f ca="1">IFERROR(reading[[#This Row],[Previous]]+OFFSET(reading[[#Headers],[Memo 01]],-1,MATCH(0,reading[[#This Row],[Memo 01]:[Memo 07]],-1)-1),"")</f>
        <v>55824</v>
      </c>
      <c r="Y1320" s="10" t="str">
        <f ca="1">IF(reading[[#This Row],[Next]]&lt;&gt;"",IF(reading[[#This Row],[Next]]&gt;TODAY(),"OK",""),"")</f>
        <v>OK</v>
      </c>
      <c r="Z1320" s="13">
        <v>3</v>
      </c>
      <c r="AA1320" s="13">
        <v>3</v>
      </c>
      <c r="AB1320" s="13">
        <v>3</v>
      </c>
      <c r="AC1320" s="13">
        <v>3</v>
      </c>
      <c r="AD1320" s="13">
        <v>3</v>
      </c>
      <c r="AE1320" s="13">
        <v>3</v>
      </c>
      <c r="AF1320" s="13">
        <v>3</v>
      </c>
      <c r="AG1320" s="16">
        <f>IFERROR(SUMIF(reading[[#This Row],[1st]:[7th]],"&gt;0")/COUNTIF(reading[[#This Row],[1st]:[7th]],"&gt;0"),"")</f>
        <v>3</v>
      </c>
    </row>
    <row r="1321" spans="1:33" hidden="1" x14ac:dyDescent="0.2">
      <c r="A1321" s="4">
        <f>IF(B1321=1,3,IF(D1321=1,2,IF(F1321=1,1,0)))</f>
        <v>0</v>
      </c>
      <c r="B1321" s="4" t="str">
        <f>IF(C1321=$L1321,1,IF(C1321="","",0))</f>
        <v/>
      </c>
      <c r="C1321" s="42"/>
      <c r="D1321" s="4" t="str">
        <f>IF(E1321=$L1321,1,IF(E1321="","",0))</f>
        <v/>
      </c>
      <c r="E1321" s="14"/>
      <c r="F1321" s="4" t="str">
        <f>IF(G1321=$L1321,1,IF(G1321="","",0))</f>
        <v/>
      </c>
      <c r="G1321" s="14"/>
      <c r="H1321" s="6">
        <v>1629</v>
      </c>
      <c r="I1321" s="15" t="s">
        <v>3120</v>
      </c>
      <c r="J1321" s="6" t="s">
        <v>4741</v>
      </c>
      <c r="K1321" s="6"/>
      <c r="L1321" s="6" t="s">
        <v>1711</v>
      </c>
      <c r="M1321" s="6" t="s">
        <v>7735</v>
      </c>
      <c r="N1321" s="7">
        <f ca="1">RAND()</f>
        <v>0.97716039207882299</v>
      </c>
      <c r="O1321" s="8">
        <v>45210</v>
      </c>
      <c r="P1321" s="8">
        <v>45211</v>
      </c>
      <c r="Q1321" s="8">
        <v>45213</v>
      </c>
      <c r="R1321" s="8">
        <v>45217</v>
      </c>
      <c r="S1321" s="8">
        <v>45224</v>
      </c>
      <c r="T1321" s="8">
        <v>45236</v>
      </c>
      <c r="U1321" s="8">
        <v>45824</v>
      </c>
      <c r="V1321" s="10">
        <f>COUNTA(O1321:U1321)</f>
        <v>7</v>
      </c>
      <c r="W1321" s="11">
        <f>_xlfn.IFNA(INDEX(reading[[#This Row],[Memo 01]:[Memo 07]],MATCH(0,reading[[#This Row],[Memo 01]:[Memo 07]],-1)),"")</f>
        <v>45824</v>
      </c>
      <c r="X1321" s="11">
        <f ca="1">IFERROR(reading[[#This Row],[Previous]]+OFFSET(reading[[#Headers],[Memo 01]],-1,MATCH(0,reading[[#This Row],[Memo 01]:[Memo 07]],-1)-1),"")</f>
        <v>55824</v>
      </c>
      <c r="Y1321" s="10" t="str">
        <f ca="1">IF(reading[[#This Row],[Next]]&lt;&gt;"",IF(reading[[#This Row],[Next]]&gt;TODAY(),"OK",""),"")</f>
        <v>OK</v>
      </c>
      <c r="Z1321" s="13">
        <v>3</v>
      </c>
      <c r="AA1321" s="13">
        <v>3</v>
      </c>
      <c r="AB1321" s="13">
        <v>3</v>
      </c>
      <c r="AC1321" s="13">
        <v>3</v>
      </c>
      <c r="AD1321" s="13">
        <v>3</v>
      </c>
      <c r="AE1321" s="13">
        <v>3</v>
      </c>
      <c r="AF1321" s="13">
        <v>3</v>
      </c>
      <c r="AG1321" s="16">
        <f>IFERROR(SUMIF(reading[[#This Row],[1st]:[7th]],"&gt;0")/COUNTIF(reading[[#This Row],[1st]:[7th]],"&gt;0"),"")</f>
        <v>3</v>
      </c>
    </row>
    <row r="1322" spans="1:33" hidden="1" x14ac:dyDescent="0.2">
      <c r="A1322" s="4">
        <f>IF(B1322=1,3,IF(D1322=1,2,IF(F1322=1,1,0)))</f>
        <v>0</v>
      </c>
      <c r="B1322" s="4" t="str">
        <f>IF(C1322=$L1322,1,IF(C1322="","",0))</f>
        <v/>
      </c>
      <c r="C1322" s="42"/>
      <c r="D1322" s="4" t="str">
        <f>IF(E1322=$L1322,1,IF(E1322="","",0))</f>
        <v/>
      </c>
      <c r="E1322" s="43"/>
      <c r="F1322" s="4" t="str">
        <f>IF(G1322=$L1322,1,IF(G1322="","",0))</f>
        <v/>
      </c>
      <c r="G1322" s="23"/>
      <c r="H1322" s="6">
        <v>2334</v>
      </c>
      <c r="I1322" s="15" t="s">
        <v>3120</v>
      </c>
      <c r="J1322" s="6" t="s">
        <v>5411</v>
      </c>
      <c r="K1322" s="6"/>
      <c r="L1322" s="6" t="s">
        <v>2388</v>
      </c>
      <c r="M1322" s="6" t="s">
        <v>8439</v>
      </c>
      <c r="N1322" s="7">
        <f ca="1">RAND()</f>
        <v>0.21684137276736304</v>
      </c>
      <c r="O1322" s="8">
        <v>45216</v>
      </c>
      <c r="P1322" s="8">
        <v>45217</v>
      </c>
      <c r="Q1322" s="8">
        <v>45219</v>
      </c>
      <c r="R1322" s="8">
        <v>45223</v>
      </c>
      <c r="S1322" s="8">
        <v>45230</v>
      </c>
      <c r="T1322" s="8">
        <v>45824</v>
      </c>
      <c r="U1322" s="8"/>
      <c r="V1322" s="10">
        <f>COUNTA(O1322:U1322)</f>
        <v>6</v>
      </c>
      <c r="W1322" s="11">
        <f>_xlfn.IFNA(INDEX(reading[[#This Row],[Memo 01]:[Memo 07]],MATCH(0,reading[[#This Row],[Memo 01]:[Memo 07]],-1)),"")</f>
        <v>45824</v>
      </c>
      <c r="X1322" s="11">
        <f ca="1">IFERROR(reading[[#This Row],[Previous]]+OFFSET(reading[[#Headers],[Memo 01]],-1,MATCH(0,reading[[#This Row],[Memo 01]:[Memo 07]],-1)-1),"")</f>
        <v>45844</v>
      </c>
      <c r="Y1322" s="10" t="str">
        <f ca="1">IF(reading[[#This Row],[Next]]&lt;&gt;"",IF(reading[[#This Row],[Next]]&gt;TODAY(),"OK",""),"")</f>
        <v>OK</v>
      </c>
      <c r="Z1322" s="13">
        <v>3</v>
      </c>
      <c r="AA1322" s="13">
        <v>3</v>
      </c>
      <c r="AB1322" s="13">
        <v>3</v>
      </c>
      <c r="AC1322" s="13">
        <v>3</v>
      </c>
      <c r="AD1322" s="13">
        <v>2</v>
      </c>
      <c r="AE1322" s="13">
        <v>1</v>
      </c>
      <c r="AF1322" s="13"/>
      <c r="AG1322" s="16">
        <f>IFERROR(SUMIF(reading[[#This Row],[1st]:[7th]],"&gt;0")/COUNTIF(reading[[#This Row],[1st]:[7th]],"&gt;0"),"")</f>
        <v>2.5</v>
      </c>
    </row>
    <row r="1323" spans="1:33" hidden="1" x14ac:dyDescent="0.2">
      <c r="A1323" s="4">
        <f>IF(B1323=1,3,IF(D1323=1,2,IF(F1323=1,1,0)))</f>
        <v>0</v>
      </c>
      <c r="B1323" s="4" t="str">
        <f>IF(C1323=$L1323,1,IF(C1323="","",0))</f>
        <v/>
      </c>
      <c r="C1323" s="41"/>
      <c r="D1323" s="4" t="str">
        <f>IF(E1323=$L1323,1,IF(E1323="","",0))</f>
        <v/>
      </c>
      <c r="E1323" s="18"/>
      <c r="F1323" s="4" t="str">
        <f>IF(G1323=$L1323,1,IF(G1323="","",0))</f>
        <v/>
      </c>
      <c r="G1323" s="18"/>
      <c r="H1323" s="6">
        <v>185</v>
      </c>
      <c r="I1323" s="15" t="s">
        <v>3120</v>
      </c>
      <c r="J1323" s="6" t="s">
        <v>3334</v>
      </c>
      <c r="K1323" s="6"/>
      <c r="L1323" s="6" t="s">
        <v>322</v>
      </c>
      <c r="M1323" s="6" t="s">
        <v>6294</v>
      </c>
      <c r="N1323" s="7">
        <f ca="1">RAND()</f>
        <v>0.71692408206319813</v>
      </c>
      <c r="O1323" s="8">
        <v>45199</v>
      </c>
      <c r="P1323" s="8">
        <v>45200</v>
      </c>
      <c r="Q1323" s="8">
        <v>45202</v>
      </c>
      <c r="R1323" s="8">
        <v>45206</v>
      </c>
      <c r="S1323" s="8">
        <v>45213</v>
      </c>
      <c r="T1323" s="8">
        <v>45225</v>
      </c>
      <c r="U1323" s="8">
        <v>45252</v>
      </c>
      <c r="V1323" s="10">
        <f>COUNTA(O1323:U1323)</f>
        <v>7</v>
      </c>
      <c r="W1323" s="11">
        <f>_xlfn.IFNA(INDEX(reading[[#This Row],[Memo 01]:[Memo 07]],MATCH(0,reading[[#This Row],[Memo 01]:[Memo 07]],-1)),"")</f>
        <v>45252</v>
      </c>
      <c r="X1323" s="11">
        <f ca="1">IFERROR(reading[[#This Row],[Previous]]+OFFSET(reading[[#Headers],[Memo 01]],-1,MATCH(0,reading[[#This Row],[Memo 01]:[Memo 07]],-1)-1),"")</f>
        <v>55252</v>
      </c>
      <c r="Y1323" s="10" t="str">
        <f ca="1">IF(reading[[#This Row],[Next]]&lt;&gt;"",IF(reading[[#This Row],[Next]]&gt;TODAY(),"OK",""),"")</f>
        <v>OK</v>
      </c>
      <c r="Z1323" s="13">
        <v>3</v>
      </c>
      <c r="AA1323" s="13">
        <v>2</v>
      </c>
      <c r="AB1323" s="13">
        <v>3</v>
      </c>
      <c r="AC1323" s="13">
        <v>2</v>
      </c>
      <c r="AD1323" s="13">
        <v>2</v>
      </c>
      <c r="AE1323" s="13">
        <v>3</v>
      </c>
      <c r="AF1323" s="13">
        <v>1</v>
      </c>
      <c r="AG1323" s="16">
        <f>IFERROR(SUMIF(reading[[#This Row],[1st]:[7th]],"&gt;0")/COUNTIF(reading[[#This Row],[1st]:[7th]],"&gt;0"),"")</f>
        <v>2.2857142857142856</v>
      </c>
    </row>
    <row r="1324" spans="1:33" hidden="1" x14ac:dyDescent="0.2">
      <c r="A1324" s="4">
        <f>IF(B1324=1,3,IF(D1324=1,2,IF(F1324=1,1,0)))</f>
        <v>0</v>
      </c>
      <c r="B1324" s="4" t="str">
        <f>IF(C1324=$L1324,1,IF(C1324="","",0))</f>
        <v/>
      </c>
      <c r="C1324" s="42"/>
      <c r="D1324" s="4" t="str">
        <f>IF(E1324=$L1324,1,IF(E1324="","",0))</f>
        <v/>
      </c>
      <c r="E1324" s="14"/>
      <c r="F1324" s="4" t="str">
        <f>IF(G1324=$L1324,1,IF(G1324="","",0))</f>
        <v/>
      </c>
      <c r="G1324" s="14"/>
      <c r="H1324" s="6">
        <v>2250</v>
      </c>
      <c r="I1324" s="15" t="s">
        <v>3120</v>
      </c>
      <c r="J1324" s="6" t="s">
        <v>5334</v>
      </c>
      <c r="K1324" s="6"/>
      <c r="L1324" s="6" t="s">
        <v>2312</v>
      </c>
      <c r="M1324" s="6" t="s">
        <v>8355</v>
      </c>
      <c r="N1324" s="7">
        <f ca="1">RAND()</f>
        <v>0.11695155916765498</v>
      </c>
      <c r="O1324" s="8">
        <v>45215</v>
      </c>
      <c r="P1324" s="8">
        <v>45216</v>
      </c>
      <c r="Q1324" s="8">
        <v>45218</v>
      </c>
      <c r="R1324" s="8">
        <v>45222</v>
      </c>
      <c r="S1324" s="8">
        <v>45229</v>
      </c>
      <c r="T1324" s="8">
        <v>45823</v>
      </c>
      <c r="U1324" s="8"/>
      <c r="V1324" s="10">
        <f>COUNTA(O1324:U1324)</f>
        <v>6</v>
      </c>
      <c r="W1324" s="11">
        <f>_xlfn.IFNA(INDEX(reading[[#This Row],[Memo 01]:[Memo 07]],MATCH(0,reading[[#This Row],[Memo 01]:[Memo 07]],-1)),"")</f>
        <v>45823</v>
      </c>
      <c r="X1324" s="11">
        <f ca="1">IFERROR(reading[[#This Row],[Previous]]+OFFSET(reading[[#Headers],[Memo 01]],-1,MATCH(0,reading[[#This Row],[Memo 01]:[Memo 07]],-1)-1),"")</f>
        <v>45843</v>
      </c>
      <c r="Y1324" s="10" t="str">
        <f ca="1">IF(reading[[#This Row],[Next]]&lt;&gt;"",IF(reading[[#This Row],[Next]]&gt;TODAY(),"OK",""),"")</f>
        <v>OK</v>
      </c>
      <c r="Z1324" s="13">
        <v>3</v>
      </c>
      <c r="AA1324" s="13">
        <v>3</v>
      </c>
      <c r="AB1324" s="13">
        <v>3</v>
      </c>
      <c r="AC1324" s="13">
        <v>3</v>
      </c>
      <c r="AD1324" s="13">
        <v>3</v>
      </c>
      <c r="AE1324" s="13">
        <v>3</v>
      </c>
      <c r="AF1324" s="13"/>
      <c r="AG1324" s="16">
        <f>IFERROR(SUMIF(reading[[#This Row],[1st]:[7th]],"&gt;0")/COUNTIF(reading[[#This Row],[1st]:[7th]],"&gt;0"),"")</f>
        <v>3</v>
      </c>
    </row>
    <row r="1325" spans="1:33" hidden="1" x14ac:dyDescent="0.2">
      <c r="A1325" s="4">
        <f>IF(B1325=1,3,IF(D1325=1,2,IF(F1325=1,1,0)))</f>
        <v>0</v>
      </c>
      <c r="B1325" s="4" t="str">
        <f>IF(C1325=$L1325,1,IF(C1325="","",0))</f>
        <v/>
      </c>
      <c r="C1325" s="42"/>
      <c r="D1325" s="4" t="str">
        <f>IF(E1325=$L1325,1,IF(E1325="","",0))</f>
        <v/>
      </c>
      <c r="E1325" s="43"/>
      <c r="F1325" s="4" t="str">
        <f>IF(G1325=$L1325,1,IF(G1325="","",0))</f>
        <v/>
      </c>
      <c r="G1325" s="43"/>
      <c r="H1325" s="6">
        <v>1337</v>
      </c>
      <c r="I1325" s="15" t="s">
        <v>3120</v>
      </c>
      <c r="J1325" s="6" t="s">
        <v>4452</v>
      </c>
      <c r="K1325" s="6" t="s">
        <v>3139</v>
      </c>
      <c r="L1325" s="6" t="s">
        <v>1434</v>
      </c>
      <c r="M1325" s="6" t="s">
        <v>7444</v>
      </c>
      <c r="N1325" s="7">
        <f ca="1">RAND()</f>
        <v>0.85576193672535628</v>
      </c>
      <c r="O1325" s="8">
        <v>45207</v>
      </c>
      <c r="P1325" s="8">
        <v>45208</v>
      </c>
      <c r="Q1325" s="8">
        <v>45211</v>
      </c>
      <c r="R1325" s="8">
        <v>45215</v>
      </c>
      <c r="S1325" s="8">
        <v>45222</v>
      </c>
      <c r="T1325" s="8">
        <v>45234</v>
      </c>
      <c r="U1325" s="8">
        <v>45816</v>
      </c>
      <c r="V1325" s="10">
        <f>COUNTA(O1325:U1325)</f>
        <v>7</v>
      </c>
      <c r="W1325" s="11">
        <f>_xlfn.IFNA(INDEX(reading[[#This Row],[Memo 01]:[Memo 07]],MATCH(0,reading[[#This Row],[Memo 01]:[Memo 07]],-1)),"")</f>
        <v>45816</v>
      </c>
      <c r="X1325" s="11">
        <f ca="1">IFERROR(reading[[#This Row],[Previous]]+OFFSET(reading[[#Headers],[Memo 01]],-1,MATCH(0,reading[[#This Row],[Memo 01]:[Memo 07]],-1)-1),"")</f>
        <v>55816</v>
      </c>
      <c r="Y1325" s="10" t="str">
        <f ca="1">IF(reading[[#This Row],[Next]]&lt;&gt;"",IF(reading[[#This Row],[Next]]&gt;TODAY(),"OK",""),"")</f>
        <v>OK</v>
      </c>
      <c r="Z1325" s="13">
        <v>3</v>
      </c>
      <c r="AA1325" s="13">
        <v>2</v>
      </c>
      <c r="AB1325" s="13">
        <v>1</v>
      </c>
      <c r="AC1325" s="13">
        <v>3</v>
      </c>
      <c r="AD1325" s="13">
        <v>2</v>
      </c>
      <c r="AE1325" s="13">
        <v>3</v>
      </c>
      <c r="AF1325" s="13">
        <v>2</v>
      </c>
      <c r="AG1325" s="16">
        <f>IFERROR(SUMIF(reading[[#This Row],[1st]:[7th]],"&gt;0")/COUNTIF(reading[[#This Row],[1st]:[7th]],"&gt;0"),"")</f>
        <v>2.2857142857142856</v>
      </c>
    </row>
    <row r="1326" spans="1:33" hidden="1" x14ac:dyDescent="0.2">
      <c r="A1326" s="4">
        <f>IF(B1326=1,3,IF(D1326=1,2,IF(F1326=1,1,0)))</f>
        <v>0</v>
      </c>
      <c r="B1326" s="4" t="str">
        <f>IF(C1326=$L1326,1,IF(C1326="","",0))</f>
        <v/>
      </c>
      <c r="C1326" s="42"/>
      <c r="D1326" s="4" t="str">
        <f>IF(E1326=$L1326,1,IF(E1326="","",0))</f>
        <v/>
      </c>
      <c r="E1326" s="14"/>
      <c r="F1326" s="4" t="str">
        <f>IF(G1326=$L1326,1,IF(G1326="","",0))</f>
        <v/>
      </c>
      <c r="G1326" s="14"/>
      <c r="H1326" s="6">
        <v>616</v>
      </c>
      <c r="I1326" s="15" t="s">
        <v>3120</v>
      </c>
      <c r="J1326" s="6" t="s">
        <v>3758</v>
      </c>
      <c r="K1326" s="6"/>
      <c r="L1326" s="6" t="s">
        <v>739</v>
      </c>
      <c r="M1326" s="6" t="s">
        <v>6725</v>
      </c>
      <c r="N1326" s="7">
        <f ca="1">RAND()</f>
        <v>0.52277401996864192</v>
      </c>
      <c r="O1326" s="8">
        <v>45202</v>
      </c>
      <c r="P1326" s="8">
        <v>45203</v>
      </c>
      <c r="Q1326" s="8">
        <v>45205</v>
      </c>
      <c r="R1326" s="8">
        <v>45209</v>
      </c>
      <c r="S1326" s="8">
        <v>45216</v>
      </c>
      <c r="T1326" s="8">
        <v>45228</v>
      </c>
      <c r="U1326" s="8">
        <v>45823</v>
      </c>
      <c r="V1326" s="10">
        <f>COUNTA(O1326:U1326)</f>
        <v>7</v>
      </c>
      <c r="W1326" s="11">
        <f>_xlfn.IFNA(INDEX(reading[[#This Row],[Memo 01]:[Memo 07]],MATCH(0,reading[[#This Row],[Memo 01]:[Memo 07]],-1)),"")</f>
        <v>45823</v>
      </c>
      <c r="X1326" s="11">
        <f ca="1">IFERROR(reading[[#This Row],[Previous]]+OFFSET(reading[[#Headers],[Memo 01]],-1,MATCH(0,reading[[#This Row],[Memo 01]:[Memo 07]],-1)-1),"")</f>
        <v>55823</v>
      </c>
      <c r="Y1326" s="10" t="str">
        <f ca="1">IF(reading[[#This Row],[Next]]&lt;&gt;"",IF(reading[[#This Row],[Next]]&gt;TODAY(),"OK",""),"")</f>
        <v>OK</v>
      </c>
      <c r="Z1326" s="13">
        <v>3</v>
      </c>
      <c r="AA1326" s="13">
        <v>3</v>
      </c>
      <c r="AB1326" s="13">
        <v>3</v>
      </c>
      <c r="AC1326" s="13">
        <v>3</v>
      </c>
      <c r="AD1326" s="13">
        <v>3</v>
      </c>
      <c r="AE1326" s="13">
        <v>3</v>
      </c>
      <c r="AF1326" s="13">
        <v>3</v>
      </c>
      <c r="AG1326" s="16">
        <f>IFERROR(SUMIF(reading[[#This Row],[1st]:[7th]],"&gt;0")/COUNTIF(reading[[#This Row],[1st]:[7th]],"&gt;0"),"")</f>
        <v>3</v>
      </c>
    </row>
    <row r="1327" spans="1:33" hidden="1" x14ac:dyDescent="0.2">
      <c r="A1327" s="4">
        <f>IF(B1327=1,3,IF(D1327=1,2,IF(F1327=1,1,0)))</f>
        <v>0</v>
      </c>
      <c r="B1327" s="4" t="str">
        <f>IF(C1327=$L1327,1,IF(C1327="","",0))</f>
        <v/>
      </c>
      <c r="C1327" s="42"/>
      <c r="D1327" s="4" t="str">
        <f>IF(E1327=$L1327,1,IF(E1327="","",0))</f>
        <v/>
      </c>
      <c r="E1327" s="18"/>
      <c r="F1327" s="4" t="str">
        <f>IF(G1327=$L1327,1,IF(G1327="","",0))</f>
        <v/>
      </c>
      <c r="G1327" s="14"/>
      <c r="H1327" s="6">
        <v>2167</v>
      </c>
      <c r="I1327" s="15" t="s">
        <v>3120</v>
      </c>
      <c r="J1327" s="6" t="s">
        <v>5255</v>
      </c>
      <c r="K1327" s="6"/>
      <c r="L1327" s="6" t="s">
        <v>2233</v>
      </c>
      <c r="M1327" s="6" t="s">
        <v>8273</v>
      </c>
      <c r="N1327" s="7">
        <f ca="1">RAND()</f>
        <v>7.3110778419483657E-2</v>
      </c>
      <c r="O1327" s="8">
        <v>45214</v>
      </c>
      <c r="P1327" s="8">
        <v>45215</v>
      </c>
      <c r="Q1327" s="8">
        <v>45217</v>
      </c>
      <c r="R1327" s="8">
        <v>45221</v>
      </c>
      <c r="S1327" s="8">
        <v>45228</v>
      </c>
      <c r="T1327" s="8">
        <v>45823</v>
      </c>
      <c r="U1327" s="8"/>
      <c r="V1327" s="10">
        <f>COUNTA(O1327:U1327)</f>
        <v>6</v>
      </c>
      <c r="W1327" s="11">
        <f>_xlfn.IFNA(INDEX(reading[[#This Row],[Memo 01]:[Memo 07]],MATCH(0,reading[[#This Row],[Memo 01]:[Memo 07]],-1)),"")</f>
        <v>45823</v>
      </c>
      <c r="X1327" s="11">
        <f ca="1">IFERROR(reading[[#This Row],[Previous]]+OFFSET(reading[[#Headers],[Memo 01]],-1,MATCH(0,reading[[#This Row],[Memo 01]:[Memo 07]],-1)-1),"")</f>
        <v>45843</v>
      </c>
      <c r="Y1327" s="10" t="str">
        <f ca="1">IF(reading[[#This Row],[Next]]&lt;&gt;"",IF(reading[[#This Row],[Next]]&gt;TODAY(),"OK",""),"")</f>
        <v>OK</v>
      </c>
      <c r="Z1327" s="13">
        <v>3</v>
      </c>
      <c r="AA1327" s="13">
        <v>3</v>
      </c>
      <c r="AB1327" s="13">
        <v>2</v>
      </c>
      <c r="AC1327" s="13">
        <v>3</v>
      </c>
      <c r="AD1327" s="13">
        <v>3</v>
      </c>
      <c r="AE1327" s="13">
        <v>3</v>
      </c>
      <c r="AF1327" s="13"/>
      <c r="AG1327" s="16">
        <f>IFERROR(SUMIF(reading[[#This Row],[1st]:[7th]],"&gt;0")/COUNTIF(reading[[#This Row],[1st]:[7th]],"&gt;0"),"")</f>
        <v>2.8333333333333335</v>
      </c>
    </row>
    <row r="1328" spans="1:33" hidden="1" x14ac:dyDescent="0.2">
      <c r="A1328" s="4">
        <f>IF(B1328=1,3,IF(D1328=1,2,IF(F1328=1,1,0)))</f>
        <v>0</v>
      </c>
      <c r="B1328" s="4" t="str">
        <f>IF(C1328=$L1328,1,IF(C1328="","",0))</f>
        <v/>
      </c>
      <c r="C1328" s="42"/>
      <c r="D1328" s="4" t="str">
        <f>IF(E1328=$L1328,1,IF(E1328="","",0))</f>
        <v/>
      </c>
      <c r="E1328" s="14"/>
      <c r="F1328" s="4" t="str">
        <f>IF(G1328=$L1328,1,IF(G1328="","",0))</f>
        <v/>
      </c>
      <c r="G1328" s="14"/>
      <c r="H1328" s="6">
        <v>2206</v>
      </c>
      <c r="I1328" s="15" t="s">
        <v>3120</v>
      </c>
      <c r="J1328" s="6" t="s">
        <v>5292</v>
      </c>
      <c r="K1328" s="6"/>
      <c r="L1328" s="6" t="s">
        <v>2269</v>
      </c>
      <c r="M1328" s="6" t="s">
        <v>8312</v>
      </c>
      <c r="N1328" s="7">
        <f ca="1">RAND()</f>
        <v>0.94542144855295929</v>
      </c>
      <c r="O1328" s="8">
        <v>45215</v>
      </c>
      <c r="P1328" s="8">
        <v>45216</v>
      </c>
      <c r="Q1328" s="8">
        <v>45218</v>
      </c>
      <c r="R1328" s="8">
        <v>45222</v>
      </c>
      <c r="S1328" s="8">
        <v>45229</v>
      </c>
      <c r="T1328" s="8">
        <v>45792</v>
      </c>
      <c r="U1328" s="8">
        <v>45823</v>
      </c>
      <c r="V1328" s="10">
        <f>COUNTA(O1328:U1328)</f>
        <v>7</v>
      </c>
      <c r="W1328" s="11">
        <f>_xlfn.IFNA(INDEX(reading[[#This Row],[Memo 01]:[Memo 07]],MATCH(0,reading[[#This Row],[Memo 01]:[Memo 07]],-1)),"")</f>
        <v>45823</v>
      </c>
      <c r="X1328" s="11">
        <f ca="1">IFERROR(reading[[#This Row],[Previous]]+OFFSET(reading[[#Headers],[Memo 01]],-1,MATCH(0,reading[[#This Row],[Memo 01]:[Memo 07]],-1)-1),"")</f>
        <v>55823</v>
      </c>
      <c r="Y1328" s="10" t="str">
        <f ca="1">IF(reading[[#This Row],[Next]]&lt;&gt;"",IF(reading[[#This Row],[Next]]&gt;TODAY(),"OK",""),"")</f>
        <v>OK</v>
      </c>
      <c r="Z1328" s="13">
        <v>3</v>
      </c>
      <c r="AA1328" s="13">
        <v>3</v>
      </c>
      <c r="AB1328" s="13">
        <v>3</v>
      </c>
      <c r="AC1328" s="13">
        <v>3</v>
      </c>
      <c r="AD1328" s="13">
        <v>3</v>
      </c>
      <c r="AE1328" s="13">
        <v>3</v>
      </c>
      <c r="AF1328" s="13">
        <v>3</v>
      </c>
      <c r="AG1328" s="16">
        <f>IFERROR(SUMIF(reading[[#This Row],[1st]:[7th]],"&gt;0")/COUNTIF(reading[[#This Row],[1st]:[7th]],"&gt;0"),"")</f>
        <v>3</v>
      </c>
    </row>
    <row r="1329" spans="1:33" hidden="1" x14ac:dyDescent="0.2">
      <c r="A1329" s="4">
        <f>IF(B1329=1,3,IF(D1329=1,2,IF(F1329=1,1,0)))</f>
        <v>0</v>
      </c>
      <c r="B1329" s="4" t="str">
        <f>IF(C1329=$L1329,1,IF(C1329="","",0))</f>
        <v/>
      </c>
      <c r="C1329" s="42"/>
      <c r="D1329" s="4" t="str">
        <f>IF(E1329=$L1329,1,IF(E1329="","",0))</f>
        <v/>
      </c>
      <c r="E1329" s="14"/>
      <c r="F1329" s="4" t="str">
        <f>IF(G1329=$L1329,1,IF(G1329="","",0))</f>
        <v/>
      </c>
      <c r="G1329" s="14"/>
      <c r="H1329" s="6">
        <v>2152</v>
      </c>
      <c r="I1329" s="15" t="s">
        <v>3120</v>
      </c>
      <c r="J1329" s="6" t="s">
        <v>5240</v>
      </c>
      <c r="K1329" s="6"/>
      <c r="L1329" s="6" t="s">
        <v>2219</v>
      </c>
      <c r="M1329" s="6" t="s">
        <v>8258</v>
      </c>
      <c r="N1329" s="7">
        <f ca="1">RAND()</f>
        <v>0.19231898120484037</v>
      </c>
      <c r="O1329" s="8">
        <v>45214</v>
      </c>
      <c r="P1329" s="8">
        <v>45215</v>
      </c>
      <c r="Q1329" s="8">
        <v>45217</v>
      </c>
      <c r="R1329" s="8">
        <v>45221</v>
      </c>
      <c r="S1329" s="8">
        <v>45228</v>
      </c>
      <c r="T1329" s="8">
        <v>45823</v>
      </c>
      <c r="U1329" s="8"/>
      <c r="V1329" s="10">
        <f>COUNTA(O1329:U1329)</f>
        <v>6</v>
      </c>
      <c r="W1329" s="11">
        <f>_xlfn.IFNA(INDEX(reading[[#This Row],[Memo 01]:[Memo 07]],MATCH(0,reading[[#This Row],[Memo 01]:[Memo 07]],-1)),"")</f>
        <v>45823</v>
      </c>
      <c r="X1329" s="11">
        <f ca="1">IFERROR(reading[[#This Row],[Previous]]+OFFSET(reading[[#Headers],[Memo 01]],-1,MATCH(0,reading[[#This Row],[Memo 01]:[Memo 07]],-1)-1),"")</f>
        <v>45843</v>
      </c>
      <c r="Y1329" s="10" t="str">
        <f ca="1">IF(reading[[#This Row],[Next]]&lt;&gt;"",IF(reading[[#This Row],[Next]]&gt;TODAY(),"OK",""),"")</f>
        <v>OK</v>
      </c>
      <c r="Z1329" s="13">
        <v>3</v>
      </c>
      <c r="AA1329" s="13">
        <v>3</v>
      </c>
      <c r="AB1329" s="13">
        <v>3</v>
      </c>
      <c r="AC1329" s="13">
        <v>3</v>
      </c>
      <c r="AD1329" s="13">
        <v>3</v>
      </c>
      <c r="AE1329" s="13">
        <v>3</v>
      </c>
      <c r="AF1329" s="13"/>
      <c r="AG1329" s="16">
        <f>IFERROR(SUMIF(reading[[#This Row],[1st]:[7th]],"&gt;0")/COUNTIF(reading[[#This Row],[1st]:[7th]],"&gt;0"),"")</f>
        <v>3</v>
      </c>
    </row>
    <row r="1330" spans="1:33" hidden="1" x14ac:dyDescent="0.2">
      <c r="A1330" s="4">
        <f>IF(B1330=1,3,IF(D1330=1,2,IF(F1330=1,1,0)))</f>
        <v>0</v>
      </c>
      <c r="B1330" s="4" t="str">
        <f>IF(C1330=$L1330,1,IF(C1330="","",0))</f>
        <v/>
      </c>
      <c r="C1330" s="42"/>
      <c r="D1330" s="4" t="str">
        <f>IF(E1330=$L1330,1,IF(E1330="","",0))</f>
        <v/>
      </c>
      <c r="E1330" s="14"/>
      <c r="F1330" s="4" t="str">
        <f>IF(G1330=$L1330,1,IF(G1330="","",0))</f>
        <v/>
      </c>
      <c r="G1330" s="14"/>
      <c r="H1330" s="6">
        <v>2024</v>
      </c>
      <c r="I1330" s="15" t="s">
        <v>3120</v>
      </c>
      <c r="J1330" s="6" t="s">
        <v>5121</v>
      </c>
      <c r="K1330" s="6"/>
      <c r="L1330" s="6" t="s">
        <v>2099</v>
      </c>
      <c r="M1330" s="6" t="s">
        <v>8130</v>
      </c>
      <c r="N1330" s="7">
        <f ca="1">RAND()</f>
        <v>0.23905234915187534</v>
      </c>
      <c r="O1330" s="8">
        <v>45213</v>
      </c>
      <c r="P1330" s="8">
        <v>45214</v>
      </c>
      <c r="Q1330" s="8">
        <v>45216</v>
      </c>
      <c r="R1330" s="8">
        <v>45220</v>
      </c>
      <c r="S1330" s="8">
        <v>45227</v>
      </c>
      <c r="T1330" s="8">
        <v>45824</v>
      </c>
      <c r="U1330" s="8"/>
      <c r="V1330" s="10">
        <f>COUNTA(O1330:U1330)</f>
        <v>6</v>
      </c>
      <c r="W1330" s="11">
        <f>_xlfn.IFNA(INDEX(reading[[#This Row],[Memo 01]:[Memo 07]],MATCH(0,reading[[#This Row],[Memo 01]:[Memo 07]],-1)),"")</f>
        <v>45824</v>
      </c>
      <c r="X1330" s="11">
        <f ca="1">IFERROR(reading[[#This Row],[Previous]]+OFFSET(reading[[#Headers],[Memo 01]],-1,MATCH(0,reading[[#This Row],[Memo 01]:[Memo 07]],-1)-1),"")</f>
        <v>45844</v>
      </c>
      <c r="Y1330" s="10" t="str">
        <f ca="1">IF(reading[[#This Row],[Next]]&lt;&gt;"",IF(reading[[#This Row],[Next]]&gt;TODAY(),"OK",""),"")</f>
        <v>OK</v>
      </c>
      <c r="Z1330" s="13">
        <v>3</v>
      </c>
      <c r="AA1330" s="13">
        <v>3</v>
      </c>
      <c r="AB1330" s="13">
        <v>3</v>
      </c>
      <c r="AC1330" s="13">
        <v>3</v>
      </c>
      <c r="AD1330" s="13">
        <v>3</v>
      </c>
      <c r="AE1330" s="13">
        <v>3</v>
      </c>
      <c r="AF1330" s="13"/>
      <c r="AG1330" s="16">
        <f>IFERROR(SUMIF(reading[[#This Row],[1st]:[7th]],"&gt;0")/COUNTIF(reading[[#This Row],[1st]:[7th]],"&gt;0"),"")</f>
        <v>3</v>
      </c>
    </row>
    <row r="1331" spans="1:33" hidden="1" x14ac:dyDescent="0.2">
      <c r="A1331" s="4">
        <f>IF(B1331=1,3,IF(D1331=1,2,IF(F1331=1,1,0)))</f>
        <v>0</v>
      </c>
      <c r="B1331" s="4" t="str">
        <f>IF(C1331=$L1331,1,IF(C1331="","",0))</f>
        <v/>
      </c>
      <c r="C1331" s="43"/>
      <c r="D1331" s="4" t="str">
        <f>IF(E1331=$L1331,1,IF(E1331="","",0))</f>
        <v/>
      </c>
      <c r="E1331" s="14"/>
      <c r="F1331" s="4" t="str">
        <f>IF(G1331=$L1331,1,IF(G1331="","",0))</f>
        <v/>
      </c>
      <c r="G1331" s="14"/>
      <c r="H1331" s="6">
        <v>235</v>
      </c>
      <c r="I1331" s="15" t="s">
        <v>3120</v>
      </c>
      <c r="J1331" s="6" t="s">
        <v>3384</v>
      </c>
      <c r="K1331" s="6"/>
      <c r="L1331" s="6" t="s">
        <v>370</v>
      </c>
      <c r="M1331" s="6" t="s">
        <v>6344</v>
      </c>
      <c r="N1331" s="7">
        <f ca="1">RAND()</f>
        <v>0.34104009426254978</v>
      </c>
      <c r="O1331" s="8">
        <v>45199</v>
      </c>
      <c r="P1331" s="8">
        <v>45200</v>
      </c>
      <c r="Q1331" s="8">
        <v>45202</v>
      </c>
      <c r="R1331" s="8">
        <v>45206</v>
      </c>
      <c r="S1331" s="8">
        <v>45213</v>
      </c>
      <c r="T1331" s="8">
        <v>45225</v>
      </c>
      <c r="U1331" s="8">
        <v>45823</v>
      </c>
      <c r="V1331" s="10">
        <f>COUNTA(O1331:U1331)</f>
        <v>7</v>
      </c>
      <c r="W1331" s="11">
        <f>_xlfn.IFNA(INDEX(reading[[#This Row],[Memo 01]:[Memo 07]],MATCH(0,reading[[#This Row],[Memo 01]:[Memo 07]],-1)),"")</f>
        <v>45823</v>
      </c>
      <c r="X1331" s="11">
        <f ca="1">IFERROR(reading[[#This Row],[Previous]]+OFFSET(reading[[#Headers],[Memo 01]],-1,MATCH(0,reading[[#This Row],[Memo 01]:[Memo 07]],-1)-1),"")</f>
        <v>55823</v>
      </c>
      <c r="Y1331" s="10" t="str">
        <f ca="1">IF(reading[[#This Row],[Next]]&lt;&gt;"",IF(reading[[#This Row],[Next]]&gt;TODAY(),"OK",""),"")</f>
        <v>OK</v>
      </c>
      <c r="Z1331" s="13">
        <v>3</v>
      </c>
      <c r="AA1331" s="13">
        <v>3</v>
      </c>
      <c r="AB1331" s="13">
        <v>3</v>
      </c>
      <c r="AC1331" s="13">
        <v>3</v>
      </c>
      <c r="AD1331" s="13">
        <v>3</v>
      </c>
      <c r="AE1331" s="13">
        <v>3</v>
      </c>
      <c r="AF1331" s="13">
        <v>3</v>
      </c>
      <c r="AG1331" s="16">
        <f>IFERROR(SUMIF(reading[[#This Row],[1st]:[7th]],"&gt;0")/COUNTIF(reading[[#This Row],[1st]:[7th]],"&gt;0"),"")</f>
        <v>3</v>
      </c>
    </row>
    <row r="1332" spans="1:33" hidden="1" x14ac:dyDescent="0.2">
      <c r="A1332" s="4">
        <f>IF(B1332=1,3,IF(D1332=1,2,IF(F1332=1,1,0)))</f>
        <v>0</v>
      </c>
      <c r="B1332" s="4" t="str">
        <f>IF(C1332=$L1332,1,IF(C1332="","",0))</f>
        <v/>
      </c>
      <c r="C1332" s="42"/>
      <c r="D1332" s="4" t="str">
        <f>IF(E1332=$L1332,1,IF(E1332="","",0))</f>
        <v/>
      </c>
      <c r="E1332" s="14"/>
      <c r="F1332" s="4" t="str">
        <f>IF(G1332=$L1332,1,IF(G1332="","",0))</f>
        <v/>
      </c>
      <c r="G1332" s="14"/>
      <c r="H1332" s="6">
        <v>1434</v>
      </c>
      <c r="I1332" s="15" t="s">
        <v>3120</v>
      </c>
      <c r="J1332" s="6" t="s">
        <v>4548</v>
      </c>
      <c r="K1332" s="6"/>
      <c r="L1332" s="6" t="s">
        <v>1525</v>
      </c>
      <c r="M1332" s="6" t="s">
        <v>7541</v>
      </c>
      <c r="N1332" s="7">
        <f ca="1">RAND()</f>
        <v>0.11258479875360883</v>
      </c>
      <c r="O1332" s="8">
        <v>45208</v>
      </c>
      <c r="P1332" s="8">
        <v>45209</v>
      </c>
      <c r="Q1332" s="8">
        <v>45211</v>
      </c>
      <c r="R1332" s="8">
        <v>45215</v>
      </c>
      <c r="S1332" s="8">
        <v>45222</v>
      </c>
      <c r="T1332" s="8">
        <v>45234</v>
      </c>
      <c r="U1332" s="8">
        <v>45824</v>
      </c>
      <c r="V1332" s="10">
        <f>COUNTA(O1332:U1332)</f>
        <v>7</v>
      </c>
      <c r="W1332" s="11">
        <f>_xlfn.IFNA(INDEX(reading[[#This Row],[Memo 01]:[Memo 07]],MATCH(0,reading[[#This Row],[Memo 01]:[Memo 07]],-1)),"")</f>
        <v>45824</v>
      </c>
      <c r="X1332" s="11">
        <f ca="1">IFERROR(reading[[#This Row],[Previous]]+OFFSET(reading[[#Headers],[Memo 01]],-1,MATCH(0,reading[[#This Row],[Memo 01]:[Memo 07]],-1)-1),"")</f>
        <v>55824</v>
      </c>
      <c r="Y1332" s="10" t="str">
        <f ca="1">IF(reading[[#This Row],[Next]]&lt;&gt;"",IF(reading[[#This Row],[Next]]&gt;TODAY(),"OK",""),"")</f>
        <v>OK</v>
      </c>
      <c r="Z1332" s="13">
        <v>3</v>
      </c>
      <c r="AA1332" s="13">
        <v>3</v>
      </c>
      <c r="AB1332" s="13">
        <v>3</v>
      </c>
      <c r="AC1332" s="13">
        <v>3</v>
      </c>
      <c r="AD1332" s="13">
        <v>3</v>
      </c>
      <c r="AE1332" s="13">
        <v>3</v>
      </c>
      <c r="AF1332" s="13">
        <v>3</v>
      </c>
      <c r="AG1332" s="16">
        <f>IFERROR(SUMIF(reading[[#This Row],[1st]:[7th]],"&gt;0")/COUNTIF(reading[[#This Row],[1st]:[7th]],"&gt;0"),"")</f>
        <v>3</v>
      </c>
    </row>
    <row r="1333" spans="1:33" hidden="1" x14ac:dyDescent="0.2">
      <c r="A1333" s="4">
        <f>IF(B1333=1,3,IF(D1333=1,2,IF(F1333=1,1,0)))</f>
        <v>0</v>
      </c>
      <c r="B1333" s="4" t="str">
        <f>IF(C1333=$L1333,1,IF(C1333="","",0))</f>
        <v/>
      </c>
      <c r="C1333" s="42"/>
      <c r="D1333" s="4" t="str">
        <f>IF(E1333=$L1333,1,IF(E1333="","",0))</f>
        <v/>
      </c>
      <c r="E1333" s="14"/>
      <c r="F1333" s="4" t="str">
        <f>IF(G1333=$L1333,1,IF(G1333="","",0))</f>
        <v/>
      </c>
      <c r="G1333" s="14"/>
      <c r="H1333" s="6">
        <v>1068</v>
      </c>
      <c r="I1333" s="15" t="s">
        <v>3120</v>
      </c>
      <c r="J1333" s="6" t="s">
        <v>4194</v>
      </c>
      <c r="K1333" s="6"/>
      <c r="L1333" s="6" t="s">
        <v>138</v>
      </c>
      <c r="M1333" s="6" t="s">
        <v>7176</v>
      </c>
      <c r="N1333" s="7">
        <f ca="1">RAND()</f>
        <v>5.5287166178371705E-2</v>
      </c>
      <c r="O1333" s="8">
        <v>45205</v>
      </c>
      <c r="P1333" s="8">
        <v>45206</v>
      </c>
      <c r="Q1333" s="8">
        <v>45208</v>
      </c>
      <c r="R1333" s="8">
        <v>45212</v>
      </c>
      <c r="S1333" s="8">
        <v>45219</v>
      </c>
      <c r="T1333" s="8">
        <v>45231</v>
      </c>
      <c r="U1333" s="8">
        <v>45823</v>
      </c>
      <c r="V1333" s="10">
        <f>COUNTA(O1333:U1333)</f>
        <v>7</v>
      </c>
      <c r="W1333" s="11">
        <f>_xlfn.IFNA(INDEX(reading[[#This Row],[Memo 01]:[Memo 07]],MATCH(0,reading[[#This Row],[Memo 01]:[Memo 07]],-1)),"")</f>
        <v>45823</v>
      </c>
      <c r="X1333" s="11">
        <f ca="1">IFERROR(reading[[#This Row],[Previous]]+OFFSET(reading[[#Headers],[Memo 01]],-1,MATCH(0,reading[[#This Row],[Memo 01]:[Memo 07]],-1)-1),"")</f>
        <v>55823</v>
      </c>
      <c r="Y1333" s="10" t="str">
        <f ca="1">IF(reading[[#This Row],[Next]]&lt;&gt;"",IF(reading[[#This Row],[Next]]&gt;TODAY(),"OK",""),"")</f>
        <v>OK</v>
      </c>
      <c r="Z1333" s="13">
        <v>3</v>
      </c>
      <c r="AA1333" s="13">
        <v>3</v>
      </c>
      <c r="AB1333" s="13">
        <v>3</v>
      </c>
      <c r="AC1333" s="13">
        <v>3</v>
      </c>
      <c r="AD1333" s="13">
        <v>3</v>
      </c>
      <c r="AE1333" s="13">
        <v>3</v>
      </c>
      <c r="AF1333" s="13">
        <v>3</v>
      </c>
      <c r="AG1333" s="16">
        <f>IFERROR(SUMIF(reading[[#This Row],[1st]:[7th]],"&gt;0")/COUNTIF(reading[[#This Row],[1st]:[7th]],"&gt;0"),"")</f>
        <v>3</v>
      </c>
    </row>
    <row r="1334" spans="1:33" hidden="1" x14ac:dyDescent="0.2">
      <c r="A1334" s="4">
        <f>IF(B1334=1,3,IF(D1334=1,2,IF(F1334=1,1,0)))</f>
        <v>0</v>
      </c>
      <c r="B1334" s="4" t="str">
        <f>IF(C1334=$L1334,1,IF(C1334="","",0))</f>
        <v/>
      </c>
      <c r="C1334" s="42"/>
      <c r="D1334" s="4" t="str">
        <f>IF(E1334=$L1334,1,IF(E1334="","",0))</f>
        <v/>
      </c>
      <c r="E1334" s="14"/>
      <c r="F1334" s="4" t="str">
        <f>IF(G1334=$L1334,1,IF(G1334="","",0))</f>
        <v/>
      </c>
      <c r="G1334" s="14"/>
      <c r="H1334" s="6">
        <v>1675</v>
      </c>
      <c r="I1334" s="15" t="s">
        <v>3120</v>
      </c>
      <c r="J1334" s="6" t="s">
        <v>4786</v>
      </c>
      <c r="K1334" s="6"/>
      <c r="L1334" s="6" t="s">
        <v>1755</v>
      </c>
      <c r="M1334" s="6" t="s">
        <v>7781</v>
      </c>
      <c r="N1334" s="7">
        <f ca="1">RAND()</f>
        <v>0.52270811263119998</v>
      </c>
      <c r="O1334" s="8">
        <v>45210</v>
      </c>
      <c r="P1334" s="8">
        <v>45211</v>
      </c>
      <c r="Q1334" s="8">
        <v>45213</v>
      </c>
      <c r="R1334" s="8">
        <v>45217</v>
      </c>
      <c r="S1334" s="8">
        <v>45224</v>
      </c>
      <c r="T1334" s="8">
        <v>45236</v>
      </c>
      <c r="U1334" s="8">
        <v>45823</v>
      </c>
      <c r="V1334" s="10">
        <f>COUNTA(O1334:U1334)</f>
        <v>7</v>
      </c>
      <c r="W1334" s="11">
        <f>_xlfn.IFNA(INDEX(reading[[#This Row],[Memo 01]:[Memo 07]],MATCH(0,reading[[#This Row],[Memo 01]:[Memo 07]],-1)),"")</f>
        <v>45823</v>
      </c>
      <c r="X1334" s="11">
        <f ca="1">IFERROR(reading[[#This Row],[Previous]]+OFFSET(reading[[#Headers],[Memo 01]],-1,MATCH(0,reading[[#This Row],[Memo 01]:[Memo 07]],-1)-1),"")</f>
        <v>55823</v>
      </c>
      <c r="Y1334" s="10" t="str">
        <f ca="1">IF(reading[[#This Row],[Next]]&lt;&gt;"",IF(reading[[#This Row],[Next]]&gt;TODAY(),"OK",""),"")</f>
        <v>OK</v>
      </c>
      <c r="Z1334" s="13">
        <v>3</v>
      </c>
      <c r="AA1334" s="13">
        <v>3</v>
      </c>
      <c r="AB1334" s="13">
        <v>3</v>
      </c>
      <c r="AC1334" s="13">
        <v>3</v>
      </c>
      <c r="AD1334" s="13">
        <v>3</v>
      </c>
      <c r="AE1334" s="13">
        <v>3</v>
      </c>
      <c r="AF1334" s="13">
        <v>3</v>
      </c>
      <c r="AG1334" s="16">
        <f>IFERROR(SUMIF(reading[[#This Row],[1st]:[7th]],"&gt;0")/COUNTIF(reading[[#This Row],[1st]:[7th]],"&gt;0"),"")</f>
        <v>3</v>
      </c>
    </row>
    <row r="1335" spans="1:33" hidden="1" x14ac:dyDescent="0.2">
      <c r="A1335" s="4">
        <f>IF(B1335=1,3,IF(D1335=1,2,IF(F1335=1,1,0)))</f>
        <v>0</v>
      </c>
      <c r="B1335" s="4" t="str">
        <f>IF(C1335=$L1335,1,IF(C1335="","",0))</f>
        <v/>
      </c>
      <c r="C1335" s="42"/>
      <c r="D1335" s="4" t="str">
        <f>IF(E1335=$L1335,1,IF(E1335="","",0))</f>
        <v/>
      </c>
      <c r="E1335" s="23"/>
      <c r="F1335" s="4" t="str">
        <f>IF(G1335=$L1335,1,IF(G1335="","",0))</f>
        <v/>
      </c>
      <c r="G1335" s="23"/>
      <c r="H1335" s="6">
        <v>2339</v>
      </c>
      <c r="I1335" s="15" t="s">
        <v>3120</v>
      </c>
      <c r="J1335" s="6" t="s">
        <v>5416</v>
      </c>
      <c r="K1335" s="6"/>
      <c r="L1335" s="6" t="s">
        <v>2392</v>
      </c>
      <c r="M1335" s="6" t="s">
        <v>8444</v>
      </c>
      <c r="N1335" s="7">
        <f ca="1">RAND()</f>
        <v>0.65583253974216082</v>
      </c>
      <c r="O1335" s="8">
        <v>45216</v>
      </c>
      <c r="P1335" s="8">
        <v>45217</v>
      </c>
      <c r="Q1335" s="8">
        <v>45219</v>
      </c>
      <c r="R1335" s="8">
        <v>45223</v>
      </c>
      <c r="S1335" s="8">
        <v>45230</v>
      </c>
      <c r="T1335" s="8">
        <v>45817</v>
      </c>
      <c r="U1335" s="8"/>
      <c r="V1335" s="10">
        <f>COUNTA(O1335:U1335)</f>
        <v>6</v>
      </c>
      <c r="W1335" s="11">
        <f>_xlfn.IFNA(INDEX(reading[[#This Row],[Memo 01]:[Memo 07]],MATCH(0,reading[[#This Row],[Memo 01]:[Memo 07]],-1)),"")</f>
        <v>45817</v>
      </c>
      <c r="X1335" s="11">
        <f ca="1">IFERROR(reading[[#This Row],[Previous]]+OFFSET(reading[[#Headers],[Memo 01]],-1,MATCH(0,reading[[#This Row],[Memo 01]:[Memo 07]],-1)-1),"")</f>
        <v>45837</v>
      </c>
      <c r="Y1335" s="10" t="str">
        <f ca="1">IF(reading[[#This Row],[Next]]&lt;&gt;"",IF(reading[[#This Row],[Next]]&gt;TODAY(),"OK",""),"")</f>
        <v>OK</v>
      </c>
      <c r="Z1335" s="13">
        <v>3</v>
      </c>
      <c r="AA1335" s="13">
        <v>3</v>
      </c>
      <c r="AB1335" s="13">
        <v>3</v>
      </c>
      <c r="AC1335" s="13">
        <v>3</v>
      </c>
      <c r="AD1335" s="13">
        <v>3</v>
      </c>
      <c r="AE1335" s="13">
        <v>1</v>
      </c>
      <c r="AF1335" s="13"/>
      <c r="AG1335" s="16">
        <f>IFERROR(SUMIF(reading[[#This Row],[1st]:[7th]],"&gt;0")/COUNTIF(reading[[#This Row],[1st]:[7th]],"&gt;0"),"")</f>
        <v>2.6666666666666665</v>
      </c>
    </row>
    <row r="1336" spans="1:33" hidden="1" x14ac:dyDescent="0.2">
      <c r="A1336" s="4">
        <f>IF(B1336=1,3,IF(D1336=1,2,IF(F1336=1,1,0)))</f>
        <v>0</v>
      </c>
      <c r="B1336" s="4" t="str">
        <f>IF(C1336=$L1336,1,IF(C1336="","",0))</f>
        <v/>
      </c>
      <c r="C1336" s="42"/>
      <c r="D1336" s="4" t="str">
        <f>IF(E1336=$L1336,1,IF(E1336="","",0))</f>
        <v/>
      </c>
      <c r="E1336" s="14"/>
      <c r="F1336" s="4" t="str">
        <f>IF(G1336=$L1336,1,IF(G1336="","",0))</f>
        <v/>
      </c>
      <c r="G1336" s="14"/>
      <c r="H1336" s="6">
        <v>2354</v>
      </c>
      <c r="I1336" s="15" t="s">
        <v>3120</v>
      </c>
      <c r="J1336" s="6" t="s">
        <v>5431</v>
      </c>
      <c r="K1336" s="6"/>
      <c r="L1336" s="6" t="s">
        <v>2407</v>
      </c>
      <c r="M1336" s="6" t="s">
        <v>8459</v>
      </c>
      <c r="N1336" s="7">
        <f ca="1">RAND()</f>
        <v>0.8539501069153469</v>
      </c>
      <c r="O1336" s="8">
        <v>45216</v>
      </c>
      <c r="P1336" s="8">
        <v>45217</v>
      </c>
      <c r="Q1336" s="8">
        <v>45219</v>
      </c>
      <c r="R1336" s="8">
        <v>45223</v>
      </c>
      <c r="S1336" s="8">
        <v>45230</v>
      </c>
      <c r="T1336" s="8">
        <v>45823</v>
      </c>
      <c r="U1336" s="8"/>
      <c r="V1336" s="10">
        <f>COUNTA(O1336:U1336)</f>
        <v>6</v>
      </c>
      <c r="W1336" s="11">
        <f>_xlfn.IFNA(INDEX(reading[[#This Row],[Memo 01]:[Memo 07]],MATCH(0,reading[[#This Row],[Memo 01]:[Memo 07]],-1)),"")</f>
        <v>45823</v>
      </c>
      <c r="X1336" s="11">
        <f ca="1">IFERROR(reading[[#This Row],[Previous]]+OFFSET(reading[[#Headers],[Memo 01]],-1,MATCH(0,reading[[#This Row],[Memo 01]:[Memo 07]],-1)-1),"")</f>
        <v>45843</v>
      </c>
      <c r="Y1336" s="10" t="str">
        <f ca="1">IF(reading[[#This Row],[Next]]&lt;&gt;"",IF(reading[[#This Row],[Next]]&gt;TODAY(),"OK",""),"")</f>
        <v>OK</v>
      </c>
      <c r="Z1336" s="13">
        <v>3</v>
      </c>
      <c r="AA1336" s="13">
        <v>3</v>
      </c>
      <c r="AB1336" s="13">
        <v>3</v>
      </c>
      <c r="AC1336" s="13">
        <v>3</v>
      </c>
      <c r="AD1336" s="13">
        <v>3</v>
      </c>
      <c r="AE1336" s="13">
        <v>3</v>
      </c>
      <c r="AF1336" s="13"/>
      <c r="AG1336" s="16">
        <f>IFERROR(SUMIF(reading[[#This Row],[1st]:[7th]],"&gt;0")/COUNTIF(reading[[#This Row],[1st]:[7th]],"&gt;0"),"")</f>
        <v>3</v>
      </c>
    </row>
    <row r="1337" spans="1:33" hidden="1" x14ac:dyDescent="0.2">
      <c r="A1337" s="4">
        <f>IF(B1337=1,3,IF(D1337=1,2,IF(F1337=1,1,0)))</f>
        <v>0</v>
      </c>
      <c r="B1337" s="4" t="str">
        <f>IF(C1337=$L1337,1,IF(C1337="","",0))</f>
        <v/>
      </c>
      <c r="C1337" s="42"/>
      <c r="D1337" s="4" t="str">
        <f>IF(E1337=$L1337,1,IF(E1337="","",0))</f>
        <v/>
      </c>
      <c r="E1337" s="43"/>
      <c r="F1337" s="4" t="str">
        <f>IF(G1337=$L1337,1,IF(G1337="","",0))</f>
        <v/>
      </c>
      <c r="G1337" s="14"/>
      <c r="H1337" s="6">
        <v>2888</v>
      </c>
      <c r="I1337" s="15" t="s">
        <v>3120</v>
      </c>
      <c r="J1337" s="6" t="s">
        <v>5925</v>
      </c>
      <c r="K1337" s="6"/>
      <c r="L1337" s="6" t="s">
        <v>2919</v>
      </c>
      <c r="M1337" s="6" t="s">
        <v>8992</v>
      </c>
      <c r="N1337" s="7">
        <f ca="1">RAND()</f>
        <v>0.65325575066049668</v>
      </c>
      <c r="O1337" s="8">
        <v>45222</v>
      </c>
      <c r="P1337" s="8">
        <v>45223</v>
      </c>
      <c r="Q1337" s="8">
        <v>45225</v>
      </c>
      <c r="R1337" s="8">
        <v>45229</v>
      </c>
      <c r="S1337" s="8">
        <v>45236</v>
      </c>
      <c r="T1337" s="8">
        <v>45824</v>
      </c>
      <c r="U1337" s="8"/>
      <c r="V1337" s="10">
        <f>COUNTA(O1337:U1337)</f>
        <v>6</v>
      </c>
      <c r="W1337" s="11">
        <f>_xlfn.IFNA(INDEX(reading[[#This Row],[Memo 01]:[Memo 07]],MATCH(0,reading[[#This Row],[Memo 01]:[Memo 07]],-1)),"")</f>
        <v>45824</v>
      </c>
      <c r="X1337" s="11">
        <f ca="1">IFERROR(reading[[#This Row],[Previous]]+OFFSET(reading[[#Headers],[Memo 01]],-1,MATCH(0,reading[[#This Row],[Memo 01]:[Memo 07]],-1)-1),"")</f>
        <v>45844</v>
      </c>
      <c r="Y1337" s="10" t="str">
        <f ca="1">IF(reading[[#This Row],[Next]]&lt;&gt;"",IF(reading[[#This Row],[Next]]&gt;TODAY(),"OK",""),"")</f>
        <v>OK</v>
      </c>
      <c r="Z1337" s="13">
        <v>3</v>
      </c>
      <c r="AA1337" s="13">
        <v>3</v>
      </c>
      <c r="AB1337" s="13">
        <v>2</v>
      </c>
      <c r="AC1337" s="13">
        <v>3</v>
      </c>
      <c r="AD1337" s="13">
        <v>3</v>
      </c>
      <c r="AE1337" s="13">
        <v>2</v>
      </c>
      <c r="AF1337" s="13"/>
      <c r="AG1337" s="16">
        <f>IFERROR(SUMIF(reading[[#This Row],[1st]:[7th]],"&gt;0")/COUNTIF(reading[[#This Row],[1st]:[7th]],"&gt;0"),"")</f>
        <v>2.6666666666666665</v>
      </c>
    </row>
    <row r="1338" spans="1:33" hidden="1" x14ac:dyDescent="0.2">
      <c r="A1338" s="4">
        <f>IF(B1338=1,3,IF(D1338=1,2,IF(F1338=1,1,0)))</f>
        <v>0</v>
      </c>
      <c r="B1338" s="4" t="str">
        <f>IF(C1338=$L1338,1,IF(C1338="","",0))</f>
        <v/>
      </c>
      <c r="C1338" s="42"/>
      <c r="D1338" s="4" t="str">
        <f>IF(E1338=$L1338,1,IF(E1338="","",0))</f>
        <v/>
      </c>
      <c r="E1338" s="23"/>
      <c r="F1338" s="4" t="str">
        <f>IF(G1338=$L1338,1,IF(G1338="","",0))</f>
        <v/>
      </c>
      <c r="G1338" s="14"/>
      <c r="H1338" s="6">
        <v>2169</v>
      </c>
      <c r="I1338" s="15" t="s">
        <v>3120</v>
      </c>
      <c r="J1338" s="6" t="s">
        <v>5257</v>
      </c>
      <c r="K1338" s="6"/>
      <c r="L1338" s="6" t="s">
        <v>2235</v>
      </c>
      <c r="M1338" s="6" t="s">
        <v>8275</v>
      </c>
      <c r="N1338" s="7">
        <f ca="1">RAND()</f>
        <v>0.42803732024140573</v>
      </c>
      <c r="O1338" s="8">
        <v>45214</v>
      </c>
      <c r="P1338" s="8">
        <v>45215</v>
      </c>
      <c r="Q1338" s="8">
        <v>45217</v>
      </c>
      <c r="R1338" s="8">
        <v>45221</v>
      </c>
      <c r="S1338" s="8">
        <v>45228</v>
      </c>
      <c r="T1338" s="8">
        <v>45825</v>
      </c>
      <c r="U1338" s="8"/>
      <c r="V1338" s="10">
        <f>COUNTA(O1338:U1338)</f>
        <v>6</v>
      </c>
      <c r="W1338" s="11">
        <f>_xlfn.IFNA(INDEX(reading[[#This Row],[Memo 01]:[Memo 07]],MATCH(0,reading[[#This Row],[Memo 01]:[Memo 07]],-1)),"")</f>
        <v>45825</v>
      </c>
      <c r="X1338" s="11">
        <f ca="1">IFERROR(reading[[#This Row],[Previous]]+OFFSET(reading[[#Headers],[Memo 01]],-1,MATCH(0,reading[[#This Row],[Memo 01]:[Memo 07]],-1)-1),"")</f>
        <v>45845</v>
      </c>
      <c r="Y1338" s="10" t="str">
        <f ca="1">IF(reading[[#This Row],[Next]]&lt;&gt;"",IF(reading[[#This Row],[Next]]&gt;TODAY(),"OK",""),"")</f>
        <v>OK</v>
      </c>
      <c r="Z1338" s="13">
        <v>3</v>
      </c>
      <c r="AA1338" s="13">
        <v>3</v>
      </c>
      <c r="AB1338" s="13">
        <v>3</v>
      </c>
      <c r="AC1338" s="13">
        <v>3</v>
      </c>
      <c r="AD1338" s="13">
        <v>3</v>
      </c>
      <c r="AE1338" s="13">
        <v>2</v>
      </c>
      <c r="AF1338" s="13"/>
      <c r="AG1338" s="16">
        <f>IFERROR(SUMIF(reading[[#This Row],[1st]:[7th]],"&gt;0")/COUNTIF(reading[[#This Row],[1st]:[7th]],"&gt;0"),"")</f>
        <v>2.8333333333333335</v>
      </c>
    </row>
    <row r="1339" spans="1:33" hidden="1" x14ac:dyDescent="0.2">
      <c r="A1339" s="4">
        <f>IF(B1339=1,3,IF(D1339=1,2,IF(F1339=1,1,0)))</f>
        <v>0</v>
      </c>
      <c r="B1339" s="4" t="str">
        <f>IF(C1339=$L1339,1,IF(C1339="","",0))</f>
        <v/>
      </c>
      <c r="C1339" s="42"/>
      <c r="D1339" s="4" t="str">
        <f>IF(E1339=$L1339,1,IF(E1339="","",0))</f>
        <v/>
      </c>
      <c r="E1339" s="14"/>
      <c r="F1339" s="4" t="str">
        <f>IF(G1339=$L1339,1,IF(G1339="","",0))</f>
        <v/>
      </c>
      <c r="G1339" s="14"/>
      <c r="H1339" s="6">
        <v>2273</v>
      </c>
      <c r="I1339" s="15" t="s">
        <v>3120</v>
      </c>
      <c r="J1339" s="6" t="s">
        <v>5354</v>
      </c>
      <c r="K1339" s="6"/>
      <c r="L1339" s="6" t="s">
        <v>2333</v>
      </c>
      <c r="M1339" s="6" t="s">
        <v>8378</v>
      </c>
      <c r="N1339" s="7">
        <f ca="1">RAND()</f>
        <v>0.97930184888475447</v>
      </c>
      <c r="O1339" s="8">
        <v>45215</v>
      </c>
      <c r="P1339" s="8">
        <v>45216</v>
      </c>
      <c r="Q1339" s="8">
        <v>45218</v>
      </c>
      <c r="R1339" s="8">
        <v>45222</v>
      </c>
      <c r="S1339" s="8">
        <v>45229</v>
      </c>
      <c r="T1339" s="8">
        <v>45823</v>
      </c>
      <c r="U1339" s="8"/>
      <c r="V1339" s="10">
        <f>COUNTA(O1339:U1339)</f>
        <v>6</v>
      </c>
      <c r="W1339" s="11">
        <f>_xlfn.IFNA(INDEX(reading[[#This Row],[Memo 01]:[Memo 07]],MATCH(0,reading[[#This Row],[Memo 01]:[Memo 07]],-1)),"")</f>
        <v>45823</v>
      </c>
      <c r="X1339" s="11">
        <f ca="1">IFERROR(reading[[#This Row],[Previous]]+OFFSET(reading[[#Headers],[Memo 01]],-1,MATCH(0,reading[[#This Row],[Memo 01]:[Memo 07]],-1)-1),"")</f>
        <v>45843</v>
      </c>
      <c r="Y1339" s="10" t="str">
        <f ca="1">IF(reading[[#This Row],[Next]]&lt;&gt;"",IF(reading[[#This Row],[Next]]&gt;TODAY(),"OK",""),"")</f>
        <v>OK</v>
      </c>
      <c r="Z1339" s="13">
        <v>3</v>
      </c>
      <c r="AA1339" s="13">
        <v>3</v>
      </c>
      <c r="AB1339" s="13">
        <v>3</v>
      </c>
      <c r="AC1339" s="13">
        <v>3</v>
      </c>
      <c r="AD1339" s="13">
        <v>3</v>
      </c>
      <c r="AE1339" s="13">
        <v>3</v>
      </c>
      <c r="AF1339" s="13"/>
      <c r="AG1339" s="16">
        <f>IFERROR(SUMIF(reading[[#This Row],[1st]:[7th]],"&gt;0")/COUNTIF(reading[[#This Row],[1st]:[7th]],"&gt;0"),"")</f>
        <v>3</v>
      </c>
    </row>
    <row r="1340" spans="1:33" hidden="1" x14ac:dyDescent="0.2">
      <c r="A1340" s="4">
        <f>IF(B1340=1,3,IF(D1340=1,2,IF(F1340=1,1,0)))</f>
        <v>0</v>
      </c>
      <c r="B1340" s="4" t="str">
        <f>IF(C1340=$L1340,1,IF(C1340="","",0))</f>
        <v/>
      </c>
      <c r="C1340" s="43"/>
      <c r="D1340" s="4" t="str">
        <f>IF(E1340=$L1340,1,IF(E1340="","",0))</f>
        <v/>
      </c>
      <c r="E1340" s="14"/>
      <c r="F1340" s="4" t="str">
        <f>IF(G1340=$L1340,1,IF(G1340="","",0))</f>
        <v/>
      </c>
      <c r="G1340" s="14"/>
      <c r="H1340" s="6">
        <v>17</v>
      </c>
      <c r="I1340" s="15" t="s">
        <v>3120</v>
      </c>
      <c r="J1340" s="6" t="s">
        <v>3172</v>
      </c>
      <c r="K1340" s="6"/>
      <c r="L1340" s="6" t="s">
        <v>161</v>
      </c>
      <c r="M1340" s="6" t="s">
        <v>6131</v>
      </c>
      <c r="N1340" s="7">
        <f ca="1">RAND()</f>
        <v>0.52735601481562233</v>
      </c>
      <c r="O1340" s="8">
        <v>45198</v>
      </c>
      <c r="P1340" s="8">
        <v>45199</v>
      </c>
      <c r="Q1340" s="8">
        <v>45201</v>
      </c>
      <c r="R1340" s="8">
        <v>45205</v>
      </c>
      <c r="S1340" s="8">
        <v>45212</v>
      </c>
      <c r="T1340" s="8">
        <v>45224</v>
      </c>
      <c r="U1340" s="8">
        <v>45823</v>
      </c>
      <c r="V1340" s="10">
        <f>COUNTA(O1340:U1340)</f>
        <v>7</v>
      </c>
      <c r="W1340" s="11">
        <f>_xlfn.IFNA(INDEX(reading[[#This Row],[Memo 01]:[Memo 07]],MATCH(0,reading[[#This Row],[Memo 01]:[Memo 07]],-1)),"")</f>
        <v>45823</v>
      </c>
      <c r="X1340" s="11">
        <f ca="1">IFERROR(reading[[#This Row],[Previous]]+OFFSET(reading[[#Headers],[Memo 01]],-1,MATCH(0,reading[[#This Row],[Memo 01]:[Memo 07]],-1)-1),"")</f>
        <v>55823</v>
      </c>
      <c r="Y1340" s="10" t="str">
        <f ca="1">IF(reading[[#This Row],[Next]]&lt;&gt;"",IF(reading[[#This Row],[Next]]&gt;TODAY(),"OK",""),"")</f>
        <v>OK</v>
      </c>
      <c r="Z1340" s="13">
        <v>3</v>
      </c>
      <c r="AA1340" s="13">
        <v>3</v>
      </c>
      <c r="AB1340" s="13">
        <v>3</v>
      </c>
      <c r="AC1340" s="13">
        <v>3</v>
      </c>
      <c r="AD1340" s="13">
        <v>3</v>
      </c>
      <c r="AE1340" s="13">
        <v>3</v>
      </c>
      <c r="AF1340" s="13">
        <v>3</v>
      </c>
      <c r="AG1340" s="16">
        <f>IFERROR(SUMIF(reading[[#This Row],[1st]:[7th]],"&gt;0")/COUNTIF(reading[[#This Row],[1st]:[7th]],"&gt;0"),"")</f>
        <v>3</v>
      </c>
    </row>
    <row r="1341" spans="1:33" hidden="1" x14ac:dyDescent="0.2">
      <c r="A1341" s="4">
        <f>IF(B1341=1,3,IF(D1341=1,2,IF(F1341=1,1,0)))</f>
        <v>0</v>
      </c>
      <c r="B1341" s="4" t="str">
        <f>IF(C1341=$L1341,1,IF(C1341="","",0))</f>
        <v/>
      </c>
      <c r="C1341" s="43"/>
      <c r="D1341" s="4" t="str">
        <f>IF(E1341=$L1341,1,IF(E1341="","",0))</f>
        <v/>
      </c>
      <c r="E1341" s="14"/>
      <c r="F1341" s="4" t="str">
        <f>IF(G1341=$L1341,1,IF(G1341="","",0))</f>
        <v/>
      </c>
      <c r="G1341" s="14"/>
      <c r="H1341" s="6">
        <v>253</v>
      </c>
      <c r="I1341" s="15" t="s">
        <v>3120</v>
      </c>
      <c r="J1341" s="6" t="s">
        <v>3402</v>
      </c>
      <c r="K1341" s="6"/>
      <c r="L1341" s="6" t="s">
        <v>388</v>
      </c>
      <c r="M1341" s="6" t="s">
        <v>6362</v>
      </c>
      <c r="N1341" s="7">
        <f ca="1">RAND()</f>
        <v>3.9842136664862138E-2</v>
      </c>
      <c r="O1341" s="8">
        <v>45199</v>
      </c>
      <c r="P1341" s="8">
        <v>45200</v>
      </c>
      <c r="Q1341" s="8">
        <v>45202</v>
      </c>
      <c r="R1341" s="8">
        <v>45206</v>
      </c>
      <c r="S1341" s="8">
        <v>45213</v>
      </c>
      <c r="T1341" s="8">
        <v>45225</v>
      </c>
      <c r="U1341" s="8">
        <v>45823</v>
      </c>
      <c r="V1341" s="10">
        <f>COUNTA(O1341:U1341)</f>
        <v>7</v>
      </c>
      <c r="W1341" s="11">
        <f>_xlfn.IFNA(INDEX(reading[[#This Row],[Memo 01]:[Memo 07]],MATCH(0,reading[[#This Row],[Memo 01]:[Memo 07]],-1)),"")</f>
        <v>45823</v>
      </c>
      <c r="X1341" s="11">
        <f ca="1">IFERROR(reading[[#This Row],[Previous]]+OFFSET(reading[[#Headers],[Memo 01]],-1,MATCH(0,reading[[#This Row],[Memo 01]:[Memo 07]],-1)-1),"")</f>
        <v>55823</v>
      </c>
      <c r="Y1341" s="10" t="str">
        <f ca="1">IF(reading[[#This Row],[Next]]&lt;&gt;"",IF(reading[[#This Row],[Next]]&gt;TODAY(),"OK",""),"")</f>
        <v>OK</v>
      </c>
      <c r="Z1341" s="13">
        <v>3</v>
      </c>
      <c r="AA1341" s="13">
        <v>3</v>
      </c>
      <c r="AB1341" s="13">
        <v>3</v>
      </c>
      <c r="AC1341" s="13">
        <v>3</v>
      </c>
      <c r="AD1341" s="13">
        <v>3</v>
      </c>
      <c r="AE1341" s="13">
        <v>3</v>
      </c>
      <c r="AF1341" s="13">
        <v>3</v>
      </c>
      <c r="AG1341" s="16">
        <f>IFERROR(SUMIF(reading[[#This Row],[1st]:[7th]],"&gt;0")/COUNTIF(reading[[#This Row],[1st]:[7th]],"&gt;0"),"")</f>
        <v>3</v>
      </c>
    </row>
    <row r="1342" spans="1:33" hidden="1" x14ac:dyDescent="0.2">
      <c r="A1342" s="4">
        <f>IF(B1342=1,3,IF(D1342=1,2,IF(F1342=1,1,0)))</f>
        <v>0</v>
      </c>
      <c r="B1342" s="4" t="str">
        <f>IF(C1342=$L1342,1,IF(C1342="","",0))</f>
        <v/>
      </c>
      <c r="C1342" s="42"/>
      <c r="D1342" s="4" t="str">
        <f>IF(E1342=$L1342,1,IF(E1342="","",0))</f>
        <v/>
      </c>
      <c r="E1342" s="14"/>
      <c r="F1342" s="4" t="str">
        <f>IF(G1342=$L1342,1,IF(G1342="","",0))</f>
        <v/>
      </c>
      <c r="G1342" s="14"/>
      <c r="H1342" s="6">
        <v>2139</v>
      </c>
      <c r="I1342" s="15" t="s">
        <v>3120</v>
      </c>
      <c r="J1342" s="6" t="s">
        <v>5227</v>
      </c>
      <c r="K1342" s="6"/>
      <c r="L1342" s="6" t="s">
        <v>2206</v>
      </c>
      <c r="M1342" s="6" t="s">
        <v>8245</v>
      </c>
      <c r="N1342" s="7">
        <f ca="1">RAND()</f>
        <v>0.44203570444426787</v>
      </c>
      <c r="O1342" s="8">
        <v>45214</v>
      </c>
      <c r="P1342" s="8">
        <v>45215</v>
      </c>
      <c r="Q1342" s="8">
        <v>45217</v>
      </c>
      <c r="R1342" s="8">
        <v>45221</v>
      </c>
      <c r="S1342" s="8">
        <v>45228</v>
      </c>
      <c r="T1342" s="8">
        <v>45823</v>
      </c>
      <c r="U1342" s="8"/>
      <c r="V1342" s="10">
        <f>COUNTA(O1342:U1342)</f>
        <v>6</v>
      </c>
      <c r="W1342" s="11">
        <f>_xlfn.IFNA(INDEX(reading[[#This Row],[Memo 01]:[Memo 07]],MATCH(0,reading[[#This Row],[Memo 01]:[Memo 07]],-1)),"")</f>
        <v>45823</v>
      </c>
      <c r="X1342" s="11">
        <f ca="1">IFERROR(reading[[#This Row],[Previous]]+OFFSET(reading[[#Headers],[Memo 01]],-1,MATCH(0,reading[[#This Row],[Memo 01]:[Memo 07]],-1)-1),"")</f>
        <v>45843</v>
      </c>
      <c r="Y1342" s="10" t="str">
        <f ca="1">IF(reading[[#This Row],[Next]]&lt;&gt;"",IF(reading[[#This Row],[Next]]&gt;TODAY(),"OK",""),"")</f>
        <v>OK</v>
      </c>
      <c r="Z1342" s="13">
        <v>3</v>
      </c>
      <c r="AA1342" s="13">
        <v>3</v>
      </c>
      <c r="AB1342" s="13">
        <v>3</v>
      </c>
      <c r="AC1342" s="13">
        <v>3</v>
      </c>
      <c r="AD1342" s="13">
        <v>3</v>
      </c>
      <c r="AE1342" s="13">
        <v>3</v>
      </c>
      <c r="AF1342" s="13"/>
      <c r="AG1342" s="16">
        <f>IFERROR(SUMIF(reading[[#This Row],[1st]:[7th]],"&gt;0")/COUNTIF(reading[[#This Row],[1st]:[7th]],"&gt;0"),"")</f>
        <v>3</v>
      </c>
    </row>
    <row r="1343" spans="1:33" hidden="1" x14ac:dyDescent="0.2">
      <c r="A1343" s="4">
        <f>IF(B1343=1,3,IF(D1343=1,2,IF(F1343=1,1,0)))</f>
        <v>0</v>
      </c>
      <c r="B1343" s="4" t="str">
        <f>IF(C1343=$L1343,1,IF(C1343="","",0))</f>
        <v/>
      </c>
      <c r="C1343" s="42"/>
      <c r="D1343" s="4" t="str">
        <f>IF(E1343=$L1343,1,IF(E1343="","",0))</f>
        <v/>
      </c>
      <c r="E1343" s="14"/>
      <c r="F1343" s="4" t="str">
        <f>IF(G1343=$L1343,1,IF(G1343="","",0))</f>
        <v/>
      </c>
      <c r="G1343" s="14"/>
      <c r="H1343" s="6">
        <v>2882</v>
      </c>
      <c r="I1343" s="15" t="s">
        <v>3120</v>
      </c>
      <c r="J1343" s="6" t="s">
        <v>5919</v>
      </c>
      <c r="K1343" s="6"/>
      <c r="L1343" s="6" t="s">
        <v>2913</v>
      </c>
      <c r="M1343" s="6" t="s">
        <v>8986</v>
      </c>
      <c r="N1343" s="7">
        <f ca="1">RAND()</f>
        <v>0.1796019514553161</v>
      </c>
      <c r="O1343" s="8">
        <v>45222</v>
      </c>
      <c r="P1343" s="8">
        <v>45223</v>
      </c>
      <c r="Q1343" s="8">
        <v>45225</v>
      </c>
      <c r="R1343" s="8">
        <v>45229</v>
      </c>
      <c r="S1343" s="8">
        <v>45236</v>
      </c>
      <c r="T1343" s="8">
        <v>45792</v>
      </c>
      <c r="U1343" s="8">
        <v>45824</v>
      </c>
      <c r="V1343" s="10">
        <f>COUNTA(O1343:U1343)</f>
        <v>7</v>
      </c>
      <c r="W1343" s="11">
        <f>_xlfn.IFNA(INDEX(reading[[#This Row],[Memo 01]:[Memo 07]],MATCH(0,reading[[#This Row],[Memo 01]:[Memo 07]],-1)),"")</f>
        <v>45824</v>
      </c>
      <c r="X1343" s="11">
        <f ca="1">IFERROR(reading[[#This Row],[Previous]]+OFFSET(reading[[#Headers],[Memo 01]],-1,MATCH(0,reading[[#This Row],[Memo 01]:[Memo 07]],-1)-1),"")</f>
        <v>55824</v>
      </c>
      <c r="Y1343" s="10" t="str">
        <f ca="1">IF(reading[[#This Row],[Next]]&lt;&gt;"",IF(reading[[#This Row],[Next]]&gt;TODAY(),"OK",""),"")</f>
        <v>OK</v>
      </c>
      <c r="Z1343" s="13">
        <v>3</v>
      </c>
      <c r="AA1343" s="13">
        <v>3</v>
      </c>
      <c r="AB1343" s="13">
        <v>3</v>
      </c>
      <c r="AC1343" s="13">
        <v>3</v>
      </c>
      <c r="AD1343" s="13">
        <v>3</v>
      </c>
      <c r="AE1343" s="13">
        <v>3</v>
      </c>
      <c r="AF1343" s="13">
        <v>3</v>
      </c>
      <c r="AG1343" s="16">
        <f>IFERROR(SUMIF(reading[[#This Row],[1st]:[7th]],"&gt;0")/COUNTIF(reading[[#This Row],[1st]:[7th]],"&gt;0"),"")</f>
        <v>3</v>
      </c>
    </row>
    <row r="1344" spans="1:33" hidden="1" x14ac:dyDescent="0.2">
      <c r="A1344" s="4">
        <f>IF(B1344=1,3,IF(D1344=1,2,IF(F1344=1,1,0)))</f>
        <v>0</v>
      </c>
      <c r="B1344" s="4" t="str">
        <f>IF(C1344=$L1344,1,IF(C1344="","",0))</f>
        <v/>
      </c>
      <c r="C1344" s="42"/>
      <c r="D1344" s="4" t="str">
        <f>IF(E1344=$L1344,1,IF(E1344="","",0))</f>
        <v/>
      </c>
      <c r="E1344" s="14"/>
      <c r="F1344" s="4" t="str">
        <f>IF(G1344=$L1344,1,IF(G1344="","",0))</f>
        <v/>
      </c>
      <c r="G1344" s="14"/>
      <c r="H1344" s="6">
        <v>1572</v>
      </c>
      <c r="I1344" s="15" t="s">
        <v>3120</v>
      </c>
      <c r="J1344" s="6" t="s">
        <v>4685</v>
      </c>
      <c r="K1344" s="6"/>
      <c r="L1344" s="6" t="s">
        <v>48</v>
      </c>
      <c r="M1344" s="6" t="s">
        <v>7678</v>
      </c>
      <c r="N1344" s="7">
        <f ca="1">RAND()</f>
        <v>0.33454778315727829</v>
      </c>
      <c r="O1344" s="8">
        <v>45209</v>
      </c>
      <c r="P1344" s="8">
        <v>45210</v>
      </c>
      <c r="Q1344" s="8">
        <v>45212</v>
      </c>
      <c r="R1344" s="8">
        <v>45216</v>
      </c>
      <c r="S1344" s="8">
        <v>45223</v>
      </c>
      <c r="T1344" s="8">
        <v>45235</v>
      </c>
      <c r="U1344" s="8">
        <v>45823</v>
      </c>
      <c r="V1344" s="10">
        <f>COUNTA(O1344:U1344)</f>
        <v>7</v>
      </c>
      <c r="W1344" s="11">
        <f>_xlfn.IFNA(INDEX(reading[[#This Row],[Memo 01]:[Memo 07]],MATCH(0,reading[[#This Row],[Memo 01]:[Memo 07]],-1)),"")</f>
        <v>45823</v>
      </c>
      <c r="X1344" s="11">
        <f ca="1">IFERROR(reading[[#This Row],[Previous]]+OFFSET(reading[[#Headers],[Memo 01]],-1,MATCH(0,reading[[#This Row],[Memo 01]:[Memo 07]],-1)-1),"")</f>
        <v>55823</v>
      </c>
      <c r="Y1344" s="10" t="str">
        <f ca="1">IF(reading[[#This Row],[Next]]&lt;&gt;"",IF(reading[[#This Row],[Next]]&gt;TODAY(),"OK",""),"")</f>
        <v>OK</v>
      </c>
      <c r="Z1344" s="13">
        <v>3</v>
      </c>
      <c r="AA1344" s="13">
        <v>3</v>
      </c>
      <c r="AB1344" s="13">
        <v>3</v>
      </c>
      <c r="AC1344" s="13">
        <v>3</v>
      </c>
      <c r="AD1344" s="13">
        <v>3</v>
      </c>
      <c r="AE1344" s="13">
        <v>3</v>
      </c>
      <c r="AF1344" s="13">
        <v>3</v>
      </c>
      <c r="AG1344" s="16">
        <f>IFERROR(SUMIF(reading[[#This Row],[1st]:[7th]],"&gt;0")/COUNTIF(reading[[#This Row],[1st]:[7th]],"&gt;0"),"")</f>
        <v>3</v>
      </c>
    </row>
    <row r="1345" spans="1:33" hidden="1" x14ac:dyDescent="0.2">
      <c r="A1345" s="4">
        <f>IF(B1345=1,3,IF(D1345=1,2,IF(F1345=1,1,0)))</f>
        <v>0</v>
      </c>
      <c r="B1345" s="4" t="str">
        <f>IF(C1345=$L1345,1,IF(C1345="","",0))</f>
        <v/>
      </c>
      <c r="C1345" s="42"/>
      <c r="D1345" s="4" t="str">
        <f>IF(E1345=$L1345,1,IF(E1345="","",0))</f>
        <v/>
      </c>
      <c r="E1345" s="14"/>
      <c r="F1345" s="4" t="str">
        <f>IF(G1345=$L1345,1,IF(G1345="","",0))</f>
        <v/>
      </c>
      <c r="G1345" s="14"/>
      <c r="H1345" s="6">
        <v>1746</v>
      </c>
      <c r="I1345" s="15" t="s">
        <v>3120</v>
      </c>
      <c r="J1345" s="6" t="s">
        <v>4854</v>
      </c>
      <c r="K1345" s="6"/>
      <c r="L1345" s="6" t="s">
        <v>1826</v>
      </c>
      <c r="M1345" s="6" t="s">
        <v>7852</v>
      </c>
      <c r="N1345" s="7">
        <f ca="1">RAND()</f>
        <v>9.1441198900641174E-2</v>
      </c>
      <c r="O1345" s="8">
        <v>45211</v>
      </c>
      <c r="P1345" s="8">
        <v>45212</v>
      </c>
      <c r="Q1345" s="8">
        <v>45214</v>
      </c>
      <c r="R1345" s="8">
        <v>45218</v>
      </c>
      <c r="S1345" s="8">
        <v>45225</v>
      </c>
      <c r="T1345" s="8">
        <v>45237</v>
      </c>
      <c r="U1345" s="8">
        <v>45823</v>
      </c>
      <c r="V1345" s="10">
        <f>COUNTA(O1345:U1345)</f>
        <v>7</v>
      </c>
      <c r="W1345" s="11">
        <f>_xlfn.IFNA(INDEX(reading[[#This Row],[Memo 01]:[Memo 07]],MATCH(0,reading[[#This Row],[Memo 01]:[Memo 07]],-1)),"")</f>
        <v>45823</v>
      </c>
      <c r="X1345" s="11">
        <f ca="1">IFERROR(reading[[#This Row],[Previous]]+OFFSET(reading[[#Headers],[Memo 01]],-1,MATCH(0,reading[[#This Row],[Memo 01]:[Memo 07]],-1)-1),"")</f>
        <v>55823</v>
      </c>
      <c r="Y1345" s="10" t="str">
        <f ca="1">IF(reading[[#This Row],[Next]]&lt;&gt;"",IF(reading[[#This Row],[Next]]&gt;TODAY(),"OK",""),"")</f>
        <v>OK</v>
      </c>
      <c r="Z1345" s="13">
        <v>3</v>
      </c>
      <c r="AA1345" s="13">
        <v>3</v>
      </c>
      <c r="AB1345" s="13">
        <v>3</v>
      </c>
      <c r="AC1345" s="13">
        <v>3</v>
      </c>
      <c r="AD1345" s="13">
        <v>3</v>
      </c>
      <c r="AE1345" s="13">
        <v>3</v>
      </c>
      <c r="AF1345" s="13">
        <v>3</v>
      </c>
      <c r="AG1345" s="16">
        <f>IFERROR(SUMIF(reading[[#This Row],[1st]:[7th]],"&gt;0")/COUNTIF(reading[[#This Row],[1st]:[7th]],"&gt;0"),"")</f>
        <v>3</v>
      </c>
    </row>
    <row r="1346" spans="1:33" hidden="1" x14ac:dyDescent="0.2">
      <c r="A1346" s="4">
        <f>IF(B1346=1,3,IF(D1346=1,2,IF(F1346=1,1,0)))</f>
        <v>0</v>
      </c>
      <c r="B1346" s="4" t="str">
        <f>IF(C1346=$L1346,1,IF(C1346="","",0))</f>
        <v/>
      </c>
      <c r="C1346" s="42"/>
      <c r="D1346" s="4" t="str">
        <f>IF(E1346=$L1346,1,IF(E1346="","",0))</f>
        <v/>
      </c>
      <c r="E1346" s="14"/>
      <c r="F1346" s="4" t="str">
        <f>IF(G1346=$L1346,1,IF(G1346="","",0))</f>
        <v/>
      </c>
      <c r="G1346" s="14"/>
      <c r="H1346" s="6">
        <v>1887</v>
      </c>
      <c r="I1346" s="15" t="s">
        <v>3120</v>
      </c>
      <c r="J1346" s="6" t="s">
        <v>4989</v>
      </c>
      <c r="K1346" s="6"/>
      <c r="L1346" s="6" t="s">
        <v>1964</v>
      </c>
      <c r="M1346" s="6" t="s">
        <v>7993</v>
      </c>
      <c r="N1346" s="7">
        <f ca="1">RAND()</f>
        <v>0.83212729148851239</v>
      </c>
      <c r="O1346" s="8">
        <v>45212</v>
      </c>
      <c r="P1346" s="8">
        <v>45213</v>
      </c>
      <c r="Q1346" s="8">
        <v>45215</v>
      </c>
      <c r="R1346" s="8">
        <v>45219</v>
      </c>
      <c r="S1346" s="8">
        <v>45226</v>
      </c>
      <c r="T1346" s="8">
        <v>45783</v>
      </c>
      <c r="U1346" s="8">
        <v>45824</v>
      </c>
      <c r="V1346" s="10">
        <f>COUNTA(O1346:U1346)</f>
        <v>7</v>
      </c>
      <c r="W1346" s="11">
        <f>_xlfn.IFNA(INDEX(reading[[#This Row],[Memo 01]:[Memo 07]],MATCH(0,reading[[#This Row],[Memo 01]:[Memo 07]],-1)),"")</f>
        <v>45824</v>
      </c>
      <c r="X1346" s="11">
        <f ca="1">IFERROR(reading[[#This Row],[Previous]]+OFFSET(reading[[#Headers],[Memo 01]],-1,MATCH(0,reading[[#This Row],[Memo 01]:[Memo 07]],-1)-1),"")</f>
        <v>55824</v>
      </c>
      <c r="Y1346" s="10" t="str">
        <f ca="1">IF(reading[[#This Row],[Next]]&lt;&gt;"",IF(reading[[#This Row],[Next]]&gt;TODAY(),"OK",""),"")</f>
        <v>OK</v>
      </c>
      <c r="Z1346" s="13">
        <v>3</v>
      </c>
      <c r="AA1346" s="13">
        <v>3</v>
      </c>
      <c r="AB1346" s="13">
        <v>3</v>
      </c>
      <c r="AC1346" s="13">
        <v>3</v>
      </c>
      <c r="AD1346" s="13">
        <v>3</v>
      </c>
      <c r="AE1346" s="13">
        <v>3</v>
      </c>
      <c r="AF1346" s="13">
        <v>3</v>
      </c>
      <c r="AG1346" s="16">
        <f>IFERROR(SUMIF(reading[[#This Row],[1st]:[7th]],"&gt;0")/COUNTIF(reading[[#This Row],[1st]:[7th]],"&gt;0"),"")</f>
        <v>3</v>
      </c>
    </row>
    <row r="1347" spans="1:33" hidden="1" x14ac:dyDescent="0.2">
      <c r="A1347" s="4">
        <f>IF(B1347=1,3,IF(D1347=1,2,IF(F1347=1,1,0)))</f>
        <v>0</v>
      </c>
      <c r="B1347" s="4" t="str">
        <f>IF(C1347=$L1347,1,IF(C1347="","",0))</f>
        <v/>
      </c>
      <c r="C1347" s="42"/>
      <c r="D1347" s="4" t="str">
        <f>IF(E1347=$L1347,1,IF(E1347="","",0))</f>
        <v/>
      </c>
      <c r="E1347" s="14"/>
      <c r="F1347" s="4" t="str">
        <f>IF(G1347=$L1347,1,IF(G1347="","",0))</f>
        <v/>
      </c>
      <c r="G1347" s="14"/>
      <c r="H1347" s="6">
        <v>1088</v>
      </c>
      <c r="I1347" s="15" t="s">
        <v>3120</v>
      </c>
      <c r="J1347" s="6" t="s">
        <v>4212</v>
      </c>
      <c r="K1347" s="6"/>
      <c r="L1347" s="6" t="s">
        <v>1194</v>
      </c>
      <c r="M1347" s="6" t="s">
        <v>7196</v>
      </c>
      <c r="N1347" s="7">
        <f ca="1">RAND()</f>
        <v>0.66762062138654166</v>
      </c>
      <c r="O1347" s="8">
        <v>45205</v>
      </c>
      <c r="P1347" s="8">
        <v>45206</v>
      </c>
      <c r="Q1347" s="8">
        <v>45208</v>
      </c>
      <c r="R1347" s="8">
        <v>45212</v>
      </c>
      <c r="S1347" s="8">
        <v>45219</v>
      </c>
      <c r="T1347" s="8">
        <v>45231</v>
      </c>
      <c r="U1347" s="8">
        <v>45823</v>
      </c>
      <c r="V1347" s="10">
        <f>COUNTA(O1347:U1347)</f>
        <v>7</v>
      </c>
      <c r="W1347" s="11">
        <f>_xlfn.IFNA(INDEX(reading[[#This Row],[Memo 01]:[Memo 07]],MATCH(0,reading[[#This Row],[Memo 01]:[Memo 07]],-1)),"")</f>
        <v>45823</v>
      </c>
      <c r="X1347" s="11">
        <f ca="1">IFERROR(reading[[#This Row],[Previous]]+OFFSET(reading[[#Headers],[Memo 01]],-1,MATCH(0,reading[[#This Row],[Memo 01]:[Memo 07]],-1)-1),"")</f>
        <v>55823</v>
      </c>
      <c r="Y1347" s="10" t="str">
        <f ca="1">IF(reading[[#This Row],[Next]]&lt;&gt;"",IF(reading[[#This Row],[Next]]&gt;TODAY(),"OK",""),"")</f>
        <v>OK</v>
      </c>
      <c r="Z1347" s="13">
        <v>3</v>
      </c>
      <c r="AA1347" s="13">
        <v>3</v>
      </c>
      <c r="AB1347" s="13">
        <v>3</v>
      </c>
      <c r="AC1347" s="13">
        <v>3</v>
      </c>
      <c r="AD1347" s="13">
        <v>3</v>
      </c>
      <c r="AE1347" s="13">
        <v>3</v>
      </c>
      <c r="AF1347" s="13">
        <v>3</v>
      </c>
      <c r="AG1347" s="16">
        <f>IFERROR(SUMIF(reading[[#This Row],[1st]:[7th]],"&gt;0")/COUNTIF(reading[[#This Row],[1st]:[7th]],"&gt;0"),"")</f>
        <v>3</v>
      </c>
    </row>
    <row r="1348" spans="1:33" hidden="1" x14ac:dyDescent="0.2">
      <c r="A1348" s="4">
        <f>IF(B1348=1,3,IF(D1348=1,2,IF(F1348=1,1,0)))</f>
        <v>3</v>
      </c>
      <c r="B1348" s="4">
        <f>IF(C1348=$L1348,1,IF(C1348="","",0))</f>
        <v>1</v>
      </c>
      <c r="C1348" s="27" t="s">
        <v>133</v>
      </c>
      <c r="D1348" s="4" t="str">
        <f>IF(E1348=$L1348,1,IF(E1348="","",0))</f>
        <v/>
      </c>
      <c r="E1348" s="14"/>
      <c r="F1348" s="4" t="str">
        <f>IF(G1348=$L1348,1,IF(G1348="","",0))</f>
        <v/>
      </c>
      <c r="G1348" s="14"/>
      <c r="H1348" s="6">
        <v>1352</v>
      </c>
      <c r="I1348" s="15" t="s">
        <v>3120</v>
      </c>
      <c r="J1348" s="6" t="s">
        <v>4466</v>
      </c>
      <c r="K1348" s="6"/>
      <c r="L1348" s="6" t="s">
        <v>133</v>
      </c>
      <c r="M1348" s="6" t="s">
        <v>7459</v>
      </c>
      <c r="N1348" s="7">
        <f ca="1">RAND()</f>
        <v>7.7711738805291808E-2</v>
      </c>
      <c r="O1348" s="8">
        <v>45207</v>
      </c>
      <c r="P1348" s="8">
        <v>45207</v>
      </c>
      <c r="Q1348" s="8">
        <v>45207</v>
      </c>
      <c r="R1348" s="8">
        <v>45207</v>
      </c>
      <c r="S1348" s="8">
        <v>45207</v>
      </c>
      <c r="T1348" s="8">
        <v>45207</v>
      </c>
      <c r="U1348" s="8">
        <v>45207</v>
      </c>
      <c r="V1348" s="10">
        <f>COUNTA(O1348:U1348)</f>
        <v>7</v>
      </c>
      <c r="W1348" s="11">
        <f>_xlfn.IFNA(INDEX(reading[[#This Row],[Memo 01]:[Memo 07]],MATCH(0,reading[[#This Row],[Memo 01]:[Memo 07]],-1)),"")</f>
        <v>45207</v>
      </c>
      <c r="X1348" s="11">
        <f ca="1">IFERROR(reading[[#This Row],[Previous]]+OFFSET(reading[[#Headers],[Memo 01]],-1,MATCH(0,reading[[#This Row],[Memo 01]:[Memo 07]],-1)-1),"")</f>
        <v>55207</v>
      </c>
      <c r="Y1348" s="10" t="str">
        <f ca="1">IF(reading[[#This Row],[Next]]&lt;&gt;"",IF(reading[[#This Row],[Next]]&gt;TODAY(),"OK",""),"")</f>
        <v>OK</v>
      </c>
      <c r="Z1348" s="13">
        <v>3</v>
      </c>
      <c r="AA1348" s="13"/>
      <c r="AB1348" s="13"/>
      <c r="AC1348" s="13"/>
      <c r="AD1348" s="13"/>
      <c r="AE1348" s="13"/>
      <c r="AF1348" s="13"/>
      <c r="AG1348" s="16">
        <f>IFERROR(SUMIF(reading[[#This Row],[1st]:[7th]],"&gt;0")/COUNTIF(reading[[#This Row],[1st]:[7th]],"&gt;0"),"")</f>
        <v>3</v>
      </c>
    </row>
    <row r="1349" spans="1:33" hidden="1" x14ac:dyDescent="0.2">
      <c r="A1349" s="4">
        <f>IF(B1349=1,3,IF(D1349=1,2,IF(F1349=1,1,0)))</f>
        <v>0</v>
      </c>
      <c r="B1349" s="4" t="str">
        <f>IF(C1349=$L1349,1,IF(C1349="","",0))</f>
        <v/>
      </c>
      <c r="C1349" s="42"/>
      <c r="D1349" s="4" t="str">
        <f>IF(E1349=$L1349,1,IF(E1349="","",0))</f>
        <v/>
      </c>
      <c r="E1349" s="14"/>
      <c r="F1349" s="4" t="str">
        <f>IF(G1349=$L1349,1,IF(G1349="","",0))</f>
        <v/>
      </c>
      <c r="G1349" s="14"/>
      <c r="H1349" s="6">
        <v>1427</v>
      </c>
      <c r="I1349" s="15" t="s">
        <v>3120</v>
      </c>
      <c r="J1349" s="6" t="s">
        <v>4541</v>
      </c>
      <c r="K1349" s="6"/>
      <c r="L1349" s="6" t="s">
        <v>1518</v>
      </c>
      <c r="M1349" s="6" t="s">
        <v>7534</v>
      </c>
      <c r="N1349" s="7">
        <f ca="1">RAND()</f>
        <v>0.71337800488357028</v>
      </c>
      <c r="O1349" s="8">
        <v>45208</v>
      </c>
      <c r="P1349" s="8">
        <v>45209</v>
      </c>
      <c r="Q1349" s="8">
        <v>45211</v>
      </c>
      <c r="R1349" s="8">
        <v>45215</v>
      </c>
      <c r="S1349" s="8">
        <v>45222</v>
      </c>
      <c r="T1349" s="8">
        <v>45234</v>
      </c>
      <c r="U1349" s="8">
        <v>45823</v>
      </c>
      <c r="V1349" s="10">
        <f>COUNTA(O1349:U1349)</f>
        <v>7</v>
      </c>
      <c r="W1349" s="11">
        <f>_xlfn.IFNA(INDEX(reading[[#This Row],[Memo 01]:[Memo 07]],MATCH(0,reading[[#This Row],[Memo 01]:[Memo 07]],-1)),"")</f>
        <v>45823</v>
      </c>
      <c r="X1349" s="11">
        <f ca="1">IFERROR(reading[[#This Row],[Previous]]+OFFSET(reading[[#Headers],[Memo 01]],-1,MATCH(0,reading[[#This Row],[Memo 01]:[Memo 07]],-1)-1),"")</f>
        <v>55823</v>
      </c>
      <c r="Y1349" s="10" t="str">
        <f ca="1">IF(reading[[#This Row],[Next]]&lt;&gt;"",IF(reading[[#This Row],[Next]]&gt;TODAY(),"OK",""),"")</f>
        <v>OK</v>
      </c>
      <c r="Z1349" s="13">
        <v>3</v>
      </c>
      <c r="AA1349" s="13">
        <v>3</v>
      </c>
      <c r="AB1349" s="13">
        <v>3</v>
      </c>
      <c r="AC1349" s="13">
        <v>3</v>
      </c>
      <c r="AD1349" s="13">
        <v>3</v>
      </c>
      <c r="AE1349" s="13">
        <v>3</v>
      </c>
      <c r="AF1349" s="13">
        <v>3</v>
      </c>
      <c r="AG1349" s="16">
        <f>IFERROR(SUMIF(reading[[#This Row],[1st]:[7th]],"&gt;0")/COUNTIF(reading[[#This Row],[1st]:[7th]],"&gt;0"),"")</f>
        <v>3</v>
      </c>
    </row>
    <row r="1350" spans="1:33" hidden="1" x14ac:dyDescent="0.2">
      <c r="A1350" s="4">
        <f>IF(B1350=1,3,IF(D1350=1,2,IF(F1350=1,1,0)))</f>
        <v>0</v>
      </c>
      <c r="B1350" s="4" t="str">
        <f>IF(C1350=$L1350,1,IF(C1350="","",0))</f>
        <v/>
      </c>
      <c r="C1350" s="42"/>
      <c r="D1350" s="4" t="str">
        <f>IF(E1350=$L1350,1,IF(E1350="","",0))</f>
        <v/>
      </c>
      <c r="E1350" s="23"/>
      <c r="F1350" s="4" t="str">
        <f>IF(G1350=$L1350,1,IF(G1350="","",0))</f>
        <v/>
      </c>
      <c r="G1350" s="14"/>
      <c r="H1350" s="6">
        <v>2303</v>
      </c>
      <c r="I1350" s="15" t="s">
        <v>3120</v>
      </c>
      <c r="J1350" s="6" t="s">
        <v>5381</v>
      </c>
      <c r="K1350" s="6"/>
      <c r="L1350" s="6" t="s">
        <v>2361</v>
      </c>
      <c r="M1350" s="6" t="s">
        <v>8408</v>
      </c>
      <c r="N1350" s="7">
        <f ca="1">RAND()</f>
        <v>9.9295745334699315E-2</v>
      </c>
      <c r="O1350" s="8">
        <v>45216</v>
      </c>
      <c r="P1350" s="8">
        <v>45217</v>
      </c>
      <c r="Q1350" s="8">
        <v>45219</v>
      </c>
      <c r="R1350" s="8">
        <v>45223</v>
      </c>
      <c r="S1350" s="8">
        <v>45230</v>
      </c>
      <c r="T1350" s="8">
        <v>45816</v>
      </c>
      <c r="U1350" s="8"/>
      <c r="V1350" s="10">
        <f>COUNTA(O1350:U1350)</f>
        <v>6</v>
      </c>
      <c r="W1350" s="11">
        <f>_xlfn.IFNA(INDEX(reading[[#This Row],[Memo 01]:[Memo 07]],MATCH(0,reading[[#This Row],[Memo 01]:[Memo 07]],-1)),"")</f>
        <v>45816</v>
      </c>
      <c r="X1350" s="11">
        <f ca="1">IFERROR(reading[[#This Row],[Previous]]+OFFSET(reading[[#Headers],[Memo 01]],-1,MATCH(0,reading[[#This Row],[Memo 01]:[Memo 07]],-1)-1),"")</f>
        <v>45836</v>
      </c>
      <c r="Y1350" s="10" t="str">
        <f ca="1">IF(reading[[#This Row],[Next]]&lt;&gt;"",IF(reading[[#This Row],[Next]]&gt;TODAY(),"OK",""),"")</f>
        <v>OK</v>
      </c>
      <c r="Z1350" s="13">
        <v>3</v>
      </c>
      <c r="AA1350" s="13">
        <v>3</v>
      </c>
      <c r="AB1350" s="13">
        <v>3</v>
      </c>
      <c r="AC1350" s="13">
        <v>3</v>
      </c>
      <c r="AD1350" s="13">
        <v>3</v>
      </c>
      <c r="AE1350" s="13">
        <v>2</v>
      </c>
      <c r="AF1350" s="13"/>
      <c r="AG1350" s="16">
        <f>IFERROR(SUMIF(reading[[#This Row],[1st]:[7th]],"&gt;0")/COUNTIF(reading[[#This Row],[1st]:[7th]],"&gt;0"),"")</f>
        <v>2.8333333333333335</v>
      </c>
    </row>
    <row r="1351" spans="1:33" hidden="1" x14ac:dyDescent="0.2">
      <c r="A1351" s="4">
        <f>IF(B1351=1,3,IF(D1351=1,2,IF(F1351=1,1,0)))</f>
        <v>0</v>
      </c>
      <c r="B1351" s="4">
        <f>IF(C1351=$L1351,1,IF(C1351="","",0))</f>
        <v>0</v>
      </c>
      <c r="C1351" s="42" t="s">
        <v>9260</v>
      </c>
      <c r="D1351" s="4">
        <f>IF(E1351=$L1351,1,IF(E1351="","",0))</f>
        <v>0</v>
      </c>
      <c r="E1351" s="43" t="s">
        <v>9260</v>
      </c>
      <c r="F1351" s="4" t="str">
        <f>IF(G1351=$L1351,1,IF(G1351="","",0))</f>
        <v/>
      </c>
      <c r="G1351" s="14"/>
      <c r="H1351" s="6">
        <v>2922</v>
      </c>
      <c r="I1351" s="15" t="s">
        <v>3120</v>
      </c>
      <c r="J1351" s="6" t="s">
        <v>5957</v>
      </c>
      <c r="K1351" s="6"/>
      <c r="L1351" s="6" t="s">
        <v>2952</v>
      </c>
      <c r="M1351" s="6" t="s">
        <v>9026</v>
      </c>
      <c r="N1351" s="7">
        <f ca="1">RAND()</f>
        <v>0.28803432596852097</v>
      </c>
      <c r="O1351" s="8">
        <v>45223</v>
      </c>
      <c r="P1351" s="8">
        <v>45224</v>
      </c>
      <c r="Q1351" s="8">
        <v>45226</v>
      </c>
      <c r="R1351" s="8">
        <v>45230</v>
      </c>
      <c r="S1351" s="8">
        <v>45248</v>
      </c>
      <c r="T1351" s="8"/>
      <c r="U1351" s="8"/>
      <c r="V1351" s="10">
        <f>COUNTA(O1351:U1351)</f>
        <v>5</v>
      </c>
      <c r="W1351" s="11">
        <f>_xlfn.IFNA(INDEX(reading[[#This Row],[Memo 01]:[Memo 07]],MATCH(0,reading[[#This Row],[Memo 01]:[Memo 07]],-1)),"")</f>
        <v>45248</v>
      </c>
      <c r="X1351" s="11">
        <f ca="1">IFERROR(reading[[#This Row],[Previous]]+OFFSET(reading[[#Headers],[Memo 01]],-1,MATCH(0,reading[[#This Row],[Memo 01]:[Memo 07]],-1)-1),"")</f>
        <v>45260</v>
      </c>
      <c r="Y1351" s="10" t="str">
        <f ca="1">IF(reading[[#This Row],[Next]]&lt;&gt;"",IF(reading[[#This Row],[Next]]&gt;TODAY(),"OK",""),"")</f>
        <v/>
      </c>
      <c r="Z1351" s="13">
        <v>3</v>
      </c>
      <c r="AA1351" s="13">
        <v>3</v>
      </c>
      <c r="AB1351" s="13">
        <v>3</v>
      </c>
      <c r="AC1351" s="13">
        <v>3</v>
      </c>
      <c r="AD1351" s="13">
        <v>2</v>
      </c>
      <c r="AE1351" s="13"/>
      <c r="AF1351" s="13"/>
      <c r="AG1351" s="16">
        <f>IFERROR(SUMIF(reading[[#This Row],[1st]:[7th]],"&gt;0")/COUNTIF(reading[[#This Row],[1st]:[7th]],"&gt;0"),"")</f>
        <v>2.8</v>
      </c>
    </row>
    <row r="1352" spans="1:33" hidden="1" x14ac:dyDescent="0.2">
      <c r="A1352" s="4">
        <f>IF(B1352=1,3,IF(D1352=1,2,IF(F1352=1,1,0)))</f>
        <v>0</v>
      </c>
      <c r="B1352" s="4" t="str">
        <f>IF(C1352=$L1352,1,IF(C1352="","",0))</f>
        <v/>
      </c>
      <c r="C1352" s="42"/>
      <c r="D1352" s="4" t="str">
        <f>IF(E1352=$L1352,1,IF(E1352="","",0))</f>
        <v/>
      </c>
      <c r="E1352" s="23"/>
      <c r="F1352" s="4" t="str">
        <f>IF(G1352=$L1352,1,IF(G1352="","",0))</f>
        <v/>
      </c>
      <c r="G1352" s="23"/>
      <c r="H1352" s="6">
        <v>2997</v>
      </c>
      <c r="I1352" s="15" t="s">
        <v>3120</v>
      </c>
      <c r="J1352" s="6" t="s">
        <v>6021</v>
      </c>
      <c r="K1352" s="6"/>
      <c r="L1352" s="6" t="s">
        <v>3026</v>
      </c>
      <c r="M1352" s="6" t="s">
        <v>9100</v>
      </c>
      <c r="N1352" s="7">
        <f ca="1">RAND()</f>
        <v>0.43767549987742238</v>
      </c>
      <c r="O1352" s="8">
        <v>45223</v>
      </c>
      <c r="P1352" s="8">
        <v>45224</v>
      </c>
      <c r="Q1352" s="8">
        <v>45226</v>
      </c>
      <c r="R1352" s="8">
        <v>45230</v>
      </c>
      <c r="S1352" s="8">
        <v>45237</v>
      </c>
      <c r="T1352" s="8">
        <v>45816</v>
      </c>
      <c r="U1352" s="8"/>
      <c r="V1352" s="10">
        <f>COUNTA(O1352:U1352)</f>
        <v>6</v>
      </c>
      <c r="W1352" s="11">
        <f>_xlfn.IFNA(INDEX(reading[[#This Row],[Memo 01]:[Memo 07]],MATCH(0,reading[[#This Row],[Memo 01]:[Memo 07]],-1)),"")</f>
        <v>45816</v>
      </c>
      <c r="X1352" s="11">
        <f ca="1">IFERROR(reading[[#This Row],[Previous]]+OFFSET(reading[[#Headers],[Memo 01]],-1,MATCH(0,reading[[#This Row],[Memo 01]:[Memo 07]],-1)-1),"")</f>
        <v>45836</v>
      </c>
      <c r="Y1352" s="10" t="str">
        <f ca="1">IF(reading[[#This Row],[Next]]&lt;&gt;"",IF(reading[[#This Row],[Next]]&gt;TODAY(),"OK",""),"")</f>
        <v>OK</v>
      </c>
      <c r="Z1352" s="13">
        <v>3</v>
      </c>
      <c r="AA1352" s="13">
        <v>3</v>
      </c>
      <c r="AB1352" s="13">
        <v>3</v>
      </c>
      <c r="AC1352" s="13">
        <v>3</v>
      </c>
      <c r="AD1352" s="13">
        <v>3</v>
      </c>
      <c r="AE1352" s="13">
        <v>1</v>
      </c>
      <c r="AF1352" s="13"/>
      <c r="AG1352" s="16">
        <f>IFERROR(SUMIF(reading[[#This Row],[1st]:[7th]],"&gt;0")/COUNTIF(reading[[#This Row],[1st]:[7th]],"&gt;0"),"")</f>
        <v>2.6666666666666665</v>
      </c>
    </row>
    <row r="1353" spans="1:33" hidden="1" x14ac:dyDescent="0.2">
      <c r="A1353" s="4">
        <f>IF(B1353=1,3,IF(D1353=1,2,IF(F1353=1,1,0)))</f>
        <v>0</v>
      </c>
      <c r="B1353" s="4" t="str">
        <f>IF(C1353=$L1353,1,IF(C1353="","",0))</f>
        <v/>
      </c>
      <c r="C1353" s="42"/>
      <c r="D1353" s="4" t="str">
        <f>IF(E1353=$L1353,1,IF(E1353="","",0))</f>
        <v/>
      </c>
      <c r="E1353" s="18"/>
      <c r="F1353" s="4" t="str">
        <f>IF(G1353=$L1353,1,IF(G1353="","",0))</f>
        <v/>
      </c>
      <c r="G1353" s="14"/>
      <c r="H1353" s="6">
        <v>854</v>
      </c>
      <c r="I1353" s="15" t="s">
        <v>3120</v>
      </c>
      <c r="J1353" s="6" t="s">
        <v>3986</v>
      </c>
      <c r="K1353" s="6"/>
      <c r="L1353" s="6" t="s">
        <v>970</v>
      </c>
      <c r="M1353" s="6" t="s">
        <v>6963</v>
      </c>
      <c r="N1353" s="7">
        <f ca="1">RAND()</f>
        <v>0.95454432436381875</v>
      </c>
      <c r="O1353" s="8">
        <v>45203</v>
      </c>
      <c r="P1353" s="8">
        <v>45204</v>
      </c>
      <c r="Q1353" s="8">
        <v>45206</v>
      </c>
      <c r="R1353" s="8">
        <v>45210</v>
      </c>
      <c r="S1353" s="8">
        <v>45217</v>
      </c>
      <c r="T1353" s="8">
        <v>45229</v>
      </c>
      <c r="U1353" s="8">
        <v>45824</v>
      </c>
      <c r="V1353" s="10">
        <f>COUNTA(O1353:U1353)</f>
        <v>7</v>
      </c>
      <c r="W1353" s="11">
        <f>_xlfn.IFNA(INDEX(reading[[#This Row],[Memo 01]:[Memo 07]],MATCH(0,reading[[#This Row],[Memo 01]:[Memo 07]],-1)),"")</f>
        <v>45824</v>
      </c>
      <c r="X1353" s="11">
        <f ca="1">IFERROR(reading[[#This Row],[Previous]]+OFFSET(reading[[#Headers],[Memo 01]],-1,MATCH(0,reading[[#This Row],[Memo 01]:[Memo 07]],-1)-1),"")</f>
        <v>55824</v>
      </c>
      <c r="Y1353" s="10" t="str">
        <f ca="1">IF(reading[[#This Row],[Next]]&lt;&gt;"",IF(reading[[#This Row],[Next]]&gt;TODAY(),"OK",""),"")</f>
        <v>OK</v>
      </c>
      <c r="Z1353" s="13">
        <v>3</v>
      </c>
      <c r="AA1353" s="13">
        <v>3</v>
      </c>
      <c r="AB1353" s="13">
        <v>2</v>
      </c>
      <c r="AC1353" s="13">
        <v>3</v>
      </c>
      <c r="AD1353" s="13">
        <v>3</v>
      </c>
      <c r="AE1353" s="13">
        <v>3</v>
      </c>
      <c r="AF1353" s="13">
        <v>3</v>
      </c>
      <c r="AG1353" s="16">
        <f>IFERROR(SUMIF(reading[[#This Row],[1st]:[7th]],"&gt;0")/COUNTIF(reading[[#This Row],[1st]:[7th]],"&gt;0"),"")</f>
        <v>2.8571428571428572</v>
      </c>
    </row>
    <row r="1354" spans="1:33" hidden="1" x14ac:dyDescent="0.2">
      <c r="A1354" s="4">
        <f>IF(B1354=1,3,IF(D1354=1,2,IF(F1354=1,1,0)))</f>
        <v>0</v>
      </c>
      <c r="B1354" s="4" t="str">
        <f>IF(C1354=$L1354,1,IF(C1354="","",0))</f>
        <v/>
      </c>
      <c r="C1354" s="42"/>
      <c r="D1354" s="4" t="str">
        <f>IF(E1354=$L1354,1,IF(E1354="","",0))</f>
        <v/>
      </c>
      <c r="E1354" s="14"/>
      <c r="F1354" s="4" t="str">
        <f>IF(G1354=$L1354,1,IF(G1354="","",0))</f>
        <v/>
      </c>
      <c r="G1354" s="14"/>
      <c r="H1354" s="6">
        <v>2860</v>
      </c>
      <c r="I1354" s="15" t="s">
        <v>3120</v>
      </c>
      <c r="J1354" s="6" t="s">
        <v>5899</v>
      </c>
      <c r="K1354" s="6"/>
      <c r="L1354" s="6" t="s">
        <v>2892</v>
      </c>
      <c r="M1354" s="6" t="s">
        <v>8964</v>
      </c>
      <c r="N1354" s="7">
        <f ca="1">RAND()</f>
        <v>0.83519937500461161</v>
      </c>
      <c r="O1354" s="8">
        <v>45222</v>
      </c>
      <c r="P1354" s="8">
        <v>45223</v>
      </c>
      <c r="Q1354" s="8">
        <v>45225</v>
      </c>
      <c r="R1354" s="8">
        <v>45229</v>
      </c>
      <c r="S1354" s="8">
        <v>45236</v>
      </c>
      <c r="T1354" s="8">
        <v>45824</v>
      </c>
      <c r="U1354" s="8"/>
      <c r="V1354" s="10">
        <f>COUNTA(O1354:U1354)</f>
        <v>6</v>
      </c>
      <c r="W1354" s="11">
        <f>_xlfn.IFNA(INDEX(reading[[#This Row],[Memo 01]:[Memo 07]],MATCH(0,reading[[#This Row],[Memo 01]:[Memo 07]],-1)),"")</f>
        <v>45824</v>
      </c>
      <c r="X1354" s="11">
        <f ca="1">IFERROR(reading[[#This Row],[Previous]]+OFFSET(reading[[#Headers],[Memo 01]],-1,MATCH(0,reading[[#This Row],[Memo 01]:[Memo 07]],-1)-1),"")</f>
        <v>45844</v>
      </c>
      <c r="Y1354" s="10" t="str">
        <f ca="1">IF(reading[[#This Row],[Next]]&lt;&gt;"",IF(reading[[#This Row],[Next]]&gt;TODAY(),"OK",""),"")</f>
        <v>OK</v>
      </c>
      <c r="Z1354" s="13">
        <v>3</v>
      </c>
      <c r="AA1354" s="13">
        <v>3</v>
      </c>
      <c r="AB1354" s="13">
        <v>3</v>
      </c>
      <c r="AC1354" s="13">
        <v>3</v>
      </c>
      <c r="AD1354" s="13">
        <v>3</v>
      </c>
      <c r="AE1354" s="13">
        <v>3</v>
      </c>
      <c r="AF1354" s="13"/>
      <c r="AG1354" s="16">
        <f>IFERROR(SUMIF(reading[[#This Row],[1st]:[7th]],"&gt;0")/COUNTIF(reading[[#This Row],[1st]:[7th]],"&gt;0"),"")</f>
        <v>3</v>
      </c>
    </row>
    <row r="1355" spans="1:33" hidden="1" x14ac:dyDescent="0.2">
      <c r="A1355" s="4">
        <f>IF(B1355=1,3,IF(D1355=1,2,IF(F1355=1,1,0)))</f>
        <v>0</v>
      </c>
      <c r="B1355" s="4" t="str">
        <f>IF(C1355=$L1355,1,IF(C1355="","",0))</f>
        <v/>
      </c>
      <c r="C1355" s="42"/>
      <c r="D1355" s="4" t="str">
        <f>IF(E1355=$L1355,1,IF(E1355="","",0))</f>
        <v/>
      </c>
      <c r="E1355" s="14"/>
      <c r="F1355" s="4" t="str">
        <f>IF(G1355=$L1355,1,IF(G1355="","",0))</f>
        <v/>
      </c>
      <c r="G1355" s="14"/>
      <c r="H1355" s="6">
        <v>1284</v>
      </c>
      <c r="I1355" s="15" t="s">
        <v>3120</v>
      </c>
      <c r="J1355" s="6" t="s">
        <v>4401</v>
      </c>
      <c r="K1355" s="6"/>
      <c r="L1355" s="6" t="s">
        <v>1382</v>
      </c>
      <c r="M1355" s="6" t="s">
        <v>7391</v>
      </c>
      <c r="N1355" s="7">
        <f ca="1">RAND()</f>
        <v>0.68250709916602459</v>
      </c>
      <c r="O1355" s="8">
        <v>45207</v>
      </c>
      <c r="P1355" s="8">
        <v>45208</v>
      </c>
      <c r="Q1355" s="8">
        <v>45210</v>
      </c>
      <c r="R1355" s="8">
        <v>45214</v>
      </c>
      <c r="S1355" s="8">
        <v>45221</v>
      </c>
      <c r="T1355" s="8">
        <v>45233</v>
      </c>
      <c r="U1355" s="8">
        <v>45824</v>
      </c>
      <c r="V1355" s="10">
        <f>COUNTA(O1355:U1355)</f>
        <v>7</v>
      </c>
      <c r="W1355" s="11">
        <f>_xlfn.IFNA(INDEX(reading[[#This Row],[Memo 01]:[Memo 07]],MATCH(0,reading[[#This Row],[Memo 01]:[Memo 07]],-1)),"")</f>
        <v>45824</v>
      </c>
      <c r="X1355" s="11">
        <f ca="1">IFERROR(reading[[#This Row],[Previous]]+OFFSET(reading[[#Headers],[Memo 01]],-1,MATCH(0,reading[[#This Row],[Memo 01]:[Memo 07]],-1)-1),"")</f>
        <v>55824</v>
      </c>
      <c r="Y1355" s="10" t="str">
        <f ca="1">IF(reading[[#This Row],[Next]]&lt;&gt;"",IF(reading[[#This Row],[Next]]&gt;TODAY(),"OK",""),"")</f>
        <v>OK</v>
      </c>
      <c r="Z1355" s="13">
        <v>3</v>
      </c>
      <c r="AA1355" s="13">
        <v>3</v>
      </c>
      <c r="AB1355" s="13">
        <v>3</v>
      </c>
      <c r="AC1355" s="13">
        <v>3</v>
      </c>
      <c r="AD1355" s="13">
        <v>3</v>
      </c>
      <c r="AE1355" s="13">
        <v>3</v>
      </c>
      <c r="AF1355" s="13">
        <v>3</v>
      </c>
      <c r="AG1355" s="16">
        <f>IFERROR(SUMIF(reading[[#This Row],[1st]:[7th]],"&gt;0")/COUNTIF(reading[[#This Row],[1st]:[7th]],"&gt;0"),"")</f>
        <v>3</v>
      </c>
    </row>
    <row r="1356" spans="1:33" hidden="1" x14ac:dyDescent="0.2">
      <c r="A1356" s="4">
        <f>IF(B1356=1,3,IF(D1356=1,2,IF(F1356=1,1,0)))</f>
        <v>0</v>
      </c>
      <c r="B1356" s="4" t="str">
        <f>IF(C1356=$L1356,1,IF(C1356="","",0))</f>
        <v/>
      </c>
      <c r="C1356" s="42"/>
      <c r="D1356" s="4" t="str">
        <f>IF(E1356=$L1356,1,IF(E1356="","",0))</f>
        <v/>
      </c>
      <c r="E1356" s="14"/>
      <c r="F1356" s="4" t="str">
        <f>IF(G1356=$L1356,1,IF(G1356="","",0))</f>
        <v/>
      </c>
      <c r="G1356" s="14"/>
      <c r="H1356" s="6">
        <v>1917</v>
      </c>
      <c r="I1356" s="15" t="s">
        <v>3120</v>
      </c>
      <c r="J1356" s="6" t="s">
        <v>5018</v>
      </c>
      <c r="K1356" s="6"/>
      <c r="L1356" s="6" t="s">
        <v>1993</v>
      </c>
      <c r="M1356" s="6" t="s">
        <v>8023</v>
      </c>
      <c r="N1356" s="7">
        <f ca="1">RAND()</f>
        <v>0.83856721856594685</v>
      </c>
      <c r="O1356" s="8">
        <v>45212</v>
      </c>
      <c r="P1356" s="8">
        <v>45213</v>
      </c>
      <c r="Q1356" s="8">
        <v>45215</v>
      </c>
      <c r="R1356" s="8">
        <v>45219</v>
      </c>
      <c r="S1356" s="8">
        <v>45226</v>
      </c>
      <c r="T1356" s="8">
        <v>45783</v>
      </c>
      <c r="U1356" s="8">
        <v>45824</v>
      </c>
      <c r="V1356" s="10">
        <f>COUNTA(O1356:U1356)</f>
        <v>7</v>
      </c>
      <c r="W1356" s="11">
        <f>_xlfn.IFNA(INDEX(reading[[#This Row],[Memo 01]:[Memo 07]],MATCH(0,reading[[#This Row],[Memo 01]:[Memo 07]],-1)),"")</f>
        <v>45824</v>
      </c>
      <c r="X1356" s="11">
        <f ca="1">IFERROR(reading[[#This Row],[Previous]]+OFFSET(reading[[#Headers],[Memo 01]],-1,MATCH(0,reading[[#This Row],[Memo 01]:[Memo 07]],-1)-1),"")</f>
        <v>55824</v>
      </c>
      <c r="Y1356" s="10" t="str">
        <f ca="1">IF(reading[[#This Row],[Next]]&lt;&gt;"",IF(reading[[#This Row],[Next]]&gt;TODAY(),"OK",""),"")</f>
        <v>OK</v>
      </c>
      <c r="Z1356" s="13">
        <v>3</v>
      </c>
      <c r="AA1356" s="13">
        <v>3</v>
      </c>
      <c r="AB1356" s="13">
        <v>3</v>
      </c>
      <c r="AC1356" s="13">
        <v>3</v>
      </c>
      <c r="AD1356" s="13">
        <v>3</v>
      </c>
      <c r="AE1356" s="13">
        <v>3</v>
      </c>
      <c r="AF1356" s="13">
        <v>3</v>
      </c>
      <c r="AG1356" s="16">
        <f>IFERROR(SUMIF(reading[[#This Row],[1st]:[7th]],"&gt;0")/COUNTIF(reading[[#This Row],[1st]:[7th]],"&gt;0"),"")</f>
        <v>3</v>
      </c>
    </row>
    <row r="1357" spans="1:33" hidden="1" x14ac:dyDescent="0.2">
      <c r="A1357" s="4">
        <f>IF(B1357=1,3,IF(D1357=1,2,IF(F1357=1,1,0)))</f>
        <v>0</v>
      </c>
      <c r="B1357" s="4" t="str">
        <f>IF(C1357=$L1357,1,IF(C1357="","",0))</f>
        <v/>
      </c>
      <c r="C1357" s="42"/>
      <c r="D1357" s="4" t="str">
        <f>IF(E1357=$L1357,1,IF(E1357="","",0))</f>
        <v/>
      </c>
      <c r="E1357" s="14"/>
      <c r="F1357" s="4" t="str">
        <f>IF(G1357=$L1357,1,IF(G1357="","",0))</f>
        <v/>
      </c>
      <c r="G1357" s="14"/>
      <c r="H1357" s="6">
        <v>2579</v>
      </c>
      <c r="I1357" s="15" t="s">
        <v>3120</v>
      </c>
      <c r="J1357" s="6" t="s">
        <v>5639</v>
      </c>
      <c r="K1357" s="6"/>
      <c r="L1357" s="6" t="s">
        <v>2623</v>
      </c>
      <c r="M1357" s="6" t="s">
        <v>8684</v>
      </c>
      <c r="N1357" s="7">
        <f ca="1">RAND()</f>
        <v>0.40925167069120394</v>
      </c>
      <c r="O1357" s="8">
        <v>45219</v>
      </c>
      <c r="P1357" s="8">
        <v>45220</v>
      </c>
      <c r="Q1357" s="8">
        <v>45222</v>
      </c>
      <c r="R1357" s="8">
        <v>45226</v>
      </c>
      <c r="S1357" s="8">
        <v>45233</v>
      </c>
      <c r="T1357" s="8">
        <v>45783</v>
      </c>
      <c r="U1357" s="8">
        <v>45823</v>
      </c>
      <c r="V1357" s="10">
        <f>COUNTA(O1357:U1357)</f>
        <v>7</v>
      </c>
      <c r="W1357" s="11">
        <f>_xlfn.IFNA(INDEX(reading[[#This Row],[Memo 01]:[Memo 07]],MATCH(0,reading[[#This Row],[Memo 01]:[Memo 07]],-1)),"")</f>
        <v>45823</v>
      </c>
      <c r="X1357" s="11">
        <f ca="1">IFERROR(reading[[#This Row],[Previous]]+OFFSET(reading[[#Headers],[Memo 01]],-1,MATCH(0,reading[[#This Row],[Memo 01]:[Memo 07]],-1)-1),"")</f>
        <v>55823</v>
      </c>
      <c r="Y1357" s="10" t="str">
        <f ca="1">IF(reading[[#This Row],[Next]]&lt;&gt;"",IF(reading[[#This Row],[Next]]&gt;TODAY(),"OK",""),"")</f>
        <v>OK</v>
      </c>
      <c r="Z1357" s="13">
        <v>3</v>
      </c>
      <c r="AA1357" s="13">
        <v>3</v>
      </c>
      <c r="AB1357" s="13">
        <v>3</v>
      </c>
      <c r="AC1357" s="13">
        <v>3</v>
      </c>
      <c r="AD1357" s="13">
        <v>3</v>
      </c>
      <c r="AE1357" s="13">
        <v>3</v>
      </c>
      <c r="AF1357" s="13">
        <v>3</v>
      </c>
      <c r="AG1357" s="16">
        <f>IFERROR(SUMIF(reading[[#This Row],[1st]:[7th]],"&gt;0")/COUNTIF(reading[[#This Row],[1st]:[7th]],"&gt;0"),"")</f>
        <v>3</v>
      </c>
    </row>
    <row r="1358" spans="1:33" hidden="1" x14ac:dyDescent="0.2">
      <c r="A1358" s="4">
        <f>IF(B1358=1,3,IF(D1358=1,2,IF(F1358=1,1,0)))</f>
        <v>0</v>
      </c>
      <c r="B1358" s="4" t="str">
        <f>IF(C1358=$L1358,1,IF(C1358="","",0))</f>
        <v/>
      </c>
      <c r="C1358" s="42"/>
      <c r="D1358" s="4" t="str">
        <f>IF(E1358=$L1358,1,IF(E1358="","",0))</f>
        <v/>
      </c>
      <c r="E1358" s="18"/>
      <c r="F1358" s="4" t="str">
        <f>IF(G1358=$L1358,1,IF(G1358="","",0))</f>
        <v/>
      </c>
      <c r="G1358" s="14"/>
      <c r="H1358" s="6">
        <v>1176</v>
      </c>
      <c r="I1358" s="15" t="s">
        <v>3120</v>
      </c>
      <c r="J1358" s="6" t="s">
        <v>4295</v>
      </c>
      <c r="K1358" s="6"/>
      <c r="L1358" s="6" t="s">
        <v>1278</v>
      </c>
      <c r="M1358" s="6" t="s">
        <v>7284</v>
      </c>
      <c r="N1358" s="7">
        <f ca="1">RAND()</f>
        <v>0.32179692419920869</v>
      </c>
      <c r="O1358" s="8">
        <v>45206</v>
      </c>
      <c r="P1358" s="8">
        <v>45207</v>
      </c>
      <c r="Q1358" s="8">
        <v>45209</v>
      </c>
      <c r="R1358" s="8">
        <v>45213</v>
      </c>
      <c r="S1358" s="8">
        <v>45220</v>
      </c>
      <c r="T1358" s="8">
        <v>45232</v>
      </c>
      <c r="U1358" s="8">
        <v>45823</v>
      </c>
      <c r="V1358" s="10">
        <f>COUNTA(O1358:U1358)</f>
        <v>7</v>
      </c>
      <c r="W1358" s="11">
        <f>_xlfn.IFNA(INDEX(reading[[#This Row],[Memo 01]:[Memo 07]],MATCH(0,reading[[#This Row],[Memo 01]:[Memo 07]],-1)),"")</f>
        <v>45823</v>
      </c>
      <c r="X1358" s="11">
        <f ca="1">IFERROR(reading[[#This Row],[Previous]]+OFFSET(reading[[#Headers],[Memo 01]],-1,MATCH(0,reading[[#This Row],[Memo 01]:[Memo 07]],-1)-1),"")</f>
        <v>55823</v>
      </c>
      <c r="Y1358" s="10" t="str">
        <f ca="1">IF(reading[[#This Row],[Next]]&lt;&gt;"",IF(reading[[#This Row],[Next]]&gt;TODAY(),"OK",""),"")</f>
        <v>OK</v>
      </c>
      <c r="Z1358" s="13">
        <v>3</v>
      </c>
      <c r="AA1358" s="13">
        <v>3</v>
      </c>
      <c r="AB1358" s="13">
        <v>3</v>
      </c>
      <c r="AC1358" s="13">
        <v>3</v>
      </c>
      <c r="AD1358" s="13">
        <v>2</v>
      </c>
      <c r="AE1358" s="13">
        <v>3</v>
      </c>
      <c r="AF1358" s="13">
        <v>3</v>
      </c>
      <c r="AG1358" s="16">
        <f>IFERROR(SUMIF(reading[[#This Row],[1st]:[7th]],"&gt;0")/COUNTIF(reading[[#This Row],[1st]:[7th]],"&gt;0"),"")</f>
        <v>2.8571428571428572</v>
      </c>
    </row>
    <row r="1359" spans="1:33" hidden="1" x14ac:dyDescent="0.2">
      <c r="A1359" s="4">
        <f>IF(B1359=1,3,IF(D1359=1,2,IF(F1359=1,1,0)))</f>
        <v>0</v>
      </c>
      <c r="B1359" s="4" t="str">
        <f>IF(C1359=$L1359,1,IF(C1359="","",0))</f>
        <v/>
      </c>
      <c r="C1359" s="42"/>
      <c r="D1359" s="4" t="str">
        <f>IF(E1359=$L1359,1,IF(E1359="","",0))</f>
        <v/>
      </c>
      <c r="E1359" s="43"/>
      <c r="F1359" s="4" t="str">
        <f>IF(G1359=$L1359,1,IF(G1359="","",0))</f>
        <v/>
      </c>
      <c r="G1359" s="14"/>
      <c r="H1359" s="6">
        <v>1677</v>
      </c>
      <c r="I1359" s="15" t="s">
        <v>3120</v>
      </c>
      <c r="J1359" s="6" t="s">
        <v>4788</v>
      </c>
      <c r="K1359" s="15" t="s">
        <v>3139</v>
      </c>
      <c r="L1359" s="6" t="s">
        <v>1757</v>
      </c>
      <c r="M1359" s="6" t="s">
        <v>7783</v>
      </c>
      <c r="N1359" s="7">
        <f ca="1">RAND()</f>
        <v>0.96378228844104552</v>
      </c>
      <c r="O1359" s="8">
        <v>45212</v>
      </c>
      <c r="P1359" s="8">
        <v>45213</v>
      </c>
      <c r="Q1359" s="8">
        <v>45215</v>
      </c>
      <c r="R1359" s="8">
        <v>45219</v>
      </c>
      <c r="S1359" s="8">
        <v>45226</v>
      </c>
      <c r="T1359" s="8">
        <v>45252</v>
      </c>
      <c r="U1359" s="8">
        <v>45825</v>
      </c>
      <c r="V1359" s="10">
        <f>COUNTA(O1359:U1359)</f>
        <v>7</v>
      </c>
      <c r="W1359" s="11">
        <f>_xlfn.IFNA(INDEX(reading[[#This Row],[Memo 01]:[Memo 07]],MATCH(0,reading[[#This Row],[Memo 01]:[Memo 07]],-1)),"")</f>
        <v>45825</v>
      </c>
      <c r="X1359" s="11">
        <f ca="1">IFERROR(reading[[#This Row],[Previous]]+OFFSET(reading[[#Headers],[Memo 01]],-1,MATCH(0,reading[[#This Row],[Memo 01]:[Memo 07]],-1)-1),"")</f>
        <v>55825</v>
      </c>
      <c r="Y1359" s="10" t="str">
        <f ca="1">IF(reading[[#This Row],[Next]]&lt;&gt;"",IF(reading[[#This Row],[Next]]&gt;TODAY(),"OK",""),"")</f>
        <v>OK</v>
      </c>
      <c r="Z1359" s="13">
        <v>3</v>
      </c>
      <c r="AA1359" s="13">
        <v>3</v>
      </c>
      <c r="AB1359" s="13">
        <v>2</v>
      </c>
      <c r="AC1359" s="13">
        <v>3</v>
      </c>
      <c r="AD1359" s="13">
        <v>2</v>
      </c>
      <c r="AE1359" s="13">
        <v>2</v>
      </c>
      <c r="AF1359" s="13">
        <v>2</v>
      </c>
      <c r="AG1359" s="16">
        <f>IFERROR(SUMIF(reading[[#This Row],[1st]:[7th]],"&gt;0")/COUNTIF(reading[[#This Row],[1st]:[7th]],"&gt;0"),"")</f>
        <v>2.4285714285714284</v>
      </c>
    </row>
    <row r="1360" spans="1:33" hidden="1" x14ac:dyDescent="0.2">
      <c r="A1360" s="4">
        <f>IF(B1360=1,3,IF(D1360=1,2,IF(F1360=1,1,0)))</f>
        <v>0</v>
      </c>
      <c r="B1360" s="4" t="str">
        <f>IF(C1360=$L1360,1,IF(C1360="","",0))</f>
        <v/>
      </c>
      <c r="C1360" s="42"/>
      <c r="D1360" s="4" t="str">
        <f>IF(E1360=$L1360,1,IF(E1360="","",0))</f>
        <v/>
      </c>
      <c r="E1360" s="18"/>
      <c r="F1360" s="4" t="str">
        <f>IF(G1360=$L1360,1,IF(G1360="","",0))</f>
        <v/>
      </c>
      <c r="G1360" s="14"/>
      <c r="H1360" s="6">
        <v>2508</v>
      </c>
      <c r="I1360" s="15" t="s">
        <v>3120</v>
      </c>
      <c r="J1360" s="6" t="s">
        <v>3374</v>
      </c>
      <c r="K1360" s="6"/>
      <c r="L1360" s="6" t="s">
        <v>2554</v>
      </c>
      <c r="M1360" s="6" t="s">
        <v>8613</v>
      </c>
      <c r="N1360" s="7">
        <f ca="1">RAND()</f>
        <v>0.91947430577863964</v>
      </c>
      <c r="O1360" s="8">
        <v>45219</v>
      </c>
      <c r="P1360" s="8">
        <v>45220</v>
      </c>
      <c r="Q1360" s="8">
        <v>45222</v>
      </c>
      <c r="R1360" s="8">
        <v>45226</v>
      </c>
      <c r="S1360" s="8">
        <v>45233</v>
      </c>
      <c r="T1360" s="8">
        <v>45251</v>
      </c>
      <c r="U1360" s="8">
        <v>45823</v>
      </c>
      <c r="V1360" s="10">
        <f>COUNTA(O1360:U1360)</f>
        <v>7</v>
      </c>
      <c r="W1360" s="11">
        <f>_xlfn.IFNA(INDEX(reading[[#This Row],[Memo 01]:[Memo 07]],MATCH(0,reading[[#This Row],[Memo 01]:[Memo 07]],-1)),"")</f>
        <v>45823</v>
      </c>
      <c r="X1360" s="11">
        <f ca="1">IFERROR(reading[[#This Row],[Previous]]+OFFSET(reading[[#Headers],[Memo 01]],-1,MATCH(0,reading[[#This Row],[Memo 01]:[Memo 07]],-1)-1),"")</f>
        <v>55823</v>
      </c>
      <c r="Y1360" s="10" t="str">
        <f ca="1">IF(reading[[#This Row],[Next]]&lt;&gt;"",IF(reading[[#This Row],[Next]]&gt;TODAY(),"OK",""),"")</f>
        <v>OK</v>
      </c>
      <c r="Z1360" s="13">
        <v>3</v>
      </c>
      <c r="AA1360" s="13">
        <v>3</v>
      </c>
      <c r="AB1360" s="13">
        <v>2</v>
      </c>
      <c r="AC1360" s="13">
        <v>2</v>
      </c>
      <c r="AD1360" s="13">
        <v>3</v>
      </c>
      <c r="AE1360" s="13">
        <v>3</v>
      </c>
      <c r="AF1360" s="13">
        <v>3</v>
      </c>
      <c r="AG1360" s="16">
        <f>IFERROR(SUMIF(reading[[#This Row],[1st]:[7th]],"&gt;0")/COUNTIF(reading[[#This Row],[1st]:[7th]],"&gt;0"),"")</f>
        <v>2.7142857142857144</v>
      </c>
    </row>
    <row r="1361" spans="1:33" hidden="1" x14ac:dyDescent="0.2">
      <c r="A1361" s="4">
        <f>IF(B1361=1,3,IF(D1361=1,2,IF(F1361=1,1,0)))</f>
        <v>0</v>
      </c>
      <c r="B1361" s="4" t="str">
        <f>IF(C1361=$L1361,1,IF(C1361="","",0))</f>
        <v/>
      </c>
      <c r="C1361" s="42"/>
      <c r="D1361" s="4" t="str">
        <f>IF(E1361=$L1361,1,IF(E1361="","",0))</f>
        <v/>
      </c>
      <c r="E1361" s="14"/>
      <c r="F1361" s="4" t="str">
        <f>IF(G1361=$L1361,1,IF(G1361="","",0))</f>
        <v/>
      </c>
      <c r="G1361" s="14"/>
      <c r="H1361" s="6">
        <v>669</v>
      </c>
      <c r="I1361" s="15" t="s">
        <v>3120</v>
      </c>
      <c r="J1361" s="6" t="s">
        <v>3808</v>
      </c>
      <c r="K1361" s="6"/>
      <c r="L1361" s="6" t="s">
        <v>792</v>
      </c>
      <c r="M1361" s="6" t="s">
        <v>6778</v>
      </c>
      <c r="N1361" s="7">
        <f ca="1">RAND()</f>
        <v>0.35729943015001164</v>
      </c>
      <c r="O1361" s="8">
        <v>45203</v>
      </c>
      <c r="P1361" s="8">
        <v>45204</v>
      </c>
      <c r="Q1361" s="8">
        <v>45206</v>
      </c>
      <c r="R1361" s="8">
        <v>45210</v>
      </c>
      <c r="S1361" s="8">
        <v>45217</v>
      </c>
      <c r="T1361" s="8">
        <v>45229</v>
      </c>
      <c r="U1361" s="8">
        <v>45823</v>
      </c>
      <c r="V1361" s="10">
        <f>COUNTA(O1361:U1361)</f>
        <v>7</v>
      </c>
      <c r="W1361" s="11">
        <f>_xlfn.IFNA(INDEX(reading[[#This Row],[Memo 01]:[Memo 07]],MATCH(0,reading[[#This Row],[Memo 01]:[Memo 07]],-1)),"")</f>
        <v>45823</v>
      </c>
      <c r="X1361" s="11">
        <f ca="1">IFERROR(reading[[#This Row],[Previous]]+OFFSET(reading[[#Headers],[Memo 01]],-1,MATCH(0,reading[[#This Row],[Memo 01]:[Memo 07]],-1)-1),"")</f>
        <v>55823</v>
      </c>
      <c r="Y1361" s="10" t="str">
        <f ca="1">IF(reading[[#This Row],[Next]]&lt;&gt;"",IF(reading[[#This Row],[Next]]&gt;TODAY(),"OK",""),"")</f>
        <v>OK</v>
      </c>
      <c r="Z1361" s="13">
        <v>3</v>
      </c>
      <c r="AA1361" s="13">
        <v>3</v>
      </c>
      <c r="AB1361" s="13">
        <v>3</v>
      </c>
      <c r="AC1361" s="13">
        <v>3</v>
      </c>
      <c r="AD1361" s="13">
        <v>3</v>
      </c>
      <c r="AE1361" s="13">
        <v>3</v>
      </c>
      <c r="AF1361" s="13">
        <v>3</v>
      </c>
      <c r="AG1361" s="16">
        <f>IFERROR(SUMIF(reading[[#This Row],[1st]:[7th]],"&gt;0")/COUNTIF(reading[[#This Row],[1st]:[7th]],"&gt;0"),"")</f>
        <v>3</v>
      </c>
    </row>
    <row r="1362" spans="1:33" hidden="1" x14ac:dyDescent="0.2">
      <c r="A1362" s="4">
        <f>IF(B1362=1,3,IF(D1362=1,2,IF(F1362=1,1,0)))</f>
        <v>0</v>
      </c>
      <c r="B1362" s="4" t="str">
        <f>IF(C1362=$L1362,1,IF(C1362="","",0))</f>
        <v/>
      </c>
      <c r="C1362" s="42"/>
      <c r="D1362" s="4" t="str">
        <f>IF(E1362=$L1362,1,IF(E1362="","",0))</f>
        <v/>
      </c>
      <c r="E1362" s="43"/>
      <c r="F1362" s="4" t="str">
        <f>IF(G1362=$L1362,1,IF(G1362="","",0))</f>
        <v/>
      </c>
      <c r="G1362" s="14"/>
      <c r="H1362" s="6">
        <v>713</v>
      </c>
      <c r="I1362" s="15" t="s">
        <v>3120</v>
      </c>
      <c r="J1362" s="6" t="s">
        <v>3851</v>
      </c>
      <c r="K1362" s="6"/>
      <c r="L1362" s="6" t="s">
        <v>834</v>
      </c>
      <c r="M1362" s="6" t="s">
        <v>6822</v>
      </c>
      <c r="N1362" s="7">
        <f ca="1">RAND()</f>
        <v>0.35430232416645291</v>
      </c>
      <c r="O1362" s="8">
        <v>45203</v>
      </c>
      <c r="P1362" s="8">
        <v>45204</v>
      </c>
      <c r="Q1362" s="8">
        <v>45206</v>
      </c>
      <c r="R1362" s="8">
        <v>45210</v>
      </c>
      <c r="S1362" s="8">
        <v>45217</v>
      </c>
      <c r="T1362" s="8">
        <v>45229</v>
      </c>
      <c r="U1362" s="8">
        <v>45816</v>
      </c>
      <c r="V1362" s="10">
        <f>COUNTA(O1362:U1362)</f>
        <v>7</v>
      </c>
      <c r="W1362" s="11">
        <f>_xlfn.IFNA(INDEX(reading[[#This Row],[Memo 01]:[Memo 07]],MATCH(0,reading[[#This Row],[Memo 01]:[Memo 07]],-1)),"")</f>
        <v>45816</v>
      </c>
      <c r="X1362" s="11">
        <f ca="1">IFERROR(reading[[#This Row],[Previous]]+OFFSET(reading[[#Headers],[Memo 01]],-1,MATCH(0,reading[[#This Row],[Memo 01]:[Memo 07]],-1)-1),"")</f>
        <v>55816</v>
      </c>
      <c r="Y1362" s="10" t="str">
        <f ca="1">IF(reading[[#This Row],[Next]]&lt;&gt;"",IF(reading[[#This Row],[Next]]&gt;TODAY(),"OK",""),"")</f>
        <v>OK</v>
      </c>
      <c r="Z1362" s="13">
        <v>3</v>
      </c>
      <c r="AA1362" s="13">
        <v>2</v>
      </c>
      <c r="AB1362" s="13">
        <v>3</v>
      </c>
      <c r="AC1362" s="13">
        <v>2</v>
      </c>
      <c r="AD1362" s="13">
        <v>3</v>
      </c>
      <c r="AE1362" s="13">
        <v>3</v>
      </c>
      <c r="AF1362" s="13">
        <v>2</v>
      </c>
      <c r="AG1362" s="16">
        <f>IFERROR(SUMIF(reading[[#This Row],[1st]:[7th]],"&gt;0")/COUNTIF(reading[[#This Row],[1st]:[7th]],"&gt;0"),"")</f>
        <v>2.5714285714285716</v>
      </c>
    </row>
    <row r="1363" spans="1:33" hidden="1" x14ac:dyDescent="0.2">
      <c r="A1363" s="4">
        <f>IF(B1363=1,3,IF(D1363=1,2,IF(F1363=1,1,0)))</f>
        <v>0</v>
      </c>
      <c r="B1363" s="4" t="str">
        <f>IF(C1363=$L1363,1,IF(C1363="","",0))</f>
        <v/>
      </c>
      <c r="C1363" s="42"/>
      <c r="D1363" s="4" t="str">
        <f>IF(E1363=$L1363,1,IF(E1363="","",0))</f>
        <v/>
      </c>
      <c r="E1363" s="14"/>
      <c r="F1363" s="4" t="str">
        <f>IF(G1363=$L1363,1,IF(G1363="","",0))</f>
        <v/>
      </c>
      <c r="G1363" s="14"/>
      <c r="H1363" s="6">
        <v>1257</v>
      </c>
      <c r="I1363" s="15" t="s">
        <v>3120</v>
      </c>
      <c r="J1363" s="6" t="s">
        <v>4374</v>
      </c>
      <c r="K1363" s="6"/>
      <c r="L1363" s="6" t="s">
        <v>1356</v>
      </c>
      <c r="M1363" s="6" t="s">
        <v>7364</v>
      </c>
      <c r="N1363" s="7">
        <f ca="1">RAND()</f>
        <v>0.20087790514426607</v>
      </c>
      <c r="O1363" s="8">
        <v>45207</v>
      </c>
      <c r="P1363" s="8">
        <v>45208</v>
      </c>
      <c r="Q1363" s="8">
        <v>45210</v>
      </c>
      <c r="R1363" s="8">
        <v>45214</v>
      </c>
      <c r="S1363" s="8">
        <v>45221</v>
      </c>
      <c r="T1363" s="8">
        <v>45233</v>
      </c>
      <c r="U1363" s="8">
        <v>45824</v>
      </c>
      <c r="V1363" s="10">
        <f>COUNTA(O1363:U1363)</f>
        <v>7</v>
      </c>
      <c r="W1363" s="11">
        <f>_xlfn.IFNA(INDEX(reading[[#This Row],[Memo 01]:[Memo 07]],MATCH(0,reading[[#This Row],[Memo 01]:[Memo 07]],-1)),"")</f>
        <v>45824</v>
      </c>
      <c r="X1363" s="11">
        <f ca="1">IFERROR(reading[[#This Row],[Previous]]+OFFSET(reading[[#Headers],[Memo 01]],-1,MATCH(0,reading[[#This Row],[Memo 01]:[Memo 07]],-1)-1),"")</f>
        <v>55824</v>
      </c>
      <c r="Y1363" s="10" t="str">
        <f ca="1">IF(reading[[#This Row],[Next]]&lt;&gt;"",IF(reading[[#This Row],[Next]]&gt;TODAY(),"OK",""),"")</f>
        <v>OK</v>
      </c>
      <c r="Z1363" s="13">
        <v>3</v>
      </c>
      <c r="AA1363" s="13">
        <v>3</v>
      </c>
      <c r="AB1363" s="13">
        <v>3</v>
      </c>
      <c r="AC1363" s="13">
        <v>3</v>
      </c>
      <c r="AD1363" s="13">
        <v>3</v>
      </c>
      <c r="AE1363" s="13">
        <v>3</v>
      </c>
      <c r="AF1363" s="13">
        <v>3</v>
      </c>
      <c r="AG1363" s="16">
        <f>IFERROR(SUMIF(reading[[#This Row],[1st]:[7th]],"&gt;0")/COUNTIF(reading[[#This Row],[1st]:[7th]],"&gt;0"),"")</f>
        <v>3</v>
      </c>
    </row>
    <row r="1364" spans="1:33" hidden="1" x14ac:dyDescent="0.2">
      <c r="A1364" s="4">
        <f>IF(B1364=1,3,IF(D1364=1,2,IF(F1364=1,1,0)))</f>
        <v>0</v>
      </c>
      <c r="B1364" s="4" t="str">
        <f>IF(C1364=$L1364,1,IF(C1364="","",0))</f>
        <v/>
      </c>
      <c r="C1364" s="42"/>
      <c r="D1364" s="4" t="str">
        <f>IF(E1364=$L1364,1,IF(E1364="","",0))</f>
        <v/>
      </c>
      <c r="E1364" s="14"/>
      <c r="F1364" s="4" t="str">
        <f>IF(G1364=$L1364,1,IF(G1364="","",0))</f>
        <v/>
      </c>
      <c r="G1364" s="14"/>
      <c r="H1364" s="6">
        <v>564</v>
      </c>
      <c r="I1364" s="15" t="s">
        <v>3120</v>
      </c>
      <c r="J1364" s="6" t="s">
        <v>3707</v>
      </c>
      <c r="K1364" s="6"/>
      <c r="L1364" s="6" t="s">
        <v>691</v>
      </c>
      <c r="M1364" s="6" t="s">
        <v>6673</v>
      </c>
      <c r="N1364" s="7">
        <f ca="1">RAND()</f>
        <v>0.85318035012431026</v>
      </c>
      <c r="O1364" s="8">
        <v>45202</v>
      </c>
      <c r="P1364" s="8">
        <v>45203</v>
      </c>
      <c r="Q1364" s="8">
        <v>45205</v>
      </c>
      <c r="R1364" s="8">
        <v>45209</v>
      </c>
      <c r="S1364" s="8">
        <v>45216</v>
      </c>
      <c r="T1364" s="8">
        <v>45228</v>
      </c>
      <c r="U1364" s="8">
        <v>45823</v>
      </c>
      <c r="V1364" s="10">
        <f>COUNTA(O1364:U1364)</f>
        <v>7</v>
      </c>
      <c r="W1364" s="11">
        <f>_xlfn.IFNA(INDEX(reading[[#This Row],[Memo 01]:[Memo 07]],MATCH(0,reading[[#This Row],[Memo 01]:[Memo 07]],-1)),"")</f>
        <v>45823</v>
      </c>
      <c r="X1364" s="11">
        <f ca="1">IFERROR(reading[[#This Row],[Previous]]+OFFSET(reading[[#Headers],[Memo 01]],-1,MATCH(0,reading[[#This Row],[Memo 01]:[Memo 07]],-1)-1),"")</f>
        <v>55823</v>
      </c>
      <c r="Y1364" s="10" t="str">
        <f ca="1">IF(reading[[#This Row],[Next]]&lt;&gt;"",IF(reading[[#This Row],[Next]]&gt;TODAY(),"OK",""),"")</f>
        <v>OK</v>
      </c>
      <c r="Z1364" s="13">
        <v>3</v>
      </c>
      <c r="AA1364" s="13">
        <v>2</v>
      </c>
      <c r="AB1364" s="13">
        <v>3</v>
      </c>
      <c r="AC1364" s="13">
        <v>3</v>
      </c>
      <c r="AD1364" s="13">
        <v>3</v>
      </c>
      <c r="AE1364" s="13">
        <v>3</v>
      </c>
      <c r="AF1364" s="13">
        <v>3</v>
      </c>
      <c r="AG1364" s="16">
        <f>IFERROR(SUMIF(reading[[#This Row],[1st]:[7th]],"&gt;0")/COUNTIF(reading[[#This Row],[1st]:[7th]],"&gt;0"),"")</f>
        <v>2.8571428571428572</v>
      </c>
    </row>
    <row r="1365" spans="1:33" hidden="1" x14ac:dyDescent="0.2">
      <c r="A1365" s="4">
        <f>IF(B1365=1,3,IF(D1365=1,2,IF(F1365=1,1,0)))</f>
        <v>0</v>
      </c>
      <c r="B1365" s="4" t="str">
        <f>IF(C1365=$L1365,1,IF(C1365="","",0))</f>
        <v/>
      </c>
      <c r="C1365" s="42"/>
      <c r="D1365" s="4" t="str">
        <f>IF(E1365=$L1365,1,IF(E1365="","",0))</f>
        <v/>
      </c>
      <c r="E1365" s="18"/>
      <c r="F1365" s="4" t="str">
        <f>IF(G1365=$L1365,1,IF(G1365="","",0))</f>
        <v/>
      </c>
      <c r="G1365" s="14"/>
      <c r="H1365" s="6">
        <v>796</v>
      </c>
      <c r="I1365" s="15" t="s">
        <v>3120</v>
      </c>
      <c r="J1365" s="6" t="s">
        <v>3930</v>
      </c>
      <c r="K1365" s="6"/>
      <c r="L1365" s="6" t="s">
        <v>104</v>
      </c>
      <c r="M1365" s="6" t="s">
        <v>6905</v>
      </c>
      <c r="N1365" s="7">
        <f ca="1">RAND()</f>
        <v>0.22768779535063188</v>
      </c>
      <c r="O1365" s="8">
        <v>45203</v>
      </c>
      <c r="P1365" s="8">
        <v>45204</v>
      </c>
      <c r="Q1365" s="8">
        <v>45206</v>
      </c>
      <c r="R1365" s="8">
        <v>45210</v>
      </c>
      <c r="S1365" s="8">
        <v>45217</v>
      </c>
      <c r="T1365" s="8">
        <v>45229</v>
      </c>
      <c r="U1365" s="8">
        <v>45823</v>
      </c>
      <c r="V1365" s="10">
        <f>COUNTA(O1365:U1365)</f>
        <v>7</v>
      </c>
      <c r="W1365" s="11">
        <f>_xlfn.IFNA(INDEX(reading[[#This Row],[Memo 01]:[Memo 07]],MATCH(0,reading[[#This Row],[Memo 01]:[Memo 07]],-1)),"")</f>
        <v>45823</v>
      </c>
      <c r="X1365" s="11">
        <f ca="1">IFERROR(reading[[#This Row],[Previous]]+OFFSET(reading[[#Headers],[Memo 01]],-1,MATCH(0,reading[[#This Row],[Memo 01]:[Memo 07]],-1)-1),"")</f>
        <v>55823</v>
      </c>
      <c r="Y1365" s="10" t="str">
        <f ca="1">IF(reading[[#This Row],[Next]]&lt;&gt;"",IF(reading[[#This Row],[Next]]&gt;TODAY(),"OK",""),"")</f>
        <v>OK</v>
      </c>
      <c r="Z1365" s="13">
        <v>3</v>
      </c>
      <c r="AA1365" s="13">
        <v>2</v>
      </c>
      <c r="AB1365" s="13">
        <v>3</v>
      </c>
      <c r="AC1365" s="13">
        <v>3</v>
      </c>
      <c r="AD1365" s="13">
        <v>3</v>
      </c>
      <c r="AE1365" s="13">
        <v>3</v>
      </c>
      <c r="AF1365" s="13">
        <v>3</v>
      </c>
      <c r="AG1365" s="16">
        <f>IFERROR(SUMIF(reading[[#This Row],[1st]:[7th]],"&gt;0")/COUNTIF(reading[[#This Row],[1st]:[7th]],"&gt;0"),"")</f>
        <v>2.8571428571428572</v>
      </c>
    </row>
    <row r="1366" spans="1:33" hidden="1" x14ac:dyDescent="0.2">
      <c r="A1366" s="4">
        <f>IF(B1366=1,3,IF(D1366=1,2,IF(F1366=1,1,0)))</f>
        <v>0</v>
      </c>
      <c r="B1366" s="4">
        <f>IF(C1366=$L1366,1,IF(C1366="","",0))</f>
        <v>0</v>
      </c>
      <c r="C1366" s="42" t="s">
        <v>9244</v>
      </c>
      <c r="D1366" s="4">
        <f>IF(E1366=$L1366,1,IF(E1366="","",0))</f>
        <v>0</v>
      </c>
      <c r="E1366" s="43" t="s">
        <v>9200</v>
      </c>
      <c r="F1366" s="4" t="str">
        <f>IF(G1366=$L1366,1,IF(G1366="","",0))</f>
        <v/>
      </c>
      <c r="G1366" s="18"/>
      <c r="H1366" s="6">
        <v>2285</v>
      </c>
      <c r="I1366" s="15" t="s">
        <v>3120</v>
      </c>
      <c r="J1366" s="6" t="s">
        <v>5366</v>
      </c>
      <c r="K1366" s="6"/>
      <c r="L1366" s="6" t="s">
        <v>121</v>
      </c>
      <c r="M1366" s="6" t="s">
        <v>8390</v>
      </c>
      <c r="N1366" s="7">
        <f ca="1">RAND()</f>
        <v>0.53664737438670562</v>
      </c>
      <c r="O1366" s="8">
        <v>45215</v>
      </c>
      <c r="P1366" s="8">
        <v>45216</v>
      </c>
      <c r="Q1366" s="8">
        <v>45218</v>
      </c>
      <c r="R1366" s="8">
        <v>45222</v>
      </c>
      <c r="S1366" s="8">
        <v>45229</v>
      </c>
      <c r="T1366" s="8">
        <v>45251</v>
      </c>
      <c r="U1366" s="8"/>
      <c r="V1366" s="10">
        <f>COUNTA(O1366:U1366)</f>
        <v>6</v>
      </c>
      <c r="W1366" s="11">
        <f>_xlfn.IFNA(INDEX(reading[[#This Row],[Memo 01]:[Memo 07]],MATCH(0,reading[[#This Row],[Memo 01]:[Memo 07]],-1)),"")</f>
        <v>45251</v>
      </c>
      <c r="X1366" s="11">
        <f ca="1">IFERROR(reading[[#This Row],[Previous]]+OFFSET(reading[[#Headers],[Memo 01]],-1,MATCH(0,reading[[#This Row],[Memo 01]:[Memo 07]],-1)-1),"")</f>
        <v>45271</v>
      </c>
      <c r="Y1366" s="10" t="str">
        <f ca="1">IF(reading[[#This Row],[Next]]&lt;&gt;"",IF(reading[[#This Row],[Next]]&gt;TODAY(),"OK",""),"")</f>
        <v/>
      </c>
      <c r="Z1366" s="13">
        <v>3</v>
      </c>
      <c r="AA1366" s="13">
        <v>3</v>
      </c>
      <c r="AB1366" s="13">
        <v>3</v>
      </c>
      <c r="AC1366" s="13">
        <v>3</v>
      </c>
      <c r="AD1366" s="13">
        <v>1</v>
      </c>
      <c r="AE1366" s="13">
        <v>3</v>
      </c>
      <c r="AF1366" s="13"/>
      <c r="AG1366" s="16">
        <f>IFERROR(SUMIF(reading[[#This Row],[1st]:[7th]],"&gt;0")/COUNTIF(reading[[#This Row],[1st]:[7th]],"&gt;0"),"")</f>
        <v>2.6666666666666665</v>
      </c>
    </row>
    <row r="1367" spans="1:33" hidden="1" x14ac:dyDescent="0.2">
      <c r="A1367" s="4">
        <f>IF(B1367=1,3,IF(D1367=1,2,IF(F1367=1,1,0)))</f>
        <v>0</v>
      </c>
      <c r="B1367" s="4" t="str">
        <f>IF(C1367=$L1367,1,IF(C1367="","",0))</f>
        <v/>
      </c>
      <c r="C1367" s="42"/>
      <c r="D1367" s="4" t="str">
        <f>IF(E1367=$L1367,1,IF(E1367="","",0))</f>
        <v/>
      </c>
      <c r="E1367" s="14"/>
      <c r="F1367" s="4" t="str">
        <f>IF(G1367=$L1367,1,IF(G1367="","",0))</f>
        <v/>
      </c>
      <c r="G1367" s="14"/>
      <c r="H1367" s="6">
        <v>2426</v>
      </c>
      <c r="I1367" s="15" t="s">
        <v>3120</v>
      </c>
      <c r="J1367" s="6" t="s">
        <v>5496</v>
      </c>
      <c r="K1367" s="6"/>
      <c r="L1367" s="6" t="s">
        <v>2476</v>
      </c>
      <c r="M1367" s="6" t="s">
        <v>8531</v>
      </c>
      <c r="N1367" s="7">
        <f ca="1">RAND()</f>
        <v>0.97469481166597249</v>
      </c>
      <c r="O1367" s="8">
        <v>45217</v>
      </c>
      <c r="P1367" s="8">
        <v>45218</v>
      </c>
      <c r="Q1367" s="8">
        <v>45220</v>
      </c>
      <c r="R1367" s="8">
        <v>45224</v>
      </c>
      <c r="S1367" s="8">
        <v>45231</v>
      </c>
      <c r="T1367" s="8">
        <v>45801</v>
      </c>
      <c r="U1367" s="8">
        <v>45824</v>
      </c>
      <c r="V1367" s="10">
        <f>COUNTA(O1367:U1367)</f>
        <v>7</v>
      </c>
      <c r="W1367" s="11">
        <f>_xlfn.IFNA(INDEX(reading[[#This Row],[Memo 01]:[Memo 07]],MATCH(0,reading[[#This Row],[Memo 01]:[Memo 07]],-1)),"")</f>
        <v>45824</v>
      </c>
      <c r="X1367" s="11">
        <f ca="1">IFERROR(reading[[#This Row],[Previous]]+OFFSET(reading[[#Headers],[Memo 01]],-1,MATCH(0,reading[[#This Row],[Memo 01]:[Memo 07]],-1)-1),"")</f>
        <v>55824</v>
      </c>
      <c r="Y1367" s="10" t="str">
        <f ca="1">IF(reading[[#This Row],[Next]]&lt;&gt;"",IF(reading[[#This Row],[Next]]&gt;TODAY(),"OK",""),"")</f>
        <v>OK</v>
      </c>
      <c r="Z1367" s="13">
        <v>3</v>
      </c>
      <c r="AA1367" s="13">
        <v>3</v>
      </c>
      <c r="AB1367" s="13">
        <v>3</v>
      </c>
      <c r="AC1367" s="13">
        <v>3</v>
      </c>
      <c r="AD1367" s="13">
        <v>3</v>
      </c>
      <c r="AE1367" s="13">
        <v>3</v>
      </c>
      <c r="AF1367" s="13">
        <v>3</v>
      </c>
      <c r="AG1367" s="16">
        <f>IFERROR(SUMIF(reading[[#This Row],[1st]:[7th]],"&gt;0")/COUNTIF(reading[[#This Row],[1st]:[7th]],"&gt;0"),"")</f>
        <v>3</v>
      </c>
    </row>
    <row r="1368" spans="1:33" hidden="1" x14ac:dyDescent="0.2">
      <c r="A1368" s="4">
        <f>IF(B1368=1,3,IF(D1368=1,2,IF(F1368=1,1,0)))</f>
        <v>0</v>
      </c>
      <c r="B1368" s="4" t="str">
        <f>IF(C1368=$L1368,1,IF(C1368="","",0))</f>
        <v/>
      </c>
      <c r="C1368" s="42"/>
      <c r="D1368" s="4" t="str">
        <f>IF(E1368=$L1368,1,IF(E1368="","",0))</f>
        <v/>
      </c>
      <c r="E1368" s="23"/>
      <c r="F1368" s="4" t="str">
        <f>IF(G1368=$L1368,1,IF(G1368="","",0))</f>
        <v/>
      </c>
      <c r="G1368" s="14"/>
      <c r="H1368" s="6">
        <v>1310</v>
      </c>
      <c r="I1368" s="15" t="s">
        <v>3120</v>
      </c>
      <c r="J1368" s="6" t="s">
        <v>4427</v>
      </c>
      <c r="K1368" s="6"/>
      <c r="L1368" s="6" t="s">
        <v>1407</v>
      </c>
      <c r="M1368" s="6" t="s">
        <v>7417</v>
      </c>
      <c r="N1368" s="7">
        <f ca="1">RAND()</f>
        <v>0.75879518157313397</v>
      </c>
      <c r="O1368" s="8">
        <v>45207</v>
      </c>
      <c r="P1368" s="8">
        <v>45208</v>
      </c>
      <c r="Q1368" s="8">
        <v>45210</v>
      </c>
      <c r="R1368" s="8">
        <v>45214</v>
      </c>
      <c r="S1368" s="8">
        <v>45221</v>
      </c>
      <c r="T1368" s="8">
        <v>45233</v>
      </c>
      <c r="U1368" s="8">
        <v>45816</v>
      </c>
      <c r="V1368" s="10">
        <f>COUNTA(O1368:U1368)</f>
        <v>7</v>
      </c>
      <c r="W1368" s="11">
        <f>_xlfn.IFNA(INDEX(reading[[#This Row],[Memo 01]:[Memo 07]],MATCH(0,reading[[#This Row],[Memo 01]:[Memo 07]],-1)),"")</f>
        <v>45816</v>
      </c>
      <c r="X1368" s="11">
        <f ca="1">IFERROR(reading[[#This Row],[Previous]]+OFFSET(reading[[#Headers],[Memo 01]],-1,MATCH(0,reading[[#This Row],[Memo 01]:[Memo 07]],-1)-1),"")</f>
        <v>55816</v>
      </c>
      <c r="Y1368" s="10" t="str">
        <f ca="1">IF(reading[[#This Row],[Next]]&lt;&gt;"",IF(reading[[#This Row],[Next]]&gt;TODAY(),"OK",""),"")</f>
        <v>OK</v>
      </c>
      <c r="Z1368" s="13">
        <v>3</v>
      </c>
      <c r="AA1368" s="13">
        <v>3</v>
      </c>
      <c r="AB1368" s="13">
        <v>3</v>
      </c>
      <c r="AC1368" s="13">
        <v>3</v>
      </c>
      <c r="AD1368" s="13">
        <v>3</v>
      </c>
      <c r="AE1368" s="13">
        <v>3</v>
      </c>
      <c r="AF1368" s="13">
        <v>2</v>
      </c>
      <c r="AG1368" s="16">
        <f>IFERROR(SUMIF(reading[[#This Row],[1st]:[7th]],"&gt;0")/COUNTIF(reading[[#This Row],[1st]:[7th]],"&gt;0"),"")</f>
        <v>2.8571428571428572</v>
      </c>
    </row>
    <row r="1369" spans="1:33" hidden="1" x14ac:dyDescent="0.2">
      <c r="A1369" s="4">
        <f>IF(B1369=1,3,IF(D1369=1,2,IF(F1369=1,1,0)))</f>
        <v>0</v>
      </c>
      <c r="B1369" s="4" t="str">
        <f>IF(C1369=$L1369,1,IF(C1369="","",0))</f>
        <v/>
      </c>
      <c r="C1369" s="42"/>
      <c r="D1369" s="4" t="str">
        <f>IF(E1369=$L1369,1,IF(E1369="","",0))</f>
        <v/>
      </c>
      <c r="E1369" s="23"/>
      <c r="F1369" s="4" t="str">
        <f>IF(G1369=$L1369,1,IF(G1369="","",0))</f>
        <v/>
      </c>
      <c r="G1369" s="23"/>
      <c r="H1369" s="6">
        <v>2673</v>
      </c>
      <c r="I1369" s="15" t="s">
        <v>3120</v>
      </c>
      <c r="J1369" s="6" t="s">
        <v>5725</v>
      </c>
      <c r="K1369" s="6"/>
      <c r="L1369" s="6" t="s">
        <v>2712</v>
      </c>
      <c r="M1369" s="6" t="s">
        <v>8778</v>
      </c>
      <c r="N1369" s="7">
        <f ca="1">RAND()</f>
        <v>0.8596810352898131</v>
      </c>
      <c r="O1369" s="8">
        <v>45220</v>
      </c>
      <c r="P1369" s="8">
        <v>45221</v>
      </c>
      <c r="Q1369" s="8">
        <v>45223</v>
      </c>
      <c r="R1369" s="8">
        <v>45227</v>
      </c>
      <c r="S1369" s="8">
        <v>45234</v>
      </c>
      <c r="T1369" s="8">
        <v>45823</v>
      </c>
      <c r="U1369" s="8"/>
      <c r="V1369" s="10">
        <f>COUNTA(O1369:U1369)</f>
        <v>6</v>
      </c>
      <c r="W1369" s="11">
        <f>_xlfn.IFNA(INDEX(reading[[#This Row],[Memo 01]:[Memo 07]],MATCH(0,reading[[#This Row],[Memo 01]:[Memo 07]],-1)),"")</f>
        <v>45823</v>
      </c>
      <c r="X1369" s="11">
        <f ca="1">IFERROR(reading[[#This Row],[Previous]]+OFFSET(reading[[#Headers],[Memo 01]],-1,MATCH(0,reading[[#This Row],[Memo 01]:[Memo 07]],-1)-1),"")</f>
        <v>45843</v>
      </c>
      <c r="Y1369" s="10" t="str">
        <f ca="1">IF(reading[[#This Row],[Next]]&lt;&gt;"",IF(reading[[#This Row],[Next]]&gt;TODAY(),"OK",""),"")</f>
        <v>OK</v>
      </c>
      <c r="Z1369" s="13">
        <v>3</v>
      </c>
      <c r="AA1369" s="13">
        <v>3</v>
      </c>
      <c r="AB1369" s="13">
        <v>3</v>
      </c>
      <c r="AC1369" s="13">
        <v>3</v>
      </c>
      <c r="AD1369" s="13">
        <v>3</v>
      </c>
      <c r="AE1369" s="13">
        <v>1</v>
      </c>
      <c r="AF1369" s="13"/>
      <c r="AG1369" s="16">
        <f>IFERROR(SUMIF(reading[[#This Row],[1st]:[7th]],"&gt;0")/COUNTIF(reading[[#This Row],[1st]:[7th]],"&gt;0"),"")</f>
        <v>2.6666666666666665</v>
      </c>
    </row>
    <row r="1370" spans="1:33" hidden="1" x14ac:dyDescent="0.2">
      <c r="A1370" s="4">
        <f>IF(B1370=1,3,IF(D1370=1,2,IF(F1370=1,1,0)))</f>
        <v>3</v>
      </c>
      <c r="B1370" s="4">
        <f>IF(C1370=$L1370,1,IF(C1370="","",0))</f>
        <v>1</v>
      </c>
      <c r="C1370" s="28" t="s">
        <v>1468</v>
      </c>
      <c r="D1370" s="4" t="str">
        <f>IF(E1370=$L1370,1,IF(E1370="","",0))</f>
        <v/>
      </c>
      <c r="E1370" s="14"/>
      <c r="F1370" s="4" t="str">
        <f>IF(G1370=$L1370,1,IF(G1370="","",0))</f>
        <v/>
      </c>
      <c r="G1370" s="14"/>
      <c r="H1370" s="6">
        <v>1374</v>
      </c>
      <c r="I1370" s="15" t="s">
        <v>3120</v>
      </c>
      <c r="J1370" s="6" t="s">
        <v>4488</v>
      </c>
      <c r="K1370" s="6"/>
      <c r="L1370" s="6" t="s">
        <v>1468</v>
      </c>
      <c r="M1370" s="6" t="s">
        <v>7481</v>
      </c>
      <c r="N1370" s="7">
        <f ca="1">RAND()</f>
        <v>0.30776715699887414</v>
      </c>
      <c r="O1370" s="8">
        <v>45207</v>
      </c>
      <c r="P1370" s="8">
        <v>45207</v>
      </c>
      <c r="Q1370" s="8">
        <v>45207</v>
      </c>
      <c r="R1370" s="8">
        <v>45207</v>
      </c>
      <c r="S1370" s="8">
        <v>45207</v>
      </c>
      <c r="T1370" s="8">
        <v>45207</v>
      </c>
      <c r="U1370" s="8">
        <v>45207</v>
      </c>
      <c r="V1370" s="10">
        <f>COUNTA(O1370:U1370)</f>
        <v>7</v>
      </c>
      <c r="W1370" s="11">
        <f>_xlfn.IFNA(INDEX(reading[[#This Row],[Memo 01]:[Memo 07]],MATCH(0,reading[[#This Row],[Memo 01]:[Memo 07]],-1)),"")</f>
        <v>45207</v>
      </c>
      <c r="X1370" s="11">
        <f ca="1">IFERROR(reading[[#This Row],[Previous]]+OFFSET(reading[[#Headers],[Memo 01]],-1,MATCH(0,reading[[#This Row],[Memo 01]:[Memo 07]],-1)-1),"")</f>
        <v>55207</v>
      </c>
      <c r="Y1370" s="10" t="str">
        <f ca="1">IF(reading[[#This Row],[Next]]&lt;&gt;"",IF(reading[[#This Row],[Next]]&gt;TODAY(),"OK",""),"")</f>
        <v>OK</v>
      </c>
      <c r="Z1370" s="13">
        <v>3</v>
      </c>
      <c r="AA1370" s="13"/>
      <c r="AB1370" s="13"/>
      <c r="AC1370" s="13"/>
      <c r="AD1370" s="13"/>
      <c r="AE1370" s="13"/>
      <c r="AF1370" s="13"/>
      <c r="AG1370" s="16">
        <f>IFERROR(SUMIF(reading[[#This Row],[1st]:[7th]],"&gt;0")/COUNTIF(reading[[#This Row],[1st]:[7th]],"&gt;0"),"")</f>
        <v>3</v>
      </c>
    </row>
    <row r="1371" spans="1:33" hidden="1" x14ac:dyDescent="0.2">
      <c r="A1371" s="4">
        <f>IF(B1371=1,3,IF(D1371=1,2,IF(F1371=1,1,0)))</f>
        <v>3</v>
      </c>
      <c r="B1371" s="4">
        <f>IF(C1371=$L1371,1,IF(C1371="","",0))</f>
        <v>1</v>
      </c>
      <c r="C1371" s="27" t="s">
        <v>1469</v>
      </c>
      <c r="D1371" s="4" t="str">
        <f>IF(E1371=$L1371,1,IF(E1371="","",0))</f>
        <v/>
      </c>
      <c r="E1371" s="14"/>
      <c r="F1371" s="4" t="str">
        <f>IF(G1371=$L1371,1,IF(G1371="","",0))</f>
        <v/>
      </c>
      <c r="G1371" s="14"/>
      <c r="H1371" s="6">
        <v>1375</v>
      </c>
      <c r="I1371" s="15" t="s">
        <v>3120</v>
      </c>
      <c r="J1371" s="6" t="s">
        <v>4489</v>
      </c>
      <c r="K1371" s="6"/>
      <c r="L1371" s="6" t="s">
        <v>1469</v>
      </c>
      <c r="M1371" s="6" t="s">
        <v>7482</v>
      </c>
      <c r="N1371" s="7">
        <f ca="1">RAND()</f>
        <v>0.18996957943917403</v>
      </c>
      <c r="O1371" s="8">
        <v>45207</v>
      </c>
      <c r="P1371" s="8">
        <v>45207</v>
      </c>
      <c r="Q1371" s="8">
        <v>45207</v>
      </c>
      <c r="R1371" s="8">
        <v>45207</v>
      </c>
      <c r="S1371" s="8">
        <v>45207</v>
      </c>
      <c r="T1371" s="8">
        <v>45207</v>
      </c>
      <c r="U1371" s="8">
        <v>45207</v>
      </c>
      <c r="V1371" s="10">
        <f>COUNTA(O1371:U1371)</f>
        <v>7</v>
      </c>
      <c r="W1371" s="11">
        <f>_xlfn.IFNA(INDEX(reading[[#This Row],[Memo 01]:[Memo 07]],MATCH(0,reading[[#This Row],[Memo 01]:[Memo 07]],-1)),"")</f>
        <v>45207</v>
      </c>
      <c r="X1371" s="11">
        <f ca="1">IFERROR(reading[[#This Row],[Previous]]+OFFSET(reading[[#Headers],[Memo 01]],-1,MATCH(0,reading[[#This Row],[Memo 01]:[Memo 07]],-1)-1),"")</f>
        <v>55207</v>
      </c>
      <c r="Y1371" s="10" t="str">
        <f ca="1">IF(reading[[#This Row],[Next]]&lt;&gt;"",IF(reading[[#This Row],[Next]]&gt;TODAY(),"OK",""),"")</f>
        <v>OK</v>
      </c>
      <c r="Z1371" s="13">
        <v>3</v>
      </c>
      <c r="AA1371" s="13"/>
      <c r="AB1371" s="13"/>
      <c r="AC1371" s="13"/>
      <c r="AD1371" s="13"/>
      <c r="AE1371" s="13"/>
      <c r="AF1371" s="13"/>
      <c r="AG1371" s="16">
        <f>IFERROR(SUMIF(reading[[#This Row],[1st]:[7th]],"&gt;0")/COUNTIF(reading[[#This Row],[1st]:[7th]],"&gt;0"),"")</f>
        <v>3</v>
      </c>
    </row>
    <row r="1372" spans="1:33" hidden="1" x14ac:dyDescent="0.2">
      <c r="A1372" s="4">
        <f>IF(B1372=1,3,IF(D1372=1,2,IF(F1372=1,1,0)))</f>
        <v>0</v>
      </c>
      <c r="B1372" s="4" t="str">
        <f>IF(C1372=$L1372,1,IF(C1372="","",0))</f>
        <v/>
      </c>
      <c r="C1372" s="42"/>
      <c r="D1372" s="4" t="str">
        <f>IF(E1372=$L1372,1,IF(E1372="","",0))</f>
        <v/>
      </c>
      <c r="E1372" s="14"/>
      <c r="F1372" s="4" t="str">
        <f>IF(G1372=$L1372,1,IF(G1372="","",0))</f>
        <v/>
      </c>
      <c r="G1372" s="14"/>
      <c r="H1372" s="6">
        <v>551</v>
      </c>
      <c r="I1372" s="15" t="s">
        <v>3120</v>
      </c>
      <c r="J1372" s="6" t="s">
        <v>3696</v>
      </c>
      <c r="K1372" s="24" t="s">
        <v>9231</v>
      </c>
      <c r="L1372" s="6" t="s">
        <v>678</v>
      </c>
      <c r="M1372" s="6" t="s">
        <v>6660</v>
      </c>
      <c r="N1372" s="7">
        <f ca="1">RAND()</f>
        <v>0.40149052353358883</v>
      </c>
      <c r="O1372" s="8">
        <v>45202</v>
      </c>
      <c r="P1372" s="8">
        <v>45203</v>
      </c>
      <c r="Q1372" s="8">
        <v>45205</v>
      </c>
      <c r="R1372" s="8">
        <v>45209</v>
      </c>
      <c r="S1372" s="8">
        <v>45216</v>
      </c>
      <c r="T1372" s="8">
        <v>45228</v>
      </c>
      <c r="U1372" s="8">
        <v>45823</v>
      </c>
      <c r="V1372" s="10">
        <f>COUNTA(O1372:U1372)</f>
        <v>7</v>
      </c>
      <c r="W1372" s="11">
        <f>_xlfn.IFNA(INDEX(reading[[#This Row],[Memo 01]:[Memo 07]],MATCH(0,reading[[#This Row],[Memo 01]:[Memo 07]],-1)),"")</f>
        <v>45823</v>
      </c>
      <c r="X1372" s="11">
        <f ca="1">IFERROR(reading[[#This Row],[Previous]]+OFFSET(reading[[#Headers],[Memo 01]],-1,MATCH(0,reading[[#This Row],[Memo 01]:[Memo 07]],-1)-1),"")</f>
        <v>55823</v>
      </c>
      <c r="Y1372" s="10" t="str">
        <f ca="1">IF(reading[[#This Row],[Next]]&lt;&gt;"",IF(reading[[#This Row],[Next]]&gt;TODAY(),"OK",""),"")</f>
        <v>OK</v>
      </c>
      <c r="Z1372" s="13">
        <v>3</v>
      </c>
      <c r="AA1372" s="13">
        <v>3</v>
      </c>
      <c r="AB1372" s="13">
        <v>3</v>
      </c>
      <c r="AC1372" s="13">
        <v>3</v>
      </c>
      <c r="AD1372" s="13">
        <v>3</v>
      </c>
      <c r="AE1372" s="13">
        <v>3</v>
      </c>
      <c r="AF1372" s="13">
        <v>3</v>
      </c>
      <c r="AG1372" s="16">
        <f>IFERROR(SUMIF(reading[[#This Row],[1st]:[7th]],"&gt;0")/COUNTIF(reading[[#This Row],[1st]:[7th]],"&gt;0"),"")</f>
        <v>3</v>
      </c>
    </row>
    <row r="1373" spans="1:33" hidden="1" x14ac:dyDescent="0.2">
      <c r="A1373" s="4">
        <f>IF(B1373=1,3,IF(D1373=1,2,IF(F1373=1,1,0)))</f>
        <v>0</v>
      </c>
      <c r="B1373" s="4" t="str">
        <f>IF(C1373=$L1373,1,IF(C1373="","",0))</f>
        <v/>
      </c>
      <c r="C1373" s="42"/>
      <c r="D1373" s="4" t="str">
        <f>IF(E1373=$L1373,1,IF(E1373="","",0))</f>
        <v/>
      </c>
      <c r="E1373" s="23"/>
      <c r="F1373" s="4" t="str">
        <f>IF(G1373=$L1373,1,IF(G1373="","",0))</f>
        <v/>
      </c>
      <c r="G1373" s="14"/>
      <c r="H1373" s="6">
        <v>1753</v>
      </c>
      <c r="I1373" s="15" t="s">
        <v>3120</v>
      </c>
      <c r="J1373" s="6" t="s">
        <v>4861</v>
      </c>
      <c r="K1373" s="6"/>
      <c r="L1373" s="6" t="s">
        <v>1833</v>
      </c>
      <c r="M1373" s="6" t="s">
        <v>7859</v>
      </c>
      <c r="N1373" s="7">
        <f ca="1">RAND()</f>
        <v>0.97454842341021086</v>
      </c>
      <c r="O1373" s="8">
        <v>45211</v>
      </c>
      <c r="P1373" s="8">
        <v>45212</v>
      </c>
      <c r="Q1373" s="8">
        <v>45214</v>
      </c>
      <c r="R1373" s="8">
        <v>45218</v>
      </c>
      <c r="S1373" s="8">
        <v>45225</v>
      </c>
      <c r="T1373" s="8">
        <v>45237</v>
      </c>
      <c r="U1373" s="8">
        <v>45816</v>
      </c>
      <c r="V1373" s="10">
        <f>COUNTA(O1373:U1373)</f>
        <v>7</v>
      </c>
      <c r="W1373" s="11">
        <f>_xlfn.IFNA(INDEX(reading[[#This Row],[Memo 01]:[Memo 07]],MATCH(0,reading[[#This Row],[Memo 01]:[Memo 07]],-1)),"")</f>
        <v>45816</v>
      </c>
      <c r="X1373" s="11">
        <f ca="1">IFERROR(reading[[#This Row],[Previous]]+OFFSET(reading[[#Headers],[Memo 01]],-1,MATCH(0,reading[[#This Row],[Memo 01]:[Memo 07]],-1)-1),"")</f>
        <v>55816</v>
      </c>
      <c r="Y1373" s="10" t="str">
        <f ca="1">IF(reading[[#This Row],[Next]]&lt;&gt;"",IF(reading[[#This Row],[Next]]&gt;TODAY(),"OK",""),"")</f>
        <v>OK</v>
      </c>
      <c r="Z1373" s="13">
        <v>3</v>
      </c>
      <c r="AA1373" s="13">
        <v>3</v>
      </c>
      <c r="AB1373" s="13">
        <v>3</v>
      </c>
      <c r="AC1373" s="13">
        <v>3</v>
      </c>
      <c r="AD1373" s="13">
        <v>3</v>
      </c>
      <c r="AE1373" s="13">
        <v>3</v>
      </c>
      <c r="AF1373" s="13">
        <v>2</v>
      </c>
      <c r="AG1373" s="16">
        <f>IFERROR(SUMIF(reading[[#This Row],[1st]:[7th]],"&gt;0")/COUNTIF(reading[[#This Row],[1st]:[7th]],"&gt;0"),"")</f>
        <v>2.8571428571428572</v>
      </c>
    </row>
    <row r="1374" spans="1:33" hidden="1" x14ac:dyDescent="0.2">
      <c r="A1374" s="4">
        <f>IF(B1374=1,3,IF(D1374=1,2,IF(F1374=1,1,0)))</f>
        <v>0</v>
      </c>
      <c r="B1374" s="4" t="str">
        <f>IF(C1374=$L1374,1,IF(C1374="","",0))</f>
        <v/>
      </c>
      <c r="C1374" s="42"/>
      <c r="D1374" s="4" t="str">
        <f>IF(E1374=$L1374,1,IF(E1374="","",0))</f>
        <v/>
      </c>
      <c r="E1374" s="14"/>
      <c r="F1374" s="4" t="str">
        <f>IF(G1374=$L1374,1,IF(G1374="","",0))</f>
        <v/>
      </c>
      <c r="G1374" s="14"/>
      <c r="H1374" s="6">
        <v>2943</v>
      </c>
      <c r="I1374" s="15" t="s">
        <v>3120</v>
      </c>
      <c r="J1374" s="6" t="s">
        <v>5976</v>
      </c>
      <c r="K1374" s="6"/>
      <c r="L1374" s="6" t="s">
        <v>2973</v>
      </c>
      <c r="M1374" s="6" t="s">
        <v>9047</v>
      </c>
      <c r="N1374" s="7">
        <f ca="1">RAND()</f>
        <v>0.41232328218938541</v>
      </c>
      <c r="O1374" s="8">
        <v>45223</v>
      </c>
      <c r="P1374" s="8">
        <v>45224</v>
      </c>
      <c r="Q1374" s="8">
        <v>45226</v>
      </c>
      <c r="R1374" s="8">
        <v>45230</v>
      </c>
      <c r="S1374" s="8">
        <v>45237</v>
      </c>
      <c r="T1374" s="8">
        <v>45783</v>
      </c>
      <c r="U1374" s="8">
        <v>45823</v>
      </c>
      <c r="V1374" s="10">
        <f>COUNTA(O1374:U1374)</f>
        <v>7</v>
      </c>
      <c r="W1374" s="11">
        <f>_xlfn.IFNA(INDEX(reading[[#This Row],[Memo 01]:[Memo 07]],MATCH(0,reading[[#This Row],[Memo 01]:[Memo 07]],-1)),"")</f>
        <v>45823</v>
      </c>
      <c r="X1374" s="11">
        <f ca="1">IFERROR(reading[[#This Row],[Previous]]+OFFSET(reading[[#Headers],[Memo 01]],-1,MATCH(0,reading[[#This Row],[Memo 01]:[Memo 07]],-1)-1),"")</f>
        <v>55823</v>
      </c>
      <c r="Y1374" s="10" t="str">
        <f ca="1">IF(reading[[#This Row],[Next]]&lt;&gt;"",IF(reading[[#This Row],[Next]]&gt;TODAY(),"OK",""),"")</f>
        <v>OK</v>
      </c>
      <c r="Z1374" s="13">
        <v>3</v>
      </c>
      <c r="AA1374" s="13">
        <v>3</v>
      </c>
      <c r="AB1374" s="13">
        <v>3</v>
      </c>
      <c r="AC1374" s="13">
        <v>3</v>
      </c>
      <c r="AD1374" s="13">
        <v>3</v>
      </c>
      <c r="AE1374" s="13">
        <v>3</v>
      </c>
      <c r="AF1374" s="13">
        <v>3</v>
      </c>
      <c r="AG1374" s="16">
        <f>IFERROR(SUMIF(reading[[#This Row],[1st]:[7th]],"&gt;0")/COUNTIF(reading[[#This Row],[1st]:[7th]],"&gt;0"),"")</f>
        <v>3</v>
      </c>
    </row>
    <row r="1375" spans="1:33" hidden="1" x14ac:dyDescent="0.2">
      <c r="A1375" s="4">
        <f>IF(B1375=1,3,IF(D1375=1,2,IF(F1375=1,1,0)))</f>
        <v>0</v>
      </c>
      <c r="B1375" s="4" t="str">
        <f>IF(C1375=$L1375,1,IF(C1375="","",0))</f>
        <v/>
      </c>
      <c r="C1375" s="42"/>
      <c r="D1375" s="4" t="str">
        <f>IF(E1375=$L1375,1,IF(E1375="","",0))</f>
        <v/>
      </c>
      <c r="E1375" s="18"/>
      <c r="F1375" s="4" t="str">
        <f>IF(G1375=$L1375,1,IF(G1375="","",0))</f>
        <v/>
      </c>
      <c r="G1375" s="14"/>
      <c r="H1375" s="6">
        <v>1385</v>
      </c>
      <c r="I1375" s="15" t="s">
        <v>3120</v>
      </c>
      <c r="J1375" s="6" t="s">
        <v>4499</v>
      </c>
      <c r="K1375" s="6"/>
      <c r="L1375" s="6" t="s">
        <v>88</v>
      </c>
      <c r="M1375" s="6" t="s">
        <v>7492</v>
      </c>
      <c r="N1375" s="7">
        <f ca="1">RAND()</f>
        <v>0.62996121640434322</v>
      </c>
      <c r="O1375" s="8">
        <v>45207</v>
      </c>
      <c r="P1375" s="8">
        <v>45208</v>
      </c>
      <c r="Q1375" s="8">
        <v>45210</v>
      </c>
      <c r="R1375" s="8">
        <v>45214</v>
      </c>
      <c r="S1375" s="8">
        <v>45221</v>
      </c>
      <c r="T1375" s="8">
        <v>45233</v>
      </c>
      <c r="U1375" s="8">
        <v>45823</v>
      </c>
      <c r="V1375" s="10">
        <f>COUNTA(O1375:U1375)</f>
        <v>7</v>
      </c>
      <c r="W1375" s="11">
        <f>_xlfn.IFNA(INDEX(reading[[#This Row],[Memo 01]:[Memo 07]],MATCH(0,reading[[#This Row],[Memo 01]:[Memo 07]],-1)),"")</f>
        <v>45823</v>
      </c>
      <c r="X1375" s="11">
        <f ca="1">IFERROR(reading[[#This Row],[Previous]]+OFFSET(reading[[#Headers],[Memo 01]],-1,MATCH(0,reading[[#This Row],[Memo 01]:[Memo 07]],-1)-1),"")</f>
        <v>55823</v>
      </c>
      <c r="Y1375" s="10" t="str">
        <f ca="1">IF(reading[[#This Row],[Next]]&lt;&gt;"",IF(reading[[#This Row],[Next]]&gt;TODAY(),"OK",""),"")</f>
        <v>OK</v>
      </c>
      <c r="Z1375" s="13">
        <v>3</v>
      </c>
      <c r="AA1375" s="13">
        <v>3</v>
      </c>
      <c r="AB1375" s="13">
        <v>3</v>
      </c>
      <c r="AC1375" s="13">
        <v>2</v>
      </c>
      <c r="AD1375" s="13">
        <v>3</v>
      </c>
      <c r="AE1375" s="13">
        <v>3</v>
      </c>
      <c r="AF1375" s="13">
        <v>3</v>
      </c>
      <c r="AG1375" s="16">
        <f>IFERROR(SUMIF(reading[[#This Row],[1st]:[7th]],"&gt;0")/COUNTIF(reading[[#This Row],[1st]:[7th]],"&gt;0"),"")</f>
        <v>2.8571428571428572</v>
      </c>
    </row>
    <row r="1376" spans="1:33" hidden="1" x14ac:dyDescent="0.2">
      <c r="A1376" s="4">
        <f>IF(B1376=1,3,IF(D1376=1,2,IF(F1376=1,1,0)))</f>
        <v>0</v>
      </c>
      <c r="B1376" s="4" t="str">
        <f>IF(C1376=$L1376,1,IF(C1376="","",0))</f>
        <v/>
      </c>
      <c r="C1376" s="42"/>
      <c r="D1376" s="4" t="str">
        <f>IF(E1376=$L1376,1,IF(E1376="","",0))</f>
        <v/>
      </c>
      <c r="E1376" s="14"/>
      <c r="F1376" s="4" t="str">
        <f>IF(G1376=$L1376,1,IF(G1376="","",0))</f>
        <v/>
      </c>
      <c r="G1376" s="14"/>
      <c r="H1376" s="6">
        <v>674</v>
      </c>
      <c r="I1376" s="15" t="s">
        <v>3120</v>
      </c>
      <c r="J1376" s="6" t="s">
        <v>3813</v>
      </c>
      <c r="K1376" s="6"/>
      <c r="L1376" s="6" t="s">
        <v>797</v>
      </c>
      <c r="M1376" s="6" t="s">
        <v>6783</v>
      </c>
      <c r="N1376" s="7">
        <f ca="1">RAND()</f>
        <v>0.22208119870359966</v>
      </c>
      <c r="O1376" s="8">
        <v>45203</v>
      </c>
      <c r="P1376" s="8">
        <v>45204</v>
      </c>
      <c r="Q1376" s="8">
        <v>45206</v>
      </c>
      <c r="R1376" s="8">
        <v>45210</v>
      </c>
      <c r="S1376" s="8">
        <v>45217</v>
      </c>
      <c r="T1376" s="8">
        <v>45229</v>
      </c>
      <c r="U1376" s="8">
        <v>45823</v>
      </c>
      <c r="V1376" s="10">
        <f>COUNTA(O1376:U1376)</f>
        <v>7</v>
      </c>
      <c r="W1376" s="11">
        <f>_xlfn.IFNA(INDEX(reading[[#This Row],[Memo 01]:[Memo 07]],MATCH(0,reading[[#This Row],[Memo 01]:[Memo 07]],-1)),"")</f>
        <v>45823</v>
      </c>
      <c r="X1376" s="11">
        <f ca="1">IFERROR(reading[[#This Row],[Previous]]+OFFSET(reading[[#Headers],[Memo 01]],-1,MATCH(0,reading[[#This Row],[Memo 01]:[Memo 07]],-1)-1),"")</f>
        <v>55823</v>
      </c>
      <c r="Y1376" s="10" t="str">
        <f ca="1">IF(reading[[#This Row],[Next]]&lt;&gt;"",IF(reading[[#This Row],[Next]]&gt;TODAY(),"OK",""),"")</f>
        <v>OK</v>
      </c>
      <c r="Z1376" s="13">
        <v>3</v>
      </c>
      <c r="AA1376" s="13">
        <v>3</v>
      </c>
      <c r="AB1376" s="13">
        <v>3</v>
      </c>
      <c r="AC1376" s="13">
        <v>3</v>
      </c>
      <c r="AD1376" s="13">
        <v>3</v>
      </c>
      <c r="AE1376" s="13">
        <v>3</v>
      </c>
      <c r="AF1376" s="13">
        <v>3</v>
      </c>
      <c r="AG1376" s="16">
        <f>IFERROR(SUMIF(reading[[#This Row],[1st]:[7th]],"&gt;0")/COUNTIF(reading[[#This Row],[1st]:[7th]],"&gt;0"),"")</f>
        <v>3</v>
      </c>
    </row>
    <row r="1377" spans="1:33" hidden="1" x14ac:dyDescent="0.2">
      <c r="A1377" s="4">
        <f>IF(B1377=1,3,IF(D1377=1,2,IF(F1377=1,1,0)))</f>
        <v>0</v>
      </c>
      <c r="B1377" s="4" t="str">
        <f>IF(C1377=$L1377,1,IF(C1377="","",0))</f>
        <v/>
      </c>
      <c r="C1377" s="42"/>
      <c r="D1377" s="4" t="str">
        <f>IF(E1377=$L1377,1,IF(E1377="","",0))</f>
        <v/>
      </c>
      <c r="E1377" s="18"/>
      <c r="F1377" s="4" t="str">
        <f>IF(G1377=$L1377,1,IF(G1377="","",0))</f>
        <v/>
      </c>
      <c r="G1377" s="14"/>
      <c r="H1377" s="6">
        <v>1700</v>
      </c>
      <c r="I1377" s="15" t="s">
        <v>3120</v>
      </c>
      <c r="J1377" s="6" t="s">
        <v>4810</v>
      </c>
      <c r="K1377" s="15" t="s">
        <v>3139</v>
      </c>
      <c r="L1377" s="6" t="s">
        <v>1780</v>
      </c>
      <c r="M1377" s="6" t="s">
        <v>7806</v>
      </c>
      <c r="N1377" s="7">
        <f ca="1">RAND()</f>
        <v>0.63190385992145126</v>
      </c>
      <c r="O1377" s="8">
        <v>45210</v>
      </c>
      <c r="P1377" s="8">
        <v>45211</v>
      </c>
      <c r="Q1377" s="8">
        <v>45213</v>
      </c>
      <c r="R1377" s="8">
        <v>45217</v>
      </c>
      <c r="S1377" s="8">
        <v>45224</v>
      </c>
      <c r="T1377" s="8">
        <v>45236</v>
      </c>
      <c r="U1377" s="8">
        <v>45823</v>
      </c>
      <c r="V1377" s="10">
        <f>COUNTA(O1377:U1377)</f>
        <v>7</v>
      </c>
      <c r="W1377" s="11">
        <f>_xlfn.IFNA(INDEX(reading[[#This Row],[Memo 01]:[Memo 07]],MATCH(0,reading[[#This Row],[Memo 01]:[Memo 07]],-1)),"")</f>
        <v>45823</v>
      </c>
      <c r="X1377" s="11">
        <f ca="1">IFERROR(reading[[#This Row],[Previous]]+OFFSET(reading[[#Headers],[Memo 01]],-1,MATCH(0,reading[[#This Row],[Memo 01]:[Memo 07]],-1)-1),"")</f>
        <v>55823</v>
      </c>
      <c r="Y1377" s="10" t="str">
        <f ca="1">IF(reading[[#This Row],[Next]]&lt;&gt;"",IF(reading[[#This Row],[Next]]&gt;TODAY(),"OK",""),"")</f>
        <v>OK</v>
      </c>
      <c r="Z1377" s="13">
        <v>3</v>
      </c>
      <c r="AA1377" s="13">
        <v>3</v>
      </c>
      <c r="AB1377" s="13">
        <v>2</v>
      </c>
      <c r="AC1377" s="13">
        <v>3</v>
      </c>
      <c r="AD1377" s="13">
        <v>3</v>
      </c>
      <c r="AE1377" s="13">
        <v>3</v>
      </c>
      <c r="AF1377" s="13">
        <v>3</v>
      </c>
      <c r="AG1377" s="16">
        <f>IFERROR(SUMIF(reading[[#This Row],[1st]:[7th]],"&gt;0")/COUNTIF(reading[[#This Row],[1st]:[7th]],"&gt;0"),"")</f>
        <v>2.8571428571428572</v>
      </c>
    </row>
    <row r="1378" spans="1:33" hidden="1" x14ac:dyDescent="0.2">
      <c r="A1378" s="4">
        <f>IF(B1378=1,3,IF(D1378=1,2,IF(F1378=1,1,0)))</f>
        <v>0</v>
      </c>
      <c r="B1378" s="4" t="str">
        <f>IF(C1378=$L1378,1,IF(C1378="","",0))</f>
        <v/>
      </c>
      <c r="C1378" s="42"/>
      <c r="D1378" s="4" t="str">
        <f>IF(E1378=$L1378,1,IF(E1378="","",0))</f>
        <v/>
      </c>
      <c r="E1378" s="23"/>
      <c r="F1378" s="4" t="str">
        <f>IF(G1378=$L1378,1,IF(G1378="","",0))</f>
        <v/>
      </c>
      <c r="G1378" s="14"/>
      <c r="H1378" s="6">
        <v>1983</v>
      </c>
      <c r="I1378" s="15" t="s">
        <v>3120</v>
      </c>
      <c r="J1378" s="6" t="s">
        <v>5082</v>
      </c>
      <c r="K1378" s="15" t="s">
        <v>3138</v>
      </c>
      <c r="L1378" s="6" t="s">
        <v>2058</v>
      </c>
      <c r="M1378" s="6" t="s">
        <v>8089</v>
      </c>
      <c r="N1378" s="7">
        <f ca="1">RAND()</f>
        <v>0.76974000910171847</v>
      </c>
      <c r="O1378" s="8">
        <v>45213</v>
      </c>
      <c r="P1378" s="8">
        <v>45214</v>
      </c>
      <c r="Q1378" s="8">
        <v>45216</v>
      </c>
      <c r="R1378" s="8">
        <v>45220</v>
      </c>
      <c r="S1378" s="8">
        <v>45227</v>
      </c>
      <c r="T1378" s="8">
        <v>45816</v>
      </c>
      <c r="U1378" s="8"/>
      <c r="V1378" s="10">
        <f>COUNTA(O1378:U1378)</f>
        <v>6</v>
      </c>
      <c r="W1378" s="11">
        <f>_xlfn.IFNA(INDEX(reading[[#This Row],[Memo 01]:[Memo 07]],MATCH(0,reading[[#This Row],[Memo 01]:[Memo 07]],-1)),"")</f>
        <v>45816</v>
      </c>
      <c r="X1378" s="11">
        <f ca="1">IFERROR(reading[[#This Row],[Previous]]+OFFSET(reading[[#Headers],[Memo 01]],-1,MATCH(0,reading[[#This Row],[Memo 01]:[Memo 07]],-1)-1),"")</f>
        <v>45836</v>
      </c>
      <c r="Y1378" s="10" t="str">
        <f ca="1">IF(reading[[#This Row],[Next]]&lt;&gt;"",IF(reading[[#This Row],[Next]]&gt;TODAY(),"OK",""),"")</f>
        <v>OK</v>
      </c>
      <c r="Z1378" s="13">
        <v>3</v>
      </c>
      <c r="AA1378" s="13">
        <v>3</v>
      </c>
      <c r="AB1378" s="13">
        <v>3</v>
      </c>
      <c r="AC1378" s="13">
        <v>3</v>
      </c>
      <c r="AD1378" s="13">
        <v>3</v>
      </c>
      <c r="AE1378" s="13">
        <v>2</v>
      </c>
      <c r="AF1378" s="13"/>
      <c r="AG1378" s="16">
        <f>IFERROR(SUMIF(reading[[#This Row],[1st]:[7th]],"&gt;0")/COUNTIF(reading[[#This Row],[1st]:[7th]],"&gt;0"),"")</f>
        <v>2.8333333333333335</v>
      </c>
    </row>
    <row r="1379" spans="1:33" hidden="1" x14ac:dyDescent="0.2">
      <c r="A1379" s="4">
        <f>IF(B1379=1,3,IF(D1379=1,2,IF(F1379=1,1,0)))</f>
        <v>0</v>
      </c>
      <c r="B1379" s="4" t="str">
        <f>IF(C1379=$L1379,1,IF(C1379="","",0))</f>
        <v/>
      </c>
      <c r="C1379" s="42"/>
      <c r="D1379" s="4" t="str">
        <f>IF(E1379=$L1379,1,IF(E1379="","",0))</f>
        <v/>
      </c>
      <c r="E1379" s="18"/>
      <c r="F1379" s="4" t="str">
        <f>IF(G1379=$L1379,1,IF(G1379="","",0))</f>
        <v/>
      </c>
      <c r="G1379" s="14"/>
      <c r="H1379" s="6">
        <v>2644</v>
      </c>
      <c r="I1379" s="15" t="s">
        <v>3120</v>
      </c>
      <c r="J1379" s="6" t="s">
        <v>5698</v>
      </c>
      <c r="K1379" s="6"/>
      <c r="L1379" s="6" t="s">
        <v>2684</v>
      </c>
      <c r="M1379" s="6" t="s">
        <v>8749</v>
      </c>
      <c r="N1379" s="7">
        <f ca="1">RAND()</f>
        <v>0.28744935809798378</v>
      </c>
      <c r="O1379" s="8">
        <v>45220</v>
      </c>
      <c r="P1379" s="8">
        <v>45221</v>
      </c>
      <c r="Q1379" s="8">
        <v>45223</v>
      </c>
      <c r="R1379" s="8">
        <v>45227</v>
      </c>
      <c r="S1379" s="8">
        <v>45234</v>
      </c>
      <c r="T1379" s="8">
        <v>45823</v>
      </c>
      <c r="U1379" s="8"/>
      <c r="V1379" s="10">
        <f>COUNTA(O1379:U1379)</f>
        <v>6</v>
      </c>
      <c r="W1379" s="11">
        <f>_xlfn.IFNA(INDEX(reading[[#This Row],[Memo 01]:[Memo 07]],MATCH(0,reading[[#This Row],[Memo 01]:[Memo 07]],-1)),"")</f>
        <v>45823</v>
      </c>
      <c r="X1379" s="11">
        <f ca="1">IFERROR(reading[[#This Row],[Previous]]+OFFSET(reading[[#Headers],[Memo 01]],-1,MATCH(0,reading[[#This Row],[Memo 01]:[Memo 07]],-1)-1),"")</f>
        <v>45843</v>
      </c>
      <c r="Y1379" s="10" t="str">
        <f ca="1">IF(reading[[#This Row],[Next]]&lt;&gt;"",IF(reading[[#This Row],[Next]]&gt;TODAY(),"OK",""),"")</f>
        <v>OK</v>
      </c>
      <c r="Z1379" s="13">
        <v>3</v>
      </c>
      <c r="AA1379" s="13">
        <v>3</v>
      </c>
      <c r="AB1379" s="13">
        <v>2</v>
      </c>
      <c r="AC1379" s="13">
        <v>3</v>
      </c>
      <c r="AD1379" s="13">
        <v>3</v>
      </c>
      <c r="AE1379" s="13">
        <v>3</v>
      </c>
      <c r="AF1379" s="13"/>
      <c r="AG1379" s="16">
        <f>IFERROR(SUMIF(reading[[#This Row],[1st]:[7th]],"&gt;0")/COUNTIF(reading[[#This Row],[1st]:[7th]],"&gt;0"),"")</f>
        <v>2.8333333333333335</v>
      </c>
    </row>
    <row r="1380" spans="1:33" hidden="1" x14ac:dyDescent="0.2">
      <c r="A1380" s="4">
        <f>IF(B1380=1,3,IF(D1380=1,2,IF(F1380=1,1,0)))</f>
        <v>0</v>
      </c>
      <c r="B1380" s="4" t="str">
        <f>IF(C1380=$L1380,1,IF(C1380="","",0))</f>
        <v/>
      </c>
      <c r="C1380" s="42"/>
      <c r="D1380" s="4" t="str">
        <f>IF(E1380=$L1380,1,IF(E1380="","",0))</f>
        <v/>
      </c>
      <c r="E1380" s="23"/>
      <c r="F1380" s="4" t="str">
        <f>IF(G1380=$L1380,1,IF(G1380="","",0))</f>
        <v/>
      </c>
      <c r="G1380" s="23"/>
      <c r="H1380" s="6">
        <v>2080</v>
      </c>
      <c r="I1380" s="15" t="s">
        <v>3120</v>
      </c>
      <c r="J1380" s="6" t="s">
        <v>5172</v>
      </c>
      <c r="K1380" s="24" t="s">
        <v>9213</v>
      </c>
      <c r="L1380" s="6" t="s">
        <v>2151</v>
      </c>
      <c r="M1380" s="6" t="s">
        <v>8186</v>
      </c>
      <c r="N1380" s="7">
        <f ca="1">RAND()</f>
        <v>6.6565326801432789E-2</v>
      </c>
      <c r="O1380" s="8">
        <v>45214</v>
      </c>
      <c r="P1380" s="8">
        <v>45215</v>
      </c>
      <c r="Q1380" s="8">
        <v>45217</v>
      </c>
      <c r="R1380" s="8">
        <v>45221</v>
      </c>
      <c r="S1380" s="8">
        <v>45228</v>
      </c>
      <c r="T1380" s="8">
        <v>45816</v>
      </c>
      <c r="U1380" s="8"/>
      <c r="V1380" s="10">
        <f>COUNTA(O1380:U1380)</f>
        <v>6</v>
      </c>
      <c r="W1380" s="11">
        <f>_xlfn.IFNA(INDEX(reading[[#This Row],[Memo 01]:[Memo 07]],MATCH(0,reading[[#This Row],[Memo 01]:[Memo 07]],-1)),"")</f>
        <v>45816</v>
      </c>
      <c r="X1380" s="11">
        <f ca="1">IFERROR(reading[[#This Row],[Previous]]+OFFSET(reading[[#Headers],[Memo 01]],-1,MATCH(0,reading[[#This Row],[Memo 01]:[Memo 07]],-1)-1),"")</f>
        <v>45836</v>
      </c>
      <c r="Y1380" s="10" t="str">
        <f ca="1">IF(reading[[#This Row],[Next]]&lt;&gt;"",IF(reading[[#This Row],[Next]]&gt;TODAY(),"OK",""),"")</f>
        <v>OK</v>
      </c>
      <c r="Z1380" s="13">
        <v>3</v>
      </c>
      <c r="AA1380" s="13">
        <v>3</v>
      </c>
      <c r="AB1380" s="13">
        <v>3</v>
      </c>
      <c r="AC1380" s="13">
        <v>3</v>
      </c>
      <c r="AD1380" s="13">
        <v>3</v>
      </c>
      <c r="AE1380" s="13">
        <v>1</v>
      </c>
      <c r="AF1380" s="13"/>
      <c r="AG1380" s="16">
        <f>IFERROR(SUMIF(reading[[#This Row],[1st]:[7th]],"&gt;0")/COUNTIF(reading[[#This Row],[1st]:[7th]],"&gt;0"),"")</f>
        <v>2.6666666666666665</v>
      </c>
    </row>
    <row r="1381" spans="1:33" hidden="1" x14ac:dyDescent="0.2">
      <c r="A1381" s="4">
        <f>IF(B1381=1,3,IF(D1381=1,2,IF(F1381=1,1,0)))</f>
        <v>0</v>
      </c>
      <c r="B1381" s="4" t="str">
        <f>IF(C1381=$L1381,1,IF(C1381="","",0))</f>
        <v/>
      </c>
      <c r="C1381" s="42"/>
      <c r="D1381" s="4" t="str">
        <f>IF(E1381=$L1381,1,IF(E1381="","",0))</f>
        <v/>
      </c>
      <c r="E1381" s="14"/>
      <c r="F1381" s="4" t="str">
        <f>IF(G1381=$L1381,1,IF(G1381="","",0))</f>
        <v/>
      </c>
      <c r="G1381" s="14"/>
      <c r="H1381" s="6">
        <v>1041</v>
      </c>
      <c r="I1381" s="15" t="s">
        <v>3120</v>
      </c>
      <c r="J1381" s="6" t="s">
        <v>4168</v>
      </c>
      <c r="K1381" s="15" t="s">
        <v>3139</v>
      </c>
      <c r="L1381" s="6" t="s">
        <v>1150</v>
      </c>
      <c r="M1381" s="6" t="s">
        <v>7149</v>
      </c>
      <c r="N1381" s="7">
        <f ca="1">RAND()</f>
        <v>0.91071892173459867</v>
      </c>
      <c r="O1381" s="8">
        <v>45205</v>
      </c>
      <c r="P1381" s="8">
        <v>45206</v>
      </c>
      <c r="Q1381" s="8">
        <v>45208</v>
      </c>
      <c r="R1381" s="8">
        <v>45212</v>
      </c>
      <c r="S1381" s="8">
        <v>45219</v>
      </c>
      <c r="T1381" s="8">
        <v>45231</v>
      </c>
      <c r="U1381" s="8">
        <v>45823</v>
      </c>
      <c r="V1381" s="10">
        <f>COUNTA(O1381:U1381)</f>
        <v>7</v>
      </c>
      <c r="W1381" s="11">
        <f>_xlfn.IFNA(INDEX(reading[[#This Row],[Memo 01]:[Memo 07]],MATCH(0,reading[[#This Row],[Memo 01]:[Memo 07]],-1)),"")</f>
        <v>45823</v>
      </c>
      <c r="X1381" s="11">
        <f ca="1">IFERROR(reading[[#This Row],[Previous]]+OFFSET(reading[[#Headers],[Memo 01]],-1,MATCH(0,reading[[#This Row],[Memo 01]:[Memo 07]],-1)-1),"")</f>
        <v>55823</v>
      </c>
      <c r="Y1381" s="10" t="str">
        <f ca="1">IF(reading[[#This Row],[Next]]&lt;&gt;"",IF(reading[[#This Row],[Next]]&gt;TODAY(),"OK",""),"")</f>
        <v>OK</v>
      </c>
      <c r="Z1381" s="13">
        <v>3</v>
      </c>
      <c r="AA1381" s="13">
        <v>3</v>
      </c>
      <c r="AB1381" s="13">
        <v>3</v>
      </c>
      <c r="AC1381" s="13">
        <v>3</v>
      </c>
      <c r="AD1381" s="13">
        <v>3</v>
      </c>
      <c r="AE1381" s="13">
        <v>3</v>
      </c>
      <c r="AF1381" s="13">
        <v>3</v>
      </c>
      <c r="AG1381" s="16">
        <f>IFERROR(SUMIF(reading[[#This Row],[1st]:[7th]],"&gt;0")/COUNTIF(reading[[#This Row],[1st]:[7th]],"&gt;0"),"")</f>
        <v>3</v>
      </c>
    </row>
    <row r="1382" spans="1:33" hidden="1" x14ac:dyDescent="0.2">
      <c r="A1382" s="4">
        <f>IF(B1382=1,3,IF(D1382=1,2,IF(F1382=1,1,0)))</f>
        <v>0</v>
      </c>
      <c r="B1382" s="4" t="str">
        <f>IF(C1382=$L1382,1,IF(C1382="","",0))</f>
        <v/>
      </c>
      <c r="C1382" s="42"/>
      <c r="D1382" s="4" t="str">
        <f>IF(E1382=$L1382,1,IF(E1382="","",0))</f>
        <v/>
      </c>
      <c r="E1382" s="43"/>
      <c r="F1382" s="4" t="str">
        <f>IF(G1382=$L1382,1,IF(G1382="","",0))</f>
        <v/>
      </c>
      <c r="G1382" s="18"/>
      <c r="H1382" s="6">
        <v>1752</v>
      </c>
      <c r="I1382" s="15" t="s">
        <v>3120</v>
      </c>
      <c r="J1382" s="6" t="s">
        <v>4860</v>
      </c>
      <c r="K1382" s="6"/>
      <c r="L1382" s="6" t="s">
        <v>1832</v>
      </c>
      <c r="M1382" s="6" t="s">
        <v>7858</v>
      </c>
      <c r="N1382" s="7">
        <f ca="1">RAND()</f>
        <v>0.85749347400649867</v>
      </c>
      <c r="O1382" s="8">
        <v>45211</v>
      </c>
      <c r="P1382" s="8">
        <v>45213</v>
      </c>
      <c r="Q1382" s="8">
        <v>45215</v>
      </c>
      <c r="R1382" s="8">
        <v>45219</v>
      </c>
      <c r="S1382" s="8">
        <v>45252</v>
      </c>
      <c r="T1382" s="8">
        <v>45825</v>
      </c>
      <c r="U1382" s="8"/>
      <c r="V1382" s="10">
        <f>COUNTA(O1382:U1382)</f>
        <v>6</v>
      </c>
      <c r="W1382" s="11">
        <f>_xlfn.IFNA(INDEX(reading[[#This Row],[Memo 01]:[Memo 07]],MATCH(0,reading[[#This Row],[Memo 01]:[Memo 07]],-1)),"")</f>
        <v>45825</v>
      </c>
      <c r="X1382" s="11">
        <f ca="1">IFERROR(reading[[#This Row],[Previous]]+OFFSET(reading[[#Headers],[Memo 01]],-1,MATCH(0,reading[[#This Row],[Memo 01]:[Memo 07]],-1)-1),"")</f>
        <v>45845</v>
      </c>
      <c r="Y1382" s="10" t="str">
        <f ca="1">IF(reading[[#This Row],[Next]]&lt;&gt;"",IF(reading[[#This Row],[Next]]&gt;TODAY(),"OK",""),"")</f>
        <v>OK</v>
      </c>
      <c r="Z1382" s="13">
        <v>3</v>
      </c>
      <c r="AA1382" s="13">
        <v>2</v>
      </c>
      <c r="AB1382" s="13">
        <v>3</v>
      </c>
      <c r="AC1382" s="13">
        <v>3</v>
      </c>
      <c r="AD1382" s="13">
        <v>2</v>
      </c>
      <c r="AE1382" s="13">
        <v>2</v>
      </c>
      <c r="AF1382" s="13"/>
      <c r="AG1382" s="16">
        <f>IFERROR(SUMIF(reading[[#This Row],[1st]:[7th]],"&gt;0")/COUNTIF(reading[[#This Row],[1st]:[7th]],"&gt;0"),"")</f>
        <v>2.5</v>
      </c>
    </row>
    <row r="1383" spans="1:33" hidden="1" x14ac:dyDescent="0.2">
      <c r="A1383" s="4">
        <f>IF(B1383=1,3,IF(D1383=1,2,IF(F1383=1,1,0)))</f>
        <v>0</v>
      </c>
      <c r="B1383" s="4" t="str">
        <f>IF(C1383=$L1383,1,IF(C1383="","",0))</f>
        <v/>
      </c>
      <c r="C1383" s="42"/>
      <c r="D1383" s="4" t="str">
        <f>IF(E1383=$L1383,1,IF(E1383="","",0))</f>
        <v/>
      </c>
      <c r="E1383" s="14"/>
      <c r="F1383" s="4" t="str">
        <f>IF(G1383=$L1383,1,IF(G1383="","",0))</f>
        <v/>
      </c>
      <c r="G1383" s="14"/>
      <c r="H1383" s="6">
        <v>3002</v>
      </c>
      <c r="I1383" s="15" t="s">
        <v>3120</v>
      </c>
      <c r="J1383" s="6" t="s">
        <v>6026</v>
      </c>
      <c r="K1383" s="6"/>
      <c r="L1383" s="6" t="s">
        <v>3031</v>
      </c>
      <c r="M1383" s="6" t="s">
        <v>9105</v>
      </c>
      <c r="N1383" s="7">
        <f ca="1">RAND()</f>
        <v>0.12739732973587137</v>
      </c>
      <c r="O1383" s="8">
        <v>45226</v>
      </c>
      <c r="P1383" s="8">
        <v>45227</v>
      </c>
      <c r="Q1383" s="8">
        <v>45229</v>
      </c>
      <c r="R1383" s="8">
        <v>45234</v>
      </c>
      <c r="S1383" s="8">
        <v>45250</v>
      </c>
      <c r="T1383" s="8">
        <v>45792</v>
      </c>
      <c r="U1383" s="8">
        <v>45823</v>
      </c>
      <c r="V1383" s="10">
        <f>COUNTA(O1383:U1383)</f>
        <v>7</v>
      </c>
      <c r="W1383" s="11">
        <f>_xlfn.IFNA(INDEX(reading[[#This Row],[Memo 01]:[Memo 07]],MATCH(0,reading[[#This Row],[Memo 01]:[Memo 07]],-1)),"")</f>
        <v>45823</v>
      </c>
      <c r="X1383" s="11">
        <f ca="1">IFERROR(reading[[#This Row],[Previous]]+OFFSET(reading[[#Headers],[Memo 01]],-1,MATCH(0,reading[[#This Row],[Memo 01]:[Memo 07]],-1)-1),"")</f>
        <v>55823</v>
      </c>
      <c r="Y1383" s="10" t="str">
        <f ca="1">IF(reading[[#This Row],[Next]]&lt;&gt;"",IF(reading[[#This Row],[Next]]&gt;TODAY(),"OK",""),"")</f>
        <v>OK</v>
      </c>
      <c r="Z1383" s="13">
        <v>3</v>
      </c>
      <c r="AA1383" s="13">
        <v>3</v>
      </c>
      <c r="AB1383" s="13">
        <v>3</v>
      </c>
      <c r="AC1383" s="13">
        <v>1</v>
      </c>
      <c r="AD1383" s="13">
        <v>1</v>
      </c>
      <c r="AE1383" s="13">
        <v>3</v>
      </c>
      <c r="AF1383" s="13">
        <v>3</v>
      </c>
      <c r="AG1383" s="16">
        <f>IFERROR(SUMIF(reading[[#This Row],[1st]:[7th]],"&gt;0")/COUNTIF(reading[[#This Row],[1st]:[7th]],"&gt;0"),"")</f>
        <v>2.4285714285714284</v>
      </c>
    </row>
    <row r="1384" spans="1:33" hidden="1" x14ac:dyDescent="0.2">
      <c r="A1384" s="4">
        <f>IF(B1384=1,3,IF(D1384=1,2,IF(F1384=1,1,0)))</f>
        <v>0</v>
      </c>
      <c r="B1384" s="4" t="str">
        <f>IF(C1384=$L1384,1,IF(C1384="","",0))</f>
        <v/>
      </c>
      <c r="C1384" s="42"/>
      <c r="D1384" s="4" t="str">
        <f>IF(E1384=$L1384,1,IF(E1384="","",0))</f>
        <v/>
      </c>
      <c r="E1384" s="14"/>
      <c r="F1384" s="4" t="str">
        <f>IF(G1384=$L1384,1,IF(G1384="","",0))</f>
        <v/>
      </c>
      <c r="G1384" s="14"/>
      <c r="H1384" s="6">
        <v>2292</v>
      </c>
      <c r="I1384" s="15" t="s">
        <v>3120</v>
      </c>
      <c r="J1384" s="6" t="s">
        <v>5373</v>
      </c>
      <c r="K1384" s="6"/>
      <c r="L1384" s="6" t="s">
        <v>69</v>
      </c>
      <c r="M1384" s="6" t="s">
        <v>8397</v>
      </c>
      <c r="N1384" s="7">
        <f ca="1">RAND()</f>
        <v>8.3873771423697674E-2</v>
      </c>
      <c r="O1384" s="8">
        <v>45215</v>
      </c>
      <c r="P1384" s="8">
        <v>45216</v>
      </c>
      <c r="Q1384" s="8">
        <v>45218</v>
      </c>
      <c r="R1384" s="8">
        <v>45222</v>
      </c>
      <c r="S1384" s="8">
        <v>45229</v>
      </c>
      <c r="T1384" s="8">
        <v>45823</v>
      </c>
      <c r="U1384" s="8"/>
      <c r="V1384" s="10">
        <f>COUNTA(O1384:U1384)</f>
        <v>6</v>
      </c>
      <c r="W1384" s="11">
        <f>_xlfn.IFNA(INDEX(reading[[#This Row],[Memo 01]:[Memo 07]],MATCH(0,reading[[#This Row],[Memo 01]:[Memo 07]],-1)),"")</f>
        <v>45823</v>
      </c>
      <c r="X1384" s="11">
        <f ca="1">IFERROR(reading[[#This Row],[Previous]]+OFFSET(reading[[#Headers],[Memo 01]],-1,MATCH(0,reading[[#This Row],[Memo 01]:[Memo 07]],-1)-1),"")</f>
        <v>45843</v>
      </c>
      <c r="Y1384" s="10" t="str">
        <f ca="1">IF(reading[[#This Row],[Next]]&lt;&gt;"",IF(reading[[#This Row],[Next]]&gt;TODAY(),"OK",""),"")</f>
        <v>OK</v>
      </c>
      <c r="Z1384" s="13">
        <v>3</v>
      </c>
      <c r="AA1384" s="13">
        <v>3</v>
      </c>
      <c r="AB1384" s="13">
        <v>3</v>
      </c>
      <c r="AC1384" s="13">
        <v>3</v>
      </c>
      <c r="AD1384" s="13">
        <v>3</v>
      </c>
      <c r="AE1384" s="13">
        <v>3</v>
      </c>
      <c r="AF1384" s="13"/>
      <c r="AG1384" s="16">
        <f>IFERROR(SUMIF(reading[[#This Row],[1st]:[7th]],"&gt;0")/COUNTIF(reading[[#This Row],[1st]:[7th]],"&gt;0"),"")</f>
        <v>3</v>
      </c>
    </row>
    <row r="1385" spans="1:33" hidden="1" x14ac:dyDescent="0.2">
      <c r="A1385" s="4">
        <f>IF(B1385=1,3,IF(D1385=1,2,IF(F1385=1,1,0)))</f>
        <v>0</v>
      </c>
      <c r="B1385" s="4" t="str">
        <f>IF(C1385=$L1385,1,IF(C1385="","",0))</f>
        <v/>
      </c>
      <c r="C1385" s="42"/>
      <c r="D1385" s="4" t="str">
        <f>IF(E1385=$L1385,1,IF(E1385="","",0))</f>
        <v/>
      </c>
      <c r="E1385" s="14"/>
      <c r="F1385" s="4" t="str">
        <f>IF(G1385=$L1385,1,IF(G1385="","",0))</f>
        <v/>
      </c>
      <c r="G1385" s="14"/>
      <c r="H1385" s="6">
        <v>2240</v>
      </c>
      <c r="I1385" s="15" t="s">
        <v>3120</v>
      </c>
      <c r="J1385" s="6" t="s">
        <v>5324</v>
      </c>
      <c r="K1385" s="6"/>
      <c r="L1385" s="6" t="s">
        <v>2302</v>
      </c>
      <c r="M1385" s="6" t="s">
        <v>8345</v>
      </c>
      <c r="N1385" s="7">
        <f ca="1">RAND()</f>
        <v>6.1675483689586974E-2</v>
      </c>
      <c r="O1385" s="8">
        <v>45216</v>
      </c>
      <c r="P1385" s="8">
        <v>45217</v>
      </c>
      <c r="Q1385" s="8">
        <v>45219</v>
      </c>
      <c r="R1385" s="8">
        <v>45223</v>
      </c>
      <c r="S1385" s="8">
        <v>45230</v>
      </c>
      <c r="T1385" s="8">
        <v>45823</v>
      </c>
      <c r="U1385" s="8"/>
      <c r="V1385" s="10">
        <f>COUNTA(O1385:U1385)</f>
        <v>6</v>
      </c>
      <c r="W1385" s="11">
        <f>_xlfn.IFNA(INDEX(reading[[#This Row],[Memo 01]:[Memo 07]],MATCH(0,reading[[#This Row],[Memo 01]:[Memo 07]],-1)),"")</f>
        <v>45823</v>
      </c>
      <c r="X1385" s="11">
        <f ca="1">IFERROR(reading[[#This Row],[Previous]]+OFFSET(reading[[#Headers],[Memo 01]],-1,MATCH(0,reading[[#This Row],[Memo 01]:[Memo 07]],-1)-1),"")</f>
        <v>45843</v>
      </c>
      <c r="Y1385" s="10" t="str">
        <f ca="1">IF(reading[[#This Row],[Next]]&lt;&gt;"",IF(reading[[#This Row],[Next]]&gt;TODAY(),"OK",""),"")</f>
        <v>OK</v>
      </c>
      <c r="Z1385" s="13">
        <v>3</v>
      </c>
      <c r="AA1385" s="13">
        <v>3</v>
      </c>
      <c r="AB1385" s="13">
        <v>3</v>
      </c>
      <c r="AC1385" s="13">
        <v>3</v>
      </c>
      <c r="AD1385" s="13">
        <v>3</v>
      </c>
      <c r="AE1385" s="13">
        <v>3</v>
      </c>
      <c r="AF1385" s="13"/>
      <c r="AG1385" s="16">
        <f>IFERROR(SUMIF(reading[[#This Row],[1st]:[7th]],"&gt;0")/COUNTIF(reading[[#This Row],[1st]:[7th]],"&gt;0"),"")</f>
        <v>3</v>
      </c>
    </row>
    <row r="1386" spans="1:33" hidden="1" x14ac:dyDescent="0.2">
      <c r="A1386" s="4">
        <f>IF(B1386=1,3,IF(D1386=1,2,IF(F1386=1,1,0)))</f>
        <v>0</v>
      </c>
      <c r="B1386" s="4" t="str">
        <f>IF(C1386=$L1386,1,IF(C1386="","",0))</f>
        <v/>
      </c>
      <c r="C1386" s="42"/>
      <c r="D1386" s="4" t="str">
        <f>IF(E1386=$L1386,1,IF(E1386="","",0))</f>
        <v/>
      </c>
      <c r="E1386" s="14"/>
      <c r="F1386" s="4" t="str">
        <f>IF(G1386=$L1386,1,IF(G1386="","",0))</f>
        <v/>
      </c>
      <c r="G1386" s="14"/>
      <c r="H1386" s="6">
        <v>2965</v>
      </c>
      <c r="I1386" s="15" t="s">
        <v>3120</v>
      </c>
      <c r="J1386" s="6" t="s">
        <v>5996</v>
      </c>
      <c r="K1386" s="6"/>
      <c r="L1386" s="6" t="s">
        <v>2995</v>
      </c>
      <c r="M1386" s="6" t="s">
        <v>9069</v>
      </c>
      <c r="N1386" s="7">
        <f ca="1">RAND()</f>
        <v>0.88431607935835832</v>
      </c>
      <c r="O1386" s="8">
        <v>45223</v>
      </c>
      <c r="P1386" s="8">
        <v>45224</v>
      </c>
      <c r="Q1386" s="8">
        <v>45226</v>
      </c>
      <c r="R1386" s="8">
        <v>45230</v>
      </c>
      <c r="S1386" s="8">
        <v>45237</v>
      </c>
      <c r="T1386" s="8">
        <v>45823</v>
      </c>
      <c r="U1386" s="8"/>
      <c r="V1386" s="10">
        <f>COUNTA(O1386:U1386)</f>
        <v>6</v>
      </c>
      <c r="W1386" s="11">
        <f>_xlfn.IFNA(INDEX(reading[[#This Row],[Memo 01]:[Memo 07]],MATCH(0,reading[[#This Row],[Memo 01]:[Memo 07]],-1)),"")</f>
        <v>45823</v>
      </c>
      <c r="X1386" s="11">
        <f ca="1">IFERROR(reading[[#This Row],[Previous]]+OFFSET(reading[[#Headers],[Memo 01]],-1,MATCH(0,reading[[#This Row],[Memo 01]:[Memo 07]],-1)-1),"")</f>
        <v>45843</v>
      </c>
      <c r="Y1386" s="10" t="str">
        <f ca="1">IF(reading[[#This Row],[Next]]&lt;&gt;"",IF(reading[[#This Row],[Next]]&gt;TODAY(),"OK",""),"")</f>
        <v>OK</v>
      </c>
      <c r="Z1386" s="13">
        <v>3</v>
      </c>
      <c r="AA1386" s="13">
        <v>3</v>
      </c>
      <c r="AB1386" s="13">
        <v>3</v>
      </c>
      <c r="AC1386" s="13">
        <v>3</v>
      </c>
      <c r="AD1386" s="13">
        <v>3</v>
      </c>
      <c r="AE1386" s="13">
        <v>3</v>
      </c>
      <c r="AF1386" s="13"/>
      <c r="AG1386" s="16">
        <f>IFERROR(SUMIF(reading[[#This Row],[1st]:[7th]],"&gt;0")/COUNTIF(reading[[#This Row],[1st]:[7th]],"&gt;0"),"")</f>
        <v>3</v>
      </c>
    </row>
    <row r="1387" spans="1:33" hidden="1" x14ac:dyDescent="0.2">
      <c r="A1387" s="4">
        <f>IF(B1387=1,3,IF(D1387=1,2,IF(F1387=1,1,0)))</f>
        <v>3</v>
      </c>
      <c r="B1387" s="4">
        <f>IF(C1387=$L1387,1,IF(C1387="","",0))</f>
        <v>1</v>
      </c>
      <c r="C1387" s="27" t="s">
        <v>1483</v>
      </c>
      <c r="D1387" s="4" t="str">
        <f>IF(E1387=$L1387,1,IF(E1387="","",0))</f>
        <v/>
      </c>
      <c r="E1387" s="14"/>
      <c r="F1387" s="4" t="str">
        <f>IF(G1387=$L1387,1,IF(G1387="","",0))</f>
        <v/>
      </c>
      <c r="G1387" s="14"/>
      <c r="H1387" s="6">
        <v>1391</v>
      </c>
      <c r="I1387" s="15" t="s">
        <v>3120</v>
      </c>
      <c r="J1387" s="6" t="s">
        <v>4505</v>
      </c>
      <c r="K1387" s="6"/>
      <c r="L1387" s="6" t="s">
        <v>1483</v>
      </c>
      <c r="M1387" s="6" t="s">
        <v>7498</v>
      </c>
      <c r="N1387" s="7">
        <f ca="1">RAND()</f>
        <v>0.54235176820670539</v>
      </c>
      <c r="O1387" s="8">
        <v>45207</v>
      </c>
      <c r="P1387" s="8">
        <v>45207</v>
      </c>
      <c r="Q1387" s="8">
        <v>45207</v>
      </c>
      <c r="R1387" s="8">
        <v>45207</v>
      </c>
      <c r="S1387" s="8">
        <v>45207</v>
      </c>
      <c r="T1387" s="8">
        <v>45207</v>
      </c>
      <c r="U1387" s="8">
        <v>45207</v>
      </c>
      <c r="V1387" s="10">
        <f>COUNTA(O1387:U1387)</f>
        <v>7</v>
      </c>
      <c r="W1387" s="11">
        <f>_xlfn.IFNA(INDEX(reading[[#This Row],[Memo 01]:[Memo 07]],MATCH(0,reading[[#This Row],[Memo 01]:[Memo 07]],-1)),"")</f>
        <v>45207</v>
      </c>
      <c r="X1387" s="11">
        <f ca="1">IFERROR(reading[[#This Row],[Previous]]+OFFSET(reading[[#Headers],[Memo 01]],-1,MATCH(0,reading[[#This Row],[Memo 01]:[Memo 07]],-1)-1),"")</f>
        <v>55207</v>
      </c>
      <c r="Y1387" s="10" t="str">
        <f ca="1">IF(reading[[#This Row],[Next]]&lt;&gt;"",IF(reading[[#This Row],[Next]]&gt;TODAY(),"OK",""),"")</f>
        <v>OK</v>
      </c>
      <c r="Z1387" s="13">
        <v>3</v>
      </c>
      <c r="AA1387" s="13"/>
      <c r="AB1387" s="13"/>
      <c r="AC1387" s="13"/>
      <c r="AD1387" s="13"/>
      <c r="AE1387" s="13"/>
      <c r="AF1387" s="13"/>
      <c r="AG1387" s="16">
        <f>IFERROR(SUMIF(reading[[#This Row],[1st]:[7th]],"&gt;0")/COUNTIF(reading[[#This Row],[1st]:[7th]],"&gt;0"),"")</f>
        <v>3</v>
      </c>
    </row>
    <row r="1388" spans="1:33" hidden="1" x14ac:dyDescent="0.2">
      <c r="A1388" s="4">
        <f>IF(B1388=1,3,IF(D1388=1,2,IF(F1388=1,1,0)))</f>
        <v>3</v>
      </c>
      <c r="B1388" s="4">
        <f>IF(C1388=$L1388,1,IF(C1388="","",0))</f>
        <v>1</v>
      </c>
      <c r="C1388" s="28" t="s">
        <v>1484</v>
      </c>
      <c r="D1388" s="4" t="str">
        <f>IF(E1388=$L1388,1,IF(E1388="","",0))</f>
        <v/>
      </c>
      <c r="E1388" s="14"/>
      <c r="F1388" s="4" t="str">
        <f>IF(G1388=$L1388,1,IF(G1388="","",0))</f>
        <v/>
      </c>
      <c r="G1388" s="14"/>
      <c r="H1388" s="6">
        <v>1392</v>
      </c>
      <c r="I1388" s="15" t="s">
        <v>3120</v>
      </c>
      <c r="J1388" s="6" t="s">
        <v>4506</v>
      </c>
      <c r="K1388" s="6"/>
      <c r="L1388" s="6" t="s">
        <v>1484</v>
      </c>
      <c r="M1388" s="6" t="s">
        <v>7499</v>
      </c>
      <c r="N1388" s="7">
        <f ca="1">RAND()</f>
        <v>0.60814352756663959</v>
      </c>
      <c r="O1388" s="8">
        <v>45207</v>
      </c>
      <c r="P1388" s="8">
        <v>45207</v>
      </c>
      <c r="Q1388" s="8">
        <v>45207</v>
      </c>
      <c r="R1388" s="8">
        <v>45207</v>
      </c>
      <c r="S1388" s="8">
        <v>45207</v>
      </c>
      <c r="T1388" s="8">
        <v>45207</v>
      </c>
      <c r="U1388" s="8">
        <v>45207</v>
      </c>
      <c r="V1388" s="10">
        <f>COUNTA(O1388:U1388)</f>
        <v>7</v>
      </c>
      <c r="W1388" s="11">
        <f>_xlfn.IFNA(INDEX(reading[[#This Row],[Memo 01]:[Memo 07]],MATCH(0,reading[[#This Row],[Memo 01]:[Memo 07]],-1)),"")</f>
        <v>45207</v>
      </c>
      <c r="X1388" s="11">
        <f ca="1">IFERROR(reading[[#This Row],[Previous]]+OFFSET(reading[[#Headers],[Memo 01]],-1,MATCH(0,reading[[#This Row],[Memo 01]:[Memo 07]],-1)-1),"")</f>
        <v>55207</v>
      </c>
      <c r="Y1388" s="10" t="str">
        <f ca="1">IF(reading[[#This Row],[Next]]&lt;&gt;"",IF(reading[[#This Row],[Next]]&gt;TODAY(),"OK",""),"")</f>
        <v>OK</v>
      </c>
      <c r="Z1388" s="13">
        <v>3</v>
      </c>
      <c r="AA1388" s="13"/>
      <c r="AB1388" s="13"/>
      <c r="AC1388" s="13"/>
      <c r="AD1388" s="13"/>
      <c r="AE1388" s="13"/>
      <c r="AF1388" s="13"/>
      <c r="AG1388" s="16">
        <f>IFERROR(SUMIF(reading[[#This Row],[1st]:[7th]],"&gt;0")/COUNTIF(reading[[#This Row],[1st]:[7th]],"&gt;0"),"")</f>
        <v>3</v>
      </c>
    </row>
    <row r="1389" spans="1:33" hidden="1" x14ac:dyDescent="0.2">
      <c r="A1389" s="4">
        <f>IF(B1389=1,3,IF(D1389=1,2,IF(F1389=1,1,0)))</f>
        <v>0</v>
      </c>
      <c r="B1389" s="4" t="str">
        <f>IF(C1389=$L1389,1,IF(C1389="","",0))</f>
        <v/>
      </c>
      <c r="C1389" s="42"/>
      <c r="D1389" s="4" t="str">
        <f>IF(E1389=$L1389,1,IF(E1389="","",0))</f>
        <v/>
      </c>
      <c r="E1389" s="23"/>
      <c r="F1389" s="4" t="str">
        <f>IF(G1389=$L1389,1,IF(G1389="","",0))</f>
        <v/>
      </c>
      <c r="G1389" s="14"/>
      <c r="H1389" s="6">
        <v>2928</v>
      </c>
      <c r="I1389" s="15" t="s">
        <v>3120</v>
      </c>
      <c r="J1389" s="6" t="s">
        <v>5963</v>
      </c>
      <c r="K1389" s="6"/>
      <c r="L1389" s="6" t="s">
        <v>2958</v>
      </c>
      <c r="M1389" s="6" t="s">
        <v>9032</v>
      </c>
      <c r="N1389" s="7">
        <f ca="1">RAND()</f>
        <v>0.47957806405330294</v>
      </c>
      <c r="O1389" s="8">
        <v>45223</v>
      </c>
      <c r="P1389" s="8">
        <v>45224</v>
      </c>
      <c r="Q1389" s="8">
        <v>45226</v>
      </c>
      <c r="R1389" s="8">
        <v>45230</v>
      </c>
      <c r="S1389" s="8">
        <v>45237</v>
      </c>
      <c r="T1389" s="8">
        <v>45825</v>
      </c>
      <c r="U1389" s="8"/>
      <c r="V1389" s="10">
        <f>COUNTA(O1389:U1389)</f>
        <v>6</v>
      </c>
      <c r="W1389" s="11">
        <f>_xlfn.IFNA(INDEX(reading[[#This Row],[Memo 01]:[Memo 07]],MATCH(0,reading[[#This Row],[Memo 01]:[Memo 07]],-1)),"")</f>
        <v>45825</v>
      </c>
      <c r="X1389" s="11">
        <f ca="1">IFERROR(reading[[#This Row],[Previous]]+OFFSET(reading[[#Headers],[Memo 01]],-1,MATCH(0,reading[[#This Row],[Memo 01]:[Memo 07]],-1)-1),"")</f>
        <v>45845</v>
      </c>
      <c r="Y1389" s="10" t="str">
        <f ca="1">IF(reading[[#This Row],[Next]]&lt;&gt;"",IF(reading[[#This Row],[Next]]&gt;TODAY(),"OK",""),"")</f>
        <v>OK</v>
      </c>
      <c r="Z1389" s="13">
        <v>3</v>
      </c>
      <c r="AA1389" s="13">
        <v>3</v>
      </c>
      <c r="AB1389" s="13">
        <v>3</v>
      </c>
      <c r="AC1389" s="13">
        <v>3</v>
      </c>
      <c r="AD1389" s="13">
        <v>3</v>
      </c>
      <c r="AE1389" s="13">
        <v>2</v>
      </c>
      <c r="AF1389" s="13"/>
      <c r="AG1389" s="16">
        <f>IFERROR(SUMIF(reading[[#This Row],[1st]:[7th]],"&gt;0")/COUNTIF(reading[[#This Row],[1st]:[7th]],"&gt;0"),"")</f>
        <v>2.8333333333333335</v>
      </c>
    </row>
    <row r="1390" spans="1:33" hidden="1" x14ac:dyDescent="0.2">
      <c r="A1390" s="4">
        <f>IF(B1390=1,3,IF(D1390=1,2,IF(F1390=1,1,0)))</f>
        <v>0</v>
      </c>
      <c r="B1390" s="4" t="str">
        <f>IF(C1390=$L1390,1,IF(C1390="","",0))</f>
        <v/>
      </c>
      <c r="C1390" s="42"/>
      <c r="D1390" s="4" t="str">
        <f>IF(E1390=$L1390,1,IF(E1390="","",0))</f>
        <v/>
      </c>
      <c r="E1390" s="23"/>
      <c r="F1390" s="4" t="str">
        <f>IF(G1390=$L1390,1,IF(G1390="","",0))</f>
        <v/>
      </c>
      <c r="G1390" s="14"/>
      <c r="H1390" s="6">
        <v>2823</v>
      </c>
      <c r="I1390" s="15" t="s">
        <v>3120</v>
      </c>
      <c r="J1390" s="6" t="s">
        <v>5865</v>
      </c>
      <c r="K1390" s="6"/>
      <c r="L1390" s="6" t="s">
        <v>2859</v>
      </c>
      <c r="M1390" s="6" t="s">
        <v>8927</v>
      </c>
      <c r="N1390" s="7">
        <f ca="1">RAND()</f>
        <v>0.40646409912768011</v>
      </c>
      <c r="O1390" s="8">
        <v>45222</v>
      </c>
      <c r="P1390" s="8">
        <v>45223</v>
      </c>
      <c r="Q1390" s="8">
        <v>45225</v>
      </c>
      <c r="R1390" s="8">
        <v>45229</v>
      </c>
      <c r="S1390" s="8">
        <v>45236</v>
      </c>
      <c r="T1390" s="8">
        <v>45816</v>
      </c>
      <c r="U1390" s="8"/>
      <c r="V1390" s="10">
        <f>COUNTA(O1390:U1390)</f>
        <v>6</v>
      </c>
      <c r="W1390" s="11">
        <f>_xlfn.IFNA(INDEX(reading[[#This Row],[Memo 01]:[Memo 07]],MATCH(0,reading[[#This Row],[Memo 01]:[Memo 07]],-1)),"")</f>
        <v>45816</v>
      </c>
      <c r="X1390" s="11">
        <f ca="1">IFERROR(reading[[#This Row],[Previous]]+OFFSET(reading[[#Headers],[Memo 01]],-1,MATCH(0,reading[[#This Row],[Memo 01]:[Memo 07]],-1)-1),"")</f>
        <v>45836</v>
      </c>
      <c r="Y1390" s="10" t="str">
        <f ca="1">IF(reading[[#This Row],[Next]]&lt;&gt;"",IF(reading[[#This Row],[Next]]&gt;TODAY(),"OK",""),"")</f>
        <v>OK</v>
      </c>
      <c r="Z1390" s="13">
        <v>3</v>
      </c>
      <c r="AA1390" s="13">
        <v>3</v>
      </c>
      <c r="AB1390" s="13">
        <v>3</v>
      </c>
      <c r="AC1390" s="13">
        <v>3</v>
      </c>
      <c r="AD1390" s="13">
        <v>3</v>
      </c>
      <c r="AE1390" s="13">
        <v>2</v>
      </c>
      <c r="AF1390" s="13"/>
      <c r="AG1390" s="16">
        <f>IFERROR(SUMIF(reading[[#This Row],[1st]:[7th]],"&gt;0")/COUNTIF(reading[[#This Row],[1st]:[7th]],"&gt;0"),"")</f>
        <v>2.8333333333333335</v>
      </c>
    </row>
    <row r="1391" spans="1:33" hidden="1" x14ac:dyDescent="0.2">
      <c r="A1391" s="4">
        <f>IF(B1391=1,3,IF(D1391=1,2,IF(F1391=1,1,0)))</f>
        <v>0</v>
      </c>
      <c r="B1391" s="4" t="str">
        <f>IF(C1391=$L1391,1,IF(C1391="","",0))</f>
        <v/>
      </c>
      <c r="C1391" s="42"/>
      <c r="D1391" s="4" t="str">
        <f>IF(E1391=$L1391,1,IF(E1391="","",0))</f>
        <v/>
      </c>
      <c r="E1391" s="14"/>
      <c r="F1391" s="4" t="str">
        <f>IF(G1391=$L1391,1,IF(G1391="","",0))</f>
        <v/>
      </c>
      <c r="G1391" s="14"/>
      <c r="H1391" s="6">
        <v>2850</v>
      </c>
      <c r="I1391" s="15" t="s">
        <v>3120</v>
      </c>
      <c r="J1391" s="6" t="s">
        <v>5890</v>
      </c>
      <c r="K1391" s="24" t="s">
        <v>9213</v>
      </c>
      <c r="L1391" s="6" t="s">
        <v>113</v>
      </c>
      <c r="M1391" s="6" t="s">
        <v>8954</v>
      </c>
      <c r="N1391" s="7">
        <f ca="1">RAND()</f>
        <v>0.74660048639425225</v>
      </c>
      <c r="O1391" s="8">
        <v>45222</v>
      </c>
      <c r="P1391" s="8">
        <v>45223</v>
      </c>
      <c r="Q1391" s="8">
        <v>45225</v>
      </c>
      <c r="R1391" s="8">
        <v>45229</v>
      </c>
      <c r="S1391" s="8">
        <v>45236</v>
      </c>
      <c r="T1391" s="8">
        <v>45792</v>
      </c>
      <c r="U1391" s="8">
        <v>45823</v>
      </c>
      <c r="V1391" s="10">
        <f>COUNTA(O1391:U1391)</f>
        <v>7</v>
      </c>
      <c r="W1391" s="11">
        <f>_xlfn.IFNA(INDEX(reading[[#This Row],[Memo 01]:[Memo 07]],MATCH(0,reading[[#This Row],[Memo 01]:[Memo 07]],-1)),"")</f>
        <v>45823</v>
      </c>
      <c r="X1391" s="11">
        <f ca="1">IFERROR(reading[[#This Row],[Previous]]+OFFSET(reading[[#Headers],[Memo 01]],-1,MATCH(0,reading[[#This Row],[Memo 01]:[Memo 07]],-1)-1),"")</f>
        <v>55823</v>
      </c>
      <c r="Y1391" s="10" t="str">
        <f ca="1">IF(reading[[#This Row],[Next]]&lt;&gt;"",IF(reading[[#This Row],[Next]]&gt;TODAY(),"OK",""),"")</f>
        <v>OK</v>
      </c>
      <c r="Z1391" s="13">
        <v>3</v>
      </c>
      <c r="AA1391" s="13">
        <v>3</v>
      </c>
      <c r="AB1391" s="13">
        <v>3</v>
      </c>
      <c r="AC1391" s="13">
        <v>3</v>
      </c>
      <c r="AD1391" s="13">
        <v>3</v>
      </c>
      <c r="AE1391" s="13">
        <v>3</v>
      </c>
      <c r="AF1391" s="13">
        <v>3</v>
      </c>
      <c r="AG1391" s="16">
        <f>IFERROR(SUMIF(reading[[#This Row],[1st]:[7th]],"&gt;0")/COUNTIF(reading[[#This Row],[1st]:[7th]],"&gt;0"),"")</f>
        <v>3</v>
      </c>
    </row>
    <row r="1392" spans="1:33" hidden="1" x14ac:dyDescent="0.2">
      <c r="A1392" s="4">
        <f>IF(B1392=1,3,IF(D1392=1,2,IF(F1392=1,1,0)))</f>
        <v>0</v>
      </c>
      <c r="B1392" s="4" t="str">
        <f>IF(C1392=$L1392,1,IF(C1392="","",0))</f>
        <v/>
      </c>
      <c r="C1392" s="42"/>
      <c r="D1392" s="4" t="str">
        <f>IF(E1392=$L1392,1,IF(E1392="","",0))</f>
        <v/>
      </c>
      <c r="E1392" s="43"/>
      <c r="F1392" s="4" t="str">
        <f>IF(G1392=$L1392,1,IF(G1392="","",0))</f>
        <v/>
      </c>
      <c r="G1392" s="14"/>
      <c r="H1392" s="6">
        <v>1552</v>
      </c>
      <c r="I1392" s="15" t="s">
        <v>3120</v>
      </c>
      <c r="J1392" s="6" t="s">
        <v>4665</v>
      </c>
      <c r="K1392" s="6" t="s">
        <v>3138</v>
      </c>
      <c r="L1392" s="6" t="s">
        <v>1637</v>
      </c>
      <c r="M1392" s="6" t="s">
        <v>7659</v>
      </c>
      <c r="N1392" s="7">
        <f ca="1">RAND()</f>
        <v>2.4719103557298117E-2</v>
      </c>
      <c r="O1392" s="8">
        <v>45209</v>
      </c>
      <c r="P1392" s="8">
        <v>45210</v>
      </c>
      <c r="Q1392" s="8">
        <v>45212</v>
      </c>
      <c r="R1392" s="8">
        <v>45216</v>
      </c>
      <c r="S1392" s="8">
        <v>45223</v>
      </c>
      <c r="T1392" s="8">
        <v>45235</v>
      </c>
      <c r="U1392" s="8">
        <v>45825</v>
      </c>
      <c r="V1392" s="10">
        <f>COUNTA(O1392:U1392)</f>
        <v>7</v>
      </c>
      <c r="W1392" s="11">
        <f>_xlfn.IFNA(INDEX(reading[[#This Row],[Memo 01]:[Memo 07]],MATCH(0,reading[[#This Row],[Memo 01]:[Memo 07]],-1)),"")</f>
        <v>45825</v>
      </c>
      <c r="X1392" s="11">
        <f ca="1">IFERROR(reading[[#This Row],[Previous]]+OFFSET(reading[[#Headers],[Memo 01]],-1,MATCH(0,reading[[#This Row],[Memo 01]:[Memo 07]],-1)-1),"")</f>
        <v>55825</v>
      </c>
      <c r="Y1392" s="10" t="str">
        <f ca="1">IF(reading[[#This Row],[Next]]&lt;&gt;"",IF(reading[[#This Row],[Next]]&gt;TODAY(),"OK",""),"")</f>
        <v>OK</v>
      </c>
      <c r="Z1392" s="13">
        <v>3</v>
      </c>
      <c r="AA1392" s="13">
        <v>2</v>
      </c>
      <c r="AB1392" s="13">
        <v>3</v>
      </c>
      <c r="AC1392" s="13">
        <v>2</v>
      </c>
      <c r="AD1392" s="13">
        <v>3</v>
      </c>
      <c r="AE1392" s="13">
        <v>3</v>
      </c>
      <c r="AF1392" s="13">
        <v>2</v>
      </c>
      <c r="AG1392" s="16">
        <f>IFERROR(SUMIF(reading[[#This Row],[1st]:[7th]],"&gt;0")/COUNTIF(reading[[#This Row],[1st]:[7th]],"&gt;0"),"")</f>
        <v>2.5714285714285716</v>
      </c>
    </row>
    <row r="1393" spans="1:33" hidden="1" x14ac:dyDescent="0.2">
      <c r="A1393" s="4">
        <f>IF(B1393=1,3,IF(D1393=1,2,IF(F1393=1,1,0)))</f>
        <v>0</v>
      </c>
      <c r="B1393" s="4" t="str">
        <f>IF(C1393=$L1393,1,IF(C1393="","",0))</f>
        <v/>
      </c>
      <c r="C1393" s="42"/>
      <c r="D1393" s="4" t="str">
        <f>IF(E1393=$L1393,1,IF(E1393="","",0))</f>
        <v/>
      </c>
      <c r="E1393" s="23"/>
      <c r="F1393" s="4" t="str">
        <f>IF(G1393=$L1393,1,IF(G1393="","",0))</f>
        <v/>
      </c>
      <c r="G1393" s="23"/>
      <c r="H1393" s="6">
        <v>1204</v>
      </c>
      <c r="I1393" s="15" t="s">
        <v>3120</v>
      </c>
      <c r="J1393" s="6" t="s">
        <v>4323</v>
      </c>
      <c r="K1393" s="6"/>
      <c r="L1393" s="6" t="s">
        <v>1306</v>
      </c>
      <c r="M1393" s="6" t="s">
        <v>7311</v>
      </c>
      <c r="N1393" s="7">
        <f ca="1">RAND()</f>
        <v>0.23844805620872689</v>
      </c>
      <c r="O1393" s="8">
        <v>45206</v>
      </c>
      <c r="P1393" s="8">
        <v>45207</v>
      </c>
      <c r="Q1393" s="8">
        <v>45209</v>
      </c>
      <c r="R1393" s="8">
        <v>45213</v>
      </c>
      <c r="S1393" s="8">
        <v>45220</v>
      </c>
      <c r="T1393" s="8">
        <v>45232</v>
      </c>
      <c r="U1393" s="8">
        <v>45816</v>
      </c>
      <c r="V1393" s="10">
        <f>COUNTA(O1393:U1393)</f>
        <v>7</v>
      </c>
      <c r="W1393" s="11">
        <f>_xlfn.IFNA(INDEX(reading[[#This Row],[Memo 01]:[Memo 07]],MATCH(0,reading[[#This Row],[Memo 01]:[Memo 07]],-1)),"")</f>
        <v>45816</v>
      </c>
      <c r="X1393" s="11">
        <f ca="1">IFERROR(reading[[#This Row],[Previous]]+OFFSET(reading[[#Headers],[Memo 01]],-1,MATCH(0,reading[[#This Row],[Memo 01]:[Memo 07]],-1)-1),"")</f>
        <v>55816</v>
      </c>
      <c r="Y1393" s="10" t="str">
        <f ca="1">IF(reading[[#This Row],[Next]]&lt;&gt;"",IF(reading[[#This Row],[Next]]&gt;TODAY(),"OK",""),"")</f>
        <v>OK</v>
      </c>
      <c r="Z1393" s="13">
        <v>3</v>
      </c>
      <c r="AA1393" s="13">
        <v>3</v>
      </c>
      <c r="AB1393" s="13">
        <v>3</v>
      </c>
      <c r="AC1393" s="13">
        <v>3</v>
      </c>
      <c r="AD1393" s="13">
        <v>3</v>
      </c>
      <c r="AE1393" s="13">
        <v>2</v>
      </c>
      <c r="AF1393" s="13">
        <v>1</v>
      </c>
      <c r="AG1393" s="16">
        <f>IFERROR(SUMIF(reading[[#This Row],[1st]:[7th]],"&gt;0")/COUNTIF(reading[[#This Row],[1st]:[7th]],"&gt;0"),"")</f>
        <v>2.5714285714285716</v>
      </c>
    </row>
    <row r="1394" spans="1:33" hidden="1" x14ac:dyDescent="0.2">
      <c r="A1394" s="4">
        <f>IF(B1394=1,3,IF(D1394=1,2,IF(F1394=1,1,0)))</f>
        <v>0</v>
      </c>
      <c r="B1394" s="4" t="str">
        <f>IF(C1394=$L1394,1,IF(C1394="","",0))</f>
        <v/>
      </c>
      <c r="C1394" s="42"/>
      <c r="D1394" s="4" t="str">
        <f>IF(E1394=$L1394,1,IF(E1394="","",0))</f>
        <v/>
      </c>
      <c r="E1394" s="23"/>
      <c r="F1394" s="4" t="str">
        <f>IF(G1394=$L1394,1,IF(G1394="","",0))</f>
        <v/>
      </c>
      <c r="G1394" s="14"/>
      <c r="H1394" s="6">
        <v>3055</v>
      </c>
      <c r="I1394" s="15" t="s">
        <v>3120</v>
      </c>
      <c r="J1394" s="6" t="s">
        <v>6076</v>
      </c>
      <c r="K1394" s="6"/>
      <c r="L1394" s="6" t="s">
        <v>3081</v>
      </c>
      <c r="M1394" s="6" t="s">
        <v>9158</v>
      </c>
      <c r="N1394" s="7">
        <f ca="1">RAND()</f>
        <v>0.73803669711408981</v>
      </c>
      <c r="O1394" s="8">
        <v>45224</v>
      </c>
      <c r="P1394" s="8">
        <v>45225</v>
      </c>
      <c r="Q1394" s="8">
        <v>45227</v>
      </c>
      <c r="R1394" s="8">
        <v>45231</v>
      </c>
      <c r="S1394" s="8">
        <v>45251</v>
      </c>
      <c r="T1394" s="8">
        <v>45825</v>
      </c>
      <c r="U1394" s="8"/>
      <c r="V1394" s="10">
        <f>COUNTA(O1394:U1394)</f>
        <v>6</v>
      </c>
      <c r="W1394" s="11">
        <f>_xlfn.IFNA(INDEX(reading[[#This Row],[Memo 01]:[Memo 07]],MATCH(0,reading[[#This Row],[Memo 01]:[Memo 07]],-1)),"")</f>
        <v>45825</v>
      </c>
      <c r="X1394" s="11">
        <f ca="1">IFERROR(reading[[#This Row],[Previous]]+OFFSET(reading[[#Headers],[Memo 01]],-1,MATCH(0,reading[[#This Row],[Memo 01]:[Memo 07]],-1)-1),"")</f>
        <v>45845</v>
      </c>
      <c r="Y1394" s="10" t="str">
        <f ca="1">IF(reading[[#This Row],[Next]]&lt;&gt;"",IF(reading[[#This Row],[Next]]&gt;TODAY(),"OK",""),"")</f>
        <v>OK</v>
      </c>
      <c r="Z1394" s="13">
        <v>3</v>
      </c>
      <c r="AA1394" s="13">
        <v>3</v>
      </c>
      <c r="AB1394" s="13">
        <v>3</v>
      </c>
      <c r="AC1394" s="13">
        <v>3</v>
      </c>
      <c r="AD1394" s="13">
        <v>3</v>
      </c>
      <c r="AE1394" s="13">
        <v>2</v>
      </c>
      <c r="AF1394" s="13"/>
      <c r="AG1394" s="16">
        <f>IFERROR(SUMIF(reading[[#This Row],[1st]:[7th]],"&gt;0")/COUNTIF(reading[[#This Row],[1st]:[7th]],"&gt;0"),"")</f>
        <v>2.8333333333333335</v>
      </c>
    </row>
    <row r="1395" spans="1:33" hidden="1" x14ac:dyDescent="0.2">
      <c r="A1395" s="4">
        <f>IF(B1395=1,3,IF(D1395=1,2,IF(F1395=1,1,0)))</f>
        <v>0</v>
      </c>
      <c r="B1395" s="4" t="str">
        <f>IF(C1395=$L1395,1,IF(C1395="","",0))</f>
        <v/>
      </c>
      <c r="C1395" s="42"/>
      <c r="D1395" s="4" t="str">
        <f>IF(E1395=$L1395,1,IF(E1395="","",0))</f>
        <v/>
      </c>
      <c r="E1395" s="14"/>
      <c r="F1395" s="4" t="str">
        <f>IF(G1395=$L1395,1,IF(G1395="","",0))</f>
        <v/>
      </c>
      <c r="G1395" s="14"/>
      <c r="H1395" s="6">
        <v>1076</v>
      </c>
      <c r="I1395" s="15" t="s">
        <v>3120</v>
      </c>
      <c r="J1395" s="6" t="s">
        <v>4201</v>
      </c>
      <c r="K1395" s="6"/>
      <c r="L1395" s="6" t="s">
        <v>1183</v>
      </c>
      <c r="M1395" s="6" t="s">
        <v>7184</v>
      </c>
      <c r="N1395" s="7">
        <f ca="1">RAND()</f>
        <v>0.75921183503684975</v>
      </c>
      <c r="O1395" s="8">
        <v>45205</v>
      </c>
      <c r="P1395" s="8">
        <v>45206</v>
      </c>
      <c r="Q1395" s="8">
        <v>45208</v>
      </c>
      <c r="R1395" s="8">
        <v>45212</v>
      </c>
      <c r="S1395" s="8">
        <v>45219</v>
      </c>
      <c r="T1395" s="8">
        <v>45231</v>
      </c>
      <c r="U1395" s="8">
        <v>45824</v>
      </c>
      <c r="V1395" s="10">
        <f>COUNTA(O1395:U1395)</f>
        <v>7</v>
      </c>
      <c r="W1395" s="11">
        <f>_xlfn.IFNA(INDEX(reading[[#This Row],[Memo 01]:[Memo 07]],MATCH(0,reading[[#This Row],[Memo 01]:[Memo 07]],-1)),"")</f>
        <v>45824</v>
      </c>
      <c r="X1395" s="11">
        <f ca="1">IFERROR(reading[[#This Row],[Previous]]+OFFSET(reading[[#Headers],[Memo 01]],-1,MATCH(0,reading[[#This Row],[Memo 01]:[Memo 07]],-1)-1),"")</f>
        <v>55824</v>
      </c>
      <c r="Y1395" s="10" t="str">
        <f ca="1">IF(reading[[#This Row],[Next]]&lt;&gt;"",IF(reading[[#This Row],[Next]]&gt;TODAY(),"OK",""),"")</f>
        <v>OK</v>
      </c>
      <c r="Z1395" s="13">
        <v>3</v>
      </c>
      <c r="AA1395" s="13">
        <v>3</v>
      </c>
      <c r="AB1395" s="13">
        <v>3</v>
      </c>
      <c r="AC1395" s="13">
        <v>3</v>
      </c>
      <c r="AD1395" s="13">
        <v>3</v>
      </c>
      <c r="AE1395" s="13">
        <v>3</v>
      </c>
      <c r="AF1395" s="13">
        <v>3</v>
      </c>
      <c r="AG1395" s="16">
        <f>IFERROR(SUMIF(reading[[#This Row],[1st]:[7th]],"&gt;0")/COUNTIF(reading[[#This Row],[1st]:[7th]],"&gt;0"),"")</f>
        <v>3</v>
      </c>
    </row>
    <row r="1396" spans="1:33" hidden="1" x14ac:dyDescent="0.2">
      <c r="A1396" s="4">
        <f>IF(B1396=1,3,IF(D1396=1,2,IF(F1396=1,1,0)))</f>
        <v>0</v>
      </c>
      <c r="B1396" s="4" t="str">
        <f>IF(C1396=$L1396,1,IF(C1396="","",0))</f>
        <v/>
      </c>
      <c r="C1396" s="42"/>
      <c r="D1396" s="4" t="str">
        <f>IF(E1396=$L1396,1,IF(E1396="","",0))</f>
        <v/>
      </c>
      <c r="E1396" s="23"/>
      <c r="F1396" s="4" t="str">
        <f>IF(G1396=$L1396,1,IF(G1396="","",0))</f>
        <v/>
      </c>
      <c r="G1396" s="14"/>
      <c r="H1396" s="6">
        <v>2361</v>
      </c>
      <c r="I1396" s="15" t="s">
        <v>3120</v>
      </c>
      <c r="J1396" s="6" t="s">
        <v>5438</v>
      </c>
      <c r="K1396" s="6"/>
      <c r="L1396" s="6" t="s">
        <v>2414</v>
      </c>
      <c r="M1396" s="6" t="s">
        <v>8466</v>
      </c>
      <c r="N1396" s="7">
        <f ca="1">RAND()</f>
        <v>0.62982243189630216</v>
      </c>
      <c r="O1396" s="8">
        <v>45216</v>
      </c>
      <c r="P1396" s="8">
        <v>45217</v>
      </c>
      <c r="Q1396" s="8">
        <v>45219</v>
      </c>
      <c r="R1396" s="8">
        <v>45223</v>
      </c>
      <c r="S1396" s="8">
        <v>45230</v>
      </c>
      <c r="T1396" s="8">
        <v>45816</v>
      </c>
      <c r="U1396" s="8"/>
      <c r="V1396" s="10">
        <f>COUNTA(O1396:U1396)</f>
        <v>6</v>
      </c>
      <c r="W1396" s="11">
        <f>_xlfn.IFNA(INDEX(reading[[#This Row],[Memo 01]:[Memo 07]],MATCH(0,reading[[#This Row],[Memo 01]:[Memo 07]],-1)),"")</f>
        <v>45816</v>
      </c>
      <c r="X1396" s="11">
        <f ca="1">IFERROR(reading[[#This Row],[Previous]]+OFFSET(reading[[#Headers],[Memo 01]],-1,MATCH(0,reading[[#This Row],[Memo 01]:[Memo 07]],-1)-1),"")</f>
        <v>45836</v>
      </c>
      <c r="Y1396" s="10" t="str">
        <f ca="1">IF(reading[[#This Row],[Next]]&lt;&gt;"",IF(reading[[#This Row],[Next]]&gt;TODAY(),"OK",""),"")</f>
        <v>OK</v>
      </c>
      <c r="Z1396" s="13">
        <v>3</v>
      </c>
      <c r="AA1396" s="13">
        <v>3</v>
      </c>
      <c r="AB1396" s="13">
        <v>3</v>
      </c>
      <c r="AC1396" s="13">
        <v>3</v>
      </c>
      <c r="AD1396" s="13">
        <v>3</v>
      </c>
      <c r="AE1396" s="13">
        <v>2</v>
      </c>
      <c r="AF1396" s="13"/>
      <c r="AG1396" s="16">
        <f>IFERROR(SUMIF(reading[[#This Row],[1st]:[7th]],"&gt;0")/COUNTIF(reading[[#This Row],[1st]:[7th]],"&gt;0"),"")</f>
        <v>2.8333333333333335</v>
      </c>
    </row>
    <row r="1397" spans="1:33" hidden="1" x14ac:dyDescent="0.2">
      <c r="A1397" s="4">
        <f>IF(B1397=1,3,IF(D1397=1,2,IF(F1397=1,1,0)))</f>
        <v>0</v>
      </c>
      <c r="B1397" s="4">
        <f>IF(C1397=$L1397,1,IF(C1397="","",0))</f>
        <v>0</v>
      </c>
      <c r="C1397" s="42" t="s">
        <v>9200</v>
      </c>
      <c r="D1397" s="4">
        <f>IF(E1397=$L1397,1,IF(E1397="","",0))</f>
        <v>0</v>
      </c>
      <c r="E1397" s="23" t="s">
        <v>9200</v>
      </c>
      <c r="F1397" s="4" t="str">
        <f>IF(G1397=$L1397,1,IF(G1397="","",0))</f>
        <v/>
      </c>
      <c r="G1397" s="14"/>
      <c r="H1397" s="6">
        <v>2333</v>
      </c>
      <c r="I1397" s="15" t="s">
        <v>3120</v>
      </c>
      <c r="J1397" s="6" t="s">
        <v>5410</v>
      </c>
      <c r="K1397" s="6"/>
      <c r="L1397" s="6" t="s">
        <v>2387</v>
      </c>
      <c r="M1397" s="6" t="s">
        <v>8438</v>
      </c>
      <c r="N1397" s="7">
        <f ca="1">RAND()</f>
        <v>0.36166502018336499</v>
      </c>
      <c r="O1397" s="8">
        <v>45216</v>
      </c>
      <c r="P1397" s="8">
        <v>45217</v>
      </c>
      <c r="Q1397" s="8">
        <v>45219</v>
      </c>
      <c r="R1397" s="8">
        <v>45223</v>
      </c>
      <c r="S1397" s="8">
        <v>45230</v>
      </c>
      <c r="T1397" s="8"/>
      <c r="U1397" s="8"/>
      <c r="V1397" s="10">
        <f>COUNTA(O1397:U1397)</f>
        <v>5</v>
      </c>
      <c r="W1397" s="11">
        <f>_xlfn.IFNA(INDEX(reading[[#This Row],[Memo 01]:[Memo 07]],MATCH(0,reading[[#This Row],[Memo 01]:[Memo 07]],-1)),"")</f>
        <v>45230</v>
      </c>
      <c r="X1397" s="11">
        <f ca="1">IFERROR(reading[[#This Row],[Previous]]+OFFSET(reading[[#Headers],[Memo 01]],-1,MATCH(0,reading[[#This Row],[Memo 01]:[Memo 07]],-1)-1),"")</f>
        <v>45242</v>
      </c>
      <c r="Y1397" s="10" t="str">
        <f ca="1">IF(reading[[#This Row],[Next]]&lt;&gt;"",IF(reading[[#This Row],[Next]]&gt;TODAY(),"OK",""),"")</f>
        <v/>
      </c>
      <c r="Z1397" s="13">
        <v>3</v>
      </c>
      <c r="AA1397" s="13">
        <v>3</v>
      </c>
      <c r="AB1397" s="13">
        <v>3</v>
      </c>
      <c r="AC1397" s="13">
        <v>3</v>
      </c>
      <c r="AD1397" s="13">
        <v>3</v>
      </c>
      <c r="AE1397" s="13"/>
      <c r="AF1397" s="13"/>
      <c r="AG1397" s="16">
        <f>IFERROR(SUMIF(reading[[#This Row],[1st]:[7th]],"&gt;0")/COUNTIF(reading[[#This Row],[1st]:[7th]],"&gt;0"),"")</f>
        <v>3</v>
      </c>
    </row>
    <row r="1398" spans="1:33" hidden="1" x14ac:dyDescent="0.2">
      <c r="A1398" s="4">
        <f>IF(B1398=1,3,IF(D1398=1,2,IF(F1398=1,1,0)))</f>
        <v>3</v>
      </c>
      <c r="B1398" s="4">
        <f>IF(C1398=$L1398,1,IF(C1398="","",0))</f>
        <v>1</v>
      </c>
      <c r="C1398" s="29" t="s">
        <v>3148</v>
      </c>
      <c r="D1398" s="4" t="str">
        <f>IF(E1398=$L1398,1,IF(E1398="","",0))</f>
        <v/>
      </c>
      <c r="E1398" s="14"/>
      <c r="F1398" s="4" t="str">
        <f>IF(G1398=$L1398,1,IF(G1398="","",0))</f>
        <v/>
      </c>
      <c r="G1398" s="14"/>
      <c r="H1398" s="6">
        <v>1402</v>
      </c>
      <c r="I1398" s="15" t="s">
        <v>3120</v>
      </c>
      <c r="J1398" s="6" t="s">
        <v>4516</v>
      </c>
      <c r="K1398" s="6"/>
      <c r="L1398" s="6" t="s">
        <v>1493</v>
      </c>
      <c r="M1398" s="6" t="s">
        <v>7509</v>
      </c>
      <c r="N1398" s="7">
        <f ca="1">RAND()</f>
        <v>0.27344715327239655</v>
      </c>
      <c r="O1398" s="8">
        <v>45208</v>
      </c>
      <c r="P1398" s="8">
        <v>45208</v>
      </c>
      <c r="Q1398" s="8">
        <v>45208</v>
      </c>
      <c r="R1398" s="8">
        <v>45208</v>
      </c>
      <c r="S1398" s="8">
        <v>45208</v>
      </c>
      <c r="T1398" s="8">
        <v>45208</v>
      </c>
      <c r="U1398" s="8">
        <v>45208</v>
      </c>
      <c r="V1398" s="10">
        <f>COUNTA(O1398:U1398)</f>
        <v>7</v>
      </c>
      <c r="W1398" s="11">
        <f>_xlfn.IFNA(INDEX(reading[[#This Row],[Memo 01]:[Memo 07]],MATCH(0,reading[[#This Row],[Memo 01]:[Memo 07]],-1)),"")</f>
        <v>45208</v>
      </c>
      <c r="X1398" s="11">
        <f ca="1">IFERROR(reading[[#This Row],[Previous]]+OFFSET(reading[[#Headers],[Memo 01]],-1,MATCH(0,reading[[#This Row],[Memo 01]:[Memo 07]],-1)-1),"")</f>
        <v>55208</v>
      </c>
      <c r="Y1398" s="10" t="str">
        <f ca="1">IF(reading[[#This Row],[Next]]&lt;&gt;"",IF(reading[[#This Row],[Next]]&gt;TODAY(),"OK",""),"")</f>
        <v>OK</v>
      </c>
      <c r="Z1398" s="13">
        <v>3</v>
      </c>
      <c r="AA1398" s="13"/>
      <c r="AB1398" s="13"/>
      <c r="AC1398" s="13"/>
      <c r="AD1398" s="13"/>
      <c r="AE1398" s="13"/>
      <c r="AF1398" s="13"/>
      <c r="AG1398" s="16">
        <f>IFERROR(SUMIF(reading[[#This Row],[1st]:[7th]],"&gt;0")/COUNTIF(reading[[#This Row],[1st]:[7th]],"&gt;0"),"")</f>
        <v>3</v>
      </c>
    </row>
    <row r="1399" spans="1:33" hidden="1" x14ac:dyDescent="0.2">
      <c r="A1399" s="4">
        <f>IF(B1399=1,3,IF(D1399=1,2,IF(F1399=1,1,0)))</f>
        <v>0</v>
      </c>
      <c r="B1399" s="4" t="str">
        <f>IF(C1399=$L1399,1,IF(C1399="","",0))</f>
        <v/>
      </c>
      <c r="C1399" s="41"/>
      <c r="D1399" s="4" t="str">
        <f>IF(E1399=$L1399,1,IF(E1399="","",0))</f>
        <v/>
      </c>
      <c r="E1399" s="18"/>
      <c r="F1399" s="4" t="str">
        <f>IF(G1399=$L1399,1,IF(G1399="","",0))</f>
        <v/>
      </c>
      <c r="G1399" s="18"/>
      <c r="H1399" s="6">
        <v>149</v>
      </c>
      <c r="I1399" s="15" t="s">
        <v>3120</v>
      </c>
      <c r="J1399" s="6" t="s">
        <v>3298</v>
      </c>
      <c r="K1399" s="6"/>
      <c r="L1399" s="6" t="s">
        <v>286</v>
      </c>
      <c r="M1399" s="6" t="s">
        <v>6258</v>
      </c>
      <c r="N1399" s="7">
        <f ca="1">RAND()</f>
        <v>0.21426421019226816</v>
      </c>
      <c r="O1399" s="8">
        <v>45199</v>
      </c>
      <c r="P1399" s="8">
        <v>45200</v>
      </c>
      <c r="Q1399" s="8">
        <v>45202</v>
      </c>
      <c r="R1399" s="8">
        <v>45206</v>
      </c>
      <c r="S1399" s="8">
        <v>45213</v>
      </c>
      <c r="T1399" s="8">
        <v>45225</v>
      </c>
      <c r="U1399" s="8">
        <v>45249</v>
      </c>
      <c r="V1399" s="10">
        <f>COUNTA(O1399:U1399)</f>
        <v>7</v>
      </c>
      <c r="W1399" s="11">
        <f>_xlfn.IFNA(INDEX(reading[[#This Row],[Memo 01]:[Memo 07]],MATCH(0,reading[[#This Row],[Memo 01]:[Memo 07]],-1)),"")</f>
        <v>45249</v>
      </c>
      <c r="X1399" s="11">
        <f ca="1">IFERROR(reading[[#This Row],[Previous]]+OFFSET(reading[[#Headers],[Memo 01]],-1,MATCH(0,reading[[#This Row],[Memo 01]:[Memo 07]],-1)-1),"")</f>
        <v>55249</v>
      </c>
      <c r="Y1399" s="10" t="str">
        <f ca="1">IF(reading[[#This Row],[Next]]&lt;&gt;"",IF(reading[[#This Row],[Next]]&gt;TODAY(),"OK",""),"")</f>
        <v>OK</v>
      </c>
      <c r="Z1399" s="13">
        <v>3</v>
      </c>
      <c r="AA1399" s="13">
        <v>2</v>
      </c>
      <c r="AB1399" s="13">
        <v>3</v>
      </c>
      <c r="AC1399" s="13">
        <v>3</v>
      </c>
      <c r="AD1399" s="13">
        <v>1</v>
      </c>
      <c r="AE1399" s="13">
        <v>2</v>
      </c>
      <c r="AF1399" s="13">
        <v>2</v>
      </c>
      <c r="AG1399" s="16">
        <f>IFERROR(SUMIF(reading[[#This Row],[1st]:[7th]],"&gt;0")/COUNTIF(reading[[#This Row],[1st]:[7th]],"&gt;0"),"")</f>
        <v>2.2857142857142856</v>
      </c>
    </row>
    <row r="1400" spans="1:33" hidden="1" x14ac:dyDescent="0.2">
      <c r="A1400" s="4">
        <f>IF(B1400=1,3,IF(D1400=1,2,IF(F1400=1,1,0)))</f>
        <v>0</v>
      </c>
      <c r="B1400" s="4" t="str">
        <f>IF(C1400=$L1400,1,IF(C1400="","",0))</f>
        <v/>
      </c>
      <c r="C1400" s="42"/>
      <c r="D1400" s="4" t="str">
        <f>IF(E1400=$L1400,1,IF(E1400="","",0))</f>
        <v/>
      </c>
      <c r="E1400" s="23"/>
      <c r="F1400" s="4" t="str">
        <f>IF(G1400=$L1400,1,IF(G1400="","",0))</f>
        <v/>
      </c>
      <c r="G1400" s="23"/>
      <c r="H1400" s="6">
        <v>2670</v>
      </c>
      <c r="I1400" s="15" t="s">
        <v>3120</v>
      </c>
      <c r="J1400" s="6" t="s">
        <v>5722</v>
      </c>
      <c r="K1400" s="6"/>
      <c r="L1400" s="6" t="s">
        <v>2709</v>
      </c>
      <c r="M1400" s="6" t="s">
        <v>8775</v>
      </c>
      <c r="N1400" s="7">
        <f ca="1">RAND()</f>
        <v>0.17951911629758366</v>
      </c>
      <c r="O1400" s="8">
        <v>45220</v>
      </c>
      <c r="P1400" s="8">
        <v>45221</v>
      </c>
      <c r="Q1400" s="8">
        <v>45223</v>
      </c>
      <c r="R1400" s="8">
        <v>45227</v>
      </c>
      <c r="S1400" s="8">
        <v>45234</v>
      </c>
      <c r="T1400" s="8">
        <v>45816</v>
      </c>
      <c r="U1400" s="8"/>
      <c r="V1400" s="10">
        <f>COUNTA(O1400:U1400)</f>
        <v>6</v>
      </c>
      <c r="W1400" s="11">
        <f>_xlfn.IFNA(INDEX(reading[[#This Row],[Memo 01]:[Memo 07]],MATCH(0,reading[[#This Row],[Memo 01]:[Memo 07]],-1)),"")</f>
        <v>45816</v>
      </c>
      <c r="X1400" s="11">
        <f ca="1">IFERROR(reading[[#This Row],[Previous]]+OFFSET(reading[[#Headers],[Memo 01]],-1,MATCH(0,reading[[#This Row],[Memo 01]:[Memo 07]],-1)-1),"")</f>
        <v>45836</v>
      </c>
      <c r="Y1400" s="10" t="str">
        <f ca="1">IF(reading[[#This Row],[Next]]&lt;&gt;"",IF(reading[[#This Row],[Next]]&gt;TODAY(),"OK",""),"")</f>
        <v>OK</v>
      </c>
      <c r="Z1400" s="13">
        <v>3</v>
      </c>
      <c r="AA1400" s="13">
        <v>3</v>
      </c>
      <c r="AB1400" s="13">
        <v>3</v>
      </c>
      <c r="AC1400" s="13">
        <v>3</v>
      </c>
      <c r="AD1400" s="13">
        <v>3</v>
      </c>
      <c r="AE1400" s="13">
        <v>1</v>
      </c>
      <c r="AF1400" s="13"/>
      <c r="AG1400" s="16">
        <f>IFERROR(SUMIF(reading[[#This Row],[1st]:[7th]],"&gt;0")/COUNTIF(reading[[#This Row],[1st]:[7th]],"&gt;0"),"")</f>
        <v>2.6666666666666665</v>
      </c>
    </row>
    <row r="1401" spans="1:33" hidden="1" x14ac:dyDescent="0.2">
      <c r="A1401" s="4">
        <f>IF(B1401=1,3,IF(D1401=1,2,IF(F1401=1,1,0)))</f>
        <v>0</v>
      </c>
      <c r="B1401" s="4" t="str">
        <f>IF(C1401=$L1401,1,IF(C1401="","",0))</f>
        <v/>
      </c>
      <c r="C1401" s="42"/>
      <c r="D1401" s="4" t="str">
        <f>IF(E1401=$L1401,1,IF(E1401="","",0))</f>
        <v/>
      </c>
      <c r="E1401" s="14"/>
      <c r="F1401" s="4" t="str">
        <f>IF(G1401=$L1401,1,IF(G1401="","",0))</f>
        <v/>
      </c>
      <c r="G1401" s="14"/>
      <c r="H1401" s="6">
        <v>2113</v>
      </c>
      <c r="I1401" s="15" t="s">
        <v>3120</v>
      </c>
      <c r="J1401" s="6" t="s">
        <v>5201</v>
      </c>
      <c r="K1401" s="15" t="s">
        <v>3139</v>
      </c>
      <c r="L1401" s="6" t="s">
        <v>2181</v>
      </c>
      <c r="M1401" s="6" t="s">
        <v>8219</v>
      </c>
      <c r="N1401" s="7">
        <f ca="1">RAND()</f>
        <v>0.9787060488074526</v>
      </c>
      <c r="O1401" s="8">
        <v>45214</v>
      </c>
      <c r="P1401" s="8">
        <v>45215</v>
      </c>
      <c r="Q1401" s="8">
        <v>45217</v>
      </c>
      <c r="R1401" s="8">
        <v>45221</v>
      </c>
      <c r="S1401" s="8">
        <v>45228</v>
      </c>
      <c r="T1401" s="8">
        <v>45783</v>
      </c>
      <c r="U1401" s="8">
        <v>45823</v>
      </c>
      <c r="V1401" s="10">
        <f>COUNTA(O1401:U1401)</f>
        <v>7</v>
      </c>
      <c r="W1401" s="11">
        <f>_xlfn.IFNA(INDEX(reading[[#This Row],[Memo 01]:[Memo 07]],MATCH(0,reading[[#This Row],[Memo 01]:[Memo 07]],-1)),"")</f>
        <v>45823</v>
      </c>
      <c r="X1401" s="11">
        <f ca="1">IFERROR(reading[[#This Row],[Previous]]+OFFSET(reading[[#Headers],[Memo 01]],-1,MATCH(0,reading[[#This Row],[Memo 01]:[Memo 07]],-1)-1),"")</f>
        <v>55823</v>
      </c>
      <c r="Y1401" s="10" t="str">
        <f ca="1">IF(reading[[#This Row],[Next]]&lt;&gt;"",IF(reading[[#This Row],[Next]]&gt;TODAY(),"OK",""),"")</f>
        <v>OK</v>
      </c>
      <c r="Z1401" s="13">
        <v>3</v>
      </c>
      <c r="AA1401" s="13">
        <v>3</v>
      </c>
      <c r="AB1401" s="13">
        <v>3</v>
      </c>
      <c r="AC1401" s="13">
        <v>3</v>
      </c>
      <c r="AD1401" s="13">
        <v>3</v>
      </c>
      <c r="AE1401" s="13">
        <v>3</v>
      </c>
      <c r="AF1401" s="13">
        <v>3</v>
      </c>
      <c r="AG1401" s="16">
        <f>IFERROR(SUMIF(reading[[#This Row],[1st]:[7th]],"&gt;0")/COUNTIF(reading[[#This Row],[1st]:[7th]],"&gt;0"),"")</f>
        <v>3</v>
      </c>
    </row>
    <row r="1402" spans="1:33" hidden="1" x14ac:dyDescent="0.2">
      <c r="A1402" s="4">
        <f>IF(B1402=1,3,IF(D1402=1,2,IF(F1402=1,1,0)))</f>
        <v>0</v>
      </c>
      <c r="B1402" s="4" t="str">
        <f>IF(C1402=$L1402,1,IF(C1402="","",0))</f>
        <v/>
      </c>
      <c r="C1402" s="42"/>
      <c r="D1402" s="4" t="str">
        <f>IF(E1402=$L1402,1,IF(E1402="","",0))</f>
        <v/>
      </c>
      <c r="E1402" s="14"/>
      <c r="F1402" s="4" t="str">
        <f>IF(G1402=$L1402,1,IF(G1402="","",0))</f>
        <v/>
      </c>
      <c r="G1402" s="14"/>
      <c r="H1402" s="6">
        <v>1904</v>
      </c>
      <c r="I1402" s="15" t="s">
        <v>3120</v>
      </c>
      <c r="J1402" s="6" t="s">
        <v>5005</v>
      </c>
      <c r="K1402" s="6"/>
      <c r="L1402" s="6" t="s">
        <v>1980</v>
      </c>
      <c r="M1402" s="6" t="s">
        <v>8010</v>
      </c>
      <c r="N1402" s="7">
        <f ca="1">RAND()</f>
        <v>2.2156965518208782E-2</v>
      </c>
      <c r="O1402" s="8">
        <v>45212</v>
      </c>
      <c r="P1402" s="8">
        <v>45213</v>
      </c>
      <c r="Q1402" s="8">
        <v>45215</v>
      </c>
      <c r="R1402" s="8">
        <v>45219</v>
      </c>
      <c r="S1402" s="8">
        <v>45226</v>
      </c>
      <c r="T1402" s="8">
        <v>45792</v>
      </c>
      <c r="U1402" s="8">
        <v>45823</v>
      </c>
      <c r="V1402" s="10">
        <f>COUNTA(O1402:U1402)</f>
        <v>7</v>
      </c>
      <c r="W1402" s="11">
        <f>_xlfn.IFNA(INDEX(reading[[#This Row],[Memo 01]:[Memo 07]],MATCH(0,reading[[#This Row],[Memo 01]:[Memo 07]],-1)),"")</f>
        <v>45823</v>
      </c>
      <c r="X1402" s="11">
        <f ca="1">IFERROR(reading[[#This Row],[Previous]]+OFFSET(reading[[#Headers],[Memo 01]],-1,MATCH(0,reading[[#This Row],[Memo 01]:[Memo 07]],-1)-1),"")</f>
        <v>55823</v>
      </c>
      <c r="Y1402" s="10" t="str">
        <f ca="1">IF(reading[[#This Row],[Next]]&lt;&gt;"",IF(reading[[#This Row],[Next]]&gt;TODAY(),"OK",""),"")</f>
        <v>OK</v>
      </c>
      <c r="Z1402" s="13">
        <v>3</v>
      </c>
      <c r="AA1402" s="13">
        <v>3</v>
      </c>
      <c r="AB1402" s="13">
        <v>3</v>
      </c>
      <c r="AC1402" s="13">
        <v>3</v>
      </c>
      <c r="AD1402" s="13">
        <v>3</v>
      </c>
      <c r="AE1402" s="13">
        <v>3</v>
      </c>
      <c r="AF1402" s="13">
        <v>3</v>
      </c>
      <c r="AG1402" s="16">
        <f>IFERROR(SUMIF(reading[[#This Row],[1st]:[7th]],"&gt;0")/COUNTIF(reading[[#This Row],[1st]:[7th]],"&gt;0"),"")</f>
        <v>3</v>
      </c>
    </row>
    <row r="1403" spans="1:33" hidden="1" x14ac:dyDescent="0.2">
      <c r="A1403" s="4">
        <f>IF(B1403=1,3,IF(D1403=1,2,IF(F1403=1,1,0)))</f>
        <v>0</v>
      </c>
      <c r="B1403" s="4" t="str">
        <f>IF(C1403=$L1403,1,IF(C1403="","",0))</f>
        <v/>
      </c>
      <c r="C1403" s="42"/>
      <c r="D1403" s="4" t="str">
        <f>IF(E1403=$L1403,1,IF(E1403="","",0))</f>
        <v/>
      </c>
      <c r="E1403" s="14"/>
      <c r="F1403" s="4" t="str">
        <f>IF(G1403=$L1403,1,IF(G1403="","",0))</f>
        <v/>
      </c>
      <c r="G1403" s="14"/>
      <c r="H1403" s="6">
        <v>2701</v>
      </c>
      <c r="I1403" s="15" t="s">
        <v>3120</v>
      </c>
      <c r="J1403" s="6" t="s">
        <v>5751</v>
      </c>
      <c r="K1403" s="6"/>
      <c r="L1403" s="6" t="s">
        <v>2740</v>
      </c>
      <c r="M1403" s="6" t="s">
        <v>8806</v>
      </c>
      <c r="N1403" s="7">
        <f ca="1">RAND()</f>
        <v>0.7462077216672941</v>
      </c>
      <c r="O1403" s="8">
        <v>45221</v>
      </c>
      <c r="P1403" s="8">
        <v>45222</v>
      </c>
      <c r="Q1403" s="8">
        <v>45224</v>
      </c>
      <c r="R1403" s="8">
        <v>45228</v>
      </c>
      <c r="S1403" s="8">
        <v>45235</v>
      </c>
      <c r="T1403" s="8">
        <v>45823</v>
      </c>
      <c r="U1403" s="8"/>
      <c r="V1403" s="10">
        <f>COUNTA(O1403:U1403)</f>
        <v>6</v>
      </c>
      <c r="W1403" s="11">
        <f>_xlfn.IFNA(INDEX(reading[[#This Row],[Memo 01]:[Memo 07]],MATCH(0,reading[[#This Row],[Memo 01]:[Memo 07]],-1)),"")</f>
        <v>45823</v>
      </c>
      <c r="X1403" s="11">
        <f ca="1">IFERROR(reading[[#This Row],[Previous]]+OFFSET(reading[[#Headers],[Memo 01]],-1,MATCH(0,reading[[#This Row],[Memo 01]:[Memo 07]],-1)-1),"")</f>
        <v>45843</v>
      </c>
      <c r="Y1403" s="10" t="str">
        <f ca="1">IF(reading[[#This Row],[Next]]&lt;&gt;"",IF(reading[[#This Row],[Next]]&gt;TODAY(),"OK",""),"")</f>
        <v>OK</v>
      </c>
      <c r="Z1403" s="13">
        <v>3</v>
      </c>
      <c r="AA1403" s="13">
        <v>3</v>
      </c>
      <c r="AB1403" s="13">
        <v>3</v>
      </c>
      <c r="AC1403" s="13">
        <v>3</v>
      </c>
      <c r="AD1403" s="13">
        <v>3</v>
      </c>
      <c r="AE1403" s="13">
        <v>3</v>
      </c>
      <c r="AF1403" s="13"/>
      <c r="AG1403" s="16">
        <f>IFERROR(SUMIF(reading[[#This Row],[1st]:[7th]],"&gt;0")/COUNTIF(reading[[#This Row],[1st]:[7th]],"&gt;0"),"")</f>
        <v>3</v>
      </c>
    </row>
    <row r="1404" spans="1:33" hidden="1" x14ac:dyDescent="0.2">
      <c r="A1404" s="4">
        <f>IF(B1404=1,3,IF(D1404=1,2,IF(F1404=1,1,0)))</f>
        <v>0</v>
      </c>
      <c r="B1404" s="4" t="str">
        <f>IF(C1404=$L1404,1,IF(C1404="","",0))</f>
        <v/>
      </c>
      <c r="C1404" s="42"/>
      <c r="D1404" s="4" t="str">
        <f>IF(E1404=$L1404,1,IF(E1404="","",0))</f>
        <v/>
      </c>
      <c r="E1404" s="14"/>
      <c r="F1404" s="4" t="str">
        <f>IF(G1404=$L1404,1,IF(G1404="","",0))</f>
        <v/>
      </c>
      <c r="G1404" s="14"/>
      <c r="H1404" s="6">
        <v>2393</v>
      </c>
      <c r="I1404" s="15" t="s">
        <v>3120</v>
      </c>
      <c r="J1404" s="6" t="s">
        <v>3595</v>
      </c>
      <c r="K1404" s="15" t="s">
        <v>3138</v>
      </c>
      <c r="L1404" s="6" t="s">
        <v>2444</v>
      </c>
      <c r="M1404" s="6" t="s">
        <v>8498</v>
      </c>
      <c r="N1404" s="7">
        <f ca="1">RAND()</f>
        <v>7.4367916923654631E-2</v>
      </c>
      <c r="O1404" s="8">
        <v>45217</v>
      </c>
      <c r="P1404" s="8">
        <v>45218</v>
      </c>
      <c r="Q1404" s="8">
        <v>45220</v>
      </c>
      <c r="R1404" s="8">
        <v>45224</v>
      </c>
      <c r="S1404" s="8">
        <v>45231</v>
      </c>
      <c r="T1404" s="8">
        <v>45823</v>
      </c>
      <c r="U1404" s="8"/>
      <c r="V1404" s="10">
        <f>COUNTA(O1404:U1404)</f>
        <v>6</v>
      </c>
      <c r="W1404" s="11">
        <f>_xlfn.IFNA(INDEX(reading[[#This Row],[Memo 01]:[Memo 07]],MATCH(0,reading[[#This Row],[Memo 01]:[Memo 07]],-1)),"")</f>
        <v>45823</v>
      </c>
      <c r="X1404" s="11">
        <f ca="1">IFERROR(reading[[#This Row],[Previous]]+OFFSET(reading[[#Headers],[Memo 01]],-1,MATCH(0,reading[[#This Row],[Memo 01]:[Memo 07]],-1)-1),"")</f>
        <v>45843</v>
      </c>
      <c r="Y1404" s="10" t="str">
        <f ca="1">IF(reading[[#This Row],[Next]]&lt;&gt;"",IF(reading[[#This Row],[Next]]&gt;TODAY(),"OK",""),"")</f>
        <v>OK</v>
      </c>
      <c r="Z1404" s="13">
        <v>3</v>
      </c>
      <c r="AA1404" s="13">
        <v>3</v>
      </c>
      <c r="AB1404" s="13">
        <v>3</v>
      </c>
      <c r="AC1404" s="13">
        <v>3</v>
      </c>
      <c r="AD1404" s="13">
        <v>3</v>
      </c>
      <c r="AE1404" s="13">
        <v>3</v>
      </c>
      <c r="AF1404" s="13"/>
      <c r="AG1404" s="16">
        <f>IFERROR(SUMIF(reading[[#This Row],[1st]:[7th]],"&gt;0")/COUNTIF(reading[[#This Row],[1st]:[7th]],"&gt;0"),"")</f>
        <v>3</v>
      </c>
    </row>
    <row r="1405" spans="1:33" hidden="1" x14ac:dyDescent="0.2">
      <c r="A1405" s="4">
        <f>IF(B1405=1,3,IF(D1405=1,2,IF(F1405=1,1,0)))</f>
        <v>0</v>
      </c>
      <c r="B1405" s="4" t="str">
        <f>IF(C1405=$L1405,1,IF(C1405="","",0))</f>
        <v/>
      </c>
      <c r="C1405" s="42"/>
      <c r="D1405" s="4" t="str">
        <f>IF(E1405=$L1405,1,IF(E1405="","",0))</f>
        <v/>
      </c>
      <c r="E1405" s="18"/>
      <c r="F1405" s="4" t="str">
        <f>IF(G1405=$L1405,1,IF(G1405="","",0))</f>
        <v/>
      </c>
      <c r="G1405" s="14"/>
      <c r="H1405" s="6">
        <v>174</v>
      </c>
      <c r="I1405" s="15" t="s">
        <v>3120</v>
      </c>
      <c r="J1405" s="6" t="s">
        <v>3323</v>
      </c>
      <c r="K1405" s="6"/>
      <c r="L1405" s="6" t="s">
        <v>311</v>
      </c>
      <c r="M1405" s="6" t="s">
        <v>6283</v>
      </c>
      <c r="N1405" s="7">
        <f ca="1">RAND()</f>
        <v>4.6421676306640181E-2</v>
      </c>
      <c r="O1405" s="8">
        <v>45199</v>
      </c>
      <c r="P1405" s="8">
        <v>45200</v>
      </c>
      <c r="Q1405" s="8">
        <v>45202</v>
      </c>
      <c r="R1405" s="8">
        <v>45206</v>
      </c>
      <c r="S1405" s="8">
        <v>45213</v>
      </c>
      <c r="T1405" s="8">
        <v>45225</v>
      </c>
      <c r="U1405" s="8">
        <v>45823</v>
      </c>
      <c r="V1405" s="10">
        <f>COUNTA(O1405:U1405)</f>
        <v>7</v>
      </c>
      <c r="W1405" s="11">
        <f>_xlfn.IFNA(INDEX(reading[[#This Row],[Memo 01]:[Memo 07]],MATCH(0,reading[[#This Row],[Memo 01]:[Memo 07]],-1)),"")</f>
        <v>45823</v>
      </c>
      <c r="X1405" s="11">
        <f ca="1">IFERROR(reading[[#This Row],[Previous]]+OFFSET(reading[[#Headers],[Memo 01]],-1,MATCH(0,reading[[#This Row],[Memo 01]:[Memo 07]],-1)-1),"")</f>
        <v>55823</v>
      </c>
      <c r="Y1405" s="10" t="str">
        <f ca="1">IF(reading[[#This Row],[Next]]&lt;&gt;"",IF(reading[[#This Row],[Next]]&gt;TODAY(),"OK",""),"")</f>
        <v>OK</v>
      </c>
      <c r="Z1405" s="13">
        <v>3</v>
      </c>
      <c r="AA1405" s="13">
        <v>3</v>
      </c>
      <c r="AB1405" s="13">
        <v>2</v>
      </c>
      <c r="AC1405" s="13">
        <v>3</v>
      </c>
      <c r="AD1405" s="13">
        <v>3</v>
      </c>
      <c r="AE1405" s="13">
        <v>3</v>
      </c>
      <c r="AF1405" s="13">
        <v>3</v>
      </c>
      <c r="AG1405" s="16">
        <f>IFERROR(SUMIF(reading[[#This Row],[1st]:[7th]],"&gt;0")/COUNTIF(reading[[#This Row],[1st]:[7th]],"&gt;0"),"")</f>
        <v>2.8571428571428572</v>
      </c>
    </row>
    <row r="1406" spans="1:33" hidden="1" x14ac:dyDescent="0.2">
      <c r="A1406" s="4">
        <f>IF(B1406=1,3,IF(D1406=1,2,IF(F1406=1,1,0)))</f>
        <v>0</v>
      </c>
      <c r="B1406" s="4" t="str">
        <f>IF(C1406=$L1406,1,IF(C1406="","",0))</f>
        <v/>
      </c>
      <c r="C1406" s="42"/>
      <c r="D1406" s="4" t="str">
        <f>IF(E1406=$L1406,1,IF(E1406="","",0))</f>
        <v/>
      </c>
      <c r="E1406" s="14"/>
      <c r="F1406" s="4" t="str">
        <f>IF(G1406=$L1406,1,IF(G1406="","",0))</f>
        <v/>
      </c>
      <c r="G1406" s="14"/>
      <c r="H1406" s="6">
        <v>1715</v>
      </c>
      <c r="I1406" s="15" t="s">
        <v>3120</v>
      </c>
      <c r="J1406" s="6" t="s">
        <v>4823</v>
      </c>
      <c r="K1406" s="6"/>
      <c r="L1406" s="6" t="s">
        <v>1795</v>
      </c>
      <c r="M1406" s="6" t="s">
        <v>7821</v>
      </c>
      <c r="N1406" s="7">
        <f ca="1">RAND()</f>
        <v>0.34289360103073308</v>
      </c>
      <c r="O1406" s="8">
        <v>45211</v>
      </c>
      <c r="P1406" s="8">
        <v>45212</v>
      </c>
      <c r="Q1406" s="8">
        <v>45214</v>
      </c>
      <c r="R1406" s="8">
        <v>45218</v>
      </c>
      <c r="S1406" s="8">
        <v>45225</v>
      </c>
      <c r="T1406" s="8">
        <v>45237</v>
      </c>
      <c r="U1406" s="8">
        <v>45824</v>
      </c>
      <c r="V1406" s="10">
        <f>COUNTA(O1406:U1406)</f>
        <v>7</v>
      </c>
      <c r="W1406" s="11">
        <f>_xlfn.IFNA(INDEX(reading[[#This Row],[Memo 01]:[Memo 07]],MATCH(0,reading[[#This Row],[Memo 01]:[Memo 07]],-1)),"")</f>
        <v>45824</v>
      </c>
      <c r="X1406" s="11">
        <f ca="1">IFERROR(reading[[#This Row],[Previous]]+OFFSET(reading[[#Headers],[Memo 01]],-1,MATCH(0,reading[[#This Row],[Memo 01]:[Memo 07]],-1)-1),"")</f>
        <v>55824</v>
      </c>
      <c r="Y1406" s="10" t="str">
        <f ca="1">IF(reading[[#This Row],[Next]]&lt;&gt;"",IF(reading[[#This Row],[Next]]&gt;TODAY(),"OK",""),"")</f>
        <v>OK</v>
      </c>
      <c r="Z1406" s="13">
        <v>3</v>
      </c>
      <c r="AA1406" s="13">
        <v>3</v>
      </c>
      <c r="AB1406" s="13">
        <v>3</v>
      </c>
      <c r="AC1406" s="13">
        <v>3</v>
      </c>
      <c r="AD1406" s="13">
        <v>3</v>
      </c>
      <c r="AE1406" s="13">
        <v>3</v>
      </c>
      <c r="AF1406" s="13">
        <v>3</v>
      </c>
      <c r="AG1406" s="16">
        <f>IFERROR(SUMIF(reading[[#This Row],[1st]:[7th]],"&gt;0")/COUNTIF(reading[[#This Row],[1st]:[7th]],"&gt;0"),"")</f>
        <v>3</v>
      </c>
    </row>
    <row r="1407" spans="1:33" hidden="1" x14ac:dyDescent="0.2">
      <c r="A1407" s="4">
        <f>IF(B1407=1,3,IF(D1407=1,2,IF(F1407=1,1,0)))</f>
        <v>0</v>
      </c>
      <c r="B1407" s="4" t="str">
        <f>IF(C1407=$L1407,1,IF(C1407="","",0))</f>
        <v/>
      </c>
      <c r="C1407" s="42"/>
      <c r="D1407" s="4" t="str">
        <f>IF(E1407=$L1407,1,IF(E1407="","",0))</f>
        <v/>
      </c>
      <c r="E1407" s="14"/>
      <c r="F1407" s="4" t="str">
        <f>IF(G1407=$L1407,1,IF(G1407="","",0))</f>
        <v/>
      </c>
      <c r="G1407" s="14"/>
      <c r="H1407" s="6">
        <v>867</v>
      </c>
      <c r="I1407" s="15" t="s">
        <v>3120</v>
      </c>
      <c r="J1407" s="6" t="s">
        <v>3999</v>
      </c>
      <c r="K1407" s="6"/>
      <c r="L1407" s="6" t="s">
        <v>982</v>
      </c>
      <c r="M1407" s="6" t="s">
        <v>6976</v>
      </c>
      <c r="N1407" s="7">
        <f ca="1">RAND()</f>
        <v>9.484573552365938E-2</v>
      </c>
      <c r="O1407" s="8">
        <v>45204</v>
      </c>
      <c r="P1407" s="8">
        <v>45205</v>
      </c>
      <c r="Q1407" s="8">
        <v>45207</v>
      </c>
      <c r="R1407" s="8">
        <v>45211</v>
      </c>
      <c r="S1407" s="8">
        <v>45218</v>
      </c>
      <c r="T1407" s="8">
        <v>45230</v>
      </c>
      <c r="U1407" s="8">
        <v>45824</v>
      </c>
      <c r="V1407" s="10">
        <f>COUNTA(O1407:U1407)</f>
        <v>7</v>
      </c>
      <c r="W1407" s="11">
        <f>_xlfn.IFNA(INDEX(reading[[#This Row],[Memo 01]:[Memo 07]],MATCH(0,reading[[#This Row],[Memo 01]:[Memo 07]],-1)),"")</f>
        <v>45824</v>
      </c>
      <c r="X1407" s="11">
        <f ca="1">IFERROR(reading[[#This Row],[Previous]]+OFFSET(reading[[#Headers],[Memo 01]],-1,MATCH(0,reading[[#This Row],[Memo 01]:[Memo 07]],-1)-1),"")</f>
        <v>55824</v>
      </c>
      <c r="Y1407" s="10" t="str">
        <f ca="1">IF(reading[[#This Row],[Next]]&lt;&gt;"",IF(reading[[#This Row],[Next]]&gt;TODAY(),"OK",""),"")</f>
        <v>OK</v>
      </c>
      <c r="Z1407" s="13">
        <v>3</v>
      </c>
      <c r="AA1407" s="13">
        <v>3</v>
      </c>
      <c r="AB1407" s="13">
        <v>3</v>
      </c>
      <c r="AC1407" s="13">
        <v>3</v>
      </c>
      <c r="AD1407" s="13">
        <v>3</v>
      </c>
      <c r="AE1407" s="13">
        <v>3</v>
      </c>
      <c r="AF1407" s="13">
        <v>3</v>
      </c>
      <c r="AG1407" s="16">
        <f>IFERROR(SUMIF(reading[[#This Row],[1st]:[7th]],"&gt;0")/COUNTIF(reading[[#This Row],[1st]:[7th]],"&gt;0"),"")</f>
        <v>3</v>
      </c>
    </row>
    <row r="1408" spans="1:33" hidden="1" x14ac:dyDescent="0.2">
      <c r="A1408" s="4">
        <f>IF(B1408=1,3,IF(D1408=1,2,IF(F1408=1,1,0)))</f>
        <v>0</v>
      </c>
      <c r="B1408" s="4" t="str">
        <f>IF(C1408=$L1408,1,IF(C1408="","",0))</f>
        <v/>
      </c>
      <c r="C1408" s="42"/>
      <c r="D1408" s="4" t="str">
        <f>IF(E1408=$L1408,1,IF(E1408="","",0))</f>
        <v/>
      </c>
      <c r="E1408" s="18"/>
      <c r="F1408" s="4" t="str">
        <f>IF(G1408=$L1408,1,IF(G1408="","",0))</f>
        <v/>
      </c>
      <c r="G1408" s="14"/>
      <c r="H1408" s="6">
        <v>2224</v>
      </c>
      <c r="I1408" s="15" t="s">
        <v>3120</v>
      </c>
      <c r="J1408" s="6" t="s">
        <v>5310</v>
      </c>
      <c r="K1408" s="6"/>
      <c r="L1408" s="6" t="s">
        <v>2287</v>
      </c>
      <c r="M1408" s="6" t="s">
        <v>8330</v>
      </c>
      <c r="N1408" s="7">
        <f ca="1">RAND()</f>
        <v>0.59146390266645399</v>
      </c>
      <c r="O1408" s="8">
        <v>45215</v>
      </c>
      <c r="P1408" s="8">
        <v>45216</v>
      </c>
      <c r="Q1408" s="8">
        <v>45218</v>
      </c>
      <c r="R1408" s="8">
        <v>45222</v>
      </c>
      <c r="S1408" s="8">
        <v>45229</v>
      </c>
      <c r="T1408" s="8">
        <v>45823</v>
      </c>
      <c r="U1408" s="8"/>
      <c r="V1408" s="10">
        <f>COUNTA(O1408:U1408)</f>
        <v>6</v>
      </c>
      <c r="W1408" s="11">
        <f>_xlfn.IFNA(INDEX(reading[[#This Row],[Memo 01]:[Memo 07]],MATCH(0,reading[[#This Row],[Memo 01]:[Memo 07]],-1)),"")</f>
        <v>45823</v>
      </c>
      <c r="X1408" s="11">
        <f ca="1">IFERROR(reading[[#This Row],[Previous]]+OFFSET(reading[[#Headers],[Memo 01]],-1,MATCH(0,reading[[#This Row],[Memo 01]:[Memo 07]],-1)-1),"")</f>
        <v>45843</v>
      </c>
      <c r="Y1408" s="10" t="str">
        <f ca="1">IF(reading[[#This Row],[Next]]&lt;&gt;"",IF(reading[[#This Row],[Next]]&gt;TODAY(),"OK",""),"")</f>
        <v>OK</v>
      </c>
      <c r="Z1408" s="13">
        <v>3</v>
      </c>
      <c r="AA1408" s="13">
        <v>3</v>
      </c>
      <c r="AB1408" s="13">
        <v>3</v>
      </c>
      <c r="AC1408" s="13">
        <v>2</v>
      </c>
      <c r="AD1408" s="13">
        <v>3</v>
      </c>
      <c r="AE1408" s="13">
        <v>3</v>
      </c>
      <c r="AF1408" s="13"/>
      <c r="AG1408" s="16">
        <f>IFERROR(SUMIF(reading[[#This Row],[1st]:[7th]],"&gt;0")/COUNTIF(reading[[#This Row],[1st]:[7th]],"&gt;0"),"")</f>
        <v>2.8333333333333335</v>
      </c>
    </row>
    <row r="1409" spans="1:33" hidden="1" x14ac:dyDescent="0.2">
      <c r="A1409" s="4">
        <f>IF(B1409=1,3,IF(D1409=1,2,IF(F1409=1,1,0)))</f>
        <v>0</v>
      </c>
      <c r="B1409" s="4" t="str">
        <f>IF(C1409=$L1409,1,IF(C1409="","",0))</f>
        <v/>
      </c>
      <c r="C1409" s="42"/>
      <c r="D1409" s="4" t="str">
        <f>IF(E1409=$L1409,1,IF(E1409="","",0))</f>
        <v/>
      </c>
      <c r="E1409" s="14"/>
      <c r="F1409" s="4" t="str">
        <f>IF(G1409=$L1409,1,IF(G1409="","",0))</f>
        <v/>
      </c>
      <c r="G1409" s="14"/>
      <c r="H1409" s="6">
        <v>2567</v>
      </c>
      <c r="I1409" s="15" t="s">
        <v>3120</v>
      </c>
      <c r="J1409" s="6" t="s">
        <v>5627</v>
      </c>
      <c r="K1409" s="6"/>
      <c r="L1409" s="6" t="s">
        <v>2611</v>
      </c>
      <c r="M1409" s="6" t="s">
        <v>8672</v>
      </c>
      <c r="N1409" s="7">
        <f ca="1">RAND()</f>
        <v>0.85542642916012512</v>
      </c>
      <c r="O1409" s="8">
        <v>45219</v>
      </c>
      <c r="P1409" s="8">
        <v>45220</v>
      </c>
      <c r="Q1409" s="8">
        <v>45222</v>
      </c>
      <c r="R1409" s="8">
        <v>45226</v>
      </c>
      <c r="S1409" s="8">
        <v>45233</v>
      </c>
      <c r="T1409" s="8">
        <v>45823</v>
      </c>
      <c r="U1409" s="8"/>
      <c r="V1409" s="10">
        <f>COUNTA(O1409:U1409)</f>
        <v>6</v>
      </c>
      <c r="W1409" s="11">
        <f>_xlfn.IFNA(INDEX(reading[[#This Row],[Memo 01]:[Memo 07]],MATCH(0,reading[[#This Row],[Memo 01]:[Memo 07]],-1)),"")</f>
        <v>45823</v>
      </c>
      <c r="X1409" s="11">
        <f ca="1">IFERROR(reading[[#This Row],[Previous]]+OFFSET(reading[[#Headers],[Memo 01]],-1,MATCH(0,reading[[#This Row],[Memo 01]:[Memo 07]],-1)-1),"")</f>
        <v>45843</v>
      </c>
      <c r="Y1409" s="10" t="str">
        <f ca="1">IF(reading[[#This Row],[Next]]&lt;&gt;"",IF(reading[[#This Row],[Next]]&gt;TODAY(),"OK",""),"")</f>
        <v>OK</v>
      </c>
      <c r="Z1409" s="13">
        <v>3</v>
      </c>
      <c r="AA1409" s="13">
        <v>3</v>
      </c>
      <c r="AB1409" s="13">
        <v>3</v>
      </c>
      <c r="AC1409" s="13">
        <v>3</v>
      </c>
      <c r="AD1409" s="13">
        <v>3</v>
      </c>
      <c r="AE1409" s="13">
        <v>3</v>
      </c>
      <c r="AF1409" s="13"/>
      <c r="AG1409" s="16">
        <f>IFERROR(SUMIF(reading[[#This Row],[1st]:[7th]],"&gt;0")/COUNTIF(reading[[#This Row],[1st]:[7th]],"&gt;0"),"")</f>
        <v>3</v>
      </c>
    </row>
    <row r="1410" spans="1:33" hidden="1" x14ac:dyDescent="0.2">
      <c r="A1410" s="4">
        <f>IF(B1410=1,3,IF(D1410=1,2,IF(F1410=1,1,0)))</f>
        <v>0</v>
      </c>
      <c r="B1410" s="4" t="str">
        <f>IF(C1410=$L1410,1,IF(C1410="","",0))</f>
        <v/>
      </c>
      <c r="C1410" s="42"/>
      <c r="D1410" s="4" t="str">
        <f>IF(E1410=$L1410,1,IF(E1410="","",0))</f>
        <v/>
      </c>
      <c r="E1410" s="14"/>
      <c r="F1410" s="4" t="str">
        <f>IF(G1410=$L1410,1,IF(G1410="","",0))</f>
        <v/>
      </c>
      <c r="G1410" s="14"/>
      <c r="H1410" s="6">
        <v>1325</v>
      </c>
      <c r="I1410" s="15" t="s">
        <v>3120</v>
      </c>
      <c r="J1410" s="6" t="s">
        <v>4441</v>
      </c>
      <c r="K1410" s="6"/>
      <c r="L1410" s="6" t="s">
        <v>1422</v>
      </c>
      <c r="M1410" s="6" t="s">
        <v>7432</v>
      </c>
      <c r="N1410" s="7">
        <f ca="1">RAND()</f>
        <v>0.28563586215214776</v>
      </c>
      <c r="O1410" s="8">
        <v>45207</v>
      </c>
      <c r="P1410" s="8">
        <v>45208</v>
      </c>
      <c r="Q1410" s="8">
        <v>45210</v>
      </c>
      <c r="R1410" s="8">
        <v>45214</v>
      </c>
      <c r="S1410" s="8">
        <v>45221</v>
      </c>
      <c r="T1410" s="8">
        <v>45233</v>
      </c>
      <c r="U1410" s="8">
        <v>45823</v>
      </c>
      <c r="V1410" s="10">
        <f>COUNTA(O1410:U1410)</f>
        <v>7</v>
      </c>
      <c r="W1410" s="11">
        <f>_xlfn.IFNA(INDEX(reading[[#This Row],[Memo 01]:[Memo 07]],MATCH(0,reading[[#This Row],[Memo 01]:[Memo 07]],-1)),"")</f>
        <v>45823</v>
      </c>
      <c r="X1410" s="11">
        <f ca="1">IFERROR(reading[[#This Row],[Previous]]+OFFSET(reading[[#Headers],[Memo 01]],-1,MATCH(0,reading[[#This Row],[Memo 01]:[Memo 07]],-1)-1),"")</f>
        <v>55823</v>
      </c>
      <c r="Y1410" s="10" t="str">
        <f ca="1">IF(reading[[#This Row],[Next]]&lt;&gt;"",IF(reading[[#This Row],[Next]]&gt;TODAY(),"OK",""),"")</f>
        <v>OK</v>
      </c>
      <c r="Z1410" s="13">
        <v>3</v>
      </c>
      <c r="AA1410" s="13">
        <v>3</v>
      </c>
      <c r="AB1410" s="13">
        <v>3</v>
      </c>
      <c r="AC1410" s="13">
        <v>3</v>
      </c>
      <c r="AD1410" s="13">
        <v>3</v>
      </c>
      <c r="AE1410" s="13">
        <v>3</v>
      </c>
      <c r="AF1410" s="13">
        <v>3</v>
      </c>
      <c r="AG1410" s="16">
        <f>IFERROR(SUMIF(reading[[#This Row],[1st]:[7th]],"&gt;0")/COUNTIF(reading[[#This Row],[1st]:[7th]],"&gt;0"),"")</f>
        <v>3</v>
      </c>
    </row>
    <row r="1411" spans="1:33" hidden="1" x14ac:dyDescent="0.2">
      <c r="A1411" s="4">
        <f>IF(B1411=1,3,IF(D1411=1,2,IF(F1411=1,1,0)))</f>
        <v>0</v>
      </c>
      <c r="B1411" s="4" t="str">
        <f>IF(C1411=$L1411,1,IF(C1411="","",0))</f>
        <v/>
      </c>
      <c r="C1411" s="42"/>
      <c r="D1411" s="4" t="str">
        <f>IF(E1411=$L1411,1,IF(E1411="","",0))</f>
        <v/>
      </c>
      <c r="E1411" s="23"/>
      <c r="F1411" s="4" t="str">
        <f>IF(G1411=$L1411,1,IF(G1411="","",0))</f>
        <v/>
      </c>
      <c r="G1411" s="14"/>
      <c r="H1411" s="6">
        <v>2526</v>
      </c>
      <c r="I1411" s="15" t="s">
        <v>3120</v>
      </c>
      <c r="J1411" s="6" t="s">
        <v>5588</v>
      </c>
      <c r="K1411" s="6"/>
      <c r="L1411" s="6" t="s">
        <v>2572</v>
      </c>
      <c r="M1411" s="6" t="s">
        <v>8631</v>
      </c>
      <c r="N1411" s="7">
        <f ca="1">RAND()</f>
        <v>0.62507901778256458</v>
      </c>
      <c r="O1411" s="8">
        <v>45219</v>
      </c>
      <c r="P1411" s="8">
        <v>45220</v>
      </c>
      <c r="Q1411" s="8">
        <v>45222</v>
      </c>
      <c r="R1411" s="8">
        <v>45226</v>
      </c>
      <c r="S1411" s="8">
        <v>45233</v>
      </c>
      <c r="T1411" s="8">
        <v>45825</v>
      </c>
      <c r="U1411" s="8"/>
      <c r="V1411" s="10">
        <f>COUNTA(O1411:U1411)</f>
        <v>6</v>
      </c>
      <c r="W1411" s="11">
        <f>_xlfn.IFNA(INDEX(reading[[#This Row],[Memo 01]:[Memo 07]],MATCH(0,reading[[#This Row],[Memo 01]:[Memo 07]],-1)),"")</f>
        <v>45825</v>
      </c>
      <c r="X1411" s="11">
        <f ca="1">IFERROR(reading[[#This Row],[Previous]]+OFFSET(reading[[#Headers],[Memo 01]],-1,MATCH(0,reading[[#This Row],[Memo 01]:[Memo 07]],-1)-1),"")</f>
        <v>45845</v>
      </c>
      <c r="Y1411" s="10" t="str">
        <f ca="1">IF(reading[[#This Row],[Next]]&lt;&gt;"",IF(reading[[#This Row],[Next]]&gt;TODAY(),"OK",""),"")</f>
        <v>OK</v>
      </c>
      <c r="Z1411" s="13">
        <v>3</v>
      </c>
      <c r="AA1411" s="13">
        <v>3</v>
      </c>
      <c r="AB1411" s="13">
        <v>3</v>
      </c>
      <c r="AC1411" s="13">
        <v>3</v>
      </c>
      <c r="AD1411" s="13">
        <v>3</v>
      </c>
      <c r="AE1411" s="13">
        <v>2</v>
      </c>
      <c r="AF1411" s="13"/>
      <c r="AG1411" s="16">
        <f>IFERROR(SUMIF(reading[[#This Row],[1st]:[7th]],"&gt;0")/COUNTIF(reading[[#This Row],[1st]:[7th]],"&gt;0"),"")</f>
        <v>2.8333333333333335</v>
      </c>
    </row>
    <row r="1412" spans="1:33" hidden="1" x14ac:dyDescent="0.2">
      <c r="A1412" s="4">
        <f>IF(B1412=1,3,IF(D1412=1,2,IF(F1412=1,1,0)))</f>
        <v>0</v>
      </c>
      <c r="B1412" s="4" t="str">
        <f>IF(C1412=$L1412,1,IF(C1412="","",0))</f>
        <v/>
      </c>
      <c r="C1412" s="42"/>
      <c r="D1412" s="4" t="str">
        <f>IF(E1412=$L1412,1,IF(E1412="","",0))</f>
        <v/>
      </c>
      <c r="E1412" s="18"/>
      <c r="F1412" s="4" t="str">
        <f>IF(G1412=$L1412,1,IF(G1412="","",0))</f>
        <v/>
      </c>
      <c r="G1412" s="14"/>
      <c r="H1412" s="6">
        <v>2496</v>
      </c>
      <c r="I1412" s="15" t="s">
        <v>3120</v>
      </c>
      <c r="J1412" s="6" t="s">
        <v>5563</v>
      </c>
      <c r="K1412" s="6"/>
      <c r="L1412" s="6" t="s">
        <v>2542</v>
      </c>
      <c r="M1412" s="6" t="s">
        <v>8601</v>
      </c>
      <c r="N1412" s="7">
        <f ca="1">RAND()</f>
        <v>0.30696223538595713</v>
      </c>
      <c r="O1412" s="8">
        <v>45218</v>
      </c>
      <c r="P1412" s="8">
        <v>45219</v>
      </c>
      <c r="Q1412" s="8">
        <v>45221</v>
      </c>
      <c r="R1412" s="8">
        <v>45225</v>
      </c>
      <c r="S1412" s="8">
        <v>45232</v>
      </c>
      <c r="T1412" s="8">
        <v>45824</v>
      </c>
      <c r="U1412" s="8"/>
      <c r="V1412" s="10">
        <f>COUNTA(O1412:U1412)</f>
        <v>6</v>
      </c>
      <c r="W1412" s="11">
        <f>_xlfn.IFNA(INDEX(reading[[#This Row],[Memo 01]:[Memo 07]],MATCH(0,reading[[#This Row],[Memo 01]:[Memo 07]],-1)),"")</f>
        <v>45824</v>
      </c>
      <c r="X1412" s="11">
        <f ca="1">IFERROR(reading[[#This Row],[Previous]]+OFFSET(reading[[#Headers],[Memo 01]],-1,MATCH(0,reading[[#This Row],[Memo 01]:[Memo 07]],-1)-1),"")</f>
        <v>45844</v>
      </c>
      <c r="Y1412" s="10" t="str">
        <f ca="1">IF(reading[[#This Row],[Next]]&lt;&gt;"",IF(reading[[#This Row],[Next]]&gt;TODAY(),"OK",""),"")</f>
        <v>OK</v>
      </c>
      <c r="Z1412" s="13">
        <v>3</v>
      </c>
      <c r="AA1412" s="13">
        <v>3</v>
      </c>
      <c r="AB1412" s="13">
        <v>3</v>
      </c>
      <c r="AC1412" s="13">
        <v>2</v>
      </c>
      <c r="AD1412" s="13">
        <v>3</v>
      </c>
      <c r="AE1412" s="13">
        <v>3</v>
      </c>
      <c r="AF1412" s="13"/>
      <c r="AG1412" s="16">
        <f>IFERROR(SUMIF(reading[[#This Row],[1st]:[7th]],"&gt;0")/COUNTIF(reading[[#This Row],[1st]:[7th]],"&gt;0"),"")</f>
        <v>2.8333333333333335</v>
      </c>
    </row>
    <row r="1413" spans="1:33" hidden="1" x14ac:dyDescent="0.2">
      <c r="A1413" s="4">
        <f>IF(B1413=1,3,IF(D1413=1,2,IF(F1413=1,1,0)))</f>
        <v>3</v>
      </c>
      <c r="B1413" s="4">
        <f>IF(C1413=$L1413,1,IF(C1413="","",0))</f>
        <v>1</v>
      </c>
      <c r="C1413" s="29" t="s">
        <v>3145</v>
      </c>
      <c r="D1413" s="4" t="str">
        <f>IF(E1413=$L1413,1,IF(E1413="","",0))</f>
        <v/>
      </c>
      <c r="E1413" s="14"/>
      <c r="F1413" s="4" t="str">
        <f>IF(G1413=$L1413,1,IF(G1413="","",0))</f>
        <v/>
      </c>
      <c r="G1413" s="14"/>
      <c r="H1413" s="6">
        <v>1417</v>
      </c>
      <c r="I1413" s="15" t="s">
        <v>3120</v>
      </c>
      <c r="J1413" s="6" t="s">
        <v>4531</v>
      </c>
      <c r="K1413" s="6"/>
      <c r="L1413" s="6" t="s">
        <v>1508</v>
      </c>
      <c r="M1413" s="6" t="s">
        <v>7524</v>
      </c>
      <c r="N1413" s="7">
        <f ca="1">RAND()</f>
        <v>0.29677141303980981</v>
      </c>
      <c r="O1413" s="8">
        <v>45208</v>
      </c>
      <c r="P1413" s="8">
        <v>45208</v>
      </c>
      <c r="Q1413" s="8">
        <v>45208</v>
      </c>
      <c r="R1413" s="8">
        <v>45208</v>
      </c>
      <c r="S1413" s="8">
        <v>45208</v>
      </c>
      <c r="T1413" s="8">
        <v>45208</v>
      </c>
      <c r="U1413" s="8">
        <v>45208</v>
      </c>
      <c r="V1413" s="10">
        <f>COUNTA(O1413:U1413)</f>
        <v>7</v>
      </c>
      <c r="W1413" s="11">
        <f>_xlfn.IFNA(INDEX(reading[[#This Row],[Memo 01]:[Memo 07]],MATCH(0,reading[[#This Row],[Memo 01]:[Memo 07]],-1)),"")</f>
        <v>45208</v>
      </c>
      <c r="X1413" s="11">
        <f ca="1">IFERROR(reading[[#This Row],[Previous]]+OFFSET(reading[[#Headers],[Memo 01]],-1,MATCH(0,reading[[#This Row],[Memo 01]:[Memo 07]],-1)-1),"")</f>
        <v>55208</v>
      </c>
      <c r="Y1413" s="10" t="str">
        <f ca="1">IF(reading[[#This Row],[Next]]&lt;&gt;"",IF(reading[[#This Row],[Next]]&gt;TODAY(),"OK",""),"")</f>
        <v>OK</v>
      </c>
      <c r="Z1413" s="13">
        <v>3</v>
      </c>
      <c r="AA1413" s="13"/>
      <c r="AB1413" s="13"/>
      <c r="AC1413" s="13"/>
      <c r="AD1413" s="13"/>
      <c r="AE1413" s="13"/>
      <c r="AF1413" s="13"/>
      <c r="AG1413" s="16">
        <f>IFERROR(SUMIF(reading[[#This Row],[1st]:[7th]],"&gt;0")/COUNTIF(reading[[#This Row],[1st]:[7th]],"&gt;0"),"")</f>
        <v>3</v>
      </c>
    </row>
    <row r="1414" spans="1:33" hidden="1" x14ac:dyDescent="0.2">
      <c r="A1414" s="4">
        <f>IF(B1414=1,3,IF(D1414=1,2,IF(F1414=1,1,0)))</f>
        <v>3</v>
      </c>
      <c r="B1414" s="4">
        <f>IF(C1414=$L1414,1,IF(C1414="","",0))</f>
        <v>1</v>
      </c>
      <c r="C1414" s="29" t="s">
        <v>3141</v>
      </c>
      <c r="D1414" s="4" t="str">
        <f>IF(E1414=$L1414,1,IF(E1414="","",0))</f>
        <v/>
      </c>
      <c r="E1414" s="14"/>
      <c r="F1414" s="4" t="str">
        <f>IF(G1414=$L1414,1,IF(G1414="","",0))</f>
        <v/>
      </c>
      <c r="G1414" s="14"/>
      <c r="H1414" s="6">
        <v>1418</v>
      </c>
      <c r="I1414" s="15" t="s">
        <v>3120</v>
      </c>
      <c r="J1414" s="6" t="s">
        <v>4532</v>
      </c>
      <c r="K1414" s="6"/>
      <c r="L1414" s="6" t="s">
        <v>1509</v>
      </c>
      <c r="M1414" s="6" t="s">
        <v>7525</v>
      </c>
      <c r="N1414" s="7">
        <f ca="1">RAND()</f>
        <v>1.7906078568709072E-2</v>
      </c>
      <c r="O1414" s="8">
        <v>45208</v>
      </c>
      <c r="P1414" s="8">
        <v>45208</v>
      </c>
      <c r="Q1414" s="8">
        <v>45208</v>
      </c>
      <c r="R1414" s="8">
        <v>45208</v>
      </c>
      <c r="S1414" s="8">
        <v>45208</v>
      </c>
      <c r="T1414" s="8">
        <v>45208</v>
      </c>
      <c r="U1414" s="8">
        <v>45208</v>
      </c>
      <c r="V1414" s="10">
        <f>COUNTA(O1414:U1414)</f>
        <v>7</v>
      </c>
      <c r="W1414" s="11">
        <f>_xlfn.IFNA(INDEX(reading[[#This Row],[Memo 01]:[Memo 07]],MATCH(0,reading[[#This Row],[Memo 01]:[Memo 07]],-1)),"")</f>
        <v>45208</v>
      </c>
      <c r="X1414" s="11">
        <f ca="1">IFERROR(reading[[#This Row],[Previous]]+OFFSET(reading[[#Headers],[Memo 01]],-1,MATCH(0,reading[[#This Row],[Memo 01]:[Memo 07]],-1)-1),"")</f>
        <v>55208</v>
      </c>
      <c r="Y1414" s="10" t="str">
        <f ca="1">IF(reading[[#This Row],[Next]]&lt;&gt;"",IF(reading[[#This Row],[Next]]&gt;TODAY(),"OK",""),"")</f>
        <v>OK</v>
      </c>
      <c r="Z1414" s="13">
        <v>3</v>
      </c>
      <c r="AA1414" s="13"/>
      <c r="AB1414" s="13"/>
      <c r="AC1414" s="13"/>
      <c r="AD1414" s="13"/>
      <c r="AE1414" s="13"/>
      <c r="AF1414" s="13"/>
      <c r="AG1414" s="16">
        <f>IFERROR(SUMIF(reading[[#This Row],[1st]:[7th]],"&gt;0")/COUNTIF(reading[[#This Row],[1st]:[7th]],"&gt;0"),"")</f>
        <v>3</v>
      </c>
    </row>
    <row r="1415" spans="1:33" hidden="1" x14ac:dyDescent="0.2">
      <c r="A1415" s="4">
        <f>IF(B1415=1,3,IF(D1415=1,2,IF(F1415=1,1,0)))</f>
        <v>0</v>
      </c>
      <c r="B1415" s="4" t="str">
        <f>IF(C1415=$L1415,1,IF(C1415="","",0))</f>
        <v/>
      </c>
      <c r="C1415" s="42"/>
      <c r="D1415" s="4" t="str">
        <f>IF(E1415=$L1415,1,IF(E1415="","",0))</f>
        <v/>
      </c>
      <c r="E1415" s="23"/>
      <c r="F1415" s="4" t="str">
        <f>IF(G1415=$L1415,1,IF(G1415="","",0))</f>
        <v/>
      </c>
      <c r="G1415" s="14"/>
      <c r="H1415" s="6">
        <v>2375</v>
      </c>
      <c r="I1415" s="15" t="s">
        <v>3120</v>
      </c>
      <c r="J1415" s="6" t="s">
        <v>5200</v>
      </c>
      <c r="K1415" s="6"/>
      <c r="L1415" s="6" t="s">
        <v>2427</v>
      </c>
      <c r="M1415" s="6" t="s">
        <v>8480</v>
      </c>
      <c r="N1415" s="7">
        <f ca="1">RAND()</f>
        <v>0.57465235999728725</v>
      </c>
      <c r="O1415" s="8">
        <v>45216</v>
      </c>
      <c r="P1415" s="8">
        <v>45217</v>
      </c>
      <c r="Q1415" s="8">
        <v>45219</v>
      </c>
      <c r="R1415" s="8">
        <v>45223</v>
      </c>
      <c r="S1415" s="8">
        <v>45230</v>
      </c>
      <c r="T1415" s="8">
        <v>45816</v>
      </c>
      <c r="U1415" s="8"/>
      <c r="V1415" s="10">
        <f>COUNTA(O1415:U1415)</f>
        <v>6</v>
      </c>
      <c r="W1415" s="11">
        <f>_xlfn.IFNA(INDEX(reading[[#This Row],[Memo 01]:[Memo 07]],MATCH(0,reading[[#This Row],[Memo 01]:[Memo 07]],-1)),"")</f>
        <v>45816</v>
      </c>
      <c r="X1415" s="11">
        <f ca="1">IFERROR(reading[[#This Row],[Previous]]+OFFSET(reading[[#Headers],[Memo 01]],-1,MATCH(0,reading[[#This Row],[Memo 01]:[Memo 07]],-1)-1),"")</f>
        <v>45836</v>
      </c>
      <c r="Y1415" s="10" t="str">
        <f ca="1">IF(reading[[#This Row],[Next]]&lt;&gt;"",IF(reading[[#This Row],[Next]]&gt;TODAY(),"OK",""),"")</f>
        <v>OK</v>
      </c>
      <c r="Z1415" s="13">
        <v>3</v>
      </c>
      <c r="AA1415" s="13">
        <v>3</v>
      </c>
      <c r="AB1415" s="13">
        <v>3</v>
      </c>
      <c r="AC1415" s="13">
        <v>3</v>
      </c>
      <c r="AD1415" s="13">
        <v>3</v>
      </c>
      <c r="AE1415" s="13">
        <v>2</v>
      </c>
      <c r="AF1415" s="13"/>
      <c r="AG1415" s="16">
        <f>IFERROR(SUMIF(reading[[#This Row],[1st]:[7th]],"&gt;0")/COUNTIF(reading[[#This Row],[1st]:[7th]],"&gt;0"),"")</f>
        <v>2.8333333333333335</v>
      </c>
    </row>
    <row r="1416" spans="1:33" hidden="1" x14ac:dyDescent="0.2">
      <c r="A1416" s="4">
        <f>IF(B1416=1,3,IF(D1416=1,2,IF(F1416=1,1,0)))</f>
        <v>0</v>
      </c>
      <c r="B1416" s="4" t="str">
        <f>IF(C1416=$L1416,1,IF(C1416="","",0))</f>
        <v/>
      </c>
      <c r="C1416" s="42"/>
      <c r="D1416" s="4" t="str">
        <f>IF(E1416=$L1416,1,IF(E1416="","",0))</f>
        <v/>
      </c>
      <c r="E1416" s="14"/>
      <c r="F1416" s="4" t="str">
        <f>IF(G1416=$L1416,1,IF(G1416="","",0))</f>
        <v/>
      </c>
      <c r="G1416" s="14"/>
      <c r="H1416" s="6">
        <v>2198</v>
      </c>
      <c r="I1416" s="15" t="s">
        <v>3120</v>
      </c>
      <c r="J1416" s="6" t="s">
        <v>5284</v>
      </c>
      <c r="K1416" s="6"/>
      <c r="L1416" s="6" t="s">
        <v>2261</v>
      </c>
      <c r="M1416" s="6" t="s">
        <v>8304</v>
      </c>
      <c r="N1416" s="7">
        <f ca="1">RAND()</f>
        <v>0.25785261278702332</v>
      </c>
      <c r="O1416" s="8">
        <v>45215</v>
      </c>
      <c r="P1416" s="8">
        <v>45216</v>
      </c>
      <c r="Q1416" s="8">
        <v>45218</v>
      </c>
      <c r="R1416" s="8">
        <v>45222</v>
      </c>
      <c r="S1416" s="8">
        <v>45229</v>
      </c>
      <c r="T1416" s="8">
        <v>45824</v>
      </c>
      <c r="U1416" s="8"/>
      <c r="V1416" s="10">
        <f>COUNTA(O1416:U1416)</f>
        <v>6</v>
      </c>
      <c r="W1416" s="11">
        <f>_xlfn.IFNA(INDEX(reading[[#This Row],[Memo 01]:[Memo 07]],MATCH(0,reading[[#This Row],[Memo 01]:[Memo 07]],-1)),"")</f>
        <v>45824</v>
      </c>
      <c r="X1416" s="11">
        <f ca="1">IFERROR(reading[[#This Row],[Previous]]+OFFSET(reading[[#Headers],[Memo 01]],-1,MATCH(0,reading[[#This Row],[Memo 01]:[Memo 07]],-1)-1),"")</f>
        <v>45844</v>
      </c>
      <c r="Y1416" s="10" t="str">
        <f ca="1">IF(reading[[#This Row],[Next]]&lt;&gt;"",IF(reading[[#This Row],[Next]]&gt;TODAY(),"OK",""),"")</f>
        <v>OK</v>
      </c>
      <c r="Z1416" s="13">
        <v>3</v>
      </c>
      <c r="AA1416" s="13">
        <v>3</v>
      </c>
      <c r="AB1416" s="13">
        <v>3</v>
      </c>
      <c r="AC1416" s="13">
        <v>3</v>
      </c>
      <c r="AD1416" s="13">
        <v>3</v>
      </c>
      <c r="AE1416" s="13">
        <v>3</v>
      </c>
      <c r="AF1416" s="13"/>
      <c r="AG1416" s="16">
        <f>IFERROR(SUMIF(reading[[#This Row],[1st]:[7th]],"&gt;0")/COUNTIF(reading[[#This Row],[1st]:[7th]],"&gt;0"),"")</f>
        <v>3</v>
      </c>
    </row>
    <row r="1417" spans="1:33" hidden="1" x14ac:dyDescent="0.2">
      <c r="A1417" s="4">
        <f>IF(B1417=1,3,IF(D1417=1,2,IF(F1417=1,1,0)))</f>
        <v>0</v>
      </c>
      <c r="B1417" s="4" t="str">
        <f>IF(C1417=$L1417,1,IF(C1417="","",0))</f>
        <v/>
      </c>
      <c r="C1417" s="42"/>
      <c r="D1417" s="4" t="str">
        <f>IF(E1417=$L1417,1,IF(E1417="","",0))</f>
        <v/>
      </c>
      <c r="E1417" s="14"/>
      <c r="F1417" s="4" t="str">
        <f>IF(G1417=$L1417,1,IF(G1417="","",0))</f>
        <v/>
      </c>
      <c r="G1417" s="14"/>
      <c r="H1417" s="6">
        <v>626</v>
      </c>
      <c r="I1417" s="15" t="s">
        <v>3120</v>
      </c>
      <c r="J1417" s="6" t="s">
        <v>3768</v>
      </c>
      <c r="K1417" s="6"/>
      <c r="L1417" s="6" t="s">
        <v>749</v>
      </c>
      <c r="M1417" s="6" t="s">
        <v>6735</v>
      </c>
      <c r="N1417" s="7">
        <f ca="1">RAND()</f>
        <v>0.86757379625227693</v>
      </c>
      <c r="O1417" s="8">
        <v>45202</v>
      </c>
      <c r="P1417" s="8">
        <v>45203</v>
      </c>
      <c r="Q1417" s="8">
        <v>45205</v>
      </c>
      <c r="R1417" s="8">
        <v>45209</v>
      </c>
      <c r="S1417" s="8">
        <v>45216</v>
      </c>
      <c r="T1417" s="8">
        <v>45228</v>
      </c>
      <c r="U1417" s="8">
        <v>45824</v>
      </c>
      <c r="V1417" s="10">
        <f>COUNTA(O1417:U1417)</f>
        <v>7</v>
      </c>
      <c r="W1417" s="11">
        <f>_xlfn.IFNA(INDEX(reading[[#This Row],[Memo 01]:[Memo 07]],MATCH(0,reading[[#This Row],[Memo 01]:[Memo 07]],-1)),"")</f>
        <v>45824</v>
      </c>
      <c r="X1417" s="11">
        <f ca="1">IFERROR(reading[[#This Row],[Previous]]+OFFSET(reading[[#Headers],[Memo 01]],-1,MATCH(0,reading[[#This Row],[Memo 01]:[Memo 07]],-1)-1),"")</f>
        <v>55824</v>
      </c>
      <c r="Y1417" s="10" t="str">
        <f ca="1">IF(reading[[#This Row],[Next]]&lt;&gt;"",IF(reading[[#This Row],[Next]]&gt;TODAY(),"OK",""),"")</f>
        <v>OK</v>
      </c>
      <c r="Z1417" s="13">
        <v>3</v>
      </c>
      <c r="AA1417" s="13">
        <v>3</v>
      </c>
      <c r="AB1417" s="13">
        <v>3</v>
      </c>
      <c r="AC1417" s="13">
        <v>3</v>
      </c>
      <c r="AD1417" s="13">
        <v>3</v>
      </c>
      <c r="AE1417" s="13">
        <v>3</v>
      </c>
      <c r="AF1417" s="13">
        <v>3</v>
      </c>
      <c r="AG1417" s="16">
        <f>IFERROR(SUMIF(reading[[#This Row],[1st]:[7th]],"&gt;0")/COUNTIF(reading[[#This Row],[1st]:[7th]],"&gt;0"),"")</f>
        <v>3</v>
      </c>
    </row>
    <row r="1418" spans="1:33" hidden="1" x14ac:dyDescent="0.2">
      <c r="A1418" s="4">
        <f>IF(B1418=1,3,IF(D1418=1,2,IF(F1418=1,1,0)))</f>
        <v>0</v>
      </c>
      <c r="B1418" s="4" t="str">
        <f>IF(C1418=$L1418,1,IF(C1418="","",0))</f>
        <v/>
      </c>
      <c r="C1418" s="42"/>
      <c r="D1418" s="4" t="str">
        <f>IF(E1418=$L1418,1,IF(E1418="","",0))</f>
        <v/>
      </c>
      <c r="E1418" s="43"/>
      <c r="F1418" s="4" t="str">
        <f>IF(G1418=$L1418,1,IF(G1418="","",0))</f>
        <v/>
      </c>
      <c r="G1418" s="14"/>
      <c r="H1418" s="6">
        <v>1565</v>
      </c>
      <c r="I1418" s="15" t="s">
        <v>3120</v>
      </c>
      <c r="J1418" s="6" t="s">
        <v>4678</v>
      </c>
      <c r="K1418" s="6"/>
      <c r="L1418" s="6" t="s">
        <v>1650</v>
      </c>
      <c r="M1418" s="6" t="s">
        <v>7671</v>
      </c>
      <c r="N1418" s="7">
        <f ca="1">RAND()</f>
        <v>0.53789754520072575</v>
      </c>
      <c r="O1418" s="8">
        <v>45209</v>
      </c>
      <c r="P1418" s="8">
        <v>45210</v>
      </c>
      <c r="Q1418" s="8">
        <v>45212</v>
      </c>
      <c r="R1418" s="8">
        <v>45216</v>
      </c>
      <c r="S1418" s="8">
        <v>45223</v>
      </c>
      <c r="T1418" s="8">
        <v>45235</v>
      </c>
      <c r="U1418" s="8">
        <v>45824</v>
      </c>
      <c r="V1418" s="10">
        <f>COUNTA(O1418:U1418)</f>
        <v>7</v>
      </c>
      <c r="W1418" s="11">
        <f>_xlfn.IFNA(INDEX(reading[[#This Row],[Memo 01]:[Memo 07]],MATCH(0,reading[[#This Row],[Memo 01]:[Memo 07]],-1)),"")</f>
        <v>45824</v>
      </c>
      <c r="X1418" s="11">
        <f ca="1">IFERROR(reading[[#This Row],[Previous]]+OFFSET(reading[[#Headers],[Memo 01]],-1,MATCH(0,reading[[#This Row],[Memo 01]:[Memo 07]],-1)-1),"")</f>
        <v>55824</v>
      </c>
      <c r="Y1418" s="10" t="str">
        <f ca="1">IF(reading[[#This Row],[Next]]&lt;&gt;"",IF(reading[[#This Row],[Next]]&gt;TODAY(),"OK",""),"")</f>
        <v>OK</v>
      </c>
      <c r="Z1418" s="13">
        <v>3</v>
      </c>
      <c r="AA1418" s="13">
        <v>3</v>
      </c>
      <c r="AB1418" s="13">
        <v>3</v>
      </c>
      <c r="AC1418" s="13">
        <v>2</v>
      </c>
      <c r="AD1418" s="13">
        <v>3</v>
      </c>
      <c r="AE1418" s="13">
        <v>3</v>
      </c>
      <c r="AF1418" s="13">
        <v>2</v>
      </c>
      <c r="AG1418" s="16">
        <f>IFERROR(SUMIF(reading[[#This Row],[1st]:[7th]],"&gt;0")/COUNTIF(reading[[#This Row],[1st]:[7th]],"&gt;0"),"")</f>
        <v>2.7142857142857144</v>
      </c>
    </row>
    <row r="1419" spans="1:33" hidden="1" x14ac:dyDescent="0.2">
      <c r="A1419" s="4">
        <f>IF(B1419=1,3,IF(D1419=1,2,IF(F1419=1,1,0)))</f>
        <v>0</v>
      </c>
      <c r="B1419" s="4" t="str">
        <f>IF(C1419=$L1419,1,IF(C1419="","",0))</f>
        <v/>
      </c>
      <c r="C1419" s="42"/>
      <c r="D1419" s="4" t="str">
        <f>IF(E1419=$L1419,1,IF(E1419="","",0))</f>
        <v/>
      </c>
      <c r="E1419" s="23"/>
      <c r="F1419" s="4" t="str">
        <f>IF(G1419=$L1419,1,IF(G1419="","",0))</f>
        <v/>
      </c>
      <c r="G1419" s="23"/>
      <c r="H1419" s="6">
        <v>1265</v>
      </c>
      <c r="I1419" s="15" t="s">
        <v>3120</v>
      </c>
      <c r="J1419" s="6" t="s">
        <v>4382</v>
      </c>
      <c r="K1419" s="6"/>
      <c r="L1419" s="6" t="s">
        <v>1363</v>
      </c>
      <c r="M1419" s="6" t="s">
        <v>7372</v>
      </c>
      <c r="N1419" s="7">
        <f ca="1">RAND()</f>
        <v>0.76099725922650963</v>
      </c>
      <c r="O1419" s="8">
        <v>45207</v>
      </c>
      <c r="P1419" s="8">
        <v>45208</v>
      </c>
      <c r="Q1419" s="8">
        <v>45210</v>
      </c>
      <c r="R1419" s="8">
        <v>45214</v>
      </c>
      <c r="S1419" s="8">
        <v>45221</v>
      </c>
      <c r="T1419" s="8">
        <v>45233</v>
      </c>
      <c r="U1419" s="8">
        <v>45817</v>
      </c>
      <c r="V1419" s="10">
        <f>COUNTA(O1419:U1419)</f>
        <v>7</v>
      </c>
      <c r="W1419" s="11">
        <f>_xlfn.IFNA(INDEX(reading[[#This Row],[Memo 01]:[Memo 07]],MATCH(0,reading[[#This Row],[Memo 01]:[Memo 07]],-1)),"")</f>
        <v>45817</v>
      </c>
      <c r="X1419" s="11">
        <f ca="1">IFERROR(reading[[#This Row],[Previous]]+OFFSET(reading[[#Headers],[Memo 01]],-1,MATCH(0,reading[[#This Row],[Memo 01]:[Memo 07]],-1)-1),"")</f>
        <v>55817</v>
      </c>
      <c r="Y1419" s="10" t="str">
        <f ca="1">IF(reading[[#This Row],[Next]]&lt;&gt;"",IF(reading[[#This Row],[Next]]&gt;TODAY(),"OK",""),"")</f>
        <v>OK</v>
      </c>
      <c r="Z1419" s="13">
        <v>3</v>
      </c>
      <c r="AA1419" s="13">
        <v>3</v>
      </c>
      <c r="AB1419" s="13">
        <v>3</v>
      </c>
      <c r="AC1419" s="13">
        <v>3</v>
      </c>
      <c r="AD1419" s="13">
        <v>3</v>
      </c>
      <c r="AE1419" s="13">
        <v>3</v>
      </c>
      <c r="AF1419" s="13">
        <v>1</v>
      </c>
      <c r="AG1419" s="16">
        <f>IFERROR(SUMIF(reading[[#This Row],[1st]:[7th]],"&gt;0")/COUNTIF(reading[[#This Row],[1st]:[7th]],"&gt;0"),"")</f>
        <v>2.7142857142857144</v>
      </c>
    </row>
    <row r="1420" spans="1:33" hidden="1" x14ac:dyDescent="0.2">
      <c r="A1420" s="4">
        <f>IF(B1420=1,3,IF(D1420=1,2,IF(F1420=1,1,0)))</f>
        <v>0</v>
      </c>
      <c r="B1420" s="4" t="str">
        <f>IF(C1420=$L1420,1,IF(C1420="","",0))</f>
        <v/>
      </c>
      <c r="C1420" s="42"/>
      <c r="D1420" s="4" t="str">
        <f>IF(E1420=$L1420,1,IF(E1420="","",0))</f>
        <v/>
      </c>
      <c r="E1420" s="14"/>
      <c r="F1420" s="4" t="str">
        <f>IF(G1420=$L1420,1,IF(G1420="","",0))</f>
        <v/>
      </c>
      <c r="G1420" s="14"/>
      <c r="H1420" s="6">
        <v>2003</v>
      </c>
      <c r="I1420" s="15" t="s">
        <v>3120</v>
      </c>
      <c r="J1420" s="6" t="s">
        <v>5101</v>
      </c>
      <c r="K1420" s="6"/>
      <c r="L1420" s="6" t="s">
        <v>2078</v>
      </c>
      <c r="M1420" s="6" t="s">
        <v>8109</v>
      </c>
      <c r="N1420" s="7">
        <f ca="1">RAND()</f>
        <v>0.56128991753008883</v>
      </c>
      <c r="O1420" s="8">
        <v>45213</v>
      </c>
      <c r="P1420" s="8">
        <v>45214</v>
      </c>
      <c r="Q1420" s="8">
        <v>45216</v>
      </c>
      <c r="R1420" s="8">
        <v>45220</v>
      </c>
      <c r="S1420" s="8">
        <v>45227</v>
      </c>
      <c r="T1420" s="8">
        <v>45783</v>
      </c>
      <c r="U1420" s="8">
        <v>45823</v>
      </c>
      <c r="V1420" s="10">
        <f>COUNTA(O1420:U1420)</f>
        <v>7</v>
      </c>
      <c r="W1420" s="11">
        <f>_xlfn.IFNA(INDEX(reading[[#This Row],[Memo 01]:[Memo 07]],MATCH(0,reading[[#This Row],[Memo 01]:[Memo 07]],-1)),"")</f>
        <v>45823</v>
      </c>
      <c r="X1420" s="11">
        <f ca="1">IFERROR(reading[[#This Row],[Previous]]+OFFSET(reading[[#Headers],[Memo 01]],-1,MATCH(0,reading[[#This Row],[Memo 01]:[Memo 07]],-1)-1),"")</f>
        <v>55823</v>
      </c>
      <c r="Y1420" s="10" t="str">
        <f ca="1">IF(reading[[#This Row],[Next]]&lt;&gt;"",IF(reading[[#This Row],[Next]]&gt;TODAY(),"OK",""),"")</f>
        <v>OK</v>
      </c>
      <c r="Z1420" s="13">
        <v>3</v>
      </c>
      <c r="AA1420" s="13">
        <v>3</v>
      </c>
      <c r="AB1420" s="13">
        <v>3</v>
      </c>
      <c r="AC1420" s="13">
        <v>3</v>
      </c>
      <c r="AD1420" s="13">
        <v>3</v>
      </c>
      <c r="AE1420" s="13">
        <v>3</v>
      </c>
      <c r="AF1420" s="13">
        <v>3</v>
      </c>
      <c r="AG1420" s="16">
        <f>IFERROR(SUMIF(reading[[#This Row],[1st]:[7th]],"&gt;0")/COUNTIF(reading[[#This Row],[1st]:[7th]],"&gt;0"),"")</f>
        <v>3</v>
      </c>
    </row>
    <row r="1421" spans="1:33" hidden="1" x14ac:dyDescent="0.2">
      <c r="A1421" s="4">
        <f>IF(B1421=1,3,IF(D1421=1,2,IF(F1421=1,1,0)))</f>
        <v>0</v>
      </c>
      <c r="B1421" s="4" t="str">
        <f>IF(C1421=$L1421,1,IF(C1421="","",0))</f>
        <v/>
      </c>
      <c r="C1421" s="42"/>
      <c r="D1421" s="4" t="str">
        <f>IF(E1421=$L1421,1,IF(E1421="","",0))</f>
        <v/>
      </c>
      <c r="E1421" s="14"/>
      <c r="F1421" s="4" t="str">
        <f>IF(G1421=$L1421,1,IF(G1421="","",0))</f>
        <v/>
      </c>
      <c r="G1421" s="14"/>
      <c r="H1421" s="6">
        <v>415</v>
      </c>
      <c r="I1421" s="15" t="s">
        <v>3120</v>
      </c>
      <c r="J1421" s="6" t="s">
        <v>3561</v>
      </c>
      <c r="K1421" s="6"/>
      <c r="L1421" s="6" t="s">
        <v>545</v>
      </c>
      <c r="M1421" s="6" t="s">
        <v>6524</v>
      </c>
      <c r="N1421" s="7">
        <f ca="1">RAND()</f>
        <v>0.76282350989774139</v>
      </c>
      <c r="O1421" s="8">
        <v>45201</v>
      </c>
      <c r="P1421" s="8">
        <v>45202</v>
      </c>
      <c r="Q1421" s="8">
        <v>45204</v>
      </c>
      <c r="R1421" s="8">
        <v>45208</v>
      </c>
      <c r="S1421" s="8">
        <v>45215</v>
      </c>
      <c r="T1421" s="8">
        <v>45227</v>
      </c>
      <c r="U1421" s="8">
        <v>45823</v>
      </c>
      <c r="V1421" s="10">
        <f>COUNTA(O1421:U1421)</f>
        <v>7</v>
      </c>
      <c r="W1421" s="11">
        <f>_xlfn.IFNA(INDEX(reading[[#This Row],[Memo 01]:[Memo 07]],MATCH(0,reading[[#This Row],[Memo 01]:[Memo 07]],-1)),"")</f>
        <v>45823</v>
      </c>
      <c r="X1421" s="11">
        <f ca="1">IFERROR(reading[[#This Row],[Previous]]+OFFSET(reading[[#Headers],[Memo 01]],-1,MATCH(0,reading[[#This Row],[Memo 01]:[Memo 07]],-1)-1),"")</f>
        <v>55823</v>
      </c>
      <c r="Y1421" s="10" t="str">
        <f ca="1">IF(reading[[#This Row],[Next]]&lt;&gt;"",IF(reading[[#This Row],[Next]]&gt;TODAY(),"OK",""),"")</f>
        <v>OK</v>
      </c>
      <c r="Z1421" s="13">
        <v>3</v>
      </c>
      <c r="AA1421" s="13">
        <v>3</v>
      </c>
      <c r="AB1421" s="13">
        <v>3</v>
      </c>
      <c r="AC1421" s="13">
        <v>3</v>
      </c>
      <c r="AD1421" s="13">
        <v>3</v>
      </c>
      <c r="AE1421" s="13">
        <v>3</v>
      </c>
      <c r="AF1421" s="13">
        <v>3</v>
      </c>
      <c r="AG1421" s="16">
        <f>IFERROR(SUMIF(reading[[#This Row],[1st]:[7th]],"&gt;0")/COUNTIF(reading[[#This Row],[1st]:[7th]],"&gt;0"),"")</f>
        <v>3</v>
      </c>
    </row>
    <row r="1422" spans="1:33" hidden="1" x14ac:dyDescent="0.2">
      <c r="A1422" s="4">
        <f>IF(B1422=1,3,IF(D1422=1,2,IF(F1422=1,1,0)))</f>
        <v>0</v>
      </c>
      <c r="B1422" s="4" t="str">
        <f>IF(C1422=$L1422,1,IF(C1422="","",0))</f>
        <v/>
      </c>
      <c r="C1422" s="42"/>
      <c r="D1422" s="4" t="str">
        <f>IF(E1422=$L1422,1,IF(E1422="","",0))</f>
        <v/>
      </c>
      <c r="E1422" s="18"/>
      <c r="F1422" s="4" t="str">
        <f>IF(G1422=$L1422,1,IF(G1422="","",0))</f>
        <v/>
      </c>
      <c r="G1422" s="14"/>
      <c r="H1422" s="6">
        <v>1501</v>
      </c>
      <c r="I1422" s="15" t="s">
        <v>3120</v>
      </c>
      <c r="J1422" s="6" t="s">
        <v>4615</v>
      </c>
      <c r="K1422" s="6"/>
      <c r="L1422" s="6" t="s">
        <v>100</v>
      </c>
      <c r="M1422" s="6" t="s">
        <v>7608</v>
      </c>
      <c r="N1422" s="7">
        <f ca="1">RAND()</f>
        <v>0.77093018528727519</v>
      </c>
      <c r="O1422" s="8">
        <v>45209</v>
      </c>
      <c r="P1422" s="8">
        <v>45210</v>
      </c>
      <c r="Q1422" s="8">
        <v>45212</v>
      </c>
      <c r="R1422" s="8">
        <v>45216</v>
      </c>
      <c r="S1422" s="8">
        <v>45223</v>
      </c>
      <c r="T1422" s="8">
        <v>45235</v>
      </c>
      <c r="U1422" s="8">
        <v>45823</v>
      </c>
      <c r="V1422" s="10">
        <f>COUNTA(O1422:U1422)</f>
        <v>7</v>
      </c>
      <c r="W1422" s="11">
        <f>_xlfn.IFNA(INDEX(reading[[#This Row],[Memo 01]:[Memo 07]],MATCH(0,reading[[#This Row],[Memo 01]:[Memo 07]],-1)),"")</f>
        <v>45823</v>
      </c>
      <c r="X1422" s="11">
        <f ca="1">IFERROR(reading[[#This Row],[Previous]]+OFFSET(reading[[#Headers],[Memo 01]],-1,MATCH(0,reading[[#This Row],[Memo 01]:[Memo 07]],-1)-1),"")</f>
        <v>55823</v>
      </c>
      <c r="Y1422" s="10" t="str">
        <f ca="1">IF(reading[[#This Row],[Next]]&lt;&gt;"",IF(reading[[#This Row],[Next]]&gt;TODAY(),"OK",""),"")</f>
        <v>OK</v>
      </c>
      <c r="Z1422" s="13">
        <v>3</v>
      </c>
      <c r="AA1422" s="13">
        <v>3</v>
      </c>
      <c r="AB1422" s="13">
        <v>3</v>
      </c>
      <c r="AC1422" s="13">
        <v>3</v>
      </c>
      <c r="AD1422" s="13">
        <v>2</v>
      </c>
      <c r="AE1422" s="13">
        <v>3</v>
      </c>
      <c r="AF1422" s="13">
        <v>3</v>
      </c>
      <c r="AG1422" s="16">
        <f>IFERROR(SUMIF(reading[[#This Row],[1st]:[7th]],"&gt;0")/COUNTIF(reading[[#This Row],[1st]:[7th]],"&gt;0"),"")</f>
        <v>2.8571428571428572</v>
      </c>
    </row>
    <row r="1423" spans="1:33" hidden="1" x14ac:dyDescent="0.2">
      <c r="A1423" s="4">
        <f>IF(B1423=1,3,IF(D1423=1,2,IF(F1423=1,1,0)))</f>
        <v>0</v>
      </c>
      <c r="B1423" s="4" t="str">
        <f>IF(C1423=$L1423,1,IF(C1423="","",0))</f>
        <v/>
      </c>
      <c r="C1423" s="42"/>
      <c r="D1423" s="4" t="str">
        <f>IF(E1423=$L1423,1,IF(E1423="","",0))</f>
        <v/>
      </c>
      <c r="E1423" s="23"/>
      <c r="F1423" s="4" t="str">
        <f>IF(G1423=$L1423,1,IF(G1423="","",0))</f>
        <v/>
      </c>
      <c r="G1423" s="14"/>
      <c r="H1423" s="6">
        <v>1354</v>
      </c>
      <c r="I1423" s="15" t="s">
        <v>3120</v>
      </c>
      <c r="J1423" s="6" t="s">
        <v>4468</v>
      </c>
      <c r="K1423" s="15" t="s">
        <v>3138</v>
      </c>
      <c r="L1423" s="6" t="s">
        <v>1448</v>
      </c>
      <c r="M1423" s="6" t="s">
        <v>7461</v>
      </c>
      <c r="N1423" s="7">
        <f ca="1">RAND()</f>
        <v>0.46440272738188848</v>
      </c>
      <c r="O1423" s="8">
        <v>45207</v>
      </c>
      <c r="P1423" s="8">
        <v>45208</v>
      </c>
      <c r="Q1423" s="8">
        <v>45210</v>
      </c>
      <c r="R1423" s="8">
        <v>45214</v>
      </c>
      <c r="S1423" s="8">
        <v>45221</v>
      </c>
      <c r="T1423" s="8">
        <v>45233</v>
      </c>
      <c r="U1423" s="8">
        <v>45829</v>
      </c>
      <c r="V1423" s="10">
        <f>COUNTA(O1423:U1423)</f>
        <v>7</v>
      </c>
      <c r="W1423" s="11">
        <f>_xlfn.IFNA(INDEX(reading[[#This Row],[Memo 01]:[Memo 07]],MATCH(0,reading[[#This Row],[Memo 01]:[Memo 07]],-1)),"")</f>
        <v>45829</v>
      </c>
      <c r="X1423" s="11">
        <f ca="1">IFERROR(reading[[#This Row],[Previous]]+OFFSET(reading[[#Headers],[Memo 01]],-1,MATCH(0,reading[[#This Row],[Memo 01]:[Memo 07]],-1)-1),"")</f>
        <v>55829</v>
      </c>
      <c r="Y1423" s="10" t="str">
        <f ca="1">IF(reading[[#This Row],[Next]]&lt;&gt;"",IF(reading[[#This Row],[Next]]&gt;TODAY(),"OK",""),"")</f>
        <v>OK</v>
      </c>
      <c r="Z1423" s="13">
        <v>3</v>
      </c>
      <c r="AA1423" s="13">
        <v>3</v>
      </c>
      <c r="AB1423" s="13">
        <v>2</v>
      </c>
      <c r="AC1423" s="13">
        <v>3</v>
      </c>
      <c r="AD1423" s="13">
        <v>3</v>
      </c>
      <c r="AE1423" s="13">
        <v>3</v>
      </c>
      <c r="AF1423" s="13">
        <v>2</v>
      </c>
      <c r="AG1423" s="16">
        <f>IFERROR(SUMIF(reading[[#This Row],[1st]:[7th]],"&gt;0")/COUNTIF(reading[[#This Row],[1st]:[7th]],"&gt;0"),"")</f>
        <v>2.7142857142857144</v>
      </c>
    </row>
    <row r="1424" spans="1:33" hidden="1" x14ac:dyDescent="0.2">
      <c r="A1424" s="4">
        <f>IF(B1424=1,3,IF(D1424=1,2,IF(F1424=1,1,0)))</f>
        <v>0</v>
      </c>
      <c r="B1424" s="4" t="str">
        <f>IF(C1424=$L1424,1,IF(C1424="","",0))</f>
        <v/>
      </c>
      <c r="C1424" s="42"/>
      <c r="D1424" s="4" t="str">
        <f>IF(E1424=$L1424,1,IF(E1424="","",0))</f>
        <v/>
      </c>
      <c r="E1424" s="18"/>
      <c r="F1424" s="4" t="str">
        <f>IF(G1424=$L1424,1,IF(G1424="","",0))</f>
        <v/>
      </c>
      <c r="G1424" s="14"/>
      <c r="H1424" s="6">
        <v>3086</v>
      </c>
      <c r="I1424" s="15" t="s">
        <v>3120</v>
      </c>
      <c r="J1424" s="6" t="s">
        <v>6105</v>
      </c>
      <c r="K1424" s="6"/>
      <c r="L1424" s="6" t="s">
        <v>3110</v>
      </c>
      <c r="M1424" s="6" t="s">
        <v>9189</v>
      </c>
      <c r="N1424" s="7">
        <f ca="1">RAND()</f>
        <v>0.76214369828175232</v>
      </c>
      <c r="O1424" s="8">
        <v>45224</v>
      </c>
      <c r="P1424" s="8">
        <v>45225</v>
      </c>
      <c r="Q1424" s="8">
        <v>45227</v>
      </c>
      <c r="R1424" s="8">
        <v>45231</v>
      </c>
      <c r="S1424" s="8">
        <v>45253</v>
      </c>
      <c r="T1424" s="8">
        <v>45783</v>
      </c>
      <c r="U1424" s="8">
        <v>45823</v>
      </c>
      <c r="V1424" s="10">
        <f>COUNTA(O1424:U1424)</f>
        <v>7</v>
      </c>
      <c r="W1424" s="11">
        <f>_xlfn.IFNA(INDEX(reading[[#This Row],[Memo 01]:[Memo 07]],MATCH(0,reading[[#This Row],[Memo 01]:[Memo 07]],-1)),"")</f>
        <v>45823</v>
      </c>
      <c r="X1424" s="11">
        <f ca="1">IFERROR(reading[[#This Row],[Previous]]+OFFSET(reading[[#Headers],[Memo 01]],-1,MATCH(0,reading[[#This Row],[Memo 01]:[Memo 07]],-1)-1),"")</f>
        <v>55823</v>
      </c>
      <c r="Y1424" s="10" t="str">
        <f ca="1">IF(reading[[#This Row],[Next]]&lt;&gt;"",IF(reading[[#This Row],[Next]]&gt;TODAY(),"OK",""),"")</f>
        <v>OK</v>
      </c>
      <c r="Z1424" s="13">
        <v>3</v>
      </c>
      <c r="AA1424" s="13">
        <v>2</v>
      </c>
      <c r="AB1424" s="13">
        <v>3</v>
      </c>
      <c r="AC1424" s="13">
        <v>3</v>
      </c>
      <c r="AD1424" s="13">
        <v>1</v>
      </c>
      <c r="AE1424" s="13">
        <v>3</v>
      </c>
      <c r="AF1424" s="13">
        <v>3</v>
      </c>
      <c r="AG1424" s="16">
        <f>IFERROR(SUMIF(reading[[#This Row],[1st]:[7th]],"&gt;0")/COUNTIF(reading[[#This Row],[1st]:[7th]],"&gt;0"),"")</f>
        <v>2.5714285714285716</v>
      </c>
    </row>
    <row r="1425" spans="1:33" hidden="1" x14ac:dyDescent="0.2">
      <c r="A1425" s="4">
        <f>IF(B1425=1,3,IF(D1425=1,2,IF(F1425=1,1,0)))</f>
        <v>0</v>
      </c>
      <c r="B1425" s="4" t="str">
        <f>IF(C1425=$L1425,1,IF(C1425="","",0))</f>
        <v/>
      </c>
      <c r="C1425" s="42"/>
      <c r="D1425" s="4" t="str">
        <f>IF(E1425=$L1425,1,IF(E1425="","",0))</f>
        <v/>
      </c>
      <c r="E1425" s="14"/>
      <c r="F1425" s="4" t="str">
        <f>IF(G1425=$L1425,1,IF(G1425="","",0))</f>
        <v/>
      </c>
      <c r="G1425" s="14"/>
      <c r="H1425" s="6">
        <v>2062</v>
      </c>
      <c r="I1425" s="15" t="s">
        <v>3120</v>
      </c>
      <c r="J1425" s="6" t="s">
        <v>5157</v>
      </c>
      <c r="K1425" s="6"/>
      <c r="L1425" s="6" t="s">
        <v>2135</v>
      </c>
      <c r="M1425" s="6" t="s">
        <v>8168</v>
      </c>
      <c r="N1425" s="7">
        <f ca="1">RAND()</f>
        <v>0.75659080690160985</v>
      </c>
      <c r="O1425" s="8">
        <v>45214</v>
      </c>
      <c r="P1425" s="8">
        <v>45215</v>
      </c>
      <c r="Q1425" s="8">
        <v>45217</v>
      </c>
      <c r="R1425" s="8">
        <v>45221</v>
      </c>
      <c r="S1425" s="8">
        <v>45228</v>
      </c>
      <c r="T1425" s="8">
        <v>45827</v>
      </c>
      <c r="U1425" s="8"/>
      <c r="V1425" s="10">
        <f>COUNTA(O1425:U1425)</f>
        <v>6</v>
      </c>
      <c r="W1425" s="11">
        <f>_xlfn.IFNA(INDEX(reading[[#This Row],[Memo 01]:[Memo 07]],MATCH(0,reading[[#This Row],[Memo 01]:[Memo 07]],-1)),"")</f>
        <v>45827</v>
      </c>
      <c r="X1425" s="11">
        <f ca="1">IFERROR(reading[[#This Row],[Previous]]+OFFSET(reading[[#Headers],[Memo 01]],-1,MATCH(0,reading[[#This Row],[Memo 01]:[Memo 07]],-1)-1),"")</f>
        <v>45847</v>
      </c>
      <c r="Y1425" s="10" t="str">
        <f ca="1">IF(reading[[#This Row],[Next]]&lt;&gt;"",IF(reading[[#This Row],[Next]]&gt;TODAY(),"OK",""),"")</f>
        <v>OK</v>
      </c>
      <c r="Z1425" s="13">
        <v>3</v>
      </c>
      <c r="AA1425" s="13">
        <v>3</v>
      </c>
      <c r="AB1425" s="13">
        <v>3</v>
      </c>
      <c r="AC1425" s="13">
        <v>3</v>
      </c>
      <c r="AD1425" s="13">
        <v>3</v>
      </c>
      <c r="AE1425" s="13">
        <v>3</v>
      </c>
      <c r="AF1425" s="13"/>
      <c r="AG1425" s="16">
        <f>IFERROR(SUMIF(reading[[#This Row],[1st]:[7th]],"&gt;0")/COUNTIF(reading[[#This Row],[1st]:[7th]],"&gt;0"),"")</f>
        <v>3</v>
      </c>
    </row>
    <row r="1426" spans="1:33" hidden="1" x14ac:dyDescent="0.2">
      <c r="A1426" s="4">
        <f>IF(B1426=1,3,IF(D1426=1,2,IF(F1426=1,1,0)))</f>
        <v>0</v>
      </c>
      <c r="B1426" s="4" t="str">
        <f>IF(C1426=$L1426,1,IF(C1426="","",0))</f>
        <v/>
      </c>
      <c r="C1426" s="42"/>
      <c r="D1426" s="4" t="str">
        <f>IF(E1426=$L1426,1,IF(E1426="","",0))</f>
        <v/>
      </c>
      <c r="E1426" s="14"/>
      <c r="F1426" s="4" t="str">
        <f>IF(G1426=$L1426,1,IF(G1426="","",0))</f>
        <v/>
      </c>
      <c r="G1426" s="14"/>
      <c r="H1426" s="6">
        <v>1008</v>
      </c>
      <c r="I1426" s="15" t="s">
        <v>3120</v>
      </c>
      <c r="J1426" s="6" t="s">
        <v>4136</v>
      </c>
      <c r="K1426" s="6"/>
      <c r="L1426" s="6" t="s">
        <v>1118</v>
      </c>
      <c r="M1426" s="6" t="s">
        <v>7116</v>
      </c>
      <c r="N1426" s="7">
        <f ca="1">RAND()</f>
        <v>8.6627578614068557E-2</v>
      </c>
      <c r="O1426" s="8">
        <v>45205</v>
      </c>
      <c r="P1426" s="8">
        <v>45206</v>
      </c>
      <c r="Q1426" s="8">
        <v>45208</v>
      </c>
      <c r="R1426" s="8">
        <v>45212</v>
      </c>
      <c r="S1426" s="8">
        <v>45219</v>
      </c>
      <c r="T1426" s="8">
        <v>45231</v>
      </c>
      <c r="U1426" s="8">
        <v>45823</v>
      </c>
      <c r="V1426" s="10">
        <f>COUNTA(O1426:U1426)</f>
        <v>7</v>
      </c>
      <c r="W1426" s="11">
        <f>_xlfn.IFNA(INDEX(reading[[#This Row],[Memo 01]:[Memo 07]],MATCH(0,reading[[#This Row],[Memo 01]:[Memo 07]],-1)),"")</f>
        <v>45823</v>
      </c>
      <c r="X1426" s="11">
        <f ca="1">IFERROR(reading[[#This Row],[Previous]]+OFFSET(reading[[#Headers],[Memo 01]],-1,MATCH(0,reading[[#This Row],[Memo 01]:[Memo 07]],-1)-1),"")</f>
        <v>55823</v>
      </c>
      <c r="Y1426" s="10" t="str">
        <f ca="1">IF(reading[[#This Row],[Next]]&lt;&gt;"",IF(reading[[#This Row],[Next]]&gt;TODAY(),"OK",""),"")</f>
        <v>OK</v>
      </c>
      <c r="Z1426" s="13">
        <v>3</v>
      </c>
      <c r="AA1426" s="13">
        <v>3</v>
      </c>
      <c r="AB1426" s="13">
        <v>2</v>
      </c>
      <c r="AC1426" s="13">
        <v>3</v>
      </c>
      <c r="AD1426" s="13">
        <v>3</v>
      </c>
      <c r="AE1426" s="13">
        <v>3</v>
      </c>
      <c r="AF1426" s="13">
        <v>3</v>
      </c>
      <c r="AG1426" s="16">
        <f>IFERROR(SUMIF(reading[[#This Row],[1st]:[7th]],"&gt;0")/COUNTIF(reading[[#This Row],[1st]:[7th]],"&gt;0"),"")</f>
        <v>2.8571428571428572</v>
      </c>
    </row>
    <row r="1427" spans="1:33" hidden="1" x14ac:dyDescent="0.2">
      <c r="A1427" s="4">
        <f>IF(B1427=1,3,IF(D1427=1,2,IF(F1427=1,1,0)))</f>
        <v>0</v>
      </c>
      <c r="B1427" s="4" t="str">
        <f>IF(C1427=$L1427,1,IF(C1427="","",0))</f>
        <v/>
      </c>
      <c r="C1427" s="42"/>
      <c r="D1427" s="4" t="str">
        <f>IF(E1427=$L1427,1,IF(E1427="","",0))</f>
        <v/>
      </c>
      <c r="E1427" s="23"/>
      <c r="F1427" s="4" t="str">
        <f>IF(G1427=$L1427,1,IF(G1427="","",0))</f>
        <v/>
      </c>
      <c r="G1427" s="14"/>
      <c r="H1427" s="6">
        <v>1006</v>
      </c>
      <c r="I1427" s="15" t="s">
        <v>3120</v>
      </c>
      <c r="J1427" s="6" t="s">
        <v>4134</v>
      </c>
      <c r="K1427" s="6"/>
      <c r="L1427" s="6" t="s">
        <v>1116</v>
      </c>
      <c r="M1427" s="6" t="s">
        <v>7114</v>
      </c>
      <c r="N1427" s="7">
        <f ca="1">RAND()</f>
        <v>0.49469859371860903</v>
      </c>
      <c r="O1427" s="8">
        <v>45205</v>
      </c>
      <c r="P1427" s="8">
        <v>45206</v>
      </c>
      <c r="Q1427" s="8">
        <v>45208</v>
      </c>
      <c r="R1427" s="8">
        <v>45212</v>
      </c>
      <c r="S1427" s="8">
        <v>45219</v>
      </c>
      <c r="T1427" s="8">
        <v>45231</v>
      </c>
      <c r="U1427" s="8">
        <v>45825</v>
      </c>
      <c r="V1427" s="10">
        <f>COUNTA(O1427:U1427)</f>
        <v>7</v>
      </c>
      <c r="W1427" s="11">
        <f>_xlfn.IFNA(INDEX(reading[[#This Row],[Memo 01]:[Memo 07]],MATCH(0,reading[[#This Row],[Memo 01]:[Memo 07]],-1)),"")</f>
        <v>45825</v>
      </c>
      <c r="X1427" s="11">
        <f ca="1">IFERROR(reading[[#This Row],[Previous]]+OFFSET(reading[[#Headers],[Memo 01]],-1,MATCH(0,reading[[#This Row],[Memo 01]:[Memo 07]],-1)-1),"")</f>
        <v>55825</v>
      </c>
      <c r="Y1427" s="10" t="str">
        <f ca="1">IF(reading[[#This Row],[Next]]&lt;&gt;"",IF(reading[[#This Row],[Next]]&gt;TODAY(),"OK",""),"")</f>
        <v>OK</v>
      </c>
      <c r="Z1427" s="13">
        <v>3</v>
      </c>
      <c r="AA1427" s="13">
        <v>2</v>
      </c>
      <c r="AB1427" s="13">
        <v>3</v>
      </c>
      <c r="AC1427" s="13">
        <v>3</v>
      </c>
      <c r="AD1427" s="13">
        <v>3</v>
      </c>
      <c r="AE1427" s="13">
        <v>3</v>
      </c>
      <c r="AF1427" s="13">
        <v>2</v>
      </c>
      <c r="AG1427" s="16">
        <f>IFERROR(SUMIF(reading[[#This Row],[1st]:[7th]],"&gt;0")/COUNTIF(reading[[#This Row],[1st]:[7th]],"&gt;0"),"")</f>
        <v>2.7142857142857144</v>
      </c>
    </row>
    <row r="1428" spans="1:33" hidden="1" x14ac:dyDescent="0.2">
      <c r="A1428" s="4">
        <f>IF(B1428=1,3,IF(D1428=1,2,IF(F1428=1,1,0)))</f>
        <v>0</v>
      </c>
      <c r="B1428" s="4" t="str">
        <f>IF(C1428=$L1428,1,IF(C1428="","",0))</f>
        <v/>
      </c>
      <c r="C1428" s="42"/>
      <c r="D1428" s="4" t="str">
        <f>IF(E1428=$L1428,1,IF(E1428="","",0))</f>
        <v/>
      </c>
      <c r="E1428" s="23"/>
      <c r="F1428" s="4" t="str">
        <f>IF(G1428=$L1428,1,IF(G1428="","",0))</f>
        <v/>
      </c>
      <c r="G1428" s="14"/>
      <c r="H1428" s="6">
        <v>610</v>
      </c>
      <c r="I1428" s="15" t="s">
        <v>3120</v>
      </c>
      <c r="J1428" s="6" t="s">
        <v>3752</v>
      </c>
      <c r="K1428" s="6"/>
      <c r="L1428" s="6" t="s">
        <v>734</v>
      </c>
      <c r="M1428" s="6" t="s">
        <v>6719</v>
      </c>
      <c r="N1428" s="7">
        <f ca="1">RAND()</f>
        <v>0.85516349468811304</v>
      </c>
      <c r="O1428" s="8">
        <v>45202</v>
      </c>
      <c r="P1428" s="8">
        <v>45203</v>
      </c>
      <c r="Q1428" s="8">
        <v>45205</v>
      </c>
      <c r="R1428" s="8">
        <v>45209</v>
      </c>
      <c r="S1428" s="8">
        <v>45216</v>
      </c>
      <c r="T1428" s="8">
        <v>45228</v>
      </c>
      <c r="U1428" s="8">
        <v>45829</v>
      </c>
      <c r="V1428" s="10">
        <f>COUNTA(O1428:U1428)</f>
        <v>7</v>
      </c>
      <c r="W1428" s="11">
        <f>_xlfn.IFNA(INDEX(reading[[#This Row],[Memo 01]:[Memo 07]],MATCH(0,reading[[#This Row],[Memo 01]:[Memo 07]],-1)),"")</f>
        <v>45829</v>
      </c>
      <c r="X1428" s="11">
        <f ca="1">IFERROR(reading[[#This Row],[Previous]]+OFFSET(reading[[#Headers],[Memo 01]],-1,MATCH(0,reading[[#This Row],[Memo 01]:[Memo 07]],-1)-1),"")</f>
        <v>55829</v>
      </c>
      <c r="Y1428" s="10" t="str">
        <f ca="1">IF(reading[[#This Row],[Next]]&lt;&gt;"",IF(reading[[#This Row],[Next]]&gt;TODAY(),"OK",""),"")</f>
        <v>OK</v>
      </c>
      <c r="Z1428" s="13">
        <v>3</v>
      </c>
      <c r="AA1428" s="13">
        <v>3</v>
      </c>
      <c r="AB1428" s="13">
        <v>3</v>
      </c>
      <c r="AC1428" s="13">
        <v>3</v>
      </c>
      <c r="AD1428" s="13">
        <v>3</v>
      </c>
      <c r="AE1428" s="13">
        <v>3</v>
      </c>
      <c r="AF1428" s="13">
        <v>2</v>
      </c>
      <c r="AG1428" s="16">
        <f>IFERROR(SUMIF(reading[[#This Row],[1st]:[7th]],"&gt;0")/COUNTIF(reading[[#This Row],[1st]:[7th]],"&gt;0"),"")</f>
        <v>2.8571428571428572</v>
      </c>
    </row>
    <row r="1429" spans="1:33" hidden="1" x14ac:dyDescent="0.2">
      <c r="A1429" s="4">
        <f>IF(B1429=1,3,IF(D1429=1,2,IF(F1429=1,1,0)))</f>
        <v>0</v>
      </c>
      <c r="B1429" s="4" t="str">
        <f>IF(C1429=$L1429,1,IF(C1429="","",0))</f>
        <v/>
      </c>
      <c r="C1429" s="42"/>
      <c r="D1429" s="4" t="str">
        <f>IF(E1429=$L1429,1,IF(E1429="","",0))</f>
        <v/>
      </c>
      <c r="E1429" s="14"/>
      <c r="F1429" s="4" t="str">
        <f>IF(G1429=$L1429,1,IF(G1429="","",0))</f>
        <v/>
      </c>
      <c r="G1429" s="14"/>
      <c r="H1429" s="6">
        <v>2813</v>
      </c>
      <c r="I1429" s="15" t="s">
        <v>3120</v>
      </c>
      <c r="J1429" s="6" t="s">
        <v>5856</v>
      </c>
      <c r="K1429" s="6"/>
      <c r="L1429" s="6" t="s">
        <v>2849</v>
      </c>
      <c r="M1429" s="6" t="s">
        <v>8917</v>
      </c>
      <c r="N1429" s="7">
        <f ca="1">RAND()</f>
        <v>0.68871695423039003</v>
      </c>
      <c r="O1429" s="8">
        <v>45222</v>
      </c>
      <c r="P1429" s="8">
        <v>45223</v>
      </c>
      <c r="Q1429" s="8">
        <v>45225</v>
      </c>
      <c r="R1429" s="8">
        <v>45229</v>
      </c>
      <c r="S1429" s="8">
        <v>45236</v>
      </c>
      <c r="T1429" s="8">
        <v>45823</v>
      </c>
      <c r="U1429" s="8"/>
      <c r="V1429" s="10">
        <f>COUNTA(O1429:U1429)</f>
        <v>6</v>
      </c>
      <c r="W1429" s="11">
        <f>_xlfn.IFNA(INDEX(reading[[#This Row],[Memo 01]:[Memo 07]],MATCH(0,reading[[#This Row],[Memo 01]:[Memo 07]],-1)),"")</f>
        <v>45823</v>
      </c>
      <c r="X1429" s="11">
        <f ca="1">IFERROR(reading[[#This Row],[Previous]]+OFFSET(reading[[#Headers],[Memo 01]],-1,MATCH(0,reading[[#This Row],[Memo 01]:[Memo 07]],-1)-1),"")</f>
        <v>45843</v>
      </c>
      <c r="Y1429" s="10" t="str">
        <f ca="1">IF(reading[[#This Row],[Next]]&lt;&gt;"",IF(reading[[#This Row],[Next]]&gt;TODAY(),"OK",""),"")</f>
        <v>OK</v>
      </c>
      <c r="Z1429" s="13">
        <v>3</v>
      </c>
      <c r="AA1429" s="13">
        <v>3</v>
      </c>
      <c r="AB1429" s="13">
        <v>3</v>
      </c>
      <c r="AC1429" s="13">
        <v>3</v>
      </c>
      <c r="AD1429" s="13">
        <v>3</v>
      </c>
      <c r="AE1429" s="13">
        <v>3</v>
      </c>
      <c r="AF1429" s="13"/>
      <c r="AG1429" s="16">
        <f>IFERROR(SUMIF(reading[[#This Row],[1st]:[7th]],"&gt;0")/COUNTIF(reading[[#This Row],[1st]:[7th]],"&gt;0"),"")</f>
        <v>3</v>
      </c>
    </row>
    <row r="1430" spans="1:33" hidden="1" x14ac:dyDescent="0.2">
      <c r="A1430" s="4">
        <f>IF(B1430=1,3,IF(D1430=1,2,IF(F1430=1,1,0)))</f>
        <v>0</v>
      </c>
      <c r="B1430" s="4" t="str">
        <f>IF(C1430=$L1430,1,IF(C1430="","",0))</f>
        <v/>
      </c>
      <c r="C1430" s="42"/>
      <c r="D1430" s="4" t="str">
        <f>IF(E1430=$L1430,1,IF(E1430="","",0))</f>
        <v/>
      </c>
      <c r="E1430" s="23"/>
      <c r="F1430" s="4" t="str">
        <f>IF(G1430=$L1430,1,IF(G1430="","",0))</f>
        <v/>
      </c>
      <c r="G1430" s="14"/>
      <c r="H1430" s="6">
        <v>2656</v>
      </c>
      <c r="I1430" s="15" t="s">
        <v>3120</v>
      </c>
      <c r="J1430" s="6" t="s">
        <v>5709</v>
      </c>
      <c r="K1430" s="6"/>
      <c r="L1430" s="6" t="s">
        <v>2695</v>
      </c>
      <c r="M1430" s="6" t="s">
        <v>8761</v>
      </c>
      <c r="N1430" s="7">
        <f ca="1">RAND()</f>
        <v>0.78023383385724365</v>
      </c>
      <c r="O1430" s="8">
        <v>45220</v>
      </c>
      <c r="P1430" s="8">
        <v>45221</v>
      </c>
      <c r="Q1430" s="8">
        <v>45223</v>
      </c>
      <c r="R1430" s="8">
        <v>45227</v>
      </c>
      <c r="S1430" s="8">
        <v>45234</v>
      </c>
      <c r="T1430" s="8">
        <v>45829</v>
      </c>
      <c r="U1430" s="8"/>
      <c r="V1430" s="10">
        <f>COUNTA(O1430:U1430)</f>
        <v>6</v>
      </c>
      <c r="W1430" s="11">
        <f>_xlfn.IFNA(INDEX(reading[[#This Row],[Memo 01]:[Memo 07]],MATCH(0,reading[[#This Row],[Memo 01]:[Memo 07]],-1)),"")</f>
        <v>45829</v>
      </c>
      <c r="X1430" s="11">
        <f ca="1">IFERROR(reading[[#This Row],[Previous]]+OFFSET(reading[[#Headers],[Memo 01]],-1,MATCH(0,reading[[#This Row],[Memo 01]:[Memo 07]],-1)-1),"")</f>
        <v>45849</v>
      </c>
      <c r="Y1430" s="10" t="str">
        <f ca="1">IF(reading[[#This Row],[Next]]&lt;&gt;"",IF(reading[[#This Row],[Next]]&gt;TODAY(),"OK",""),"")</f>
        <v>OK</v>
      </c>
      <c r="Z1430" s="13">
        <v>3</v>
      </c>
      <c r="AA1430" s="13">
        <v>3</v>
      </c>
      <c r="AB1430" s="13">
        <v>3</v>
      </c>
      <c r="AC1430" s="13">
        <v>3</v>
      </c>
      <c r="AD1430" s="13">
        <v>3</v>
      </c>
      <c r="AE1430" s="13">
        <v>2</v>
      </c>
      <c r="AF1430" s="13"/>
      <c r="AG1430" s="16">
        <f>IFERROR(SUMIF(reading[[#This Row],[1st]:[7th]],"&gt;0")/COUNTIF(reading[[#This Row],[1st]:[7th]],"&gt;0"),"")</f>
        <v>2.8333333333333335</v>
      </c>
    </row>
    <row r="1431" spans="1:33" hidden="1" x14ac:dyDescent="0.2">
      <c r="A1431" s="4">
        <f>IF(B1431=1,3,IF(D1431=1,2,IF(F1431=1,1,0)))</f>
        <v>0</v>
      </c>
      <c r="B1431" s="4" t="str">
        <f>IF(C1431=$L1431,1,IF(C1431="","",0))</f>
        <v/>
      </c>
      <c r="C1431" s="42"/>
      <c r="D1431" s="4" t="str">
        <f>IF(E1431=$L1431,1,IF(E1431="","",0))</f>
        <v/>
      </c>
      <c r="E1431" s="43"/>
      <c r="F1431" s="4" t="str">
        <f>IF(G1431=$L1431,1,IF(G1431="","",0))</f>
        <v/>
      </c>
      <c r="G1431" s="23"/>
      <c r="H1431" s="6">
        <v>2760</v>
      </c>
      <c r="I1431" s="15" t="s">
        <v>3120</v>
      </c>
      <c r="J1431" s="6" t="s">
        <v>5805</v>
      </c>
      <c r="K1431" s="6"/>
      <c r="L1431" s="6" t="s">
        <v>2798</v>
      </c>
      <c r="M1431" s="6" t="s">
        <v>8864</v>
      </c>
      <c r="N1431" s="7">
        <f ca="1">RAND()</f>
        <v>0.60098707898175785</v>
      </c>
      <c r="O1431" s="8">
        <v>45222</v>
      </c>
      <c r="P1431" s="8">
        <v>45223</v>
      </c>
      <c r="Q1431" s="8">
        <v>45225</v>
      </c>
      <c r="R1431" s="8">
        <v>45229</v>
      </c>
      <c r="S1431" s="8">
        <v>45236</v>
      </c>
      <c r="T1431" s="8">
        <v>45817</v>
      </c>
      <c r="U1431" s="8"/>
      <c r="V1431" s="10">
        <f>COUNTA(O1431:U1431)</f>
        <v>6</v>
      </c>
      <c r="W1431" s="11">
        <f>_xlfn.IFNA(INDEX(reading[[#This Row],[Memo 01]:[Memo 07]],MATCH(0,reading[[#This Row],[Memo 01]:[Memo 07]],-1)),"")</f>
        <v>45817</v>
      </c>
      <c r="X1431" s="11">
        <f ca="1">IFERROR(reading[[#This Row],[Previous]]+OFFSET(reading[[#Headers],[Memo 01]],-1,MATCH(0,reading[[#This Row],[Memo 01]:[Memo 07]],-1)-1),"")</f>
        <v>45837</v>
      </c>
      <c r="Y1431" s="10" t="str">
        <f ca="1">IF(reading[[#This Row],[Next]]&lt;&gt;"",IF(reading[[#This Row],[Next]]&gt;TODAY(),"OK",""),"")</f>
        <v>OK</v>
      </c>
      <c r="Z1431" s="13">
        <v>3</v>
      </c>
      <c r="AA1431" s="13">
        <v>3</v>
      </c>
      <c r="AB1431" s="13">
        <v>2</v>
      </c>
      <c r="AC1431" s="13">
        <v>3</v>
      </c>
      <c r="AD1431" s="13">
        <v>3</v>
      </c>
      <c r="AE1431" s="13">
        <v>1</v>
      </c>
      <c r="AF1431" s="13"/>
      <c r="AG1431" s="16">
        <f>IFERROR(SUMIF(reading[[#This Row],[1st]:[7th]],"&gt;0")/COUNTIF(reading[[#This Row],[1st]:[7th]],"&gt;0"),"")</f>
        <v>2.5</v>
      </c>
    </row>
    <row r="1432" spans="1:33" hidden="1" x14ac:dyDescent="0.2">
      <c r="A1432" s="4">
        <f>IF(B1432=1,3,IF(D1432=1,2,IF(F1432=1,1,0)))</f>
        <v>0</v>
      </c>
      <c r="B1432" s="4" t="str">
        <f>IF(C1432=$L1432,1,IF(C1432="","",0))</f>
        <v/>
      </c>
      <c r="C1432" s="42"/>
      <c r="D1432" s="4" t="str">
        <f>IF(E1432=$L1432,1,IF(E1432="","",0))</f>
        <v/>
      </c>
      <c r="E1432" s="14"/>
      <c r="F1432" s="4" t="str">
        <f>IF(G1432=$L1432,1,IF(G1432="","",0))</f>
        <v/>
      </c>
      <c r="G1432" s="14"/>
      <c r="H1432" s="6">
        <v>1197</v>
      </c>
      <c r="I1432" s="15" t="s">
        <v>3120</v>
      </c>
      <c r="J1432" s="6" t="s">
        <v>4316</v>
      </c>
      <c r="K1432" s="6"/>
      <c r="L1432" s="6" t="s">
        <v>1299</v>
      </c>
      <c r="M1432" s="6" t="s">
        <v>7304</v>
      </c>
      <c r="N1432" s="7">
        <f ca="1">RAND()</f>
        <v>0.95841702962131392</v>
      </c>
      <c r="O1432" s="8">
        <v>45206</v>
      </c>
      <c r="P1432" s="8">
        <v>45207</v>
      </c>
      <c r="Q1432" s="8">
        <v>45209</v>
      </c>
      <c r="R1432" s="8">
        <v>45213</v>
      </c>
      <c r="S1432" s="8">
        <v>45220</v>
      </c>
      <c r="T1432" s="8">
        <v>45232</v>
      </c>
      <c r="U1432" s="8">
        <v>45823</v>
      </c>
      <c r="V1432" s="10">
        <f>COUNTA(O1432:U1432)</f>
        <v>7</v>
      </c>
      <c r="W1432" s="11">
        <f>_xlfn.IFNA(INDEX(reading[[#This Row],[Memo 01]:[Memo 07]],MATCH(0,reading[[#This Row],[Memo 01]:[Memo 07]],-1)),"")</f>
        <v>45823</v>
      </c>
      <c r="X1432" s="11">
        <f ca="1">IFERROR(reading[[#This Row],[Previous]]+OFFSET(reading[[#Headers],[Memo 01]],-1,MATCH(0,reading[[#This Row],[Memo 01]:[Memo 07]],-1)-1),"")</f>
        <v>55823</v>
      </c>
      <c r="Y1432" s="10" t="str">
        <f ca="1">IF(reading[[#This Row],[Next]]&lt;&gt;"",IF(reading[[#This Row],[Next]]&gt;TODAY(),"OK",""),"")</f>
        <v>OK</v>
      </c>
      <c r="Z1432" s="13">
        <v>3</v>
      </c>
      <c r="AA1432" s="13">
        <v>3</v>
      </c>
      <c r="AB1432" s="13">
        <v>3</v>
      </c>
      <c r="AC1432" s="13">
        <v>3</v>
      </c>
      <c r="AD1432" s="13">
        <v>3</v>
      </c>
      <c r="AE1432" s="13">
        <v>3</v>
      </c>
      <c r="AF1432" s="13">
        <v>3</v>
      </c>
      <c r="AG1432" s="16">
        <f>IFERROR(SUMIF(reading[[#This Row],[1st]:[7th]],"&gt;0")/COUNTIF(reading[[#This Row],[1st]:[7th]],"&gt;0"),"")</f>
        <v>3</v>
      </c>
    </row>
    <row r="1433" spans="1:33" hidden="1" x14ac:dyDescent="0.2">
      <c r="A1433" s="4">
        <f>IF(B1433=1,3,IF(D1433=1,2,IF(F1433=1,1,0)))</f>
        <v>0</v>
      </c>
      <c r="B1433" s="4" t="str">
        <f>IF(C1433=$L1433,1,IF(C1433="","",0))</f>
        <v/>
      </c>
      <c r="C1433" s="42"/>
      <c r="D1433" s="4" t="str">
        <f>IF(E1433=$L1433,1,IF(E1433="","",0))</f>
        <v/>
      </c>
      <c r="E1433" s="14"/>
      <c r="F1433" s="4" t="str">
        <f>IF(G1433=$L1433,1,IF(G1433="","",0))</f>
        <v/>
      </c>
      <c r="G1433" s="14"/>
      <c r="H1433" s="6">
        <v>1253</v>
      </c>
      <c r="I1433" s="15" t="s">
        <v>3120</v>
      </c>
      <c r="J1433" s="6" t="s">
        <v>4370</v>
      </c>
      <c r="K1433" s="6"/>
      <c r="L1433" s="6" t="s">
        <v>71</v>
      </c>
      <c r="M1433" s="6" t="s">
        <v>7360</v>
      </c>
      <c r="N1433" s="7">
        <f ca="1">RAND()</f>
        <v>0.58462763870601053</v>
      </c>
      <c r="O1433" s="8">
        <v>45207</v>
      </c>
      <c r="P1433" s="8">
        <v>45208</v>
      </c>
      <c r="Q1433" s="8">
        <v>45210</v>
      </c>
      <c r="R1433" s="8">
        <v>45214</v>
      </c>
      <c r="S1433" s="8">
        <v>45221</v>
      </c>
      <c r="T1433" s="8">
        <v>45233</v>
      </c>
      <c r="U1433" s="8">
        <v>45823</v>
      </c>
      <c r="V1433" s="10">
        <f>COUNTA(O1433:U1433)</f>
        <v>7</v>
      </c>
      <c r="W1433" s="11">
        <f>_xlfn.IFNA(INDEX(reading[[#This Row],[Memo 01]:[Memo 07]],MATCH(0,reading[[#This Row],[Memo 01]:[Memo 07]],-1)),"")</f>
        <v>45823</v>
      </c>
      <c r="X1433" s="11">
        <f ca="1">IFERROR(reading[[#This Row],[Previous]]+OFFSET(reading[[#Headers],[Memo 01]],-1,MATCH(0,reading[[#This Row],[Memo 01]:[Memo 07]],-1)-1),"")</f>
        <v>55823</v>
      </c>
      <c r="Y1433" s="10" t="str">
        <f ca="1">IF(reading[[#This Row],[Next]]&lt;&gt;"",IF(reading[[#This Row],[Next]]&gt;TODAY(),"OK",""),"")</f>
        <v>OK</v>
      </c>
      <c r="Z1433" s="13">
        <v>3</v>
      </c>
      <c r="AA1433" s="13">
        <v>3</v>
      </c>
      <c r="AB1433" s="13">
        <v>3</v>
      </c>
      <c r="AC1433" s="13">
        <v>3</v>
      </c>
      <c r="AD1433" s="13">
        <v>3</v>
      </c>
      <c r="AE1433" s="13">
        <v>3</v>
      </c>
      <c r="AF1433" s="13">
        <v>3</v>
      </c>
      <c r="AG1433" s="16">
        <f>IFERROR(SUMIF(reading[[#This Row],[1st]:[7th]],"&gt;0")/COUNTIF(reading[[#This Row],[1st]:[7th]],"&gt;0"),"")</f>
        <v>3</v>
      </c>
    </row>
    <row r="1434" spans="1:33" hidden="1" x14ac:dyDescent="0.2">
      <c r="A1434" s="4">
        <f>IF(B1434=1,3,IF(D1434=1,2,IF(F1434=1,1,0)))</f>
        <v>0</v>
      </c>
      <c r="B1434" s="4" t="str">
        <f>IF(C1434=$L1434,1,IF(C1434="","",0))</f>
        <v/>
      </c>
      <c r="C1434" s="42"/>
      <c r="D1434" s="4" t="str">
        <f>IF(E1434=$L1434,1,IF(E1434="","",0))</f>
        <v/>
      </c>
      <c r="E1434" s="14"/>
      <c r="F1434" s="4" t="str">
        <f>IF(G1434=$L1434,1,IF(G1434="","",0))</f>
        <v/>
      </c>
      <c r="G1434" s="14"/>
      <c r="H1434" s="6">
        <v>1912</v>
      </c>
      <c r="I1434" s="15" t="s">
        <v>3120</v>
      </c>
      <c r="J1434" s="6" t="s">
        <v>5013</v>
      </c>
      <c r="K1434" s="6"/>
      <c r="L1434" s="6" t="s">
        <v>1988</v>
      </c>
      <c r="M1434" s="6" t="s">
        <v>8018</v>
      </c>
      <c r="N1434" s="7">
        <f ca="1">RAND()</f>
        <v>0.27352485210481103</v>
      </c>
      <c r="O1434" s="8">
        <v>45212</v>
      </c>
      <c r="P1434" s="8">
        <v>45213</v>
      </c>
      <c r="Q1434" s="8">
        <v>45215</v>
      </c>
      <c r="R1434" s="8">
        <v>45219</v>
      </c>
      <c r="S1434" s="8">
        <v>45226</v>
      </c>
      <c r="T1434" s="8">
        <v>45823</v>
      </c>
      <c r="U1434" s="8"/>
      <c r="V1434" s="10">
        <f>COUNTA(O1434:U1434)</f>
        <v>6</v>
      </c>
      <c r="W1434" s="11">
        <f>_xlfn.IFNA(INDEX(reading[[#This Row],[Memo 01]:[Memo 07]],MATCH(0,reading[[#This Row],[Memo 01]:[Memo 07]],-1)),"")</f>
        <v>45823</v>
      </c>
      <c r="X1434" s="11">
        <f ca="1">IFERROR(reading[[#This Row],[Previous]]+OFFSET(reading[[#Headers],[Memo 01]],-1,MATCH(0,reading[[#This Row],[Memo 01]:[Memo 07]],-1)-1),"")</f>
        <v>45843</v>
      </c>
      <c r="Y1434" s="10" t="str">
        <f ca="1">IF(reading[[#This Row],[Next]]&lt;&gt;"",IF(reading[[#This Row],[Next]]&gt;TODAY(),"OK",""),"")</f>
        <v>OK</v>
      </c>
      <c r="Z1434" s="13">
        <v>3</v>
      </c>
      <c r="AA1434" s="13">
        <v>3</v>
      </c>
      <c r="AB1434" s="13">
        <v>3</v>
      </c>
      <c r="AC1434" s="13">
        <v>3</v>
      </c>
      <c r="AD1434" s="13">
        <v>3</v>
      </c>
      <c r="AE1434" s="13">
        <v>3</v>
      </c>
      <c r="AF1434" s="13"/>
      <c r="AG1434" s="16">
        <f>IFERROR(SUMIF(reading[[#This Row],[1st]:[7th]],"&gt;0")/COUNTIF(reading[[#This Row],[1st]:[7th]],"&gt;0"),"")</f>
        <v>3</v>
      </c>
    </row>
    <row r="1435" spans="1:33" hidden="1" x14ac:dyDescent="0.2">
      <c r="A1435" s="4">
        <f>IF(B1435=1,3,IF(D1435=1,2,IF(F1435=1,1,0)))</f>
        <v>0</v>
      </c>
      <c r="B1435" s="4" t="str">
        <f>IF(C1435=$L1435,1,IF(C1435="","",0))</f>
        <v/>
      </c>
      <c r="C1435" s="41"/>
      <c r="D1435" s="4" t="str">
        <f>IF(E1435=$L1435,1,IF(E1435="","",0))</f>
        <v/>
      </c>
      <c r="E1435" s="18"/>
      <c r="F1435" s="4" t="str">
        <f>IF(G1435=$L1435,1,IF(G1435="","",0))</f>
        <v/>
      </c>
      <c r="G1435" s="18"/>
      <c r="H1435" s="6">
        <v>102</v>
      </c>
      <c r="I1435" s="15" t="s">
        <v>3120</v>
      </c>
      <c r="J1435" s="6" t="s">
        <v>3251</v>
      </c>
      <c r="K1435" s="6"/>
      <c r="L1435" s="6" t="s">
        <v>239</v>
      </c>
      <c r="M1435" s="6" t="s">
        <v>6211</v>
      </c>
      <c r="N1435" s="7">
        <f ca="1">RAND()</f>
        <v>0.34494585874457406</v>
      </c>
      <c r="O1435" s="8">
        <v>45199</v>
      </c>
      <c r="P1435" s="8">
        <v>45200</v>
      </c>
      <c r="Q1435" s="8">
        <v>45202</v>
      </c>
      <c r="R1435" s="8">
        <v>45206</v>
      </c>
      <c r="S1435" s="8">
        <v>45213</v>
      </c>
      <c r="T1435" s="8">
        <v>45225</v>
      </c>
      <c r="U1435" s="8">
        <v>45250</v>
      </c>
      <c r="V1435" s="10">
        <f>COUNTA(O1435:U1435)</f>
        <v>7</v>
      </c>
      <c r="W1435" s="11">
        <f>_xlfn.IFNA(INDEX(reading[[#This Row],[Memo 01]:[Memo 07]],MATCH(0,reading[[#This Row],[Memo 01]:[Memo 07]],-1)),"")</f>
        <v>45250</v>
      </c>
      <c r="X1435" s="11">
        <f ca="1">IFERROR(reading[[#This Row],[Previous]]+OFFSET(reading[[#Headers],[Memo 01]],-1,MATCH(0,reading[[#This Row],[Memo 01]:[Memo 07]],-1)-1),"")</f>
        <v>55250</v>
      </c>
      <c r="Y1435" s="10" t="str">
        <f ca="1">IF(reading[[#This Row],[Next]]&lt;&gt;"",IF(reading[[#This Row],[Next]]&gt;TODAY(),"OK",""),"")</f>
        <v>OK</v>
      </c>
      <c r="Z1435" s="13">
        <v>2</v>
      </c>
      <c r="AA1435" s="13">
        <v>2</v>
      </c>
      <c r="AB1435" s="13">
        <v>3</v>
      </c>
      <c r="AC1435" s="13">
        <v>1</v>
      </c>
      <c r="AD1435" s="13">
        <v>2</v>
      </c>
      <c r="AE1435" s="13">
        <v>3</v>
      </c>
      <c r="AF1435" s="13">
        <v>1</v>
      </c>
      <c r="AG1435" s="16">
        <f>IFERROR(SUMIF(reading[[#This Row],[1st]:[7th]],"&gt;0")/COUNTIF(reading[[#This Row],[1st]:[7th]],"&gt;0"),"")</f>
        <v>2</v>
      </c>
    </row>
    <row r="1436" spans="1:33" hidden="1" x14ac:dyDescent="0.2">
      <c r="A1436" s="4">
        <f>IF(B1436=1,3,IF(D1436=1,2,IF(F1436=1,1,0)))</f>
        <v>0</v>
      </c>
      <c r="B1436" s="4" t="str">
        <f>IF(C1436=$L1436,1,IF(C1436="","",0))</f>
        <v/>
      </c>
      <c r="C1436" s="42"/>
      <c r="D1436" s="4" t="str">
        <f>IF(E1436=$L1436,1,IF(E1436="","",0))</f>
        <v/>
      </c>
      <c r="E1436" s="43"/>
      <c r="F1436" s="4" t="str">
        <f>IF(G1436=$L1436,1,IF(G1436="","",0))</f>
        <v/>
      </c>
      <c r="G1436" s="18"/>
      <c r="H1436" s="6">
        <v>1142</v>
      </c>
      <c r="I1436" s="15" t="s">
        <v>3120</v>
      </c>
      <c r="J1436" s="6" t="s">
        <v>4263</v>
      </c>
      <c r="K1436" s="6"/>
      <c r="L1436" s="6" t="s">
        <v>1244</v>
      </c>
      <c r="M1436" s="6" t="s">
        <v>7250</v>
      </c>
      <c r="N1436" s="7">
        <f ca="1">RAND()</f>
        <v>0.40936266876595939</v>
      </c>
      <c r="O1436" s="8">
        <v>45205</v>
      </c>
      <c r="P1436" s="8">
        <v>45206</v>
      </c>
      <c r="Q1436" s="8">
        <v>45208</v>
      </c>
      <c r="R1436" s="8">
        <v>45212</v>
      </c>
      <c r="S1436" s="8">
        <v>45219</v>
      </c>
      <c r="T1436" s="8">
        <v>45231</v>
      </c>
      <c r="U1436" s="8">
        <v>45816</v>
      </c>
      <c r="V1436" s="10">
        <f>COUNTA(O1436:U1436)</f>
        <v>7</v>
      </c>
      <c r="W1436" s="11">
        <f>_xlfn.IFNA(INDEX(reading[[#This Row],[Memo 01]:[Memo 07]],MATCH(0,reading[[#This Row],[Memo 01]:[Memo 07]],-1)),"")</f>
        <v>45816</v>
      </c>
      <c r="X1436" s="11">
        <f ca="1">IFERROR(reading[[#This Row],[Previous]]+OFFSET(reading[[#Headers],[Memo 01]],-1,MATCH(0,reading[[#This Row],[Memo 01]:[Memo 07]],-1)-1),"")</f>
        <v>55816</v>
      </c>
      <c r="Y1436" s="10" t="str">
        <f ca="1">IF(reading[[#This Row],[Next]]&lt;&gt;"",IF(reading[[#This Row],[Next]]&gt;TODAY(),"OK",""),"")</f>
        <v>OK</v>
      </c>
      <c r="Z1436" s="13">
        <v>3</v>
      </c>
      <c r="AA1436" s="13">
        <v>1</v>
      </c>
      <c r="AB1436" s="13">
        <v>3</v>
      </c>
      <c r="AC1436" s="13">
        <v>3</v>
      </c>
      <c r="AD1436" s="13">
        <v>3</v>
      </c>
      <c r="AE1436" s="13">
        <v>3</v>
      </c>
      <c r="AF1436" s="13">
        <v>2</v>
      </c>
      <c r="AG1436" s="16">
        <f>IFERROR(SUMIF(reading[[#This Row],[1st]:[7th]],"&gt;0")/COUNTIF(reading[[#This Row],[1st]:[7th]],"&gt;0"),"")</f>
        <v>2.5714285714285716</v>
      </c>
    </row>
    <row r="1437" spans="1:33" hidden="1" x14ac:dyDescent="0.2">
      <c r="A1437" s="4">
        <f>IF(B1437=1,3,IF(D1437=1,2,IF(F1437=1,1,0)))</f>
        <v>0</v>
      </c>
      <c r="B1437" s="4" t="str">
        <f>IF(C1437=$L1437,1,IF(C1437="","",0))</f>
        <v/>
      </c>
      <c r="C1437" s="42"/>
      <c r="D1437" s="4" t="str">
        <f>IF(E1437=$L1437,1,IF(E1437="","",0))</f>
        <v/>
      </c>
      <c r="E1437" s="23"/>
      <c r="F1437" s="4" t="str">
        <f>IF(G1437=$L1437,1,IF(G1437="","",0))</f>
        <v/>
      </c>
      <c r="G1437" s="14"/>
      <c r="H1437" s="6">
        <v>516</v>
      </c>
      <c r="I1437" s="15" t="s">
        <v>3120</v>
      </c>
      <c r="J1437" s="6" t="s">
        <v>3661</v>
      </c>
      <c r="K1437" s="6"/>
      <c r="L1437" s="6" t="s">
        <v>644</v>
      </c>
      <c r="M1437" s="6" t="s">
        <v>6625</v>
      </c>
      <c r="N1437" s="7">
        <f ca="1">RAND()</f>
        <v>3.0627412802421983E-3</v>
      </c>
      <c r="O1437" s="8">
        <v>45202</v>
      </c>
      <c r="P1437" s="8">
        <v>45203</v>
      </c>
      <c r="Q1437" s="8">
        <v>45205</v>
      </c>
      <c r="R1437" s="8">
        <v>45209</v>
      </c>
      <c r="S1437" s="8">
        <v>45216</v>
      </c>
      <c r="T1437" s="8">
        <v>45228</v>
      </c>
      <c r="U1437" s="8">
        <v>45816</v>
      </c>
      <c r="V1437" s="10">
        <f>COUNTA(O1437:U1437)</f>
        <v>7</v>
      </c>
      <c r="W1437" s="11">
        <f>_xlfn.IFNA(INDEX(reading[[#This Row],[Memo 01]:[Memo 07]],MATCH(0,reading[[#This Row],[Memo 01]:[Memo 07]],-1)),"")</f>
        <v>45816</v>
      </c>
      <c r="X1437" s="11">
        <f ca="1">IFERROR(reading[[#This Row],[Previous]]+OFFSET(reading[[#Headers],[Memo 01]],-1,MATCH(0,reading[[#This Row],[Memo 01]:[Memo 07]],-1)-1),"")</f>
        <v>55816</v>
      </c>
      <c r="Y1437" s="10" t="str">
        <f ca="1">IF(reading[[#This Row],[Next]]&lt;&gt;"",IF(reading[[#This Row],[Next]]&gt;TODAY(),"OK",""),"")</f>
        <v>OK</v>
      </c>
      <c r="Z1437" s="13">
        <v>3</v>
      </c>
      <c r="AA1437" s="13">
        <v>3</v>
      </c>
      <c r="AB1437" s="13">
        <v>3</v>
      </c>
      <c r="AC1437" s="13">
        <v>3</v>
      </c>
      <c r="AD1437" s="13">
        <v>3</v>
      </c>
      <c r="AE1437" s="13">
        <v>3</v>
      </c>
      <c r="AF1437" s="13">
        <v>2</v>
      </c>
      <c r="AG1437" s="16">
        <f>IFERROR(SUMIF(reading[[#This Row],[1st]:[7th]],"&gt;0")/COUNTIF(reading[[#This Row],[1st]:[7th]],"&gt;0"),"")</f>
        <v>2.8571428571428572</v>
      </c>
    </row>
    <row r="1438" spans="1:33" hidden="1" x14ac:dyDescent="0.2">
      <c r="A1438" s="4">
        <f>IF(B1438=1,3,IF(D1438=1,2,IF(F1438=1,1,0)))</f>
        <v>0</v>
      </c>
      <c r="B1438" s="4" t="str">
        <f>IF(C1438=$L1438,1,IF(C1438="","",0))</f>
        <v/>
      </c>
      <c r="C1438" s="42"/>
      <c r="D1438" s="4" t="str">
        <f>IF(E1438=$L1438,1,IF(E1438="","",0))</f>
        <v/>
      </c>
      <c r="E1438" s="18"/>
      <c r="F1438" s="4" t="str">
        <f>IF(G1438=$L1438,1,IF(G1438="","",0))</f>
        <v/>
      </c>
      <c r="G1438" s="14"/>
      <c r="H1438" s="6">
        <v>420</v>
      </c>
      <c r="I1438" s="15" t="s">
        <v>3120</v>
      </c>
      <c r="J1438" s="6" t="s">
        <v>3566</v>
      </c>
      <c r="K1438" s="15" t="s">
        <v>3139</v>
      </c>
      <c r="L1438" s="6" t="s">
        <v>550</v>
      </c>
      <c r="M1438" s="6" t="s">
        <v>6529</v>
      </c>
      <c r="N1438" s="7">
        <f ca="1">RAND()</f>
        <v>0.15057306724494013</v>
      </c>
      <c r="O1438" s="8">
        <v>45201</v>
      </c>
      <c r="P1438" s="8">
        <v>45202</v>
      </c>
      <c r="Q1438" s="8">
        <v>45204</v>
      </c>
      <c r="R1438" s="8">
        <v>45208</v>
      </c>
      <c r="S1438" s="8">
        <v>45215</v>
      </c>
      <c r="T1438" s="8">
        <v>45227</v>
      </c>
      <c r="U1438" s="8">
        <v>45823</v>
      </c>
      <c r="V1438" s="10">
        <f>COUNTA(O1438:U1438)</f>
        <v>7</v>
      </c>
      <c r="W1438" s="11">
        <f>_xlfn.IFNA(INDEX(reading[[#This Row],[Memo 01]:[Memo 07]],MATCH(0,reading[[#This Row],[Memo 01]:[Memo 07]],-1)),"")</f>
        <v>45823</v>
      </c>
      <c r="X1438" s="11">
        <f ca="1">IFERROR(reading[[#This Row],[Previous]]+OFFSET(reading[[#Headers],[Memo 01]],-1,MATCH(0,reading[[#This Row],[Memo 01]:[Memo 07]],-1)-1),"")</f>
        <v>55823</v>
      </c>
      <c r="Y1438" s="10" t="str">
        <f ca="1">IF(reading[[#This Row],[Next]]&lt;&gt;"",IF(reading[[#This Row],[Next]]&gt;TODAY(),"OK",""),"")</f>
        <v>OK</v>
      </c>
      <c r="Z1438" s="13">
        <v>3</v>
      </c>
      <c r="AA1438" s="13">
        <v>3</v>
      </c>
      <c r="AB1438" s="13">
        <v>3</v>
      </c>
      <c r="AC1438" s="13">
        <v>3</v>
      </c>
      <c r="AD1438" s="13">
        <v>2</v>
      </c>
      <c r="AE1438" s="13">
        <v>3</v>
      </c>
      <c r="AF1438" s="13">
        <v>3</v>
      </c>
      <c r="AG1438" s="16">
        <f>IFERROR(SUMIF(reading[[#This Row],[1st]:[7th]],"&gt;0")/COUNTIF(reading[[#This Row],[1st]:[7th]],"&gt;0"),"")</f>
        <v>2.8571428571428572</v>
      </c>
    </row>
    <row r="1439" spans="1:33" hidden="1" x14ac:dyDescent="0.2">
      <c r="A1439" s="4">
        <f>IF(B1439=1,3,IF(D1439=1,2,IF(F1439=1,1,0)))</f>
        <v>0</v>
      </c>
      <c r="B1439" s="4" t="str">
        <f>IF(C1439=$L1439,1,IF(C1439="","",0))</f>
        <v/>
      </c>
      <c r="C1439" s="42"/>
      <c r="D1439" s="4" t="str">
        <f>IF(E1439=$L1439,1,IF(E1439="","",0))</f>
        <v/>
      </c>
      <c r="E1439" s="14"/>
      <c r="F1439" s="4" t="str">
        <f>IF(G1439=$L1439,1,IF(G1439="","",0))</f>
        <v/>
      </c>
      <c r="G1439" s="14"/>
      <c r="H1439" s="6">
        <v>1061</v>
      </c>
      <c r="I1439" s="15" t="s">
        <v>3120</v>
      </c>
      <c r="J1439" s="6" t="s">
        <v>3239</v>
      </c>
      <c r="K1439" s="6" t="s">
        <v>3139</v>
      </c>
      <c r="L1439" s="6" t="s">
        <v>1169</v>
      </c>
      <c r="M1439" s="6" t="s">
        <v>7169</v>
      </c>
      <c r="N1439" s="7">
        <f ca="1">RAND()</f>
        <v>0.92242229440721424</v>
      </c>
      <c r="O1439" s="8">
        <v>45205</v>
      </c>
      <c r="P1439" s="8">
        <v>45206</v>
      </c>
      <c r="Q1439" s="8">
        <v>45208</v>
      </c>
      <c r="R1439" s="8">
        <v>45213</v>
      </c>
      <c r="S1439" s="8">
        <v>45220</v>
      </c>
      <c r="T1439" s="8">
        <v>45232</v>
      </c>
      <c r="U1439" s="8">
        <v>45253</v>
      </c>
      <c r="V1439" s="10">
        <f>COUNTA(O1439:U1439)</f>
        <v>7</v>
      </c>
      <c r="W1439" s="11">
        <f>_xlfn.IFNA(INDEX(reading[[#This Row],[Memo 01]:[Memo 07]],MATCH(0,reading[[#This Row],[Memo 01]:[Memo 07]],-1)),"")</f>
        <v>45253</v>
      </c>
      <c r="X1439" s="11">
        <f ca="1">IFERROR(reading[[#This Row],[Previous]]+OFFSET(reading[[#Headers],[Memo 01]],-1,MATCH(0,reading[[#This Row],[Memo 01]:[Memo 07]],-1)-1),"")</f>
        <v>55253</v>
      </c>
      <c r="Y1439" s="10" t="str">
        <f ca="1">IF(reading[[#This Row],[Next]]&lt;&gt;"",IF(reading[[#This Row],[Next]]&gt;TODAY(),"OK",""),"")</f>
        <v>OK</v>
      </c>
      <c r="Z1439" s="13">
        <v>3</v>
      </c>
      <c r="AA1439" s="13">
        <v>3</v>
      </c>
      <c r="AB1439" s="13">
        <v>2</v>
      </c>
      <c r="AC1439" s="13">
        <v>2</v>
      </c>
      <c r="AD1439" s="13">
        <v>3</v>
      </c>
      <c r="AE1439" s="13">
        <v>3</v>
      </c>
      <c r="AF1439" s="13">
        <v>2</v>
      </c>
      <c r="AG1439" s="16">
        <f>IFERROR(SUMIF(reading[[#This Row],[1st]:[7th]],"&gt;0")/COUNTIF(reading[[#This Row],[1st]:[7th]],"&gt;0"),"")</f>
        <v>2.5714285714285716</v>
      </c>
    </row>
    <row r="1440" spans="1:33" hidden="1" x14ac:dyDescent="0.2">
      <c r="A1440" s="4">
        <f>IF(B1440=1,3,IF(D1440=1,2,IF(F1440=1,1,0)))</f>
        <v>0</v>
      </c>
      <c r="B1440" s="4" t="str">
        <f>IF(C1440=$L1440,1,IF(C1440="","",0))</f>
        <v/>
      </c>
      <c r="C1440" s="42"/>
      <c r="D1440" s="4" t="str">
        <f>IF(E1440=$L1440,1,IF(E1440="","",0))</f>
        <v/>
      </c>
      <c r="E1440" s="14"/>
      <c r="F1440" s="4" t="str">
        <f>IF(G1440=$L1440,1,IF(G1440="","",0))</f>
        <v/>
      </c>
      <c r="G1440" s="14"/>
      <c r="H1440" s="6">
        <v>2106</v>
      </c>
      <c r="I1440" s="15" t="s">
        <v>3120</v>
      </c>
      <c r="J1440" s="6" t="s">
        <v>5195</v>
      </c>
      <c r="K1440" s="6"/>
      <c r="L1440" s="6" t="s">
        <v>2175</v>
      </c>
      <c r="M1440" s="6" t="s">
        <v>8212</v>
      </c>
      <c r="N1440" s="7">
        <f ca="1">RAND()</f>
        <v>0.31646810663007552</v>
      </c>
      <c r="O1440" s="8">
        <v>45214</v>
      </c>
      <c r="P1440" s="8">
        <v>45215</v>
      </c>
      <c r="Q1440" s="8">
        <v>45217</v>
      </c>
      <c r="R1440" s="8">
        <v>45221</v>
      </c>
      <c r="S1440" s="8">
        <v>45228</v>
      </c>
      <c r="T1440" s="8">
        <v>45823</v>
      </c>
      <c r="U1440" s="8"/>
      <c r="V1440" s="10">
        <f>COUNTA(O1440:U1440)</f>
        <v>6</v>
      </c>
      <c r="W1440" s="11">
        <f>_xlfn.IFNA(INDEX(reading[[#This Row],[Memo 01]:[Memo 07]],MATCH(0,reading[[#This Row],[Memo 01]:[Memo 07]],-1)),"")</f>
        <v>45823</v>
      </c>
      <c r="X1440" s="11">
        <f ca="1">IFERROR(reading[[#This Row],[Previous]]+OFFSET(reading[[#Headers],[Memo 01]],-1,MATCH(0,reading[[#This Row],[Memo 01]:[Memo 07]],-1)-1),"")</f>
        <v>45843</v>
      </c>
      <c r="Y1440" s="10" t="str">
        <f ca="1">IF(reading[[#This Row],[Next]]&lt;&gt;"",IF(reading[[#This Row],[Next]]&gt;TODAY(),"OK",""),"")</f>
        <v>OK</v>
      </c>
      <c r="Z1440" s="13">
        <v>3</v>
      </c>
      <c r="AA1440" s="13">
        <v>3</v>
      </c>
      <c r="AB1440" s="13">
        <v>3</v>
      </c>
      <c r="AC1440" s="13">
        <v>3</v>
      </c>
      <c r="AD1440" s="13">
        <v>3</v>
      </c>
      <c r="AE1440" s="13">
        <v>3</v>
      </c>
      <c r="AF1440" s="13"/>
      <c r="AG1440" s="16">
        <f>IFERROR(SUMIF(reading[[#This Row],[1st]:[7th]],"&gt;0")/COUNTIF(reading[[#This Row],[1st]:[7th]],"&gt;0"),"")</f>
        <v>3</v>
      </c>
    </row>
    <row r="1441" spans="1:33" hidden="1" x14ac:dyDescent="0.2">
      <c r="A1441" s="4">
        <f>IF(B1441=1,3,IF(D1441=1,2,IF(F1441=1,1,0)))</f>
        <v>0</v>
      </c>
      <c r="B1441" s="4" t="str">
        <f>IF(C1441=$L1441,1,IF(C1441="","",0))</f>
        <v/>
      </c>
      <c r="C1441" s="42"/>
      <c r="D1441" s="4" t="str">
        <f>IF(E1441=$L1441,1,IF(E1441="","",0))</f>
        <v/>
      </c>
      <c r="E1441" s="14"/>
      <c r="F1441" s="4" t="str">
        <f>IF(G1441=$L1441,1,IF(G1441="","",0))</f>
        <v/>
      </c>
      <c r="G1441" s="14"/>
      <c r="H1441" s="6">
        <v>1064</v>
      </c>
      <c r="I1441" s="15" t="s">
        <v>3120</v>
      </c>
      <c r="J1441" s="6" t="s">
        <v>4190</v>
      </c>
      <c r="K1441" s="6"/>
      <c r="L1441" s="6" t="s">
        <v>1172</v>
      </c>
      <c r="M1441" s="6" t="s">
        <v>7172</v>
      </c>
      <c r="N1441" s="7">
        <f ca="1">RAND()</f>
        <v>0.34477302156991896</v>
      </c>
      <c r="O1441" s="8">
        <v>45205</v>
      </c>
      <c r="P1441" s="8">
        <v>45206</v>
      </c>
      <c r="Q1441" s="8">
        <v>45208</v>
      </c>
      <c r="R1441" s="8">
        <v>45212</v>
      </c>
      <c r="S1441" s="8">
        <v>45219</v>
      </c>
      <c r="T1441" s="8">
        <v>45231</v>
      </c>
      <c r="U1441" s="8">
        <v>45823</v>
      </c>
      <c r="V1441" s="10">
        <f>COUNTA(O1441:U1441)</f>
        <v>7</v>
      </c>
      <c r="W1441" s="11">
        <f>_xlfn.IFNA(INDEX(reading[[#This Row],[Memo 01]:[Memo 07]],MATCH(0,reading[[#This Row],[Memo 01]:[Memo 07]],-1)),"")</f>
        <v>45823</v>
      </c>
      <c r="X1441" s="11">
        <f ca="1">IFERROR(reading[[#This Row],[Previous]]+OFFSET(reading[[#Headers],[Memo 01]],-1,MATCH(0,reading[[#This Row],[Memo 01]:[Memo 07]],-1)-1),"")</f>
        <v>55823</v>
      </c>
      <c r="Y1441" s="10" t="str">
        <f ca="1">IF(reading[[#This Row],[Next]]&lt;&gt;"",IF(reading[[#This Row],[Next]]&gt;TODAY(),"OK",""),"")</f>
        <v>OK</v>
      </c>
      <c r="Z1441" s="13">
        <v>3</v>
      </c>
      <c r="AA1441" s="13">
        <v>3</v>
      </c>
      <c r="AB1441" s="13">
        <v>2</v>
      </c>
      <c r="AC1441" s="13">
        <v>3</v>
      </c>
      <c r="AD1441" s="13">
        <v>3</v>
      </c>
      <c r="AE1441" s="13">
        <v>3</v>
      </c>
      <c r="AF1441" s="13">
        <v>3</v>
      </c>
      <c r="AG1441" s="16">
        <f>IFERROR(SUMIF(reading[[#This Row],[1st]:[7th]],"&gt;0")/COUNTIF(reading[[#This Row],[1st]:[7th]],"&gt;0"),"")</f>
        <v>2.8571428571428572</v>
      </c>
    </row>
    <row r="1442" spans="1:33" hidden="1" x14ac:dyDescent="0.2">
      <c r="A1442" s="4">
        <f>IF(B1442=1,3,IF(D1442=1,2,IF(F1442=1,1,0)))</f>
        <v>0</v>
      </c>
      <c r="B1442" s="4" t="str">
        <f>IF(C1442=$L1442,1,IF(C1442="","",0))</f>
        <v/>
      </c>
      <c r="C1442" s="42"/>
      <c r="D1442" s="4" t="str">
        <f>IF(E1442=$L1442,1,IF(E1442="","",0))</f>
        <v/>
      </c>
      <c r="E1442" s="14"/>
      <c r="F1442" s="4" t="str">
        <f>IF(G1442=$L1442,1,IF(G1442="","",0))</f>
        <v/>
      </c>
      <c r="G1442" s="14"/>
      <c r="H1442" s="6">
        <v>2305</v>
      </c>
      <c r="I1442" s="15" t="s">
        <v>3120</v>
      </c>
      <c r="J1442" s="6" t="s">
        <v>5383</v>
      </c>
      <c r="K1442" s="6"/>
      <c r="L1442" s="6" t="s">
        <v>2363</v>
      </c>
      <c r="M1442" s="6" t="s">
        <v>8410</v>
      </c>
      <c r="N1442" s="7">
        <f ca="1">RAND()</f>
        <v>0.66990496312171943</v>
      </c>
      <c r="O1442" s="8">
        <v>45216</v>
      </c>
      <c r="P1442" s="8">
        <v>45217</v>
      </c>
      <c r="Q1442" s="8">
        <v>45219</v>
      </c>
      <c r="R1442" s="8">
        <v>45223</v>
      </c>
      <c r="S1442" s="8">
        <v>45230</v>
      </c>
      <c r="T1442" s="8">
        <v>45823</v>
      </c>
      <c r="U1442" s="8"/>
      <c r="V1442" s="10">
        <f>COUNTA(O1442:U1442)</f>
        <v>6</v>
      </c>
      <c r="W1442" s="11">
        <f>_xlfn.IFNA(INDEX(reading[[#This Row],[Memo 01]:[Memo 07]],MATCH(0,reading[[#This Row],[Memo 01]:[Memo 07]],-1)),"")</f>
        <v>45823</v>
      </c>
      <c r="X1442" s="11">
        <f ca="1">IFERROR(reading[[#This Row],[Previous]]+OFFSET(reading[[#Headers],[Memo 01]],-1,MATCH(0,reading[[#This Row],[Memo 01]:[Memo 07]],-1)-1),"")</f>
        <v>45843</v>
      </c>
      <c r="Y1442" s="10" t="str">
        <f ca="1">IF(reading[[#This Row],[Next]]&lt;&gt;"",IF(reading[[#This Row],[Next]]&gt;TODAY(),"OK",""),"")</f>
        <v>OK</v>
      </c>
      <c r="Z1442" s="13">
        <v>3</v>
      </c>
      <c r="AA1442" s="13">
        <v>3</v>
      </c>
      <c r="AB1442" s="13">
        <v>3</v>
      </c>
      <c r="AC1442" s="13">
        <v>3</v>
      </c>
      <c r="AD1442" s="13">
        <v>3</v>
      </c>
      <c r="AE1442" s="13">
        <v>3</v>
      </c>
      <c r="AF1442" s="13"/>
      <c r="AG1442" s="16">
        <f>IFERROR(SUMIF(reading[[#This Row],[1st]:[7th]],"&gt;0")/COUNTIF(reading[[#This Row],[1st]:[7th]],"&gt;0"),"")</f>
        <v>3</v>
      </c>
    </row>
    <row r="1443" spans="1:33" hidden="1" x14ac:dyDescent="0.2">
      <c r="A1443" s="4">
        <f>IF(B1443=1,3,IF(D1443=1,2,IF(F1443=1,1,0)))</f>
        <v>3</v>
      </c>
      <c r="B1443" s="4">
        <f>IF(C1443=$L1443,1,IF(C1443="","",0))</f>
        <v>1</v>
      </c>
      <c r="C1443" s="29" t="s">
        <v>3149</v>
      </c>
      <c r="D1443" s="4" t="str">
        <f>IF(E1443=$L1443,1,IF(E1443="","",0))</f>
        <v/>
      </c>
      <c r="E1443" s="14"/>
      <c r="F1443" s="4" t="str">
        <f>IF(G1443=$L1443,1,IF(G1443="","",0))</f>
        <v/>
      </c>
      <c r="G1443" s="14"/>
      <c r="H1443" s="6">
        <v>1447</v>
      </c>
      <c r="I1443" s="15" t="s">
        <v>3120</v>
      </c>
      <c r="J1443" s="6" t="s">
        <v>4561</v>
      </c>
      <c r="K1443" s="6"/>
      <c r="L1443" s="6" t="s">
        <v>33</v>
      </c>
      <c r="M1443" s="6" t="s">
        <v>7554</v>
      </c>
      <c r="N1443" s="7">
        <f ca="1">RAND()</f>
        <v>0.55303786879094063</v>
      </c>
      <c r="O1443" s="8">
        <v>45208</v>
      </c>
      <c r="P1443" s="8">
        <v>45208</v>
      </c>
      <c r="Q1443" s="8">
        <v>45208</v>
      </c>
      <c r="R1443" s="8">
        <v>45208</v>
      </c>
      <c r="S1443" s="8">
        <v>45208</v>
      </c>
      <c r="T1443" s="8">
        <v>45208</v>
      </c>
      <c r="U1443" s="8">
        <v>45208</v>
      </c>
      <c r="V1443" s="10">
        <f>COUNTA(O1443:U1443)</f>
        <v>7</v>
      </c>
      <c r="W1443" s="11">
        <f>_xlfn.IFNA(INDEX(reading[[#This Row],[Memo 01]:[Memo 07]],MATCH(0,reading[[#This Row],[Memo 01]:[Memo 07]],-1)),"")</f>
        <v>45208</v>
      </c>
      <c r="X1443" s="11">
        <f ca="1">IFERROR(reading[[#This Row],[Previous]]+OFFSET(reading[[#Headers],[Memo 01]],-1,MATCH(0,reading[[#This Row],[Memo 01]:[Memo 07]],-1)-1),"")</f>
        <v>55208</v>
      </c>
      <c r="Y1443" s="10" t="str">
        <f ca="1">IF(reading[[#This Row],[Next]]&lt;&gt;"",IF(reading[[#This Row],[Next]]&gt;TODAY(),"OK",""),"")</f>
        <v>OK</v>
      </c>
      <c r="Z1443" s="13">
        <v>3</v>
      </c>
      <c r="AA1443" s="13"/>
      <c r="AB1443" s="13"/>
      <c r="AC1443" s="13"/>
      <c r="AD1443" s="13"/>
      <c r="AE1443" s="13"/>
      <c r="AF1443" s="13"/>
      <c r="AG1443" s="16">
        <f>IFERROR(SUMIF(reading[[#This Row],[1st]:[7th]],"&gt;0")/COUNTIF(reading[[#This Row],[1st]:[7th]],"&gt;0"),"")</f>
        <v>3</v>
      </c>
    </row>
    <row r="1444" spans="1:33" hidden="1" x14ac:dyDescent="0.2">
      <c r="A1444" s="4">
        <f>IF(B1444=1,3,IF(D1444=1,2,IF(F1444=1,1,0)))</f>
        <v>0</v>
      </c>
      <c r="B1444" s="4" t="str">
        <f>IF(C1444=$L1444,1,IF(C1444="","",0))</f>
        <v/>
      </c>
      <c r="C1444" s="42"/>
      <c r="D1444" s="4" t="str">
        <f>IF(E1444=$L1444,1,IF(E1444="","",0))</f>
        <v/>
      </c>
      <c r="E1444" s="23"/>
      <c r="F1444" s="4" t="str">
        <f>IF(G1444=$L1444,1,IF(G1444="","",0))</f>
        <v/>
      </c>
      <c r="G1444" s="14"/>
      <c r="H1444" s="6">
        <v>2507</v>
      </c>
      <c r="I1444" s="15" t="s">
        <v>3120</v>
      </c>
      <c r="J1444" s="6" t="s">
        <v>5572</v>
      </c>
      <c r="K1444" s="6"/>
      <c r="L1444" s="6" t="s">
        <v>2553</v>
      </c>
      <c r="M1444" s="6" t="s">
        <v>8612</v>
      </c>
      <c r="N1444" s="7">
        <f ca="1">RAND()</f>
        <v>0.39310037459720515</v>
      </c>
      <c r="O1444" s="8">
        <v>45219</v>
      </c>
      <c r="P1444" s="8">
        <v>45220</v>
      </c>
      <c r="Q1444" s="8">
        <v>45222</v>
      </c>
      <c r="R1444" s="8">
        <v>45226</v>
      </c>
      <c r="S1444" s="8">
        <v>45233</v>
      </c>
      <c r="T1444" s="8">
        <v>45816</v>
      </c>
      <c r="U1444" s="8"/>
      <c r="V1444" s="10">
        <f>COUNTA(O1444:U1444)</f>
        <v>6</v>
      </c>
      <c r="W1444" s="11">
        <f>_xlfn.IFNA(INDEX(reading[[#This Row],[Memo 01]:[Memo 07]],MATCH(0,reading[[#This Row],[Memo 01]:[Memo 07]],-1)),"")</f>
        <v>45816</v>
      </c>
      <c r="X1444" s="11">
        <f ca="1">IFERROR(reading[[#This Row],[Previous]]+OFFSET(reading[[#Headers],[Memo 01]],-1,MATCH(0,reading[[#This Row],[Memo 01]:[Memo 07]],-1)-1),"")</f>
        <v>45836</v>
      </c>
      <c r="Y1444" s="10" t="str">
        <f ca="1">IF(reading[[#This Row],[Next]]&lt;&gt;"",IF(reading[[#This Row],[Next]]&gt;TODAY(),"OK",""),"")</f>
        <v>OK</v>
      </c>
      <c r="Z1444" s="13">
        <v>3</v>
      </c>
      <c r="AA1444" s="13">
        <v>3</v>
      </c>
      <c r="AB1444" s="13">
        <v>3</v>
      </c>
      <c r="AC1444" s="13">
        <v>3</v>
      </c>
      <c r="AD1444" s="13">
        <v>3</v>
      </c>
      <c r="AE1444" s="13">
        <v>2</v>
      </c>
      <c r="AF1444" s="13"/>
      <c r="AG1444" s="16">
        <f>IFERROR(SUMIF(reading[[#This Row],[1st]:[7th]],"&gt;0")/COUNTIF(reading[[#This Row],[1st]:[7th]],"&gt;0"),"")</f>
        <v>2.8333333333333335</v>
      </c>
    </row>
    <row r="1445" spans="1:33" hidden="1" x14ac:dyDescent="0.2">
      <c r="A1445" s="4">
        <f>IF(B1445=1,3,IF(D1445=1,2,IF(F1445=1,1,0)))</f>
        <v>0</v>
      </c>
      <c r="B1445" s="4" t="str">
        <f>IF(C1445=$L1445,1,IF(C1445="","",0))</f>
        <v/>
      </c>
      <c r="C1445" s="42"/>
      <c r="D1445" s="4" t="str">
        <f>IF(E1445=$L1445,1,IF(E1445="","",0))</f>
        <v/>
      </c>
      <c r="E1445" s="23"/>
      <c r="F1445" s="4" t="str">
        <f>IF(G1445=$L1445,1,IF(G1445="","",0))</f>
        <v/>
      </c>
      <c r="G1445" s="14"/>
      <c r="H1445" s="6">
        <v>1571</v>
      </c>
      <c r="I1445" s="15" t="s">
        <v>3120</v>
      </c>
      <c r="J1445" s="6" t="s">
        <v>4684</v>
      </c>
      <c r="K1445" s="6"/>
      <c r="L1445" s="6" t="s">
        <v>1656</v>
      </c>
      <c r="M1445" s="6" t="s">
        <v>7677</v>
      </c>
      <c r="N1445" s="7">
        <f ca="1">RAND()</f>
        <v>0.82920879863833963</v>
      </c>
      <c r="O1445" s="8">
        <v>45209</v>
      </c>
      <c r="P1445" s="8">
        <v>45210</v>
      </c>
      <c r="Q1445" s="8">
        <v>45213</v>
      </c>
      <c r="R1445" s="8">
        <v>45217</v>
      </c>
      <c r="S1445" s="8">
        <v>45224</v>
      </c>
      <c r="T1445" s="8">
        <v>45236</v>
      </c>
      <c r="U1445" s="8">
        <v>45829</v>
      </c>
      <c r="V1445" s="10">
        <f>COUNTA(O1445:U1445)</f>
        <v>7</v>
      </c>
      <c r="W1445" s="11">
        <f>_xlfn.IFNA(INDEX(reading[[#This Row],[Memo 01]:[Memo 07]],MATCH(0,reading[[#This Row],[Memo 01]:[Memo 07]],-1)),"")</f>
        <v>45829</v>
      </c>
      <c r="X1445" s="11">
        <f ca="1">IFERROR(reading[[#This Row],[Previous]]+OFFSET(reading[[#Headers],[Memo 01]],-1,MATCH(0,reading[[#This Row],[Memo 01]:[Memo 07]],-1)-1),"")</f>
        <v>55829</v>
      </c>
      <c r="Y1445" s="10" t="str">
        <f ca="1">IF(reading[[#This Row],[Next]]&lt;&gt;"",IF(reading[[#This Row],[Next]]&gt;TODAY(),"OK",""),"")</f>
        <v>OK</v>
      </c>
      <c r="Z1445" s="13">
        <v>3</v>
      </c>
      <c r="AA1445" s="13">
        <v>3</v>
      </c>
      <c r="AB1445" s="13">
        <v>2</v>
      </c>
      <c r="AC1445" s="13">
        <v>3</v>
      </c>
      <c r="AD1445" s="13">
        <v>3</v>
      </c>
      <c r="AE1445" s="13">
        <v>3</v>
      </c>
      <c r="AF1445" s="13">
        <v>2</v>
      </c>
      <c r="AG1445" s="16">
        <f>IFERROR(SUMIF(reading[[#This Row],[1st]:[7th]],"&gt;0")/COUNTIF(reading[[#This Row],[1st]:[7th]],"&gt;0"),"")</f>
        <v>2.7142857142857144</v>
      </c>
    </row>
    <row r="1446" spans="1:33" hidden="1" x14ac:dyDescent="0.2">
      <c r="A1446" s="4">
        <f>IF(B1446=1,3,IF(D1446=1,2,IF(F1446=1,1,0)))</f>
        <v>0</v>
      </c>
      <c r="B1446" s="4">
        <f>IF(C1446=$L1446,1,IF(C1446="","",0))</f>
        <v>0</v>
      </c>
      <c r="C1446" s="42" t="s">
        <v>9200</v>
      </c>
      <c r="D1446" s="4">
        <f>IF(E1446=$L1446,1,IF(E1446="","",0))</f>
        <v>0</v>
      </c>
      <c r="E1446" s="23" t="s">
        <v>9200</v>
      </c>
      <c r="F1446" s="4" t="str">
        <f>IF(G1446=$L1446,1,IF(G1446="","",0))</f>
        <v/>
      </c>
      <c r="G1446" s="14"/>
      <c r="H1446" s="6">
        <v>1941</v>
      </c>
      <c r="I1446" s="15" t="s">
        <v>3120</v>
      </c>
      <c r="J1446" s="6" t="s">
        <v>5040</v>
      </c>
      <c r="K1446" s="6"/>
      <c r="L1446" s="6" t="s">
        <v>2017</v>
      </c>
      <c r="M1446" s="6" t="s">
        <v>8047</v>
      </c>
      <c r="N1446" s="7">
        <f ca="1">RAND()</f>
        <v>2.53775331720133E-2</v>
      </c>
      <c r="O1446" s="8">
        <v>45213</v>
      </c>
      <c r="P1446" s="8">
        <v>45214</v>
      </c>
      <c r="Q1446" s="8">
        <v>45216</v>
      </c>
      <c r="R1446" s="8">
        <v>45220</v>
      </c>
      <c r="S1446" s="8">
        <v>45227</v>
      </c>
      <c r="T1446" s="8"/>
      <c r="U1446" s="8"/>
      <c r="V1446" s="10">
        <f>COUNTA(O1446:U1446)</f>
        <v>5</v>
      </c>
      <c r="W1446" s="11">
        <f>_xlfn.IFNA(INDEX(reading[[#This Row],[Memo 01]:[Memo 07]],MATCH(0,reading[[#This Row],[Memo 01]:[Memo 07]],-1)),"")</f>
        <v>45227</v>
      </c>
      <c r="X1446" s="11">
        <f ca="1">IFERROR(reading[[#This Row],[Previous]]+OFFSET(reading[[#Headers],[Memo 01]],-1,MATCH(0,reading[[#This Row],[Memo 01]:[Memo 07]],-1)-1),"")</f>
        <v>45239</v>
      </c>
      <c r="Y1446" s="10" t="str">
        <f ca="1">IF(reading[[#This Row],[Next]]&lt;&gt;"",IF(reading[[#This Row],[Next]]&gt;TODAY(),"OK",""),"")</f>
        <v/>
      </c>
      <c r="Z1446" s="13">
        <v>3</v>
      </c>
      <c r="AA1446" s="13">
        <v>3</v>
      </c>
      <c r="AB1446" s="13">
        <v>3</v>
      </c>
      <c r="AC1446" s="13">
        <v>3</v>
      </c>
      <c r="AD1446" s="13">
        <v>3</v>
      </c>
      <c r="AE1446" s="13"/>
      <c r="AF1446" s="13"/>
      <c r="AG1446" s="16">
        <f>IFERROR(SUMIF(reading[[#This Row],[1st]:[7th]],"&gt;0")/COUNTIF(reading[[#This Row],[1st]:[7th]],"&gt;0"),"")</f>
        <v>3</v>
      </c>
    </row>
    <row r="1447" spans="1:33" hidden="1" x14ac:dyDescent="0.2">
      <c r="A1447" s="4">
        <f>IF(B1447=1,3,IF(D1447=1,2,IF(F1447=1,1,0)))</f>
        <v>3</v>
      </c>
      <c r="B1447" s="4">
        <f>IF(C1447=$L1447,1,IF(C1447="","",0))</f>
        <v>1</v>
      </c>
      <c r="C1447" s="29" t="s">
        <v>3146</v>
      </c>
      <c r="D1447" s="4" t="str">
        <f>IF(E1447=$L1447,1,IF(E1447="","",0))</f>
        <v/>
      </c>
      <c r="E1447" s="14"/>
      <c r="F1447" s="4" t="str">
        <f>IF(G1447=$L1447,1,IF(G1447="","",0))</f>
        <v/>
      </c>
      <c r="G1447" s="14"/>
      <c r="H1447" s="6">
        <v>1451</v>
      </c>
      <c r="I1447" s="15" t="s">
        <v>3120</v>
      </c>
      <c r="J1447" s="6" t="s">
        <v>4565</v>
      </c>
      <c r="K1447" s="6"/>
      <c r="L1447" s="6" t="s">
        <v>1540</v>
      </c>
      <c r="M1447" s="6" t="s">
        <v>7558</v>
      </c>
      <c r="N1447" s="7">
        <f ca="1">RAND()</f>
        <v>0.54722301408878593</v>
      </c>
      <c r="O1447" s="8">
        <v>45208</v>
      </c>
      <c r="P1447" s="8">
        <v>45208</v>
      </c>
      <c r="Q1447" s="8">
        <v>45208</v>
      </c>
      <c r="R1447" s="8">
        <v>45208</v>
      </c>
      <c r="S1447" s="8">
        <v>45208</v>
      </c>
      <c r="T1447" s="8">
        <v>45208</v>
      </c>
      <c r="U1447" s="8">
        <v>45208</v>
      </c>
      <c r="V1447" s="10">
        <f>COUNTA(O1447:U1447)</f>
        <v>7</v>
      </c>
      <c r="W1447" s="11">
        <f>_xlfn.IFNA(INDEX(reading[[#This Row],[Memo 01]:[Memo 07]],MATCH(0,reading[[#This Row],[Memo 01]:[Memo 07]],-1)),"")</f>
        <v>45208</v>
      </c>
      <c r="X1447" s="11">
        <f ca="1">IFERROR(reading[[#This Row],[Previous]]+OFFSET(reading[[#Headers],[Memo 01]],-1,MATCH(0,reading[[#This Row],[Memo 01]:[Memo 07]],-1)-1),"")</f>
        <v>55208</v>
      </c>
      <c r="Y1447" s="10" t="str">
        <f ca="1">IF(reading[[#This Row],[Next]]&lt;&gt;"",IF(reading[[#This Row],[Next]]&gt;TODAY(),"OK",""),"")</f>
        <v>OK</v>
      </c>
      <c r="Z1447" s="13">
        <v>3</v>
      </c>
      <c r="AA1447" s="13"/>
      <c r="AB1447" s="13"/>
      <c r="AC1447" s="13"/>
      <c r="AD1447" s="13"/>
      <c r="AE1447" s="13"/>
      <c r="AF1447" s="13"/>
      <c r="AG1447" s="16">
        <f>IFERROR(SUMIF(reading[[#This Row],[1st]:[7th]],"&gt;0")/COUNTIF(reading[[#This Row],[1st]:[7th]],"&gt;0"),"")</f>
        <v>3</v>
      </c>
    </row>
    <row r="1448" spans="1:33" hidden="1" x14ac:dyDescent="0.2">
      <c r="A1448" s="4">
        <f>IF(B1448=1,3,IF(D1448=1,2,IF(F1448=1,1,0)))</f>
        <v>0</v>
      </c>
      <c r="B1448" s="4" t="str">
        <f>IF(C1448=$L1448,1,IF(C1448="","",0))</f>
        <v/>
      </c>
      <c r="C1448" s="42"/>
      <c r="D1448" s="4" t="str">
        <f>IF(E1448=$L1448,1,IF(E1448="","",0))</f>
        <v/>
      </c>
      <c r="E1448" s="14"/>
      <c r="F1448" s="4" t="str">
        <f>IF(G1448=$L1448,1,IF(G1448="","",0))</f>
        <v/>
      </c>
      <c r="G1448" s="14"/>
      <c r="H1448" s="6">
        <v>1511</v>
      </c>
      <c r="I1448" s="15" t="s">
        <v>3120</v>
      </c>
      <c r="J1448" s="6" t="s">
        <v>4624</v>
      </c>
      <c r="K1448" s="6"/>
      <c r="L1448" s="6" t="s">
        <v>1596</v>
      </c>
      <c r="M1448" s="6" t="s">
        <v>7618</v>
      </c>
      <c r="N1448" s="7">
        <f ca="1">RAND()</f>
        <v>0.90135728623126665</v>
      </c>
      <c r="O1448" s="8">
        <v>45209</v>
      </c>
      <c r="P1448" s="8">
        <v>45210</v>
      </c>
      <c r="Q1448" s="8">
        <v>45212</v>
      </c>
      <c r="R1448" s="8">
        <v>45216</v>
      </c>
      <c r="S1448" s="8">
        <v>45223</v>
      </c>
      <c r="T1448" s="8">
        <v>45235</v>
      </c>
      <c r="U1448" s="8">
        <v>45823</v>
      </c>
      <c r="V1448" s="10">
        <f>COUNTA(O1448:U1448)</f>
        <v>7</v>
      </c>
      <c r="W1448" s="11">
        <f>_xlfn.IFNA(INDEX(reading[[#This Row],[Memo 01]:[Memo 07]],MATCH(0,reading[[#This Row],[Memo 01]:[Memo 07]],-1)),"")</f>
        <v>45823</v>
      </c>
      <c r="X1448" s="11">
        <f ca="1">IFERROR(reading[[#This Row],[Previous]]+OFFSET(reading[[#Headers],[Memo 01]],-1,MATCH(0,reading[[#This Row],[Memo 01]:[Memo 07]],-1)-1),"")</f>
        <v>55823</v>
      </c>
      <c r="Y1448" s="10" t="str">
        <f ca="1">IF(reading[[#This Row],[Next]]&lt;&gt;"",IF(reading[[#This Row],[Next]]&gt;TODAY(),"OK",""),"")</f>
        <v>OK</v>
      </c>
      <c r="Z1448" s="13">
        <v>3</v>
      </c>
      <c r="AA1448" s="13">
        <v>3</v>
      </c>
      <c r="AB1448" s="13">
        <v>3</v>
      </c>
      <c r="AC1448" s="13">
        <v>3</v>
      </c>
      <c r="AD1448" s="13">
        <v>3</v>
      </c>
      <c r="AE1448" s="13">
        <v>3</v>
      </c>
      <c r="AF1448" s="13">
        <v>3</v>
      </c>
      <c r="AG1448" s="16">
        <f>IFERROR(SUMIF(reading[[#This Row],[1st]:[7th]],"&gt;0")/COUNTIF(reading[[#This Row],[1st]:[7th]],"&gt;0"),"")</f>
        <v>3</v>
      </c>
    </row>
    <row r="1449" spans="1:33" hidden="1" x14ac:dyDescent="0.2">
      <c r="A1449" s="4">
        <f>IF(B1449=1,3,IF(D1449=1,2,IF(F1449=1,1,0)))</f>
        <v>0</v>
      </c>
      <c r="B1449" s="4" t="str">
        <f>IF(C1449=$L1449,1,IF(C1449="","",0))</f>
        <v/>
      </c>
      <c r="C1449" s="41"/>
      <c r="D1449" s="4" t="str">
        <f>IF(E1449=$L1449,1,IF(E1449="","",0))</f>
        <v/>
      </c>
      <c r="E1449" s="18"/>
      <c r="F1449" s="4" t="str">
        <f>IF(G1449=$L1449,1,IF(G1449="","",0))</f>
        <v/>
      </c>
      <c r="G1449" s="18"/>
      <c r="H1449" s="6">
        <v>124</v>
      </c>
      <c r="I1449" s="15" t="s">
        <v>3120</v>
      </c>
      <c r="J1449" s="6" t="s">
        <v>3273</v>
      </c>
      <c r="K1449" s="15" t="s">
        <v>3138</v>
      </c>
      <c r="L1449" s="6" t="s">
        <v>261</v>
      </c>
      <c r="M1449" s="6" t="s">
        <v>6233</v>
      </c>
      <c r="N1449" s="7">
        <f ca="1">RAND()</f>
        <v>0.1180140574349684</v>
      </c>
      <c r="O1449" s="8">
        <v>45199</v>
      </c>
      <c r="P1449" s="8">
        <v>45200</v>
      </c>
      <c r="Q1449" s="8">
        <v>45202</v>
      </c>
      <c r="R1449" s="8">
        <v>45206</v>
      </c>
      <c r="S1449" s="8">
        <v>45213</v>
      </c>
      <c r="T1449" s="8">
        <v>45226</v>
      </c>
      <c r="U1449" s="8">
        <v>45249</v>
      </c>
      <c r="V1449" s="10">
        <f>COUNTA(O1449:U1449)</f>
        <v>7</v>
      </c>
      <c r="W1449" s="11">
        <f>_xlfn.IFNA(INDEX(reading[[#This Row],[Memo 01]:[Memo 07]],MATCH(0,reading[[#This Row],[Memo 01]:[Memo 07]],-1)),"")</f>
        <v>45249</v>
      </c>
      <c r="X1449" s="11">
        <f ca="1">IFERROR(reading[[#This Row],[Previous]]+OFFSET(reading[[#Headers],[Memo 01]],-1,MATCH(0,reading[[#This Row],[Memo 01]:[Memo 07]],-1)-1),"")</f>
        <v>55249</v>
      </c>
      <c r="Y1449" s="10" t="str">
        <f ca="1">IF(reading[[#This Row],[Next]]&lt;&gt;"",IF(reading[[#This Row],[Next]]&gt;TODAY(),"OK",""),"")</f>
        <v>OK</v>
      </c>
      <c r="Z1449" s="13">
        <v>3</v>
      </c>
      <c r="AA1449" s="13">
        <v>2</v>
      </c>
      <c r="AB1449" s="13">
        <v>3</v>
      </c>
      <c r="AC1449" s="13">
        <v>3</v>
      </c>
      <c r="AD1449" s="13">
        <v>2</v>
      </c>
      <c r="AE1449" s="13">
        <v>1</v>
      </c>
      <c r="AF1449" s="13">
        <v>2</v>
      </c>
      <c r="AG1449" s="16">
        <f>IFERROR(SUMIF(reading[[#This Row],[1st]:[7th]],"&gt;0")/COUNTIF(reading[[#This Row],[1st]:[7th]],"&gt;0"),"")</f>
        <v>2.2857142857142856</v>
      </c>
    </row>
    <row r="1450" spans="1:33" hidden="1" x14ac:dyDescent="0.2">
      <c r="A1450" s="4">
        <f>IF(B1450=1,3,IF(D1450=1,2,IF(F1450=1,1,0)))</f>
        <v>0</v>
      </c>
      <c r="B1450" s="4" t="str">
        <f>IF(C1450=$L1450,1,IF(C1450="","",0))</f>
        <v/>
      </c>
      <c r="C1450" s="42"/>
      <c r="D1450" s="4" t="str">
        <f>IF(E1450=$L1450,1,IF(E1450="","",0))</f>
        <v/>
      </c>
      <c r="E1450" s="14"/>
      <c r="F1450" s="4" t="str">
        <f>IF(G1450=$L1450,1,IF(G1450="","",0))</f>
        <v/>
      </c>
      <c r="G1450" s="14"/>
      <c r="H1450" s="6">
        <v>2145</v>
      </c>
      <c r="I1450" s="15" t="s">
        <v>3120</v>
      </c>
      <c r="J1450" s="6" t="s">
        <v>5233</v>
      </c>
      <c r="K1450" s="6"/>
      <c r="L1450" s="6" t="s">
        <v>2212</v>
      </c>
      <c r="M1450" s="6" t="s">
        <v>8251</v>
      </c>
      <c r="N1450" s="7">
        <f ca="1">RAND()</f>
        <v>0.88568411257756563</v>
      </c>
      <c r="O1450" s="8">
        <v>45214</v>
      </c>
      <c r="P1450" s="8">
        <v>45215</v>
      </c>
      <c r="Q1450" s="8">
        <v>45217</v>
      </c>
      <c r="R1450" s="8">
        <v>45221</v>
      </c>
      <c r="S1450" s="8">
        <v>45228</v>
      </c>
      <c r="T1450" s="8">
        <v>45792</v>
      </c>
      <c r="U1450" s="8">
        <v>45827</v>
      </c>
      <c r="V1450" s="10">
        <f>COUNTA(O1450:U1450)</f>
        <v>7</v>
      </c>
      <c r="W1450" s="11">
        <f>_xlfn.IFNA(INDEX(reading[[#This Row],[Memo 01]:[Memo 07]],MATCH(0,reading[[#This Row],[Memo 01]:[Memo 07]],-1)),"")</f>
        <v>45827</v>
      </c>
      <c r="X1450" s="11">
        <f ca="1">IFERROR(reading[[#This Row],[Previous]]+OFFSET(reading[[#Headers],[Memo 01]],-1,MATCH(0,reading[[#This Row],[Memo 01]:[Memo 07]],-1)-1),"")</f>
        <v>55827</v>
      </c>
      <c r="Y1450" s="10" t="str">
        <f ca="1">IF(reading[[#This Row],[Next]]&lt;&gt;"",IF(reading[[#This Row],[Next]]&gt;TODAY(),"OK",""),"")</f>
        <v>OK</v>
      </c>
      <c r="Z1450" s="13">
        <v>3</v>
      </c>
      <c r="AA1450" s="13">
        <v>3</v>
      </c>
      <c r="AB1450" s="13">
        <v>3</v>
      </c>
      <c r="AC1450" s="13">
        <v>3</v>
      </c>
      <c r="AD1450" s="13">
        <v>3</v>
      </c>
      <c r="AE1450" s="13">
        <v>3</v>
      </c>
      <c r="AF1450" s="13">
        <v>3</v>
      </c>
      <c r="AG1450" s="16">
        <f>IFERROR(SUMIF(reading[[#This Row],[1st]:[7th]],"&gt;0")/COUNTIF(reading[[#This Row],[1st]:[7th]],"&gt;0"),"")</f>
        <v>3</v>
      </c>
    </row>
    <row r="1451" spans="1:33" hidden="1" x14ac:dyDescent="0.2">
      <c r="A1451" s="4">
        <f>IF(B1451=1,3,IF(D1451=1,2,IF(F1451=1,1,0)))</f>
        <v>0</v>
      </c>
      <c r="B1451" s="4" t="str">
        <f>IF(C1451=$L1451,1,IF(C1451="","",0))</f>
        <v/>
      </c>
      <c r="C1451" s="42"/>
      <c r="D1451" s="4" t="str">
        <f>IF(E1451=$L1451,1,IF(E1451="","",0))</f>
        <v/>
      </c>
      <c r="E1451" s="14"/>
      <c r="F1451" s="4" t="str">
        <f>IF(G1451=$L1451,1,IF(G1451="","",0))</f>
        <v/>
      </c>
      <c r="G1451" s="14"/>
      <c r="H1451" s="6">
        <v>1300</v>
      </c>
      <c r="I1451" s="15" t="s">
        <v>3120</v>
      </c>
      <c r="J1451" s="6" t="s">
        <v>4417</v>
      </c>
      <c r="K1451" s="6"/>
      <c r="L1451" s="6" t="s">
        <v>1397</v>
      </c>
      <c r="M1451" s="6" t="s">
        <v>7407</v>
      </c>
      <c r="N1451" s="7">
        <f ca="1">RAND()</f>
        <v>0.84739965811188811</v>
      </c>
      <c r="O1451" s="8">
        <v>45207</v>
      </c>
      <c r="P1451" s="8">
        <v>45208</v>
      </c>
      <c r="Q1451" s="8">
        <v>45210</v>
      </c>
      <c r="R1451" s="8">
        <v>45214</v>
      </c>
      <c r="S1451" s="8">
        <v>45221</v>
      </c>
      <c r="T1451" s="8">
        <v>45233</v>
      </c>
      <c r="U1451" s="8">
        <v>45823</v>
      </c>
      <c r="V1451" s="10">
        <f>COUNTA(O1451:U1451)</f>
        <v>7</v>
      </c>
      <c r="W1451" s="11">
        <f>_xlfn.IFNA(INDEX(reading[[#This Row],[Memo 01]:[Memo 07]],MATCH(0,reading[[#This Row],[Memo 01]:[Memo 07]],-1)),"")</f>
        <v>45823</v>
      </c>
      <c r="X1451" s="11">
        <f ca="1">IFERROR(reading[[#This Row],[Previous]]+OFFSET(reading[[#Headers],[Memo 01]],-1,MATCH(0,reading[[#This Row],[Memo 01]:[Memo 07]],-1)-1),"")</f>
        <v>55823</v>
      </c>
      <c r="Y1451" s="10" t="str">
        <f ca="1">IF(reading[[#This Row],[Next]]&lt;&gt;"",IF(reading[[#This Row],[Next]]&gt;TODAY(),"OK",""),"")</f>
        <v>OK</v>
      </c>
      <c r="Z1451" s="13">
        <v>3</v>
      </c>
      <c r="AA1451" s="13">
        <v>3</v>
      </c>
      <c r="AB1451" s="13">
        <v>3</v>
      </c>
      <c r="AC1451" s="13">
        <v>3</v>
      </c>
      <c r="AD1451" s="13">
        <v>3</v>
      </c>
      <c r="AE1451" s="13">
        <v>3</v>
      </c>
      <c r="AF1451" s="13">
        <v>3</v>
      </c>
      <c r="AG1451" s="16">
        <f>IFERROR(SUMIF(reading[[#This Row],[1st]:[7th]],"&gt;0")/COUNTIF(reading[[#This Row],[1st]:[7th]],"&gt;0"),"")</f>
        <v>3</v>
      </c>
    </row>
    <row r="1452" spans="1:33" hidden="1" x14ac:dyDescent="0.2">
      <c r="A1452" s="4">
        <f>IF(B1452=1,3,IF(D1452=1,2,IF(F1452=1,1,0)))</f>
        <v>0</v>
      </c>
      <c r="B1452" s="4" t="str">
        <f>IF(C1452=$L1452,1,IF(C1452="","",0))</f>
        <v/>
      </c>
      <c r="C1452" s="42"/>
      <c r="D1452" s="4" t="str">
        <f>IF(E1452=$L1452,1,IF(E1452="","",0))</f>
        <v/>
      </c>
      <c r="E1452" s="43"/>
      <c r="F1452" s="4" t="str">
        <f>IF(G1452=$L1452,1,IF(G1452="","",0))</f>
        <v/>
      </c>
      <c r="G1452" s="14"/>
      <c r="H1452" s="6">
        <v>2087</v>
      </c>
      <c r="I1452" s="15" t="s">
        <v>3120</v>
      </c>
      <c r="J1452" s="6" t="s">
        <v>5178</v>
      </c>
      <c r="K1452" s="6"/>
      <c r="L1452" s="6" t="s">
        <v>2158</v>
      </c>
      <c r="M1452" s="6" t="s">
        <v>8193</v>
      </c>
      <c r="N1452" s="7">
        <f ca="1">RAND()</f>
        <v>0.77504417468603348</v>
      </c>
      <c r="O1452" s="8">
        <v>45214</v>
      </c>
      <c r="P1452" s="8">
        <v>45215</v>
      </c>
      <c r="Q1452" s="8">
        <v>45217</v>
      </c>
      <c r="R1452" s="8">
        <v>45221</v>
      </c>
      <c r="S1452" s="8">
        <v>45228</v>
      </c>
      <c r="T1452" s="8">
        <v>45248</v>
      </c>
      <c r="U1452" s="8">
        <v>45816</v>
      </c>
      <c r="V1452" s="10">
        <f>COUNTA(O1452:U1452)</f>
        <v>7</v>
      </c>
      <c r="W1452" s="11">
        <f>_xlfn.IFNA(INDEX(reading[[#This Row],[Memo 01]:[Memo 07]],MATCH(0,reading[[#This Row],[Memo 01]:[Memo 07]],-1)),"")</f>
        <v>45816</v>
      </c>
      <c r="X1452" s="11">
        <f ca="1">IFERROR(reading[[#This Row],[Previous]]+OFFSET(reading[[#Headers],[Memo 01]],-1,MATCH(0,reading[[#This Row],[Memo 01]:[Memo 07]],-1)-1),"")</f>
        <v>55816</v>
      </c>
      <c r="Y1452" s="10" t="str">
        <f ca="1">IF(reading[[#This Row],[Next]]&lt;&gt;"",IF(reading[[#This Row],[Next]]&gt;TODAY(),"OK",""),"")</f>
        <v>OK</v>
      </c>
      <c r="Z1452" s="13">
        <v>3</v>
      </c>
      <c r="AA1452" s="13">
        <v>3</v>
      </c>
      <c r="AB1452" s="13">
        <v>2</v>
      </c>
      <c r="AC1452" s="13">
        <v>2</v>
      </c>
      <c r="AD1452" s="13">
        <v>1</v>
      </c>
      <c r="AE1452" s="13">
        <v>3</v>
      </c>
      <c r="AF1452" s="13">
        <v>2</v>
      </c>
      <c r="AG1452" s="16">
        <f>IFERROR(SUMIF(reading[[#This Row],[1st]:[7th]],"&gt;0")/COUNTIF(reading[[#This Row],[1st]:[7th]],"&gt;0"),"")</f>
        <v>2.2857142857142856</v>
      </c>
    </row>
    <row r="1453" spans="1:33" hidden="1" x14ac:dyDescent="0.2">
      <c r="A1453" s="4">
        <f>IF(B1453=1,3,IF(D1453=1,2,IF(F1453=1,1,0)))</f>
        <v>3</v>
      </c>
      <c r="B1453" s="4">
        <f>IF(C1453=$L1453,1,IF(C1453="","",0))</f>
        <v>1</v>
      </c>
      <c r="C1453" s="29" t="s">
        <v>3147</v>
      </c>
      <c r="D1453" s="4" t="str">
        <f>IF(E1453=$L1453,1,IF(E1453="","",0))</f>
        <v/>
      </c>
      <c r="E1453" s="14"/>
      <c r="F1453" s="4" t="str">
        <f>IF(G1453=$L1453,1,IF(G1453="","",0))</f>
        <v/>
      </c>
      <c r="G1453" s="14"/>
      <c r="H1453" s="6">
        <v>1457</v>
      </c>
      <c r="I1453" s="15" t="s">
        <v>3120</v>
      </c>
      <c r="J1453" s="6" t="s">
        <v>4571</v>
      </c>
      <c r="K1453" s="6"/>
      <c r="L1453" s="6" t="s">
        <v>1545</v>
      </c>
      <c r="M1453" s="6" t="s">
        <v>7564</v>
      </c>
      <c r="N1453" s="7">
        <f ca="1">RAND()</f>
        <v>0.91644866270551328</v>
      </c>
      <c r="O1453" s="8">
        <v>45208</v>
      </c>
      <c r="P1453" s="8">
        <v>45208</v>
      </c>
      <c r="Q1453" s="8">
        <v>45208</v>
      </c>
      <c r="R1453" s="8">
        <v>45208</v>
      </c>
      <c r="S1453" s="8">
        <v>45208</v>
      </c>
      <c r="T1453" s="8">
        <v>45208</v>
      </c>
      <c r="U1453" s="8">
        <v>45208</v>
      </c>
      <c r="V1453" s="10">
        <f>COUNTA(O1453:U1453)</f>
        <v>7</v>
      </c>
      <c r="W1453" s="11">
        <f>_xlfn.IFNA(INDEX(reading[[#This Row],[Memo 01]:[Memo 07]],MATCH(0,reading[[#This Row],[Memo 01]:[Memo 07]],-1)),"")</f>
        <v>45208</v>
      </c>
      <c r="X1453" s="11">
        <f ca="1">IFERROR(reading[[#This Row],[Previous]]+OFFSET(reading[[#Headers],[Memo 01]],-1,MATCH(0,reading[[#This Row],[Memo 01]:[Memo 07]],-1)-1),"")</f>
        <v>55208</v>
      </c>
      <c r="Y1453" s="10" t="str">
        <f ca="1">IF(reading[[#This Row],[Next]]&lt;&gt;"",IF(reading[[#This Row],[Next]]&gt;TODAY(),"OK",""),"")</f>
        <v>OK</v>
      </c>
      <c r="Z1453" s="13">
        <v>3</v>
      </c>
      <c r="AA1453" s="13"/>
      <c r="AB1453" s="13"/>
      <c r="AC1453" s="13"/>
      <c r="AD1453" s="13"/>
      <c r="AE1453" s="13"/>
      <c r="AF1453" s="13"/>
      <c r="AG1453" s="16">
        <f>IFERROR(SUMIF(reading[[#This Row],[1st]:[7th]],"&gt;0")/COUNTIF(reading[[#This Row],[1st]:[7th]],"&gt;0"),"")</f>
        <v>3</v>
      </c>
    </row>
    <row r="1454" spans="1:33" hidden="1" x14ac:dyDescent="0.2">
      <c r="A1454" s="4">
        <f>IF(B1454=1,3,IF(D1454=1,2,IF(F1454=1,1,0)))</f>
        <v>0</v>
      </c>
      <c r="B1454" s="4" t="str">
        <f>IF(C1454=$L1454,1,IF(C1454="","",0))</f>
        <v/>
      </c>
      <c r="C1454" s="42"/>
      <c r="D1454" s="4" t="str">
        <f>IF(E1454=$L1454,1,IF(E1454="","",0))</f>
        <v/>
      </c>
      <c r="E1454" s="14"/>
      <c r="F1454" s="4" t="str">
        <f>IF(G1454=$L1454,1,IF(G1454="","",0))</f>
        <v/>
      </c>
      <c r="G1454" s="14"/>
      <c r="H1454" s="6">
        <v>2652</v>
      </c>
      <c r="I1454" s="15" t="s">
        <v>3120</v>
      </c>
      <c r="J1454" s="6" t="s">
        <v>5705</v>
      </c>
      <c r="K1454" s="15" t="s">
        <v>3138</v>
      </c>
      <c r="L1454" s="6" t="s">
        <v>2692</v>
      </c>
      <c r="M1454" s="6" t="s">
        <v>8757</v>
      </c>
      <c r="N1454" s="7">
        <f ca="1">RAND()</f>
        <v>0.91435178731362821</v>
      </c>
      <c r="O1454" s="8">
        <v>45220</v>
      </c>
      <c r="P1454" s="8">
        <v>45221</v>
      </c>
      <c r="Q1454" s="8">
        <v>45223</v>
      </c>
      <c r="R1454" s="8">
        <v>45227</v>
      </c>
      <c r="S1454" s="8">
        <v>45234</v>
      </c>
      <c r="T1454" s="8">
        <v>45783</v>
      </c>
      <c r="U1454" s="8">
        <v>45823</v>
      </c>
      <c r="V1454" s="10">
        <f>COUNTA(O1454:U1454)</f>
        <v>7</v>
      </c>
      <c r="W1454" s="11">
        <f>_xlfn.IFNA(INDEX(reading[[#This Row],[Memo 01]:[Memo 07]],MATCH(0,reading[[#This Row],[Memo 01]:[Memo 07]],-1)),"")</f>
        <v>45823</v>
      </c>
      <c r="X1454" s="11">
        <f ca="1">IFERROR(reading[[#This Row],[Previous]]+OFFSET(reading[[#Headers],[Memo 01]],-1,MATCH(0,reading[[#This Row],[Memo 01]:[Memo 07]],-1)-1),"")</f>
        <v>55823</v>
      </c>
      <c r="Y1454" s="10" t="str">
        <f ca="1">IF(reading[[#This Row],[Next]]&lt;&gt;"",IF(reading[[#This Row],[Next]]&gt;TODAY(),"OK",""),"")</f>
        <v>OK</v>
      </c>
      <c r="Z1454" s="13">
        <v>3</v>
      </c>
      <c r="AA1454" s="13">
        <v>3</v>
      </c>
      <c r="AB1454" s="13">
        <v>3</v>
      </c>
      <c r="AC1454" s="13">
        <v>3</v>
      </c>
      <c r="AD1454" s="13">
        <v>3</v>
      </c>
      <c r="AE1454" s="13">
        <v>3</v>
      </c>
      <c r="AF1454" s="13">
        <v>3</v>
      </c>
      <c r="AG1454" s="16">
        <f>IFERROR(SUMIF(reading[[#This Row],[1st]:[7th]],"&gt;0")/COUNTIF(reading[[#This Row],[1st]:[7th]],"&gt;0"),"")</f>
        <v>3</v>
      </c>
    </row>
    <row r="1455" spans="1:33" hidden="1" x14ac:dyDescent="0.2">
      <c r="A1455" s="4">
        <f>IF(B1455=1,3,IF(D1455=1,2,IF(F1455=1,1,0)))</f>
        <v>0</v>
      </c>
      <c r="B1455" s="4" t="str">
        <f>IF(C1455=$L1455,1,IF(C1455="","",0))</f>
        <v/>
      </c>
      <c r="C1455" s="42"/>
      <c r="D1455" s="4" t="str">
        <f>IF(E1455=$L1455,1,IF(E1455="","",0))</f>
        <v/>
      </c>
      <c r="E1455" s="43"/>
      <c r="F1455" s="4" t="str">
        <f>IF(G1455=$L1455,1,IF(G1455="","",0))</f>
        <v/>
      </c>
      <c r="G1455" s="14"/>
      <c r="H1455" s="6">
        <v>1840</v>
      </c>
      <c r="I1455" s="15" t="s">
        <v>3120</v>
      </c>
      <c r="J1455" s="6" t="s">
        <v>4944</v>
      </c>
      <c r="K1455" s="6"/>
      <c r="L1455" s="6" t="s">
        <v>1918</v>
      </c>
      <c r="M1455" s="6" t="s">
        <v>7946</v>
      </c>
      <c r="N1455" s="7">
        <f ca="1">RAND()</f>
        <v>0.23849937237905505</v>
      </c>
      <c r="O1455" s="8">
        <v>45212</v>
      </c>
      <c r="P1455" s="8">
        <v>45213</v>
      </c>
      <c r="Q1455" s="8">
        <v>45215</v>
      </c>
      <c r="R1455" s="8">
        <v>45219</v>
      </c>
      <c r="S1455" s="8">
        <v>45226</v>
      </c>
      <c r="T1455" s="8">
        <v>45248</v>
      </c>
      <c r="U1455" s="8">
        <v>45829</v>
      </c>
      <c r="V1455" s="10">
        <f>COUNTA(O1455:U1455)</f>
        <v>7</v>
      </c>
      <c r="W1455" s="11">
        <f>_xlfn.IFNA(INDEX(reading[[#This Row],[Memo 01]:[Memo 07]],MATCH(0,reading[[#This Row],[Memo 01]:[Memo 07]],-1)),"")</f>
        <v>45829</v>
      </c>
      <c r="X1455" s="11">
        <f ca="1">IFERROR(reading[[#This Row],[Previous]]+OFFSET(reading[[#Headers],[Memo 01]],-1,MATCH(0,reading[[#This Row],[Memo 01]:[Memo 07]],-1)-1),"")</f>
        <v>55829</v>
      </c>
      <c r="Y1455" s="10" t="str">
        <f ca="1">IF(reading[[#This Row],[Next]]&lt;&gt;"",IF(reading[[#This Row],[Next]]&gt;TODAY(),"OK",""),"")</f>
        <v>OK</v>
      </c>
      <c r="Z1455" s="13">
        <v>3</v>
      </c>
      <c r="AA1455" s="13">
        <v>3</v>
      </c>
      <c r="AB1455" s="13">
        <v>2</v>
      </c>
      <c r="AC1455" s="13">
        <v>2</v>
      </c>
      <c r="AD1455" s="13">
        <v>2</v>
      </c>
      <c r="AE1455" s="13">
        <v>3</v>
      </c>
      <c r="AF1455" s="13">
        <v>2</v>
      </c>
      <c r="AG1455" s="16">
        <f>IFERROR(SUMIF(reading[[#This Row],[1st]:[7th]],"&gt;0")/COUNTIF(reading[[#This Row],[1st]:[7th]],"&gt;0"),"")</f>
        <v>2.4285714285714284</v>
      </c>
    </row>
    <row r="1456" spans="1:33" hidden="1" x14ac:dyDescent="0.2">
      <c r="A1456" s="4">
        <f>IF(B1456=1,3,IF(D1456=1,2,IF(F1456=1,1,0)))</f>
        <v>0</v>
      </c>
      <c r="B1456" s="4" t="str">
        <f>IF(C1456=$L1456,1,IF(C1456="","",0))</f>
        <v/>
      </c>
      <c r="C1456" s="42"/>
      <c r="D1456" s="4" t="str">
        <f>IF(E1456=$L1456,1,IF(E1456="","",0))</f>
        <v/>
      </c>
      <c r="E1456" s="14"/>
      <c r="F1456" s="4" t="str">
        <f>IF(G1456=$L1456,1,IF(G1456="","",0))</f>
        <v/>
      </c>
      <c r="G1456" s="14"/>
      <c r="H1456" s="6">
        <v>1547</v>
      </c>
      <c r="I1456" s="15" t="s">
        <v>3120</v>
      </c>
      <c r="J1456" s="6" t="s">
        <v>4660</v>
      </c>
      <c r="K1456" s="6"/>
      <c r="L1456" s="6" t="s">
        <v>1632</v>
      </c>
      <c r="M1456" s="6" t="s">
        <v>7654</v>
      </c>
      <c r="N1456" s="7">
        <f ca="1">RAND()</f>
        <v>0.878822961482433</v>
      </c>
      <c r="O1456" s="8">
        <v>45209</v>
      </c>
      <c r="P1456" s="8">
        <v>45210</v>
      </c>
      <c r="Q1456" s="8">
        <v>45212</v>
      </c>
      <c r="R1456" s="8">
        <v>45216</v>
      </c>
      <c r="S1456" s="8">
        <v>45223</v>
      </c>
      <c r="T1456" s="8">
        <v>45235</v>
      </c>
      <c r="U1456" s="8">
        <v>45823</v>
      </c>
      <c r="V1456" s="10">
        <f>COUNTA(O1456:U1456)</f>
        <v>7</v>
      </c>
      <c r="W1456" s="11">
        <f>_xlfn.IFNA(INDEX(reading[[#This Row],[Memo 01]:[Memo 07]],MATCH(0,reading[[#This Row],[Memo 01]:[Memo 07]],-1)),"")</f>
        <v>45823</v>
      </c>
      <c r="X1456" s="11">
        <f ca="1">IFERROR(reading[[#This Row],[Previous]]+OFFSET(reading[[#Headers],[Memo 01]],-1,MATCH(0,reading[[#This Row],[Memo 01]:[Memo 07]],-1)-1),"")</f>
        <v>55823</v>
      </c>
      <c r="Y1456" s="10" t="str">
        <f ca="1">IF(reading[[#This Row],[Next]]&lt;&gt;"",IF(reading[[#This Row],[Next]]&gt;TODAY(),"OK",""),"")</f>
        <v>OK</v>
      </c>
      <c r="Z1456" s="13">
        <v>3</v>
      </c>
      <c r="AA1456" s="13">
        <v>3</v>
      </c>
      <c r="AB1456" s="13">
        <v>3</v>
      </c>
      <c r="AC1456" s="13">
        <v>3</v>
      </c>
      <c r="AD1456" s="13">
        <v>3</v>
      </c>
      <c r="AE1456" s="13">
        <v>3</v>
      </c>
      <c r="AF1456" s="13">
        <v>3</v>
      </c>
      <c r="AG1456" s="16">
        <f>IFERROR(SUMIF(reading[[#This Row],[1st]:[7th]],"&gt;0")/COUNTIF(reading[[#This Row],[1st]:[7th]],"&gt;0"),"")</f>
        <v>3</v>
      </c>
    </row>
    <row r="1457" spans="1:33" hidden="1" x14ac:dyDescent="0.2">
      <c r="A1457" s="4">
        <f>IF(B1457=1,3,IF(D1457=1,2,IF(F1457=1,1,0)))</f>
        <v>0</v>
      </c>
      <c r="B1457" s="4" t="str">
        <f>IF(C1457=$L1457,1,IF(C1457="","",0))</f>
        <v/>
      </c>
      <c r="C1457" s="42"/>
      <c r="D1457" s="4" t="str">
        <f>IF(E1457=$L1457,1,IF(E1457="","",0))</f>
        <v/>
      </c>
      <c r="E1457" s="14"/>
      <c r="F1457" s="4" t="str">
        <f>IF(G1457=$L1457,1,IF(G1457="","",0))</f>
        <v/>
      </c>
      <c r="G1457" s="14"/>
      <c r="H1457" s="6">
        <v>476</v>
      </c>
      <c r="I1457" s="15" t="s">
        <v>3120</v>
      </c>
      <c r="J1457" s="6" t="s">
        <v>3622</v>
      </c>
      <c r="K1457" s="6"/>
      <c r="L1457" s="6" t="s">
        <v>605</v>
      </c>
      <c r="M1457" s="6" t="s">
        <v>6585</v>
      </c>
      <c r="N1457" s="7">
        <f ca="1">RAND()</f>
        <v>0.13181674761784101</v>
      </c>
      <c r="O1457" s="8">
        <v>45202</v>
      </c>
      <c r="P1457" s="8">
        <v>45203</v>
      </c>
      <c r="Q1457" s="8">
        <v>45205</v>
      </c>
      <c r="R1457" s="8">
        <v>45209</v>
      </c>
      <c r="S1457" s="8">
        <v>45216</v>
      </c>
      <c r="T1457" s="8">
        <v>45228</v>
      </c>
      <c r="U1457" s="8">
        <v>45823</v>
      </c>
      <c r="V1457" s="10">
        <f>COUNTA(O1457:U1457)</f>
        <v>7</v>
      </c>
      <c r="W1457" s="11">
        <f>_xlfn.IFNA(INDEX(reading[[#This Row],[Memo 01]:[Memo 07]],MATCH(0,reading[[#This Row],[Memo 01]:[Memo 07]],-1)),"")</f>
        <v>45823</v>
      </c>
      <c r="X1457" s="11">
        <f ca="1">IFERROR(reading[[#This Row],[Previous]]+OFFSET(reading[[#Headers],[Memo 01]],-1,MATCH(0,reading[[#This Row],[Memo 01]:[Memo 07]],-1)-1),"")</f>
        <v>55823</v>
      </c>
      <c r="Y1457" s="10" t="str">
        <f ca="1">IF(reading[[#This Row],[Next]]&lt;&gt;"",IF(reading[[#This Row],[Next]]&gt;TODAY(),"OK",""),"")</f>
        <v>OK</v>
      </c>
      <c r="Z1457" s="13">
        <v>3</v>
      </c>
      <c r="AA1457" s="13">
        <v>3</v>
      </c>
      <c r="AB1457" s="13">
        <v>3</v>
      </c>
      <c r="AC1457" s="13">
        <v>3</v>
      </c>
      <c r="AD1457" s="13">
        <v>3</v>
      </c>
      <c r="AE1457" s="13">
        <v>3</v>
      </c>
      <c r="AF1457" s="13">
        <v>3</v>
      </c>
      <c r="AG1457" s="16">
        <f>IFERROR(SUMIF(reading[[#This Row],[1st]:[7th]],"&gt;0")/COUNTIF(reading[[#This Row],[1st]:[7th]],"&gt;0"),"")</f>
        <v>3</v>
      </c>
    </row>
    <row r="1458" spans="1:33" hidden="1" x14ac:dyDescent="0.2">
      <c r="A1458" s="4">
        <f>IF(B1458=1,3,IF(D1458=1,2,IF(F1458=1,1,0)))</f>
        <v>0</v>
      </c>
      <c r="B1458" s="4">
        <f>IF(C1458=$L1458,1,IF(C1458="","",0))</f>
        <v>0</v>
      </c>
      <c r="C1458" s="42" t="s">
        <v>9200</v>
      </c>
      <c r="D1458" s="4">
        <f>IF(E1458=$L1458,1,IF(E1458="","",0))</f>
        <v>0</v>
      </c>
      <c r="E1458" s="23" t="s">
        <v>9200</v>
      </c>
      <c r="F1458" s="4" t="str">
        <f>IF(G1458=$L1458,1,IF(G1458="","",0))</f>
        <v/>
      </c>
      <c r="G1458" s="14"/>
      <c r="H1458" s="6">
        <v>1940</v>
      </c>
      <c r="I1458" s="15" t="s">
        <v>3120</v>
      </c>
      <c r="J1458" s="6" t="s">
        <v>5039</v>
      </c>
      <c r="K1458" s="6"/>
      <c r="L1458" s="6" t="s">
        <v>2016</v>
      </c>
      <c r="M1458" s="6" t="s">
        <v>8046</v>
      </c>
      <c r="N1458" s="7">
        <f ca="1">RAND()</f>
        <v>0.75474089838955571</v>
      </c>
      <c r="O1458" s="8">
        <v>45213</v>
      </c>
      <c r="P1458" s="8">
        <v>45214</v>
      </c>
      <c r="Q1458" s="8">
        <v>45216</v>
      </c>
      <c r="R1458" s="8">
        <v>45220</v>
      </c>
      <c r="S1458" s="8">
        <v>45227</v>
      </c>
      <c r="T1458" s="8"/>
      <c r="U1458" s="8"/>
      <c r="V1458" s="10">
        <f>COUNTA(O1458:U1458)</f>
        <v>5</v>
      </c>
      <c r="W1458" s="11">
        <f>_xlfn.IFNA(INDEX(reading[[#This Row],[Memo 01]:[Memo 07]],MATCH(0,reading[[#This Row],[Memo 01]:[Memo 07]],-1)),"")</f>
        <v>45227</v>
      </c>
      <c r="X1458" s="11">
        <f ca="1">IFERROR(reading[[#This Row],[Previous]]+OFFSET(reading[[#Headers],[Memo 01]],-1,MATCH(0,reading[[#This Row],[Memo 01]:[Memo 07]],-1)-1),"")</f>
        <v>45239</v>
      </c>
      <c r="Y1458" s="10" t="str">
        <f ca="1">IF(reading[[#This Row],[Next]]&lt;&gt;"",IF(reading[[#This Row],[Next]]&gt;TODAY(),"OK",""),"")</f>
        <v/>
      </c>
      <c r="Z1458" s="13">
        <v>3</v>
      </c>
      <c r="AA1458" s="13">
        <v>3</v>
      </c>
      <c r="AB1458" s="13">
        <v>3</v>
      </c>
      <c r="AC1458" s="13">
        <v>3</v>
      </c>
      <c r="AD1458" s="13">
        <v>3</v>
      </c>
      <c r="AE1458" s="13"/>
      <c r="AF1458" s="13"/>
      <c r="AG1458" s="16">
        <f>IFERROR(SUMIF(reading[[#This Row],[1st]:[7th]],"&gt;0")/COUNTIF(reading[[#This Row],[1st]:[7th]],"&gt;0"),"")</f>
        <v>3</v>
      </c>
    </row>
    <row r="1459" spans="1:33" hidden="1" x14ac:dyDescent="0.2">
      <c r="A1459" s="4">
        <f>IF(B1459=1,3,IF(D1459=1,2,IF(F1459=1,1,0)))</f>
        <v>0</v>
      </c>
      <c r="B1459" s="4" t="str">
        <f>IF(C1459=$L1459,1,IF(C1459="","",0))</f>
        <v/>
      </c>
      <c r="C1459" s="42"/>
      <c r="D1459" s="4" t="str">
        <f>IF(E1459=$L1459,1,IF(E1459="","",0))</f>
        <v/>
      </c>
      <c r="E1459" s="14"/>
      <c r="F1459" s="4" t="str">
        <f>IF(G1459=$L1459,1,IF(G1459="","",0))</f>
        <v/>
      </c>
      <c r="G1459" s="14"/>
      <c r="H1459" s="6">
        <v>1191</v>
      </c>
      <c r="I1459" s="15" t="s">
        <v>3120</v>
      </c>
      <c r="J1459" s="6" t="s">
        <v>4310</v>
      </c>
      <c r="K1459" s="6"/>
      <c r="L1459" s="6" t="s">
        <v>1293</v>
      </c>
      <c r="M1459" s="6" t="s">
        <v>7298</v>
      </c>
      <c r="N1459" s="7">
        <f ca="1">RAND()</f>
        <v>0.41612345791556071</v>
      </c>
      <c r="O1459" s="8">
        <v>45206</v>
      </c>
      <c r="P1459" s="8">
        <v>45207</v>
      </c>
      <c r="Q1459" s="8">
        <v>45209</v>
      </c>
      <c r="R1459" s="8">
        <v>45213</v>
      </c>
      <c r="S1459" s="8">
        <v>45220</v>
      </c>
      <c r="T1459" s="8">
        <v>45232</v>
      </c>
      <c r="U1459" s="8">
        <v>45823</v>
      </c>
      <c r="V1459" s="10">
        <f>COUNTA(O1459:U1459)</f>
        <v>7</v>
      </c>
      <c r="W1459" s="11">
        <f>_xlfn.IFNA(INDEX(reading[[#This Row],[Memo 01]:[Memo 07]],MATCH(0,reading[[#This Row],[Memo 01]:[Memo 07]],-1)),"")</f>
        <v>45823</v>
      </c>
      <c r="X1459" s="11">
        <f ca="1">IFERROR(reading[[#This Row],[Previous]]+OFFSET(reading[[#Headers],[Memo 01]],-1,MATCH(0,reading[[#This Row],[Memo 01]:[Memo 07]],-1)-1),"")</f>
        <v>55823</v>
      </c>
      <c r="Y1459" s="10" t="str">
        <f ca="1">IF(reading[[#This Row],[Next]]&lt;&gt;"",IF(reading[[#This Row],[Next]]&gt;TODAY(),"OK",""),"")</f>
        <v>OK</v>
      </c>
      <c r="Z1459" s="13">
        <v>3</v>
      </c>
      <c r="AA1459" s="13">
        <v>3</v>
      </c>
      <c r="AB1459" s="13">
        <v>3</v>
      </c>
      <c r="AC1459" s="13">
        <v>3</v>
      </c>
      <c r="AD1459" s="13">
        <v>3</v>
      </c>
      <c r="AE1459" s="13">
        <v>3</v>
      </c>
      <c r="AF1459" s="13">
        <v>3</v>
      </c>
      <c r="AG1459" s="16">
        <f>IFERROR(SUMIF(reading[[#This Row],[1st]:[7th]],"&gt;0")/COUNTIF(reading[[#This Row],[1st]:[7th]],"&gt;0"),"")</f>
        <v>3</v>
      </c>
    </row>
    <row r="1460" spans="1:33" hidden="1" x14ac:dyDescent="0.2">
      <c r="A1460" s="4">
        <f>IF(B1460=1,3,IF(D1460=1,2,IF(F1460=1,1,0)))</f>
        <v>0</v>
      </c>
      <c r="B1460" s="4" t="str">
        <f>IF(C1460=$L1460,1,IF(C1460="","",0))</f>
        <v/>
      </c>
      <c r="C1460" s="42"/>
      <c r="D1460" s="4" t="str">
        <f>IF(E1460=$L1460,1,IF(E1460="","",0))</f>
        <v/>
      </c>
      <c r="E1460" s="14"/>
      <c r="F1460" s="4" t="str">
        <f>IF(G1460=$L1460,1,IF(G1460="","",0))</f>
        <v/>
      </c>
      <c r="G1460" s="14"/>
      <c r="H1460" s="6">
        <v>2874</v>
      </c>
      <c r="I1460" s="15" t="s">
        <v>3120</v>
      </c>
      <c r="J1460" s="6" t="s">
        <v>5911</v>
      </c>
      <c r="K1460" s="6"/>
      <c r="L1460" s="6" t="s">
        <v>2905</v>
      </c>
      <c r="M1460" s="6" t="s">
        <v>8978</v>
      </c>
      <c r="N1460" s="7">
        <f ca="1">RAND()</f>
        <v>1.9016524754110198E-2</v>
      </c>
      <c r="O1460" s="8">
        <v>45223</v>
      </c>
      <c r="P1460" s="8">
        <v>45224</v>
      </c>
      <c r="Q1460" s="8">
        <v>45226</v>
      </c>
      <c r="R1460" s="8">
        <v>45230</v>
      </c>
      <c r="S1460" s="8">
        <v>45237</v>
      </c>
      <c r="T1460" s="8">
        <v>45823</v>
      </c>
      <c r="U1460" s="8"/>
      <c r="V1460" s="10">
        <f>COUNTA(O1460:U1460)</f>
        <v>6</v>
      </c>
      <c r="W1460" s="11">
        <f>_xlfn.IFNA(INDEX(reading[[#This Row],[Memo 01]:[Memo 07]],MATCH(0,reading[[#This Row],[Memo 01]:[Memo 07]],-1)),"")</f>
        <v>45823</v>
      </c>
      <c r="X1460" s="11">
        <f ca="1">IFERROR(reading[[#This Row],[Previous]]+OFFSET(reading[[#Headers],[Memo 01]],-1,MATCH(0,reading[[#This Row],[Memo 01]:[Memo 07]],-1)-1),"")</f>
        <v>45843</v>
      </c>
      <c r="Y1460" s="10" t="str">
        <f ca="1">IF(reading[[#This Row],[Next]]&lt;&gt;"",IF(reading[[#This Row],[Next]]&gt;TODAY(),"OK",""),"")</f>
        <v>OK</v>
      </c>
      <c r="Z1460" s="13">
        <v>3</v>
      </c>
      <c r="AA1460" s="13">
        <v>3</v>
      </c>
      <c r="AB1460" s="13">
        <v>3</v>
      </c>
      <c r="AC1460" s="13">
        <v>3</v>
      </c>
      <c r="AD1460" s="13">
        <v>3</v>
      </c>
      <c r="AE1460" s="13">
        <v>3</v>
      </c>
      <c r="AF1460" s="13"/>
      <c r="AG1460" s="16">
        <f>IFERROR(SUMIF(reading[[#This Row],[1st]:[7th]],"&gt;0")/COUNTIF(reading[[#This Row],[1st]:[7th]],"&gt;0"),"")</f>
        <v>3</v>
      </c>
    </row>
    <row r="1461" spans="1:33" hidden="1" x14ac:dyDescent="0.2">
      <c r="A1461" s="4">
        <f>IF(B1461=1,3,IF(D1461=1,2,IF(F1461=1,1,0)))</f>
        <v>0</v>
      </c>
      <c r="B1461" s="4" t="str">
        <f>IF(C1461=$L1461,1,IF(C1461="","",0))</f>
        <v/>
      </c>
      <c r="C1461" s="42"/>
      <c r="D1461" s="4" t="str">
        <f>IF(E1461=$L1461,1,IF(E1461="","",0))</f>
        <v/>
      </c>
      <c r="E1461" s="14"/>
      <c r="F1461" s="4" t="str">
        <f>IF(G1461=$L1461,1,IF(G1461="","",0))</f>
        <v/>
      </c>
      <c r="G1461" s="14"/>
      <c r="H1461" s="6">
        <v>2097</v>
      </c>
      <c r="I1461" s="15" t="s">
        <v>3120</v>
      </c>
      <c r="J1461" s="6" t="s">
        <v>5187</v>
      </c>
      <c r="K1461" s="6"/>
      <c r="L1461" s="6" t="s">
        <v>2167</v>
      </c>
      <c r="M1461" s="6" t="s">
        <v>8203</v>
      </c>
      <c r="N1461" s="7">
        <f ca="1">RAND()</f>
        <v>0.68034325733808565</v>
      </c>
      <c r="O1461" s="8">
        <v>45214</v>
      </c>
      <c r="P1461" s="8">
        <v>45215</v>
      </c>
      <c r="Q1461" s="8">
        <v>45217</v>
      </c>
      <c r="R1461" s="8">
        <v>45221</v>
      </c>
      <c r="S1461" s="8">
        <v>45228</v>
      </c>
      <c r="T1461" s="8">
        <v>45823</v>
      </c>
      <c r="U1461" s="8"/>
      <c r="V1461" s="10">
        <f>COUNTA(O1461:U1461)</f>
        <v>6</v>
      </c>
      <c r="W1461" s="11">
        <f>_xlfn.IFNA(INDEX(reading[[#This Row],[Memo 01]:[Memo 07]],MATCH(0,reading[[#This Row],[Memo 01]:[Memo 07]],-1)),"")</f>
        <v>45823</v>
      </c>
      <c r="X1461" s="11">
        <f ca="1">IFERROR(reading[[#This Row],[Previous]]+OFFSET(reading[[#Headers],[Memo 01]],-1,MATCH(0,reading[[#This Row],[Memo 01]:[Memo 07]],-1)-1),"")</f>
        <v>45843</v>
      </c>
      <c r="Y1461" s="10" t="str">
        <f ca="1">IF(reading[[#This Row],[Next]]&lt;&gt;"",IF(reading[[#This Row],[Next]]&gt;TODAY(),"OK",""),"")</f>
        <v>OK</v>
      </c>
      <c r="Z1461" s="13">
        <v>3</v>
      </c>
      <c r="AA1461" s="13">
        <v>3</v>
      </c>
      <c r="AB1461" s="13">
        <v>3</v>
      </c>
      <c r="AC1461" s="13">
        <v>3</v>
      </c>
      <c r="AD1461" s="13">
        <v>3</v>
      </c>
      <c r="AE1461" s="13">
        <v>3</v>
      </c>
      <c r="AF1461" s="13"/>
      <c r="AG1461" s="16">
        <f>IFERROR(SUMIF(reading[[#This Row],[1st]:[7th]],"&gt;0")/COUNTIF(reading[[#This Row],[1st]:[7th]],"&gt;0"),"")</f>
        <v>3</v>
      </c>
    </row>
    <row r="1462" spans="1:33" hidden="1" x14ac:dyDescent="0.2">
      <c r="A1462" s="4">
        <f>IF(B1462=1,3,IF(D1462=1,2,IF(F1462=1,1,0)))</f>
        <v>0</v>
      </c>
      <c r="B1462" s="4">
        <f>IF(C1462=$L1462,1,IF(C1462="","",0))</f>
        <v>0</v>
      </c>
      <c r="C1462" s="42" t="s">
        <v>9200</v>
      </c>
      <c r="D1462" s="4">
        <f>IF(E1462=$L1462,1,IF(E1462="","",0))</f>
        <v>0</v>
      </c>
      <c r="E1462" s="43" t="s">
        <v>9200</v>
      </c>
      <c r="F1462" s="4" t="str">
        <f>IF(G1462=$L1462,1,IF(G1462="","",0))</f>
        <v/>
      </c>
      <c r="G1462" s="18"/>
      <c r="H1462" s="6">
        <v>1367</v>
      </c>
      <c r="I1462" s="15" t="s">
        <v>3120</v>
      </c>
      <c r="J1462" s="6" t="s">
        <v>4481</v>
      </c>
      <c r="K1462" s="6"/>
      <c r="L1462" s="6" t="s">
        <v>1461</v>
      </c>
      <c r="M1462" s="6" t="s">
        <v>7474</v>
      </c>
      <c r="N1462" s="7">
        <f ca="1">RAND()</f>
        <v>9.9688237458277928E-2</v>
      </c>
      <c r="O1462" s="8">
        <v>45207</v>
      </c>
      <c r="P1462" s="8">
        <v>45208</v>
      </c>
      <c r="Q1462" s="8">
        <v>45210</v>
      </c>
      <c r="R1462" s="8">
        <v>45214</v>
      </c>
      <c r="S1462" s="8">
        <v>45221</v>
      </c>
      <c r="T1462" s="8">
        <v>45233</v>
      </c>
      <c r="U1462" s="8"/>
      <c r="V1462" s="10">
        <f>COUNTA(O1462:U1462)</f>
        <v>6</v>
      </c>
      <c r="W1462" s="11">
        <f>_xlfn.IFNA(INDEX(reading[[#This Row],[Memo 01]:[Memo 07]],MATCH(0,reading[[#This Row],[Memo 01]:[Memo 07]],-1)),"")</f>
        <v>45233</v>
      </c>
      <c r="X1462" s="11">
        <f ca="1">IFERROR(reading[[#This Row],[Previous]]+OFFSET(reading[[#Headers],[Memo 01]],-1,MATCH(0,reading[[#This Row],[Memo 01]:[Memo 07]],-1)-1),"")</f>
        <v>45253</v>
      </c>
      <c r="Y1462" s="10" t="str">
        <f ca="1">IF(reading[[#This Row],[Next]]&lt;&gt;"",IF(reading[[#This Row],[Next]]&gt;TODAY(),"OK",""),"")</f>
        <v/>
      </c>
      <c r="Z1462" s="13">
        <v>3</v>
      </c>
      <c r="AA1462" s="13">
        <v>2</v>
      </c>
      <c r="AB1462" s="13">
        <v>3</v>
      </c>
      <c r="AC1462" s="13">
        <v>1</v>
      </c>
      <c r="AD1462" s="13">
        <v>3</v>
      </c>
      <c r="AE1462" s="13">
        <v>3</v>
      </c>
      <c r="AF1462" s="13"/>
      <c r="AG1462" s="16">
        <f>IFERROR(SUMIF(reading[[#This Row],[1st]:[7th]],"&gt;0")/COUNTIF(reading[[#This Row],[1st]:[7th]],"&gt;0"),"")</f>
        <v>2.5</v>
      </c>
    </row>
    <row r="1463" spans="1:33" hidden="1" x14ac:dyDescent="0.2">
      <c r="A1463" s="4">
        <f>IF(B1463=1,3,IF(D1463=1,2,IF(F1463=1,1,0)))</f>
        <v>0</v>
      </c>
      <c r="B1463" s="4" t="str">
        <f>IF(C1463=$L1463,1,IF(C1463="","",0))</f>
        <v/>
      </c>
      <c r="C1463" s="42"/>
      <c r="D1463" s="4" t="str">
        <f>IF(E1463=$L1463,1,IF(E1463="","",0))</f>
        <v/>
      </c>
      <c r="E1463" s="14"/>
      <c r="F1463" s="4" t="str">
        <f>IF(G1463=$L1463,1,IF(G1463="","",0))</f>
        <v/>
      </c>
      <c r="G1463" s="14"/>
      <c r="H1463" s="6">
        <v>2449</v>
      </c>
      <c r="I1463" s="15" t="s">
        <v>3120</v>
      </c>
      <c r="J1463" s="6" t="s">
        <v>5519</v>
      </c>
      <c r="K1463" s="6"/>
      <c r="L1463" s="6" t="s">
        <v>2497</v>
      </c>
      <c r="M1463" s="6" t="s">
        <v>8554</v>
      </c>
      <c r="N1463" s="7">
        <f ca="1">RAND()</f>
        <v>0.54794787795434552</v>
      </c>
      <c r="O1463" s="8">
        <v>45217</v>
      </c>
      <c r="P1463" s="8">
        <v>45218</v>
      </c>
      <c r="Q1463" s="8">
        <v>45220</v>
      </c>
      <c r="R1463" s="8">
        <v>45224</v>
      </c>
      <c r="S1463" s="8">
        <v>45231</v>
      </c>
      <c r="T1463" s="8">
        <v>45827</v>
      </c>
      <c r="U1463" s="8"/>
      <c r="V1463" s="10">
        <f>COUNTA(O1463:U1463)</f>
        <v>6</v>
      </c>
      <c r="W1463" s="11">
        <f>_xlfn.IFNA(INDEX(reading[[#This Row],[Memo 01]:[Memo 07]],MATCH(0,reading[[#This Row],[Memo 01]:[Memo 07]],-1)),"")</f>
        <v>45827</v>
      </c>
      <c r="X1463" s="11">
        <f ca="1">IFERROR(reading[[#This Row],[Previous]]+OFFSET(reading[[#Headers],[Memo 01]],-1,MATCH(0,reading[[#This Row],[Memo 01]:[Memo 07]],-1)-1),"")</f>
        <v>45847</v>
      </c>
      <c r="Y1463" s="10" t="str">
        <f ca="1">IF(reading[[#This Row],[Next]]&lt;&gt;"",IF(reading[[#This Row],[Next]]&gt;TODAY(),"OK",""),"")</f>
        <v>OK</v>
      </c>
      <c r="Z1463" s="13">
        <v>3</v>
      </c>
      <c r="AA1463" s="13">
        <v>3</v>
      </c>
      <c r="AB1463" s="13">
        <v>3</v>
      </c>
      <c r="AC1463" s="13">
        <v>3</v>
      </c>
      <c r="AD1463" s="13">
        <v>3</v>
      </c>
      <c r="AE1463" s="13">
        <v>3</v>
      </c>
      <c r="AF1463" s="13"/>
      <c r="AG1463" s="16">
        <f>IFERROR(SUMIF(reading[[#This Row],[1st]:[7th]],"&gt;0")/COUNTIF(reading[[#This Row],[1st]:[7th]],"&gt;0"),"")</f>
        <v>3</v>
      </c>
    </row>
    <row r="1464" spans="1:33" hidden="1" x14ac:dyDescent="0.2">
      <c r="A1464" s="4">
        <f>IF(B1464=1,3,IF(D1464=1,2,IF(F1464=1,1,0)))</f>
        <v>0</v>
      </c>
      <c r="B1464" s="4" t="str">
        <f>IF(C1464=$L1464,1,IF(C1464="","",0))</f>
        <v/>
      </c>
      <c r="C1464" s="42"/>
      <c r="D1464" s="4" t="str">
        <f>IF(E1464=$L1464,1,IF(E1464="","",0))</f>
        <v/>
      </c>
      <c r="E1464" s="14"/>
      <c r="F1464" s="4" t="str">
        <f>IF(G1464=$L1464,1,IF(G1464="","",0))</f>
        <v/>
      </c>
      <c r="G1464" s="14"/>
      <c r="H1464" s="6">
        <v>2838</v>
      </c>
      <c r="I1464" s="15" t="s">
        <v>3120</v>
      </c>
      <c r="J1464" s="6" t="s">
        <v>5879</v>
      </c>
      <c r="K1464" s="6"/>
      <c r="L1464" s="6" t="s">
        <v>2873</v>
      </c>
      <c r="M1464" s="6" t="s">
        <v>8942</v>
      </c>
      <c r="N1464" s="7">
        <f ca="1">RAND()</f>
        <v>1.0419954657625574E-4</v>
      </c>
      <c r="O1464" s="8">
        <v>45223</v>
      </c>
      <c r="P1464" s="8">
        <v>45224</v>
      </c>
      <c r="Q1464" s="8">
        <v>45226</v>
      </c>
      <c r="R1464" s="8">
        <v>45230</v>
      </c>
      <c r="S1464" s="8">
        <v>45237</v>
      </c>
      <c r="T1464" s="8">
        <v>45823</v>
      </c>
      <c r="U1464" s="8"/>
      <c r="V1464" s="10">
        <f>COUNTA(O1464:U1464)</f>
        <v>6</v>
      </c>
      <c r="W1464" s="11">
        <f>_xlfn.IFNA(INDEX(reading[[#This Row],[Memo 01]:[Memo 07]],MATCH(0,reading[[#This Row],[Memo 01]:[Memo 07]],-1)),"")</f>
        <v>45823</v>
      </c>
      <c r="X1464" s="11">
        <f ca="1">IFERROR(reading[[#This Row],[Previous]]+OFFSET(reading[[#Headers],[Memo 01]],-1,MATCH(0,reading[[#This Row],[Memo 01]:[Memo 07]],-1)-1),"")</f>
        <v>45843</v>
      </c>
      <c r="Y1464" s="10" t="str">
        <f ca="1">IF(reading[[#This Row],[Next]]&lt;&gt;"",IF(reading[[#This Row],[Next]]&gt;TODAY(),"OK",""),"")</f>
        <v>OK</v>
      </c>
      <c r="Z1464" s="13">
        <v>3</v>
      </c>
      <c r="AA1464" s="13">
        <v>3</v>
      </c>
      <c r="AB1464" s="13">
        <v>3</v>
      </c>
      <c r="AC1464" s="13">
        <v>3</v>
      </c>
      <c r="AD1464" s="13">
        <v>3</v>
      </c>
      <c r="AE1464" s="13">
        <v>3</v>
      </c>
      <c r="AF1464" s="13"/>
      <c r="AG1464" s="16">
        <f>IFERROR(SUMIF(reading[[#This Row],[1st]:[7th]],"&gt;0")/COUNTIF(reading[[#This Row],[1st]:[7th]],"&gt;0"),"")</f>
        <v>3</v>
      </c>
    </row>
    <row r="1465" spans="1:33" hidden="1" x14ac:dyDescent="0.2">
      <c r="A1465" s="4">
        <f>IF(B1465=1,3,IF(D1465=1,2,IF(F1465=1,1,0)))</f>
        <v>0</v>
      </c>
      <c r="B1465" s="4" t="str">
        <f>IF(C1465=$L1465,1,IF(C1465="","",0))</f>
        <v/>
      </c>
      <c r="C1465" s="42"/>
      <c r="D1465" s="4" t="str">
        <f>IF(E1465=$L1465,1,IF(E1465="","",0))</f>
        <v/>
      </c>
      <c r="E1465" s="23"/>
      <c r="F1465" s="4" t="str">
        <f>IF(G1465=$L1465,1,IF(G1465="","",0))</f>
        <v/>
      </c>
      <c r="G1465" s="23"/>
      <c r="H1465" s="6">
        <v>1778</v>
      </c>
      <c r="I1465" s="15" t="s">
        <v>3120</v>
      </c>
      <c r="J1465" s="6" t="s">
        <v>4885</v>
      </c>
      <c r="K1465" s="6"/>
      <c r="L1465" s="6" t="s">
        <v>1858</v>
      </c>
      <c r="M1465" s="6" t="s">
        <v>7884</v>
      </c>
      <c r="N1465" s="7">
        <f ca="1">RAND()</f>
        <v>0.66063707616411393</v>
      </c>
      <c r="O1465" s="8">
        <v>45212</v>
      </c>
      <c r="P1465" s="8">
        <v>45213</v>
      </c>
      <c r="Q1465" s="8">
        <v>45215</v>
      </c>
      <c r="R1465" s="8">
        <v>45219</v>
      </c>
      <c r="S1465" s="8">
        <v>45226</v>
      </c>
      <c r="T1465" s="8">
        <v>45823</v>
      </c>
      <c r="U1465" s="8"/>
      <c r="V1465" s="10">
        <f>COUNTA(O1465:U1465)</f>
        <v>6</v>
      </c>
      <c r="W1465" s="11">
        <f>_xlfn.IFNA(INDEX(reading[[#This Row],[Memo 01]:[Memo 07]],MATCH(0,reading[[#This Row],[Memo 01]:[Memo 07]],-1)),"")</f>
        <v>45823</v>
      </c>
      <c r="X1465" s="11">
        <f ca="1">IFERROR(reading[[#This Row],[Previous]]+OFFSET(reading[[#Headers],[Memo 01]],-1,MATCH(0,reading[[#This Row],[Memo 01]:[Memo 07]],-1)-1),"")</f>
        <v>45843</v>
      </c>
      <c r="Y1465" s="10" t="str">
        <f ca="1">IF(reading[[#This Row],[Next]]&lt;&gt;"",IF(reading[[#This Row],[Next]]&gt;TODAY(),"OK",""),"")</f>
        <v>OK</v>
      </c>
      <c r="Z1465" s="13">
        <v>3</v>
      </c>
      <c r="AA1465" s="13">
        <v>3</v>
      </c>
      <c r="AB1465" s="13">
        <v>3</v>
      </c>
      <c r="AC1465" s="13">
        <v>3</v>
      </c>
      <c r="AD1465" s="13">
        <v>3</v>
      </c>
      <c r="AE1465" s="13">
        <v>1</v>
      </c>
      <c r="AF1465" s="13"/>
      <c r="AG1465" s="16">
        <f>IFERROR(SUMIF(reading[[#This Row],[1st]:[7th]],"&gt;0")/COUNTIF(reading[[#This Row],[1st]:[7th]],"&gt;0"),"")</f>
        <v>2.6666666666666665</v>
      </c>
    </row>
    <row r="1466" spans="1:33" hidden="1" x14ac:dyDescent="0.2">
      <c r="A1466" s="4">
        <f>IF(B1466=1,3,IF(D1466=1,2,IF(F1466=1,1,0)))</f>
        <v>0</v>
      </c>
      <c r="B1466" s="4" t="str">
        <f>IF(C1466=$L1466,1,IF(C1466="","",0))</f>
        <v/>
      </c>
      <c r="C1466" s="42"/>
      <c r="D1466" s="4" t="str">
        <f>IF(E1466=$L1466,1,IF(E1466="","",0))</f>
        <v/>
      </c>
      <c r="E1466" s="23"/>
      <c r="F1466" s="4" t="str">
        <f>IF(G1466=$L1466,1,IF(G1466="","",0))</f>
        <v/>
      </c>
      <c r="G1466" s="14"/>
      <c r="H1466" s="6">
        <v>3049</v>
      </c>
      <c r="I1466" s="15" t="s">
        <v>3120</v>
      </c>
      <c r="J1466" s="6" t="s">
        <v>6070</v>
      </c>
      <c r="K1466" s="6"/>
      <c r="L1466" s="6" t="s">
        <v>3075</v>
      </c>
      <c r="M1466" s="6" t="s">
        <v>9152</v>
      </c>
      <c r="N1466" s="7">
        <f ca="1">RAND()</f>
        <v>0.37603576293824048</v>
      </c>
      <c r="O1466" s="8">
        <v>45226</v>
      </c>
      <c r="P1466" s="8">
        <v>45227</v>
      </c>
      <c r="Q1466" s="8">
        <v>45229</v>
      </c>
      <c r="R1466" s="8">
        <v>45233</v>
      </c>
      <c r="S1466" s="8">
        <v>45249</v>
      </c>
      <c r="T1466" s="8">
        <v>45825</v>
      </c>
      <c r="U1466" s="8"/>
      <c r="V1466" s="10">
        <f>COUNTA(O1466:U1466)</f>
        <v>6</v>
      </c>
      <c r="W1466" s="11">
        <f>_xlfn.IFNA(INDEX(reading[[#This Row],[Memo 01]:[Memo 07]],MATCH(0,reading[[#This Row],[Memo 01]:[Memo 07]],-1)),"")</f>
        <v>45825</v>
      </c>
      <c r="X1466" s="11">
        <f ca="1">IFERROR(reading[[#This Row],[Previous]]+OFFSET(reading[[#Headers],[Memo 01]],-1,MATCH(0,reading[[#This Row],[Memo 01]:[Memo 07]],-1)-1),"")</f>
        <v>45845</v>
      </c>
      <c r="Y1466" s="10" t="str">
        <f ca="1">IF(reading[[#This Row],[Next]]&lt;&gt;"",IF(reading[[#This Row],[Next]]&gt;TODAY(),"OK",""),"")</f>
        <v>OK</v>
      </c>
      <c r="Z1466" s="13">
        <v>3</v>
      </c>
      <c r="AA1466" s="13">
        <v>3</v>
      </c>
      <c r="AB1466" s="13">
        <v>3</v>
      </c>
      <c r="AC1466" s="13">
        <v>3</v>
      </c>
      <c r="AD1466" s="13">
        <v>3</v>
      </c>
      <c r="AE1466" s="13">
        <v>2</v>
      </c>
      <c r="AF1466" s="13"/>
      <c r="AG1466" s="16">
        <f>IFERROR(SUMIF(reading[[#This Row],[1st]:[7th]],"&gt;0")/COUNTIF(reading[[#This Row],[1st]:[7th]],"&gt;0"),"")</f>
        <v>2.8333333333333335</v>
      </c>
    </row>
    <row r="1467" spans="1:33" hidden="1" x14ac:dyDescent="0.2">
      <c r="A1467" s="4">
        <f>IF(B1467=1,3,IF(D1467=1,2,IF(F1467=1,1,0)))</f>
        <v>0</v>
      </c>
      <c r="B1467" s="4" t="str">
        <f>IF(C1467=$L1467,1,IF(C1467="","",0))</f>
        <v/>
      </c>
      <c r="C1467" s="42"/>
      <c r="D1467" s="4" t="str">
        <f>IF(E1467=$L1467,1,IF(E1467="","",0))</f>
        <v/>
      </c>
      <c r="E1467" s="14"/>
      <c r="F1467" s="4" t="str">
        <f>IF(G1467=$L1467,1,IF(G1467="","",0))</f>
        <v/>
      </c>
      <c r="G1467" s="14"/>
      <c r="H1467" s="6">
        <v>292</v>
      </c>
      <c r="I1467" s="15" t="s">
        <v>3120</v>
      </c>
      <c r="J1467" s="6" t="s">
        <v>3440</v>
      </c>
      <c r="K1467" s="6"/>
      <c r="L1467" s="6" t="s">
        <v>427</v>
      </c>
      <c r="M1467" s="6" t="s">
        <v>6401</v>
      </c>
      <c r="N1467" s="7">
        <f ca="1">RAND()</f>
        <v>0.151674788720635</v>
      </c>
      <c r="O1467" s="8">
        <v>45200</v>
      </c>
      <c r="P1467" s="8">
        <v>45201</v>
      </c>
      <c r="Q1467" s="8">
        <v>45203</v>
      </c>
      <c r="R1467" s="8">
        <v>45207</v>
      </c>
      <c r="S1467" s="8">
        <v>45214</v>
      </c>
      <c r="T1467" s="8">
        <v>45226</v>
      </c>
      <c r="U1467" s="8">
        <v>45823</v>
      </c>
      <c r="V1467" s="10">
        <f>COUNTA(O1467:U1467)</f>
        <v>7</v>
      </c>
      <c r="W1467" s="11">
        <f>_xlfn.IFNA(INDEX(reading[[#This Row],[Memo 01]:[Memo 07]],MATCH(0,reading[[#This Row],[Memo 01]:[Memo 07]],-1)),"")</f>
        <v>45823</v>
      </c>
      <c r="X1467" s="11">
        <f ca="1">IFERROR(reading[[#This Row],[Previous]]+OFFSET(reading[[#Headers],[Memo 01]],-1,MATCH(0,reading[[#This Row],[Memo 01]:[Memo 07]],-1)-1),"")</f>
        <v>55823</v>
      </c>
      <c r="Y1467" s="10" t="str">
        <f ca="1">IF(reading[[#This Row],[Next]]&lt;&gt;"",IF(reading[[#This Row],[Next]]&gt;TODAY(),"OK",""),"")</f>
        <v>OK</v>
      </c>
      <c r="Z1467" s="13">
        <v>3</v>
      </c>
      <c r="AA1467" s="13">
        <v>3</v>
      </c>
      <c r="AB1467" s="13">
        <v>3</v>
      </c>
      <c r="AC1467" s="13">
        <v>3</v>
      </c>
      <c r="AD1467" s="13">
        <v>3</v>
      </c>
      <c r="AE1467" s="13">
        <v>3</v>
      </c>
      <c r="AF1467" s="13">
        <v>3</v>
      </c>
      <c r="AG1467" s="16">
        <f>IFERROR(SUMIF(reading[[#This Row],[1st]:[7th]],"&gt;0")/COUNTIF(reading[[#This Row],[1st]:[7th]],"&gt;0"),"")</f>
        <v>3</v>
      </c>
    </row>
    <row r="1468" spans="1:33" hidden="1" x14ac:dyDescent="0.2">
      <c r="A1468" s="4">
        <f>IF(B1468=1,3,IF(D1468=1,2,IF(F1468=1,1,0)))</f>
        <v>0</v>
      </c>
      <c r="B1468" s="4" t="str">
        <f>IF(C1468=$L1468,1,IF(C1468="","",0))</f>
        <v/>
      </c>
      <c r="C1468" s="42"/>
      <c r="D1468" s="4" t="str">
        <f>IF(E1468=$L1468,1,IF(E1468="","",0))</f>
        <v/>
      </c>
      <c r="E1468" s="14"/>
      <c r="F1468" s="4" t="str">
        <f>IF(G1468=$L1468,1,IF(G1468="","",0))</f>
        <v/>
      </c>
      <c r="G1468" s="14"/>
      <c r="H1468" s="6">
        <v>461</v>
      </c>
      <c r="I1468" s="15" t="s">
        <v>3120</v>
      </c>
      <c r="J1468" s="6" t="s">
        <v>3607</v>
      </c>
      <c r="K1468" s="24" t="s">
        <v>3142</v>
      </c>
      <c r="L1468" s="6" t="s">
        <v>590</v>
      </c>
      <c r="M1468" s="6" t="s">
        <v>6570</v>
      </c>
      <c r="N1468" s="7">
        <f ca="1">RAND()</f>
        <v>0.11578198746101265</v>
      </c>
      <c r="O1468" s="8">
        <v>45202</v>
      </c>
      <c r="P1468" s="8">
        <v>45203</v>
      </c>
      <c r="Q1468" s="8">
        <v>45205</v>
      </c>
      <c r="R1468" s="8">
        <v>45209</v>
      </c>
      <c r="S1468" s="8">
        <v>45216</v>
      </c>
      <c r="T1468" s="8">
        <v>45228</v>
      </c>
      <c r="U1468" s="8">
        <v>45823</v>
      </c>
      <c r="V1468" s="10">
        <f>COUNTA(O1468:U1468)</f>
        <v>7</v>
      </c>
      <c r="W1468" s="11">
        <f>_xlfn.IFNA(INDEX(reading[[#This Row],[Memo 01]:[Memo 07]],MATCH(0,reading[[#This Row],[Memo 01]:[Memo 07]],-1)),"")</f>
        <v>45823</v>
      </c>
      <c r="X1468" s="11">
        <f ca="1">IFERROR(reading[[#This Row],[Previous]]+OFFSET(reading[[#Headers],[Memo 01]],-1,MATCH(0,reading[[#This Row],[Memo 01]:[Memo 07]],-1)-1),"")</f>
        <v>55823</v>
      </c>
      <c r="Y1468" s="10" t="str">
        <f ca="1">IF(reading[[#This Row],[Next]]&lt;&gt;"",IF(reading[[#This Row],[Next]]&gt;TODAY(),"OK",""),"")</f>
        <v>OK</v>
      </c>
      <c r="Z1468" s="13">
        <v>3</v>
      </c>
      <c r="AA1468" s="13">
        <v>3</v>
      </c>
      <c r="AB1468" s="13">
        <v>3</v>
      </c>
      <c r="AC1468" s="13">
        <v>3</v>
      </c>
      <c r="AD1468" s="13">
        <v>3</v>
      </c>
      <c r="AE1468" s="13">
        <v>3</v>
      </c>
      <c r="AF1468" s="13">
        <v>3</v>
      </c>
      <c r="AG1468" s="16">
        <f>IFERROR(SUMIF(reading[[#This Row],[1st]:[7th]],"&gt;0")/COUNTIF(reading[[#This Row],[1st]:[7th]],"&gt;0"),"")</f>
        <v>3</v>
      </c>
    </row>
    <row r="1469" spans="1:33" hidden="1" x14ac:dyDescent="0.2">
      <c r="A1469" s="4">
        <f>IF(B1469=1,3,IF(D1469=1,2,IF(F1469=1,1,0)))</f>
        <v>0</v>
      </c>
      <c r="B1469" s="4" t="str">
        <f>IF(C1469=$L1469,1,IF(C1469="","",0))</f>
        <v/>
      </c>
      <c r="C1469" s="42"/>
      <c r="D1469" s="4" t="str">
        <f>IF(E1469=$L1469,1,IF(E1469="","",0))</f>
        <v/>
      </c>
      <c r="E1469" s="14"/>
      <c r="F1469" s="4" t="str">
        <f>IF(G1469=$L1469,1,IF(G1469="","",0))</f>
        <v/>
      </c>
      <c r="G1469" s="14"/>
      <c r="H1469" s="6">
        <v>2834</v>
      </c>
      <c r="I1469" s="15" t="s">
        <v>3120</v>
      </c>
      <c r="J1469" s="6" t="s">
        <v>5875</v>
      </c>
      <c r="K1469" s="6"/>
      <c r="L1469" s="6" t="s">
        <v>2869</v>
      </c>
      <c r="M1469" s="6" t="s">
        <v>8938</v>
      </c>
      <c r="N1469" s="7">
        <f ca="1">RAND()</f>
        <v>0.95426084594335348</v>
      </c>
      <c r="O1469" s="8">
        <v>45222</v>
      </c>
      <c r="P1469" s="8">
        <v>45223</v>
      </c>
      <c r="Q1469" s="8">
        <v>45225</v>
      </c>
      <c r="R1469" s="8">
        <v>45229</v>
      </c>
      <c r="S1469" s="8">
        <v>45236</v>
      </c>
      <c r="T1469" s="8">
        <v>45823</v>
      </c>
      <c r="U1469" s="8"/>
      <c r="V1469" s="10">
        <f>COUNTA(O1469:U1469)</f>
        <v>6</v>
      </c>
      <c r="W1469" s="11">
        <f>_xlfn.IFNA(INDEX(reading[[#This Row],[Memo 01]:[Memo 07]],MATCH(0,reading[[#This Row],[Memo 01]:[Memo 07]],-1)),"")</f>
        <v>45823</v>
      </c>
      <c r="X1469" s="11">
        <f ca="1">IFERROR(reading[[#This Row],[Previous]]+OFFSET(reading[[#Headers],[Memo 01]],-1,MATCH(0,reading[[#This Row],[Memo 01]:[Memo 07]],-1)-1),"")</f>
        <v>45843</v>
      </c>
      <c r="Y1469" s="10" t="str">
        <f ca="1">IF(reading[[#This Row],[Next]]&lt;&gt;"",IF(reading[[#This Row],[Next]]&gt;TODAY(),"OK",""),"")</f>
        <v>OK</v>
      </c>
      <c r="Z1469" s="13">
        <v>3</v>
      </c>
      <c r="AA1469" s="13">
        <v>3</v>
      </c>
      <c r="AB1469" s="13">
        <v>3</v>
      </c>
      <c r="AC1469" s="13">
        <v>3</v>
      </c>
      <c r="AD1469" s="13">
        <v>3</v>
      </c>
      <c r="AE1469" s="13">
        <v>3</v>
      </c>
      <c r="AF1469" s="13"/>
      <c r="AG1469" s="16">
        <f>IFERROR(SUMIF(reading[[#This Row],[1st]:[7th]],"&gt;0")/COUNTIF(reading[[#This Row],[1st]:[7th]],"&gt;0"),"")</f>
        <v>3</v>
      </c>
    </row>
    <row r="1470" spans="1:33" hidden="1" x14ac:dyDescent="0.2">
      <c r="A1470" s="4">
        <f>IF(B1470=1,3,IF(D1470=1,2,IF(F1470=1,1,0)))</f>
        <v>0</v>
      </c>
      <c r="B1470" s="4" t="str">
        <f>IF(C1470=$L1470,1,IF(C1470="","",0))</f>
        <v/>
      </c>
      <c r="C1470" s="42"/>
      <c r="D1470" s="4" t="str">
        <f>IF(E1470=$L1470,1,IF(E1470="","",0))</f>
        <v/>
      </c>
      <c r="E1470" s="18"/>
      <c r="F1470" s="4" t="str">
        <f>IF(G1470=$L1470,1,IF(G1470="","",0))</f>
        <v/>
      </c>
      <c r="G1470" s="14"/>
      <c r="H1470" s="6">
        <v>1827</v>
      </c>
      <c r="I1470" s="15" t="s">
        <v>3120</v>
      </c>
      <c r="J1470" s="6" t="s">
        <v>4932</v>
      </c>
      <c r="K1470" s="6"/>
      <c r="L1470" s="6" t="s">
        <v>1905</v>
      </c>
      <c r="M1470" s="6" t="s">
        <v>7933</v>
      </c>
      <c r="N1470" s="7">
        <f ca="1">RAND()</f>
        <v>0.41717014997513269</v>
      </c>
      <c r="O1470" s="8">
        <v>45213</v>
      </c>
      <c r="P1470" s="8">
        <v>45214</v>
      </c>
      <c r="Q1470" s="8">
        <v>45216</v>
      </c>
      <c r="R1470" s="8">
        <v>45220</v>
      </c>
      <c r="S1470" s="8">
        <v>45227</v>
      </c>
      <c r="T1470" s="8">
        <v>45252</v>
      </c>
      <c r="U1470" s="8">
        <v>45823</v>
      </c>
      <c r="V1470" s="10">
        <f>COUNTA(O1470:U1470)</f>
        <v>7</v>
      </c>
      <c r="W1470" s="11">
        <f>_xlfn.IFNA(INDEX(reading[[#This Row],[Memo 01]:[Memo 07]],MATCH(0,reading[[#This Row],[Memo 01]:[Memo 07]],-1)),"")</f>
        <v>45823</v>
      </c>
      <c r="X1470" s="11">
        <f ca="1">IFERROR(reading[[#This Row],[Previous]]+OFFSET(reading[[#Headers],[Memo 01]],-1,MATCH(0,reading[[#This Row],[Memo 01]:[Memo 07]],-1)-1),"")</f>
        <v>55823</v>
      </c>
      <c r="Y1470" s="10" t="str">
        <f ca="1">IF(reading[[#This Row],[Next]]&lt;&gt;"",IF(reading[[#This Row],[Next]]&gt;TODAY(),"OK",""),"")</f>
        <v>OK</v>
      </c>
      <c r="Z1470" s="13">
        <v>3</v>
      </c>
      <c r="AA1470" s="13">
        <v>2</v>
      </c>
      <c r="AB1470" s="13">
        <v>3</v>
      </c>
      <c r="AC1470" s="13">
        <v>2</v>
      </c>
      <c r="AD1470" s="13">
        <v>3</v>
      </c>
      <c r="AE1470" s="13">
        <v>2</v>
      </c>
      <c r="AF1470" s="13">
        <v>3</v>
      </c>
      <c r="AG1470" s="16">
        <f>IFERROR(SUMIF(reading[[#This Row],[1st]:[7th]],"&gt;0")/COUNTIF(reading[[#This Row],[1st]:[7th]],"&gt;0"),"")</f>
        <v>2.5714285714285716</v>
      </c>
    </row>
    <row r="1471" spans="1:33" hidden="1" x14ac:dyDescent="0.2">
      <c r="A1471" s="4">
        <f>IF(B1471=1,3,IF(D1471=1,2,IF(F1471=1,1,0)))</f>
        <v>0</v>
      </c>
      <c r="B1471" s="4" t="str">
        <f>IF(C1471=$L1471,1,IF(C1471="","",0))</f>
        <v/>
      </c>
      <c r="C1471" s="42"/>
      <c r="D1471" s="4" t="str">
        <f>IF(E1471=$L1471,1,IF(E1471="","",0))</f>
        <v/>
      </c>
      <c r="E1471" s="14"/>
      <c r="F1471" s="4" t="str">
        <f>IF(G1471=$L1471,1,IF(G1471="","",0))</f>
        <v/>
      </c>
      <c r="G1471" s="14"/>
      <c r="H1471" s="6">
        <v>932</v>
      </c>
      <c r="I1471" s="15" t="s">
        <v>3120</v>
      </c>
      <c r="J1471" s="6" t="s">
        <v>4063</v>
      </c>
      <c r="K1471" s="6"/>
      <c r="L1471" s="6" t="s">
        <v>1043</v>
      </c>
      <c r="M1471" s="6" t="s">
        <v>7040</v>
      </c>
      <c r="N1471" s="7">
        <f ca="1">RAND()</f>
        <v>0.35029269970373322</v>
      </c>
      <c r="O1471" s="8">
        <v>45204</v>
      </c>
      <c r="P1471" s="8">
        <v>45205</v>
      </c>
      <c r="Q1471" s="8">
        <v>45207</v>
      </c>
      <c r="R1471" s="8">
        <v>45211</v>
      </c>
      <c r="S1471" s="8">
        <v>45218</v>
      </c>
      <c r="T1471" s="8">
        <v>45230</v>
      </c>
      <c r="U1471" s="8">
        <v>45827</v>
      </c>
      <c r="V1471" s="10">
        <f>COUNTA(O1471:U1471)</f>
        <v>7</v>
      </c>
      <c r="W1471" s="11">
        <f>_xlfn.IFNA(INDEX(reading[[#This Row],[Memo 01]:[Memo 07]],MATCH(0,reading[[#This Row],[Memo 01]:[Memo 07]],-1)),"")</f>
        <v>45827</v>
      </c>
      <c r="X1471" s="11">
        <f ca="1">IFERROR(reading[[#This Row],[Previous]]+OFFSET(reading[[#Headers],[Memo 01]],-1,MATCH(0,reading[[#This Row],[Memo 01]:[Memo 07]],-1)-1),"")</f>
        <v>55827</v>
      </c>
      <c r="Y1471" s="10" t="str">
        <f ca="1">IF(reading[[#This Row],[Next]]&lt;&gt;"",IF(reading[[#This Row],[Next]]&gt;TODAY(),"OK",""),"")</f>
        <v>OK</v>
      </c>
      <c r="Z1471" s="13">
        <v>3</v>
      </c>
      <c r="AA1471" s="13">
        <v>3</v>
      </c>
      <c r="AB1471" s="13">
        <v>3</v>
      </c>
      <c r="AC1471" s="13">
        <v>3</v>
      </c>
      <c r="AD1471" s="13">
        <v>3</v>
      </c>
      <c r="AE1471" s="13">
        <v>3</v>
      </c>
      <c r="AF1471" s="13">
        <v>3</v>
      </c>
      <c r="AG1471" s="16">
        <f>IFERROR(SUMIF(reading[[#This Row],[1st]:[7th]],"&gt;0")/COUNTIF(reading[[#This Row],[1st]:[7th]],"&gt;0"),"")</f>
        <v>3</v>
      </c>
    </row>
    <row r="1472" spans="1:33" hidden="1" x14ac:dyDescent="0.2">
      <c r="A1472" s="4">
        <f>IF(B1472=1,3,IF(D1472=1,2,IF(F1472=1,1,0)))</f>
        <v>3</v>
      </c>
      <c r="B1472" s="4">
        <f>IF(C1472=$L1472,1,IF(C1472="","",0))</f>
        <v>1</v>
      </c>
      <c r="C1472" s="29" t="s">
        <v>3143</v>
      </c>
      <c r="D1472" s="4" t="str">
        <f>IF(E1472=$L1472,1,IF(E1472="","",0))</f>
        <v/>
      </c>
      <c r="E1472" s="14"/>
      <c r="F1472" s="4" t="str">
        <f>IF(G1472=$L1472,1,IF(G1472="","",0))</f>
        <v/>
      </c>
      <c r="G1472" s="14"/>
      <c r="H1472" s="6">
        <v>1476</v>
      </c>
      <c r="I1472" s="15" t="s">
        <v>3120</v>
      </c>
      <c r="J1472" s="6" t="s">
        <v>4590</v>
      </c>
      <c r="K1472" s="6"/>
      <c r="L1472" s="6" t="s">
        <v>1562</v>
      </c>
      <c r="M1472" s="6" t="s">
        <v>7583</v>
      </c>
      <c r="N1472" s="7">
        <f ca="1">RAND()</f>
        <v>0.46966409181452251</v>
      </c>
      <c r="O1472" s="8">
        <v>45208</v>
      </c>
      <c r="P1472" s="8">
        <v>45208</v>
      </c>
      <c r="Q1472" s="8">
        <v>45208</v>
      </c>
      <c r="R1472" s="8">
        <v>45208</v>
      </c>
      <c r="S1472" s="8">
        <v>45208</v>
      </c>
      <c r="T1472" s="8">
        <v>45208</v>
      </c>
      <c r="U1472" s="8">
        <v>45208</v>
      </c>
      <c r="V1472" s="10">
        <f>COUNTA(O1472:U1472)</f>
        <v>7</v>
      </c>
      <c r="W1472" s="11">
        <f>_xlfn.IFNA(INDEX(reading[[#This Row],[Memo 01]:[Memo 07]],MATCH(0,reading[[#This Row],[Memo 01]:[Memo 07]],-1)),"")</f>
        <v>45208</v>
      </c>
      <c r="X1472" s="11">
        <f ca="1">IFERROR(reading[[#This Row],[Previous]]+OFFSET(reading[[#Headers],[Memo 01]],-1,MATCH(0,reading[[#This Row],[Memo 01]:[Memo 07]],-1)-1),"")</f>
        <v>55208</v>
      </c>
      <c r="Y1472" s="10" t="str">
        <f ca="1">IF(reading[[#This Row],[Next]]&lt;&gt;"",IF(reading[[#This Row],[Next]]&gt;TODAY(),"OK",""),"")</f>
        <v>OK</v>
      </c>
      <c r="Z1472" s="13">
        <v>3</v>
      </c>
      <c r="AA1472" s="13"/>
      <c r="AB1472" s="13"/>
      <c r="AC1472" s="13"/>
      <c r="AD1472" s="13"/>
      <c r="AE1472" s="13"/>
      <c r="AF1472" s="13"/>
      <c r="AG1472" s="16">
        <f>IFERROR(SUMIF(reading[[#This Row],[1st]:[7th]],"&gt;0")/COUNTIF(reading[[#This Row],[1st]:[7th]],"&gt;0"),"")</f>
        <v>3</v>
      </c>
    </row>
    <row r="1473" spans="1:33" hidden="1" x14ac:dyDescent="0.2">
      <c r="A1473" s="4">
        <f>IF(B1473=1,3,IF(D1473=1,2,IF(F1473=1,1,0)))</f>
        <v>0</v>
      </c>
      <c r="B1473" s="4" t="str">
        <f>IF(C1473=$L1473,1,IF(C1473="","",0))</f>
        <v/>
      </c>
      <c r="C1473" s="42"/>
      <c r="D1473" s="4" t="str">
        <f>IF(E1473=$L1473,1,IF(E1473="","",0))</f>
        <v/>
      </c>
      <c r="E1473" s="18"/>
      <c r="F1473" s="4" t="str">
        <f>IF(G1473=$L1473,1,IF(G1473="","",0))</f>
        <v/>
      </c>
      <c r="G1473" s="14"/>
      <c r="H1473" s="6">
        <v>379</v>
      </c>
      <c r="I1473" s="15" t="s">
        <v>3120</v>
      </c>
      <c r="J1473" s="6" t="s">
        <v>3526</v>
      </c>
      <c r="K1473" s="24" t="s">
        <v>3136</v>
      </c>
      <c r="L1473" s="6" t="s">
        <v>512</v>
      </c>
      <c r="M1473" s="6" t="s">
        <v>6488</v>
      </c>
      <c r="N1473" s="7">
        <f ca="1">RAND()</f>
        <v>0.32959069547649311</v>
      </c>
      <c r="O1473" s="8">
        <v>45201</v>
      </c>
      <c r="P1473" s="8">
        <v>45202</v>
      </c>
      <c r="Q1473" s="8">
        <v>45204</v>
      </c>
      <c r="R1473" s="8">
        <v>45208</v>
      </c>
      <c r="S1473" s="8">
        <v>45215</v>
      </c>
      <c r="T1473" s="8">
        <v>45227</v>
      </c>
      <c r="U1473" s="8">
        <v>45823</v>
      </c>
      <c r="V1473" s="10">
        <f>COUNTA(O1473:U1473)</f>
        <v>7</v>
      </c>
      <c r="W1473" s="11">
        <f>_xlfn.IFNA(INDEX(reading[[#This Row],[Memo 01]:[Memo 07]],MATCH(0,reading[[#This Row],[Memo 01]:[Memo 07]],-1)),"")</f>
        <v>45823</v>
      </c>
      <c r="X1473" s="11">
        <f ca="1">IFERROR(reading[[#This Row],[Previous]]+OFFSET(reading[[#Headers],[Memo 01]],-1,MATCH(0,reading[[#This Row],[Memo 01]:[Memo 07]],-1)-1),"")</f>
        <v>55823</v>
      </c>
      <c r="Y1473" s="10" t="str">
        <f ca="1">IF(reading[[#This Row],[Next]]&lt;&gt;"",IF(reading[[#This Row],[Next]]&gt;TODAY(),"OK",""),"")</f>
        <v>OK</v>
      </c>
      <c r="Z1473" s="13">
        <v>3</v>
      </c>
      <c r="AA1473" s="13">
        <v>3</v>
      </c>
      <c r="AB1473" s="13">
        <v>3</v>
      </c>
      <c r="AC1473" s="13">
        <v>3</v>
      </c>
      <c r="AD1473" s="13">
        <v>3</v>
      </c>
      <c r="AE1473" s="13">
        <v>2</v>
      </c>
      <c r="AF1473" s="13">
        <v>3</v>
      </c>
      <c r="AG1473" s="16">
        <f>IFERROR(SUMIF(reading[[#This Row],[1st]:[7th]],"&gt;0")/COUNTIF(reading[[#This Row],[1st]:[7th]],"&gt;0"),"")</f>
        <v>2.8571428571428572</v>
      </c>
    </row>
    <row r="1474" spans="1:33" hidden="1" x14ac:dyDescent="0.2">
      <c r="A1474" s="4">
        <f>IF(B1474=1,3,IF(D1474=1,2,IF(F1474=1,1,0)))</f>
        <v>0</v>
      </c>
      <c r="B1474" s="4" t="str">
        <f>IF(C1474=$L1474,1,IF(C1474="","",0))</f>
        <v/>
      </c>
      <c r="C1474" s="42"/>
      <c r="D1474" s="4" t="str">
        <f>IF(E1474=$L1474,1,IF(E1474="","",0))</f>
        <v/>
      </c>
      <c r="E1474" s="14"/>
      <c r="F1474" s="4" t="str">
        <f>IF(G1474=$L1474,1,IF(G1474="","",0))</f>
        <v/>
      </c>
      <c r="G1474" s="14"/>
      <c r="H1474" s="6">
        <v>1820</v>
      </c>
      <c r="I1474" s="15" t="s">
        <v>3120</v>
      </c>
      <c r="J1474" s="6" t="s">
        <v>4925</v>
      </c>
      <c r="K1474" s="15" t="s">
        <v>3139</v>
      </c>
      <c r="L1474" s="6" t="s">
        <v>1898</v>
      </c>
      <c r="M1474" s="6" t="s">
        <v>7926</v>
      </c>
      <c r="N1474" s="7">
        <f ca="1">RAND()</f>
        <v>0.5994338826364024</v>
      </c>
      <c r="O1474" s="8">
        <v>45212</v>
      </c>
      <c r="P1474" s="8">
        <v>45213</v>
      </c>
      <c r="Q1474" s="8">
        <v>45215</v>
      </c>
      <c r="R1474" s="8">
        <v>45219</v>
      </c>
      <c r="S1474" s="8">
        <v>45226</v>
      </c>
      <c r="T1474" s="8">
        <v>45823</v>
      </c>
      <c r="U1474" s="8"/>
      <c r="V1474" s="10">
        <f>COUNTA(O1474:U1474)</f>
        <v>6</v>
      </c>
      <c r="W1474" s="11">
        <f>_xlfn.IFNA(INDEX(reading[[#This Row],[Memo 01]:[Memo 07]],MATCH(0,reading[[#This Row],[Memo 01]:[Memo 07]],-1)),"")</f>
        <v>45823</v>
      </c>
      <c r="X1474" s="11">
        <f ca="1">IFERROR(reading[[#This Row],[Previous]]+OFFSET(reading[[#Headers],[Memo 01]],-1,MATCH(0,reading[[#This Row],[Memo 01]:[Memo 07]],-1)-1),"")</f>
        <v>45843</v>
      </c>
      <c r="Y1474" s="10" t="str">
        <f ca="1">IF(reading[[#This Row],[Next]]&lt;&gt;"",IF(reading[[#This Row],[Next]]&gt;TODAY(),"OK",""),"")</f>
        <v>OK</v>
      </c>
      <c r="Z1474" s="13">
        <v>3</v>
      </c>
      <c r="AA1474" s="13">
        <v>3</v>
      </c>
      <c r="AB1474" s="13">
        <v>3</v>
      </c>
      <c r="AC1474" s="13">
        <v>3</v>
      </c>
      <c r="AD1474" s="13">
        <v>3</v>
      </c>
      <c r="AE1474" s="13">
        <v>3</v>
      </c>
      <c r="AF1474" s="13"/>
      <c r="AG1474" s="16">
        <f>IFERROR(SUMIF(reading[[#This Row],[1st]:[7th]],"&gt;0")/COUNTIF(reading[[#This Row],[1st]:[7th]],"&gt;0"),"")</f>
        <v>3</v>
      </c>
    </row>
    <row r="1475" spans="1:33" hidden="1" x14ac:dyDescent="0.2">
      <c r="A1475" s="4">
        <f>IF(B1475=1,3,IF(D1475=1,2,IF(F1475=1,1,0)))</f>
        <v>0</v>
      </c>
      <c r="B1475" s="4" t="str">
        <f>IF(C1475=$L1475,1,IF(C1475="","",0))</f>
        <v/>
      </c>
      <c r="C1475" s="42"/>
      <c r="D1475" s="4" t="str">
        <f>IF(E1475=$L1475,1,IF(E1475="","",0))</f>
        <v/>
      </c>
      <c r="E1475" s="23"/>
      <c r="F1475" s="4" t="str">
        <f>IF(G1475=$L1475,1,IF(G1475="","",0))</f>
        <v/>
      </c>
      <c r="G1475" s="14"/>
      <c r="H1475" s="6">
        <v>540</v>
      </c>
      <c r="I1475" s="15" t="s">
        <v>3120</v>
      </c>
      <c r="J1475" s="6" t="s">
        <v>3685</v>
      </c>
      <c r="K1475" s="6"/>
      <c r="L1475" s="6" t="s">
        <v>668</v>
      </c>
      <c r="M1475" s="6" t="s">
        <v>6649</v>
      </c>
      <c r="N1475" s="7">
        <f ca="1">RAND()</f>
        <v>0.5852294593112688</v>
      </c>
      <c r="O1475" s="8">
        <v>45202</v>
      </c>
      <c r="P1475" s="8">
        <v>45203</v>
      </c>
      <c r="Q1475" s="8">
        <v>45205</v>
      </c>
      <c r="R1475" s="8">
        <v>45209</v>
      </c>
      <c r="S1475" s="8">
        <v>45216</v>
      </c>
      <c r="T1475" s="8">
        <v>45228</v>
      </c>
      <c r="U1475" s="8">
        <v>45816</v>
      </c>
      <c r="V1475" s="10">
        <f>COUNTA(O1475:U1475)</f>
        <v>7</v>
      </c>
      <c r="W1475" s="11">
        <f>_xlfn.IFNA(INDEX(reading[[#This Row],[Memo 01]:[Memo 07]],MATCH(0,reading[[#This Row],[Memo 01]:[Memo 07]],-1)),"")</f>
        <v>45816</v>
      </c>
      <c r="X1475" s="11">
        <f ca="1">IFERROR(reading[[#This Row],[Previous]]+OFFSET(reading[[#Headers],[Memo 01]],-1,MATCH(0,reading[[#This Row],[Memo 01]:[Memo 07]],-1)-1),"")</f>
        <v>55816</v>
      </c>
      <c r="Y1475" s="10" t="str">
        <f ca="1">IF(reading[[#This Row],[Next]]&lt;&gt;"",IF(reading[[#This Row],[Next]]&gt;TODAY(),"OK",""),"")</f>
        <v>OK</v>
      </c>
      <c r="Z1475" s="13">
        <v>3</v>
      </c>
      <c r="AA1475" s="13">
        <v>3</v>
      </c>
      <c r="AB1475" s="13">
        <v>3</v>
      </c>
      <c r="AC1475" s="13">
        <v>3</v>
      </c>
      <c r="AD1475" s="13">
        <v>3</v>
      </c>
      <c r="AE1475" s="13">
        <v>2</v>
      </c>
      <c r="AF1475" s="13">
        <v>2</v>
      </c>
      <c r="AG1475" s="16">
        <f>IFERROR(SUMIF(reading[[#This Row],[1st]:[7th]],"&gt;0")/COUNTIF(reading[[#This Row],[1st]:[7th]],"&gt;0"),"")</f>
        <v>2.7142857142857144</v>
      </c>
    </row>
    <row r="1476" spans="1:33" hidden="1" x14ac:dyDescent="0.2">
      <c r="A1476" s="4">
        <f>IF(B1476=1,3,IF(D1476=1,2,IF(F1476=1,1,0)))</f>
        <v>0</v>
      </c>
      <c r="B1476" s="4" t="str">
        <f>IF(C1476=$L1476,1,IF(C1476="","",0))</f>
        <v/>
      </c>
      <c r="C1476" s="42"/>
      <c r="D1476" s="4" t="str">
        <f>IF(E1476=$L1476,1,IF(E1476="","",0))</f>
        <v/>
      </c>
      <c r="E1476" s="23"/>
      <c r="F1476" s="4" t="str">
        <f>IF(G1476=$L1476,1,IF(G1476="","",0))</f>
        <v/>
      </c>
      <c r="G1476" s="23"/>
      <c r="H1476" s="6">
        <v>2402</v>
      </c>
      <c r="I1476" s="15" t="s">
        <v>3120</v>
      </c>
      <c r="J1476" s="6" t="s">
        <v>5474</v>
      </c>
      <c r="K1476" s="15" t="s">
        <v>3139</v>
      </c>
      <c r="L1476" s="6" t="s">
        <v>2452</v>
      </c>
      <c r="M1476" s="6" t="s">
        <v>8507</v>
      </c>
      <c r="N1476" s="7">
        <f ca="1">RAND()</f>
        <v>0.52371488122245957</v>
      </c>
      <c r="O1476" s="8">
        <v>45217</v>
      </c>
      <c r="P1476" s="8">
        <v>45218</v>
      </c>
      <c r="Q1476" s="8">
        <v>45220</v>
      </c>
      <c r="R1476" s="8">
        <v>45224</v>
      </c>
      <c r="S1476" s="8">
        <v>45231</v>
      </c>
      <c r="T1476" s="8">
        <v>45816</v>
      </c>
      <c r="U1476" s="8"/>
      <c r="V1476" s="10">
        <f>COUNTA(O1476:U1476)</f>
        <v>6</v>
      </c>
      <c r="W1476" s="11">
        <f>_xlfn.IFNA(INDEX(reading[[#This Row],[Memo 01]:[Memo 07]],MATCH(0,reading[[#This Row],[Memo 01]:[Memo 07]],-1)),"")</f>
        <v>45816</v>
      </c>
      <c r="X1476" s="11">
        <f ca="1">IFERROR(reading[[#This Row],[Previous]]+OFFSET(reading[[#Headers],[Memo 01]],-1,MATCH(0,reading[[#This Row],[Memo 01]:[Memo 07]],-1)-1),"")</f>
        <v>45836</v>
      </c>
      <c r="Y1476" s="10" t="str">
        <f ca="1">IF(reading[[#This Row],[Next]]&lt;&gt;"",IF(reading[[#This Row],[Next]]&gt;TODAY(),"OK",""),"")</f>
        <v>OK</v>
      </c>
      <c r="Z1476" s="13">
        <v>3</v>
      </c>
      <c r="AA1476" s="13">
        <v>3</v>
      </c>
      <c r="AB1476" s="13">
        <v>3</v>
      </c>
      <c r="AC1476" s="13">
        <v>3</v>
      </c>
      <c r="AD1476" s="13">
        <v>3</v>
      </c>
      <c r="AE1476" s="13">
        <v>1</v>
      </c>
      <c r="AF1476" s="13"/>
      <c r="AG1476" s="16">
        <f>IFERROR(SUMIF(reading[[#This Row],[1st]:[7th]],"&gt;0")/COUNTIF(reading[[#This Row],[1st]:[7th]],"&gt;0"),"")</f>
        <v>2.6666666666666665</v>
      </c>
    </row>
    <row r="1477" spans="1:33" hidden="1" x14ac:dyDescent="0.2">
      <c r="A1477" s="4">
        <f>IF(B1477=1,3,IF(D1477=1,2,IF(F1477=1,1,0)))</f>
        <v>0</v>
      </c>
      <c r="B1477" s="4" t="str">
        <f>IF(C1477=$L1477,1,IF(C1477="","",0))</f>
        <v/>
      </c>
      <c r="C1477" s="42"/>
      <c r="D1477" s="4" t="str">
        <f>IF(E1477=$L1477,1,IF(E1477="","",0))</f>
        <v/>
      </c>
      <c r="E1477" s="43"/>
      <c r="F1477" s="4" t="str">
        <f>IF(G1477=$L1477,1,IF(G1477="","",0))</f>
        <v/>
      </c>
      <c r="G1477" s="43"/>
      <c r="H1477" s="6">
        <v>2031</v>
      </c>
      <c r="I1477" s="15" t="s">
        <v>3120</v>
      </c>
      <c r="J1477" s="6" t="s">
        <v>5127</v>
      </c>
      <c r="K1477" s="15" t="s">
        <v>3138</v>
      </c>
      <c r="L1477" s="6" t="s">
        <v>2106</v>
      </c>
      <c r="M1477" s="6" t="s">
        <v>8137</v>
      </c>
      <c r="N1477" s="7">
        <f ca="1">RAND()</f>
        <v>0.50435820751031502</v>
      </c>
      <c r="O1477" s="8">
        <v>45213</v>
      </c>
      <c r="P1477" s="8">
        <v>45214</v>
      </c>
      <c r="Q1477" s="8">
        <v>45216</v>
      </c>
      <c r="R1477" s="8">
        <v>45220</v>
      </c>
      <c r="S1477" s="8">
        <v>45227</v>
      </c>
      <c r="T1477" s="8">
        <v>45248</v>
      </c>
      <c r="U1477" s="8">
        <v>45817</v>
      </c>
      <c r="V1477" s="10">
        <f>COUNTA(O1477:U1477)</f>
        <v>7</v>
      </c>
      <c r="W1477" s="11">
        <f>_xlfn.IFNA(INDEX(reading[[#This Row],[Memo 01]:[Memo 07]],MATCH(0,reading[[#This Row],[Memo 01]:[Memo 07]],-1)),"")</f>
        <v>45817</v>
      </c>
      <c r="X1477" s="11">
        <f ca="1">IFERROR(reading[[#This Row],[Previous]]+OFFSET(reading[[#Headers],[Memo 01]],-1,MATCH(0,reading[[#This Row],[Memo 01]:[Memo 07]],-1)-1),"")</f>
        <v>55817</v>
      </c>
      <c r="Y1477" s="10" t="str">
        <f ca="1">IF(reading[[#This Row],[Next]]&lt;&gt;"",IF(reading[[#This Row],[Next]]&gt;TODAY(),"OK",""),"")</f>
        <v>OK</v>
      </c>
      <c r="Z1477" s="13">
        <v>3</v>
      </c>
      <c r="AA1477" s="13">
        <v>3</v>
      </c>
      <c r="AB1477" s="13">
        <v>2</v>
      </c>
      <c r="AC1477" s="13">
        <v>1</v>
      </c>
      <c r="AD1477" s="13">
        <v>2</v>
      </c>
      <c r="AE1477" s="13">
        <v>3</v>
      </c>
      <c r="AF1477" s="13">
        <v>1</v>
      </c>
      <c r="AG1477" s="16">
        <f>IFERROR(SUMIF(reading[[#This Row],[1st]:[7th]],"&gt;0")/COUNTIF(reading[[#This Row],[1st]:[7th]],"&gt;0"),"")</f>
        <v>2.1428571428571428</v>
      </c>
    </row>
    <row r="1478" spans="1:33" hidden="1" x14ac:dyDescent="0.2">
      <c r="A1478" s="4">
        <f>IF(B1478=1,3,IF(D1478=1,2,IF(F1478=1,1,0)))</f>
        <v>0</v>
      </c>
      <c r="B1478" s="4" t="str">
        <f>IF(C1478=$L1478,1,IF(C1478="","",0))</f>
        <v/>
      </c>
      <c r="C1478" s="42"/>
      <c r="D1478" s="4" t="str">
        <f>IF(E1478=$L1478,1,IF(E1478="","",0))</f>
        <v/>
      </c>
      <c r="E1478" s="14"/>
      <c r="F1478" s="4" t="str">
        <f>IF(G1478=$L1478,1,IF(G1478="","",0))</f>
        <v/>
      </c>
      <c r="G1478" s="14"/>
      <c r="H1478" s="6">
        <v>2211</v>
      </c>
      <c r="I1478" s="15" t="s">
        <v>3120</v>
      </c>
      <c r="J1478" s="6" t="s">
        <v>5297</v>
      </c>
      <c r="K1478" s="6"/>
      <c r="L1478" s="6" t="s">
        <v>2274</v>
      </c>
      <c r="M1478" s="6" t="s">
        <v>8317</v>
      </c>
      <c r="N1478" s="7">
        <f ca="1">RAND()</f>
        <v>0.1998122549957243</v>
      </c>
      <c r="O1478" s="8">
        <v>45215</v>
      </c>
      <c r="P1478" s="8">
        <v>45216</v>
      </c>
      <c r="Q1478" s="8">
        <v>45218</v>
      </c>
      <c r="R1478" s="8">
        <v>45222</v>
      </c>
      <c r="S1478" s="8">
        <v>45229</v>
      </c>
      <c r="T1478" s="8">
        <v>45783</v>
      </c>
      <c r="U1478" s="8">
        <v>45823</v>
      </c>
      <c r="V1478" s="10">
        <f>COUNTA(O1478:U1478)</f>
        <v>7</v>
      </c>
      <c r="W1478" s="11">
        <f>_xlfn.IFNA(INDEX(reading[[#This Row],[Memo 01]:[Memo 07]],MATCH(0,reading[[#This Row],[Memo 01]:[Memo 07]],-1)),"")</f>
        <v>45823</v>
      </c>
      <c r="X1478" s="11">
        <f ca="1">IFERROR(reading[[#This Row],[Previous]]+OFFSET(reading[[#Headers],[Memo 01]],-1,MATCH(0,reading[[#This Row],[Memo 01]:[Memo 07]],-1)-1),"")</f>
        <v>55823</v>
      </c>
      <c r="Y1478" s="10" t="str">
        <f ca="1">IF(reading[[#This Row],[Next]]&lt;&gt;"",IF(reading[[#This Row],[Next]]&gt;TODAY(),"OK",""),"")</f>
        <v>OK</v>
      </c>
      <c r="Z1478" s="13">
        <v>3</v>
      </c>
      <c r="AA1478" s="13">
        <v>3</v>
      </c>
      <c r="AB1478" s="13">
        <v>3</v>
      </c>
      <c r="AC1478" s="13">
        <v>3</v>
      </c>
      <c r="AD1478" s="13">
        <v>3</v>
      </c>
      <c r="AE1478" s="13">
        <v>3</v>
      </c>
      <c r="AF1478" s="13">
        <v>3</v>
      </c>
      <c r="AG1478" s="16">
        <f>IFERROR(SUMIF(reading[[#This Row],[1st]:[7th]],"&gt;0")/COUNTIF(reading[[#This Row],[1st]:[7th]],"&gt;0"),"")</f>
        <v>3</v>
      </c>
    </row>
    <row r="1479" spans="1:33" hidden="1" x14ac:dyDescent="0.2">
      <c r="A1479" s="4">
        <f>IF(B1479=1,3,IF(D1479=1,2,IF(F1479=1,1,0)))</f>
        <v>0</v>
      </c>
      <c r="B1479" s="4" t="str">
        <f>IF(C1479=$L1479,1,IF(C1479="","",0))</f>
        <v/>
      </c>
      <c r="C1479" s="42"/>
      <c r="D1479" s="4" t="str">
        <f>IF(E1479=$L1479,1,IF(E1479="","",0))</f>
        <v/>
      </c>
      <c r="E1479" s="14"/>
      <c r="F1479" s="4" t="str">
        <f>IF(G1479=$L1479,1,IF(G1479="","",0))</f>
        <v/>
      </c>
      <c r="G1479" s="14"/>
      <c r="H1479" s="6">
        <v>1806</v>
      </c>
      <c r="I1479" s="15" t="s">
        <v>3120</v>
      </c>
      <c r="J1479" s="6" t="s">
        <v>4912</v>
      </c>
      <c r="K1479" s="6"/>
      <c r="L1479" s="6" t="s">
        <v>1885</v>
      </c>
      <c r="M1479" s="6" t="s">
        <v>7912</v>
      </c>
      <c r="N1479" s="7">
        <f ca="1">RAND()</f>
        <v>0.71446398350239215</v>
      </c>
      <c r="O1479" s="8">
        <v>45212</v>
      </c>
      <c r="P1479" s="8">
        <v>45213</v>
      </c>
      <c r="Q1479" s="8">
        <v>45215</v>
      </c>
      <c r="R1479" s="8">
        <v>45219</v>
      </c>
      <c r="S1479" s="8">
        <v>45226</v>
      </c>
      <c r="T1479" s="8">
        <v>45827</v>
      </c>
      <c r="U1479" s="8"/>
      <c r="V1479" s="10">
        <f>COUNTA(O1479:U1479)</f>
        <v>6</v>
      </c>
      <c r="W1479" s="11">
        <f>_xlfn.IFNA(INDEX(reading[[#This Row],[Memo 01]:[Memo 07]],MATCH(0,reading[[#This Row],[Memo 01]:[Memo 07]],-1)),"")</f>
        <v>45827</v>
      </c>
      <c r="X1479" s="11">
        <f ca="1">IFERROR(reading[[#This Row],[Previous]]+OFFSET(reading[[#Headers],[Memo 01]],-1,MATCH(0,reading[[#This Row],[Memo 01]:[Memo 07]],-1)-1),"")</f>
        <v>45847</v>
      </c>
      <c r="Y1479" s="10" t="str">
        <f ca="1">IF(reading[[#This Row],[Next]]&lt;&gt;"",IF(reading[[#This Row],[Next]]&gt;TODAY(),"OK",""),"")</f>
        <v>OK</v>
      </c>
      <c r="Z1479" s="13">
        <v>3</v>
      </c>
      <c r="AA1479" s="13">
        <v>3</v>
      </c>
      <c r="AB1479" s="13">
        <v>3</v>
      </c>
      <c r="AC1479" s="13">
        <v>3</v>
      </c>
      <c r="AD1479" s="13">
        <v>3</v>
      </c>
      <c r="AE1479" s="13">
        <v>3</v>
      </c>
      <c r="AF1479" s="13"/>
      <c r="AG1479" s="16">
        <f>IFERROR(SUMIF(reading[[#This Row],[1st]:[7th]],"&gt;0")/COUNTIF(reading[[#This Row],[1st]:[7th]],"&gt;0"),"")</f>
        <v>3</v>
      </c>
    </row>
    <row r="1480" spans="1:33" hidden="1" x14ac:dyDescent="0.2">
      <c r="A1480" s="4">
        <f>IF(B1480=1,3,IF(D1480=1,2,IF(F1480=1,1,0)))</f>
        <v>0</v>
      </c>
      <c r="B1480" s="4" t="str">
        <f>IF(C1480=$L1480,1,IF(C1480="","",0))</f>
        <v/>
      </c>
      <c r="C1480" s="42"/>
      <c r="D1480" s="4" t="str">
        <f>IF(E1480=$L1480,1,IF(E1480="","",0))</f>
        <v/>
      </c>
      <c r="E1480" s="14"/>
      <c r="F1480" s="4" t="str">
        <f>IF(G1480=$L1480,1,IF(G1480="","",0))</f>
        <v/>
      </c>
      <c r="G1480" s="14"/>
      <c r="H1480" s="6">
        <v>3092</v>
      </c>
      <c r="I1480" s="15" t="s">
        <v>3120</v>
      </c>
      <c r="J1480" s="6" t="s">
        <v>6111</v>
      </c>
      <c r="K1480" s="15" t="s">
        <v>3138</v>
      </c>
      <c r="L1480" s="6" t="s">
        <v>3116</v>
      </c>
      <c r="M1480" s="6" t="s">
        <v>9195</v>
      </c>
      <c r="N1480" s="7">
        <f ca="1">RAND()</f>
        <v>0.12661352429509753</v>
      </c>
      <c r="O1480" s="8">
        <v>45224</v>
      </c>
      <c r="P1480" s="8">
        <v>45225</v>
      </c>
      <c r="Q1480" s="8">
        <v>45227</v>
      </c>
      <c r="R1480" s="8">
        <v>45231</v>
      </c>
      <c r="S1480" s="8">
        <v>45249</v>
      </c>
      <c r="T1480" s="8">
        <v>45823</v>
      </c>
      <c r="U1480" s="8"/>
      <c r="V1480" s="10">
        <f>COUNTA(O1480:U1480)</f>
        <v>6</v>
      </c>
      <c r="W1480" s="11">
        <f>_xlfn.IFNA(INDEX(reading[[#This Row],[Memo 01]:[Memo 07]],MATCH(0,reading[[#This Row],[Memo 01]:[Memo 07]],-1)),"")</f>
        <v>45823</v>
      </c>
      <c r="X1480" s="11">
        <f ca="1">IFERROR(reading[[#This Row],[Previous]]+OFFSET(reading[[#Headers],[Memo 01]],-1,MATCH(0,reading[[#This Row],[Memo 01]:[Memo 07]],-1)-1),"")</f>
        <v>45843</v>
      </c>
      <c r="Y1480" s="10" t="str">
        <f ca="1">IF(reading[[#This Row],[Next]]&lt;&gt;"",IF(reading[[#This Row],[Next]]&gt;TODAY(),"OK",""),"")</f>
        <v>OK</v>
      </c>
      <c r="Z1480" s="13">
        <v>3</v>
      </c>
      <c r="AA1480" s="13">
        <v>3</v>
      </c>
      <c r="AB1480" s="13">
        <v>3</v>
      </c>
      <c r="AC1480" s="13">
        <v>3</v>
      </c>
      <c r="AD1480" s="13">
        <v>3</v>
      </c>
      <c r="AE1480" s="13">
        <v>3</v>
      </c>
      <c r="AF1480" s="13"/>
      <c r="AG1480" s="16">
        <f>IFERROR(SUMIF(reading[[#This Row],[1st]:[7th]],"&gt;0")/COUNTIF(reading[[#This Row],[1st]:[7th]],"&gt;0"),"")</f>
        <v>3</v>
      </c>
    </row>
    <row r="1481" spans="1:33" hidden="1" x14ac:dyDescent="0.2">
      <c r="A1481" s="4">
        <f>IF(B1481=1,3,IF(D1481=1,2,IF(F1481=1,1,0)))</f>
        <v>0</v>
      </c>
      <c r="B1481" s="4" t="str">
        <f>IF(C1481=$L1481,1,IF(C1481="","",0))</f>
        <v/>
      </c>
      <c r="C1481" s="42"/>
      <c r="D1481" s="4" t="str">
        <f>IF(E1481=$L1481,1,IF(E1481="","",0))</f>
        <v/>
      </c>
      <c r="E1481" s="14"/>
      <c r="F1481" s="4" t="str">
        <f>IF(G1481=$L1481,1,IF(G1481="","",0))</f>
        <v/>
      </c>
      <c r="G1481" s="14"/>
      <c r="H1481" s="6">
        <v>2356</v>
      </c>
      <c r="I1481" s="15" t="s">
        <v>3120</v>
      </c>
      <c r="J1481" s="6" t="s">
        <v>5433</v>
      </c>
      <c r="K1481" s="6"/>
      <c r="L1481" s="6" t="s">
        <v>2409</v>
      </c>
      <c r="M1481" s="6" t="s">
        <v>8461</v>
      </c>
      <c r="N1481" s="7">
        <f ca="1">RAND()</f>
        <v>0.44682172256571173</v>
      </c>
      <c r="O1481" s="8">
        <v>45216</v>
      </c>
      <c r="P1481" s="8">
        <v>45217</v>
      </c>
      <c r="Q1481" s="8">
        <v>45219</v>
      </c>
      <c r="R1481" s="8">
        <v>45223</v>
      </c>
      <c r="S1481" s="8">
        <v>45230</v>
      </c>
      <c r="T1481" s="8">
        <v>45823</v>
      </c>
      <c r="U1481" s="8"/>
      <c r="V1481" s="10">
        <f>COUNTA(O1481:U1481)</f>
        <v>6</v>
      </c>
      <c r="W1481" s="11">
        <f>_xlfn.IFNA(INDEX(reading[[#This Row],[Memo 01]:[Memo 07]],MATCH(0,reading[[#This Row],[Memo 01]:[Memo 07]],-1)),"")</f>
        <v>45823</v>
      </c>
      <c r="X1481" s="11">
        <f ca="1">IFERROR(reading[[#This Row],[Previous]]+OFFSET(reading[[#Headers],[Memo 01]],-1,MATCH(0,reading[[#This Row],[Memo 01]:[Memo 07]],-1)-1),"")</f>
        <v>45843</v>
      </c>
      <c r="Y1481" s="10" t="str">
        <f ca="1">IF(reading[[#This Row],[Next]]&lt;&gt;"",IF(reading[[#This Row],[Next]]&gt;TODAY(),"OK",""),"")</f>
        <v>OK</v>
      </c>
      <c r="Z1481" s="13">
        <v>3</v>
      </c>
      <c r="AA1481" s="13">
        <v>3</v>
      </c>
      <c r="AB1481" s="13">
        <v>3</v>
      </c>
      <c r="AC1481" s="13">
        <v>3</v>
      </c>
      <c r="AD1481" s="13">
        <v>3</v>
      </c>
      <c r="AE1481" s="13">
        <v>3</v>
      </c>
      <c r="AF1481" s="13"/>
      <c r="AG1481" s="16">
        <f>IFERROR(SUMIF(reading[[#This Row],[1st]:[7th]],"&gt;0")/COUNTIF(reading[[#This Row],[1st]:[7th]],"&gt;0"),"")</f>
        <v>3</v>
      </c>
    </row>
    <row r="1482" spans="1:33" hidden="1" x14ac:dyDescent="0.2">
      <c r="A1482" s="4">
        <f>IF(B1482=1,3,IF(D1482=1,2,IF(F1482=1,1,0)))</f>
        <v>0</v>
      </c>
      <c r="B1482" s="4" t="str">
        <f>IF(C1482=$L1482,1,IF(C1482="","",0))</f>
        <v/>
      </c>
      <c r="C1482" s="42"/>
      <c r="D1482" s="4" t="str">
        <f>IF(E1482=$L1482,1,IF(E1482="","",0))</f>
        <v/>
      </c>
      <c r="E1482" s="23"/>
      <c r="F1482" s="4" t="str">
        <f>IF(G1482=$L1482,1,IF(G1482="","",0))</f>
        <v/>
      </c>
      <c r="G1482" s="14"/>
      <c r="H1482" s="6">
        <v>2998</v>
      </c>
      <c r="I1482" s="15" t="s">
        <v>3120</v>
      </c>
      <c r="J1482" s="6" t="s">
        <v>6022</v>
      </c>
      <c r="K1482" s="6"/>
      <c r="L1482" s="6" t="s">
        <v>3027</v>
      </c>
      <c r="M1482" s="6" t="s">
        <v>9101</v>
      </c>
      <c r="N1482" s="7">
        <f ca="1">RAND()</f>
        <v>8.4425691551418991E-2</v>
      </c>
      <c r="O1482" s="8">
        <v>45223</v>
      </c>
      <c r="P1482" s="8">
        <v>45224</v>
      </c>
      <c r="Q1482" s="8">
        <v>45226</v>
      </c>
      <c r="R1482" s="8">
        <v>45230</v>
      </c>
      <c r="S1482" s="8">
        <v>45237</v>
      </c>
      <c r="T1482" s="8">
        <v>45829</v>
      </c>
      <c r="U1482" s="8"/>
      <c r="V1482" s="10">
        <f>COUNTA(O1482:U1482)</f>
        <v>6</v>
      </c>
      <c r="W1482" s="11">
        <f>_xlfn.IFNA(INDEX(reading[[#This Row],[Memo 01]:[Memo 07]],MATCH(0,reading[[#This Row],[Memo 01]:[Memo 07]],-1)),"")</f>
        <v>45829</v>
      </c>
      <c r="X1482" s="11">
        <f ca="1">IFERROR(reading[[#This Row],[Previous]]+OFFSET(reading[[#Headers],[Memo 01]],-1,MATCH(0,reading[[#This Row],[Memo 01]:[Memo 07]],-1)-1),"")</f>
        <v>45849</v>
      </c>
      <c r="Y1482" s="10" t="str">
        <f ca="1">IF(reading[[#This Row],[Next]]&lt;&gt;"",IF(reading[[#This Row],[Next]]&gt;TODAY(),"OK",""),"")</f>
        <v>OK</v>
      </c>
      <c r="Z1482" s="13">
        <v>3</v>
      </c>
      <c r="AA1482" s="13">
        <v>3</v>
      </c>
      <c r="AB1482" s="13">
        <v>3</v>
      </c>
      <c r="AC1482" s="13">
        <v>3</v>
      </c>
      <c r="AD1482" s="13">
        <v>3</v>
      </c>
      <c r="AE1482" s="13">
        <v>2</v>
      </c>
      <c r="AF1482" s="13"/>
      <c r="AG1482" s="16">
        <f>IFERROR(SUMIF(reading[[#This Row],[1st]:[7th]],"&gt;0")/COUNTIF(reading[[#This Row],[1st]:[7th]],"&gt;0"),"")</f>
        <v>2.8333333333333335</v>
      </c>
    </row>
    <row r="1483" spans="1:33" hidden="1" x14ac:dyDescent="0.2">
      <c r="A1483" s="4">
        <f>IF(B1483=1,3,IF(D1483=1,2,IF(F1483=1,1,0)))</f>
        <v>0</v>
      </c>
      <c r="B1483" s="4" t="str">
        <f>IF(C1483=$L1483,1,IF(C1483="","",0))</f>
        <v/>
      </c>
      <c r="C1483" s="42"/>
      <c r="D1483" s="4" t="str">
        <f>IF(E1483=$L1483,1,IF(E1483="","",0))</f>
        <v/>
      </c>
      <c r="E1483" s="14"/>
      <c r="F1483" s="4" t="str">
        <f>IF(G1483=$L1483,1,IF(G1483="","",0))</f>
        <v/>
      </c>
      <c r="G1483" s="14"/>
      <c r="H1483" s="6">
        <v>2968</v>
      </c>
      <c r="I1483" s="15" t="s">
        <v>3120</v>
      </c>
      <c r="J1483" s="6" t="s">
        <v>5998</v>
      </c>
      <c r="K1483" s="6"/>
      <c r="L1483" s="6" t="s">
        <v>2997</v>
      </c>
      <c r="M1483" s="6" t="s">
        <v>9072</v>
      </c>
      <c r="N1483" s="7">
        <f ca="1">RAND()</f>
        <v>0.56571691217197617</v>
      </c>
      <c r="O1483" s="8">
        <v>45223</v>
      </c>
      <c r="P1483" s="8">
        <v>45224</v>
      </c>
      <c r="Q1483" s="8">
        <v>45226</v>
      </c>
      <c r="R1483" s="8">
        <v>45230</v>
      </c>
      <c r="S1483" s="8">
        <v>45237</v>
      </c>
      <c r="T1483" s="8">
        <v>45783</v>
      </c>
      <c r="U1483" s="8">
        <v>45823</v>
      </c>
      <c r="V1483" s="10">
        <f>COUNTA(O1483:U1483)</f>
        <v>7</v>
      </c>
      <c r="W1483" s="11">
        <f>_xlfn.IFNA(INDEX(reading[[#This Row],[Memo 01]:[Memo 07]],MATCH(0,reading[[#This Row],[Memo 01]:[Memo 07]],-1)),"")</f>
        <v>45823</v>
      </c>
      <c r="X1483" s="11">
        <f ca="1">IFERROR(reading[[#This Row],[Previous]]+OFFSET(reading[[#Headers],[Memo 01]],-1,MATCH(0,reading[[#This Row],[Memo 01]:[Memo 07]],-1)-1),"")</f>
        <v>55823</v>
      </c>
      <c r="Y1483" s="10" t="str">
        <f ca="1">IF(reading[[#This Row],[Next]]&lt;&gt;"",IF(reading[[#This Row],[Next]]&gt;TODAY(),"OK",""),"")</f>
        <v>OK</v>
      </c>
      <c r="Z1483" s="13">
        <v>3</v>
      </c>
      <c r="AA1483" s="13">
        <v>3</v>
      </c>
      <c r="AB1483" s="13">
        <v>3</v>
      </c>
      <c r="AC1483" s="13">
        <v>3</v>
      </c>
      <c r="AD1483" s="13">
        <v>3</v>
      </c>
      <c r="AE1483" s="13">
        <v>3</v>
      </c>
      <c r="AF1483" s="13">
        <v>3</v>
      </c>
      <c r="AG1483" s="16">
        <f>IFERROR(SUMIF(reading[[#This Row],[1st]:[7th]],"&gt;0")/COUNTIF(reading[[#This Row],[1st]:[7th]],"&gt;0"),"")</f>
        <v>3</v>
      </c>
    </row>
    <row r="1484" spans="1:33" hidden="1" x14ac:dyDescent="0.2">
      <c r="A1484" s="4">
        <f>IF(B1484=1,3,IF(D1484=1,2,IF(F1484=1,1,0)))</f>
        <v>0</v>
      </c>
      <c r="B1484" s="4" t="str">
        <f>IF(C1484=$L1484,1,IF(C1484="","",0))</f>
        <v/>
      </c>
      <c r="C1484" s="42"/>
      <c r="D1484" s="4" t="str">
        <f>IF(E1484=$L1484,1,IF(E1484="","",0))</f>
        <v/>
      </c>
      <c r="E1484" s="43"/>
      <c r="F1484" s="4" t="str">
        <f>IF(G1484=$L1484,1,IF(G1484="","",0))</f>
        <v/>
      </c>
      <c r="G1484" s="14"/>
      <c r="H1484" s="6">
        <v>1607</v>
      </c>
      <c r="I1484" s="15" t="s">
        <v>3120</v>
      </c>
      <c r="J1484" s="6" t="s">
        <v>4719</v>
      </c>
      <c r="K1484" s="6" t="s">
        <v>3139</v>
      </c>
      <c r="L1484" s="6" t="s">
        <v>1689</v>
      </c>
      <c r="M1484" s="6" t="s">
        <v>7713</v>
      </c>
      <c r="N1484" s="7">
        <f ca="1">RAND()</f>
        <v>1.5367487335402163E-2</v>
      </c>
      <c r="O1484" s="8">
        <v>45212</v>
      </c>
      <c r="P1484" s="8">
        <v>45213</v>
      </c>
      <c r="Q1484" s="8">
        <v>45215</v>
      </c>
      <c r="R1484" s="8">
        <v>45219</v>
      </c>
      <c r="S1484" s="8">
        <v>45226</v>
      </c>
      <c r="T1484" s="8">
        <v>45829</v>
      </c>
      <c r="U1484" s="8"/>
      <c r="V1484" s="10">
        <f>COUNTA(O1484:U1484)</f>
        <v>6</v>
      </c>
      <c r="W1484" s="11">
        <f>_xlfn.IFNA(INDEX(reading[[#This Row],[Memo 01]:[Memo 07]],MATCH(0,reading[[#This Row],[Memo 01]:[Memo 07]],-1)),"")</f>
        <v>45829</v>
      </c>
      <c r="X1484" s="11">
        <f ca="1">IFERROR(reading[[#This Row],[Previous]]+OFFSET(reading[[#Headers],[Memo 01]],-1,MATCH(0,reading[[#This Row],[Memo 01]:[Memo 07]],-1)-1),"")</f>
        <v>45849</v>
      </c>
      <c r="Y1484" s="10" t="str">
        <f ca="1">IF(reading[[#This Row],[Next]]&lt;&gt;"",IF(reading[[#This Row],[Next]]&gt;TODAY(),"OK",""),"")</f>
        <v>OK</v>
      </c>
      <c r="Z1484" s="13">
        <v>3</v>
      </c>
      <c r="AA1484" s="13">
        <v>2</v>
      </c>
      <c r="AB1484" s="13">
        <v>3</v>
      </c>
      <c r="AC1484" s="13">
        <v>3</v>
      </c>
      <c r="AD1484" s="13">
        <v>3</v>
      </c>
      <c r="AE1484" s="13">
        <v>2</v>
      </c>
      <c r="AF1484" s="13"/>
      <c r="AG1484" s="16">
        <f>IFERROR(SUMIF(reading[[#This Row],[1st]:[7th]],"&gt;0")/COUNTIF(reading[[#This Row],[1st]:[7th]],"&gt;0"),"")</f>
        <v>2.6666666666666665</v>
      </c>
    </row>
    <row r="1485" spans="1:33" hidden="1" x14ac:dyDescent="0.2">
      <c r="A1485" s="4">
        <f>IF(B1485=1,3,IF(D1485=1,2,IF(F1485=1,1,0)))</f>
        <v>0</v>
      </c>
      <c r="B1485" s="4" t="str">
        <f>IF(C1485=$L1485,1,IF(C1485="","",0))</f>
        <v/>
      </c>
      <c r="C1485" s="42"/>
      <c r="D1485" s="4" t="str">
        <f>IF(E1485=$L1485,1,IF(E1485="","",0))</f>
        <v/>
      </c>
      <c r="E1485" s="14"/>
      <c r="F1485" s="4" t="str">
        <f>IF(G1485=$L1485,1,IF(G1485="","",0))</f>
        <v/>
      </c>
      <c r="G1485" s="14"/>
      <c r="H1485" s="6">
        <v>2733</v>
      </c>
      <c r="I1485" s="15" t="s">
        <v>3120</v>
      </c>
      <c r="J1485" s="6" t="s">
        <v>5781</v>
      </c>
      <c r="K1485" s="6"/>
      <c r="L1485" s="6" t="s">
        <v>2771</v>
      </c>
      <c r="M1485" s="6" t="s">
        <v>8838</v>
      </c>
      <c r="N1485" s="7">
        <f ca="1">RAND()</f>
        <v>0.62952469549401124</v>
      </c>
      <c r="O1485" s="8">
        <v>45221</v>
      </c>
      <c r="P1485" s="8">
        <v>45222</v>
      </c>
      <c r="Q1485" s="8">
        <v>45224</v>
      </c>
      <c r="R1485" s="8">
        <v>45228</v>
      </c>
      <c r="S1485" s="8">
        <v>45235</v>
      </c>
      <c r="T1485" s="8">
        <v>45792</v>
      </c>
      <c r="U1485" s="8">
        <v>45827</v>
      </c>
      <c r="V1485" s="10">
        <f>COUNTA(O1485:U1485)</f>
        <v>7</v>
      </c>
      <c r="W1485" s="11">
        <f>_xlfn.IFNA(INDEX(reading[[#This Row],[Memo 01]:[Memo 07]],MATCH(0,reading[[#This Row],[Memo 01]:[Memo 07]],-1)),"")</f>
        <v>45827</v>
      </c>
      <c r="X1485" s="11">
        <f ca="1">IFERROR(reading[[#This Row],[Previous]]+OFFSET(reading[[#Headers],[Memo 01]],-1,MATCH(0,reading[[#This Row],[Memo 01]:[Memo 07]],-1)-1),"")</f>
        <v>55827</v>
      </c>
      <c r="Y1485" s="10" t="str">
        <f ca="1">IF(reading[[#This Row],[Next]]&lt;&gt;"",IF(reading[[#This Row],[Next]]&gt;TODAY(),"OK",""),"")</f>
        <v>OK</v>
      </c>
      <c r="Z1485" s="13">
        <v>3</v>
      </c>
      <c r="AA1485" s="13">
        <v>3</v>
      </c>
      <c r="AB1485" s="13">
        <v>3</v>
      </c>
      <c r="AC1485" s="13">
        <v>3</v>
      </c>
      <c r="AD1485" s="13">
        <v>3</v>
      </c>
      <c r="AE1485" s="13">
        <v>3</v>
      </c>
      <c r="AF1485" s="13">
        <v>3</v>
      </c>
      <c r="AG1485" s="16">
        <f>IFERROR(SUMIF(reading[[#This Row],[1st]:[7th]],"&gt;0")/COUNTIF(reading[[#This Row],[1st]:[7th]],"&gt;0"),"")</f>
        <v>3</v>
      </c>
    </row>
    <row r="1486" spans="1:33" hidden="1" x14ac:dyDescent="0.2">
      <c r="A1486" s="4">
        <f>IF(B1486=1,3,IF(D1486=1,2,IF(F1486=1,1,0)))</f>
        <v>0</v>
      </c>
      <c r="B1486" s="4" t="str">
        <f>IF(C1486=$L1486,1,IF(C1486="","",0))</f>
        <v/>
      </c>
      <c r="C1486" s="42"/>
      <c r="D1486" s="4" t="str">
        <f>IF(E1486=$L1486,1,IF(E1486="","",0))</f>
        <v/>
      </c>
      <c r="E1486" s="14"/>
      <c r="F1486" s="4" t="str">
        <f>IF(G1486=$L1486,1,IF(G1486="","",0))</f>
        <v/>
      </c>
      <c r="G1486" s="14"/>
      <c r="H1486" s="6">
        <v>180</v>
      </c>
      <c r="I1486" s="15" t="s">
        <v>3120</v>
      </c>
      <c r="J1486" s="6" t="s">
        <v>3329</v>
      </c>
      <c r="K1486" s="6"/>
      <c r="L1486" s="6" t="s">
        <v>317</v>
      </c>
      <c r="M1486" s="6" t="s">
        <v>6289</v>
      </c>
      <c r="N1486" s="7">
        <f ca="1">RAND()</f>
        <v>0.80378906102577585</v>
      </c>
      <c r="O1486" s="8">
        <v>45199</v>
      </c>
      <c r="P1486" s="8">
        <v>45200</v>
      </c>
      <c r="Q1486" s="8">
        <v>45202</v>
      </c>
      <c r="R1486" s="8">
        <v>45206</v>
      </c>
      <c r="S1486" s="8">
        <v>45213</v>
      </c>
      <c r="T1486" s="8">
        <v>45225</v>
      </c>
      <c r="U1486" s="8">
        <v>45823</v>
      </c>
      <c r="V1486" s="10">
        <f>COUNTA(O1486:U1486)</f>
        <v>7</v>
      </c>
      <c r="W1486" s="11">
        <f>_xlfn.IFNA(INDEX(reading[[#This Row],[Memo 01]:[Memo 07]],MATCH(0,reading[[#This Row],[Memo 01]:[Memo 07]],-1)),"")</f>
        <v>45823</v>
      </c>
      <c r="X1486" s="11">
        <f ca="1">IFERROR(reading[[#This Row],[Previous]]+OFFSET(reading[[#Headers],[Memo 01]],-1,MATCH(0,reading[[#This Row],[Memo 01]:[Memo 07]],-1)-1),"")</f>
        <v>55823</v>
      </c>
      <c r="Y1486" s="10" t="str">
        <f ca="1">IF(reading[[#This Row],[Next]]&lt;&gt;"",IF(reading[[#This Row],[Next]]&gt;TODAY(),"OK",""),"")</f>
        <v>OK</v>
      </c>
      <c r="Z1486" s="13">
        <v>3</v>
      </c>
      <c r="AA1486" s="13">
        <v>3</v>
      </c>
      <c r="AB1486" s="13">
        <v>3</v>
      </c>
      <c r="AC1486" s="13">
        <v>3</v>
      </c>
      <c r="AD1486" s="13">
        <v>3</v>
      </c>
      <c r="AE1486" s="13">
        <v>3</v>
      </c>
      <c r="AF1486" s="13">
        <v>3</v>
      </c>
      <c r="AG1486" s="16">
        <f>IFERROR(SUMIF(reading[[#This Row],[1st]:[7th]],"&gt;0")/COUNTIF(reading[[#This Row],[1st]:[7th]],"&gt;0"),"")</f>
        <v>3</v>
      </c>
    </row>
    <row r="1487" spans="1:33" hidden="1" x14ac:dyDescent="0.2">
      <c r="A1487" s="4">
        <f>IF(B1487=1,3,IF(D1487=1,2,IF(F1487=1,1,0)))</f>
        <v>0</v>
      </c>
      <c r="B1487" s="4" t="str">
        <f>IF(C1487=$L1487,1,IF(C1487="","",0))</f>
        <v/>
      </c>
      <c r="C1487" s="42"/>
      <c r="D1487" s="4" t="str">
        <f>IF(E1487=$L1487,1,IF(E1487="","",0))</f>
        <v/>
      </c>
      <c r="E1487" s="23"/>
      <c r="F1487" s="4" t="str">
        <f>IF(G1487=$L1487,1,IF(G1487="","",0))</f>
        <v/>
      </c>
      <c r="G1487" s="14"/>
      <c r="H1487" s="6">
        <v>738</v>
      </c>
      <c r="I1487" s="15" t="s">
        <v>3120</v>
      </c>
      <c r="J1487" s="6" t="s">
        <v>3875</v>
      </c>
      <c r="K1487" s="6"/>
      <c r="L1487" s="6" t="s">
        <v>858</v>
      </c>
      <c r="M1487" s="6" t="s">
        <v>6847</v>
      </c>
      <c r="N1487" s="7">
        <f ca="1">RAND()</f>
        <v>0.89202006267155776</v>
      </c>
      <c r="O1487" s="8">
        <v>45203</v>
      </c>
      <c r="P1487" s="8">
        <v>45204</v>
      </c>
      <c r="Q1487" s="8">
        <v>45206</v>
      </c>
      <c r="R1487" s="8">
        <v>45210</v>
      </c>
      <c r="S1487" s="8">
        <v>45217</v>
      </c>
      <c r="T1487" s="8">
        <v>45229</v>
      </c>
      <c r="U1487" s="8">
        <v>45816</v>
      </c>
      <c r="V1487" s="10">
        <f>COUNTA(O1487:U1487)</f>
        <v>7</v>
      </c>
      <c r="W1487" s="11">
        <f>_xlfn.IFNA(INDEX(reading[[#This Row],[Memo 01]:[Memo 07]],MATCH(0,reading[[#This Row],[Memo 01]:[Memo 07]],-1)),"")</f>
        <v>45816</v>
      </c>
      <c r="X1487" s="11">
        <f ca="1">IFERROR(reading[[#This Row],[Previous]]+OFFSET(reading[[#Headers],[Memo 01]],-1,MATCH(0,reading[[#This Row],[Memo 01]:[Memo 07]],-1)-1),"")</f>
        <v>55816</v>
      </c>
      <c r="Y1487" s="10" t="str">
        <f ca="1">IF(reading[[#This Row],[Next]]&lt;&gt;"",IF(reading[[#This Row],[Next]]&gt;TODAY(),"OK",""),"")</f>
        <v>OK</v>
      </c>
      <c r="Z1487" s="13">
        <v>3</v>
      </c>
      <c r="AA1487" s="13">
        <v>3</v>
      </c>
      <c r="AB1487" s="13">
        <v>2</v>
      </c>
      <c r="AC1487" s="13">
        <v>3</v>
      </c>
      <c r="AD1487" s="13">
        <v>3</v>
      </c>
      <c r="AE1487" s="13">
        <v>3</v>
      </c>
      <c r="AF1487" s="13">
        <v>2</v>
      </c>
      <c r="AG1487" s="16">
        <f>IFERROR(SUMIF(reading[[#This Row],[1st]:[7th]],"&gt;0")/COUNTIF(reading[[#This Row],[1st]:[7th]],"&gt;0"),"")</f>
        <v>2.7142857142857144</v>
      </c>
    </row>
    <row r="1488" spans="1:33" hidden="1" x14ac:dyDescent="0.2">
      <c r="A1488" s="4">
        <f>IF(B1488=1,3,IF(D1488=1,2,IF(F1488=1,1,0)))</f>
        <v>0</v>
      </c>
      <c r="B1488" s="4" t="str">
        <f>IF(C1488=$L1488,1,IF(C1488="","",0))</f>
        <v/>
      </c>
      <c r="C1488" s="42"/>
      <c r="D1488" s="4" t="str">
        <f>IF(E1488=$L1488,1,IF(E1488="","",0))</f>
        <v/>
      </c>
      <c r="E1488" s="14"/>
      <c r="F1488" s="4" t="str">
        <f>IF(G1488=$L1488,1,IF(G1488="","",0))</f>
        <v/>
      </c>
      <c r="G1488" s="14"/>
      <c r="H1488" s="6">
        <v>2355</v>
      </c>
      <c r="I1488" s="15" t="s">
        <v>3120</v>
      </c>
      <c r="J1488" s="6" t="s">
        <v>5432</v>
      </c>
      <c r="K1488" s="6"/>
      <c r="L1488" s="6" t="s">
        <v>2408</v>
      </c>
      <c r="M1488" s="6" t="s">
        <v>8460</v>
      </c>
      <c r="N1488" s="7">
        <f ca="1">RAND()</f>
        <v>0.54896238699804456</v>
      </c>
      <c r="O1488" s="8">
        <v>45216</v>
      </c>
      <c r="P1488" s="8">
        <v>45217</v>
      </c>
      <c r="Q1488" s="8">
        <v>45219</v>
      </c>
      <c r="R1488" s="8">
        <v>45223</v>
      </c>
      <c r="S1488" s="8">
        <v>45230</v>
      </c>
      <c r="T1488" s="8">
        <v>45783</v>
      </c>
      <c r="U1488" s="8">
        <v>45823</v>
      </c>
      <c r="V1488" s="10">
        <f>COUNTA(O1488:U1488)</f>
        <v>7</v>
      </c>
      <c r="W1488" s="11">
        <f>_xlfn.IFNA(INDEX(reading[[#This Row],[Memo 01]:[Memo 07]],MATCH(0,reading[[#This Row],[Memo 01]:[Memo 07]],-1)),"")</f>
        <v>45823</v>
      </c>
      <c r="X1488" s="11">
        <f ca="1">IFERROR(reading[[#This Row],[Previous]]+OFFSET(reading[[#Headers],[Memo 01]],-1,MATCH(0,reading[[#This Row],[Memo 01]:[Memo 07]],-1)-1),"")</f>
        <v>55823</v>
      </c>
      <c r="Y1488" s="10" t="str">
        <f ca="1">IF(reading[[#This Row],[Next]]&lt;&gt;"",IF(reading[[#This Row],[Next]]&gt;TODAY(),"OK",""),"")</f>
        <v>OK</v>
      </c>
      <c r="Z1488" s="13">
        <v>3</v>
      </c>
      <c r="AA1488" s="13">
        <v>3</v>
      </c>
      <c r="AB1488" s="13">
        <v>3</v>
      </c>
      <c r="AC1488" s="13">
        <v>3</v>
      </c>
      <c r="AD1488" s="13">
        <v>3</v>
      </c>
      <c r="AE1488" s="13">
        <v>3</v>
      </c>
      <c r="AF1488" s="13">
        <v>3</v>
      </c>
      <c r="AG1488" s="16">
        <f>IFERROR(SUMIF(reading[[#This Row],[1st]:[7th]],"&gt;0")/COUNTIF(reading[[#This Row],[1st]:[7th]],"&gt;0"),"")</f>
        <v>3</v>
      </c>
    </row>
    <row r="1489" spans="1:33" hidden="1" x14ac:dyDescent="0.2">
      <c r="A1489" s="4">
        <f>IF(B1489=1,3,IF(D1489=1,2,IF(F1489=1,1,0)))</f>
        <v>0</v>
      </c>
      <c r="B1489" s="4" t="str">
        <f>IF(C1489=$L1489,1,IF(C1489="","",0))</f>
        <v/>
      </c>
      <c r="C1489" s="42"/>
      <c r="D1489" s="4" t="str">
        <f>IF(E1489=$L1489,1,IF(E1489="","",0))</f>
        <v/>
      </c>
      <c r="E1489" s="23"/>
      <c r="F1489" s="4" t="str">
        <f>IF(G1489=$L1489,1,IF(G1489="","",0))</f>
        <v/>
      </c>
      <c r="G1489" s="23"/>
      <c r="H1489" s="6">
        <v>2038</v>
      </c>
      <c r="I1489" s="15" t="s">
        <v>3120</v>
      </c>
      <c r="J1489" s="6" t="s">
        <v>5134</v>
      </c>
      <c r="K1489" s="6"/>
      <c r="L1489" s="6" t="s">
        <v>2113</v>
      </c>
      <c r="M1489" s="6" t="s">
        <v>8144</v>
      </c>
      <c r="N1489" s="7">
        <f ca="1">RAND()</f>
        <v>0.57304859619525028</v>
      </c>
      <c r="O1489" s="8">
        <v>45213</v>
      </c>
      <c r="P1489" s="8">
        <v>45214</v>
      </c>
      <c r="Q1489" s="8">
        <v>45216</v>
      </c>
      <c r="R1489" s="8">
        <v>45220</v>
      </c>
      <c r="S1489" s="8">
        <v>45227</v>
      </c>
      <c r="T1489" s="8">
        <v>45825</v>
      </c>
      <c r="U1489" s="8"/>
      <c r="V1489" s="10">
        <f>COUNTA(O1489:U1489)</f>
        <v>6</v>
      </c>
      <c r="W1489" s="11">
        <f>_xlfn.IFNA(INDEX(reading[[#This Row],[Memo 01]:[Memo 07]],MATCH(0,reading[[#This Row],[Memo 01]:[Memo 07]],-1)),"")</f>
        <v>45825</v>
      </c>
      <c r="X1489" s="11">
        <f ca="1">IFERROR(reading[[#This Row],[Previous]]+OFFSET(reading[[#Headers],[Memo 01]],-1,MATCH(0,reading[[#This Row],[Memo 01]:[Memo 07]],-1)-1),"")</f>
        <v>45845</v>
      </c>
      <c r="Y1489" s="10" t="str">
        <f ca="1">IF(reading[[#This Row],[Next]]&lt;&gt;"",IF(reading[[#This Row],[Next]]&gt;TODAY(),"OK",""),"")</f>
        <v>OK</v>
      </c>
      <c r="Z1489" s="13">
        <v>3</v>
      </c>
      <c r="AA1489" s="13">
        <v>3</v>
      </c>
      <c r="AB1489" s="13">
        <v>3</v>
      </c>
      <c r="AC1489" s="13">
        <v>3</v>
      </c>
      <c r="AD1489" s="13">
        <v>3</v>
      </c>
      <c r="AE1489" s="13">
        <v>1</v>
      </c>
      <c r="AF1489" s="13"/>
      <c r="AG1489" s="16">
        <f>IFERROR(SUMIF(reading[[#This Row],[1st]:[7th]],"&gt;0")/COUNTIF(reading[[#This Row],[1st]:[7th]],"&gt;0"),"")</f>
        <v>2.6666666666666665</v>
      </c>
    </row>
    <row r="1490" spans="1:33" hidden="1" x14ac:dyDescent="0.2">
      <c r="A1490" s="4">
        <f>IF(B1490=1,3,IF(D1490=1,2,IF(F1490=1,1,0)))</f>
        <v>0</v>
      </c>
      <c r="B1490" s="4" t="str">
        <f>IF(C1490=$L1490,1,IF(C1490="","",0))</f>
        <v/>
      </c>
      <c r="C1490" s="42"/>
      <c r="D1490" s="4" t="str">
        <f>IF(E1490=$L1490,1,IF(E1490="","",0))</f>
        <v/>
      </c>
      <c r="E1490" s="14"/>
      <c r="F1490" s="4" t="str">
        <f>IF(G1490=$L1490,1,IF(G1490="","",0))</f>
        <v/>
      </c>
      <c r="G1490" s="14"/>
      <c r="H1490" s="6">
        <v>3090</v>
      </c>
      <c r="I1490" s="15" t="s">
        <v>3120</v>
      </c>
      <c r="J1490" s="6" t="s">
        <v>6109</v>
      </c>
      <c r="K1490" s="15" t="s">
        <v>3138</v>
      </c>
      <c r="L1490" s="6" t="s">
        <v>3114</v>
      </c>
      <c r="M1490" s="6" t="s">
        <v>9193</v>
      </c>
      <c r="N1490" s="7">
        <f ca="1">RAND()</f>
        <v>0.71390379821201078</v>
      </c>
      <c r="O1490" s="8">
        <v>45226</v>
      </c>
      <c r="P1490" s="8">
        <v>45227</v>
      </c>
      <c r="Q1490" s="8">
        <v>45229</v>
      </c>
      <c r="R1490" s="8">
        <v>45251</v>
      </c>
      <c r="S1490" s="8">
        <v>45792</v>
      </c>
      <c r="T1490" s="8">
        <v>45823</v>
      </c>
      <c r="U1490" s="8"/>
      <c r="V1490" s="10">
        <f>COUNTA(O1490:U1490)</f>
        <v>6</v>
      </c>
      <c r="W1490" s="11">
        <f>_xlfn.IFNA(INDEX(reading[[#This Row],[Memo 01]:[Memo 07]],MATCH(0,reading[[#This Row],[Memo 01]:[Memo 07]],-1)),"")</f>
        <v>45823</v>
      </c>
      <c r="X1490" s="11">
        <f ca="1">IFERROR(reading[[#This Row],[Previous]]+OFFSET(reading[[#Headers],[Memo 01]],-1,MATCH(0,reading[[#This Row],[Memo 01]:[Memo 07]],-1)-1),"")</f>
        <v>45843</v>
      </c>
      <c r="Y1490" s="10" t="str">
        <f ca="1">IF(reading[[#This Row],[Next]]&lt;&gt;"",IF(reading[[#This Row],[Next]]&gt;TODAY(),"OK",""),"")</f>
        <v>OK</v>
      </c>
      <c r="Z1490" s="13">
        <v>3</v>
      </c>
      <c r="AA1490" s="13">
        <v>3</v>
      </c>
      <c r="AB1490" s="13">
        <v>3</v>
      </c>
      <c r="AC1490" s="13">
        <v>3</v>
      </c>
      <c r="AD1490" s="13">
        <v>3</v>
      </c>
      <c r="AE1490" s="13">
        <v>3</v>
      </c>
      <c r="AF1490" s="13"/>
      <c r="AG1490" s="16">
        <f>IFERROR(SUMIF(reading[[#This Row],[1st]:[7th]],"&gt;0")/COUNTIF(reading[[#This Row],[1st]:[7th]],"&gt;0"),"")</f>
        <v>3</v>
      </c>
    </row>
    <row r="1491" spans="1:33" hidden="1" x14ac:dyDescent="0.2">
      <c r="A1491" s="4">
        <f>IF(B1491=1,3,IF(D1491=1,2,IF(F1491=1,1,0)))</f>
        <v>0</v>
      </c>
      <c r="B1491" s="4">
        <f>IF(C1491=$L1491,1,IF(C1491="","",0))</f>
        <v>0</v>
      </c>
      <c r="C1491" s="42" t="s">
        <v>9200</v>
      </c>
      <c r="D1491" s="4">
        <f>IF(E1491=$L1491,1,IF(E1491="","",0))</f>
        <v>0</v>
      </c>
      <c r="E1491" s="23" t="s">
        <v>9200</v>
      </c>
      <c r="F1491" s="4" t="str">
        <f>IF(G1491=$L1491,1,IF(G1491="","",0))</f>
        <v/>
      </c>
      <c r="G1491" s="14"/>
      <c r="H1491" s="6">
        <v>2825</v>
      </c>
      <c r="I1491" s="15" t="s">
        <v>3120</v>
      </c>
      <c r="J1491" s="6" t="s">
        <v>5866</v>
      </c>
      <c r="K1491" s="6"/>
      <c r="L1491" s="6" t="s">
        <v>2861</v>
      </c>
      <c r="M1491" s="6" t="s">
        <v>8929</v>
      </c>
      <c r="N1491" s="7">
        <f ca="1">RAND()</f>
        <v>0.96324302726909383</v>
      </c>
      <c r="O1491" s="8">
        <v>45222</v>
      </c>
      <c r="P1491" s="8">
        <v>45223</v>
      </c>
      <c r="Q1491" s="8">
        <v>45225</v>
      </c>
      <c r="R1491" s="8">
        <v>45229</v>
      </c>
      <c r="S1491" s="8">
        <v>45236</v>
      </c>
      <c r="T1491" s="8"/>
      <c r="U1491" s="8"/>
      <c r="V1491" s="10">
        <f>COUNTA(O1491:U1491)</f>
        <v>5</v>
      </c>
      <c r="W1491" s="11">
        <f>_xlfn.IFNA(INDEX(reading[[#This Row],[Memo 01]:[Memo 07]],MATCH(0,reading[[#This Row],[Memo 01]:[Memo 07]],-1)),"")</f>
        <v>45236</v>
      </c>
      <c r="X1491" s="11">
        <f ca="1">IFERROR(reading[[#This Row],[Previous]]+OFFSET(reading[[#Headers],[Memo 01]],-1,MATCH(0,reading[[#This Row],[Memo 01]:[Memo 07]],-1)-1),"")</f>
        <v>45248</v>
      </c>
      <c r="Y1491" s="10" t="str">
        <f ca="1">IF(reading[[#This Row],[Next]]&lt;&gt;"",IF(reading[[#This Row],[Next]]&gt;TODAY(),"OK",""),"")</f>
        <v/>
      </c>
      <c r="Z1491" s="13">
        <v>3</v>
      </c>
      <c r="AA1491" s="13">
        <v>3</v>
      </c>
      <c r="AB1491" s="13">
        <v>3</v>
      </c>
      <c r="AC1491" s="13">
        <v>3</v>
      </c>
      <c r="AD1491" s="13">
        <v>2</v>
      </c>
      <c r="AE1491" s="13"/>
      <c r="AF1491" s="13"/>
      <c r="AG1491" s="16">
        <f>IFERROR(SUMIF(reading[[#This Row],[1st]:[7th]],"&gt;0")/COUNTIF(reading[[#This Row],[1st]:[7th]],"&gt;0"),"")</f>
        <v>2.8</v>
      </c>
    </row>
    <row r="1492" spans="1:33" hidden="1" x14ac:dyDescent="0.2">
      <c r="A1492" s="4">
        <f>IF(B1492=1,3,IF(D1492=1,2,IF(F1492=1,1,0)))</f>
        <v>3</v>
      </c>
      <c r="B1492" s="4">
        <f>IF(C1492=$L1492,1,IF(C1492="","",0))</f>
        <v>1</v>
      </c>
      <c r="C1492" s="29" t="s">
        <v>3144</v>
      </c>
      <c r="D1492" s="4" t="str">
        <f>IF(E1492=$L1492,1,IF(E1492="","",0))</f>
        <v/>
      </c>
      <c r="E1492" s="14"/>
      <c r="F1492" s="4" t="str">
        <f>IF(G1492=$L1492,1,IF(G1492="","",0))</f>
        <v/>
      </c>
      <c r="G1492" s="14"/>
      <c r="H1492" s="6">
        <v>1496</v>
      </c>
      <c r="I1492" s="15" t="s">
        <v>3120</v>
      </c>
      <c r="J1492" s="6" t="s">
        <v>4610</v>
      </c>
      <c r="K1492" s="6"/>
      <c r="L1492" s="6" t="s">
        <v>1582</v>
      </c>
      <c r="M1492" s="6" t="s">
        <v>7603</v>
      </c>
      <c r="N1492" s="7">
        <f ca="1">RAND()</f>
        <v>0.37415821163680951</v>
      </c>
      <c r="O1492" s="8">
        <v>45208</v>
      </c>
      <c r="P1492" s="8">
        <v>45208</v>
      </c>
      <c r="Q1492" s="8">
        <v>45208</v>
      </c>
      <c r="R1492" s="8">
        <v>45208</v>
      </c>
      <c r="S1492" s="8">
        <v>45208</v>
      </c>
      <c r="T1492" s="8">
        <v>45208</v>
      </c>
      <c r="U1492" s="8">
        <v>45208</v>
      </c>
      <c r="V1492" s="10">
        <f>COUNTA(O1492:U1492)</f>
        <v>7</v>
      </c>
      <c r="W1492" s="11">
        <f>_xlfn.IFNA(INDEX(reading[[#This Row],[Memo 01]:[Memo 07]],MATCH(0,reading[[#This Row],[Memo 01]:[Memo 07]],-1)),"")</f>
        <v>45208</v>
      </c>
      <c r="X1492" s="11">
        <f ca="1">IFERROR(reading[[#This Row],[Previous]]+OFFSET(reading[[#Headers],[Memo 01]],-1,MATCH(0,reading[[#This Row],[Memo 01]:[Memo 07]],-1)-1),"")</f>
        <v>55208</v>
      </c>
      <c r="Y1492" s="10" t="str">
        <f ca="1">IF(reading[[#This Row],[Next]]&lt;&gt;"",IF(reading[[#This Row],[Next]]&gt;TODAY(),"OK",""),"")</f>
        <v>OK</v>
      </c>
      <c r="Z1492" s="13">
        <v>3</v>
      </c>
      <c r="AA1492" s="13"/>
      <c r="AB1492" s="13"/>
      <c r="AC1492" s="13"/>
      <c r="AD1492" s="13"/>
      <c r="AE1492" s="13"/>
      <c r="AF1492" s="13"/>
      <c r="AG1492" s="16">
        <f>IFERROR(SUMIF(reading[[#This Row],[1st]:[7th]],"&gt;0")/COUNTIF(reading[[#This Row],[1st]:[7th]],"&gt;0"),"")</f>
        <v>3</v>
      </c>
    </row>
    <row r="1493" spans="1:33" hidden="1" x14ac:dyDescent="0.2">
      <c r="A1493" s="4">
        <f>IF(B1493=1,3,IF(D1493=1,2,IF(F1493=1,1,0)))</f>
        <v>0</v>
      </c>
      <c r="B1493" s="4" t="str">
        <f>IF(C1493=$L1493,1,IF(C1493="","",0))</f>
        <v/>
      </c>
      <c r="C1493" s="42"/>
      <c r="D1493" s="4" t="str">
        <f>IF(E1493=$L1493,1,IF(E1493="","",0))</f>
        <v/>
      </c>
      <c r="E1493" s="18"/>
      <c r="F1493" s="4" t="str">
        <f>IF(G1493=$L1493,1,IF(G1493="","",0))</f>
        <v/>
      </c>
      <c r="G1493" s="14"/>
      <c r="H1493" s="6">
        <v>162</v>
      </c>
      <c r="I1493" s="15" t="s">
        <v>3120</v>
      </c>
      <c r="J1493" s="6" t="s">
        <v>3311</v>
      </c>
      <c r="K1493" s="6"/>
      <c r="L1493" s="6" t="s">
        <v>299</v>
      </c>
      <c r="M1493" s="6" t="s">
        <v>6271</v>
      </c>
      <c r="N1493" s="7">
        <f ca="1">RAND()</f>
        <v>0.60964907158283654</v>
      </c>
      <c r="O1493" s="8">
        <v>45199</v>
      </c>
      <c r="P1493" s="8">
        <v>45200</v>
      </c>
      <c r="Q1493" s="8">
        <v>45202</v>
      </c>
      <c r="R1493" s="8">
        <v>45206</v>
      </c>
      <c r="S1493" s="8">
        <v>45213</v>
      </c>
      <c r="T1493" s="8">
        <v>45225</v>
      </c>
      <c r="U1493" s="8">
        <v>45823</v>
      </c>
      <c r="V1493" s="10">
        <f>COUNTA(O1493:U1493)</f>
        <v>7</v>
      </c>
      <c r="W1493" s="11">
        <f>_xlfn.IFNA(INDEX(reading[[#This Row],[Memo 01]:[Memo 07]],MATCH(0,reading[[#This Row],[Memo 01]:[Memo 07]],-1)),"")</f>
        <v>45823</v>
      </c>
      <c r="X1493" s="11">
        <f ca="1">IFERROR(reading[[#This Row],[Previous]]+OFFSET(reading[[#Headers],[Memo 01]],-1,MATCH(0,reading[[#This Row],[Memo 01]:[Memo 07]],-1)-1),"")</f>
        <v>55823</v>
      </c>
      <c r="Y1493" s="10" t="str">
        <f ca="1">IF(reading[[#This Row],[Next]]&lt;&gt;"",IF(reading[[#This Row],[Next]]&gt;TODAY(),"OK",""),"")</f>
        <v>OK</v>
      </c>
      <c r="Z1493" s="13">
        <v>3</v>
      </c>
      <c r="AA1493" s="13">
        <v>3</v>
      </c>
      <c r="AB1493" s="13">
        <v>3</v>
      </c>
      <c r="AC1493" s="13">
        <v>3</v>
      </c>
      <c r="AD1493" s="13">
        <v>2</v>
      </c>
      <c r="AE1493" s="13">
        <v>3</v>
      </c>
      <c r="AF1493" s="13">
        <v>3</v>
      </c>
      <c r="AG1493" s="16">
        <f>IFERROR(SUMIF(reading[[#This Row],[1st]:[7th]],"&gt;0")/COUNTIF(reading[[#This Row],[1st]:[7th]],"&gt;0"),"")</f>
        <v>2.8571428571428572</v>
      </c>
    </row>
    <row r="1494" spans="1:33" hidden="1" x14ac:dyDescent="0.2">
      <c r="A1494" s="4">
        <f>IF(B1494=1,3,IF(D1494=1,2,IF(F1494=1,1,0)))</f>
        <v>0</v>
      </c>
      <c r="B1494" s="4" t="str">
        <f>IF(C1494=$L1494,1,IF(C1494="","",0))</f>
        <v/>
      </c>
      <c r="C1494" s="42"/>
      <c r="D1494" s="4" t="str">
        <f>IF(E1494=$L1494,1,IF(E1494="","",0))</f>
        <v/>
      </c>
      <c r="E1494" s="18"/>
      <c r="F1494" s="4" t="str">
        <f>IF(G1494=$L1494,1,IF(G1494="","",0))</f>
        <v/>
      </c>
      <c r="G1494" s="14"/>
      <c r="H1494" s="6">
        <v>554</v>
      </c>
      <c r="I1494" s="15" t="s">
        <v>3120</v>
      </c>
      <c r="J1494" s="6" t="s">
        <v>3699</v>
      </c>
      <c r="K1494" s="6"/>
      <c r="L1494" s="6" t="s">
        <v>681</v>
      </c>
      <c r="M1494" s="6" t="s">
        <v>6663</v>
      </c>
      <c r="N1494" s="7">
        <f ca="1">RAND()</f>
        <v>0.36874257688918388</v>
      </c>
      <c r="O1494" s="8">
        <v>45202</v>
      </c>
      <c r="P1494" s="8">
        <v>45203</v>
      </c>
      <c r="Q1494" s="8">
        <v>45205</v>
      </c>
      <c r="R1494" s="8">
        <v>45209</v>
      </c>
      <c r="S1494" s="8">
        <v>45216</v>
      </c>
      <c r="T1494" s="8">
        <v>45228</v>
      </c>
      <c r="U1494" s="8">
        <v>45823</v>
      </c>
      <c r="V1494" s="10">
        <f>COUNTA(O1494:U1494)</f>
        <v>7</v>
      </c>
      <c r="W1494" s="11">
        <f>_xlfn.IFNA(INDEX(reading[[#This Row],[Memo 01]:[Memo 07]],MATCH(0,reading[[#This Row],[Memo 01]:[Memo 07]],-1)),"")</f>
        <v>45823</v>
      </c>
      <c r="X1494" s="11">
        <f ca="1">IFERROR(reading[[#This Row],[Previous]]+OFFSET(reading[[#Headers],[Memo 01]],-1,MATCH(0,reading[[#This Row],[Memo 01]:[Memo 07]],-1)-1),"")</f>
        <v>55823</v>
      </c>
      <c r="Y1494" s="10" t="str">
        <f ca="1">IF(reading[[#This Row],[Next]]&lt;&gt;"",IF(reading[[#This Row],[Next]]&gt;TODAY(),"OK",""),"")</f>
        <v>OK</v>
      </c>
      <c r="Z1494" s="13">
        <v>3</v>
      </c>
      <c r="AA1494" s="13">
        <v>3</v>
      </c>
      <c r="AB1494" s="13">
        <v>3</v>
      </c>
      <c r="AC1494" s="13">
        <v>3</v>
      </c>
      <c r="AD1494" s="13">
        <v>2</v>
      </c>
      <c r="AE1494" s="13">
        <v>3</v>
      </c>
      <c r="AF1494" s="13">
        <v>3</v>
      </c>
      <c r="AG1494" s="16">
        <f>IFERROR(SUMIF(reading[[#This Row],[1st]:[7th]],"&gt;0")/COUNTIF(reading[[#This Row],[1st]:[7th]],"&gt;0"),"")</f>
        <v>2.8571428571428572</v>
      </c>
    </row>
    <row r="1495" spans="1:33" hidden="1" x14ac:dyDescent="0.2">
      <c r="A1495" s="4">
        <f>IF(B1495=1,3,IF(D1495=1,2,IF(F1495=1,1,0)))</f>
        <v>0</v>
      </c>
      <c r="B1495" s="4" t="str">
        <f>IF(C1495=$L1495,1,IF(C1495="","",0))</f>
        <v/>
      </c>
      <c r="C1495" s="42"/>
      <c r="D1495" s="4" t="str">
        <f>IF(E1495=$L1495,1,IF(E1495="","",0))</f>
        <v/>
      </c>
      <c r="E1495" s="14"/>
      <c r="F1495" s="4" t="str">
        <f>IF(G1495=$L1495,1,IF(G1495="","",0))</f>
        <v/>
      </c>
      <c r="G1495" s="14"/>
      <c r="H1495" s="6">
        <v>1488</v>
      </c>
      <c r="I1495" s="15" t="s">
        <v>3120</v>
      </c>
      <c r="J1495" s="6" t="s">
        <v>4602</v>
      </c>
      <c r="K1495" s="6"/>
      <c r="L1495" s="6" t="s">
        <v>1574</v>
      </c>
      <c r="M1495" s="6" t="s">
        <v>7595</v>
      </c>
      <c r="N1495" s="7">
        <f ca="1">RAND()</f>
        <v>0.73443455463623519</v>
      </c>
      <c r="O1495" s="8">
        <v>45208</v>
      </c>
      <c r="P1495" s="8">
        <v>45209</v>
      </c>
      <c r="Q1495" s="8">
        <v>45211</v>
      </c>
      <c r="R1495" s="8">
        <v>45215</v>
      </c>
      <c r="S1495" s="8">
        <v>45222</v>
      </c>
      <c r="T1495" s="8">
        <v>45234</v>
      </c>
      <c r="U1495" s="8">
        <v>45827</v>
      </c>
      <c r="V1495" s="10">
        <f>COUNTA(O1495:U1495)</f>
        <v>7</v>
      </c>
      <c r="W1495" s="11">
        <f>_xlfn.IFNA(INDEX(reading[[#This Row],[Memo 01]:[Memo 07]],MATCH(0,reading[[#This Row],[Memo 01]:[Memo 07]],-1)),"")</f>
        <v>45827</v>
      </c>
      <c r="X1495" s="11">
        <f ca="1">IFERROR(reading[[#This Row],[Previous]]+OFFSET(reading[[#Headers],[Memo 01]],-1,MATCH(0,reading[[#This Row],[Memo 01]:[Memo 07]],-1)-1),"")</f>
        <v>55827</v>
      </c>
      <c r="Y1495" s="10" t="str">
        <f ca="1">IF(reading[[#This Row],[Next]]&lt;&gt;"",IF(reading[[#This Row],[Next]]&gt;TODAY(),"OK",""),"")</f>
        <v>OK</v>
      </c>
      <c r="Z1495" s="13">
        <v>3</v>
      </c>
      <c r="AA1495" s="13">
        <v>3</v>
      </c>
      <c r="AB1495" s="13">
        <v>3</v>
      </c>
      <c r="AC1495" s="13">
        <v>3</v>
      </c>
      <c r="AD1495" s="13">
        <v>3</v>
      </c>
      <c r="AE1495" s="13">
        <v>3</v>
      </c>
      <c r="AF1495" s="13">
        <v>3</v>
      </c>
      <c r="AG1495" s="16">
        <f>IFERROR(SUMIF(reading[[#This Row],[1st]:[7th]],"&gt;0")/COUNTIF(reading[[#This Row],[1st]:[7th]],"&gt;0"),"")</f>
        <v>3</v>
      </c>
    </row>
    <row r="1496" spans="1:33" hidden="1" x14ac:dyDescent="0.2">
      <c r="A1496" s="4">
        <f>IF(B1496=1,3,IF(D1496=1,2,IF(F1496=1,1,0)))</f>
        <v>0</v>
      </c>
      <c r="B1496" s="4" t="str">
        <f>IF(C1496=$L1496,1,IF(C1496="","",0))</f>
        <v/>
      </c>
      <c r="C1496" s="42"/>
      <c r="D1496" s="4" t="str">
        <f>IF(E1496=$L1496,1,IF(E1496="","",0))</f>
        <v/>
      </c>
      <c r="E1496" s="14"/>
      <c r="F1496" s="4" t="str">
        <f>IF(G1496=$L1496,1,IF(G1496="","",0))</f>
        <v/>
      </c>
      <c r="G1496" s="14"/>
      <c r="H1496" s="6">
        <v>483</v>
      </c>
      <c r="I1496" s="15" t="s">
        <v>3120</v>
      </c>
      <c r="J1496" s="6" t="s">
        <v>3629</v>
      </c>
      <c r="K1496" s="6"/>
      <c r="L1496" s="6" t="s">
        <v>611</v>
      </c>
      <c r="M1496" s="6" t="s">
        <v>6592</v>
      </c>
      <c r="N1496" s="7">
        <f ca="1">RAND()</f>
        <v>0.60673365654602873</v>
      </c>
      <c r="O1496" s="8">
        <v>45202</v>
      </c>
      <c r="P1496" s="8">
        <v>45203</v>
      </c>
      <c r="Q1496" s="8">
        <v>45205</v>
      </c>
      <c r="R1496" s="8">
        <v>45209</v>
      </c>
      <c r="S1496" s="8">
        <v>45216</v>
      </c>
      <c r="T1496" s="8">
        <v>45228</v>
      </c>
      <c r="U1496" s="8">
        <v>45827</v>
      </c>
      <c r="V1496" s="10">
        <f>COUNTA(O1496:U1496)</f>
        <v>7</v>
      </c>
      <c r="W1496" s="11">
        <f>_xlfn.IFNA(INDEX(reading[[#This Row],[Memo 01]:[Memo 07]],MATCH(0,reading[[#This Row],[Memo 01]:[Memo 07]],-1)),"")</f>
        <v>45827</v>
      </c>
      <c r="X1496" s="11">
        <f ca="1">IFERROR(reading[[#This Row],[Previous]]+OFFSET(reading[[#Headers],[Memo 01]],-1,MATCH(0,reading[[#This Row],[Memo 01]:[Memo 07]],-1)-1),"")</f>
        <v>55827</v>
      </c>
      <c r="Y1496" s="10" t="str">
        <f ca="1">IF(reading[[#This Row],[Next]]&lt;&gt;"",IF(reading[[#This Row],[Next]]&gt;TODAY(),"OK",""),"")</f>
        <v>OK</v>
      </c>
      <c r="Z1496" s="13">
        <v>3</v>
      </c>
      <c r="AA1496" s="13">
        <v>3</v>
      </c>
      <c r="AB1496" s="13">
        <v>3</v>
      </c>
      <c r="AC1496" s="13">
        <v>3</v>
      </c>
      <c r="AD1496" s="13">
        <v>3</v>
      </c>
      <c r="AE1496" s="13">
        <v>3</v>
      </c>
      <c r="AF1496" s="13">
        <v>3</v>
      </c>
      <c r="AG1496" s="16">
        <f>IFERROR(SUMIF(reading[[#This Row],[1st]:[7th]],"&gt;0")/COUNTIF(reading[[#This Row],[1st]:[7th]],"&gt;0"),"")</f>
        <v>3</v>
      </c>
    </row>
    <row r="1497" spans="1:33" hidden="1" x14ac:dyDescent="0.2">
      <c r="A1497" s="4">
        <f>IF(B1497=1,3,IF(D1497=1,2,IF(F1497=1,1,0)))</f>
        <v>0</v>
      </c>
      <c r="B1497" s="4" t="str">
        <f>IF(C1497=$L1497,1,IF(C1497="","",0))</f>
        <v/>
      </c>
      <c r="C1497" s="42"/>
      <c r="D1497" s="4" t="str">
        <f>IF(E1497=$L1497,1,IF(E1497="","",0))</f>
        <v/>
      </c>
      <c r="E1497" s="18"/>
      <c r="F1497" s="4" t="str">
        <f>IF(G1497=$L1497,1,IF(G1497="","",0))</f>
        <v/>
      </c>
      <c r="G1497" s="14"/>
      <c r="H1497" s="6">
        <v>748</v>
      </c>
      <c r="I1497" s="15" t="s">
        <v>3120</v>
      </c>
      <c r="J1497" s="6" t="s">
        <v>3884</v>
      </c>
      <c r="K1497" s="6"/>
      <c r="L1497" s="6" t="s">
        <v>867</v>
      </c>
      <c r="M1497" s="6" t="s">
        <v>6857</v>
      </c>
      <c r="N1497" s="7">
        <f ca="1">RAND()</f>
        <v>0.95900122863966997</v>
      </c>
      <c r="O1497" s="8">
        <v>45203</v>
      </c>
      <c r="P1497" s="8">
        <v>45204</v>
      </c>
      <c r="Q1497" s="8">
        <v>45206</v>
      </c>
      <c r="R1497" s="8">
        <v>45210</v>
      </c>
      <c r="S1497" s="8">
        <v>45217</v>
      </c>
      <c r="T1497" s="8">
        <v>45229</v>
      </c>
      <c r="U1497" s="8">
        <v>45823</v>
      </c>
      <c r="V1497" s="10">
        <f>COUNTA(O1497:U1497)</f>
        <v>7</v>
      </c>
      <c r="W1497" s="11">
        <f>_xlfn.IFNA(INDEX(reading[[#This Row],[Memo 01]:[Memo 07]],MATCH(0,reading[[#This Row],[Memo 01]:[Memo 07]],-1)),"")</f>
        <v>45823</v>
      </c>
      <c r="X1497" s="11">
        <f ca="1">IFERROR(reading[[#This Row],[Previous]]+OFFSET(reading[[#Headers],[Memo 01]],-1,MATCH(0,reading[[#This Row],[Memo 01]:[Memo 07]],-1)-1),"")</f>
        <v>55823</v>
      </c>
      <c r="Y1497" s="10" t="str">
        <f ca="1">IF(reading[[#This Row],[Next]]&lt;&gt;"",IF(reading[[#This Row],[Next]]&gt;TODAY(),"OK",""),"")</f>
        <v>OK</v>
      </c>
      <c r="Z1497" s="13">
        <v>3</v>
      </c>
      <c r="AA1497" s="13">
        <v>2</v>
      </c>
      <c r="AB1497" s="13">
        <v>3</v>
      </c>
      <c r="AC1497" s="13">
        <v>3</v>
      </c>
      <c r="AD1497" s="13">
        <v>2</v>
      </c>
      <c r="AE1497" s="13">
        <v>3</v>
      </c>
      <c r="AF1497" s="13">
        <v>3</v>
      </c>
      <c r="AG1497" s="16">
        <f>IFERROR(SUMIF(reading[[#This Row],[1st]:[7th]],"&gt;0")/COUNTIF(reading[[#This Row],[1st]:[7th]],"&gt;0"),"")</f>
        <v>2.7142857142857144</v>
      </c>
    </row>
    <row r="1498" spans="1:33" hidden="1" x14ac:dyDescent="0.2">
      <c r="A1498" s="4">
        <f>IF(B1498=1,3,IF(D1498=1,2,IF(F1498=1,1,0)))</f>
        <v>0</v>
      </c>
      <c r="B1498" s="4" t="str">
        <f>IF(C1498=$L1498,1,IF(C1498="","",0))</f>
        <v/>
      </c>
      <c r="C1498" s="42"/>
      <c r="D1498" s="4" t="str">
        <f>IF(E1498=$L1498,1,IF(E1498="","",0))</f>
        <v/>
      </c>
      <c r="E1498" s="43"/>
      <c r="F1498" s="4" t="str">
        <f>IF(G1498=$L1498,1,IF(G1498="","",0))</f>
        <v/>
      </c>
      <c r="G1498" s="14"/>
      <c r="H1498" s="6">
        <v>2824</v>
      </c>
      <c r="I1498" s="15" t="s">
        <v>3120</v>
      </c>
      <c r="J1498" s="6" t="s">
        <v>4730</v>
      </c>
      <c r="K1498" s="6"/>
      <c r="L1498" s="6" t="s">
        <v>2860</v>
      </c>
      <c r="M1498" s="6" t="s">
        <v>8928</v>
      </c>
      <c r="N1498" s="7">
        <f ca="1">RAND()</f>
        <v>0.64587675769531561</v>
      </c>
      <c r="O1498" s="8">
        <v>45222</v>
      </c>
      <c r="P1498" s="8">
        <v>45223</v>
      </c>
      <c r="Q1498" s="8">
        <v>45225</v>
      </c>
      <c r="R1498" s="8">
        <v>45229</v>
      </c>
      <c r="S1498" s="8">
        <v>45236</v>
      </c>
      <c r="T1498" s="8">
        <v>45252</v>
      </c>
      <c r="U1498" s="8">
        <v>45829</v>
      </c>
      <c r="V1498" s="10">
        <f>COUNTA(O1498:U1498)</f>
        <v>7</v>
      </c>
      <c r="W1498" s="11">
        <f>_xlfn.IFNA(INDEX(reading[[#This Row],[Memo 01]:[Memo 07]],MATCH(0,reading[[#This Row],[Memo 01]:[Memo 07]],-1)),"")</f>
        <v>45829</v>
      </c>
      <c r="X1498" s="11">
        <f ca="1">IFERROR(reading[[#This Row],[Previous]]+OFFSET(reading[[#Headers],[Memo 01]],-1,MATCH(0,reading[[#This Row],[Memo 01]:[Memo 07]],-1)-1),"")</f>
        <v>55829</v>
      </c>
      <c r="Y1498" s="10" t="str">
        <f ca="1">IF(reading[[#This Row],[Next]]&lt;&gt;"",IF(reading[[#This Row],[Next]]&gt;TODAY(),"OK",""),"")</f>
        <v>OK</v>
      </c>
      <c r="Z1498" s="13">
        <v>3</v>
      </c>
      <c r="AA1498" s="13">
        <v>3</v>
      </c>
      <c r="AB1498" s="13">
        <v>3</v>
      </c>
      <c r="AC1498" s="13">
        <v>2</v>
      </c>
      <c r="AD1498" s="13">
        <v>2</v>
      </c>
      <c r="AE1498" s="13">
        <v>2</v>
      </c>
      <c r="AF1498" s="13">
        <v>2</v>
      </c>
      <c r="AG1498" s="16">
        <f>IFERROR(SUMIF(reading[[#This Row],[1st]:[7th]],"&gt;0")/COUNTIF(reading[[#This Row],[1st]:[7th]],"&gt;0"),"")</f>
        <v>2.4285714285714284</v>
      </c>
    </row>
    <row r="1499" spans="1:33" hidden="1" x14ac:dyDescent="0.2">
      <c r="A1499" s="4">
        <f>IF(B1499=1,3,IF(D1499=1,2,IF(F1499=1,1,0)))</f>
        <v>3</v>
      </c>
      <c r="B1499" s="4">
        <f>IF(C1499=$L1499,1,IF(C1499="","",0))</f>
        <v>1</v>
      </c>
      <c r="C1499" s="30" t="s">
        <v>1588</v>
      </c>
      <c r="D1499" s="4" t="str">
        <f>IF(E1499=$L1499,1,IF(E1499="","",0))</f>
        <v/>
      </c>
      <c r="E1499" s="14"/>
      <c r="F1499" s="4" t="str">
        <f>IF(G1499=$L1499,1,IF(G1499="","",0))</f>
        <v/>
      </c>
      <c r="G1499" s="14"/>
      <c r="H1499" s="6">
        <v>1503</v>
      </c>
      <c r="I1499" s="15" t="s">
        <v>3120</v>
      </c>
      <c r="J1499" s="6" t="s">
        <v>3186</v>
      </c>
      <c r="K1499" s="6"/>
      <c r="L1499" s="6" t="s">
        <v>1588</v>
      </c>
      <c r="M1499" s="6" t="s">
        <v>7610</v>
      </c>
      <c r="N1499" s="7">
        <f ca="1">RAND()</f>
        <v>0.33039514241198586</v>
      </c>
      <c r="O1499" s="8">
        <v>45209</v>
      </c>
      <c r="P1499" s="8">
        <v>45209</v>
      </c>
      <c r="Q1499" s="8">
        <v>45209</v>
      </c>
      <c r="R1499" s="8">
        <v>45209</v>
      </c>
      <c r="S1499" s="8">
        <v>45209</v>
      </c>
      <c r="T1499" s="8">
        <v>45209</v>
      </c>
      <c r="U1499" s="8">
        <v>45209</v>
      </c>
      <c r="V1499" s="10">
        <f>COUNTA(O1499:U1499)</f>
        <v>7</v>
      </c>
      <c r="W1499" s="11">
        <f>_xlfn.IFNA(INDEX(reading[[#This Row],[Memo 01]:[Memo 07]],MATCH(0,reading[[#This Row],[Memo 01]:[Memo 07]],-1)),"")</f>
        <v>45209</v>
      </c>
      <c r="X1499" s="11">
        <f ca="1">IFERROR(reading[[#This Row],[Previous]]+OFFSET(reading[[#Headers],[Memo 01]],-1,MATCH(0,reading[[#This Row],[Memo 01]:[Memo 07]],-1)-1),"")</f>
        <v>55209</v>
      </c>
      <c r="Y1499" s="10" t="str">
        <f ca="1">IF(reading[[#This Row],[Next]]&lt;&gt;"",IF(reading[[#This Row],[Next]]&gt;TODAY(),"OK",""),"")</f>
        <v>OK</v>
      </c>
      <c r="Z1499" s="13">
        <v>3</v>
      </c>
      <c r="AA1499" s="13"/>
      <c r="AB1499" s="13"/>
      <c r="AC1499" s="13"/>
      <c r="AD1499" s="13"/>
      <c r="AE1499" s="13"/>
      <c r="AF1499" s="13"/>
      <c r="AG1499" s="16">
        <f>IFERROR(SUMIF(reading[[#This Row],[1st]:[7th]],"&gt;0")/COUNTIF(reading[[#This Row],[1st]:[7th]],"&gt;0"),"")</f>
        <v>3</v>
      </c>
    </row>
    <row r="1500" spans="1:33" hidden="1" x14ac:dyDescent="0.2">
      <c r="A1500" s="4">
        <f>IF(B1500=1,3,IF(D1500=1,2,IF(F1500=1,1,0)))</f>
        <v>0</v>
      </c>
      <c r="B1500" s="4" t="str">
        <f>IF(C1500=$L1500,1,IF(C1500="","",0))</f>
        <v/>
      </c>
      <c r="C1500" s="42"/>
      <c r="D1500" s="4" t="str">
        <f>IF(E1500=$L1500,1,IF(E1500="","",0))</f>
        <v/>
      </c>
      <c r="E1500" s="14"/>
      <c r="F1500" s="4" t="str">
        <f>IF(G1500=$L1500,1,IF(G1500="","",0))</f>
        <v/>
      </c>
      <c r="G1500" s="14"/>
      <c r="H1500" s="6">
        <v>2194</v>
      </c>
      <c r="I1500" s="15" t="s">
        <v>3120</v>
      </c>
      <c r="J1500" s="6" t="s">
        <v>5280</v>
      </c>
      <c r="K1500" s="6"/>
      <c r="L1500" s="6" t="s">
        <v>2257</v>
      </c>
      <c r="M1500" s="6" t="s">
        <v>8300</v>
      </c>
      <c r="N1500" s="7">
        <f ca="1">RAND()</f>
        <v>8.1707603937129725E-2</v>
      </c>
      <c r="O1500" s="8">
        <v>45214</v>
      </c>
      <c r="P1500" s="8">
        <v>45215</v>
      </c>
      <c r="Q1500" s="8">
        <v>45217</v>
      </c>
      <c r="R1500" s="8">
        <v>45221</v>
      </c>
      <c r="S1500" s="8">
        <v>45228</v>
      </c>
      <c r="T1500" s="8">
        <v>45823</v>
      </c>
      <c r="U1500" s="8"/>
      <c r="V1500" s="10">
        <f>COUNTA(O1500:U1500)</f>
        <v>6</v>
      </c>
      <c r="W1500" s="11">
        <f>_xlfn.IFNA(INDEX(reading[[#This Row],[Memo 01]:[Memo 07]],MATCH(0,reading[[#This Row],[Memo 01]:[Memo 07]],-1)),"")</f>
        <v>45823</v>
      </c>
      <c r="X1500" s="11">
        <f ca="1">IFERROR(reading[[#This Row],[Previous]]+OFFSET(reading[[#Headers],[Memo 01]],-1,MATCH(0,reading[[#This Row],[Memo 01]:[Memo 07]],-1)-1),"")</f>
        <v>45843</v>
      </c>
      <c r="Y1500" s="10" t="str">
        <f ca="1">IF(reading[[#This Row],[Next]]&lt;&gt;"",IF(reading[[#This Row],[Next]]&gt;TODAY(),"OK",""),"")</f>
        <v>OK</v>
      </c>
      <c r="Z1500" s="13">
        <v>3</v>
      </c>
      <c r="AA1500" s="13">
        <v>3</v>
      </c>
      <c r="AB1500" s="13">
        <v>3</v>
      </c>
      <c r="AC1500" s="13">
        <v>3</v>
      </c>
      <c r="AD1500" s="13">
        <v>3</v>
      </c>
      <c r="AE1500" s="13">
        <v>3</v>
      </c>
      <c r="AF1500" s="13"/>
      <c r="AG1500" s="16">
        <f>IFERROR(SUMIF(reading[[#This Row],[1st]:[7th]],"&gt;0")/COUNTIF(reading[[#This Row],[1st]:[7th]],"&gt;0"),"")</f>
        <v>3</v>
      </c>
    </row>
    <row r="1501" spans="1:33" hidden="1" x14ac:dyDescent="0.2">
      <c r="A1501" s="4">
        <f>IF(B1501=1,3,IF(D1501=1,2,IF(F1501=1,1,0)))</f>
        <v>3</v>
      </c>
      <c r="B1501" s="4">
        <f>IF(C1501=$L1501,1,IF(C1501="","",0))</f>
        <v>1</v>
      </c>
      <c r="C1501" s="30" t="s">
        <v>1590</v>
      </c>
      <c r="D1501" s="4" t="str">
        <f>IF(E1501=$L1501,1,IF(E1501="","",0))</f>
        <v/>
      </c>
      <c r="E1501" s="14"/>
      <c r="F1501" s="4" t="str">
        <f>IF(G1501=$L1501,1,IF(G1501="","",0))</f>
        <v/>
      </c>
      <c r="G1501" s="14"/>
      <c r="H1501" s="6">
        <v>1505</v>
      </c>
      <c r="I1501" s="15" t="s">
        <v>3120</v>
      </c>
      <c r="J1501" s="6" t="s">
        <v>4618</v>
      </c>
      <c r="K1501" s="6"/>
      <c r="L1501" s="6" t="s">
        <v>1590</v>
      </c>
      <c r="M1501" s="6" t="s">
        <v>7612</v>
      </c>
      <c r="N1501" s="7">
        <f ca="1">RAND()</f>
        <v>0.75293914056753619</v>
      </c>
      <c r="O1501" s="8">
        <v>45209</v>
      </c>
      <c r="P1501" s="8">
        <v>45209</v>
      </c>
      <c r="Q1501" s="8">
        <v>45209</v>
      </c>
      <c r="R1501" s="8">
        <v>45209</v>
      </c>
      <c r="S1501" s="8">
        <v>45209</v>
      </c>
      <c r="T1501" s="8">
        <v>45209</v>
      </c>
      <c r="U1501" s="8">
        <v>45209</v>
      </c>
      <c r="V1501" s="10">
        <f>COUNTA(O1501:U1501)</f>
        <v>7</v>
      </c>
      <c r="W1501" s="11">
        <f>_xlfn.IFNA(INDEX(reading[[#This Row],[Memo 01]:[Memo 07]],MATCH(0,reading[[#This Row],[Memo 01]:[Memo 07]],-1)),"")</f>
        <v>45209</v>
      </c>
      <c r="X1501" s="11">
        <f ca="1">IFERROR(reading[[#This Row],[Previous]]+OFFSET(reading[[#Headers],[Memo 01]],-1,MATCH(0,reading[[#This Row],[Memo 01]:[Memo 07]],-1)-1),"")</f>
        <v>55209</v>
      </c>
      <c r="Y1501" s="10" t="str">
        <f ca="1">IF(reading[[#This Row],[Next]]&lt;&gt;"",IF(reading[[#This Row],[Next]]&gt;TODAY(),"OK",""),"")</f>
        <v>OK</v>
      </c>
      <c r="Z1501" s="13">
        <v>3</v>
      </c>
      <c r="AA1501" s="13"/>
      <c r="AB1501" s="13"/>
      <c r="AC1501" s="13"/>
      <c r="AD1501" s="13"/>
      <c r="AE1501" s="13"/>
      <c r="AF1501" s="13"/>
      <c r="AG1501" s="16">
        <f>IFERROR(SUMIF(reading[[#This Row],[1st]:[7th]],"&gt;0")/COUNTIF(reading[[#This Row],[1st]:[7th]],"&gt;0"),"")</f>
        <v>3</v>
      </c>
    </row>
    <row r="1502" spans="1:33" hidden="1" x14ac:dyDescent="0.2">
      <c r="A1502" s="4">
        <f>IF(B1502=1,3,IF(D1502=1,2,IF(F1502=1,1,0)))</f>
        <v>0</v>
      </c>
      <c r="B1502" s="4" t="str">
        <f>IF(C1502=$L1502,1,IF(C1502="","",0))</f>
        <v/>
      </c>
      <c r="C1502" s="42"/>
      <c r="D1502" s="4" t="str">
        <f>IF(E1502=$L1502,1,IF(E1502="","",0))</f>
        <v/>
      </c>
      <c r="E1502" s="14"/>
      <c r="F1502" s="4" t="str">
        <f>IF(G1502=$L1502,1,IF(G1502="","",0))</f>
        <v/>
      </c>
      <c r="G1502" s="14"/>
      <c r="H1502" s="6">
        <v>2779</v>
      </c>
      <c r="I1502" s="15" t="s">
        <v>3120</v>
      </c>
      <c r="J1502" s="6" t="s">
        <v>5822</v>
      </c>
      <c r="K1502" s="6"/>
      <c r="L1502" s="6" t="s">
        <v>2817</v>
      </c>
      <c r="M1502" s="6" t="s">
        <v>8883</v>
      </c>
      <c r="N1502" s="7">
        <f ca="1">RAND()</f>
        <v>0.20903998316430383</v>
      </c>
      <c r="O1502" s="8">
        <v>45222</v>
      </c>
      <c r="P1502" s="8">
        <v>45223</v>
      </c>
      <c r="Q1502" s="8">
        <v>45225</v>
      </c>
      <c r="R1502" s="8">
        <v>45229</v>
      </c>
      <c r="S1502" s="8">
        <v>45236</v>
      </c>
      <c r="T1502" s="8">
        <v>45823</v>
      </c>
      <c r="U1502" s="8"/>
      <c r="V1502" s="10">
        <f>COUNTA(O1502:U1502)</f>
        <v>6</v>
      </c>
      <c r="W1502" s="11">
        <f>_xlfn.IFNA(INDEX(reading[[#This Row],[Memo 01]:[Memo 07]],MATCH(0,reading[[#This Row],[Memo 01]:[Memo 07]],-1)),"")</f>
        <v>45823</v>
      </c>
      <c r="X1502" s="11">
        <f ca="1">IFERROR(reading[[#This Row],[Previous]]+OFFSET(reading[[#Headers],[Memo 01]],-1,MATCH(0,reading[[#This Row],[Memo 01]:[Memo 07]],-1)-1),"")</f>
        <v>45843</v>
      </c>
      <c r="Y1502" s="10" t="str">
        <f ca="1">IF(reading[[#This Row],[Next]]&lt;&gt;"",IF(reading[[#This Row],[Next]]&gt;TODAY(),"OK",""),"")</f>
        <v>OK</v>
      </c>
      <c r="Z1502" s="13">
        <v>3</v>
      </c>
      <c r="AA1502" s="13">
        <v>3</v>
      </c>
      <c r="AB1502" s="13">
        <v>3</v>
      </c>
      <c r="AC1502" s="13">
        <v>3</v>
      </c>
      <c r="AD1502" s="13">
        <v>3</v>
      </c>
      <c r="AE1502" s="13">
        <v>3</v>
      </c>
      <c r="AF1502" s="13"/>
      <c r="AG1502" s="16">
        <f>IFERROR(SUMIF(reading[[#This Row],[1st]:[7th]],"&gt;0")/COUNTIF(reading[[#This Row],[1st]:[7th]],"&gt;0"),"")</f>
        <v>3</v>
      </c>
    </row>
    <row r="1503" spans="1:33" hidden="1" x14ac:dyDescent="0.2">
      <c r="A1503" s="4">
        <f>IF(B1503=1,3,IF(D1503=1,2,IF(F1503=1,1,0)))</f>
        <v>0</v>
      </c>
      <c r="B1503" s="4" t="str">
        <f>IF(C1503=$L1503,1,IF(C1503="","",0))</f>
        <v/>
      </c>
      <c r="C1503" s="42"/>
      <c r="D1503" s="4" t="str">
        <f>IF(E1503=$L1503,1,IF(E1503="","",0))</f>
        <v/>
      </c>
      <c r="E1503" s="14"/>
      <c r="F1503" s="4" t="str">
        <f>IF(G1503=$L1503,1,IF(G1503="","",0))</f>
        <v/>
      </c>
      <c r="G1503" s="14"/>
      <c r="H1503" s="6">
        <v>417</v>
      </c>
      <c r="I1503" s="15" t="s">
        <v>3120</v>
      </c>
      <c r="J1503" s="6" t="s">
        <v>3563</v>
      </c>
      <c r="K1503" s="6"/>
      <c r="L1503" s="6" t="s">
        <v>547</v>
      </c>
      <c r="M1503" s="6" t="s">
        <v>6526</v>
      </c>
      <c r="N1503" s="7">
        <f ca="1">RAND()</f>
        <v>0.86251277990974384</v>
      </c>
      <c r="O1503" s="8">
        <v>45202</v>
      </c>
      <c r="P1503" s="8">
        <v>45203</v>
      </c>
      <c r="Q1503" s="8">
        <v>45205</v>
      </c>
      <c r="R1503" s="8">
        <v>45209</v>
      </c>
      <c r="S1503" s="8">
        <v>45216</v>
      </c>
      <c r="T1503" s="8">
        <v>45228</v>
      </c>
      <c r="U1503" s="8">
        <v>45823</v>
      </c>
      <c r="V1503" s="10">
        <f>COUNTA(O1503:U1503)</f>
        <v>7</v>
      </c>
      <c r="W1503" s="11">
        <f>_xlfn.IFNA(INDEX(reading[[#This Row],[Memo 01]:[Memo 07]],MATCH(0,reading[[#This Row],[Memo 01]:[Memo 07]],-1)),"")</f>
        <v>45823</v>
      </c>
      <c r="X1503" s="11">
        <f ca="1">IFERROR(reading[[#This Row],[Previous]]+OFFSET(reading[[#Headers],[Memo 01]],-1,MATCH(0,reading[[#This Row],[Memo 01]:[Memo 07]],-1)-1),"")</f>
        <v>55823</v>
      </c>
      <c r="Y1503" s="10" t="str">
        <f ca="1">IF(reading[[#This Row],[Next]]&lt;&gt;"",IF(reading[[#This Row],[Next]]&gt;TODAY(),"OK",""),"")</f>
        <v>OK</v>
      </c>
      <c r="Z1503" s="13">
        <v>3</v>
      </c>
      <c r="AA1503" s="13">
        <v>3</v>
      </c>
      <c r="AB1503" s="13">
        <v>3</v>
      </c>
      <c r="AC1503" s="13">
        <v>3</v>
      </c>
      <c r="AD1503" s="13">
        <v>3</v>
      </c>
      <c r="AE1503" s="13">
        <v>3</v>
      </c>
      <c r="AF1503" s="13">
        <v>3</v>
      </c>
      <c r="AG1503" s="16">
        <f>IFERROR(SUMIF(reading[[#This Row],[1st]:[7th]],"&gt;0")/COUNTIF(reading[[#This Row],[1st]:[7th]],"&gt;0"),"")</f>
        <v>3</v>
      </c>
    </row>
    <row r="1504" spans="1:33" hidden="1" x14ac:dyDescent="0.2">
      <c r="A1504" s="4">
        <f>IF(B1504=1,3,IF(D1504=1,2,IF(F1504=1,1,0)))</f>
        <v>0</v>
      </c>
      <c r="B1504" s="4" t="str">
        <f>IF(C1504=$L1504,1,IF(C1504="","",0))</f>
        <v/>
      </c>
      <c r="C1504" s="42"/>
      <c r="D1504" s="4" t="str">
        <f>IF(E1504=$L1504,1,IF(E1504="","",0))</f>
        <v/>
      </c>
      <c r="E1504" s="14"/>
      <c r="F1504" s="4" t="str">
        <f>IF(G1504=$L1504,1,IF(G1504="","",0))</f>
        <v/>
      </c>
      <c r="G1504" s="14"/>
      <c r="H1504" s="6">
        <v>2464</v>
      </c>
      <c r="I1504" s="15" t="s">
        <v>3120</v>
      </c>
      <c r="J1504" s="6" t="s">
        <v>5533</v>
      </c>
      <c r="K1504" s="15" t="s">
        <v>3138</v>
      </c>
      <c r="L1504" s="6" t="s">
        <v>2512</v>
      </c>
      <c r="M1504" s="6" t="s">
        <v>8569</v>
      </c>
      <c r="N1504" s="7">
        <f ca="1">RAND()</f>
        <v>0.94604454912349734</v>
      </c>
      <c r="O1504" s="8">
        <v>45218</v>
      </c>
      <c r="P1504" s="8">
        <v>45219</v>
      </c>
      <c r="Q1504" s="8">
        <v>45221</v>
      </c>
      <c r="R1504" s="8">
        <v>45225</v>
      </c>
      <c r="S1504" s="8">
        <v>45232</v>
      </c>
      <c r="T1504" s="8">
        <v>45827</v>
      </c>
      <c r="U1504" s="8"/>
      <c r="V1504" s="10">
        <f>COUNTA(O1504:U1504)</f>
        <v>6</v>
      </c>
      <c r="W1504" s="11">
        <f>_xlfn.IFNA(INDEX(reading[[#This Row],[Memo 01]:[Memo 07]],MATCH(0,reading[[#This Row],[Memo 01]:[Memo 07]],-1)),"")</f>
        <v>45827</v>
      </c>
      <c r="X1504" s="11">
        <f ca="1">IFERROR(reading[[#This Row],[Previous]]+OFFSET(reading[[#Headers],[Memo 01]],-1,MATCH(0,reading[[#This Row],[Memo 01]:[Memo 07]],-1)-1),"")</f>
        <v>45847</v>
      </c>
      <c r="Y1504" s="10" t="str">
        <f ca="1">IF(reading[[#This Row],[Next]]&lt;&gt;"",IF(reading[[#This Row],[Next]]&gt;TODAY(),"OK",""),"")</f>
        <v>OK</v>
      </c>
      <c r="Z1504" s="13">
        <v>3</v>
      </c>
      <c r="AA1504" s="13">
        <v>3</v>
      </c>
      <c r="AB1504" s="13">
        <v>3</v>
      </c>
      <c r="AC1504" s="13">
        <v>3</v>
      </c>
      <c r="AD1504" s="13">
        <v>3</v>
      </c>
      <c r="AE1504" s="13">
        <v>3</v>
      </c>
      <c r="AF1504" s="13"/>
      <c r="AG1504" s="16">
        <f>IFERROR(SUMIF(reading[[#This Row],[1st]:[7th]],"&gt;0")/COUNTIF(reading[[#This Row],[1st]:[7th]],"&gt;0"),"")</f>
        <v>3</v>
      </c>
    </row>
    <row r="1505" spans="1:33" hidden="1" x14ac:dyDescent="0.2">
      <c r="A1505" s="4">
        <f>IF(B1505=1,3,IF(D1505=1,2,IF(F1505=1,1,0)))</f>
        <v>0</v>
      </c>
      <c r="B1505" s="4" t="str">
        <f>IF(C1505=$L1505,1,IF(C1505="","",0))</f>
        <v/>
      </c>
      <c r="C1505" s="42"/>
      <c r="D1505" s="4" t="str">
        <f>IF(E1505=$L1505,1,IF(E1505="","",0))</f>
        <v/>
      </c>
      <c r="E1505" s="43"/>
      <c r="F1505" s="4" t="str">
        <f>IF(G1505=$L1505,1,IF(G1505="","",0))</f>
        <v/>
      </c>
      <c r="G1505" s="23"/>
      <c r="H1505" s="6">
        <v>1967</v>
      </c>
      <c r="I1505" s="15" t="s">
        <v>3120</v>
      </c>
      <c r="J1505" s="6" t="s">
        <v>5066</v>
      </c>
      <c r="K1505" s="15" t="s">
        <v>3139</v>
      </c>
      <c r="L1505" s="6" t="s">
        <v>2042</v>
      </c>
      <c r="M1505" s="6" t="s">
        <v>8073</v>
      </c>
      <c r="N1505" s="7">
        <f ca="1">RAND()</f>
        <v>0.87925642333022913</v>
      </c>
      <c r="O1505" s="8">
        <v>45213</v>
      </c>
      <c r="P1505" s="8">
        <v>45214</v>
      </c>
      <c r="Q1505" s="8">
        <v>45216</v>
      </c>
      <c r="R1505" s="8">
        <v>45220</v>
      </c>
      <c r="S1505" s="8">
        <v>45227</v>
      </c>
      <c r="T1505" s="8">
        <v>45823</v>
      </c>
      <c r="U1505" s="8"/>
      <c r="V1505" s="10">
        <f>COUNTA(O1505:U1505)</f>
        <v>6</v>
      </c>
      <c r="W1505" s="11">
        <f>_xlfn.IFNA(INDEX(reading[[#This Row],[Memo 01]:[Memo 07]],MATCH(0,reading[[#This Row],[Memo 01]:[Memo 07]],-1)),"")</f>
        <v>45823</v>
      </c>
      <c r="X1505" s="11">
        <f ca="1">IFERROR(reading[[#This Row],[Previous]]+OFFSET(reading[[#Headers],[Memo 01]],-1,MATCH(0,reading[[#This Row],[Memo 01]:[Memo 07]],-1)-1),"")</f>
        <v>45843</v>
      </c>
      <c r="Y1505" s="10" t="str">
        <f ca="1">IF(reading[[#This Row],[Next]]&lt;&gt;"",IF(reading[[#This Row],[Next]]&gt;TODAY(),"OK",""),"")</f>
        <v>OK</v>
      </c>
      <c r="Z1505" s="13">
        <v>3</v>
      </c>
      <c r="AA1505" s="13">
        <v>3</v>
      </c>
      <c r="AB1505" s="13">
        <v>3</v>
      </c>
      <c r="AC1505" s="13">
        <v>2</v>
      </c>
      <c r="AD1505" s="13">
        <v>3</v>
      </c>
      <c r="AE1505" s="13">
        <v>1</v>
      </c>
      <c r="AF1505" s="13"/>
      <c r="AG1505" s="16">
        <f>IFERROR(SUMIF(reading[[#This Row],[1st]:[7th]],"&gt;0")/COUNTIF(reading[[#This Row],[1st]:[7th]],"&gt;0"),"")</f>
        <v>2.5</v>
      </c>
    </row>
    <row r="1506" spans="1:33" hidden="1" x14ac:dyDescent="0.2">
      <c r="A1506" s="4">
        <f>IF(B1506=1,3,IF(D1506=1,2,IF(F1506=1,1,0)))</f>
        <v>0</v>
      </c>
      <c r="B1506" s="4" t="str">
        <f>IF(C1506=$L1506,1,IF(C1506="","",0))</f>
        <v/>
      </c>
      <c r="C1506" s="42"/>
      <c r="D1506" s="4" t="str">
        <f>IF(E1506=$L1506,1,IF(E1506="","",0))</f>
        <v/>
      </c>
      <c r="E1506" s="14"/>
      <c r="F1506" s="4" t="str">
        <f>IF(G1506=$L1506,1,IF(G1506="","",0))</f>
        <v/>
      </c>
      <c r="G1506" s="14"/>
      <c r="H1506" s="6">
        <v>1603</v>
      </c>
      <c r="I1506" s="15" t="s">
        <v>3120</v>
      </c>
      <c r="J1506" s="6" t="s">
        <v>4715</v>
      </c>
      <c r="K1506" s="6"/>
      <c r="L1506" s="6" t="s">
        <v>1686</v>
      </c>
      <c r="M1506" s="6" t="s">
        <v>7709</v>
      </c>
      <c r="N1506" s="7">
        <f ca="1">RAND()</f>
        <v>6.3564344574384202E-2</v>
      </c>
      <c r="O1506" s="8">
        <v>45210</v>
      </c>
      <c r="P1506" s="8">
        <v>45211</v>
      </c>
      <c r="Q1506" s="8">
        <v>45213</v>
      </c>
      <c r="R1506" s="8">
        <v>45217</v>
      </c>
      <c r="S1506" s="8">
        <v>45224</v>
      </c>
      <c r="T1506" s="8">
        <v>45236</v>
      </c>
      <c r="U1506" s="8">
        <v>45823</v>
      </c>
      <c r="V1506" s="10">
        <f>COUNTA(O1506:U1506)</f>
        <v>7</v>
      </c>
      <c r="W1506" s="11">
        <f>_xlfn.IFNA(INDEX(reading[[#This Row],[Memo 01]:[Memo 07]],MATCH(0,reading[[#This Row],[Memo 01]:[Memo 07]],-1)),"")</f>
        <v>45823</v>
      </c>
      <c r="X1506" s="11">
        <f ca="1">IFERROR(reading[[#This Row],[Previous]]+OFFSET(reading[[#Headers],[Memo 01]],-1,MATCH(0,reading[[#This Row],[Memo 01]:[Memo 07]],-1)-1),"")</f>
        <v>55823</v>
      </c>
      <c r="Y1506" s="10" t="str">
        <f ca="1">IF(reading[[#This Row],[Next]]&lt;&gt;"",IF(reading[[#This Row],[Next]]&gt;TODAY(),"OK",""),"")</f>
        <v>OK</v>
      </c>
      <c r="Z1506" s="13">
        <v>3</v>
      </c>
      <c r="AA1506" s="13">
        <v>3</v>
      </c>
      <c r="AB1506" s="13">
        <v>3</v>
      </c>
      <c r="AC1506" s="13">
        <v>3</v>
      </c>
      <c r="AD1506" s="13">
        <v>3</v>
      </c>
      <c r="AE1506" s="13">
        <v>3</v>
      </c>
      <c r="AF1506" s="13">
        <v>3</v>
      </c>
      <c r="AG1506" s="16">
        <f>IFERROR(SUMIF(reading[[#This Row],[1st]:[7th]],"&gt;0")/COUNTIF(reading[[#This Row],[1st]:[7th]],"&gt;0"),"")</f>
        <v>3</v>
      </c>
    </row>
    <row r="1507" spans="1:33" hidden="1" x14ac:dyDescent="0.2">
      <c r="A1507" s="4">
        <f>IF(B1507=1,3,IF(D1507=1,2,IF(F1507=1,1,0)))</f>
        <v>0</v>
      </c>
      <c r="B1507" s="4" t="str">
        <f>IF(C1507=$L1507,1,IF(C1507="","",0))</f>
        <v/>
      </c>
      <c r="C1507" s="42"/>
      <c r="D1507" s="4" t="str">
        <f>IF(E1507=$L1507,1,IF(E1507="","",0))</f>
        <v/>
      </c>
      <c r="E1507" s="18"/>
      <c r="F1507" s="4" t="str">
        <f>IF(G1507=$L1507,1,IF(G1507="","",0))</f>
        <v/>
      </c>
      <c r="G1507" s="14"/>
      <c r="H1507" s="6">
        <v>2450</v>
      </c>
      <c r="I1507" s="15" t="s">
        <v>3120</v>
      </c>
      <c r="J1507" s="6" t="s">
        <v>5520</v>
      </c>
      <c r="K1507" s="6"/>
      <c r="L1507" s="6" t="s">
        <v>2498</v>
      </c>
      <c r="M1507" s="6" t="s">
        <v>8555</v>
      </c>
      <c r="N1507" s="7">
        <f ca="1">RAND()</f>
        <v>0.9016244107362279</v>
      </c>
      <c r="O1507" s="8">
        <v>45217</v>
      </c>
      <c r="P1507" s="8">
        <v>45218</v>
      </c>
      <c r="Q1507" s="8">
        <v>45220</v>
      </c>
      <c r="R1507" s="8">
        <v>45224</v>
      </c>
      <c r="S1507" s="8">
        <v>45231</v>
      </c>
      <c r="T1507" s="8">
        <v>45823</v>
      </c>
      <c r="U1507" s="8"/>
      <c r="V1507" s="10">
        <f>COUNTA(O1507:U1507)</f>
        <v>6</v>
      </c>
      <c r="W1507" s="11">
        <f>_xlfn.IFNA(INDEX(reading[[#This Row],[Memo 01]:[Memo 07]],MATCH(0,reading[[#This Row],[Memo 01]:[Memo 07]],-1)),"")</f>
        <v>45823</v>
      </c>
      <c r="X1507" s="11">
        <f ca="1">IFERROR(reading[[#This Row],[Previous]]+OFFSET(reading[[#Headers],[Memo 01]],-1,MATCH(0,reading[[#This Row],[Memo 01]:[Memo 07]],-1)-1),"")</f>
        <v>45843</v>
      </c>
      <c r="Y1507" s="10" t="str">
        <f ca="1">IF(reading[[#This Row],[Next]]&lt;&gt;"",IF(reading[[#This Row],[Next]]&gt;TODAY(),"OK",""),"")</f>
        <v>OK</v>
      </c>
      <c r="Z1507" s="13">
        <v>3</v>
      </c>
      <c r="AA1507" s="13">
        <v>3</v>
      </c>
      <c r="AB1507" s="13">
        <v>2</v>
      </c>
      <c r="AC1507" s="13">
        <v>3</v>
      </c>
      <c r="AD1507" s="13">
        <v>3</v>
      </c>
      <c r="AE1507" s="13">
        <v>3</v>
      </c>
      <c r="AF1507" s="13"/>
      <c r="AG1507" s="16">
        <f>IFERROR(SUMIF(reading[[#This Row],[1st]:[7th]],"&gt;0")/COUNTIF(reading[[#This Row],[1st]:[7th]],"&gt;0"),"")</f>
        <v>2.8333333333333335</v>
      </c>
    </row>
    <row r="1508" spans="1:33" hidden="1" x14ac:dyDescent="0.2">
      <c r="A1508" s="4">
        <f>IF(B1508=1,3,IF(D1508=1,2,IF(F1508=1,1,0)))</f>
        <v>0</v>
      </c>
      <c r="B1508" s="4" t="str">
        <f>IF(C1508=$L1508,1,IF(C1508="","",0))</f>
        <v/>
      </c>
      <c r="C1508" s="42"/>
      <c r="D1508" s="4" t="str">
        <f>IF(E1508=$L1508,1,IF(E1508="","",0))</f>
        <v/>
      </c>
      <c r="E1508" s="14"/>
      <c r="F1508" s="4" t="str">
        <f>IF(G1508=$L1508,1,IF(G1508="","",0))</f>
        <v/>
      </c>
      <c r="G1508" s="14"/>
      <c r="H1508" s="6">
        <v>783</v>
      </c>
      <c r="I1508" s="15" t="s">
        <v>3120</v>
      </c>
      <c r="J1508" s="6" t="s">
        <v>3917</v>
      </c>
      <c r="K1508" s="6"/>
      <c r="L1508" s="6" t="s">
        <v>902</v>
      </c>
      <c r="M1508" s="6" t="s">
        <v>6892</v>
      </c>
      <c r="N1508" s="7">
        <f ca="1">RAND()</f>
        <v>0.97788882577122205</v>
      </c>
      <c r="O1508" s="8">
        <v>45203</v>
      </c>
      <c r="P1508" s="8">
        <v>45204</v>
      </c>
      <c r="Q1508" s="8">
        <v>45206</v>
      </c>
      <c r="R1508" s="8">
        <v>45210</v>
      </c>
      <c r="S1508" s="8">
        <v>45217</v>
      </c>
      <c r="T1508" s="8">
        <v>45229</v>
      </c>
      <c r="U1508" s="8">
        <v>45823</v>
      </c>
      <c r="V1508" s="10">
        <f>COUNTA(O1508:U1508)</f>
        <v>7</v>
      </c>
      <c r="W1508" s="11">
        <f>_xlfn.IFNA(INDEX(reading[[#This Row],[Memo 01]:[Memo 07]],MATCH(0,reading[[#This Row],[Memo 01]:[Memo 07]],-1)),"")</f>
        <v>45823</v>
      </c>
      <c r="X1508" s="11">
        <f ca="1">IFERROR(reading[[#This Row],[Previous]]+OFFSET(reading[[#Headers],[Memo 01]],-1,MATCH(0,reading[[#This Row],[Memo 01]:[Memo 07]],-1)-1),"")</f>
        <v>55823</v>
      </c>
      <c r="Y1508" s="10" t="str">
        <f ca="1">IF(reading[[#This Row],[Next]]&lt;&gt;"",IF(reading[[#This Row],[Next]]&gt;TODAY(),"OK",""),"")</f>
        <v>OK</v>
      </c>
      <c r="Z1508" s="13">
        <v>3</v>
      </c>
      <c r="AA1508" s="13">
        <v>3</v>
      </c>
      <c r="AB1508" s="13">
        <v>3</v>
      </c>
      <c r="AC1508" s="13">
        <v>3</v>
      </c>
      <c r="AD1508" s="13">
        <v>3</v>
      </c>
      <c r="AE1508" s="13">
        <v>3</v>
      </c>
      <c r="AF1508" s="13">
        <v>3</v>
      </c>
      <c r="AG1508" s="16">
        <f>IFERROR(SUMIF(reading[[#This Row],[1st]:[7th]],"&gt;0")/COUNTIF(reading[[#This Row],[1st]:[7th]],"&gt;0"),"")</f>
        <v>3</v>
      </c>
    </row>
    <row r="1509" spans="1:33" hidden="1" x14ac:dyDescent="0.2">
      <c r="A1509" s="4">
        <f>IF(B1509=1,3,IF(D1509=1,2,IF(F1509=1,1,0)))</f>
        <v>0</v>
      </c>
      <c r="B1509" s="4" t="str">
        <f>IF(C1509=$L1509,1,IF(C1509="","",0))</f>
        <v/>
      </c>
      <c r="C1509" s="42"/>
      <c r="D1509" s="4" t="str">
        <f>IF(E1509=$L1509,1,IF(E1509="","",0))</f>
        <v/>
      </c>
      <c r="E1509" s="14"/>
      <c r="F1509" s="4" t="str">
        <f>IF(G1509=$L1509,1,IF(G1509="","",0))</f>
        <v/>
      </c>
      <c r="G1509" s="14"/>
      <c r="H1509" s="6">
        <v>2809</v>
      </c>
      <c r="I1509" s="15" t="s">
        <v>3120</v>
      </c>
      <c r="J1509" s="6" t="s">
        <v>5852</v>
      </c>
      <c r="K1509" s="6"/>
      <c r="L1509" s="6" t="s">
        <v>2845</v>
      </c>
      <c r="M1509" s="6" t="s">
        <v>8913</v>
      </c>
      <c r="N1509" s="7">
        <f ca="1">RAND()</f>
        <v>0.44188837129247294</v>
      </c>
      <c r="O1509" s="8">
        <v>45222</v>
      </c>
      <c r="P1509" s="8">
        <v>45223</v>
      </c>
      <c r="Q1509" s="8">
        <v>45225</v>
      </c>
      <c r="R1509" s="8">
        <v>45229</v>
      </c>
      <c r="S1509" s="8">
        <v>45236</v>
      </c>
      <c r="T1509" s="8">
        <v>45823</v>
      </c>
      <c r="U1509" s="8"/>
      <c r="V1509" s="10">
        <f>COUNTA(O1509:U1509)</f>
        <v>6</v>
      </c>
      <c r="W1509" s="11">
        <f>_xlfn.IFNA(INDEX(reading[[#This Row],[Memo 01]:[Memo 07]],MATCH(0,reading[[#This Row],[Memo 01]:[Memo 07]],-1)),"")</f>
        <v>45823</v>
      </c>
      <c r="X1509" s="11">
        <f ca="1">IFERROR(reading[[#This Row],[Previous]]+OFFSET(reading[[#Headers],[Memo 01]],-1,MATCH(0,reading[[#This Row],[Memo 01]:[Memo 07]],-1)-1),"")</f>
        <v>45843</v>
      </c>
      <c r="Y1509" s="10" t="str">
        <f ca="1">IF(reading[[#This Row],[Next]]&lt;&gt;"",IF(reading[[#This Row],[Next]]&gt;TODAY(),"OK",""),"")</f>
        <v>OK</v>
      </c>
      <c r="Z1509" s="13">
        <v>3</v>
      </c>
      <c r="AA1509" s="13">
        <v>3</v>
      </c>
      <c r="AB1509" s="13">
        <v>3</v>
      </c>
      <c r="AC1509" s="13">
        <v>3</v>
      </c>
      <c r="AD1509" s="13">
        <v>3</v>
      </c>
      <c r="AE1509" s="13">
        <v>3</v>
      </c>
      <c r="AF1509" s="13"/>
      <c r="AG1509" s="16">
        <f>IFERROR(SUMIF(reading[[#This Row],[1st]:[7th]],"&gt;0")/COUNTIF(reading[[#This Row],[1st]:[7th]],"&gt;0"),"")</f>
        <v>3</v>
      </c>
    </row>
    <row r="1510" spans="1:33" hidden="1" x14ac:dyDescent="0.2">
      <c r="A1510" s="4">
        <f>IF(B1510=1,3,IF(D1510=1,2,IF(F1510=1,1,0)))</f>
        <v>0</v>
      </c>
      <c r="B1510" s="4" t="str">
        <f>IF(C1510=$L1510,1,IF(C1510="","",0))</f>
        <v/>
      </c>
      <c r="C1510" s="42"/>
      <c r="D1510" s="4" t="str">
        <f>IF(E1510=$L1510,1,IF(E1510="","",0))</f>
        <v/>
      </c>
      <c r="E1510" s="14"/>
      <c r="F1510" s="4" t="str">
        <f>IF(G1510=$L1510,1,IF(G1510="","",0))</f>
        <v/>
      </c>
      <c r="G1510" s="14"/>
      <c r="H1510" s="6">
        <v>2627</v>
      </c>
      <c r="I1510" s="15" t="s">
        <v>3120</v>
      </c>
      <c r="J1510" s="6" t="s">
        <v>5682</v>
      </c>
      <c r="K1510" s="6"/>
      <c r="L1510" s="6" t="s">
        <v>42</v>
      </c>
      <c r="M1510" s="6" t="s">
        <v>8732</v>
      </c>
      <c r="N1510" s="7">
        <f ca="1">RAND()</f>
        <v>0.31118845868905609</v>
      </c>
      <c r="O1510" s="8">
        <v>45220</v>
      </c>
      <c r="P1510" s="8">
        <v>45221</v>
      </c>
      <c r="Q1510" s="8">
        <v>45223</v>
      </c>
      <c r="R1510" s="8">
        <v>45227</v>
      </c>
      <c r="S1510" s="8">
        <v>45234</v>
      </c>
      <c r="T1510" s="8">
        <v>45792</v>
      </c>
      <c r="U1510" s="8">
        <v>45823</v>
      </c>
      <c r="V1510" s="10">
        <f>COUNTA(O1510:U1510)</f>
        <v>7</v>
      </c>
      <c r="W1510" s="11">
        <f>_xlfn.IFNA(INDEX(reading[[#This Row],[Memo 01]:[Memo 07]],MATCH(0,reading[[#This Row],[Memo 01]:[Memo 07]],-1)),"")</f>
        <v>45823</v>
      </c>
      <c r="X1510" s="11">
        <f ca="1">IFERROR(reading[[#This Row],[Previous]]+OFFSET(reading[[#Headers],[Memo 01]],-1,MATCH(0,reading[[#This Row],[Memo 01]:[Memo 07]],-1)-1),"")</f>
        <v>55823</v>
      </c>
      <c r="Y1510" s="10" t="str">
        <f ca="1">IF(reading[[#This Row],[Next]]&lt;&gt;"",IF(reading[[#This Row],[Next]]&gt;TODAY(),"OK",""),"")</f>
        <v>OK</v>
      </c>
      <c r="Z1510" s="13">
        <v>3</v>
      </c>
      <c r="AA1510" s="13">
        <v>3</v>
      </c>
      <c r="AB1510" s="13">
        <v>3</v>
      </c>
      <c r="AC1510" s="13">
        <v>3</v>
      </c>
      <c r="AD1510" s="13">
        <v>3</v>
      </c>
      <c r="AE1510" s="13">
        <v>3</v>
      </c>
      <c r="AF1510" s="13">
        <v>3</v>
      </c>
      <c r="AG1510" s="16">
        <f>IFERROR(SUMIF(reading[[#This Row],[1st]:[7th]],"&gt;0")/COUNTIF(reading[[#This Row],[1st]:[7th]],"&gt;0"),"")</f>
        <v>3</v>
      </c>
    </row>
    <row r="1511" spans="1:33" hidden="1" x14ac:dyDescent="0.2">
      <c r="A1511" s="4">
        <f>IF(B1511=1,3,IF(D1511=1,2,IF(F1511=1,1,0)))</f>
        <v>0</v>
      </c>
      <c r="B1511" s="4" t="str">
        <f>IF(C1511=$L1511,1,IF(C1511="","",0))</f>
        <v/>
      </c>
      <c r="C1511" s="42"/>
      <c r="D1511" s="4" t="str">
        <f>IF(E1511=$L1511,1,IF(E1511="","",0))</f>
        <v/>
      </c>
      <c r="E1511" s="18"/>
      <c r="F1511" s="4" t="str">
        <f>IF(G1511=$L1511,1,IF(G1511="","",0))</f>
        <v/>
      </c>
      <c r="G1511" s="14"/>
      <c r="H1511" s="6">
        <v>2187</v>
      </c>
      <c r="I1511" s="15" t="s">
        <v>3120</v>
      </c>
      <c r="J1511" s="6" t="s">
        <v>5275</v>
      </c>
      <c r="K1511" s="6"/>
      <c r="L1511" s="6" t="s">
        <v>2252</v>
      </c>
      <c r="M1511" s="6" t="s">
        <v>8293</v>
      </c>
      <c r="N1511" s="7">
        <f ca="1">RAND()</f>
        <v>0.86393270821467938</v>
      </c>
      <c r="O1511" s="8">
        <v>45215</v>
      </c>
      <c r="P1511" s="8">
        <v>45216</v>
      </c>
      <c r="Q1511" s="8">
        <v>45218</v>
      </c>
      <c r="R1511" s="8">
        <v>45222</v>
      </c>
      <c r="S1511" s="8">
        <v>45229</v>
      </c>
      <c r="T1511" s="8">
        <v>45823</v>
      </c>
      <c r="U1511" s="8"/>
      <c r="V1511" s="10">
        <f>COUNTA(O1511:U1511)</f>
        <v>6</v>
      </c>
      <c r="W1511" s="11">
        <f>_xlfn.IFNA(INDEX(reading[[#This Row],[Memo 01]:[Memo 07]],MATCH(0,reading[[#This Row],[Memo 01]:[Memo 07]],-1)),"")</f>
        <v>45823</v>
      </c>
      <c r="X1511" s="11">
        <f ca="1">IFERROR(reading[[#This Row],[Previous]]+OFFSET(reading[[#Headers],[Memo 01]],-1,MATCH(0,reading[[#This Row],[Memo 01]:[Memo 07]],-1)-1),"")</f>
        <v>45843</v>
      </c>
      <c r="Y1511" s="10" t="str">
        <f ca="1">IF(reading[[#This Row],[Next]]&lt;&gt;"",IF(reading[[#This Row],[Next]]&gt;TODAY(),"OK",""),"")</f>
        <v>OK</v>
      </c>
      <c r="Z1511" s="13">
        <v>3</v>
      </c>
      <c r="AA1511" s="13">
        <v>3</v>
      </c>
      <c r="AB1511" s="13">
        <v>3</v>
      </c>
      <c r="AC1511" s="13">
        <v>3</v>
      </c>
      <c r="AD1511" s="13">
        <v>2</v>
      </c>
      <c r="AE1511" s="13">
        <v>3</v>
      </c>
      <c r="AF1511" s="13"/>
      <c r="AG1511" s="16">
        <f>IFERROR(SUMIF(reading[[#This Row],[1st]:[7th]],"&gt;0")/COUNTIF(reading[[#This Row],[1st]:[7th]],"&gt;0"),"")</f>
        <v>2.8333333333333335</v>
      </c>
    </row>
    <row r="1512" spans="1:33" hidden="1" x14ac:dyDescent="0.2">
      <c r="A1512" s="4">
        <f>IF(B1512=1,3,IF(D1512=1,2,IF(F1512=1,1,0)))</f>
        <v>0</v>
      </c>
      <c r="B1512" s="4" t="str">
        <f>IF(C1512=$L1512,1,IF(C1512="","",0))</f>
        <v/>
      </c>
      <c r="C1512" s="42"/>
      <c r="D1512" s="4" t="str">
        <f>IF(E1512=$L1512,1,IF(E1512="","",0))</f>
        <v/>
      </c>
      <c r="E1512" s="18"/>
      <c r="F1512" s="4" t="str">
        <f>IF(G1512=$L1512,1,IF(G1512="","",0))</f>
        <v/>
      </c>
      <c r="G1512" s="14"/>
      <c r="H1512" s="6">
        <v>2395</v>
      </c>
      <c r="I1512" s="15" t="s">
        <v>3120</v>
      </c>
      <c r="J1512" s="6" t="s">
        <v>5467</v>
      </c>
      <c r="K1512" s="6"/>
      <c r="L1512" s="6" t="s">
        <v>2446</v>
      </c>
      <c r="M1512" s="6" t="s">
        <v>8500</v>
      </c>
      <c r="N1512" s="7">
        <f ca="1">RAND()</f>
        <v>0.32499277707832652</v>
      </c>
      <c r="O1512" s="8">
        <v>45217</v>
      </c>
      <c r="P1512" s="8">
        <v>45218</v>
      </c>
      <c r="Q1512" s="8">
        <v>45220</v>
      </c>
      <c r="R1512" s="8">
        <v>45224</v>
      </c>
      <c r="S1512" s="8">
        <v>45231</v>
      </c>
      <c r="T1512" s="8">
        <v>45823</v>
      </c>
      <c r="U1512" s="8"/>
      <c r="V1512" s="10">
        <f>COUNTA(O1512:U1512)</f>
        <v>6</v>
      </c>
      <c r="W1512" s="11">
        <f>_xlfn.IFNA(INDEX(reading[[#This Row],[Memo 01]:[Memo 07]],MATCH(0,reading[[#This Row],[Memo 01]:[Memo 07]],-1)),"")</f>
        <v>45823</v>
      </c>
      <c r="X1512" s="11">
        <f ca="1">IFERROR(reading[[#This Row],[Previous]]+OFFSET(reading[[#Headers],[Memo 01]],-1,MATCH(0,reading[[#This Row],[Memo 01]:[Memo 07]],-1)-1),"")</f>
        <v>45843</v>
      </c>
      <c r="Y1512" s="10" t="str">
        <f ca="1">IF(reading[[#This Row],[Next]]&lt;&gt;"",IF(reading[[#This Row],[Next]]&gt;TODAY(),"OK",""),"")</f>
        <v>OK</v>
      </c>
      <c r="Z1512" s="13">
        <v>3</v>
      </c>
      <c r="AA1512" s="13">
        <v>2</v>
      </c>
      <c r="AB1512" s="13">
        <v>3</v>
      </c>
      <c r="AC1512" s="13">
        <v>3</v>
      </c>
      <c r="AD1512" s="13">
        <v>3</v>
      </c>
      <c r="AE1512" s="13">
        <v>3</v>
      </c>
      <c r="AF1512" s="13"/>
      <c r="AG1512" s="16">
        <f>IFERROR(SUMIF(reading[[#This Row],[1st]:[7th]],"&gt;0")/COUNTIF(reading[[#This Row],[1st]:[7th]],"&gt;0"),"")</f>
        <v>2.8333333333333335</v>
      </c>
    </row>
    <row r="1513" spans="1:33" hidden="1" x14ac:dyDescent="0.2">
      <c r="A1513" s="4">
        <f>IF(B1513=1,3,IF(D1513=1,2,IF(F1513=1,1,0)))</f>
        <v>0</v>
      </c>
      <c r="B1513" s="4" t="str">
        <f>IF(C1513=$L1513,1,IF(C1513="","",0))</f>
        <v/>
      </c>
      <c r="C1513" s="43"/>
      <c r="D1513" s="4" t="str">
        <f>IF(E1513=$L1513,1,IF(E1513="","",0))</f>
        <v/>
      </c>
      <c r="E1513" s="18"/>
      <c r="F1513" s="4" t="str">
        <f>IF(G1513=$L1513,1,IF(G1513="","",0))</f>
        <v/>
      </c>
      <c r="G1513" s="14"/>
      <c r="H1513" s="6">
        <v>269</v>
      </c>
      <c r="I1513" s="15" t="s">
        <v>3120</v>
      </c>
      <c r="J1513" s="6" t="s">
        <v>3418</v>
      </c>
      <c r="K1513" s="6"/>
      <c r="L1513" s="6" t="s">
        <v>404</v>
      </c>
      <c r="M1513" s="6" t="s">
        <v>6378</v>
      </c>
      <c r="N1513" s="7">
        <f ca="1">RAND()</f>
        <v>2.5532422167886537E-2</v>
      </c>
      <c r="O1513" s="8">
        <v>45199</v>
      </c>
      <c r="P1513" s="8">
        <v>45200</v>
      </c>
      <c r="Q1513" s="8">
        <v>45202</v>
      </c>
      <c r="R1513" s="8">
        <v>45206</v>
      </c>
      <c r="S1513" s="8">
        <v>45213</v>
      </c>
      <c r="T1513" s="8">
        <v>45225</v>
      </c>
      <c r="U1513" s="8">
        <v>45827</v>
      </c>
      <c r="V1513" s="10">
        <f>COUNTA(O1513:U1513)</f>
        <v>7</v>
      </c>
      <c r="W1513" s="11">
        <f>_xlfn.IFNA(INDEX(reading[[#This Row],[Memo 01]:[Memo 07]],MATCH(0,reading[[#This Row],[Memo 01]:[Memo 07]],-1)),"")</f>
        <v>45827</v>
      </c>
      <c r="X1513" s="11">
        <f ca="1">IFERROR(reading[[#This Row],[Previous]]+OFFSET(reading[[#Headers],[Memo 01]],-1,MATCH(0,reading[[#This Row],[Memo 01]:[Memo 07]],-1)-1),"")</f>
        <v>55827</v>
      </c>
      <c r="Y1513" s="10" t="str">
        <f ca="1">IF(reading[[#This Row],[Next]]&lt;&gt;"",IF(reading[[#This Row],[Next]]&gt;TODAY(),"OK",""),"")</f>
        <v>OK</v>
      </c>
      <c r="Z1513" s="13">
        <v>3</v>
      </c>
      <c r="AA1513" s="13">
        <v>3</v>
      </c>
      <c r="AB1513" s="13">
        <v>3</v>
      </c>
      <c r="AC1513" s="13">
        <v>3</v>
      </c>
      <c r="AD1513" s="13">
        <v>3</v>
      </c>
      <c r="AE1513" s="13">
        <v>2</v>
      </c>
      <c r="AF1513" s="13">
        <v>3</v>
      </c>
      <c r="AG1513" s="16">
        <f>IFERROR(SUMIF(reading[[#This Row],[1st]:[7th]],"&gt;0")/COUNTIF(reading[[#This Row],[1st]:[7th]],"&gt;0"),"")</f>
        <v>2.8571428571428572</v>
      </c>
    </row>
    <row r="1514" spans="1:33" hidden="1" x14ac:dyDescent="0.2">
      <c r="A1514" s="4">
        <f>IF(B1514=1,3,IF(D1514=1,2,IF(F1514=1,1,0)))</f>
        <v>0</v>
      </c>
      <c r="B1514" s="4" t="str">
        <f>IF(C1514=$L1514,1,IF(C1514="","",0))</f>
        <v/>
      </c>
      <c r="C1514" s="42"/>
      <c r="D1514" s="4" t="str">
        <f>IF(E1514=$L1514,1,IF(E1514="","",0))</f>
        <v/>
      </c>
      <c r="E1514" s="14"/>
      <c r="F1514" s="4" t="str">
        <f>IF(G1514=$L1514,1,IF(G1514="","",0))</f>
        <v/>
      </c>
      <c r="G1514" s="14"/>
      <c r="H1514" s="6">
        <v>2683</v>
      </c>
      <c r="I1514" s="15" t="s">
        <v>3120</v>
      </c>
      <c r="J1514" s="6" t="s">
        <v>5734</v>
      </c>
      <c r="K1514" s="6"/>
      <c r="L1514" s="6" t="s">
        <v>2722</v>
      </c>
      <c r="M1514" s="6" t="s">
        <v>8788</v>
      </c>
      <c r="N1514" s="7">
        <f ca="1">RAND()</f>
        <v>0.27416184699461943</v>
      </c>
      <c r="O1514" s="8">
        <v>45220</v>
      </c>
      <c r="P1514" s="8">
        <v>45221</v>
      </c>
      <c r="Q1514" s="8">
        <v>45223</v>
      </c>
      <c r="R1514" s="8">
        <v>45227</v>
      </c>
      <c r="S1514" s="8">
        <v>45234</v>
      </c>
      <c r="T1514" s="8">
        <v>45823</v>
      </c>
      <c r="U1514" s="8"/>
      <c r="V1514" s="10">
        <f>COUNTA(O1514:U1514)</f>
        <v>6</v>
      </c>
      <c r="W1514" s="11">
        <f>_xlfn.IFNA(INDEX(reading[[#This Row],[Memo 01]:[Memo 07]],MATCH(0,reading[[#This Row],[Memo 01]:[Memo 07]],-1)),"")</f>
        <v>45823</v>
      </c>
      <c r="X1514" s="11">
        <f ca="1">IFERROR(reading[[#This Row],[Previous]]+OFFSET(reading[[#Headers],[Memo 01]],-1,MATCH(0,reading[[#This Row],[Memo 01]:[Memo 07]],-1)-1),"")</f>
        <v>45843</v>
      </c>
      <c r="Y1514" s="10" t="str">
        <f ca="1">IF(reading[[#This Row],[Next]]&lt;&gt;"",IF(reading[[#This Row],[Next]]&gt;TODAY(),"OK",""),"")</f>
        <v>OK</v>
      </c>
      <c r="Z1514" s="13">
        <v>3</v>
      </c>
      <c r="AA1514" s="13">
        <v>3</v>
      </c>
      <c r="AB1514" s="13">
        <v>3</v>
      </c>
      <c r="AC1514" s="13">
        <v>3</v>
      </c>
      <c r="AD1514" s="13">
        <v>3</v>
      </c>
      <c r="AE1514" s="13">
        <v>3</v>
      </c>
      <c r="AF1514" s="13"/>
      <c r="AG1514" s="16">
        <f>IFERROR(SUMIF(reading[[#This Row],[1st]:[7th]],"&gt;0")/COUNTIF(reading[[#This Row],[1st]:[7th]],"&gt;0"),"")</f>
        <v>3</v>
      </c>
    </row>
    <row r="1515" spans="1:33" hidden="1" x14ac:dyDescent="0.2">
      <c r="A1515" s="4">
        <f>IF(B1515=1,3,IF(D1515=1,2,IF(F1515=1,1,0)))</f>
        <v>0</v>
      </c>
      <c r="B1515" s="4" t="str">
        <f>IF(C1515=$L1515,1,IF(C1515="","",0))</f>
        <v/>
      </c>
      <c r="C1515" s="42"/>
      <c r="D1515" s="4" t="str">
        <f>IF(E1515=$L1515,1,IF(E1515="","",0))</f>
        <v/>
      </c>
      <c r="E1515" s="14"/>
      <c r="F1515" s="4" t="str">
        <f>IF(G1515=$L1515,1,IF(G1515="","",0))</f>
        <v/>
      </c>
      <c r="G1515" s="14"/>
      <c r="H1515" s="6">
        <v>1347</v>
      </c>
      <c r="I1515" s="15" t="s">
        <v>3120</v>
      </c>
      <c r="J1515" s="6" t="s">
        <v>4461</v>
      </c>
      <c r="K1515" s="6"/>
      <c r="L1515" s="6" t="s">
        <v>1442</v>
      </c>
      <c r="M1515" s="6" t="s">
        <v>7454</v>
      </c>
      <c r="N1515" s="7">
        <f ca="1">RAND()</f>
        <v>0.49239427072313202</v>
      </c>
      <c r="O1515" s="8">
        <v>45207</v>
      </c>
      <c r="P1515" s="8">
        <v>45208</v>
      </c>
      <c r="Q1515" s="8">
        <v>45210</v>
      </c>
      <c r="R1515" s="8">
        <v>45214</v>
      </c>
      <c r="S1515" s="8">
        <v>45221</v>
      </c>
      <c r="T1515" s="8">
        <v>45233</v>
      </c>
      <c r="U1515" s="8">
        <v>45823</v>
      </c>
      <c r="V1515" s="10">
        <f>COUNTA(O1515:U1515)</f>
        <v>7</v>
      </c>
      <c r="W1515" s="11">
        <f>_xlfn.IFNA(INDEX(reading[[#This Row],[Memo 01]:[Memo 07]],MATCH(0,reading[[#This Row],[Memo 01]:[Memo 07]],-1)),"")</f>
        <v>45823</v>
      </c>
      <c r="X1515" s="11">
        <f ca="1">IFERROR(reading[[#This Row],[Previous]]+OFFSET(reading[[#Headers],[Memo 01]],-1,MATCH(0,reading[[#This Row],[Memo 01]:[Memo 07]],-1)-1),"")</f>
        <v>55823</v>
      </c>
      <c r="Y1515" s="10" t="str">
        <f ca="1">IF(reading[[#This Row],[Next]]&lt;&gt;"",IF(reading[[#This Row],[Next]]&gt;TODAY(),"OK",""),"")</f>
        <v>OK</v>
      </c>
      <c r="Z1515" s="13">
        <v>3</v>
      </c>
      <c r="AA1515" s="13">
        <v>3</v>
      </c>
      <c r="AB1515" s="13">
        <v>3</v>
      </c>
      <c r="AC1515" s="13">
        <v>3</v>
      </c>
      <c r="AD1515" s="13">
        <v>3</v>
      </c>
      <c r="AE1515" s="13">
        <v>3</v>
      </c>
      <c r="AF1515" s="13">
        <v>3</v>
      </c>
      <c r="AG1515" s="16">
        <f>IFERROR(SUMIF(reading[[#This Row],[1st]:[7th]],"&gt;0")/COUNTIF(reading[[#This Row],[1st]:[7th]],"&gt;0"),"")</f>
        <v>3</v>
      </c>
    </row>
    <row r="1516" spans="1:33" hidden="1" x14ac:dyDescent="0.2">
      <c r="A1516" s="4">
        <f>IF(B1516=1,3,IF(D1516=1,2,IF(F1516=1,1,0)))</f>
        <v>0</v>
      </c>
      <c r="B1516" s="4" t="str">
        <f>IF(C1516=$L1516,1,IF(C1516="","",0))</f>
        <v/>
      </c>
      <c r="C1516" s="42"/>
      <c r="D1516" s="4" t="str">
        <f>IF(E1516=$L1516,1,IF(E1516="","",0))</f>
        <v/>
      </c>
      <c r="E1516" s="43"/>
      <c r="F1516" s="4" t="str">
        <f>IF(G1516=$L1516,1,IF(G1516="","",0))</f>
        <v/>
      </c>
      <c r="G1516" s="14"/>
      <c r="H1516" s="6">
        <v>808</v>
      </c>
      <c r="I1516" s="15" t="s">
        <v>3120</v>
      </c>
      <c r="J1516" s="6" t="s">
        <v>3942</v>
      </c>
      <c r="K1516" s="6"/>
      <c r="L1516" s="6" t="s">
        <v>925</v>
      </c>
      <c r="M1516" s="6" t="s">
        <v>6917</v>
      </c>
      <c r="N1516" s="7">
        <f ca="1">RAND()</f>
        <v>0.28821551119096367</v>
      </c>
      <c r="O1516" s="8">
        <v>45203</v>
      </c>
      <c r="P1516" s="8">
        <v>45204</v>
      </c>
      <c r="Q1516" s="8">
        <v>45206</v>
      </c>
      <c r="R1516" s="8">
        <v>45210</v>
      </c>
      <c r="S1516" s="8">
        <v>45217</v>
      </c>
      <c r="T1516" s="8">
        <v>45229</v>
      </c>
      <c r="U1516" s="8">
        <v>45825</v>
      </c>
      <c r="V1516" s="10">
        <f>COUNTA(O1516:U1516)</f>
        <v>7</v>
      </c>
      <c r="W1516" s="11">
        <f>_xlfn.IFNA(INDEX(reading[[#This Row],[Memo 01]:[Memo 07]],MATCH(0,reading[[#This Row],[Memo 01]:[Memo 07]],-1)),"")</f>
        <v>45825</v>
      </c>
      <c r="X1516" s="11">
        <f ca="1">IFERROR(reading[[#This Row],[Previous]]+OFFSET(reading[[#Headers],[Memo 01]],-1,MATCH(0,reading[[#This Row],[Memo 01]:[Memo 07]],-1)-1),"")</f>
        <v>55825</v>
      </c>
      <c r="Y1516" s="10" t="str">
        <f ca="1">IF(reading[[#This Row],[Next]]&lt;&gt;"",IF(reading[[#This Row],[Next]]&gt;TODAY(),"OK",""),"")</f>
        <v>OK</v>
      </c>
      <c r="Z1516" s="13">
        <v>3</v>
      </c>
      <c r="AA1516" s="13">
        <v>3</v>
      </c>
      <c r="AB1516" s="13">
        <v>2</v>
      </c>
      <c r="AC1516" s="13">
        <v>3</v>
      </c>
      <c r="AD1516" s="13">
        <v>3</v>
      </c>
      <c r="AE1516" s="13">
        <v>3</v>
      </c>
      <c r="AF1516" s="13">
        <v>2</v>
      </c>
      <c r="AG1516" s="16">
        <f>IFERROR(SUMIF(reading[[#This Row],[1st]:[7th]],"&gt;0")/COUNTIF(reading[[#This Row],[1st]:[7th]],"&gt;0"),"")</f>
        <v>2.7142857142857144</v>
      </c>
    </row>
    <row r="1517" spans="1:33" hidden="1" x14ac:dyDescent="0.2">
      <c r="A1517" s="4">
        <f>IF(B1517=1,3,IF(D1517=1,2,IF(F1517=1,1,0)))</f>
        <v>0</v>
      </c>
      <c r="B1517" s="4" t="str">
        <f>IF(C1517=$L1517,1,IF(C1517="","",0))</f>
        <v/>
      </c>
      <c r="C1517" s="42"/>
      <c r="D1517" s="4" t="str">
        <f>IF(E1517=$L1517,1,IF(E1517="","",0))</f>
        <v/>
      </c>
      <c r="E1517" s="14"/>
      <c r="F1517" s="4" t="str">
        <f>IF(G1517=$L1517,1,IF(G1517="","",0))</f>
        <v/>
      </c>
      <c r="G1517" s="14"/>
      <c r="H1517" s="6">
        <v>2164</v>
      </c>
      <c r="I1517" s="15" t="s">
        <v>3120</v>
      </c>
      <c r="J1517" s="6" t="s">
        <v>5252</v>
      </c>
      <c r="K1517" s="6"/>
      <c r="L1517" s="6" t="s">
        <v>2230</v>
      </c>
      <c r="M1517" s="6" t="s">
        <v>8270</v>
      </c>
      <c r="N1517" s="7">
        <f ca="1">RAND()</f>
        <v>0.87146867626664604</v>
      </c>
      <c r="O1517" s="8">
        <v>45214</v>
      </c>
      <c r="P1517" s="8">
        <v>45215</v>
      </c>
      <c r="Q1517" s="8">
        <v>45217</v>
      </c>
      <c r="R1517" s="8">
        <v>45221</v>
      </c>
      <c r="S1517" s="8">
        <v>45228</v>
      </c>
      <c r="T1517" s="8">
        <v>45827</v>
      </c>
      <c r="U1517" s="8"/>
      <c r="V1517" s="10">
        <f>COUNTA(O1517:U1517)</f>
        <v>6</v>
      </c>
      <c r="W1517" s="11">
        <f>_xlfn.IFNA(INDEX(reading[[#This Row],[Memo 01]:[Memo 07]],MATCH(0,reading[[#This Row],[Memo 01]:[Memo 07]],-1)),"")</f>
        <v>45827</v>
      </c>
      <c r="X1517" s="11">
        <f ca="1">IFERROR(reading[[#This Row],[Previous]]+OFFSET(reading[[#Headers],[Memo 01]],-1,MATCH(0,reading[[#This Row],[Memo 01]:[Memo 07]],-1)-1),"")</f>
        <v>45847</v>
      </c>
      <c r="Y1517" s="10" t="str">
        <f ca="1">IF(reading[[#This Row],[Next]]&lt;&gt;"",IF(reading[[#This Row],[Next]]&gt;TODAY(),"OK",""),"")</f>
        <v>OK</v>
      </c>
      <c r="Z1517" s="13">
        <v>3</v>
      </c>
      <c r="AA1517" s="13">
        <v>3</v>
      </c>
      <c r="AB1517" s="13">
        <v>3</v>
      </c>
      <c r="AC1517" s="13">
        <v>3</v>
      </c>
      <c r="AD1517" s="13">
        <v>3</v>
      </c>
      <c r="AE1517" s="13">
        <v>3</v>
      </c>
      <c r="AF1517" s="13"/>
      <c r="AG1517" s="16">
        <f>IFERROR(SUMIF(reading[[#This Row],[1st]:[7th]],"&gt;0")/COUNTIF(reading[[#This Row],[1st]:[7th]],"&gt;0"),"")</f>
        <v>3</v>
      </c>
    </row>
    <row r="1518" spans="1:33" hidden="1" x14ac:dyDescent="0.2">
      <c r="A1518" s="4">
        <f>IF(B1518=1,3,IF(D1518=1,2,IF(F1518=1,1,0)))</f>
        <v>0</v>
      </c>
      <c r="B1518" s="4" t="str">
        <f>IF(C1518=$L1518,1,IF(C1518="","",0))</f>
        <v/>
      </c>
      <c r="C1518" s="42"/>
      <c r="D1518" s="4" t="str">
        <f>IF(E1518=$L1518,1,IF(E1518="","",0))</f>
        <v/>
      </c>
      <c r="E1518" s="14"/>
      <c r="F1518" s="4" t="str">
        <f>IF(G1518=$L1518,1,IF(G1518="","",0))</f>
        <v/>
      </c>
      <c r="G1518" s="14"/>
      <c r="H1518" s="6">
        <v>2750</v>
      </c>
      <c r="I1518" s="15" t="s">
        <v>3120</v>
      </c>
      <c r="J1518" s="6" t="s">
        <v>5796</v>
      </c>
      <c r="K1518" s="6"/>
      <c r="L1518" s="6" t="s">
        <v>2788</v>
      </c>
      <c r="M1518" s="6" t="s">
        <v>8854</v>
      </c>
      <c r="N1518" s="7">
        <f ca="1">RAND()</f>
        <v>0.18934251638291455</v>
      </c>
      <c r="O1518" s="8">
        <v>45221</v>
      </c>
      <c r="P1518" s="8">
        <v>45222</v>
      </c>
      <c r="Q1518" s="8">
        <v>45224</v>
      </c>
      <c r="R1518" s="8">
        <v>45228</v>
      </c>
      <c r="S1518" s="8">
        <v>45235</v>
      </c>
      <c r="T1518" s="8">
        <v>45792</v>
      </c>
      <c r="U1518" s="8">
        <v>45823</v>
      </c>
      <c r="V1518" s="10">
        <f>COUNTA(O1518:U1518)</f>
        <v>7</v>
      </c>
      <c r="W1518" s="11">
        <f>_xlfn.IFNA(INDEX(reading[[#This Row],[Memo 01]:[Memo 07]],MATCH(0,reading[[#This Row],[Memo 01]:[Memo 07]],-1)),"")</f>
        <v>45823</v>
      </c>
      <c r="X1518" s="11">
        <f ca="1">IFERROR(reading[[#This Row],[Previous]]+OFFSET(reading[[#Headers],[Memo 01]],-1,MATCH(0,reading[[#This Row],[Memo 01]:[Memo 07]],-1)-1),"")</f>
        <v>55823</v>
      </c>
      <c r="Y1518" s="10" t="str">
        <f ca="1">IF(reading[[#This Row],[Next]]&lt;&gt;"",IF(reading[[#This Row],[Next]]&gt;TODAY(),"OK",""),"")</f>
        <v>OK</v>
      </c>
      <c r="Z1518" s="13">
        <v>3</v>
      </c>
      <c r="AA1518" s="13">
        <v>3</v>
      </c>
      <c r="AB1518" s="13">
        <v>3</v>
      </c>
      <c r="AC1518" s="13">
        <v>3</v>
      </c>
      <c r="AD1518" s="13">
        <v>3</v>
      </c>
      <c r="AE1518" s="13">
        <v>3</v>
      </c>
      <c r="AF1518" s="13">
        <v>3</v>
      </c>
      <c r="AG1518" s="16">
        <f>IFERROR(SUMIF(reading[[#This Row],[1st]:[7th]],"&gt;0")/COUNTIF(reading[[#This Row],[1st]:[7th]],"&gt;0"),"")</f>
        <v>3</v>
      </c>
    </row>
    <row r="1519" spans="1:33" hidden="1" x14ac:dyDescent="0.2">
      <c r="A1519" s="4">
        <f>IF(B1519=1,3,IF(D1519=1,2,IF(F1519=1,1,0)))</f>
        <v>0</v>
      </c>
      <c r="B1519" s="4" t="str">
        <f>IF(C1519=$L1519,1,IF(C1519="","",0))</f>
        <v/>
      </c>
      <c r="C1519" s="42"/>
      <c r="D1519" s="4" t="str">
        <f>IF(E1519=$L1519,1,IF(E1519="","",0))</f>
        <v/>
      </c>
      <c r="E1519" s="43"/>
      <c r="F1519" s="4" t="str">
        <f>IF(G1519=$L1519,1,IF(G1519="","",0))</f>
        <v/>
      </c>
      <c r="G1519" s="14"/>
      <c r="H1519" s="6">
        <v>1669</v>
      </c>
      <c r="I1519" s="15" t="s">
        <v>3120</v>
      </c>
      <c r="J1519" s="6" t="s">
        <v>4780</v>
      </c>
      <c r="K1519" s="6"/>
      <c r="L1519" s="6" t="s">
        <v>1750</v>
      </c>
      <c r="M1519" s="6" t="s">
        <v>7775</v>
      </c>
      <c r="N1519" s="7">
        <f ca="1">RAND()</f>
        <v>3.147253176778364E-2</v>
      </c>
      <c r="O1519" s="8">
        <v>45210</v>
      </c>
      <c r="P1519" s="8">
        <v>45211</v>
      </c>
      <c r="Q1519" s="8">
        <v>45213</v>
      </c>
      <c r="R1519" s="8">
        <v>45217</v>
      </c>
      <c r="S1519" s="8">
        <v>45224</v>
      </c>
      <c r="T1519" s="8">
        <v>45236</v>
      </c>
      <c r="U1519" s="8">
        <v>45816</v>
      </c>
      <c r="V1519" s="10">
        <f>COUNTA(O1519:U1519)</f>
        <v>7</v>
      </c>
      <c r="W1519" s="11">
        <f>_xlfn.IFNA(INDEX(reading[[#This Row],[Memo 01]:[Memo 07]],MATCH(0,reading[[#This Row],[Memo 01]:[Memo 07]],-1)),"")</f>
        <v>45816</v>
      </c>
      <c r="X1519" s="11">
        <f ca="1">IFERROR(reading[[#This Row],[Previous]]+OFFSET(reading[[#Headers],[Memo 01]],-1,MATCH(0,reading[[#This Row],[Memo 01]:[Memo 07]],-1)-1),"")</f>
        <v>55816</v>
      </c>
      <c r="Y1519" s="10" t="str">
        <f ca="1">IF(reading[[#This Row],[Next]]&lt;&gt;"",IF(reading[[#This Row],[Next]]&gt;TODAY(),"OK",""),"")</f>
        <v>OK</v>
      </c>
      <c r="Z1519" s="13">
        <v>3</v>
      </c>
      <c r="AA1519" s="13">
        <v>3</v>
      </c>
      <c r="AB1519" s="13">
        <v>3</v>
      </c>
      <c r="AC1519" s="13">
        <v>3</v>
      </c>
      <c r="AD1519" s="13">
        <v>2</v>
      </c>
      <c r="AE1519" s="13">
        <v>2</v>
      </c>
      <c r="AF1519" s="13">
        <v>2</v>
      </c>
      <c r="AG1519" s="16">
        <f>IFERROR(SUMIF(reading[[#This Row],[1st]:[7th]],"&gt;0")/COUNTIF(reading[[#This Row],[1st]:[7th]],"&gt;0"),"")</f>
        <v>2.5714285714285716</v>
      </c>
    </row>
    <row r="1520" spans="1:33" hidden="1" x14ac:dyDescent="0.2">
      <c r="A1520" s="4">
        <f>IF(B1520=1,3,IF(D1520=1,2,IF(F1520=1,1,0)))</f>
        <v>0</v>
      </c>
      <c r="B1520" s="4" t="str">
        <f>IF(C1520=$L1520,1,IF(C1520="","",0))</f>
        <v/>
      </c>
      <c r="C1520" s="42"/>
      <c r="D1520" s="4" t="str">
        <f>IF(E1520=$L1520,1,IF(E1520="","",0))</f>
        <v/>
      </c>
      <c r="E1520" s="43"/>
      <c r="F1520" s="4" t="str">
        <f>IF(G1520=$L1520,1,IF(G1520="","",0))</f>
        <v/>
      </c>
      <c r="G1520" s="43"/>
      <c r="H1520" s="6">
        <v>595</v>
      </c>
      <c r="I1520" s="15" t="s">
        <v>3120</v>
      </c>
      <c r="J1520" s="6" t="s">
        <v>3738</v>
      </c>
      <c r="K1520" s="24" t="s">
        <v>3136</v>
      </c>
      <c r="L1520" s="6" t="s">
        <v>721</v>
      </c>
      <c r="M1520" s="6" t="s">
        <v>6704</v>
      </c>
      <c r="N1520" s="7">
        <f ca="1">RAND()</f>
        <v>0.11525733371310187</v>
      </c>
      <c r="O1520" s="8">
        <v>45203</v>
      </c>
      <c r="P1520" s="8">
        <v>45204</v>
      </c>
      <c r="Q1520" s="8">
        <v>45206</v>
      </c>
      <c r="R1520" s="8">
        <v>45210</v>
      </c>
      <c r="S1520" s="8">
        <v>45230</v>
      </c>
      <c r="T1520" s="8">
        <v>45250</v>
      </c>
      <c r="U1520" s="8">
        <v>45817</v>
      </c>
      <c r="V1520" s="10">
        <f>COUNTA(O1520:U1520)</f>
        <v>7</v>
      </c>
      <c r="W1520" s="11">
        <f>_xlfn.IFNA(INDEX(reading[[#This Row],[Memo 01]:[Memo 07]],MATCH(0,reading[[#This Row],[Memo 01]:[Memo 07]],-1)),"")</f>
        <v>45817</v>
      </c>
      <c r="X1520" s="11">
        <f ca="1">IFERROR(reading[[#This Row],[Previous]]+OFFSET(reading[[#Headers],[Memo 01]],-1,MATCH(0,reading[[#This Row],[Memo 01]:[Memo 07]],-1)-1),"")</f>
        <v>55817</v>
      </c>
      <c r="Y1520" s="10" t="str">
        <f ca="1">IF(reading[[#This Row],[Next]]&lt;&gt;"",IF(reading[[#This Row],[Next]]&gt;TODAY(),"OK",""),"")</f>
        <v>OK</v>
      </c>
      <c r="Z1520" s="13">
        <v>3</v>
      </c>
      <c r="AA1520" s="13">
        <v>2</v>
      </c>
      <c r="AB1520" s="13">
        <v>2</v>
      </c>
      <c r="AC1520" s="13">
        <v>2</v>
      </c>
      <c r="AD1520" s="13">
        <v>3</v>
      </c>
      <c r="AE1520" s="13">
        <v>1</v>
      </c>
      <c r="AF1520" s="13">
        <v>1</v>
      </c>
      <c r="AG1520" s="16">
        <f>IFERROR(SUMIF(reading[[#This Row],[1st]:[7th]],"&gt;0")/COUNTIF(reading[[#This Row],[1st]:[7th]],"&gt;0"),"")</f>
        <v>2</v>
      </c>
    </row>
    <row r="1521" spans="1:33" hidden="1" x14ac:dyDescent="0.2">
      <c r="A1521" s="4">
        <f>IF(B1521=1,3,IF(D1521=1,2,IF(F1521=1,1,0)))</f>
        <v>0</v>
      </c>
      <c r="B1521" s="4" t="str">
        <f>IF(C1521=$L1521,1,IF(C1521="","",0))</f>
        <v/>
      </c>
      <c r="C1521" s="42"/>
      <c r="D1521" s="4" t="str">
        <f>IF(E1521=$L1521,1,IF(E1521="","",0))</f>
        <v/>
      </c>
      <c r="E1521" s="23"/>
      <c r="F1521" s="4" t="str">
        <f>IF(G1521=$L1521,1,IF(G1521="","",0))</f>
        <v/>
      </c>
      <c r="G1521" s="14"/>
      <c r="H1521" s="6">
        <v>1491</v>
      </c>
      <c r="I1521" s="15" t="s">
        <v>3120</v>
      </c>
      <c r="J1521" s="6" t="s">
        <v>4605</v>
      </c>
      <c r="K1521" s="15" t="s">
        <v>3139</v>
      </c>
      <c r="L1521" s="6" t="s">
        <v>1577</v>
      </c>
      <c r="M1521" s="6" t="s">
        <v>7598</v>
      </c>
      <c r="N1521" s="7">
        <f ca="1">RAND()</f>
        <v>0.80217363410622322</v>
      </c>
      <c r="O1521" s="8">
        <v>45208</v>
      </c>
      <c r="P1521" s="8">
        <v>45209</v>
      </c>
      <c r="Q1521" s="8">
        <v>45211</v>
      </c>
      <c r="R1521" s="8">
        <v>45215</v>
      </c>
      <c r="S1521" s="8">
        <v>45222</v>
      </c>
      <c r="T1521" s="8">
        <v>45234</v>
      </c>
      <c r="U1521" s="8">
        <v>45829</v>
      </c>
      <c r="V1521" s="10">
        <f>COUNTA(O1521:U1521)</f>
        <v>7</v>
      </c>
      <c r="W1521" s="11">
        <f>_xlfn.IFNA(INDEX(reading[[#This Row],[Memo 01]:[Memo 07]],MATCH(0,reading[[#This Row],[Memo 01]:[Memo 07]],-1)),"")</f>
        <v>45829</v>
      </c>
      <c r="X1521" s="11">
        <f ca="1">IFERROR(reading[[#This Row],[Previous]]+OFFSET(reading[[#Headers],[Memo 01]],-1,MATCH(0,reading[[#This Row],[Memo 01]:[Memo 07]],-1)-1),"")</f>
        <v>55829</v>
      </c>
      <c r="Y1521" s="10" t="str">
        <f ca="1">IF(reading[[#This Row],[Next]]&lt;&gt;"",IF(reading[[#This Row],[Next]]&gt;TODAY(),"OK",""),"")</f>
        <v>OK</v>
      </c>
      <c r="Z1521" s="13">
        <v>3</v>
      </c>
      <c r="AA1521" s="13">
        <v>3</v>
      </c>
      <c r="AB1521" s="13">
        <v>3</v>
      </c>
      <c r="AC1521" s="13">
        <v>3</v>
      </c>
      <c r="AD1521" s="13">
        <v>3</v>
      </c>
      <c r="AE1521" s="13">
        <v>3</v>
      </c>
      <c r="AF1521" s="13">
        <v>2</v>
      </c>
      <c r="AG1521" s="16">
        <f>IFERROR(SUMIF(reading[[#This Row],[1st]:[7th]],"&gt;0")/COUNTIF(reading[[#This Row],[1st]:[7th]],"&gt;0"),"")</f>
        <v>2.8571428571428572</v>
      </c>
    </row>
    <row r="1522" spans="1:33" hidden="1" x14ac:dyDescent="0.2">
      <c r="A1522" s="4">
        <f>IF(B1522=1,3,IF(D1522=1,2,IF(F1522=1,1,0)))</f>
        <v>0</v>
      </c>
      <c r="B1522" s="4" t="str">
        <f>IF(C1522=$L1522,1,IF(C1522="","",0))</f>
        <v/>
      </c>
      <c r="C1522" s="43"/>
      <c r="D1522" s="4" t="str">
        <f>IF(E1522=$L1522,1,IF(E1522="","",0))</f>
        <v/>
      </c>
      <c r="E1522" s="18"/>
      <c r="F1522" s="4" t="str">
        <f>IF(G1522=$L1522,1,IF(G1522="","",0))</f>
        <v/>
      </c>
      <c r="G1522" s="14"/>
      <c r="H1522" s="6">
        <v>258</v>
      </c>
      <c r="I1522" s="15" t="s">
        <v>3120</v>
      </c>
      <c r="J1522" s="6" t="s">
        <v>3407</v>
      </c>
      <c r="K1522" s="6"/>
      <c r="L1522" s="6" t="s">
        <v>393</v>
      </c>
      <c r="M1522" s="6" t="s">
        <v>6367</v>
      </c>
      <c r="N1522" s="7">
        <f ca="1">RAND()</f>
        <v>0.87240550843606379</v>
      </c>
      <c r="O1522" s="8">
        <v>45199</v>
      </c>
      <c r="P1522" s="8">
        <v>45200</v>
      </c>
      <c r="Q1522" s="8">
        <v>45202</v>
      </c>
      <c r="R1522" s="8">
        <v>45206</v>
      </c>
      <c r="S1522" s="8">
        <v>45213</v>
      </c>
      <c r="T1522" s="8">
        <v>45225</v>
      </c>
      <c r="U1522" s="8">
        <v>45823</v>
      </c>
      <c r="V1522" s="10">
        <f>COUNTA(O1522:U1522)</f>
        <v>7</v>
      </c>
      <c r="W1522" s="11">
        <f>_xlfn.IFNA(INDEX(reading[[#This Row],[Memo 01]:[Memo 07]],MATCH(0,reading[[#This Row],[Memo 01]:[Memo 07]],-1)),"")</f>
        <v>45823</v>
      </c>
      <c r="X1522" s="11">
        <f ca="1">IFERROR(reading[[#This Row],[Previous]]+OFFSET(reading[[#Headers],[Memo 01]],-1,MATCH(0,reading[[#This Row],[Memo 01]:[Memo 07]],-1)-1),"")</f>
        <v>55823</v>
      </c>
      <c r="Y1522" s="10" t="str">
        <f ca="1">IF(reading[[#This Row],[Next]]&lt;&gt;"",IF(reading[[#This Row],[Next]]&gt;TODAY(),"OK",""),"")</f>
        <v>OK</v>
      </c>
      <c r="Z1522" s="13">
        <v>3</v>
      </c>
      <c r="AA1522" s="13">
        <v>3</v>
      </c>
      <c r="AB1522" s="13">
        <v>3</v>
      </c>
      <c r="AC1522" s="13">
        <v>3</v>
      </c>
      <c r="AD1522" s="13">
        <v>3</v>
      </c>
      <c r="AE1522" s="13">
        <v>2</v>
      </c>
      <c r="AF1522" s="13">
        <v>3</v>
      </c>
      <c r="AG1522" s="16">
        <f>IFERROR(SUMIF(reading[[#This Row],[1st]:[7th]],"&gt;0")/COUNTIF(reading[[#This Row],[1st]:[7th]],"&gt;0"),"")</f>
        <v>2.8571428571428572</v>
      </c>
    </row>
    <row r="1523" spans="1:33" hidden="1" x14ac:dyDescent="0.2">
      <c r="A1523" s="4">
        <f>IF(B1523=1,3,IF(D1523=1,2,IF(F1523=1,1,0)))</f>
        <v>0</v>
      </c>
      <c r="B1523" s="4" t="str">
        <f>IF(C1523=$L1523,1,IF(C1523="","",0))</f>
        <v/>
      </c>
      <c r="C1523" s="43"/>
      <c r="D1523" s="4" t="str">
        <f>IF(E1523=$L1523,1,IF(E1523="","",0))</f>
        <v/>
      </c>
      <c r="E1523" s="14"/>
      <c r="F1523" s="4" t="str">
        <f>IF(G1523=$L1523,1,IF(G1523="","",0))</f>
        <v/>
      </c>
      <c r="G1523" s="14"/>
      <c r="H1523" s="6">
        <v>93</v>
      </c>
      <c r="I1523" s="15" t="s">
        <v>3120</v>
      </c>
      <c r="J1523" s="6" t="s">
        <v>3243</v>
      </c>
      <c r="K1523" s="6"/>
      <c r="L1523" s="6" t="s">
        <v>68</v>
      </c>
      <c r="M1523" s="6" t="s">
        <v>6202</v>
      </c>
      <c r="N1523" s="7">
        <f ca="1">RAND()</f>
        <v>0.70887380119229648</v>
      </c>
      <c r="O1523" s="8">
        <v>45198</v>
      </c>
      <c r="P1523" s="8">
        <v>45199</v>
      </c>
      <c r="Q1523" s="8">
        <v>45201</v>
      </c>
      <c r="R1523" s="8">
        <v>45205</v>
      </c>
      <c r="S1523" s="8">
        <v>45212</v>
      </c>
      <c r="T1523" s="8">
        <v>45224</v>
      </c>
      <c r="U1523" s="8">
        <v>45827</v>
      </c>
      <c r="V1523" s="10">
        <f>COUNTA(O1523:U1523)</f>
        <v>7</v>
      </c>
      <c r="W1523" s="11">
        <f>_xlfn.IFNA(INDEX(reading[[#This Row],[Memo 01]:[Memo 07]],MATCH(0,reading[[#This Row],[Memo 01]:[Memo 07]],-1)),"")</f>
        <v>45827</v>
      </c>
      <c r="X1523" s="11">
        <f ca="1">IFERROR(reading[[#This Row],[Previous]]+OFFSET(reading[[#Headers],[Memo 01]],-1,MATCH(0,reading[[#This Row],[Memo 01]:[Memo 07]],-1)-1),"")</f>
        <v>55827</v>
      </c>
      <c r="Y1523" s="10" t="str">
        <f ca="1">IF(reading[[#This Row],[Next]]&lt;&gt;"",IF(reading[[#This Row],[Next]]&gt;TODAY(),"OK",""),"")</f>
        <v>OK</v>
      </c>
      <c r="Z1523" s="13">
        <v>3</v>
      </c>
      <c r="AA1523" s="13">
        <v>3</v>
      </c>
      <c r="AB1523" s="13">
        <v>3</v>
      </c>
      <c r="AC1523" s="13">
        <v>3</v>
      </c>
      <c r="AD1523" s="13">
        <v>3</v>
      </c>
      <c r="AE1523" s="13">
        <v>3</v>
      </c>
      <c r="AF1523" s="13">
        <v>3</v>
      </c>
      <c r="AG1523" s="16">
        <f>IFERROR(SUMIF(reading[[#This Row],[1st]:[7th]],"&gt;0")/COUNTIF(reading[[#This Row],[1st]:[7th]],"&gt;0"),"")</f>
        <v>3</v>
      </c>
    </row>
    <row r="1524" spans="1:33" hidden="1" x14ac:dyDescent="0.2">
      <c r="A1524" s="4">
        <f>IF(B1524=1,3,IF(D1524=1,2,IF(F1524=1,1,0)))</f>
        <v>0</v>
      </c>
      <c r="B1524" s="4" t="str">
        <f>IF(C1524=$L1524,1,IF(C1524="","",0))</f>
        <v/>
      </c>
      <c r="C1524" s="42"/>
      <c r="D1524" s="4" t="str">
        <f>IF(E1524=$L1524,1,IF(E1524="","",0))</f>
        <v/>
      </c>
      <c r="E1524" s="14"/>
      <c r="F1524" s="4" t="str">
        <f>IF(G1524=$L1524,1,IF(G1524="","",0))</f>
        <v/>
      </c>
      <c r="G1524" s="14"/>
      <c r="H1524" s="6">
        <v>2557</v>
      </c>
      <c r="I1524" s="15" t="s">
        <v>3120</v>
      </c>
      <c r="J1524" s="6" t="s">
        <v>5618</v>
      </c>
      <c r="K1524" s="6"/>
      <c r="L1524" s="6" t="s">
        <v>2602</v>
      </c>
      <c r="M1524" s="6" t="s">
        <v>8662</v>
      </c>
      <c r="N1524" s="7">
        <f ca="1">RAND()</f>
        <v>0.65785831857015731</v>
      </c>
      <c r="O1524" s="8">
        <v>45220</v>
      </c>
      <c r="P1524" s="8">
        <v>45221</v>
      </c>
      <c r="Q1524" s="8">
        <v>45223</v>
      </c>
      <c r="R1524" s="8">
        <v>45227</v>
      </c>
      <c r="S1524" s="8">
        <v>45234</v>
      </c>
      <c r="T1524" s="8">
        <v>45792</v>
      </c>
      <c r="U1524" s="8">
        <v>45827</v>
      </c>
      <c r="V1524" s="10">
        <f>COUNTA(O1524:U1524)</f>
        <v>7</v>
      </c>
      <c r="W1524" s="11">
        <f>_xlfn.IFNA(INDEX(reading[[#This Row],[Memo 01]:[Memo 07]],MATCH(0,reading[[#This Row],[Memo 01]:[Memo 07]],-1)),"")</f>
        <v>45827</v>
      </c>
      <c r="X1524" s="11">
        <f ca="1">IFERROR(reading[[#This Row],[Previous]]+OFFSET(reading[[#Headers],[Memo 01]],-1,MATCH(0,reading[[#This Row],[Memo 01]:[Memo 07]],-1)-1),"")</f>
        <v>55827</v>
      </c>
      <c r="Y1524" s="10" t="str">
        <f ca="1">IF(reading[[#This Row],[Next]]&lt;&gt;"",IF(reading[[#This Row],[Next]]&gt;TODAY(),"OK",""),"")</f>
        <v>OK</v>
      </c>
      <c r="Z1524" s="13">
        <v>3</v>
      </c>
      <c r="AA1524" s="13">
        <v>3</v>
      </c>
      <c r="AB1524" s="13">
        <v>3</v>
      </c>
      <c r="AC1524" s="13">
        <v>3</v>
      </c>
      <c r="AD1524" s="13">
        <v>3</v>
      </c>
      <c r="AE1524" s="13">
        <v>3</v>
      </c>
      <c r="AF1524" s="13">
        <v>3</v>
      </c>
      <c r="AG1524" s="16">
        <f>IFERROR(SUMIF(reading[[#This Row],[1st]:[7th]],"&gt;0")/COUNTIF(reading[[#This Row],[1st]:[7th]],"&gt;0"),"")</f>
        <v>3</v>
      </c>
    </row>
    <row r="1525" spans="1:33" hidden="1" x14ac:dyDescent="0.2">
      <c r="A1525" s="4">
        <f>IF(B1525=1,3,IF(D1525=1,2,IF(F1525=1,1,0)))</f>
        <v>0</v>
      </c>
      <c r="B1525" s="4" t="str">
        <f>IF(C1525=$L1525,1,IF(C1525="","",0))</f>
        <v/>
      </c>
      <c r="C1525" s="42"/>
      <c r="D1525" s="4" t="str">
        <f>IF(E1525=$L1525,1,IF(E1525="","",0))</f>
        <v/>
      </c>
      <c r="E1525" s="18"/>
      <c r="F1525" s="4" t="str">
        <f>IF(G1525=$L1525,1,IF(G1525="","",0))</f>
        <v/>
      </c>
      <c r="G1525" s="14"/>
      <c r="H1525" s="6">
        <v>1002</v>
      </c>
      <c r="I1525" s="15" t="s">
        <v>3120</v>
      </c>
      <c r="J1525" s="6" t="s">
        <v>4131</v>
      </c>
      <c r="K1525" s="6"/>
      <c r="L1525" s="6" t="s">
        <v>1112</v>
      </c>
      <c r="M1525" s="6" t="s">
        <v>7110</v>
      </c>
      <c r="N1525" s="7">
        <f ca="1">RAND()</f>
        <v>0.56004495893178496</v>
      </c>
      <c r="O1525" s="8">
        <v>45205</v>
      </c>
      <c r="P1525" s="8">
        <v>45206</v>
      </c>
      <c r="Q1525" s="8">
        <v>45208</v>
      </c>
      <c r="R1525" s="8">
        <v>45212</v>
      </c>
      <c r="S1525" s="8">
        <v>45219</v>
      </c>
      <c r="T1525" s="8">
        <v>45231</v>
      </c>
      <c r="U1525" s="8">
        <v>45823</v>
      </c>
      <c r="V1525" s="10">
        <f>COUNTA(O1525:U1525)</f>
        <v>7</v>
      </c>
      <c r="W1525" s="11">
        <f>_xlfn.IFNA(INDEX(reading[[#This Row],[Memo 01]:[Memo 07]],MATCH(0,reading[[#This Row],[Memo 01]:[Memo 07]],-1)),"")</f>
        <v>45823</v>
      </c>
      <c r="X1525" s="11">
        <f ca="1">IFERROR(reading[[#This Row],[Previous]]+OFFSET(reading[[#Headers],[Memo 01]],-1,MATCH(0,reading[[#This Row],[Memo 01]:[Memo 07]],-1)-1),"")</f>
        <v>55823</v>
      </c>
      <c r="Y1525" s="10" t="str">
        <f ca="1">IF(reading[[#This Row],[Next]]&lt;&gt;"",IF(reading[[#This Row],[Next]]&gt;TODAY(),"OK",""),"")</f>
        <v>OK</v>
      </c>
      <c r="Z1525" s="13">
        <v>3</v>
      </c>
      <c r="AA1525" s="13">
        <v>2</v>
      </c>
      <c r="AB1525" s="13">
        <v>3</v>
      </c>
      <c r="AC1525" s="13">
        <v>3</v>
      </c>
      <c r="AD1525" s="13">
        <v>3</v>
      </c>
      <c r="AE1525" s="13">
        <v>3</v>
      </c>
      <c r="AF1525" s="13">
        <v>3</v>
      </c>
      <c r="AG1525" s="16">
        <f>IFERROR(SUMIF(reading[[#This Row],[1st]:[7th]],"&gt;0")/COUNTIF(reading[[#This Row],[1st]:[7th]],"&gt;0"),"")</f>
        <v>2.8571428571428572</v>
      </c>
    </row>
    <row r="1526" spans="1:33" hidden="1" x14ac:dyDescent="0.2">
      <c r="A1526" s="4">
        <f>IF(B1526=1,3,IF(D1526=1,2,IF(F1526=1,1,0)))</f>
        <v>0</v>
      </c>
      <c r="B1526" s="4" t="str">
        <f>IF(C1526=$L1526,1,IF(C1526="","",0))</f>
        <v/>
      </c>
      <c r="C1526" s="42"/>
      <c r="D1526" s="4" t="str">
        <f>IF(E1526=$L1526,1,IF(E1526="","",0))</f>
        <v/>
      </c>
      <c r="E1526" s="14"/>
      <c r="F1526" s="4" t="str">
        <f>IF(G1526=$L1526,1,IF(G1526="","",0))</f>
        <v/>
      </c>
      <c r="G1526" s="14"/>
      <c r="H1526" s="6">
        <v>3074</v>
      </c>
      <c r="I1526" s="15" t="s">
        <v>3120</v>
      </c>
      <c r="J1526" s="6" t="s">
        <v>6094</v>
      </c>
      <c r="K1526" s="6"/>
      <c r="L1526" s="6" t="s">
        <v>3099</v>
      </c>
      <c r="M1526" s="6" t="s">
        <v>9177</v>
      </c>
      <c r="N1526" s="7">
        <f ca="1">RAND()</f>
        <v>0.56701960609249702</v>
      </c>
      <c r="O1526" s="8">
        <v>45226</v>
      </c>
      <c r="P1526" s="8">
        <v>45227</v>
      </c>
      <c r="Q1526" s="8">
        <v>45229</v>
      </c>
      <c r="R1526" s="8">
        <v>45233</v>
      </c>
      <c r="S1526" s="8">
        <v>45249</v>
      </c>
      <c r="T1526" s="8">
        <v>45783</v>
      </c>
      <c r="U1526" s="8">
        <v>45823</v>
      </c>
      <c r="V1526" s="10">
        <f>COUNTA(O1526:U1526)</f>
        <v>7</v>
      </c>
      <c r="W1526" s="11">
        <f>_xlfn.IFNA(INDEX(reading[[#This Row],[Memo 01]:[Memo 07]],MATCH(0,reading[[#This Row],[Memo 01]:[Memo 07]],-1)),"")</f>
        <v>45823</v>
      </c>
      <c r="X1526" s="11">
        <f ca="1">IFERROR(reading[[#This Row],[Previous]]+OFFSET(reading[[#Headers],[Memo 01]],-1,MATCH(0,reading[[#This Row],[Memo 01]:[Memo 07]],-1)-1),"")</f>
        <v>55823</v>
      </c>
      <c r="Y1526" s="10" t="str">
        <f ca="1">IF(reading[[#This Row],[Next]]&lt;&gt;"",IF(reading[[#This Row],[Next]]&gt;TODAY(),"OK",""),"")</f>
        <v>OK</v>
      </c>
      <c r="Z1526" s="13">
        <v>3</v>
      </c>
      <c r="AA1526" s="13">
        <v>3</v>
      </c>
      <c r="AB1526" s="13">
        <v>3</v>
      </c>
      <c r="AC1526" s="13">
        <v>3</v>
      </c>
      <c r="AD1526" s="13">
        <v>3</v>
      </c>
      <c r="AE1526" s="13">
        <v>3</v>
      </c>
      <c r="AF1526" s="13">
        <v>3</v>
      </c>
      <c r="AG1526" s="16">
        <f>IFERROR(SUMIF(reading[[#This Row],[1st]:[7th]],"&gt;0")/COUNTIF(reading[[#This Row],[1st]:[7th]],"&gt;0"),"")</f>
        <v>3</v>
      </c>
    </row>
    <row r="1527" spans="1:33" hidden="1" x14ac:dyDescent="0.2">
      <c r="A1527" s="4">
        <f>IF(B1527=1,3,IF(D1527=1,2,IF(F1527=1,1,0)))</f>
        <v>0</v>
      </c>
      <c r="B1527" s="4" t="str">
        <f>IF(C1527=$L1527,1,IF(C1527="","",0))</f>
        <v/>
      </c>
      <c r="C1527" s="42"/>
      <c r="D1527" s="4" t="str">
        <f>IF(E1527=$L1527,1,IF(E1527="","",0))</f>
        <v/>
      </c>
      <c r="E1527" s="23"/>
      <c r="F1527" s="4" t="str">
        <f>IF(G1527=$L1527,1,IF(G1527="","",0))</f>
        <v/>
      </c>
      <c r="G1527" s="14"/>
      <c r="H1527" s="6">
        <v>2415</v>
      </c>
      <c r="I1527" s="15" t="s">
        <v>3120</v>
      </c>
      <c r="J1527" s="6" t="s">
        <v>5486</v>
      </c>
      <c r="K1527" s="6"/>
      <c r="L1527" s="6" t="s">
        <v>2465</v>
      </c>
      <c r="M1527" s="6" t="s">
        <v>8520</v>
      </c>
      <c r="N1527" s="7">
        <f ca="1">RAND()</f>
        <v>0.96070482387258327</v>
      </c>
      <c r="O1527" s="8">
        <v>45217</v>
      </c>
      <c r="P1527" s="8">
        <v>45218</v>
      </c>
      <c r="Q1527" s="8">
        <v>45220</v>
      </c>
      <c r="R1527" s="8">
        <v>45224</v>
      </c>
      <c r="S1527" s="8">
        <v>45231</v>
      </c>
      <c r="T1527" s="8">
        <v>45816</v>
      </c>
      <c r="U1527" s="8"/>
      <c r="V1527" s="10">
        <f>COUNTA(O1527:U1527)</f>
        <v>6</v>
      </c>
      <c r="W1527" s="11">
        <f>_xlfn.IFNA(INDEX(reading[[#This Row],[Memo 01]:[Memo 07]],MATCH(0,reading[[#This Row],[Memo 01]:[Memo 07]],-1)),"")</f>
        <v>45816</v>
      </c>
      <c r="X1527" s="11">
        <f ca="1">IFERROR(reading[[#This Row],[Previous]]+OFFSET(reading[[#Headers],[Memo 01]],-1,MATCH(0,reading[[#This Row],[Memo 01]:[Memo 07]],-1)-1),"")</f>
        <v>45836</v>
      </c>
      <c r="Y1527" s="10" t="str">
        <f ca="1">IF(reading[[#This Row],[Next]]&lt;&gt;"",IF(reading[[#This Row],[Next]]&gt;TODAY(),"OK",""),"")</f>
        <v>OK</v>
      </c>
      <c r="Z1527" s="13">
        <v>3</v>
      </c>
      <c r="AA1527" s="13">
        <v>3</v>
      </c>
      <c r="AB1527" s="13">
        <v>3</v>
      </c>
      <c r="AC1527" s="13">
        <v>3</v>
      </c>
      <c r="AD1527" s="13">
        <v>3</v>
      </c>
      <c r="AE1527" s="13">
        <v>2</v>
      </c>
      <c r="AF1527" s="13"/>
      <c r="AG1527" s="16">
        <f>IFERROR(SUMIF(reading[[#This Row],[1st]:[7th]],"&gt;0")/COUNTIF(reading[[#This Row],[1st]:[7th]],"&gt;0"),"")</f>
        <v>2.8333333333333335</v>
      </c>
    </row>
    <row r="1528" spans="1:33" hidden="1" x14ac:dyDescent="0.2">
      <c r="A1528" s="4">
        <f>IF(B1528=1,3,IF(D1528=1,2,IF(F1528=1,1,0)))</f>
        <v>0</v>
      </c>
      <c r="B1528" s="4" t="str">
        <f>IF(C1528=$L1528,1,IF(C1528="","",0))</f>
        <v/>
      </c>
      <c r="C1528" s="42"/>
      <c r="D1528" s="4" t="str">
        <f>IF(E1528=$L1528,1,IF(E1528="","",0))</f>
        <v/>
      </c>
      <c r="E1528" s="23"/>
      <c r="F1528" s="4" t="str">
        <f>IF(G1528=$L1528,1,IF(G1528="","",0))</f>
        <v/>
      </c>
      <c r="G1528" s="14"/>
      <c r="H1528" s="6">
        <v>1069</v>
      </c>
      <c r="I1528" s="15" t="s">
        <v>3120</v>
      </c>
      <c r="J1528" s="6" t="s">
        <v>4195</v>
      </c>
      <c r="K1528" s="6"/>
      <c r="L1528" s="6" t="s">
        <v>1176</v>
      </c>
      <c r="M1528" s="6" t="s">
        <v>7177</v>
      </c>
      <c r="N1528" s="7">
        <f ca="1">RAND()</f>
        <v>0.24488058786366873</v>
      </c>
      <c r="O1528" s="8">
        <v>45205</v>
      </c>
      <c r="P1528" s="8">
        <v>45206</v>
      </c>
      <c r="Q1528" s="8">
        <v>45208</v>
      </c>
      <c r="R1528" s="8">
        <v>45212</v>
      </c>
      <c r="S1528" s="8">
        <v>45219</v>
      </c>
      <c r="T1528" s="8">
        <v>45231</v>
      </c>
      <c r="U1528" s="8">
        <v>45827</v>
      </c>
      <c r="V1528" s="10">
        <f>COUNTA(O1528:U1528)</f>
        <v>7</v>
      </c>
      <c r="W1528" s="11">
        <f>_xlfn.IFNA(INDEX(reading[[#This Row],[Memo 01]:[Memo 07]],MATCH(0,reading[[#This Row],[Memo 01]:[Memo 07]],-1)),"")</f>
        <v>45827</v>
      </c>
      <c r="X1528" s="11">
        <f ca="1">IFERROR(reading[[#This Row],[Previous]]+OFFSET(reading[[#Headers],[Memo 01]],-1,MATCH(0,reading[[#This Row],[Memo 01]:[Memo 07]],-1)-1),"")</f>
        <v>55827</v>
      </c>
      <c r="Y1528" s="10" t="str">
        <f ca="1">IF(reading[[#This Row],[Next]]&lt;&gt;"",IF(reading[[#This Row],[Next]]&gt;TODAY(),"OK",""),"")</f>
        <v>OK</v>
      </c>
      <c r="Z1528" s="13">
        <v>3</v>
      </c>
      <c r="AA1528" s="13">
        <v>2</v>
      </c>
      <c r="AB1528" s="13">
        <v>3</v>
      </c>
      <c r="AC1528" s="13">
        <v>3</v>
      </c>
      <c r="AD1528" s="13">
        <v>3</v>
      </c>
      <c r="AE1528" s="13">
        <v>3</v>
      </c>
      <c r="AF1528" s="13">
        <v>3</v>
      </c>
      <c r="AG1528" s="16">
        <f>IFERROR(SUMIF(reading[[#This Row],[1st]:[7th]],"&gt;0")/COUNTIF(reading[[#This Row],[1st]:[7th]],"&gt;0"),"")</f>
        <v>2.8571428571428572</v>
      </c>
    </row>
    <row r="1529" spans="1:33" hidden="1" x14ac:dyDescent="0.2">
      <c r="A1529" s="4">
        <f>IF(B1529=1,3,IF(D1529=1,2,IF(F1529=1,1,0)))</f>
        <v>0</v>
      </c>
      <c r="B1529" s="4" t="str">
        <f>IF(C1529=$L1529,1,IF(C1529="","",0))</f>
        <v/>
      </c>
      <c r="C1529" s="42"/>
      <c r="D1529" s="4" t="str">
        <f>IF(E1529=$L1529,1,IF(E1529="","",0))</f>
        <v/>
      </c>
      <c r="E1529" s="18"/>
      <c r="F1529" s="4" t="str">
        <f>IF(G1529=$L1529,1,IF(G1529="","",0))</f>
        <v/>
      </c>
      <c r="G1529" s="14"/>
      <c r="H1529" s="6">
        <v>2901</v>
      </c>
      <c r="I1529" s="15" t="s">
        <v>3120</v>
      </c>
      <c r="J1529" s="6" t="s">
        <v>5937</v>
      </c>
      <c r="K1529" s="6"/>
      <c r="L1529" s="6" t="s">
        <v>2931</v>
      </c>
      <c r="M1529" s="6" t="s">
        <v>9005</v>
      </c>
      <c r="N1529" s="7">
        <f ca="1">RAND()</f>
        <v>0.26871477141190403</v>
      </c>
      <c r="O1529" s="8">
        <v>45223</v>
      </c>
      <c r="P1529" s="8">
        <v>45224</v>
      </c>
      <c r="Q1529" s="8">
        <v>45226</v>
      </c>
      <c r="R1529" s="8">
        <v>45230</v>
      </c>
      <c r="S1529" s="8">
        <v>45248</v>
      </c>
      <c r="T1529" s="8">
        <v>45823</v>
      </c>
      <c r="U1529" s="8"/>
      <c r="V1529" s="10">
        <f>COUNTA(O1529:U1529)</f>
        <v>6</v>
      </c>
      <c r="W1529" s="11">
        <f>_xlfn.IFNA(INDEX(reading[[#This Row],[Memo 01]:[Memo 07]],MATCH(0,reading[[#This Row],[Memo 01]:[Memo 07]],-1)),"")</f>
        <v>45823</v>
      </c>
      <c r="X1529" s="11">
        <f ca="1">IFERROR(reading[[#This Row],[Previous]]+OFFSET(reading[[#Headers],[Memo 01]],-1,MATCH(0,reading[[#This Row],[Memo 01]:[Memo 07]],-1)-1),"")</f>
        <v>45843</v>
      </c>
      <c r="Y1529" s="10" t="str">
        <f ca="1">IF(reading[[#This Row],[Next]]&lt;&gt;"",IF(reading[[#This Row],[Next]]&gt;TODAY(),"OK",""),"")</f>
        <v>OK</v>
      </c>
      <c r="Z1529" s="13">
        <v>3</v>
      </c>
      <c r="AA1529" s="13">
        <v>3</v>
      </c>
      <c r="AB1529" s="13">
        <v>3</v>
      </c>
      <c r="AC1529" s="13">
        <v>3</v>
      </c>
      <c r="AD1529" s="13">
        <v>2</v>
      </c>
      <c r="AE1529" s="13">
        <v>3</v>
      </c>
      <c r="AF1529" s="13"/>
      <c r="AG1529" s="16">
        <f>IFERROR(SUMIF(reading[[#This Row],[1st]:[7th]],"&gt;0")/COUNTIF(reading[[#This Row],[1st]:[7th]],"&gt;0"),"")</f>
        <v>2.8333333333333335</v>
      </c>
    </row>
    <row r="1530" spans="1:33" hidden="1" x14ac:dyDescent="0.2">
      <c r="A1530" s="4">
        <f>IF(B1530=1,3,IF(D1530=1,2,IF(F1530=1,1,0)))</f>
        <v>0</v>
      </c>
      <c r="B1530" s="4" t="str">
        <f>IF(C1530=$L1530,1,IF(C1530="","",0))</f>
        <v/>
      </c>
      <c r="C1530" s="42"/>
      <c r="D1530" s="4" t="str">
        <f>IF(E1530=$L1530,1,IF(E1530="","",0))</f>
        <v/>
      </c>
      <c r="E1530" s="18"/>
      <c r="F1530" s="4" t="str">
        <f>IF(G1530=$L1530,1,IF(G1530="","",0))</f>
        <v/>
      </c>
      <c r="G1530" s="14"/>
      <c r="H1530" s="6">
        <v>407</v>
      </c>
      <c r="I1530" s="15" t="s">
        <v>3120</v>
      </c>
      <c r="J1530" s="6" t="s">
        <v>3553</v>
      </c>
      <c r="K1530" s="6"/>
      <c r="L1530" s="6" t="s">
        <v>538</v>
      </c>
      <c r="M1530" s="6" t="s">
        <v>6516</v>
      </c>
      <c r="N1530" s="7">
        <f ca="1">RAND()</f>
        <v>0.35705698963949428</v>
      </c>
      <c r="O1530" s="8">
        <v>45201</v>
      </c>
      <c r="P1530" s="8">
        <v>45202</v>
      </c>
      <c r="Q1530" s="8">
        <v>45204</v>
      </c>
      <c r="R1530" s="8">
        <v>45208</v>
      </c>
      <c r="S1530" s="8">
        <v>45215</v>
      </c>
      <c r="T1530" s="8">
        <v>45227</v>
      </c>
      <c r="U1530" s="8">
        <v>45823</v>
      </c>
      <c r="V1530" s="10">
        <f>COUNTA(O1530:U1530)</f>
        <v>7</v>
      </c>
      <c r="W1530" s="11">
        <f>_xlfn.IFNA(INDEX(reading[[#This Row],[Memo 01]:[Memo 07]],MATCH(0,reading[[#This Row],[Memo 01]:[Memo 07]],-1)),"")</f>
        <v>45823</v>
      </c>
      <c r="X1530" s="11">
        <f ca="1">IFERROR(reading[[#This Row],[Previous]]+OFFSET(reading[[#Headers],[Memo 01]],-1,MATCH(0,reading[[#This Row],[Memo 01]:[Memo 07]],-1)-1),"")</f>
        <v>55823</v>
      </c>
      <c r="Y1530" s="10" t="str">
        <f ca="1">IF(reading[[#This Row],[Next]]&lt;&gt;"",IF(reading[[#This Row],[Next]]&gt;TODAY(),"OK",""),"")</f>
        <v>OK</v>
      </c>
      <c r="Z1530" s="13">
        <v>3</v>
      </c>
      <c r="AA1530" s="13">
        <v>3</v>
      </c>
      <c r="AB1530" s="13">
        <v>3</v>
      </c>
      <c r="AC1530" s="13">
        <v>3</v>
      </c>
      <c r="AD1530" s="13">
        <v>2</v>
      </c>
      <c r="AE1530" s="13">
        <v>3</v>
      </c>
      <c r="AF1530" s="13">
        <v>3</v>
      </c>
      <c r="AG1530" s="16">
        <f>IFERROR(SUMIF(reading[[#This Row],[1st]:[7th]],"&gt;0")/COUNTIF(reading[[#This Row],[1st]:[7th]],"&gt;0"),"")</f>
        <v>2.8571428571428572</v>
      </c>
    </row>
    <row r="1531" spans="1:33" hidden="1" x14ac:dyDescent="0.2">
      <c r="A1531" s="4">
        <f>IF(B1531=1,3,IF(D1531=1,2,IF(F1531=1,1,0)))</f>
        <v>0</v>
      </c>
      <c r="B1531" s="4" t="str">
        <f>IF(C1531=$L1531,1,IF(C1531="","",0))</f>
        <v/>
      </c>
      <c r="C1531" s="42"/>
      <c r="D1531" s="4" t="str">
        <f>IF(E1531=$L1531,1,IF(E1531="","",0))</f>
        <v/>
      </c>
      <c r="E1531" s="14"/>
      <c r="F1531" s="4" t="str">
        <f>IF(G1531=$L1531,1,IF(G1531="","",0))</f>
        <v/>
      </c>
      <c r="G1531" s="14"/>
      <c r="H1531" s="6">
        <v>1303</v>
      </c>
      <c r="I1531" s="15" t="s">
        <v>3120</v>
      </c>
      <c r="J1531" s="6" t="s">
        <v>4420</v>
      </c>
      <c r="K1531" s="6"/>
      <c r="L1531" s="6" t="s">
        <v>1400</v>
      </c>
      <c r="M1531" s="6" t="s">
        <v>7410</v>
      </c>
      <c r="N1531" s="7">
        <f ca="1">RAND()</f>
        <v>0.19664399660358201</v>
      </c>
      <c r="O1531" s="8">
        <v>45207</v>
      </c>
      <c r="P1531" s="8">
        <v>45208</v>
      </c>
      <c r="Q1531" s="8">
        <v>45210</v>
      </c>
      <c r="R1531" s="8">
        <v>45214</v>
      </c>
      <c r="S1531" s="8">
        <v>45221</v>
      </c>
      <c r="T1531" s="8">
        <v>45233</v>
      </c>
      <c r="U1531" s="8">
        <v>45823</v>
      </c>
      <c r="V1531" s="10">
        <f>COUNTA(O1531:U1531)</f>
        <v>7</v>
      </c>
      <c r="W1531" s="11">
        <f>_xlfn.IFNA(INDEX(reading[[#This Row],[Memo 01]:[Memo 07]],MATCH(0,reading[[#This Row],[Memo 01]:[Memo 07]],-1)),"")</f>
        <v>45823</v>
      </c>
      <c r="X1531" s="11">
        <f ca="1">IFERROR(reading[[#This Row],[Previous]]+OFFSET(reading[[#Headers],[Memo 01]],-1,MATCH(0,reading[[#This Row],[Memo 01]:[Memo 07]],-1)-1),"")</f>
        <v>55823</v>
      </c>
      <c r="Y1531" s="10" t="str">
        <f ca="1">IF(reading[[#This Row],[Next]]&lt;&gt;"",IF(reading[[#This Row],[Next]]&gt;TODAY(),"OK",""),"")</f>
        <v>OK</v>
      </c>
      <c r="Z1531" s="13">
        <v>3</v>
      </c>
      <c r="AA1531" s="13">
        <v>3</v>
      </c>
      <c r="AB1531" s="13">
        <v>3</v>
      </c>
      <c r="AC1531" s="13">
        <v>3</v>
      </c>
      <c r="AD1531" s="13">
        <v>3</v>
      </c>
      <c r="AE1531" s="13">
        <v>3</v>
      </c>
      <c r="AF1531" s="13">
        <v>3</v>
      </c>
      <c r="AG1531" s="16">
        <f>IFERROR(SUMIF(reading[[#This Row],[1st]:[7th]],"&gt;0")/COUNTIF(reading[[#This Row],[1st]:[7th]],"&gt;0"),"")</f>
        <v>3</v>
      </c>
    </row>
    <row r="1532" spans="1:33" hidden="1" x14ac:dyDescent="0.2">
      <c r="A1532" s="4">
        <f>IF(B1532=1,3,IF(D1532=1,2,IF(F1532=1,1,0)))</f>
        <v>0</v>
      </c>
      <c r="B1532" s="4" t="str">
        <f>IF(C1532=$L1532,1,IF(C1532="","",0))</f>
        <v/>
      </c>
      <c r="C1532" s="42"/>
      <c r="D1532" s="4" t="str">
        <f>IF(E1532=$L1532,1,IF(E1532="","",0))</f>
        <v/>
      </c>
      <c r="E1532" s="18"/>
      <c r="F1532" s="4" t="str">
        <f>IF(G1532=$L1532,1,IF(G1532="","",0))</f>
        <v/>
      </c>
      <c r="G1532" s="14"/>
      <c r="H1532" s="6">
        <v>1510</v>
      </c>
      <c r="I1532" s="15" t="s">
        <v>3120</v>
      </c>
      <c r="J1532" s="6" t="s">
        <v>4623</v>
      </c>
      <c r="K1532" s="6"/>
      <c r="L1532" s="6" t="s">
        <v>1595</v>
      </c>
      <c r="M1532" s="6" t="s">
        <v>7617</v>
      </c>
      <c r="N1532" s="7">
        <f ca="1">RAND()</f>
        <v>0.77053605832845873</v>
      </c>
      <c r="O1532" s="8">
        <v>45209</v>
      </c>
      <c r="P1532" s="8">
        <v>45210</v>
      </c>
      <c r="Q1532" s="8">
        <v>45212</v>
      </c>
      <c r="R1532" s="8">
        <v>45216</v>
      </c>
      <c r="S1532" s="8">
        <v>45223</v>
      </c>
      <c r="T1532" s="8">
        <v>45235</v>
      </c>
      <c r="U1532" s="8">
        <v>45827</v>
      </c>
      <c r="V1532" s="10">
        <f>COUNTA(O1532:U1532)</f>
        <v>7</v>
      </c>
      <c r="W1532" s="11">
        <f>_xlfn.IFNA(INDEX(reading[[#This Row],[Memo 01]:[Memo 07]],MATCH(0,reading[[#This Row],[Memo 01]:[Memo 07]],-1)),"")</f>
        <v>45827</v>
      </c>
      <c r="X1532" s="11">
        <f ca="1">IFERROR(reading[[#This Row],[Previous]]+OFFSET(reading[[#Headers],[Memo 01]],-1,MATCH(0,reading[[#This Row],[Memo 01]:[Memo 07]],-1)-1),"")</f>
        <v>55827</v>
      </c>
      <c r="Y1532" s="10" t="str">
        <f ca="1">IF(reading[[#This Row],[Next]]&lt;&gt;"",IF(reading[[#This Row],[Next]]&gt;TODAY(),"OK",""),"")</f>
        <v>OK</v>
      </c>
      <c r="Z1532" s="13">
        <v>3</v>
      </c>
      <c r="AA1532" s="13">
        <v>3</v>
      </c>
      <c r="AB1532" s="13">
        <v>3</v>
      </c>
      <c r="AC1532" s="13">
        <v>3</v>
      </c>
      <c r="AD1532" s="13">
        <v>2</v>
      </c>
      <c r="AE1532" s="13">
        <v>3</v>
      </c>
      <c r="AF1532" s="13">
        <v>3</v>
      </c>
      <c r="AG1532" s="16">
        <f>IFERROR(SUMIF(reading[[#This Row],[1st]:[7th]],"&gt;0")/COUNTIF(reading[[#This Row],[1st]:[7th]],"&gt;0"),"")</f>
        <v>2.8571428571428572</v>
      </c>
    </row>
    <row r="1533" spans="1:33" hidden="1" x14ac:dyDescent="0.2">
      <c r="A1533" s="4">
        <f>IF(B1533=1,3,IF(D1533=1,2,IF(F1533=1,1,0)))</f>
        <v>0</v>
      </c>
      <c r="B1533" s="4" t="str">
        <f>IF(C1533=$L1533,1,IF(C1533="","",0))</f>
        <v/>
      </c>
      <c r="C1533" s="42"/>
      <c r="D1533" s="4" t="str">
        <f>IF(E1533=$L1533,1,IF(E1533="","",0))</f>
        <v/>
      </c>
      <c r="E1533" s="14"/>
      <c r="F1533" s="4" t="str">
        <f>IF(G1533=$L1533,1,IF(G1533="","",0))</f>
        <v/>
      </c>
      <c r="G1533" s="14"/>
      <c r="H1533" s="6">
        <v>2570</v>
      </c>
      <c r="I1533" s="15" t="s">
        <v>3120</v>
      </c>
      <c r="J1533" s="6" t="s">
        <v>5630</v>
      </c>
      <c r="K1533" s="6"/>
      <c r="L1533" s="6" t="s">
        <v>2614</v>
      </c>
      <c r="M1533" s="6" t="s">
        <v>8675</v>
      </c>
      <c r="N1533" s="7">
        <f ca="1">RAND()</f>
        <v>0.52511229715330421</v>
      </c>
      <c r="O1533" s="8">
        <v>45219</v>
      </c>
      <c r="P1533" s="8">
        <v>45220</v>
      </c>
      <c r="Q1533" s="8">
        <v>45222</v>
      </c>
      <c r="R1533" s="8">
        <v>45226</v>
      </c>
      <c r="S1533" s="8">
        <v>45233</v>
      </c>
      <c r="T1533" s="8">
        <v>45792</v>
      </c>
      <c r="U1533" s="8">
        <v>45823</v>
      </c>
      <c r="V1533" s="10">
        <f>COUNTA(O1533:U1533)</f>
        <v>7</v>
      </c>
      <c r="W1533" s="11">
        <f>_xlfn.IFNA(INDEX(reading[[#This Row],[Memo 01]:[Memo 07]],MATCH(0,reading[[#This Row],[Memo 01]:[Memo 07]],-1)),"")</f>
        <v>45823</v>
      </c>
      <c r="X1533" s="11">
        <f ca="1">IFERROR(reading[[#This Row],[Previous]]+OFFSET(reading[[#Headers],[Memo 01]],-1,MATCH(0,reading[[#This Row],[Memo 01]:[Memo 07]],-1)-1),"")</f>
        <v>55823</v>
      </c>
      <c r="Y1533" s="10" t="str">
        <f ca="1">IF(reading[[#This Row],[Next]]&lt;&gt;"",IF(reading[[#This Row],[Next]]&gt;TODAY(),"OK",""),"")</f>
        <v>OK</v>
      </c>
      <c r="Z1533" s="13">
        <v>3</v>
      </c>
      <c r="AA1533" s="13">
        <v>3</v>
      </c>
      <c r="AB1533" s="13">
        <v>3</v>
      </c>
      <c r="AC1533" s="13">
        <v>3</v>
      </c>
      <c r="AD1533" s="13">
        <v>3</v>
      </c>
      <c r="AE1533" s="13">
        <v>3</v>
      </c>
      <c r="AF1533" s="13">
        <v>3</v>
      </c>
      <c r="AG1533" s="16">
        <f>IFERROR(SUMIF(reading[[#This Row],[1st]:[7th]],"&gt;0")/COUNTIF(reading[[#This Row],[1st]:[7th]],"&gt;0"),"")</f>
        <v>3</v>
      </c>
    </row>
    <row r="1534" spans="1:33" hidden="1" x14ac:dyDescent="0.2">
      <c r="A1534" s="4">
        <f>IF(B1534=1,3,IF(D1534=1,2,IF(F1534=1,1,0)))</f>
        <v>0</v>
      </c>
      <c r="B1534" s="4" t="str">
        <f>IF(C1534=$L1534,1,IF(C1534="","",0))</f>
        <v/>
      </c>
      <c r="C1534" s="42"/>
      <c r="D1534" s="4" t="str">
        <f>IF(E1534=$L1534,1,IF(E1534="","",0))</f>
        <v/>
      </c>
      <c r="E1534" s="23"/>
      <c r="F1534" s="4" t="str">
        <f>IF(G1534=$L1534,1,IF(G1534="","",0))</f>
        <v/>
      </c>
      <c r="G1534" s="14"/>
      <c r="H1534" s="6">
        <v>1145</v>
      </c>
      <c r="I1534" s="15" t="s">
        <v>3120</v>
      </c>
      <c r="J1534" s="6" t="s">
        <v>4266</v>
      </c>
      <c r="K1534" s="6"/>
      <c r="L1534" s="6" t="s">
        <v>1247</v>
      </c>
      <c r="M1534" s="6" t="s">
        <v>7253</v>
      </c>
      <c r="N1534" s="7">
        <f ca="1">RAND()</f>
        <v>6.647717221717786E-2</v>
      </c>
      <c r="O1534" s="8">
        <v>45205</v>
      </c>
      <c r="P1534" s="8">
        <v>45206</v>
      </c>
      <c r="Q1534" s="8">
        <v>45208</v>
      </c>
      <c r="R1534" s="8">
        <v>45212</v>
      </c>
      <c r="S1534" s="8">
        <v>45219</v>
      </c>
      <c r="T1534" s="8">
        <v>45231</v>
      </c>
      <c r="U1534" s="8">
        <v>45827</v>
      </c>
      <c r="V1534" s="10">
        <f>COUNTA(O1534:U1534)</f>
        <v>7</v>
      </c>
      <c r="W1534" s="11">
        <f>_xlfn.IFNA(INDEX(reading[[#This Row],[Memo 01]:[Memo 07]],MATCH(0,reading[[#This Row],[Memo 01]:[Memo 07]],-1)),"")</f>
        <v>45827</v>
      </c>
      <c r="X1534" s="11">
        <f ca="1">IFERROR(reading[[#This Row],[Previous]]+OFFSET(reading[[#Headers],[Memo 01]],-1,MATCH(0,reading[[#This Row],[Memo 01]:[Memo 07]],-1)-1),"")</f>
        <v>55827</v>
      </c>
      <c r="Y1534" s="10" t="str">
        <f ca="1">IF(reading[[#This Row],[Next]]&lt;&gt;"",IF(reading[[#This Row],[Next]]&gt;TODAY(),"OK",""),"")</f>
        <v>OK</v>
      </c>
      <c r="Z1534" s="13">
        <v>3</v>
      </c>
      <c r="AA1534" s="13">
        <v>2</v>
      </c>
      <c r="AB1534" s="13">
        <v>2</v>
      </c>
      <c r="AC1534" s="13">
        <v>3</v>
      </c>
      <c r="AD1534" s="13">
        <v>3</v>
      </c>
      <c r="AE1534" s="13">
        <v>3</v>
      </c>
      <c r="AF1534" s="13">
        <v>3</v>
      </c>
      <c r="AG1534" s="16">
        <f>IFERROR(SUMIF(reading[[#This Row],[1st]:[7th]],"&gt;0")/COUNTIF(reading[[#This Row],[1st]:[7th]],"&gt;0"),"")</f>
        <v>2.7142857142857144</v>
      </c>
    </row>
    <row r="1535" spans="1:33" hidden="1" x14ac:dyDescent="0.2">
      <c r="A1535" s="4">
        <f>IF(B1535=1,3,IF(D1535=1,2,IF(F1535=1,1,0)))</f>
        <v>0</v>
      </c>
      <c r="B1535" s="4">
        <f>IF(C1535=$L1535,1,IF(C1535="","",0))</f>
        <v>0</v>
      </c>
      <c r="C1535" s="42" t="s">
        <v>9200</v>
      </c>
      <c r="D1535" s="4">
        <f>IF(E1535=$L1535,1,IF(E1535="","",0))</f>
        <v>0</v>
      </c>
      <c r="E1535" s="43" t="s">
        <v>9200</v>
      </c>
      <c r="F1535" s="4" t="str">
        <f>IF(G1535=$L1535,1,IF(G1535="","",0))</f>
        <v/>
      </c>
      <c r="G1535" s="14"/>
      <c r="H1535" s="6">
        <v>1618</v>
      </c>
      <c r="I1535" s="15" t="s">
        <v>3120</v>
      </c>
      <c r="J1535" s="6" t="s">
        <v>4730</v>
      </c>
      <c r="K1535" s="6"/>
      <c r="L1535" s="6" t="s">
        <v>1700</v>
      </c>
      <c r="M1535" s="6" t="s">
        <v>7724</v>
      </c>
      <c r="N1535" s="7">
        <f ca="1">RAND()</f>
        <v>0.1123688558506728</v>
      </c>
      <c r="O1535" s="8">
        <v>45210</v>
      </c>
      <c r="P1535" s="8">
        <v>45212</v>
      </c>
      <c r="Q1535" s="8">
        <v>45214</v>
      </c>
      <c r="R1535" s="8">
        <v>45218</v>
      </c>
      <c r="S1535" s="8">
        <v>45225</v>
      </c>
      <c r="T1535" s="8">
        <v>45237</v>
      </c>
      <c r="U1535" s="8"/>
      <c r="V1535" s="10">
        <f>COUNTA(O1535:U1535)</f>
        <v>6</v>
      </c>
      <c r="W1535" s="11">
        <f>_xlfn.IFNA(INDEX(reading[[#This Row],[Memo 01]:[Memo 07]],MATCH(0,reading[[#This Row],[Memo 01]:[Memo 07]],-1)),"")</f>
        <v>45237</v>
      </c>
      <c r="X1535" s="11">
        <f ca="1">IFERROR(reading[[#This Row],[Previous]]+OFFSET(reading[[#Headers],[Memo 01]],-1,MATCH(0,reading[[#This Row],[Memo 01]:[Memo 07]],-1)-1),"")</f>
        <v>45257</v>
      </c>
      <c r="Y1535" s="10" t="str">
        <f ca="1">IF(reading[[#This Row],[Next]]&lt;&gt;"",IF(reading[[#This Row],[Next]]&gt;TODAY(),"OK",""),"")</f>
        <v/>
      </c>
      <c r="Z1535" s="13">
        <v>3</v>
      </c>
      <c r="AA1535" s="13">
        <v>2</v>
      </c>
      <c r="AB1535" s="13">
        <v>3</v>
      </c>
      <c r="AC1535" s="13">
        <v>2</v>
      </c>
      <c r="AD1535" s="13">
        <v>2</v>
      </c>
      <c r="AE1535" s="13">
        <v>3</v>
      </c>
      <c r="AF1535" s="13"/>
      <c r="AG1535" s="16">
        <f>IFERROR(SUMIF(reading[[#This Row],[1st]:[7th]],"&gt;0")/COUNTIF(reading[[#This Row],[1st]:[7th]],"&gt;0"),"")</f>
        <v>2.5</v>
      </c>
    </row>
    <row r="1536" spans="1:33" hidden="1" x14ac:dyDescent="0.2">
      <c r="A1536" s="4">
        <f>IF(B1536=1,3,IF(D1536=1,2,IF(F1536=1,1,0)))</f>
        <v>0</v>
      </c>
      <c r="B1536" s="4" t="str">
        <f>IF(C1536=$L1536,1,IF(C1536="","",0))</f>
        <v/>
      </c>
      <c r="C1536" s="42"/>
      <c r="D1536" s="4" t="str">
        <f>IF(E1536=$L1536,1,IF(E1536="","",0))</f>
        <v/>
      </c>
      <c r="E1536" s="14"/>
      <c r="F1536" s="4" t="str">
        <f>IF(G1536=$L1536,1,IF(G1536="","",0))</f>
        <v/>
      </c>
      <c r="G1536" s="14"/>
      <c r="H1536" s="6">
        <v>1316</v>
      </c>
      <c r="I1536" s="15" t="s">
        <v>3120</v>
      </c>
      <c r="J1536" s="6" t="s">
        <v>4433</v>
      </c>
      <c r="K1536" s="6"/>
      <c r="L1536" s="6" t="s">
        <v>1413</v>
      </c>
      <c r="M1536" s="6" t="s">
        <v>7423</v>
      </c>
      <c r="N1536" s="7">
        <f ca="1">RAND()</f>
        <v>0.24478077090062067</v>
      </c>
      <c r="O1536" s="8">
        <v>45207</v>
      </c>
      <c r="P1536" s="8">
        <v>45208</v>
      </c>
      <c r="Q1536" s="8">
        <v>45210</v>
      </c>
      <c r="R1536" s="8">
        <v>45214</v>
      </c>
      <c r="S1536" s="8">
        <v>45221</v>
      </c>
      <c r="T1536" s="8">
        <v>45233</v>
      </c>
      <c r="U1536" s="8">
        <v>45823</v>
      </c>
      <c r="V1536" s="10">
        <f>COUNTA(O1536:U1536)</f>
        <v>7</v>
      </c>
      <c r="W1536" s="11">
        <f>_xlfn.IFNA(INDEX(reading[[#This Row],[Memo 01]:[Memo 07]],MATCH(0,reading[[#This Row],[Memo 01]:[Memo 07]],-1)),"")</f>
        <v>45823</v>
      </c>
      <c r="X1536" s="11">
        <f ca="1">IFERROR(reading[[#This Row],[Previous]]+OFFSET(reading[[#Headers],[Memo 01]],-1,MATCH(0,reading[[#This Row],[Memo 01]:[Memo 07]],-1)-1),"")</f>
        <v>55823</v>
      </c>
      <c r="Y1536" s="10" t="str">
        <f ca="1">IF(reading[[#This Row],[Next]]&lt;&gt;"",IF(reading[[#This Row],[Next]]&gt;TODAY(),"OK",""),"")</f>
        <v>OK</v>
      </c>
      <c r="Z1536" s="13">
        <v>3</v>
      </c>
      <c r="AA1536" s="13">
        <v>3</v>
      </c>
      <c r="AB1536" s="13">
        <v>3</v>
      </c>
      <c r="AC1536" s="13">
        <v>3</v>
      </c>
      <c r="AD1536" s="13">
        <v>3</v>
      </c>
      <c r="AE1536" s="13">
        <v>3</v>
      </c>
      <c r="AF1536" s="13">
        <v>3</v>
      </c>
      <c r="AG1536" s="16">
        <f>IFERROR(SUMIF(reading[[#This Row],[1st]:[7th]],"&gt;0")/COUNTIF(reading[[#This Row],[1st]:[7th]],"&gt;0"),"")</f>
        <v>3</v>
      </c>
    </row>
    <row r="1537" spans="1:33" hidden="1" x14ac:dyDescent="0.2">
      <c r="A1537" s="4">
        <f>IF(B1537=1,3,IF(D1537=1,2,IF(F1537=1,1,0)))</f>
        <v>3</v>
      </c>
      <c r="B1537" s="4">
        <f>IF(C1537=$L1537,1,IF(C1537="","",0))</f>
        <v>1</v>
      </c>
      <c r="C1537" s="30" t="s">
        <v>1626</v>
      </c>
      <c r="D1537" s="4" t="str">
        <f>IF(E1537=$L1537,1,IF(E1537="","",0))</f>
        <v/>
      </c>
      <c r="E1537" s="14"/>
      <c r="F1537" s="4" t="str">
        <f>IF(G1537=$L1537,1,IF(G1537="","",0))</f>
        <v/>
      </c>
      <c r="G1537" s="14"/>
      <c r="H1537" s="6">
        <v>1541</v>
      </c>
      <c r="I1537" s="15" t="s">
        <v>3120</v>
      </c>
      <c r="J1537" s="6" t="s">
        <v>4654</v>
      </c>
      <c r="K1537" s="6"/>
      <c r="L1537" s="6" t="s">
        <v>1626</v>
      </c>
      <c r="M1537" s="6" t="s">
        <v>7648</v>
      </c>
      <c r="N1537" s="7">
        <f ca="1">RAND()</f>
        <v>0.869747707516899</v>
      </c>
      <c r="O1537" s="8">
        <v>45209</v>
      </c>
      <c r="P1537" s="8">
        <v>45209</v>
      </c>
      <c r="Q1537" s="8">
        <v>45209</v>
      </c>
      <c r="R1537" s="8">
        <v>45209</v>
      </c>
      <c r="S1537" s="8">
        <v>45209</v>
      </c>
      <c r="T1537" s="8">
        <v>45209</v>
      </c>
      <c r="U1537" s="8">
        <v>45209</v>
      </c>
      <c r="V1537" s="10">
        <f>COUNTA(O1537:U1537)</f>
        <v>7</v>
      </c>
      <c r="W1537" s="11">
        <f>_xlfn.IFNA(INDEX(reading[[#This Row],[Memo 01]:[Memo 07]],MATCH(0,reading[[#This Row],[Memo 01]:[Memo 07]],-1)),"")</f>
        <v>45209</v>
      </c>
      <c r="X1537" s="11">
        <f ca="1">IFERROR(reading[[#This Row],[Previous]]+OFFSET(reading[[#Headers],[Memo 01]],-1,MATCH(0,reading[[#This Row],[Memo 01]:[Memo 07]],-1)-1),"")</f>
        <v>55209</v>
      </c>
      <c r="Y1537" s="10" t="str">
        <f ca="1">IF(reading[[#This Row],[Next]]&lt;&gt;"",IF(reading[[#This Row],[Next]]&gt;TODAY(),"OK",""),"")</f>
        <v>OK</v>
      </c>
      <c r="Z1537" s="13">
        <v>3</v>
      </c>
      <c r="AA1537" s="13"/>
      <c r="AB1537" s="13"/>
      <c r="AC1537" s="13"/>
      <c r="AD1537" s="13"/>
      <c r="AE1537" s="13"/>
      <c r="AF1537" s="13"/>
      <c r="AG1537" s="16">
        <f>IFERROR(SUMIF(reading[[#This Row],[1st]:[7th]],"&gt;0")/COUNTIF(reading[[#This Row],[1st]:[7th]],"&gt;0"),"")</f>
        <v>3</v>
      </c>
    </row>
    <row r="1538" spans="1:33" hidden="1" x14ac:dyDescent="0.2">
      <c r="A1538" s="4">
        <f>IF(B1538=1,3,IF(D1538=1,2,IF(F1538=1,1,0)))</f>
        <v>0</v>
      </c>
      <c r="B1538" s="4" t="str">
        <f>IF(C1538=$L1538,1,IF(C1538="","",0))</f>
        <v/>
      </c>
      <c r="C1538" s="42"/>
      <c r="D1538" s="4" t="str">
        <f>IF(E1538=$L1538,1,IF(E1538="","",0))</f>
        <v/>
      </c>
      <c r="E1538" s="14"/>
      <c r="F1538" s="4" t="str">
        <f>IF(G1538=$L1538,1,IF(G1538="","",0))</f>
        <v/>
      </c>
      <c r="G1538" s="14"/>
      <c r="H1538" s="6">
        <v>1782</v>
      </c>
      <c r="I1538" s="15" t="s">
        <v>3120</v>
      </c>
      <c r="J1538" s="6" t="s">
        <v>4889</v>
      </c>
      <c r="K1538" s="6"/>
      <c r="L1538" s="6" t="s">
        <v>1861</v>
      </c>
      <c r="M1538" s="6" t="s">
        <v>7888</v>
      </c>
      <c r="N1538" s="7">
        <f ca="1">RAND()</f>
        <v>0.48225706056434126</v>
      </c>
      <c r="O1538" s="8">
        <v>45211</v>
      </c>
      <c r="P1538" s="8">
        <v>45212</v>
      </c>
      <c r="Q1538" s="8">
        <v>45214</v>
      </c>
      <c r="R1538" s="8">
        <v>45218</v>
      </c>
      <c r="S1538" s="8">
        <v>45225</v>
      </c>
      <c r="T1538" s="8">
        <v>45237</v>
      </c>
      <c r="U1538" s="8">
        <v>45827</v>
      </c>
      <c r="V1538" s="10">
        <f>COUNTA(O1538:U1538)</f>
        <v>7</v>
      </c>
      <c r="W1538" s="11">
        <f>_xlfn.IFNA(INDEX(reading[[#This Row],[Memo 01]:[Memo 07]],MATCH(0,reading[[#This Row],[Memo 01]:[Memo 07]],-1)),"")</f>
        <v>45827</v>
      </c>
      <c r="X1538" s="11">
        <f ca="1">IFERROR(reading[[#This Row],[Previous]]+OFFSET(reading[[#Headers],[Memo 01]],-1,MATCH(0,reading[[#This Row],[Memo 01]:[Memo 07]],-1)-1),"")</f>
        <v>55827</v>
      </c>
      <c r="Y1538" s="10" t="str">
        <f ca="1">IF(reading[[#This Row],[Next]]&lt;&gt;"",IF(reading[[#This Row],[Next]]&gt;TODAY(),"OK",""),"")</f>
        <v>OK</v>
      </c>
      <c r="Z1538" s="13">
        <v>3</v>
      </c>
      <c r="AA1538" s="13">
        <v>3</v>
      </c>
      <c r="AB1538" s="13">
        <v>3</v>
      </c>
      <c r="AC1538" s="13">
        <v>3</v>
      </c>
      <c r="AD1538" s="13">
        <v>3</v>
      </c>
      <c r="AE1538" s="13">
        <v>3</v>
      </c>
      <c r="AF1538" s="13">
        <v>3</v>
      </c>
      <c r="AG1538" s="16">
        <f>IFERROR(SUMIF(reading[[#This Row],[1st]:[7th]],"&gt;0")/COUNTIF(reading[[#This Row],[1st]:[7th]],"&gt;0"),"")</f>
        <v>3</v>
      </c>
    </row>
    <row r="1539" spans="1:33" hidden="1" x14ac:dyDescent="0.2">
      <c r="A1539" s="4">
        <f>IF(B1539=1,3,IF(D1539=1,2,IF(F1539=1,1,0)))</f>
        <v>0</v>
      </c>
      <c r="B1539" s="4" t="str">
        <f>IF(C1539=$L1539,1,IF(C1539="","",0))</f>
        <v/>
      </c>
      <c r="C1539" s="41"/>
      <c r="D1539" s="4" t="str">
        <f>IF(E1539=$L1539,1,IF(E1539="","",0))</f>
        <v/>
      </c>
      <c r="E1539" s="18"/>
      <c r="F1539" s="4" t="str">
        <f>IF(G1539=$L1539,1,IF(G1539="","",0))</f>
        <v/>
      </c>
      <c r="G1539" s="14"/>
      <c r="H1539" s="6">
        <v>341</v>
      </c>
      <c r="I1539" s="15" t="s">
        <v>3120</v>
      </c>
      <c r="J1539" s="6" t="s">
        <v>3488</v>
      </c>
      <c r="K1539" s="6"/>
      <c r="L1539" s="6" t="s">
        <v>476</v>
      </c>
      <c r="M1539" s="6" t="s">
        <v>6450</v>
      </c>
      <c r="N1539" s="7">
        <f ca="1">RAND()</f>
        <v>0.78000959497154243</v>
      </c>
      <c r="O1539" s="8">
        <v>45200</v>
      </c>
      <c r="P1539" s="8">
        <v>45201</v>
      </c>
      <c r="Q1539" s="8">
        <v>45203</v>
      </c>
      <c r="R1539" s="8">
        <v>45207</v>
      </c>
      <c r="S1539" s="8">
        <v>45214</v>
      </c>
      <c r="T1539" s="8">
        <v>45226</v>
      </c>
      <c r="U1539" s="8">
        <v>45249</v>
      </c>
      <c r="V1539" s="10">
        <f>COUNTA(O1539:U1539)</f>
        <v>7</v>
      </c>
      <c r="W1539" s="11">
        <f>_xlfn.IFNA(INDEX(reading[[#This Row],[Memo 01]:[Memo 07]],MATCH(0,reading[[#This Row],[Memo 01]:[Memo 07]],-1)),"")</f>
        <v>45249</v>
      </c>
      <c r="X1539" s="11">
        <f ca="1">IFERROR(reading[[#This Row],[Previous]]+OFFSET(reading[[#Headers],[Memo 01]],-1,MATCH(0,reading[[#This Row],[Memo 01]:[Memo 07]],-1)-1),"")</f>
        <v>55249</v>
      </c>
      <c r="Y1539" s="10" t="str">
        <f ca="1">IF(reading[[#This Row],[Next]]&lt;&gt;"",IF(reading[[#This Row],[Next]]&gt;TODAY(),"OK",""),"")</f>
        <v>OK</v>
      </c>
      <c r="Z1539" s="13">
        <v>3</v>
      </c>
      <c r="AA1539" s="13">
        <v>3</v>
      </c>
      <c r="AB1539" s="13">
        <v>2</v>
      </c>
      <c r="AC1539" s="13">
        <v>2</v>
      </c>
      <c r="AD1539" s="13">
        <v>2</v>
      </c>
      <c r="AE1539" s="13">
        <v>2</v>
      </c>
      <c r="AF1539" s="13">
        <v>2</v>
      </c>
      <c r="AG1539" s="16">
        <f>IFERROR(SUMIF(reading[[#This Row],[1st]:[7th]],"&gt;0")/COUNTIF(reading[[#This Row],[1st]:[7th]],"&gt;0"),"")</f>
        <v>2.2857142857142856</v>
      </c>
    </row>
    <row r="1540" spans="1:33" hidden="1" x14ac:dyDescent="0.2">
      <c r="A1540" s="4">
        <f>IF(B1540=1,3,IF(D1540=1,2,IF(F1540=1,1,0)))</f>
        <v>0</v>
      </c>
      <c r="B1540" s="4" t="str">
        <f>IF(C1540=$L1540,1,IF(C1540="","",0))</f>
        <v/>
      </c>
      <c r="C1540" s="42"/>
      <c r="D1540" s="4" t="str">
        <f>IF(E1540=$L1540,1,IF(E1540="","",0))</f>
        <v/>
      </c>
      <c r="E1540" s="14"/>
      <c r="F1540" s="4" t="str">
        <f>IF(G1540=$L1540,1,IF(G1540="","",0))</f>
        <v/>
      </c>
      <c r="G1540" s="14"/>
      <c r="H1540" s="6">
        <v>576</v>
      </c>
      <c r="I1540" s="15" t="s">
        <v>3120</v>
      </c>
      <c r="J1540" s="6" t="s">
        <v>3719</v>
      </c>
      <c r="K1540" s="6"/>
      <c r="L1540" s="6" t="s">
        <v>703</v>
      </c>
      <c r="M1540" s="6" t="s">
        <v>6685</v>
      </c>
      <c r="N1540" s="7">
        <f ca="1">RAND()</f>
        <v>0.74273970222205543</v>
      </c>
      <c r="O1540" s="8">
        <v>45202</v>
      </c>
      <c r="P1540" s="8">
        <v>45203</v>
      </c>
      <c r="Q1540" s="8">
        <v>45205</v>
      </c>
      <c r="R1540" s="8">
        <v>45209</v>
      </c>
      <c r="S1540" s="8">
        <v>45216</v>
      </c>
      <c r="T1540" s="8">
        <v>45228</v>
      </c>
      <c r="U1540" s="8">
        <v>45823</v>
      </c>
      <c r="V1540" s="10">
        <f>COUNTA(O1540:U1540)</f>
        <v>7</v>
      </c>
      <c r="W1540" s="11">
        <f>_xlfn.IFNA(INDEX(reading[[#This Row],[Memo 01]:[Memo 07]],MATCH(0,reading[[#This Row],[Memo 01]:[Memo 07]],-1)),"")</f>
        <v>45823</v>
      </c>
      <c r="X1540" s="11">
        <f ca="1">IFERROR(reading[[#This Row],[Previous]]+OFFSET(reading[[#Headers],[Memo 01]],-1,MATCH(0,reading[[#This Row],[Memo 01]:[Memo 07]],-1)-1),"")</f>
        <v>55823</v>
      </c>
      <c r="Y1540" s="10" t="str">
        <f ca="1">IF(reading[[#This Row],[Next]]&lt;&gt;"",IF(reading[[#This Row],[Next]]&gt;TODAY(),"OK",""),"")</f>
        <v>OK</v>
      </c>
      <c r="Z1540" s="13">
        <v>3</v>
      </c>
      <c r="AA1540" s="13">
        <v>3</v>
      </c>
      <c r="AB1540" s="13">
        <v>3</v>
      </c>
      <c r="AC1540" s="13">
        <v>3</v>
      </c>
      <c r="AD1540" s="13">
        <v>3</v>
      </c>
      <c r="AE1540" s="13">
        <v>3</v>
      </c>
      <c r="AF1540" s="13">
        <v>3</v>
      </c>
      <c r="AG1540" s="16">
        <f>IFERROR(SUMIF(reading[[#This Row],[1st]:[7th]],"&gt;0")/COUNTIF(reading[[#This Row],[1st]:[7th]],"&gt;0"),"")</f>
        <v>3</v>
      </c>
    </row>
    <row r="1541" spans="1:33" hidden="1" x14ac:dyDescent="0.2">
      <c r="A1541" s="4">
        <f>IF(B1541=1,3,IF(D1541=1,2,IF(F1541=1,1,0)))</f>
        <v>0</v>
      </c>
      <c r="B1541" s="4" t="str">
        <f>IF(C1541=$L1541,1,IF(C1541="","",0))</f>
        <v/>
      </c>
      <c r="C1541" s="42"/>
      <c r="D1541" s="4" t="str">
        <f>IF(E1541=$L1541,1,IF(E1541="","",0))</f>
        <v/>
      </c>
      <c r="E1541" s="14"/>
      <c r="F1541" s="4" t="str">
        <f>IF(G1541=$L1541,1,IF(G1541="","",0))</f>
        <v/>
      </c>
      <c r="G1541" s="14"/>
      <c r="H1541" s="6">
        <v>1430</v>
      </c>
      <c r="I1541" s="15" t="s">
        <v>3120</v>
      </c>
      <c r="J1541" s="6" t="s">
        <v>4544</v>
      </c>
      <c r="K1541" s="6"/>
      <c r="L1541" s="6" t="s">
        <v>1521</v>
      </c>
      <c r="M1541" s="6" t="s">
        <v>7537</v>
      </c>
      <c r="N1541" s="7">
        <f ca="1">RAND()</f>
        <v>0.48552205478332744</v>
      </c>
      <c r="O1541" s="8">
        <v>45208</v>
      </c>
      <c r="P1541" s="8">
        <v>45209</v>
      </c>
      <c r="Q1541" s="8">
        <v>45211</v>
      </c>
      <c r="R1541" s="8">
        <v>45215</v>
      </c>
      <c r="S1541" s="8">
        <v>45222</v>
      </c>
      <c r="T1541" s="8">
        <v>45234</v>
      </c>
      <c r="U1541" s="8">
        <v>45823</v>
      </c>
      <c r="V1541" s="10">
        <f>COUNTA(O1541:U1541)</f>
        <v>7</v>
      </c>
      <c r="W1541" s="11">
        <f>_xlfn.IFNA(INDEX(reading[[#This Row],[Memo 01]:[Memo 07]],MATCH(0,reading[[#This Row],[Memo 01]:[Memo 07]],-1)),"")</f>
        <v>45823</v>
      </c>
      <c r="X1541" s="11">
        <f ca="1">IFERROR(reading[[#This Row],[Previous]]+OFFSET(reading[[#Headers],[Memo 01]],-1,MATCH(0,reading[[#This Row],[Memo 01]:[Memo 07]],-1)-1),"")</f>
        <v>55823</v>
      </c>
      <c r="Y1541" s="10" t="str">
        <f ca="1">IF(reading[[#This Row],[Next]]&lt;&gt;"",IF(reading[[#This Row],[Next]]&gt;TODAY(),"OK",""),"")</f>
        <v>OK</v>
      </c>
      <c r="Z1541" s="13">
        <v>3</v>
      </c>
      <c r="AA1541" s="13">
        <v>3</v>
      </c>
      <c r="AB1541" s="13">
        <v>3</v>
      </c>
      <c r="AC1541" s="13">
        <v>3</v>
      </c>
      <c r="AD1541" s="13">
        <v>3</v>
      </c>
      <c r="AE1541" s="13">
        <v>3</v>
      </c>
      <c r="AF1541" s="13">
        <v>3</v>
      </c>
      <c r="AG1541" s="16">
        <f>IFERROR(SUMIF(reading[[#This Row],[1st]:[7th]],"&gt;0")/COUNTIF(reading[[#This Row],[1st]:[7th]],"&gt;0"),"")</f>
        <v>3</v>
      </c>
    </row>
    <row r="1542" spans="1:33" hidden="1" x14ac:dyDescent="0.2">
      <c r="A1542" s="4">
        <f>IF(B1542=1,3,IF(D1542=1,2,IF(F1542=1,1,0)))</f>
        <v>0</v>
      </c>
      <c r="B1542" s="4" t="str">
        <f>IF(C1542=$L1542,1,IF(C1542="","",0))</f>
        <v/>
      </c>
      <c r="C1542" s="42"/>
      <c r="D1542" s="4" t="str">
        <f>IF(E1542=$L1542,1,IF(E1542="","",0))</f>
        <v/>
      </c>
      <c r="E1542" s="14"/>
      <c r="F1542" s="4" t="str">
        <f>IF(G1542=$L1542,1,IF(G1542="","",0))</f>
        <v/>
      </c>
      <c r="G1542" s="14"/>
      <c r="H1542" s="6">
        <v>1143</v>
      </c>
      <c r="I1542" s="15" t="s">
        <v>3120</v>
      </c>
      <c r="J1542" s="6" t="s">
        <v>4264</v>
      </c>
      <c r="K1542" s="6"/>
      <c r="L1542" s="6" t="s">
        <v>1245</v>
      </c>
      <c r="M1542" s="6" t="s">
        <v>7251</v>
      </c>
      <c r="N1542" s="7">
        <f ca="1">RAND()</f>
        <v>0.3786488003122106</v>
      </c>
      <c r="O1542" s="8">
        <v>45205</v>
      </c>
      <c r="P1542" s="8">
        <v>45206</v>
      </c>
      <c r="Q1542" s="8">
        <v>45208</v>
      </c>
      <c r="R1542" s="8">
        <v>45212</v>
      </c>
      <c r="S1542" s="8">
        <v>45219</v>
      </c>
      <c r="T1542" s="8">
        <v>45231</v>
      </c>
      <c r="U1542" s="8">
        <v>45823</v>
      </c>
      <c r="V1542" s="10">
        <f>COUNTA(O1542:U1542)</f>
        <v>7</v>
      </c>
      <c r="W1542" s="11">
        <f>_xlfn.IFNA(INDEX(reading[[#This Row],[Memo 01]:[Memo 07]],MATCH(0,reading[[#This Row],[Memo 01]:[Memo 07]],-1)),"")</f>
        <v>45823</v>
      </c>
      <c r="X1542" s="11">
        <f ca="1">IFERROR(reading[[#This Row],[Previous]]+OFFSET(reading[[#Headers],[Memo 01]],-1,MATCH(0,reading[[#This Row],[Memo 01]:[Memo 07]],-1)-1),"")</f>
        <v>55823</v>
      </c>
      <c r="Y1542" s="10" t="str">
        <f ca="1">IF(reading[[#This Row],[Next]]&lt;&gt;"",IF(reading[[#This Row],[Next]]&gt;TODAY(),"OK",""),"")</f>
        <v>OK</v>
      </c>
      <c r="Z1542" s="13">
        <v>3</v>
      </c>
      <c r="AA1542" s="13">
        <v>3</v>
      </c>
      <c r="AB1542" s="13">
        <v>3</v>
      </c>
      <c r="AC1542" s="13">
        <v>3</v>
      </c>
      <c r="AD1542" s="13">
        <v>3</v>
      </c>
      <c r="AE1542" s="13">
        <v>3</v>
      </c>
      <c r="AF1542" s="13">
        <v>3</v>
      </c>
      <c r="AG1542" s="16">
        <f>IFERROR(SUMIF(reading[[#This Row],[1st]:[7th]],"&gt;0")/COUNTIF(reading[[#This Row],[1st]:[7th]],"&gt;0"),"")</f>
        <v>3</v>
      </c>
    </row>
    <row r="1543" spans="1:33" hidden="1" x14ac:dyDescent="0.2">
      <c r="A1543" s="4">
        <f>IF(B1543=1,3,IF(D1543=1,2,IF(F1543=1,1,0)))</f>
        <v>0</v>
      </c>
      <c r="B1543" s="4" t="str">
        <f>IF(C1543=$L1543,1,IF(C1543="","",0))</f>
        <v/>
      </c>
      <c r="C1543" s="42"/>
      <c r="D1543" s="4" t="str">
        <f>IF(E1543=$L1543,1,IF(E1543="","",0))</f>
        <v/>
      </c>
      <c r="E1543" s="18"/>
      <c r="F1543" s="4" t="str">
        <f>IF(G1543=$L1543,1,IF(G1543="","",0))</f>
        <v/>
      </c>
      <c r="G1543" s="14"/>
      <c r="H1543" s="6">
        <v>276</v>
      </c>
      <c r="I1543" s="15" t="s">
        <v>3120</v>
      </c>
      <c r="J1543" s="6" t="s">
        <v>3425</v>
      </c>
      <c r="K1543" s="6"/>
      <c r="L1543" s="6" t="s">
        <v>411</v>
      </c>
      <c r="M1543" s="6" t="s">
        <v>6385</v>
      </c>
      <c r="N1543" s="7">
        <f ca="1">RAND()</f>
        <v>0.37912372785172332</v>
      </c>
      <c r="O1543" s="8">
        <v>45200</v>
      </c>
      <c r="P1543" s="8">
        <v>45201</v>
      </c>
      <c r="Q1543" s="8">
        <v>45203</v>
      </c>
      <c r="R1543" s="8">
        <v>45207</v>
      </c>
      <c r="S1543" s="8">
        <v>45214</v>
      </c>
      <c r="T1543" s="8">
        <v>45226</v>
      </c>
      <c r="U1543" s="8">
        <v>45827</v>
      </c>
      <c r="V1543" s="10">
        <f>COUNTA(O1543:U1543)</f>
        <v>7</v>
      </c>
      <c r="W1543" s="11">
        <f>_xlfn.IFNA(INDEX(reading[[#This Row],[Memo 01]:[Memo 07]],MATCH(0,reading[[#This Row],[Memo 01]:[Memo 07]],-1)),"")</f>
        <v>45827</v>
      </c>
      <c r="X1543" s="11">
        <f ca="1">IFERROR(reading[[#This Row],[Previous]]+OFFSET(reading[[#Headers],[Memo 01]],-1,MATCH(0,reading[[#This Row],[Memo 01]:[Memo 07]],-1)-1),"")</f>
        <v>55827</v>
      </c>
      <c r="Y1543" s="10" t="str">
        <f ca="1">IF(reading[[#This Row],[Next]]&lt;&gt;"",IF(reading[[#This Row],[Next]]&gt;TODAY(),"OK",""),"")</f>
        <v>OK</v>
      </c>
      <c r="Z1543" s="13">
        <v>3</v>
      </c>
      <c r="AA1543" s="13">
        <v>3</v>
      </c>
      <c r="AB1543" s="13">
        <v>3</v>
      </c>
      <c r="AC1543" s="13">
        <v>2</v>
      </c>
      <c r="AD1543" s="13">
        <v>3</v>
      </c>
      <c r="AE1543" s="13">
        <v>3</v>
      </c>
      <c r="AF1543" s="13">
        <v>3</v>
      </c>
      <c r="AG1543" s="16">
        <f>IFERROR(SUMIF(reading[[#This Row],[1st]:[7th]],"&gt;0")/COUNTIF(reading[[#This Row],[1st]:[7th]],"&gt;0"),"")</f>
        <v>2.8571428571428572</v>
      </c>
    </row>
    <row r="1544" spans="1:33" hidden="1" x14ac:dyDescent="0.2">
      <c r="A1544" s="4">
        <f>IF(B1544=1,3,IF(D1544=1,2,IF(F1544=1,1,0)))</f>
        <v>0</v>
      </c>
      <c r="B1544" s="4">
        <f>IF(C1544=$L1544,1,IF(C1544="","",0))</f>
        <v>0</v>
      </c>
      <c r="C1544" s="42" t="s">
        <v>9209</v>
      </c>
      <c r="D1544" s="4">
        <f>IF(E1544=$L1544,1,IF(E1544="","",0))</f>
        <v>0</v>
      </c>
      <c r="E1544" s="43" t="s">
        <v>9274</v>
      </c>
      <c r="F1544" s="4" t="str">
        <f>IF(G1544=$L1544,1,IF(G1544="","",0))</f>
        <v/>
      </c>
      <c r="G1544" s="14"/>
      <c r="H1544" s="6">
        <v>3047</v>
      </c>
      <c r="I1544" s="15" t="s">
        <v>3120</v>
      </c>
      <c r="J1544" s="6" t="s">
        <v>6068</v>
      </c>
      <c r="K1544" s="6"/>
      <c r="L1544" s="6" t="s">
        <v>3073</v>
      </c>
      <c r="M1544" s="6" t="s">
        <v>9150</v>
      </c>
      <c r="N1544" s="7">
        <f ca="1">RAND()</f>
        <v>0.50663549740562319</v>
      </c>
      <c r="O1544" s="8">
        <v>45227</v>
      </c>
      <c r="P1544" s="8">
        <v>45228</v>
      </c>
      <c r="Q1544" s="8">
        <v>45230</v>
      </c>
      <c r="R1544" s="8">
        <v>45234</v>
      </c>
      <c r="S1544" s="8">
        <v>45252</v>
      </c>
      <c r="T1544" s="8"/>
      <c r="U1544" s="8"/>
      <c r="V1544" s="10">
        <f>COUNTA(O1544:U1544)</f>
        <v>5</v>
      </c>
      <c r="W1544" s="11">
        <f>_xlfn.IFNA(INDEX(reading[[#This Row],[Memo 01]:[Memo 07]],MATCH(0,reading[[#This Row],[Memo 01]:[Memo 07]],-1)),"")</f>
        <v>45252</v>
      </c>
      <c r="X1544" s="11">
        <f ca="1">IFERROR(reading[[#This Row],[Previous]]+OFFSET(reading[[#Headers],[Memo 01]],-1,MATCH(0,reading[[#This Row],[Memo 01]:[Memo 07]],-1)-1),"")</f>
        <v>45264</v>
      </c>
      <c r="Y1544" s="10" t="str">
        <f ca="1">IF(reading[[#This Row],[Next]]&lt;&gt;"",IF(reading[[#This Row],[Next]]&gt;TODAY(),"OK",""),"")</f>
        <v/>
      </c>
      <c r="Z1544" s="13">
        <v>3</v>
      </c>
      <c r="AA1544" s="13">
        <v>3</v>
      </c>
      <c r="AB1544" s="13">
        <v>3</v>
      </c>
      <c r="AC1544" s="13">
        <v>3</v>
      </c>
      <c r="AD1544" s="13">
        <v>2</v>
      </c>
      <c r="AE1544" s="13"/>
      <c r="AF1544" s="13"/>
      <c r="AG1544" s="16">
        <f>IFERROR(SUMIF(reading[[#This Row],[1st]:[7th]],"&gt;0")/COUNTIF(reading[[#This Row],[1st]:[7th]],"&gt;0"),"")</f>
        <v>2.8</v>
      </c>
    </row>
    <row r="1545" spans="1:33" hidden="1" x14ac:dyDescent="0.2">
      <c r="A1545" s="4">
        <f>IF(B1545=1,3,IF(D1545=1,2,IF(F1545=1,1,0)))</f>
        <v>0</v>
      </c>
      <c r="B1545" s="4" t="str">
        <f>IF(C1545=$L1545,1,IF(C1545="","",0))</f>
        <v/>
      </c>
      <c r="C1545" s="42"/>
      <c r="D1545" s="4" t="str">
        <f>IF(E1545=$L1545,1,IF(E1545="","",0))</f>
        <v/>
      </c>
      <c r="E1545" s="43"/>
      <c r="F1545" s="4" t="str">
        <f>IF(G1545=$L1545,1,IF(G1545="","",0))</f>
        <v/>
      </c>
      <c r="G1545" s="23"/>
      <c r="H1545" s="6">
        <v>2384</v>
      </c>
      <c r="I1545" s="15" t="s">
        <v>3120</v>
      </c>
      <c r="J1545" s="6" t="s">
        <v>5457</v>
      </c>
      <c r="K1545" s="6"/>
      <c r="L1545" s="6" t="s">
        <v>2435</v>
      </c>
      <c r="M1545" s="6" t="s">
        <v>8489</v>
      </c>
      <c r="N1545" s="7">
        <f ca="1">RAND()</f>
        <v>0.99840835073706591</v>
      </c>
      <c r="O1545" s="8">
        <v>45217</v>
      </c>
      <c r="P1545" s="8">
        <v>45218</v>
      </c>
      <c r="Q1545" s="8">
        <v>45220</v>
      </c>
      <c r="R1545" s="8">
        <v>45224</v>
      </c>
      <c r="S1545" s="8">
        <v>45231</v>
      </c>
      <c r="T1545" s="8">
        <v>45251</v>
      </c>
      <c r="U1545" s="8">
        <v>45817</v>
      </c>
      <c r="V1545" s="10">
        <f>COUNTA(O1545:U1545)</f>
        <v>7</v>
      </c>
      <c r="W1545" s="11">
        <f>_xlfn.IFNA(INDEX(reading[[#This Row],[Memo 01]:[Memo 07]],MATCH(0,reading[[#This Row],[Memo 01]:[Memo 07]],-1)),"")</f>
        <v>45817</v>
      </c>
      <c r="X1545" s="11">
        <f ca="1">IFERROR(reading[[#This Row],[Previous]]+OFFSET(reading[[#Headers],[Memo 01]],-1,MATCH(0,reading[[#This Row],[Memo 01]:[Memo 07]],-1)-1),"")</f>
        <v>55817</v>
      </c>
      <c r="Y1545" s="10" t="str">
        <f ca="1">IF(reading[[#This Row],[Next]]&lt;&gt;"",IF(reading[[#This Row],[Next]]&gt;TODAY(),"OK",""),"")</f>
        <v>OK</v>
      </c>
      <c r="Z1545" s="13">
        <v>3</v>
      </c>
      <c r="AA1545" s="13">
        <v>2</v>
      </c>
      <c r="AB1545" s="13">
        <v>3</v>
      </c>
      <c r="AC1545" s="13">
        <v>2</v>
      </c>
      <c r="AD1545" s="13">
        <v>3</v>
      </c>
      <c r="AE1545" s="13">
        <v>3</v>
      </c>
      <c r="AF1545" s="13">
        <v>1</v>
      </c>
      <c r="AG1545" s="16">
        <f>IFERROR(SUMIF(reading[[#This Row],[1st]:[7th]],"&gt;0")/COUNTIF(reading[[#This Row],[1st]:[7th]],"&gt;0"),"")</f>
        <v>2.4285714285714284</v>
      </c>
    </row>
    <row r="1546" spans="1:33" hidden="1" x14ac:dyDescent="0.2">
      <c r="A1546" s="4">
        <f>IF(B1546=1,3,IF(D1546=1,2,IF(F1546=1,1,0)))</f>
        <v>0</v>
      </c>
      <c r="B1546" s="4" t="str">
        <f>IF(C1546=$L1546,1,IF(C1546="","",0))</f>
        <v/>
      </c>
      <c r="C1546" s="43"/>
      <c r="D1546" s="4" t="str">
        <f>IF(E1546=$L1546,1,IF(E1546="","",0))</f>
        <v/>
      </c>
      <c r="E1546" s="14"/>
      <c r="F1546" s="4" t="str">
        <f>IF(G1546=$L1546,1,IF(G1546="","",0))</f>
        <v/>
      </c>
      <c r="G1546" s="14"/>
      <c r="H1546" s="6">
        <v>251</v>
      </c>
      <c r="I1546" s="15" t="s">
        <v>3120</v>
      </c>
      <c r="J1546" s="6" t="s">
        <v>3400</v>
      </c>
      <c r="K1546" s="6"/>
      <c r="L1546" s="6" t="s">
        <v>386</v>
      </c>
      <c r="M1546" s="6" t="s">
        <v>6360</v>
      </c>
      <c r="N1546" s="7">
        <f ca="1">RAND()</f>
        <v>0.31563434453608807</v>
      </c>
      <c r="O1546" s="8">
        <v>45199</v>
      </c>
      <c r="P1546" s="8">
        <v>45200</v>
      </c>
      <c r="Q1546" s="8">
        <v>45202</v>
      </c>
      <c r="R1546" s="8">
        <v>45206</v>
      </c>
      <c r="S1546" s="8">
        <v>45213</v>
      </c>
      <c r="T1546" s="8">
        <v>45225</v>
      </c>
      <c r="U1546" s="8">
        <v>45823</v>
      </c>
      <c r="V1546" s="10">
        <f>COUNTA(O1546:U1546)</f>
        <v>7</v>
      </c>
      <c r="W1546" s="11">
        <f>_xlfn.IFNA(INDEX(reading[[#This Row],[Memo 01]:[Memo 07]],MATCH(0,reading[[#This Row],[Memo 01]:[Memo 07]],-1)),"")</f>
        <v>45823</v>
      </c>
      <c r="X1546" s="11">
        <f ca="1">IFERROR(reading[[#This Row],[Previous]]+OFFSET(reading[[#Headers],[Memo 01]],-1,MATCH(0,reading[[#This Row],[Memo 01]:[Memo 07]],-1)-1),"")</f>
        <v>55823</v>
      </c>
      <c r="Y1546" s="10" t="str">
        <f ca="1">IF(reading[[#This Row],[Next]]&lt;&gt;"",IF(reading[[#This Row],[Next]]&gt;TODAY(),"OK",""),"")</f>
        <v>OK</v>
      </c>
      <c r="Z1546" s="13">
        <v>3</v>
      </c>
      <c r="AA1546" s="13">
        <v>3</v>
      </c>
      <c r="AB1546" s="13">
        <v>3</v>
      </c>
      <c r="AC1546" s="13">
        <v>3</v>
      </c>
      <c r="AD1546" s="13">
        <v>3</v>
      </c>
      <c r="AE1546" s="13">
        <v>3</v>
      </c>
      <c r="AF1546" s="13">
        <v>3</v>
      </c>
      <c r="AG1546" s="16">
        <f>IFERROR(SUMIF(reading[[#This Row],[1st]:[7th]],"&gt;0")/COUNTIF(reading[[#This Row],[1st]:[7th]],"&gt;0"),"")</f>
        <v>3</v>
      </c>
    </row>
    <row r="1547" spans="1:33" hidden="1" x14ac:dyDescent="0.2">
      <c r="A1547" s="4">
        <f>IF(B1547=1,3,IF(D1547=1,2,IF(F1547=1,1,0)))</f>
        <v>0</v>
      </c>
      <c r="B1547" s="4" t="str">
        <f>IF(C1547=$L1547,1,IF(C1547="","",0))</f>
        <v/>
      </c>
      <c r="C1547" s="42"/>
      <c r="D1547" s="4" t="str">
        <f>IF(E1547=$L1547,1,IF(E1547="","",0))</f>
        <v/>
      </c>
      <c r="E1547" s="43"/>
      <c r="F1547" s="4" t="str">
        <f>IF(G1547=$L1547,1,IF(G1547="","",0))</f>
        <v/>
      </c>
      <c r="G1547" s="18"/>
      <c r="H1547" s="6">
        <v>1747</v>
      </c>
      <c r="I1547" s="15" t="s">
        <v>3120</v>
      </c>
      <c r="J1547" s="6" t="s">
        <v>4855</v>
      </c>
      <c r="K1547" s="6"/>
      <c r="L1547" s="6" t="s">
        <v>1827</v>
      </c>
      <c r="M1547" s="6" t="s">
        <v>7853</v>
      </c>
      <c r="N1547" s="7">
        <f ca="1">RAND()</f>
        <v>0.56448416954512037</v>
      </c>
      <c r="O1547" s="8">
        <v>45211</v>
      </c>
      <c r="P1547" s="8">
        <v>45212</v>
      </c>
      <c r="Q1547" s="8">
        <v>45218</v>
      </c>
      <c r="R1547" s="8">
        <v>45222</v>
      </c>
      <c r="S1547" s="8">
        <v>45229</v>
      </c>
      <c r="T1547" s="8">
        <v>45825</v>
      </c>
      <c r="U1547" s="8"/>
      <c r="V1547" s="10">
        <f>COUNTA(O1547:U1547)</f>
        <v>6</v>
      </c>
      <c r="W1547" s="11">
        <f>_xlfn.IFNA(INDEX(reading[[#This Row],[Memo 01]:[Memo 07]],MATCH(0,reading[[#This Row],[Memo 01]:[Memo 07]],-1)),"")</f>
        <v>45825</v>
      </c>
      <c r="X1547" s="11">
        <f ca="1">IFERROR(reading[[#This Row],[Previous]]+OFFSET(reading[[#Headers],[Memo 01]],-1,MATCH(0,reading[[#This Row],[Memo 01]:[Memo 07]],-1)-1),"")</f>
        <v>45845</v>
      </c>
      <c r="Y1547" s="10" t="str">
        <f ca="1">IF(reading[[#This Row],[Next]]&lt;&gt;"",IF(reading[[#This Row],[Next]]&gt;TODAY(),"OK",""),"")</f>
        <v>OK</v>
      </c>
      <c r="Z1547" s="13">
        <v>3</v>
      </c>
      <c r="AA1547" s="13">
        <v>3</v>
      </c>
      <c r="AB1547" s="13">
        <v>3</v>
      </c>
      <c r="AC1547" s="13">
        <v>3</v>
      </c>
      <c r="AD1547" s="13">
        <v>2</v>
      </c>
      <c r="AE1547" s="13">
        <v>2</v>
      </c>
      <c r="AF1547" s="13"/>
      <c r="AG1547" s="16">
        <f>IFERROR(SUMIF(reading[[#This Row],[1st]:[7th]],"&gt;0")/COUNTIF(reading[[#This Row],[1st]:[7th]],"&gt;0"),"")</f>
        <v>2.6666666666666665</v>
      </c>
    </row>
    <row r="1548" spans="1:33" hidden="1" x14ac:dyDescent="0.2">
      <c r="A1548" s="4">
        <f>IF(B1548=1,3,IF(D1548=1,2,IF(F1548=1,1,0)))</f>
        <v>0</v>
      </c>
      <c r="B1548" s="4" t="str">
        <f>IF(C1548=$L1548,1,IF(C1548="","",0))</f>
        <v/>
      </c>
      <c r="C1548" s="42"/>
      <c r="D1548" s="4" t="str">
        <f>IF(E1548=$L1548,1,IF(E1548="","",0))</f>
        <v/>
      </c>
      <c r="E1548" s="18"/>
      <c r="F1548" s="4" t="str">
        <f>IF(G1548=$L1548,1,IF(G1548="","",0))</f>
        <v/>
      </c>
      <c r="G1548" s="14"/>
      <c r="H1548" s="6">
        <v>238</v>
      </c>
      <c r="I1548" s="15" t="s">
        <v>3120</v>
      </c>
      <c r="J1548" s="6" t="s">
        <v>3387</v>
      </c>
      <c r="K1548" s="6"/>
      <c r="L1548" s="6" t="s">
        <v>373</v>
      </c>
      <c r="M1548" s="6" t="s">
        <v>6347</v>
      </c>
      <c r="N1548" s="7">
        <f ca="1">RAND()</f>
        <v>0.98033156771974206</v>
      </c>
      <c r="O1548" s="8">
        <v>45200</v>
      </c>
      <c r="P1548" s="8">
        <v>45202</v>
      </c>
      <c r="Q1548" s="8">
        <v>45204</v>
      </c>
      <c r="R1548" s="8">
        <v>45208</v>
      </c>
      <c r="S1548" s="8">
        <v>45215</v>
      </c>
      <c r="T1548" s="8">
        <v>45227</v>
      </c>
      <c r="U1548" s="8">
        <v>45823</v>
      </c>
      <c r="V1548" s="10">
        <f>COUNTA(O1548:U1548)</f>
        <v>7</v>
      </c>
      <c r="W1548" s="11">
        <f>_xlfn.IFNA(INDEX(reading[[#This Row],[Memo 01]:[Memo 07]],MATCH(0,reading[[#This Row],[Memo 01]:[Memo 07]],-1)),"")</f>
        <v>45823</v>
      </c>
      <c r="X1548" s="11">
        <f ca="1">IFERROR(reading[[#This Row],[Previous]]+OFFSET(reading[[#Headers],[Memo 01]],-1,MATCH(0,reading[[#This Row],[Memo 01]:[Memo 07]],-1)-1),"")</f>
        <v>55823</v>
      </c>
      <c r="Y1548" s="10" t="str">
        <f ca="1">IF(reading[[#This Row],[Next]]&lt;&gt;"",IF(reading[[#This Row],[Next]]&gt;TODAY(),"OK",""),"")</f>
        <v>OK</v>
      </c>
      <c r="Z1548" s="13">
        <v>3</v>
      </c>
      <c r="AA1548" s="13">
        <v>2</v>
      </c>
      <c r="AB1548" s="13">
        <v>3</v>
      </c>
      <c r="AC1548" s="13">
        <v>3</v>
      </c>
      <c r="AD1548" s="13">
        <v>3</v>
      </c>
      <c r="AE1548" s="13">
        <v>3</v>
      </c>
      <c r="AF1548" s="13">
        <v>3</v>
      </c>
      <c r="AG1548" s="16">
        <f>IFERROR(SUMIF(reading[[#This Row],[1st]:[7th]],"&gt;0")/COUNTIF(reading[[#This Row],[1st]:[7th]],"&gt;0"),"")</f>
        <v>2.8571428571428572</v>
      </c>
    </row>
    <row r="1549" spans="1:33" hidden="1" x14ac:dyDescent="0.2">
      <c r="A1549" s="4">
        <f>IF(B1549=1,3,IF(D1549=1,2,IF(F1549=1,1,0)))</f>
        <v>0</v>
      </c>
      <c r="B1549" s="4" t="str">
        <f>IF(C1549=$L1549,1,IF(C1549="","",0))</f>
        <v/>
      </c>
      <c r="C1549" s="42"/>
      <c r="D1549" s="4" t="str">
        <f>IF(E1549=$L1549,1,IF(E1549="","",0))</f>
        <v/>
      </c>
      <c r="E1549" s="14"/>
      <c r="F1549" s="4" t="str">
        <f>IF(G1549=$L1549,1,IF(G1549="","",0))</f>
        <v/>
      </c>
      <c r="G1549" s="14"/>
      <c r="H1549" s="6">
        <v>2317</v>
      </c>
      <c r="I1549" s="15" t="s">
        <v>3120</v>
      </c>
      <c r="J1549" s="6" t="s">
        <v>5395</v>
      </c>
      <c r="K1549" s="6"/>
      <c r="L1549" s="6" t="s">
        <v>2373</v>
      </c>
      <c r="M1549" s="6" t="s">
        <v>8422</v>
      </c>
      <c r="N1549" s="7">
        <f ca="1">RAND()</f>
        <v>0.72805359259974323</v>
      </c>
      <c r="O1549" s="8">
        <v>45216</v>
      </c>
      <c r="P1549" s="8">
        <v>45217</v>
      </c>
      <c r="Q1549" s="8">
        <v>45219</v>
      </c>
      <c r="R1549" s="8">
        <v>45223</v>
      </c>
      <c r="S1549" s="8">
        <v>45230</v>
      </c>
      <c r="T1549" s="8">
        <v>45823</v>
      </c>
      <c r="U1549" s="8"/>
      <c r="V1549" s="10">
        <f>COUNTA(O1549:U1549)</f>
        <v>6</v>
      </c>
      <c r="W1549" s="11">
        <f>_xlfn.IFNA(INDEX(reading[[#This Row],[Memo 01]:[Memo 07]],MATCH(0,reading[[#This Row],[Memo 01]:[Memo 07]],-1)),"")</f>
        <v>45823</v>
      </c>
      <c r="X1549" s="11">
        <f ca="1">IFERROR(reading[[#This Row],[Previous]]+OFFSET(reading[[#Headers],[Memo 01]],-1,MATCH(0,reading[[#This Row],[Memo 01]:[Memo 07]],-1)-1),"")</f>
        <v>45843</v>
      </c>
      <c r="Y1549" s="10" t="str">
        <f ca="1">IF(reading[[#This Row],[Next]]&lt;&gt;"",IF(reading[[#This Row],[Next]]&gt;TODAY(),"OK",""),"")</f>
        <v>OK</v>
      </c>
      <c r="Z1549" s="13">
        <v>3</v>
      </c>
      <c r="AA1549" s="13">
        <v>3</v>
      </c>
      <c r="AB1549" s="13">
        <v>3</v>
      </c>
      <c r="AC1549" s="13">
        <v>3</v>
      </c>
      <c r="AD1549" s="13">
        <v>3</v>
      </c>
      <c r="AE1549" s="13">
        <v>3</v>
      </c>
      <c r="AF1549" s="13"/>
      <c r="AG1549" s="16">
        <f>IFERROR(SUMIF(reading[[#This Row],[1st]:[7th]],"&gt;0")/COUNTIF(reading[[#This Row],[1st]:[7th]],"&gt;0"),"")</f>
        <v>3</v>
      </c>
    </row>
    <row r="1550" spans="1:33" hidden="1" x14ac:dyDescent="0.2">
      <c r="A1550" s="4">
        <f>IF(B1550=1,3,IF(D1550=1,2,IF(F1550=1,1,0)))</f>
        <v>0</v>
      </c>
      <c r="B1550" s="4" t="str">
        <f>IF(C1550=$L1550,1,IF(C1550="","",0))</f>
        <v/>
      </c>
      <c r="C1550" s="42"/>
      <c r="D1550" s="4" t="str">
        <f>IF(E1550=$L1550,1,IF(E1550="","",0))</f>
        <v/>
      </c>
      <c r="E1550" s="14"/>
      <c r="F1550" s="4" t="str">
        <f>IF(G1550=$L1550,1,IF(G1550="","",0))</f>
        <v/>
      </c>
      <c r="G1550" s="14"/>
      <c r="H1550" s="6">
        <v>382</v>
      </c>
      <c r="I1550" s="15" t="s">
        <v>3120</v>
      </c>
      <c r="J1550" s="6" t="s">
        <v>3529</v>
      </c>
      <c r="K1550" s="15" t="s">
        <v>3138</v>
      </c>
      <c r="L1550" s="6" t="s">
        <v>124</v>
      </c>
      <c r="M1550" s="6" t="s">
        <v>6491</v>
      </c>
      <c r="N1550" s="7">
        <f ca="1">RAND()</f>
        <v>0.53793841022032729</v>
      </c>
      <c r="O1550" s="8">
        <v>45201</v>
      </c>
      <c r="P1550" s="8">
        <v>45202</v>
      </c>
      <c r="Q1550" s="8">
        <v>45204</v>
      </c>
      <c r="R1550" s="8">
        <v>45208</v>
      </c>
      <c r="S1550" s="8">
        <v>45215</v>
      </c>
      <c r="T1550" s="8">
        <v>45227</v>
      </c>
      <c r="U1550" s="8">
        <v>45823</v>
      </c>
      <c r="V1550" s="10">
        <f>COUNTA(O1550:U1550)</f>
        <v>7</v>
      </c>
      <c r="W1550" s="11">
        <f>_xlfn.IFNA(INDEX(reading[[#This Row],[Memo 01]:[Memo 07]],MATCH(0,reading[[#This Row],[Memo 01]:[Memo 07]],-1)),"")</f>
        <v>45823</v>
      </c>
      <c r="X1550" s="11">
        <f ca="1">IFERROR(reading[[#This Row],[Previous]]+OFFSET(reading[[#Headers],[Memo 01]],-1,MATCH(0,reading[[#This Row],[Memo 01]:[Memo 07]],-1)-1),"")</f>
        <v>55823</v>
      </c>
      <c r="Y1550" s="10" t="str">
        <f ca="1">IF(reading[[#This Row],[Next]]&lt;&gt;"",IF(reading[[#This Row],[Next]]&gt;TODAY(),"OK",""),"")</f>
        <v>OK</v>
      </c>
      <c r="Z1550" s="13">
        <v>3</v>
      </c>
      <c r="AA1550" s="13">
        <v>3</v>
      </c>
      <c r="AB1550" s="13">
        <v>3</v>
      </c>
      <c r="AC1550" s="13">
        <v>3</v>
      </c>
      <c r="AD1550" s="13">
        <v>3</v>
      </c>
      <c r="AE1550" s="13">
        <v>3</v>
      </c>
      <c r="AF1550" s="13">
        <v>3</v>
      </c>
      <c r="AG1550" s="16">
        <f>IFERROR(SUMIF(reading[[#This Row],[1st]:[7th]],"&gt;0")/COUNTIF(reading[[#This Row],[1st]:[7th]],"&gt;0"),"")</f>
        <v>3</v>
      </c>
    </row>
    <row r="1551" spans="1:33" hidden="1" x14ac:dyDescent="0.2">
      <c r="A1551" s="4">
        <f>IF(B1551=1,3,IF(D1551=1,2,IF(F1551=1,1,0)))</f>
        <v>0</v>
      </c>
      <c r="B1551" s="4" t="str">
        <f>IF(C1551=$L1551,1,IF(C1551="","",0))</f>
        <v/>
      </c>
      <c r="C1551" s="42"/>
      <c r="D1551" s="4" t="str">
        <f>IF(E1551=$L1551,1,IF(E1551="","",0))</f>
        <v/>
      </c>
      <c r="E1551" s="14"/>
      <c r="F1551" s="4" t="str">
        <f>IF(G1551=$L1551,1,IF(G1551="","",0))</f>
        <v/>
      </c>
      <c r="G1551" s="14"/>
      <c r="H1551" s="6">
        <v>441</v>
      </c>
      <c r="I1551" s="15" t="s">
        <v>3120</v>
      </c>
      <c r="J1551" s="6" t="s">
        <v>3587</v>
      </c>
      <c r="K1551" s="6"/>
      <c r="L1551" s="6" t="s">
        <v>570</v>
      </c>
      <c r="M1551" s="6" t="s">
        <v>6550</v>
      </c>
      <c r="N1551" s="7">
        <f ca="1">RAND()</f>
        <v>0.58935680917629096</v>
      </c>
      <c r="O1551" s="8">
        <v>45202</v>
      </c>
      <c r="P1551" s="8">
        <v>45203</v>
      </c>
      <c r="Q1551" s="8">
        <v>45205</v>
      </c>
      <c r="R1551" s="8">
        <v>45209</v>
      </c>
      <c r="S1551" s="8">
        <v>45216</v>
      </c>
      <c r="T1551" s="8">
        <v>45228</v>
      </c>
      <c r="U1551" s="8">
        <v>45827</v>
      </c>
      <c r="V1551" s="10">
        <f>COUNTA(O1551:U1551)</f>
        <v>7</v>
      </c>
      <c r="W1551" s="11">
        <f>_xlfn.IFNA(INDEX(reading[[#This Row],[Memo 01]:[Memo 07]],MATCH(0,reading[[#This Row],[Memo 01]:[Memo 07]],-1)),"")</f>
        <v>45827</v>
      </c>
      <c r="X1551" s="11">
        <f ca="1">IFERROR(reading[[#This Row],[Previous]]+OFFSET(reading[[#Headers],[Memo 01]],-1,MATCH(0,reading[[#This Row],[Memo 01]:[Memo 07]],-1)-1),"")</f>
        <v>55827</v>
      </c>
      <c r="Y1551" s="10" t="str">
        <f ca="1">IF(reading[[#This Row],[Next]]&lt;&gt;"",IF(reading[[#This Row],[Next]]&gt;TODAY(),"OK",""),"")</f>
        <v>OK</v>
      </c>
      <c r="Z1551" s="13">
        <v>3</v>
      </c>
      <c r="AA1551" s="13">
        <v>3</v>
      </c>
      <c r="AB1551" s="13">
        <v>3</v>
      </c>
      <c r="AC1551" s="13">
        <v>3</v>
      </c>
      <c r="AD1551" s="13">
        <v>3</v>
      </c>
      <c r="AE1551" s="13">
        <v>3</v>
      </c>
      <c r="AF1551" s="13">
        <v>3</v>
      </c>
      <c r="AG1551" s="16">
        <f>IFERROR(SUMIF(reading[[#This Row],[1st]:[7th]],"&gt;0")/COUNTIF(reading[[#This Row],[1st]:[7th]],"&gt;0"),"")</f>
        <v>3</v>
      </c>
    </row>
    <row r="1552" spans="1:33" hidden="1" x14ac:dyDescent="0.2">
      <c r="A1552" s="4">
        <f>IF(B1552=1,3,IF(D1552=1,2,IF(F1552=1,1,0)))</f>
        <v>0</v>
      </c>
      <c r="B1552" s="4" t="str">
        <f>IF(C1552=$L1552,1,IF(C1552="","",0))</f>
        <v/>
      </c>
      <c r="C1552" s="42"/>
      <c r="D1552" s="4" t="str">
        <f>IF(E1552=$L1552,1,IF(E1552="","",0))</f>
        <v/>
      </c>
      <c r="E1552" s="14"/>
      <c r="F1552" s="4" t="str">
        <f>IF(G1552=$L1552,1,IF(G1552="","",0))</f>
        <v/>
      </c>
      <c r="G1552" s="14"/>
      <c r="H1552" s="6">
        <v>1123</v>
      </c>
      <c r="I1552" s="15" t="s">
        <v>3120</v>
      </c>
      <c r="J1552" s="6" t="s">
        <v>4245</v>
      </c>
      <c r="K1552" s="6"/>
      <c r="L1552" s="6" t="s">
        <v>1228</v>
      </c>
      <c r="M1552" s="6" t="s">
        <v>7231</v>
      </c>
      <c r="N1552" s="7">
        <f ca="1">RAND()</f>
        <v>0.87378777970871169</v>
      </c>
      <c r="O1552" s="8">
        <v>45205</v>
      </c>
      <c r="P1552" s="8">
        <v>45206</v>
      </c>
      <c r="Q1552" s="8">
        <v>45208</v>
      </c>
      <c r="R1552" s="8">
        <v>45212</v>
      </c>
      <c r="S1552" s="8">
        <v>45219</v>
      </c>
      <c r="T1552" s="8">
        <v>45231</v>
      </c>
      <c r="U1552" s="8">
        <v>45823</v>
      </c>
      <c r="V1552" s="10">
        <f>COUNTA(O1552:U1552)</f>
        <v>7</v>
      </c>
      <c r="W1552" s="11">
        <f>_xlfn.IFNA(INDEX(reading[[#This Row],[Memo 01]:[Memo 07]],MATCH(0,reading[[#This Row],[Memo 01]:[Memo 07]],-1)),"")</f>
        <v>45823</v>
      </c>
      <c r="X1552" s="11">
        <f ca="1">IFERROR(reading[[#This Row],[Previous]]+OFFSET(reading[[#Headers],[Memo 01]],-1,MATCH(0,reading[[#This Row],[Memo 01]:[Memo 07]],-1)-1),"")</f>
        <v>55823</v>
      </c>
      <c r="Y1552" s="10" t="str">
        <f ca="1">IF(reading[[#This Row],[Next]]&lt;&gt;"",IF(reading[[#This Row],[Next]]&gt;TODAY(),"OK",""),"")</f>
        <v>OK</v>
      </c>
      <c r="Z1552" s="13">
        <v>3</v>
      </c>
      <c r="AA1552" s="13">
        <v>3</v>
      </c>
      <c r="AB1552" s="13">
        <v>3</v>
      </c>
      <c r="AC1552" s="13">
        <v>3</v>
      </c>
      <c r="AD1552" s="13">
        <v>3</v>
      </c>
      <c r="AE1552" s="13">
        <v>3</v>
      </c>
      <c r="AF1552" s="13">
        <v>3</v>
      </c>
      <c r="AG1552" s="16">
        <f>IFERROR(SUMIF(reading[[#This Row],[1st]:[7th]],"&gt;0")/COUNTIF(reading[[#This Row],[1st]:[7th]],"&gt;0"),"")</f>
        <v>3</v>
      </c>
    </row>
    <row r="1553" spans="1:33" hidden="1" x14ac:dyDescent="0.2">
      <c r="A1553" s="4">
        <f>IF(B1553=1,3,IF(D1553=1,2,IF(F1553=1,1,0)))</f>
        <v>0</v>
      </c>
      <c r="B1553" s="4" t="str">
        <f>IF(C1553=$L1553,1,IF(C1553="","",0))</f>
        <v/>
      </c>
      <c r="C1553" s="42"/>
      <c r="D1553" s="4" t="str">
        <f>IF(E1553=$L1553,1,IF(E1553="","",0))</f>
        <v/>
      </c>
      <c r="E1553" s="43"/>
      <c r="F1553" s="4" t="str">
        <f>IF(G1553=$L1553,1,IF(G1553="","",0))</f>
        <v/>
      </c>
      <c r="G1553" s="43"/>
      <c r="H1553" s="6">
        <v>1321</v>
      </c>
      <c r="I1553" s="15" t="s">
        <v>3120</v>
      </c>
      <c r="J1553" s="6" t="s">
        <v>4437</v>
      </c>
      <c r="K1553" s="6"/>
      <c r="L1553" s="6" t="s">
        <v>1418</v>
      </c>
      <c r="M1553" s="6" t="s">
        <v>7428</v>
      </c>
      <c r="N1553" s="7">
        <f ca="1">RAND()</f>
        <v>0.96970449647285073</v>
      </c>
      <c r="O1553" s="8">
        <v>45207</v>
      </c>
      <c r="P1553" s="8">
        <v>45208</v>
      </c>
      <c r="Q1553" s="8">
        <v>45210</v>
      </c>
      <c r="R1553" s="8">
        <v>45214</v>
      </c>
      <c r="S1553" s="8">
        <v>45221</v>
      </c>
      <c r="T1553" s="8">
        <v>45233</v>
      </c>
      <c r="U1553" s="8">
        <v>45816</v>
      </c>
      <c r="V1553" s="10">
        <f>COUNTA(O1553:U1553)</f>
        <v>7</v>
      </c>
      <c r="W1553" s="11">
        <f>_xlfn.IFNA(INDEX(reading[[#This Row],[Memo 01]:[Memo 07]],MATCH(0,reading[[#This Row],[Memo 01]:[Memo 07]],-1)),"")</f>
        <v>45816</v>
      </c>
      <c r="X1553" s="11">
        <f ca="1">IFERROR(reading[[#This Row],[Previous]]+OFFSET(reading[[#Headers],[Memo 01]],-1,MATCH(0,reading[[#This Row],[Memo 01]:[Memo 07]],-1)-1),"")</f>
        <v>55816</v>
      </c>
      <c r="Y1553" s="10" t="str">
        <f ca="1">IF(reading[[#This Row],[Next]]&lt;&gt;"",IF(reading[[#This Row],[Next]]&gt;TODAY(),"OK",""),"")</f>
        <v>OK</v>
      </c>
      <c r="Z1553" s="13">
        <v>3</v>
      </c>
      <c r="AA1553" s="13">
        <v>3</v>
      </c>
      <c r="AB1553" s="13">
        <v>3</v>
      </c>
      <c r="AC1553" s="13">
        <v>1</v>
      </c>
      <c r="AD1553" s="13">
        <v>2</v>
      </c>
      <c r="AE1553" s="13">
        <v>2</v>
      </c>
      <c r="AF1553" s="13">
        <v>1</v>
      </c>
      <c r="AG1553" s="16">
        <f>IFERROR(SUMIF(reading[[#This Row],[1st]:[7th]],"&gt;0")/COUNTIF(reading[[#This Row],[1st]:[7th]],"&gt;0"),"")</f>
        <v>2.1428571428571428</v>
      </c>
    </row>
    <row r="1554" spans="1:33" hidden="1" x14ac:dyDescent="0.2">
      <c r="A1554" s="4">
        <f>IF(B1554=1,3,IF(D1554=1,2,IF(F1554=1,1,0)))</f>
        <v>0</v>
      </c>
      <c r="B1554" s="4" t="str">
        <f>IF(C1554=$L1554,1,IF(C1554="","",0))</f>
        <v/>
      </c>
      <c r="C1554" s="42"/>
      <c r="D1554" s="4" t="str">
        <f>IF(E1554=$L1554,1,IF(E1554="","",0))</f>
        <v/>
      </c>
      <c r="E1554" s="14"/>
      <c r="F1554" s="4" t="str">
        <f>IF(G1554=$L1554,1,IF(G1554="","",0))</f>
        <v/>
      </c>
      <c r="G1554" s="14"/>
      <c r="H1554" s="6">
        <v>2869</v>
      </c>
      <c r="I1554" s="15" t="s">
        <v>3120</v>
      </c>
      <c r="J1554" s="6" t="s">
        <v>5907</v>
      </c>
      <c r="K1554" s="6"/>
      <c r="L1554" s="6" t="s">
        <v>2900</v>
      </c>
      <c r="M1554" s="6" t="s">
        <v>8973</v>
      </c>
      <c r="N1554" s="7">
        <f ca="1">RAND()</f>
        <v>0.10743264649267259</v>
      </c>
      <c r="O1554" s="8">
        <v>45222</v>
      </c>
      <c r="P1554" s="8">
        <v>45223</v>
      </c>
      <c r="Q1554" s="8">
        <v>45225</v>
      </c>
      <c r="R1554" s="8">
        <v>45229</v>
      </c>
      <c r="S1554" s="8">
        <v>45236</v>
      </c>
      <c r="T1554" s="8">
        <v>45827</v>
      </c>
      <c r="U1554" s="8"/>
      <c r="V1554" s="10">
        <f>COUNTA(O1554:U1554)</f>
        <v>6</v>
      </c>
      <c r="W1554" s="11">
        <f>_xlfn.IFNA(INDEX(reading[[#This Row],[Memo 01]:[Memo 07]],MATCH(0,reading[[#This Row],[Memo 01]:[Memo 07]],-1)),"")</f>
        <v>45827</v>
      </c>
      <c r="X1554" s="11">
        <f ca="1">IFERROR(reading[[#This Row],[Previous]]+OFFSET(reading[[#Headers],[Memo 01]],-1,MATCH(0,reading[[#This Row],[Memo 01]:[Memo 07]],-1)-1),"")</f>
        <v>45847</v>
      </c>
      <c r="Y1554" s="10" t="str">
        <f ca="1">IF(reading[[#This Row],[Next]]&lt;&gt;"",IF(reading[[#This Row],[Next]]&gt;TODAY(),"OK",""),"")</f>
        <v>OK</v>
      </c>
      <c r="Z1554" s="13">
        <v>3</v>
      </c>
      <c r="AA1554" s="13">
        <v>3</v>
      </c>
      <c r="AB1554" s="13">
        <v>3</v>
      </c>
      <c r="AC1554" s="13">
        <v>3</v>
      </c>
      <c r="AD1554" s="13">
        <v>3</v>
      </c>
      <c r="AE1554" s="13">
        <v>3</v>
      </c>
      <c r="AF1554" s="13"/>
      <c r="AG1554" s="16">
        <f>IFERROR(SUMIF(reading[[#This Row],[1st]:[7th]],"&gt;0")/COUNTIF(reading[[#This Row],[1st]:[7th]],"&gt;0"),"")</f>
        <v>3</v>
      </c>
    </row>
    <row r="1555" spans="1:33" hidden="1" x14ac:dyDescent="0.2">
      <c r="A1555" s="4">
        <f>IF(B1555=1,3,IF(D1555=1,2,IF(F1555=1,1,0)))</f>
        <v>0</v>
      </c>
      <c r="B1555" s="4" t="str">
        <f>IF(C1555=$L1555,1,IF(C1555="","",0))</f>
        <v/>
      </c>
      <c r="C1555" s="42"/>
      <c r="D1555" s="4" t="str">
        <f>IF(E1555=$L1555,1,IF(E1555="","",0))</f>
        <v/>
      </c>
      <c r="E1555" s="23"/>
      <c r="F1555" s="4" t="str">
        <f>IF(G1555=$L1555,1,IF(G1555="","",0))</f>
        <v/>
      </c>
      <c r="G1555" s="23"/>
      <c r="H1555" s="6">
        <v>2582</v>
      </c>
      <c r="I1555" s="15" t="s">
        <v>3120</v>
      </c>
      <c r="J1555" s="6" t="s">
        <v>5642</v>
      </c>
      <c r="K1555" s="6"/>
      <c r="L1555" s="6" t="s">
        <v>2626</v>
      </c>
      <c r="M1555" s="6" t="s">
        <v>8687</v>
      </c>
      <c r="N1555" s="7">
        <f ca="1">RAND()</f>
        <v>0.52029382255428513</v>
      </c>
      <c r="O1555" s="8">
        <v>45220</v>
      </c>
      <c r="P1555" s="8">
        <v>45221</v>
      </c>
      <c r="Q1555" s="8">
        <v>45223</v>
      </c>
      <c r="R1555" s="8">
        <v>45227</v>
      </c>
      <c r="S1555" s="8">
        <v>45234</v>
      </c>
      <c r="T1555" s="8">
        <v>45816</v>
      </c>
      <c r="U1555" s="8"/>
      <c r="V1555" s="10">
        <f>COUNTA(O1555:U1555)</f>
        <v>6</v>
      </c>
      <c r="W1555" s="11">
        <f>_xlfn.IFNA(INDEX(reading[[#This Row],[Memo 01]:[Memo 07]],MATCH(0,reading[[#This Row],[Memo 01]:[Memo 07]],-1)),"")</f>
        <v>45816</v>
      </c>
      <c r="X1555" s="11">
        <f ca="1">IFERROR(reading[[#This Row],[Previous]]+OFFSET(reading[[#Headers],[Memo 01]],-1,MATCH(0,reading[[#This Row],[Memo 01]:[Memo 07]],-1)-1),"")</f>
        <v>45836</v>
      </c>
      <c r="Y1555" s="10" t="str">
        <f ca="1">IF(reading[[#This Row],[Next]]&lt;&gt;"",IF(reading[[#This Row],[Next]]&gt;TODAY(),"OK",""),"")</f>
        <v>OK</v>
      </c>
      <c r="Z1555" s="13">
        <v>3</v>
      </c>
      <c r="AA1555" s="13">
        <v>3</v>
      </c>
      <c r="AB1555" s="13">
        <v>3</v>
      </c>
      <c r="AC1555" s="13">
        <v>3</v>
      </c>
      <c r="AD1555" s="13">
        <v>3</v>
      </c>
      <c r="AE1555" s="13">
        <v>1</v>
      </c>
      <c r="AF1555" s="13"/>
      <c r="AG1555" s="16">
        <f>IFERROR(SUMIF(reading[[#This Row],[1st]:[7th]],"&gt;0")/COUNTIF(reading[[#This Row],[1st]:[7th]],"&gt;0"),"")</f>
        <v>2.6666666666666665</v>
      </c>
    </row>
    <row r="1556" spans="1:33" hidden="1" x14ac:dyDescent="0.2">
      <c r="A1556" s="4">
        <f>IF(B1556=1,3,IF(D1556=1,2,IF(F1556=1,1,0)))</f>
        <v>3</v>
      </c>
      <c r="B1556" s="4">
        <f>IF(C1556=$L1556,1,IF(C1556="","",0))</f>
        <v>1</v>
      </c>
      <c r="C1556" s="30" t="s">
        <v>1645</v>
      </c>
      <c r="D1556" s="4" t="str">
        <f>IF(E1556=$L1556,1,IF(E1556="","",0))</f>
        <v/>
      </c>
      <c r="E1556" s="14"/>
      <c r="F1556" s="4" t="str">
        <f>IF(G1556=$L1556,1,IF(G1556="","",0))</f>
        <v/>
      </c>
      <c r="G1556" s="14"/>
      <c r="H1556" s="6">
        <v>1560</v>
      </c>
      <c r="I1556" s="15" t="s">
        <v>3120</v>
      </c>
      <c r="J1556" s="6" t="s">
        <v>4673</v>
      </c>
      <c r="K1556" s="6"/>
      <c r="L1556" s="6" t="s">
        <v>1645</v>
      </c>
      <c r="M1556" s="6" t="s">
        <v>7666</v>
      </c>
      <c r="N1556" s="7">
        <f ca="1">RAND()</f>
        <v>0.68509382072941971</v>
      </c>
      <c r="O1556" s="8">
        <v>45209</v>
      </c>
      <c r="P1556" s="8">
        <v>45209</v>
      </c>
      <c r="Q1556" s="8">
        <v>45209</v>
      </c>
      <c r="R1556" s="8">
        <v>45209</v>
      </c>
      <c r="S1556" s="8">
        <v>45209</v>
      </c>
      <c r="T1556" s="8">
        <v>45209</v>
      </c>
      <c r="U1556" s="8">
        <v>45209</v>
      </c>
      <c r="V1556" s="10">
        <f>COUNTA(O1556:U1556)</f>
        <v>7</v>
      </c>
      <c r="W1556" s="11">
        <f>_xlfn.IFNA(INDEX(reading[[#This Row],[Memo 01]:[Memo 07]],MATCH(0,reading[[#This Row],[Memo 01]:[Memo 07]],-1)),"")</f>
        <v>45209</v>
      </c>
      <c r="X1556" s="11">
        <f ca="1">IFERROR(reading[[#This Row],[Previous]]+OFFSET(reading[[#Headers],[Memo 01]],-1,MATCH(0,reading[[#This Row],[Memo 01]:[Memo 07]],-1)-1),"")</f>
        <v>55209</v>
      </c>
      <c r="Y1556" s="10" t="str">
        <f ca="1">IF(reading[[#This Row],[Next]]&lt;&gt;"",IF(reading[[#This Row],[Next]]&gt;TODAY(),"OK",""),"")</f>
        <v>OK</v>
      </c>
      <c r="Z1556" s="13">
        <v>3</v>
      </c>
      <c r="AA1556" s="13"/>
      <c r="AB1556" s="13"/>
      <c r="AC1556" s="13"/>
      <c r="AD1556" s="13"/>
      <c r="AE1556" s="13"/>
      <c r="AF1556" s="13"/>
      <c r="AG1556" s="16">
        <f>IFERROR(SUMIF(reading[[#This Row],[1st]:[7th]],"&gt;0")/COUNTIF(reading[[#This Row],[1st]:[7th]],"&gt;0"),"")</f>
        <v>3</v>
      </c>
    </row>
    <row r="1557" spans="1:33" hidden="1" x14ac:dyDescent="0.2">
      <c r="A1557" s="4">
        <f>IF(B1557=1,3,IF(D1557=1,2,IF(F1557=1,1,0)))</f>
        <v>0</v>
      </c>
      <c r="B1557" s="4" t="str">
        <f>IF(C1557=$L1557,1,IF(C1557="","",0))</f>
        <v/>
      </c>
      <c r="C1557" s="42"/>
      <c r="D1557" s="4" t="str">
        <f>IF(E1557=$L1557,1,IF(E1557="","",0))</f>
        <v/>
      </c>
      <c r="E1557" s="23"/>
      <c r="F1557" s="4" t="str">
        <f>IF(G1557=$L1557,1,IF(G1557="","",0))</f>
        <v/>
      </c>
      <c r="G1557" s="18"/>
      <c r="H1557" s="6">
        <v>1229</v>
      </c>
      <c r="I1557" s="15" t="s">
        <v>3120</v>
      </c>
      <c r="J1557" s="6" t="s">
        <v>4346</v>
      </c>
      <c r="K1557" s="24" t="s">
        <v>3150</v>
      </c>
      <c r="L1557" s="6" t="s">
        <v>1329</v>
      </c>
      <c r="M1557" s="6" t="s">
        <v>7336</v>
      </c>
      <c r="N1557" s="7">
        <f ca="1">RAND()</f>
        <v>0.61816370026731671</v>
      </c>
      <c r="O1557" s="8">
        <v>45206</v>
      </c>
      <c r="P1557" s="8">
        <v>45207</v>
      </c>
      <c r="Q1557" s="8">
        <v>45209</v>
      </c>
      <c r="R1557" s="8">
        <v>45213</v>
      </c>
      <c r="S1557" s="8">
        <v>45220</v>
      </c>
      <c r="T1557" s="8">
        <v>45232</v>
      </c>
      <c r="U1557" s="8">
        <v>45253</v>
      </c>
      <c r="V1557" s="10">
        <f>COUNTA(O1557:U1557)</f>
        <v>7</v>
      </c>
      <c r="W1557" s="11">
        <f>_xlfn.IFNA(INDEX(reading[[#This Row],[Memo 01]:[Memo 07]],MATCH(0,reading[[#This Row],[Memo 01]:[Memo 07]],-1)),"")</f>
        <v>45253</v>
      </c>
      <c r="X1557" s="11">
        <f ca="1">IFERROR(reading[[#This Row],[Previous]]+OFFSET(reading[[#Headers],[Memo 01]],-1,MATCH(0,reading[[#This Row],[Memo 01]:[Memo 07]],-1)-1),"")</f>
        <v>55253</v>
      </c>
      <c r="Y1557" s="10" t="str">
        <f ca="1">IF(reading[[#This Row],[Next]]&lt;&gt;"",IF(reading[[#This Row],[Next]]&gt;TODAY(),"OK",""),"")</f>
        <v>OK</v>
      </c>
      <c r="Z1557" s="13">
        <v>3</v>
      </c>
      <c r="AA1557" s="13">
        <v>3</v>
      </c>
      <c r="AB1557" s="13">
        <v>2</v>
      </c>
      <c r="AC1557" s="13">
        <v>1</v>
      </c>
      <c r="AD1557" s="13">
        <v>2</v>
      </c>
      <c r="AE1557" s="13">
        <v>3</v>
      </c>
      <c r="AF1557" s="13">
        <v>2</v>
      </c>
      <c r="AG1557" s="16">
        <f>IFERROR(SUMIF(reading[[#This Row],[1st]:[7th]],"&gt;0")/COUNTIF(reading[[#This Row],[1st]:[7th]],"&gt;0"),"")</f>
        <v>2.2857142857142856</v>
      </c>
    </row>
    <row r="1558" spans="1:33" hidden="1" x14ac:dyDescent="0.2">
      <c r="A1558" s="4">
        <f>IF(B1558=1,3,IF(D1558=1,2,IF(F1558=1,1,0)))</f>
        <v>0</v>
      </c>
      <c r="B1558" s="4" t="str">
        <f>IF(C1558=$L1558,1,IF(C1558="","",0))</f>
        <v/>
      </c>
      <c r="C1558" s="42"/>
      <c r="D1558" s="4" t="str">
        <f>IF(E1558=$L1558,1,IF(E1558="","",0))</f>
        <v/>
      </c>
      <c r="E1558" s="14"/>
      <c r="F1558" s="4" t="str">
        <f>IF(G1558=$L1558,1,IF(G1558="","",0))</f>
        <v/>
      </c>
      <c r="G1558" s="14"/>
      <c r="H1558" s="6">
        <v>1306</v>
      </c>
      <c r="I1558" s="15" t="s">
        <v>3120</v>
      </c>
      <c r="J1558" s="6" t="s">
        <v>4423</v>
      </c>
      <c r="K1558" s="6"/>
      <c r="L1558" s="6" t="s">
        <v>1403</v>
      </c>
      <c r="M1558" s="6" t="s">
        <v>7413</v>
      </c>
      <c r="N1558" s="7">
        <f ca="1">RAND()</f>
        <v>5.9765482518788104E-2</v>
      </c>
      <c r="O1558" s="8">
        <v>45207</v>
      </c>
      <c r="P1558" s="8">
        <v>45208</v>
      </c>
      <c r="Q1558" s="8">
        <v>45210</v>
      </c>
      <c r="R1558" s="8">
        <v>45214</v>
      </c>
      <c r="S1558" s="8">
        <v>45221</v>
      </c>
      <c r="T1558" s="8">
        <v>45233</v>
      </c>
      <c r="U1558" s="8">
        <v>45827</v>
      </c>
      <c r="V1558" s="10">
        <f>COUNTA(O1558:U1558)</f>
        <v>7</v>
      </c>
      <c r="W1558" s="11">
        <f>_xlfn.IFNA(INDEX(reading[[#This Row],[Memo 01]:[Memo 07]],MATCH(0,reading[[#This Row],[Memo 01]:[Memo 07]],-1)),"")</f>
        <v>45827</v>
      </c>
      <c r="X1558" s="11">
        <f ca="1">IFERROR(reading[[#This Row],[Previous]]+OFFSET(reading[[#Headers],[Memo 01]],-1,MATCH(0,reading[[#This Row],[Memo 01]:[Memo 07]],-1)-1),"")</f>
        <v>55827</v>
      </c>
      <c r="Y1558" s="10" t="str">
        <f ca="1">IF(reading[[#This Row],[Next]]&lt;&gt;"",IF(reading[[#This Row],[Next]]&gt;TODAY(),"OK",""),"")</f>
        <v>OK</v>
      </c>
      <c r="Z1558" s="13">
        <v>3</v>
      </c>
      <c r="AA1558" s="13">
        <v>3</v>
      </c>
      <c r="AB1558" s="13">
        <v>3</v>
      </c>
      <c r="AC1558" s="13">
        <v>3</v>
      </c>
      <c r="AD1558" s="13">
        <v>3</v>
      </c>
      <c r="AE1558" s="13">
        <v>3</v>
      </c>
      <c r="AF1558" s="13">
        <v>3</v>
      </c>
      <c r="AG1558" s="16">
        <f>IFERROR(SUMIF(reading[[#This Row],[1st]:[7th]],"&gt;0")/COUNTIF(reading[[#This Row],[1st]:[7th]],"&gt;0"),"")</f>
        <v>3</v>
      </c>
    </row>
    <row r="1559" spans="1:33" hidden="1" x14ac:dyDescent="0.2">
      <c r="A1559" s="4">
        <f>IF(B1559=1,3,IF(D1559=1,2,IF(F1559=1,1,0)))</f>
        <v>3</v>
      </c>
      <c r="B1559" s="4">
        <f>IF(C1559=$L1559,1,IF(C1559="","",0))</f>
        <v>1</v>
      </c>
      <c r="C1559" s="30" t="s">
        <v>1648</v>
      </c>
      <c r="D1559" s="4" t="str">
        <f>IF(E1559=$L1559,1,IF(E1559="","",0))</f>
        <v/>
      </c>
      <c r="E1559" s="14"/>
      <c r="F1559" s="4" t="str">
        <f>IF(G1559=$L1559,1,IF(G1559="","",0))</f>
        <v/>
      </c>
      <c r="G1559" s="14"/>
      <c r="H1559" s="6">
        <v>1563</v>
      </c>
      <c r="I1559" s="15" t="s">
        <v>3120</v>
      </c>
      <c r="J1559" s="6" t="s">
        <v>4676</v>
      </c>
      <c r="K1559" s="6"/>
      <c r="L1559" s="6" t="s">
        <v>1648</v>
      </c>
      <c r="M1559" s="6" t="s">
        <v>7669</v>
      </c>
      <c r="N1559" s="7">
        <f ca="1">RAND()</f>
        <v>1.2553211344105586E-2</v>
      </c>
      <c r="O1559" s="8">
        <v>45209</v>
      </c>
      <c r="P1559" s="8">
        <v>45209</v>
      </c>
      <c r="Q1559" s="8">
        <v>45209</v>
      </c>
      <c r="R1559" s="8">
        <v>45209</v>
      </c>
      <c r="S1559" s="8">
        <v>45209</v>
      </c>
      <c r="T1559" s="8">
        <v>45209</v>
      </c>
      <c r="U1559" s="8">
        <v>45209</v>
      </c>
      <c r="V1559" s="10">
        <f>COUNTA(O1559:U1559)</f>
        <v>7</v>
      </c>
      <c r="W1559" s="11">
        <f>_xlfn.IFNA(INDEX(reading[[#This Row],[Memo 01]:[Memo 07]],MATCH(0,reading[[#This Row],[Memo 01]:[Memo 07]],-1)),"")</f>
        <v>45209</v>
      </c>
      <c r="X1559" s="11">
        <f ca="1">IFERROR(reading[[#This Row],[Previous]]+OFFSET(reading[[#Headers],[Memo 01]],-1,MATCH(0,reading[[#This Row],[Memo 01]:[Memo 07]],-1)-1),"")</f>
        <v>55209</v>
      </c>
      <c r="Y1559" s="10" t="str">
        <f ca="1">IF(reading[[#This Row],[Next]]&lt;&gt;"",IF(reading[[#This Row],[Next]]&gt;TODAY(),"OK",""),"")</f>
        <v>OK</v>
      </c>
      <c r="Z1559" s="13">
        <v>3</v>
      </c>
      <c r="AA1559" s="13"/>
      <c r="AB1559" s="13"/>
      <c r="AC1559" s="13"/>
      <c r="AD1559" s="13"/>
      <c r="AE1559" s="13"/>
      <c r="AF1559" s="13"/>
      <c r="AG1559" s="16">
        <f>IFERROR(SUMIF(reading[[#This Row],[1st]:[7th]],"&gt;0")/COUNTIF(reading[[#This Row],[1st]:[7th]],"&gt;0"),"")</f>
        <v>3</v>
      </c>
    </row>
    <row r="1560" spans="1:33" hidden="1" x14ac:dyDescent="0.2">
      <c r="A1560" s="4">
        <f>IF(B1560=1,3,IF(D1560=1,2,IF(F1560=1,1,0)))</f>
        <v>0</v>
      </c>
      <c r="B1560" s="4" t="str">
        <f>IF(C1560=$L1560,1,IF(C1560="","",0))</f>
        <v/>
      </c>
      <c r="C1560" s="42"/>
      <c r="D1560" s="4" t="str">
        <f>IF(E1560=$L1560,1,IF(E1560="","",0))</f>
        <v/>
      </c>
      <c r="E1560" s="14"/>
      <c r="F1560" s="4" t="str">
        <f>IF(G1560=$L1560,1,IF(G1560="","",0))</f>
        <v/>
      </c>
      <c r="G1560" s="14"/>
      <c r="H1560" s="6">
        <v>2796</v>
      </c>
      <c r="I1560" s="15" t="s">
        <v>3120</v>
      </c>
      <c r="J1560" s="6" t="s">
        <v>5839</v>
      </c>
      <c r="K1560" s="6"/>
      <c r="L1560" s="6" t="s">
        <v>2833</v>
      </c>
      <c r="M1560" s="6" t="s">
        <v>8900</v>
      </c>
      <c r="N1560" s="7">
        <f ca="1">RAND()</f>
        <v>0.85009278382439435</v>
      </c>
      <c r="O1560" s="8">
        <v>45221</v>
      </c>
      <c r="P1560" s="8">
        <v>45222</v>
      </c>
      <c r="Q1560" s="8">
        <v>45224</v>
      </c>
      <c r="R1560" s="8">
        <v>45228</v>
      </c>
      <c r="S1560" s="8">
        <v>45235</v>
      </c>
      <c r="T1560" s="8">
        <v>45827</v>
      </c>
      <c r="U1560" s="8"/>
      <c r="V1560" s="10">
        <f>COUNTA(O1560:U1560)</f>
        <v>6</v>
      </c>
      <c r="W1560" s="11">
        <f>_xlfn.IFNA(INDEX(reading[[#This Row],[Memo 01]:[Memo 07]],MATCH(0,reading[[#This Row],[Memo 01]:[Memo 07]],-1)),"")</f>
        <v>45827</v>
      </c>
      <c r="X1560" s="11">
        <f ca="1">IFERROR(reading[[#This Row],[Previous]]+OFFSET(reading[[#Headers],[Memo 01]],-1,MATCH(0,reading[[#This Row],[Memo 01]:[Memo 07]],-1)-1),"")</f>
        <v>45847</v>
      </c>
      <c r="Y1560" s="10" t="str">
        <f ca="1">IF(reading[[#This Row],[Next]]&lt;&gt;"",IF(reading[[#This Row],[Next]]&gt;TODAY(),"OK",""),"")</f>
        <v>OK</v>
      </c>
      <c r="Z1560" s="13">
        <v>3</v>
      </c>
      <c r="AA1560" s="13">
        <v>3</v>
      </c>
      <c r="AB1560" s="13">
        <v>3</v>
      </c>
      <c r="AC1560" s="13">
        <v>3</v>
      </c>
      <c r="AD1560" s="13">
        <v>3</v>
      </c>
      <c r="AE1560" s="13">
        <v>3</v>
      </c>
      <c r="AF1560" s="13"/>
      <c r="AG1560" s="16">
        <f>IFERROR(SUMIF(reading[[#This Row],[1st]:[7th]],"&gt;0")/COUNTIF(reading[[#This Row],[1st]:[7th]],"&gt;0"),"")</f>
        <v>3</v>
      </c>
    </row>
    <row r="1561" spans="1:33" hidden="1" x14ac:dyDescent="0.2">
      <c r="A1561" s="4">
        <f>IF(B1561=1,3,IF(D1561=1,2,IF(F1561=1,1,0)))</f>
        <v>0</v>
      </c>
      <c r="B1561" s="4" t="str">
        <f>IF(C1561=$L1561,1,IF(C1561="","",0))</f>
        <v/>
      </c>
      <c r="C1561" s="42"/>
      <c r="D1561" s="4" t="str">
        <f>IF(E1561=$L1561,1,IF(E1561="","",0))</f>
        <v/>
      </c>
      <c r="E1561" s="14"/>
      <c r="F1561" s="4" t="str">
        <f>IF(G1561=$L1561,1,IF(G1561="","",0))</f>
        <v/>
      </c>
      <c r="G1561" s="14"/>
      <c r="H1561" s="6">
        <v>1183</v>
      </c>
      <c r="I1561" s="15" t="s">
        <v>3120</v>
      </c>
      <c r="J1561" s="6" t="s">
        <v>4302</v>
      </c>
      <c r="K1561" s="6"/>
      <c r="L1561" s="6" t="s">
        <v>1285</v>
      </c>
      <c r="M1561" s="6" t="s">
        <v>7291</v>
      </c>
      <c r="N1561" s="7">
        <f ca="1">RAND()</f>
        <v>0.99848599277073857</v>
      </c>
      <c r="O1561" s="8">
        <v>45206</v>
      </c>
      <c r="P1561" s="8">
        <v>45207</v>
      </c>
      <c r="Q1561" s="8">
        <v>45209</v>
      </c>
      <c r="R1561" s="8">
        <v>45213</v>
      </c>
      <c r="S1561" s="8">
        <v>45220</v>
      </c>
      <c r="T1561" s="8">
        <v>45232</v>
      </c>
      <c r="U1561" s="8">
        <v>45823</v>
      </c>
      <c r="V1561" s="10">
        <f>COUNTA(O1561:U1561)</f>
        <v>7</v>
      </c>
      <c r="W1561" s="11">
        <f>_xlfn.IFNA(INDEX(reading[[#This Row],[Memo 01]:[Memo 07]],MATCH(0,reading[[#This Row],[Memo 01]:[Memo 07]],-1)),"")</f>
        <v>45823</v>
      </c>
      <c r="X1561" s="11">
        <f ca="1">IFERROR(reading[[#This Row],[Previous]]+OFFSET(reading[[#Headers],[Memo 01]],-1,MATCH(0,reading[[#This Row],[Memo 01]:[Memo 07]],-1)-1),"")</f>
        <v>55823</v>
      </c>
      <c r="Y1561" s="10" t="str">
        <f ca="1">IF(reading[[#This Row],[Next]]&lt;&gt;"",IF(reading[[#This Row],[Next]]&gt;TODAY(),"OK",""),"")</f>
        <v>OK</v>
      </c>
      <c r="Z1561" s="13">
        <v>3</v>
      </c>
      <c r="AA1561" s="13">
        <v>3</v>
      </c>
      <c r="AB1561" s="13">
        <v>3</v>
      </c>
      <c r="AC1561" s="13">
        <v>3</v>
      </c>
      <c r="AD1561" s="13">
        <v>3</v>
      </c>
      <c r="AE1561" s="13">
        <v>3</v>
      </c>
      <c r="AF1561" s="13">
        <v>3</v>
      </c>
      <c r="AG1561" s="16">
        <f>IFERROR(SUMIF(reading[[#This Row],[1st]:[7th]],"&gt;0")/COUNTIF(reading[[#This Row],[1st]:[7th]],"&gt;0"),"")</f>
        <v>3</v>
      </c>
    </row>
    <row r="1562" spans="1:33" hidden="1" x14ac:dyDescent="0.2">
      <c r="A1562" s="4">
        <f>IF(B1562=1,3,IF(D1562=1,2,IF(F1562=1,1,0)))</f>
        <v>0</v>
      </c>
      <c r="B1562" s="4" t="str">
        <f>IF(C1562=$L1562,1,IF(C1562="","",0))</f>
        <v/>
      </c>
      <c r="C1562" s="42"/>
      <c r="D1562" s="4" t="str">
        <f>IF(E1562=$L1562,1,IF(E1562="","",0))</f>
        <v/>
      </c>
      <c r="E1562" s="23"/>
      <c r="F1562" s="4" t="str">
        <f>IF(G1562=$L1562,1,IF(G1562="","",0))</f>
        <v/>
      </c>
      <c r="G1562" s="23"/>
      <c r="H1562" s="6">
        <v>1621</v>
      </c>
      <c r="I1562" s="15" t="s">
        <v>3120</v>
      </c>
      <c r="J1562" s="6" t="s">
        <v>4733</v>
      </c>
      <c r="K1562" s="6"/>
      <c r="L1562" s="6" t="s">
        <v>1703</v>
      </c>
      <c r="M1562" s="6" t="s">
        <v>7727</v>
      </c>
      <c r="N1562" s="7">
        <f ca="1">RAND()</f>
        <v>0.13235401220634457</v>
      </c>
      <c r="O1562" s="8">
        <v>45210</v>
      </c>
      <c r="P1562" s="8">
        <v>45211</v>
      </c>
      <c r="Q1562" s="8">
        <v>45213</v>
      </c>
      <c r="R1562" s="8">
        <v>45217</v>
      </c>
      <c r="S1562" s="8">
        <v>45224</v>
      </c>
      <c r="T1562" s="8">
        <v>45236</v>
      </c>
      <c r="U1562" s="8">
        <v>45817</v>
      </c>
      <c r="V1562" s="10">
        <f>COUNTA(O1562:U1562)</f>
        <v>7</v>
      </c>
      <c r="W1562" s="11">
        <f>_xlfn.IFNA(INDEX(reading[[#This Row],[Memo 01]:[Memo 07]],MATCH(0,reading[[#This Row],[Memo 01]:[Memo 07]],-1)),"")</f>
        <v>45817</v>
      </c>
      <c r="X1562" s="11">
        <f ca="1">IFERROR(reading[[#This Row],[Previous]]+OFFSET(reading[[#Headers],[Memo 01]],-1,MATCH(0,reading[[#This Row],[Memo 01]:[Memo 07]],-1)-1),"")</f>
        <v>55817</v>
      </c>
      <c r="Y1562" s="10" t="str">
        <f ca="1">IF(reading[[#This Row],[Next]]&lt;&gt;"",IF(reading[[#This Row],[Next]]&gt;TODAY(),"OK",""),"")</f>
        <v>OK</v>
      </c>
      <c r="Z1562" s="13">
        <v>3</v>
      </c>
      <c r="AA1562" s="13">
        <v>3</v>
      </c>
      <c r="AB1562" s="13">
        <v>3</v>
      </c>
      <c r="AC1562" s="13">
        <v>3</v>
      </c>
      <c r="AD1562" s="13">
        <v>3</v>
      </c>
      <c r="AE1562" s="13">
        <v>3</v>
      </c>
      <c r="AF1562" s="13">
        <v>1</v>
      </c>
      <c r="AG1562" s="16">
        <f>IFERROR(SUMIF(reading[[#This Row],[1st]:[7th]],"&gt;0")/COUNTIF(reading[[#This Row],[1st]:[7th]],"&gt;0"),"")</f>
        <v>2.7142857142857144</v>
      </c>
    </row>
    <row r="1563" spans="1:33" hidden="1" x14ac:dyDescent="0.2">
      <c r="A1563" s="4">
        <f>IF(B1563=1,3,IF(D1563=1,2,IF(F1563=1,1,0)))</f>
        <v>0</v>
      </c>
      <c r="B1563" s="4" t="str">
        <f>IF(C1563=$L1563,1,IF(C1563="","",0))</f>
        <v/>
      </c>
      <c r="C1563" s="42"/>
      <c r="D1563" s="4" t="str">
        <f>IF(E1563=$L1563,1,IF(E1563="","",0))</f>
        <v/>
      </c>
      <c r="E1563" s="18"/>
      <c r="F1563" s="4" t="str">
        <f>IF(G1563=$L1563,1,IF(G1563="","",0))</f>
        <v/>
      </c>
      <c r="G1563" s="14"/>
      <c r="H1563" s="6">
        <v>2099</v>
      </c>
      <c r="I1563" s="15" t="s">
        <v>3120</v>
      </c>
      <c r="J1563" s="6" t="s">
        <v>5189</v>
      </c>
      <c r="K1563" s="6"/>
      <c r="L1563" s="6" t="s">
        <v>2169</v>
      </c>
      <c r="M1563" s="6" t="s">
        <v>8205</v>
      </c>
      <c r="N1563" s="7">
        <f ca="1">RAND()</f>
        <v>0.71344657870676209</v>
      </c>
      <c r="O1563" s="8">
        <v>45214</v>
      </c>
      <c r="P1563" s="8">
        <v>45215</v>
      </c>
      <c r="Q1563" s="8">
        <v>45217</v>
      </c>
      <c r="R1563" s="8">
        <v>45221</v>
      </c>
      <c r="S1563" s="8">
        <v>45228</v>
      </c>
      <c r="T1563" s="8">
        <v>45252</v>
      </c>
      <c r="U1563" s="8">
        <v>45823</v>
      </c>
      <c r="V1563" s="10">
        <f>COUNTA(O1563:U1563)</f>
        <v>7</v>
      </c>
      <c r="W1563" s="11">
        <f>_xlfn.IFNA(INDEX(reading[[#This Row],[Memo 01]:[Memo 07]],MATCH(0,reading[[#This Row],[Memo 01]:[Memo 07]],-1)),"")</f>
        <v>45823</v>
      </c>
      <c r="X1563" s="11">
        <f ca="1">IFERROR(reading[[#This Row],[Previous]]+OFFSET(reading[[#Headers],[Memo 01]],-1,MATCH(0,reading[[#This Row],[Memo 01]:[Memo 07]],-1)-1),"")</f>
        <v>55823</v>
      </c>
      <c r="Y1563" s="10" t="str">
        <f ca="1">IF(reading[[#This Row],[Next]]&lt;&gt;"",IF(reading[[#This Row],[Next]]&gt;TODAY(),"OK",""),"")</f>
        <v>OK</v>
      </c>
      <c r="Z1563" s="13">
        <v>3</v>
      </c>
      <c r="AA1563" s="13">
        <v>2</v>
      </c>
      <c r="AB1563" s="13">
        <v>3</v>
      </c>
      <c r="AC1563" s="13">
        <v>3</v>
      </c>
      <c r="AD1563" s="13">
        <v>2</v>
      </c>
      <c r="AE1563" s="13">
        <v>2</v>
      </c>
      <c r="AF1563" s="13">
        <v>3</v>
      </c>
      <c r="AG1563" s="16">
        <f>IFERROR(SUMIF(reading[[#This Row],[1st]:[7th]],"&gt;0")/COUNTIF(reading[[#This Row],[1st]:[7th]],"&gt;0"),"")</f>
        <v>2.5714285714285716</v>
      </c>
    </row>
    <row r="1564" spans="1:33" hidden="1" x14ac:dyDescent="0.2">
      <c r="A1564" s="4">
        <f>IF(B1564=1,3,IF(D1564=1,2,IF(F1564=1,1,0)))</f>
        <v>0</v>
      </c>
      <c r="B1564" s="4" t="str">
        <f>IF(C1564=$L1564,1,IF(C1564="","",0))</f>
        <v/>
      </c>
      <c r="C1564" s="42"/>
      <c r="D1564" s="4" t="str">
        <f>IF(E1564=$L1564,1,IF(E1564="","",0))</f>
        <v/>
      </c>
      <c r="E1564" s="23"/>
      <c r="F1564" s="4" t="str">
        <f>IF(G1564=$L1564,1,IF(G1564="","",0))</f>
        <v/>
      </c>
      <c r="G1564" s="23"/>
      <c r="H1564" s="6">
        <v>2104</v>
      </c>
      <c r="I1564" s="15" t="s">
        <v>3120</v>
      </c>
      <c r="J1564" s="6" t="s">
        <v>5193</v>
      </c>
      <c r="K1564" s="6"/>
      <c r="L1564" s="6" t="s">
        <v>2173</v>
      </c>
      <c r="M1564" s="6" t="s">
        <v>8210</v>
      </c>
      <c r="N1564" s="7">
        <f ca="1">RAND()</f>
        <v>2.5028661254665963E-2</v>
      </c>
      <c r="O1564" s="8">
        <v>45214</v>
      </c>
      <c r="P1564" s="8">
        <v>45215</v>
      </c>
      <c r="Q1564" s="8">
        <v>45217</v>
      </c>
      <c r="R1564" s="8">
        <v>45221</v>
      </c>
      <c r="S1564" s="8">
        <v>45228</v>
      </c>
      <c r="T1564" s="8">
        <v>45816</v>
      </c>
      <c r="U1564" s="8"/>
      <c r="V1564" s="10">
        <f>COUNTA(O1564:U1564)</f>
        <v>6</v>
      </c>
      <c r="W1564" s="11">
        <f>_xlfn.IFNA(INDEX(reading[[#This Row],[Memo 01]:[Memo 07]],MATCH(0,reading[[#This Row],[Memo 01]:[Memo 07]],-1)),"")</f>
        <v>45816</v>
      </c>
      <c r="X1564" s="11">
        <f ca="1">IFERROR(reading[[#This Row],[Previous]]+OFFSET(reading[[#Headers],[Memo 01]],-1,MATCH(0,reading[[#This Row],[Memo 01]:[Memo 07]],-1)-1),"")</f>
        <v>45836</v>
      </c>
      <c r="Y1564" s="10" t="str">
        <f ca="1">IF(reading[[#This Row],[Next]]&lt;&gt;"",IF(reading[[#This Row],[Next]]&gt;TODAY(),"OK",""),"")</f>
        <v>OK</v>
      </c>
      <c r="Z1564" s="13">
        <v>3</v>
      </c>
      <c r="AA1564" s="13">
        <v>3</v>
      </c>
      <c r="AB1564" s="13">
        <v>3</v>
      </c>
      <c r="AC1564" s="13">
        <v>3</v>
      </c>
      <c r="AD1564" s="13">
        <v>3</v>
      </c>
      <c r="AE1564" s="13">
        <v>1</v>
      </c>
      <c r="AF1564" s="13"/>
      <c r="AG1564" s="16">
        <f>IFERROR(SUMIF(reading[[#This Row],[1st]:[7th]],"&gt;0")/COUNTIF(reading[[#This Row],[1st]:[7th]],"&gt;0"),"")</f>
        <v>2.6666666666666665</v>
      </c>
    </row>
    <row r="1565" spans="1:33" hidden="1" x14ac:dyDescent="0.2">
      <c r="A1565" s="4">
        <f>IF(B1565=1,3,IF(D1565=1,2,IF(F1565=1,1,0)))</f>
        <v>0</v>
      </c>
      <c r="B1565" s="4" t="str">
        <f>IF(C1565=$L1565,1,IF(C1565="","",0))</f>
        <v/>
      </c>
      <c r="C1565" s="42"/>
      <c r="D1565" s="4" t="str">
        <f>IF(E1565=$L1565,1,IF(E1565="","",0))</f>
        <v/>
      </c>
      <c r="E1565" s="18"/>
      <c r="F1565" s="4" t="str">
        <f>IF(G1565=$L1565,1,IF(G1565="","",0))</f>
        <v/>
      </c>
      <c r="G1565" s="14"/>
      <c r="H1565" s="6">
        <v>1387</v>
      </c>
      <c r="I1565" s="15" t="s">
        <v>3120</v>
      </c>
      <c r="J1565" s="6" t="s">
        <v>4501</v>
      </c>
      <c r="K1565" s="6"/>
      <c r="L1565" s="6" t="s">
        <v>1480</v>
      </c>
      <c r="M1565" s="6" t="s">
        <v>7494</v>
      </c>
      <c r="N1565" s="7">
        <f ca="1">RAND()</f>
        <v>6.0820600114885437E-2</v>
      </c>
      <c r="O1565" s="8">
        <v>45207</v>
      </c>
      <c r="P1565" s="8">
        <v>45208</v>
      </c>
      <c r="Q1565" s="8">
        <v>45210</v>
      </c>
      <c r="R1565" s="8">
        <v>45214</v>
      </c>
      <c r="S1565" s="8">
        <v>45221</v>
      </c>
      <c r="T1565" s="8">
        <v>45233</v>
      </c>
      <c r="U1565" s="8">
        <v>45823</v>
      </c>
      <c r="V1565" s="10">
        <f>COUNTA(O1565:U1565)</f>
        <v>7</v>
      </c>
      <c r="W1565" s="11">
        <f>_xlfn.IFNA(INDEX(reading[[#This Row],[Memo 01]:[Memo 07]],MATCH(0,reading[[#This Row],[Memo 01]:[Memo 07]],-1)),"")</f>
        <v>45823</v>
      </c>
      <c r="X1565" s="11">
        <f ca="1">IFERROR(reading[[#This Row],[Previous]]+OFFSET(reading[[#Headers],[Memo 01]],-1,MATCH(0,reading[[#This Row],[Memo 01]:[Memo 07]],-1)-1),"")</f>
        <v>55823</v>
      </c>
      <c r="Y1565" s="10" t="str">
        <f ca="1">IF(reading[[#This Row],[Next]]&lt;&gt;"",IF(reading[[#This Row],[Next]]&gt;TODAY(),"OK",""),"")</f>
        <v>OK</v>
      </c>
      <c r="Z1565" s="13">
        <v>3</v>
      </c>
      <c r="AA1565" s="13">
        <v>2</v>
      </c>
      <c r="AB1565" s="13">
        <v>3</v>
      </c>
      <c r="AC1565" s="13">
        <v>2</v>
      </c>
      <c r="AD1565" s="13">
        <v>2</v>
      </c>
      <c r="AE1565" s="13">
        <v>2</v>
      </c>
      <c r="AF1565" s="13">
        <v>3</v>
      </c>
      <c r="AG1565" s="16">
        <f>IFERROR(SUMIF(reading[[#This Row],[1st]:[7th]],"&gt;0")/COUNTIF(reading[[#This Row],[1st]:[7th]],"&gt;0"),"")</f>
        <v>2.4285714285714284</v>
      </c>
    </row>
    <row r="1566" spans="1:33" hidden="1" x14ac:dyDescent="0.2">
      <c r="A1566" s="4">
        <f>IF(B1566=1,3,IF(D1566=1,2,IF(F1566=1,1,0)))</f>
        <v>0</v>
      </c>
      <c r="B1566" s="4" t="str">
        <f>IF(C1566=$L1566,1,IF(C1566="","",0))</f>
        <v/>
      </c>
      <c r="C1566" s="42"/>
      <c r="D1566" s="4" t="str">
        <f>IF(E1566=$L1566,1,IF(E1566="","",0))</f>
        <v/>
      </c>
      <c r="E1566" s="14"/>
      <c r="F1566" s="4" t="str">
        <f>IF(G1566=$L1566,1,IF(G1566="","",0))</f>
        <v/>
      </c>
      <c r="G1566" s="14"/>
      <c r="H1566" s="6">
        <v>2560</v>
      </c>
      <c r="I1566" s="15" t="s">
        <v>3120</v>
      </c>
      <c r="J1566" s="6" t="s">
        <v>5621</v>
      </c>
      <c r="K1566" s="6"/>
      <c r="L1566" s="6" t="s">
        <v>2605</v>
      </c>
      <c r="M1566" s="6" t="s">
        <v>8665</v>
      </c>
      <c r="N1566" s="7">
        <f ca="1">RAND()</f>
        <v>0.34077104126065583</v>
      </c>
      <c r="O1566" s="8">
        <v>45219</v>
      </c>
      <c r="P1566" s="8">
        <v>45220</v>
      </c>
      <c r="Q1566" s="8">
        <v>45222</v>
      </c>
      <c r="R1566" s="8">
        <v>45226</v>
      </c>
      <c r="S1566" s="8">
        <v>45233</v>
      </c>
      <c r="T1566" s="8">
        <v>45827</v>
      </c>
      <c r="U1566" s="8"/>
      <c r="V1566" s="10">
        <f>COUNTA(O1566:U1566)</f>
        <v>6</v>
      </c>
      <c r="W1566" s="11">
        <f>_xlfn.IFNA(INDEX(reading[[#This Row],[Memo 01]:[Memo 07]],MATCH(0,reading[[#This Row],[Memo 01]:[Memo 07]],-1)),"")</f>
        <v>45827</v>
      </c>
      <c r="X1566" s="11">
        <f ca="1">IFERROR(reading[[#This Row],[Previous]]+OFFSET(reading[[#Headers],[Memo 01]],-1,MATCH(0,reading[[#This Row],[Memo 01]:[Memo 07]],-1)-1),"")</f>
        <v>45847</v>
      </c>
      <c r="Y1566" s="10" t="str">
        <f ca="1">IF(reading[[#This Row],[Next]]&lt;&gt;"",IF(reading[[#This Row],[Next]]&gt;TODAY(),"OK",""),"")</f>
        <v>OK</v>
      </c>
      <c r="Z1566" s="13">
        <v>3</v>
      </c>
      <c r="AA1566" s="13">
        <v>3</v>
      </c>
      <c r="AB1566" s="13">
        <v>3</v>
      </c>
      <c r="AC1566" s="13">
        <v>3</v>
      </c>
      <c r="AD1566" s="13">
        <v>3</v>
      </c>
      <c r="AE1566" s="13">
        <v>3</v>
      </c>
      <c r="AF1566" s="13"/>
      <c r="AG1566" s="16">
        <f>IFERROR(SUMIF(reading[[#This Row],[1st]:[7th]],"&gt;0")/COUNTIF(reading[[#This Row],[1st]:[7th]],"&gt;0"),"")</f>
        <v>3</v>
      </c>
    </row>
    <row r="1567" spans="1:33" hidden="1" x14ac:dyDescent="0.2">
      <c r="A1567" s="4">
        <f>IF(B1567=1,3,IF(D1567=1,2,IF(F1567=1,1,0)))</f>
        <v>0</v>
      </c>
      <c r="B1567" s="4" t="str">
        <f>IF(C1567=$L1567,1,IF(C1567="","",0))</f>
        <v/>
      </c>
      <c r="C1567" s="42"/>
      <c r="D1567" s="4" t="str">
        <f>IF(E1567=$L1567,1,IF(E1567="","",0))</f>
        <v/>
      </c>
      <c r="E1567" s="23"/>
      <c r="F1567" s="4" t="str">
        <f>IF(G1567=$L1567,1,IF(G1567="","",0))</f>
        <v/>
      </c>
      <c r="G1567" s="14"/>
      <c r="H1567" s="6">
        <v>1739</v>
      </c>
      <c r="I1567" s="15" t="s">
        <v>3120</v>
      </c>
      <c r="J1567" s="6" t="s">
        <v>4847</v>
      </c>
      <c r="K1567" s="6"/>
      <c r="L1567" s="6" t="s">
        <v>1819</v>
      </c>
      <c r="M1567" s="6" t="s">
        <v>7845</v>
      </c>
      <c r="N1567" s="7">
        <f ca="1">RAND()</f>
        <v>0.36249765284671198</v>
      </c>
      <c r="O1567" s="8">
        <v>45211</v>
      </c>
      <c r="P1567" s="8">
        <v>45212</v>
      </c>
      <c r="Q1567" s="8">
        <v>45214</v>
      </c>
      <c r="R1567" s="8">
        <v>45218</v>
      </c>
      <c r="S1567" s="8">
        <v>45225</v>
      </c>
      <c r="T1567" s="8">
        <v>45237</v>
      </c>
      <c r="U1567" s="8">
        <v>45816</v>
      </c>
      <c r="V1567" s="10">
        <f>COUNTA(O1567:U1567)</f>
        <v>7</v>
      </c>
      <c r="W1567" s="11">
        <f>_xlfn.IFNA(INDEX(reading[[#This Row],[Memo 01]:[Memo 07]],MATCH(0,reading[[#This Row],[Memo 01]:[Memo 07]],-1)),"")</f>
        <v>45816</v>
      </c>
      <c r="X1567" s="11">
        <f ca="1">IFERROR(reading[[#This Row],[Previous]]+OFFSET(reading[[#Headers],[Memo 01]],-1,MATCH(0,reading[[#This Row],[Memo 01]:[Memo 07]],-1)-1),"")</f>
        <v>55816</v>
      </c>
      <c r="Y1567" s="10" t="str">
        <f ca="1">IF(reading[[#This Row],[Next]]&lt;&gt;"",IF(reading[[#This Row],[Next]]&gt;TODAY(),"OK",""),"")</f>
        <v>OK</v>
      </c>
      <c r="Z1567" s="13">
        <v>3</v>
      </c>
      <c r="AA1567" s="13">
        <v>3</v>
      </c>
      <c r="AB1567" s="13">
        <v>3</v>
      </c>
      <c r="AC1567" s="13">
        <v>3</v>
      </c>
      <c r="AD1567" s="13">
        <v>3</v>
      </c>
      <c r="AE1567" s="13">
        <v>3</v>
      </c>
      <c r="AF1567" s="13">
        <v>2</v>
      </c>
      <c r="AG1567" s="16">
        <f>IFERROR(SUMIF(reading[[#This Row],[1st]:[7th]],"&gt;0")/COUNTIF(reading[[#This Row],[1st]:[7th]],"&gt;0"),"")</f>
        <v>2.8571428571428572</v>
      </c>
    </row>
    <row r="1568" spans="1:33" hidden="1" x14ac:dyDescent="0.2">
      <c r="A1568" s="4">
        <f>IF(B1568=1,3,IF(D1568=1,2,IF(F1568=1,1,0)))</f>
        <v>0</v>
      </c>
      <c r="B1568" s="4" t="str">
        <f>IF(C1568=$L1568,1,IF(C1568="","",0))</f>
        <v/>
      </c>
      <c r="C1568" s="42"/>
      <c r="D1568" s="4" t="str">
        <f>IF(E1568=$L1568,1,IF(E1568="","",0))</f>
        <v/>
      </c>
      <c r="E1568" s="23"/>
      <c r="F1568" s="4" t="str">
        <f>IF(G1568=$L1568,1,IF(G1568="","",0))</f>
        <v/>
      </c>
      <c r="G1568" s="14"/>
      <c r="H1568" s="6">
        <v>1999</v>
      </c>
      <c r="I1568" s="15" t="s">
        <v>3120</v>
      </c>
      <c r="J1568" s="6" t="s">
        <v>5097</v>
      </c>
      <c r="K1568" s="24" t="s">
        <v>3136</v>
      </c>
      <c r="L1568" s="6" t="s">
        <v>2074</v>
      </c>
      <c r="M1568" s="6" t="s">
        <v>8105</v>
      </c>
      <c r="N1568" s="7">
        <f ca="1">RAND()</f>
        <v>0.49047631504756339</v>
      </c>
      <c r="O1568" s="8">
        <v>45213</v>
      </c>
      <c r="P1568" s="8">
        <v>45214</v>
      </c>
      <c r="Q1568" s="8">
        <v>45216</v>
      </c>
      <c r="R1568" s="8">
        <v>45220</v>
      </c>
      <c r="S1568" s="8">
        <v>45227</v>
      </c>
      <c r="T1568" s="8">
        <v>45816</v>
      </c>
      <c r="U1568" s="8"/>
      <c r="V1568" s="10">
        <f>COUNTA(O1568:U1568)</f>
        <v>6</v>
      </c>
      <c r="W1568" s="11">
        <f>_xlfn.IFNA(INDEX(reading[[#This Row],[Memo 01]:[Memo 07]],MATCH(0,reading[[#This Row],[Memo 01]:[Memo 07]],-1)),"")</f>
        <v>45816</v>
      </c>
      <c r="X1568" s="11">
        <f ca="1">IFERROR(reading[[#This Row],[Previous]]+OFFSET(reading[[#Headers],[Memo 01]],-1,MATCH(0,reading[[#This Row],[Memo 01]:[Memo 07]],-1)-1),"")</f>
        <v>45836</v>
      </c>
      <c r="Y1568" s="10" t="str">
        <f ca="1">IF(reading[[#This Row],[Next]]&lt;&gt;"",IF(reading[[#This Row],[Next]]&gt;TODAY(),"OK",""),"")</f>
        <v>OK</v>
      </c>
      <c r="Z1568" s="13">
        <v>3</v>
      </c>
      <c r="AA1568" s="13">
        <v>3</v>
      </c>
      <c r="AB1568" s="13">
        <v>3</v>
      </c>
      <c r="AC1568" s="13">
        <v>3</v>
      </c>
      <c r="AD1568" s="13">
        <v>3</v>
      </c>
      <c r="AE1568" s="13">
        <v>2</v>
      </c>
      <c r="AF1568" s="13"/>
      <c r="AG1568" s="16">
        <f>IFERROR(SUMIF(reading[[#This Row],[1st]:[7th]],"&gt;0")/COUNTIF(reading[[#This Row],[1st]:[7th]],"&gt;0"),"")</f>
        <v>2.8333333333333335</v>
      </c>
    </row>
    <row r="1569" spans="1:33" hidden="1" x14ac:dyDescent="0.2">
      <c r="A1569" s="4">
        <f>IF(B1569=1,3,IF(D1569=1,2,IF(F1569=1,1,0)))</f>
        <v>0</v>
      </c>
      <c r="B1569" s="4" t="str">
        <f>IF(C1569=$L1569,1,IF(C1569="","",0))</f>
        <v/>
      </c>
      <c r="C1569" s="42"/>
      <c r="D1569" s="4" t="str">
        <f>IF(E1569=$L1569,1,IF(E1569="","",0))</f>
        <v/>
      </c>
      <c r="E1569" s="14"/>
      <c r="F1569" s="4" t="str">
        <f>IF(G1569=$L1569,1,IF(G1569="","",0))</f>
        <v/>
      </c>
      <c r="G1569" s="14"/>
      <c r="H1569" s="6">
        <v>1712</v>
      </c>
      <c r="I1569" s="15" t="s">
        <v>3120</v>
      </c>
      <c r="J1569" s="6" t="s">
        <v>4820</v>
      </c>
      <c r="K1569" s="6"/>
      <c r="L1569" s="6" t="s">
        <v>1792</v>
      </c>
      <c r="M1569" s="6" t="s">
        <v>7818</v>
      </c>
      <c r="N1569" s="7">
        <f ca="1">RAND()</f>
        <v>0.2335049763748499</v>
      </c>
      <c r="O1569" s="8">
        <v>45211</v>
      </c>
      <c r="P1569" s="8">
        <v>45212</v>
      </c>
      <c r="Q1569" s="8">
        <v>45214</v>
      </c>
      <c r="R1569" s="8">
        <v>45218</v>
      </c>
      <c r="S1569" s="8">
        <v>45225</v>
      </c>
      <c r="T1569" s="8">
        <v>45237</v>
      </c>
      <c r="U1569" s="8">
        <v>45823</v>
      </c>
      <c r="V1569" s="10">
        <f>COUNTA(O1569:U1569)</f>
        <v>7</v>
      </c>
      <c r="W1569" s="11">
        <f>_xlfn.IFNA(INDEX(reading[[#This Row],[Memo 01]:[Memo 07]],MATCH(0,reading[[#This Row],[Memo 01]:[Memo 07]],-1)),"")</f>
        <v>45823</v>
      </c>
      <c r="X1569" s="11">
        <f ca="1">IFERROR(reading[[#This Row],[Previous]]+OFFSET(reading[[#Headers],[Memo 01]],-1,MATCH(0,reading[[#This Row],[Memo 01]:[Memo 07]],-1)-1),"")</f>
        <v>55823</v>
      </c>
      <c r="Y1569" s="10" t="str">
        <f ca="1">IF(reading[[#This Row],[Next]]&lt;&gt;"",IF(reading[[#This Row],[Next]]&gt;TODAY(),"OK",""),"")</f>
        <v>OK</v>
      </c>
      <c r="Z1569" s="13">
        <v>3</v>
      </c>
      <c r="AA1569" s="13">
        <v>3</v>
      </c>
      <c r="AB1569" s="13">
        <v>3</v>
      </c>
      <c r="AC1569" s="13">
        <v>3</v>
      </c>
      <c r="AD1569" s="13">
        <v>3</v>
      </c>
      <c r="AE1569" s="13">
        <v>3</v>
      </c>
      <c r="AF1569" s="13">
        <v>3</v>
      </c>
      <c r="AG1569" s="16">
        <f>IFERROR(SUMIF(reading[[#This Row],[1st]:[7th]],"&gt;0")/COUNTIF(reading[[#This Row],[1st]:[7th]],"&gt;0"),"")</f>
        <v>3</v>
      </c>
    </row>
    <row r="1570" spans="1:33" hidden="1" x14ac:dyDescent="0.2">
      <c r="A1570" s="4">
        <f>IF(B1570=1,3,IF(D1570=1,2,IF(F1570=1,1,0)))</f>
        <v>3</v>
      </c>
      <c r="B1570" s="4">
        <f>IF(C1570=$L1570,1,IF(C1570="","",0))</f>
        <v>1</v>
      </c>
      <c r="C1570" s="30" t="s">
        <v>1658</v>
      </c>
      <c r="D1570" s="4" t="str">
        <f>IF(E1570=$L1570,1,IF(E1570="","",0))</f>
        <v/>
      </c>
      <c r="E1570" s="14"/>
      <c r="F1570" s="4" t="str">
        <f>IF(G1570=$L1570,1,IF(G1570="","",0))</f>
        <v/>
      </c>
      <c r="G1570" s="14"/>
      <c r="H1570" s="6">
        <v>1574</v>
      </c>
      <c r="I1570" s="15" t="s">
        <v>3120</v>
      </c>
      <c r="J1570" s="6" t="s">
        <v>4687</v>
      </c>
      <c r="K1570" s="6"/>
      <c r="L1570" s="6" t="s">
        <v>1658</v>
      </c>
      <c r="M1570" s="6" t="s">
        <v>7680</v>
      </c>
      <c r="N1570" s="7">
        <f ca="1">RAND()</f>
        <v>0.18050877861771308</v>
      </c>
      <c r="O1570" s="8">
        <v>45209</v>
      </c>
      <c r="P1570" s="8">
        <v>45209</v>
      </c>
      <c r="Q1570" s="8">
        <v>45209</v>
      </c>
      <c r="R1570" s="8">
        <v>45209</v>
      </c>
      <c r="S1570" s="8">
        <v>45209</v>
      </c>
      <c r="T1570" s="8">
        <v>45209</v>
      </c>
      <c r="U1570" s="8">
        <v>45209</v>
      </c>
      <c r="V1570" s="10">
        <f>COUNTA(O1570:U1570)</f>
        <v>7</v>
      </c>
      <c r="W1570" s="11">
        <f>_xlfn.IFNA(INDEX(reading[[#This Row],[Memo 01]:[Memo 07]],MATCH(0,reading[[#This Row],[Memo 01]:[Memo 07]],-1)),"")</f>
        <v>45209</v>
      </c>
      <c r="X1570" s="11">
        <f ca="1">IFERROR(reading[[#This Row],[Previous]]+OFFSET(reading[[#Headers],[Memo 01]],-1,MATCH(0,reading[[#This Row],[Memo 01]:[Memo 07]],-1)-1),"")</f>
        <v>55209</v>
      </c>
      <c r="Y1570" s="10" t="str">
        <f ca="1">IF(reading[[#This Row],[Next]]&lt;&gt;"",IF(reading[[#This Row],[Next]]&gt;TODAY(),"OK",""),"")</f>
        <v>OK</v>
      </c>
      <c r="Z1570" s="13">
        <v>3</v>
      </c>
      <c r="AA1570" s="13"/>
      <c r="AB1570" s="13"/>
      <c r="AC1570" s="13"/>
      <c r="AD1570" s="13"/>
      <c r="AE1570" s="13"/>
      <c r="AF1570" s="13"/>
      <c r="AG1570" s="16">
        <f>IFERROR(SUMIF(reading[[#This Row],[1st]:[7th]],"&gt;0")/COUNTIF(reading[[#This Row],[1st]:[7th]],"&gt;0"),"")</f>
        <v>3</v>
      </c>
    </row>
    <row r="1571" spans="1:33" hidden="1" x14ac:dyDescent="0.2">
      <c r="A1571" s="4">
        <f>IF(B1571=1,3,IF(D1571=1,2,IF(F1571=1,1,0)))</f>
        <v>0</v>
      </c>
      <c r="B1571" s="4">
        <f>IF(C1571=$L1571,1,IF(C1571="","",0))</f>
        <v>0</v>
      </c>
      <c r="C1571" s="42" t="s">
        <v>9257</v>
      </c>
      <c r="D1571" s="4">
        <f>IF(E1571=$L1571,1,IF(E1571="","",0))</f>
        <v>0</v>
      </c>
      <c r="E1571" s="23" t="s">
        <v>9275</v>
      </c>
      <c r="F1571" s="4" t="str">
        <f>IF(G1571=$L1571,1,IF(G1571="","",0))</f>
        <v/>
      </c>
      <c r="G1571" s="14"/>
      <c r="H1571" s="6">
        <v>2990</v>
      </c>
      <c r="I1571" s="15" t="s">
        <v>3120</v>
      </c>
      <c r="J1571" s="6" t="s">
        <v>6017</v>
      </c>
      <c r="K1571" s="6"/>
      <c r="L1571" s="6" t="s">
        <v>3019</v>
      </c>
      <c r="M1571" s="6" t="s">
        <v>9094</v>
      </c>
      <c r="N1571" s="7">
        <f ca="1">RAND()</f>
        <v>0.72462699972056543</v>
      </c>
      <c r="O1571" s="8">
        <v>45223</v>
      </c>
      <c r="P1571" s="8">
        <v>45224</v>
      </c>
      <c r="Q1571" s="8">
        <v>45226</v>
      </c>
      <c r="R1571" s="8">
        <v>45230</v>
      </c>
      <c r="S1571" s="8">
        <v>45237</v>
      </c>
      <c r="T1571" s="8"/>
      <c r="U1571" s="8"/>
      <c r="V1571" s="10">
        <f>COUNTA(O1571:U1571)</f>
        <v>5</v>
      </c>
      <c r="W1571" s="11">
        <f>_xlfn.IFNA(INDEX(reading[[#This Row],[Memo 01]:[Memo 07]],MATCH(0,reading[[#This Row],[Memo 01]:[Memo 07]],-1)),"")</f>
        <v>45237</v>
      </c>
      <c r="X1571" s="11">
        <f ca="1">IFERROR(reading[[#This Row],[Previous]]+OFFSET(reading[[#Headers],[Memo 01]],-1,MATCH(0,reading[[#This Row],[Memo 01]:[Memo 07]],-1)-1),"")</f>
        <v>45249</v>
      </c>
      <c r="Y1571" s="10" t="str">
        <f ca="1">IF(reading[[#This Row],[Next]]&lt;&gt;"",IF(reading[[#This Row],[Next]]&gt;TODAY(),"OK",""),"")</f>
        <v/>
      </c>
      <c r="Z1571" s="13">
        <v>3</v>
      </c>
      <c r="AA1571" s="13">
        <v>3</v>
      </c>
      <c r="AB1571" s="13">
        <v>3</v>
      </c>
      <c r="AC1571" s="13">
        <v>3</v>
      </c>
      <c r="AD1571" s="13">
        <v>3</v>
      </c>
      <c r="AE1571" s="13"/>
      <c r="AF1571" s="13"/>
      <c r="AG1571" s="16">
        <f>IFERROR(SUMIF(reading[[#This Row],[1st]:[7th]],"&gt;0")/COUNTIF(reading[[#This Row],[1st]:[7th]],"&gt;0"),"")</f>
        <v>3</v>
      </c>
    </row>
    <row r="1572" spans="1:33" hidden="1" x14ac:dyDescent="0.2">
      <c r="A1572" s="4">
        <f>IF(B1572=1,3,IF(D1572=1,2,IF(F1572=1,1,0)))</f>
        <v>0</v>
      </c>
      <c r="B1572" s="4" t="str">
        <f>IF(C1572=$L1572,1,IF(C1572="","",0))</f>
        <v/>
      </c>
      <c r="C1572" s="42"/>
      <c r="D1572" s="4" t="str">
        <f>IF(E1572=$L1572,1,IF(E1572="","",0))</f>
        <v/>
      </c>
      <c r="E1572" s="14"/>
      <c r="F1572" s="4" t="str">
        <f>IF(G1572=$L1572,1,IF(G1572="","",0))</f>
        <v/>
      </c>
      <c r="G1572" s="14"/>
      <c r="H1572" s="6">
        <v>526</v>
      </c>
      <c r="I1572" s="15" t="s">
        <v>3120</v>
      </c>
      <c r="J1572" s="6" t="s">
        <v>3671</v>
      </c>
      <c r="K1572" s="6"/>
      <c r="L1572" s="6" t="s">
        <v>654</v>
      </c>
      <c r="M1572" s="6" t="s">
        <v>6635</v>
      </c>
      <c r="N1572" s="7">
        <f ca="1">RAND()</f>
        <v>0.54732250636277857</v>
      </c>
      <c r="O1572" s="8">
        <v>45202</v>
      </c>
      <c r="P1572" s="8">
        <v>45203</v>
      </c>
      <c r="Q1572" s="8">
        <v>45205</v>
      </c>
      <c r="R1572" s="8">
        <v>45209</v>
      </c>
      <c r="S1572" s="8">
        <v>45216</v>
      </c>
      <c r="T1572" s="8">
        <v>45228</v>
      </c>
      <c r="U1572" s="8">
        <v>45827</v>
      </c>
      <c r="V1572" s="10">
        <f>COUNTA(O1572:U1572)</f>
        <v>7</v>
      </c>
      <c r="W1572" s="11">
        <f>_xlfn.IFNA(INDEX(reading[[#This Row],[Memo 01]:[Memo 07]],MATCH(0,reading[[#This Row],[Memo 01]:[Memo 07]],-1)),"")</f>
        <v>45827</v>
      </c>
      <c r="X1572" s="11">
        <f ca="1">IFERROR(reading[[#This Row],[Previous]]+OFFSET(reading[[#Headers],[Memo 01]],-1,MATCH(0,reading[[#This Row],[Memo 01]:[Memo 07]],-1)-1),"")</f>
        <v>55827</v>
      </c>
      <c r="Y1572" s="10" t="str">
        <f ca="1">IF(reading[[#This Row],[Next]]&lt;&gt;"",IF(reading[[#This Row],[Next]]&gt;TODAY(),"OK",""),"")</f>
        <v>OK</v>
      </c>
      <c r="Z1572" s="13">
        <v>3</v>
      </c>
      <c r="AA1572" s="13">
        <v>3</v>
      </c>
      <c r="AB1572" s="13">
        <v>3</v>
      </c>
      <c r="AC1572" s="13">
        <v>3</v>
      </c>
      <c r="AD1572" s="13">
        <v>3</v>
      </c>
      <c r="AE1572" s="13">
        <v>3</v>
      </c>
      <c r="AF1572" s="13">
        <v>3</v>
      </c>
      <c r="AG1572" s="16">
        <f>IFERROR(SUMIF(reading[[#This Row],[1st]:[7th]],"&gt;0")/COUNTIF(reading[[#This Row],[1st]:[7th]],"&gt;0"),"")</f>
        <v>3</v>
      </c>
    </row>
    <row r="1573" spans="1:33" hidden="1" x14ac:dyDescent="0.2">
      <c r="A1573" s="4">
        <f>IF(B1573=1,3,IF(D1573=1,2,IF(F1573=1,1,0)))</f>
        <v>0</v>
      </c>
      <c r="B1573" s="4" t="str">
        <f>IF(C1573=$L1573,1,IF(C1573="","",0))</f>
        <v/>
      </c>
      <c r="C1573" s="42"/>
      <c r="D1573" s="4" t="str">
        <f>IF(E1573=$L1573,1,IF(E1573="","",0))</f>
        <v/>
      </c>
      <c r="E1573" s="14"/>
      <c r="F1573" s="4" t="str">
        <f>IF(G1573=$L1573,1,IF(G1573="","",0))</f>
        <v/>
      </c>
      <c r="G1573" s="14"/>
      <c r="H1573" s="6">
        <v>1151</v>
      </c>
      <c r="I1573" s="15" t="s">
        <v>3120</v>
      </c>
      <c r="J1573" s="6" t="s">
        <v>4272</v>
      </c>
      <c r="K1573" s="6"/>
      <c r="L1573" s="6" t="s">
        <v>1253</v>
      </c>
      <c r="M1573" s="6" t="s">
        <v>7259</v>
      </c>
      <c r="N1573" s="7">
        <f ca="1">RAND()</f>
        <v>0.60889227212807795</v>
      </c>
      <c r="O1573" s="8">
        <v>45205</v>
      </c>
      <c r="P1573" s="8">
        <v>45206</v>
      </c>
      <c r="Q1573" s="8">
        <v>45208</v>
      </c>
      <c r="R1573" s="8">
        <v>45212</v>
      </c>
      <c r="S1573" s="8">
        <v>45219</v>
      </c>
      <c r="T1573" s="8">
        <v>45231</v>
      </c>
      <c r="U1573" s="8">
        <v>45823</v>
      </c>
      <c r="V1573" s="10">
        <f>COUNTA(O1573:U1573)</f>
        <v>7</v>
      </c>
      <c r="W1573" s="11">
        <f>_xlfn.IFNA(INDEX(reading[[#This Row],[Memo 01]:[Memo 07]],MATCH(0,reading[[#This Row],[Memo 01]:[Memo 07]],-1)),"")</f>
        <v>45823</v>
      </c>
      <c r="X1573" s="11">
        <f ca="1">IFERROR(reading[[#This Row],[Previous]]+OFFSET(reading[[#Headers],[Memo 01]],-1,MATCH(0,reading[[#This Row],[Memo 01]:[Memo 07]],-1)-1),"")</f>
        <v>55823</v>
      </c>
      <c r="Y1573" s="10" t="str">
        <f ca="1">IF(reading[[#This Row],[Next]]&lt;&gt;"",IF(reading[[#This Row],[Next]]&gt;TODAY(),"OK",""),"")</f>
        <v>OK</v>
      </c>
      <c r="Z1573" s="13">
        <v>3</v>
      </c>
      <c r="AA1573" s="13">
        <v>3</v>
      </c>
      <c r="AB1573" s="13">
        <v>3</v>
      </c>
      <c r="AC1573" s="13">
        <v>3</v>
      </c>
      <c r="AD1573" s="13">
        <v>3</v>
      </c>
      <c r="AE1573" s="13">
        <v>3</v>
      </c>
      <c r="AF1573" s="13">
        <v>3</v>
      </c>
      <c r="AG1573" s="16">
        <f>IFERROR(SUMIF(reading[[#This Row],[1st]:[7th]],"&gt;0")/COUNTIF(reading[[#This Row],[1st]:[7th]],"&gt;0"),"")</f>
        <v>3</v>
      </c>
    </row>
    <row r="1574" spans="1:33" hidden="1" x14ac:dyDescent="0.2">
      <c r="A1574" s="4">
        <f>IF(B1574=1,3,IF(D1574=1,2,IF(F1574=1,1,0)))</f>
        <v>0</v>
      </c>
      <c r="B1574" s="4" t="str">
        <f>IF(C1574=$L1574,1,IF(C1574="","",0))</f>
        <v/>
      </c>
      <c r="C1574" s="42"/>
      <c r="D1574" s="4" t="str">
        <f>IF(E1574=$L1574,1,IF(E1574="","",0))</f>
        <v/>
      </c>
      <c r="E1574" s="14"/>
      <c r="F1574" s="4" t="str">
        <f>IF(G1574=$L1574,1,IF(G1574="","",0))</f>
        <v/>
      </c>
      <c r="G1574" s="14"/>
      <c r="H1574" s="6">
        <v>1338</v>
      </c>
      <c r="I1574" s="15" t="s">
        <v>3120</v>
      </c>
      <c r="J1574" s="6" t="s">
        <v>4453</v>
      </c>
      <c r="K1574" s="6"/>
      <c r="L1574" s="6" t="s">
        <v>63</v>
      </c>
      <c r="M1574" s="6" t="s">
        <v>7445</v>
      </c>
      <c r="N1574" s="7">
        <f ca="1">RAND()</f>
        <v>0.58175283969848646</v>
      </c>
      <c r="O1574" s="8">
        <v>45207</v>
      </c>
      <c r="P1574" s="8">
        <v>45208</v>
      </c>
      <c r="Q1574" s="8">
        <v>45210</v>
      </c>
      <c r="R1574" s="8">
        <v>45214</v>
      </c>
      <c r="S1574" s="8">
        <v>45221</v>
      </c>
      <c r="T1574" s="8">
        <v>45233</v>
      </c>
      <c r="U1574" s="8">
        <v>45823</v>
      </c>
      <c r="V1574" s="10">
        <f>COUNTA(O1574:U1574)</f>
        <v>7</v>
      </c>
      <c r="W1574" s="11">
        <f>_xlfn.IFNA(INDEX(reading[[#This Row],[Memo 01]:[Memo 07]],MATCH(0,reading[[#This Row],[Memo 01]:[Memo 07]],-1)),"")</f>
        <v>45823</v>
      </c>
      <c r="X1574" s="11">
        <f ca="1">IFERROR(reading[[#This Row],[Previous]]+OFFSET(reading[[#Headers],[Memo 01]],-1,MATCH(0,reading[[#This Row],[Memo 01]:[Memo 07]],-1)-1),"")</f>
        <v>55823</v>
      </c>
      <c r="Y1574" s="10" t="str">
        <f ca="1">IF(reading[[#This Row],[Next]]&lt;&gt;"",IF(reading[[#This Row],[Next]]&gt;TODAY(),"OK",""),"")</f>
        <v>OK</v>
      </c>
      <c r="Z1574" s="13">
        <v>3</v>
      </c>
      <c r="AA1574" s="13">
        <v>3</v>
      </c>
      <c r="AB1574" s="13">
        <v>3</v>
      </c>
      <c r="AC1574" s="13">
        <v>3</v>
      </c>
      <c r="AD1574" s="13">
        <v>3</v>
      </c>
      <c r="AE1574" s="13">
        <v>3</v>
      </c>
      <c r="AF1574" s="13">
        <v>3</v>
      </c>
      <c r="AG1574" s="16">
        <f>IFERROR(SUMIF(reading[[#This Row],[1st]:[7th]],"&gt;0")/COUNTIF(reading[[#This Row],[1st]:[7th]],"&gt;0"),"")</f>
        <v>3</v>
      </c>
    </row>
    <row r="1575" spans="1:33" hidden="1" x14ac:dyDescent="0.2">
      <c r="A1575" s="4">
        <f>IF(B1575=1,3,IF(D1575=1,2,IF(F1575=1,1,0)))</f>
        <v>0</v>
      </c>
      <c r="B1575" s="4" t="str">
        <f>IF(C1575=$L1575,1,IF(C1575="","",0))</f>
        <v/>
      </c>
      <c r="C1575" s="42"/>
      <c r="D1575" s="4" t="str">
        <f>IF(E1575=$L1575,1,IF(E1575="","",0))</f>
        <v/>
      </c>
      <c r="E1575" s="18"/>
      <c r="F1575" s="4" t="str">
        <f>IF(G1575=$L1575,1,IF(G1575="","",0))</f>
        <v/>
      </c>
      <c r="G1575" s="14"/>
      <c r="H1575" s="6">
        <v>2358</v>
      </c>
      <c r="I1575" s="15" t="s">
        <v>3120</v>
      </c>
      <c r="J1575" s="6" t="s">
        <v>5435</v>
      </c>
      <c r="K1575" s="6"/>
      <c r="L1575" s="6" t="s">
        <v>2411</v>
      </c>
      <c r="M1575" s="6" t="s">
        <v>8463</v>
      </c>
      <c r="N1575" s="7">
        <f ca="1">RAND()</f>
        <v>0.80527219473199374</v>
      </c>
      <c r="O1575" s="8">
        <v>45216</v>
      </c>
      <c r="P1575" s="8">
        <v>45217</v>
      </c>
      <c r="Q1575" s="8">
        <v>45219</v>
      </c>
      <c r="R1575" s="8">
        <v>45223</v>
      </c>
      <c r="S1575" s="8">
        <v>45230</v>
      </c>
      <c r="T1575" s="8">
        <v>45827</v>
      </c>
      <c r="U1575" s="8"/>
      <c r="V1575" s="10">
        <f>COUNTA(O1575:U1575)</f>
        <v>6</v>
      </c>
      <c r="W1575" s="11">
        <f>_xlfn.IFNA(INDEX(reading[[#This Row],[Memo 01]:[Memo 07]],MATCH(0,reading[[#This Row],[Memo 01]:[Memo 07]],-1)),"")</f>
        <v>45827</v>
      </c>
      <c r="X1575" s="11">
        <f ca="1">IFERROR(reading[[#This Row],[Previous]]+OFFSET(reading[[#Headers],[Memo 01]],-1,MATCH(0,reading[[#This Row],[Memo 01]:[Memo 07]],-1)-1),"")</f>
        <v>45847</v>
      </c>
      <c r="Y1575" s="10" t="str">
        <f ca="1">IF(reading[[#This Row],[Next]]&lt;&gt;"",IF(reading[[#This Row],[Next]]&gt;TODAY(),"OK",""),"")</f>
        <v>OK</v>
      </c>
      <c r="Z1575" s="13">
        <v>3</v>
      </c>
      <c r="AA1575" s="13">
        <v>3</v>
      </c>
      <c r="AB1575" s="13">
        <v>3</v>
      </c>
      <c r="AC1575" s="13">
        <v>2</v>
      </c>
      <c r="AD1575" s="13">
        <v>3</v>
      </c>
      <c r="AE1575" s="13">
        <v>3</v>
      </c>
      <c r="AF1575" s="13"/>
      <c r="AG1575" s="16">
        <f>IFERROR(SUMIF(reading[[#This Row],[1st]:[7th]],"&gt;0")/COUNTIF(reading[[#This Row],[1st]:[7th]],"&gt;0"),"")</f>
        <v>2.8333333333333335</v>
      </c>
    </row>
    <row r="1576" spans="1:33" hidden="1" x14ac:dyDescent="0.2">
      <c r="A1576" s="4">
        <f>IF(B1576=1,3,IF(D1576=1,2,IF(F1576=1,1,0)))</f>
        <v>0</v>
      </c>
      <c r="B1576" s="4" t="str">
        <f>IF(C1576=$L1576,1,IF(C1576="","",0))</f>
        <v/>
      </c>
      <c r="C1576" s="42"/>
      <c r="D1576" s="4" t="str">
        <f>IF(E1576=$L1576,1,IF(E1576="","",0))</f>
        <v/>
      </c>
      <c r="E1576" s="43"/>
      <c r="F1576" s="4" t="str">
        <f>IF(G1576=$L1576,1,IF(G1576="","",0))</f>
        <v/>
      </c>
      <c r="G1576" s="14"/>
      <c r="H1576" s="6">
        <v>1431</v>
      </c>
      <c r="I1576" s="15" t="s">
        <v>3120</v>
      </c>
      <c r="J1576" s="6" t="s">
        <v>4545</v>
      </c>
      <c r="K1576" s="6"/>
      <c r="L1576" s="6" t="s">
        <v>1522</v>
      </c>
      <c r="M1576" s="6" t="s">
        <v>7538</v>
      </c>
      <c r="N1576" s="7">
        <f ca="1">RAND()</f>
        <v>0.94126125592715149</v>
      </c>
      <c r="O1576" s="8">
        <v>45208</v>
      </c>
      <c r="P1576" s="8">
        <v>45213</v>
      </c>
      <c r="Q1576" s="8">
        <v>45215</v>
      </c>
      <c r="R1576" s="8">
        <v>45219</v>
      </c>
      <c r="S1576" s="8">
        <v>45226</v>
      </c>
      <c r="T1576" s="8">
        <v>45249</v>
      </c>
      <c r="U1576" s="8">
        <v>45829</v>
      </c>
      <c r="V1576" s="10">
        <f>COUNTA(O1576:U1576)</f>
        <v>7</v>
      </c>
      <c r="W1576" s="11">
        <f>_xlfn.IFNA(INDEX(reading[[#This Row],[Memo 01]:[Memo 07]],MATCH(0,reading[[#This Row],[Memo 01]:[Memo 07]],-1)),"")</f>
        <v>45829</v>
      </c>
      <c r="X1576" s="11">
        <f ca="1">IFERROR(reading[[#This Row],[Previous]]+OFFSET(reading[[#Headers],[Memo 01]],-1,MATCH(0,reading[[#This Row],[Memo 01]:[Memo 07]],-1)-1),"")</f>
        <v>55829</v>
      </c>
      <c r="Y1576" s="10" t="str">
        <f ca="1">IF(reading[[#This Row],[Next]]&lt;&gt;"",IF(reading[[#This Row],[Next]]&gt;TODAY(),"OK",""),"")</f>
        <v>OK</v>
      </c>
      <c r="Z1576" s="13">
        <v>3</v>
      </c>
      <c r="AA1576" s="13">
        <v>2</v>
      </c>
      <c r="AB1576" s="13">
        <v>3</v>
      </c>
      <c r="AC1576" s="13">
        <v>2</v>
      </c>
      <c r="AD1576" s="13">
        <v>2</v>
      </c>
      <c r="AE1576" s="13">
        <v>2</v>
      </c>
      <c r="AF1576" s="13">
        <v>2</v>
      </c>
      <c r="AG1576" s="16">
        <f>IFERROR(SUMIF(reading[[#This Row],[1st]:[7th]],"&gt;0")/COUNTIF(reading[[#This Row],[1st]:[7th]],"&gt;0"),"")</f>
        <v>2.2857142857142856</v>
      </c>
    </row>
    <row r="1577" spans="1:33" hidden="1" x14ac:dyDescent="0.2">
      <c r="A1577" s="4">
        <f>IF(B1577=1,3,IF(D1577=1,2,IF(F1577=1,1,0)))</f>
        <v>0</v>
      </c>
      <c r="B1577" s="4" t="str">
        <f>IF(C1577=$L1577,1,IF(C1577="","",0))</f>
        <v/>
      </c>
      <c r="C1577" s="42"/>
      <c r="D1577" s="4" t="str">
        <f>IF(E1577=$L1577,1,IF(E1577="","",0))</f>
        <v/>
      </c>
      <c r="E1577" s="14"/>
      <c r="F1577" s="4" t="str">
        <f>IF(G1577=$L1577,1,IF(G1577="","",0))</f>
        <v/>
      </c>
      <c r="G1577" s="14"/>
      <c r="H1577" s="6">
        <v>1074</v>
      </c>
      <c r="I1577" s="15" t="s">
        <v>3120</v>
      </c>
      <c r="J1577" s="6" t="s">
        <v>3887</v>
      </c>
      <c r="K1577" s="15" t="s">
        <v>3138</v>
      </c>
      <c r="L1577" s="6" t="s">
        <v>1181</v>
      </c>
      <c r="M1577" s="6" t="s">
        <v>7182</v>
      </c>
      <c r="N1577" s="7">
        <f ca="1">RAND()</f>
        <v>0.27210132152191624</v>
      </c>
      <c r="O1577" s="8">
        <v>45205</v>
      </c>
      <c r="P1577" s="8">
        <v>45206</v>
      </c>
      <c r="Q1577" s="8">
        <v>45208</v>
      </c>
      <c r="R1577" s="8">
        <v>45213</v>
      </c>
      <c r="S1577" s="8">
        <v>45220</v>
      </c>
      <c r="T1577" s="8">
        <v>45232</v>
      </c>
      <c r="U1577" s="8">
        <v>45253</v>
      </c>
      <c r="V1577" s="10">
        <f>COUNTA(O1577:U1577)</f>
        <v>7</v>
      </c>
      <c r="W1577" s="11">
        <f>_xlfn.IFNA(INDEX(reading[[#This Row],[Memo 01]:[Memo 07]],MATCH(0,reading[[#This Row],[Memo 01]:[Memo 07]],-1)),"")</f>
        <v>45253</v>
      </c>
      <c r="X1577" s="11">
        <f ca="1">IFERROR(reading[[#This Row],[Previous]]+OFFSET(reading[[#Headers],[Memo 01]],-1,MATCH(0,reading[[#This Row],[Memo 01]:[Memo 07]],-1)-1),"")</f>
        <v>55253</v>
      </c>
      <c r="Y1577" s="10" t="str">
        <f ca="1">IF(reading[[#This Row],[Next]]&lt;&gt;"",IF(reading[[#This Row],[Next]]&gt;TODAY(),"OK",""),"")</f>
        <v>OK</v>
      </c>
      <c r="Z1577" s="13">
        <v>3</v>
      </c>
      <c r="AA1577" s="13">
        <v>3</v>
      </c>
      <c r="AB1577" s="13">
        <v>3</v>
      </c>
      <c r="AC1577" s="13">
        <v>2</v>
      </c>
      <c r="AD1577" s="13">
        <v>3</v>
      </c>
      <c r="AE1577" s="13">
        <v>2</v>
      </c>
      <c r="AF1577" s="13">
        <v>2</v>
      </c>
      <c r="AG1577" s="16">
        <f>IFERROR(SUMIF(reading[[#This Row],[1st]:[7th]],"&gt;0")/COUNTIF(reading[[#This Row],[1st]:[7th]],"&gt;0"),"")</f>
        <v>2.5714285714285716</v>
      </c>
    </row>
    <row r="1578" spans="1:33" hidden="1" x14ac:dyDescent="0.2">
      <c r="A1578" s="4">
        <f>IF(B1578=1,3,IF(D1578=1,2,IF(F1578=1,1,0)))</f>
        <v>0</v>
      </c>
      <c r="B1578" s="4" t="str">
        <f>IF(C1578=$L1578,1,IF(C1578="","",0))</f>
        <v/>
      </c>
      <c r="C1578" s="42"/>
      <c r="D1578" s="4" t="str">
        <f>IF(E1578=$L1578,1,IF(E1578="","",0))</f>
        <v/>
      </c>
      <c r="E1578" s="14"/>
      <c r="F1578" s="4" t="str">
        <f>IF(G1578=$L1578,1,IF(G1578="","",0))</f>
        <v/>
      </c>
      <c r="G1578" s="14"/>
      <c r="H1578" s="6">
        <v>2148</v>
      </c>
      <c r="I1578" s="15" t="s">
        <v>3120</v>
      </c>
      <c r="J1578" s="6" t="s">
        <v>5236</v>
      </c>
      <c r="K1578" s="6"/>
      <c r="L1578" s="6" t="s">
        <v>2215</v>
      </c>
      <c r="M1578" s="6" t="s">
        <v>8254</v>
      </c>
      <c r="N1578" s="7">
        <f ca="1">RAND()</f>
        <v>0.64753217972148935</v>
      </c>
      <c r="O1578" s="8">
        <v>45214</v>
      </c>
      <c r="P1578" s="8">
        <v>45215</v>
      </c>
      <c r="Q1578" s="8">
        <v>45217</v>
      </c>
      <c r="R1578" s="8">
        <v>45221</v>
      </c>
      <c r="S1578" s="8">
        <v>45228</v>
      </c>
      <c r="T1578" s="8">
        <v>45792</v>
      </c>
      <c r="U1578" s="8">
        <v>45823</v>
      </c>
      <c r="V1578" s="10">
        <f>COUNTA(O1578:U1578)</f>
        <v>7</v>
      </c>
      <c r="W1578" s="11">
        <f>_xlfn.IFNA(INDEX(reading[[#This Row],[Memo 01]:[Memo 07]],MATCH(0,reading[[#This Row],[Memo 01]:[Memo 07]],-1)),"")</f>
        <v>45823</v>
      </c>
      <c r="X1578" s="11">
        <f ca="1">IFERROR(reading[[#This Row],[Previous]]+OFFSET(reading[[#Headers],[Memo 01]],-1,MATCH(0,reading[[#This Row],[Memo 01]:[Memo 07]],-1)-1),"")</f>
        <v>55823</v>
      </c>
      <c r="Y1578" s="10" t="str">
        <f ca="1">IF(reading[[#This Row],[Next]]&lt;&gt;"",IF(reading[[#This Row],[Next]]&gt;TODAY(),"OK",""),"")</f>
        <v>OK</v>
      </c>
      <c r="Z1578" s="13">
        <v>3</v>
      </c>
      <c r="AA1578" s="13">
        <v>3</v>
      </c>
      <c r="AB1578" s="13">
        <v>3</v>
      </c>
      <c r="AC1578" s="13">
        <v>3</v>
      </c>
      <c r="AD1578" s="13">
        <v>3</v>
      </c>
      <c r="AE1578" s="13">
        <v>3</v>
      </c>
      <c r="AF1578" s="13">
        <v>3</v>
      </c>
      <c r="AG1578" s="16">
        <f>IFERROR(SUMIF(reading[[#This Row],[1st]:[7th]],"&gt;0")/COUNTIF(reading[[#This Row],[1st]:[7th]],"&gt;0"),"")</f>
        <v>3</v>
      </c>
    </row>
    <row r="1579" spans="1:33" hidden="1" x14ac:dyDescent="0.2">
      <c r="A1579" s="4">
        <f>IF(B1579=1,3,IF(D1579=1,2,IF(F1579=1,1,0)))</f>
        <v>0</v>
      </c>
      <c r="B1579" s="4" t="str">
        <f>IF(C1579=$L1579,1,IF(C1579="","",0))</f>
        <v/>
      </c>
      <c r="C1579" s="42"/>
      <c r="D1579" s="4" t="str">
        <f>IF(E1579=$L1579,1,IF(E1579="","",0))</f>
        <v/>
      </c>
      <c r="E1579" s="14"/>
      <c r="F1579" s="4" t="str">
        <f>IF(G1579=$L1579,1,IF(G1579="","",0))</f>
        <v/>
      </c>
      <c r="G1579" s="14"/>
      <c r="H1579" s="6">
        <v>3072</v>
      </c>
      <c r="I1579" s="15" t="s">
        <v>3120</v>
      </c>
      <c r="J1579" s="6" t="s">
        <v>6093</v>
      </c>
      <c r="K1579" s="6"/>
      <c r="L1579" s="6" t="s">
        <v>3097</v>
      </c>
      <c r="M1579" s="6" t="s">
        <v>9175</v>
      </c>
      <c r="N1579" s="7">
        <f ca="1">RAND()</f>
        <v>0.51651254279646974</v>
      </c>
      <c r="O1579" s="8">
        <v>45224</v>
      </c>
      <c r="P1579" s="8">
        <v>45225</v>
      </c>
      <c r="Q1579" s="8">
        <v>45227</v>
      </c>
      <c r="R1579" s="8">
        <v>45231</v>
      </c>
      <c r="S1579" s="8">
        <v>45251</v>
      </c>
      <c r="T1579" s="8">
        <v>45823</v>
      </c>
      <c r="U1579" s="8"/>
      <c r="V1579" s="10">
        <f>COUNTA(O1579:U1579)</f>
        <v>6</v>
      </c>
      <c r="W1579" s="11">
        <f>_xlfn.IFNA(INDEX(reading[[#This Row],[Memo 01]:[Memo 07]],MATCH(0,reading[[#This Row],[Memo 01]:[Memo 07]],-1)),"")</f>
        <v>45823</v>
      </c>
      <c r="X1579" s="11">
        <f ca="1">IFERROR(reading[[#This Row],[Previous]]+OFFSET(reading[[#Headers],[Memo 01]],-1,MATCH(0,reading[[#This Row],[Memo 01]:[Memo 07]],-1)-1),"")</f>
        <v>45843</v>
      </c>
      <c r="Y1579" s="10" t="str">
        <f ca="1">IF(reading[[#This Row],[Next]]&lt;&gt;"",IF(reading[[#This Row],[Next]]&gt;TODAY(),"OK",""),"")</f>
        <v>OK</v>
      </c>
      <c r="Z1579" s="13">
        <v>3</v>
      </c>
      <c r="AA1579" s="13">
        <v>3</v>
      </c>
      <c r="AB1579" s="13">
        <v>3</v>
      </c>
      <c r="AC1579" s="13">
        <v>3</v>
      </c>
      <c r="AD1579" s="13">
        <v>3</v>
      </c>
      <c r="AE1579" s="13">
        <v>3</v>
      </c>
      <c r="AF1579" s="13"/>
      <c r="AG1579" s="16">
        <f>IFERROR(SUMIF(reading[[#This Row],[1st]:[7th]],"&gt;0")/COUNTIF(reading[[#This Row],[1st]:[7th]],"&gt;0"),"")</f>
        <v>3</v>
      </c>
    </row>
    <row r="1580" spans="1:33" hidden="1" x14ac:dyDescent="0.2">
      <c r="A1580" s="4">
        <f>IF(B1580=1,3,IF(D1580=1,2,IF(F1580=1,1,0)))</f>
        <v>0</v>
      </c>
      <c r="B1580" s="4" t="str">
        <f>IF(C1580=$L1580,1,IF(C1580="","",0))</f>
        <v/>
      </c>
      <c r="C1580" s="42"/>
      <c r="D1580" s="4" t="str">
        <f>IF(E1580=$L1580,1,IF(E1580="","",0))</f>
        <v/>
      </c>
      <c r="E1580" s="14"/>
      <c r="F1580" s="4" t="str">
        <f>IF(G1580=$L1580,1,IF(G1580="","",0))</f>
        <v/>
      </c>
      <c r="G1580" s="14"/>
      <c r="H1580" s="6">
        <v>1789</v>
      </c>
      <c r="I1580" s="15" t="s">
        <v>3120</v>
      </c>
      <c r="J1580" s="6" t="s">
        <v>4896</v>
      </c>
      <c r="K1580" s="6"/>
      <c r="L1580" s="6" t="s">
        <v>1868</v>
      </c>
      <c r="M1580" s="6" t="s">
        <v>7895</v>
      </c>
      <c r="N1580" s="7">
        <f ca="1">RAND()</f>
        <v>0.2410987539070002</v>
      </c>
      <c r="O1580" s="8">
        <v>45211</v>
      </c>
      <c r="P1580" s="8">
        <v>45212</v>
      </c>
      <c r="Q1580" s="8">
        <v>45214</v>
      </c>
      <c r="R1580" s="8">
        <v>45218</v>
      </c>
      <c r="S1580" s="8">
        <v>45225</v>
      </c>
      <c r="T1580" s="8">
        <v>45237</v>
      </c>
      <c r="U1580" s="8">
        <v>45827</v>
      </c>
      <c r="V1580" s="10">
        <f>COUNTA(O1580:U1580)</f>
        <v>7</v>
      </c>
      <c r="W1580" s="11">
        <f>_xlfn.IFNA(INDEX(reading[[#This Row],[Memo 01]:[Memo 07]],MATCH(0,reading[[#This Row],[Memo 01]:[Memo 07]],-1)),"")</f>
        <v>45827</v>
      </c>
      <c r="X1580" s="11">
        <f ca="1">IFERROR(reading[[#This Row],[Previous]]+OFFSET(reading[[#Headers],[Memo 01]],-1,MATCH(0,reading[[#This Row],[Memo 01]:[Memo 07]],-1)-1),"")</f>
        <v>55827</v>
      </c>
      <c r="Y1580" s="10" t="str">
        <f ca="1">IF(reading[[#This Row],[Next]]&lt;&gt;"",IF(reading[[#This Row],[Next]]&gt;TODAY(),"OK",""),"")</f>
        <v>OK</v>
      </c>
      <c r="Z1580" s="13">
        <v>3</v>
      </c>
      <c r="AA1580" s="13">
        <v>3</v>
      </c>
      <c r="AB1580" s="13">
        <v>3</v>
      </c>
      <c r="AC1580" s="13">
        <v>3</v>
      </c>
      <c r="AD1580" s="13">
        <v>3</v>
      </c>
      <c r="AE1580" s="13">
        <v>3</v>
      </c>
      <c r="AF1580" s="13">
        <v>3</v>
      </c>
      <c r="AG1580" s="16">
        <f>IFERROR(SUMIF(reading[[#This Row],[1st]:[7th]],"&gt;0")/COUNTIF(reading[[#This Row],[1st]:[7th]],"&gt;0"),"")</f>
        <v>3</v>
      </c>
    </row>
    <row r="1581" spans="1:33" hidden="1" x14ac:dyDescent="0.2">
      <c r="A1581" s="4">
        <f>IF(B1581=1,3,IF(D1581=1,2,IF(F1581=1,1,0)))</f>
        <v>0</v>
      </c>
      <c r="B1581" s="4" t="str">
        <f>IF(C1581=$L1581,1,IF(C1581="","",0))</f>
        <v/>
      </c>
      <c r="C1581" s="42"/>
      <c r="D1581" s="4" t="str">
        <f>IF(E1581=$L1581,1,IF(E1581="","",0))</f>
        <v/>
      </c>
      <c r="E1581" s="14"/>
      <c r="F1581" s="4" t="str">
        <f>IF(G1581=$L1581,1,IF(G1581="","",0))</f>
        <v/>
      </c>
      <c r="G1581" s="14"/>
      <c r="H1581" s="6">
        <v>1916</v>
      </c>
      <c r="I1581" s="15" t="s">
        <v>3120</v>
      </c>
      <c r="J1581" s="6" t="s">
        <v>5017</v>
      </c>
      <c r="K1581" s="6"/>
      <c r="L1581" s="6" t="s">
        <v>1992</v>
      </c>
      <c r="M1581" s="6" t="s">
        <v>8022</v>
      </c>
      <c r="N1581" s="7">
        <f ca="1">RAND()</f>
        <v>0.77873533116794758</v>
      </c>
      <c r="O1581" s="8">
        <v>45212</v>
      </c>
      <c r="P1581" s="8">
        <v>45213</v>
      </c>
      <c r="Q1581" s="8">
        <v>45215</v>
      </c>
      <c r="R1581" s="8">
        <v>45219</v>
      </c>
      <c r="S1581" s="8">
        <v>45226</v>
      </c>
      <c r="T1581" s="8">
        <v>45783</v>
      </c>
      <c r="U1581" s="8">
        <v>45823</v>
      </c>
      <c r="V1581" s="10">
        <f>COUNTA(O1581:U1581)</f>
        <v>7</v>
      </c>
      <c r="W1581" s="11">
        <f>_xlfn.IFNA(INDEX(reading[[#This Row],[Memo 01]:[Memo 07]],MATCH(0,reading[[#This Row],[Memo 01]:[Memo 07]],-1)),"")</f>
        <v>45823</v>
      </c>
      <c r="X1581" s="11">
        <f ca="1">IFERROR(reading[[#This Row],[Previous]]+OFFSET(reading[[#Headers],[Memo 01]],-1,MATCH(0,reading[[#This Row],[Memo 01]:[Memo 07]],-1)-1),"")</f>
        <v>55823</v>
      </c>
      <c r="Y1581" s="10" t="str">
        <f ca="1">IF(reading[[#This Row],[Next]]&lt;&gt;"",IF(reading[[#This Row],[Next]]&gt;TODAY(),"OK",""),"")</f>
        <v>OK</v>
      </c>
      <c r="Z1581" s="13">
        <v>3</v>
      </c>
      <c r="AA1581" s="13">
        <v>3</v>
      </c>
      <c r="AB1581" s="13">
        <v>3</v>
      </c>
      <c r="AC1581" s="13">
        <v>3</v>
      </c>
      <c r="AD1581" s="13">
        <v>3</v>
      </c>
      <c r="AE1581" s="13">
        <v>3</v>
      </c>
      <c r="AF1581" s="13">
        <v>3</v>
      </c>
      <c r="AG1581" s="16">
        <f>IFERROR(SUMIF(reading[[#This Row],[1st]:[7th]],"&gt;0")/COUNTIF(reading[[#This Row],[1st]:[7th]],"&gt;0"),"")</f>
        <v>3</v>
      </c>
    </row>
    <row r="1582" spans="1:33" hidden="1" x14ac:dyDescent="0.2">
      <c r="A1582" s="4">
        <f>IF(B1582=1,3,IF(D1582=1,2,IF(F1582=1,1,0)))</f>
        <v>0</v>
      </c>
      <c r="B1582" s="4" t="str">
        <f>IF(C1582=$L1582,1,IF(C1582="","",0))</f>
        <v/>
      </c>
      <c r="C1582" s="42"/>
      <c r="D1582" s="4" t="str">
        <f>IF(E1582=$L1582,1,IF(E1582="","",0))</f>
        <v/>
      </c>
      <c r="E1582" s="14"/>
      <c r="F1582" s="4" t="str">
        <f>IF(G1582=$L1582,1,IF(G1582="","",0))</f>
        <v/>
      </c>
      <c r="G1582" s="14"/>
      <c r="H1582" s="6">
        <v>2911</v>
      </c>
      <c r="I1582" s="15" t="s">
        <v>3120</v>
      </c>
      <c r="J1582" s="6" t="s">
        <v>5947</v>
      </c>
      <c r="K1582" s="15" t="s">
        <v>3153</v>
      </c>
      <c r="L1582" s="6" t="s">
        <v>2941</v>
      </c>
      <c r="M1582" s="6" t="s">
        <v>9015</v>
      </c>
      <c r="N1582" s="7">
        <f ca="1">RAND()</f>
        <v>0.65042108505685359</v>
      </c>
      <c r="O1582" s="8">
        <v>45223</v>
      </c>
      <c r="P1582" s="8">
        <v>45224</v>
      </c>
      <c r="Q1582" s="8">
        <v>45226</v>
      </c>
      <c r="R1582" s="8">
        <v>45230</v>
      </c>
      <c r="S1582" s="8">
        <v>45237</v>
      </c>
      <c r="T1582" s="8">
        <v>45783</v>
      </c>
      <c r="U1582" s="8">
        <v>45823</v>
      </c>
      <c r="V1582" s="10">
        <f>COUNTA(O1582:U1582)</f>
        <v>7</v>
      </c>
      <c r="W1582" s="11">
        <f>_xlfn.IFNA(INDEX(reading[[#This Row],[Memo 01]:[Memo 07]],MATCH(0,reading[[#This Row],[Memo 01]:[Memo 07]],-1)),"")</f>
        <v>45823</v>
      </c>
      <c r="X1582" s="11">
        <f ca="1">IFERROR(reading[[#This Row],[Previous]]+OFFSET(reading[[#Headers],[Memo 01]],-1,MATCH(0,reading[[#This Row],[Memo 01]:[Memo 07]],-1)-1),"")</f>
        <v>55823</v>
      </c>
      <c r="Y1582" s="10" t="str">
        <f ca="1">IF(reading[[#This Row],[Next]]&lt;&gt;"",IF(reading[[#This Row],[Next]]&gt;TODAY(),"OK",""),"")</f>
        <v>OK</v>
      </c>
      <c r="Z1582" s="13">
        <v>3</v>
      </c>
      <c r="AA1582" s="13">
        <v>3</v>
      </c>
      <c r="AB1582" s="13">
        <v>3</v>
      </c>
      <c r="AC1582" s="13">
        <v>3</v>
      </c>
      <c r="AD1582" s="13">
        <v>3</v>
      </c>
      <c r="AE1582" s="13">
        <v>3</v>
      </c>
      <c r="AF1582" s="13">
        <v>3</v>
      </c>
      <c r="AG1582" s="16">
        <f>IFERROR(SUMIF(reading[[#This Row],[1st]:[7th]],"&gt;0")/COUNTIF(reading[[#This Row],[1st]:[7th]],"&gt;0"),"")</f>
        <v>3</v>
      </c>
    </row>
    <row r="1583" spans="1:33" hidden="1" x14ac:dyDescent="0.2">
      <c r="A1583" s="4">
        <f>IF(B1583=1,3,IF(D1583=1,2,IF(F1583=1,1,0)))</f>
        <v>0</v>
      </c>
      <c r="B1583" s="4" t="str">
        <f>IF(C1583=$L1583,1,IF(C1583="","",0))</f>
        <v/>
      </c>
      <c r="C1583" s="42"/>
      <c r="D1583" s="4" t="str">
        <f>IF(E1583=$L1583,1,IF(E1583="","",0))</f>
        <v/>
      </c>
      <c r="E1583" s="18"/>
      <c r="F1583" s="4" t="str">
        <f>IF(G1583=$L1583,1,IF(G1583="","",0))</f>
        <v/>
      </c>
      <c r="G1583" s="14"/>
      <c r="H1583" s="6">
        <v>2045</v>
      </c>
      <c r="I1583" s="15" t="s">
        <v>3120</v>
      </c>
      <c r="J1583" s="6" t="s">
        <v>5141</v>
      </c>
      <c r="K1583" s="6"/>
      <c r="L1583" s="6" t="s">
        <v>2120</v>
      </c>
      <c r="M1583" s="6" t="s">
        <v>8151</v>
      </c>
      <c r="N1583" s="7">
        <f ca="1">RAND()</f>
        <v>0.55515129712822708</v>
      </c>
      <c r="O1583" s="8">
        <v>45214</v>
      </c>
      <c r="P1583" s="8">
        <v>45215</v>
      </c>
      <c r="Q1583" s="8">
        <v>45217</v>
      </c>
      <c r="R1583" s="8">
        <v>45221</v>
      </c>
      <c r="S1583" s="8">
        <v>45228</v>
      </c>
      <c r="T1583" s="8">
        <v>45827</v>
      </c>
      <c r="U1583" s="8"/>
      <c r="V1583" s="10">
        <f>COUNTA(O1583:U1583)</f>
        <v>6</v>
      </c>
      <c r="W1583" s="11">
        <f>_xlfn.IFNA(INDEX(reading[[#This Row],[Memo 01]:[Memo 07]],MATCH(0,reading[[#This Row],[Memo 01]:[Memo 07]],-1)),"")</f>
        <v>45827</v>
      </c>
      <c r="X1583" s="11">
        <f ca="1">IFERROR(reading[[#This Row],[Previous]]+OFFSET(reading[[#Headers],[Memo 01]],-1,MATCH(0,reading[[#This Row],[Memo 01]:[Memo 07]],-1)-1),"")</f>
        <v>45847</v>
      </c>
      <c r="Y1583" s="10" t="str">
        <f ca="1">IF(reading[[#This Row],[Next]]&lt;&gt;"",IF(reading[[#This Row],[Next]]&gt;TODAY(),"OK",""),"")</f>
        <v>OK</v>
      </c>
      <c r="Z1583" s="13">
        <v>3</v>
      </c>
      <c r="AA1583" s="13">
        <v>3</v>
      </c>
      <c r="AB1583" s="13">
        <v>2</v>
      </c>
      <c r="AC1583" s="13">
        <v>3</v>
      </c>
      <c r="AD1583" s="13">
        <v>3</v>
      </c>
      <c r="AE1583" s="13">
        <v>3</v>
      </c>
      <c r="AF1583" s="13"/>
      <c r="AG1583" s="16">
        <f>IFERROR(SUMIF(reading[[#This Row],[1st]:[7th]],"&gt;0")/COUNTIF(reading[[#This Row],[1st]:[7th]],"&gt;0"),"")</f>
        <v>2.8333333333333335</v>
      </c>
    </row>
    <row r="1584" spans="1:33" hidden="1" x14ac:dyDescent="0.2">
      <c r="A1584" s="4">
        <f>IF(B1584=1,3,IF(D1584=1,2,IF(F1584=1,1,0)))</f>
        <v>0</v>
      </c>
      <c r="B1584" s="4" t="str">
        <f>IF(C1584=$L1584,1,IF(C1584="","",0))</f>
        <v/>
      </c>
      <c r="C1584" s="42"/>
      <c r="D1584" s="4" t="str">
        <f>IF(E1584=$L1584,1,IF(E1584="","",0))</f>
        <v/>
      </c>
      <c r="E1584" s="23"/>
      <c r="F1584" s="4" t="str">
        <f>IF(G1584=$L1584,1,IF(G1584="","",0))</f>
        <v/>
      </c>
      <c r="G1584" s="14"/>
      <c r="H1584" s="6">
        <v>646</v>
      </c>
      <c r="I1584" s="15" t="s">
        <v>3120</v>
      </c>
      <c r="J1584" s="6" t="s">
        <v>3273</v>
      </c>
      <c r="K1584" s="24" t="s">
        <v>3142</v>
      </c>
      <c r="L1584" s="6" t="s">
        <v>769</v>
      </c>
      <c r="M1584" s="6" t="s">
        <v>6755</v>
      </c>
      <c r="N1584" s="7">
        <f ca="1">RAND()</f>
        <v>0.24149293585627818</v>
      </c>
      <c r="O1584" s="8">
        <v>45202</v>
      </c>
      <c r="P1584" s="8">
        <v>45203</v>
      </c>
      <c r="Q1584" s="8">
        <v>45205</v>
      </c>
      <c r="R1584" s="8">
        <v>45209</v>
      </c>
      <c r="S1584" s="8">
        <v>45216</v>
      </c>
      <c r="T1584" s="8">
        <v>45228</v>
      </c>
      <c r="U1584" s="8">
        <v>45827</v>
      </c>
      <c r="V1584" s="10">
        <f>COUNTA(O1584:U1584)</f>
        <v>7</v>
      </c>
      <c r="W1584" s="11">
        <f>_xlfn.IFNA(INDEX(reading[[#This Row],[Memo 01]:[Memo 07]],MATCH(0,reading[[#This Row],[Memo 01]:[Memo 07]],-1)),"")</f>
        <v>45827</v>
      </c>
      <c r="X1584" s="11">
        <f ca="1">IFERROR(reading[[#This Row],[Previous]]+OFFSET(reading[[#Headers],[Memo 01]],-1,MATCH(0,reading[[#This Row],[Memo 01]:[Memo 07]],-1)-1),"")</f>
        <v>55827</v>
      </c>
      <c r="Y1584" s="10" t="str">
        <f ca="1">IF(reading[[#This Row],[Next]]&lt;&gt;"",IF(reading[[#This Row],[Next]]&gt;TODAY(),"OK",""),"")</f>
        <v>OK</v>
      </c>
      <c r="Z1584" s="13">
        <v>3</v>
      </c>
      <c r="AA1584" s="13">
        <v>2</v>
      </c>
      <c r="AB1584" s="13">
        <v>3</v>
      </c>
      <c r="AC1584" s="13">
        <v>2</v>
      </c>
      <c r="AD1584" s="13">
        <v>3</v>
      </c>
      <c r="AE1584" s="13">
        <v>3</v>
      </c>
      <c r="AF1584" s="13">
        <v>3</v>
      </c>
      <c r="AG1584" s="16">
        <f>IFERROR(SUMIF(reading[[#This Row],[1st]:[7th]],"&gt;0")/COUNTIF(reading[[#This Row],[1st]:[7th]],"&gt;0"),"")</f>
        <v>2.7142857142857144</v>
      </c>
    </row>
    <row r="1585" spans="1:33" hidden="1" x14ac:dyDescent="0.2">
      <c r="A1585" s="4">
        <f>IF(B1585=1,3,IF(D1585=1,2,IF(F1585=1,1,0)))</f>
        <v>0</v>
      </c>
      <c r="B1585" s="4" t="str">
        <f>IF(C1585=$L1585,1,IF(C1585="","",0))</f>
        <v/>
      </c>
      <c r="C1585" s="42"/>
      <c r="D1585" s="4" t="str">
        <f>IF(E1585=$L1585,1,IF(E1585="","",0))</f>
        <v/>
      </c>
      <c r="E1585" s="14"/>
      <c r="F1585" s="4" t="str">
        <f>IF(G1585=$L1585,1,IF(G1585="","",0))</f>
        <v/>
      </c>
      <c r="G1585" s="14"/>
      <c r="H1585" s="6">
        <v>2460</v>
      </c>
      <c r="I1585" s="15" t="s">
        <v>3120</v>
      </c>
      <c r="J1585" s="6" t="s">
        <v>5529</v>
      </c>
      <c r="K1585" s="6"/>
      <c r="L1585" s="6" t="s">
        <v>2508</v>
      </c>
      <c r="M1585" s="6" t="s">
        <v>8565</v>
      </c>
      <c r="N1585" s="7">
        <f ca="1">RAND()</f>
        <v>2.4972833027186003E-2</v>
      </c>
      <c r="O1585" s="8">
        <v>45218</v>
      </c>
      <c r="P1585" s="8">
        <v>45219</v>
      </c>
      <c r="Q1585" s="8">
        <v>45221</v>
      </c>
      <c r="R1585" s="8">
        <v>45225</v>
      </c>
      <c r="S1585" s="8">
        <v>45232</v>
      </c>
      <c r="T1585" s="8">
        <v>45823</v>
      </c>
      <c r="U1585" s="8"/>
      <c r="V1585" s="10">
        <f>COUNTA(O1585:U1585)</f>
        <v>6</v>
      </c>
      <c r="W1585" s="11">
        <f>_xlfn.IFNA(INDEX(reading[[#This Row],[Memo 01]:[Memo 07]],MATCH(0,reading[[#This Row],[Memo 01]:[Memo 07]],-1)),"")</f>
        <v>45823</v>
      </c>
      <c r="X1585" s="11">
        <f ca="1">IFERROR(reading[[#This Row],[Previous]]+OFFSET(reading[[#Headers],[Memo 01]],-1,MATCH(0,reading[[#This Row],[Memo 01]:[Memo 07]],-1)-1),"")</f>
        <v>45843</v>
      </c>
      <c r="Y1585" s="10" t="str">
        <f ca="1">IF(reading[[#This Row],[Next]]&lt;&gt;"",IF(reading[[#This Row],[Next]]&gt;TODAY(),"OK",""),"")</f>
        <v>OK</v>
      </c>
      <c r="Z1585" s="13">
        <v>3</v>
      </c>
      <c r="AA1585" s="13">
        <v>3</v>
      </c>
      <c r="AB1585" s="13">
        <v>3</v>
      </c>
      <c r="AC1585" s="13">
        <v>3</v>
      </c>
      <c r="AD1585" s="13">
        <v>3</v>
      </c>
      <c r="AE1585" s="13">
        <v>3</v>
      </c>
      <c r="AF1585" s="13"/>
      <c r="AG1585" s="16">
        <f>IFERROR(SUMIF(reading[[#This Row],[1st]:[7th]],"&gt;0")/COUNTIF(reading[[#This Row],[1st]:[7th]],"&gt;0"),"")</f>
        <v>3</v>
      </c>
    </row>
    <row r="1586" spans="1:33" hidden="1" x14ac:dyDescent="0.2">
      <c r="A1586" s="4">
        <f>IF(B1586=1,3,IF(D1586=1,2,IF(F1586=1,1,0)))</f>
        <v>0</v>
      </c>
      <c r="B1586" s="4" t="str">
        <f>IF(C1586=$L1586,1,IF(C1586="","",0))</f>
        <v/>
      </c>
      <c r="C1586" s="42"/>
      <c r="D1586" s="4" t="str">
        <f>IF(E1586=$L1586,1,IF(E1586="","",0))</f>
        <v/>
      </c>
      <c r="E1586" s="18"/>
      <c r="F1586" s="4" t="str">
        <f>IF(G1586=$L1586,1,IF(G1586="","",0))</f>
        <v/>
      </c>
      <c r="G1586" s="14"/>
      <c r="H1586" s="6">
        <v>2959</v>
      </c>
      <c r="I1586" s="15" t="s">
        <v>3120</v>
      </c>
      <c r="J1586" s="6" t="s">
        <v>5990</v>
      </c>
      <c r="K1586" s="6"/>
      <c r="L1586" s="6" t="s">
        <v>2989</v>
      </c>
      <c r="M1586" s="6" t="s">
        <v>9063</v>
      </c>
      <c r="N1586" s="7">
        <f ca="1">RAND()</f>
        <v>0.34068421832643481</v>
      </c>
      <c r="O1586" s="8">
        <v>45223</v>
      </c>
      <c r="P1586" s="8">
        <v>45224</v>
      </c>
      <c r="Q1586" s="8">
        <v>45226</v>
      </c>
      <c r="R1586" s="8">
        <v>45231</v>
      </c>
      <c r="S1586" s="8">
        <v>45248</v>
      </c>
      <c r="T1586" s="8">
        <v>45827</v>
      </c>
      <c r="U1586" s="8"/>
      <c r="V1586" s="10">
        <f>COUNTA(O1586:U1586)</f>
        <v>6</v>
      </c>
      <c r="W1586" s="11">
        <f>_xlfn.IFNA(INDEX(reading[[#This Row],[Memo 01]:[Memo 07]],MATCH(0,reading[[#This Row],[Memo 01]:[Memo 07]],-1)),"")</f>
        <v>45827</v>
      </c>
      <c r="X1586" s="11">
        <f ca="1">IFERROR(reading[[#This Row],[Previous]]+OFFSET(reading[[#Headers],[Memo 01]],-1,MATCH(0,reading[[#This Row],[Memo 01]:[Memo 07]],-1)-1),"")</f>
        <v>45847</v>
      </c>
      <c r="Y1586" s="10" t="str">
        <f ca="1">IF(reading[[#This Row],[Next]]&lt;&gt;"",IF(reading[[#This Row],[Next]]&gt;TODAY(),"OK",""),"")</f>
        <v>OK</v>
      </c>
      <c r="Z1586" s="13">
        <v>3</v>
      </c>
      <c r="AA1586" s="13">
        <v>2</v>
      </c>
      <c r="AB1586" s="13">
        <v>2</v>
      </c>
      <c r="AC1586" s="13">
        <v>1</v>
      </c>
      <c r="AD1586" s="13">
        <v>3</v>
      </c>
      <c r="AE1586" s="13">
        <v>3</v>
      </c>
      <c r="AF1586" s="13"/>
      <c r="AG1586" s="16">
        <f>IFERROR(SUMIF(reading[[#This Row],[1st]:[7th]],"&gt;0")/COUNTIF(reading[[#This Row],[1st]:[7th]],"&gt;0"),"")</f>
        <v>2.3333333333333335</v>
      </c>
    </row>
    <row r="1587" spans="1:33" hidden="1" x14ac:dyDescent="0.2">
      <c r="A1587" s="4">
        <f>IF(B1587=1,3,IF(D1587=1,2,IF(F1587=1,1,0)))</f>
        <v>0</v>
      </c>
      <c r="B1587" s="4" t="str">
        <f>IF(C1587=$L1587,1,IF(C1587="","",0))</f>
        <v/>
      </c>
      <c r="C1587" s="42"/>
      <c r="D1587" s="4" t="str">
        <f>IF(E1587=$L1587,1,IF(E1587="","",0))</f>
        <v/>
      </c>
      <c r="E1587" s="14"/>
      <c r="F1587" s="4" t="str">
        <f>IF(G1587=$L1587,1,IF(G1587="","",0))</f>
        <v/>
      </c>
      <c r="G1587" s="14"/>
      <c r="H1587" s="6">
        <v>2458</v>
      </c>
      <c r="I1587" s="15" t="s">
        <v>3120</v>
      </c>
      <c r="J1587" s="6" t="s">
        <v>4727</v>
      </c>
      <c r="K1587" s="6"/>
      <c r="L1587" s="6" t="s">
        <v>2506</v>
      </c>
      <c r="M1587" s="6" t="s">
        <v>8563</v>
      </c>
      <c r="N1587" s="7">
        <f ca="1">RAND()</f>
        <v>0.43868617537369337</v>
      </c>
      <c r="O1587" s="8">
        <v>45218</v>
      </c>
      <c r="P1587" s="8">
        <v>45219</v>
      </c>
      <c r="Q1587" s="8">
        <v>45221</v>
      </c>
      <c r="R1587" s="8">
        <v>45225</v>
      </c>
      <c r="S1587" s="8">
        <v>45232</v>
      </c>
      <c r="T1587" s="8">
        <v>45827</v>
      </c>
      <c r="U1587" s="8"/>
      <c r="V1587" s="10">
        <f>COUNTA(O1587:U1587)</f>
        <v>6</v>
      </c>
      <c r="W1587" s="11">
        <f>_xlfn.IFNA(INDEX(reading[[#This Row],[Memo 01]:[Memo 07]],MATCH(0,reading[[#This Row],[Memo 01]:[Memo 07]],-1)),"")</f>
        <v>45827</v>
      </c>
      <c r="X1587" s="11">
        <f ca="1">IFERROR(reading[[#This Row],[Previous]]+OFFSET(reading[[#Headers],[Memo 01]],-1,MATCH(0,reading[[#This Row],[Memo 01]:[Memo 07]],-1)-1),"")</f>
        <v>45847</v>
      </c>
      <c r="Y1587" s="10" t="str">
        <f ca="1">IF(reading[[#This Row],[Next]]&lt;&gt;"",IF(reading[[#This Row],[Next]]&gt;TODAY(),"OK",""),"")</f>
        <v>OK</v>
      </c>
      <c r="Z1587" s="13">
        <v>3</v>
      </c>
      <c r="AA1587" s="13">
        <v>3</v>
      </c>
      <c r="AB1587" s="13">
        <v>3</v>
      </c>
      <c r="AC1587" s="13">
        <v>3</v>
      </c>
      <c r="AD1587" s="13">
        <v>3</v>
      </c>
      <c r="AE1587" s="13">
        <v>3</v>
      </c>
      <c r="AF1587" s="13"/>
      <c r="AG1587" s="16">
        <f>IFERROR(SUMIF(reading[[#This Row],[1st]:[7th]],"&gt;0")/COUNTIF(reading[[#This Row],[1st]:[7th]],"&gt;0"),"")</f>
        <v>3</v>
      </c>
    </row>
    <row r="1588" spans="1:33" hidden="1" x14ac:dyDescent="0.2">
      <c r="A1588" s="4">
        <f>IF(B1588=1,3,IF(D1588=1,2,IF(F1588=1,1,0)))</f>
        <v>0</v>
      </c>
      <c r="B1588" s="4" t="str">
        <f>IF(C1588=$L1588,1,IF(C1588="","",0))</f>
        <v/>
      </c>
      <c r="C1588" s="42"/>
      <c r="D1588" s="4" t="str">
        <f>IF(E1588=$L1588,1,IF(E1588="","",0))</f>
        <v/>
      </c>
      <c r="E1588" s="14"/>
      <c r="F1588" s="4" t="str">
        <f>IF(G1588=$L1588,1,IF(G1588="","",0))</f>
        <v/>
      </c>
      <c r="G1588" s="14"/>
      <c r="H1588" s="6">
        <v>2893</v>
      </c>
      <c r="I1588" s="15" t="s">
        <v>3120</v>
      </c>
      <c r="J1588" s="6" t="s">
        <v>5929</v>
      </c>
      <c r="K1588" s="6"/>
      <c r="L1588" s="6" t="s">
        <v>2924</v>
      </c>
      <c r="M1588" s="6" t="s">
        <v>8997</v>
      </c>
      <c r="N1588" s="7">
        <f ca="1">RAND()</f>
        <v>0.68920531762675141</v>
      </c>
      <c r="O1588" s="8">
        <v>45222</v>
      </c>
      <c r="P1588" s="8">
        <v>45223</v>
      </c>
      <c r="Q1588" s="8">
        <v>45225</v>
      </c>
      <c r="R1588" s="8">
        <v>45229</v>
      </c>
      <c r="S1588" s="8">
        <v>45236</v>
      </c>
      <c r="T1588" s="8">
        <v>45783</v>
      </c>
      <c r="U1588" s="8">
        <v>45823</v>
      </c>
      <c r="V1588" s="10">
        <f>COUNTA(O1588:U1588)</f>
        <v>7</v>
      </c>
      <c r="W1588" s="11">
        <f>_xlfn.IFNA(INDEX(reading[[#This Row],[Memo 01]:[Memo 07]],MATCH(0,reading[[#This Row],[Memo 01]:[Memo 07]],-1)),"")</f>
        <v>45823</v>
      </c>
      <c r="X1588" s="11">
        <f ca="1">IFERROR(reading[[#This Row],[Previous]]+OFFSET(reading[[#Headers],[Memo 01]],-1,MATCH(0,reading[[#This Row],[Memo 01]:[Memo 07]],-1)-1),"")</f>
        <v>55823</v>
      </c>
      <c r="Y1588" s="10" t="str">
        <f ca="1">IF(reading[[#This Row],[Next]]&lt;&gt;"",IF(reading[[#This Row],[Next]]&gt;TODAY(),"OK",""),"")</f>
        <v>OK</v>
      </c>
      <c r="Z1588" s="13">
        <v>3</v>
      </c>
      <c r="AA1588" s="13">
        <v>3</v>
      </c>
      <c r="AB1588" s="13">
        <v>3</v>
      </c>
      <c r="AC1588" s="13">
        <v>3</v>
      </c>
      <c r="AD1588" s="13">
        <v>3</v>
      </c>
      <c r="AE1588" s="13">
        <v>3</v>
      </c>
      <c r="AF1588" s="13">
        <v>3</v>
      </c>
      <c r="AG1588" s="16">
        <f>IFERROR(SUMIF(reading[[#This Row],[1st]:[7th]],"&gt;0")/COUNTIF(reading[[#This Row],[1st]:[7th]],"&gt;0"),"")</f>
        <v>3</v>
      </c>
    </row>
    <row r="1589" spans="1:33" hidden="1" x14ac:dyDescent="0.2">
      <c r="A1589" s="4">
        <f>IF(B1589=1,3,IF(D1589=1,2,IF(F1589=1,1,0)))</f>
        <v>0</v>
      </c>
      <c r="B1589" s="4" t="str">
        <f>IF(C1589=$L1589,1,IF(C1589="","",0))</f>
        <v/>
      </c>
      <c r="C1589" s="42"/>
      <c r="D1589" s="4" t="str">
        <f>IF(E1589=$L1589,1,IF(E1589="","",0))</f>
        <v/>
      </c>
      <c r="E1589" s="18"/>
      <c r="F1589" s="4" t="str">
        <f>IF(G1589=$L1589,1,IF(G1589="","",0))</f>
        <v/>
      </c>
      <c r="G1589" s="14"/>
      <c r="H1589" s="6">
        <v>742</v>
      </c>
      <c r="I1589" s="15" t="s">
        <v>3120</v>
      </c>
      <c r="J1589" s="6" t="s">
        <v>3879</v>
      </c>
      <c r="K1589" s="15" t="s">
        <v>3138</v>
      </c>
      <c r="L1589" s="6" t="s">
        <v>862</v>
      </c>
      <c r="M1589" s="6" t="s">
        <v>6851</v>
      </c>
      <c r="N1589" s="7">
        <f ca="1">RAND()</f>
        <v>1.2959323360026698E-2</v>
      </c>
      <c r="O1589" s="8">
        <v>45203</v>
      </c>
      <c r="P1589" s="8">
        <v>45204</v>
      </c>
      <c r="Q1589" s="8">
        <v>45206</v>
      </c>
      <c r="R1589" s="8">
        <v>45210</v>
      </c>
      <c r="S1589" s="8">
        <v>45217</v>
      </c>
      <c r="T1589" s="8">
        <v>45229</v>
      </c>
      <c r="U1589" s="8">
        <v>45827</v>
      </c>
      <c r="V1589" s="10">
        <f>COUNTA(O1589:U1589)</f>
        <v>7</v>
      </c>
      <c r="W1589" s="11">
        <f>_xlfn.IFNA(INDEX(reading[[#This Row],[Memo 01]:[Memo 07]],MATCH(0,reading[[#This Row],[Memo 01]:[Memo 07]],-1)),"")</f>
        <v>45827</v>
      </c>
      <c r="X1589" s="11">
        <f ca="1">IFERROR(reading[[#This Row],[Previous]]+OFFSET(reading[[#Headers],[Memo 01]],-1,MATCH(0,reading[[#This Row],[Memo 01]:[Memo 07]],-1)-1),"")</f>
        <v>55827</v>
      </c>
      <c r="Y1589" s="10" t="str">
        <f ca="1">IF(reading[[#This Row],[Next]]&lt;&gt;"",IF(reading[[#This Row],[Next]]&gt;TODAY(),"OK",""),"")</f>
        <v>OK</v>
      </c>
      <c r="Z1589" s="13">
        <v>3</v>
      </c>
      <c r="AA1589" s="13">
        <v>2</v>
      </c>
      <c r="AB1589" s="13">
        <v>3</v>
      </c>
      <c r="AC1589" s="13">
        <v>3</v>
      </c>
      <c r="AD1589" s="13">
        <v>3</v>
      </c>
      <c r="AE1589" s="13">
        <v>3</v>
      </c>
      <c r="AF1589" s="13">
        <v>3</v>
      </c>
      <c r="AG1589" s="16">
        <f>IFERROR(SUMIF(reading[[#This Row],[1st]:[7th]],"&gt;0")/COUNTIF(reading[[#This Row],[1st]:[7th]],"&gt;0"),"")</f>
        <v>2.8571428571428572</v>
      </c>
    </row>
    <row r="1590" spans="1:33" hidden="1" x14ac:dyDescent="0.2">
      <c r="A1590" s="4">
        <f>IF(B1590=1,3,IF(D1590=1,2,IF(F1590=1,1,0)))</f>
        <v>0</v>
      </c>
      <c r="B1590" s="4" t="str">
        <f>IF(C1590=$L1590,1,IF(C1590="","",0))</f>
        <v/>
      </c>
      <c r="C1590" s="42"/>
      <c r="D1590" s="4" t="str">
        <f>IF(E1590=$L1590,1,IF(E1590="","",0))</f>
        <v/>
      </c>
      <c r="E1590" s="14"/>
      <c r="F1590" s="4" t="str">
        <f>IF(G1590=$L1590,1,IF(G1590="","",0))</f>
        <v/>
      </c>
      <c r="G1590" s="14"/>
      <c r="H1590" s="6">
        <v>1484</v>
      </c>
      <c r="I1590" s="15" t="s">
        <v>3120</v>
      </c>
      <c r="J1590" s="6" t="s">
        <v>4598</v>
      </c>
      <c r="K1590" s="6"/>
      <c r="L1590" s="6" t="s">
        <v>1570</v>
      </c>
      <c r="M1590" s="6" t="s">
        <v>7591</v>
      </c>
      <c r="N1590" s="7">
        <f ca="1">RAND()</f>
        <v>0.62346223051269956</v>
      </c>
      <c r="O1590" s="8">
        <v>45208</v>
      </c>
      <c r="P1590" s="8">
        <v>45209</v>
      </c>
      <c r="Q1590" s="8">
        <v>45211</v>
      </c>
      <c r="R1590" s="8">
        <v>45215</v>
      </c>
      <c r="S1590" s="8">
        <v>45222</v>
      </c>
      <c r="T1590" s="8">
        <v>45234</v>
      </c>
      <c r="U1590" s="8">
        <v>45823</v>
      </c>
      <c r="V1590" s="10">
        <f>COUNTA(O1590:U1590)</f>
        <v>7</v>
      </c>
      <c r="W1590" s="11">
        <f>_xlfn.IFNA(INDEX(reading[[#This Row],[Memo 01]:[Memo 07]],MATCH(0,reading[[#This Row],[Memo 01]:[Memo 07]],-1)),"")</f>
        <v>45823</v>
      </c>
      <c r="X1590" s="11">
        <f ca="1">IFERROR(reading[[#This Row],[Previous]]+OFFSET(reading[[#Headers],[Memo 01]],-1,MATCH(0,reading[[#This Row],[Memo 01]:[Memo 07]],-1)-1),"")</f>
        <v>55823</v>
      </c>
      <c r="Y1590" s="10" t="str">
        <f ca="1">IF(reading[[#This Row],[Next]]&lt;&gt;"",IF(reading[[#This Row],[Next]]&gt;TODAY(),"OK",""),"")</f>
        <v>OK</v>
      </c>
      <c r="Z1590" s="13">
        <v>3</v>
      </c>
      <c r="AA1590" s="13">
        <v>3</v>
      </c>
      <c r="AB1590" s="13">
        <v>3</v>
      </c>
      <c r="AC1590" s="13">
        <v>3</v>
      </c>
      <c r="AD1590" s="13">
        <v>3</v>
      </c>
      <c r="AE1590" s="13">
        <v>3</v>
      </c>
      <c r="AF1590" s="13">
        <v>3</v>
      </c>
      <c r="AG1590" s="16">
        <f>IFERROR(SUMIF(reading[[#This Row],[1st]:[7th]],"&gt;0")/COUNTIF(reading[[#This Row],[1st]:[7th]],"&gt;0"),"")</f>
        <v>3</v>
      </c>
    </row>
    <row r="1591" spans="1:33" hidden="1" x14ac:dyDescent="0.2">
      <c r="A1591" s="4">
        <f>IF(B1591=1,3,IF(D1591=1,2,IF(F1591=1,1,0)))</f>
        <v>0</v>
      </c>
      <c r="B1591" s="4" t="str">
        <f>IF(C1591=$L1591,1,IF(C1591="","",0))</f>
        <v/>
      </c>
      <c r="C1591" s="42"/>
      <c r="D1591" s="4" t="str">
        <f>IF(E1591=$L1591,1,IF(E1591="","",0))</f>
        <v/>
      </c>
      <c r="E1591" s="23"/>
      <c r="F1591" s="4" t="str">
        <f>IF(G1591=$L1591,1,IF(G1591="","",0))</f>
        <v/>
      </c>
      <c r="G1591" s="18"/>
      <c r="H1591" s="6">
        <v>1566</v>
      </c>
      <c r="I1591" s="15" t="s">
        <v>3120</v>
      </c>
      <c r="J1591" s="6" t="s">
        <v>4679</v>
      </c>
      <c r="K1591" s="6"/>
      <c r="L1591" s="6" t="s">
        <v>1651</v>
      </c>
      <c r="M1591" s="6" t="s">
        <v>7672</v>
      </c>
      <c r="N1591" s="7">
        <f ca="1">RAND()</f>
        <v>7.8513082834338443E-2</v>
      </c>
      <c r="O1591" s="8">
        <v>45209</v>
      </c>
      <c r="P1591" s="8">
        <v>45211</v>
      </c>
      <c r="Q1591" s="8">
        <v>45213</v>
      </c>
      <c r="R1591" s="8">
        <v>45217</v>
      </c>
      <c r="S1591" s="8">
        <v>45224</v>
      </c>
      <c r="T1591" s="8">
        <v>45236</v>
      </c>
      <c r="U1591" s="8">
        <v>45829</v>
      </c>
      <c r="V1591" s="10">
        <f>COUNTA(O1591:U1591)</f>
        <v>7</v>
      </c>
      <c r="W1591" s="11">
        <f>_xlfn.IFNA(INDEX(reading[[#This Row],[Memo 01]:[Memo 07]],MATCH(0,reading[[#This Row],[Memo 01]:[Memo 07]],-1)),"")</f>
        <v>45829</v>
      </c>
      <c r="X1591" s="11">
        <f ca="1">IFERROR(reading[[#This Row],[Previous]]+OFFSET(reading[[#Headers],[Memo 01]],-1,MATCH(0,reading[[#This Row],[Memo 01]:[Memo 07]],-1)-1),"")</f>
        <v>55829</v>
      </c>
      <c r="Y1591" s="10" t="str">
        <f ca="1">IF(reading[[#This Row],[Next]]&lt;&gt;"",IF(reading[[#This Row],[Next]]&gt;TODAY(),"OK",""),"")</f>
        <v>OK</v>
      </c>
      <c r="Z1591" s="13">
        <v>3</v>
      </c>
      <c r="AA1591" s="13">
        <v>1</v>
      </c>
      <c r="AB1591" s="13">
        <v>3</v>
      </c>
      <c r="AC1591" s="13">
        <v>3</v>
      </c>
      <c r="AD1591" s="13">
        <v>3</v>
      </c>
      <c r="AE1591" s="13">
        <v>2</v>
      </c>
      <c r="AF1591" s="13">
        <v>2</v>
      </c>
      <c r="AG1591" s="16">
        <f>IFERROR(SUMIF(reading[[#This Row],[1st]:[7th]],"&gt;0")/COUNTIF(reading[[#This Row],[1st]:[7th]],"&gt;0"),"")</f>
        <v>2.4285714285714284</v>
      </c>
    </row>
    <row r="1592" spans="1:33" hidden="1" x14ac:dyDescent="0.2">
      <c r="A1592" s="4">
        <f>IF(B1592=1,3,IF(D1592=1,2,IF(F1592=1,1,0)))</f>
        <v>0</v>
      </c>
      <c r="B1592" s="4" t="str">
        <f>IF(C1592=$L1592,1,IF(C1592="","",0))</f>
        <v/>
      </c>
      <c r="C1592" s="42"/>
      <c r="D1592" s="4" t="str">
        <f>IF(E1592=$L1592,1,IF(E1592="","",0))</f>
        <v/>
      </c>
      <c r="E1592" s="14"/>
      <c r="F1592" s="4" t="str">
        <f>IF(G1592=$L1592,1,IF(G1592="","",0))</f>
        <v/>
      </c>
      <c r="G1592" s="14"/>
      <c r="H1592" s="6">
        <v>3051</v>
      </c>
      <c r="I1592" s="15" t="s">
        <v>3120</v>
      </c>
      <c r="J1592" s="6" t="s">
        <v>6072</v>
      </c>
      <c r="K1592" s="6"/>
      <c r="L1592" s="6" t="s">
        <v>3077</v>
      </c>
      <c r="M1592" s="6" t="s">
        <v>9154</v>
      </c>
      <c r="N1592" s="7">
        <f ca="1">RAND()</f>
        <v>3.1662582018889052E-2</v>
      </c>
      <c r="O1592" s="8">
        <v>45224</v>
      </c>
      <c r="P1592" s="8">
        <v>45225</v>
      </c>
      <c r="Q1592" s="8">
        <v>45227</v>
      </c>
      <c r="R1592" s="8">
        <v>45231</v>
      </c>
      <c r="S1592" s="8">
        <v>45251</v>
      </c>
      <c r="T1592" s="8">
        <v>45783</v>
      </c>
      <c r="U1592" s="8">
        <v>45823</v>
      </c>
      <c r="V1592" s="10">
        <f>COUNTA(O1592:U1592)</f>
        <v>7</v>
      </c>
      <c r="W1592" s="11">
        <f>_xlfn.IFNA(INDEX(reading[[#This Row],[Memo 01]:[Memo 07]],MATCH(0,reading[[#This Row],[Memo 01]:[Memo 07]],-1)),"")</f>
        <v>45823</v>
      </c>
      <c r="X1592" s="11">
        <f ca="1">IFERROR(reading[[#This Row],[Previous]]+OFFSET(reading[[#Headers],[Memo 01]],-1,MATCH(0,reading[[#This Row],[Memo 01]:[Memo 07]],-1)-1),"")</f>
        <v>55823</v>
      </c>
      <c r="Y1592" s="10" t="str">
        <f ca="1">IF(reading[[#This Row],[Next]]&lt;&gt;"",IF(reading[[#This Row],[Next]]&gt;TODAY(),"OK",""),"")</f>
        <v>OK</v>
      </c>
      <c r="Z1592" s="13">
        <v>3</v>
      </c>
      <c r="AA1592" s="13">
        <v>3</v>
      </c>
      <c r="AB1592" s="13">
        <v>3</v>
      </c>
      <c r="AC1592" s="13">
        <v>3</v>
      </c>
      <c r="AD1592" s="13">
        <v>3</v>
      </c>
      <c r="AE1592" s="13">
        <v>3</v>
      </c>
      <c r="AF1592" s="13">
        <v>3</v>
      </c>
      <c r="AG1592" s="16">
        <f>IFERROR(SUMIF(reading[[#This Row],[1st]:[7th]],"&gt;0")/COUNTIF(reading[[#This Row],[1st]:[7th]],"&gt;0"),"")</f>
        <v>3</v>
      </c>
    </row>
    <row r="1593" spans="1:33" hidden="1" x14ac:dyDescent="0.2">
      <c r="A1593" s="4">
        <f>IF(B1593=1,3,IF(D1593=1,2,IF(F1593=1,1,0)))</f>
        <v>0</v>
      </c>
      <c r="B1593" s="4" t="str">
        <f>IF(C1593=$L1593,1,IF(C1593="","",0))</f>
        <v/>
      </c>
      <c r="C1593" s="42"/>
      <c r="D1593" s="4" t="str">
        <f>IF(E1593=$L1593,1,IF(E1593="","",0))</f>
        <v/>
      </c>
      <c r="E1593" s="43"/>
      <c r="F1593" s="4" t="str">
        <f>IF(G1593=$L1593,1,IF(G1593="","",0))</f>
        <v/>
      </c>
      <c r="G1593" s="14"/>
      <c r="H1593" s="6">
        <v>1737</v>
      </c>
      <c r="I1593" s="15" t="s">
        <v>3120</v>
      </c>
      <c r="J1593" s="6" t="s">
        <v>4845</v>
      </c>
      <c r="K1593" s="6"/>
      <c r="L1593" s="6" t="s">
        <v>1817</v>
      </c>
      <c r="M1593" s="6" t="s">
        <v>7843</v>
      </c>
      <c r="N1593" s="7">
        <f ca="1">RAND()</f>
        <v>0.83763464403092047</v>
      </c>
      <c r="O1593" s="8">
        <v>45211</v>
      </c>
      <c r="P1593" s="8">
        <v>45212</v>
      </c>
      <c r="Q1593" s="8">
        <v>45214</v>
      </c>
      <c r="R1593" s="8">
        <v>45218</v>
      </c>
      <c r="S1593" s="8">
        <v>45225</v>
      </c>
      <c r="T1593" s="8">
        <v>45237</v>
      </c>
      <c r="U1593" s="8">
        <v>45816</v>
      </c>
      <c r="V1593" s="10">
        <f>COUNTA(O1593:U1593)</f>
        <v>7</v>
      </c>
      <c r="W1593" s="11">
        <f>_xlfn.IFNA(INDEX(reading[[#This Row],[Memo 01]:[Memo 07]],MATCH(0,reading[[#This Row],[Memo 01]:[Memo 07]],-1)),"")</f>
        <v>45816</v>
      </c>
      <c r="X1593" s="11">
        <f ca="1">IFERROR(reading[[#This Row],[Previous]]+OFFSET(reading[[#Headers],[Memo 01]],-1,MATCH(0,reading[[#This Row],[Memo 01]:[Memo 07]],-1)-1),"")</f>
        <v>55816</v>
      </c>
      <c r="Y1593" s="10" t="str">
        <f ca="1">IF(reading[[#This Row],[Next]]&lt;&gt;"",IF(reading[[#This Row],[Next]]&gt;TODAY(),"OK",""),"")</f>
        <v>OK</v>
      </c>
      <c r="Z1593" s="13">
        <v>3</v>
      </c>
      <c r="AA1593" s="13">
        <v>3</v>
      </c>
      <c r="AB1593" s="13">
        <v>3</v>
      </c>
      <c r="AC1593" s="13">
        <v>3</v>
      </c>
      <c r="AD1593" s="13">
        <v>2</v>
      </c>
      <c r="AE1593" s="13">
        <v>3</v>
      </c>
      <c r="AF1593" s="13">
        <v>2</v>
      </c>
      <c r="AG1593" s="16">
        <f>IFERROR(SUMIF(reading[[#This Row],[1st]:[7th]],"&gt;0")/COUNTIF(reading[[#This Row],[1st]:[7th]],"&gt;0"),"")</f>
        <v>2.7142857142857144</v>
      </c>
    </row>
    <row r="1594" spans="1:33" hidden="1" x14ac:dyDescent="0.2">
      <c r="A1594" s="4">
        <f>IF(B1594=1,3,IF(D1594=1,2,IF(F1594=1,1,0)))</f>
        <v>3</v>
      </c>
      <c r="B1594" s="4">
        <f>IF(C1594=$L1594,1,IF(C1594="","",0))</f>
        <v>1</v>
      </c>
      <c r="C1594" s="30" t="s">
        <v>1681</v>
      </c>
      <c r="D1594" s="4" t="str">
        <f>IF(E1594=$L1594,1,IF(E1594="","",0))</f>
        <v/>
      </c>
      <c r="E1594" s="14"/>
      <c r="F1594" s="4" t="str">
        <f>IF(G1594=$L1594,1,IF(G1594="","",0))</f>
        <v/>
      </c>
      <c r="G1594" s="14"/>
      <c r="H1594" s="6">
        <v>1598</v>
      </c>
      <c r="I1594" s="15" t="s">
        <v>3120</v>
      </c>
      <c r="J1594" s="6" t="s">
        <v>4710</v>
      </c>
      <c r="K1594" s="6"/>
      <c r="L1594" s="6" t="s">
        <v>1681</v>
      </c>
      <c r="M1594" s="6" t="s">
        <v>7704</v>
      </c>
      <c r="N1594" s="7">
        <f ca="1">RAND()</f>
        <v>2.5023350463311389E-2</v>
      </c>
      <c r="O1594" s="8">
        <v>45209</v>
      </c>
      <c r="P1594" s="8">
        <v>45209</v>
      </c>
      <c r="Q1594" s="8">
        <v>45209</v>
      </c>
      <c r="R1594" s="8">
        <v>45209</v>
      </c>
      <c r="S1594" s="8">
        <v>45209</v>
      </c>
      <c r="T1594" s="8">
        <v>45209</v>
      </c>
      <c r="U1594" s="8">
        <v>45209</v>
      </c>
      <c r="V1594" s="10">
        <f>COUNTA(O1594:U1594)</f>
        <v>7</v>
      </c>
      <c r="W1594" s="11">
        <f>_xlfn.IFNA(INDEX(reading[[#This Row],[Memo 01]:[Memo 07]],MATCH(0,reading[[#This Row],[Memo 01]:[Memo 07]],-1)),"")</f>
        <v>45209</v>
      </c>
      <c r="X1594" s="11">
        <f ca="1">IFERROR(reading[[#This Row],[Previous]]+OFFSET(reading[[#Headers],[Memo 01]],-1,MATCH(0,reading[[#This Row],[Memo 01]:[Memo 07]],-1)-1),"")</f>
        <v>55209</v>
      </c>
      <c r="Y1594" s="10" t="str">
        <f ca="1">IF(reading[[#This Row],[Next]]&lt;&gt;"",IF(reading[[#This Row],[Next]]&gt;TODAY(),"OK",""),"")</f>
        <v>OK</v>
      </c>
      <c r="Z1594" s="13">
        <v>3</v>
      </c>
      <c r="AA1594" s="13"/>
      <c r="AB1594" s="13"/>
      <c r="AC1594" s="13"/>
      <c r="AD1594" s="13"/>
      <c r="AE1594" s="13"/>
      <c r="AF1594" s="13"/>
      <c r="AG1594" s="16">
        <f>IFERROR(SUMIF(reading[[#This Row],[1st]:[7th]],"&gt;0")/COUNTIF(reading[[#This Row],[1st]:[7th]],"&gt;0"),"")</f>
        <v>3</v>
      </c>
    </row>
    <row r="1595" spans="1:33" hidden="1" x14ac:dyDescent="0.2">
      <c r="A1595" s="4">
        <f>IF(B1595=1,3,IF(D1595=1,2,IF(F1595=1,1,0)))</f>
        <v>0</v>
      </c>
      <c r="B1595" s="4">
        <f>IF(C1595=$L1595,1,IF(C1595="","",0))</f>
        <v>0</v>
      </c>
      <c r="C1595" s="42" t="s">
        <v>9200</v>
      </c>
      <c r="D1595" s="4">
        <f>IF(E1595=$L1595,1,IF(E1595="","",0))</f>
        <v>0</v>
      </c>
      <c r="E1595" s="23" t="s">
        <v>9238</v>
      </c>
      <c r="F1595" s="4" t="str">
        <f>IF(G1595=$L1595,1,IF(G1595="","",0))</f>
        <v/>
      </c>
      <c r="G1595" s="14"/>
      <c r="H1595" s="6">
        <v>1530</v>
      </c>
      <c r="I1595" s="15" t="s">
        <v>3120</v>
      </c>
      <c r="J1595" s="6" t="s">
        <v>4643</v>
      </c>
      <c r="K1595" s="6" t="s">
        <v>3139</v>
      </c>
      <c r="L1595" s="6" t="s">
        <v>1615</v>
      </c>
      <c r="M1595" s="6" t="s">
        <v>7637</v>
      </c>
      <c r="N1595" s="7">
        <f ca="1">RAND()</f>
        <v>0.16991342364993889</v>
      </c>
      <c r="O1595" s="8">
        <v>45209</v>
      </c>
      <c r="P1595" s="8">
        <v>45210</v>
      </c>
      <c r="Q1595" s="8">
        <v>45212</v>
      </c>
      <c r="R1595" s="8">
        <v>45216</v>
      </c>
      <c r="S1595" s="8">
        <v>45223</v>
      </c>
      <c r="T1595" s="8">
        <v>45235</v>
      </c>
      <c r="U1595" s="8"/>
      <c r="V1595" s="10">
        <f>COUNTA(O1595:U1595)</f>
        <v>6</v>
      </c>
      <c r="W1595" s="11">
        <f>_xlfn.IFNA(INDEX(reading[[#This Row],[Memo 01]:[Memo 07]],MATCH(0,reading[[#This Row],[Memo 01]:[Memo 07]],-1)),"")</f>
        <v>45235</v>
      </c>
      <c r="X1595" s="11">
        <f ca="1">IFERROR(reading[[#This Row],[Previous]]+OFFSET(reading[[#Headers],[Memo 01]],-1,MATCH(0,reading[[#This Row],[Memo 01]:[Memo 07]],-1)-1),"")</f>
        <v>45255</v>
      </c>
      <c r="Y1595" s="10" t="str">
        <f ca="1">IF(reading[[#This Row],[Next]]&lt;&gt;"",IF(reading[[#This Row],[Next]]&gt;TODAY(),"OK",""),"")</f>
        <v/>
      </c>
      <c r="Z1595" s="13">
        <v>3</v>
      </c>
      <c r="AA1595" s="13">
        <v>3</v>
      </c>
      <c r="AB1595" s="13">
        <v>3</v>
      </c>
      <c r="AC1595" s="13">
        <v>3</v>
      </c>
      <c r="AD1595" s="13">
        <v>3</v>
      </c>
      <c r="AE1595" s="13">
        <v>3</v>
      </c>
      <c r="AF1595" s="13"/>
      <c r="AG1595" s="16">
        <f>IFERROR(SUMIF(reading[[#This Row],[1st]:[7th]],"&gt;0")/COUNTIF(reading[[#This Row],[1st]:[7th]],"&gt;0"),"")</f>
        <v>3</v>
      </c>
    </row>
    <row r="1596" spans="1:33" hidden="1" x14ac:dyDescent="0.2">
      <c r="A1596" s="4">
        <f>IF(B1596=1,3,IF(D1596=1,2,IF(F1596=1,1,0)))</f>
        <v>0</v>
      </c>
      <c r="B1596" s="4" t="str">
        <f>IF(C1596=$L1596,1,IF(C1596="","",0))</f>
        <v/>
      </c>
      <c r="C1596" s="42"/>
      <c r="D1596" s="4" t="str">
        <f>IF(E1596=$L1596,1,IF(E1596="","",0))</f>
        <v/>
      </c>
      <c r="E1596" s="14"/>
      <c r="F1596" s="4" t="str">
        <f>IF(G1596=$L1596,1,IF(G1596="","",0))</f>
        <v/>
      </c>
      <c r="G1596" s="14"/>
      <c r="H1596" s="6">
        <v>2401</v>
      </c>
      <c r="I1596" s="15" t="s">
        <v>3120</v>
      </c>
      <c r="J1596" s="6" t="s">
        <v>5473</v>
      </c>
      <c r="K1596" s="6"/>
      <c r="L1596" s="6" t="s">
        <v>66</v>
      </c>
      <c r="M1596" s="6" t="s">
        <v>8506</v>
      </c>
      <c r="N1596" s="7">
        <f ca="1">RAND()</f>
        <v>0.43638977380861488</v>
      </c>
      <c r="O1596" s="8">
        <v>45217</v>
      </c>
      <c r="P1596" s="8">
        <v>45218</v>
      </c>
      <c r="Q1596" s="8">
        <v>45220</v>
      </c>
      <c r="R1596" s="8">
        <v>45224</v>
      </c>
      <c r="S1596" s="8">
        <v>45231</v>
      </c>
      <c r="T1596" s="8">
        <v>45792</v>
      </c>
      <c r="U1596" s="8">
        <v>45823</v>
      </c>
      <c r="V1596" s="10">
        <f>COUNTA(O1596:U1596)</f>
        <v>7</v>
      </c>
      <c r="W1596" s="11">
        <f>_xlfn.IFNA(INDEX(reading[[#This Row],[Memo 01]:[Memo 07]],MATCH(0,reading[[#This Row],[Memo 01]:[Memo 07]],-1)),"")</f>
        <v>45823</v>
      </c>
      <c r="X1596" s="11">
        <f ca="1">IFERROR(reading[[#This Row],[Previous]]+OFFSET(reading[[#Headers],[Memo 01]],-1,MATCH(0,reading[[#This Row],[Memo 01]:[Memo 07]],-1)-1),"")</f>
        <v>55823</v>
      </c>
      <c r="Y1596" s="10" t="str">
        <f ca="1">IF(reading[[#This Row],[Next]]&lt;&gt;"",IF(reading[[#This Row],[Next]]&gt;TODAY(),"OK",""),"")</f>
        <v>OK</v>
      </c>
      <c r="Z1596" s="13">
        <v>3</v>
      </c>
      <c r="AA1596" s="13">
        <v>3</v>
      </c>
      <c r="AB1596" s="13">
        <v>3</v>
      </c>
      <c r="AC1596" s="13">
        <v>3</v>
      </c>
      <c r="AD1596" s="13">
        <v>3</v>
      </c>
      <c r="AE1596" s="13">
        <v>3</v>
      </c>
      <c r="AF1596" s="13">
        <v>3</v>
      </c>
      <c r="AG1596" s="16">
        <f>IFERROR(SUMIF(reading[[#This Row],[1st]:[7th]],"&gt;0")/COUNTIF(reading[[#This Row],[1st]:[7th]],"&gt;0"),"")</f>
        <v>3</v>
      </c>
    </row>
    <row r="1597" spans="1:33" hidden="1" x14ac:dyDescent="0.2">
      <c r="A1597" s="4">
        <f>IF(B1597=1,3,IF(D1597=1,2,IF(F1597=1,1,0)))</f>
        <v>3</v>
      </c>
      <c r="B1597" s="4">
        <f>IF(C1597=$L1597,1,IF(C1597="","",0))</f>
        <v>1</v>
      </c>
      <c r="C1597" s="31" t="s">
        <v>1684</v>
      </c>
      <c r="D1597" s="4" t="str">
        <f>IF(E1597=$L1597,1,IF(E1597="","",0))</f>
        <v/>
      </c>
      <c r="E1597" s="14"/>
      <c r="F1597" s="4" t="str">
        <f>IF(G1597=$L1597,1,IF(G1597="","",0))</f>
        <v/>
      </c>
      <c r="G1597" s="14"/>
      <c r="H1597" s="6">
        <v>1601</v>
      </c>
      <c r="I1597" s="15" t="s">
        <v>3120</v>
      </c>
      <c r="J1597" s="6" t="s">
        <v>4713</v>
      </c>
      <c r="K1597" s="6"/>
      <c r="L1597" s="6" t="s">
        <v>1684</v>
      </c>
      <c r="M1597" s="6" t="s">
        <v>7707</v>
      </c>
      <c r="N1597" s="7">
        <f ca="1">RAND()</f>
        <v>0.88413763462601525</v>
      </c>
      <c r="O1597" s="8">
        <v>45210</v>
      </c>
      <c r="P1597" s="8">
        <v>45210</v>
      </c>
      <c r="Q1597" s="8">
        <v>45210</v>
      </c>
      <c r="R1597" s="8">
        <v>45210</v>
      </c>
      <c r="S1597" s="8">
        <v>45210</v>
      </c>
      <c r="T1597" s="8">
        <v>45210</v>
      </c>
      <c r="U1597" s="8">
        <v>45210</v>
      </c>
      <c r="V1597" s="10">
        <f>COUNTA(O1597:U1597)</f>
        <v>7</v>
      </c>
      <c r="W1597" s="11">
        <f>_xlfn.IFNA(INDEX(reading[[#This Row],[Memo 01]:[Memo 07]],MATCH(0,reading[[#This Row],[Memo 01]:[Memo 07]],-1)),"")</f>
        <v>45210</v>
      </c>
      <c r="X1597" s="11">
        <f ca="1">IFERROR(reading[[#This Row],[Previous]]+OFFSET(reading[[#Headers],[Memo 01]],-1,MATCH(0,reading[[#This Row],[Memo 01]:[Memo 07]],-1)-1),"")</f>
        <v>55210</v>
      </c>
      <c r="Y1597" s="10" t="str">
        <f ca="1">IF(reading[[#This Row],[Next]]&lt;&gt;"",IF(reading[[#This Row],[Next]]&gt;TODAY(),"OK",""),"")</f>
        <v>OK</v>
      </c>
      <c r="Z1597" s="13">
        <v>3</v>
      </c>
      <c r="AA1597" s="13"/>
      <c r="AB1597" s="13"/>
      <c r="AC1597" s="13"/>
      <c r="AD1597" s="13"/>
      <c r="AE1597" s="13"/>
      <c r="AF1597" s="13"/>
      <c r="AG1597" s="16">
        <f>IFERROR(SUMIF(reading[[#This Row],[1st]:[7th]],"&gt;0")/COUNTIF(reading[[#This Row],[1st]:[7th]],"&gt;0"),"")</f>
        <v>3</v>
      </c>
    </row>
    <row r="1598" spans="1:33" hidden="1" x14ac:dyDescent="0.2">
      <c r="A1598" s="4">
        <f>IF(B1598=1,3,IF(D1598=1,2,IF(F1598=1,1,0)))</f>
        <v>0</v>
      </c>
      <c r="B1598" s="4" t="str">
        <f>IF(C1598=$L1598,1,IF(C1598="","",0))</f>
        <v/>
      </c>
      <c r="C1598" s="42"/>
      <c r="D1598" s="4" t="str">
        <f>IF(E1598=$L1598,1,IF(E1598="","",0))</f>
        <v/>
      </c>
      <c r="E1598" s="14"/>
      <c r="F1598" s="4" t="str">
        <f>IF(G1598=$L1598,1,IF(G1598="","",0))</f>
        <v/>
      </c>
      <c r="G1598" s="14"/>
      <c r="H1598" s="6">
        <v>631</v>
      </c>
      <c r="I1598" s="15" t="s">
        <v>3120</v>
      </c>
      <c r="J1598" s="6" t="s">
        <v>3772</v>
      </c>
      <c r="K1598" s="15" t="s">
        <v>3139</v>
      </c>
      <c r="L1598" s="6" t="s">
        <v>754</v>
      </c>
      <c r="M1598" s="6" t="s">
        <v>6740</v>
      </c>
      <c r="N1598" s="7">
        <f ca="1">RAND()</f>
        <v>9.2647128717874283E-2</v>
      </c>
      <c r="O1598" s="8">
        <v>45202</v>
      </c>
      <c r="P1598" s="8">
        <v>45203</v>
      </c>
      <c r="Q1598" s="8">
        <v>45205</v>
      </c>
      <c r="R1598" s="8">
        <v>45209</v>
      </c>
      <c r="S1598" s="8">
        <v>45216</v>
      </c>
      <c r="T1598" s="8">
        <v>45228</v>
      </c>
      <c r="U1598" s="8">
        <v>45823</v>
      </c>
      <c r="V1598" s="10">
        <f>COUNTA(O1598:U1598)</f>
        <v>7</v>
      </c>
      <c r="W1598" s="11">
        <f>_xlfn.IFNA(INDEX(reading[[#This Row],[Memo 01]:[Memo 07]],MATCH(0,reading[[#This Row],[Memo 01]:[Memo 07]],-1)),"")</f>
        <v>45823</v>
      </c>
      <c r="X1598" s="11">
        <f ca="1">IFERROR(reading[[#This Row],[Previous]]+OFFSET(reading[[#Headers],[Memo 01]],-1,MATCH(0,reading[[#This Row],[Memo 01]:[Memo 07]],-1)-1),"")</f>
        <v>55823</v>
      </c>
      <c r="Y1598" s="10" t="str">
        <f ca="1">IF(reading[[#This Row],[Next]]&lt;&gt;"",IF(reading[[#This Row],[Next]]&gt;TODAY(),"OK",""),"")</f>
        <v>OK</v>
      </c>
      <c r="Z1598" s="13">
        <v>3</v>
      </c>
      <c r="AA1598" s="13">
        <v>3</v>
      </c>
      <c r="AB1598" s="13">
        <v>3</v>
      </c>
      <c r="AC1598" s="13">
        <v>3</v>
      </c>
      <c r="AD1598" s="13">
        <v>3</v>
      </c>
      <c r="AE1598" s="13">
        <v>3</v>
      </c>
      <c r="AF1598" s="13">
        <v>3</v>
      </c>
      <c r="AG1598" s="16">
        <f>IFERROR(SUMIF(reading[[#This Row],[1st]:[7th]],"&gt;0")/COUNTIF(reading[[#This Row],[1st]:[7th]],"&gt;0"),"")</f>
        <v>3</v>
      </c>
    </row>
    <row r="1599" spans="1:33" hidden="1" x14ac:dyDescent="0.2">
      <c r="A1599" s="4">
        <f>IF(B1599=1,3,IF(D1599=1,2,IF(F1599=1,1,0)))</f>
        <v>0</v>
      </c>
      <c r="B1599" s="4" t="str">
        <f>IF(C1599=$L1599,1,IF(C1599="","",0))</f>
        <v/>
      </c>
      <c r="C1599" s="42"/>
      <c r="D1599" s="4" t="str">
        <f>IF(E1599=$L1599,1,IF(E1599="","",0))</f>
        <v/>
      </c>
      <c r="E1599" s="18"/>
      <c r="F1599" s="4" t="str">
        <f>IF(G1599=$L1599,1,IF(G1599="","",0))</f>
        <v/>
      </c>
      <c r="G1599" s="14"/>
      <c r="H1599" s="6">
        <v>2089</v>
      </c>
      <c r="I1599" s="15" t="s">
        <v>3120</v>
      </c>
      <c r="J1599" s="6" t="s">
        <v>5180</v>
      </c>
      <c r="K1599" s="15" t="s">
        <v>3139</v>
      </c>
      <c r="L1599" s="6" t="s">
        <v>2160</v>
      </c>
      <c r="M1599" s="6" t="s">
        <v>8195</v>
      </c>
      <c r="N1599" s="7">
        <f ca="1">RAND()</f>
        <v>0.49972153934853725</v>
      </c>
      <c r="O1599" s="8">
        <v>45214</v>
      </c>
      <c r="P1599" s="8">
        <v>45215</v>
      </c>
      <c r="Q1599" s="8">
        <v>45217</v>
      </c>
      <c r="R1599" s="8">
        <v>45221</v>
      </c>
      <c r="S1599" s="8">
        <v>45228</v>
      </c>
      <c r="T1599" s="8">
        <v>45823</v>
      </c>
      <c r="U1599" s="8"/>
      <c r="V1599" s="10">
        <f>COUNTA(O1599:U1599)</f>
        <v>6</v>
      </c>
      <c r="W1599" s="11">
        <f>_xlfn.IFNA(INDEX(reading[[#This Row],[Memo 01]:[Memo 07]],MATCH(0,reading[[#This Row],[Memo 01]:[Memo 07]],-1)),"")</f>
        <v>45823</v>
      </c>
      <c r="X1599" s="11">
        <f ca="1">IFERROR(reading[[#This Row],[Previous]]+OFFSET(reading[[#Headers],[Memo 01]],-1,MATCH(0,reading[[#This Row],[Memo 01]:[Memo 07]],-1)-1),"")</f>
        <v>45843</v>
      </c>
      <c r="Y1599" s="10" t="str">
        <f ca="1">IF(reading[[#This Row],[Next]]&lt;&gt;"",IF(reading[[#This Row],[Next]]&gt;TODAY(),"OK",""),"")</f>
        <v>OK</v>
      </c>
      <c r="Z1599" s="13">
        <v>3</v>
      </c>
      <c r="AA1599" s="13">
        <v>3</v>
      </c>
      <c r="AB1599" s="13">
        <v>3</v>
      </c>
      <c r="AC1599" s="13">
        <v>2</v>
      </c>
      <c r="AD1599" s="13">
        <v>3</v>
      </c>
      <c r="AE1599" s="13">
        <v>3</v>
      </c>
      <c r="AF1599" s="13"/>
      <c r="AG1599" s="16">
        <f>IFERROR(SUMIF(reading[[#This Row],[1st]:[7th]],"&gt;0")/COUNTIF(reading[[#This Row],[1st]:[7th]],"&gt;0"),"")</f>
        <v>2.8333333333333335</v>
      </c>
    </row>
    <row r="1600" spans="1:33" hidden="1" x14ac:dyDescent="0.2">
      <c r="A1600" s="4">
        <f>IF(B1600=1,3,IF(D1600=1,2,IF(F1600=1,1,0)))</f>
        <v>0</v>
      </c>
      <c r="B1600" s="4" t="str">
        <f>IF(C1600=$L1600,1,IF(C1600="","",0))</f>
        <v/>
      </c>
      <c r="C1600" s="42"/>
      <c r="D1600" s="4" t="str">
        <f>IF(E1600=$L1600,1,IF(E1600="","",0))</f>
        <v/>
      </c>
      <c r="E1600" s="18"/>
      <c r="F1600" s="4" t="str">
        <f>IF(G1600=$L1600,1,IF(G1600="","",0))</f>
        <v/>
      </c>
      <c r="G1600" s="14"/>
      <c r="H1600" s="6">
        <v>1569</v>
      </c>
      <c r="I1600" s="15" t="s">
        <v>3120</v>
      </c>
      <c r="J1600" s="6" t="s">
        <v>4682</v>
      </c>
      <c r="K1600" s="6"/>
      <c r="L1600" s="6" t="s">
        <v>1654</v>
      </c>
      <c r="M1600" s="6" t="s">
        <v>7675</v>
      </c>
      <c r="N1600" s="7">
        <f ca="1">RAND()</f>
        <v>0.9099833519206233</v>
      </c>
      <c r="O1600" s="8">
        <v>45209</v>
      </c>
      <c r="P1600" s="8">
        <v>45210</v>
      </c>
      <c r="Q1600" s="8">
        <v>45213</v>
      </c>
      <c r="R1600" s="8">
        <v>45217</v>
      </c>
      <c r="S1600" s="8">
        <v>45224</v>
      </c>
      <c r="T1600" s="8">
        <v>45236</v>
      </c>
      <c r="U1600" s="8">
        <v>45827</v>
      </c>
      <c r="V1600" s="10">
        <f>COUNTA(O1600:U1600)</f>
        <v>7</v>
      </c>
      <c r="W1600" s="11">
        <f>_xlfn.IFNA(INDEX(reading[[#This Row],[Memo 01]:[Memo 07]],MATCH(0,reading[[#This Row],[Memo 01]:[Memo 07]],-1)),"")</f>
        <v>45827</v>
      </c>
      <c r="X1600" s="11">
        <f ca="1">IFERROR(reading[[#This Row],[Previous]]+OFFSET(reading[[#Headers],[Memo 01]],-1,MATCH(0,reading[[#This Row],[Memo 01]:[Memo 07]],-1)-1),"")</f>
        <v>55827</v>
      </c>
      <c r="Y1600" s="10" t="str">
        <f ca="1">IF(reading[[#This Row],[Next]]&lt;&gt;"",IF(reading[[#This Row],[Next]]&gt;TODAY(),"OK",""),"")</f>
        <v>OK</v>
      </c>
      <c r="Z1600" s="13">
        <v>3</v>
      </c>
      <c r="AA1600" s="13">
        <v>3</v>
      </c>
      <c r="AB1600" s="13">
        <v>2</v>
      </c>
      <c r="AC1600" s="13">
        <v>2</v>
      </c>
      <c r="AD1600" s="13">
        <v>3</v>
      </c>
      <c r="AE1600" s="13">
        <v>3</v>
      </c>
      <c r="AF1600" s="13">
        <v>3</v>
      </c>
      <c r="AG1600" s="16">
        <f>IFERROR(SUMIF(reading[[#This Row],[1st]:[7th]],"&gt;0")/COUNTIF(reading[[#This Row],[1st]:[7th]],"&gt;0"),"")</f>
        <v>2.7142857142857144</v>
      </c>
    </row>
    <row r="1601" spans="1:33" hidden="1" x14ac:dyDescent="0.2">
      <c r="A1601" s="4">
        <f>IF(B1601=1,3,IF(D1601=1,2,IF(F1601=1,1,0)))</f>
        <v>0</v>
      </c>
      <c r="B1601" s="4" t="str">
        <f>IF(C1601=$L1601,1,IF(C1601="","",0))</f>
        <v/>
      </c>
      <c r="C1601" s="42"/>
      <c r="D1601" s="4" t="str">
        <f>IF(E1601=$L1601,1,IF(E1601="","",0))</f>
        <v/>
      </c>
      <c r="E1601" s="18"/>
      <c r="F1601" s="4" t="str">
        <f>IF(G1601=$L1601,1,IF(G1601="","",0))</f>
        <v/>
      </c>
      <c r="G1601" s="14"/>
      <c r="H1601" s="6">
        <v>696</v>
      </c>
      <c r="I1601" s="15" t="s">
        <v>3120</v>
      </c>
      <c r="J1601" s="6" t="s">
        <v>3835</v>
      </c>
      <c r="K1601" s="24" t="s">
        <v>3137</v>
      </c>
      <c r="L1601" s="6" t="s">
        <v>819</v>
      </c>
      <c r="M1601" s="6" t="s">
        <v>6805</v>
      </c>
      <c r="N1601" s="7">
        <f ca="1">RAND()</f>
        <v>0.23280987150483046</v>
      </c>
      <c r="O1601" s="8">
        <v>45203</v>
      </c>
      <c r="P1601" s="8">
        <v>45204</v>
      </c>
      <c r="Q1601" s="8">
        <v>45206</v>
      </c>
      <c r="R1601" s="8">
        <v>45210</v>
      </c>
      <c r="S1601" s="8">
        <v>45217</v>
      </c>
      <c r="T1601" s="8">
        <v>45229</v>
      </c>
      <c r="U1601" s="8">
        <v>45827</v>
      </c>
      <c r="V1601" s="10">
        <f>COUNTA(O1601:U1601)</f>
        <v>7</v>
      </c>
      <c r="W1601" s="11">
        <f>_xlfn.IFNA(INDEX(reading[[#This Row],[Memo 01]:[Memo 07]],MATCH(0,reading[[#This Row],[Memo 01]:[Memo 07]],-1)),"")</f>
        <v>45827</v>
      </c>
      <c r="X1601" s="11">
        <f ca="1">IFERROR(reading[[#This Row],[Previous]]+OFFSET(reading[[#Headers],[Memo 01]],-1,MATCH(0,reading[[#This Row],[Memo 01]:[Memo 07]],-1)-1),"")</f>
        <v>55827</v>
      </c>
      <c r="Y1601" s="10" t="str">
        <f ca="1">IF(reading[[#This Row],[Next]]&lt;&gt;"",IF(reading[[#This Row],[Next]]&gt;TODAY(),"OK",""),"")</f>
        <v>OK</v>
      </c>
      <c r="Z1601" s="13">
        <v>3</v>
      </c>
      <c r="AA1601" s="13">
        <v>3</v>
      </c>
      <c r="AB1601" s="13">
        <v>3</v>
      </c>
      <c r="AC1601" s="13">
        <v>3</v>
      </c>
      <c r="AD1601" s="13">
        <v>3</v>
      </c>
      <c r="AE1601" s="13">
        <v>2</v>
      </c>
      <c r="AF1601" s="13">
        <v>3</v>
      </c>
      <c r="AG1601" s="16">
        <f>IFERROR(SUMIF(reading[[#This Row],[1st]:[7th]],"&gt;0")/COUNTIF(reading[[#This Row],[1st]:[7th]],"&gt;0"),"")</f>
        <v>2.8571428571428572</v>
      </c>
    </row>
    <row r="1602" spans="1:33" hidden="1" x14ac:dyDescent="0.2">
      <c r="A1602" s="4">
        <f>IF(B1602=1,3,IF(D1602=1,2,IF(F1602=1,1,0)))</f>
        <v>0</v>
      </c>
      <c r="B1602" s="4" t="str">
        <f>IF(C1602=$L1602,1,IF(C1602="","",0))</f>
        <v/>
      </c>
      <c r="C1602" s="42"/>
      <c r="D1602" s="4" t="str">
        <f>IF(E1602=$L1602,1,IF(E1602="","",0))</f>
        <v/>
      </c>
      <c r="E1602" s="18"/>
      <c r="F1602" s="4" t="str">
        <f>IF(G1602=$L1602,1,IF(G1602="","",0))</f>
        <v/>
      </c>
      <c r="G1602" s="14"/>
      <c r="H1602" s="6">
        <v>2786</v>
      </c>
      <c r="I1602" s="15" t="s">
        <v>3120</v>
      </c>
      <c r="J1602" s="6" t="s">
        <v>5829</v>
      </c>
      <c r="K1602" s="6"/>
      <c r="L1602" s="6" t="s">
        <v>2823</v>
      </c>
      <c r="M1602" s="6" t="s">
        <v>8890</v>
      </c>
      <c r="N1602" s="7">
        <f ca="1">RAND()</f>
        <v>0.98875530794008659</v>
      </c>
      <c r="O1602" s="8">
        <v>45222</v>
      </c>
      <c r="P1602" s="8">
        <v>45223</v>
      </c>
      <c r="Q1602" s="8">
        <v>45225</v>
      </c>
      <c r="R1602" s="8">
        <v>45229</v>
      </c>
      <c r="S1602" s="8">
        <v>45236</v>
      </c>
      <c r="T1602" s="8">
        <v>45823</v>
      </c>
      <c r="U1602" s="8"/>
      <c r="V1602" s="10">
        <f>COUNTA(O1602:U1602)</f>
        <v>6</v>
      </c>
      <c r="W1602" s="11">
        <f>_xlfn.IFNA(INDEX(reading[[#This Row],[Memo 01]:[Memo 07]],MATCH(0,reading[[#This Row],[Memo 01]:[Memo 07]],-1)),"")</f>
        <v>45823</v>
      </c>
      <c r="X1602" s="11">
        <f ca="1">IFERROR(reading[[#This Row],[Previous]]+OFFSET(reading[[#Headers],[Memo 01]],-1,MATCH(0,reading[[#This Row],[Memo 01]:[Memo 07]],-1)-1),"")</f>
        <v>45843</v>
      </c>
      <c r="Y1602" s="10" t="str">
        <f ca="1">IF(reading[[#This Row],[Next]]&lt;&gt;"",IF(reading[[#This Row],[Next]]&gt;TODAY(),"OK",""),"")</f>
        <v>OK</v>
      </c>
      <c r="Z1602" s="13">
        <v>3</v>
      </c>
      <c r="AA1602" s="13">
        <v>3</v>
      </c>
      <c r="AB1602" s="13">
        <v>3</v>
      </c>
      <c r="AC1602" s="13">
        <v>2</v>
      </c>
      <c r="AD1602" s="13">
        <v>3</v>
      </c>
      <c r="AE1602" s="13">
        <v>3</v>
      </c>
      <c r="AF1602" s="13"/>
      <c r="AG1602" s="16">
        <f>IFERROR(SUMIF(reading[[#This Row],[1st]:[7th]],"&gt;0")/COUNTIF(reading[[#This Row],[1st]:[7th]],"&gt;0"),"")</f>
        <v>2.8333333333333335</v>
      </c>
    </row>
    <row r="1603" spans="1:33" hidden="1" x14ac:dyDescent="0.2">
      <c r="A1603" s="4">
        <f>IF(B1603=1,3,IF(D1603=1,2,IF(F1603=1,1,0)))</f>
        <v>0</v>
      </c>
      <c r="B1603" s="4" t="str">
        <f>IF(C1603=$L1603,1,IF(C1603="","",0))</f>
        <v/>
      </c>
      <c r="C1603" s="42"/>
      <c r="D1603" s="4" t="str">
        <f>IF(E1603=$L1603,1,IF(E1603="","",0))</f>
        <v/>
      </c>
      <c r="E1603" s="23"/>
      <c r="F1603" s="4" t="str">
        <f>IF(G1603=$L1603,1,IF(G1603="","",0))</f>
        <v/>
      </c>
      <c r="G1603" s="14"/>
      <c r="H1603" s="6">
        <v>1679</v>
      </c>
      <c r="I1603" s="15" t="s">
        <v>3120</v>
      </c>
      <c r="J1603" s="6" t="s">
        <v>4750</v>
      </c>
      <c r="K1603" s="6"/>
      <c r="L1603" s="6" t="s">
        <v>1759</v>
      </c>
      <c r="M1603" s="6" t="s">
        <v>7785</v>
      </c>
      <c r="N1603" s="7">
        <f ca="1">RAND()</f>
        <v>0.78103675240769588</v>
      </c>
      <c r="O1603" s="8">
        <v>45210</v>
      </c>
      <c r="P1603" s="8">
        <v>45211</v>
      </c>
      <c r="Q1603" s="8">
        <v>45213</v>
      </c>
      <c r="R1603" s="8">
        <v>45217</v>
      </c>
      <c r="S1603" s="8">
        <v>45224</v>
      </c>
      <c r="T1603" s="8">
        <v>45236</v>
      </c>
      <c r="U1603" s="8">
        <v>45829</v>
      </c>
      <c r="V1603" s="10">
        <f>COUNTA(O1603:U1603)</f>
        <v>7</v>
      </c>
      <c r="W1603" s="11">
        <f>_xlfn.IFNA(INDEX(reading[[#This Row],[Memo 01]:[Memo 07]],MATCH(0,reading[[#This Row],[Memo 01]:[Memo 07]],-1)),"")</f>
        <v>45829</v>
      </c>
      <c r="X1603" s="11">
        <f ca="1">IFERROR(reading[[#This Row],[Previous]]+OFFSET(reading[[#Headers],[Memo 01]],-1,MATCH(0,reading[[#This Row],[Memo 01]:[Memo 07]],-1)-1),"")</f>
        <v>55829</v>
      </c>
      <c r="Y1603" s="10" t="str">
        <f ca="1">IF(reading[[#This Row],[Next]]&lt;&gt;"",IF(reading[[#This Row],[Next]]&gt;TODAY(),"OK",""),"")</f>
        <v>OK</v>
      </c>
      <c r="Z1603" s="13">
        <v>3</v>
      </c>
      <c r="AA1603" s="13">
        <v>3</v>
      </c>
      <c r="AB1603" s="13">
        <v>3</v>
      </c>
      <c r="AC1603" s="13">
        <v>3</v>
      </c>
      <c r="AD1603" s="13">
        <v>3</v>
      </c>
      <c r="AE1603" s="13">
        <v>3</v>
      </c>
      <c r="AF1603" s="13">
        <v>2</v>
      </c>
      <c r="AG1603" s="16">
        <f>IFERROR(SUMIF(reading[[#This Row],[1st]:[7th]],"&gt;0")/COUNTIF(reading[[#This Row],[1st]:[7th]],"&gt;0"),"")</f>
        <v>2.8571428571428572</v>
      </c>
    </row>
    <row r="1604" spans="1:33" hidden="1" x14ac:dyDescent="0.2">
      <c r="A1604" s="4">
        <f>IF(B1604=1,3,IF(D1604=1,2,IF(F1604=1,1,0)))</f>
        <v>0</v>
      </c>
      <c r="B1604" s="4" t="str">
        <f>IF(C1604=$L1604,1,IF(C1604="","",0))</f>
        <v/>
      </c>
      <c r="C1604" s="42"/>
      <c r="D1604" s="4" t="str">
        <f>IF(E1604=$L1604,1,IF(E1604="","",0))</f>
        <v/>
      </c>
      <c r="E1604" s="14"/>
      <c r="F1604" s="4" t="str">
        <f>IF(G1604=$L1604,1,IF(G1604="","",0))</f>
        <v/>
      </c>
      <c r="G1604" s="14"/>
      <c r="H1604" s="6">
        <v>2610</v>
      </c>
      <c r="I1604" s="15" t="s">
        <v>3120</v>
      </c>
      <c r="J1604" s="6" t="s">
        <v>4698</v>
      </c>
      <c r="K1604" s="6"/>
      <c r="L1604" s="6" t="s">
        <v>2653</v>
      </c>
      <c r="M1604" s="6" t="s">
        <v>8715</v>
      </c>
      <c r="N1604" s="7">
        <f ca="1">RAND()</f>
        <v>0.23081986555008693</v>
      </c>
      <c r="O1604" s="8">
        <v>45220</v>
      </c>
      <c r="P1604" s="8">
        <v>45221</v>
      </c>
      <c r="Q1604" s="8">
        <v>45223</v>
      </c>
      <c r="R1604" s="8">
        <v>45227</v>
      </c>
      <c r="S1604" s="8">
        <v>45234</v>
      </c>
      <c r="T1604" s="8">
        <v>45823</v>
      </c>
      <c r="U1604" s="8"/>
      <c r="V1604" s="10">
        <f>COUNTA(O1604:U1604)</f>
        <v>6</v>
      </c>
      <c r="W1604" s="11">
        <f>_xlfn.IFNA(INDEX(reading[[#This Row],[Memo 01]:[Memo 07]],MATCH(0,reading[[#This Row],[Memo 01]:[Memo 07]],-1)),"")</f>
        <v>45823</v>
      </c>
      <c r="X1604" s="11">
        <f ca="1">IFERROR(reading[[#This Row],[Previous]]+OFFSET(reading[[#Headers],[Memo 01]],-1,MATCH(0,reading[[#This Row],[Memo 01]:[Memo 07]],-1)-1),"")</f>
        <v>45843</v>
      </c>
      <c r="Y1604" s="10" t="str">
        <f ca="1">IF(reading[[#This Row],[Next]]&lt;&gt;"",IF(reading[[#This Row],[Next]]&gt;TODAY(),"OK",""),"")</f>
        <v>OK</v>
      </c>
      <c r="Z1604" s="13">
        <v>3</v>
      </c>
      <c r="AA1604" s="13">
        <v>3</v>
      </c>
      <c r="AB1604" s="13">
        <v>3</v>
      </c>
      <c r="AC1604" s="13">
        <v>3</v>
      </c>
      <c r="AD1604" s="13">
        <v>3</v>
      </c>
      <c r="AE1604" s="13">
        <v>3</v>
      </c>
      <c r="AF1604" s="13"/>
      <c r="AG1604" s="16">
        <f>IFERROR(SUMIF(reading[[#This Row],[1st]:[7th]],"&gt;0")/COUNTIF(reading[[#This Row],[1st]:[7th]],"&gt;0"),"")</f>
        <v>3</v>
      </c>
    </row>
    <row r="1605" spans="1:33" hidden="1" x14ac:dyDescent="0.2">
      <c r="A1605" s="4">
        <f>IF(B1605=1,3,IF(D1605=1,2,IF(F1605=1,1,0)))</f>
        <v>0</v>
      </c>
      <c r="B1605" s="4" t="str">
        <f>IF(C1605=$L1605,1,IF(C1605="","",0))</f>
        <v/>
      </c>
      <c r="C1605" s="42"/>
      <c r="D1605" s="4" t="str">
        <f>IF(E1605=$L1605,1,IF(E1605="","",0))</f>
        <v/>
      </c>
      <c r="E1605" s="18"/>
      <c r="F1605" s="4" t="str">
        <f>IF(G1605=$L1605,1,IF(G1605="","",0))</f>
        <v/>
      </c>
      <c r="G1605" s="14"/>
      <c r="H1605" s="6">
        <v>1905</v>
      </c>
      <c r="I1605" s="15" t="s">
        <v>3120</v>
      </c>
      <c r="J1605" s="6" t="s">
        <v>5006</v>
      </c>
      <c r="K1605" s="6"/>
      <c r="L1605" s="6" t="s">
        <v>1981</v>
      </c>
      <c r="M1605" s="6" t="s">
        <v>8011</v>
      </c>
      <c r="N1605" s="7">
        <f ca="1">RAND()</f>
        <v>0.80604787907096553</v>
      </c>
      <c r="O1605" s="8">
        <v>45213</v>
      </c>
      <c r="P1605" s="8">
        <v>45214</v>
      </c>
      <c r="Q1605" s="8">
        <v>45216</v>
      </c>
      <c r="R1605" s="8">
        <v>45220</v>
      </c>
      <c r="S1605" s="8">
        <v>45227</v>
      </c>
      <c r="T1605" s="8">
        <v>45250</v>
      </c>
      <c r="U1605" s="8">
        <v>45827</v>
      </c>
      <c r="V1605" s="10">
        <f>COUNTA(O1605:U1605)</f>
        <v>7</v>
      </c>
      <c r="W1605" s="11">
        <f>_xlfn.IFNA(INDEX(reading[[#This Row],[Memo 01]:[Memo 07]],MATCH(0,reading[[#This Row],[Memo 01]:[Memo 07]],-1)),"")</f>
        <v>45827</v>
      </c>
      <c r="X1605" s="11">
        <f ca="1">IFERROR(reading[[#This Row],[Previous]]+OFFSET(reading[[#Headers],[Memo 01]],-1,MATCH(0,reading[[#This Row],[Memo 01]:[Memo 07]],-1)-1),"")</f>
        <v>55827</v>
      </c>
      <c r="Y1605" s="10" t="str">
        <f ca="1">IF(reading[[#This Row],[Next]]&lt;&gt;"",IF(reading[[#This Row],[Next]]&gt;TODAY(),"OK",""),"")</f>
        <v>OK</v>
      </c>
      <c r="Z1605" s="13">
        <v>3</v>
      </c>
      <c r="AA1605" s="13">
        <v>2</v>
      </c>
      <c r="AB1605" s="13">
        <v>3</v>
      </c>
      <c r="AC1605" s="13">
        <v>3</v>
      </c>
      <c r="AD1605" s="13">
        <v>1</v>
      </c>
      <c r="AE1605" s="13">
        <v>1</v>
      </c>
      <c r="AF1605" s="13">
        <v>3</v>
      </c>
      <c r="AG1605" s="16">
        <f>IFERROR(SUMIF(reading[[#This Row],[1st]:[7th]],"&gt;0")/COUNTIF(reading[[#This Row],[1st]:[7th]],"&gt;0"),"")</f>
        <v>2.2857142857142856</v>
      </c>
    </row>
    <row r="1606" spans="1:33" hidden="1" x14ac:dyDescent="0.2">
      <c r="A1606" s="4">
        <f>IF(B1606=1,3,IF(D1606=1,2,IF(F1606=1,1,0)))</f>
        <v>0</v>
      </c>
      <c r="B1606" s="4" t="str">
        <f>IF(C1606=$L1606,1,IF(C1606="","",0))</f>
        <v/>
      </c>
      <c r="C1606" s="42"/>
      <c r="D1606" s="4" t="str">
        <f>IF(E1606=$L1606,1,IF(E1606="","",0))</f>
        <v/>
      </c>
      <c r="E1606" s="18"/>
      <c r="F1606" s="4" t="str">
        <f>IF(G1606=$L1606,1,IF(G1606="","",0))</f>
        <v/>
      </c>
      <c r="G1606" s="18"/>
      <c r="H1606" s="6">
        <v>2310</v>
      </c>
      <c r="I1606" s="15" t="s">
        <v>3120</v>
      </c>
      <c r="J1606" s="6" t="s">
        <v>5388</v>
      </c>
      <c r="K1606" s="6"/>
      <c r="L1606" s="6" t="s">
        <v>2367</v>
      </c>
      <c r="M1606" s="6" t="s">
        <v>8415</v>
      </c>
      <c r="N1606" s="7">
        <f ca="1">RAND()</f>
        <v>0.87100930834511203</v>
      </c>
      <c r="O1606" s="8">
        <v>45216</v>
      </c>
      <c r="P1606" s="8">
        <v>45217</v>
      </c>
      <c r="Q1606" s="8">
        <v>45219</v>
      </c>
      <c r="R1606" s="8">
        <v>45223</v>
      </c>
      <c r="S1606" s="8">
        <v>45231</v>
      </c>
      <c r="T1606" s="8">
        <v>45248</v>
      </c>
      <c r="U1606" s="8">
        <v>45827</v>
      </c>
      <c r="V1606" s="10">
        <f>COUNTA(O1606:U1606)</f>
        <v>7</v>
      </c>
      <c r="W1606" s="11">
        <f>_xlfn.IFNA(INDEX(reading[[#This Row],[Memo 01]:[Memo 07]],MATCH(0,reading[[#This Row],[Memo 01]:[Memo 07]],-1)),"")</f>
        <v>45827</v>
      </c>
      <c r="X1606" s="11">
        <f ca="1">IFERROR(reading[[#This Row],[Previous]]+OFFSET(reading[[#Headers],[Memo 01]],-1,MATCH(0,reading[[#This Row],[Memo 01]:[Memo 07]],-1)-1),"")</f>
        <v>55827</v>
      </c>
      <c r="Y1606" s="10" t="str">
        <f ca="1">IF(reading[[#This Row],[Next]]&lt;&gt;"",IF(reading[[#This Row],[Next]]&gt;TODAY(),"OK",""),"")</f>
        <v>OK</v>
      </c>
      <c r="Z1606" s="13">
        <v>3</v>
      </c>
      <c r="AA1606" s="13">
        <v>1</v>
      </c>
      <c r="AB1606" s="13">
        <v>3</v>
      </c>
      <c r="AC1606" s="13">
        <v>2</v>
      </c>
      <c r="AD1606" s="13">
        <v>1</v>
      </c>
      <c r="AE1606" s="13">
        <v>3</v>
      </c>
      <c r="AF1606" s="13">
        <v>3</v>
      </c>
      <c r="AG1606" s="16">
        <f>IFERROR(SUMIF(reading[[#This Row],[1st]:[7th]],"&gt;0")/COUNTIF(reading[[#This Row],[1st]:[7th]],"&gt;0"),"")</f>
        <v>2.2857142857142856</v>
      </c>
    </row>
    <row r="1607" spans="1:33" hidden="1" x14ac:dyDescent="0.2">
      <c r="A1607" s="4">
        <f>IF(B1607=1,3,IF(D1607=1,2,IF(F1607=1,1,0)))</f>
        <v>0</v>
      </c>
      <c r="B1607" s="4" t="str">
        <f>IF(C1607=$L1607,1,IF(C1607="","",0))</f>
        <v/>
      </c>
      <c r="C1607" s="42"/>
      <c r="D1607" s="4" t="str">
        <f>IF(E1607=$L1607,1,IF(E1607="","",0))</f>
        <v/>
      </c>
      <c r="E1607" s="43"/>
      <c r="F1607" s="4" t="str">
        <f>IF(G1607=$L1607,1,IF(G1607="","",0))</f>
        <v/>
      </c>
      <c r="G1607" s="43"/>
      <c r="H1607" s="6">
        <v>1733</v>
      </c>
      <c r="I1607" s="15" t="s">
        <v>3120</v>
      </c>
      <c r="J1607" s="6" t="s">
        <v>4841</v>
      </c>
      <c r="K1607" s="6"/>
      <c r="L1607" s="6" t="s">
        <v>1813</v>
      </c>
      <c r="M1607" s="6" t="s">
        <v>7839</v>
      </c>
      <c r="N1607" s="7">
        <f ca="1">RAND()</f>
        <v>7.2881253632884557E-2</v>
      </c>
      <c r="O1607" s="8">
        <v>45211</v>
      </c>
      <c r="P1607" s="8">
        <v>45212</v>
      </c>
      <c r="Q1607" s="8">
        <v>45214</v>
      </c>
      <c r="R1607" s="8">
        <v>45218</v>
      </c>
      <c r="S1607" s="8">
        <v>45226</v>
      </c>
      <c r="T1607" s="8">
        <v>45249</v>
      </c>
      <c r="U1607" s="8">
        <v>45816</v>
      </c>
      <c r="V1607" s="10">
        <f>COUNTA(O1607:U1607)</f>
        <v>7</v>
      </c>
      <c r="W1607" s="11">
        <f>_xlfn.IFNA(INDEX(reading[[#This Row],[Memo 01]:[Memo 07]],MATCH(0,reading[[#This Row],[Memo 01]:[Memo 07]],-1)),"")</f>
        <v>45816</v>
      </c>
      <c r="X1607" s="11">
        <f ca="1">IFERROR(reading[[#This Row],[Previous]]+OFFSET(reading[[#Headers],[Memo 01]],-1,MATCH(0,reading[[#This Row],[Memo 01]:[Memo 07]],-1)-1),"")</f>
        <v>55816</v>
      </c>
      <c r="Y1607" s="10" t="str">
        <f ca="1">IF(reading[[#This Row],[Next]]&lt;&gt;"",IF(reading[[#This Row],[Next]]&gt;TODAY(),"OK",""),"")</f>
        <v>OK</v>
      </c>
      <c r="Z1607" s="13">
        <v>3</v>
      </c>
      <c r="AA1607" s="13">
        <v>3</v>
      </c>
      <c r="AB1607" s="13">
        <v>3</v>
      </c>
      <c r="AC1607" s="13">
        <v>2</v>
      </c>
      <c r="AD1607" s="13">
        <v>1</v>
      </c>
      <c r="AE1607" s="13">
        <v>2</v>
      </c>
      <c r="AF1607" s="13">
        <v>1</v>
      </c>
      <c r="AG1607" s="16">
        <f>IFERROR(SUMIF(reading[[#This Row],[1st]:[7th]],"&gt;0")/COUNTIF(reading[[#This Row],[1st]:[7th]],"&gt;0"),"")</f>
        <v>2.1428571428571428</v>
      </c>
    </row>
    <row r="1608" spans="1:33" hidden="1" x14ac:dyDescent="0.2">
      <c r="A1608" s="4">
        <f>IF(B1608=1,3,IF(D1608=1,2,IF(F1608=1,1,0)))</f>
        <v>0</v>
      </c>
      <c r="B1608" s="4" t="str">
        <f>IF(C1608=$L1608,1,IF(C1608="","",0))</f>
        <v/>
      </c>
      <c r="C1608" s="42"/>
      <c r="D1608" s="4" t="str">
        <f>IF(E1608=$L1608,1,IF(E1608="","",0))</f>
        <v/>
      </c>
      <c r="E1608" s="23"/>
      <c r="F1608" s="4" t="str">
        <f>IF(G1608=$L1608,1,IF(G1608="","",0))</f>
        <v/>
      </c>
      <c r="G1608" s="14"/>
      <c r="H1608" s="6">
        <v>1416</v>
      </c>
      <c r="I1608" s="15" t="s">
        <v>3120</v>
      </c>
      <c r="J1608" s="6" t="s">
        <v>4530</v>
      </c>
      <c r="K1608" s="6"/>
      <c r="L1608" s="6" t="s">
        <v>1507</v>
      </c>
      <c r="M1608" s="6" t="s">
        <v>7523</v>
      </c>
      <c r="N1608" s="7">
        <f ca="1">RAND()</f>
        <v>0.1540267771906213</v>
      </c>
      <c r="O1608" s="8">
        <v>45208</v>
      </c>
      <c r="P1608" s="8">
        <v>45209</v>
      </c>
      <c r="Q1608" s="8">
        <v>45211</v>
      </c>
      <c r="R1608" s="8">
        <v>45215</v>
      </c>
      <c r="S1608" s="8">
        <v>45222</v>
      </c>
      <c r="T1608" s="8">
        <v>45234</v>
      </c>
      <c r="U1608" s="8">
        <v>45829</v>
      </c>
      <c r="V1608" s="10">
        <f>COUNTA(O1608:U1608)</f>
        <v>7</v>
      </c>
      <c r="W1608" s="11">
        <f>_xlfn.IFNA(INDEX(reading[[#This Row],[Memo 01]:[Memo 07]],MATCH(0,reading[[#This Row],[Memo 01]:[Memo 07]],-1)),"")</f>
        <v>45829</v>
      </c>
      <c r="X1608" s="11">
        <f ca="1">IFERROR(reading[[#This Row],[Previous]]+OFFSET(reading[[#Headers],[Memo 01]],-1,MATCH(0,reading[[#This Row],[Memo 01]:[Memo 07]],-1)-1),"")</f>
        <v>55829</v>
      </c>
      <c r="Y1608" s="10" t="str">
        <f ca="1">IF(reading[[#This Row],[Next]]&lt;&gt;"",IF(reading[[#This Row],[Next]]&gt;TODAY(),"OK",""),"")</f>
        <v>OK</v>
      </c>
      <c r="Z1608" s="13">
        <v>3</v>
      </c>
      <c r="AA1608" s="13">
        <v>3</v>
      </c>
      <c r="AB1608" s="13">
        <v>3</v>
      </c>
      <c r="AC1608" s="13">
        <v>3</v>
      </c>
      <c r="AD1608" s="13">
        <v>3</v>
      </c>
      <c r="AE1608" s="13">
        <v>3</v>
      </c>
      <c r="AF1608" s="13">
        <v>2</v>
      </c>
      <c r="AG1608" s="16">
        <f>IFERROR(SUMIF(reading[[#This Row],[1st]:[7th]],"&gt;0")/COUNTIF(reading[[#This Row],[1st]:[7th]],"&gt;0"),"")</f>
        <v>2.8571428571428572</v>
      </c>
    </row>
    <row r="1609" spans="1:33" hidden="1" x14ac:dyDescent="0.2">
      <c r="A1609" s="4">
        <f>IF(B1609=1,3,IF(D1609=1,2,IF(F1609=1,1,0)))</f>
        <v>0</v>
      </c>
      <c r="B1609" s="4" t="str">
        <f>IF(C1609=$L1609,1,IF(C1609="","",0))</f>
        <v/>
      </c>
      <c r="C1609" s="42"/>
      <c r="D1609" s="4" t="str">
        <f>IF(E1609=$L1609,1,IF(E1609="","",0))</f>
        <v/>
      </c>
      <c r="E1609" s="14"/>
      <c r="F1609" s="4" t="str">
        <f>IF(G1609=$L1609,1,IF(G1609="","",0))</f>
        <v/>
      </c>
      <c r="G1609" s="14"/>
      <c r="H1609" s="6">
        <v>2820</v>
      </c>
      <c r="I1609" s="15" t="s">
        <v>3120</v>
      </c>
      <c r="J1609" s="6" t="s">
        <v>5863</v>
      </c>
      <c r="K1609" s="6"/>
      <c r="L1609" s="6" t="s">
        <v>2856</v>
      </c>
      <c r="M1609" s="6" t="s">
        <v>8924</v>
      </c>
      <c r="N1609" s="7">
        <f ca="1">RAND()</f>
        <v>0.6674072342574382</v>
      </c>
      <c r="O1609" s="8">
        <v>45222</v>
      </c>
      <c r="P1609" s="8">
        <v>45223</v>
      </c>
      <c r="Q1609" s="8">
        <v>45225</v>
      </c>
      <c r="R1609" s="8">
        <v>45229</v>
      </c>
      <c r="S1609" s="8">
        <v>45236</v>
      </c>
      <c r="T1609" s="8">
        <v>45783</v>
      </c>
      <c r="U1609" s="8">
        <v>45823</v>
      </c>
      <c r="V1609" s="10">
        <f>COUNTA(O1609:U1609)</f>
        <v>7</v>
      </c>
      <c r="W1609" s="11">
        <f>_xlfn.IFNA(INDEX(reading[[#This Row],[Memo 01]:[Memo 07]],MATCH(0,reading[[#This Row],[Memo 01]:[Memo 07]],-1)),"")</f>
        <v>45823</v>
      </c>
      <c r="X1609" s="11">
        <f ca="1">IFERROR(reading[[#This Row],[Previous]]+OFFSET(reading[[#Headers],[Memo 01]],-1,MATCH(0,reading[[#This Row],[Memo 01]:[Memo 07]],-1)-1),"")</f>
        <v>55823</v>
      </c>
      <c r="Y1609" s="10" t="str">
        <f ca="1">IF(reading[[#This Row],[Next]]&lt;&gt;"",IF(reading[[#This Row],[Next]]&gt;TODAY(),"OK",""),"")</f>
        <v>OK</v>
      </c>
      <c r="Z1609" s="13">
        <v>3</v>
      </c>
      <c r="AA1609" s="13">
        <v>3</v>
      </c>
      <c r="AB1609" s="13">
        <v>3</v>
      </c>
      <c r="AC1609" s="13">
        <v>3</v>
      </c>
      <c r="AD1609" s="13">
        <v>2</v>
      </c>
      <c r="AE1609" s="13">
        <v>3</v>
      </c>
      <c r="AF1609" s="13">
        <v>3</v>
      </c>
      <c r="AG1609" s="16">
        <f>IFERROR(SUMIF(reading[[#This Row],[1st]:[7th]],"&gt;0")/COUNTIF(reading[[#This Row],[1st]:[7th]],"&gt;0"),"")</f>
        <v>2.8571428571428572</v>
      </c>
    </row>
    <row r="1610" spans="1:33" hidden="1" x14ac:dyDescent="0.2">
      <c r="A1610" s="4">
        <f>IF(B1610=1,3,IF(D1610=1,2,IF(F1610=1,1,0)))</f>
        <v>0</v>
      </c>
      <c r="B1610" s="4" t="str">
        <f>IF(C1610=$L1610,1,IF(C1610="","",0))</f>
        <v/>
      </c>
      <c r="C1610" s="42"/>
      <c r="D1610" s="4" t="str">
        <f>IF(E1610=$L1610,1,IF(E1610="","",0))</f>
        <v/>
      </c>
      <c r="E1610" s="18"/>
      <c r="F1610" s="4" t="str">
        <f>IF(G1610=$L1610,1,IF(G1610="","",0))</f>
        <v/>
      </c>
      <c r="G1610" s="14"/>
      <c r="H1610" s="6">
        <v>1335</v>
      </c>
      <c r="I1610" s="15" t="s">
        <v>3120</v>
      </c>
      <c r="J1610" s="6" t="s">
        <v>4450</v>
      </c>
      <c r="K1610" s="6"/>
      <c r="L1610" s="6" t="s">
        <v>1432</v>
      </c>
      <c r="M1610" s="6" t="s">
        <v>7442</v>
      </c>
      <c r="N1610" s="7">
        <f ca="1">RAND()</f>
        <v>0.27128820287789501</v>
      </c>
      <c r="O1610" s="8">
        <v>45207</v>
      </c>
      <c r="P1610" s="8">
        <v>45208</v>
      </c>
      <c r="Q1610" s="8">
        <v>45210</v>
      </c>
      <c r="R1610" s="8">
        <v>45214</v>
      </c>
      <c r="S1610" s="8">
        <v>45221</v>
      </c>
      <c r="T1610" s="8">
        <v>45234</v>
      </c>
      <c r="U1610" s="8">
        <v>45827</v>
      </c>
      <c r="V1610" s="10">
        <f>COUNTA(O1610:U1610)</f>
        <v>7</v>
      </c>
      <c r="W1610" s="11">
        <f>_xlfn.IFNA(INDEX(reading[[#This Row],[Memo 01]:[Memo 07]],MATCH(0,reading[[#This Row],[Memo 01]:[Memo 07]],-1)),"")</f>
        <v>45827</v>
      </c>
      <c r="X1610" s="11">
        <f ca="1">IFERROR(reading[[#This Row],[Previous]]+OFFSET(reading[[#Headers],[Memo 01]],-1,MATCH(0,reading[[#This Row],[Memo 01]:[Memo 07]],-1)-1),"")</f>
        <v>55827</v>
      </c>
      <c r="Y1610" s="10" t="str">
        <f ca="1">IF(reading[[#This Row],[Next]]&lt;&gt;"",IF(reading[[#This Row],[Next]]&gt;TODAY(),"OK",""),"")</f>
        <v>OK</v>
      </c>
      <c r="Z1610" s="13">
        <v>3</v>
      </c>
      <c r="AA1610" s="13">
        <v>3</v>
      </c>
      <c r="AB1610" s="13">
        <v>3</v>
      </c>
      <c r="AC1610" s="13">
        <v>3</v>
      </c>
      <c r="AD1610" s="13">
        <v>2</v>
      </c>
      <c r="AE1610" s="13">
        <v>1</v>
      </c>
      <c r="AF1610" s="13">
        <v>3</v>
      </c>
      <c r="AG1610" s="16">
        <f>IFERROR(SUMIF(reading[[#This Row],[1st]:[7th]],"&gt;0")/COUNTIF(reading[[#This Row],[1st]:[7th]],"&gt;0"),"")</f>
        <v>2.5714285714285716</v>
      </c>
    </row>
    <row r="1611" spans="1:33" hidden="1" x14ac:dyDescent="0.2">
      <c r="A1611" s="4">
        <f>IF(B1611=1,3,IF(D1611=1,2,IF(F1611=1,1,0)))</f>
        <v>3</v>
      </c>
      <c r="B1611" s="4">
        <f>IF(C1611=$L1611,1,IF(C1611="","",0))</f>
        <v>1</v>
      </c>
      <c r="C1611" s="31" t="s">
        <v>1697</v>
      </c>
      <c r="D1611" s="4" t="str">
        <f>IF(E1611=$L1611,1,IF(E1611="","",0))</f>
        <v/>
      </c>
      <c r="E1611" s="14"/>
      <c r="F1611" s="4" t="str">
        <f>IF(G1611=$L1611,1,IF(G1611="","",0))</f>
        <v/>
      </c>
      <c r="G1611" s="14"/>
      <c r="H1611" s="6">
        <v>1615</v>
      </c>
      <c r="I1611" s="15" t="s">
        <v>3120</v>
      </c>
      <c r="J1611" s="6" t="s">
        <v>4727</v>
      </c>
      <c r="K1611" s="6"/>
      <c r="L1611" s="6" t="s">
        <v>1697</v>
      </c>
      <c r="M1611" s="6" t="s">
        <v>7721</v>
      </c>
      <c r="N1611" s="7">
        <f ca="1">RAND()</f>
        <v>0.24877255266988452</v>
      </c>
      <c r="O1611" s="8">
        <v>45210</v>
      </c>
      <c r="P1611" s="8">
        <v>45210</v>
      </c>
      <c r="Q1611" s="8">
        <v>45210</v>
      </c>
      <c r="R1611" s="8">
        <v>45210</v>
      </c>
      <c r="S1611" s="8">
        <v>45210</v>
      </c>
      <c r="T1611" s="8">
        <v>45210</v>
      </c>
      <c r="U1611" s="8">
        <v>45210</v>
      </c>
      <c r="V1611" s="10">
        <f>COUNTA(O1611:U1611)</f>
        <v>7</v>
      </c>
      <c r="W1611" s="11">
        <f>_xlfn.IFNA(INDEX(reading[[#This Row],[Memo 01]:[Memo 07]],MATCH(0,reading[[#This Row],[Memo 01]:[Memo 07]],-1)),"")</f>
        <v>45210</v>
      </c>
      <c r="X1611" s="11">
        <f ca="1">IFERROR(reading[[#This Row],[Previous]]+OFFSET(reading[[#Headers],[Memo 01]],-1,MATCH(0,reading[[#This Row],[Memo 01]:[Memo 07]],-1)-1),"")</f>
        <v>55210</v>
      </c>
      <c r="Y1611" s="10" t="str">
        <f ca="1">IF(reading[[#This Row],[Next]]&lt;&gt;"",IF(reading[[#This Row],[Next]]&gt;TODAY(),"OK",""),"")</f>
        <v>OK</v>
      </c>
      <c r="Z1611" s="13">
        <v>3</v>
      </c>
      <c r="AA1611" s="13"/>
      <c r="AB1611" s="13"/>
      <c r="AC1611" s="13"/>
      <c r="AD1611" s="13"/>
      <c r="AE1611" s="13"/>
      <c r="AF1611" s="13"/>
      <c r="AG1611" s="16">
        <f>IFERROR(SUMIF(reading[[#This Row],[1st]:[7th]],"&gt;0")/COUNTIF(reading[[#This Row],[1st]:[7th]],"&gt;0"),"")</f>
        <v>3</v>
      </c>
    </row>
    <row r="1612" spans="1:33" hidden="1" x14ac:dyDescent="0.2">
      <c r="A1612" s="4">
        <f>IF(B1612=1,3,IF(D1612=1,2,IF(F1612=1,1,0)))</f>
        <v>0</v>
      </c>
      <c r="B1612" s="4" t="str">
        <f>IF(C1612=$L1612,1,IF(C1612="","",0))</f>
        <v/>
      </c>
      <c r="C1612" s="42"/>
      <c r="D1612" s="4" t="str">
        <f>IF(E1612=$L1612,1,IF(E1612="","",0))</f>
        <v/>
      </c>
      <c r="E1612" s="14"/>
      <c r="F1612" s="4" t="str">
        <f>IF(G1612=$L1612,1,IF(G1612="","",0))</f>
        <v/>
      </c>
      <c r="G1612" s="14"/>
      <c r="H1612" s="6">
        <v>597</v>
      </c>
      <c r="I1612" s="15" t="s">
        <v>3120</v>
      </c>
      <c r="J1612" s="6" t="s">
        <v>3740</v>
      </c>
      <c r="K1612" s="6"/>
      <c r="L1612" s="6" t="s">
        <v>723</v>
      </c>
      <c r="M1612" s="6" t="s">
        <v>6706</v>
      </c>
      <c r="N1612" s="7">
        <f ca="1">RAND()</f>
        <v>0.24268061705171384</v>
      </c>
      <c r="O1612" s="8">
        <v>45202</v>
      </c>
      <c r="P1612" s="8">
        <v>45203</v>
      </c>
      <c r="Q1612" s="8">
        <v>45205</v>
      </c>
      <c r="R1612" s="8">
        <v>45209</v>
      </c>
      <c r="S1612" s="8">
        <v>45216</v>
      </c>
      <c r="T1612" s="8">
        <v>45228</v>
      </c>
      <c r="U1612" s="8">
        <v>45823</v>
      </c>
      <c r="V1612" s="10">
        <f>COUNTA(O1612:U1612)</f>
        <v>7</v>
      </c>
      <c r="W1612" s="11">
        <f>_xlfn.IFNA(INDEX(reading[[#This Row],[Memo 01]:[Memo 07]],MATCH(0,reading[[#This Row],[Memo 01]:[Memo 07]],-1)),"")</f>
        <v>45823</v>
      </c>
      <c r="X1612" s="11">
        <f ca="1">IFERROR(reading[[#This Row],[Previous]]+OFFSET(reading[[#Headers],[Memo 01]],-1,MATCH(0,reading[[#This Row],[Memo 01]:[Memo 07]],-1)-1),"")</f>
        <v>55823</v>
      </c>
      <c r="Y1612" s="10" t="str">
        <f ca="1">IF(reading[[#This Row],[Next]]&lt;&gt;"",IF(reading[[#This Row],[Next]]&gt;TODAY(),"OK",""),"")</f>
        <v>OK</v>
      </c>
      <c r="Z1612" s="13">
        <v>3</v>
      </c>
      <c r="AA1612" s="13">
        <v>3</v>
      </c>
      <c r="AB1612" s="13">
        <v>3</v>
      </c>
      <c r="AC1612" s="13">
        <v>3</v>
      </c>
      <c r="AD1612" s="13">
        <v>3</v>
      </c>
      <c r="AE1612" s="13">
        <v>3</v>
      </c>
      <c r="AF1612" s="13">
        <v>3</v>
      </c>
      <c r="AG1612" s="16">
        <f>IFERROR(SUMIF(reading[[#This Row],[1st]:[7th]],"&gt;0")/COUNTIF(reading[[#This Row],[1st]:[7th]],"&gt;0"),"")</f>
        <v>3</v>
      </c>
    </row>
    <row r="1613" spans="1:33" hidden="1" x14ac:dyDescent="0.2">
      <c r="A1613" s="4">
        <f>IF(B1613=1,3,IF(D1613=1,2,IF(F1613=1,1,0)))</f>
        <v>0</v>
      </c>
      <c r="B1613" s="4" t="str">
        <f>IF(C1613=$L1613,1,IF(C1613="","",0))</f>
        <v/>
      </c>
      <c r="C1613" s="42"/>
      <c r="D1613" s="4" t="str">
        <f>IF(E1613=$L1613,1,IF(E1613="","",0))</f>
        <v/>
      </c>
      <c r="E1613" s="14"/>
      <c r="F1613" s="4" t="str">
        <f>IF(G1613=$L1613,1,IF(G1613="","",0))</f>
        <v/>
      </c>
      <c r="G1613" s="14"/>
      <c r="H1613" s="6">
        <v>941</v>
      </c>
      <c r="I1613" s="15" t="s">
        <v>3120</v>
      </c>
      <c r="J1613" s="6" t="s">
        <v>4071</v>
      </c>
      <c r="K1613" s="6"/>
      <c r="L1613" s="6" t="s">
        <v>1052</v>
      </c>
      <c r="M1613" s="6" t="s">
        <v>7049</v>
      </c>
      <c r="N1613" s="7">
        <f ca="1">RAND()</f>
        <v>0.55980635613508978</v>
      </c>
      <c r="O1613" s="8">
        <v>45204</v>
      </c>
      <c r="P1613" s="8">
        <v>45205</v>
      </c>
      <c r="Q1613" s="8">
        <v>45207</v>
      </c>
      <c r="R1613" s="8">
        <v>45211</v>
      </c>
      <c r="S1613" s="8">
        <v>45218</v>
      </c>
      <c r="T1613" s="8">
        <v>45230</v>
      </c>
      <c r="U1613" s="8">
        <v>45827</v>
      </c>
      <c r="V1613" s="10">
        <f>COUNTA(O1613:U1613)</f>
        <v>7</v>
      </c>
      <c r="W1613" s="11">
        <f>_xlfn.IFNA(INDEX(reading[[#This Row],[Memo 01]:[Memo 07]],MATCH(0,reading[[#This Row],[Memo 01]:[Memo 07]],-1)),"")</f>
        <v>45827</v>
      </c>
      <c r="X1613" s="11">
        <f ca="1">IFERROR(reading[[#This Row],[Previous]]+OFFSET(reading[[#Headers],[Memo 01]],-1,MATCH(0,reading[[#This Row],[Memo 01]:[Memo 07]],-1)-1),"")</f>
        <v>55827</v>
      </c>
      <c r="Y1613" s="10" t="str">
        <f ca="1">IF(reading[[#This Row],[Next]]&lt;&gt;"",IF(reading[[#This Row],[Next]]&gt;TODAY(),"OK",""),"")</f>
        <v>OK</v>
      </c>
      <c r="Z1613" s="13">
        <v>3</v>
      </c>
      <c r="AA1613" s="13">
        <v>3</v>
      </c>
      <c r="AB1613" s="13">
        <v>3</v>
      </c>
      <c r="AC1613" s="13">
        <v>3</v>
      </c>
      <c r="AD1613" s="13">
        <v>3</v>
      </c>
      <c r="AE1613" s="13">
        <v>3</v>
      </c>
      <c r="AF1613" s="13">
        <v>3</v>
      </c>
      <c r="AG1613" s="16">
        <f>IFERROR(SUMIF(reading[[#This Row],[1st]:[7th]],"&gt;0")/COUNTIF(reading[[#This Row],[1st]:[7th]],"&gt;0"),"")</f>
        <v>3</v>
      </c>
    </row>
    <row r="1614" spans="1:33" hidden="1" x14ac:dyDescent="0.2">
      <c r="A1614" s="4">
        <f>IF(B1614=1,3,IF(D1614=1,2,IF(F1614=1,1,0)))</f>
        <v>0</v>
      </c>
      <c r="B1614" s="4">
        <f>IF(C1614=$L1614,1,IF(C1614="","",0))</f>
        <v>0</v>
      </c>
      <c r="C1614" s="42" t="s">
        <v>9203</v>
      </c>
      <c r="D1614" s="4">
        <f>IF(E1614=$L1614,1,IF(E1614="","",0))</f>
        <v>0</v>
      </c>
      <c r="E1614" s="23" t="s">
        <v>9200</v>
      </c>
      <c r="F1614" s="4" t="str">
        <f>IF(G1614=$L1614,1,IF(G1614="","",0))</f>
        <v/>
      </c>
      <c r="G1614" s="14"/>
      <c r="H1614" s="6">
        <v>2093</v>
      </c>
      <c r="I1614" s="15" t="s">
        <v>3120</v>
      </c>
      <c r="J1614" s="6" t="s">
        <v>5184</v>
      </c>
      <c r="K1614" s="15" t="s">
        <v>3139</v>
      </c>
      <c r="L1614" s="6" t="s">
        <v>2164</v>
      </c>
      <c r="M1614" s="6" t="s">
        <v>8199</v>
      </c>
      <c r="N1614" s="7">
        <f ca="1">RAND()</f>
        <v>0.16138890074428502</v>
      </c>
      <c r="O1614" s="8">
        <v>45214</v>
      </c>
      <c r="P1614" s="8">
        <v>45215</v>
      </c>
      <c r="Q1614" s="8">
        <v>45217</v>
      </c>
      <c r="R1614" s="8">
        <v>45221</v>
      </c>
      <c r="S1614" s="8">
        <v>45228</v>
      </c>
      <c r="T1614" s="8"/>
      <c r="U1614" s="8"/>
      <c r="V1614" s="10">
        <f>COUNTA(O1614:U1614)</f>
        <v>5</v>
      </c>
      <c r="W1614" s="11">
        <f>_xlfn.IFNA(INDEX(reading[[#This Row],[Memo 01]:[Memo 07]],MATCH(0,reading[[#This Row],[Memo 01]:[Memo 07]],-1)),"")</f>
        <v>45228</v>
      </c>
      <c r="X1614" s="11">
        <f ca="1">IFERROR(reading[[#This Row],[Previous]]+OFFSET(reading[[#Headers],[Memo 01]],-1,MATCH(0,reading[[#This Row],[Memo 01]:[Memo 07]],-1)-1),"")</f>
        <v>45240</v>
      </c>
      <c r="Y1614" s="10" t="str">
        <f ca="1">IF(reading[[#This Row],[Next]]&lt;&gt;"",IF(reading[[#This Row],[Next]]&gt;TODAY(),"OK",""),"")</f>
        <v/>
      </c>
      <c r="Z1614" s="13">
        <v>3</v>
      </c>
      <c r="AA1614" s="13">
        <v>3</v>
      </c>
      <c r="AB1614" s="13">
        <v>3</v>
      </c>
      <c r="AC1614" s="13">
        <v>3</v>
      </c>
      <c r="AD1614" s="13">
        <v>3</v>
      </c>
      <c r="AE1614" s="13"/>
      <c r="AF1614" s="13"/>
      <c r="AG1614" s="16">
        <f>IFERROR(SUMIF(reading[[#This Row],[1st]:[7th]],"&gt;0")/COUNTIF(reading[[#This Row],[1st]:[7th]],"&gt;0"),"")</f>
        <v>3</v>
      </c>
    </row>
    <row r="1615" spans="1:33" hidden="1" x14ac:dyDescent="0.2">
      <c r="A1615" s="4">
        <f>IF(B1615=1,3,IF(D1615=1,2,IF(F1615=1,1,0)))</f>
        <v>0</v>
      </c>
      <c r="B1615" s="4" t="str">
        <f>IF(C1615=$L1615,1,IF(C1615="","",0))</f>
        <v/>
      </c>
      <c r="C1615" s="42"/>
      <c r="D1615" s="4" t="str">
        <f>IF(E1615=$L1615,1,IF(E1615="","",0))</f>
        <v/>
      </c>
      <c r="E1615" s="23"/>
      <c r="F1615" s="4" t="str">
        <f>IF(G1615=$L1615,1,IF(G1615="","",0))</f>
        <v/>
      </c>
      <c r="G1615" s="14"/>
      <c r="H1615" s="6">
        <v>2451</v>
      </c>
      <c r="I1615" s="15" t="s">
        <v>3120</v>
      </c>
      <c r="J1615" s="6" t="s">
        <v>5521</v>
      </c>
      <c r="K1615" s="6"/>
      <c r="L1615" s="6" t="s">
        <v>2499</v>
      </c>
      <c r="M1615" s="6" t="s">
        <v>8556</v>
      </c>
      <c r="N1615" s="7">
        <f ca="1">RAND()</f>
        <v>1.0895359083028522E-2</v>
      </c>
      <c r="O1615" s="8">
        <v>45218</v>
      </c>
      <c r="P1615" s="8">
        <v>45219</v>
      </c>
      <c r="Q1615" s="8">
        <v>45221</v>
      </c>
      <c r="R1615" s="8">
        <v>45225</v>
      </c>
      <c r="S1615" s="8">
        <v>45232</v>
      </c>
      <c r="T1615" s="8">
        <v>45816</v>
      </c>
      <c r="U1615" s="8"/>
      <c r="V1615" s="10">
        <f>COUNTA(O1615:U1615)</f>
        <v>6</v>
      </c>
      <c r="W1615" s="11">
        <f>_xlfn.IFNA(INDEX(reading[[#This Row],[Memo 01]:[Memo 07]],MATCH(0,reading[[#This Row],[Memo 01]:[Memo 07]],-1)),"")</f>
        <v>45816</v>
      </c>
      <c r="X1615" s="11">
        <f ca="1">IFERROR(reading[[#This Row],[Previous]]+OFFSET(reading[[#Headers],[Memo 01]],-1,MATCH(0,reading[[#This Row],[Memo 01]:[Memo 07]],-1)-1),"")</f>
        <v>45836</v>
      </c>
      <c r="Y1615" s="10" t="str">
        <f ca="1">IF(reading[[#This Row],[Next]]&lt;&gt;"",IF(reading[[#This Row],[Next]]&gt;TODAY(),"OK",""),"")</f>
        <v>OK</v>
      </c>
      <c r="Z1615" s="13">
        <v>3</v>
      </c>
      <c r="AA1615" s="13">
        <v>3</v>
      </c>
      <c r="AB1615" s="13">
        <v>3</v>
      </c>
      <c r="AC1615" s="13">
        <v>3</v>
      </c>
      <c r="AD1615" s="13">
        <v>3</v>
      </c>
      <c r="AE1615" s="13">
        <v>2</v>
      </c>
      <c r="AF1615" s="13"/>
      <c r="AG1615" s="16">
        <f>IFERROR(SUMIF(reading[[#This Row],[1st]:[7th]],"&gt;0")/COUNTIF(reading[[#This Row],[1st]:[7th]],"&gt;0"),"")</f>
        <v>2.8333333333333335</v>
      </c>
    </row>
    <row r="1616" spans="1:33" hidden="1" x14ac:dyDescent="0.2">
      <c r="A1616" s="4">
        <f>IF(B1616=1,3,IF(D1616=1,2,IF(F1616=1,1,0)))</f>
        <v>3</v>
      </c>
      <c r="B1616" s="4">
        <f>IF(C1616=$L1616,1,IF(C1616="","",0))</f>
        <v>1</v>
      </c>
      <c r="C1616" s="31" t="s">
        <v>1702</v>
      </c>
      <c r="D1616" s="4" t="str">
        <f>IF(E1616=$L1616,1,IF(E1616="","",0))</f>
        <v/>
      </c>
      <c r="E1616" s="14"/>
      <c r="F1616" s="4" t="str">
        <f>IF(G1616=$L1616,1,IF(G1616="","",0))</f>
        <v/>
      </c>
      <c r="G1616" s="14"/>
      <c r="H1616" s="6">
        <v>1620</v>
      </c>
      <c r="I1616" s="15" t="s">
        <v>3120</v>
      </c>
      <c r="J1616" s="6" t="s">
        <v>4732</v>
      </c>
      <c r="K1616" s="6"/>
      <c r="L1616" s="6" t="s">
        <v>1702</v>
      </c>
      <c r="M1616" s="6" t="s">
        <v>7726</v>
      </c>
      <c r="N1616" s="7">
        <f ca="1">RAND()</f>
        <v>0.80381980411203791</v>
      </c>
      <c r="O1616" s="8">
        <v>45210</v>
      </c>
      <c r="P1616" s="8">
        <v>45210</v>
      </c>
      <c r="Q1616" s="8">
        <v>45210</v>
      </c>
      <c r="R1616" s="8">
        <v>45210</v>
      </c>
      <c r="S1616" s="8">
        <v>45210</v>
      </c>
      <c r="T1616" s="8">
        <v>45210</v>
      </c>
      <c r="U1616" s="8">
        <v>45210</v>
      </c>
      <c r="V1616" s="10">
        <f>COUNTA(O1616:U1616)</f>
        <v>7</v>
      </c>
      <c r="W1616" s="11">
        <f>_xlfn.IFNA(INDEX(reading[[#This Row],[Memo 01]:[Memo 07]],MATCH(0,reading[[#This Row],[Memo 01]:[Memo 07]],-1)),"")</f>
        <v>45210</v>
      </c>
      <c r="X1616" s="11">
        <f ca="1">IFERROR(reading[[#This Row],[Previous]]+OFFSET(reading[[#Headers],[Memo 01]],-1,MATCH(0,reading[[#This Row],[Memo 01]:[Memo 07]],-1)-1),"")</f>
        <v>55210</v>
      </c>
      <c r="Y1616" s="10" t="str">
        <f ca="1">IF(reading[[#This Row],[Next]]&lt;&gt;"",IF(reading[[#This Row],[Next]]&gt;TODAY(),"OK",""),"")</f>
        <v>OK</v>
      </c>
      <c r="Z1616" s="13">
        <v>3</v>
      </c>
      <c r="AA1616" s="13"/>
      <c r="AB1616" s="13"/>
      <c r="AC1616" s="13"/>
      <c r="AD1616" s="13"/>
      <c r="AE1616" s="13"/>
      <c r="AF1616" s="13"/>
      <c r="AG1616" s="16">
        <f>IFERROR(SUMIF(reading[[#This Row],[1st]:[7th]],"&gt;0")/COUNTIF(reading[[#This Row],[1st]:[7th]],"&gt;0"),"")</f>
        <v>3</v>
      </c>
    </row>
    <row r="1617" spans="1:33" hidden="1" x14ac:dyDescent="0.2">
      <c r="A1617" s="4">
        <f>IF(B1617=1,3,IF(D1617=1,2,IF(F1617=1,1,0)))</f>
        <v>0</v>
      </c>
      <c r="B1617" s="4" t="str">
        <f>IF(C1617=$L1617,1,IF(C1617="","",0))</f>
        <v/>
      </c>
      <c r="C1617" s="42"/>
      <c r="D1617" s="4" t="str">
        <f>IF(E1617=$L1617,1,IF(E1617="","",0))</f>
        <v/>
      </c>
      <c r="E1617" s="43"/>
      <c r="F1617" s="4" t="str">
        <f>IF(G1617=$L1617,1,IF(G1617="","",0))</f>
        <v/>
      </c>
      <c r="G1617" s="14"/>
      <c r="H1617" s="6">
        <v>1886</v>
      </c>
      <c r="I1617" s="15" t="s">
        <v>3120</v>
      </c>
      <c r="J1617" s="6" t="s">
        <v>4988</v>
      </c>
      <c r="K1617" s="6"/>
      <c r="L1617" s="6" t="s">
        <v>1963</v>
      </c>
      <c r="M1617" s="6" t="s">
        <v>7992</v>
      </c>
      <c r="N1617" s="7">
        <f ca="1">RAND()</f>
        <v>0.99852300825169749</v>
      </c>
      <c r="O1617" s="8">
        <v>45213</v>
      </c>
      <c r="P1617" s="8">
        <v>45214</v>
      </c>
      <c r="Q1617" s="8">
        <v>45216</v>
      </c>
      <c r="R1617" s="8">
        <v>45220</v>
      </c>
      <c r="S1617" s="8">
        <v>45227</v>
      </c>
      <c r="T1617" s="8">
        <v>45252</v>
      </c>
      <c r="U1617" s="8">
        <v>45829</v>
      </c>
      <c r="V1617" s="10">
        <f>COUNTA(O1617:U1617)</f>
        <v>7</v>
      </c>
      <c r="W1617" s="11">
        <f>_xlfn.IFNA(INDEX(reading[[#This Row],[Memo 01]:[Memo 07]],MATCH(0,reading[[#This Row],[Memo 01]:[Memo 07]],-1)),"")</f>
        <v>45829</v>
      </c>
      <c r="X1617" s="11">
        <f ca="1">IFERROR(reading[[#This Row],[Previous]]+OFFSET(reading[[#Headers],[Memo 01]],-1,MATCH(0,reading[[#This Row],[Memo 01]:[Memo 07]],-1)-1),"")</f>
        <v>55829</v>
      </c>
      <c r="Y1617" s="10" t="str">
        <f ca="1">IF(reading[[#This Row],[Next]]&lt;&gt;"",IF(reading[[#This Row],[Next]]&gt;TODAY(),"OK",""),"")</f>
        <v>OK</v>
      </c>
      <c r="Z1617" s="13">
        <v>3</v>
      </c>
      <c r="AA1617" s="13">
        <v>3</v>
      </c>
      <c r="AB1617" s="13">
        <v>3</v>
      </c>
      <c r="AC1617" s="13">
        <v>2</v>
      </c>
      <c r="AD1617" s="13">
        <v>2</v>
      </c>
      <c r="AE1617" s="13">
        <v>2</v>
      </c>
      <c r="AF1617" s="13">
        <v>2</v>
      </c>
      <c r="AG1617" s="16">
        <f>IFERROR(SUMIF(reading[[#This Row],[1st]:[7th]],"&gt;0")/COUNTIF(reading[[#This Row],[1st]:[7th]],"&gt;0"),"")</f>
        <v>2.4285714285714284</v>
      </c>
    </row>
    <row r="1618" spans="1:33" hidden="1" x14ac:dyDescent="0.2">
      <c r="A1618" s="4">
        <f>IF(B1618=1,3,IF(D1618=1,2,IF(F1618=1,1,0)))</f>
        <v>0</v>
      </c>
      <c r="B1618" s="4">
        <f>IF(C1618=$L1618,1,IF(C1618="","",0))</f>
        <v>0</v>
      </c>
      <c r="C1618" s="42" t="s">
        <v>9272</v>
      </c>
      <c r="D1618" s="4">
        <f>IF(E1618=$L1618,1,IF(E1618="","",0))</f>
        <v>0</v>
      </c>
      <c r="E1618" s="23" t="s">
        <v>9272</v>
      </c>
      <c r="F1618" s="4" t="str">
        <f>IF(G1618=$L1618,1,IF(G1618="","",0))</f>
        <v/>
      </c>
      <c r="G1618" s="14"/>
      <c r="H1618" s="6">
        <v>3059</v>
      </c>
      <c r="I1618" s="15" t="s">
        <v>3120</v>
      </c>
      <c r="J1618" s="6" t="s">
        <v>6080</v>
      </c>
      <c r="K1618" s="15" t="s">
        <v>3139</v>
      </c>
      <c r="L1618" s="6" t="s">
        <v>3085</v>
      </c>
      <c r="M1618" s="6" t="s">
        <v>9162</v>
      </c>
      <c r="N1618" s="7">
        <f ca="1">RAND()</f>
        <v>0.50072234896855594</v>
      </c>
      <c r="O1618" s="8">
        <v>45226</v>
      </c>
      <c r="P1618" s="8">
        <v>45227</v>
      </c>
      <c r="Q1618" s="8">
        <v>45229</v>
      </c>
      <c r="R1618" s="8">
        <v>45233</v>
      </c>
      <c r="S1618" s="8">
        <v>45251</v>
      </c>
      <c r="T1618" s="8"/>
      <c r="U1618" s="8"/>
      <c r="V1618" s="10">
        <f>COUNTA(O1618:U1618)</f>
        <v>5</v>
      </c>
      <c r="W1618" s="11">
        <f>_xlfn.IFNA(INDEX(reading[[#This Row],[Memo 01]:[Memo 07]],MATCH(0,reading[[#This Row],[Memo 01]:[Memo 07]],-1)),"")</f>
        <v>45251</v>
      </c>
      <c r="X1618" s="11">
        <f ca="1">IFERROR(reading[[#This Row],[Previous]]+OFFSET(reading[[#Headers],[Memo 01]],-1,MATCH(0,reading[[#This Row],[Memo 01]:[Memo 07]],-1)-1),"")</f>
        <v>45263</v>
      </c>
      <c r="Y1618" s="10" t="str">
        <f ca="1">IF(reading[[#This Row],[Next]]&lt;&gt;"",IF(reading[[#This Row],[Next]]&gt;TODAY(),"OK",""),"")</f>
        <v/>
      </c>
      <c r="Z1618" s="13">
        <v>3</v>
      </c>
      <c r="AA1618" s="13">
        <v>3</v>
      </c>
      <c r="AB1618" s="13">
        <v>3</v>
      </c>
      <c r="AC1618" s="13">
        <v>3</v>
      </c>
      <c r="AD1618" s="13">
        <v>3</v>
      </c>
      <c r="AE1618" s="13"/>
      <c r="AF1618" s="13"/>
      <c r="AG1618" s="16">
        <f>IFERROR(SUMIF(reading[[#This Row],[1st]:[7th]],"&gt;0")/COUNTIF(reading[[#This Row],[1st]:[7th]],"&gt;0"),"")</f>
        <v>3</v>
      </c>
    </row>
    <row r="1619" spans="1:33" hidden="1" x14ac:dyDescent="0.2">
      <c r="A1619" s="4">
        <f>IF(B1619=1,3,IF(D1619=1,2,IF(F1619=1,1,0)))</f>
        <v>0</v>
      </c>
      <c r="B1619" s="4" t="str">
        <f>IF(C1619=$L1619,1,IF(C1619="","",0))</f>
        <v/>
      </c>
      <c r="C1619" s="42"/>
      <c r="D1619" s="4" t="str">
        <f>IF(E1619=$L1619,1,IF(E1619="","",0))</f>
        <v/>
      </c>
      <c r="E1619" s="43"/>
      <c r="F1619" s="4" t="str">
        <f>IF(G1619=$L1619,1,IF(G1619="","",0))</f>
        <v/>
      </c>
      <c r="G1619" s="14"/>
      <c r="H1619" s="6">
        <v>2386</v>
      </c>
      <c r="I1619" s="15" t="s">
        <v>3120</v>
      </c>
      <c r="J1619" s="6" t="s">
        <v>5459</v>
      </c>
      <c r="K1619" s="6"/>
      <c r="L1619" s="6" t="s">
        <v>2437</v>
      </c>
      <c r="M1619" s="6" t="s">
        <v>8491</v>
      </c>
      <c r="N1619" s="7">
        <f ca="1">RAND()</f>
        <v>0.3891298304880666</v>
      </c>
      <c r="O1619" s="8">
        <v>45218</v>
      </c>
      <c r="P1619" s="8">
        <v>45219</v>
      </c>
      <c r="Q1619" s="8">
        <v>45221</v>
      </c>
      <c r="R1619" s="8">
        <v>45225</v>
      </c>
      <c r="S1619" s="8">
        <v>45232</v>
      </c>
      <c r="T1619" s="8">
        <v>45792</v>
      </c>
      <c r="U1619" s="8">
        <v>45829</v>
      </c>
      <c r="V1619" s="10">
        <f>COUNTA(O1619:U1619)</f>
        <v>7</v>
      </c>
      <c r="W1619" s="11">
        <f>_xlfn.IFNA(INDEX(reading[[#This Row],[Memo 01]:[Memo 07]],MATCH(0,reading[[#This Row],[Memo 01]:[Memo 07]],-1)),"")</f>
        <v>45829</v>
      </c>
      <c r="X1619" s="11">
        <f ca="1">IFERROR(reading[[#This Row],[Previous]]+OFFSET(reading[[#Headers],[Memo 01]],-1,MATCH(0,reading[[#This Row],[Memo 01]:[Memo 07]],-1)-1),"")</f>
        <v>55829</v>
      </c>
      <c r="Y1619" s="10" t="str">
        <f ca="1">IF(reading[[#This Row],[Next]]&lt;&gt;"",IF(reading[[#This Row],[Next]]&gt;TODAY(),"OK",""),"")</f>
        <v>OK</v>
      </c>
      <c r="Z1619" s="13">
        <v>3</v>
      </c>
      <c r="AA1619" s="13">
        <v>3</v>
      </c>
      <c r="AB1619" s="13">
        <v>2</v>
      </c>
      <c r="AC1619" s="13">
        <v>3</v>
      </c>
      <c r="AD1619" s="13">
        <v>3</v>
      </c>
      <c r="AE1619" s="13">
        <v>3</v>
      </c>
      <c r="AF1619" s="13">
        <v>2</v>
      </c>
      <c r="AG1619" s="16">
        <f>IFERROR(SUMIF(reading[[#This Row],[1st]:[7th]],"&gt;0")/COUNTIF(reading[[#This Row],[1st]:[7th]],"&gt;0"),"")</f>
        <v>2.7142857142857144</v>
      </c>
    </row>
    <row r="1620" spans="1:33" hidden="1" x14ac:dyDescent="0.2">
      <c r="A1620" s="4">
        <f>IF(B1620=1,3,IF(D1620=1,2,IF(F1620=1,1,0)))</f>
        <v>0</v>
      </c>
      <c r="B1620" s="4" t="str">
        <f>IF(C1620=$L1620,1,IF(C1620="","",0))</f>
        <v/>
      </c>
      <c r="C1620" s="42"/>
      <c r="D1620" s="4" t="str">
        <f>IF(E1620=$L1620,1,IF(E1620="","",0))</f>
        <v/>
      </c>
      <c r="E1620" s="43"/>
      <c r="F1620" s="4" t="str">
        <f>IF(G1620=$L1620,1,IF(G1620="","",0))</f>
        <v/>
      </c>
      <c r="G1620" s="23"/>
      <c r="H1620" s="6">
        <v>2625</v>
      </c>
      <c r="I1620" s="15" t="s">
        <v>3120</v>
      </c>
      <c r="J1620" s="6" t="s">
        <v>5680</v>
      </c>
      <c r="K1620" s="6"/>
      <c r="L1620" s="6" t="s">
        <v>2667</v>
      </c>
      <c r="M1620" s="6" t="s">
        <v>8730</v>
      </c>
      <c r="N1620" s="7">
        <f ca="1">RAND()</f>
        <v>0.10563939494501817</v>
      </c>
      <c r="O1620" s="8">
        <v>45220</v>
      </c>
      <c r="P1620" s="8">
        <v>45221</v>
      </c>
      <c r="Q1620" s="8">
        <v>45223</v>
      </c>
      <c r="R1620" s="8">
        <v>45227</v>
      </c>
      <c r="S1620" s="8">
        <v>45234</v>
      </c>
      <c r="T1620" s="8">
        <v>45249</v>
      </c>
      <c r="U1620" s="8">
        <v>45817</v>
      </c>
      <c r="V1620" s="10">
        <f>COUNTA(O1620:U1620)</f>
        <v>7</v>
      </c>
      <c r="W1620" s="11">
        <f>_xlfn.IFNA(INDEX(reading[[#This Row],[Memo 01]:[Memo 07]],MATCH(0,reading[[#This Row],[Memo 01]:[Memo 07]],-1)),"")</f>
        <v>45817</v>
      </c>
      <c r="X1620" s="11">
        <f ca="1">IFERROR(reading[[#This Row],[Previous]]+OFFSET(reading[[#Headers],[Memo 01]],-1,MATCH(0,reading[[#This Row],[Memo 01]:[Memo 07]],-1)-1),"")</f>
        <v>55817</v>
      </c>
      <c r="Y1620" s="10" t="str">
        <f ca="1">IF(reading[[#This Row],[Next]]&lt;&gt;"",IF(reading[[#This Row],[Next]]&gt;TODAY(),"OK",""),"")</f>
        <v>OK</v>
      </c>
      <c r="Z1620" s="13">
        <v>3</v>
      </c>
      <c r="AA1620" s="13">
        <v>2</v>
      </c>
      <c r="AB1620" s="13">
        <v>2</v>
      </c>
      <c r="AC1620" s="13">
        <v>2</v>
      </c>
      <c r="AD1620" s="13">
        <v>3</v>
      </c>
      <c r="AE1620" s="13">
        <v>2</v>
      </c>
      <c r="AF1620" s="13">
        <v>1</v>
      </c>
      <c r="AG1620" s="16">
        <f>IFERROR(SUMIF(reading[[#This Row],[1st]:[7th]],"&gt;0")/COUNTIF(reading[[#This Row],[1st]:[7th]],"&gt;0"),"")</f>
        <v>2.1428571428571428</v>
      </c>
    </row>
    <row r="1621" spans="1:33" hidden="1" x14ac:dyDescent="0.2">
      <c r="A1621" s="4">
        <f>IF(B1621=1,3,IF(D1621=1,2,IF(F1621=1,1,0)))</f>
        <v>0</v>
      </c>
      <c r="B1621" s="4" t="str">
        <f>IF(C1621=$L1621,1,IF(C1621="","",0))</f>
        <v/>
      </c>
      <c r="C1621" s="42"/>
      <c r="D1621" s="4" t="str">
        <f>IF(E1621=$L1621,1,IF(E1621="","",0))</f>
        <v/>
      </c>
      <c r="E1621" s="43"/>
      <c r="F1621" s="4" t="str">
        <f>IF(G1621=$L1621,1,IF(G1621="","",0))</f>
        <v/>
      </c>
      <c r="G1621" s="14"/>
      <c r="H1621" s="6">
        <v>666</v>
      </c>
      <c r="I1621" s="15" t="s">
        <v>3120</v>
      </c>
      <c r="J1621" s="6" t="s">
        <v>3805</v>
      </c>
      <c r="K1621" s="6"/>
      <c r="L1621" s="6" t="s">
        <v>789</v>
      </c>
      <c r="M1621" s="6" t="s">
        <v>6775</v>
      </c>
      <c r="N1621" s="7">
        <f ca="1">RAND()</f>
        <v>0.92224014741987181</v>
      </c>
      <c r="O1621" s="8">
        <v>45203</v>
      </c>
      <c r="P1621" s="8">
        <v>45204</v>
      </c>
      <c r="Q1621" s="8">
        <v>45206</v>
      </c>
      <c r="R1621" s="8">
        <v>45210</v>
      </c>
      <c r="S1621" s="8">
        <v>45217</v>
      </c>
      <c r="T1621" s="8">
        <v>45229</v>
      </c>
      <c r="U1621" s="8">
        <v>45825</v>
      </c>
      <c r="V1621" s="10">
        <f>COUNTA(O1621:U1621)</f>
        <v>7</v>
      </c>
      <c r="W1621" s="11">
        <f>_xlfn.IFNA(INDEX(reading[[#This Row],[Memo 01]:[Memo 07]],MATCH(0,reading[[#This Row],[Memo 01]:[Memo 07]],-1)),"")</f>
        <v>45825</v>
      </c>
      <c r="X1621" s="11">
        <f ca="1">IFERROR(reading[[#This Row],[Previous]]+OFFSET(reading[[#Headers],[Memo 01]],-1,MATCH(0,reading[[#This Row],[Memo 01]:[Memo 07]],-1)-1),"")</f>
        <v>55825</v>
      </c>
      <c r="Y1621" s="10" t="str">
        <f ca="1">IF(reading[[#This Row],[Next]]&lt;&gt;"",IF(reading[[#This Row],[Next]]&gt;TODAY(),"OK",""),"")</f>
        <v>OK</v>
      </c>
      <c r="Z1621" s="13">
        <v>3</v>
      </c>
      <c r="AA1621" s="13">
        <v>2</v>
      </c>
      <c r="AB1621" s="13">
        <v>3</v>
      </c>
      <c r="AC1621" s="13">
        <v>3</v>
      </c>
      <c r="AD1621" s="13">
        <v>3</v>
      </c>
      <c r="AE1621" s="13">
        <v>3</v>
      </c>
      <c r="AF1621" s="13">
        <v>2</v>
      </c>
      <c r="AG1621" s="16">
        <f>IFERROR(SUMIF(reading[[#This Row],[1st]:[7th]],"&gt;0")/COUNTIF(reading[[#This Row],[1st]:[7th]],"&gt;0"),"")</f>
        <v>2.7142857142857144</v>
      </c>
    </row>
    <row r="1622" spans="1:33" hidden="1" x14ac:dyDescent="0.2">
      <c r="A1622" s="4">
        <f>IF(B1622=1,3,IF(D1622=1,2,IF(F1622=1,1,0)))</f>
        <v>0</v>
      </c>
      <c r="B1622" s="4" t="str">
        <f>IF(C1622=$L1622,1,IF(C1622="","",0))</f>
        <v/>
      </c>
      <c r="C1622" s="42"/>
      <c r="D1622" s="4" t="str">
        <f>IF(E1622=$L1622,1,IF(E1622="","",0))</f>
        <v/>
      </c>
      <c r="E1622" s="14"/>
      <c r="F1622" s="4" t="str">
        <f>IF(G1622=$L1622,1,IF(G1622="","",0))</f>
        <v/>
      </c>
      <c r="G1622" s="14"/>
      <c r="H1622" s="6">
        <v>594</v>
      </c>
      <c r="I1622" s="15" t="s">
        <v>3120</v>
      </c>
      <c r="J1622" s="6" t="s">
        <v>3737</v>
      </c>
      <c r="K1622" s="6"/>
      <c r="L1622" s="6" t="s">
        <v>720</v>
      </c>
      <c r="M1622" s="6" t="s">
        <v>6703</v>
      </c>
      <c r="N1622" s="7">
        <f ca="1">RAND()</f>
        <v>0.90588509213592916</v>
      </c>
      <c r="O1622" s="8">
        <v>45202</v>
      </c>
      <c r="P1622" s="8">
        <v>45203</v>
      </c>
      <c r="Q1622" s="8">
        <v>45205</v>
      </c>
      <c r="R1622" s="8">
        <v>45209</v>
      </c>
      <c r="S1622" s="8">
        <v>45216</v>
      </c>
      <c r="T1622" s="8">
        <v>45228</v>
      </c>
      <c r="U1622" s="8">
        <v>45827</v>
      </c>
      <c r="V1622" s="10">
        <f>COUNTA(O1622:U1622)</f>
        <v>7</v>
      </c>
      <c r="W1622" s="11">
        <f>_xlfn.IFNA(INDEX(reading[[#This Row],[Memo 01]:[Memo 07]],MATCH(0,reading[[#This Row],[Memo 01]:[Memo 07]],-1)),"")</f>
        <v>45827</v>
      </c>
      <c r="X1622" s="11">
        <f ca="1">IFERROR(reading[[#This Row],[Previous]]+OFFSET(reading[[#Headers],[Memo 01]],-1,MATCH(0,reading[[#This Row],[Memo 01]:[Memo 07]],-1)-1),"")</f>
        <v>55827</v>
      </c>
      <c r="Y1622" s="10" t="str">
        <f ca="1">IF(reading[[#This Row],[Next]]&lt;&gt;"",IF(reading[[#This Row],[Next]]&gt;TODAY(),"OK",""),"")</f>
        <v>OK</v>
      </c>
      <c r="Z1622" s="13">
        <v>3</v>
      </c>
      <c r="AA1622" s="13">
        <v>3</v>
      </c>
      <c r="AB1622" s="13">
        <v>3</v>
      </c>
      <c r="AC1622" s="13">
        <v>3</v>
      </c>
      <c r="AD1622" s="13">
        <v>3</v>
      </c>
      <c r="AE1622" s="13">
        <v>3</v>
      </c>
      <c r="AF1622" s="13">
        <v>3</v>
      </c>
      <c r="AG1622" s="16">
        <f>IFERROR(SUMIF(reading[[#This Row],[1st]:[7th]],"&gt;0")/COUNTIF(reading[[#This Row],[1st]:[7th]],"&gt;0"),"")</f>
        <v>3</v>
      </c>
    </row>
    <row r="1623" spans="1:33" hidden="1" x14ac:dyDescent="0.2">
      <c r="A1623" s="4">
        <f>IF(B1623=1,3,IF(D1623=1,2,IF(F1623=1,1,0)))</f>
        <v>0</v>
      </c>
      <c r="B1623" s="4" t="str">
        <f>IF(C1623=$L1623,1,IF(C1623="","",0))</f>
        <v/>
      </c>
      <c r="C1623" s="42"/>
      <c r="D1623" s="4" t="str">
        <f>IF(E1623=$L1623,1,IF(E1623="","",0))</f>
        <v/>
      </c>
      <c r="E1623" s="14"/>
      <c r="F1623" s="4" t="str">
        <f>IF(G1623=$L1623,1,IF(G1623="","",0))</f>
        <v/>
      </c>
      <c r="G1623" s="14"/>
      <c r="H1623" s="6">
        <v>2756</v>
      </c>
      <c r="I1623" s="15" t="s">
        <v>3120</v>
      </c>
      <c r="J1623" s="6" t="s">
        <v>5801</v>
      </c>
      <c r="K1623" s="6"/>
      <c r="L1623" s="6" t="s">
        <v>2794</v>
      </c>
      <c r="M1623" s="6" t="s">
        <v>8860</v>
      </c>
      <c r="N1623" s="7">
        <f ca="1">RAND()</f>
        <v>0.37423796683571986</v>
      </c>
      <c r="O1623" s="8">
        <v>45221</v>
      </c>
      <c r="P1623" s="8">
        <v>45222</v>
      </c>
      <c r="Q1623" s="8">
        <v>45224</v>
      </c>
      <c r="R1623" s="8">
        <v>45228</v>
      </c>
      <c r="S1623" s="8">
        <v>45235</v>
      </c>
      <c r="T1623" s="8">
        <v>45827</v>
      </c>
      <c r="U1623" s="8"/>
      <c r="V1623" s="10">
        <f>COUNTA(O1623:U1623)</f>
        <v>6</v>
      </c>
      <c r="W1623" s="11">
        <f>_xlfn.IFNA(INDEX(reading[[#This Row],[Memo 01]:[Memo 07]],MATCH(0,reading[[#This Row],[Memo 01]:[Memo 07]],-1)),"")</f>
        <v>45827</v>
      </c>
      <c r="X1623" s="11">
        <f ca="1">IFERROR(reading[[#This Row],[Previous]]+OFFSET(reading[[#Headers],[Memo 01]],-1,MATCH(0,reading[[#This Row],[Memo 01]:[Memo 07]],-1)-1),"")</f>
        <v>45847</v>
      </c>
      <c r="Y1623" s="10" t="str">
        <f ca="1">IF(reading[[#This Row],[Next]]&lt;&gt;"",IF(reading[[#This Row],[Next]]&gt;TODAY(),"OK",""),"")</f>
        <v>OK</v>
      </c>
      <c r="Z1623" s="13">
        <v>3</v>
      </c>
      <c r="AA1623" s="13">
        <v>3</v>
      </c>
      <c r="AB1623" s="13">
        <v>3</v>
      </c>
      <c r="AC1623" s="13">
        <v>3</v>
      </c>
      <c r="AD1623" s="13">
        <v>3</v>
      </c>
      <c r="AE1623" s="13">
        <v>3</v>
      </c>
      <c r="AF1623" s="13"/>
      <c r="AG1623" s="16">
        <f>IFERROR(SUMIF(reading[[#This Row],[1st]:[7th]],"&gt;0")/COUNTIF(reading[[#This Row],[1st]:[7th]],"&gt;0"),"")</f>
        <v>3</v>
      </c>
    </row>
    <row r="1624" spans="1:33" hidden="1" x14ac:dyDescent="0.2">
      <c r="A1624" s="4">
        <f>IF(B1624=1,3,IF(D1624=1,2,IF(F1624=1,1,0)))</f>
        <v>0</v>
      </c>
      <c r="B1624" s="4" t="str">
        <f>IF(C1624=$L1624,1,IF(C1624="","",0))</f>
        <v/>
      </c>
      <c r="C1624" s="42"/>
      <c r="D1624" s="4" t="str">
        <f>IF(E1624=$L1624,1,IF(E1624="","",0))</f>
        <v/>
      </c>
      <c r="E1624" s="43"/>
      <c r="F1624" s="4" t="str">
        <f>IF(G1624=$L1624,1,IF(G1624="","",0))</f>
        <v/>
      </c>
      <c r="G1624" s="14"/>
      <c r="H1624" s="6">
        <v>851</v>
      </c>
      <c r="I1624" s="15" t="s">
        <v>3120</v>
      </c>
      <c r="J1624" s="6" t="s">
        <v>3983</v>
      </c>
      <c r="K1624" s="6"/>
      <c r="L1624" s="6" t="s">
        <v>967</v>
      </c>
      <c r="M1624" s="6" t="s">
        <v>6960</v>
      </c>
      <c r="N1624" s="7">
        <f ca="1">RAND()</f>
        <v>0.6738466869157711</v>
      </c>
      <c r="O1624" s="8">
        <v>45203</v>
      </c>
      <c r="P1624" s="8">
        <v>45204</v>
      </c>
      <c r="Q1624" s="8">
        <v>45206</v>
      </c>
      <c r="R1624" s="8">
        <v>45210</v>
      </c>
      <c r="S1624" s="8">
        <v>45217</v>
      </c>
      <c r="T1624" s="8">
        <v>45229</v>
      </c>
      <c r="U1624" s="8">
        <v>45825</v>
      </c>
      <c r="V1624" s="10">
        <f>COUNTA(O1624:U1624)</f>
        <v>7</v>
      </c>
      <c r="W1624" s="11">
        <f>_xlfn.IFNA(INDEX(reading[[#This Row],[Memo 01]:[Memo 07]],MATCH(0,reading[[#This Row],[Memo 01]:[Memo 07]],-1)),"")</f>
        <v>45825</v>
      </c>
      <c r="X1624" s="11">
        <f ca="1">IFERROR(reading[[#This Row],[Previous]]+OFFSET(reading[[#Headers],[Memo 01]],-1,MATCH(0,reading[[#This Row],[Memo 01]:[Memo 07]],-1)-1),"")</f>
        <v>55825</v>
      </c>
      <c r="Y1624" s="10" t="str">
        <f ca="1">IF(reading[[#This Row],[Next]]&lt;&gt;"",IF(reading[[#This Row],[Next]]&gt;TODAY(),"OK",""),"")</f>
        <v>OK</v>
      </c>
      <c r="Z1624" s="13">
        <v>3</v>
      </c>
      <c r="AA1624" s="13">
        <v>3</v>
      </c>
      <c r="AB1624" s="13">
        <v>3</v>
      </c>
      <c r="AC1624" s="13">
        <v>3</v>
      </c>
      <c r="AD1624" s="13">
        <v>2</v>
      </c>
      <c r="AE1624" s="13">
        <v>3</v>
      </c>
      <c r="AF1624" s="13">
        <v>2</v>
      </c>
      <c r="AG1624" s="16">
        <f>IFERROR(SUMIF(reading[[#This Row],[1st]:[7th]],"&gt;0")/COUNTIF(reading[[#This Row],[1st]:[7th]],"&gt;0"),"")</f>
        <v>2.7142857142857144</v>
      </c>
    </row>
    <row r="1625" spans="1:33" hidden="1" x14ac:dyDescent="0.2">
      <c r="A1625" s="4">
        <f>IF(B1625=1,3,IF(D1625=1,2,IF(F1625=1,1,0)))</f>
        <v>0</v>
      </c>
      <c r="B1625" s="4" t="str">
        <f>IF(C1625=$L1625,1,IF(C1625="","",0))</f>
        <v/>
      </c>
      <c r="C1625" s="42"/>
      <c r="D1625" s="4" t="str">
        <f>IF(E1625=$L1625,1,IF(E1625="","",0))</f>
        <v/>
      </c>
      <c r="E1625" s="43"/>
      <c r="F1625" s="4" t="str">
        <f>IF(G1625=$L1625,1,IF(G1625="","",0))</f>
        <v/>
      </c>
      <c r="G1625" s="14"/>
      <c r="H1625" s="6">
        <v>2448</v>
      </c>
      <c r="I1625" s="15" t="s">
        <v>3120</v>
      </c>
      <c r="J1625" s="6" t="s">
        <v>5518</v>
      </c>
      <c r="K1625" s="6"/>
      <c r="L1625" s="6" t="s">
        <v>51</v>
      </c>
      <c r="M1625" s="6" t="s">
        <v>8553</v>
      </c>
      <c r="N1625" s="7">
        <f ca="1">RAND()</f>
        <v>0.76209949862137583</v>
      </c>
      <c r="O1625" s="8">
        <v>45217</v>
      </c>
      <c r="P1625" s="8">
        <v>45218</v>
      </c>
      <c r="Q1625" s="8">
        <v>45220</v>
      </c>
      <c r="R1625" s="8">
        <v>45224</v>
      </c>
      <c r="S1625" s="8">
        <v>45231</v>
      </c>
      <c r="T1625" s="8">
        <v>45249</v>
      </c>
      <c r="U1625" s="8">
        <v>45829</v>
      </c>
      <c r="V1625" s="10">
        <f>COUNTA(O1625:U1625)</f>
        <v>7</v>
      </c>
      <c r="W1625" s="11">
        <f>_xlfn.IFNA(INDEX(reading[[#This Row],[Memo 01]:[Memo 07]],MATCH(0,reading[[#This Row],[Memo 01]:[Memo 07]],-1)),"")</f>
        <v>45829</v>
      </c>
      <c r="X1625" s="11">
        <f ca="1">IFERROR(reading[[#This Row],[Previous]]+OFFSET(reading[[#Headers],[Memo 01]],-1,MATCH(0,reading[[#This Row],[Memo 01]:[Memo 07]],-1)-1),"")</f>
        <v>55829</v>
      </c>
      <c r="Y1625" s="10" t="str">
        <f ca="1">IF(reading[[#This Row],[Next]]&lt;&gt;"",IF(reading[[#This Row],[Next]]&gt;TODAY(),"OK",""),"")</f>
        <v>OK</v>
      </c>
      <c r="Z1625" s="13">
        <v>3</v>
      </c>
      <c r="AA1625" s="13">
        <v>2</v>
      </c>
      <c r="AB1625" s="13">
        <v>3</v>
      </c>
      <c r="AC1625" s="13">
        <v>2</v>
      </c>
      <c r="AD1625" s="13">
        <v>2</v>
      </c>
      <c r="AE1625" s="13">
        <v>2</v>
      </c>
      <c r="AF1625" s="13">
        <v>2</v>
      </c>
      <c r="AG1625" s="16">
        <f>IFERROR(SUMIF(reading[[#This Row],[1st]:[7th]],"&gt;0")/COUNTIF(reading[[#This Row],[1st]:[7th]],"&gt;0"),"")</f>
        <v>2.2857142857142856</v>
      </c>
    </row>
    <row r="1626" spans="1:33" hidden="1" x14ac:dyDescent="0.2">
      <c r="A1626" s="4">
        <f>IF(B1626=1,3,IF(D1626=1,2,IF(F1626=1,1,0)))</f>
        <v>0</v>
      </c>
      <c r="B1626" s="4" t="str">
        <f>IF(C1626=$L1626,1,IF(C1626="","",0))</f>
        <v/>
      </c>
      <c r="C1626" s="42"/>
      <c r="D1626" s="4" t="str">
        <f>IF(E1626=$L1626,1,IF(E1626="","",0))</f>
        <v/>
      </c>
      <c r="E1626" s="14"/>
      <c r="F1626" s="4" t="str">
        <f>IF(G1626=$L1626,1,IF(G1626="","",0))</f>
        <v/>
      </c>
      <c r="G1626" s="14"/>
      <c r="H1626" s="6">
        <v>691</v>
      </c>
      <c r="I1626" s="15" t="s">
        <v>3120</v>
      </c>
      <c r="J1626" s="6" t="s">
        <v>3830</v>
      </c>
      <c r="K1626" s="6"/>
      <c r="L1626" s="6" t="s">
        <v>814</v>
      </c>
      <c r="M1626" s="6" t="s">
        <v>6800</v>
      </c>
      <c r="N1626" s="7">
        <f ca="1">RAND()</f>
        <v>0.25376000026130019</v>
      </c>
      <c r="O1626" s="8">
        <v>45203</v>
      </c>
      <c r="P1626" s="8">
        <v>45204</v>
      </c>
      <c r="Q1626" s="8">
        <v>45206</v>
      </c>
      <c r="R1626" s="8">
        <v>45210</v>
      </c>
      <c r="S1626" s="8">
        <v>45217</v>
      </c>
      <c r="T1626" s="8">
        <v>45229</v>
      </c>
      <c r="U1626" s="8">
        <v>45827</v>
      </c>
      <c r="V1626" s="10">
        <f>COUNTA(O1626:U1626)</f>
        <v>7</v>
      </c>
      <c r="W1626" s="11">
        <f>_xlfn.IFNA(INDEX(reading[[#This Row],[Memo 01]:[Memo 07]],MATCH(0,reading[[#This Row],[Memo 01]:[Memo 07]],-1)),"")</f>
        <v>45827</v>
      </c>
      <c r="X1626" s="11">
        <f ca="1">IFERROR(reading[[#This Row],[Previous]]+OFFSET(reading[[#Headers],[Memo 01]],-1,MATCH(0,reading[[#This Row],[Memo 01]:[Memo 07]],-1)-1),"")</f>
        <v>55827</v>
      </c>
      <c r="Y1626" s="10" t="str">
        <f ca="1">IF(reading[[#This Row],[Next]]&lt;&gt;"",IF(reading[[#This Row],[Next]]&gt;TODAY(),"OK",""),"")</f>
        <v>OK</v>
      </c>
      <c r="Z1626" s="13">
        <v>3</v>
      </c>
      <c r="AA1626" s="13">
        <v>3</v>
      </c>
      <c r="AB1626" s="13">
        <v>3</v>
      </c>
      <c r="AC1626" s="13">
        <v>3</v>
      </c>
      <c r="AD1626" s="13">
        <v>3</v>
      </c>
      <c r="AE1626" s="13">
        <v>3</v>
      </c>
      <c r="AF1626" s="13">
        <v>3</v>
      </c>
      <c r="AG1626" s="16">
        <f>IFERROR(SUMIF(reading[[#This Row],[1st]:[7th]],"&gt;0")/COUNTIF(reading[[#This Row],[1st]:[7th]],"&gt;0"),"")</f>
        <v>3</v>
      </c>
    </row>
    <row r="1627" spans="1:33" hidden="1" x14ac:dyDescent="0.2">
      <c r="A1627" s="4">
        <f>IF(B1627=1,3,IF(D1627=1,2,IF(F1627=1,1,0)))</f>
        <v>0</v>
      </c>
      <c r="B1627" s="4" t="str">
        <f>IF(C1627=$L1627,1,IF(C1627="","",0))</f>
        <v/>
      </c>
      <c r="C1627" s="42"/>
      <c r="D1627" s="4" t="str">
        <f>IF(E1627=$L1627,1,IF(E1627="","",0))</f>
        <v/>
      </c>
      <c r="E1627" s="23"/>
      <c r="F1627" s="4" t="str">
        <f>IF(G1627=$L1627,1,IF(G1627="","",0))</f>
        <v/>
      </c>
      <c r="G1627" s="14"/>
      <c r="H1627" s="6">
        <v>1754</v>
      </c>
      <c r="I1627" s="15" t="s">
        <v>3120</v>
      </c>
      <c r="J1627" s="6" t="s">
        <v>4862</v>
      </c>
      <c r="K1627" s="6"/>
      <c r="L1627" s="6" t="s">
        <v>1834</v>
      </c>
      <c r="M1627" s="6" t="s">
        <v>7860</v>
      </c>
      <c r="N1627" s="7">
        <f ca="1">RAND()</f>
        <v>0.35438747752417665</v>
      </c>
      <c r="O1627" s="8">
        <v>45211</v>
      </c>
      <c r="P1627" s="8">
        <v>45213</v>
      </c>
      <c r="Q1627" s="8">
        <v>45215</v>
      </c>
      <c r="R1627" s="8">
        <v>45219</v>
      </c>
      <c r="S1627" s="8">
        <v>45226</v>
      </c>
      <c r="T1627" s="8">
        <v>45829</v>
      </c>
      <c r="U1627" s="8"/>
      <c r="V1627" s="10">
        <f>COUNTA(O1627:U1627)</f>
        <v>6</v>
      </c>
      <c r="W1627" s="11">
        <f>_xlfn.IFNA(INDEX(reading[[#This Row],[Memo 01]:[Memo 07]],MATCH(0,reading[[#This Row],[Memo 01]:[Memo 07]],-1)),"")</f>
        <v>45829</v>
      </c>
      <c r="X1627" s="11">
        <f ca="1">IFERROR(reading[[#This Row],[Previous]]+OFFSET(reading[[#Headers],[Memo 01]],-1,MATCH(0,reading[[#This Row],[Memo 01]:[Memo 07]],-1)-1),"")</f>
        <v>45849</v>
      </c>
      <c r="Y1627" s="10" t="str">
        <f ca="1">IF(reading[[#This Row],[Next]]&lt;&gt;"",IF(reading[[#This Row],[Next]]&gt;TODAY(),"OK",""),"")</f>
        <v>OK</v>
      </c>
      <c r="Z1627" s="13">
        <v>3</v>
      </c>
      <c r="AA1627" s="13">
        <v>2</v>
      </c>
      <c r="AB1627" s="13">
        <v>3</v>
      </c>
      <c r="AC1627" s="13">
        <v>3</v>
      </c>
      <c r="AD1627" s="13">
        <v>3</v>
      </c>
      <c r="AE1627" s="13">
        <v>2</v>
      </c>
      <c r="AF1627" s="13"/>
      <c r="AG1627" s="16">
        <f>IFERROR(SUMIF(reading[[#This Row],[1st]:[7th]],"&gt;0")/COUNTIF(reading[[#This Row],[1st]:[7th]],"&gt;0"),"")</f>
        <v>2.6666666666666665</v>
      </c>
    </row>
    <row r="1628" spans="1:33" hidden="1" x14ac:dyDescent="0.2">
      <c r="A1628" s="4">
        <f>IF(B1628=1,3,IF(D1628=1,2,IF(F1628=1,1,0)))</f>
        <v>0</v>
      </c>
      <c r="B1628" s="4" t="str">
        <f>IF(C1628=$L1628,1,IF(C1628="","",0))</f>
        <v/>
      </c>
      <c r="C1628" s="42"/>
      <c r="D1628" s="4" t="str">
        <f>IF(E1628=$L1628,1,IF(E1628="","",0))</f>
        <v/>
      </c>
      <c r="E1628" s="23"/>
      <c r="F1628" s="4" t="str">
        <f>IF(G1628=$L1628,1,IF(G1628="","",0))</f>
        <v/>
      </c>
      <c r="G1628" s="14"/>
      <c r="H1628" s="6">
        <v>1989</v>
      </c>
      <c r="I1628" s="15" t="s">
        <v>3120</v>
      </c>
      <c r="J1628" s="6" t="s">
        <v>5087</v>
      </c>
      <c r="K1628" s="6"/>
      <c r="L1628" s="6" t="s">
        <v>2064</v>
      </c>
      <c r="M1628" s="6" t="s">
        <v>8095</v>
      </c>
      <c r="N1628" s="7">
        <f ca="1">RAND()</f>
        <v>0.88731582130446984</v>
      </c>
      <c r="O1628" s="8">
        <v>45213</v>
      </c>
      <c r="P1628" s="8">
        <v>45214</v>
      </c>
      <c r="Q1628" s="8">
        <v>45216</v>
      </c>
      <c r="R1628" s="8">
        <v>45220</v>
      </c>
      <c r="S1628" s="8">
        <v>45227</v>
      </c>
      <c r="T1628" s="8">
        <v>45825</v>
      </c>
      <c r="U1628" s="8"/>
      <c r="V1628" s="10">
        <f>COUNTA(O1628:U1628)</f>
        <v>6</v>
      </c>
      <c r="W1628" s="11">
        <f>_xlfn.IFNA(INDEX(reading[[#This Row],[Memo 01]:[Memo 07]],MATCH(0,reading[[#This Row],[Memo 01]:[Memo 07]],-1)),"")</f>
        <v>45825</v>
      </c>
      <c r="X1628" s="11">
        <f ca="1">IFERROR(reading[[#This Row],[Previous]]+OFFSET(reading[[#Headers],[Memo 01]],-1,MATCH(0,reading[[#This Row],[Memo 01]:[Memo 07]],-1)-1),"")</f>
        <v>45845</v>
      </c>
      <c r="Y1628" s="10" t="str">
        <f ca="1">IF(reading[[#This Row],[Next]]&lt;&gt;"",IF(reading[[#This Row],[Next]]&gt;TODAY(),"OK",""),"")</f>
        <v>OK</v>
      </c>
      <c r="Z1628" s="13">
        <v>3</v>
      </c>
      <c r="AA1628" s="13">
        <v>3</v>
      </c>
      <c r="AB1628" s="13">
        <v>3</v>
      </c>
      <c r="AC1628" s="13">
        <v>3</v>
      </c>
      <c r="AD1628" s="13">
        <v>3</v>
      </c>
      <c r="AE1628" s="13">
        <v>2</v>
      </c>
      <c r="AF1628" s="13"/>
      <c r="AG1628" s="16">
        <f>IFERROR(SUMIF(reading[[#This Row],[1st]:[7th]],"&gt;0")/COUNTIF(reading[[#This Row],[1st]:[7th]],"&gt;0"),"")</f>
        <v>2.8333333333333335</v>
      </c>
    </row>
    <row r="1629" spans="1:33" hidden="1" x14ac:dyDescent="0.2">
      <c r="A1629" s="4">
        <f>IF(B1629=1,3,IF(D1629=1,2,IF(F1629=1,1,0)))</f>
        <v>0</v>
      </c>
      <c r="B1629" s="4" t="str">
        <f>IF(C1629=$L1629,1,IF(C1629="","",0))</f>
        <v/>
      </c>
      <c r="C1629" s="42"/>
      <c r="D1629" s="4" t="str">
        <f>IF(E1629=$L1629,1,IF(E1629="","",0))</f>
        <v/>
      </c>
      <c r="E1629" s="23"/>
      <c r="F1629" s="4" t="str">
        <f>IF(G1629=$L1629,1,IF(G1629="","",0))</f>
        <v/>
      </c>
      <c r="G1629" s="23"/>
      <c r="H1629" s="6">
        <v>2558</v>
      </c>
      <c r="I1629" s="15" t="s">
        <v>3120</v>
      </c>
      <c r="J1629" s="6" t="s">
        <v>5619</v>
      </c>
      <c r="K1629" s="15" t="s">
        <v>3138</v>
      </c>
      <c r="L1629" s="6" t="s">
        <v>2603</v>
      </c>
      <c r="M1629" s="6" t="s">
        <v>8663</v>
      </c>
      <c r="N1629" s="7">
        <f ca="1">RAND()</f>
        <v>0.88916689222482903</v>
      </c>
      <c r="O1629" s="8">
        <v>45220</v>
      </c>
      <c r="P1629" s="8">
        <v>45221</v>
      </c>
      <c r="Q1629" s="8">
        <v>45223</v>
      </c>
      <c r="R1629" s="8">
        <v>45227</v>
      </c>
      <c r="S1629" s="8">
        <v>45234</v>
      </c>
      <c r="T1629" s="8">
        <v>45817</v>
      </c>
      <c r="U1629" s="8"/>
      <c r="V1629" s="10">
        <f>COUNTA(O1629:U1629)</f>
        <v>6</v>
      </c>
      <c r="W1629" s="11">
        <f>_xlfn.IFNA(INDEX(reading[[#This Row],[Memo 01]:[Memo 07]],MATCH(0,reading[[#This Row],[Memo 01]:[Memo 07]],-1)),"")</f>
        <v>45817</v>
      </c>
      <c r="X1629" s="11">
        <f ca="1">IFERROR(reading[[#This Row],[Previous]]+OFFSET(reading[[#Headers],[Memo 01]],-1,MATCH(0,reading[[#This Row],[Memo 01]:[Memo 07]],-1)-1),"")</f>
        <v>45837</v>
      </c>
      <c r="Y1629" s="10" t="str">
        <f ca="1">IF(reading[[#This Row],[Next]]&lt;&gt;"",IF(reading[[#This Row],[Next]]&gt;TODAY(),"OK",""),"")</f>
        <v>OK</v>
      </c>
      <c r="Z1629" s="13">
        <v>3</v>
      </c>
      <c r="AA1629" s="13">
        <v>3</v>
      </c>
      <c r="AB1629" s="13">
        <v>3</v>
      </c>
      <c r="AC1629" s="13">
        <v>3</v>
      </c>
      <c r="AD1629" s="13">
        <v>3</v>
      </c>
      <c r="AE1629" s="13">
        <v>1</v>
      </c>
      <c r="AF1629" s="13"/>
      <c r="AG1629" s="16">
        <f>IFERROR(SUMIF(reading[[#This Row],[1st]:[7th]],"&gt;0")/COUNTIF(reading[[#This Row],[1st]:[7th]],"&gt;0"),"")</f>
        <v>2.6666666666666665</v>
      </c>
    </row>
    <row r="1630" spans="1:33" hidden="1" x14ac:dyDescent="0.2">
      <c r="A1630" s="4">
        <f>IF(B1630=1,3,IF(D1630=1,2,IF(F1630=1,1,0)))</f>
        <v>0</v>
      </c>
      <c r="B1630" s="4" t="str">
        <f>IF(C1630=$L1630,1,IF(C1630="","",0))</f>
        <v/>
      </c>
      <c r="C1630" s="42"/>
      <c r="D1630" s="4" t="str">
        <f>IF(E1630=$L1630,1,IF(E1630="","",0))</f>
        <v/>
      </c>
      <c r="E1630" s="23"/>
      <c r="F1630" s="4" t="str">
        <f>IF(G1630=$L1630,1,IF(G1630="","",0))</f>
        <v/>
      </c>
      <c r="G1630" s="14"/>
      <c r="H1630" s="6">
        <v>2409</v>
      </c>
      <c r="I1630" s="15" t="s">
        <v>3120</v>
      </c>
      <c r="J1630" s="6" t="s">
        <v>5480</v>
      </c>
      <c r="K1630" s="6"/>
      <c r="L1630" s="6" t="s">
        <v>2459</v>
      </c>
      <c r="M1630" s="6" t="s">
        <v>8514</v>
      </c>
      <c r="N1630" s="7">
        <f ca="1">RAND()</f>
        <v>0.20810255541644618</v>
      </c>
      <c r="O1630" s="8">
        <v>45217</v>
      </c>
      <c r="P1630" s="8">
        <v>45218</v>
      </c>
      <c r="Q1630" s="8">
        <v>45220</v>
      </c>
      <c r="R1630" s="8">
        <v>45224</v>
      </c>
      <c r="S1630" s="8">
        <v>45231</v>
      </c>
      <c r="T1630" s="8">
        <v>45829</v>
      </c>
      <c r="U1630" s="8"/>
      <c r="V1630" s="10">
        <f>COUNTA(O1630:U1630)</f>
        <v>6</v>
      </c>
      <c r="W1630" s="11">
        <f>_xlfn.IFNA(INDEX(reading[[#This Row],[Memo 01]:[Memo 07]],MATCH(0,reading[[#This Row],[Memo 01]:[Memo 07]],-1)),"")</f>
        <v>45829</v>
      </c>
      <c r="X1630" s="11">
        <f ca="1">IFERROR(reading[[#This Row],[Previous]]+OFFSET(reading[[#Headers],[Memo 01]],-1,MATCH(0,reading[[#This Row],[Memo 01]:[Memo 07]],-1)-1),"")</f>
        <v>45849</v>
      </c>
      <c r="Y1630" s="10" t="str">
        <f ca="1">IF(reading[[#This Row],[Next]]&lt;&gt;"",IF(reading[[#This Row],[Next]]&gt;TODAY(),"OK",""),"")</f>
        <v>OK</v>
      </c>
      <c r="Z1630" s="13">
        <v>3</v>
      </c>
      <c r="AA1630" s="13">
        <v>3</v>
      </c>
      <c r="AB1630" s="13">
        <v>3</v>
      </c>
      <c r="AC1630" s="13">
        <v>3</v>
      </c>
      <c r="AD1630" s="13">
        <v>3</v>
      </c>
      <c r="AE1630" s="13">
        <v>2</v>
      </c>
      <c r="AF1630" s="13"/>
      <c r="AG1630" s="16">
        <f>IFERROR(SUMIF(reading[[#This Row],[1st]:[7th]],"&gt;0")/COUNTIF(reading[[#This Row],[1st]:[7th]],"&gt;0"),"")</f>
        <v>2.8333333333333335</v>
      </c>
    </row>
    <row r="1631" spans="1:33" hidden="1" x14ac:dyDescent="0.2">
      <c r="A1631" s="4">
        <f>IF(B1631=1,3,IF(D1631=1,2,IF(F1631=1,1,0)))</f>
        <v>0</v>
      </c>
      <c r="B1631" s="4" t="str">
        <f>IF(C1631=$L1631,1,IF(C1631="","",0))</f>
        <v/>
      </c>
      <c r="C1631" s="42"/>
      <c r="D1631" s="4" t="str">
        <f>IF(E1631=$L1631,1,IF(E1631="","",0))</f>
        <v/>
      </c>
      <c r="E1631" s="14"/>
      <c r="F1631" s="4" t="str">
        <f>IF(G1631=$L1631,1,IF(G1631="","",0))</f>
        <v/>
      </c>
      <c r="G1631" s="14"/>
      <c r="H1631" s="6">
        <v>704</v>
      </c>
      <c r="I1631" s="15" t="s">
        <v>3120</v>
      </c>
      <c r="J1631" s="6" t="s">
        <v>3843</v>
      </c>
      <c r="K1631" s="6"/>
      <c r="L1631" s="6" t="s">
        <v>90</v>
      </c>
      <c r="M1631" s="6" t="s">
        <v>6813</v>
      </c>
      <c r="N1631" s="7">
        <f ca="1">RAND()</f>
        <v>1.2370976325081995E-2</v>
      </c>
      <c r="O1631" s="8">
        <v>45203</v>
      </c>
      <c r="P1631" s="8">
        <v>45204</v>
      </c>
      <c r="Q1631" s="8">
        <v>45206</v>
      </c>
      <c r="R1631" s="8">
        <v>45210</v>
      </c>
      <c r="S1631" s="8">
        <v>45217</v>
      </c>
      <c r="T1631" s="8">
        <v>45229</v>
      </c>
      <c r="U1631" s="8">
        <v>45827</v>
      </c>
      <c r="V1631" s="10">
        <f>COUNTA(O1631:U1631)</f>
        <v>7</v>
      </c>
      <c r="W1631" s="11">
        <f>_xlfn.IFNA(INDEX(reading[[#This Row],[Memo 01]:[Memo 07]],MATCH(0,reading[[#This Row],[Memo 01]:[Memo 07]],-1)),"")</f>
        <v>45827</v>
      </c>
      <c r="X1631" s="11">
        <f ca="1">IFERROR(reading[[#This Row],[Previous]]+OFFSET(reading[[#Headers],[Memo 01]],-1,MATCH(0,reading[[#This Row],[Memo 01]:[Memo 07]],-1)-1),"")</f>
        <v>55827</v>
      </c>
      <c r="Y1631" s="10" t="str">
        <f ca="1">IF(reading[[#This Row],[Next]]&lt;&gt;"",IF(reading[[#This Row],[Next]]&gt;TODAY(),"OK",""),"")</f>
        <v>OK</v>
      </c>
      <c r="Z1631" s="13">
        <v>3</v>
      </c>
      <c r="AA1631" s="13">
        <v>3</v>
      </c>
      <c r="AB1631" s="13">
        <v>3</v>
      </c>
      <c r="AC1631" s="13">
        <v>3</v>
      </c>
      <c r="AD1631" s="13">
        <v>3</v>
      </c>
      <c r="AE1631" s="13">
        <v>3</v>
      </c>
      <c r="AF1631" s="13">
        <v>3</v>
      </c>
      <c r="AG1631" s="16">
        <f>IFERROR(SUMIF(reading[[#This Row],[1st]:[7th]],"&gt;0")/COUNTIF(reading[[#This Row],[1st]:[7th]],"&gt;0"),"")</f>
        <v>3</v>
      </c>
    </row>
    <row r="1632" spans="1:33" hidden="1" x14ac:dyDescent="0.2">
      <c r="A1632" s="4">
        <f>IF(B1632=1,3,IF(D1632=1,2,IF(F1632=1,1,0)))</f>
        <v>0</v>
      </c>
      <c r="B1632" s="4" t="str">
        <f>IF(C1632=$L1632,1,IF(C1632="","",0))</f>
        <v/>
      </c>
      <c r="C1632" s="42"/>
      <c r="D1632" s="4" t="str">
        <f>IF(E1632=$L1632,1,IF(E1632="","",0))</f>
        <v/>
      </c>
      <c r="E1632" s="23"/>
      <c r="F1632" s="4" t="str">
        <f>IF(G1632=$L1632,1,IF(G1632="","",0))</f>
        <v/>
      </c>
      <c r="G1632" s="14"/>
      <c r="H1632" s="6">
        <v>2720</v>
      </c>
      <c r="I1632" s="15" t="s">
        <v>3120</v>
      </c>
      <c r="J1632" s="6" t="s">
        <v>5770</v>
      </c>
      <c r="K1632" s="6"/>
      <c r="L1632" s="6" t="s">
        <v>2758</v>
      </c>
      <c r="M1632" s="6" t="s">
        <v>8825</v>
      </c>
      <c r="N1632" s="7">
        <f ca="1">RAND()</f>
        <v>0.83425900819549459</v>
      </c>
      <c r="O1632" s="8">
        <v>45221</v>
      </c>
      <c r="P1632" s="8">
        <v>45222</v>
      </c>
      <c r="Q1632" s="8">
        <v>45224</v>
      </c>
      <c r="R1632" s="8">
        <v>45228</v>
      </c>
      <c r="S1632" s="8">
        <v>45235</v>
      </c>
      <c r="T1632" s="8">
        <v>45829</v>
      </c>
      <c r="U1632" s="8"/>
      <c r="V1632" s="10">
        <f>COUNTA(O1632:U1632)</f>
        <v>6</v>
      </c>
      <c r="W1632" s="11">
        <f>_xlfn.IFNA(INDEX(reading[[#This Row],[Memo 01]:[Memo 07]],MATCH(0,reading[[#This Row],[Memo 01]:[Memo 07]],-1)),"")</f>
        <v>45829</v>
      </c>
      <c r="X1632" s="11">
        <f ca="1">IFERROR(reading[[#This Row],[Previous]]+OFFSET(reading[[#Headers],[Memo 01]],-1,MATCH(0,reading[[#This Row],[Memo 01]:[Memo 07]],-1)-1),"")</f>
        <v>45849</v>
      </c>
      <c r="Y1632" s="10" t="str">
        <f ca="1">IF(reading[[#This Row],[Next]]&lt;&gt;"",IF(reading[[#This Row],[Next]]&gt;TODAY(),"OK",""),"")</f>
        <v>OK</v>
      </c>
      <c r="Z1632" s="13">
        <v>3</v>
      </c>
      <c r="AA1632" s="13">
        <v>3</v>
      </c>
      <c r="AB1632" s="13">
        <v>3</v>
      </c>
      <c r="AC1632" s="13">
        <v>3</v>
      </c>
      <c r="AD1632" s="13">
        <v>3</v>
      </c>
      <c r="AE1632" s="13">
        <v>2</v>
      </c>
      <c r="AF1632" s="13"/>
      <c r="AG1632" s="16">
        <f>IFERROR(SUMIF(reading[[#This Row],[1st]:[7th]],"&gt;0")/COUNTIF(reading[[#This Row],[1st]:[7th]],"&gt;0"),"")</f>
        <v>2.8333333333333335</v>
      </c>
    </row>
    <row r="1633" spans="1:33" hidden="1" x14ac:dyDescent="0.2">
      <c r="A1633" s="4">
        <f>IF(B1633=1,3,IF(D1633=1,2,IF(F1633=1,1,0)))</f>
        <v>0</v>
      </c>
      <c r="B1633" s="4" t="str">
        <f>IF(C1633=$L1633,1,IF(C1633="","",0))</f>
        <v/>
      </c>
      <c r="C1633" s="42"/>
      <c r="D1633" s="4" t="str">
        <f>IF(E1633=$L1633,1,IF(E1633="","",0))</f>
        <v/>
      </c>
      <c r="E1633" s="43"/>
      <c r="F1633" s="4" t="str">
        <f>IF(G1633=$L1633,1,IF(G1633="","",0))</f>
        <v/>
      </c>
      <c r="G1633" s="14"/>
      <c r="H1633" s="6">
        <v>2316</v>
      </c>
      <c r="I1633" s="15" t="s">
        <v>3120</v>
      </c>
      <c r="J1633" s="6" t="s">
        <v>5394</v>
      </c>
      <c r="K1633" s="6"/>
      <c r="L1633" s="6" t="s">
        <v>2372</v>
      </c>
      <c r="M1633" s="6" t="s">
        <v>8421</v>
      </c>
      <c r="N1633" s="7">
        <f ca="1">RAND()</f>
        <v>0.99845818460427105</v>
      </c>
      <c r="O1633" s="8">
        <v>45216</v>
      </c>
      <c r="P1633" s="8">
        <v>45217</v>
      </c>
      <c r="Q1633" s="8">
        <v>45219</v>
      </c>
      <c r="R1633" s="8">
        <v>45223</v>
      </c>
      <c r="S1633" s="8">
        <v>45230</v>
      </c>
      <c r="T1633" s="8">
        <v>45825</v>
      </c>
      <c r="U1633" s="8"/>
      <c r="V1633" s="10">
        <f>COUNTA(O1633:U1633)</f>
        <v>6</v>
      </c>
      <c r="W1633" s="11">
        <f>_xlfn.IFNA(INDEX(reading[[#This Row],[Memo 01]:[Memo 07]],MATCH(0,reading[[#This Row],[Memo 01]:[Memo 07]],-1)),"")</f>
        <v>45825</v>
      </c>
      <c r="X1633" s="11">
        <f ca="1">IFERROR(reading[[#This Row],[Previous]]+OFFSET(reading[[#Headers],[Memo 01]],-1,MATCH(0,reading[[#This Row],[Memo 01]:[Memo 07]],-1)-1),"")</f>
        <v>45845</v>
      </c>
      <c r="Y1633" s="10" t="str">
        <f ca="1">IF(reading[[#This Row],[Next]]&lt;&gt;"",IF(reading[[#This Row],[Next]]&gt;TODAY(),"OK",""),"")</f>
        <v>OK</v>
      </c>
      <c r="Z1633" s="13">
        <v>3</v>
      </c>
      <c r="AA1633" s="13">
        <v>3</v>
      </c>
      <c r="AB1633" s="13">
        <v>3</v>
      </c>
      <c r="AC1633" s="13">
        <v>3</v>
      </c>
      <c r="AD1633" s="13">
        <v>2</v>
      </c>
      <c r="AE1633" s="13">
        <v>2</v>
      </c>
      <c r="AF1633" s="13"/>
      <c r="AG1633" s="16">
        <f>IFERROR(SUMIF(reading[[#This Row],[1st]:[7th]],"&gt;0")/COUNTIF(reading[[#This Row],[1st]:[7th]],"&gt;0"),"")</f>
        <v>2.6666666666666665</v>
      </c>
    </row>
    <row r="1634" spans="1:33" hidden="1" x14ac:dyDescent="0.2">
      <c r="A1634" s="4">
        <f>IF(B1634=1,3,IF(D1634=1,2,IF(F1634=1,1,0)))</f>
        <v>0</v>
      </c>
      <c r="B1634" s="4" t="str">
        <f>IF(C1634=$L1634,1,IF(C1634="","",0))</f>
        <v/>
      </c>
      <c r="C1634" s="42"/>
      <c r="D1634" s="4" t="str">
        <f>IF(E1634=$L1634,1,IF(E1634="","",0))</f>
        <v/>
      </c>
      <c r="E1634" s="14"/>
      <c r="F1634" s="4" t="str">
        <f>IF(G1634=$L1634,1,IF(G1634="","",0))</f>
        <v/>
      </c>
      <c r="G1634" s="14"/>
      <c r="H1634" s="6">
        <v>1450</v>
      </c>
      <c r="I1634" s="15" t="s">
        <v>3120</v>
      </c>
      <c r="J1634" s="6" t="s">
        <v>4564</v>
      </c>
      <c r="K1634" s="6"/>
      <c r="L1634" s="6" t="s">
        <v>1539</v>
      </c>
      <c r="M1634" s="6" t="s">
        <v>7557</v>
      </c>
      <c r="N1634" s="7">
        <f ca="1">RAND()</f>
        <v>1.4264088925675211E-2</v>
      </c>
      <c r="O1634" s="8">
        <v>45208</v>
      </c>
      <c r="P1634" s="8">
        <v>45209</v>
      </c>
      <c r="Q1634" s="8">
        <v>45211</v>
      </c>
      <c r="R1634" s="8">
        <v>45215</v>
      </c>
      <c r="S1634" s="8">
        <v>45222</v>
      </c>
      <c r="T1634" s="8">
        <v>45234</v>
      </c>
      <c r="U1634" s="8">
        <v>45827</v>
      </c>
      <c r="V1634" s="10">
        <f>COUNTA(O1634:U1634)</f>
        <v>7</v>
      </c>
      <c r="W1634" s="11">
        <f>_xlfn.IFNA(INDEX(reading[[#This Row],[Memo 01]:[Memo 07]],MATCH(0,reading[[#This Row],[Memo 01]:[Memo 07]],-1)),"")</f>
        <v>45827</v>
      </c>
      <c r="X1634" s="11">
        <f ca="1">IFERROR(reading[[#This Row],[Previous]]+OFFSET(reading[[#Headers],[Memo 01]],-1,MATCH(0,reading[[#This Row],[Memo 01]:[Memo 07]],-1)-1),"")</f>
        <v>55827</v>
      </c>
      <c r="Y1634" s="10" t="str">
        <f ca="1">IF(reading[[#This Row],[Next]]&lt;&gt;"",IF(reading[[#This Row],[Next]]&gt;TODAY(),"OK",""),"")</f>
        <v>OK</v>
      </c>
      <c r="Z1634" s="13">
        <v>3</v>
      </c>
      <c r="AA1634" s="13">
        <v>3</v>
      </c>
      <c r="AB1634" s="13">
        <v>3</v>
      </c>
      <c r="AC1634" s="13">
        <v>3</v>
      </c>
      <c r="AD1634" s="13">
        <v>3</v>
      </c>
      <c r="AE1634" s="13">
        <v>3</v>
      </c>
      <c r="AF1634" s="13">
        <v>3</v>
      </c>
      <c r="AG1634" s="16">
        <f>IFERROR(SUMIF(reading[[#This Row],[1st]:[7th]],"&gt;0")/COUNTIF(reading[[#This Row],[1st]:[7th]],"&gt;0"),"")</f>
        <v>3</v>
      </c>
    </row>
    <row r="1635" spans="1:33" hidden="1" x14ac:dyDescent="0.2">
      <c r="A1635" s="4">
        <f>IF(B1635=1,3,IF(D1635=1,2,IF(F1635=1,1,0)))</f>
        <v>0</v>
      </c>
      <c r="B1635" s="4" t="str">
        <f>IF(C1635=$L1635,1,IF(C1635="","",0))</f>
        <v/>
      </c>
      <c r="C1635" s="42"/>
      <c r="D1635" s="4" t="str">
        <f>IF(E1635=$L1635,1,IF(E1635="","",0))</f>
        <v/>
      </c>
      <c r="E1635" s="14"/>
      <c r="F1635" s="4" t="str">
        <f>IF(G1635=$L1635,1,IF(G1635="","",0))</f>
        <v/>
      </c>
      <c r="G1635" s="14"/>
      <c r="H1635" s="6">
        <v>1032</v>
      </c>
      <c r="I1635" s="15" t="s">
        <v>3120</v>
      </c>
      <c r="J1635" s="6" t="s">
        <v>4159</v>
      </c>
      <c r="K1635" s="6"/>
      <c r="L1635" s="6" t="s">
        <v>1141</v>
      </c>
      <c r="M1635" s="6" t="s">
        <v>7140</v>
      </c>
      <c r="N1635" s="7">
        <f ca="1">RAND()</f>
        <v>0.35130387288876475</v>
      </c>
      <c r="O1635" s="8">
        <v>45205</v>
      </c>
      <c r="P1635" s="8">
        <v>45206</v>
      </c>
      <c r="Q1635" s="8">
        <v>45208</v>
      </c>
      <c r="R1635" s="8">
        <v>45212</v>
      </c>
      <c r="S1635" s="8">
        <v>45219</v>
      </c>
      <c r="T1635" s="8">
        <v>45231</v>
      </c>
      <c r="U1635" s="8">
        <v>45827</v>
      </c>
      <c r="V1635" s="10">
        <f>COUNTA(O1635:U1635)</f>
        <v>7</v>
      </c>
      <c r="W1635" s="11">
        <f>_xlfn.IFNA(INDEX(reading[[#This Row],[Memo 01]:[Memo 07]],MATCH(0,reading[[#This Row],[Memo 01]:[Memo 07]],-1)),"")</f>
        <v>45827</v>
      </c>
      <c r="X1635" s="11">
        <f ca="1">IFERROR(reading[[#This Row],[Previous]]+OFFSET(reading[[#Headers],[Memo 01]],-1,MATCH(0,reading[[#This Row],[Memo 01]:[Memo 07]],-1)-1),"")</f>
        <v>55827</v>
      </c>
      <c r="Y1635" s="10" t="str">
        <f ca="1">IF(reading[[#This Row],[Next]]&lt;&gt;"",IF(reading[[#This Row],[Next]]&gt;TODAY(),"OK",""),"")</f>
        <v>OK</v>
      </c>
      <c r="Z1635" s="13">
        <v>3</v>
      </c>
      <c r="AA1635" s="13">
        <v>3</v>
      </c>
      <c r="AB1635" s="13">
        <v>3</v>
      </c>
      <c r="AC1635" s="13">
        <v>3</v>
      </c>
      <c r="AD1635" s="13">
        <v>3</v>
      </c>
      <c r="AE1635" s="13">
        <v>3</v>
      </c>
      <c r="AF1635" s="13">
        <v>3</v>
      </c>
      <c r="AG1635" s="16">
        <f>IFERROR(SUMIF(reading[[#This Row],[1st]:[7th]],"&gt;0")/COUNTIF(reading[[#This Row],[1st]:[7th]],"&gt;0"),"")</f>
        <v>3</v>
      </c>
    </row>
    <row r="1636" spans="1:33" hidden="1" x14ac:dyDescent="0.2">
      <c r="A1636" s="4">
        <f>IF(B1636=1,3,IF(D1636=1,2,IF(F1636=1,1,0)))</f>
        <v>0</v>
      </c>
      <c r="B1636" s="4" t="str">
        <f>IF(C1636=$L1636,1,IF(C1636="","",0))</f>
        <v/>
      </c>
      <c r="C1636" s="42"/>
      <c r="D1636" s="4" t="str">
        <f>IF(E1636=$L1636,1,IF(E1636="","",0))</f>
        <v/>
      </c>
      <c r="E1636" s="43"/>
      <c r="F1636" s="4" t="str">
        <f>IF(G1636=$L1636,1,IF(G1636="","",0))</f>
        <v/>
      </c>
      <c r="G1636" s="14"/>
      <c r="H1636" s="6">
        <v>2196</v>
      </c>
      <c r="I1636" s="15" t="s">
        <v>3120</v>
      </c>
      <c r="J1636" s="6" t="s">
        <v>5282</v>
      </c>
      <c r="K1636" s="6"/>
      <c r="L1636" s="6" t="s">
        <v>2259</v>
      </c>
      <c r="M1636" s="6" t="s">
        <v>8302</v>
      </c>
      <c r="N1636" s="7">
        <f ca="1">RAND()</f>
        <v>0.30538819481942314</v>
      </c>
      <c r="O1636" s="8">
        <v>45214</v>
      </c>
      <c r="P1636" s="8">
        <v>45215</v>
      </c>
      <c r="Q1636" s="8">
        <v>45217</v>
      </c>
      <c r="R1636" s="8">
        <v>45221</v>
      </c>
      <c r="S1636" s="8">
        <v>45228</v>
      </c>
      <c r="T1636" s="8">
        <v>45251</v>
      </c>
      <c r="U1636" s="8">
        <v>45816</v>
      </c>
      <c r="V1636" s="10">
        <f>COUNTA(O1636:U1636)</f>
        <v>7</v>
      </c>
      <c r="W1636" s="11">
        <f>_xlfn.IFNA(INDEX(reading[[#This Row],[Memo 01]:[Memo 07]],MATCH(0,reading[[#This Row],[Memo 01]:[Memo 07]],-1)),"")</f>
        <v>45816</v>
      </c>
      <c r="X1636" s="11">
        <f ca="1">IFERROR(reading[[#This Row],[Previous]]+OFFSET(reading[[#Headers],[Memo 01]],-1,MATCH(0,reading[[#This Row],[Memo 01]:[Memo 07]],-1)-1),"")</f>
        <v>55816</v>
      </c>
      <c r="Y1636" s="10" t="str">
        <f ca="1">IF(reading[[#This Row],[Next]]&lt;&gt;"",IF(reading[[#This Row],[Next]]&gt;TODAY(),"OK",""),"")</f>
        <v>OK</v>
      </c>
      <c r="Z1636" s="13">
        <v>3</v>
      </c>
      <c r="AA1636" s="13">
        <v>2</v>
      </c>
      <c r="AB1636" s="13">
        <v>3</v>
      </c>
      <c r="AC1636" s="13">
        <v>2</v>
      </c>
      <c r="AD1636" s="13">
        <v>3</v>
      </c>
      <c r="AE1636" s="13">
        <v>3</v>
      </c>
      <c r="AF1636" s="13">
        <v>2</v>
      </c>
      <c r="AG1636" s="16">
        <f>IFERROR(SUMIF(reading[[#This Row],[1st]:[7th]],"&gt;0")/COUNTIF(reading[[#This Row],[1st]:[7th]],"&gt;0"),"")</f>
        <v>2.5714285714285716</v>
      </c>
    </row>
    <row r="1637" spans="1:33" hidden="1" x14ac:dyDescent="0.2">
      <c r="A1637" s="4">
        <f>IF(B1637=1,3,IF(D1637=1,2,IF(F1637=1,1,0)))</f>
        <v>0</v>
      </c>
      <c r="B1637" s="4" t="str">
        <f>IF(C1637=$L1637,1,IF(C1637="","",0))</f>
        <v/>
      </c>
      <c r="C1637" s="42"/>
      <c r="D1637" s="4" t="str">
        <f>IF(E1637=$L1637,1,IF(E1637="","",0))</f>
        <v/>
      </c>
      <c r="E1637" s="14"/>
      <c r="F1637" s="4" t="str">
        <f>IF(G1637=$L1637,1,IF(G1637="","",0))</f>
        <v/>
      </c>
      <c r="G1637" s="14"/>
      <c r="H1637" s="6">
        <v>1173</v>
      </c>
      <c r="I1637" s="15" t="s">
        <v>3120</v>
      </c>
      <c r="J1637" s="6" t="s">
        <v>4292</v>
      </c>
      <c r="K1637" s="6"/>
      <c r="L1637" s="6" t="s">
        <v>1275</v>
      </c>
      <c r="M1637" s="6" t="s">
        <v>7281</v>
      </c>
      <c r="N1637" s="7">
        <f ca="1">RAND()</f>
        <v>8.9570830628359133E-2</v>
      </c>
      <c r="O1637" s="8">
        <v>45206</v>
      </c>
      <c r="P1637" s="8">
        <v>45207</v>
      </c>
      <c r="Q1637" s="8">
        <v>45209</v>
      </c>
      <c r="R1637" s="8">
        <v>45213</v>
      </c>
      <c r="S1637" s="8">
        <v>45220</v>
      </c>
      <c r="T1637" s="8">
        <v>45232</v>
      </c>
      <c r="U1637" s="8">
        <v>45827</v>
      </c>
      <c r="V1637" s="10">
        <f>COUNTA(O1637:U1637)</f>
        <v>7</v>
      </c>
      <c r="W1637" s="11">
        <f>_xlfn.IFNA(INDEX(reading[[#This Row],[Memo 01]:[Memo 07]],MATCH(0,reading[[#This Row],[Memo 01]:[Memo 07]],-1)),"")</f>
        <v>45827</v>
      </c>
      <c r="X1637" s="11">
        <f ca="1">IFERROR(reading[[#This Row],[Previous]]+OFFSET(reading[[#Headers],[Memo 01]],-1,MATCH(0,reading[[#This Row],[Memo 01]:[Memo 07]],-1)-1),"")</f>
        <v>55827</v>
      </c>
      <c r="Y1637" s="10" t="str">
        <f ca="1">IF(reading[[#This Row],[Next]]&lt;&gt;"",IF(reading[[#This Row],[Next]]&gt;TODAY(),"OK",""),"")</f>
        <v>OK</v>
      </c>
      <c r="Z1637" s="13">
        <v>3</v>
      </c>
      <c r="AA1637" s="13">
        <v>3</v>
      </c>
      <c r="AB1637" s="13">
        <v>3</v>
      </c>
      <c r="AC1637" s="13">
        <v>3</v>
      </c>
      <c r="AD1637" s="13">
        <v>3</v>
      </c>
      <c r="AE1637" s="13">
        <v>3</v>
      </c>
      <c r="AF1637" s="13">
        <v>3</v>
      </c>
      <c r="AG1637" s="16">
        <f>IFERROR(SUMIF(reading[[#This Row],[1st]:[7th]],"&gt;0")/COUNTIF(reading[[#This Row],[1st]:[7th]],"&gt;0"),"")</f>
        <v>3</v>
      </c>
    </row>
    <row r="1638" spans="1:33" hidden="1" x14ac:dyDescent="0.2">
      <c r="A1638" s="4">
        <f>IF(B1638=1,3,IF(D1638=1,2,IF(F1638=1,1,0)))</f>
        <v>0</v>
      </c>
      <c r="B1638" s="4" t="str">
        <f>IF(C1638=$L1638,1,IF(C1638="","",0))</f>
        <v/>
      </c>
      <c r="C1638" s="42"/>
      <c r="D1638" s="4" t="str">
        <f>IF(E1638=$L1638,1,IF(E1638="","",0))</f>
        <v/>
      </c>
      <c r="E1638" s="18"/>
      <c r="F1638" s="4" t="str">
        <f>IF(G1638=$L1638,1,IF(G1638="","",0))</f>
        <v/>
      </c>
      <c r="G1638" s="14"/>
      <c r="H1638" s="6">
        <v>1674</v>
      </c>
      <c r="I1638" s="15" t="s">
        <v>3120</v>
      </c>
      <c r="J1638" s="6" t="s">
        <v>4785</v>
      </c>
      <c r="K1638" s="6"/>
      <c r="L1638" s="6" t="s">
        <v>1754</v>
      </c>
      <c r="M1638" s="6" t="s">
        <v>7780</v>
      </c>
      <c r="N1638" s="7">
        <f ca="1">RAND()</f>
        <v>0.58394845107498172</v>
      </c>
      <c r="O1638" s="8">
        <v>45210</v>
      </c>
      <c r="P1638" s="8">
        <v>45212</v>
      </c>
      <c r="Q1638" s="8">
        <v>45214</v>
      </c>
      <c r="R1638" s="8">
        <v>45218</v>
      </c>
      <c r="S1638" s="8">
        <v>45225</v>
      </c>
      <c r="T1638" s="8">
        <v>45237</v>
      </c>
      <c r="U1638" s="8">
        <v>45827</v>
      </c>
      <c r="V1638" s="10">
        <f>COUNTA(O1638:U1638)</f>
        <v>7</v>
      </c>
      <c r="W1638" s="11">
        <f>_xlfn.IFNA(INDEX(reading[[#This Row],[Memo 01]:[Memo 07]],MATCH(0,reading[[#This Row],[Memo 01]:[Memo 07]],-1)),"")</f>
        <v>45827</v>
      </c>
      <c r="X1638" s="11">
        <f ca="1">IFERROR(reading[[#This Row],[Previous]]+OFFSET(reading[[#Headers],[Memo 01]],-1,MATCH(0,reading[[#This Row],[Memo 01]:[Memo 07]],-1)-1),"")</f>
        <v>55827</v>
      </c>
      <c r="Y1638" s="10" t="str">
        <f ca="1">IF(reading[[#This Row],[Next]]&lt;&gt;"",IF(reading[[#This Row],[Next]]&gt;TODAY(),"OK",""),"")</f>
        <v>OK</v>
      </c>
      <c r="Z1638" s="13">
        <v>3</v>
      </c>
      <c r="AA1638" s="13">
        <v>2</v>
      </c>
      <c r="AB1638" s="13">
        <v>2</v>
      </c>
      <c r="AC1638" s="13">
        <v>3</v>
      </c>
      <c r="AD1638" s="13">
        <v>3</v>
      </c>
      <c r="AE1638" s="13">
        <v>3</v>
      </c>
      <c r="AF1638" s="13">
        <v>3</v>
      </c>
      <c r="AG1638" s="16">
        <f>IFERROR(SUMIF(reading[[#This Row],[1st]:[7th]],"&gt;0")/COUNTIF(reading[[#This Row],[1st]:[7th]],"&gt;0"),"")</f>
        <v>2.7142857142857144</v>
      </c>
    </row>
    <row r="1639" spans="1:33" hidden="1" x14ac:dyDescent="0.2">
      <c r="A1639" s="4">
        <f>IF(B1639=1,3,IF(D1639=1,2,IF(F1639=1,1,0)))</f>
        <v>0</v>
      </c>
      <c r="B1639" s="4" t="str">
        <f>IF(C1639=$L1639,1,IF(C1639="","",0))</f>
        <v/>
      </c>
      <c r="C1639" s="42"/>
      <c r="D1639" s="4" t="str">
        <f>IF(E1639=$L1639,1,IF(E1639="","",0))</f>
        <v/>
      </c>
      <c r="E1639" s="23"/>
      <c r="F1639" s="4" t="str">
        <f>IF(G1639=$L1639,1,IF(G1639="","",0))</f>
        <v/>
      </c>
      <c r="G1639" s="14"/>
      <c r="H1639" s="6">
        <v>1646</v>
      </c>
      <c r="I1639" s="15" t="s">
        <v>3120</v>
      </c>
      <c r="J1639" s="6" t="s">
        <v>4758</v>
      </c>
      <c r="K1639" s="6"/>
      <c r="L1639" s="6" t="s">
        <v>1727</v>
      </c>
      <c r="M1639" s="6" t="s">
        <v>7752</v>
      </c>
      <c r="N1639" s="7">
        <f ca="1">RAND()</f>
        <v>0.80090100550756105</v>
      </c>
      <c r="O1639" s="8">
        <v>45210</v>
      </c>
      <c r="P1639" s="8">
        <v>45211</v>
      </c>
      <c r="Q1639" s="8">
        <v>45213</v>
      </c>
      <c r="R1639" s="8">
        <v>45217</v>
      </c>
      <c r="S1639" s="8">
        <v>45224</v>
      </c>
      <c r="T1639" s="8">
        <v>45236</v>
      </c>
      <c r="U1639" s="8">
        <v>45816</v>
      </c>
      <c r="V1639" s="10">
        <f>COUNTA(O1639:U1639)</f>
        <v>7</v>
      </c>
      <c r="W1639" s="11">
        <f>_xlfn.IFNA(INDEX(reading[[#This Row],[Memo 01]:[Memo 07]],MATCH(0,reading[[#This Row],[Memo 01]:[Memo 07]],-1)),"")</f>
        <v>45816</v>
      </c>
      <c r="X1639" s="11">
        <f ca="1">IFERROR(reading[[#This Row],[Previous]]+OFFSET(reading[[#Headers],[Memo 01]],-1,MATCH(0,reading[[#This Row],[Memo 01]:[Memo 07]],-1)-1),"")</f>
        <v>55816</v>
      </c>
      <c r="Y1639" s="10" t="str">
        <f ca="1">IF(reading[[#This Row],[Next]]&lt;&gt;"",IF(reading[[#This Row],[Next]]&gt;TODAY(),"OK",""),"")</f>
        <v>OK</v>
      </c>
      <c r="Z1639" s="13">
        <v>3</v>
      </c>
      <c r="AA1639" s="13">
        <v>3</v>
      </c>
      <c r="AB1639" s="13">
        <v>3</v>
      </c>
      <c r="AC1639" s="13">
        <v>3</v>
      </c>
      <c r="AD1639" s="13">
        <v>3</v>
      </c>
      <c r="AE1639" s="13">
        <v>3</v>
      </c>
      <c r="AF1639" s="13">
        <v>2</v>
      </c>
      <c r="AG1639" s="16">
        <f>IFERROR(SUMIF(reading[[#This Row],[1st]:[7th]],"&gt;0")/COUNTIF(reading[[#This Row],[1st]:[7th]],"&gt;0"),"")</f>
        <v>2.8571428571428572</v>
      </c>
    </row>
    <row r="1640" spans="1:33" hidden="1" x14ac:dyDescent="0.2">
      <c r="A1640" s="4">
        <f>IF(B1640=1,3,IF(D1640=1,2,IF(F1640=1,1,0)))</f>
        <v>0</v>
      </c>
      <c r="B1640" s="4" t="str">
        <f>IF(C1640=$L1640,1,IF(C1640="","",0))</f>
        <v/>
      </c>
      <c r="C1640" s="42"/>
      <c r="D1640" s="4" t="str">
        <f>IF(E1640=$L1640,1,IF(E1640="","",0))</f>
        <v/>
      </c>
      <c r="E1640" s="18"/>
      <c r="F1640" s="4" t="str">
        <f>IF(G1640=$L1640,1,IF(G1640="","",0))</f>
        <v/>
      </c>
      <c r="G1640" s="14"/>
      <c r="H1640" s="6">
        <v>1102</v>
      </c>
      <c r="I1640" s="15" t="s">
        <v>3120</v>
      </c>
      <c r="J1640" s="6" t="s">
        <v>4226</v>
      </c>
      <c r="K1640" s="6"/>
      <c r="L1640" s="6" t="s">
        <v>1208</v>
      </c>
      <c r="M1640" s="6" t="s">
        <v>7210</v>
      </c>
      <c r="N1640" s="7">
        <f ca="1">RAND()</f>
        <v>0.31784373118972042</v>
      </c>
      <c r="O1640" s="8">
        <v>45205</v>
      </c>
      <c r="P1640" s="8">
        <v>45206</v>
      </c>
      <c r="Q1640" s="8">
        <v>45208</v>
      </c>
      <c r="R1640" s="8">
        <v>45212</v>
      </c>
      <c r="S1640" s="8">
        <v>45219</v>
      </c>
      <c r="T1640" s="8">
        <v>45231</v>
      </c>
      <c r="U1640" s="8">
        <v>45827</v>
      </c>
      <c r="V1640" s="10">
        <f>COUNTA(O1640:U1640)</f>
        <v>7</v>
      </c>
      <c r="W1640" s="11">
        <f>_xlfn.IFNA(INDEX(reading[[#This Row],[Memo 01]:[Memo 07]],MATCH(0,reading[[#This Row],[Memo 01]:[Memo 07]],-1)),"")</f>
        <v>45827</v>
      </c>
      <c r="X1640" s="11">
        <f ca="1">IFERROR(reading[[#This Row],[Previous]]+OFFSET(reading[[#Headers],[Memo 01]],-1,MATCH(0,reading[[#This Row],[Memo 01]:[Memo 07]],-1)-1),"")</f>
        <v>55827</v>
      </c>
      <c r="Y1640" s="10" t="str">
        <f ca="1">IF(reading[[#This Row],[Next]]&lt;&gt;"",IF(reading[[#This Row],[Next]]&gt;TODAY(),"OK",""),"")</f>
        <v>OK</v>
      </c>
      <c r="Z1640" s="13">
        <v>3</v>
      </c>
      <c r="AA1640" s="13">
        <v>3</v>
      </c>
      <c r="AB1640" s="13">
        <v>3</v>
      </c>
      <c r="AC1640" s="13">
        <v>3</v>
      </c>
      <c r="AD1640" s="13">
        <v>2</v>
      </c>
      <c r="AE1640" s="13">
        <v>3</v>
      </c>
      <c r="AF1640" s="13">
        <v>3</v>
      </c>
      <c r="AG1640" s="16">
        <f>IFERROR(SUMIF(reading[[#This Row],[1st]:[7th]],"&gt;0")/COUNTIF(reading[[#This Row],[1st]:[7th]],"&gt;0"),"")</f>
        <v>2.8571428571428572</v>
      </c>
    </row>
    <row r="1641" spans="1:33" hidden="1" x14ac:dyDescent="0.2">
      <c r="A1641" s="4">
        <f>IF(B1641=1,3,IF(D1641=1,2,IF(F1641=1,1,0)))</f>
        <v>0</v>
      </c>
      <c r="B1641" s="4" t="str">
        <f>IF(C1641=$L1641,1,IF(C1641="","",0))</f>
        <v/>
      </c>
      <c r="C1641" s="42"/>
      <c r="D1641" s="4" t="str">
        <f>IF(E1641=$L1641,1,IF(E1641="","",0))</f>
        <v/>
      </c>
      <c r="E1641" s="43"/>
      <c r="F1641" s="4" t="str">
        <f>IF(G1641=$L1641,1,IF(G1641="","",0))</f>
        <v/>
      </c>
      <c r="G1641" s="14"/>
      <c r="H1641" s="6">
        <v>334</v>
      </c>
      <c r="I1641" s="15" t="s">
        <v>3120</v>
      </c>
      <c r="J1641" s="6" t="s">
        <v>3481</v>
      </c>
      <c r="K1641" s="15" t="s">
        <v>3138</v>
      </c>
      <c r="L1641" s="6" t="s">
        <v>469</v>
      </c>
      <c r="M1641" s="6" t="s">
        <v>6443</v>
      </c>
      <c r="N1641" s="7">
        <f ca="1">RAND()</f>
        <v>0.228060393486192</v>
      </c>
      <c r="O1641" s="8">
        <v>45200</v>
      </c>
      <c r="P1641" s="8">
        <v>45201</v>
      </c>
      <c r="Q1641" s="8">
        <v>45203</v>
      </c>
      <c r="R1641" s="8">
        <v>45207</v>
      </c>
      <c r="S1641" s="8">
        <v>45214</v>
      </c>
      <c r="T1641" s="8">
        <v>45226</v>
      </c>
      <c r="U1641" s="8">
        <v>45829</v>
      </c>
      <c r="V1641" s="10">
        <f>COUNTA(O1641:U1641)</f>
        <v>7</v>
      </c>
      <c r="W1641" s="11">
        <f>_xlfn.IFNA(INDEX(reading[[#This Row],[Memo 01]:[Memo 07]],MATCH(0,reading[[#This Row],[Memo 01]:[Memo 07]],-1)),"")</f>
        <v>45829</v>
      </c>
      <c r="X1641" s="11">
        <f ca="1">IFERROR(reading[[#This Row],[Previous]]+OFFSET(reading[[#Headers],[Memo 01]],-1,MATCH(0,reading[[#This Row],[Memo 01]:[Memo 07]],-1)-1),"")</f>
        <v>55829</v>
      </c>
      <c r="Y1641" s="10" t="str">
        <f ca="1">IF(reading[[#This Row],[Next]]&lt;&gt;"",IF(reading[[#This Row],[Next]]&gt;TODAY(),"OK",""),"")</f>
        <v>OK</v>
      </c>
      <c r="Z1641" s="13">
        <v>3</v>
      </c>
      <c r="AA1641" s="13">
        <v>3</v>
      </c>
      <c r="AB1641" s="13">
        <v>3</v>
      </c>
      <c r="AC1641" s="13">
        <v>3</v>
      </c>
      <c r="AD1641" s="13">
        <v>3</v>
      </c>
      <c r="AE1641" s="13">
        <v>2</v>
      </c>
      <c r="AF1641" s="13">
        <v>2</v>
      </c>
      <c r="AG1641" s="16">
        <f>IFERROR(SUMIF(reading[[#This Row],[1st]:[7th]],"&gt;0")/COUNTIF(reading[[#This Row],[1st]:[7th]],"&gt;0"),"")</f>
        <v>2.7142857142857144</v>
      </c>
    </row>
    <row r="1642" spans="1:33" hidden="1" x14ac:dyDescent="0.2">
      <c r="A1642" s="4">
        <f>IF(B1642=1,3,IF(D1642=1,2,IF(F1642=1,1,0)))</f>
        <v>0</v>
      </c>
      <c r="B1642" s="4" t="str">
        <f>IF(C1642=$L1642,1,IF(C1642="","",0))</f>
        <v/>
      </c>
      <c r="C1642" s="42"/>
      <c r="D1642" s="4" t="str">
        <f>IF(E1642=$L1642,1,IF(E1642="","",0))</f>
        <v/>
      </c>
      <c r="E1642" s="14"/>
      <c r="F1642" s="4" t="str">
        <f>IF(G1642=$L1642,1,IF(G1642="","",0))</f>
        <v/>
      </c>
      <c r="G1642" s="14"/>
      <c r="H1642" s="6">
        <v>1678</v>
      </c>
      <c r="I1642" s="15" t="s">
        <v>3120</v>
      </c>
      <c r="J1642" s="6" t="s">
        <v>4789</v>
      </c>
      <c r="K1642" s="6"/>
      <c r="L1642" s="6" t="s">
        <v>1758</v>
      </c>
      <c r="M1642" s="6" t="s">
        <v>7784</v>
      </c>
      <c r="N1642" s="7">
        <f ca="1">RAND()</f>
        <v>0.37562598860751839</v>
      </c>
      <c r="O1642" s="8">
        <v>45210</v>
      </c>
      <c r="P1642" s="8">
        <v>45211</v>
      </c>
      <c r="Q1642" s="8">
        <v>45213</v>
      </c>
      <c r="R1642" s="8">
        <v>45217</v>
      </c>
      <c r="S1642" s="8">
        <v>45224</v>
      </c>
      <c r="T1642" s="8">
        <v>45236</v>
      </c>
      <c r="U1642" s="8">
        <v>45827</v>
      </c>
      <c r="V1642" s="10">
        <f>COUNTA(O1642:U1642)</f>
        <v>7</v>
      </c>
      <c r="W1642" s="11">
        <f>_xlfn.IFNA(INDEX(reading[[#This Row],[Memo 01]:[Memo 07]],MATCH(0,reading[[#This Row],[Memo 01]:[Memo 07]],-1)),"")</f>
        <v>45827</v>
      </c>
      <c r="X1642" s="11">
        <f ca="1">IFERROR(reading[[#This Row],[Previous]]+OFFSET(reading[[#Headers],[Memo 01]],-1,MATCH(0,reading[[#This Row],[Memo 01]:[Memo 07]],-1)-1),"")</f>
        <v>55827</v>
      </c>
      <c r="Y1642" s="10" t="str">
        <f ca="1">IF(reading[[#This Row],[Next]]&lt;&gt;"",IF(reading[[#This Row],[Next]]&gt;TODAY(),"OK",""),"")</f>
        <v>OK</v>
      </c>
      <c r="Z1642" s="13">
        <v>3</v>
      </c>
      <c r="AA1642" s="13">
        <v>3</v>
      </c>
      <c r="AB1642" s="13">
        <v>3</v>
      </c>
      <c r="AC1642" s="13">
        <v>3</v>
      </c>
      <c r="AD1642" s="13">
        <v>3</v>
      </c>
      <c r="AE1642" s="13">
        <v>3</v>
      </c>
      <c r="AF1642" s="13">
        <v>3</v>
      </c>
      <c r="AG1642" s="16">
        <f>IFERROR(SUMIF(reading[[#This Row],[1st]:[7th]],"&gt;0")/COUNTIF(reading[[#This Row],[1st]:[7th]],"&gt;0"),"")</f>
        <v>3</v>
      </c>
    </row>
    <row r="1643" spans="1:33" hidden="1" x14ac:dyDescent="0.2">
      <c r="A1643" s="4">
        <f>IF(B1643=1,3,IF(D1643=1,2,IF(F1643=1,1,0)))</f>
        <v>0</v>
      </c>
      <c r="B1643" s="4">
        <f>IF(C1643=$L1643,1,IF(C1643="","",0))</f>
        <v>0</v>
      </c>
      <c r="C1643" s="42" t="s">
        <v>9200</v>
      </c>
      <c r="D1643" s="4">
        <f>IF(E1643=$L1643,1,IF(E1643="","",0))</f>
        <v>0</v>
      </c>
      <c r="E1643" s="43" t="s">
        <v>9276</v>
      </c>
      <c r="F1643" s="4" t="str">
        <f>IF(G1643=$L1643,1,IF(G1643="","",0))</f>
        <v/>
      </c>
      <c r="G1643" s="14"/>
      <c r="H1643" s="6">
        <v>1472</v>
      </c>
      <c r="I1643" s="15" t="s">
        <v>3120</v>
      </c>
      <c r="J1643" s="6" t="s">
        <v>4586</v>
      </c>
      <c r="K1643" s="6"/>
      <c r="L1643" s="6" t="s">
        <v>1559</v>
      </c>
      <c r="M1643" s="6" t="s">
        <v>7579</v>
      </c>
      <c r="N1643" s="7">
        <f ca="1">RAND()</f>
        <v>0.88138039289507264</v>
      </c>
      <c r="O1643" s="8">
        <v>45208</v>
      </c>
      <c r="P1643" s="8">
        <v>45209</v>
      </c>
      <c r="Q1643" s="8">
        <v>45211</v>
      </c>
      <c r="R1643" s="8">
        <v>45215</v>
      </c>
      <c r="S1643" s="8">
        <v>45222</v>
      </c>
      <c r="T1643" s="8">
        <v>45235</v>
      </c>
      <c r="U1643" s="8"/>
      <c r="V1643" s="10">
        <f>COUNTA(O1643:U1643)</f>
        <v>6</v>
      </c>
      <c r="W1643" s="11">
        <f>_xlfn.IFNA(INDEX(reading[[#This Row],[Memo 01]:[Memo 07]],MATCH(0,reading[[#This Row],[Memo 01]:[Memo 07]],-1)),"")</f>
        <v>45235</v>
      </c>
      <c r="X1643" s="11">
        <f ca="1">IFERROR(reading[[#This Row],[Previous]]+OFFSET(reading[[#Headers],[Memo 01]],-1,MATCH(0,reading[[#This Row],[Memo 01]:[Memo 07]],-1)-1),"")</f>
        <v>45255</v>
      </c>
      <c r="Y1643" s="10" t="str">
        <f ca="1">IF(reading[[#This Row],[Next]]&lt;&gt;"",IF(reading[[#This Row],[Next]]&gt;TODAY(),"OK",""),"")</f>
        <v/>
      </c>
      <c r="Z1643" s="13">
        <v>3</v>
      </c>
      <c r="AA1643" s="13">
        <v>3</v>
      </c>
      <c r="AB1643" s="13">
        <v>3</v>
      </c>
      <c r="AC1643" s="13">
        <v>2</v>
      </c>
      <c r="AD1643" s="13">
        <v>2</v>
      </c>
      <c r="AE1643" s="13">
        <v>2</v>
      </c>
      <c r="AF1643" s="13"/>
      <c r="AG1643" s="16">
        <f>IFERROR(SUMIF(reading[[#This Row],[1st]:[7th]],"&gt;0")/COUNTIF(reading[[#This Row],[1st]:[7th]],"&gt;0"),"")</f>
        <v>2.5</v>
      </c>
    </row>
    <row r="1644" spans="1:33" hidden="1" x14ac:dyDescent="0.2">
      <c r="A1644" s="4">
        <f>IF(B1644=1,3,IF(D1644=1,2,IF(F1644=1,1,0)))</f>
        <v>0</v>
      </c>
      <c r="B1644" s="4" t="str">
        <f>IF(C1644=$L1644,1,IF(C1644="","",0))</f>
        <v/>
      </c>
      <c r="C1644" s="42"/>
      <c r="D1644" s="4" t="str">
        <f>IF(E1644=$L1644,1,IF(E1644="","",0))</f>
        <v/>
      </c>
      <c r="E1644" s="23"/>
      <c r="F1644" s="4" t="str">
        <f>IF(G1644=$L1644,1,IF(G1644="","",0))</f>
        <v/>
      </c>
      <c r="G1644" s="14"/>
      <c r="H1644" s="6">
        <v>2474</v>
      </c>
      <c r="I1644" s="15" t="s">
        <v>3120</v>
      </c>
      <c r="J1644" s="6" t="s">
        <v>5542</v>
      </c>
      <c r="K1644" s="6"/>
      <c r="L1644" s="6" t="s">
        <v>2522</v>
      </c>
      <c r="M1644" s="6" t="s">
        <v>8579</v>
      </c>
      <c r="N1644" s="7">
        <f ca="1">RAND()</f>
        <v>0.91104109780038545</v>
      </c>
      <c r="O1644" s="8">
        <v>45218</v>
      </c>
      <c r="P1644" s="8">
        <v>45219</v>
      </c>
      <c r="Q1644" s="8">
        <v>45221</v>
      </c>
      <c r="R1644" s="8">
        <v>45225</v>
      </c>
      <c r="S1644" s="8">
        <v>45232</v>
      </c>
      <c r="T1644" s="8">
        <v>45816</v>
      </c>
      <c r="U1644" s="8"/>
      <c r="V1644" s="10">
        <f>COUNTA(O1644:U1644)</f>
        <v>6</v>
      </c>
      <c r="W1644" s="11">
        <f>_xlfn.IFNA(INDEX(reading[[#This Row],[Memo 01]:[Memo 07]],MATCH(0,reading[[#This Row],[Memo 01]:[Memo 07]],-1)),"")</f>
        <v>45816</v>
      </c>
      <c r="X1644" s="11">
        <f ca="1">IFERROR(reading[[#This Row],[Previous]]+OFFSET(reading[[#Headers],[Memo 01]],-1,MATCH(0,reading[[#This Row],[Memo 01]:[Memo 07]],-1)-1),"")</f>
        <v>45836</v>
      </c>
      <c r="Y1644" s="10" t="str">
        <f ca="1">IF(reading[[#This Row],[Next]]&lt;&gt;"",IF(reading[[#This Row],[Next]]&gt;TODAY(),"OK",""),"")</f>
        <v>OK</v>
      </c>
      <c r="Z1644" s="13">
        <v>3</v>
      </c>
      <c r="AA1644" s="13">
        <v>3</v>
      </c>
      <c r="AB1644" s="13">
        <v>3</v>
      </c>
      <c r="AC1644" s="13">
        <v>3</v>
      </c>
      <c r="AD1644" s="13">
        <v>3</v>
      </c>
      <c r="AE1644" s="13">
        <v>2</v>
      </c>
      <c r="AF1644" s="13"/>
      <c r="AG1644" s="16">
        <f>IFERROR(SUMIF(reading[[#This Row],[1st]:[7th]],"&gt;0")/COUNTIF(reading[[#This Row],[1st]:[7th]],"&gt;0"),"")</f>
        <v>2.8333333333333335</v>
      </c>
    </row>
    <row r="1645" spans="1:33" hidden="1" x14ac:dyDescent="0.2">
      <c r="A1645" s="4">
        <f>IF(B1645=1,3,IF(D1645=1,2,IF(F1645=1,1,0)))</f>
        <v>0</v>
      </c>
      <c r="B1645" s="4" t="str">
        <f>IF(C1645=$L1645,1,IF(C1645="","",0))</f>
        <v/>
      </c>
      <c r="C1645" s="42"/>
      <c r="D1645" s="4" t="str">
        <f>IF(E1645=$L1645,1,IF(E1645="","",0))</f>
        <v/>
      </c>
      <c r="E1645" s="14"/>
      <c r="F1645" s="4" t="str">
        <f>IF(G1645=$L1645,1,IF(G1645="","",0))</f>
        <v/>
      </c>
      <c r="G1645" s="14"/>
      <c r="H1645" s="6">
        <v>2173</v>
      </c>
      <c r="I1645" s="15" t="s">
        <v>3120</v>
      </c>
      <c r="J1645" s="6" t="s">
        <v>5261</v>
      </c>
      <c r="K1645" s="6"/>
      <c r="L1645" s="6" t="s">
        <v>2239</v>
      </c>
      <c r="M1645" s="6" t="s">
        <v>8279</v>
      </c>
      <c r="N1645" s="7">
        <f ca="1">RAND()</f>
        <v>0.13556554511248997</v>
      </c>
      <c r="O1645" s="8">
        <v>45214</v>
      </c>
      <c r="P1645" s="8">
        <v>45215</v>
      </c>
      <c r="Q1645" s="8">
        <v>45217</v>
      </c>
      <c r="R1645" s="8">
        <v>45221</v>
      </c>
      <c r="S1645" s="8">
        <v>45228</v>
      </c>
      <c r="T1645" s="8">
        <v>45801</v>
      </c>
      <c r="U1645" s="8">
        <v>45827</v>
      </c>
      <c r="V1645" s="10">
        <f>COUNTA(O1645:U1645)</f>
        <v>7</v>
      </c>
      <c r="W1645" s="11">
        <f>_xlfn.IFNA(INDEX(reading[[#This Row],[Memo 01]:[Memo 07]],MATCH(0,reading[[#This Row],[Memo 01]:[Memo 07]],-1)),"")</f>
        <v>45827</v>
      </c>
      <c r="X1645" s="11">
        <f ca="1">IFERROR(reading[[#This Row],[Previous]]+OFFSET(reading[[#Headers],[Memo 01]],-1,MATCH(0,reading[[#This Row],[Memo 01]:[Memo 07]],-1)-1),"")</f>
        <v>55827</v>
      </c>
      <c r="Y1645" s="10" t="str">
        <f ca="1">IF(reading[[#This Row],[Next]]&lt;&gt;"",IF(reading[[#This Row],[Next]]&gt;TODAY(),"OK",""),"")</f>
        <v>OK</v>
      </c>
      <c r="Z1645" s="13">
        <v>3</v>
      </c>
      <c r="AA1645" s="13">
        <v>3</v>
      </c>
      <c r="AB1645" s="13">
        <v>3</v>
      </c>
      <c r="AC1645" s="13">
        <v>3</v>
      </c>
      <c r="AD1645" s="13">
        <v>3</v>
      </c>
      <c r="AE1645" s="13">
        <v>3</v>
      </c>
      <c r="AF1645" s="13">
        <v>3</v>
      </c>
      <c r="AG1645" s="16">
        <f>IFERROR(SUMIF(reading[[#This Row],[1st]:[7th]],"&gt;0")/COUNTIF(reading[[#This Row],[1st]:[7th]],"&gt;0"),"")</f>
        <v>3</v>
      </c>
    </row>
    <row r="1646" spans="1:33" hidden="1" x14ac:dyDescent="0.2">
      <c r="A1646" s="4">
        <f>IF(B1646=1,3,IF(D1646=1,2,IF(F1646=1,1,0)))</f>
        <v>0</v>
      </c>
      <c r="B1646" s="4" t="str">
        <f>IF(C1646=$L1646,1,IF(C1646="","",0))</f>
        <v/>
      </c>
      <c r="C1646" s="42"/>
      <c r="D1646" s="4" t="str">
        <f>IF(E1646=$L1646,1,IF(E1646="","",0))</f>
        <v/>
      </c>
      <c r="E1646" s="18"/>
      <c r="F1646" s="4" t="str">
        <f>IF(G1646=$L1646,1,IF(G1646="","",0))</f>
        <v/>
      </c>
      <c r="G1646" s="14"/>
      <c r="H1646" s="6">
        <v>1470</v>
      </c>
      <c r="I1646" s="15" t="s">
        <v>3120</v>
      </c>
      <c r="J1646" s="6" t="s">
        <v>4584</v>
      </c>
      <c r="K1646" s="6"/>
      <c r="L1646" s="6" t="s">
        <v>1557</v>
      </c>
      <c r="M1646" s="6" t="s">
        <v>7577</v>
      </c>
      <c r="N1646" s="7">
        <f ca="1">RAND()</f>
        <v>0.28530066971722223</v>
      </c>
      <c r="O1646" s="8">
        <v>45208</v>
      </c>
      <c r="P1646" s="8">
        <v>45209</v>
      </c>
      <c r="Q1646" s="8">
        <v>45212</v>
      </c>
      <c r="R1646" s="8">
        <v>45216</v>
      </c>
      <c r="S1646" s="8">
        <v>45223</v>
      </c>
      <c r="T1646" s="8">
        <v>45235</v>
      </c>
      <c r="U1646" s="8">
        <v>45827</v>
      </c>
      <c r="V1646" s="10">
        <f>COUNTA(O1646:U1646)</f>
        <v>7</v>
      </c>
      <c r="W1646" s="11">
        <f>_xlfn.IFNA(INDEX(reading[[#This Row],[Memo 01]:[Memo 07]],MATCH(0,reading[[#This Row],[Memo 01]:[Memo 07]],-1)),"")</f>
        <v>45827</v>
      </c>
      <c r="X1646" s="11">
        <f ca="1">IFERROR(reading[[#This Row],[Previous]]+OFFSET(reading[[#Headers],[Memo 01]],-1,MATCH(0,reading[[#This Row],[Memo 01]:[Memo 07]],-1)-1),"")</f>
        <v>55827</v>
      </c>
      <c r="Y1646" s="10" t="str">
        <f ca="1">IF(reading[[#This Row],[Next]]&lt;&gt;"",IF(reading[[#This Row],[Next]]&gt;TODAY(),"OK",""),"")</f>
        <v>OK</v>
      </c>
      <c r="Z1646" s="13">
        <v>3</v>
      </c>
      <c r="AA1646" s="13">
        <v>3</v>
      </c>
      <c r="AB1646" s="13">
        <v>2</v>
      </c>
      <c r="AC1646" s="13">
        <v>2</v>
      </c>
      <c r="AD1646" s="13">
        <v>3</v>
      </c>
      <c r="AE1646" s="13">
        <v>2</v>
      </c>
      <c r="AF1646" s="13">
        <v>3</v>
      </c>
      <c r="AG1646" s="16">
        <f>IFERROR(SUMIF(reading[[#This Row],[1st]:[7th]],"&gt;0")/COUNTIF(reading[[#This Row],[1st]:[7th]],"&gt;0"),"")</f>
        <v>2.5714285714285716</v>
      </c>
    </row>
    <row r="1647" spans="1:33" hidden="1" x14ac:dyDescent="0.2">
      <c r="A1647" s="4">
        <f>IF(B1647=1,3,IF(D1647=1,2,IF(F1647=1,1,0)))</f>
        <v>3</v>
      </c>
      <c r="B1647" s="4">
        <f>IF(C1647=$L1647,1,IF(C1647="","",0))</f>
        <v>1</v>
      </c>
      <c r="C1647" s="31" t="s">
        <v>1732</v>
      </c>
      <c r="D1647" s="4" t="str">
        <f>IF(E1647=$L1647,1,IF(E1647="","",0))</f>
        <v/>
      </c>
      <c r="E1647" s="14"/>
      <c r="F1647" s="4" t="str">
        <f>IF(G1647=$L1647,1,IF(G1647="","",0))</f>
        <v/>
      </c>
      <c r="G1647" s="14"/>
      <c r="H1647" s="6">
        <v>1651</v>
      </c>
      <c r="I1647" s="15" t="s">
        <v>3120</v>
      </c>
      <c r="J1647" s="6" t="s">
        <v>4763</v>
      </c>
      <c r="K1647" s="6"/>
      <c r="L1647" s="6" t="s">
        <v>1732</v>
      </c>
      <c r="M1647" s="6" t="s">
        <v>7757</v>
      </c>
      <c r="N1647" s="7">
        <f ca="1">RAND()</f>
        <v>0.26724849730651923</v>
      </c>
      <c r="O1647" s="8">
        <v>45210</v>
      </c>
      <c r="P1647" s="8">
        <v>45210</v>
      </c>
      <c r="Q1647" s="8">
        <v>45210</v>
      </c>
      <c r="R1647" s="8">
        <v>45210</v>
      </c>
      <c r="S1647" s="8">
        <v>45210</v>
      </c>
      <c r="T1647" s="8">
        <v>45210</v>
      </c>
      <c r="U1647" s="8">
        <v>45210</v>
      </c>
      <c r="V1647" s="10">
        <f>COUNTA(O1647:U1647)</f>
        <v>7</v>
      </c>
      <c r="W1647" s="11">
        <f>_xlfn.IFNA(INDEX(reading[[#This Row],[Memo 01]:[Memo 07]],MATCH(0,reading[[#This Row],[Memo 01]:[Memo 07]],-1)),"")</f>
        <v>45210</v>
      </c>
      <c r="X1647" s="11">
        <f ca="1">IFERROR(reading[[#This Row],[Previous]]+OFFSET(reading[[#Headers],[Memo 01]],-1,MATCH(0,reading[[#This Row],[Memo 01]:[Memo 07]],-1)-1),"")</f>
        <v>55210</v>
      </c>
      <c r="Y1647" s="10" t="str">
        <f ca="1">IF(reading[[#This Row],[Next]]&lt;&gt;"",IF(reading[[#This Row],[Next]]&gt;TODAY(),"OK",""),"")</f>
        <v>OK</v>
      </c>
      <c r="Z1647" s="13">
        <v>3</v>
      </c>
      <c r="AA1647" s="13"/>
      <c r="AB1647" s="13"/>
      <c r="AC1647" s="13"/>
      <c r="AD1647" s="13"/>
      <c r="AE1647" s="13"/>
      <c r="AF1647" s="13"/>
      <c r="AG1647" s="16">
        <f>IFERROR(SUMIF(reading[[#This Row],[1st]:[7th]],"&gt;0")/COUNTIF(reading[[#This Row],[1st]:[7th]],"&gt;0"),"")</f>
        <v>3</v>
      </c>
    </row>
    <row r="1648" spans="1:33" hidden="1" x14ac:dyDescent="0.2">
      <c r="A1648" s="4">
        <f>IF(B1648=1,3,IF(D1648=1,2,IF(F1648=1,1,0)))</f>
        <v>0</v>
      </c>
      <c r="B1648" s="4" t="str">
        <f>IF(C1648=$L1648,1,IF(C1648="","",0))</f>
        <v/>
      </c>
      <c r="C1648" s="42"/>
      <c r="D1648" s="4" t="str">
        <f>IF(E1648=$L1648,1,IF(E1648="","",0))</f>
        <v/>
      </c>
      <c r="E1648" s="14"/>
      <c r="F1648" s="4" t="str">
        <f>IF(G1648=$L1648,1,IF(G1648="","",0))</f>
        <v/>
      </c>
      <c r="G1648" s="14"/>
      <c r="H1648" s="6">
        <v>2241</v>
      </c>
      <c r="I1648" s="15" t="s">
        <v>3120</v>
      </c>
      <c r="J1648" s="6" t="s">
        <v>5325</v>
      </c>
      <c r="K1648" s="6"/>
      <c r="L1648" s="6" t="s">
        <v>2303</v>
      </c>
      <c r="M1648" s="6" t="s">
        <v>8346</v>
      </c>
      <c r="N1648" s="7">
        <f ca="1">RAND()</f>
        <v>0.77704711117612035</v>
      </c>
      <c r="O1648" s="8">
        <v>45215</v>
      </c>
      <c r="P1648" s="8">
        <v>45216</v>
      </c>
      <c r="Q1648" s="8">
        <v>45218</v>
      </c>
      <c r="R1648" s="8">
        <v>45222</v>
      </c>
      <c r="S1648" s="8">
        <v>45229</v>
      </c>
      <c r="T1648" s="8">
        <v>45792</v>
      </c>
      <c r="U1648" s="8">
        <v>45827</v>
      </c>
      <c r="V1648" s="10">
        <f>COUNTA(O1648:U1648)</f>
        <v>7</v>
      </c>
      <c r="W1648" s="11">
        <f>_xlfn.IFNA(INDEX(reading[[#This Row],[Memo 01]:[Memo 07]],MATCH(0,reading[[#This Row],[Memo 01]:[Memo 07]],-1)),"")</f>
        <v>45827</v>
      </c>
      <c r="X1648" s="11">
        <f ca="1">IFERROR(reading[[#This Row],[Previous]]+OFFSET(reading[[#Headers],[Memo 01]],-1,MATCH(0,reading[[#This Row],[Memo 01]:[Memo 07]],-1)-1),"")</f>
        <v>55827</v>
      </c>
      <c r="Y1648" s="10" t="str">
        <f ca="1">IF(reading[[#This Row],[Next]]&lt;&gt;"",IF(reading[[#This Row],[Next]]&gt;TODAY(),"OK",""),"")</f>
        <v>OK</v>
      </c>
      <c r="Z1648" s="13">
        <v>3</v>
      </c>
      <c r="AA1648" s="13">
        <v>3</v>
      </c>
      <c r="AB1648" s="13">
        <v>3</v>
      </c>
      <c r="AC1648" s="13">
        <v>3</v>
      </c>
      <c r="AD1648" s="13">
        <v>3</v>
      </c>
      <c r="AE1648" s="13">
        <v>3</v>
      </c>
      <c r="AF1648" s="13">
        <v>3</v>
      </c>
      <c r="AG1648" s="16">
        <f>IFERROR(SUMIF(reading[[#This Row],[1st]:[7th]],"&gt;0")/COUNTIF(reading[[#This Row],[1st]:[7th]],"&gt;0"),"")</f>
        <v>3</v>
      </c>
    </row>
    <row r="1649" spans="1:33" hidden="1" x14ac:dyDescent="0.2">
      <c r="A1649" s="4">
        <f>IF(B1649=1,3,IF(D1649=1,2,IF(F1649=1,1,0)))</f>
        <v>0</v>
      </c>
      <c r="B1649" s="4" t="str">
        <f>IF(C1649=$L1649,1,IF(C1649="","",0))</f>
        <v/>
      </c>
      <c r="C1649" s="42"/>
      <c r="D1649" s="4" t="str">
        <f>IF(E1649=$L1649,1,IF(E1649="","",0))</f>
        <v/>
      </c>
      <c r="E1649" s="43"/>
      <c r="F1649" s="4" t="str">
        <f>IF(G1649=$L1649,1,IF(G1649="","",0))</f>
        <v/>
      </c>
      <c r="G1649" s="14"/>
      <c r="H1649" s="6">
        <v>606</v>
      </c>
      <c r="I1649" s="15" t="s">
        <v>3120</v>
      </c>
      <c r="J1649" s="6" t="s">
        <v>3748</v>
      </c>
      <c r="K1649" s="6"/>
      <c r="L1649" s="6" t="s">
        <v>731</v>
      </c>
      <c r="M1649" s="6" t="s">
        <v>6715</v>
      </c>
      <c r="N1649" s="7">
        <f ca="1">RAND()</f>
        <v>0.78139638452123061</v>
      </c>
      <c r="O1649" s="8">
        <v>45202</v>
      </c>
      <c r="P1649" s="8">
        <v>45203</v>
      </c>
      <c r="Q1649" s="8">
        <v>45205</v>
      </c>
      <c r="R1649" s="8">
        <v>45209</v>
      </c>
      <c r="S1649" s="8">
        <v>45216</v>
      </c>
      <c r="T1649" s="8">
        <v>45228</v>
      </c>
      <c r="U1649" s="8">
        <v>45825</v>
      </c>
      <c r="V1649" s="10">
        <f>COUNTA(O1649:U1649)</f>
        <v>7</v>
      </c>
      <c r="W1649" s="11">
        <f>_xlfn.IFNA(INDEX(reading[[#This Row],[Memo 01]:[Memo 07]],MATCH(0,reading[[#This Row],[Memo 01]:[Memo 07]],-1)),"")</f>
        <v>45825</v>
      </c>
      <c r="X1649" s="11">
        <f ca="1">IFERROR(reading[[#This Row],[Previous]]+OFFSET(reading[[#Headers],[Memo 01]],-1,MATCH(0,reading[[#This Row],[Memo 01]:[Memo 07]],-1)-1),"")</f>
        <v>55825</v>
      </c>
      <c r="Y1649" s="10" t="str">
        <f ca="1">IF(reading[[#This Row],[Next]]&lt;&gt;"",IF(reading[[#This Row],[Next]]&gt;TODAY(),"OK",""),"")</f>
        <v>OK</v>
      </c>
      <c r="Z1649" s="13">
        <v>3</v>
      </c>
      <c r="AA1649" s="13">
        <v>3</v>
      </c>
      <c r="AB1649" s="13">
        <v>3</v>
      </c>
      <c r="AC1649" s="13">
        <v>3</v>
      </c>
      <c r="AD1649" s="13">
        <v>2</v>
      </c>
      <c r="AE1649" s="13">
        <v>3</v>
      </c>
      <c r="AF1649" s="13">
        <v>2</v>
      </c>
      <c r="AG1649" s="16">
        <f>IFERROR(SUMIF(reading[[#This Row],[1st]:[7th]],"&gt;0")/COUNTIF(reading[[#This Row],[1st]:[7th]],"&gt;0"),"")</f>
        <v>2.7142857142857144</v>
      </c>
    </row>
    <row r="1650" spans="1:33" hidden="1" x14ac:dyDescent="0.2">
      <c r="A1650" s="4">
        <f>IF(B1650=1,3,IF(D1650=1,2,IF(F1650=1,1,0)))</f>
        <v>0</v>
      </c>
      <c r="B1650" s="4" t="str">
        <f>IF(C1650=$L1650,1,IF(C1650="","",0))</f>
        <v/>
      </c>
      <c r="C1650" s="42"/>
      <c r="D1650" s="4" t="str">
        <f>IF(E1650=$L1650,1,IF(E1650="","",0))</f>
        <v/>
      </c>
      <c r="E1650" s="14"/>
      <c r="F1650" s="4" t="str">
        <f>IF(G1650=$L1650,1,IF(G1650="","",0))</f>
        <v/>
      </c>
      <c r="G1650" s="14"/>
      <c r="H1650" s="6">
        <v>1137</v>
      </c>
      <c r="I1650" s="15" t="s">
        <v>3120</v>
      </c>
      <c r="J1650" s="6" t="s">
        <v>4258</v>
      </c>
      <c r="K1650" s="6"/>
      <c r="L1650" s="6" t="s">
        <v>1239</v>
      </c>
      <c r="M1650" s="6" t="s">
        <v>7245</v>
      </c>
      <c r="N1650" s="7">
        <f ca="1">RAND()</f>
        <v>0.21730942117341701</v>
      </c>
      <c r="O1650" s="8">
        <v>45205</v>
      </c>
      <c r="P1650" s="8">
        <v>45206</v>
      </c>
      <c r="Q1650" s="8">
        <v>45208</v>
      </c>
      <c r="R1650" s="8">
        <v>45212</v>
      </c>
      <c r="S1650" s="8">
        <v>45219</v>
      </c>
      <c r="T1650" s="8">
        <v>45231</v>
      </c>
      <c r="U1650" s="8">
        <v>45827</v>
      </c>
      <c r="V1650" s="10">
        <f>COUNTA(O1650:U1650)</f>
        <v>7</v>
      </c>
      <c r="W1650" s="11">
        <f>_xlfn.IFNA(INDEX(reading[[#This Row],[Memo 01]:[Memo 07]],MATCH(0,reading[[#This Row],[Memo 01]:[Memo 07]],-1)),"")</f>
        <v>45827</v>
      </c>
      <c r="X1650" s="11">
        <f ca="1">IFERROR(reading[[#This Row],[Previous]]+OFFSET(reading[[#Headers],[Memo 01]],-1,MATCH(0,reading[[#This Row],[Memo 01]:[Memo 07]],-1)-1),"")</f>
        <v>55827</v>
      </c>
      <c r="Y1650" s="10" t="str">
        <f ca="1">IF(reading[[#This Row],[Next]]&lt;&gt;"",IF(reading[[#This Row],[Next]]&gt;TODAY(),"OK",""),"")</f>
        <v>OK</v>
      </c>
      <c r="Z1650" s="13">
        <v>3</v>
      </c>
      <c r="AA1650" s="13">
        <v>3</v>
      </c>
      <c r="AB1650" s="13">
        <v>3</v>
      </c>
      <c r="AC1650" s="13">
        <v>3</v>
      </c>
      <c r="AD1650" s="13">
        <v>3</v>
      </c>
      <c r="AE1650" s="13">
        <v>3</v>
      </c>
      <c r="AF1650" s="13">
        <v>3</v>
      </c>
      <c r="AG1650" s="16">
        <f>IFERROR(SUMIF(reading[[#This Row],[1st]:[7th]],"&gt;0")/COUNTIF(reading[[#This Row],[1st]:[7th]],"&gt;0"),"")</f>
        <v>3</v>
      </c>
    </row>
    <row r="1651" spans="1:33" hidden="1" x14ac:dyDescent="0.2">
      <c r="A1651" s="4">
        <f>IF(B1651=1,3,IF(D1651=1,2,IF(F1651=1,1,0)))</f>
        <v>0</v>
      </c>
      <c r="B1651" s="4" t="str">
        <f>IF(C1651=$L1651,1,IF(C1651="","",0))</f>
        <v/>
      </c>
      <c r="C1651" s="42"/>
      <c r="D1651" s="4" t="str">
        <f>IF(E1651=$L1651,1,IF(E1651="","",0))</f>
        <v/>
      </c>
      <c r="E1651" s="23"/>
      <c r="F1651" s="4" t="str">
        <f>IF(G1651=$L1651,1,IF(G1651="","",0))</f>
        <v/>
      </c>
      <c r="G1651" s="14"/>
      <c r="H1651" s="6">
        <v>455</v>
      </c>
      <c r="I1651" s="15" t="s">
        <v>3120</v>
      </c>
      <c r="J1651" s="6" t="s">
        <v>3601</v>
      </c>
      <c r="K1651" s="24" t="s">
        <v>3150</v>
      </c>
      <c r="L1651" s="6" t="s">
        <v>584</v>
      </c>
      <c r="M1651" s="6" t="s">
        <v>6564</v>
      </c>
      <c r="N1651" s="7">
        <f ca="1">RAND()</f>
        <v>0.12011256478997689</v>
      </c>
      <c r="O1651" s="8">
        <v>45202</v>
      </c>
      <c r="P1651" s="8">
        <v>45203</v>
      </c>
      <c r="Q1651" s="8">
        <v>45205</v>
      </c>
      <c r="R1651" s="8">
        <v>45209</v>
      </c>
      <c r="S1651" s="8">
        <v>45216</v>
      </c>
      <c r="T1651" s="8">
        <v>45228</v>
      </c>
      <c r="U1651" s="8">
        <v>45253</v>
      </c>
      <c r="V1651" s="10">
        <f>COUNTA(O1651:U1651)</f>
        <v>7</v>
      </c>
      <c r="W1651" s="11">
        <f>_xlfn.IFNA(INDEX(reading[[#This Row],[Memo 01]:[Memo 07]],MATCH(0,reading[[#This Row],[Memo 01]:[Memo 07]],-1)),"")</f>
        <v>45253</v>
      </c>
      <c r="X1651" s="11">
        <f ca="1">IFERROR(reading[[#This Row],[Previous]]+OFFSET(reading[[#Headers],[Memo 01]],-1,MATCH(0,reading[[#This Row],[Memo 01]:[Memo 07]],-1)-1),"")</f>
        <v>55253</v>
      </c>
      <c r="Y1651" s="10" t="str">
        <f ca="1">IF(reading[[#This Row],[Next]]&lt;&gt;"",IF(reading[[#This Row],[Next]]&gt;TODAY(),"OK",""),"")</f>
        <v>OK</v>
      </c>
      <c r="Z1651" s="13">
        <v>3</v>
      </c>
      <c r="AA1651" s="13">
        <v>2</v>
      </c>
      <c r="AB1651" s="13">
        <v>3</v>
      </c>
      <c r="AC1651" s="13">
        <v>2</v>
      </c>
      <c r="AD1651" s="13">
        <v>3</v>
      </c>
      <c r="AE1651" s="13">
        <v>3</v>
      </c>
      <c r="AF1651" s="13">
        <v>2</v>
      </c>
      <c r="AG1651" s="16">
        <f>IFERROR(SUMIF(reading[[#This Row],[1st]:[7th]],"&gt;0")/COUNTIF(reading[[#This Row],[1st]:[7th]],"&gt;0"),"")</f>
        <v>2.5714285714285716</v>
      </c>
    </row>
    <row r="1652" spans="1:33" hidden="1" x14ac:dyDescent="0.2">
      <c r="A1652" s="4">
        <f>IF(B1652=1,3,IF(D1652=1,2,IF(F1652=1,1,0)))</f>
        <v>0</v>
      </c>
      <c r="B1652" s="4" t="str">
        <f>IF(C1652=$L1652,1,IF(C1652="","",0))</f>
        <v/>
      </c>
      <c r="C1652" s="42"/>
      <c r="D1652" s="4" t="str">
        <f>IF(E1652=$L1652,1,IF(E1652="","",0))</f>
        <v/>
      </c>
      <c r="E1652" s="23"/>
      <c r="F1652" s="4" t="str">
        <f>IF(G1652=$L1652,1,IF(G1652="","",0))</f>
        <v/>
      </c>
      <c r="G1652" s="14"/>
      <c r="H1652" s="6">
        <v>2661</v>
      </c>
      <c r="I1652" s="15" t="s">
        <v>3120</v>
      </c>
      <c r="J1652" s="6" t="s">
        <v>5714</v>
      </c>
      <c r="K1652" s="6"/>
      <c r="L1652" s="6" t="s">
        <v>2700</v>
      </c>
      <c r="M1652" s="6" t="s">
        <v>8766</v>
      </c>
      <c r="N1652" s="7">
        <f ca="1">RAND()</f>
        <v>3.1043445457582974E-2</v>
      </c>
      <c r="O1652" s="8">
        <v>45220</v>
      </c>
      <c r="P1652" s="8">
        <v>45221</v>
      </c>
      <c r="Q1652" s="8">
        <v>45223</v>
      </c>
      <c r="R1652" s="8">
        <v>45227</v>
      </c>
      <c r="S1652" s="8">
        <v>45234</v>
      </c>
      <c r="T1652" s="8">
        <v>45829</v>
      </c>
      <c r="U1652" s="8"/>
      <c r="V1652" s="10">
        <f>COUNTA(O1652:U1652)</f>
        <v>6</v>
      </c>
      <c r="W1652" s="11">
        <f>_xlfn.IFNA(INDEX(reading[[#This Row],[Memo 01]:[Memo 07]],MATCH(0,reading[[#This Row],[Memo 01]:[Memo 07]],-1)),"")</f>
        <v>45829</v>
      </c>
      <c r="X1652" s="11">
        <f ca="1">IFERROR(reading[[#This Row],[Previous]]+OFFSET(reading[[#Headers],[Memo 01]],-1,MATCH(0,reading[[#This Row],[Memo 01]:[Memo 07]],-1)-1),"")</f>
        <v>45849</v>
      </c>
      <c r="Y1652" s="10" t="str">
        <f ca="1">IF(reading[[#This Row],[Next]]&lt;&gt;"",IF(reading[[#This Row],[Next]]&gt;TODAY(),"OK",""),"")</f>
        <v>OK</v>
      </c>
      <c r="Z1652" s="13">
        <v>3</v>
      </c>
      <c r="AA1652" s="13">
        <v>3</v>
      </c>
      <c r="AB1652" s="13">
        <v>3</v>
      </c>
      <c r="AC1652" s="13">
        <v>3</v>
      </c>
      <c r="AD1652" s="13">
        <v>3</v>
      </c>
      <c r="AE1652" s="13">
        <v>2</v>
      </c>
      <c r="AF1652" s="13"/>
      <c r="AG1652" s="16">
        <f>IFERROR(SUMIF(reading[[#This Row],[1st]:[7th]],"&gt;0")/COUNTIF(reading[[#This Row],[1st]:[7th]],"&gt;0"),"")</f>
        <v>2.8333333333333335</v>
      </c>
    </row>
    <row r="1653" spans="1:33" hidden="1" x14ac:dyDescent="0.2">
      <c r="A1653" s="4">
        <f>IF(B1653=1,3,IF(D1653=1,2,IF(F1653=1,1,0)))</f>
        <v>0</v>
      </c>
      <c r="B1653" s="4" t="str">
        <f>IF(C1653=$L1653,1,IF(C1653="","",0))</f>
        <v/>
      </c>
      <c r="C1653" s="42"/>
      <c r="D1653" s="4" t="str">
        <f>IF(E1653=$L1653,1,IF(E1653="","",0))</f>
        <v/>
      </c>
      <c r="E1653" s="23"/>
      <c r="F1653" s="4" t="str">
        <f>IF(G1653=$L1653,1,IF(G1653="","",0))</f>
        <v/>
      </c>
      <c r="G1653" s="14"/>
      <c r="H1653" s="6">
        <v>2903</v>
      </c>
      <c r="I1653" s="15" t="s">
        <v>3120</v>
      </c>
      <c r="J1653" s="6" t="s">
        <v>5939</v>
      </c>
      <c r="K1653" s="6"/>
      <c r="L1653" s="6" t="s">
        <v>2933</v>
      </c>
      <c r="M1653" s="6" t="s">
        <v>9007</v>
      </c>
      <c r="N1653" s="7">
        <f ca="1">RAND()</f>
        <v>0.78657548979853664</v>
      </c>
      <c r="O1653" s="8">
        <v>45223</v>
      </c>
      <c r="P1653" s="8">
        <v>45224</v>
      </c>
      <c r="Q1653" s="8">
        <v>45226</v>
      </c>
      <c r="R1653" s="8">
        <v>45230</v>
      </c>
      <c r="S1653" s="8">
        <v>45237</v>
      </c>
      <c r="T1653" s="8">
        <v>45816</v>
      </c>
      <c r="U1653" s="8"/>
      <c r="V1653" s="10">
        <f>COUNTA(O1653:U1653)</f>
        <v>6</v>
      </c>
      <c r="W1653" s="11">
        <f>_xlfn.IFNA(INDEX(reading[[#This Row],[Memo 01]:[Memo 07]],MATCH(0,reading[[#This Row],[Memo 01]:[Memo 07]],-1)),"")</f>
        <v>45816</v>
      </c>
      <c r="X1653" s="11">
        <f ca="1">IFERROR(reading[[#This Row],[Previous]]+OFFSET(reading[[#Headers],[Memo 01]],-1,MATCH(0,reading[[#This Row],[Memo 01]:[Memo 07]],-1)-1),"")</f>
        <v>45836</v>
      </c>
      <c r="Y1653" s="10" t="str">
        <f ca="1">IF(reading[[#This Row],[Next]]&lt;&gt;"",IF(reading[[#This Row],[Next]]&gt;TODAY(),"OK",""),"")</f>
        <v>OK</v>
      </c>
      <c r="Z1653" s="13">
        <v>3</v>
      </c>
      <c r="AA1653" s="13">
        <v>3</v>
      </c>
      <c r="AB1653" s="13">
        <v>3</v>
      </c>
      <c r="AC1653" s="13">
        <v>3</v>
      </c>
      <c r="AD1653" s="13">
        <v>3</v>
      </c>
      <c r="AE1653" s="13">
        <v>2</v>
      </c>
      <c r="AF1653" s="13"/>
      <c r="AG1653" s="16">
        <f>IFERROR(SUMIF(reading[[#This Row],[1st]:[7th]],"&gt;0")/COUNTIF(reading[[#This Row],[1st]:[7th]],"&gt;0"),"")</f>
        <v>2.8333333333333335</v>
      </c>
    </row>
    <row r="1654" spans="1:33" hidden="1" x14ac:dyDescent="0.2">
      <c r="A1654" s="4">
        <f>IF(B1654=1,3,IF(D1654=1,2,IF(F1654=1,1,0)))</f>
        <v>0</v>
      </c>
      <c r="B1654" s="4" t="str">
        <f>IF(C1654=$L1654,1,IF(C1654="","",0))</f>
        <v/>
      </c>
      <c r="C1654" s="42"/>
      <c r="D1654" s="4" t="str">
        <f>IF(E1654=$L1654,1,IF(E1654="","",0))</f>
        <v/>
      </c>
      <c r="E1654" s="43"/>
      <c r="F1654" s="4" t="str">
        <f>IF(G1654=$L1654,1,IF(G1654="","",0))</f>
        <v/>
      </c>
      <c r="G1654" s="14"/>
      <c r="H1654" s="6">
        <v>986</v>
      </c>
      <c r="I1654" s="15" t="s">
        <v>3120</v>
      </c>
      <c r="J1654" s="6" t="s">
        <v>4115</v>
      </c>
      <c r="K1654" s="6"/>
      <c r="L1654" s="6" t="s">
        <v>1096</v>
      </c>
      <c r="M1654" s="6" t="s">
        <v>7094</v>
      </c>
      <c r="N1654" s="7">
        <f ca="1">RAND()</f>
        <v>0.45577053340529039</v>
      </c>
      <c r="O1654" s="8">
        <v>45204</v>
      </c>
      <c r="P1654" s="8">
        <v>45205</v>
      </c>
      <c r="Q1654" s="8">
        <v>45207</v>
      </c>
      <c r="R1654" s="8">
        <v>45211</v>
      </c>
      <c r="S1654" s="8">
        <v>45218</v>
      </c>
      <c r="T1654" s="8">
        <v>45230</v>
      </c>
      <c r="U1654" s="8">
        <v>45816</v>
      </c>
      <c r="V1654" s="10">
        <f>COUNTA(O1654:U1654)</f>
        <v>7</v>
      </c>
      <c r="W1654" s="11">
        <f>_xlfn.IFNA(INDEX(reading[[#This Row],[Memo 01]:[Memo 07]],MATCH(0,reading[[#This Row],[Memo 01]:[Memo 07]],-1)),"")</f>
        <v>45816</v>
      </c>
      <c r="X1654" s="11">
        <f ca="1">IFERROR(reading[[#This Row],[Previous]]+OFFSET(reading[[#Headers],[Memo 01]],-1,MATCH(0,reading[[#This Row],[Memo 01]:[Memo 07]],-1)-1),"")</f>
        <v>55816</v>
      </c>
      <c r="Y1654" s="10" t="str">
        <f ca="1">IF(reading[[#This Row],[Next]]&lt;&gt;"",IF(reading[[#This Row],[Next]]&gt;TODAY(),"OK",""),"")</f>
        <v>OK</v>
      </c>
      <c r="Z1654" s="13">
        <v>3</v>
      </c>
      <c r="AA1654" s="13">
        <v>3</v>
      </c>
      <c r="AB1654" s="13">
        <v>3</v>
      </c>
      <c r="AC1654" s="13">
        <v>3</v>
      </c>
      <c r="AD1654" s="13">
        <v>2</v>
      </c>
      <c r="AE1654" s="13">
        <v>2</v>
      </c>
      <c r="AF1654" s="13">
        <v>2</v>
      </c>
      <c r="AG1654" s="16">
        <f>IFERROR(SUMIF(reading[[#This Row],[1st]:[7th]],"&gt;0")/COUNTIF(reading[[#This Row],[1st]:[7th]],"&gt;0"),"")</f>
        <v>2.5714285714285716</v>
      </c>
    </row>
    <row r="1655" spans="1:33" hidden="1" x14ac:dyDescent="0.2">
      <c r="A1655" s="4">
        <f>IF(B1655=1,3,IF(D1655=1,2,IF(F1655=1,1,0)))</f>
        <v>0</v>
      </c>
      <c r="B1655" s="4" t="str">
        <f>IF(C1655=$L1655,1,IF(C1655="","",0))</f>
        <v/>
      </c>
      <c r="C1655" s="42"/>
      <c r="D1655" s="4" t="str">
        <f>IF(E1655=$L1655,1,IF(E1655="","",0))</f>
        <v/>
      </c>
      <c r="E1655" s="14"/>
      <c r="F1655" s="4" t="str">
        <f>IF(G1655=$L1655,1,IF(G1655="","",0))</f>
        <v/>
      </c>
      <c r="G1655" s="14"/>
      <c r="H1655" s="6">
        <v>2479</v>
      </c>
      <c r="I1655" s="15" t="s">
        <v>3120</v>
      </c>
      <c r="J1655" s="6" t="s">
        <v>5547</v>
      </c>
      <c r="K1655" s="6"/>
      <c r="L1655" s="6" t="s">
        <v>77</v>
      </c>
      <c r="M1655" s="6" t="s">
        <v>8584</v>
      </c>
      <c r="N1655" s="7">
        <f ca="1">RAND()</f>
        <v>0.11752034573087478</v>
      </c>
      <c r="O1655" s="8">
        <v>45218</v>
      </c>
      <c r="P1655" s="8">
        <v>45219</v>
      </c>
      <c r="Q1655" s="8">
        <v>45221</v>
      </c>
      <c r="R1655" s="8">
        <v>45225</v>
      </c>
      <c r="S1655" s="8">
        <v>45232</v>
      </c>
      <c r="T1655" s="8">
        <v>45801</v>
      </c>
      <c r="U1655" s="8">
        <v>45827</v>
      </c>
      <c r="V1655" s="10">
        <f>COUNTA(O1655:U1655)</f>
        <v>7</v>
      </c>
      <c r="W1655" s="11">
        <f>_xlfn.IFNA(INDEX(reading[[#This Row],[Memo 01]:[Memo 07]],MATCH(0,reading[[#This Row],[Memo 01]:[Memo 07]],-1)),"")</f>
        <v>45827</v>
      </c>
      <c r="X1655" s="11">
        <f ca="1">IFERROR(reading[[#This Row],[Previous]]+OFFSET(reading[[#Headers],[Memo 01]],-1,MATCH(0,reading[[#This Row],[Memo 01]:[Memo 07]],-1)-1),"")</f>
        <v>55827</v>
      </c>
      <c r="Y1655" s="10" t="str">
        <f ca="1">IF(reading[[#This Row],[Next]]&lt;&gt;"",IF(reading[[#This Row],[Next]]&gt;TODAY(),"OK",""),"")</f>
        <v>OK</v>
      </c>
      <c r="Z1655" s="13">
        <v>3</v>
      </c>
      <c r="AA1655" s="13">
        <v>3</v>
      </c>
      <c r="AB1655" s="13">
        <v>3</v>
      </c>
      <c r="AC1655" s="13">
        <v>3</v>
      </c>
      <c r="AD1655" s="13">
        <v>3</v>
      </c>
      <c r="AE1655" s="13">
        <v>3</v>
      </c>
      <c r="AF1655" s="13">
        <v>3</v>
      </c>
      <c r="AG1655" s="16">
        <f>IFERROR(SUMIF(reading[[#This Row],[1st]:[7th]],"&gt;0")/COUNTIF(reading[[#This Row],[1st]:[7th]],"&gt;0"),"")</f>
        <v>3</v>
      </c>
    </row>
    <row r="1656" spans="1:33" hidden="1" x14ac:dyDescent="0.2">
      <c r="A1656" s="4">
        <f>IF(B1656=1,3,IF(D1656=1,2,IF(F1656=1,1,0)))</f>
        <v>0</v>
      </c>
      <c r="B1656" s="4" t="str">
        <f>IF(C1656=$L1656,1,IF(C1656="","",0))</f>
        <v/>
      </c>
      <c r="C1656" s="42"/>
      <c r="D1656" s="4" t="str">
        <f>IF(E1656=$L1656,1,IF(E1656="","",0))</f>
        <v/>
      </c>
      <c r="E1656" s="23"/>
      <c r="F1656" s="4" t="str">
        <f>IF(G1656=$L1656,1,IF(G1656="","",0))</f>
        <v/>
      </c>
      <c r="G1656" s="14"/>
      <c r="H1656" s="6">
        <v>2126</v>
      </c>
      <c r="I1656" s="15" t="s">
        <v>3120</v>
      </c>
      <c r="J1656" s="6" t="s">
        <v>5214</v>
      </c>
      <c r="K1656" s="15" t="s">
        <v>3139</v>
      </c>
      <c r="L1656" s="6" t="s">
        <v>2193</v>
      </c>
      <c r="M1656" s="6" t="s">
        <v>8232</v>
      </c>
      <c r="N1656" s="7">
        <f ca="1">RAND()</f>
        <v>0.94142708980990086</v>
      </c>
      <c r="O1656" s="8">
        <v>45214</v>
      </c>
      <c r="P1656" s="8">
        <v>45215</v>
      </c>
      <c r="Q1656" s="8">
        <v>45217</v>
      </c>
      <c r="R1656" s="8">
        <v>45221</v>
      </c>
      <c r="S1656" s="8">
        <v>45228</v>
      </c>
      <c r="T1656" s="8">
        <v>45816</v>
      </c>
      <c r="U1656" s="8"/>
      <c r="V1656" s="10">
        <f>COUNTA(O1656:U1656)</f>
        <v>6</v>
      </c>
      <c r="W1656" s="11">
        <f>_xlfn.IFNA(INDEX(reading[[#This Row],[Memo 01]:[Memo 07]],MATCH(0,reading[[#This Row],[Memo 01]:[Memo 07]],-1)),"")</f>
        <v>45816</v>
      </c>
      <c r="X1656" s="11">
        <f ca="1">IFERROR(reading[[#This Row],[Previous]]+OFFSET(reading[[#Headers],[Memo 01]],-1,MATCH(0,reading[[#This Row],[Memo 01]:[Memo 07]],-1)-1),"")</f>
        <v>45836</v>
      </c>
      <c r="Y1656" s="10" t="str">
        <f ca="1">IF(reading[[#This Row],[Next]]&lt;&gt;"",IF(reading[[#This Row],[Next]]&gt;TODAY(),"OK",""),"")</f>
        <v>OK</v>
      </c>
      <c r="Z1656" s="13">
        <v>3</v>
      </c>
      <c r="AA1656" s="13">
        <v>3</v>
      </c>
      <c r="AB1656" s="13">
        <v>3</v>
      </c>
      <c r="AC1656" s="13">
        <v>3</v>
      </c>
      <c r="AD1656" s="13">
        <v>2</v>
      </c>
      <c r="AE1656" s="13">
        <v>2</v>
      </c>
      <c r="AF1656" s="13"/>
      <c r="AG1656" s="16">
        <f>IFERROR(SUMIF(reading[[#This Row],[1st]:[7th]],"&gt;0")/COUNTIF(reading[[#This Row],[1st]:[7th]],"&gt;0"),"")</f>
        <v>2.6666666666666665</v>
      </c>
    </row>
    <row r="1657" spans="1:33" hidden="1" x14ac:dyDescent="0.2">
      <c r="A1657" s="4">
        <f>IF(B1657=1,3,IF(D1657=1,2,IF(F1657=1,1,0)))</f>
        <v>0</v>
      </c>
      <c r="B1657" s="4" t="str">
        <f>IF(C1657=$L1657,1,IF(C1657="","",0))</f>
        <v/>
      </c>
      <c r="C1657" s="42"/>
      <c r="D1657" s="4" t="str">
        <f>IF(E1657=$L1657,1,IF(E1657="","",0))</f>
        <v/>
      </c>
      <c r="E1657" s="43"/>
      <c r="F1657" s="4" t="str">
        <f>IF(G1657=$L1657,1,IF(G1657="","",0))</f>
        <v/>
      </c>
      <c r="G1657" s="14"/>
      <c r="H1657" s="6">
        <v>1843</v>
      </c>
      <c r="I1657" s="15" t="s">
        <v>3120</v>
      </c>
      <c r="J1657" s="6" t="s">
        <v>4947</v>
      </c>
      <c r="K1657" s="6"/>
      <c r="L1657" s="6" t="s">
        <v>1921</v>
      </c>
      <c r="M1657" s="6" t="s">
        <v>7949</v>
      </c>
      <c r="N1657" s="7">
        <f ca="1">RAND()</f>
        <v>0.72343713428679313</v>
      </c>
      <c r="O1657" s="8">
        <v>45213</v>
      </c>
      <c r="P1657" s="8">
        <v>45214</v>
      </c>
      <c r="Q1657" s="8">
        <v>45216</v>
      </c>
      <c r="R1657" s="8">
        <v>45220</v>
      </c>
      <c r="S1657" s="8">
        <v>45227</v>
      </c>
      <c r="T1657" s="8">
        <v>45792</v>
      </c>
      <c r="U1657" s="8">
        <v>45829</v>
      </c>
      <c r="V1657" s="10">
        <f>COUNTA(O1657:U1657)</f>
        <v>7</v>
      </c>
      <c r="W1657" s="11">
        <f>_xlfn.IFNA(INDEX(reading[[#This Row],[Memo 01]:[Memo 07]],MATCH(0,reading[[#This Row],[Memo 01]:[Memo 07]],-1)),"")</f>
        <v>45829</v>
      </c>
      <c r="X1657" s="11">
        <f ca="1">IFERROR(reading[[#This Row],[Previous]]+OFFSET(reading[[#Headers],[Memo 01]],-1,MATCH(0,reading[[#This Row],[Memo 01]:[Memo 07]],-1)-1),"")</f>
        <v>55829</v>
      </c>
      <c r="Y1657" s="10" t="str">
        <f ca="1">IF(reading[[#This Row],[Next]]&lt;&gt;"",IF(reading[[#This Row],[Next]]&gt;TODAY(),"OK",""),"")</f>
        <v>OK</v>
      </c>
      <c r="Z1657" s="13">
        <v>3</v>
      </c>
      <c r="AA1657" s="13">
        <v>3</v>
      </c>
      <c r="AB1657" s="13">
        <v>3</v>
      </c>
      <c r="AC1657" s="13">
        <v>3</v>
      </c>
      <c r="AD1657" s="13">
        <v>2</v>
      </c>
      <c r="AE1657" s="13">
        <v>3</v>
      </c>
      <c r="AF1657" s="13">
        <v>2</v>
      </c>
      <c r="AG1657" s="16">
        <f>IFERROR(SUMIF(reading[[#This Row],[1st]:[7th]],"&gt;0")/COUNTIF(reading[[#This Row],[1st]:[7th]],"&gt;0"),"")</f>
        <v>2.7142857142857144</v>
      </c>
    </row>
    <row r="1658" spans="1:33" hidden="1" x14ac:dyDescent="0.2">
      <c r="A1658" s="4">
        <f>IF(B1658=1,3,IF(D1658=1,2,IF(F1658=1,1,0)))</f>
        <v>0</v>
      </c>
      <c r="B1658" s="4" t="str">
        <f>IF(C1658=$L1658,1,IF(C1658="","",0))</f>
        <v/>
      </c>
      <c r="C1658" s="42"/>
      <c r="D1658" s="4" t="str">
        <f>IF(E1658=$L1658,1,IF(E1658="","",0))</f>
        <v/>
      </c>
      <c r="E1658" s="43"/>
      <c r="F1658" s="4" t="str">
        <f>IF(G1658=$L1658,1,IF(G1658="","",0))</f>
        <v/>
      </c>
      <c r="G1658" s="14"/>
      <c r="H1658" s="6">
        <v>2419</v>
      </c>
      <c r="I1658" s="15" t="s">
        <v>3120</v>
      </c>
      <c r="J1658" s="6" t="s">
        <v>5490</v>
      </c>
      <c r="K1658" s="6"/>
      <c r="L1658" s="6" t="s">
        <v>2469</v>
      </c>
      <c r="M1658" s="6" t="s">
        <v>8524</v>
      </c>
      <c r="N1658" s="7">
        <f ca="1">RAND()</f>
        <v>0.43688718366222379</v>
      </c>
      <c r="O1658" s="8">
        <v>45217</v>
      </c>
      <c r="P1658" s="8">
        <v>45218</v>
      </c>
      <c r="Q1658" s="8">
        <v>45220</v>
      </c>
      <c r="R1658" s="8">
        <v>45224</v>
      </c>
      <c r="S1658" s="8">
        <v>45231</v>
      </c>
      <c r="T1658" s="8">
        <v>45251</v>
      </c>
      <c r="U1658" s="8">
        <v>45825</v>
      </c>
      <c r="V1658" s="10">
        <f>COUNTA(O1658:U1658)</f>
        <v>7</v>
      </c>
      <c r="W1658" s="11">
        <f>_xlfn.IFNA(INDEX(reading[[#This Row],[Memo 01]:[Memo 07]],MATCH(0,reading[[#This Row],[Memo 01]:[Memo 07]],-1)),"")</f>
        <v>45825</v>
      </c>
      <c r="X1658" s="11">
        <f ca="1">IFERROR(reading[[#This Row],[Previous]]+OFFSET(reading[[#Headers],[Memo 01]],-1,MATCH(0,reading[[#This Row],[Memo 01]:[Memo 07]],-1)-1),"")</f>
        <v>55825</v>
      </c>
      <c r="Y1658" s="10" t="str">
        <f ca="1">IF(reading[[#This Row],[Next]]&lt;&gt;"",IF(reading[[#This Row],[Next]]&gt;TODAY(),"OK",""),"")</f>
        <v>OK</v>
      </c>
      <c r="Z1658" s="13">
        <v>3</v>
      </c>
      <c r="AA1658" s="13">
        <v>2</v>
      </c>
      <c r="AB1658" s="13">
        <v>2</v>
      </c>
      <c r="AC1658" s="13">
        <v>3</v>
      </c>
      <c r="AD1658" s="13">
        <v>3</v>
      </c>
      <c r="AE1658" s="13">
        <v>3</v>
      </c>
      <c r="AF1658" s="13">
        <v>2</v>
      </c>
      <c r="AG1658" s="16">
        <f>IFERROR(SUMIF(reading[[#This Row],[1st]:[7th]],"&gt;0")/COUNTIF(reading[[#This Row],[1st]:[7th]],"&gt;0"),"")</f>
        <v>2.5714285714285716</v>
      </c>
    </row>
    <row r="1659" spans="1:33" hidden="1" x14ac:dyDescent="0.2">
      <c r="A1659" s="4">
        <f>IF(B1659=1,3,IF(D1659=1,2,IF(F1659=1,1,0)))</f>
        <v>0</v>
      </c>
      <c r="B1659" s="4" t="str">
        <f>IF(C1659=$L1659,1,IF(C1659="","",0))</f>
        <v/>
      </c>
      <c r="C1659" s="42"/>
      <c r="D1659" s="4" t="str">
        <f>IF(E1659=$L1659,1,IF(E1659="","",0))</f>
        <v/>
      </c>
      <c r="E1659" s="23"/>
      <c r="F1659" s="4" t="str">
        <f>IF(G1659=$L1659,1,IF(G1659="","",0))</f>
        <v/>
      </c>
      <c r="G1659" s="23"/>
      <c r="H1659" s="6">
        <v>1360</v>
      </c>
      <c r="I1659" s="15" t="s">
        <v>3120</v>
      </c>
      <c r="J1659" s="6" t="s">
        <v>4474</v>
      </c>
      <c r="K1659" s="6"/>
      <c r="L1659" s="6" t="s">
        <v>1454</v>
      </c>
      <c r="M1659" s="6" t="s">
        <v>7467</v>
      </c>
      <c r="N1659" s="7">
        <f ca="1">RAND()</f>
        <v>0.95990642444076502</v>
      </c>
      <c r="O1659" s="8">
        <v>45207</v>
      </c>
      <c r="P1659" s="8">
        <v>45208</v>
      </c>
      <c r="Q1659" s="8">
        <v>45210</v>
      </c>
      <c r="R1659" s="8">
        <v>45214</v>
      </c>
      <c r="S1659" s="8">
        <v>45221</v>
      </c>
      <c r="T1659" s="8">
        <v>45233</v>
      </c>
      <c r="U1659" s="8">
        <v>45817</v>
      </c>
      <c r="V1659" s="10">
        <f>COUNTA(O1659:U1659)</f>
        <v>7</v>
      </c>
      <c r="W1659" s="11">
        <f>_xlfn.IFNA(INDEX(reading[[#This Row],[Memo 01]:[Memo 07]],MATCH(0,reading[[#This Row],[Memo 01]:[Memo 07]],-1)),"")</f>
        <v>45817</v>
      </c>
      <c r="X1659" s="11">
        <f ca="1">IFERROR(reading[[#This Row],[Previous]]+OFFSET(reading[[#Headers],[Memo 01]],-1,MATCH(0,reading[[#This Row],[Memo 01]:[Memo 07]],-1)-1),"")</f>
        <v>55817</v>
      </c>
      <c r="Y1659" s="10" t="str">
        <f ca="1">IF(reading[[#This Row],[Next]]&lt;&gt;"",IF(reading[[#This Row],[Next]]&gt;TODAY(),"OK",""),"")</f>
        <v>OK</v>
      </c>
      <c r="Z1659" s="13">
        <v>3</v>
      </c>
      <c r="AA1659" s="13">
        <v>3</v>
      </c>
      <c r="AB1659" s="13">
        <v>3</v>
      </c>
      <c r="AC1659" s="13">
        <v>3</v>
      </c>
      <c r="AD1659" s="13">
        <v>3</v>
      </c>
      <c r="AE1659" s="13">
        <v>3</v>
      </c>
      <c r="AF1659" s="13">
        <v>1</v>
      </c>
      <c r="AG1659" s="16">
        <f>IFERROR(SUMIF(reading[[#This Row],[1st]:[7th]],"&gt;0")/COUNTIF(reading[[#This Row],[1st]:[7th]],"&gt;0"),"")</f>
        <v>2.7142857142857144</v>
      </c>
    </row>
    <row r="1660" spans="1:33" hidden="1" x14ac:dyDescent="0.2">
      <c r="A1660" s="4">
        <f>IF(B1660=1,3,IF(D1660=1,2,IF(F1660=1,1,0)))</f>
        <v>0</v>
      </c>
      <c r="B1660" s="4" t="str">
        <f>IF(C1660=$L1660,1,IF(C1660="","",0))</f>
        <v/>
      </c>
      <c r="C1660" s="42"/>
      <c r="D1660" s="4" t="str">
        <f>IF(E1660=$L1660,1,IF(E1660="","",0))</f>
        <v/>
      </c>
      <c r="E1660" s="18"/>
      <c r="F1660" s="4" t="str">
        <f>IF(G1660=$L1660,1,IF(G1660="","",0))</f>
        <v/>
      </c>
      <c r="G1660" s="14"/>
      <c r="H1660" s="6">
        <v>2445</v>
      </c>
      <c r="I1660" s="15" t="s">
        <v>3120</v>
      </c>
      <c r="J1660" s="6" t="s">
        <v>5515</v>
      </c>
      <c r="K1660" s="24" t="s">
        <v>3137</v>
      </c>
      <c r="L1660" s="6" t="s">
        <v>2494</v>
      </c>
      <c r="M1660" s="6" t="s">
        <v>8550</v>
      </c>
      <c r="N1660" s="7">
        <f ca="1">RAND()</f>
        <v>0.66022200861702673</v>
      </c>
      <c r="O1660" s="8">
        <v>45217</v>
      </c>
      <c r="P1660" s="8">
        <v>45218</v>
      </c>
      <c r="Q1660" s="8">
        <v>45220</v>
      </c>
      <c r="R1660" s="8">
        <v>45224</v>
      </c>
      <c r="S1660" s="8">
        <v>45231</v>
      </c>
      <c r="T1660" s="8">
        <v>45827</v>
      </c>
      <c r="U1660" s="8"/>
      <c r="V1660" s="10">
        <f>COUNTA(O1660:U1660)</f>
        <v>6</v>
      </c>
      <c r="W1660" s="11">
        <f>_xlfn.IFNA(INDEX(reading[[#This Row],[Memo 01]:[Memo 07]],MATCH(0,reading[[#This Row],[Memo 01]:[Memo 07]],-1)),"")</f>
        <v>45827</v>
      </c>
      <c r="X1660" s="11">
        <f ca="1">IFERROR(reading[[#This Row],[Previous]]+OFFSET(reading[[#Headers],[Memo 01]],-1,MATCH(0,reading[[#This Row],[Memo 01]:[Memo 07]],-1)-1),"")</f>
        <v>45847</v>
      </c>
      <c r="Y1660" s="10" t="str">
        <f ca="1">IF(reading[[#This Row],[Next]]&lt;&gt;"",IF(reading[[#This Row],[Next]]&gt;TODAY(),"OK",""),"")</f>
        <v>OK</v>
      </c>
      <c r="Z1660" s="13">
        <v>3</v>
      </c>
      <c r="AA1660" s="13">
        <v>3</v>
      </c>
      <c r="AB1660" s="13">
        <v>3</v>
      </c>
      <c r="AC1660" s="13">
        <v>2</v>
      </c>
      <c r="AD1660" s="13">
        <v>3</v>
      </c>
      <c r="AE1660" s="13">
        <v>3</v>
      </c>
      <c r="AF1660" s="13"/>
      <c r="AG1660" s="16">
        <f>IFERROR(SUMIF(reading[[#This Row],[1st]:[7th]],"&gt;0")/COUNTIF(reading[[#This Row],[1st]:[7th]],"&gt;0"),"")</f>
        <v>2.8333333333333335</v>
      </c>
    </row>
    <row r="1661" spans="1:33" hidden="1" x14ac:dyDescent="0.2">
      <c r="A1661" s="4">
        <f>IF(B1661=1,3,IF(D1661=1,2,IF(F1661=1,1,0)))</f>
        <v>0</v>
      </c>
      <c r="B1661" s="4">
        <f>IF(C1661=$L1661,1,IF(C1661="","",0))</f>
        <v>0</v>
      </c>
      <c r="C1661" s="42" t="s">
        <v>9200</v>
      </c>
      <c r="D1661" s="4">
        <f>IF(E1661=$L1661,1,IF(E1661="","",0))</f>
        <v>0</v>
      </c>
      <c r="E1661" s="23" t="s">
        <v>9277</v>
      </c>
      <c r="F1661" s="4" t="str">
        <f>IF(G1661=$L1661,1,IF(G1661="","",0))</f>
        <v/>
      </c>
      <c r="G1661" s="14"/>
      <c r="H1661" s="6">
        <v>2429</v>
      </c>
      <c r="I1661" s="15" t="s">
        <v>3120</v>
      </c>
      <c r="J1661" s="6" t="s">
        <v>5499</v>
      </c>
      <c r="K1661" s="6"/>
      <c r="L1661" s="6" t="s">
        <v>2479</v>
      </c>
      <c r="M1661" s="6" t="s">
        <v>8534</v>
      </c>
      <c r="N1661" s="7">
        <f ca="1">RAND()</f>
        <v>0.79274720117894515</v>
      </c>
      <c r="O1661" s="8">
        <v>45218</v>
      </c>
      <c r="P1661" s="8">
        <v>45219</v>
      </c>
      <c r="Q1661" s="8">
        <v>45221</v>
      </c>
      <c r="R1661" s="8">
        <v>45225</v>
      </c>
      <c r="S1661" s="8">
        <v>45232</v>
      </c>
      <c r="T1661" s="8"/>
      <c r="U1661" s="8"/>
      <c r="V1661" s="10">
        <f>COUNTA(O1661:U1661)</f>
        <v>5</v>
      </c>
      <c r="W1661" s="11">
        <f>_xlfn.IFNA(INDEX(reading[[#This Row],[Memo 01]:[Memo 07]],MATCH(0,reading[[#This Row],[Memo 01]:[Memo 07]],-1)),"")</f>
        <v>45232</v>
      </c>
      <c r="X1661" s="11">
        <f ca="1">IFERROR(reading[[#This Row],[Previous]]+OFFSET(reading[[#Headers],[Memo 01]],-1,MATCH(0,reading[[#This Row],[Memo 01]:[Memo 07]],-1)-1),"")</f>
        <v>45244</v>
      </c>
      <c r="Y1661" s="10" t="str">
        <f ca="1">IF(reading[[#This Row],[Next]]&lt;&gt;"",IF(reading[[#This Row],[Next]]&gt;TODAY(),"OK",""),"")</f>
        <v/>
      </c>
      <c r="Z1661" s="13">
        <v>3</v>
      </c>
      <c r="AA1661" s="13">
        <v>3</v>
      </c>
      <c r="AB1661" s="13">
        <v>3</v>
      </c>
      <c r="AC1661" s="13">
        <v>3</v>
      </c>
      <c r="AD1661" s="13">
        <v>3</v>
      </c>
      <c r="AE1661" s="13"/>
      <c r="AF1661" s="13"/>
      <c r="AG1661" s="16">
        <f>IFERROR(SUMIF(reading[[#This Row],[1st]:[7th]],"&gt;0")/COUNTIF(reading[[#This Row],[1st]:[7th]],"&gt;0"),"")</f>
        <v>3</v>
      </c>
    </row>
    <row r="1662" spans="1:33" hidden="1" x14ac:dyDescent="0.2">
      <c r="A1662" s="4">
        <f>IF(B1662=1,3,IF(D1662=1,2,IF(F1662=1,1,0)))</f>
        <v>0</v>
      </c>
      <c r="B1662" s="4" t="str">
        <f>IF(C1662=$L1662,1,IF(C1662="","",0))</f>
        <v/>
      </c>
      <c r="C1662" s="42"/>
      <c r="D1662" s="4" t="str">
        <f>IF(E1662=$L1662,1,IF(E1662="","",0))</f>
        <v/>
      </c>
      <c r="E1662" s="14"/>
      <c r="F1662" s="4" t="str">
        <f>IF(G1662=$L1662,1,IF(G1662="","",0))</f>
        <v/>
      </c>
      <c r="G1662" s="14"/>
      <c r="H1662" s="6">
        <v>2301</v>
      </c>
      <c r="I1662" s="15" t="s">
        <v>3120</v>
      </c>
      <c r="J1662" s="6" t="s">
        <v>5379</v>
      </c>
      <c r="K1662" s="6"/>
      <c r="L1662" s="6" t="s">
        <v>2359</v>
      </c>
      <c r="M1662" s="6" t="s">
        <v>8406</v>
      </c>
      <c r="N1662" s="7">
        <f ca="1">RAND()</f>
        <v>0.88328446809892147</v>
      </c>
      <c r="O1662" s="8">
        <v>45216</v>
      </c>
      <c r="P1662" s="8">
        <v>45217</v>
      </c>
      <c r="Q1662" s="8">
        <v>45219</v>
      </c>
      <c r="R1662" s="8">
        <v>45223</v>
      </c>
      <c r="S1662" s="8">
        <v>45230</v>
      </c>
      <c r="T1662" s="8">
        <v>45827</v>
      </c>
      <c r="U1662" s="8"/>
      <c r="V1662" s="10">
        <f>COUNTA(O1662:U1662)</f>
        <v>6</v>
      </c>
      <c r="W1662" s="11">
        <f>_xlfn.IFNA(INDEX(reading[[#This Row],[Memo 01]:[Memo 07]],MATCH(0,reading[[#This Row],[Memo 01]:[Memo 07]],-1)),"")</f>
        <v>45827</v>
      </c>
      <c r="X1662" s="11">
        <f ca="1">IFERROR(reading[[#This Row],[Previous]]+OFFSET(reading[[#Headers],[Memo 01]],-1,MATCH(0,reading[[#This Row],[Memo 01]:[Memo 07]],-1)-1),"")</f>
        <v>45847</v>
      </c>
      <c r="Y1662" s="10" t="str">
        <f ca="1">IF(reading[[#This Row],[Next]]&lt;&gt;"",IF(reading[[#This Row],[Next]]&gt;TODAY(),"OK",""),"")</f>
        <v>OK</v>
      </c>
      <c r="Z1662" s="13">
        <v>3</v>
      </c>
      <c r="AA1662" s="13">
        <v>3</v>
      </c>
      <c r="AB1662" s="13">
        <v>3</v>
      </c>
      <c r="AC1662" s="13">
        <v>3</v>
      </c>
      <c r="AD1662" s="13">
        <v>3</v>
      </c>
      <c r="AE1662" s="13">
        <v>3</v>
      </c>
      <c r="AF1662" s="13"/>
      <c r="AG1662" s="16">
        <f>IFERROR(SUMIF(reading[[#This Row],[1st]:[7th]],"&gt;0")/COUNTIF(reading[[#This Row],[1st]:[7th]],"&gt;0"),"")</f>
        <v>3</v>
      </c>
    </row>
    <row r="1663" spans="1:33" hidden="1" x14ac:dyDescent="0.2">
      <c r="A1663" s="4">
        <f>IF(B1663=1,3,IF(D1663=1,2,IF(F1663=1,1,0)))</f>
        <v>0</v>
      </c>
      <c r="B1663" s="4" t="str">
        <f>IF(C1663=$L1663,1,IF(C1663="","",0))</f>
        <v/>
      </c>
      <c r="C1663" s="42"/>
      <c r="D1663" s="4" t="str">
        <f>IF(E1663=$L1663,1,IF(E1663="","",0))</f>
        <v/>
      </c>
      <c r="E1663" s="18"/>
      <c r="F1663" s="4" t="str">
        <f>IF(G1663=$L1663,1,IF(G1663="","",0))</f>
        <v/>
      </c>
      <c r="G1663" s="14"/>
      <c r="H1663" s="6">
        <v>2091</v>
      </c>
      <c r="I1663" s="15" t="s">
        <v>3120</v>
      </c>
      <c r="J1663" s="6" t="s">
        <v>5182</v>
      </c>
      <c r="K1663" s="6"/>
      <c r="L1663" s="6" t="s">
        <v>2162</v>
      </c>
      <c r="M1663" s="6" t="s">
        <v>8197</v>
      </c>
      <c r="N1663" s="7">
        <f ca="1">RAND()</f>
        <v>0.70839377937097858</v>
      </c>
      <c r="O1663" s="8">
        <v>45214</v>
      </c>
      <c r="P1663" s="8">
        <v>45215</v>
      </c>
      <c r="Q1663" s="8">
        <v>45217</v>
      </c>
      <c r="R1663" s="8">
        <v>45221</v>
      </c>
      <c r="S1663" s="8">
        <v>45228</v>
      </c>
      <c r="T1663" s="8">
        <v>45250</v>
      </c>
      <c r="U1663" s="8">
        <v>45827</v>
      </c>
      <c r="V1663" s="10">
        <f>COUNTA(O1663:U1663)</f>
        <v>7</v>
      </c>
      <c r="W1663" s="11">
        <f>_xlfn.IFNA(INDEX(reading[[#This Row],[Memo 01]:[Memo 07]],MATCH(0,reading[[#This Row],[Memo 01]:[Memo 07]],-1)),"")</f>
        <v>45827</v>
      </c>
      <c r="X1663" s="11">
        <f ca="1">IFERROR(reading[[#This Row],[Previous]]+OFFSET(reading[[#Headers],[Memo 01]],-1,MATCH(0,reading[[#This Row],[Memo 01]:[Memo 07]],-1)-1),"")</f>
        <v>55827</v>
      </c>
      <c r="Y1663" s="10" t="str">
        <f ca="1">IF(reading[[#This Row],[Next]]&lt;&gt;"",IF(reading[[#This Row],[Next]]&gt;TODAY(),"OK",""),"")</f>
        <v>OK</v>
      </c>
      <c r="Z1663" s="13">
        <v>3</v>
      </c>
      <c r="AA1663" s="13">
        <v>2</v>
      </c>
      <c r="AB1663" s="13">
        <v>3</v>
      </c>
      <c r="AC1663" s="13">
        <v>2</v>
      </c>
      <c r="AD1663" s="13">
        <v>2</v>
      </c>
      <c r="AE1663" s="13">
        <v>2</v>
      </c>
      <c r="AF1663" s="13">
        <v>3</v>
      </c>
      <c r="AG1663" s="16">
        <f>IFERROR(SUMIF(reading[[#This Row],[1st]:[7th]],"&gt;0")/COUNTIF(reading[[#This Row],[1st]:[7th]],"&gt;0"),"")</f>
        <v>2.4285714285714284</v>
      </c>
    </row>
    <row r="1664" spans="1:33" hidden="1" x14ac:dyDescent="0.2">
      <c r="A1664" s="4">
        <f>IF(B1664=1,3,IF(D1664=1,2,IF(F1664=1,1,0)))</f>
        <v>0</v>
      </c>
      <c r="B1664" s="4" t="str">
        <f>IF(C1664=$L1664,1,IF(C1664="","",0))</f>
        <v/>
      </c>
      <c r="C1664" s="42"/>
      <c r="D1664" s="4" t="str">
        <f>IF(E1664=$L1664,1,IF(E1664="","",0))</f>
        <v/>
      </c>
      <c r="E1664" s="43"/>
      <c r="F1664" s="4" t="str">
        <f>IF(G1664=$L1664,1,IF(G1664="","",0))</f>
        <v/>
      </c>
      <c r="G1664" s="14"/>
      <c r="H1664" s="6">
        <v>3069</v>
      </c>
      <c r="I1664" s="15" t="s">
        <v>3120</v>
      </c>
      <c r="J1664" s="6" t="s">
        <v>6090</v>
      </c>
      <c r="K1664" s="6"/>
      <c r="L1664" s="6" t="s">
        <v>3094</v>
      </c>
      <c r="M1664" s="6" t="s">
        <v>9172</v>
      </c>
      <c r="N1664" s="7">
        <f ca="1">RAND()</f>
        <v>0.13879302851977449</v>
      </c>
      <c r="O1664" s="8">
        <v>45226</v>
      </c>
      <c r="P1664" s="8">
        <v>45227</v>
      </c>
      <c r="Q1664" s="8">
        <v>45229</v>
      </c>
      <c r="R1664" s="8">
        <v>45233</v>
      </c>
      <c r="S1664" s="8">
        <v>45249</v>
      </c>
      <c r="T1664" s="8">
        <v>45829</v>
      </c>
      <c r="U1664" s="8"/>
      <c r="V1664" s="10">
        <f>COUNTA(O1664:U1664)</f>
        <v>6</v>
      </c>
      <c r="W1664" s="11">
        <f>_xlfn.IFNA(INDEX(reading[[#This Row],[Memo 01]:[Memo 07]],MATCH(0,reading[[#This Row],[Memo 01]:[Memo 07]],-1)),"")</f>
        <v>45829</v>
      </c>
      <c r="X1664" s="11">
        <f ca="1">IFERROR(reading[[#This Row],[Previous]]+OFFSET(reading[[#Headers],[Memo 01]],-1,MATCH(0,reading[[#This Row],[Memo 01]:[Memo 07]],-1)-1),"")</f>
        <v>45849</v>
      </c>
      <c r="Y1664" s="10" t="str">
        <f ca="1">IF(reading[[#This Row],[Next]]&lt;&gt;"",IF(reading[[#This Row],[Next]]&gt;TODAY(),"OK",""),"")</f>
        <v>OK</v>
      </c>
      <c r="Z1664" s="13">
        <v>3</v>
      </c>
      <c r="AA1664" s="13">
        <v>1</v>
      </c>
      <c r="AB1664" s="13">
        <v>3</v>
      </c>
      <c r="AC1664" s="13">
        <v>3</v>
      </c>
      <c r="AD1664" s="13">
        <v>2</v>
      </c>
      <c r="AE1664" s="13">
        <v>2</v>
      </c>
      <c r="AF1664" s="13"/>
      <c r="AG1664" s="16">
        <f>IFERROR(SUMIF(reading[[#This Row],[1st]:[7th]],"&gt;0")/COUNTIF(reading[[#This Row],[1st]:[7th]],"&gt;0"),"")</f>
        <v>2.3333333333333335</v>
      </c>
    </row>
    <row r="1665" spans="1:33" hidden="1" x14ac:dyDescent="0.2">
      <c r="A1665" s="4">
        <f>IF(B1665=1,3,IF(D1665=1,2,IF(F1665=1,1,0)))</f>
        <v>0</v>
      </c>
      <c r="B1665" s="4" t="str">
        <f>IF(C1665=$L1665,1,IF(C1665="","",0))</f>
        <v/>
      </c>
      <c r="C1665" s="43"/>
      <c r="D1665" s="4" t="str">
        <f>IF(E1665=$L1665,1,IF(E1665="","",0))</f>
        <v/>
      </c>
      <c r="E1665" s="23"/>
      <c r="F1665" s="4" t="str">
        <f>IF(G1665=$L1665,1,IF(G1665="","",0))</f>
        <v/>
      </c>
      <c r="G1665" s="14"/>
      <c r="H1665" s="6">
        <v>270</v>
      </c>
      <c r="I1665" s="15" t="s">
        <v>3120</v>
      </c>
      <c r="J1665" s="6" t="s">
        <v>3419</v>
      </c>
      <c r="K1665" s="6" t="s">
        <v>3138</v>
      </c>
      <c r="L1665" s="6" t="s">
        <v>405</v>
      </c>
      <c r="M1665" s="6" t="s">
        <v>6379</v>
      </c>
      <c r="N1665" s="7">
        <f ca="1">RAND()</f>
        <v>0.46561616249137516</v>
      </c>
      <c r="O1665" s="8">
        <v>45199</v>
      </c>
      <c r="P1665" s="8">
        <v>45200</v>
      </c>
      <c r="Q1665" s="8">
        <v>45202</v>
      </c>
      <c r="R1665" s="8">
        <v>45206</v>
      </c>
      <c r="S1665" s="8">
        <v>45213</v>
      </c>
      <c r="T1665" s="8">
        <v>45225</v>
      </c>
      <c r="U1665" s="8">
        <v>45829</v>
      </c>
      <c r="V1665" s="10">
        <f>COUNTA(O1665:U1665)</f>
        <v>7</v>
      </c>
      <c r="W1665" s="11">
        <f>_xlfn.IFNA(INDEX(reading[[#This Row],[Memo 01]:[Memo 07]],MATCH(0,reading[[#This Row],[Memo 01]:[Memo 07]],-1)),"")</f>
        <v>45829</v>
      </c>
      <c r="X1665" s="11">
        <f ca="1">IFERROR(reading[[#This Row],[Previous]]+OFFSET(reading[[#Headers],[Memo 01]],-1,MATCH(0,reading[[#This Row],[Memo 01]:[Memo 07]],-1)-1),"")</f>
        <v>55829</v>
      </c>
      <c r="Y1665" s="10" t="str">
        <f ca="1">IF(reading[[#This Row],[Next]]&lt;&gt;"",IF(reading[[#This Row],[Next]]&gt;TODAY(),"OK",""),"")</f>
        <v>OK</v>
      </c>
      <c r="Z1665" s="13">
        <v>3</v>
      </c>
      <c r="AA1665" s="13">
        <v>3</v>
      </c>
      <c r="AB1665" s="13">
        <v>3</v>
      </c>
      <c r="AC1665" s="13">
        <v>3</v>
      </c>
      <c r="AD1665" s="13">
        <v>3</v>
      </c>
      <c r="AE1665" s="13">
        <v>3</v>
      </c>
      <c r="AF1665" s="13">
        <v>2</v>
      </c>
      <c r="AG1665" s="16">
        <f>IFERROR(SUMIF(reading[[#This Row],[1st]:[7th]],"&gt;0")/COUNTIF(reading[[#This Row],[1st]:[7th]],"&gt;0"),"")</f>
        <v>2.8571428571428572</v>
      </c>
    </row>
    <row r="1666" spans="1:33" hidden="1" x14ac:dyDescent="0.2">
      <c r="A1666" s="4">
        <f>IF(B1666=1,3,IF(D1666=1,2,IF(F1666=1,1,0)))</f>
        <v>0</v>
      </c>
      <c r="B1666" s="4" t="str">
        <f>IF(C1666=$L1666,1,IF(C1666="","",0))</f>
        <v/>
      </c>
      <c r="C1666" s="42"/>
      <c r="D1666" s="4" t="str">
        <f>IF(E1666=$L1666,1,IF(E1666="","",0))</f>
        <v/>
      </c>
      <c r="E1666" s="14"/>
      <c r="F1666" s="4" t="str">
        <f>IF(G1666=$L1666,1,IF(G1666="","",0))</f>
        <v/>
      </c>
      <c r="G1666" s="14"/>
      <c r="H1666" s="6">
        <v>1757</v>
      </c>
      <c r="I1666" s="15" t="s">
        <v>3120</v>
      </c>
      <c r="J1666" s="6" t="s">
        <v>4865</v>
      </c>
      <c r="K1666" s="6"/>
      <c r="L1666" s="6" t="s">
        <v>1837</v>
      </c>
      <c r="M1666" s="6" t="s">
        <v>7863</v>
      </c>
      <c r="N1666" s="7">
        <f ca="1">RAND()</f>
        <v>0.5808450419540484</v>
      </c>
      <c r="O1666" s="8">
        <v>45211</v>
      </c>
      <c r="P1666" s="8">
        <v>45212</v>
      </c>
      <c r="Q1666" s="8">
        <v>45214</v>
      </c>
      <c r="R1666" s="8">
        <v>45218</v>
      </c>
      <c r="S1666" s="8">
        <v>45225</v>
      </c>
      <c r="T1666" s="8">
        <v>45237</v>
      </c>
      <c r="U1666" s="8">
        <v>45827</v>
      </c>
      <c r="V1666" s="10">
        <f>COUNTA(O1666:U1666)</f>
        <v>7</v>
      </c>
      <c r="W1666" s="11">
        <f>_xlfn.IFNA(INDEX(reading[[#This Row],[Memo 01]:[Memo 07]],MATCH(0,reading[[#This Row],[Memo 01]:[Memo 07]],-1)),"")</f>
        <v>45827</v>
      </c>
      <c r="X1666" s="11">
        <f ca="1">IFERROR(reading[[#This Row],[Previous]]+OFFSET(reading[[#Headers],[Memo 01]],-1,MATCH(0,reading[[#This Row],[Memo 01]:[Memo 07]],-1)-1),"")</f>
        <v>55827</v>
      </c>
      <c r="Y1666" s="10" t="str">
        <f ca="1">IF(reading[[#This Row],[Next]]&lt;&gt;"",IF(reading[[#This Row],[Next]]&gt;TODAY(),"OK",""),"")</f>
        <v>OK</v>
      </c>
      <c r="Z1666" s="13">
        <v>3</v>
      </c>
      <c r="AA1666" s="13">
        <v>3</v>
      </c>
      <c r="AB1666" s="13">
        <v>3</v>
      </c>
      <c r="AC1666" s="13">
        <v>3</v>
      </c>
      <c r="AD1666" s="13">
        <v>3</v>
      </c>
      <c r="AE1666" s="13">
        <v>3</v>
      </c>
      <c r="AF1666" s="13">
        <v>3</v>
      </c>
      <c r="AG1666" s="16">
        <f>IFERROR(SUMIF(reading[[#This Row],[1st]:[7th]],"&gt;0")/COUNTIF(reading[[#This Row],[1st]:[7th]],"&gt;0"),"")</f>
        <v>3</v>
      </c>
    </row>
    <row r="1667" spans="1:33" hidden="1" x14ac:dyDescent="0.2">
      <c r="A1667" s="4">
        <f>IF(B1667=1,3,IF(D1667=1,2,IF(F1667=1,1,0)))</f>
        <v>0</v>
      </c>
      <c r="B1667" s="4" t="str">
        <f>IF(C1667=$L1667,1,IF(C1667="","",0))</f>
        <v/>
      </c>
      <c r="C1667" s="42"/>
      <c r="D1667" s="4" t="str">
        <f>IF(E1667=$L1667,1,IF(E1667="","",0))</f>
        <v/>
      </c>
      <c r="E1667" s="23"/>
      <c r="F1667" s="4" t="str">
        <f>IF(G1667=$L1667,1,IF(G1667="","",0))</f>
        <v/>
      </c>
      <c r="G1667" s="23"/>
      <c r="H1667" s="6">
        <v>2562</v>
      </c>
      <c r="I1667" s="15" t="s">
        <v>3120</v>
      </c>
      <c r="J1667" s="6" t="s">
        <v>5232</v>
      </c>
      <c r="K1667" s="6"/>
      <c r="L1667" s="6" t="s">
        <v>2607</v>
      </c>
      <c r="M1667" s="6" t="s">
        <v>8667</v>
      </c>
      <c r="N1667" s="7">
        <f ca="1">RAND()</f>
        <v>0.82594201277566381</v>
      </c>
      <c r="O1667" s="8">
        <v>45220</v>
      </c>
      <c r="P1667" s="8">
        <v>45221</v>
      </c>
      <c r="Q1667" s="8">
        <v>45223</v>
      </c>
      <c r="R1667" s="8">
        <v>45227</v>
      </c>
      <c r="S1667" s="8">
        <v>45234</v>
      </c>
      <c r="T1667" s="8">
        <v>45816</v>
      </c>
      <c r="U1667" s="8"/>
      <c r="V1667" s="10">
        <f>COUNTA(O1667:U1667)</f>
        <v>6</v>
      </c>
      <c r="W1667" s="11">
        <f>_xlfn.IFNA(INDEX(reading[[#This Row],[Memo 01]:[Memo 07]],MATCH(0,reading[[#This Row],[Memo 01]:[Memo 07]],-1)),"")</f>
        <v>45816</v>
      </c>
      <c r="X1667" s="11">
        <f ca="1">IFERROR(reading[[#This Row],[Previous]]+OFFSET(reading[[#Headers],[Memo 01]],-1,MATCH(0,reading[[#This Row],[Memo 01]:[Memo 07]],-1)-1),"")</f>
        <v>45836</v>
      </c>
      <c r="Y1667" s="10" t="str">
        <f ca="1">IF(reading[[#This Row],[Next]]&lt;&gt;"",IF(reading[[#This Row],[Next]]&gt;TODAY(),"OK",""),"")</f>
        <v>OK</v>
      </c>
      <c r="Z1667" s="13">
        <v>3</v>
      </c>
      <c r="AA1667" s="13">
        <v>3</v>
      </c>
      <c r="AB1667" s="13">
        <v>3</v>
      </c>
      <c r="AC1667" s="13">
        <v>3</v>
      </c>
      <c r="AD1667" s="13">
        <v>3</v>
      </c>
      <c r="AE1667" s="13">
        <v>1</v>
      </c>
      <c r="AF1667" s="13"/>
      <c r="AG1667" s="16">
        <f>IFERROR(SUMIF(reading[[#This Row],[1st]:[7th]],"&gt;0")/COUNTIF(reading[[#This Row],[1st]:[7th]],"&gt;0"),"")</f>
        <v>2.6666666666666665</v>
      </c>
    </row>
    <row r="1668" spans="1:33" hidden="1" x14ac:dyDescent="0.2">
      <c r="A1668" s="4">
        <f>IF(B1668=1,3,IF(D1668=1,2,IF(F1668=1,1,0)))</f>
        <v>0</v>
      </c>
      <c r="B1668" s="4" t="str">
        <f>IF(C1668=$L1668,1,IF(C1668="","",0))</f>
        <v/>
      </c>
      <c r="C1668" s="42"/>
      <c r="D1668" s="4" t="str">
        <f>IF(E1668=$L1668,1,IF(E1668="","",0))</f>
        <v/>
      </c>
      <c r="E1668" s="43"/>
      <c r="F1668" s="4" t="str">
        <f>IF(G1668=$L1668,1,IF(G1668="","",0))</f>
        <v/>
      </c>
      <c r="G1668" s="14"/>
      <c r="H1668" s="6">
        <v>2009</v>
      </c>
      <c r="I1668" s="15" t="s">
        <v>3120</v>
      </c>
      <c r="J1668" s="6" t="s">
        <v>5107</v>
      </c>
      <c r="K1668" s="6"/>
      <c r="L1668" s="6" t="s">
        <v>2084</v>
      </c>
      <c r="M1668" s="6" t="s">
        <v>8115</v>
      </c>
      <c r="N1668" s="7">
        <f ca="1">RAND()</f>
        <v>0.66746665580036568</v>
      </c>
      <c r="O1668" s="8">
        <v>45213</v>
      </c>
      <c r="P1668" s="8">
        <v>45214</v>
      </c>
      <c r="Q1668" s="8">
        <v>45216</v>
      </c>
      <c r="R1668" s="8">
        <v>45220</v>
      </c>
      <c r="S1668" s="8">
        <v>45227</v>
      </c>
      <c r="T1668" s="8">
        <v>45829</v>
      </c>
      <c r="U1668" s="8"/>
      <c r="V1668" s="10">
        <f>COUNTA(O1668:U1668)</f>
        <v>6</v>
      </c>
      <c r="W1668" s="11">
        <f>_xlfn.IFNA(INDEX(reading[[#This Row],[Memo 01]:[Memo 07]],MATCH(0,reading[[#This Row],[Memo 01]:[Memo 07]],-1)),"")</f>
        <v>45829</v>
      </c>
      <c r="X1668" s="11">
        <f ca="1">IFERROR(reading[[#This Row],[Previous]]+OFFSET(reading[[#Headers],[Memo 01]],-1,MATCH(0,reading[[#This Row],[Memo 01]:[Memo 07]],-1)-1),"")</f>
        <v>45849</v>
      </c>
      <c r="Y1668" s="10" t="str">
        <f ca="1">IF(reading[[#This Row],[Next]]&lt;&gt;"",IF(reading[[#This Row],[Next]]&gt;TODAY(),"OK",""),"")</f>
        <v>OK</v>
      </c>
      <c r="Z1668" s="13">
        <v>3</v>
      </c>
      <c r="AA1668" s="13">
        <v>3</v>
      </c>
      <c r="AB1668" s="13">
        <v>2</v>
      </c>
      <c r="AC1668" s="13">
        <v>3</v>
      </c>
      <c r="AD1668" s="13">
        <v>3</v>
      </c>
      <c r="AE1668" s="13">
        <v>2</v>
      </c>
      <c r="AF1668" s="13"/>
      <c r="AG1668" s="16">
        <f>IFERROR(SUMIF(reading[[#This Row],[1st]:[7th]],"&gt;0")/COUNTIF(reading[[#This Row],[1st]:[7th]],"&gt;0"),"")</f>
        <v>2.6666666666666665</v>
      </c>
    </row>
    <row r="1669" spans="1:33" hidden="1" x14ac:dyDescent="0.2">
      <c r="A1669" s="4">
        <f>IF(B1669=1,3,IF(D1669=1,2,IF(F1669=1,1,0)))</f>
        <v>0</v>
      </c>
      <c r="B1669" s="4">
        <f>IF(C1669=$L1669,1,IF(C1669="","",0))</f>
        <v>0</v>
      </c>
      <c r="C1669" s="42" t="s">
        <v>9273</v>
      </c>
      <c r="D1669" s="4">
        <f>IF(E1669=$L1669,1,IF(E1669="","",0))</f>
        <v>0</v>
      </c>
      <c r="E1669" s="43" t="s">
        <v>9271</v>
      </c>
      <c r="F1669" s="4" t="str">
        <f>IF(G1669=$L1669,1,IF(G1669="","",0))</f>
        <v/>
      </c>
      <c r="G1669" s="14"/>
      <c r="H1669" s="6">
        <v>2571</v>
      </c>
      <c r="I1669" s="15" t="s">
        <v>3120</v>
      </c>
      <c r="J1669" s="6" t="s">
        <v>5631</v>
      </c>
      <c r="K1669" s="6"/>
      <c r="L1669" s="6" t="s">
        <v>2615</v>
      </c>
      <c r="M1669" s="6" t="s">
        <v>8676</v>
      </c>
      <c r="N1669" s="7">
        <f ca="1">RAND()</f>
        <v>0.22266879723801303</v>
      </c>
      <c r="O1669" s="8">
        <v>45219</v>
      </c>
      <c r="P1669" s="8">
        <v>45220</v>
      </c>
      <c r="Q1669" s="8">
        <v>45222</v>
      </c>
      <c r="R1669" s="8">
        <v>45226</v>
      </c>
      <c r="S1669" s="8">
        <v>45233</v>
      </c>
      <c r="T1669" s="8"/>
      <c r="U1669" s="8"/>
      <c r="V1669" s="10">
        <f>COUNTA(O1669:U1669)</f>
        <v>5</v>
      </c>
      <c r="W1669" s="11">
        <f>_xlfn.IFNA(INDEX(reading[[#This Row],[Memo 01]:[Memo 07]],MATCH(0,reading[[#This Row],[Memo 01]:[Memo 07]],-1)),"")</f>
        <v>45233</v>
      </c>
      <c r="X1669" s="11">
        <f ca="1">IFERROR(reading[[#This Row],[Previous]]+OFFSET(reading[[#Headers],[Memo 01]],-1,MATCH(0,reading[[#This Row],[Memo 01]:[Memo 07]],-1)-1),"")</f>
        <v>45245</v>
      </c>
      <c r="Y1669" s="10" t="str">
        <f ca="1">IF(reading[[#This Row],[Next]]&lt;&gt;"",IF(reading[[#This Row],[Next]]&gt;TODAY(),"OK",""),"")</f>
        <v/>
      </c>
      <c r="Z1669" s="13">
        <v>3</v>
      </c>
      <c r="AA1669" s="13">
        <v>3</v>
      </c>
      <c r="AB1669" s="13">
        <v>3</v>
      </c>
      <c r="AC1669" s="13">
        <v>2</v>
      </c>
      <c r="AD1669" s="13">
        <v>3</v>
      </c>
      <c r="AE1669" s="13"/>
      <c r="AF1669" s="13"/>
      <c r="AG1669" s="16">
        <f>IFERROR(SUMIF(reading[[#This Row],[1st]:[7th]],"&gt;0")/COUNTIF(reading[[#This Row],[1st]:[7th]],"&gt;0"),"")</f>
        <v>2.8</v>
      </c>
    </row>
    <row r="1670" spans="1:33" hidden="1" x14ac:dyDescent="0.2">
      <c r="A1670" s="4">
        <f>IF(B1670=1,3,IF(D1670=1,2,IF(F1670=1,1,0)))</f>
        <v>0</v>
      </c>
      <c r="B1670" s="4" t="str">
        <f>IF(C1670=$L1670,1,IF(C1670="","",0))</f>
        <v/>
      </c>
      <c r="C1670" s="42"/>
      <c r="D1670" s="4" t="str">
        <f>IF(E1670=$L1670,1,IF(E1670="","",0))</f>
        <v/>
      </c>
      <c r="E1670" s="14"/>
      <c r="F1670" s="4" t="str">
        <f>IF(G1670=$L1670,1,IF(G1670="","",0))</f>
        <v/>
      </c>
      <c r="G1670" s="14"/>
      <c r="H1670" s="6">
        <v>2803</v>
      </c>
      <c r="I1670" s="15" t="s">
        <v>3120</v>
      </c>
      <c r="J1670" s="6" t="s">
        <v>5846</v>
      </c>
      <c r="K1670" s="6"/>
      <c r="L1670" s="6" t="s">
        <v>95</v>
      </c>
      <c r="M1670" s="6" t="s">
        <v>8907</v>
      </c>
      <c r="N1670" s="7">
        <f ca="1">RAND()</f>
        <v>6.9326479017763343E-2</v>
      </c>
      <c r="O1670" s="8">
        <v>45222</v>
      </c>
      <c r="P1670" s="8">
        <v>45223</v>
      </c>
      <c r="Q1670" s="8">
        <v>45225</v>
      </c>
      <c r="R1670" s="8">
        <v>45229</v>
      </c>
      <c r="S1670" s="8">
        <v>45236</v>
      </c>
      <c r="T1670" s="8">
        <v>45801</v>
      </c>
      <c r="U1670" s="8">
        <v>45827</v>
      </c>
      <c r="V1670" s="10">
        <f>COUNTA(O1670:U1670)</f>
        <v>7</v>
      </c>
      <c r="W1670" s="11">
        <f>_xlfn.IFNA(INDEX(reading[[#This Row],[Memo 01]:[Memo 07]],MATCH(0,reading[[#This Row],[Memo 01]:[Memo 07]],-1)),"")</f>
        <v>45827</v>
      </c>
      <c r="X1670" s="11">
        <f ca="1">IFERROR(reading[[#This Row],[Previous]]+OFFSET(reading[[#Headers],[Memo 01]],-1,MATCH(0,reading[[#This Row],[Memo 01]:[Memo 07]],-1)-1),"")</f>
        <v>55827</v>
      </c>
      <c r="Y1670" s="10" t="str">
        <f ca="1">IF(reading[[#This Row],[Next]]&lt;&gt;"",IF(reading[[#This Row],[Next]]&gt;TODAY(),"OK",""),"")</f>
        <v>OK</v>
      </c>
      <c r="Z1670" s="13">
        <v>3</v>
      </c>
      <c r="AA1670" s="13">
        <v>3</v>
      </c>
      <c r="AB1670" s="13">
        <v>3</v>
      </c>
      <c r="AC1670" s="13">
        <v>3</v>
      </c>
      <c r="AD1670" s="13">
        <v>3</v>
      </c>
      <c r="AE1670" s="13">
        <v>3</v>
      </c>
      <c r="AF1670" s="13">
        <v>3</v>
      </c>
      <c r="AG1670" s="16">
        <f>IFERROR(SUMIF(reading[[#This Row],[1st]:[7th]],"&gt;0")/COUNTIF(reading[[#This Row],[1st]:[7th]],"&gt;0"),"")</f>
        <v>3</v>
      </c>
    </row>
    <row r="1671" spans="1:33" hidden="1" x14ac:dyDescent="0.2">
      <c r="A1671" s="4">
        <f>IF(B1671=1,3,IF(D1671=1,2,IF(F1671=1,1,0)))</f>
        <v>0</v>
      </c>
      <c r="B1671" s="4" t="str">
        <f>IF(C1671=$L1671,1,IF(C1671="","",0))</f>
        <v/>
      </c>
      <c r="C1671" s="42"/>
      <c r="D1671" s="4" t="str">
        <f>IF(E1671=$L1671,1,IF(E1671="","",0))</f>
        <v/>
      </c>
      <c r="E1671" s="14"/>
      <c r="F1671" s="4" t="str">
        <f>IF(G1671=$L1671,1,IF(G1671="","",0))</f>
        <v/>
      </c>
      <c r="G1671" s="14"/>
      <c r="H1671" s="6">
        <v>1619</v>
      </c>
      <c r="I1671" s="15" t="s">
        <v>3120</v>
      </c>
      <c r="J1671" s="6" t="s">
        <v>4731</v>
      </c>
      <c r="K1671" s="6"/>
      <c r="L1671" s="6" t="s">
        <v>1701</v>
      </c>
      <c r="M1671" s="6" t="s">
        <v>7725</v>
      </c>
      <c r="N1671" s="7">
        <f ca="1">RAND()</f>
        <v>0.65963821919711796</v>
      </c>
      <c r="O1671" s="8">
        <v>45210</v>
      </c>
      <c r="P1671" s="8">
        <v>45212</v>
      </c>
      <c r="Q1671" s="8">
        <v>45214</v>
      </c>
      <c r="R1671" s="8">
        <v>45218</v>
      </c>
      <c r="S1671" s="8">
        <v>45225</v>
      </c>
      <c r="T1671" s="8">
        <v>45237</v>
      </c>
      <c r="U1671" s="8">
        <v>45827</v>
      </c>
      <c r="V1671" s="10">
        <f>COUNTA(O1671:U1671)</f>
        <v>7</v>
      </c>
      <c r="W1671" s="11">
        <f>_xlfn.IFNA(INDEX(reading[[#This Row],[Memo 01]:[Memo 07]],MATCH(0,reading[[#This Row],[Memo 01]:[Memo 07]],-1)),"")</f>
        <v>45827</v>
      </c>
      <c r="X1671" s="11">
        <f ca="1">IFERROR(reading[[#This Row],[Previous]]+OFFSET(reading[[#Headers],[Memo 01]],-1,MATCH(0,reading[[#This Row],[Memo 01]:[Memo 07]],-1)-1),"")</f>
        <v>55827</v>
      </c>
      <c r="Y1671" s="10" t="str">
        <f ca="1">IF(reading[[#This Row],[Next]]&lt;&gt;"",IF(reading[[#This Row],[Next]]&gt;TODAY(),"OK",""),"")</f>
        <v>OK</v>
      </c>
      <c r="Z1671" s="13">
        <v>3</v>
      </c>
      <c r="AA1671" s="13">
        <v>2</v>
      </c>
      <c r="AB1671" s="13">
        <v>3</v>
      </c>
      <c r="AC1671" s="13">
        <v>3</v>
      </c>
      <c r="AD1671" s="13">
        <v>3</v>
      </c>
      <c r="AE1671" s="13">
        <v>3</v>
      </c>
      <c r="AF1671" s="13">
        <v>3</v>
      </c>
      <c r="AG1671" s="16">
        <f>IFERROR(SUMIF(reading[[#This Row],[1st]:[7th]],"&gt;0")/COUNTIF(reading[[#This Row],[1st]:[7th]],"&gt;0"),"")</f>
        <v>2.8571428571428572</v>
      </c>
    </row>
    <row r="1672" spans="1:33" hidden="1" x14ac:dyDescent="0.2">
      <c r="A1672" s="4">
        <f>IF(B1672=1,3,IF(D1672=1,2,IF(F1672=1,1,0)))</f>
        <v>0</v>
      </c>
      <c r="B1672" s="4" t="str">
        <f>IF(C1672=$L1672,1,IF(C1672="","",0))</f>
        <v/>
      </c>
      <c r="C1672" s="42"/>
      <c r="D1672" s="4" t="str">
        <f>IF(E1672=$L1672,1,IF(E1672="","",0))</f>
        <v/>
      </c>
      <c r="E1672" s="18"/>
      <c r="F1672" s="4" t="str">
        <f>IF(G1672=$L1672,1,IF(G1672="","",0))</f>
        <v/>
      </c>
      <c r="G1672" s="14"/>
      <c r="H1672" s="6">
        <v>2294</v>
      </c>
      <c r="I1672" s="15" t="s">
        <v>3120</v>
      </c>
      <c r="J1672" s="6" t="s">
        <v>5374</v>
      </c>
      <c r="K1672" s="6"/>
      <c r="L1672" s="6" t="s">
        <v>2352</v>
      </c>
      <c r="M1672" s="6" t="s">
        <v>8399</v>
      </c>
      <c r="N1672" s="7">
        <f ca="1">RAND()</f>
        <v>0.54767249279577868</v>
      </c>
      <c r="O1672" s="8">
        <v>45216</v>
      </c>
      <c r="P1672" s="8">
        <v>45217</v>
      </c>
      <c r="Q1672" s="8">
        <v>45219</v>
      </c>
      <c r="R1672" s="8">
        <v>45223</v>
      </c>
      <c r="S1672" s="8">
        <v>45230</v>
      </c>
      <c r="T1672" s="8">
        <v>45827</v>
      </c>
      <c r="U1672" s="8"/>
      <c r="V1672" s="10">
        <f>COUNTA(O1672:U1672)</f>
        <v>6</v>
      </c>
      <c r="W1672" s="11">
        <f>_xlfn.IFNA(INDEX(reading[[#This Row],[Memo 01]:[Memo 07]],MATCH(0,reading[[#This Row],[Memo 01]:[Memo 07]],-1)),"")</f>
        <v>45827</v>
      </c>
      <c r="X1672" s="11">
        <f ca="1">IFERROR(reading[[#This Row],[Previous]]+OFFSET(reading[[#Headers],[Memo 01]],-1,MATCH(0,reading[[#This Row],[Memo 01]:[Memo 07]],-1)-1),"")</f>
        <v>45847</v>
      </c>
      <c r="Y1672" s="10" t="str">
        <f ca="1">IF(reading[[#This Row],[Next]]&lt;&gt;"",IF(reading[[#This Row],[Next]]&gt;TODAY(),"OK",""),"")</f>
        <v>OK</v>
      </c>
      <c r="Z1672" s="13">
        <v>3</v>
      </c>
      <c r="AA1672" s="13">
        <v>3</v>
      </c>
      <c r="AB1672" s="13">
        <v>3</v>
      </c>
      <c r="AC1672" s="13">
        <v>2</v>
      </c>
      <c r="AD1672" s="13">
        <v>3</v>
      </c>
      <c r="AE1672" s="13">
        <v>3</v>
      </c>
      <c r="AF1672" s="13"/>
      <c r="AG1672" s="16">
        <f>IFERROR(SUMIF(reading[[#This Row],[1st]:[7th]],"&gt;0")/COUNTIF(reading[[#This Row],[1st]:[7th]],"&gt;0"),"")</f>
        <v>2.8333333333333335</v>
      </c>
    </row>
    <row r="1673" spans="1:33" hidden="1" x14ac:dyDescent="0.2">
      <c r="A1673" s="4">
        <f>IF(B1673=1,3,IF(D1673=1,2,IF(F1673=1,1,0)))</f>
        <v>0</v>
      </c>
      <c r="B1673" s="4" t="str">
        <f>IF(C1673=$L1673,1,IF(C1673="","",0))</f>
        <v/>
      </c>
      <c r="C1673" s="42"/>
      <c r="D1673" s="4" t="str">
        <f>IF(E1673=$L1673,1,IF(E1673="","",0))</f>
        <v/>
      </c>
      <c r="E1673" s="23"/>
      <c r="F1673" s="4" t="str">
        <f>IF(G1673=$L1673,1,IF(G1673="","",0))</f>
        <v/>
      </c>
      <c r="G1673" s="23"/>
      <c r="H1673" s="6">
        <v>2326</v>
      </c>
      <c r="I1673" s="15" t="s">
        <v>3120</v>
      </c>
      <c r="J1673" s="6" t="s">
        <v>5403</v>
      </c>
      <c r="K1673" s="6"/>
      <c r="L1673" s="6" t="s">
        <v>2381</v>
      </c>
      <c r="M1673" s="6" t="s">
        <v>8431</v>
      </c>
      <c r="N1673" s="7">
        <f ca="1">RAND()</f>
        <v>0.93067961075410222</v>
      </c>
      <c r="O1673" s="8">
        <v>45216</v>
      </c>
      <c r="P1673" s="8">
        <v>45217</v>
      </c>
      <c r="Q1673" s="8">
        <v>45219</v>
      </c>
      <c r="R1673" s="8">
        <v>45223</v>
      </c>
      <c r="S1673" s="8">
        <v>45230</v>
      </c>
      <c r="T1673" s="8">
        <v>45817</v>
      </c>
      <c r="U1673" s="8"/>
      <c r="V1673" s="10">
        <f>COUNTA(O1673:U1673)</f>
        <v>6</v>
      </c>
      <c r="W1673" s="11">
        <f>_xlfn.IFNA(INDEX(reading[[#This Row],[Memo 01]:[Memo 07]],MATCH(0,reading[[#This Row],[Memo 01]:[Memo 07]],-1)),"")</f>
        <v>45817</v>
      </c>
      <c r="X1673" s="11">
        <f ca="1">IFERROR(reading[[#This Row],[Previous]]+OFFSET(reading[[#Headers],[Memo 01]],-1,MATCH(0,reading[[#This Row],[Memo 01]:[Memo 07]],-1)-1),"")</f>
        <v>45837</v>
      </c>
      <c r="Y1673" s="10" t="str">
        <f ca="1">IF(reading[[#This Row],[Next]]&lt;&gt;"",IF(reading[[#This Row],[Next]]&gt;TODAY(),"OK",""),"")</f>
        <v>OK</v>
      </c>
      <c r="Z1673" s="13">
        <v>3</v>
      </c>
      <c r="AA1673" s="13">
        <v>3</v>
      </c>
      <c r="AB1673" s="13">
        <v>3</v>
      </c>
      <c r="AC1673" s="13">
        <v>3</v>
      </c>
      <c r="AD1673" s="13">
        <v>3</v>
      </c>
      <c r="AE1673" s="13">
        <v>1</v>
      </c>
      <c r="AF1673" s="13"/>
      <c r="AG1673" s="16">
        <f>IFERROR(SUMIF(reading[[#This Row],[1st]:[7th]],"&gt;0")/COUNTIF(reading[[#This Row],[1st]:[7th]],"&gt;0"),"")</f>
        <v>2.6666666666666665</v>
      </c>
    </row>
    <row r="1674" spans="1:33" hidden="1" x14ac:dyDescent="0.2">
      <c r="A1674" s="4">
        <f>IF(B1674=1,3,IF(D1674=1,2,IF(F1674=1,1,0)))</f>
        <v>0</v>
      </c>
      <c r="B1674" s="4" t="str">
        <f>IF(C1674=$L1674,1,IF(C1674="","",0))</f>
        <v/>
      </c>
      <c r="C1674" s="42"/>
      <c r="D1674" s="4" t="str">
        <f>IF(E1674=$L1674,1,IF(E1674="","",0))</f>
        <v/>
      </c>
      <c r="E1674" s="43"/>
      <c r="F1674" s="4" t="str">
        <f>IF(G1674=$L1674,1,IF(G1674="","",0))</f>
        <v/>
      </c>
      <c r="G1674" s="23"/>
      <c r="H1674" s="6">
        <v>2150</v>
      </c>
      <c r="I1674" s="15" t="s">
        <v>3120</v>
      </c>
      <c r="J1674" s="6" t="s">
        <v>5238</v>
      </c>
      <c r="K1674" s="15" t="s">
        <v>3139</v>
      </c>
      <c r="L1674" s="6" t="s">
        <v>2217</v>
      </c>
      <c r="M1674" s="6" t="s">
        <v>8256</v>
      </c>
      <c r="N1674" s="7">
        <f ca="1">RAND()</f>
        <v>6.8261936075527441E-2</v>
      </c>
      <c r="O1674" s="8">
        <v>45214</v>
      </c>
      <c r="P1674" s="8">
        <v>45215</v>
      </c>
      <c r="Q1674" s="8">
        <v>45217</v>
      </c>
      <c r="R1674" s="8">
        <v>45221</v>
      </c>
      <c r="S1674" s="8">
        <v>45228</v>
      </c>
      <c r="T1674" s="8">
        <v>45817</v>
      </c>
      <c r="U1674" s="8"/>
      <c r="V1674" s="10">
        <f>COUNTA(O1674:U1674)</f>
        <v>6</v>
      </c>
      <c r="W1674" s="11">
        <f>_xlfn.IFNA(INDEX(reading[[#This Row],[Memo 01]:[Memo 07]],MATCH(0,reading[[#This Row],[Memo 01]:[Memo 07]],-1)),"")</f>
        <v>45817</v>
      </c>
      <c r="X1674" s="11">
        <f ca="1">IFERROR(reading[[#This Row],[Previous]]+OFFSET(reading[[#Headers],[Memo 01]],-1,MATCH(0,reading[[#This Row],[Memo 01]:[Memo 07]],-1)-1),"")</f>
        <v>45837</v>
      </c>
      <c r="Y1674" s="10" t="str">
        <f ca="1">IF(reading[[#This Row],[Next]]&lt;&gt;"",IF(reading[[#This Row],[Next]]&gt;TODAY(),"OK",""),"")</f>
        <v>OK</v>
      </c>
      <c r="Z1674" s="13">
        <v>3</v>
      </c>
      <c r="AA1674" s="13">
        <v>2</v>
      </c>
      <c r="AB1674" s="13">
        <v>3</v>
      </c>
      <c r="AC1674" s="13">
        <v>3</v>
      </c>
      <c r="AD1674" s="13">
        <v>3</v>
      </c>
      <c r="AE1674" s="13">
        <v>1</v>
      </c>
      <c r="AF1674" s="13"/>
      <c r="AG1674" s="16">
        <f>IFERROR(SUMIF(reading[[#This Row],[1st]:[7th]],"&gt;0")/COUNTIF(reading[[#This Row],[1st]:[7th]],"&gt;0"),"")</f>
        <v>2.5</v>
      </c>
    </row>
    <row r="1675" spans="1:33" hidden="1" x14ac:dyDescent="0.2">
      <c r="A1675" s="4">
        <f>IF(B1675=1,3,IF(D1675=1,2,IF(F1675=1,1,0)))</f>
        <v>0</v>
      </c>
      <c r="B1675" s="4" t="str">
        <f>IF(C1675=$L1675,1,IF(C1675="","",0))</f>
        <v/>
      </c>
      <c r="C1675" s="42"/>
      <c r="D1675" s="4" t="str">
        <f>IF(E1675=$L1675,1,IF(E1675="","",0))</f>
        <v/>
      </c>
      <c r="E1675" s="18"/>
      <c r="F1675" s="4" t="str">
        <f>IF(G1675=$L1675,1,IF(G1675="","",0))</f>
        <v/>
      </c>
      <c r="G1675" s="14"/>
      <c r="H1675" s="6">
        <v>1830</v>
      </c>
      <c r="I1675" s="15" t="s">
        <v>3120</v>
      </c>
      <c r="J1675" s="6" t="s">
        <v>4935</v>
      </c>
      <c r="K1675" s="6"/>
      <c r="L1675" s="6" t="s">
        <v>1908</v>
      </c>
      <c r="M1675" s="6" t="s">
        <v>7936</v>
      </c>
      <c r="N1675" s="7">
        <f ca="1">RAND()</f>
        <v>0.23187593492242231</v>
      </c>
      <c r="O1675" s="8">
        <v>45213</v>
      </c>
      <c r="P1675" s="8">
        <v>45214</v>
      </c>
      <c r="Q1675" s="8">
        <v>45216</v>
      </c>
      <c r="R1675" s="8">
        <v>45220</v>
      </c>
      <c r="S1675" s="8">
        <v>45227</v>
      </c>
      <c r="T1675" s="8">
        <v>45827</v>
      </c>
      <c r="U1675" s="8"/>
      <c r="V1675" s="10">
        <f>COUNTA(O1675:U1675)</f>
        <v>6</v>
      </c>
      <c r="W1675" s="11">
        <f>_xlfn.IFNA(INDEX(reading[[#This Row],[Memo 01]:[Memo 07]],MATCH(0,reading[[#This Row],[Memo 01]:[Memo 07]],-1)),"")</f>
        <v>45827</v>
      </c>
      <c r="X1675" s="11">
        <f ca="1">IFERROR(reading[[#This Row],[Previous]]+OFFSET(reading[[#Headers],[Memo 01]],-1,MATCH(0,reading[[#This Row],[Memo 01]:[Memo 07]],-1)-1),"")</f>
        <v>45847</v>
      </c>
      <c r="Y1675" s="10" t="str">
        <f ca="1">IF(reading[[#This Row],[Next]]&lt;&gt;"",IF(reading[[#This Row],[Next]]&gt;TODAY(),"OK",""),"")</f>
        <v>OK</v>
      </c>
      <c r="Z1675" s="13">
        <v>3</v>
      </c>
      <c r="AA1675" s="13">
        <v>3</v>
      </c>
      <c r="AB1675" s="13">
        <v>2</v>
      </c>
      <c r="AC1675" s="13">
        <v>3</v>
      </c>
      <c r="AD1675" s="13">
        <v>3</v>
      </c>
      <c r="AE1675" s="13">
        <v>3</v>
      </c>
      <c r="AF1675" s="13"/>
      <c r="AG1675" s="16">
        <f>IFERROR(SUMIF(reading[[#This Row],[1st]:[7th]],"&gt;0")/COUNTIF(reading[[#This Row],[1st]:[7th]],"&gt;0"),"")</f>
        <v>2.8333333333333335</v>
      </c>
    </row>
    <row r="1676" spans="1:33" hidden="1" x14ac:dyDescent="0.2">
      <c r="A1676" s="4">
        <f>IF(B1676=1,3,IF(D1676=1,2,IF(F1676=1,1,0)))</f>
        <v>0</v>
      </c>
      <c r="B1676" s="4" t="str">
        <f>IF(C1676=$L1676,1,IF(C1676="","",0))</f>
        <v/>
      </c>
      <c r="C1676" s="42"/>
      <c r="D1676" s="4" t="str">
        <f>IF(E1676=$L1676,1,IF(E1676="","",0))</f>
        <v/>
      </c>
      <c r="E1676" s="14"/>
      <c r="F1676" s="4" t="str">
        <f>IF(G1676=$L1676,1,IF(G1676="","",0))</f>
        <v/>
      </c>
      <c r="G1676" s="14"/>
      <c r="H1676" s="6">
        <v>2628</v>
      </c>
      <c r="I1676" s="15" t="s">
        <v>3120</v>
      </c>
      <c r="J1676" s="6" t="s">
        <v>5683</v>
      </c>
      <c r="K1676" s="6"/>
      <c r="L1676" s="6" t="s">
        <v>2669</v>
      </c>
      <c r="M1676" s="6" t="s">
        <v>8733</v>
      </c>
      <c r="N1676" s="7">
        <f ca="1">RAND()</f>
        <v>3.5211894968917301E-3</v>
      </c>
      <c r="O1676" s="8">
        <v>45220</v>
      </c>
      <c r="P1676" s="8">
        <v>45221</v>
      </c>
      <c r="Q1676" s="8">
        <v>45223</v>
      </c>
      <c r="R1676" s="8">
        <v>45227</v>
      </c>
      <c r="S1676" s="8">
        <v>45235</v>
      </c>
      <c r="T1676" s="8">
        <v>45827</v>
      </c>
      <c r="U1676" s="8"/>
      <c r="V1676" s="10">
        <f>COUNTA(O1676:U1676)</f>
        <v>6</v>
      </c>
      <c r="W1676" s="11">
        <f>_xlfn.IFNA(INDEX(reading[[#This Row],[Memo 01]:[Memo 07]],MATCH(0,reading[[#This Row],[Memo 01]:[Memo 07]],-1)),"")</f>
        <v>45827</v>
      </c>
      <c r="X1676" s="11">
        <f ca="1">IFERROR(reading[[#This Row],[Previous]]+OFFSET(reading[[#Headers],[Memo 01]],-1,MATCH(0,reading[[#This Row],[Memo 01]:[Memo 07]],-1)-1),"")</f>
        <v>45847</v>
      </c>
      <c r="Y1676" s="10" t="str">
        <f ca="1">IF(reading[[#This Row],[Next]]&lt;&gt;"",IF(reading[[#This Row],[Next]]&gt;TODAY(),"OK",""),"")</f>
        <v>OK</v>
      </c>
      <c r="Z1676" s="13">
        <v>3</v>
      </c>
      <c r="AA1676" s="13">
        <v>3</v>
      </c>
      <c r="AB1676" s="13">
        <v>3</v>
      </c>
      <c r="AC1676" s="13">
        <v>3</v>
      </c>
      <c r="AD1676" s="13">
        <v>2</v>
      </c>
      <c r="AE1676" s="13">
        <v>3</v>
      </c>
      <c r="AF1676" s="13"/>
      <c r="AG1676" s="16">
        <f>IFERROR(SUMIF(reading[[#This Row],[1st]:[7th]],"&gt;0")/COUNTIF(reading[[#This Row],[1st]:[7th]],"&gt;0"),"")</f>
        <v>2.8333333333333335</v>
      </c>
    </row>
    <row r="1677" spans="1:33" hidden="1" x14ac:dyDescent="0.2">
      <c r="A1677" s="4">
        <f>IF(B1677=1,3,IF(D1677=1,2,IF(F1677=1,1,0)))</f>
        <v>0</v>
      </c>
      <c r="B1677" s="4" t="str">
        <f>IF(C1677=$L1677,1,IF(C1677="","",0))</f>
        <v/>
      </c>
      <c r="C1677" s="42"/>
      <c r="D1677" s="4" t="str">
        <f>IF(E1677=$L1677,1,IF(E1677="","",0))</f>
        <v/>
      </c>
      <c r="E1677" s="14"/>
      <c r="F1677" s="4" t="str">
        <f>IF(G1677=$L1677,1,IF(G1677="","",0))</f>
        <v/>
      </c>
      <c r="G1677" s="14"/>
      <c r="H1677" s="6">
        <v>3015</v>
      </c>
      <c r="I1677" s="15" t="s">
        <v>3120</v>
      </c>
      <c r="J1677" s="6" t="s">
        <v>6038</v>
      </c>
      <c r="K1677" s="6"/>
      <c r="L1677" s="6" t="s">
        <v>3044</v>
      </c>
      <c r="M1677" s="6" t="s">
        <v>9118</v>
      </c>
      <c r="N1677" s="7">
        <f ca="1">RAND()</f>
        <v>0.5323987580816395</v>
      </c>
      <c r="O1677" s="8">
        <v>45224</v>
      </c>
      <c r="P1677" s="8">
        <v>45225</v>
      </c>
      <c r="Q1677" s="8">
        <v>45227</v>
      </c>
      <c r="R1677" s="8">
        <v>45231</v>
      </c>
      <c r="S1677" s="8">
        <v>45251</v>
      </c>
      <c r="T1677" s="8">
        <v>45827</v>
      </c>
      <c r="U1677" s="8"/>
      <c r="V1677" s="10">
        <f>COUNTA(O1677:U1677)</f>
        <v>6</v>
      </c>
      <c r="W1677" s="11">
        <f>_xlfn.IFNA(INDEX(reading[[#This Row],[Memo 01]:[Memo 07]],MATCH(0,reading[[#This Row],[Memo 01]:[Memo 07]],-1)),"")</f>
        <v>45827</v>
      </c>
      <c r="X1677" s="11">
        <f ca="1">IFERROR(reading[[#This Row],[Previous]]+OFFSET(reading[[#Headers],[Memo 01]],-1,MATCH(0,reading[[#This Row],[Memo 01]:[Memo 07]],-1)-1),"")</f>
        <v>45847</v>
      </c>
      <c r="Y1677" s="10" t="str">
        <f ca="1">IF(reading[[#This Row],[Next]]&lt;&gt;"",IF(reading[[#This Row],[Next]]&gt;TODAY(),"OK",""),"")</f>
        <v>OK</v>
      </c>
      <c r="Z1677" s="13">
        <v>3</v>
      </c>
      <c r="AA1677" s="13">
        <v>3</v>
      </c>
      <c r="AB1677" s="13">
        <v>3</v>
      </c>
      <c r="AC1677" s="13">
        <v>3</v>
      </c>
      <c r="AD1677" s="13">
        <v>3</v>
      </c>
      <c r="AE1677" s="13">
        <v>3</v>
      </c>
      <c r="AF1677" s="13"/>
      <c r="AG1677" s="16">
        <f>IFERROR(SUMIF(reading[[#This Row],[1st]:[7th]],"&gt;0")/COUNTIF(reading[[#This Row],[1st]:[7th]],"&gt;0"),"")</f>
        <v>3</v>
      </c>
    </row>
    <row r="1678" spans="1:33" hidden="1" x14ac:dyDescent="0.2">
      <c r="A1678" s="4">
        <f>IF(B1678=1,3,IF(D1678=1,2,IF(F1678=1,1,0)))</f>
        <v>2</v>
      </c>
      <c r="B1678" s="4">
        <f>IF(C1678=$L1678,1,IF(C1678="","",0))</f>
        <v>0</v>
      </c>
      <c r="C1678" s="31" t="s">
        <v>682</v>
      </c>
      <c r="D1678" s="4">
        <f>IF(E1678=$L1678,1,IF(E1678="","",0))</f>
        <v>1</v>
      </c>
      <c r="E1678" s="14" t="s">
        <v>1762</v>
      </c>
      <c r="F1678" s="4" t="str">
        <f>IF(G1678=$L1678,1,IF(G1678="","",0))</f>
        <v/>
      </c>
      <c r="G1678" s="14"/>
      <c r="H1678" s="6">
        <v>1682</v>
      </c>
      <c r="I1678" s="15" t="s">
        <v>3120</v>
      </c>
      <c r="J1678" s="6" t="s">
        <v>4792</v>
      </c>
      <c r="K1678" s="6"/>
      <c r="L1678" s="6" t="s">
        <v>1762</v>
      </c>
      <c r="M1678" s="6" t="s">
        <v>7788</v>
      </c>
      <c r="N1678" s="7">
        <f ca="1">RAND()</f>
        <v>5.4013675479947953E-2</v>
      </c>
      <c r="O1678" s="8">
        <v>45210</v>
      </c>
      <c r="P1678" s="8">
        <v>45210</v>
      </c>
      <c r="Q1678" s="8">
        <v>45210</v>
      </c>
      <c r="R1678" s="8">
        <v>45210</v>
      </c>
      <c r="S1678" s="8">
        <v>45210</v>
      </c>
      <c r="T1678" s="8">
        <v>45210</v>
      </c>
      <c r="U1678" s="8">
        <v>45210</v>
      </c>
      <c r="V1678" s="10">
        <f>COUNTA(O1678:U1678)</f>
        <v>7</v>
      </c>
      <c r="W1678" s="11">
        <f>_xlfn.IFNA(INDEX(reading[[#This Row],[Memo 01]:[Memo 07]],MATCH(0,reading[[#This Row],[Memo 01]:[Memo 07]],-1)),"")</f>
        <v>45210</v>
      </c>
      <c r="X1678" s="11">
        <f ca="1">IFERROR(reading[[#This Row],[Previous]]+OFFSET(reading[[#Headers],[Memo 01]],-1,MATCH(0,reading[[#This Row],[Memo 01]:[Memo 07]],-1)-1),"")</f>
        <v>55210</v>
      </c>
      <c r="Y1678" s="10" t="str">
        <f ca="1">IF(reading[[#This Row],[Next]]&lt;&gt;"",IF(reading[[#This Row],[Next]]&gt;TODAY(),"OK",""),"")</f>
        <v>OK</v>
      </c>
      <c r="Z1678" s="13">
        <v>3</v>
      </c>
      <c r="AA1678" s="13"/>
      <c r="AB1678" s="13"/>
      <c r="AC1678" s="13"/>
      <c r="AD1678" s="13"/>
      <c r="AE1678" s="13"/>
      <c r="AF1678" s="13"/>
      <c r="AG1678" s="16">
        <f>IFERROR(SUMIF(reading[[#This Row],[1st]:[7th]],"&gt;0")/COUNTIF(reading[[#This Row],[1st]:[7th]],"&gt;0"),"")</f>
        <v>3</v>
      </c>
    </row>
    <row r="1679" spans="1:33" hidden="1" x14ac:dyDescent="0.2">
      <c r="A1679" s="4">
        <f>IF(B1679=1,3,IF(D1679=1,2,IF(F1679=1,1,0)))</f>
        <v>0</v>
      </c>
      <c r="B1679" s="4" t="str">
        <f>IF(C1679=$L1679,1,IF(C1679="","",0))</f>
        <v/>
      </c>
      <c r="C1679" s="42"/>
      <c r="D1679" s="4" t="str">
        <f>IF(E1679=$L1679,1,IF(E1679="","",0))</f>
        <v/>
      </c>
      <c r="E1679" s="43"/>
      <c r="F1679" s="4" t="str">
        <f>IF(G1679=$L1679,1,IF(G1679="","",0))</f>
        <v/>
      </c>
      <c r="G1679" s="14"/>
      <c r="H1679" s="6">
        <v>989</v>
      </c>
      <c r="I1679" s="15" t="s">
        <v>3120</v>
      </c>
      <c r="J1679" s="6" t="s">
        <v>4118</v>
      </c>
      <c r="K1679" s="6"/>
      <c r="L1679" s="6" t="s">
        <v>1099</v>
      </c>
      <c r="M1679" s="6" t="s">
        <v>7097</v>
      </c>
      <c r="N1679" s="7">
        <f ca="1">RAND()</f>
        <v>0.52015660614303638</v>
      </c>
      <c r="O1679" s="8">
        <v>45204</v>
      </c>
      <c r="P1679" s="8">
        <v>45205</v>
      </c>
      <c r="Q1679" s="8">
        <v>45207</v>
      </c>
      <c r="R1679" s="8">
        <v>45211</v>
      </c>
      <c r="S1679" s="8">
        <v>45218</v>
      </c>
      <c r="T1679" s="8">
        <v>45230</v>
      </c>
      <c r="U1679" s="8">
        <v>45829</v>
      </c>
      <c r="V1679" s="10">
        <f>COUNTA(O1679:U1679)</f>
        <v>7</v>
      </c>
      <c r="W1679" s="11">
        <f>_xlfn.IFNA(INDEX(reading[[#This Row],[Memo 01]:[Memo 07]],MATCH(0,reading[[#This Row],[Memo 01]:[Memo 07]],-1)),"")</f>
        <v>45829</v>
      </c>
      <c r="X1679" s="11">
        <f ca="1">IFERROR(reading[[#This Row],[Previous]]+OFFSET(reading[[#Headers],[Memo 01]],-1,MATCH(0,reading[[#This Row],[Memo 01]:[Memo 07]],-1)-1),"")</f>
        <v>55829</v>
      </c>
      <c r="Y1679" s="10" t="str">
        <f ca="1">IF(reading[[#This Row],[Next]]&lt;&gt;"",IF(reading[[#This Row],[Next]]&gt;TODAY(),"OK",""),"")</f>
        <v>OK</v>
      </c>
      <c r="Z1679" s="13">
        <v>3</v>
      </c>
      <c r="AA1679" s="13">
        <v>3</v>
      </c>
      <c r="AB1679" s="13">
        <v>2</v>
      </c>
      <c r="AC1679" s="13">
        <v>3</v>
      </c>
      <c r="AD1679" s="13">
        <v>3</v>
      </c>
      <c r="AE1679" s="13">
        <v>3</v>
      </c>
      <c r="AF1679" s="13">
        <v>2</v>
      </c>
      <c r="AG1679" s="16">
        <f>IFERROR(SUMIF(reading[[#This Row],[1st]:[7th]],"&gt;0")/COUNTIF(reading[[#This Row],[1st]:[7th]],"&gt;0"),"")</f>
        <v>2.7142857142857144</v>
      </c>
    </row>
    <row r="1680" spans="1:33" hidden="1" x14ac:dyDescent="0.2">
      <c r="A1680" s="4">
        <f>IF(B1680=1,3,IF(D1680=1,2,IF(F1680=1,1,0)))</f>
        <v>0</v>
      </c>
      <c r="B1680" s="4" t="str">
        <f>IF(C1680=$L1680,1,IF(C1680="","",0))</f>
        <v/>
      </c>
      <c r="C1680" s="42"/>
      <c r="D1680" s="4" t="str">
        <f>IF(E1680=$L1680,1,IF(E1680="","",0))</f>
        <v/>
      </c>
      <c r="E1680" s="43"/>
      <c r="F1680" s="4" t="str">
        <f>IF(G1680=$L1680,1,IF(G1680="","",0))</f>
        <v/>
      </c>
      <c r="G1680" s="14"/>
      <c r="H1680" s="6">
        <v>2114</v>
      </c>
      <c r="I1680" s="15" t="s">
        <v>3120</v>
      </c>
      <c r="J1680" s="6" t="s">
        <v>5202</v>
      </c>
      <c r="K1680" s="6"/>
      <c r="L1680" s="6" t="s">
        <v>2182</v>
      </c>
      <c r="M1680" s="6" t="s">
        <v>8220</v>
      </c>
      <c r="N1680" s="7">
        <f ca="1">RAND()</f>
        <v>0.21963127987706477</v>
      </c>
      <c r="O1680" s="8">
        <v>45214</v>
      </c>
      <c r="P1680" s="8">
        <v>45215</v>
      </c>
      <c r="Q1680" s="8">
        <v>45217</v>
      </c>
      <c r="R1680" s="8">
        <v>45221</v>
      </c>
      <c r="S1680" s="8">
        <v>45228</v>
      </c>
      <c r="T1680" s="8">
        <v>45829</v>
      </c>
      <c r="U1680" s="8"/>
      <c r="V1680" s="10">
        <f>COUNTA(O1680:U1680)</f>
        <v>6</v>
      </c>
      <c r="W1680" s="11">
        <f>_xlfn.IFNA(INDEX(reading[[#This Row],[Memo 01]:[Memo 07]],MATCH(0,reading[[#This Row],[Memo 01]:[Memo 07]],-1)),"")</f>
        <v>45829</v>
      </c>
      <c r="X1680" s="11">
        <f ca="1">IFERROR(reading[[#This Row],[Previous]]+OFFSET(reading[[#Headers],[Memo 01]],-1,MATCH(0,reading[[#This Row],[Memo 01]:[Memo 07]],-1)-1),"")</f>
        <v>45849</v>
      </c>
      <c r="Y1680" s="10" t="str">
        <f ca="1">IF(reading[[#This Row],[Next]]&lt;&gt;"",IF(reading[[#This Row],[Next]]&gt;TODAY(),"OK",""),"")</f>
        <v>OK</v>
      </c>
      <c r="Z1680" s="13">
        <v>3</v>
      </c>
      <c r="AA1680" s="13">
        <v>3</v>
      </c>
      <c r="AB1680" s="13">
        <v>3</v>
      </c>
      <c r="AC1680" s="13">
        <v>2</v>
      </c>
      <c r="AD1680" s="13">
        <v>3</v>
      </c>
      <c r="AE1680" s="13">
        <v>2</v>
      </c>
      <c r="AF1680" s="13"/>
      <c r="AG1680" s="16">
        <f>IFERROR(SUMIF(reading[[#This Row],[1st]:[7th]],"&gt;0")/COUNTIF(reading[[#This Row],[1st]:[7th]],"&gt;0"),"")</f>
        <v>2.6666666666666665</v>
      </c>
    </row>
    <row r="1681" spans="1:33" hidden="1" x14ac:dyDescent="0.2">
      <c r="A1681" s="4">
        <f>IF(B1681=1,3,IF(D1681=1,2,IF(F1681=1,1,0)))</f>
        <v>0</v>
      </c>
      <c r="B1681" s="4" t="str">
        <f>IF(C1681=$L1681,1,IF(C1681="","",0))</f>
        <v/>
      </c>
      <c r="C1681" s="42"/>
      <c r="D1681" s="4" t="str">
        <f>IF(E1681=$L1681,1,IF(E1681="","",0))</f>
        <v/>
      </c>
      <c r="E1681" s="18"/>
      <c r="F1681" s="4" t="str">
        <f>IF(G1681=$L1681,1,IF(G1681="","",0))</f>
        <v/>
      </c>
      <c r="G1681" s="18"/>
      <c r="H1681" s="6">
        <v>1493</v>
      </c>
      <c r="I1681" s="15" t="s">
        <v>3120</v>
      </c>
      <c r="J1681" s="6" t="s">
        <v>4607</v>
      </c>
      <c r="K1681" s="6"/>
      <c r="L1681" s="6" t="s">
        <v>1579</v>
      </c>
      <c r="M1681" s="6" t="s">
        <v>7600</v>
      </c>
      <c r="N1681" s="7">
        <f ca="1">RAND()</f>
        <v>0.13540490304065766</v>
      </c>
      <c r="O1681" s="8">
        <v>45208</v>
      </c>
      <c r="P1681" s="8">
        <v>45209</v>
      </c>
      <c r="Q1681" s="8">
        <v>45212</v>
      </c>
      <c r="R1681" s="8">
        <v>45216</v>
      </c>
      <c r="S1681" s="8">
        <v>45223</v>
      </c>
      <c r="T1681" s="8">
        <v>45235</v>
      </c>
      <c r="U1681" s="8">
        <v>45827</v>
      </c>
      <c r="V1681" s="10">
        <f>COUNTA(O1681:U1681)</f>
        <v>7</v>
      </c>
      <c r="W1681" s="11">
        <f>_xlfn.IFNA(INDEX(reading[[#This Row],[Memo 01]:[Memo 07]],MATCH(0,reading[[#This Row],[Memo 01]:[Memo 07]],-1)),"")</f>
        <v>45827</v>
      </c>
      <c r="X1681" s="11">
        <f ca="1">IFERROR(reading[[#This Row],[Previous]]+OFFSET(reading[[#Headers],[Memo 01]],-1,MATCH(0,reading[[#This Row],[Memo 01]:[Memo 07]],-1)-1),"")</f>
        <v>55827</v>
      </c>
      <c r="Y1681" s="10" t="str">
        <f ca="1">IF(reading[[#This Row],[Next]]&lt;&gt;"",IF(reading[[#This Row],[Next]]&gt;TODAY(),"OK",""),"")</f>
        <v>OK</v>
      </c>
      <c r="Z1681" s="13">
        <v>3</v>
      </c>
      <c r="AA1681" s="13">
        <v>3</v>
      </c>
      <c r="AB1681" s="13">
        <v>2</v>
      </c>
      <c r="AC1681" s="13">
        <v>3</v>
      </c>
      <c r="AD1681" s="13">
        <v>1</v>
      </c>
      <c r="AE1681" s="13">
        <v>2</v>
      </c>
      <c r="AF1681" s="13">
        <v>3</v>
      </c>
      <c r="AG1681" s="16">
        <f>IFERROR(SUMIF(reading[[#This Row],[1st]:[7th]],"&gt;0")/COUNTIF(reading[[#This Row],[1st]:[7th]],"&gt;0"),"")</f>
        <v>2.4285714285714284</v>
      </c>
    </row>
    <row r="1682" spans="1:33" hidden="1" x14ac:dyDescent="0.2">
      <c r="A1682" s="4">
        <f>IF(B1682=1,3,IF(D1682=1,2,IF(F1682=1,1,0)))</f>
        <v>0</v>
      </c>
      <c r="B1682" s="4">
        <f>IF(C1682=$L1682,1,IF(C1682="","",0))</f>
        <v>0</v>
      </c>
      <c r="C1682" s="42" t="s">
        <v>9200</v>
      </c>
      <c r="D1682" s="4">
        <f>IF(E1682=$L1682,1,IF(E1682="","",0))</f>
        <v>0</v>
      </c>
      <c r="E1682" s="23" t="s">
        <v>9200</v>
      </c>
      <c r="F1682" s="4" t="str">
        <f>IF(G1682=$L1682,1,IF(G1682="","",0))</f>
        <v/>
      </c>
      <c r="G1682" s="14"/>
      <c r="H1682" s="6">
        <v>2279</v>
      </c>
      <c r="I1682" s="15" t="s">
        <v>3120</v>
      </c>
      <c r="J1682" s="6" t="s">
        <v>5360</v>
      </c>
      <c r="K1682" s="6"/>
      <c r="L1682" s="6" t="s">
        <v>2339</v>
      </c>
      <c r="M1682" s="6" t="s">
        <v>8384</v>
      </c>
      <c r="N1682" s="7">
        <f ca="1">RAND()</f>
        <v>0.21578168071785209</v>
      </c>
      <c r="O1682" s="8">
        <v>45216</v>
      </c>
      <c r="P1682" s="8">
        <v>45217</v>
      </c>
      <c r="Q1682" s="8">
        <v>45219</v>
      </c>
      <c r="R1682" s="8">
        <v>45223</v>
      </c>
      <c r="S1682" s="8">
        <v>45230</v>
      </c>
      <c r="T1682" s="8"/>
      <c r="U1682" s="8"/>
      <c r="V1682" s="10">
        <f>COUNTA(O1682:U1682)</f>
        <v>5</v>
      </c>
      <c r="W1682" s="11">
        <f>_xlfn.IFNA(INDEX(reading[[#This Row],[Memo 01]:[Memo 07]],MATCH(0,reading[[#This Row],[Memo 01]:[Memo 07]],-1)),"")</f>
        <v>45230</v>
      </c>
      <c r="X1682" s="11">
        <f ca="1">IFERROR(reading[[#This Row],[Previous]]+OFFSET(reading[[#Headers],[Memo 01]],-1,MATCH(0,reading[[#This Row],[Memo 01]:[Memo 07]],-1)-1),"")</f>
        <v>45242</v>
      </c>
      <c r="Y1682" s="10" t="str">
        <f ca="1">IF(reading[[#This Row],[Next]]&lt;&gt;"",IF(reading[[#This Row],[Next]]&gt;TODAY(),"OK",""),"")</f>
        <v/>
      </c>
      <c r="Z1682" s="13">
        <v>3</v>
      </c>
      <c r="AA1682" s="13">
        <v>3</v>
      </c>
      <c r="AB1682" s="13">
        <v>3</v>
      </c>
      <c r="AC1682" s="13">
        <v>3</v>
      </c>
      <c r="AD1682" s="13">
        <v>3</v>
      </c>
      <c r="AE1682" s="13"/>
      <c r="AF1682" s="13"/>
      <c r="AG1682" s="16">
        <f>IFERROR(SUMIF(reading[[#This Row],[1st]:[7th]],"&gt;0")/COUNTIF(reading[[#This Row],[1st]:[7th]],"&gt;0"),"")</f>
        <v>3</v>
      </c>
    </row>
    <row r="1683" spans="1:33" hidden="1" x14ac:dyDescent="0.2">
      <c r="A1683" s="4">
        <f>IF(B1683=1,3,IF(D1683=1,2,IF(F1683=1,1,0)))</f>
        <v>0</v>
      </c>
      <c r="B1683" s="4" t="str">
        <f>IF(C1683=$L1683,1,IF(C1683="","",0))</f>
        <v/>
      </c>
      <c r="C1683" s="42"/>
      <c r="D1683" s="4" t="str">
        <f>IF(E1683=$L1683,1,IF(E1683="","",0))</f>
        <v/>
      </c>
      <c r="E1683" s="43"/>
      <c r="F1683" s="4" t="str">
        <f>IF(G1683=$L1683,1,IF(G1683="","",0))</f>
        <v/>
      </c>
      <c r="G1683" s="18"/>
      <c r="H1683" s="6">
        <v>1384</v>
      </c>
      <c r="I1683" s="15" t="s">
        <v>3120</v>
      </c>
      <c r="J1683" s="6" t="s">
        <v>4498</v>
      </c>
      <c r="K1683" s="15" t="s">
        <v>3138</v>
      </c>
      <c r="L1683" s="6" t="s">
        <v>1478</v>
      </c>
      <c r="M1683" s="6" t="s">
        <v>7491</v>
      </c>
      <c r="N1683" s="7">
        <f ca="1">RAND()</f>
        <v>0.98355791195679532</v>
      </c>
      <c r="O1683" s="8">
        <v>45207</v>
      </c>
      <c r="P1683" s="8">
        <v>45208</v>
      </c>
      <c r="Q1683" s="8">
        <v>45211</v>
      </c>
      <c r="R1683" s="8">
        <v>45215</v>
      </c>
      <c r="S1683" s="8">
        <v>45222</v>
      </c>
      <c r="T1683" s="8">
        <v>45234</v>
      </c>
      <c r="U1683" s="8">
        <v>45829</v>
      </c>
      <c r="V1683" s="10">
        <f>COUNTA(O1683:U1683)</f>
        <v>7</v>
      </c>
      <c r="W1683" s="11">
        <f>_xlfn.IFNA(INDEX(reading[[#This Row],[Memo 01]:[Memo 07]],MATCH(0,reading[[#This Row],[Memo 01]:[Memo 07]],-1)),"")</f>
        <v>45829</v>
      </c>
      <c r="X1683" s="11">
        <f ca="1">IFERROR(reading[[#This Row],[Previous]]+OFFSET(reading[[#Headers],[Memo 01]],-1,MATCH(0,reading[[#This Row],[Memo 01]:[Memo 07]],-1)-1),"")</f>
        <v>55829</v>
      </c>
      <c r="Y1683" s="10" t="str">
        <f ca="1">IF(reading[[#This Row],[Next]]&lt;&gt;"",IF(reading[[#This Row],[Next]]&gt;TODAY(),"OK",""),"")</f>
        <v>OK</v>
      </c>
      <c r="Z1683" s="13">
        <v>3</v>
      </c>
      <c r="AA1683" s="13">
        <v>2</v>
      </c>
      <c r="AB1683" s="13">
        <v>1</v>
      </c>
      <c r="AC1683" s="13">
        <v>2</v>
      </c>
      <c r="AD1683" s="13">
        <v>2</v>
      </c>
      <c r="AE1683" s="13">
        <v>3</v>
      </c>
      <c r="AF1683" s="13">
        <v>2</v>
      </c>
      <c r="AG1683" s="16">
        <f>IFERROR(SUMIF(reading[[#This Row],[1st]:[7th]],"&gt;0")/COUNTIF(reading[[#This Row],[1st]:[7th]],"&gt;0"),"")</f>
        <v>2.1428571428571428</v>
      </c>
    </row>
    <row r="1684" spans="1:33" hidden="1" x14ac:dyDescent="0.2">
      <c r="A1684" s="4">
        <f>IF(B1684=1,3,IF(D1684=1,2,IF(F1684=1,1,0)))</f>
        <v>0</v>
      </c>
      <c r="B1684" s="4" t="str">
        <f>IF(C1684=$L1684,1,IF(C1684="","",0))</f>
        <v/>
      </c>
      <c r="C1684" s="42"/>
      <c r="D1684" s="4" t="str">
        <f>IF(E1684=$L1684,1,IF(E1684="","",0))</f>
        <v/>
      </c>
      <c r="E1684" s="14"/>
      <c r="F1684" s="4" t="str">
        <f>IF(G1684=$L1684,1,IF(G1684="","",0))</f>
        <v/>
      </c>
      <c r="G1684" s="14"/>
      <c r="H1684" s="6">
        <v>2708</v>
      </c>
      <c r="I1684" s="15" t="s">
        <v>3120</v>
      </c>
      <c r="J1684" s="6" t="s">
        <v>5758</v>
      </c>
      <c r="K1684" s="6"/>
      <c r="L1684" s="6" t="s">
        <v>2747</v>
      </c>
      <c r="M1684" s="6" t="s">
        <v>8813</v>
      </c>
      <c r="N1684" s="7">
        <f ca="1">RAND()</f>
        <v>0.34484759203122561</v>
      </c>
      <c r="O1684" s="8">
        <v>45221</v>
      </c>
      <c r="P1684" s="8">
        <v>45222</v>
      </c>
      <c r="Q1684" s="8">
        <v>45224</v>
      </c>
      <c r="R1684" s="8">
        <v>45228</v>
      </c>
      <c r="S1684" s="8">
        <v>45235</v>
      </c>
      <c r="T1684" s="8">
        <v>45827</v>
      </c>
      <c r="U1684" s="8"/>
      <c r="V1684" s="10">
        <f>COUNTA(O1684:U1684)</f>
        <v>6</v>
      </c>
      <c r="W1684" s="11">
        <f>_xlfn.IFNA(INDEX(reading[[#This Row],[Memo 01]:[Memo 07]],MATCH(0,reading[[#This Row],[Memo 01]:[Memo 07]],-1)),"")</f>
        <v>45827</v>
      </c>
      <c r="X1684" s="11">
        <f ca="1">IFERROR(reading[[#This Row],[Previous]]+OFFSET(reading[[#Headers],[Memo 01]],-1,MATCH(0,reading[[#This Row],[Memo 01]:[Memo 07]],-1)-1),"")</f>
        <v>45847</v>
      </c>
      <c r="Y1684" s="10" t="str">
        <f ca="1">IF(reading[[#This Row],[Next]]&lt;&gt;"",IF(reading[[#This Row],[Next]]&gt;TODAY(),"OK",""),"")</f>
        <v>OK</v>
      </c>
      <c r="Z1684" s="13">
        <v>3</v>
      </c>
      <c r="AA1684" s="13">
        <v>3</v>
      </c>
      <c r="AB1684" s="13">
        <v>3</v>
      </c>
      <c r="AC1684" s="13">
        <v>3</v>
      </c>
      <c r="AD1684" s="13">
        <v>3</v>
      </c>
      <c r="AE1684" s="13">
        <v>3</v>
      </c>
      <c r="AF1684" s="13"/>
      <c r="AG1684" s="16">
        <f>IFERROR(SUMIF(reading[[#This Row],[1st]:[7th]],"&gt;0")/COUNTIF(reading[[#This Row],[1st]:[7th]],"&gt;0"),"")</f>
        <v>3</v>
      </c>
    </row>
    <row r="1685" spans="1:33" hidden="1" x14ac:dyDescent="0.2">
      <c r="A1685" s="4">
        <f>IF(B1685=1,3,IF(D1685=1,2,IF(F1685=1,1,0)))</f>
        <v>0</v>
      </c>
      <c r="B1685" s="4" t="str">
        <f>IF(C1685=$L1685,1,IF(C1685="","",0))</f>
        <v/>
      </c>
      <c r="C1685" s="42"/>
      <c r="D1685" s="4" t="str">
        <f>IF(E1685=$L1685,1,IF(E1685="","",0))</f>
        <v/>
      </c>
      <c r="E1685" s="18"/>
      <c r="F1685" s="4" t="str">
        <f>IF(G1685=$L1685,1,IF(G1685="","",0))</f>
        <v/>
      </c>
      <c r="G1685" s="14"/>
      <c r="H1685" s="6">
        <v>284</v>
      </c>
      <c r="I1685" s="15" t="s">
        <v>3120</v>
      </c>
      <c r="J1685" s="6" t="s">
        <v>3432</v>
      </c>
      <c r="K1685" s="6"/>
      <c r="L1685" s="6" t="s">
        <v>419</v>
      </c>
      <c r="M1685" s="6" t="s">
        <v>6393</v>
      </c>
      <c r="N1685" s="7">
        <f ca="1">RAND()</f>
        <v>0.94804188058736794</v>
      </c>
      <c r="O1685" s="8">
        <v>45200</v>
      </c>
      <c r="P1685" s="8">
        <v>45201</v>
      </c>
      <c r="Q1685" s="8">
        <v>45203</v>
      </c>
      <c r="R1685" s="8">
        <v>45207</v>
      </c>
      <c r="S1685" s="8">
        <v>45214</v>
      </c>
      <c r="T1685" s="8">
        <v>45226</v>
      </c>
      <c r="U1685" s="8">
        <v>45827</v>
      </c>
      <c r="V1685" s="10">
        <f>COUNTA(O1685:U1685)</f>
        <v>7</v>
      </c>
      <c r="W1685" s="11">
        <f>_xlfn.IFNA(INDEX(reading[[#This Row],[Memo 01]:[Memo 07]],MATCH(0,reading[[#This Row],[Memo 01]:[Memo 07]],-1)),"")</f>
        <v>45827</v>
      </c>
      <c r="X1685" s="11">
        <f ca="1">IFERROR(reading[[#This Row],[Previous]]+OFFSET(reading[[#Headers],[Memo 01]],-1,MATCH(0,reading[[#This Row],[Memo 01]:[Memo 07]],-1)-1),"")</f>
        <v>55827</v>
      </c>
      <c r="Y1685" s="10" t="str">
        <f ca="1">IF(reading[[#This Row],[Next]]&lt;&gt;"",IF(reading[[#This Row],[Next]]&gt;TODAY(),"OK",""),"")</f>
        <v>OK</v>
      </c>
      <c r="Z1685" s="13">
        <v>3</v>
      </c>
      <c r="AA1685" s="13">
        <v>3</v>
      </c>
      <c r="AB1685" s="13">
        <v>3</v>
      </c>
      <c r="AC1685" s="13">
        <v>3</v>
      </c>
      <c r="AD1685" s="13">
        <v>3</v>
      </c>
      <c r="AE1685" s="13">
        <v>2</v>
      </c>
      <c r="AF1685" s="13">
        <v>3</v>
      </c>
      <c r="AG1685" s="16">
        <f>IFERROR(SUMIF(reading[[#This Row],[1st]:[7th]],"&gt;0")/COUNTIF(reading[[#This Row],[1st]:[7th]],"&gt;0"),"")</f>
        <v>2.8571428571428572</v>
      </c>
    </row>
    <row r="1686" spans="1:33" hidden="1" x14ac:dyDescent="0.2">
      <c r="A1686" s="4">
        <f>IF(B1686=1,3,IF(D1686=1,2,IF(F1686=1,1,0)))</f>
        <v>0</v>
      </c>
      <c r="B1686" s="4" t="str">
        <f>IF(C1686=$L1686,1,IF(C1686="","",0))</f>
        <v/>
      </c>
      <c r="C1686" s="42"/>
      <c r="D1686" s="4" t="str">
        <f>IF(E1686=$L1686,1,IF(E1686="","",0))</f>
        <v/>
      </c>
      <c r="E1686" s="23"/>
      <c r="F1686" s="4" t="str">
        <f>IF(G1686=$L1686,1,IF(G1686="","",0))</f>
        <v/>
      </c>
      <c r="G1686" s="23"/>
      <c r="H1686" s="6">
        <v>2616</v>
      </c>
      <c r="I1686" s="15" t="s">
        <v>3120</v>
      </c>
      <c r="J1686" s="6" t="s">
        <v>5671</v>
      </c>
      <c r="K1686" s="6"/>
      <c r="L1686" s="6" t="s">
        <v>2659</v>
      </c>
      <c r="M1686" s="6" t="s">
        <v>8721</v>
      </c>
      <c r="N1686" s="7">
        <f ca="1">RAND()</f>
        <v>2.330759942140892E-2</v>
      </c>
      <c r="O1686" s="8">
        <v>45220</v>
      </c>
      <c r="P1686" s="8">
        <v>45221</v>
      </c>
      <c r="Q1686" s="8">
        <v>45223</v>
      </c>
      <c r="R1686" s="8">
        <v>45227</v>
      </c>
      <c r="S1686" s="8">
        <v>45234</v>
      </c>
      <c r="T1686" s="8">
        <v>45816</v>
      </c>
      <c r="U1686" s="8"/>
      <c r="V1686" s="10">
        <f>COUNTA(O1686:U1686)</f>
        <v>6</v>
      </c>
      <c r="W1686" s="11">
        <f>_xlfn.IFNA(INDEX(reading[[#This Row],[Memo 01]:[Memo 07]],MATCH(0,reading[[#This Row],[Memo 01]:[Memo 07]],-1)),"")</f>
        <v>45816</v>
      </c>
      <c r="X1686" s="11">
        <f ca="1">IFERROR(reading[[#This Row],[Previous]]+OFFSET(reading[[#Headers],[Memo 01]],-1,MATCH(0,reading[[#This Row],[Memo 01]:[Memo 07]],-1)-1),"")</f>
        <v>45836</v>
      </c>
      <c r="Y1686" s="10" t="str">
        <f ca="1">IF(reading[[#This Row],[Next]]&lt;&gt;"",IF(reading[[#This Row],[Next]]&gt;TODAY(),"OK",""),"")</f>
        <v>OK</v>
      </c>
      <c r="Z1686" s="13">
        <v>3</v>
      </c>
      <c r="AA1686" s="13">
        <v>3</v>
      </c>
      <c r="AB1686" s="13">
        <v>3</v>
      </c>
      <c r="AC1686" s="13">
        <v>3</v>
      </c>
      <c r="AD1686" s="13">
        <v>3</v>
      </c>
      <c r="AE1686" s="13">
        <v>1</v>
      </c>
      <c r="AF1686" s="13"/>
      <c r="AG1686" s="16">
        <f>IFERROR(SUMIF(reading[[#This Row],[1st]:[7th]],"&gt;0")/COUNTIF(reading[[#This Row],[1st]:[7th]],"&gt;0"),"")</f>
        <v>2.6666666666666665</v>
      </c>
    </row>
    <row r="1687" spans="1:33" hidden="1" x14ac:dyDescent="0.2">
      <c r="A1687" s="4">
        <f>IF(B1687=1,3,IF(D1687=1,2,IF(F1687=1,1,0)))</f>
        <v>0</v>
      </c>
      <c r="B1687" s="4">
        <f>IF(C1687=$L1687,1,IF(C1687="","",0))</f>
        <v>0</v>
      </c>
      <c r="C1687" s="42" t="s">
        <v>9200</v>
      </c>
      <c r="D1687" s="4">
        <f>IF(E1687=$L1687,1,IF(E1687="","",0))</f>
        <v>0</v>
      </c>
      <c r="E1687" s="23" t="s">
        <v>9200</v>
      </c>
      <c r="F1687" s="4" t="str">
        <f>IF(G1687=$L1687,1,IF(G1687="","",0))</f>
        <v/>
      </c>
      <c r="G1687" s="14"/>
      <c r="H1687" s="6">
        <v>2205</v>
      </c>
      <c r="I1687" s="15" t="s">
        <v>3120</v>
      </c>
      <c r="J1687" s="6" t="s">
        <v>5291</v>
      </c>
      <c r="K1687" s="6"/>
      <c r="L1687" s="6" t="s">
        <v>2268</v>
      </c>
      <c r="M1687" s="6" t="s">
        <v>8311</v>
      </c>
      <c r="N1687" s="7">
        <f ca="1">RAND()</f>
        <v>0.63065543292267567</v>
      </c>
      <c r="O1687" s="8">
        <v>45216</v>
      </c>
      <c r="P1687" s="8">
        <v>45217</v>
      </c>
      <c r="Q1687" s="8">
        <v>45219</v>
      </c>
      <c r="R1687" s="8">
        <v>45223</v>
      </c>
      <c r="S1687" s="8">
        <v>45230</v>
      </c>
      <c r="T1687" s="8"/>
      <c r="U1687" s="8"/>
      <c r="V1687" s="10">
        <f>COUNTA(O1687:U1687)</f>
        <v>5</v>
      </c>
      <c r="W1687" s="11">
        <f>_xlfn.IFNA(INDEX(reading[[#This Row],[Memo 01]:[Memo 07]],MATCH(0,reading[[#This Row],[Memo 01]:[Memo 07]],-1)),"")</f>
        <v>45230</v>
      </c>
      <c r="X1687" s="11">
        <f ca="1">IFERROR(reading[[#This Row],[Previous]]+OFFSET(reading[[#Headers],[Memo 01]],-1,MATCH(0,reading[[#This Row],[Memo 01]:[Memo 07]],-1)-1),"")</f>
        <v>45242</v>
      </c>
      <c r="Y1687" s="10" t="str">
        <f ca="1">IF(reading[[#This Row],[Next]]&lt;&gt;"",IF(reading[[#This Row],[Next]]&gt;TODAY(),"OK",""),"")</f>
        <v/>
      </c>
      <c r="Z1687" s="13">
        <v>3</v>
      </c>
      <c r="AA1687" s="13">
        <v>3</v>
      </c>
      <c r="AB1687" s="13">
        <v>3</v>
      </c>
      <c r="AC1687" s="13">
        <v>3</v>
      </c>
      <c r="AD1687" s="13">
        <v>3</v>
      </c>
      <c r="AE1687" s="13"/>
      <c r="AF1687" s="13"/>
      <c r="AG1687" s="16">
        <f>IFERROR(SUMIF(reading[[#This Row],[1st]:[7th]],"&gt;0")/COUNTIF(reading[[#This Row],[1st]:[7th]],"&gt;0"),"")</f>
        <v>3</v>
      </c>
    </row>
    <row r="1688" spans="1:33" hidden="1" x14ac:dyDescent="0.2">
      <c r="A1688" s="4">
        <f>IF(B1688=1,3,IF(D1688=1,2,IF(F1688=1,1,0)))</f>
        <v>0</v>
      </c>
      <c r="B1688" s="4" t="str">
        <f>IF(C1688=$L1688,1,IF(C1688="","",0))</f>
        <v/>
      </c>
      <c r="C1688" s="42"/>
      <c r="D1688" s="4" t="str">
        <f>IF(E1688=$L1688,1,IF(E1688="","",0))</f>
        <v/>
      </c>
      <c r="E1688" s="23"/>
      <c r="F1688" s="4" t="str">
        <f>IF(G1688=$L1688,1,IF(G1688="","",0))</f>
        <v/>
      </c>
      <c r="G1688" s="14"/>
      <c r="H1688" s="6">
        <v>2872</v>
      </c>
      <c r="I1688" s="15" t="s">
        <v>3120</v>
      </c>
      <c r="J1688" s="6" t="s">
        <v>5909</v>
      </c>
      <c r="K1688" s="6"/>
      <c r="L1688" s="6" t="s">
        <v>2903</v>
      </c>
      <c r="M1688" s="6" t="s">
        <v>8976</v>
      </c>
      <c r="N1688" s="7">
        <f ca="1">RAND()</f>
        <v>0.58252806106677579</v>
      </c>
      <c r="O1688" s="8">
        <v>45222</v>
      </c>
      <c r="P1688" s="8">
        <v>45223</v>
      </c>
      <c r="Q1688" s="8">
        <v>45225</v>
      </c>
      <c r="R1688" s="8">
        <v>45229</v>
      </c>
      <c r="S1688" s="8">
        <v>45236</v>
      </c>
      <c r="T1688" s="8">
        <v>45829</v>
      </c>
      <c r="U1688" s="8"/>
      <c r="V1688" s="10">
        <f>COUNTA(O1688:U1688)</f>
        <v>6</v>
      </c>
      <c r="W1688" s="11">
        <f>_xlfn.IFNA(INDEX(reading[[#This Row],[Memo 01]:[Memo 07]],MATCH(0,reading[[#This Row],[Memo 01]:[Memo 07]],-1)),"")</f>
        <v>45829</v>
      </c>
      <c r="X1688" s="11">
        <f ca="1">IFERROR(reading[[#This Row],[Previous]]+OFFSET(reading[[#Headers],[Memo 01]],-1,MATCH(0,reading[[#This Row],[Memo 01]:[Memo 07]],-1)-1),"")</f>
        <v>45849</v>
      </c>
      <c r="Y1688" s="10" t="str">
        <f ca="1">IF(reading[[#This Row],[Next]]&lt;&gt;"",IF(reading[[#This Row],[Next]]&gt;TODAY(),"OK",""),"")</f>
        <v>OK</v>
      </c>
      <c r="Z1688" s="13">
        <v>3</v>
      </c>
      <c r="AA1688" s="13">
        <v>3</v>
      </c>
      <c r="AB1688" s="13">
        <v>3</v>
      </c>
      <c r="AC1688" s="13">
        <v>3</v>
      </c>
      <c r="AD1688" s="13">
        <v>3</v>
      </c>
      <c r="AE1688" s="13">
        <v>2</v>
      </c>
      <c r="AF1688" s="13"/>
      <c r="AG1688" s="16">
        <f>IFERROR(SUMIF(reading[[#This Row],[1st]:[7th]],"&gt;0")/COUNTIF(reading[[#This Row],[1st]:[7th]],"&gt;0"),"")</f>
        <v>2.8333333333333335</v>
      </c>
    </row>
    <row r="1689" spans="1:33" hidden="1" x14ac:dyDescent="0.2">
      <c r="A1689" s="4">
        <f>IF(B1689=1,3,IF(D1689=1,2,IF(F1689=1,1,0)))</f>
        <v>0</v>
      </c>
      <c r="B1689" s="4" t="str">
        <f>IF(C1689=$L1689,1,IF(C1689="","",0))</f>
        <v/>
      </c>
      <c r="C1689" s="42"/>
      <c r="D1689" s="4" t="str">
        <f>IF(E1689=$L1689,1,IF(E1689="","",0))</f>
        <v/>
      </c>
      <c r="E1689" s="23"/>
      <c r="F1689" s="4" t="str">
        <f>IF(G1689=$L1689,1,IF(G1689="","",0))</f>
        <v/>
      </c>
      <c r="G1689" s="14"/>
      <c r="H1689" s="6">
        <v>593</v>
      </c>
      <c r="I1689" s="15" t="s">
        <v>3120</v>
      </c>
      <c r="J1689" s="6" t="s">
        <v>3736</v>
      </c>
      <c r="K1689" s="6"/>
      <c r="L1689" s="6" t="s">
        <v>719</v>
      </c>
      <c r="M1689" s="6" t="s">
        <v>6702</v>
      </c>
      <c r="N1689" s="7">
        <f ca="1">RAND()</f>
        <v>0.29504054631557375</v>
      </c>
      <c r="O1689" s="8">
        <v>45202</v>
      </c>
      <c r="P1689" s="8">
        <v>45203</v>
      </c>
      <c r="Q1689" s="8">
        <v>45205</v>
      </c>
      <c r="R1689" s="8">
        <v>45209</v>
      </c>
      <c r="S1689" s="8">
        <v>45216</v>
      </c>
      <c r="T1689" s="8">
        <v>45228</v>
      </c>
      <c r="U1689" s="8">
        <v>45829</v>
      </c>
      <c r="V1689" s="10">
        <f>COUNTA(O1689:U1689)</f>
        <v>7</v>
      </c>
      <c r="W1689" s="11">
        <f>_xlfn.IFNA(INDEX(reading[[#This Row],[Memo 01]:[Memo 07]],MATCH(0,reading[[#This Row],[Memo 01]:[Memo 07]],-1)),"")</f>
        <v>45829</v>
      </c>
      <c r="X1689" s="11">
        <f ca="1">IFERROR(reading[[#This Row],[Previous]]+OFFSET(reading[[#Headers],[Memo 01]],-1,MATCH(0,reading[[#This Row],[Memo 01]:[Memo 07]],-1)-1),"")</f>
        <v>55829</v>
      </c>
      <c r="Y1689" s="10" t="str">
        <f ca="1">IF(reading[[#This Row],[Next]]&lt;&gt;"",IF(reading[[#This Row],[Next]]&gt;TODAY(),"OK",""),"")</f>
        <v>OK</v>
      </c>
      <c r="Z1689" s="13">
        <v>3</v>
      </c>
      <c r="AA1689" s="13">
        <v>2</v>
      </c>
      <c r="AB1689" s="13">
        <v>3</v>
      </c>
      <c r="AC1689" s="13">
        <v>3</v>
      </c>
      <c r="AD1689" s="13">
        <v>3</v>
      </c>
      <c r="AE1689" s="13">
        <v>3</v>
      </c>
      <c r="AF1689" s="13">
        <v>2</v>
      </c>
      <c r="AG1689" s="16">
        <f>IFERROR(SUMIF(reading[[#This Row],[1st]:[7th]],"&gt;0")/COUNTIF(reading[[#This Row],[1st]:[7th]],"&gt;0"),"")</f>
        <v>2.7142857142857144</v>
      </c>
    </row>
    <row r="1690" spans="1:33" hidden="1" x14ac:dyDescent="0.2">
      <c r="A1690" s="4">
        <f>IF(B1690=1,3,IF(D1690=1,2,IF(F1690=1,1,0)))</f>
        <v>0</v>
      </c>
      <c r="B1690" s="4" t="str">
        <f>IF(C1690=$L1690,1,IF(C1690="","",0))</f>
        <v/>
      </c>
      <c r="C1690" s="42"/>
      <c r="D1690" s="4" t="str">
        <f>IF(E1690=$L1690,1,IF(E1690="","",0))</f>
        <v/>
      </c>
      <c r="E1690" s="14"/>
      <c r="F1690" s="4" t="str">
        <f>IF(G1690=$L1690,1,IF(G1690="","",0))</f>
        <v/>
      </c>
      <c r="G1690" s="14"/>
      <c r="H1690" s="6">
        <v>1513</v>
      </c>
      <c r="I1690" s="15" t="s">
        <v>3120</v>
      </c>
      <c r="J1690" s="6" t="s">
        <v>4626</v>
      </c>
      <c r="K1690" s="6"/>
      <c r="L1690" s="6" t="s">
        <v>1598</v>
      </c>
      <c r="M1690" s="6" t="s">
        <v>7620</v>
      </c>
      <c r="N1690" s="7">
        <f ca="1">RAND()</f>
        <v>0.55250566521874145</v>
      </c>
      <c r="O1690" s="8">
        <v>45209</v>
      </c>
      <c r="P1690" s="8">
        <v>45210</v>
      </c>
      <c r="Q1690" s="8">
        <v>45212</v>
      </c>
      <c r="R1690" s="8">
        <v>45216</v>
      </c>
      <c r="S1690" s="8">
        <v>45223</v>
      </c>
      <c r="T1690" s="8">
        <v>45235</v>
      </c>
      <c r="U1690" s="8">
        <v>45827</v>
      </c>
      <c r="V1690" s="10">
        <f>COUNTA(O1690:U1690)</f>
        <v>7</v>
      </c>
      <c r="W1690" s="11">
        <f>_xlfn.IFNA(INDEX(reading[[#This Row],[Memo 01]:[Memo 07]],MATCH(0,reading[[#This Row],[Memo 01]:[Memo 07]],-1)),"")</f>
        <v>45827</v>
      </c>
      <c r="X1690" s="11">
        <f ca="1">IFERROR(reading[[#This Row],[Previous]]+OFFSET(reading[[#Headers],[Memo 01]],-1,MATCH(0,reading[[#This Row],[Memo 01]:[Memo 07]],-1)-1),"")</f>
        <v>55827</v>
      </c>
      <c r="Y1690" s="10" t="str">
        <f ca="1">IF(reading[[#This Row],[Next]]&lt;&gt;"",IF(reading[[#This Row],[Next]]&gt;TODAY(),"OK",""),"")</f>
        <v>OK</v>
      </c>
      <c r="Z1690" s="13">
        <v>3</v>
      </c>
      <c r="AA1690" s="13">
        <v>3</v>
      </c>
      <c r="AB1690" s="13">
        <v>3</v>
      </c>
      <c r="AC1690" s="13">
        <v>3</v>
      </c>
      <c r="AD1690" s="13">
        <v>3</v>
      </c>
      <c r="AE1690" s="13">
        <v>3</v>
      </c>
      <c r="AF1690" s="13">
        <v>3</v>
      </c>
      <c r="AG1690" s="16">
        <f>IFERROR(SUMIF(reading[[#This Row],[1st]:[7th]],"&gt;0")/COUNTIF(reading[[#This Row],[1st]:[7th]],"&gt;0"),"")</f>
        <v>3</v>
      </c>
    </row>
    <row r="1691" spans="1:33" hidden="1" x14ac:dyDescent="0.2">
      <c r="A1691" s="4">
        <f>IF(B1691=1,3,IF(D1691=1,2,IF(F1691=1,1,0)))</f>
        <v>3</v>
      </c>
      <c r="B1691" s="4">
        <f>IF(C1691=$L1691,1,IF(C1691="","",0))</f>
        <v>1</v>
      </c>
      <c r="C1691" s="31" t="s">
        <v>1775</v>
      </c>
      <c r="D1691" s="4" t="str">
        <f>IF(E1691=$L1691,1,IF(E1691="","",0))</f>
        <v/>
      </c>
      <c r="E1691" s="14"/>
      <c r="F1691" s="4" t="str">
        <f>IF(G1691=$L1691,1,IF(G1691="","",0))</f>
        <v/>
      </c>
      <c r="G1691" s="14"/>
      <c r="H1691" s="6">
        <v>1695</v>
      </c>
      <c r="I1691" s="15" t="s">
        <v>3120</v>
      </c>
      <c r="J1691" s="6" t="s">
        <v>4805</v>
      </c>
      <c r="K1691" s="6"/>
      <c r="L1691" s="6" t="s">
        <v>1775</v>
      </c>
      <c r="M1691" s="6" t="s">
        <v>7801</v>
      </c>
      <c r="N1691" s="7">
        <f ca="1">RAND()</f>
        <v>0.39846884606128574</v>
      </c>
      <c r="O1691" s="8">
        <v>45210</v>
      </c>
      <c r="P1691" s="8">
        <v>45210</v>
      </c>
      <c r="Q1691" s="8">
        <v>45210</v>
      </c>
      <c r="R1691" s="8">
        <v>45210</v>
      </c>
      <c r="S1691" s="8">
        <v>45210</v>
      </c>
      <c r="T1691" s="8">
        <v>45210</v>
      </c>
      <c r="U1691" s="8">
        <v>45210</v>
      </c>
      <c r="V1691" s="10">
        <f>COUNTA(O1691:U1691)</f>
        <v>7</v>
      </c>
      <c r="W1691" s="11">
        <f>_xlfn.IFNA(INDEX(reading[[#This Row],[Memo 01]:[Memo 07]],MATCH(0,reading[[#This Row],[Memo 01]:[Memo 07]],-1)),"")</f>
        <v>45210</v>
      </c>
      <c r="X1691" s="11">
        <f ca="1">IFERROR(reading[[#This Row],[Previous]]+OFFSET(reading[[#Headers],[Memo 01]],-1,MATCH(0,reading[[#This Row],[Memo 01]:[Memo 07]],-1)-1),"")</f>
        <v>55210</v>
      </c>
      <c r="Y1691" s="10" t="str">
        <f ca="1">IF(reading[[#This Row],[Next]]&lt;&gt;"",IF(reading[[#This Row],[Next]]&gt;TODAY(),"OK",""),"")</f>
        <v>OK</v>
      </c>
      <c r="Z1691" s="13">
        <v>3</v>
      </c>
      <c r="AA1691" s="13"/>
      <c r="AB1691" s="13"/>
      <c r="AC1691" s="13"/>
      <c r="AD1691" s="13"/>
      <c r="AE1691" s="13"/>
      <c r="AF1691" s="13"/>
      <c r="AG1691" s="16">
        <f>IFERROR(SUMIF(reading[[#This Row],[1st]:[7th]],"&gt;0")/COUNTIF(reading[[#This Row],[1st]:[7th]],"&gt;0"),"")</f>
        <v>3</v>
      </c>
    </row>
    <row r="1692" spans="1:33" hidden="1" x14ac:dyDescent="0.2">
      <c r="A1692" s="4">
        <f>IF(B1692=1,3,IF(D1692=1,2,IF(F1692=1,1,0)))</f>
        <v>0</v>
      </c>
      <c r="B1692" s="4" t="str">
        <f>IF(C1692=$L1692,1,IF(C1692="","",0))</f>
        <v/>
      </c>
      <c r="C1692" s="42"/>
      <c r="D1692" s="4" t="str">
        <f>IF(E1692=$L1692,1,IF(E1692="","",0))</f>
        <v/>
      </c>
      <c r="E1692" s="14"/>
      <c r="F1692" s="4" t="str">
        <f>IF(G1692=$L1692,1,IF(G1692="","",0))</f>
        <v/>
      </c>
      <c r="G1692" s="14"/>
      <c r="H1692" s="6">
        <v>1234</v>
      </c>
      <c r="I1692" s="15" t="s">
        <v>3120</v>
      </c>
      <c r="J1692" s="6" t="s">
        <v>4351</v>
      </c>
      <c r="K1692" s="6"/>
      <c r="L1692" s="6" t="s">
        <v>1334</v>
      </c>
      <c r="M1692" s="6" t="s">
        <v>7341</v>
      </c>
      <c r="N1692" s="7">
        <f ca="1">RAND()</f>
        <v>0.74754216811043905</v>
      </c>
      <c r="O1692" s="8">
        <v>45206</v>
      </c>
      <c r="P1692" s="8">
        <v>45207</v>
      </c>
      <c r="Q1692" s="8">
        <v>45209</v>
      </c>
      <c r="R1692" s="8">
        <v>45213</v>
      </c>
      <c r="S1692" s="8">
        <v>45220</v>
      </c>
      <c r="T1692" s="8">
        <v>45232</v>
      </c>
      <c r="U1692" s="8">
        <v>45827</v>
      </c>
      <c r="V1692" s="10">
        <f>COUNTA(O1692:U1692)</f>
        <v>7</v>
      </c>
      <c r="W1692" s="11">
        <f>_xlfn.IFNA(INDEX(reading[[#This Row],[Memo 01]:[Memo 07]],MATCH(0,reading[[#This Row],[Memo 01]:[Memo 07]],-1)),"")</f>
        <v>45827</v>
      </c>
      <c r="X1692" s="11">
        <f ca="1">IFERROR(reading[[#This Row],[Previous]]+OFFSET(reading[[#Headers],[Memo 01]],-1,MATCH(0,reading[[#This Row],[Memo 01]:[Memo 07]],-1)-1),"")</f>
        <v>55827</v>
      </c>
      <c r="Y1692" s="10" t="str">
        <f ca="1">IF(reading[[#This Row],[Next]]&lt;&gt;"",IF(reading[[#This Row],[Next]]&gt;TODAY(),"OK",""),"")</f>
        <v>OK</v>
      </c>
      <c r="Z1692" s="13">
        <v>3</v>
      </c>
      <c r="AA1692" s="13">
        <v>3</v>
      </c>
      <c r="AB1692" s="13">
        <v>3</v>
      </c>
      <c r="AC1692" s="13">
        <v>3</v>
      </c>
      <c r="AD1692" s="13">
        <v>3</v>
      </c>
      <c r="AE1692" s="13">
        <v>3</v>
      </c>
      <c r="AF1692" s="13">
        <v>3</v>
      </c>
      <c r="AG1692" s="16">
        <f>IFERROR(SUMIF(reading[[#This Row],[1st]:[7th]],"&gt;0")/COUNTIF(reading[[#This Row],[1st]:[7th]],"&gt;0"),"")</f>
        <v>3</v>
      </c>
    </row>
    <row r="1693" spans="1:33" hidden="1" x14ac:dyDescent="0.2">
      <c r="A1693" s="4">
        <f>IF(B1693=1,3,IF(D1693=1,2,IF(F1693=1,1,0)))</f>
        <v>0</v>
      </c>
      <c r="B1693" s="4" t="str">
        <f>IF(C1693=$L1693,1,IF(C1693="","",0))</f>
        <v/>
      </c>
      <c r="C1693" s="42"/>
      <c r="D1693" s="4" t="str">
        <f>IF(E1693=$L1693,1,IF(E1693="","",0))</f>
        <v/>
      </c>
      <c r="E1693" s="14"/>
      <c r="F1693" s="4" t="str">
        <f>IF(G1693=$L1693,1,IF(G1693="","",0))</f>
        <v/>
      </c>
      <c r="G1693" s="14"/>
      <c r="H1693" s="6">
        <v>1831</v>
      </c>
      <c r="I1693" s="15" t="s">
        <v>3120</v>
      </c>
      <c r="J1693" s="6" t="s">
        <v>4936</v>
      </c>
      <c r="K1693" s="6"/>
      <c r="L1693" s="6" t="s">
        <v>1909</v>
      </c>
      <c r="M1693" s="6" t="s">
        <v>7937</v>
      </c>
      <c r="N1693" s="7">
        <f ca="1">RAND()</f>
        <v>0.12258685798240965</v>
      </c>
      <c r="O1693" s="8">
        <v>45212</v>
      </c>
      <c r="P1693" s="8">
        <v>45213</v>
      </c>
      <c r="Q1693" s="8">
        <v>45215</v>
      </c>
      <c r="R1693" s="8">
        <v>45219</v>
      </c>
      <c r="S1693" s="8">
        <v>45226</v>
      </c>
      <c r="T1693" s="8">
        <v>45827</v>
      </c>
      <c r="U1693" s="8"/>
      <c r="V1693" s="10">
        <f>COUNTA(O1693:U1693)</f>
        <v>6</v>
      </c>
      <c r="W1693" s="11">
        <f>_xlfn.IFNA(INDEX(reading[[#This Row],[Memo 01]:[Memo 07]],MATCH(0,reading[[#This Row],[Memo 01]:[Memo 07]],-1)),"")</f>
        <v>45827</v>
      </c>
      <c r="X1693" s="11">
        <f ca="1">IFERROR(reading[[#This Row],[Previous]]+OFFSET(reading[[#Headers],[Memo 01]],-1,MATCH(0,reading[[#This Row],[Memo 01]:[Memo 07]],-1)-1),"")</f>
        <v>45847</v>
      </c>
      <c r="Y1693" s="10" t="str">
        <f ca="1">IF(reading[[#This Row],[Next]]&lt;&gt;"",IF(reading[[#This Row],[Next]]&gt;TODAY(),"OK",""),"")</f>
        <v>OK</v>
      </c>
      <c r="Z1693" s="13">
        <v>3</v>
      </c>
      <c r="AA1693" s="13">
        <v>3</v>
      </c>
      <c r="AB1693" s="13">
        <v>3</v>
      </c>
      <c r="AC1693" s="13">
        <v>3</v>
      </c>
      <c r="AD1693" s="13">
        <v>3</v>
      </c>
      <c r="AE1693" s="13">
        <v>3</v>
      </c>
      <c r="AF1693" s="13"/>
      <c r="AG1693" s="16">
        <f>IFERROR(SUMIF(reading[[#This Row],[1st]:[7th]],"&gt;0")/COUNTIF(reading[[#This Row],[1st]:[7th]],"&gt;0"),"")</f>
        <v>3</v>
      </c>
    </row>
    <row r="1694" spans="1:33" hidden="1" x14ac:dyDescent="0.2">
      <c r="A1694" s="4">
        <f>IF(B1694=1,3,IF(D1694=1,2,IF(F1694=1,1,0)))</f>
        <v>0</v>
      </c>
      <c r="B1694" s="4" t="str">
        <f>IF(C1694=$L1694,1,IF(C1694="","",0))</f>
        <v/>
      </c>
      <c r="C1694" s="42"/>
      <c r="D1694" s="4" t="str">
        <f>IF(E1694=$L1694,1,IF(E1694="","",0))</f>
        <v/>
      </c>
      <c r="E1694" s="43"/>
      <c r="F1694" s="4" t="str">
        <f>IF(G1694=$L1694,1,IF(G1694="","",0))</f>
        <v/>
      </c>
      <c r="G1694" s="43"/>
      <c r="H1694" s="6">
        <v>2476</v>
      </c>
      <c r="I1694" s="15" t="s">
        <v>3120</v>
      </c>
      <c r="J1694" s="6" t="s">
        <v>5544</v>
      </c>
      <c r="K1694" s="6"/>
      <c r="L1694" s="6" t="s">
        <v>2524</v>
      </c>
      <c r="M1694" s="6" t="s">
        <v>8581</v>
      </c>
      <c r="N1694" s="7">
        <f ca="1">RAND()</f>
        <v>0.2597220303340525</v>
      </c>
      <c r="O1694" s="8">
        <v>45218</v>
      </c>
      <c r="P1694" s="8">
        <v>45219</v>
      </c>
      <c r="Q1694" s="8">
        <v>45226</v>
      </c>
      <c r="R1694" s="8">
        <v>45230</v>
      </c>
      <c r="S1694" s="8">
        <v>45237</v>
      </c>
      <c r="T1694" s="8">
        <v>45825</v>
      </c>
      <c r="U1694" s="8"/>
      <c r="V1694" s="10">
        <f>COUNTA(O1694:U1694)</f>
        <v>6</v>
      </c>
      <c r="W1694" s="11">
        <f>_xlfn.IFNA(INDEX(reading[[#This Row],[Memo 01]:[Memo 07]],MATCH(0,reading[[#This Row],[Memo 01]:[Memo 07]],-1)),"")</f>
        <v>45825</v>
      </c>
      <c r="X1694" s="11">
        <f ca="1">IFERROR(reading[[#This Row],[Previous]]+OFFSET(reading[[#Headers],[Memo 01]],-1,MATCH(0,reading[[#This Row],[Memo 01]:[Memo 07]],-1)-1),"")</f>
        <v>45845</v>
      </c>
      <c r="Y1694" s="10" t="str">
        <f ca="1">IF(reading[[#This Row],[Next]]&lt;&gt;"",IF(reading[[#This Row],[Next]]&gt;TODAY(),"OK",""),"")</f>
        <v>OK</v>
      </c>
      <c r="Z1694" s="13">
        <v>3</v>
      </c>
      <c r="AA1694" s="13">
        <v>2</v>
      </c>
      <c r="AB1694" s="13">
        <v>3</v>
      </c>
      <c r="AC1694" s="13">
        <v>3</v>
      </c>
      <c r="AD1694" s="13">
        <v>3</v>
      </c>
      <c r="AE1694" s="13">
        <v>1</v>
      </c>
      <c r="AF1694" s="13"/>
      <c r="AG1694" s="16">
        <f>IFERROR(SUMIF(reading[[#This Row],[1st]:[7th]],"&gt;0")/COUNTIF(reading[[#This Row],[1st]:[7th]],"&gt;0"),"")</f>
        <v>2.5</v>
      </c>
    </row>
    <row r="1695" spans="1:33" hidden="1" x14ac:dyDescent="0.2">
      <c r="A1695" s="4">
        <f>IF(B1695=1,3,IF(D1695=1,2,IF(F1695=1,1,0)))</f>
        <v>0</v>
      </c>
      <c r="B1695" s="4" t="str">
        <f>IF(C1695=$L1695,1,IF(C1695="","",0))</f>
        <v/>
      </c>
      <c r="C1695" s="42"/>
      <c r="D1695" s="4" t="str">
        <f>IF(E1695=$L1695,1,IF(E1695="","",0))</f>
        <v/>
      </c>
      <c r="E1695" s="14"/>
      <c r="F1695" s="4" t="str">
        <f>IF(G1695=$L1695,1,IF(G1695="","",0))</f>
        <v/>
      </c>
      <c r="G1695" s="14"/>
      <c r="H1695" s="6">
        <v>1246</v>
      </c>
      <c r="I1695" s="15" t="s">
        <v>3120</v>
      </c>
      <c r="J1695" s="6" t="s">
        <v>4363</v>
      </c>
      <c r="K1695" s="6"/>
      <c r="L1695" s="6" t="s">
        <v>1346</v>
      </c>
      <c r="M1695" s="6" t="s">
        <v>7353</v>
      </c>
      <c r="N1695" s="7">
        <f ca="1">RAND()</f>
        <v>5.1086084035226742E-3</v>
      </c>
      <c r="O1695" s="8">
        <v>45206</v>
      </c>
      <c r="P1695" s="8">
        <v>45207</v>
      </c>
      <c r="Q1695" s="8">
        <v>45209</v>
      </c>
      <c r="R1695" s="8">
        <v>45213</v>
      </c>
      <c r="S1695" s="8">
        <v>45220</v>
      </c>
      <c r="T1695" s="8">
        <v>45232</v>
      </c>
      <c r="U1695" s="8">
        <v>45827</v>
      </c>
      <c r="V1695" s="10">
        <f>COUNTA(O1695:U1695)</f>
        <v>7</v>
      </c>
      <c r="W1695" s="11">
        <f>_xlfn.IFNA(INDEX(reading[[#This Row],[Memo 01]:[Memo 07]],MATCH(0,reading[[#This Row],[Memo 01]:[Memo 07]],-1)),"")</f>
        <v>45827</v>
      </c>
      <c r="X1695" s="11">
        <f ca="1">IFERROR(reading[[#This Row],[Previous]]+OFFSET(reading[[#Headers],[Memo 01]],-1,MATCH(0,reading[[#This Row],[Memo 01]:[Memo 07]],-1)-1),"")</f>
        <v>55827</v>
      </c>
      <c r="Y1695" s="10" t="str">
        <f ca="1">IF(reading[[#This Row],[Next]]&lt;&gt;"",IF(reading[[#This Row],[Next]]&gt;TODAY(),"OK",""),"")</f>
        <v>OK</v>
      </c>
      <c r="Z1695" s="13">
        <v>3</v>
      </c>
      <c r="AA1695" s="13">
        <v>3</v>
      </c>
      <c r="AB1695" s="13">
        <v>3</v>
      </c>
      <c r="AC1695" s="13">
        <v>3</v>
      </c>
      <c r="AD1695" s="13">
        <v>3</v>
      </c>
      <c r="AE1695" s="13">
        <v>3</v>
      </c>
      <c r="AF1695" s="13">
        <v>3</v>
      </c>
      <c r="AG1695" s="16">
        <f>IFERROR(SUMIF(reading[[#This Row],[1st]:[7th]],"&gt;0")/COUNTIF(reading[[#This Row],[1st]:[7th]],"&gt;0"),"")</f>
        <v>3</v>
      </c>
    </row>
    <row r="1696" spans="1:33" hidden="1" x14ac:dyDescent="0.2">
      <c r="A1696" s="4">
        <f>IF(B1696=1,3,IF(D1696=1,2,IF(F1696=1,1,0)))</f>
        <v>0</v>
      </c>
      <c r="B1696" s="4" t="str">
        <f>IF(C1696=$L1696,1,IF(C1696="","",0))</f>
        <v/>
      </c>
      <c r="C1696" s="42"/>
      <c r="D1696" s="4" t="str">
        <f>IF(E1696=$L1696,1,IF(E1696="","",0))</f>
        <v/>
      </c>
      <c r="E1696" s="23"/>
      <c r="F1696" s="4" t="str">
        <f>IF(G1696=$L1696,1,IF(G1696="","",0))</f>
        <v/>
      </c>
      <c r="G1696" s="14"/>
      <c r="H1696" s="6">
        <v>1955</v>
      </c>
      <c r="I1696" s="15" t="s">
        <v>3120</v>
      </c>
      <c r="J1696" s="6" t="s">
        <v>5054</v>
      </c>
      <c r="K1696" s="6"/>
      <c r="L1696" s="6" t="s">
        <v>2030</v>
      </c>
      <c r="M1696" s="6" t="s">
        <v>8061</v>
      </c>
      <c r="N1696" s="7">
        <f ca="1">RAND()</f>
        <v>0.41808645885013118</v>
      </c>
      <c r="O1696" s="8">
        <v>45213</v>
      </c>
      <c r="P1696" s="8">
        <v>45214</v>
      </c>
      <c r="Q1696" s="8">
        <v>45216</v>
      </c>
      <c r="R1696" s="8">
        <v>45220</v>
      </c>
      <c r="S1696" s="8">
        <v>45227</v>
      </c>
      <c r="T1696" s="8">
        <v>45829</v>
      </c>
      <c r="U1696" s="8"/>
      <c r="V1696" s="10">
        <f>COUNTA(O1696:U1696)</f>
        <v>6</v>
      </c>
      <c r="W1696" s="11">
        <f>_xlfn.IFNA(INDEX(reading[[#This Row],[Memo 01]:[Memo 07]],MATCH(0,reading[[#This Row],[Memo 01]:[Memo 07]],-1)),"")</f>
        <v>45829</v>
      </c>
      <c r="X1696" s="11">
        <f ca="1">IFERROR(reading[[#This Row],[Previous]]+OFFSET(reading[[#Headers],[Memo 01]],-1,MATCH(0,reading[[#This Row],[Memo 01]:[Memo 07]],-1)-1),"")</f>
        <v>45849</v>
      </c>
      <c r="Y1696" s="10" t="str">
        <f ca="1">IF(reading[[#This Row],[Next]]&lt;&gt;"",IF(reading[[#This Row],[Next]]&gt;TODAY(),"OK",""),"")</f>
        <v>OK</v>
      </c>
      <c r="Z1696" s="13">
        <v>3</v>
      </c>
      <c r="AA1696" s="13">
        <v>3</v>
      </c>
      <c r="AB1696" s="13">
        <v>3</v>
      </c>
      <c r="AC1696" s="13">
        <v>3</v>
      </c>
      <c r="AD1696" s="13">
        <v>3</v>
      </c>
      <c r="AE1696" s="13">
        <v>2</v>
      </c>
      <c r="AF1696" s="13"/>
      <c r="AG1696" s="16">
        <f>IFERROR(SUMIF(reading[[#This Row],[1st]:[7th]],"&gt;0")/COUNTIF(reading[[#This Row],[1st]:[7th]],"&gt;0"),"")</f>
        <v>2.8333333333333335</v>
      </c>
    </row>
    <row r="1697" spans="1:33" hidden="1" x14ac:dyDescent="0.2">
      <c r="A1697" s="4">
        <f>IF(B1697=1,3,IF(D1697=1,2,IF(F1697=1,1,0)))</f>
        <v>0</v>
      </c>
      <c r="B1697" s="4">
        <f>IF(C1697=$L1697,1,IF(C1697="","",0))</f>
        <v>0</v>
      </c>
      <c r="C1697" s="42" t="s">
        <v>9200</v>
      </c>
      <c r="D1697" s="4">
        <f>IF(E1697=$L1697,1,IF(E1697="","",0))</f>
        <v>0</v>
      </c>
      <c r="E1697" s="43" t="s">
        <v>9279</v>
      </c>
      <c r="F1697" s="4" t="str">
        <f>IF(G1697=$L1697,1,IF(G1697="","",0))</f>
        <v/>
      </c>
      <c r="G1697" s="14"/>
      <c r="H1697" s="6">
        <v>1790</v>
      </c>
      <c r="I1697" s="15" t="s">
        <v>3120</v>
      </c>
      <c r="J1697" s="6" t="s">
        <v>4897</v>
      </c>
      <c r="K1697" s="6" t="s">
        <v>3139</v>
      </c>
      <c r="L1697" s="6" t="s">
        <v>1869</v>
      </c>
      <c r="M1697" s="6" t="s">
        <v>7896</v>
      </c>
      <c r="N1697" s="7">
        <f ca="1">RAND()</f>
        <v>0.66439328115880403</v>
      </c>
      <c r="O1697" s="8">
        <v>45213</v>
      </c>
      <c r="P1697" s="8">
        <v>45214</v>
      </c>
      <c r="Q1697" s="8">
        <v>45216</v>
      </c>
      <c r="R1697" s="8">
        <v>45228</v>
      </c>
      <c r="S1697" s="8">
        <v>45235</v>
      </c>
      <c r="T1697" s="8"/>
      <c r="U1697" s="8"/>
      <c r="V1697" s="10">
        <f>COUNTA(O1697:U1697)</f>
        <v>5</v>
      </c>
      <c r="W1697" s="11">
        <f>_xlfn.IFNA(INDEX(reading[[#This Row],[Memo 01]:[Memo 07]],MATCH(0,reading[[#This Row],[Memo 01]:[Memo 07]],-1)),"")</f>
        <v>45235</v>
      </c>
      <c r="X1697" s="11">
        <f ca="1">IFERROR(reading[[#This Row],[Previous]]+OFFSET(reading[[#Headers],[Memo 01]],-1,MATCH(0,reading[[#This Row],[Memo 01]:[Memo 07]],-1)-1),"")</f>
        <v>45247</v>
      </c>
      <c r="Y1697" s="10" t="str">
        <f ca="1">IF(reading[[#This Row],[Next]]&lt;&gt;"",IF(reading[[#This Row],[Next]]&gt;TODAY(),"OK",""),"")</f>
        <v/>
      </c>
      <c r="Z1697" s="13">
        <v>3</v>
      </c>
      <c r="AA1697" s="13">
        <v>3</v>
      </c>
      <c r="AB1697" s="13">
        <v>3</v>
      </c>
      <c r="AC1697" s="13">
        <v>3</v>
      </c>
      <c r="AD1697" s="13">
        <v>2</v>
      </c>
      <c r="AE1697" s="13"/>
      <c r="AF1697" s="13"/>
      <c r="AG1697" s="16">
        <f>IFERROR(SUMIF(reading[[#This Row],[1st]:[7th]],"&gt;0")/COUNTIF(reading[[#This Row],[1st]:[7th]],"&gt;0"),"")</f>
        <v>2.8</v>
      </c>
    </row>
    <row r="1698" spans="1:33" hidden="1" x14ac:dyDescent="0.2">
      <c r="A1698" s="4">
        <f>IF(B1698=1,3,IF(D1698=1,2,IF(F1698=1,1,0)))</f>
        <v>0</v>
      </c>
      <c r="B1698" s="4" t="str">
        <f>IF(C1698=$L1698,1,IF(C1698="","",0))</f>
        <v/>
      </c>
      <c r="C1698" s="42"/>
      <c r="D1698" s="4" t="str">
        <f>IF(E1698=$L1698,1,IF(E1698="","",0))</f>
        <v/>
      </c>
      <c r="E1698" s="14"/>
      <c r="F1698" s="4" t="str">
        <f>IF(G1698=$L1698,1,IF(G1698="","",0))</f>
        <v/>
      </c>
      <c r="G1698" s="14"/>
      <c r="H1698" s="6">
        <v>1011</v>
      </c>
      <c r="I1698" s="15" t="s">
        <v>3120</v>
      </c>
      <c r="J1698" s="6" t="s">
        <v>4139</v>
      </c>
      <c r="K1698" s="6"/>
      <c r="L1698" s="6" t="s">
        <v>1121</v>
      </c>
      <c r="M1698" s="6" t="s">
        <v>7119</v>
      </c>
      <c r="N1698" s="7">
        <f ca="1">RAND()</f>
        <v>0.47621702936268395</v>
      </c>
      <c r="O1698" s="8">
        <v>45205</v>
      </c>
      <c r="P1698" s="8">
        <v>45206</v>
      </c>
      <c r="Q1698" s="8">
        <v>45208</v>
      </c>
      <c r="R1698" s="8">
        <v>45212</v>
      </c>
      <c r="S1698" s="8">
        <v>45219</v>
      </c>
      <c r="T1698" s="8">
        <v>45231</v>
      </c>
      <c r="U1698" s="8">
        <v>45829</v>
      </c>
      <c r="V1698" s="10">
        <f>COUNTA(O1698:U1698)</f>
        <v>7</v>
      </c>
      <c r="W1698" s="11">
        <f>_xlfn.IFNA(INDEX(reading[[#This Row],[Memo 01]:[Memo 07]],MATCH(0,reading[[#This Row],[Memo 01]:[Memo 07]],-1)),"")</f>
        <v>45829</v>
      </c>
      <c r="X1698" s="11">
        <f ca="1">IFERROR(reading[[#This Row],[Previous]]+OFFSET(reading[[#Headers],[Memo 01]],-1,MATCH(0,reading[[#This Row],[Memo 01]:[Memo 07]],-1)-1),"")</f>
        <v>55829</v>
      </c>
      <c r="Y1698" s="10" t="str">
        <f ca="1">IF(reading[[#This Row],[Next]]&lt;&gt;"",IF(reading[[#This Row],[Next]]&gt;TODAY(),"OK",""),"")</f>
        <v>OK</v>
      </c>
      <c r="Z1698" s="13">
        <v>3</v>
      </c>
      <c r="AA1698" s="13">
        <v>3</v>
      </c>
      <c r="AB1698" s="13">
        <v>3</v>
      </c>
      <c r="AC1698" s="13">
        <v>3</v>
      </c>
      <c r="AD1698" s="13">
        <v>3</v>
      </c>
      <c r="AE1698" s="13">
        <v>3</v>
      </c>
      <c r="AF1698" s="13">
        <v>3</v>
      </c>
      <c r="AG1698" s="16">
        <f>IFERROR(SUMIF(reading[[#This Row],[1st]:[7th]],"&gt;0")/COUNTIF(reading[[#This Row],[1st]:[7th]],"&gt;0"),"")</f>
        <v>3</v>
      </c>
    </row>
    <row r="1699" spans="1:33" hidden="1" x14ac:dyDescent="0.2">
      <c r="A1699" s="4">
        <f>IF(B1699=1,3,IF(D1699=1,2,IF(F1699=1,1,0)))</f>
        <v>0</v>
      </c>
      <c r="B1699" s="4" t="str">
        <f>IF(C1699=$L1699,1,IF(C1699="","",0))</f>
        <v/>
      </c>
      <c r="C1699" s="42"/>
      <c r="D1699" s="4" t="str">
        <f>IF(E1699=$L1699,1,IF(E1699="","",0))</f>
        <v/>
      </c>
      <c r="E1699" s="14"/>
      <c r="F1699" s="4" t="str">
        <f>IF(G1699=$L1699,1,IF(G1699="","",0))</f>
        <v/>
      </c>
      <c r="G1699" s="14"/>
      <c r="H1699" s="6">
        <v>2399</v>
      </c>
      <c r="I1699" s="15" t="s">
        <v>3120</v>
      </c>
      <c r="J1699" s="6" t="s">
        <v>5471</v>
      </c>
      <c r="K1699" s="6"/>
      <c r="L1699" s="6" t="s">
        <v>2450</v>
      </c>
      <c r="M1699" s="6" t="s">
        <v>8504</v>
      </c>
      <c r="N1699" s="7">
        <f ca="1">RAND()</f>
        <v>0.68606880803216241</v>
      </c>
      <c r="O1699" s="8">
        <v>45217</v>
      </c>
      <c r="P1699" s="8">
        <v>45218</v>
      </c>
      <c r="Q1699" s="8">
        <v>45220</v>
      </c>
      <c r="R1699" s="8">
        <v>45224</v>
      </c>
      <c r="S1699" s="8">
        <v>45231</v>
      </c>
      <c r="T1699" s="8">
        <v>45792</v>
      </c>
      <c r="U1699" s="8">
        <v>45829</v>
      </c>
      <c r="V1699" s="10">
        <f>COUNTA(O1699:U1699)</f>
        <v>7</v>
      </c>
      <c r="W1699" s="11">
        <f>_xlfn.IFNA(INDEX(reading[[#This Row],[Memo 01]:[Memo 07]],MATCH(0,reading[[#This Row],[Memo 01]:[Memo 07]],-1)),"")</f>
        <v>45829</v>
      </c>
      <c r="X1699" s="11">
        <f ca="1">IFERROR(reading[[#This Row],[Previous]]+OFFSET(reading[[#Headers],[Memo 01]],-1,MATCH(0,reading[[#This Row],[Memo 01]:[Memo 07]],-1)-1),"")</f>
        <v>55829</v>
      </c>
      <c r="Y1699" s="10" t="str">
        <f ca="1">IF(reading[[#This Row],[Next]]&lt;&gt;"",IF(reading[[#This Row],[Next]]&gt;TODAY(),"OK",""),"")</f>
        <v>OK</v>
      </c>
      <c r="Z1699" s="13">
        <v>3</v>
      </c>
      <c r="AA1699" s="13">
        <v>3</v>
      </c>
      <c r="AB1699" s="13">
        <v>3</v>
      </c>
      <c r="AC1699" s="13">
        <v>3</v>
      </c>
      <c r="AD1699" s="13">
        <v>3</v>
      </c>
      <c r="AE1699" s="13">
        <v>3</v>
      </c>
      <c r="AF1699" s="13">
        <v>3</v>
      </c>
      <c r="AG1699" s="16">
        <f>IFERROR(SUMIF(reading[[#This Row],[1st]:[7th]],"&gt;0")/COUNTIF(reading[[#This Row],[1st]:[7th]],"&gt;0"),"")</f>
        <v>3</v>
      </c>
    </row>
    <row r="1700" spans="1:33" hidden="1" x14ac:dyDescent="0.2">
      <c r="A1700" s="4">
        <f>IF(B1700=1,3,IF(D1700=1,2,IF(F1700=1,1,0)))</f>
        <v>0</v>
      </c>
      <c r="B1700" s="4" t="str">
        <f>IF(C1700=$L1700,1,IF(C1700="","",0))</f>
        <v/>
      </c>
      <c r="C1700" s="42"/>
      <c r="D1700" s="4" t="str">
        <f>IF(E1700=$L1700,1,IF(E1700="","",0))</f>
        <v/>
      </c>
      <c r="E1700" s="14"/>
      <c r="F1700" s="4" t="str">
        <f>IF(G1700=$L1700,1,IF(G1700="","",0))</f>
        <v/>
      </c>
      <c r="G1700" s="14"/>
      <c r="H1700" s="6">
        <v>980</v>
      </c>
      <c r="I1700" s="15" t="s">
        <v>3120</v>
      </c>
      <c r="J1700" s="6" t="s">
        <v>4109</v>
      </c>
      <c r="K1700" s="6"/>
      <c r="L1700" s="6" t="s">
        <v>1090</v>
      </c>
      <c r="M1700" s="6" t="s">
        <v>7088</v>
      </c>
      <c r="N1700" s="7">
        <f ca="1">RAND()</f>
        <v>0.40005525131075359</v>
      </c>
      <c r="O1700" s="8">
        <v>45204</v>
      </c>
      <c r="P1700" s="8">
        <v>45205</v>
      </c>
      <c r="Q1700" s="8">
        <v>45207</v>
      </c>
      <c r="R1700" s="8">
        <v>45211</v>
      </c>
      <c r="S1700" s="8">
        <v>45218</v>
      </c>
      <c r="T1700" s="8">
        <v>45230</v>
      </c>
      <c r="U1700" s="8">
        <v>45830</v>
      </c>
      <c r="V1700" s="10">
        <f>COUNTA(O1700:U1700)</f>
        <v>7</v>
      </c>
      <c r="W1700" s="11">
        <f>_xlfn.IFNA(INDEX(reading[[#This Row],[Memo 01]:[Memo 07]],MATCH(0,reading[[#This Row],[Memo 01]:[Memo 07]],-1)),"")</f>
        <v>45830</v>
      </c>
      <c r="X1700" s="11">
        <f ca="1">IFERROR(reading[[#This Row],[Previous]]+OFFSET(reading[[#Headers],[Memo 01]],-1,MATCH(0,reading[[#This Row],[Memo 01]:[Memo 07]],-1)-1),"")</f>
        <v>55830</v>
      </c>
      <c r="Y1700" s="10" t="str">
        <f ca="1">IF(reading[[#This Row],[Next]]&lt;&gt;"",IF(reading[[#This Row],[Next]]&gt;TODAY(),"OK",""),"")</f>
        <v>OK</v>
      </c>
      <c r="Z1700" s="13">
        <v>3</v>
      </c>
      <c r="AA1700" s="13">
        <v>3</v>
      </c>
      <c r="AB1700" s="13">
        <v>3</v>
      </c>
      <c r="AC1700" s="13">
        <v>3</v>
      </c>
      <c r="AD1700" s="13">
        <v>3</v>
      </c>
      <c r="AE1700" s="13">
        <v>3</v>
      </c>
      <c r="AF1700" s="13">
        <v>3</v>
      </c>
      <c r="AG1700" s="16">
        <f>IFERROR(SUMIF(reading[[#This Row],[1st]:[7th]],"&gt;0")/COUNTIF(reading[[#This Row],[1st]:[7th]],"&gt;0"),"")</f>
        <v>3</v>
      </c>
    </row>
    <row r="1701" spans="1:33" hidden="1" x14ac:dyDescent="0.2">
      <c r="A1701" s="4">
        <f>IF(B1701=1,3,IF(D1701=1,2,IF(F1701=1,1,0)))</f>
        <v>0</v>
      </c>
      <c r="B1701" s="4" t="str">
        <f>IF(C1701=$L1701,1,IF(C1701="","",0))</f>
        <v/>
      </c>
      <c r="C1701" s="42"/>
      <c r="D1701" s="4" t="str">
        <f>IF(E1701=$L1701,1,IF(E1701="","",0))</f>
        <v/>
      </c>
      <c r="E1701" s="14"/>
      <c r="F1701" s="4" t="str">
        <f>IF(G1701=$L1701,1,IF(G1701="","",0))</f>
        <v/>
      </c>
      <c r="G1701" s="14"/>
      <c r="H1701" s="6">
        <v>2565</v>
      </c>
      <c r="I1701" s="15" t="s">
        <v>3120</v>
      </c>
      <c r="J1701" s="6" t="s">
        <v>5625</v>
      </c>
      <c r="K1701" s="6"/>
      <c r="L1701" s="6" t="s">
        <v>2610</v>
      </c>
      <c r="M1701" s="6" t="s">
        <v>8670</v>
      </c>
      <c r="N1701" s="7">
        <f ca="1">RAND()</f>
        <v>0.34700110741279167</v>
      </c>
      <c r="O1701" s="8">
        <v>45220</v>
      </c>
      <c r="P1701" s="8">
        <v>45221</v>
      </c>
      <c r="Q1701" s="8">
        <v>45223</v>
      </c>
      <c r="R1701" s="8">
        <v>45227</v>
      </c>
      <c r="S1701" s="8">
        <v>45234</v>
      </c>
      <c r="T1701" s="8">
        <v>45783</v>
      </c>
      <c r="U1701" s="8">
        <v>45829</v>
      </c>
      <c r="V1701" s="10">
        <f>COUNTA(O1701:U1701)</f>
        <v>7</v>
      </c>
      <c r="W1701" s="11">
        <f>_xlfn.IFNA(INDEX(reading[[#This Row],[Memo 01]:[Memo 07]],MATCH(0,reading[[#This Row],[Memo 01]:[Memo 07]],-1)),"")</f>
        <v>45829</v>
      </c>
      <c r="X1701" s="11">
        <f ca="1">IFERROR(reading[[#This Row],[Previous]]+OFFSET(reading[[#Headers],[Memo 01]],-1,MATCH(0,reading[[#This Row],[Memo 01]:[Memo 07]],-1)-1),"")</f>
        <v>55829</v>
      </c>
      <c r="Y1701" s="10" t="str">
        <f ca="1">IF(reading[[#This Row],[Next]]&lt;&gt;"",IF(reading[[#This Row],[Next]]&gt;TODAY(),"OK",""),"")</f>
        <v>OK</v>
      </c>
      <c r="Z1701" s="13">
        <v>3</v>
      </c>
      <c r="AA1701" s="13">
        <v>3</v>
      </c>
      <c r="AB1701" s="13">
        <v>3</v>
      </c>
      <c r="AC1701" s="13">
        <v>3</v>
      </c>
      <c r="AD1701" s="13">
        <v>3</v>
      </c>
      <c r="AE1701" s="13">
        <v>3</v>
      </c>
      <c r="AF1701" s="13">
        <v>3</v>
      </c>
      <c r="AG1701" s="16">
        <f>IFERROR(SUMIF(reading[[#This Row],[1st]:[7th]],"&gt;0")/COUNTIF(reading[[#This Row],[1st]:[7th]],"&gt;0"),"")</f>
        <v>3</v>
      </c>
    </row>
    <row r="1702" spans="1:33" hidden="1" x14ac:dyDescent="0.2">
      <c r="A1702" s="4">
        <f>IF(B1702=1,3,IF(D1702=1,2,IF(F1702=1,1,0)))</f>
        <v>0</v>
      </c>
      <c r="B1702" s="4" t="str">
        <f>IF(C1702=$L1702,1,IF(C1702="","",0))</f>
        <v/>
      </c>
      <c r="C1702" s="42"/>
      <c r="D1702" s="4" t="str">
        <f>IF(E1702=$L1702,1,IF(E1702="","",0))</f>
        <v/>
      </c>
      <c r="E1702" s="14"/>
      <c r="F1702" s="4" t="str">
        <f>IF(G1702=$L1702,1,IF(G1702="","",0))</f>
        <v/>
      </c>
      <c r="G1702" s="14"/>
      <c r="H1702" s="6">
        <v>883</v>
      </c>
      <c r="I1702" s="15" t="s">
        <v>3120</v>
      </c>
      <c r="J1702" s="6" t="s">
        <v>4015</v>
      </c>
      <c r="K1702" s="6"/>
      <c r="L1702" s="6" t="s">
        <v>997</v>
      </c>
      <c r="M1702" s="6" t="s">
        <v>6992</v>
      </c>
      <c r="N1702" s="7">
        <f ca="1">RAND()</f>
        <v>4.1708790494169978E-2</v>
      </c>
      <c r="O1702" s="8">
        <v>45204</v>
      </c>
      <c r="P1702" s="8">
        <v>45205</v>
      </c>
      <c r="Q1702" s="8">
        <v>45207</v>
      </c>
      <c r="R1702" s="8">
        <v>45211</v>
      </c>
      <c r="S1702" s="8">
        <v>45218</v>
      </c>
      <c r="T1702" s="8">
        <v>45230</v>
      </c>
      <c r="U1702" s="8">
        <v>45829</v>
      </c>
      <c r="V1702" s="10">
        <f>COUNTA(O1702:U1702)</f>
        <v>7</v>
      </c>
      <c r="W1702" s="11">
        <f>_xlfn.IFNA(INDEX(reading[[#This Row],[Memo 01]:[Memo 07]],MATCH(0,reading[[#This Row],[Memo 01]:[Memo 07]],-1)),"")</f>
        <v>45829</v>
      </c>
      <c r="X1702" s="11">
        <f ca="1">IFERROR(reading[[#This Row],[Previous]]+OFFSET(reading[[#Headers],[Memo 01]],-1,MATCH(0,reading[[#This Row],[Memo 01]:[Memo 07]],-1)-1),"")</f>
        <v>55829</v>
      </c>
      <c r="Y1702" s="10" t="str">
        <f ca="1">IF(reading[[#This Row],[Next]]&lt;&gt;"",IF(reading[[#This Row],[Next]]&gt;TODAY(),"OK",""),"")</f>
        <v>OK</v>
      </c>
      <c r="Z1702" s="13">
        <v>3</v>
      </c>
      <c r="AA1702" s="13">
        <v>3</v>
      </c>
      <c r="AB1702" s="13">
        <v>3</v>
      </c>
      <c r="AC1702" s="13">
        <v>3</v>
      </c>
      <c r="AD1702" s="13">
        <v>3</v>
      </c>
      <c r="AE1702" s="13">
        <v>3</v>
      </c>
      <c r="AF1702" s="13">
        <v>3</v>
      </c>
      <c r="AG1702" s="16">
        <f>IFERROR(SUMIF(reading[[#This Row],[1st]:[7th]],"&gt;0")/COUNTIF(reading[[#This Row],[1st]:[7th]],"&gt;0"),"")</f>
        <v>3</v>
      </c>
    </row>
    <row r="1703" spans="1:33" hidden="1" x14ac:dyDescent="0.2">
      <c r="A1703" s="4">
        <f>IF(B1703=1,3,IF(D1703=1,2,IF(F1703=1,1,0)))</f>
        <v>0</v>
      </c>
      <c r="B1703" s="4" t="str">
        <f>IF(C1703=$L1703,1,IF(C1703="","",0))</f>
        <v/>
      </c>
      <c r="C1703" s="42"/>
      <c r="D1703" s="4" t="str">
        <f>IF(E1703=$L1703,1,IF(E1703="","",0))</f>
        <v/>
      </c>
      <c r="E1703" s="43"/>
      <c r="F1703" s="4" t="str">
        <f>IF(G1703=$L1703,1,IF(G1703="","",0))</f>
        <v/>
      </c>
      <c r="G1703" s="23"/>
      <c r="H1703" s="6">
        <v>1866</v>
      </c>
      <c r="I1703" s="15" t="s">
        <v>3120</v>
      </c>
      <c r="J1703" s="6" t="s">
        <v>4968</v>
      </c>
      <c r="K1703" s="15" t="s">
        <v>3139</v>
      </c>
      <c r="L1703" s="6" t="s">
        <v>1944</v>
      </c>
      <c r="M1703" s="6" t="s">
        <v>7972</v>
      </c>
      <c r="N1703" s="7">
        <f ca="1">RAND()</f>
        <v>0.57427406029387218</v>
      </c>
      <c r="O1703" s="8">
        <v>45213</v>
      </c>
      <c r="P1703" s="8">
        <v>45214</v>
      </c>
      <c r="Q1703" s="8">
        <v>45216</v>
      </c>
      <c r="R1703" s="8">
        <v>45220</v>
      </c>
      <c r="S1703" s="8">
        <v>45227</v>
      </c>
      <c r="T1703" s="8">
        <v>45253</v>
      </c>
      <c r="U1703" s="8">
        <v>45817</v>
      </c>
      <c r="V1703" s="10">
        <f>COUNTA(O1703:U1703)</f>
        <v>7</v>
      </c>
      <c r="W1703" s="11">
        <f>_xlfn.IFNA(INDEX(reading[[#This Row],[Memo 01]:[Memo 07]],MATCH(0,reading[[#This Row],[Memo 01]:[Memo 07]],-1)),"")</f>
        <v>45817</v>
      </c>
      <c r="X1703" s="11">
        <f ca="1">IFERROR(reading[[#This Row],[Previous]]+OFFSET(reading[[#Headers],[Memo 01]],-1,MATCH(0,reading[[#This Row],[Memo 01]:[Memo 07]],-1)-1),"")</f>
        <v>55817</v>
      </c>
      <c r="Y1703" s="10" t="str">
        <f ca="1">IF(reading[[#This Row],[Next]]&lt;&gt;"",IF(reading[[#This Row],[Next]]&gt;TODAY(),"OK",""),"")</f>
        <v>OK</v>
      </c>
      <c r="Z1703" s="13">
        <v>3</v>
      </c>
      <c r="AA1703" s="13">
        <v>3</v>
      </c>
      <c r="AB1703" s="13">
        <v>2</v>
      </c>
      <c r="AC1703" s="13">
        <v>3</v>
      </c>
      <c r="AD1703" s="13">
        <v>2</v>
      </c>
      <c r="AE1703" s="13">
        <v>1</v>
      </c>
      <c r="AF1703" s="13">
        <v>1</v>
      </c>
      <c r="AG1703" s="16">
        <f>IFERROR(SUMIF(reading[[#This Row],[1st]:[7th]],"&gt;0")/COUNTIF(reading[[#This Row],[1st]:[7th]],"&gt;0"),"")</f>
        <v>2.1428571428571428</v>
      </c>
    </row>
    <row r="1704" spans="1:33" hidden="1" x14ac:dyDescent="0.2">
      <c r="A1704" s="4">
        <f>IF(B1704=1,3,IF(D1704=1,2,IF(F1704=1,1,0)))</f>
        <v>0</v>
      </c>
      <c r="B1704" s="4" t="str">
        <f>IF(C1704=$L1704,1,IF(C1704="","",0))</f>
        <v/>
      </c>
      <c r="C1704" s="42"/>
      <c r="D1704" s="4" t="str">
        <f>IF(E1704=$L1704,1,IF(E1704="","",0))</f>
        <v/>
      </c>
      <c r="E1704" s="14"/>
      <c r="F1704" s="4" t="str">
        <f>IF(G1704=$L1704,1,IF(G1704="","",0))</f>
        <v/>
      </c>
      <c r="G1704" s="14"/>
      <c r="H1704" s="6">
        <v>1924</v>
      </c>
      <c r="I1704" s="15" t="s">
        <v>3120</v>
      </c>
      <c r="J1704" s="6" t="s">
        <v>3666</v>
      </c>
      <c r="K1704" s="6"/>
      <c r="L1704" s="6" t="s">
        <v>2000</v>
      </c>
      <c r="M1704" s="6" t="s">
        <v>8030</v>
      </c>
      <c r="N1704" s="7">
        <f ca="1">RAND()</f>
        <v>0.60425603584307253</v>
      </c>
      <c r="O1704" s="8">
        <v>45212</v>
      </c>
      <c r="P1704" s="8">
        <v>45213</v>
      </c>
      <c r="Q1704" s="8">
        <v>45215</v>
      </c>
      <c r="R1704" s="8">
        <v>45219</v>
      </c>
      <c r="S1704" s="8">
        <v>45226</v>
      </c>
      <c r="T1704" s="8">
        <v>45783</v>
      </c>
      <c r="U1704" s="8">
        <v>45829</v>
      </c>
      <c r="V1704" s="10">
        <f>COUNTA(O1704:U1704)</f>
        <v>7</v>
      </c>
      <c r="W1704" s="11">
        <f>_xlfn.IFNA(INDEX(reading[[#This Row],[Memo 01]:[Memo 07]],MATCH(0,reading[[#This Row],[Memo 01]:[Memo 07]],-1)),"")</f>
        <v>45829</v>
      </c>
      <c r="X1704" s="11">
        <f ca="1">IFERROR(reading[[#This Row],[Previous]]+OFFSET(reading[[#Headers],[Memo 01]],-1,MATCH(0,reading[[#This Row],[Memo 01]:[Memo 07]],-1)-1),"")</f>
        <v>55829</v>
      </c>
      <c r="Y1704" s="10" t="str">
        <f ca="1">IF(reading[[#This Row],[Next]]&lt;&gt;"",IF(reading[[#This Row],[Next]]&gt;TODAY(),"OK",""),"")</f>
        <v>OK</v>
      </c>
      <c r="Z1704" s="13">
        <v>3</v>
      </c>
      <c r="AA1704" s="13">
        <v>3</v>
      </c>
      <c r="AB1704" s="13">
        <v>3</v>
      </c>
      <c r="AC1704" s="13">
        <v>3</v>
      </c>
      <c r="AD1704" s="13">
        <v>3</v>
      </c>
      <c r="AE1704" s="13">
        <v>3</v>
      </c>
      <c r="AF1704" s="13">
        <v>3</v>
      </c>
      <c r="AG1704" s="16">
        <f>IFERROR(SUMIF(reading[[#This Row],[1st]:[7th]],"&gt;0")/COUNTIF(reading[[#This Row],[1st]:[7th]],"&gt;0"),"")</f>
        <v>3</v>
      </c>
    </row>
    <row r="1705" spans="1:33" hidden="1" x14ac:dyDescent="0.2">
      <c r="A1705" s="4">
        <f>IF(B1705=1,3,IF(D1705=1,2,IF(F1705=1,1,0)))</f>
        <v>0</v>
      </c>
      <c r="B1705" s="4" t="str">
        <f>IF(C1705=$L1705,1,IF(C1705="","",0))</f>
        <v/>
      </c>
      <c r="C1705" s="42"/>
      <c r="D1705" s="4" t="str">
        <f>IF(E1705=$L1705,1,IF(E1705="","",0))</f>
        <v/>
      </c>
      <c r="E1705" s="43"/>
      <c r="F1705" s="4" t="str">
        <f>IF(G1705=$L1705,1,IF(G1705="","",0))</f>
        <v/>
      </c>
      <c r="G1705" s="14"/>
      <c r="H1705" s="6">
        <v>2068</v>
      </c>
      <c r="I1705" s="15" t="s">
        <v>3120</v>
      </c>
      <c r="J1705" s="6" t="s">
        <v>5163</v>
      </c>
      <c r="K1705" s="6"/>
      <c r="L1705" s="6" t="s">
        <v>99</v>
      </c>
      <c r="M1705" s="6" t="s">
        <v>8174</v>
      </c>
      <c r="N1705" s="7">
        <f ca="1">RAND()</f>
        <v>0.84153180327633481</v>
      </c>
      <c r="O1705" s="8">
        <v>45214</v>
      </c>
      <c r="P1705" s="8">
        <v>45215</v>
      </c>
      <c r="Q1705" s="8">
        <v>45217</v>
      </c>
      <c r="R1705" s="8">
        <v>45221</v>
      </c>
      <c r="S1705" s="8">
        <v>45228</v>
      </c>
      <c r="T1705" s="8">
        <v>45816</v>
      </c>
      <c r="U1705" s="8"/>
      <c r="V1705" s="10">
        <f>COUNTA(O1705:U1705)</f>
        <v>6</v>
      </c>
      <c r="W1705" s="11">
        <f>_xlfn.IFNA(INDEX(reading[[#This Row],[Memo 01]:[Memo 07]],MATCH(0,reading[[#This Row],[Memo 01]:[Memo 07]],-1)),"")</f>
        <v>45816</v>
      </c>
      <c r="X1705" s="11">
        <f ca="1">IFERROR(reading[[#This Row],[Previous]]+OFFSET(reading[[#Headers],[Memo 01]],-1,MATCH(0,reading[[#This Row],[Memo 01]:[Memo 07]],-1)-1),"")</f>
        <v>45836</v>
      </c>
      <c r="Y1705" s="10" t="str">
        <f ca="1">IF(reading[[#This Row],[Next]]&lt;&gt;"",IF(reading[[#This Row],[Next]]&gt;TODAY(),"OK",""),"")</f>
        <v>OK</v>
      </c>
      <c r="Z1705" s="13">
        <v>3</v>
      </c>
      <c r="AA1705" s="13">
        <v>2</v>
      </c>
      <c r="AB1705" s="13">
        <v>3</v>
      </c>
      <c r="AC1705" s="13">
        <v>3</v>
      </c>
      <c r="AD1705" s="13">
        <v>3</v>
      </c>
      <c r="AE1705" s="13">
        <v>2</v>
      </c>
      <c r="AF1705" s="13"/>
      <c r="AG1705" s="16">
        <f>IFERROR(SUMIF(reading[[#This Row],[1st]:[7th]],"&gt;0")/COUNTIF(reading[[#This Row],[1st]:[7th]],"&gt;0"),"")</f>
        <v>2.6666666666666665</v>
      </c>
    </row>
    <row r="1706" spans="1:33" hidden="1" x14ac:dyDescent="0.2">
      <c r="A1706" s="4">
        <f>IF(B1706=1,3,IF(D1706=1,2,IF(F1706=1,1,0)))</f>
        <v>0</v>
      </c>
      <c r="B1706" s="4" t="str">
        <f>IF(C1706=$L1706,1,IF(C1706="","",0))</f>
        <v/>
      </c>
      <c r="C1706" s="42"/>
      <c r="D1706" s="4" t="str">
        <f>IF(E1706=$L1706,1,IF(E1706="","",0))</f>
        <v/>
      </c>
      <c r="E1706" s="23"/>
      <c r="F1706" s="4" t="str">
        <f>IF(G1706=$L1706,1,IF(G1706="","",0))</f>
        <v/>
      </c>
      <c r="G1706" s="23"/>
      <c r="H1706" s="6">
        <v>1906</v>
      </c>
      <c r="I1706" s="15" t="s">
        <v>3120</v>
      </c>
      <c r="J1706" s="6" t="s">
        <v>5007</v>
      </c>
      <c r="K1706" s="24" t="s">
        <v>3136</v>
      </c>
      <c r="L1706" s="6" t="s">
        <v>1982</v>
      </c>
      <c r="M1706" s="6" t="s">
        <v>8012</v>
      </c>
      <c r="N1706" s="7">
        <f ca="1">RAND()</f>
        <v>0.51460263500121384</v>
      </c>
      <c r="O1706" s="8">
        <v>45213</v>
      </c>
      <c r="P1706" s="8">
        <v>45214</v>
      </c>
      <c r="Q1706" s="8">
        <v>45216</v>
      </c>
      <c r="R1706" s="8">
        <v>45220</v>
      </c>
      <c r="S1706" s="8">
        <v>45227</v>
      </c>
      <c r="T1706" s="8">
        <v>45817</v>
      </c>
      <c r="U1706" s="8"/>
      <c r="V1706" s="10">
        <f>COUNTA(O1706:U1706)</f>
        <v>6</v>
      </c>
      <c r="W1706" s="11">
        <f>_xlfn.IFNA(INDEX(reading[[#This Row],[Memo 01]:[Memo 07]],MATCH(0,reading[[#This Row],[Memo 01]:[Memo 07]],-1)),"")</f>
        <v>45817</v>
      </c>
      <c r="X1706" s="11">
        <f ca="1">IFERROR(reading[[#This Row],[Previous]]+OFFSET(reading[[#Headers],[Memo 01]],-1,MATCH(0,reading[[#This Row],[Memo 01]:[Memo 07]],-1)-1),"")</f>
        <v>45837</v>
      </c>
      <c r="Y1706" s="10" t="str">
        <f ca="1">IF(reading[[#This Row],[Next]]&lt;&gt;"",IF(reading[[#This Row],[Next]]&gt;TODAY(),"OK",""),"")</f>
        <v>OK</v>
      </c>
      <c r="Z1706" s="13">
        <v>3</v>
      </c>
      <c r="AA1706" s="13">
        <v>3</v>
      </c>
      <c r="AB1706" s="13">
        <v>3</v>
      </c>
      <c r="AC1706" s="13">
        <v>3</v>
      </c>
      <c r="AD1706" s="13">
        <v>3</v>
      </c>
      <c r="AE1706" s="13">
        <v>1</v>
      </c>
      <c r="AF1706" s="13"/>
      <c r="AG1706" s="16">
        <f>IFERROR(SUMIF(reading[[#This Row],[1st]:[7th]],"&gt;0")/COUNTIF(reading[[#This Row],[1st]:[7th]],"&gt;0"),"")</f>
        <v>2.6666666666666665</v>
      </c>
    </row>
    <row r="1707" spans="1:33" hidden="1" x14ac:dyDescent="0.2">
      <c r="A1707" s="4">
        <f>IF(B1707=1,3,IF(D1707=1,2,IF(F1707=1,1,0)))</f>
        <v>0</v>
      </c>
      <c r="B1707" s="4" t="str">
        <f>IF(C1707=$L1707,1,IF(C1707="","",0))</f>
        <v/>
      </c>
      <c r="C1707" s="42"/>
      <c r="D1707" s="4" t="str">
        <f>IF(E1707=$L1707,1,IF(E1707="","",0))</f>
        <v/>
      </c>
      <c r="E1707" s="14"/>
      <c r="F1707" s="4" t="str">
        <f>IF(G1707=$L1707,1,IF(G1707="","",0))</f>
        <v/>
      </c>
      <c r="G1707" s="14"/>
      <c r="H1707" s="6">
        <v>852</v>
      </c>
      <c r="I1707" s="15" t="s">
        <v>3120</v>
      </c>
      <c r="J1707" s="6" t="s">
        <v>3984</v>
      </c>
      <c r="K1707" s="6"/>
      <c r="L1707" s="6" t="s">
        <v>968</v>
      </c>
      <c r="M1707" s="6" t="s">
        <v>6961</v>
      </c>
      <c r="N1707" s="7">
        <f ca="1">RAND()</f>
        <v>0.56899349865960047</v>
      </c>
      <c r="O1707" s="8">
        <v>45203</v>
      </c>
      <c r="P1707" s="8">
        <v>45204</v>
      </c>
      <c r="Q1707" s="8">
        <v>45206</v>
      </c>
      <c r="R1707" s="8">
        <v>45210</v>
      </c>
      <c r="S1707" s="8">
        <v>45217</v>
      </c>
      <c r="T1707" s="8">
        <v>45229</v>
      </c>
      <c r="U1707" s="8">
        <v>45829</v>
      </c>
      <c r="V1707" s="10">
        <f>COUNTA(O1707:U1707)</f>
        <v>7</v>
      </c>
      <c r="W1707" s="11">
        <f>_xlfn.IFNA(INDEX(reading[[#This Row],[Memo 01]:[Memo 07]],MATCH(0,reading[[#This Row],[Memo 01]:[Memo 07]],-1)),"")</f>
        <v>45829</v>
      </c>
      <c r="X1707" s="11">
        <f ca="1">IFERROR(reading[[#This Row],[Previous]]+OFFSET(reading[[#Headers],[Memo 01]],-1,MATCH(0,reading[[#This Row],[Memo 01]:[Memo 07]],-1)-1),"")</f>
        <v>55829</v>
      </c>
      <c r="Y1707" s="10" t="str">
        <f ca="1">IF(reading[[#This Row],[Next]]&lt;&gt;"",IF(reading[[#This Row],[Next]]&gt;TODAY(),"OK",""),"")</f>
        <v>OK</v>
      </c>
      <c r="Z1707" s="13">
        <v>3</v>
      </c>
      <c r="AA1707" s="13">
        <v>3</v>
      </c>
      <c r="AB1707" s="13">
        <v>3</v>
      </c>
      <c r="AC1707" s="13">
        <v>3</v>
      </c>
      <c r="AD1707" s="13">
        <v>3</v>
      </c>
      <c r="AE1707" s="13">
        <v>3</v>
      </c>
      <c r="AF1707" s="13">
        <v>3</v>
      </c>
      <c r="AG1707" s="16">
        <f>IFERROR(SUMIF(reading[[#This Row],[1st]:[7th]],"&gt;0")/COUNTIF(reading[[#This Row],[1st]:[7th]],"&gt;0"),"")</f>
        <v>3</v>
      </c>
    </row>
    <row r="1708" spans="1:33" x14ac:dyDescent="0.2">
      <c r="A1708" s="4">
        <f>IF(B1708=1,3,IF(D1708=1,2,IF(F1708=1,1,0)))</f>
        <v>0</v>
      </c>
      <c r="B1708" s="4">
        <f>IF(C1708=$L1708,1,IF(C1708="","",0))</f>
        <v>0</v>
      </c>
      <c r="C1708" s="42" t="s">
        <v>9200</v>
      </c>
      <c r="D1708" s="4" t="str">
        <f>IF(E1708=$L1708,1,IF(E1708="","",0))</f>
        <v/>
      </c>
      <c r="E1708" s="14"/>
      <c r="F1708" s="4" t="str">
        <f>IF(G1708=$L1708,1,IF(G1708="","",0))</f>
        <v/>
      </c>
      <c r="G1708" s="14"/>
      <c r="H1708" s="6">
        <v>679</v>
      </c>
      <c r="I1708" s="15" t="s">
        <v>3120</v>
      </c>
      <c r="J1708" s="6" t="s">
        <v>3818</v>
      </c>
      <c r="K1708" s="6"/>
      <c r="L1708" s="6" t="s">
        <v>802</v>
      </c>
      <c r="M1708" s="6" t="s">
        <v>6788</v>
      </c>
      <c r="N1708" s="7">
        <f ca="1">RAND()</f>
        <v>0.35882884360358414</v>
      </c>
      <c r="O1708" s="8">
        <v>45203</v>
      </c>
      <c r="P1708" s="8">
        <v>45204</v>
      </c>
      <c r="Q1708" s="8">
        <v>45206</v>
      </c>
      <c r="R1708" s="8">
        <v>45210</v>
      </c>
      <c r="S1708" s="8">
        <v>45217</v>
      </c>
      <c r="T1708" s="8">
        <v>45229</v>
      </c>
      <c r="U1708" s="8"/>
      <c r="V1708" s="10">
        <f>COUNTA(O1708:U1708)</f>
        <v>6</v>
      </c>
      <c r="W1708" s="11">
        <f>_xlfn.IFNA(INDEX(reading[[#This Row],[Memo 01]:[Memo 07]],MATCH(0,reading[[#This Row],[Memo 01]:[Memo 07]],-1)),"")</f>
        <v>45229</v>
      </c>
      <c r="X1708" s="11">
        <f ca="1">IFERROR(reading[[#This Row],[Previous]]+OFFSET(reading[[#Headers],[Memo 01]],-1,MATCH(0,reading[[#This Row],[Memo 01]:[Memo 07]],-1)-1),"")</f>
        <v>45249</v>
      </c>
      <c r="Y1708" s="10" t="str">
        <f ca="1">IF(reading[[#This Row],[Next]]&lt;&gt;"",IF(reading[[#This Row],[Next]]&gt;TODAY(),"OK",""),"")</f>
        <v/>
      </c>
      <c r="Z1708" s="13">
        <v>3</v>
      </c>
      <c r="AA1708" s="13">
        <v>3</v>
      </c>
      <c r="AB1708" s="13">
        <v>3</v>
      </c>
      <c r="AC1708" s="13">
        <v>2</v>
      </c>
      <c r="AD1708" s="13">
        <v>3</v>
      </c>
      <c r="AE1708" s="13">
        <v>3</v>
      </c>
      <c r="AF1708" s="13"/>
      <c r="AG1708" s="16">
        <f>IFERROR(SUMIF(reading[[#This Row],[1st]:[7th]],"&gt;0")/COUNTIF(reading[[#This Row],[1st]:[7th]],"&gt;0"),"")</f>
        <v>2.8333333333333335</v>
      </c>
    </row>
    <row r="1709" spans="1:33" hidden="1" x14ac:dyDescent="0.2">
      <c r="A1709" s="4">
        <f>IF(B1709=1,3,IF(D1709=1,2,IF(F1709=1,1,0)))</f>
        <v>3</v>
      </c>
      <c r="B1709" s="4">
        <f>IF(C1709=$L1709,1,IF(C1709="","",0))</f>
        <v>1</v>
      </c>
      <c r="C1709" s="32" t="s">
        <v>1793</v>
      </c>
      <c r="D1709" s="4" t="str">
        <f>IF(E1709=$L1709,1,IF(E1709="","",0))</f>
        <v/>
      </c>
      <c r="E1709" s="14"/>
      <c r="F1709" s="4" t="str">
        <f>IF(G1709=$L1709,1,IF(G1709="","",0))</f>
        <v/>
      </c>
      <c r="G1709" s="14"/>
      <c r="H1709" s="6">
        <v>1713</v>
      </c>
      <c r="I1709" s="15" t="s">
        <v>3120</v>
      </c>
      <c r="J1709" s="6" t="s">
        <v>4821</v>
      </c>
      <c r="K1709" s="6"/>
      <c r="L1709" s="6" t="s">
        <v>1793</v>
      </c>
      <c r="M1709" s="6" t="s">
        <v>7819</v>
      </c>
      <c r="N1709" s="7">
        <f ca="1">RAND()</f>
        <v>0.86313755936680303</v>
      </c>
      <c r="O1709" s="8">
        <v>45211</v>
      </c>
      <c r="P1709" s="8">
        <v>45211</v>
      </c>
      <c r="Q1709" s="8">
        <v>45211</v>
      </c>
      <c r="R1709" s="8">
        <v>45211</v>
      </c>
      <c r="S1709" s="8">
        <v>45211</v>
      </c>
      <c r="T1709" s="8">
        <v>45211</v>
      </c>
      <c r="U1709" s="8">
        <v>45211</v>
      </c>
      <c r="V1709" s="10">
        <f>COUNTA(O1709:U1709)</f>
        <v>7</v>
      </c>
      <c r="W1709" s="11">
        <f>_xlfn.IFNA(INDEX(reading[[#This Row],[Memo 01]:[Memo 07]],MATCH(0,reading[[#This Row],[Memo 01]:[Memo 07]],-1)),"")</f>
        <v>45211</v>
      </c>
      <c r="X1709" s="11">
        <f ca="1">IFERROR(reading[[#This Row],[Previous]]+OFFSET(reading[[#Headers],[Memo 01]],-1,MATCH(0,reading[[#This Row],[Memo 01]:[Memo 07]],-1)-1),"")</f>
        <v>55211</v>
      </c>
      <c r="Y1709" s="10" t="str">
        <f ca="1">IF(reading[[#This Row],[Next]]&lt;&gt;"",IF(reading[[#This Row],[Next]]&gt;TODAY(),"OK",""),"")</f>
        <v>OK</v>
      </c>
      <c r="Z1709" s="13">
        <v>3</v>
      </c>
      <c r="AA1709" s="13"/>
      <c r="AB1709" s="13"/>
      <c r="AC1709" s="13"/>
      <c r="AD1709" s="13"/>
      <c r="AE1709" s="13"/>
      <c r="AF1709" s="13"/>
      <c r="AG1709" s="16">
        <f>IFERROR(SUMIF(reading[[#This Row],[1st]:[7th]],"&gt;0")/COUNTIF(reading[[#This Row],[1st]:[7th]],"&gt;0"),"")</f>
        <v>3</v>
      </c>
    </row>
    <row r="1710" spans="1:33" hidden="1" x14ac:dyDescent="0.2">
      <c r="A1710" s="4">
        <f>IF(B1710=1,3,IF(D1710=1,2,IF(F1710=1,1,0)))</f>
        <v>0</v>
      </c>
      <c r="B1710" s="4" t="str">
        <f>IF(C1710=$L1710,1,IF(C1710="","",0))</f>
        <v/>
      </c>
      <c r="C1710" s="42"/>
      <c r="D1710" s="4" t="str">
        <f>IF(E1710=$L1710,1,IF(E1710="","",0))</f>
        <v/>
      </c>
      <c r="E1710" s="14"/>
      <c r="F1710" s="4" t="str">
        <f>IF(G1710=$L1710,1,IF(G1710="","",0))</f>
        <v/>
      </c>
      <c r="G1710" s="14"/>
      <c r="H1710" s="6">
        <v>1190</v>
      </c>
      <c r="I1710" s="15" t="s">
        <v>3120</v>
      </c>
      <c r="J1710" s="6" t="s">
        <v>4309</v>
      </c>
      <c r="K1710" s="6"/>
      <c r="L1710" s="6" t="s">
        <v>1292</v>
      </c>
      <c r="M1710" s="6" t="s">
        <v>7297</v>
      </c>
      <c r="N1710" s="7">
        <f ca="1">RAND()</f>
        <v>0.80015573765814185</v>
      </c>
      <c r="O1710" s="8">
        <v>45206</v>
      </c>
      <c r="P1710" s="8">
        <v>45207</v>
      </c>
      <c r="Q1710" s="8">
        <v>45209</v>
      </c>
      <c r="R1710" s="8">
        <v>45213</v>
      </c>
      <c r="S1710" s="8">
        <v>45220</v>
      </c>
      <c r="T1710" s="8">
        <v>45232</v>
      </c>
      <c r="U1710" s="8">
        <v>45829</v>
      </c>
      <c r="V1710" s="10">
        <f>COUNTA(O1710:U1710)</f>
        <v>7</v>
      </c>
      <c r="W1710" s="11">
        <f>_xlfn.IFNA(INDEX(reading[[#This Row],[Memo 01]:[Memo 07]],MATCH(0,reading[[#This Row],[Memo 01]:[Memo 07]],-1)),"")</f>
        <v>45829</v>
      </c>
      <c r="X1710" s="11">
        <f ca="1">IFERROR(reading[[#This Row],[Previous]]+OFFSET(reading[[#Headers],[Memo 01]],-1,MATCH(0,reading[[#This Row],[Memo 01]:[Memo 07]],-1)-1),"")</f>
        <v>55829</v>
      </c>
      <c r="Y1710" s="10" t="str">
        <f ca="1">IF(reading[[#This Row],[Next]]&lt;&gt;"",IF(reading[[#This Row],[Next]]&gt;TODAY(),"OK",""),"")</f>
        <v>OK</v>
      </c>
      <c r="Z1710" s="13">
        <v>3</v>
      </c>
      <c r="AA1710" s="13">
        <v>3</v>
      </c>
      <c r="AB1710" s="13">
        <v>3</v>
      </c>
      <c r="AC1710" s="13">
        <v>3</v>
      </c>
      <c r="AD1710" s="13">
        <v>3</v>
      </c>
      <c r="AE1710" s="13">
        <v>3</v>
      </c>
      <c r="AF1710" s="13">
        <v>3</v>
      </c>
      <c r="AG1710" s="16">
        <f>IFERROR(SUMIF(reading[[#This Row],[1st]:[7th]],"&gt;0")/COUNTIF(reading[[#This Row],[1st]:[7th]],"&gt;0"),"")</f>
        <v>3</v>
      </c>
    </row>
    <row r="1711" spans="1:33" hidden="1" x14ac:dyDescent="0.2">
      <c r="A1711" s="4">
        <f>IF(B1711=1,3,IF(D1711=1,2,IF(F1711=1,1,0)))</f>
        <v>0</v>
      </c>
      <c r="B1711" s="4" t="str">
        <f>IF(C1711=$L1711,1,IF(C1711="","",0))</f>
        <v/>
      </c>
      <c r="C1711" s="42"/>
      <c r="D1711" s="4" t="str">
        <f>IF(E1711=$L1711,1,IF(E1711="","",0))</f>
        <v/>
      </c>
      <c r="E1711" s="14"/>
      <c r="F1711" s="4" t="str">
        <f>IF(G1711=$L1711,1,IF(G1711="","",0))</f>
        <v/>
      </c>
      <c r="G1711" s="14"/>
      <c r="H1711" s="6">
        <v>1653</v>
      </c>
      <c r="I1711" s="15" t="s">
        <v>3120</v>
      </c>
      <c r="J1711" s="6" t="s">
        <v>3232</v>
      </c>
      <c r="K1711" s="6"/>
      <c r="L1711" s="6" t="s">
        <v>1734</v>
      </c>
      <c r="M1711" s="6" t="s">
        <v>7759</v>
      </c>
      <c r="N1711" s="7">
        <f ca="1">RAND()</f>
        <v>0.9467473199484544</v>
      </c>
      <c r="O1711" s="8">
        <v>45210</v>
      </c>
      <c r="P1711" s="8">
        <v>45211</v>
      </c>
      <c r="Q1711" s="8">
        <v>45213</v>
      </c>
      <c r="R1711" s="8">
        <v>45217</v>
      </c>
      <c r="S1711" s="8">
        <v>45224</v>
      </c>
      <c r="T1711" s="8">
        <v>45236</v>
      </c>
      <c r="U1711" s="8">
        <v>45830</v>
      </c>
      <c r="V1711" s="10">
        <f>COUNTA(O1711:U1711)</f>
        <v>7</v>
      </c>
      <c r="W1711" s="11">
        <f>_xlfn.IFNA(INDEX(reading[[#This Row],[Memo 01]:[Memo 07]],MATCH(0,reading[[#This Row],[Memo 01]:[Memo 07]],-1)),"")</f>
        <v>45830</v>
      </c>
      <c r="X1711" s="11">
        <f ca="1">IFERROR(reading[[#This Row],[Previous]]+OFFSET(reading[[#Headers],[Memo 01]],-1,MATCH(0,reading[[#This Row],[Memo 01]:[Memo 07]],-1)-1),"")</f>
        <v>55830</v>
      </c>
      <c r="Y1711" s="10" t="str">
        <f ca="1">IF(reading[[#This Row],[Next]]&lt;&gt;"",IF(reading[[#This Row],[Next]]&gt;TODAY(),"OK",""),"")</f>
        <v>OK</v>
      </c>
      <c r="Z1711" s="13">
        <v>3</v>
      </c>
      <c r="AA1711" s="13">
        <v>3</v>
      </c>
      <c r="AB1711" s="13">
        <v>3</v>
      </c>
      <c r="AC1711" s="13">
        <v>3</v>
      </c>
      <c r="AD1711" s="13">
        <v>3</v>
      </c>
      <c r="AE1711" s="13">
        <v>3</v>
      </c>
      <c r="AF1711" s="13">
        <v>3</v>
      </c>
      <c r="AG1711" s="16">
        <f>IFERROR(SUMIF(reading[[#This Row],[1st]:[7th]],"&gt;0")/COUNTIF(reading[[#This Row],[1st]:[7th]],"&gt;0"),"")</f>
        <v>3</v>
      </c>
    </row>
    <row r="1712" spans="1:33" hidden="1" x14ac:dyDescent="0.2">
      <c r="A1712" s="4">
        <f>IF(B1712=1,3,IF(D1712=1,2,IF(F1712=1,1,0)))</f>
        <v>0</v>
      </c>
      <c r="B1712" s="4" t="str">
        <f>IF(C1712=$L1712,1,IF(C1712="","",0))</f>
        <v/>
      </c>
      <c r="C1712" s="42"/>
      <c r="D1712" s="4" t="str">
        <f>IF(E1712=$L1712,1,IF(E1712="","",0))</f>
        <v/>
      </c>
      <c r="E1712" s="14"/>
      <c r="F1712" s="4" t="str">
        <f>IF(G1712=$L1712,1,IF(G1712="","",0))</f>
        <v/>
      </c>
      <c r="G1712" s="14"/>
      <c r="H1712" s="6">
        <v>2155</v>
      </c>
      <c r="I1712" s="15" t="s">
        <v>3120</v>
      </c>
      <c r="J1712" s="6" t="s">
        <v>5243</v>
      </c>
      <c r="K1712" s="6"/>
      <c r="L1712" s="6" t="s">
        <v>2221</v>
      </c>
      <c r="M1712" s="6" t="s">
        <v>8261</v>
      </c>
      <c r="N1712" s="7">
        <f ca="1">RAND()</f>
        <v>0.2219115543106952</v>
      </c>
      <c r="O1712" s="8">
        <v>45214</v>
      </c>
      <c r="P1712" s="8">
        <v>45215</v>
      </c>
      <c r="Q1712" s="8">
        <v>45217</v>
      </c>
      <c r="R1712" s="8">
        <v>45221</v>
      </c>
      <c r="S1712" s="8">
        <v>45228</v>
      </c>
      <c r="T1712" s="8">
        <v>45783</v>
      </c>
      <c r="U1712" s="8">
        <v>45830</v>
      </c>
      <c r="V1712" s="10">
        <f>COUNTA(O1712:U1712)</f>
        <v>7</v>
      </c>
      <c r="W1712" s="11">
        <f>_xlfn.IFNA(INDEX(reading[[#This Row],[Memo 01]:[Memo 07]],MATCH(0,reading[[#This Row],[Memo 01]:[Memo 07]],-1)),"")</f>
        <v>45830</v>
      </c>
      <c r="X1712" s="11">
        <f ca="1">IFERROR(reading[[#This Row],[Previous]]+OFFSET(reading[[#Headers],[Memo 01]],-1,MATCH(0,reading[[#This Row],[Memo 01]:[Memo 07]],-1)-1),"")</f>
        <v>55830</v>
      </c>
      <c r="Y1712" s="10" t="str">
        <f ca="1">IF(reading[[#This Row],[Next]]&lt;&gt;"",IF(reading[[#This Row],[Next]]&gt;TODAY(),"OK",""),"")</f>
        <v>OK</v>
      </c>
      <c r="Z1712" s="13">
        <v>3</v>
      </c>
      <c r="AA1712" s="13">
        <v>3</v>
      </c>
      <c r="AB1712" s="13">
        <v>3</v>
      </c>
      <c r="AC1712" s="13">
        <v>3</v>
      </c>
      <c r="AD1712" s="13">
        <v>3</v>
      </c>
      <c r="AE1712" s="13">
        <v>3</v>
      </c>
      <c r="AF1712" s="13">
        <v>3</v>
      </c>
      <c r="AG1712" s="16">
        <f>IFERROR(SUMIF(reading[[#This Row],[1st]:[7th]],"&gt;0")/COUNTIF(reading[[#This Row],[1st]:[7th]],"&gt;0"),"")</f>
        <v>3</v>
      </c>
    </row>
    <row r="1713" spans="1:33" x14ac:dyDescent="0.2">
      <c r="A1713" s="4">
        <f>IF(B1713=1,3,IF(D1713=1,2,IF(F1713=1,1,0)))</f>
        <v>3</v>
      </c>
      <c r="B1713" s="4">
        <f>IF(C1713=$L1713,1,IF(C1713="","",0))</f>
        <v>1</v>
      </c>
      <c r="C1713" s="42" t="s">
        <v>9300</v>
      </c>
      <c r="D1713" s="4" t="str">
        <f>IF(E1713=$L1713,1,IF(E1713="","",0))</f>
        <v/>
      </c>
      <c r="E1713" s="14"/>
      <c r="F1713" s="4" t="str">
        <f>IF(G1713=$L1713,1,IF(G1713="","",0))</f>
        <v/>
      </c>
      <c r="G1713" s="14"/>
      <c r="H1713" s="6">
        <v>2221</v>
      </c>
      <c r="I1713" s="15" t="s">
        <v>3120</v>
      </c>
      <c r="J1713" s="6" t="s">
        <v>5307</v>
      </c>
      <c r="K1713" s="6"/>
      <c r="L1713" s="6" t="s">
        <v>2284</v>
      </c>
      <c r="M1713" s="6" t="s">
        <v>8327</v>
      </c>
      <c r="N1713" s="7">
        <f ca="1">RAND()</f>
        <v>0.95973242651448654</v>
      </c>
      <c r="O1713" s="8">
        <v>45215</v>
      </c>
      <c r="P1713" s="8">
        <v>45216</v>
      </c>
      <c r="Q1713" s="8">
        <v>45218</v>
      </c>
      <c r="R1713" s="8">
        <v>45222</v>
      </c>
      <c r="S1713" s="8">
        <v>45229</v>
      </c>
      <c r="T1713" s="8"/>
      <c r="U1713" s="8"/>
      <c r="V1713" s="10">
        <f>COUNTA(O1713:U1713)</f>
        <v>5</v>
      </c>
      <c r="W1713" s="11">
        <f>_xlfn.IFNA(INDEX(reading[[#This Row],[Memo 01]:[Memo 07]],MATCH(0,reading[[#This Row],[Memo 01]:[Memo 07]],-1)),"")</f>
        <v>45229</v>
      </c>
      <c r="X1713" s="11">
        <f ca="1">IFERROR(reading[[#This Row],[Previous]]+OFFSET(reading[[#Headers],[Memo 01]],-1,MATCH(0,reading[[#This Row],[Memo 01]:[Memo 07]],-1)-1),"")</f>
        <v>45241</v>
      </c>
      <c r="Y1713" s="10" t="str">
        <f ca="1">IF(reading[[#This Row],[Next]]&lt;&gt;"",IF(reading[[#This Row],[Next]]&gt;TODAY(),"OK",""),"")</f>
        <v/>
      </c>
      <c r="Z1713" s="13">
        <v>3</v>
      </c>
      <c r="AA1713" s="13">
        <v>3</v>
      </c>
      <c r="AB1713" s="13">
        <v>3</v>
      </c>
      <c r="AC1713" s="13">
        <v>3</v>
      </c>
      <c r="AD1713" s="13">
        <v>3</v>
      </c>
      <c r="AE1713" s="13"/>
      <c r="AF1713" s="13"/>
      <c r="AG1713" s="16">
        <f>IFERROR(SUMIF(reading[[#This Row],[1st]:[7th]],"&gt;0")/COUNTIF(reading[[#This Row],[1st]:[7th]],"&gt;0"),"")</f>
        <v>3</v>
      </c>
    </row>
    <row r="1714" spans="1:33" hidden="1" x14ac:dyDescent="0.2">
      <c r="A1714" s="4">
        <f>IF(B1714=1,3,IF(D1714=1,2,IF(F1714=1,1,0)))</f>
        <v>0</v>
      </c>
      <c r="B1714" s="4" t="str">
        <f>IF(C1714=$L1714,1,IF(C1714="","",0))</f>
        <v/>
      </c>
      <c r="C1714" s="42"/>
      <c r="D1714" s="4" t="str">
        <f>IF(E1714=$L1714,1,IF(E1714="","",0))</f>
        <v/>
      </c>
      <c r="E1714" s="14"/>
      <c r="F1714" s="4" t="str">
        <f>IF(G1714=$L1714,1,IF(G1714="","",0))</f>
        <v/>
      </c>
      <c r="G1714" s="14"/>
      <c r="H1714" s="6">
        <v>3091</v>
      </c>
      <c r="I1714" s="15" t="s">
        <v>3120</v>
      </c>
      <c r="J1714" s="6" t="s">
        <v>6110</v>
      </c>
      <c r="K1714" s="6"/>
      <c r="L1714" s="6" t="s">
        <v>3115</v>
      </c>
      <c r="M1714" s="6" t="s">
        <v>9194</v>
      </c>
      <c r="N1714" s="7">
        <f ca="1">RAND()</f>
        <v>0.89835923542640905</v>
      </c>
      <c r="O1714" s="8">
        <v>45224</v>
      </c>
      <c r="P1714" s="8">
        <v>45225</v>
      </c>
      <c r="Q1714" s="8">
        <v>45227</v>
      </c>
      <c r="R1714" s="8">
        <v>45231</v>
      </c>
      <c r="S1714" s="8">
        <v>45251</v>
      </c>
      <c r="T1714" s="8">
        <v>45792</v>
      </c>
      <c r="U1714" s="8">
        <v>45829</v>
      </c>
      <c r="V1714" s="10">
        <f>COUNTA(O1714:U1714)</f>
        <v>7</v>
      </c>
      <c r="W1714" s="11">
        <f>_xlfn.IFNA(INDEX(reading[[#This Row],[Memo 01]:[Memo 07]],MATCH(0,reading[[#This Row],[Memo 01]:[Memo 07]],-1)),"")</f>
        <v>45829</v>
      </c>
      <c r="X1714" s="11">
        <f ca="1">IFERROR(reading[[#This Row],[Previous]]+OFFSET(reading[[#Headers],[Memo 01]],-1,MATCH(0,reading[[#This Row],[Memo 01]:[Memo 07]],-1)-1),"")</f>
        <v>55829</v>
      </c>
      <c r="Y1714" s="10" t="str">
        <f ca="1">IF(reading[[#This Row],[Next]]&lt;&gt;"",IF(reading[[#This Row],[Next]]&gt;TODAY(),"OK",""),"")</f>
        <v>OK</v>
      </c>
      <c r="Z1714" s="13">
        <v>3</v>
      </c>
      <c r="AA1714" s="13">
        <v>3</v>
      </c>
      <c r="AB1714" s="13">
        <v>3</v>
      </c>
      <c r="AC1714" s="13">
        <v>3</v>
      </c>
      <c r="AD1714" s="13">
        <v>3</v>
      </c>
      <c r="AE1714" s="13">
        <v>3</v>
      </c>
      <c r="AF1714" s="13">
        <v>3</v>
      </c>
      <c r="AG1714" s="16">
        <f>IFERROR(SUMIF(reading[[#This Row],[1st]:[7th]],"&gt;0")/COUNTIF(reading[[#This Row],[1st]:[7th]],"&gt;0"),"")</f>
        <v>3</v>
      </c>
    </row>
    <row r="1715" spans="1:33" x14ac:dyDescent="0.2">
      <c r="A1715" s="4">
        <f>IF(B1715=1,3,IF(D1715=1,2,IF(F1715=1,1,0)))</f>
        <v>0</v>
      </c>
      <c r="B1715" s="4">
        <f>IF(C1715=$L1715,1,IF(C1715="","",0))</f>
        <v>0</v>
      </c>
      <c r="C1715" s="42" t="s">
        <v>9200</v>
      </c>
      <c r="D1715" s="4" t="str">
        <f>IF(E1715=$L1715,1,IF(E1715="","",0))</f>
        <v/>
      </c>
      <c r="E1715" s="18"/>
      <c r="F1715" s="4" t="str">
        <f>IF(G1715=$L1715,1,IF(G1715="","",0))</f>
        <v/>
      </c>
      <c r="G1715" s="14"/>
      <c r="H1715" s="6">
        <v>1963</v>
      </c>
      <c r="I1715" s="15" t="s">
        <v>3120</v>
      </c>
      <c r="J1715" s="6" t="s">
        <v>5062</v>
      </c>
      <c r="K1715" s="6"/>
      <c r="L1715" s="6" t="s">
        <v>2038</v>
      </c>
      <c r="M1715" s="6" t="s">
        <v>8069</v>
      </c>
      <c r="N1715" s="7">
        <f ca="1">RAND()</f>
        <v>0.2503784610166917</v>
      </c>
      <c r="O1715" s="8">
        <v>45213</v>
      </c>
      <c r="P1715" s="8">
        <v>45214</v>
      </c>
      <c r="Q1715" s="8">
        <v>45216</v>
      </c>
      <c r="R1715" s="8">
        <v>45220</v>
      </c>
      <c r="S1715" s="8">
        <v>45227</v>
      </c>
      <c r="T1715" s="8"/>
      <c r="U1715" s="8"/>
      <c r="V1715" s="10">
        <f>COUNTA(O1715:U1715)</f>
        <v>5</v>
      </c>
      <c r="W1715" s="11">
        <f>_xlfn.IFNA(INDEX(reading[[#This Row],[Memo 01]:[Memo 07]],MATCH(0,reading[[#This Row],[Memo 01]:[Memo 07]],-1)),"")</f>
        <v>45227</v>
      </c>
      <c r="X1715" s="11">
        <f ca="1">IFERROR(reading[[#This Row],[Previous]]+OFFSET(reading[[#Headers],[Memo 01]],-1,MATCH(0,reading[[#This Row],[Memo 01]:[Memo 07]],-1)-1),"")</f>
        <v>45239</v>
      </c>
      <c r="Y1715" s="10" t="str">
        <f ca="1">IF(reading[[#This Row],[Next]]&lt;&gt;"",IF(reading[[#This Row],[Next]]&gt;TODAY(),"OK",""),"")</f>
        <v/>
      </c>
      <c r="Z1715" s="13">
        <v>3</v>
      </c>
      <c r="AA1715" s="13">
        <v>3</v>
      </c>
      <c r="AB1715" s="13">
        <v>3</v>
      </c>
      <c r="AC1715" s="13">
        <v>3</v>
      </c>
      <c r="AD1715" s="13">
        <v>2</v>
      </c>
      <c r="AE1715" s="13"/>
      <c r="AF1715" s="13"/>
      <c r="AG1715" s="16">
        <f>IFERROR(SUMIF(reading[[#This Row],[1st]:[7th]],"&gt;0")/COUNTIF(reading[[#This Row],[1st]:[7th]],"&gt;0"),"")</f>
        <v>2.8</v>
      </c>
    </row>
    <row r="1716" spans="1:33" hidden="1" x14ac:dyDescent="0.2">
      <c r="A1716" s="4">
        <f>IF(B1716=1,3,IF(D1716=1,2,IF(F1716=1,1,0)))</f>
        <v>3</v>
      </c>
      <c r="B1716" s="4">
        <f>IF(C1716=$L1716,1,IF(C1716="","",0))</f>
        <v>1</v>
      </c>
      <c r="C1716" s="32" t="s">
        <v>1800</v>
      </c>
      <c r="D1716" s="4" t="str">
        <f>IF(E1716=$L1716,1,IF(E1716="","",0))</f>
        <v/>
      </c>
      <c r="E1716" s="14"/>
      <c r="F1716" s="4" t="str">
        <f>IF(G1716=$L1716,1,IF(G1716="","",0))</f>
        <v/>
      </c>
      <c r="G1716" s="14"/>
      <c r="H1716" s="6">
        <v>1720</v>
      </c>
      <c r="I1716" s="15" t="s">
        <v>3120</v>
      </c>
      <c r="J1716" s="6" t="s">
        <v>4828</v>
      </c>
      <c r="K1716" s="6"/>
      <c r="L1716" s="6" t="s">
        <v>1800</v>
      </c>
      <c r="M1716" s="6" t="s">
        <v>7826</v>
      </c>
      <c r="N1716" s="7">
        <f ca="1">RAND()</f>
        <v>0.13757004958058006</v>
      </c>
      <c r="O1716" s="8">
        <v>45211</v>
      </c>
      <c r="P1716" s="8">
        <v>45211</v>
      </c>
      <c r="Q1716" s="8">
        <v>45211</v>
      </c>
      <c r="R1716" s="8">
        <v>45211</v>
      </c>
      <c r="S1716" s="8">
        <v>45211</v>
      </c>
      <c r="T1716" s="8">
        <v>45211</v>
      </c>
      <c r="U1716" s="8">
        <v>45211</v>
      </c>
      <c r="V1716" s="10">
        <f>COUNTA(O1716:U1716)</f>
        <v>7</v>
      </c>
      <c r="W1716" s="11">
        <f>_xlfn.IFNA(INDEX(reading[[#This Row],[Memo 01]:[Memo 07]],MATCH(0,reading[[#This Row],[Memo 01]:[Memo 07]],-1)),"")</f>
        <v>45211</v>
      </c>
      <c r="X1716" s="11">
        <f ca="1">IFERROR(reading[[#This Row],[Previous]]+OFFSET(reading[[#Headers],[Memo 01]],-1,MATCH(0,reading[[#This Row],[Memo 01]:[Memo 07]],-1)-1),"")</f>
        <v>55211</v>
      </c>
      <c r="Y1716" s="10" t="str">
        <f ca="1">IF(reading[[#This Row],[Next]]&lt;&gt;"",IF(reading[[#This Row],[Next]]&gt;TODAY(),"OK",""),"")</f>
        <v>OK</v>
      </c>
      <c r="Z1716" s="13">
        <v>3</v>
      </c>
      <c r="AA1716" s="13"/>
      <c r="AB1716" s="13"/>
      <c r="AC1716" s="13"/>
      <c r="AD1716" s="13"/>
      <c r="AE1716" s="13"/>
      <c r="AF1716" s="13"/>
      <c r="AG1716" s="16">
        <f>IFERROR(SUMIF(reading[[#This Row],[1st]:[7th]],"&gt;0")/COUNTIF(reading[[#This Row],[1st]:[7th]],"&gt;0"),"")</f>
        <v>3</v>
      </c>
    </row>
    <row r="1717" spans="1:33" hidden="1" x14ac:dyDescent="0.2">
      <c r="A1717" s="4">
        <f>IF(B1717=1,3,IF(D1717=1,2,IF(F1717=1,1,0)))</f>
        <v>0</v>
      </c>
      <c r="B1717" s="4" t="str">
        <f>IF(C1717=$L1717,1,IF(C1717="","",0))</f>
        <v/>
      </c>
      <c r="C1717" s="42"/>
      <c r="D1717" s="4" t="str">
        <f>IF(E1717=$L1717,1,IF(E1717="","",0))</f>
        <v/>
      </c>
      <c r="E1717" s="14"/>
      <c r="F1717" s="4" t="str">
        <f>IF(G1717=$L1717,1,IF(G1717="","",0))</f>
        <v/>
      </c>
      <c r="G1717" s="14"/>
      <c r="H1717" s="6">
        <v>2420</v>
      </c>
      <c r="I1717" s="15" t="s">
        <v>3120</v>
      </c>
      <c r="J1717" s="6" t="s">
        <v>5491</v>
      </c>
      <c r="K1717" s="15" t="s">
        <v>3138</v>
      </c>
      <c r="L1717" s="6" t="s">
        <v>2470</v>
      </c>
      <c r="M1717" s="6" t="s">
        <v>8525</v>
      </c>
      <c r="N1717" s="7">
        <f ca="1">RAND()</f>
        <v>0.36508844389346817</v>
      </c>
      <c r="O1717" s="8">
        <v>45217</v>
      </c>
      <c r="P1717" s="8">
        <v>45218</v>
      </c>
      <c r="Q1717" s="8">
        <v>45220</v>
      </c>
      <c r="R1717" s="8">
        <v>45224</v>
      </c>
      <c r="S1717" s="8">
        <v>45231</v>
      </c>
      <c r="T1717" s="8">
        <v>45829</v>
      </c>
      <c r="U1717" s="8"/>
      <c r="V1717" s="10">
        <f>COUNTA(O1717:U1717)</f>
        <v>6</v>
      </c>
      <c r="W1717" s="11">
        <f>_xlfn.IFNA(INDEX(reading[[#This Row],[Memo 01]:[Memo 07]],MATCH(0,reading[[#This Row],[Memo 01]:[Memo 07]],-1)),"")</f>
        <v>45829</v>
      </c>
      <c r="X1717" s="11">
        <f ca="1">IFERROR(reading[[#This Row],[Previous]]+OFFSET(reading[[#Headers],[Memo 01]],-1,MATCH(0,reading[[#This Row],[Memo 01]:[Memo 07]],-1)-1),"")</f>
        <v>45849</v>
      </c>
      <c r="Y1717" s="10" t="str">
        <f ca="1">IF(reading[[#This Row],[Next]]&lt;&gt;"",IF(reading[[#This Row],[Next]]&gt;TODAY(),"OK",""),"")</f>
        <v>OK</v>
      </c>
      <c r="Z1717" s="13">
        <v>3</v>
      </c>
      <c r="AA1717" s="13">
        <v>3</v>
      </c>
      <c r="AB1717" s="13">
        <v>3</v>
      </c>
      <c r="AC1717" s="13">
        <v>3</v>
      </c>
      <c r="AD1717" s="13">
        <v>3</v>
      </c>
      <c r="AE1717" s="13">
        <v>3</v>
      </c>
      <c r="AF1717" s="13"/>
      <c r="AG1717" s="16">
        <f>IFERROR(SUMIF(reading[[#This Row],[1st]:[7th]],"&gt;0")/COUNTIF(reading[[#This Row],[1st]:[7th]],"&gt;0"),"")</f>
        <v>3</v>
      </c>
    </row>
    <row r="1718" spans="1:33" hidden="1" x14ac:dyDescent="0.2">
      <c r="A1718" s="4">
        <f>IF(B1718=1,3,IF(D1718=1,2,IF(F1718=1,1,0)))</f>
        <v>0</v>
      </c>
      <c r="B1718" s="4" t="str">
        <f>IF(C1718=$L1718,1,IF(C1718="","",0))</f>
        <v/>
      </c>
      <c r="C1718" s="42"/>
      <c r="D1718" s="4" t="str">
        <f>IF(E1718=$L1718,1,IF(E1718="","",0))</f>
        <v/>
      </c>
      <c r="E1718" s="14"/>
      <c r="F1718" s="4" t="str">
        <f>IF(G1718=$L1718,1,IF(G1718="","",0))</f>
        <v/>
      </c>
      <c r="G1718" s="14"/>
      <c r="H1718" s="6">
        <v>972</v>
      </c>
      <c r="I1718" s="15" t="s">
        <v>3120</v>
      </c>
      <c r="J1718" s="6" t="s">
        <v>4101</v>
      </c>
      <c r="K1718" s="6"/>
      <c r="L1718" s="6" t="s">
        <v>1082</v>
      </c>
      <c r="M1718" s="6" t="s">
        <v>7080</v>
      </c>
      <c r="N1718" s="7">
        <f ca="1">RAND()</f>
        <v>0.92693828130814238</v>
      </c>
      <c r="O1718" s="8">
        <v>45204</v>
      </c>
      <c r="P1718" s="8">
        <v>45205</v>
      </c>
      <c r="Q1718" s="8">
        <v>45207</v>
      </c>
      <c r="R1718" s="8">
        <v>45211</v>
      </c>
      <c r="S1718" s="8">
        <v>45218</v>
      </c>
      <c r="T1718" s="8">
        <v>45230</v>
      </c>
      <c r="U1718" s="8">
        <v>45829</v>
      </c>
      <c r="V1718" s="10">
        <f>COUNTA(O1718:U1718)</f>
        <v>7</v>
      </c>
      <c r="W1718" s="11">
        <f>_xlfn.IFNA(INDEX(reading[[#This Row],[Memo 01]:[Memo 07]],MATCH(0,reading[[#This Row],[Memo 01]:[Memo 07]],-1)),"")</f>
        <v>45829</v>
      </c>
      <c r="X1718" s="11">
        <f ca="1">IFERROR(reading[[#This Row],[Previous]]+OFFSET(reading[[#Headers],[Memo 01]],-1,MATCH(0,reading[[#This Row],[Memo 01]:[Memo 07]],-1)-1),"")</f>
        <v>55829</v>
      </c>
      <c r="Y1718" s="10" t="str">
        <f ca="1">IF(reading[[#This Row],[Next]]&lt;&gt;"",IF(reading[[#This Row],[Next]]&gt;TODAY(),"OK",""),"")</f>
        <v>OK</v>
      </c>
      <c r="Z1718" s="13">
        <v>3</v>
      </c>
      <c r="AA1718" s="13">
        <v>3</v>
      </c>
      <c r="AB1718" s="13">
        <v>3</v>
      </c>
      <c r="AC1718" s="13">
        <v>3</v>
      </c>
      <c r="AD1718" s="13">
        <v>3</v>
      </c>
      <c r="AE1718" s="13">
        <v>3</v>
      </c>
      <c r="AF1718" s="13">
        <v>3</v>
      </c>
      <c r="AG1718" s="16">
        <f>IFERROR(SUMIF(reading[[#This Row],[1st]:[7th]],"&gt;0")/COUNTIF(reading[[#This Row],[1st]:[7th]],"&gt;0"),"")</f>
        <v>3</v>
      </c>
    </row>
    <row r="1719" spans="1:33" hidden="1" x14ac:dyDescent="0.2">
      <c r="A1719" s="4">
        <f>IF(B1719=1,3,IF(D1719=1,2,IF(F1719=1,1,0)))</f>
        <v>0</v>
      </c>
      <c r="B1719" s="4">
        <f>IF(C1719=$L1719,1,IF(C1719="","",0))</f>
        <v>0</v>
      </c>
      <c r="C1719" s="42" t="s">
        <v>9261</v>
      </c>
      <c r="D1719" s="4">
        <f>IF(E1719=$L1719,1,IF(E1719="","",0))</f>
        <v>0</v>
      </c>
      <c r="E1719" s="43" t="s">
        <v>9264</v>
      </c>
      <c r="F1719" s="4" t="str">
        <f>IF(G1719=$L1719,1,IF(G1719="","",0))</f>
        <v/>
      </c>
      <c r="G1719" s="14"/>
      <c r="H1719" s="6">
        <v>2309</v>
      </c>
      <c r="I1719" s="15" t="s">
        <v>3120</v>
      </c>
      <c r="J1719" s="6" t="s">
        <v>5387</v>
      </c>
      <c r="K1719" s="6"/>
      <c r="L1719" s="6" t="s">
        <v>2366</v>
      </c>
      <c r="M1719" s="6" t="s">
        <v>8414</v>
      </c>
      <c r="N1719" s="7">
        <f ca="1">RAND()</f>
        <v>7.6014621738360044E-2</v>
      </c>
      <c r="O1719" s="8">
        <v>45216</v>
      </c>
      <c r="P1719" s="8">
        <v>45217</v>
      </c>
      <c r="Q1719" s="8">
        <v>45219</v>
      </c>
      <c r="R1719" s="8">
        <v>45223</v>
      </c>
      <c r="S1719" s="8">
        <v>45230</v>
      </c>
      <c r="T1719" s="8"/>
      <c r="U1719" s="8"/>
      <c r="V1719" s="10">
        <f>COUNTA(O1719:U1719)</f>
        <v>5</v>
      </c>
      <c r="W1719" s="11">
        <f>_xlfn.IFNA(INDEX(reading[[#This Row],[Memo 01]:[Memo 07]],MATCH(0,reading[[#This Row],[Memo 01]:[Memo 07]],-1)),"")</f>
        <v>45230</v>
      </c>
      <c r="X1719" s="11">
        <f ca="1">IFERROR(reading[[#This Row],[Previous]]+OFFSET(reading[[#Headers],[Memo 01]],-1,MATCH(0,reading[[#This Row],[Memo 01]:[Memo 07]],-1)-1),"")</f>
        <v>45242</v>
      </c>
      <c r="Y1719" s="10" t="str">
        <f ca="1">IF(reading[[#This Row],[Next]]&lt;&gt;"",IF(reading[[#This Row],[Next]]&gt;TODAY(),"OK",""),"")</f>
        <v/>
      </c>
      <c r="Z1719" s="13">
        <v>3</v>
      </c>
      <c r="AA1719" s="13">
        <v>3</v>
      </c>
      <c r="AB1719" s="13">
        <v>2</v>
      </c>
      <c r="AC1719" s="13">
        <v>3</v>
      </c>
      <c r="AD1719" s="13">
        <v>3</v>
      </c>
      <c r="AE1719" s="13"/>
      <c r="AF1719" s="13"/>
      <c r="AG1719" s="16">
        <f>IFERROR(SUMIF(reading[[#This Row],[1st]:[7th]],"&gt;0")/COUNTIF(reading[[#This Row],[1st]:[7th]],"&gt;0"),"")</f>
        <v>2.8</v>
      </c>
    </row>
    <row r="1720" spans="1:33" hidden="1" x14ac:dyDescent="0.2">
      <c r="A1720" s="4">
        <f>IF(B1720=1,3,IF(D1720=1,2,IF(F1720=1,1,0)))</f>
        <v>0</v>
      </c>
      <c r="B1720" s="4" t="str">
        <f>IF(C1720=$L1720,1,IF(C1720="","",0))</f>
        <v/>
      </c>
      <c r="C1720" s="43"/>
      <c r="D1720" s="4" t="str">
        <f>IF(E1720=$L1720,1,IF(E1720="","",0))</f>
        <v/>
      </c>
      <c r="E1720" s="14"/>
      <c r="F1720" s="4" t="str">
        <f>IF(G1720=$L1720,1,IF(G1720="","",0))</f>
        <v/>
      </c>
      <c r="G1720" s="14"/>
      <c r="H1720" s="6">
        <v>24</v>
      </c>
      <c r="I1720" s="15" t="s">
        <v>3120</v>
      </c>
      <c r="J1720" s="6" t="s">
        <v>3179</v>
      </c>
      <c r="K1720" s="6"/>
      <c r="L1720" s="6" t="s">
        <v>167</v>
      </c>
      <c r="M1720" s="6" t="s">
        <v>6138</v>
      </c>
      <c r="N1720" s="7">
        <f ca="1">RAND()</f>
        <v>0.64596877194848623</v>
      </c>
      <c r="O1720" s="8">
        <v>45198</v>
      </c>
      <c r="P1720" s="8">
        <v>45199</v>
      </c>
      <c r="Q1720" s="8">
        <v>45201</v>
      </c>
      <c r="R1720" s="8">
        <v>45205</v>
      </c>
      <c r="S1720" s="8">
        <v>45212</v>
      </c>
      <c r="T1720" s="8">
        <v>45224</v>
      </c>
      <c r="U1720" s="8">
        <v>45829</v>
      </c>
      <c r="V1720" s="10">
        <f>COUNTA(O1720:U1720)</f>
        <v>7</v>
      </c>
      <c r="W1720" s="11">
        <f>_xlfn.IFNA(INDEX(reading[[#This Row],[Memo 01]:[Memo 07]],MATCH(0,reading[[#This Row],[Memo 01]:[Memo 07]],-1)),"")</f>
        <v>45829</v>
      </c>
      <c r="X1720" s="11">
        <f ca="1">IFERROR(reading[[#This Row],[Previous]]+OFFSET(reading[[#Headers],[Memo 01]],-1,MATCH(0,reading[[#This Row],[Memo 01]:[Memo 07]],-1)-1),"")</f>
        <v>55829</v>
      </c>
      <c r="Y1720" s="10" t="str">
        <f ca="1">IF(reading[[#This Row],[Next]]&lt;&gt;"",IF(reading[[#This Row],[Next]]&gt;TODAY(),"OK",""),"")</f>
        <v>OK</v>
      </c>
      <c r="Z1720" s="13">
        <v>3</v>
      </c>
      <c r="AA1720" s="13">
        <v>3</v>
      </c>
      <c r="AB1720" s="13">
        <v>3</v>
      </c>
      <c r="AC1720" s="13">
        <v>3</v>
      </c>
      <c r="AD1720" s="13">
        <v>3</v>
      </c>
      <c r="AE1720" s="13">
        <v>3</v>
      </c>
      <c r="AF1720" s="13">
        <v>3</v>
      </c>
      <c r="AG1720" s="16">
        <f>IFERROR(SUMIF(reading[[#This Row],[1st]:[7th]],"&gt;0")/COUNTIF(reading[[#This Row],[1st]:[7th]],"&gt;0"),"")</f>
        <v>3</v>
      </c>
    </row>
    <row r="1721" spans="1:33" hidden="1" x14ac:dyDescent="0.2">
      <c r="A1721" s="4">
        <f>IF(B1721=1,3,IF(D1721=1,2,IF(F1721=1,1,0)))</f>
        <v>0</v>
      </c>
      <c r="B1721" s="4" t="str">
        <f>IF(C1721=$L1721,1,IF(C1721="","",0))</f>
        <v/>
      </c>
      <c r="C1721" s="42"/>
      <c r="D1721" s="4" t="str">
        <f>IF(E1721=$L1721,1,IF(E1721="","",0))</f>
        <v/>
      </c>
      <c r="E1721" s="14"/>
      <c r="F1721" s="4" t="str">
        <f>IF(G1721=$L1721,1,IF(G1721="","",0))</f>
        <v/>
      </c>
      <c r="G1721" s="14"/>
      <c r="H1721" s="6">
        <v>614</v>
      </c>
      <c r="I1721" s="15" t="s">
        <v>3120</v>
      </c>
      <c r="J1721" s="6" t="s">
        <v>3756</v>
      </c>
      <c r="K1721" s="6"/>
      <c r="L1721" s="6" t="s">
        <v>737</v>
      </c>
      <c r="M1721" s="6" t="s">
        <v>6723</v>
      </c>
      <c r="N1721" s="7">
        <f ca="1">RAND()</f>
        <v>0.93033342990355805</v>
      </c>
      <c r="O1721" s="8">
        <v>45202</v>
      </c>
      <c r="P1721" s="8">
        <v>45203</v>
      </c>
      <c r="Q1721" s="8">
        <v>45205</v>
      </c>
      <c r="R1721" s="8">
        <v>45209</v>
      </c>
      <c r="S1721" s="8">
        <v>45216</v>
      </c>
      <c r="T1721" s="8">
        <v>45228</v>
      </c>
      <c r="U1721" s="8">
        <v>45830</v>
      </c>
      <c r="V1721" s="10">
        <f>COUNTA(O1721:U1721)</f>
        <v>7</v>
      </c>
      <c r="W1721" s="11">
        <f>_xlfn.IFNA(INDEX(reading[[#This Row],[Memo 01]:[Memo 07]],MATCH(0,reading[[#This Row],[Memo 01]:[Memo 07]],-1)),"")</f>
        <v>45830</v>
      </c>
      <c r="X1721" s="11">
        <f ca="1">IFERROR(reading[[#This Row],[Previous]]+OFFSET(reading[[#Headers],[Memo 01]],-1,MATCH(0,reading[[#This Row],[Memo 01]:[Memo 07]],-1)-1),"")</f>
        <v>55830</v>
      </c>
      <c r="Y1721" s="10" t="str">
        <f ca="1">IF(reading[[#This Row],[Next]]&lt;&gt;"",IF(reading[[#This Row],[Next]]&gt;TODAY(),"OK",""),"")</f>
        <v>OK</v>
      </c>
      <c r="Z1721" s="13">
        <v>3</v>
      </c>
      <c r="AA1721" s="13">
        <v>3</v>
      </c>
      <c r="AB1721" s="13">
        <v>3</v>
      </c>
      <c r="AC1721" s="13">
        <v>3</v>
      </c>
      <c r="AD1721" s="13">
        <v>3</v>
      </c>
      <c r="AE1721" s="13">
        <v>3</v>
      </c>
      <c r="AF1721" s="13">
        <v>3</v>
      </c>
      <c r="AG1721" s="16">
        <f>IFERROR(SUMIF(reading[[#This Row],[1st]:[7th]],"&gt;0")/COUNTIF(reading[[#This Row],[1st]:[7th]],"&gt;0"),"")</f>
        <v>3</v>
      </c>
    </row>
    <row r="1722" spans="1:33" x14ac:dyDescent="0.2">
      <c r="A1722" s="4">
        <f>IF(B1722=1,3,IF(D1722=1,2,IF(F1722=1,1,0)))</f>
        <v>0</v>
      </c>
      <c r="B1722" s="4">
        <f>IF(C1722=$L1722,1,IF(C1722="","",0))</f>
        <v>0</v>
      </c>
      <c r="C1722" s="42" t="s">
        <v>9307</v>
      </c>
      <c r="D1722" s="4" t="str">
        <f>IF(E1722=$L1722,1,IF(E1722="","",0))</f>
        <v/>
      </c>
      <c r="E1722" s="23"/>
      <c r="F1722" s="4" t="str">
        <f>IF(G1722=$L1722,1,IF(G1722="","",0))</f>
        <v/>
      </c>
      <c r="G1722" s="14"/>
      <c r="H1722" s="6">
        <v>1468</v>
      </c>
      <c r="I1722" s="15" t="s">
        <v>3120</v>
      </c>
      <c r="J1722" s="6" t="s">
        <v>4582</v>
      </c>
      <c r="K1722" s="6" t="s">
        <v>3139</v>
      </c>
      <c r="L1722" s="6" t="s">
        <v>1555</v>
      </c>
      <c r="M1722" s="6" t="s">
        <v>7575</v>
      </c>
      <c r="N1722" s="7">
        <f ca="1">RAND()</f>
        <v>0.46090946404884969</v>
      </c>
      <c r="O1722" s="8">
        <v>45208</v>
      </c>
      <c r="P1722" s="8">
        <v>45209</v>
      </c>
      <c r="Q1722" s="8">
        <v>45212</v>
      </c>
      <c r="R1722" s="8">
        <v>45216</v>
      </c>
      <c r="S1722" s="8">
        <v>45223</v>
      </c>
      <c r="T1722" s="8">
        <v>45235</v>
      </c>
      <c r="U1722" s="8"/>
      <c r="V1722" s="10">
        <f>COUNTA(O1722:U1722)</f>
        <v>6</v>
      </c>
      <c r="W1722" s="11">
        <f>_xlfn.IFNA(INDEX(reading[[#This Row],[Memo 01]:[Memo 07]],MATCH(0,reading[[#This Row],[Memo 01]:[Memo 07]],-1)),"")</f>
        <v>45235</v>
      </c>
      <c r="X1722" s="11">
        <f ca="1">IFERROR(reading[[#This Row],[Previous]]+OFFSET(reading[[#Headers],[Memo 01]],-1,MATCH(0,reading[[#This Row],[Memo 01]:[Memo 07]],-1)-1),"")</f>
        <v>45255</v>
      </c>
      <c r="Y1722" s="10" t="str">
        <f ca="1">IF(reading[[#This Row],[Next]]&lt;&gt;"",IF(reading[[#This Row],[Next]]&gt;TODAY(),"OK",""),"")</f>
        <v/>
      </c>
      <c r="Z1722" s="13">
        <v>3</v>
      </c>
      <c r="AA1722" s="13">
        <v>2</v>
      </c>
      <c r="AB1722" s="13">
        <v>1</v>
      </c>
      <c r="AC1722" s="13">
        <v>3</v>
      </c>
      <c r="AD1722" s="13">
        <v>3</v>
      </c>
      <c r="AE1722" s="13">
        <v>3</v>
      </c>
      <c r="AF1722" s="13"/>
      <c r="AG1722" s="16">
        <f>IFERROR(SUMIF(reading[[#This Row],[1st]:[7th]],"&gt;0")/COUNTIF(reading[[#This Row],[1st]:[7th]],"&gt;0"),"")</f>
        <v>2.5</v>
      </c>
    </row>
    <row r="1723" spans="1:33" hidden="1" x14ac:dyDescent="0.2">
      <c r="A1723" s="4">
        <f>IF(B1723=1,3,IF(D1723=1,2,IF(F1723=1,1,0)))</f>
        <v>0</v>
      </c>
      <c r="B1723" s="4" t="str">
        <f>IF(C1723=$L1723,1,IF(C1723="","",0))</f>
        <v/>
      </c>
      <c r="C1723" s="42"/>
      <c r="D1723" s="4" t="str">
        <f>IF(E1723=$L1723,1,IF(E1723="","",0))</f>
        <v/>
      </c>
      <c r="E1723" s="14"/>
      <c r="F1723" s="4" t="str">
        <f>IF(G1723=$L1723,1,IF(G1723="","",0))</f>
        <v/>
      </c>
      <c r="G1723" s="14"/>
      <c r="H1723" s="6">
        <v>300</v>
      </c>
      <c r="I1723" s="15" t="s">
        <v>3120</v>
      </c>
      <c r="J1723" s="6" t="s">
        <v>3448</v>
      </c>
      <c r="K1723" s="24" t="s">
        <v>3137</v>
      </c>
      <c r="L1723" s="6" t="s">
        <v>435</v>
      </c>
      <c r="M1723" s="6" t="s">
        <v>6409</v>
      </c>
      <c r="N1723" s="7">
        <f ca="1">RAND()</f>
        <v>7.3740664970180392E-2</v>
      </c>
      <c r="O1723" s="8">
        <v>45200</v>
      </c>
      <c r="P1723" s="8">
        <v>45201</v>
      </c>
      <c r="Q1723" s="8">
        <v>45203</v>
      </c>
      <c r="R1723" s="8">
        <v>45207</v>
      </c>
      <c r="S1723" s="8">
        <v>45214</v>
      </c>
      <c r="T1723" s="8">
        <v>45226</v>
      </c>
      <c r="U1723" s="8">
        <v>45830</v>
      </c>
      <c r="V1723" s="10">
        <f>COUNTA(O1723:U1723)</f>
        <v>7</v>
      </c>
      <c r="W1723" s="11">
        <f>_xlfn.IFNA(INDEX(reading[[#This Row],[Memo 01]:[Memo 07]],MATCH(0,reading[[#This Row],[Memo 01]:[Memo 07]],-1)),"")</f>
        <v>45830</v>
      </c>
      <c r="X1723" s="11">
        <f ca="1">IFERROR(reading[[#This Row],[Previous]]+OFFSET(reading[[#Headers],[Memo 01]],-1,MATCH(0,reading[[#This Row],[Memo 01]:[Memo 07]],-1)-1),"")</f>
        <v>55830</v>
      </c>
      <c r="Y1723" s="10" t="str">
        <f ca="1">IF(reading[[#This Row],[Next]]&lt;&gt;"",IF(reading[[#This Row],[Next]]&gt;TODAY(),"OK",""),"")</f>
        <v>OK</v>
      </c>
      <c r="Z1723" s="13">
        <v>3</v>
      </c>
      <c r="AA1723" s="13">
        <v>3</v>
      </c>
      <c r="AB1723" s="13">
        <v>3</v>
      </c>
      <c r="AC1723" s="13">
        <v>3</v>
      </c>
      <c r="AD1723" s="13">
        <v>3</v>
      </c>
      <c r="AE1723" s="13">
        <v>3</v>
      </c>
      <c r="AF1723" s="13">
        <v>3</v>
      </c>
      <c r="AG1723" s="16">
        <f>IFERROR(SUMIF(reading[[#This Row],[1st]:[7th]],"&gt;0")/COUNTIF(reading[[#This Row],[1st]:[7th]],"&gt;0"),"")</f>
        <v>3</v>
      </c>
    </row>
    <row r="1724" spans="1:33" hidden="1" x14ac:dyDescent="0.2">
      <c r="A1724" s="4">
        <f>IF(B1724=1,3,IF(D1724=1,2,IF(F1724=1,1,0)))</f>
        <v>0</v>
      </c>
      <c r="B1724" s="4" t="str">
        <f>IF(C1724=$L1724,1,IF(C1724="","",0))</f>
        <v/>
      </c>
      <c r="C1724" s="42"/>
      <c r="D1724" s="4" t="str">
        <f>IF(E1724=$L1724,1,IF(E1724="","",0))</f>
        <v/>
      </c>
      <c r="E1724" s="23"/>
      <c r="F1724" s="4" t="str">
        <f>IF(G1724=$L1724,1,IF(G1724="","",0))</f>
        <v/>
      </c>
      <c r="G1724" s="14"/>
      <c r="H1724" s="6">
        <v>2844</v>
      </c>
      <c r="I1724" s="15" t="s">
        <v>3120</v>
      </c>
      <c r="J1724" s="6" t="s">
        <v>5596</v>
      </c>
      <c r="K1724" s="15" t="s">
        <v>3138</v>
      </c>
      <c r="L1724" s="6" t="s">
        <v>2879</v>
      </c>
      <c r="M1724" s="6" t="s">
        <v>8948</v>
      </c>
      <c r="N1724" s="7">
        <f ca="1">RAND()</f>
        <v>0.63194567035731075</v>
      </c>
      <c r="O1724" s="8">
        <v>45222</v>
      </c>
      <c r="P1724" s="8">
        <v>45223</v>
      </c>
      <c r="Q1724" s="8">
        <v>45225</v>
      </c>
      <c r="R1724" s="8">
        <v>45229</v>
      </c>
      <c r="S1724" s="8">
        <v>45236</v>
      </c>
      <c r="T1724" s="8">
        <v>45792</v>
      </c>
      <c r="U1724" s="8">
        <v>45825</v>
      </c>
      <c r="V1724" s="10">
        <f>COUNTA(O1724:U1724)</f>
        <v>7</v>
      </c>
      <c r="W1724" s="11">
        <f>_xlfn.IFNA(INDEX(reading[[#This Row],[Memo 01]:[Memo 07]],MATCH(0,reading[[#This Row],[Memo 01]:[Memo 07]],-1)),"")</f>
        <v>45825</v>
      </c>
      <c r="X1724" s="11">
        <f ca="1">IFERROR(reading[[#This Row],[Previous]]+OFFSET(reading[[#Headers],[Memo 01]],-1,MATCH(0,reading[[#This Row],[Memo 01]:[Memo 07]],-1)-1),"")</f>
        <v>55825</v>
      </c>
      <c r="Y1724" s="10" t="str">
        <f ca="1">IF(reading[[#This Row],[Next]]&lt;&gt;"",IF(reading[[#This Row],[Next]]&gt;TODAY(),"OK",""),"")</f>
        <v>OK</v>
      </c>
      <c r="Z1724" s="13">
        <v>3</v>
      </c>
      <c r="AA1724" s="13">
        <v>3</v>
      </c>
      <c r="AB1724" s="13">
        <v>3</v>
      </c>
      <c r="AC1724" s="13">
        <v>3</v>
      </c>
      <c r="AD1724" s="13">
        <v>3</v>
      </c>
      <c r="AE1724" s="13">
        <v>3</v>
      </c>
      <c r="AF1724" s="13">
        <v>2</v>
      </c>
      <c r="AG1724" s="16">
        <f>IFERROR(SUMIF(reading[[#This Row],[1st]:[7th]],"&gt;0")/COUNTIF(reading[[#This Row],[1st]:[7th]],"&gt;0"),"")</f>
        <v>2.8571428571428572</v>
      </c>
    </row>
    <row r="1725" spans="1:33" hidden="1" x14ac:dyDescent="0.2">
      <c r="A1725" s="4">
        <f>IF(B1725=1,3,IF(D1725=1,2,IF(F1725=1,1,0)))</f>
        <v>0</v>
      </c>
      <c r="B1725" s="4" t="str">
        <f>IF(C1725=$L1725,1,IF(C1725="","",0))</f>
        <v/>
      </c>
      <c r="C1725" s="42"/>
      <c r="D1725" s="4" t="str">
        <f>IF(E1725=$L1725,1,IF(E1725="","",0))</f>
        <v/>
      </c>
      <c r="E1725" s="14"/>
      <c r="F1725" s="4" t="str">
        <f>IF(G1725=$L1725,1,IF(G1725="","",0))</f>
        <v/>
      </c>
      <c r="G1725" s="14"/>
      <c r="H1725" s="6">
        <v>171</v>
      </c>
      <c r="I1725" s="15" t="s">
        <v>3120</v>
      </c>
      <c r="J1725" s="6" t="s">
        <v>3320</v>
      </c>
      <c r="K1725" s="6"/>
      <c r="L1725" s="6" t="s">
        <v>308</v>
      </c>
      <c r="M1725" s="6" t="s">
        <v>6280</v>
      </c>
      <c r="N1725" s="7">
        <f ca="1">RAND()</f>
        <v>0.93299711621960102</v>
      </c>
      <c r="O1725" s="8">
        <v>45199</v>
      </c>
      <c r="P1725" s="8">
        <v>45200</v>
      </c>
      <c r="Q1725" s="8">
        <v>45202</v>
      </c>
      <c r="R1725" s="8">
        <v>45206</v>
      </c>
      <c r="S1725" s="8">
        <v>45213</v>
      </c>
      <c r="T1725" s="8">
        <v>45225</v>
      </c>
      <c r="U1725" s="8">
        <v>45829</v>
      </c>
      <c r="V1725" s="10">
        <f>COUNTA(O1725:U1725)</f>
        <v>7</v>
      </c>
      <c r="W1725" s="11">
        <f>_xlfn.IFNA(INDEX(reading[[#This Row],[Memo 01]:[Memo 07]],MATCH(0,reading[[#This Row],[Memo 01]:[Memo 07]],-1)),"")</f>
        <v>45829</v>
      </c>
      <c r="X1725" s="11">
        <f ca="1">IFERROR(reading[[#This Row],[Previous]]+OFFSET(reading[[#Headers],[Memo 01]],-1,MATCH(0,reading[[#This Row],[Memo 01]:[Memo 07]],-1)-1),"")</f>
        <v>55829</v>
      </c>
      <c r="Y1725" s="10" t="str">
        <f ca="1">IF(reading[[#This Row],[Next]]&lt;&gt;"",IF(reading[[#This Row],[Next]]&gt;TODAY(),"OK",""),"")</f>
        <v>OK</v>
      </c>
      <c r="Z1725" s="13">
        <v>3</v>
      </c>
      <c r="AA1725" s="13">
        <v>3</v>
      </c>
      <c r="AB1725" s="13">
        <v>3</v>
      </c>
      <c r="AC1725" s="13">
        <v>3</v>
      </c>
      <c r="AD1725" s="13">
        <v>3</v>
      </c>
      <c r="AE1725" s="13">
        <v>3</v>
      </c>
      <c r="AF1725" s="13">
        <v>3</v>
      </c>
      <c r="AG1725" s="16">
        <f>IFERROR(SUMIF(reading[[#This Row],[1st]:[7th]],"&gt;0")/COUNTIF(reading[[#This Row],[1st]:[7th]],"&gt;0"),"")</f>
        <v>3</v>
      </c>
    </row>
    <row r="1726" spans="1:33" hidden="1" x14ac:dyDescent="0.2">
      <c r="A1726" s="4">
        <f>IF(B1726=1,3,IF(D1726=1,2,IF(F1726=1,1,0)))</f>
        <v>0</v>
      </c>
      <c r="B1726" s="4" t="str">
        <f>IF(C1726=$L1726,1,IF(C1726="","",0))</f>
        <v/>
      </c>
      <c r="C1726" s="42"/>
      <c r="D1726" s="4" t="str">
        <f>IF(E1726=$L1726,1,IF(E1726="","",0))</f>
        <v/>
      </c>
      <c r="E1726" s="14"/>
      <c r="F1726" s="4" t="str">
        <f>IF(G1726=$L1726,1,IF(G1726="","",0))</f>
        <v/>
      </c>
      <c r="G1726" s="14"/>
      <c r="H1726" s="6">
        <v>1009</v>
      </c>
      <c r="I1726" s="15" t="s">
        <v>3120</v>
      </c>
      <c r="J1726" s="6" t="s">
        <v>4137</v>
      </c>
      <c r="K1726" s="6"/>
      <c r="L1726" s="6" t="s">
        <v>1119</v>
      </c>
      <c r="M1726" s="6" t="s">
        <v>7117</v>
      </c>
      <c r="N1726" s="7">
        <f ca="1">RAND()</f>
        <v>0.5180967920060856</v>
      </c>
      <c r="O1726" s="8">
        <v>45205</v>
      </c>
      <c r="P1726" s="8">
        <v>45206</v>
      </c>
      <c r="Q1726" s="8">
        <v>45208</v>
      </c>
      <c r="R1726" s="8">
        <v>45212</v>
      </c>
      <c r="S1726" s="8">
        <v>45219</v>
      </c>
      <c r="T1726" s="8">
        <v>45231</v>
      </c>
      <c r="U1726" s="8">
        <v>45830</v>
      </c>
      <c r="V1726" s="10">
        <f>COUNTA(O1726:U1726)</f>
        <v>7</v>
      </c>
      <c r="W1726" s="11">
        <f>_xlfn.IFNA(INDEX(reading[[#This Row],[Memo 01]:[Memo 07]],MATCH(0,reading[[#This Row],[Memo 01]:[Memo 07]],-1)),"")</f>
        <v>45830</v>
      </c>
      <c r="X1726" s="11">
        <f ca="1">IFERROR(reading[[#This Row],[Previous]]+OFFSET(reading[[#Headers],[Memo 01]],-1,MATCH(0,reading[[#This Row],[Memo 01]:[Memo 07]],-1)-1),"")</f>
        <v>55830</v>
      </c>
      <c r="Y1726" s="10" t="str">
        <f ca="1">IF(reading[[#This Row],[Next]]&lt;&gt;"",IF(reading[[#This Row],[Next]]&gt;TODAY(),"OK",""),"")</f>
        <v>OK</v>
      </c>
      <c r="Z1726" s="13">
        <v>3</v>
      </c>
      <c r="AA1726" s="13">
        <v>3</v>
      </c>
      <c r="AB1726" s="13">
        <v>3</v>
      </c>
      <c r="AC1726" s="13">
        <v>3</v>
      </c>
      <c r="AD1726" s="13">
        <v>3</v>
      </c>
      <c r="AE1726" s="13">
        <v>3</v>
      </c>
      <c r="AF1726" s="13">
        <v>3</v>
      </c>
      <c r="AG1726" s="16">
        <f>IFERROR(SUMIF(reading[[#This Row],[1st]:[7th]],"&gt;0")/COUNTIF(reading[[#This Row],[1st]:[7th]],"&gt;0"),"")</f>
        <v>3</v>
      </c>
    </row>
    <row r="1727" spans="1:33" hidden="1" x14ac:dyDescent="0.2">
      <c r="A1727" s="4">
        <f>IF(B1727=1,3,IF(D1727=1,2,IF(F1727=1,1,0)))</f>
        <v>0</v>
      </c>
      <c r="B1727" s="4" t="str">
        <f>IF(C1727=$L1727,1,IF(C1727="","",0))</f>
        <v/>
      </c>
      <c r="C1727" s="42"/>
      <c r="D1727" s="4" t="str">
        <f>IF(E1727=$L1727,1,IF(E1727="","",0))</f>
        <v/>
      </c>
      <c r="E1727" s="14"/>
      <c r="F1727" s="4" t="str">
        <f>IF(G1727=$L1727,1,IF(G1727="","",0))</f>
        <v/>
      </c>
      <c r="G1727" s="14"/>
      <c r="H1727" s="6">
        <v>2542</v>
      </c>
      <c r="I1727" s="15" t="s">
        <v>3120</v>
      </c>
      <c r="J1727" s="6" t="s">
        <v>5603</v>
      </c>
      <c r="K1727" s="6"/>
      <c r="L1727" s="6" t="s">
        <v>2587</v>
      </c>
      <c r="M1727" s="6" t="s">
        <v>8647</v>
      </c>
      <c r="N1727" s="7">
        <f ca="1">RAND()</f>
        <v>0.32843710024185624</v>
      </c>
      <c r="O1727" s="8">
        <v>45219</v>
      </c>
      <c r="P1727" s="8">
        <v>45220</v>
      </c>
      <c r="Q1727" s="8">
        <v>45222</v>
      </c>
      <c r="R1727" s="8">
        <v>45226</v>
      </c>
      <c r="S1727" s="8">
        <v>45233</v>
      </c>
      <c r="T1727" s="8">
        <v>45829</v>
      </c>
      <c r="U1727" s="8"/>
      <c r="V1727" s="10">
        <f>COUNTA(O1727:U1727)</f>
        <v>6</v>
      </c>
      <c r="W1727" s="11">
        <f>_xlfn.IFNA(INDEX(reading[[#This Row],[Memo 01]:[Memo 07]],MATCH(0,reading[[#This Row],[Memo 01]:[Memo 07]],-1)),"")</f>
        <v>45829</v>
      </c>
      <c r="X1727" s="11">
        <f ca="1">IFERROR(reading[[#This Row],[Previous]]+OFFSET(reading[[#Headers],[Memo 01]],-1,MATCH(0,reading[[#This Row],[Memo 01]:[Memo 07]],-1)-1),"")</f>
        <v>45849</v>
      </c>
      <c r="Y1727" s="10" t="str">
        <f ca="1">IF(reading[[#This Row],[Next]]&lt;&gt;"",IF(reading[[#This Row],[Next]]&gt;TODAY(),"OK",""),"")</f>
        <v>OK</v>
      </c>
      <c r="Z1727" s="13">
        <v>3</v>
      </c>
      <c r="AA1727" s="13">
        <v>3</v>
      </c>
      <c r="AB1727" s="13">
        <v>3</v>
      </c>
      <c r="AC1727" s="13">
        <v>3</v>
      </c>
      <c r="AD1727" s="13">
        <v>3</v>
      </c>
      <c r="AE1727" s="13">
        <v>3</v>
      </c>
      <c r="AF1727" s="13"/>
      <c r="AG1727" s="16">
        <f>IFERROR(SUMIF(reading[[#This Row],[1st]:[7th]],"&gt;0")/COUNTIF(reading[[#This Row],[1st]:[7th]],"&gt;0"),"")</f>
        <v>3</v>
      </c>
    </row>
    <row r="1728" spans="1:33" hidden="1" x14ac:dyDescent="0.2">
      <c r="A1728" s="4">
        <f>IF(B1728=1,3,IF(D1728=1,2,IF(F1728=1,1,0)))</f>
        <v>0</v>
      </c>
      <c r="B1728" s="4" t="str">
        <f>IF(C1728=$L1728,1,IF(C1728="","",0))</f>
        <v/>
      </c>
      <c r="C1728" s="42"/>
      <c r="D1728" s="4" t="str">
        <f>IF(E1728=$L1728,1,IF(E1728="","",0))</f>
        <v/>
      </c>
      <c r="E1728" s="23"/>
      <c r="F1728" s="4" t="str">
        <f>IF(G1728=$L1728,1,IF(G1728="","",0))</f>
        <v/>
      </c>
      <c r="G1728" s="14"/>
      <c r="H1728" s="6">
        <v>2278</v>
      </c>
      <c r="I1728" s="15" t="s">
        <v>3120</v>
      </c>
      <c r="J1728" s="6" t="s">
        <v>5359</v>
      </c>
      <c r="K1728" s="6"/>
      <c r="L1728" s="6" t="s">
        <v>2338</v>
      </c>
      <c r="M1728" s="6" t="s">
        <v>8383</v>
      </c>
      <c r="N1728" s="7">
        <f ca="1">RAND()</f>
        <v>0.69097563774337434</v>
      </c>
      <c r="O1728" s="8">
        <v>45216</v>
      </c>
      <c r="P1728" s="8">
        <v>45217</v>
      </c>
      <c r="Q1728" s="8">
        <v>45219</v>
      </c>
      <c r="R1728" s="8">
        <v>45223</v>
      </c>
      <c r="S1728" s="8">
        <v>45230</v>
      </c>
      <c r="T1728" s="8">
        <v>45816</v>
      </c>
      <c r="U1728" s="8"/>
      <c r="V1728" s="10">
        <f>COUNTA(O1728:U1728)</f>
        <v>6</v>
      </c>
      <c r="W1728" s="11">
        <f>_xlfn.IFNA(INDEX(reading[[#This Row],[Memo 01]:[Memo 07]],MATCH(0,reading[[#This Row],[Memo 01]:[Memo 07]],-1)),"")</f>
        <v>45816</v>
      </c>
      <c r="X1728" s="11">
        <f ca="1">IFERROR(reading[[#This Row],[Previous]]+OFFSET(reading[[#Headers],[Memo 01]],-1,MATCH(0,reading[[#This Row],[Memo 01]:[Memo 07]],-1)-1),"")</f>
        <v>45836</v>
      </c>
      <c r="Y1728" s="10" t="str">
        <f ca="1">IF(reading[[#This Row],[Next]]&lt;&gt;"",IF(reading[[#This Row],[Next]]&gt;TODAY(),"OK",""),"")</f>
        <v>OK</v>
      </c>
      <c r="Z1728" s="13">
        <v>3</v>
      </c>
      <c r="AA1728" s="13">
        <v>3</v>
      </c>
      <c r="AB1728" s="13">
        <v>3</v>
      </c>
      <c r="AC1728" s="13">
        <v>3</v>
      </c>
      <c r="AD1728" s="13">
        <v>3</v>
      </c>
      <c r="AE1728" s="13">
        <v>2</v>
      </c>
      <c r="AF1728" s="13"/>
      <c r="AG1728" s="16">
        <f>IFERROR(SUMIF(reading[[#This Row],[1st]:[7th]],"&gt;0")/COUNTIF(reading[[#This Row],[1st]:[7th]],"&gt;0"),"")</f>
        <v>2.8333333333333335</v>
      </c>
    </row>
    <row r="1729" spans="1:33" x14ac:dyDescent="0.2">
      <c r="A1729" s="4">
        <f>IF(B1729=1,3,IF(D1729=1,2,IF(F1729=1,1,0)))</f>
        <v>3</v>
      </c>
      <c r="B1729" s="4">
        <f>IF(C1729=$L1729,1,IF(C1729="","",0))</f>
        <v>1</v>
      </c>
      <c r="C1729" s="42" t="s">
        <v>9308</v>
      </c>
      <c r="D1729" s="4" t="str">
        <f>IF(E1729=$L1729,1,IF(E1729="","",0))</f>
        <v/>
      </c>
      <c r="E1729" s="14"/>
      <c r="F1729" s="4" t="str">
        <f>IF(G1729=$L1729,1,IF(G1729="","",0))</f>
        <v/>
      </c>
      <c r="G1729" s="14"/>
      <c r="H1729" s="6">
        <v>1504</v>
      </c>
      <c r="I1729" s="15" t="s">
        <v>3120</v>
      </c>
      <c r="J1729" s="6" t="s">
        <v>4617</v>
      </c>
      <c r="K1729" s="15" t="s">
        <v>3138</v>
      </c>
      <c r="L1729" s="6" t="s">
        <v>1589</v>
      </c>
      <c r="M1729" s="6" t="s">
        <v>7611</v>
      </c>
      <c r="N1729" s="7">
        <f ca="1">RAND()</f>
        <v>0.77541335024198932</v>
      </c>
      <c r="O1729" s="8">
        <v>45209</v>
      </c>
      <c r="P1729" s="8">
        <v>45210</v>
      </c>
      <c r="Q1729" s="8">
        <v>45212</v>
      </c>
      <c r="R1729" s="8">
        <v>45216</v>
      </c>
      <c r="S1729" s="8">
        <v>45223</v>
      </c>
      <c r="T1729" s="8">
        <v>45235</v>
      </c>
      <c r="U1729" s="8"/>
      <c r="V1729" s="10">
        <f>COUNTA(O1729:U1729)</f>
        <v>6</v>
      </c>
      <c r="W1729" s="11">
        <f>_xlfn.IFNA(INDEX(reading[[#This Row],[Memo 01]:[Memo 07]],MATCH(0,reading[[#This Row],[Memo 01]:[Memo 07]],-1)),"")</f>
        <v>45235</v>
      </c>
      <c r="X1729" s="11">
        <f ca="1">IFERROR(reading[[#This Row],[Previous]]+OFFSET(reading[[#Headers],[Memo 01]],-1,MATCH(0,reading[[#This Row],[Memo 01]:[Memo 07]],-1)-1),"")</f>
        <v>45255</v>
      </c>
      <c r="Y1729" s="10" t="str">
        <f ca="1">IF(reading[[#This Row],[Next]]&lt;&gt;"",IF(reading[[#This Row],[Next]]&gt;TODAY(),"OK",""),"")</f>
        <v/>
      </c>
      <c r="Z1729" s="13">
        <v>3</v>
      </c>
      <c r="AA1729" s="13">
        <v>2</v>
      </c>
      <c r="AB1729" s="13">
        <v>3</v>
      </c>
      <c r="AC1729" s="13">
        <v>3</v>
      </c>
      <c r="AD1729" s="13">
        <v>3</v>
      </c>
      <c r="AE1729" s="13">
        <v>3</v>
      </c>
      <c r="AF1729" s="13"/>
      <c r="AG1729" s="16">
        <f>IFERROR(SUMIF(reading[[#This Row],[1st]:[7th]],"&gt;0")/COUNTIF(reading[[#This Row],[1st]:[7th]],"&gt;0"),"")</f>
        <v>2.8333333333333335</v>
      </c>
    </row>
    <row r="1730" spans="1:33" hidden="1" x14ac:dyDescent="0.2">
      <c r="A1730" s="4">
        <f>IF(B1730=1,3,IF(D1730=1,2,IF(F1730=1,1,0)))</f>
        <v>0</v>
      </c>
      <c r="B1730" s="4" t="str">
        <f>IF(C1730=$L1730,1,IF(C1730="","",0))</f>
        <v/>
      </c>
      <c r="C1730" s="42"/>
      <c r="D1730" s="4" t="str">
        <f>IF(E1730=$L1730,1,IF(E1730="","",0))</f>
        <v/>
      </c>
      <c r="E1730" s="14"/>
      <c r="F1730" s="4" t="str">
        <f>IF(G1730=$L1730,1,IF(G1730="","",0))</f>
        <v/>
      </c>
      <c r="G1730" s="14"/>
      <c r="H1730" s="6">
        <v>1464</v>
      </c>
      <c r="I1730" s="15" t="s">
        <v>3120</v>
      </c>
      <c r="J1730" s="6" t="s">
        <v>4578</v>
      </c>
      <c r="K1730" s="6"/>
      <c r="L1730" s="6" t="s">
        <v>1551</v>
      </c>
      <c r="M1730" s="6" t="s">
        <v>7571</v>
      </c>
      <c r="N1730" s="7">
        <f ca="1">RAND()</f>
        <v>0.47580065398255189</v>
      </c>
      <c r="O1730" s="8">
        <v>45208</v>
      </c>
      <c r="P1730" s="8">
        <v>45209</v>
      </c>
      <c r="Q1730" s="8">
        <v>45211</v>
      </c>
      <c r="R1730" s="8">
        <v>45215</v>
      </c>
      <c r="S1730" s="8">
        <v>45222</v>
      </c>
      <c r="T1730" s="8">
        <v>45234</v>
      </c>
      <c r="U1730" s="8">
        <v>45829</v>
      </c>
      <c r="V1730" s="10">
        <f>COUNTA(O1730:U1730)</f>
        <v>7</v>
      </c>
      <c r="W1730" s="11">
        <f>_xlfn.IFNA(INDEX(reading[[#This Row],[Memo 01]:[Memo 07]],MATCH(0,reading[[#This Row],[Memo 01]:[Memo 07]],-1)),"")</f>
        <v>45829</v>
      </c>
      <c r="X1730" s="11">
        <f ca="1">IFERROR(reading[[#This Row],[Previous]]+OFFSET(reading[[#Headers],[Memo 01]],-1,MATCH(0,reading[[#This Row],[Memo 01]:[Memo 07]],-1)-1),"")</f>
        <v>55829</v>
      </c>
      <c r="Y1730" s="10" t="str">
        <f ca="1">IF(reading[[#This Row],[Next]]&lt;&gt;"",IF(reading[[#This Row],[Next]]&gt;TODAY(),"OK",""),"")</f>
        <v>OK</v>
      </c>
      <c r="Z1730" s="13">
        <v>3</v>
      </c>
      <c r="AA1730" s="13">
        <v>3</v>
      </c>
      <c r="AB1730" s="13">
        <v>3</v>
      </c>
      <c r="AC1730" s="13">
        <v>3</v>
      </c>
      <c r="AD1730" s="13">
        <v>3</v>
      </c>
      <c r="AE1730" s="13">
        <v>3</v>
      </c>
      <c r="AF1730" s="13">
        <v>3</v>
      </c>
      <c r="AG1730" s="16">
        <f>IFERROR(SUMIF(reading[[#This Row],[1st]:[7th]],"&gt;0")/COUNTIF(reading[[#This Row],[1st]:[7th]],"&gt;0"),"")</f>
        <v>3</v>
      </c>
    </row>
    <row r="1731" spans="1:33" hidden="1" x14ac:dyDescent="0.2">
      <c r="A1731" s="4">
        <f>IF(B1731=1,3,IF(D1731=1,2,IF(F1731=1,1,0)))</f>
        <v>0</v>
      </c>
      <c r="B1731" s="4" t="str">
        <f>IF(C1731=$L1731,1,IF(C1731="","",0))</f>
        <v/>
      </c>
      <c r="C1731" s="42"/>
      <c r="D1731" s="4" t="str">
        <f>IF(E1731=$L1731,1,IF(E1731="","",0))</f>
        <v/>
      </c>
      <c r="E1731" s="14"/>
      <c r="F1731" s="4" t="str">
        <f>IF(G1731=$L1731,1,IF(G1731="","",0))</f>
        <v/>
      </c>
      <c r="G1731" s="14"/>
      <c r="H1731" s="6">
        <v>1055</v>
      </c>
      <c r="I1731" s="15" t="s">
        <v>3120</v>
      </c>
      <c r="J1731" s="6" t="s">
        <v>4182</v>
      </c>
      <c r="K1731" s="15" t="s">
        <v>3138</v>
      </c>
      <c r="L1731" s="6" t="s">
        <v>1163</v>
      </c>
      <c r="M1731" s="6" t="s">
        <v>7163</v>
      </c>
      <c r="N1731" s="7">
        <f ca="1">RAND()</f>
        <v>6.4046699852957301E-2</v>
      </c>
      <c r="O1731" s="8">
        <v>45205</v>
      </c>
      <c r="P1731" s="8">
        <v>45206</v>
      </c>
      <c r="Q1731" s="8">
        <v>45208</v>
      </c>
      <c r="R1731" s="8">
        <v>45212</v>
      </c>
      <c r="S1731" s="8">
        <v>45219</v>
      </c>
      <c r="T1731" s="8">
        <v>45231</v>
      </c>
      <c r="U1731" s="8">
        <v>45829</v>
      </c>
      <c r="V1731" s="10">
        <f>COUNTA(O1731:U1731)</f>
        <v>7</v>
      </c>
      <c r="W1731" s="11">
        <f>_xlfn.IFNA(INDEX(reading[[#This Row],[Memo 01]:[Memo 07]],MATCH(0,reading[[#This Row],[Memo 01]:[Memo 07]],-1)),"")</f>
        <v>45829</v>
      </c>
      <c r="X1731" s="11">
        <f ca="1">IFERROR(reading[[#This Row],[Previous]]+OFFSET(reading[[#Headers],[Memo 01]],-1,MATCH(0,reading[[#This Row],[Memo 01]:[Memo 07]],-1)-1),"")</f>
        <v>55829</v>
      </c>
      <c r="Y1731" s="10" t="str">
        <f ca="1">IF(reading[[#This Row],[Next]]&lt;&gt;"",IF(reading[[#This Row],[Next]]&gt;TODAY(),"OK",""),"")</f>
        <v>OK</v>
      </c>
      <c r="Z1731" s="13">
        <v>3</v>
      </c>
      <c r="AA1731" s="13">
        <v>3</v>
      </c>
      <c r="AB1731" s="13">
        <v>3</v>
      </c>
      <c r="AC1731" s="13">
        <v>3</v>
      </c>
      <c r="AD1731" s="13">
        <v>3</v>
      </c>
      <c r="AE1731" s="13">
        <v>3</v>
      </c>
      <c r="AF1731" s="13">
        <v>3</v>
      </c>
      <c r="AG1731" s="16">
        <f>IFERROR(SUMIF(reading[[#This Row],[1st]:[7th]],"&gt;0")/COUNTIF(reading[[#This Row],[1st]:[7th]],"&gt;0"),"")</f>
        <v>3</v>
      </c>
    </row>
    <row r="1732" spans="1:33" hidden="1" x14ac:dyDescent="0.2">
      <c r="A1732" s="4">
        <f>IF(B1732=1,3,IF(D1732=1,2,IF(F1732=1,1,0)))</f>
        <v>0</v>
      </c>
      <c r="B1732" s="4" t="str">
        <f>IF(C1732=$L1732,1,IF(C1732="","",0))</f>
        <v/>
      </c>
      <c r="C1732" s="42"/>
      <c r="D1732" s="4" t="str">
        <f>IF(E1732=$L1732,1,IF(E1732="","",0))</f>
        <v/>
      </c>
      <c r="E1732" s="18"/>
      <c r="F1732" s="4" t="str">
        <f>IF(G1732=$L1732,1,IF(G1732="","",0))</f>
        <v/>
      </c>
      <c r="G1732" s="14"/>
      <c r="H1732" s="6">
        <v>1272</v>
      </c>
      <c r="I1732" s="15" t="s">
        <v>3120</v>
      </c>
      <c r="J1732" s="6" t="s">
        <v>4389</v>
      </c>
      <c r="K1732" s="6"/>
      <c r="L1732" s="6" t="s">
        <v>1370</v>
      </c>
      <c r="M1732" s="6" t="s">
        <v>7379</v>
      </c>
      <c r="N1732" s="7">
        <f ca="1">RAND()</f>
        <v>0.84768447302360461</v>
      </c>
      <c r="O1732" s="8">
        <v>45207</v>
      </c>
      <c r="P1732" s="8">
        <v>45208</v>
      </c>
      <c r="Q1732" s="8">
        <v>45210</v>
      </c>
      <c r="R1732" s="8">
        <v>45214</v>
      </c>
      <c r="S1732" s="8">
        <v>45221</v>
      </c>
      <c r="T1732" s="8">
        <v>45233</v>
      </c>
      <c r="U1732" s="8">
        <v>45829</v>
      </c>
      <c r="V1732" s="10">
        <f>COUNTA(O1732:U1732)</f>
        <v>7</v>
      </c>
      <c r="W1732" s="11">
        <f>_xlfn.IFNA(INDEX(reading[[#This Row],[Memo 01]:[Memo 07]],MATCH(0,reading[[#This Row],[Memo 01]:[Memo 07]],-1)),"")</f>
        <v>45829</v>
      </c>
      <c r="X1732" s="11">
        <f ca="1">IFERROR(reading[[#This Row],[Previous]]+OFFSET(reading[[#Headers],[Memo 01]],-1,MATCH(0,reading[[#This Row],[Memo 01]:[Memo 07]],-1)-1),"")</f>
        <v>55829</v>
      </c>
      <c r="Y1732" s="10" t="str">
        <f ca="1">IF(reading[[#This Row],[Next]]&lt;&gt;"",IF(reading[[#This Row],[Next]]&gt;TODAY(),"OK",""),"")</f>
        <v>OK</v>
      </c>
      <c r="Z1732" s="13">
        <v>3</v>
      </c>
      <c r="AA1732" s="13">
        <v>3</v>
      </c>
      <c r="AB1732" s="13">
        <v>2</v>
      </c>
      <c r="AC1732" s="13">
        <v>3</v>
      </c>
      <c r="AD1732" s="13">
        <v>3</v>
      </c>
      <c r="AE1732" s="13">
        <v>3</v>
      </c>
      <c r="AF1732" s="13">
        <v>3</v>
      </c>
      <c r="AG1732" s="16">
        <f>IFERROR(SUMIF(reading[[#This Row],[1st]:[7th]],"&gt;0")/COUNTIF(reading[[#This Row],[1st]:[7th]],"&gt;0"),"")</f>
        <v>2.8571428571428572</v>
      </c>
    </row>
    <row r="1733" spans="1:33" hidden="1" x14ac:dyDescent="0.2">
      <c r="A1733" s="4">
        <f>IF(B1733=1,3,IF(D1733=1,2,IF(F1733=1,1,0)))</f>
        <v>0</v>
      </c>
      <c r="B1733" s="4" t="str">
        <f>IF(C1733=$L1733,1,IF(C1733="","",0))</f>
        <v/>
      </c>
      <c r="C1733" s="42"/>
      <c r="D1733" s="4" t="str">
        <f>IF(E1733=$L1733,1,IF(E1733="","",0))</f>
        <v/>
      </c>
      <c r="E1733" s="23"/>
      <c r="F1733" s="4" t="str">
        <f>IF(G1733=$L1733,1,IF(G1733="","",0))</f>
        <v/>
      </c>
      <c r="G1733" s="14"/>
      <c r="H1733" s="6">
        <v>787</v>
      </c>
      <c r="I1733" s="15" t="s">
        <v>3120</v>
      </c>
      <c r="J1733" s="6" t="s">
        <v>3921</v>
      </c>
      <c r="K1733" s="6"/>
      <c r="L1733" s="6" t="s">
        <v>906</v>
      </c>
      <c r="M1733" s="6" t="s">
        <v>6896</v>
      </c>
      <c r="N1733" s="7">
        <f ca="1">RAND()</f>
        <v>0.40003711118475926</v>
      </c>
      <c r="O1733" s="8">
        <v>45203</v>
      </c>
      <c r="P1733" s="8">
        <v>45204</v>
      </c>
      <c r="Q1733" s="8">
        <v>45206</v>
      </c>
      <c r="R1733" s="8">
        <v>45210</v>
      </c>
      <c r="S1733" s="8">
        <v>45217</v>
      </c>
      <c r="T1733" s="8">
        <v>45229</v>
      </c>
      <c r="U1733" s="8">
        <v>45829</v>
      </c>
      <c r="V1733" s="10">
        <f>COUNTA(O1733:U1733)</f>
        <v>7</v>
      </c>
      <c r="W1733" s="11">
        <f>_xlfn.IFNA(INDEX(reading[[#This Row],[Memo 01]:[Memo 07]],MATCH(0,reading[[#This Row],[Memo 01]:[Memo 07]],-1)),"")</f>
        <v>45829</v>
      </c>
      <c r="X1733" s="11">
        <f ca="1">IFERROR(reading[[#This Row],[Previous]]+OFFSET(reading[[#Headers],[Memo 01]],-1,MATCH(0,reading[[#This Row],[Memo 01]:[Memo 07]],-1)-1),"")</f>
        <v>55829</v>
      </c>
      <c r="Y1733" s="10" t="str">
        <f ca="1">IF(reading[[#This Row],[Next]]&lt;&gt;"",IF(reading[[#This Row],[Next]]&gt;TODAY(),"OK",""),"")</f>
        <v>OK</v>
      </c>
      <c r="Z1733" s="13">
        <v>3</v>
      </c>
      <c r="AA1733" s="13">
        <v>3</v>
      </c>
      <c r="AB1733" s="13">
        <v>2</v>
      </c>
      <c r="AC1733" s="13">
        <v>3</v>
      </c>
      <c r="AD1733" s="13">
        <v>3</v>
      </c>
      <c r="AE1733" s="13">
        <v>3</v>
      </c>
      <c r="AF1733" s="13">
        <v>3</v>
      </c>
      <c r="AG1733" s="16">
        <f>IFERROR(SUMIF(reading[[#This Row],[1st]:[7th]],"&gt;0")/COUNTIF(reading[[#This Row],[1st]:[7th]],"&gt;0"),"")</f>
        <v>2.8571428571428572</v>
      </c>
    </row>
    <row r="1734" spans="1:33" hidden="1" x14ac:dyDescent="0.2">
      <c r="A1734" s="4">
        <f>IF(B1734=1,3,IF(D1734=1,2,IF(F1734=1,1,0)))</f>
        <v>3</v>
      </c>
      <c r="B1734" s="4">
        <f>IF(C1734=$L1734,1,IF(C1734="","",0))</f>
        <v>1</v>
      </c>
      <c r="C1734" s="32" t="s">
        <v>1818</v>
      </c>
      <c r="D1734" s="4" t="str">
        <f>IF(E1734=$L1734,1,IF(E1734="","",0))</f>
        <v/>
      </c>
      <c r="E1734" s="14"/>
      <c r="F1734" s="4" t="str">
        <f>IF(G1734=$L1734,1,IF(G1734="","",0))</f>
        <v/>
      </c>
      <c r="G1734" s="14"/>
      <c r="H1734" s="6">
        <v>1738</v>
      </c>
      <c r="I1734" s="15" t="s">
        <v>3120</v>
      </c>
      <c r="J1734" s="6" t="s">
        <v>4846</v>
      </c>
      <c r="K1734" s="6"/>
      <c r="L1734" s="6" t="s">
        <v>1818</v>
      </c>
      <c r="M1734" s="6" t="s">
        <v>7844</v>
      </c>
      <c r="N1734" s="7">
        <f ca="1">RAND()</f>
        <v>0.90755556263751569</v>
      </c>
      <c r="O1734" s="8">
        <v>45211</v>
      </c>
      <c r="P1734" s="8">
        <v>45211</v>
      </c>
      <c r="Q1734" s="8">
        <v>45211</v>
      </c>
      <c r="R1734" s="8">
        <v>45211</v>
      </c>
      <c r="S1734" s="8">
        <v>45211</v>
      </c>
      <c r="T1734" s="8">
        <v>45211</v>
      </c>
      <c r="U1734" s="8">
        <v>45211</v>
      </c>
      <c r="V1734" s="10">
        <f>COUNTA(O1734:U1734)</f>
        <v>7</v>
      </c>
      <c r="W1734" s="11">
        <f>_xlfn.IFNA(INDEX(reading[[#This Row],[Memo 01]:[Memo 07]],MATCH(0,reading[[#This Row],[Memo 01]:[Memo 07]],-1)),"")</f>
        <v>45211</v>
      </c>
      <c r="X1734" s="11">
        <f ca="1">IFERROR(reading[[#This Row],[Previous]]+OFFSET(reading[[#Headers],[Memo 01]],-1,MATCH(0,reading[[#This Row],[Memo 01]:[Memo 07]],-1)-1),"")</f>
        <v>55211</v>
      </c>
      <c r="Y1734" s="10" t="str">
        <f ca="1">IF(reading[[#This Row],[Next]]&lt;&gt;"",IF(reading[[#This Row],[Next]]&gt;TODAY(),"OK",""),"")</f>
        <v>OK</v>
      </c>
      <c r="Z1734" s="13">
        <v>3</v>
      </c>
      <c r="AA1734" s="13"/>
      <c r="AB1734" s="13"/>
      <c r="AC1734" s="13"/>
      <c r="AD1734" s="13"/>
      <c r="AE1734" s="13"/>
      <c r="AF1734" s="13"/>
      <c r="AG1734" s="16">
        <f>IFERROR(SUMIF(reading[[#This Row],[1st]:[7th]],"&gt;0")/COUNTIF(reading[[#This Row],[1st]:[7th]],"&gt;0"),"")</f>
        <v>3</v>
      </c>
    </row>
    <row r="1735" spans="1:33" hidden="1" x14ac:dyDescent="0.2">
      <c r="A1735" s="4">
        <f>IF(B1735=1,3,IF(D1735=1,2,IF(F1735=1,1,0)))</f>
        <v>0</v>
      </c>
      <c r="B1735" s="4" t="str">
        <f>IF(C1735=$L1735,1,IF(C1735="","",0))</f>
        <v/>
      </c>
      <c r="C1735" s="42"/>
      <c r="D1735" s="4" t="str">
        <f>IF(E1735=$L1735,1,IF(E1735="","",0))</f>
        <v/>
      </c>
      <c r="E1735" s="18"/>
      <c r="F1735" s="4" t="str">
        <f>IF(G1735=$L1735,1,IF(G1735="","",0))</f>
        <v/>
      </c>
      <c r="G1735" s="14"/>
      <c r="H1735" s="6">
        <v>2149</v>
      </c>
      <c r="I1735" s="15" t="s">
        <v>3120</v>
      </c>
      <c r="J1735" s="6" t="s">
        <v>5237</v>
      </c>
      <c r="K1735" s="6"/>
      <c r="L1735" s="6" t="s">
        <v>2216</v>
      </c>
      <c r="M1735" s="6" t="s">
        <v>8255</v>
      </c>
      <c r="N1735" s="7">
        <f ca="1">RAND()</f>
        <v>0.4262768823063503</v>
      </c>
      <c r="O1735" s="8">
        <v>45214</v>
      </c>
      <c r="P1735" s="8">
        <v>45215</v>
      </c>
      <c r="Q1735" s="8">
        <v>45217</v>
      </c>
      <c r="R1735" s="8">
        <v>45221</v>
      </c>
      <c r="S1735" s="8">
        <v>45228</v>
      </c>
      <c r="T1735" s="8">
        <v>45783</v>
      </c>
      <c r="U1735" s="8">
        <v>45830</v>
      </c>
      <c r="V1735" s="10">
        <f>COUNTA(O1735:U1735)</f>
        <v>7</v>
      </c>
      <c r="W1735" s="11">
        <f>_xlfn.IFNA(INDEX(reading[[#This Row],[Memo 01]:[Memo 07]],MATCH(0,reading[[#This Row],[Memo 01]:[Memo 07]],-1)),"")</f>
        <v>45830</v>
      </c>
      <c r="X1735" s="11">
        <f ca="1">IFERROR(reading[[#This Row],[Previous]]+OFFSET(reading[[#Headers],[Memo 01]],-1,MATCH(0,reading[[#This Row],[Memo 01]:[Memo 07]],-1)-1),"")</f>
        <v>55830</v>
      </c>
      <c r="Y1735" s="10" t="str">
        <f ca="1">IF(reading[[#This Row],[Next]]&lt;&gt;"",IF(reading[[#This Row],[Next]]&gt;TODAY(),"OK",""),"")</f>
        <v>OK</v>
      </c>
      <c r="Z1735" s="13">
        <v>3</v>
      </c>
      <c r="AA1735" s="13">
        <v>3</v>
      </c>
      <c r="AB1735" s="13">
        <v>3</v>
      </c>
      <c r="AC1735" s="13">
        <v>2</v>
      </c>
      <c r="AD1735" s="13">
        <v>3</v>
      </c>
      <c r="AE1735" s="13">
        <v>3</v>
      </c>
      <c r="AF1735" s="13">
        <v>3</v>
      </c>
      <c r="AG1735" s="16">
        <f>IFERROR(SUMIF(reading[[#This Row],[1st]:[7th]],"&gt;0")/COUNTIF(reading[[#This Row],[1st]:[7th]],"&gt;0"),"")</f>
        <v>2.8571428571428572</v>
      </c>
    </row>
    <row r="1736" spans="1:33" hidden="1" x14ac:dyDescent="0.2">
      <c r="A1736" s="4">
        <f>IF(B1736=1,3,IF(D1736=1,2,IF(F1736=1,1,0)))</f>
        <v>0</v>
      </c>
      <c r="B1736" s="4" t="str">
        <f>IF(C1736=$L1736,1,IF(C1736="","",0))</f>
        <v/>
      </c>
      <c r="C1736" s="42"/>
      <c r="D1736" s="4" t="str">
        <f>IF(E1736=$L1736,1,IF(E1736="","",0))</f>
        <v/>
      </c>
      <c r="E1736" s="43"/>
      <c r="F1736" s="4" t="str">
        <f>IF(G1736=$L1736,1,IF(G1736="","",0))</f>
        <v/>
      </c>
      <c r="G1736" s="14"/>
      <c r="H1736" s="6">
        <v>1442</v>
      </c>
      <c r="I1736" s="15" t="s">
        <v>3120</v>
      </c>
      <c r="J1736" s="6" t="s">
        <v>4556</v>
      </c>
      <c r="K1736" s="6"/>
      <c r="L1736" s="6" t="s">
        <v>1532</v>
      </c>
      <c r="M1736" s="6" t="s">
        <v>7549</v>
      </c>
      <c r="N1736" s="7">
        <f ca="1">RAND()</f>
        <v>0.1350064868213412</v>
      </c>
      <c r="O1736" s="8">
        <v>45208</v>
      </c>
      <c r="P1736" s="8">
        <v>45209</v>
      </c>
      <c r="Q1736" s="8">
        <v>45212</v>
      </c>
      <c r="R1736" s="8">
        <v>45216</v>
      </c>
      <c r="S1736" s="8">
        <v>45223</v>
      </c>
      <c r="T1736" s="8">
        <v>45235</v>
      </c>
      <c r="U1736" s="8">
        <v>45816</v>
      </c>
      <c r="V1736" s="10">
        <f>COUNTA(O1736:U1736)</f>
        <v>7</v>
      </c>
      <c r="W1736" s="11">
        <f>_xlfn.IFNA(INDEX(reading[[#This Row],[Memo 01]:[Memo 07]],MATCH(0,reading[[#This Row],[Memo 01]:[Memo 07]],-1)),"")</f>
        <v>45816</v>
      </c>
      <c r="X1736" s="11">
        <f ca="1">IFERROR(reading[[#This Row],[Previous]]+OFFSET(reading[[#Headers],[Memo 01]],-1,MATCH(0,reading[[#This Row],[Memo 01]:[Memo 07]],-1)-1),"")</f>
        <v>55816</v>
      </c>
      <c r="Y1736" s="10" t="str">
        <f ca="1">IF(reading[[#This Row],[Next]]&lt;&gt;"",IF(reading[[#This Row],[Next]]&gt;TODAY(),"OK",""),"")</f>
        <v>OK</v>
      </c>
      <c r="Z1736" s="13">
        <v>3</v>
      </c>
      <c r="AA1736" s="13">
        <v>3</v>
      </c>
      <c r="AB1736" s="13">
        <v>2</v>
      </c>
      <c r="AC1736" s="13">
        <v>2</v>
      </c>
      <c r="AD1736" s="13">
        <v>2</v>
      </c>
      <c r="AE1736" s="13">
        <v>3</v>
      </c>
      <c r="AF1736" s="13">
        <v>2</v>
      </c>
      <c r="AG1736" s="16">
        <f>IFERROR(SUMIF(reading[[#This Row],[1st]:[7th]],"&gt;0")/COUNTIF(reading[[#This Row],[1st]:[7th]],"&gt;0"),"")</f>
        <v>2.4285714285714284</v>
      </c>
    </row>
    <row r="1737" spans="1:33" hidden="1" x14ac:dyDescent="0.2">
      <c r="A1737" s="4">
        <f>IF(B1737=1,3,IF(D1737=1,2,IF(F1737=1,1,0)))</f>
        <v>0</v>
      </c>
      <c r="B1737" s="4" t="str">
        <f>IF(C1737=$L1737,1,IF(C1737="","",0))</f>
        <v/>
      </c>
      <c r="C1737" s="42"/>
      <c r="D1737" s="4" t="str">
        <f>IF(E1737=$L1737,1,IF(E1737="","",0))</f>
        <v/>
      </c>
      <c r="E1737" s="43"/>
      <c r="F1737" s="4" t="str">
        <f>IF(G1737=$L1737,1,IF(G1737="","",0))</f>
        <v/>
      </c>
      <c r="G1737" s="14"/>
      <c r="H1737" s="6">
        <v>2335</v>
      </c>
      <c r="I1737" s="15" t="s">
        <v>3120</v>
      </c>
      <c r="J1737" s="6" t="s">
        <v>5412</v>
      </c>
      <c r="K1737" s="15" t="s">
        <v>3138</v>
      </c>
      <c r="L1737" s="6" t="s">
        <v>2389</v>
      </c>
      <c r="M1737" s="6" t="s">
        <v>8440</v>
      </c>
      <c r="N1737" s="7">
        <f ca="1">RAND()</f>
        <v>0.96315700077933319</v>
      </c>
      <c r="O1737" s="8">
        <v>45216</v>
      </c>
      <c r="P1737" s="8">
        <v>45217</v>
      </c>
      <c r="Q1737" s="8">
        <v>45219</v>
      </c>
      <c r="R1737" s="8">
        <v>45223</v>
      </c>
      <c r="S1737" s="8">
        <v>45230</v>
      </c>
      <c r="T1737" s="8">
        <v>45252</v>
      </c>
      <c r="U1737" s="8">
        <v>45825</v>
      </c>
      <c r="V1737" s="10">
        <f>COUNTA(O1737:U1737)</f>
        <v>7</v>
      </c>
      <c r="W1737" s="11">
        <f>_xlfn.IFNA(INDEX(reading[[#This Row],[Memo 01]:[Memo 07]],MATCH(0,reading[[#This Row],[Memo 01]:[Memo 07]],-1)),"")</f>
        <v>45825</v>
      </c>
      <c r="X1737" s="11">
        <f ca="1">IFERROR(reading[[#This Row],[Previous]]+OFFSET(reading[[#Headers],[Memo 01]],-1,MATCH(0,reading[[#This Row],[Memo 01]:[Memo 07]],-1)-1),"")</f>
        <v>55825</v>
      </c>
      <c r="Y1737" s="10" t="str">
        <f ca="1">IF(reading[[#This Row],[Next]]&lt;&gt;"",IF(reading[[#This Row],[Next]]&gt;TODAY(),"OK",""),"")</f>
        <v>OK</v>
      </c>
      <c r="Z1737" s="13">
        <v>3</v>
      </c>
      <c r="AA1737" s="13">
        <v>3</v>
      </c>
      <c r="AB1737" s="13">
        <v>2</v>
      </c>
      <c r="AC1737" s="13">
        <v>3</v>
      </c>
      <c r="AD1737" s="13">
        <v>2</v>
      </c>
      <c r="AE1737" s="13">
        <v>2</v>
      </c>
      <c r="AF1737" s="13">
        <v>2</v>
      </c>
      <c r="AG1737" s="16">
        <f>IFERROR(SUMIF(reading[[#This Row],[1st]:[7th]],"&gt;0")/COUNTIF(reading[[#This Row],[1st]:[7th]],"&gt;0"),"")</f>
        <v>2.4285714285714284</v>
      </c>
    </row>
    <row r="1738" spans="1:33" x14ac:dyDescent="0.2">
      <c r="A1738" s="4">
        <f>IF(B1738=1,3,IF(D1738=1,2,IF(F1738=1,1,0)))</f>
        <v>0</v>
      </c>
      <c r="B1738" s="4">
        <f>IF(C1738=$L1738,1,IF(C1738="","",0))</f>
        <v>0</v>
      </c>
      <c r="C1738" s="42" t="s">
        <v>9309</v>
      </c>
      <c r="D1738" s="4" t="str">
        <f>IF(E1738=$L1738,1,IF(E1738="","",0))</f>
        <v/>
      </c>
      <c r="E1738" s="14"/>
      <c r="F1738" s="4" t="str">
        <f>IF(G1738=$L1738,1,IF(G1738="","",0))</f>
        <v/>
      </c>
      <c r="G1738" s="14"/>
      <c r="H1738" s="6">
        <v>1186</v>
      </c>
      <c r="I1738" s="15" t="s">
        <v>3120</v>
      </c>
      <c r="J1738" s="6" t="s">
        <v>4305</v>
      </c>
      <c r="K1738" s="6"/>
      <c r="L1738" s="6" t="s">
        <v>1288</v>
      </c>
      <c r="M1738" s="6" t="s">
        <v>7294</v>
      </c>
      <c r="N1738" s="7">
        <f ca="1">RAND()</f>
        <v>0.77295035378655164</v>
      </c>
      <c r="O1738" s="8">
        <v>45206</v>
      </c>
      <c r="P1738" s="8">
        <v>45207</v>
      </c>
      <c r="Q1738" s="8">
        <v>45209</v>
      </c>
      <c r="R1738" s="8">
        <v>45213</v>
      </c>
      <c r="S1738" s="8">
        <v>45220</v>
      </c>
      <c r="T1738" s="8">
        <v>45232</v>
      </c>
      <c r="U1738" s="8"/>
      <c r="V1738" s="10">
        <f>COUNTA(O1738:U1738)</f>
        <v>6</v>
      </c>
      <c r="W1738" s="11">
        <f>_xlfn.IFNA(INDEX(reading[[#This Row],[Memo 01]:[Memo 07]],MATCH(0,reading[[#This Row],[Memo 01]:[Memo 07]],-1)),"")</f>
        <v>45232</v>
      </c>
      <c r="X1738" s="11">
        <f ca="1">IFERROR(reading[[#This Row],[Previous]]+OFFSET(reading[[#Headers],[Memo 01]],-1,MATCH(0,reading[[#This Row],[Memo 01]:[Memo 07]],-1)-1),"")</f>
        <v>45252</v>
      </c>
      <c r="Y1738" s="10" t="str">
        <f ca="1">IF(reading[[#This Row],[Next]]&lt;&gt;"",IF(reading[[#This Row],[Next]]&gt;TODAY(),"OK",""),"")</f>
        <v/>
      </c>
      <c r="Z1738" s="13">
        <v>3</v>
      </c>
      <c r="AA1738" s="13">
        <v>3</v>
      </c>
      <c r="AB1738" s="13">
        <v>3</v>
      </c>
      <c r="AC1738" s="13">
        <v>3</v>
      </c>
      <c r="AD1738" s="13">
        <v>3</v>
      </c>
      <c r="AE1738" s="13">
        <v>3</v>
      </c>
      <c r="AF1738" s="13"/>
      <c r="AG1738" s="16">
        <f>IFERROR(SUMIF(reading[[#This Row],[1st]:[7th]],"&gt;0")/COUNTIF(reading[[#This Row],[1st]:[7th]],"&gt;0"),"")</f>
        <v>3</v>
      </c>
    </row>
    <row r="1739" spans="1:33" hidden="1" x14ac:dyDescent="0.2">
      <c r="A1739" s="4">
        <f>IF(B1739=1,3,IF(D1739=1,2,IF(F1739=1,1,0)))</f>
        <v>0</v>
      </c>
      <c r="B1739" s="4" t="str">
        <f>IF(C1739=$L1739,1,IF(C1739="","",0))</f>
        <v/>
      </c>
      <c r="C1739" s="42"/>
      <c r="D1739" s="4" t="str">
        <f>IF(E1739=$L1739,1,IF(E1739="","",0))</f>
        <v/>
      </c>
      <c r="E1739" s="43"/>
      <c r="F1739" s="4" t="str">
        <f>IF(G1739=$L1739,1,IF(G1739="","",0))</f>
        <v/>
      </c>
      <c r="G1739" s="23"/>
      <c r="H1739" s="6">
        <v>2095</v>
      </c>
      <c r="I1739" s="15" t="s">
        <v>3120</v>
      </c>
      <c r="J1739" s="6" t="s">
        <v>5186</v>
      </c>
      <c r="K1739" s="6"/>
      <c r="L1739" s="6" t="s">
        <v>2165</v>
      </c>
      <c r="M1739" s="6" t="s">
        <v>8201</v>
      </c>
      <c r="N1739" s="7">
        <f ca="1">RAND()</f>
        <v>0.197287935570859</v>
      </c>
      <c r="O1739" s="8">
        <v>45214</v>
      </c>
      <c r="P1739" s="8">
        <v>45215</v>
      </c>
      <c r="Q1739" s="8">
        <v>45217</v>
      </c>
      <c r="R1739" s="8">
        <v>45221</v>
      </c>
      <c r="S1739" s="8">
        <v>45228</v>
      </c>
      <c r="T1739" s="8">
        <v>45816</v>
      </c>
      <c r="U1739" s="8"/>
      <c r="V1739" s="10">
        <f>COUNTA(O1739:U1739)</f>
        <v>6</v>
      </c>
      <c r="W1739" s="11">
        <f>_xlfn.IFNA(INDEX(reading[[#This Row],[Memo 01]:[Memo 07]],MATCH(0,reading[[#This Row],[Memo 01]:[Memo 07]],-1)),"")</f>
        <v>45816</v>
      </c>
      <c r="X1739" s="11">
        <f ca="1">IFERROR(reading[[#This Row],[Previous]]+OFFSET(reading[[#Headers],[Memo 01]],-1,MATCH(0,reading[[#This Row],[Memo 01]:[Memo 07]],-1)-1),"")</f>
        <v>45836</v>
      </c>
      <c r="Y1739" s="10" t="str">
        <f ca="1">IF(reading[[#This Row],[Next]]&lt;&gt;"",IF(reading[[#This Row],[Next]]&gt;TODAY(),"OK",""),"")</f>
        <v>OK</v>
      </c>
      <c r="Z1739" s="13">
        <v>3</v>
      </c>
      <c r="AA1739" s="13">
        <v>3</v>
      </c>
      <c r="AB1739" s="13">
        <v>2</v>
      </c>
      <c r="AC1739" s="13">
        <v>3</v>
      </c>
      <c r="AD1739" s="13">
        <v>3</v>
      </c>
      <c r="AE1739" s="13">
        <v>1</v>
      </c>
      <c r="AF1739" s="13"/>
      <c r="AG1739" s="16">
        <f>IFERROR(SUMIF(reading[[#This Row],[1st]:[7th]],"&gt;0")/COUNTIF(reading[[#This Row],[1st]:[7th]],"&gt;0"),"")</f>
        <v>2.5</v>
      </c>
    </row>
    <row r="1740" spans="1:33" x14ac:dyDescent="0.2">
      <c r="A1740" s="4">
        <f>IF(B1740=1,3,IF(D1740=1,2,IF(F1740=1,1,0)))</f>
        <v>0</v>
      </c>
      <c r="B1740" s="4">
        <f>IF(C1740=$L1740,1,IF(C1740="","",0))</f>
        <v>0</v>
      </c>
      <c r="C1740" s="42" t="s">
        <v>9200</v>
      </c>
      <c r="D1740" s="4" t="str">
        <f>IF(E1740=$L1740,1,IF(E1740="","",0))</f>
        <v/>
      </c>
      <c r="E1740" s="14"/>
      <c r="F1740" s="4" t="str">
        <f>IF(G1740=$L1740,1,IF(G1740="","",0))</f>
        <v/>
      </c>
      <c r="G1740" s="14"/>
      <c r="H1740" s="6">
        <v>2830</v>
      </c>
      <c r="I1740" s="15" t="s">
        <v>3120</v>
      </c>
      <c r="J1740" s="6" t="s">
        <v>5871</v>
      </c>
      <c r="K1740" s="6"/>
      <c r="L1740" s="6" t="s">
        <v>2866</v>
      </c>
      <c r="M1740" s="6" t="s">
        <v>8934</v>
      </c>
      <c r="N1740" s="7">
        <f ca="1">RAND()</f>
        <v>0.72886215298396273</v>
      </c>
      <c r="O1740" s="8">
        <v>45222</v>
      </c>
      <c r="P1740" s="8">
        <v>45223</v>
      </c>
      <c r="Q1740" s="8">
        <v>45225</v>
      </c>
      <c r="R1740" s="8">
        <v>45229</v>
      </c>
      <c r="S1740" s="8">
        <v>45236</v>
      </c>
      <c r="T1740" s="8"/>
      <c r="U1740" s="8"/>
      <c r="V1740" s="10">
        <f>COUNTA(O1740:U1740)</f>
        <v>5</v>
      </c>
      <c r="W1740" s="11">
        <f>_xlfn.IFNA(INDEX(reading[[#This Row],[Memo 01]:[Memo 07]],MATCH(0,reading[[#This Row],[Memo 01]:[Memo 07]],-1)),"")</f>
        <v>45236</v>
      </c>
      <c r="X1740" s="11">
        <f ca="1">IFERROR(reading[[#This Row],[Previous]]+OFFSET(reading[[#Headers],[Memo 01]],-1,MATCH(0,reading[[#This Row],[Memo 01]:[Memo 07]],-1)-1),"")</f>
        <v>45248</v>
      </c>
      <c r="Y1740" s="10" t="str">
        <f ca="1">IF(reading[[#This Row],[Next]]&lt;&gt;"",IF(reading[[#This Row],[Next]]&gt;TODAY(),"OK",""),"")</f>
        <v/>
      </c>
      <c r="Z1740" s="13">
        <v>3</v>
      </c>
      <c r="AA1740" s="13">
        <v>3</v>
      </c>
      <c r="AB1740" s="13">
        <v>3</v>
      </c>
      <c r="AC1740" s="13">
        <v>3</v>
      </c>
      <c r="AD1740" s="13">
        <v>3</v>
      </c>
      <c r="AE1740" s="13"/>
      <c r="AF1740" s="13"/>
      <c r="AG1740" s="16">
        <f>IFERROR(SUMIF(reading[[#This Row],[1st]:[7th]],"&gt;0")/COUNTIF(reading[[#This Row],[1st]:[7th]],"&gt;0"),"")</f>
        <v>3</v>
      </c>
    </row>
    <row r="1741" spans="1:33" hidden="1" x14ac:dyDescent="0.2">
      <c r="A1741" s="4">
        <f>IF(B1741=1,3,IF(D1741=1,2,IF(F1741=1,1,0)))</f>
        <v>0</v>
      </c>
      <c r="B1741" s="4" t="str">
        <f>IF(C1741=$L1741,1,IF(C1741="","",0))</f>
        <v/>
      </c>
      <c r="C1741" s="42"/>
      <c r="D1741" s="4" t="str">
        <f>IF(E1741=$L1741,1,IF(E1741="","",0))</f>
        <v/>
      </c>
      <c r="E1741" s="14"/>
      <c r="F1741" s="4" t="str">
        <f>IF(G1741=$L1741,1,IF(G1741="","",0))</f>
        <v/>
      </c>
      <c r="G1741" s="14"/>
      <c r="H1741" s="6">
        <v>2856</v>
      </c>
      <c r="I1741" s="15" t="s">
        <v>3120</v>
      </c>
      <c r="J1741" s="6" t="s">
        <v>3721</v>
      </c>
      <c r="K1741" s="15" t="s">
        <v>3138</v>
      </c>
      <c r="L1741" s="6" t="s">
        <v>119</v>
      </c>
      <c r="M1741" s="6" t="s">
        <v>8960</v>
      </c>
      <c r="N1741" s="7">
        <f ca="1">RAND()</f>
        <v>0.54250889199852337</v>
      </c>
      <c r="O1741" s="8">
        <v>45222</v>
      </c>
      <c r="P1741" s="8">
        <v>45223</v>
      </c>
      <c r="Q1741" s="8">
        <v>45225</v>
      </c>
      <c r="R1741" s="8">
        <v>45229</v>
      </c>
      <c r="S1741" s="8">
        <v>45236</v>
      </c>
      <c r="T1741" s="8">
        <v>45830</v>
      </c>
      <c r="U1741" s="8"/>
      <c r="V1741" s="10">
        <f>COUNTA(O1741:U1741)</f>
        <v>6</v>
      </c>
      <c r="W1741" s="11">
        <f>_xlfn.IFNA(INDEX(reading[[#This Row],[Memo 01]:[Memo 07]],MATCH(0,reading[[#This Row],[Memo 01]:[Memo 07]],-1)),"")</f>
        <v>45830</v>
      </c>
      <c r="X1741" s="11">
        <f ca="1">IFERROR(reading[[#This Row],[Previous]]+OFFSET(reading[[#Headers],[Memo 01]],-1,MATCH(0,reading[[#This Row],[Memo 01]:[Memo 07]],-1)-1),"")</f>
        <v>45850</v>
      </c>
      <c r="Y1741" s="10" t="str">
        <f ca="1">IF(reading[[#This Row],[Next]]&lt;&gt;"",IF(reading[[#This Row],[Next]]&gt;TODAY(),"OK",""),"")</f>
        <v>OK</v>
      </c>
      <c r="Z1741" s="13">
        <v>3</v>
      </c>
      <c r="AA1741" s="13">
        <v>3</v>
      </c>
      <c r="AB1741" s="13">
        <v>3</v>
      </c>
      <c r="AC1741" s="13">
        <v>3</v>
      </c>
      <c r="AD1741" s="13">
        <v>3</v>
      </c>
      <c r="AE1741" s="13">
        <v>3</v>
      </c>
      <c r="AF1741" s="13"/>
      <c r="AG1741" s="16">
        <f>IFERROR(SUMIF(reading[[#This Row],[1st]:[7th]],"&gt;0")/COUNTIF(reading[[#This Row],[1st]:[7th]],"&gt;0"),"")</f>
        <v>3</v>
      </c>
    </row>
    <row r="1742" spans="1:33" hidden="1" x14ac:dyDescent="0.2">
      <c r="A1742" s="4">
        <f>IF(B1742=1,3,IF(D1742=1,2,IF(F1742=1,1,0)))</f>
        <v>0</v>
      </c>
      <c r="B1742" s="4" t="str">
        <f>IF(C1742=$L1742,1,IF(C1742="","",0))</f>
        <v/>
      </c>
      <c r="C1742" s="42"/>
      <c r="D1742" s="4" t="str">
        <f>IF(E1742=$L1742,1,IF(E1742="","",0))</f>
        <v/>
      </c>
      <c r="E1742" s="14"/>
      <c r="F1742" s="4" t="str">
        <f>IF(G1742=$L1742,1,IF(G1742="","",0))</f>
        <v/>
      </c>
      <c r="G1742" s="14"/>
      <c r="H1742" s="6">
        <v>588</v>
      </c>
      <c r="I1742" s="15" t="s">
        <v>3120</v>
      </c>
      <c r="J1742" s="6" t="s">
        <v>3731</v>
      </c>
      <c r="K1742" s="6"/>
      <c r="L1742" s="6" t="s">
        <v>714</v>
      </c>
      <c r="M1742" s="6" t="s">
        <v>6697</v>
      </c>
      <c r="N1742" s="7">
        <f ca="1">RAND()</f>
        <v>0.99590834287627528</v>
      </c>
      <c r="O1742" s="8">
        <v>45202</v>
      </c>
      <c r="P1742" s="8">
        <v>45203</v>
      </c>
      <c r="Q1742" s="8">
        <v>45205</v>
      </c>
      <c r="R1742" s="8">
        <v>45209</v>
      </c>
      <c r="S1742" s="8">
        <v>45216</v>
      </c>
      <c r="T1742" s="8">
        <v>45228</v>
      </c>
      <c r="U1742" s="8">
        <v>45829</v>
      </c>
      <c r="V1742" s="10">
        <f>COUNTA(O1742:U1742)</f>
        <v>7</v>
      </c>
      <c r="W1742" s="11">
        <f>_xlfn.IFNA(INDEX(reading[[#This Row],[Memo 01]:[Memo 07]],MATCH(0,reading[[#This Row],[Memo 01]:[Memo 07]],-1)),"")</f>
        <v>45829</v>
      </c>
      <c r="X1742" s="11">
        <f ca="1">IFERROR(reading[[#This Row],[Previous]]+OFFSET(reading[[#Headers],[Memo 01]],-1,MATCH(0,reading[[#This Row],[Memo 01]:[Memo 07]],-1)-1),"")</f>
        <v>55829</v>
      </c>
      <c r="Y1742" s="10" t="str">
        <f ca="1">IF(reading[[#This Row],[Next]]&lt;&gt;"",IF(reading[[#This Row],[Next]]&gt;TODAY(),"OK",""),"")</f>
        <v>OK</v>
      </c>
      <c r="Z1742" s="13">
        <v>3</v>
      </c>
      <c r="AA1742" s="13">
        <v>3</v>
      </c>
      <c r="AB1742" s="13">
        <v>3</v>
      </c>
      <c r="AC1742" s="13">
        <v>3</v>
      </c>
      <c r="AD1742" s="13">
        <v>3</v>
      </c>
      <c r="AE1742" s="13">
        <v>3</v>
      </c>
      <c r="AF1742" s="13">
        <v>3</v>
      </c>
      <c r="AG1742" s="16">
        <f>IFERROR(SUMIF(reading[[#This Row],[1st]:[7th]],"&gt;0")/COUNTIF(reading[[#This Row],[1st]:[7th]],"&gt;0"),"")</f>
        <v>3</v>
      </c>
    </row>
    <row r="1743" spans="1:33" hidden="1" x14ac:dyDescent="0.2">
      <c r="A1743" s="4">
        <f>IF(B1743=1,3,IF(D1743=1,2,IF(F1743=1,1,0)))</f>
        <v>0</v>
      </c>
      <c r="B1743" s="4" t="str">
        <f>IF(C1743=$L1743,1,IF(C1743="","",0))</f>
        <v/>
      </c>
      <c r="C1743" s="42"/>
      <c r="D1743" s="4" t="str">
        <f>IF(E1743=$L1743,1,IF(E1743="","",0))</f>
        <v/>
      </c>
      <c r="E1743" s="14"/>
      <c r="F1743" s="4" t="str">
        <f>IF(G1743=$L1743,1,IF(G1743="","",0))</f>
        <v/>
      </c>
      <c r="G1743" s="14"/>
      <c r="H1743" s="6">
        <v>2418</v>
      </c>
      <c r="I1743" s="15" t="s">
        <v>3120</v>
      </c>
      <c r="J1743" s="6" t="s">
        <v>5489</v>
      </c>
      <c r="K1743" s="6"/>
      <c r="L1743" s="6" t="s">
        <v>2468</v>
      </c>
      <c r="M1743" s="6" t="s">
        <v>8523</v>
      </c>
      <c r="N1743" s="7">
        <f ca="1">RAND()</f>
        <v>0.73139155013164692</v>
      </c>
      <c r="O1743" s="8">
        <v>45218</v>
      </c>
      <c r="P1743" s="8">
        <v>45219</v>
      </c>
      <c r="Q1743" s="8">
        <v>45221</v>
      </c>
      <c r="R1743" s="8">
        <v>45225</v>
      </c>
      <c r="S1743" s="8">
        <v>45232</v>
      </c>
      <c r="T1743" s="8">
        <v>45830</v>
      </c>
      <c r="U1743" s="8"/>
      <c r="V1743" s="10">
        <f>COUNTA(O1743:U1743)</f>
        <v>6</v>
      </c>
      <c r="W1743" s="11">
        <f>_xlfn.IFNA(INDEX(reading[[#This Row],[Memo 01]:[Memo 07]],MATCH(0,reading[[#This Row],[Memo 01]:[Memo 07]],-1)),"")</f>
        <v>45830</v>
      </c>
      <c r="X1743" s="11">
        <f ca="1">IFERROR(reading[[#This Row],[Previous]]+OFFSET(reading[[#Headers],[Memo 01]],-1,MATCH(0,reading[[#This Row],[Memo 01]:[Memo 07]],-1)-1),"")</f>
        <v>45850</v>
      </c>
      <c r="Y1743" s="10" t="str">
        <f ca="1">IF(reading[[#This Row],[Next]]&lt;&gt;"",IF(reading[[#This Row],[Next]]&gt;TODAY(),"OK",""),"")</f>
        <v>OK</v>
      </c>
      <c r="Z1743" s="13">
        <v>3</v>
      </c>
      <c r="AA1743" s="13">
        <v>3</v>
      </c>
      <c r="AB1743" s="13">
        <v>3</v>
      </c>
      <c r="AC1743" s="13">
        <v>3</v>
      </c>
      <c r="AD1743" s="13">
        <v>3</v>
      </c>
      <c r="AE1743" s="13">
        <v>3</v>
      </c>
      <c r="AF1743" s="13"/>
      <c r="AG1743" s="16">
        <f>IFERROR(SUMIF(reading[[#This Row],[1st]:[7th]],"&gt;0")/COUNTIF(reading[[#This Row],[1st]:[7th]],"&gt;0"),"")</f>
        <v>3</v>
      </c>
    </row>
    <row r="1744" spans="1:33" hidden="1" x14ac:dyDescent="0.2">
      <c r="A1744" s="4">
        <f>IF(B1744=1,3,IF(D1744=1,2,IF(F1744=1,1,0)))</f>
        <v>0</v>
      </c>
      <c r="B1744" s="4" t="str">
        <f>IF(C1744=$L1744,1,IF(C1744="","",0))</f>
        <v/>
      </c>
      <c r="C1744" s="42"/>
      <c r="D1744" s="4" t="str">
        <f>IF(E1744=$L1744,1,IF(E1744="","",0))</f>
        <v/>
      </c>
      <c r="E1744" s="14"/>
      <c r="F1744" s="4" t="str">
        <f>IF(G1744=$L1744,1,IF(G1744="","",0))</f>
        <v/>
      </c>
      <c r="G1744" s="14"/>
      <c r="H1744" s="6">
        <v>2043</v>
      </c>
      <c r="I1744" s="15" t="s">
        <v>3120</v>
      </c>
      <c r="J1744" s="6" t="s">
        <v>5139</v>
      </c>
      <c r="K1744" s="6"/>
      <c r="L1744" s="6" t="s">
        <v>2118</v>
      </c>
      <c r="M1744" s="6" t="s">
        <v>8149</v>
      </c>
      <c r="N1744" s="7">
        <f ca="1">RAND()</f>
        <v>0.30240571458910015</v>
      </c>
      <c r="O1744" s="8">
        <v>45213</v>
      </c>
      <c r="P1744" s="8">
        <v>45214</v>
      </c>
      <c r="Q1744" s="8">
        <v>45216</v>
      </c>
      <c r="R1744" s="8">
        <v>45220</v>
      </c>
      <c r="S1744" s="8">
        <v>45227</v>
      </c>
      <c r="T1744" s="8">
        <v>45829</v>
      </c>
      <c r="U1744" s="8"/>
      <c r="V1744" s="10">
        <f>COUNTA(O1744:U1744)</f>
        <v>6</v>
      </c>
      <c r="W1744" s="11">
        <f>_xlfn.IFNA(INDEX(reading[[#This Row],[Memo 01]:[Memo 07]],MATCH(0,reading[[#This Row],[Memo 01]:[Memo 07]],-1)),"")</f>
        <v>45829</v>
      </c>
      <c r="X1744" s="11">
        <f ca="1">IFERROR(reading[[#This Row],[Previous]]+OFFSET(reading[[#Headers],[Memo 01]],-1,MATCH(0,reading[[#This Row],[Memo 01]:[Memo 07]],-1)-1),"")</f>
        <v>45849</v>
      </c>
      <c r="Y1744" s="10" t="str">
        <f ca="1">IF(reading[[#This Row],[Next]]&lt;&gt;"",IF(reading[[#This Row],[Next]]&gt;TODAY(),"OK",""),"")</f>
        <v>OK</v>
      </c>
      <c r="Z1744" s="13">
        <v>3</v>
      </c>
      <c r="AA1744" s="13">
        <v>3</v>
      </c>
      <c r="AB1744" s="13">
        <v>3</v>
      </c>
      <c r="AC1744" s="13">
        <v>3</v>
      </c>
      <c r="AD1744" s="13">
        <v>3</v>
      </c>
      <c r="AE1744" s="13">
        <v>3</v>
      </c>
      <c r="AF1744" s="13"/>
      <c r="AG1744" s="16">
        <f>IFERROR(SUMIF(reading[[#This Row],[1st]:[7th]],"&gt;0")/COUNTIF(reading[[#This Row],[1st]:[7th]],"&gt;0"),"")</f>
        <v>3</v>
      </c>
    </row>
    <row r="1745" spans="1:33" hidden="1" x14ac:dyDescent="0.2">
      <c r="A1745" s="4">
        <f>IF(B1745=1,3,IF(D1745=1,2,IF(F1745=1,1,0)))</f>
        <v>0</v>
      </c>
      <c r="B1745" s="4" t="str">
        <f>IF(C1745=$L1745,1,IF(C1745="","",0))</f>
        <v/>
      </c>
      <c r="C1745" s="42"/>
      <c r="D1745" s="4" t="str">
        <f>IF(E1745=$L1745,1,IF(E1745="","",0))</f>
        <v/>
      </c>
      <c r="E1745" s="14"/>
      <c r="F1745" s="4" t="str">
        <f>IF(G1745=$L1745,1,IF(G1745="","",0))</f>
        <v/>
      </c>
      <c r="G1745" s="14"/>
      <c r="H1745" s="6">
        <v>1996</v>
      </c>
      <c r="I1745" s="15" t="s">
        <v>3120</v>
      </c>
      <c r="J1745" s="6" t="s">
        <v>5094</v>
      </c>
      <c r="K1745" s="15" t="s">
        <v>3138</v>
      </c>
      <c r="L1745" s="6" t="s">
        <v>2071</v>
      </c>
      <c r="M1745" s="6" t="s">
        <v>8102</v>
      </c>
      <c r="N1745" s="7">
        <f ca="1">RAND()</f>
        <v>0.59437167250980549</v>
      </c>
      <c r="O1745" s="8">
        <v>45213</v>
      </c>
      <c r="P1745" s="8">
        <v>45214</v>
      </c>
      <c r="Q1745" s="8">
        <v>45216</v>
      </c>
      <c r="R1745" s="8">
        <v>45220</v>
      </c>
      <c r="S1745" s="8">
        <v>45227</v>
      </c>
      <c r="T1745" s="8">
        <v>45830</v>
      </c>
      <c r="U1745" s="8"/>
      <c r="V1745" s="10">
        <f>COUNTA(O1745:U1745)</f>
        <v>6</v>
      </c>
      <c r="W1745" s="11">
        <f>_xlfn.IFNA(INDEX(reading[[#This Row],[Memo 01]:[Memo 07]],MATCH(0,reading[[#This Row],[Memo 01]:[Memo 07]],-1)),"")</f>
        <v>45830</v>
      </c>
      <c r="X1745" s="11">
        <f ca="1">IFERROR(reading[[#This Row],[Previous]]+OFFSET(reading[[#Headers],[Memo 01]],-1,MATCH(0,reading[[#This Row],[Memo 01]:[Memo 07]],-1)-1),"")</f>
        <v>45850</v>
      </c>
      <c r="Y1745" s="10" t="str">
        <f ca="1">IF(reading[[#This Row],[Next]]&lt;&gt;"",IF(reading[[#This Row],[Next]]&gt;TODAY(),"OK",""),"")</f>
        <v>OK</v>
      </c>
      <c r="Z1745" s="13">
        <v>3</v>
      </c>
      <c r="AA1745" s="13">
        <v>3</v>
      </c>
      <c r="AB1745" s="13">
        <v>3</v>
      </c>
      <c r="AC1745" s="13">
        <v>3</v>
      </c>
      <c r="AD1745" s="13">
        <v>3</v>
      </c>
      <c r="AE1745" s="13">
        <v>3</v>
      </c>
      <c r="AF1745" s="13"/>
      <c r="AG1745" s="16">
        <f>IFERROR(SUMIF(reading[[#This Row],[1st]:[7th]],"&gt;0")/COUNTIF(reading[[#This Row],[1st]:[7th]],"&gt;0"),"")</f>
        <v>3</v>
      </c>
    </row>
    <row r="1746" spans="1:33" hidden="1" x14ac:dyDescent="0.2">
      <c r="A1746" s="4">
        <f>IF(B1746=1,3,IF(D1746=1,2,IF(F1746=1,1,0)))</f>
        <v>0</v>
      </c>
      <c r="B1746" s="4" t="str">
        <f>IF(C1746=$L1746,1,IF(C1746="","",0))</f>
        <v/>
      </c>
      <c r="C1746" s="43"/>
      <c r="D1746" s="4" t="str">
        <f>IF(E1746=$L1746,1,IF(E1746="","",0))</f>
        <v/>
      </c>
      <c r="E1746" s="14"/>
      <c r="F1746" s="4" t="str">
        <f>IF(G1746=$L1746,1,IF(G1746="","",0))</f>
        <v/>
      </c>
      <c r="G1746" s="14"/>
      <c r="H1746" s="6">
        <v>90</v>
      </c>
      <c r="I1746" s="15" t="s">
        <v>3120</v>
      </c>
      <c r="J1746" s="6" t="s">
        <v>3240</v>
      </c>
      <c r="K1746" s="6"/>
      <c r="L1746" s="6" t="s">
        <v>228</v>
      </c>
      <c r="M1746" s="6" t="s">
        <v>6199</v>
      </c>
      <c r="N1746" s="7">
        <f ca="1">RAND()</f>
        <v>0.46987441140029707</v>
      </c>
      <c r="O1746" s="8">
        <v>45198</v>
      </c>
      <c r="P1746" s="8">
        <v>45199</v>
      </c>
      <c r="Q1746" s="8">
        <v>45201</v>
      </c>
      <c r="R1746" s="8">
        <v>45205</v>
      </c>
      <c r="S1746" s="8">
        <v>45212</v>
      </c>
      <c r="T1746" s="8">
        <v>45224</v>
      </c>
      <c r="U1746" s="8">
        <v>45829</v>
      </c>
      <c r="V1746" s="10">
        <f>COUNTA(O1746:U1746)</f>
        <v>7</v>
      </c>
      <c r="W1746" s="11">
        <f>_xlfn.IFNA(INDEX(reading[[#This Row],[Memo 01]:[Memo 07]],MATCH(0,reading[[#This Row],[Memo 01]:[Memo 07]],-1)),"")</f>
        <v>45829</v>
      </c>
      <c r="X1746" s="11">
        <f ca="1">IFERROR(reading[[#This Row],[Previous]]+OFFSET(reading[[#Headers],[Memo 01]],-1,MATCH(0,reading[[#This Row],[Memo 01]:[Memo 07]],-1)-1),"")</f>
        <v>55829</v>
      </c>
      <c r="Y1746" s="10" t="str">
        <f ca="1">IF(reading[[#This Row],[Next]]&lt;&gt;"",IF(reading[[#This Row],[Next]]&gt;TODAY(),"OK",""),"")</f>
        <v>OK</v>
      </c>
      <c r="Z1746" s="13">
        <v>3</v>
      </c>
      <c r="AA1746" s="13">
        <v>3</v>
      </c>
      <c r="AB1746" s="13">
        <v>3</v>
      </c>
      <c r="AC1746" s="13">
        <v>3</v>
      </c>
      <c r="AD1746" s="13">
        <v>3</v>
      </c>
      <c r="AE1746" s="13">
        <v>3</v>
      </c>
      <c r="AF1746" s="13">
        <v>3</v>
      </c>
      <c r="AG1746" s="16">
        <f>IFERROR(SUMIF(reading[[#This Row],[1st]:[7th]],"&gt;0")/COUNTIF(reading[[#This Row],[1st]:[7th]],"&gt;0"),"")</f>
        <v>3</v>
      </c>
    </row>
    <row r="1747" spans="1:33" hidden="1" x14ac:dyDescent="0.2">
      <c r="A1747" s="4">
        <f>IF(B1747=1,3,IF(D1747=1,2,IF(F1747=1,1,0)))</f>
        <v>0</v>
      </c>
      <c r="B1747" s="4" t="str">
        <f>IF(C1747=$L1747,1,IF(C1747="","",0))</f>
        <v/>
      </c>
      <c r="C1747" s="42"/>
      <c r="D1747" s="4" t="str">
        <f>IF(E1747=$L1747,1,IF(E1747="","",0))</f>
        <v/>
      </c>
      <c r="E1747" s="14"/>
      <c r="F1747" s="4" t="str">
        <f>IF(G1747=$L1747,1,IF(G1747="","",0))</f>
        <v/>
      </c>
      <c r="G1747" s="14"/>
      <c r="H1747" s="6">
        <v>2732</v>
      </c>
      <c r="I1747" s="15" t="s">
        <v>3120</v>
      </c>
      <c r="J1747" s="6" t="s">
        <v>5780</v>
      </c>
      <c r="K1747" s="6"/>
      <c r="L1747" s="6" t="s">
        <v>2770</v>
      </c>
      <c r="M1747" s="6" t="s">
        <v>8837</v>
      </c>
      <c r="N1747" s="7">
        <f ca="1">RAND()</f>
        <v>0.15333673366829714</v>
      </c>
      <c r="O1747" s="8">
        <v>45221</v>
      </c>
      <c r="P1747" s="8">
        <v>45222</v>
      </c>
      <c r="Q1747" s="8">
        <v>45224</v>
      </c>
      <c r="R1747" s="8">
        <v>45228</v>
      </c>
      <c r="S1747" s="8">
        <v>45235</v>
      </c>
      <c r="T1747" s="8">
        <v>45783</v>
      </c>
      <c r="U1747" s="8">
        <v>45829</v>
      </c>
      <c r="V1747" s="10">
        <f>COUNTA(O1747:U1747)</f>
        <v>7</v>
      </c>
      <c r="W1747" s="11">
        <f>_xlfn.IFNA(INDEX(reading[[#This Row],[Memo 01]:[Memo 07]],MATCH(0,reading[[#This Row],[Memo 01]:[Memo 07]],-1)),"")</f>
        <v>45829</v>
      </c>
      <c r="X1747" s="11">
        <f ca="1">IFERROR(reading[[#This Row],[Previous]]+OFFSET(reading[[#Headers],[Memo 01]],-1,MATCH(0,reading[[#This Row],[Memo 01]:[Memo 07]],-1)-1),"")</f>
        <v>55829</v>
      </c>
      <c r="Y1747" s="10" t="str">
        <f ca="1">IF(reading[[#This Row],[Next]]&lt;&gt;"",IF(reading[[#This Row],[Next]]&gt;TODAY(),"OK",""),"")</f>
        <v>OK</v>
      </c>
      <c r="Z1747" s="13">
        <v>3</v>
      </c>
      <c r="AA1747" s="13">
        <v>3</v>
      </c>
      <c r="AB1747" s="13">
        <v>3</v>
      </c>
      <c r="AC1747" s="13">
        <v>3</v>
      </c>
      <c r="AD1747" s="13">
        <v>3</v>
      </c>
      <c r="AE1747" s="13">
        <v>3</v>
      </c>
      <c r="AF1747" s="13">
        <v>3</v>
      </c>
      <c r="AG1747" s="16">
        <f>IFERROR(SUMIF(reading[[#This Row],[1st]:[7th]],"&gt;0")/COUNTIF(reading[[#This Row],[1st]:[7th]],"&gt;0"),"")</f>
        <v>3</v>
      </c>
    </row>
    <row r="1748" spans="1:33" hidden="1" x14ac:dyDescent="0.2">
      <c r="A1748" s="4">
        <f>IF(B1748=1,3,IF(D1748=1,2,IF(F1748=1,1,0)))</f>
        <v>0</v>
      </c>
      <c r="B1748" s="4">
        <f>IF(C1748=$L1748,1,IF(C1748="","",0))</f>
        <v>0</v>
      </c>
      <c r="C1748" s="42" t="s">
        <v>9200</v>
      </c>
      <c r="D1748" s="4">
        <f>IF(E1748=$L1748,1,IF(E1748="","",0))</f>
        <v>0</v>
      </c>
      <c r="E1748" s="43" t="s">
        <v>9268</v>
      </c>
      <c r="F1748" s="4" t="str">
        <f>IF(G1748=$L1748,1,IF(G1748="","",0))</f>
        <v/>
      </c>
      <c r="G1748" s="18"/>
      <c r="H1748" s="6">
        <v>2385</v>
      </c>
      <c r="I1748" s="15" t="s">
        <v>3120</v>
      </c>
      <c r="J1748" s="6" t="s">
        <v>5458</v>
      </c>
      <c r="K1748" s="6"/>
      <c r="L1748" s="6" t="s">
        <v>2436</v>
      </c>
      <c r="M1748" s="6" t="s">
        <v>8490</v>
      </c>
      <c r="N1748" s="7">
        <f ca="1">RAND()</f>
        <v>0.96331118981265118</v>
      </c>
      <c r="O1748" s="8">
        <v>45217</v>
      </c>
      <c r="P1748" s="8">
        <v>45218</v>
      </c>
      <c r="Q1748" s="8">
        <v>45220</v>
      </c>
      <c r="R1748" s="8">
        <v>45224</v>
      </c>
      <c r="S1748" s="8">
        <v>45232</v>
      </c>
      <c r="T1748" s="8">
        <v>45250</v>
      </c>
      <c r="U1748" s="8"/>
      <c r="V1748" s="10">
        <f>COUNTA(O1748:U1748)</f>
        <v>6</v>
      </c>
      <c r="W1748" s="11">
        <f>_xlfn.IFNA(INDEX(reading[[#This Row],[Memo 01]:[Memo 07]],MATCH(0,reading[[#This Row],[Memo 01]:[Memo 07]],-1)),"")</f>
        <v>45250</v>
      </c>
      <c r="X1748" s="11">
        <f ca="1">IFERROR(reading[[#This Row],[Previous]]+OFFSET(reading[[#Headers],[Memo 01]],-1,MATCH(0,reading[[#This Row],[Memo 01]:[Memo 07]],-1)-1),"")</f>
        <v>45270</v>
      </c>
      <c r="Y1748" s="10" t="str">
        <f ca="1">IF(reading[[#This Row],[Next]]&lt;&gt;"",IF(reading[[#This Row],[Next]]&gt;TODAY(),"OK",""),"")</f>
        <v/>
      </c>
      <c r="Z1748" s="13">
        <v>3</v>
      </c>
      <c r="AA1748" s="13">
        <v>1</v>
      </c>
      <c r="AB1748" s="13">
        <v>1</v>
      </c>
      <c r="AC1748" s="13">
        <v>3</v>
      </c>
      <c r="AD1748" s="13">
        <v>1</v>
      </c>
      <c r="AE1748" s="13">
        <v>1</v>
      </c>
      <c r="AF1748" s="13"/>
      <c r="AG1748" s="16">
        <f>IFERROR(SUMIF(reading[[#This Row],[1st]:[7th]],"&gt;0")/COUNTIF(reading[[#This Row],[1st]:[7th]],"&gt;0"),"")</f>
        <v>1.6666666666666667</v>
      </c>
    </row>
    <row r="1749" spans="1:33" x14ac:dyDescent="0.2">
      <c r="A1749" s="4">
        <f>IF(B1749=1,3,IF(D1749=1,2,IF(F1749=1,1,0)))</f>
        <v>0</v>
      </c>
      <c r="B1749" s="4">
        <f>IF(C1749=$L1749,1,IF(C1749="","",0))</f>
        <v>0</v>
      </c>
      <c r="C1749" s="42" t="s">
        <v>9200</v>
      </c>
      <c r="D1749" s="4" t="str">
        <f>IF(E1749=$L1749,1,IF(E1749="","",0))</f>
        <v/>
      </c>
      <c r="E1749" s="14"/>
      <c r="F1749" s="4" t="str">
        <f>IF(G1749=$L1749,1,IF(G1749="","",0))</f>
        <v/>
      </c>
      <c r="G1749" s="14"/>
      <c r="H1749" s="6">
        <v>2754</v>
      </c>
      <c r="I1749" s="15" t="s">
        <v>3120</v>
      </c>
      <c r="J1749" s="6" t="s">
        <v>5800</v>
      </c>
      <c r="K1749" s="6"/>
      <c r="L1749" s="6" t="s">
        <v>2792</v>
      </c>
      <c r="M1749" s="6" t="s">
        <v>8858</v>
      </c>
      <c r="N1749" s="7">
        <f ca="1">RAND()</f>
        <v>0.19559212339059295</v>
      </c>
      <c r="O1749" s="8">
        <v>45222</v>
      </c>
      <c r="P1749" s="8">
        <v>45223</v>
      </c>
      <c r="Q1749" s="8">
        <v>45225</v>
      </c>
      <c r="R1749" s="8">
        <v>45229</v>
      </c>
      <c r="S1749" s="8">
        <v>45236</v>
      </c>
      <c r="T1749" s="8"/>
      <c r="U1749" s="8"/>
      <c r="V1749" s="10">
        <f>COUNTA(O1749:U1749)</f>
        <v>5</v>
      </c>
      <c r="W1749" s="11">
        <f>_xlfn.IFNA(INDEX(reading[[#This Row],[Memo 01]:[Memo 07]],MATCH(0,reading[[#This Row],[Memo 01]:[Memo 07]],-1)),"")</f>
        <v>45236</v>
      </c>
      <c r="X1749" s="11">
        <f ca="1">IFERROR(reading[[#This Row],[Previous]]+OFFSET(reading[[#Headers],[Memo 01]],-1,MATCH(0,reading[[#This Row],[Memo 01]:[Memo 07]],-1)-1),"")</f>
        <v>45248</v>
      </c>
      <c r="Y1749" s="10" t="str">
        <f ca="1">IF(reading[[#This Row],[Next]]&lt;&gt;"",IF(reading[[#This Row],[Next]]&gt;TODAY(),"OK",""),"")</f>
        <v/>
      </c>
      <c r="Z1749" s="13">
        <v>3</v>
      </c>
      <c r="AA1749" s="13">
        <v>3</v>
      </c>
      <c r="AB1749" s="13">
        <v>3</v>
      </c>
      <c r="AC1749" s="13">
        <v>3</v>
      </c>
      <c r="AD1749" s="13">
        <v>3</v>
      </c>
      <c r="AE1749" s="13"/>
      <c r="AF1749" s="13"/>
      <c r="AG1749" s="16">
        <f>IFERROR(SUMIF(reading[[#This Row],[1st]:[7th]],"&gt;0")/COUNTIF(reading[[#This Row],[1st]:[7th]],"&gt;0"),"")</f>
        <v>3</v>
      </c>
    </row>
    <row r="1750" spans="1:33" hidden="1" x14ac:dyDescent="0.2">
      <c r="A1750" s="4">
        <f>IF(B1750=1,3,IF(D1750=1,2,IF(F1750=1,1,0)))</f>
        <v>0</v>
      </c>
      <c r="B1750" s="4" t="str">
        <f>IF(C1750=$L1750,1,IF(C1750="","",0))</f>
        <v/>
      </c>
      <c r="C1750" s="42"/>
      <c r="D1750" s="4" t="str">
        <f>IF(E1750=$L1750,1,IF(E1750="","",0))</f>
        <v/>
      </c>
      <c r="E1750" s="18"/>
      <c r="F1750" s="4" t="str">
        <f>IF(G1750=$L1750,1,IF(G1750="","",0))</f>
        <v/>
      </c>
      <c r="G1750" s="14"/>
      <c r="H1750" s="6">
        <v>1301</v>
      </c>
      <c r="I1750" s="15" t="s">
        <v>3120</v>
      </c>
      <c r="J1750" s="6" t="s">
        <v>4418</v>
      </c>
      <c r="K1750" s="6"/>
      <c r="L1750" s="6" t="s">
        <v>1398</v>
      </c>
      <c r="M1750" s="6" t="s">
        <v>7408</v>
      </c>
      <c r="N1750" s="7">
        <f ca="1">RAND()</f>
        <v>0.16981724303424117</v>
      </c>
      <c r="O1750" s="8">
        <v>45207</v>
      </c>
      <c r="P1750" s="8">
        <v>45208</v>
      </c>
      <c r="Q1750" s="8">
        <v>45210</v>
      </c>
      <c r="R1750" s="8">
        <v>45214</v>
      </c>
      <c r="S1750" s="8">
        <v>45221</v>
      </c>
      <c r="T1750" s="8">
        <v>45233</v>
      </c>
      <c r="U1750" s="8">
        <v>45829</v>
      </c>
      <c r="V1750" s="10">
        <f>COUNTA(O1750:U1750)</f>
        <v>7</v>
      </c>
      <c r="W1750" s="11">
        <f>_xlfn.IFNA(INDEX(reading[[#This Row],[Memo 01]:[Memo 07]],MATCH(0,reading[[#This Row],[Memo 01]:[Memo 07]],-1)),"")</f>
        <v>45829</v>
      </c>
      <c r="X1750" s="11">
        <f ca="1">IFERROR(reading[[#This Row],[Previous]]+OFFSET(reading[[#Headers],[Memo 01]],-1,MATCH(0,reading[[#This Row],[Memo 01]:[Memo 07]],-1)-1),"")</f>
        <v>55829</v>
      </c>
      <c r="Y1750" s="10" t="str">
        <f ca="1">IF(reading[[#This Row],[Next]]&lt;&gt;"",IF(reading[[#This Row],[Next]]&gt;TODAY(),"OK",""),"")</f>
        <v>OK</v>
      </c>
      <c r="Z1750" s="13">
        <v>3</v>
      </c>
      <c r="AA1750" s="13">
        <v>3</v>
      </c>
      <c r="AB1750" s="13">
        <v>3</v>
      </c>
      <c r="AC1750" s="13">
        <v>3</v>
      </c>
      <c r="AD1750" s="13">
        <v>2</v>
      </c>
      <c r="AE1750" s="13">
        <v>3</v>
      </c>
      <c r="AF1750" s="13">
        <v>3</v>
      </c>
      <c r="AG1750" s="16">
        <f>IFERROR(SUMIF(reading[[#This Row],[1st]:[7th]],"&gt;0")/COUNTIF(reading[[#This Row],[1st]:[7th]],"&gt;0"),"")</f>
        <v>2.8571428571428572</v>
      </c>
    </row>
    <row r="1751" spans="1:33" hidden="1" x14ac:dyDescent="0.2">
      <c r="A1751" s="4">
        <f>IF(B1751=1,3,IF(D1751=1,2,IF(F1751=1,1,0)))</f>
        <v>0</v>
      </c>
      <c r="B1751" s="4" t="str">
        <f>IF(C1751=$L1751,1,IF(C1751="","",0))</f>
        <v/>
      </c>
      <c r="C1751" s="42"/>
      <c r="D1751" s="4" t="str">
        <f>IF(E1751=$L1751,1,IF(E1751="","",0))</f>
        <v/>
      </c>
      <c r="E1751" s="23"/>
      <c r="F1751" s="4" t="str">
        <f>IF(G1751=$L1751,1,IF(G1751="","",0))</f>
        <v/>
      </c>
      <c r="G1751" s="14"/>
      <c r="H1751" s="6">
        <v>1998</v>
      </c>
      <c r="I1751" s="15" t="s">
        <v>3120</v>
      </c>
      <c r="J1751" s="6" t="s">
        <v>5096</v>
      </c>
      <c r="K1751" s="6"/>
      <c r="L1751" s="6" t="s">
        <v>2073</v>
      </c>
      <c r="M1751" s="6" t="s">
        <v>8104</v>
      </c>
      <c r="N1751" s="7">
        <f ca="1">RAND()</f>
        <v>0.97029129864480657</v>
      </c>
      <c r="O1751" s="8">
        <v>45213</v>
      </c>
      <c r="P1751" s="8">
        <v>45214</v>
      </c>
      <c r="Q1751" s="8">
        <v>45216</v>
      </c>
      <c r="R1751" s="8">
        <v>45220</v>
      </c>
      <c r="S1751" s="8">
        <v>45227</v>
      </c>
      <c r="T1751" s="8">
        <v>45816</v>
      </c>
      <c r="U1751" s="8"/>
      <c r="V1751" s="10">
        <f>COUNTA(O1751:U1751)</f>
        <v>6</v>
      </c>
      <c r="W1751" s="11">
        <f>_xlfn.IFNA(INDEX(reading[[#This Row],[Memo 01]:[Memo 07]],MATCH(0,reading[[#This Row],[Memo 01]:[Memo 07]],-1)),"")</f>
        <v>45816</v>
      </c>
      <c r="X1751" s="11">
        <f ca="1">IFERROR(reading[[#This Row],[Previous]]+OFFSET(reading[[#Headers],[Memo 01]],-1,MATCH(0,reading[[#This Row],[Memo 01]:[Memo 07]],-1)-1),"")</f>
        <v>45836</v>
      </c>
      <c r="Y1751" s="10" t="str">
        <f ca="1">IF(reading[[#This Row],[Next]]&lt;&gt;"",IF(reading[[#This Row],[Next]]&gt;TODAY(),"OK",""),"")</f>
        <v>OK</v>
      </c>
      <c r="Z1751" s="13">
        <v>3</v>
      </c>
      <c r="AA1751" s="13">
        <v>3</v>
      </c>
      <c r="AB1751" s="13">
        <v>3</v>
      </c>
      <c r="AC1751" s="13">
        <v>3</v>
      </c>
      <c r="AD1751" s="13">
        <v>3</v>
      </c>
      <c r="AE1751" s="13">
        <v>2</v>
      </c>
      <c r="AF1751" s="13"/>
      <c r="AG1751" s="16">
        <f>IFERROR(SUMIF(reading[[#This Row],[1st]:[7th]],"&gt;0")/COUNTIF(reading[[#This Row],[1st]:[7th]],"&gt;0"),"")</f>
        <v>2.8333333333333335</v>
      </c>
    </row>
    <row r="1752" spans="1:33" hidden="1" x14ac:dyDescent="0.2">
      <c r="A1752" s="4">
        <f>IF(B1752=1,3,IF(D1752=1,2,IF(F1752=1,1,0)))</f>
        <v>0</v>
      </c>
      <c r="B1752" s="4" t="str">
        <f>IF(C1752=$L1752,1,IF(C1752="","",0))</f>
        <v/>
      </c>
      <c r="C1752" s="42"/>
      <c r="D1752" s="4" t="str">
        <f>IF(E1752=$L1752,1,IF(E1752="","",0))</f>
        <v/>
      </c>
      <c r="E1752" s="23"/>
      <c r="F1752" s="4" t="str">
        <f>IF(G1752=$L1752,1,IF(G1752="","",0))</f>
        <v/>
      </c>
      <c r="G1752" s="23"/>
      <c r="H1752" s="6">
        <v>2539</v>
      </c>
      <c r="I1752" s="15" t="s">
        <v>3120</v>
      </c>
      <c r="J1752" s="6" t="s">
        <v>5601</v>
      </c>
      <c r="K1752" s="15" t="s">
        <v>3139</v>
      </c>
      <c r="L1752" s="6" t="s">
        <v>2584</v>
      </c>
      <c r="M1752" s="6" t="s">
        <v>8644</v>
      </c>
      <c r="N1752" s="7">
        <f ca="1">RAND()</f>
        <v>0.74762120622487727</v>
      </c>
      <c r="O1752" s="8">
        <v>45219</v>
      </c>
      <c r="P1752" s="8">
        <v>45220</v>
      </c>
      <c r="Q1752" s="8">
        <v>45222</v>
      </c>
      <c r="R1752" s="8">
        <v>45226</v>
      </c>
      <c r="S1752" s="8">
        <v>45233</v>
      </c>
      <c r="T1752" s="8">
        <v>45816</v>
      </c>
      <c r="U1752" s="8"/>
      <c r="V1752" s="10">
        <f>COUNTA(O1752:U1752)</f>
        <v>6</v>
      </c>
      <c r="W1752" s="11">
        <f>_xlfn.IFNA(INDEX(reading[[#This Row],[Memo 01]:[Memo 07]],MATCH(0,reading[[#This Row],[Memo 01]:[Memo 07]],-1)),"")</f>
        <v>45816</v>
      </c>
      <c r="X1752" s="11">
        <f ca="1">IFERROR(reading[[#This Row],[Previous]]+OFFSET(reading[[#Headers],[Memo 01]],-1,MATCH(0,reading[[#This Row],[Memo 01]:[Memo 07]],-1)-1),"")</f>
        <v>45836</v>
      </c>
      <c r="Y1752" s="10" t="str">
        <f ca="1">IF(reading[[#This Row],[Next]]&lt;&gt;"",IF(reading[[#This Row],[Next]]&gt;TODAY(),"OK",""),"")</f>
        <v>OK</v>
      </c>
      <c r="Z1752" s="13">
        <v>3</v>
      </c>
      <c r="AA1752" s="13">
        <v>3</v>
      </c>
      <c r="AB1752" s="13">
        <v>3</v>
      </c>
      <c r="AC1752" s="13">
        <v>3</v>
      </c>
      <c r="AD1752" s="13">
        <v>2</v>
      </c>
      <c r="AE1752" s="13">
        <v>1</v>
      </c>
      <c r="AF1752" s="13"/>
      <c r="AG1752" s="16">
        <f>IFERROR(SUMIF(reading[[#This Row],[1st]:[7th]],"&gt;0")/COUNTIF(reading[[#This Row],[1st]:[7th]],"&gt;0"),"")</f>
        <v>2.5</v>
      </c>
    </row>
    <row r="1753" spans="1:33" hidden="1" x14ac:dyDescent="0.2">
      <c r="A1753" s="4">
        <f>IF(B1753=1,3,IF(D1753=1,2,IF(F1753=1,1,0)))</f>
        <v>0</v>
      </c>
      <c r="B1753" s="4" t="str">
        <f>IF(C1753=$L1753,1,IF(C1753="","",0))</f>
        <v/>
      </c>
      <c r="C1753" s="42"/>
      <c r="D1753" s="4" t="str">
        <f>IF(E1753=$L1753,1,IF(E1753="","",0))</f>
        <v/>
      </c>
      <c r="E1753" s="14"/>
      <c r="F1753" s="4" t="str">
        <f>IF(G1753=$L1753,1,IF(G1753="","",0))</f>
        <v/>
      </c>
      <c r="G1753" s="14"/>
      <c r="H1753" s="6">
        <v>2524</v>
      </c>
      <c r="I1753" s="15" t="s">
        <v>3120</v>
      </c>
      <c r="J1753" s="6" t="s">
        <v>5586</v>
      </c>
      <c r="K1753" s="6"/>
      <c r="L1753" s="6" t="s">
        <v>2570</v>
      </c>
      <c r="M1753" s="6" t="s">
        <v>8629</v>
      </c>
      <c r="N1753" s="7">
        <f ca="1">RAND()</f>
        <v>0.76523104750465532</v>
      </c>
      <c r="O1753" s="8">
        <v>45219</v>
      </c>
      <c r="P1753" s="8">
        <v>45220</v>
      </c>
      <c r="Q1753" s="8">
        <v>45222</v>
      </c>
      <c r="R1753" s="8">
        <v>45226</v>
      </c>
      <c r="S1753" s="8">
        <v>45233</v>
      </c>
      <c r="T1753" s="8">
        <v>45801</v>
      </c>
      <c r="U1753" s="8">
        <v>45829</v>
      </c>
      <c r="V1753" s="10">
        <f>COUNTA(O1753:U1753)</f>
        <v>7</v>
      </c>
      <c r="W1753" s="11">
        <f>_xlfn.IFNA(INDEX(reading[[#This Row],[Memo 01]:[Memo 07]],MATCH(0,reading[[#This Row],[Memo 01]:[Memo 07]],-1)),"")</f>
        <v>45829</v>
      </c>
      <c r="X1753" s="11">
        <f ca="1">IFERROR(reading[[#This Row],[Previous]]+OFFSET(reading[[#Headers],[Memo 01]],-1,MATCH(0,reading[[#This Row],[Memo 01]:[Memo 07]],-1)-1),"")</f>
        <v>55829</v>
      </c>
      <c r="Y1753" s="10" t="str">
        <f ca="1">IF(reading[[#This Row],[Next]]&lt;&gt;"",IF(reading[[#This Row],[Next]]&gt;TODAY(),"OK",""),"")</f>
        <v>OK</v>
      </c>
      <c r="Z1753" s="13">
        <v>3</v>
      </c>
      <c r="AA1753" s="13">
        <v>3</v>
      </c>
      <c r="AB1753" s="13">
        <v>3</v>
      </c>
      <c r="AC1753" s="13">
        <v>3</v>
      </c>
      <c r="AD1753" s="13">
        <v>3</v>
      </c>
      <c r="AE1753" s="13">
        <v>3</v>
      </c>
      <c r="AF1753" s="13">
        <v>3</v>
      </c>
      <c r="AG1753" s="16">
        <f>IFERROR(SUMIF(reading[[#This Row],[1st]:[7th]],"&gt;0")/COUNTIF(reading[[#This Row],[1st]:[7th]],"&gt;0"),"")</f>
        <v>3</v>
      </c>
    </row>
    <row r="1754" spans="1:33" x14ac:dyDescent="0.2">
      <c r="A1754" s="4">
        <f>IF(B1754=1,3,IF(D1754=1,2,IF(F1754=1,1,0)))</f>
        <v>3</v>
      </c>
      <c r="B1754" s="4">
        <f>IF(C1754=$L1754,1,IF(C1754="","",0))</f>
        <v>1</v>
      </c>
      <c r="C1754" s="42" t="s">
        <v>9310</v>
      </c>
      <c r="D1754" s="4" t="str">
        <f>IF(E1754=$L1754,1,IF(E1754="","",0))</f>
        <v/>
      </c>
      <c r="E1754" s="14"/>
      <c r="F1754" s="4" t="str">
        <f>IF(G1754=$L1754,1,IF(G1754="","",0))</f>
        <v/>
      </c>
      <c r="G1754" s="14"/>
      <c r="H1754" s="6">
        <v>3093</v>
      </c>
      <c r="I1754" s="15" t="s">
        <v>3120</v>
      </c>
      <c r="J1754" s="6" t="s">
        <v>6112</v>
      </c>
      <c r="K1754" s="6"/>
      <c r="L1754" s="6" t="s">
        <v>3117</v>
      </c>
      <c r="M1754" s="6" t="s">
        <v>9196</v>
      </c>
      <c r="N1754" s="7">
        <f ca="1">RAND()</f>
        <v>0.34961007969563151</v>
      </c>
      <c r="O1754" s="8">
        <v>45224</v>
      </c>
      <c r="P1754" s="8">
        <v>45225</v>
      </c>
      <c r="Q1754" s="8">
        <v>45227</v>
      </c>
      <c r="R1754" s="8">
        <v>45231</v>
      </c>
      <c r="S1754" s="8">
        <v>45251</v>
      </c>
      <c r="T1754" s="8"/>
      <c r="U1754" s="8"/>
      <c r="V1754" s="10">
        <f>COUNTA(O1754:U1754)</f>
        <v>5</v>
      </c>
      <c r="W1754" s="11">
        <f>_xlfn.IFNA(INDEX(reading[[#This Row],[Memo 01]:[Memo 07]],MATCH(0,reading[[#This Row],[Memo 01]:[Memo 07]],-1)),"")</f>
        <v>45251</v>
      </c>
      <c r="X1754" s="11">
        <f ca="1">IFERROR(reading[[#This Row],[Previous]]+OFFSET(reading[[#Headers],[Memo 01]],-1,MATCH(0,reading[[#This Row],[Memo 01]:[Memo 07]],-1)-1),"")</f>
        <v>45263</v>
      </c>
      <c r="Y1754" s="10" t="str">
        <f ca="1">IF(reading[[#This Row],[Next]]&lt;&gt;"",IF(reading[[#This Row],[Next]]&gt;TODAY(),"OK",""),"")</f>
        <v/>
      </c>
      <c r="Z1754" s="13">
        <v>3</v>
      </c>
      <c r="AA1754" s="13">
        <v>3</v>
      </c>
      <c r="AB1754" s="13">
        <v>3</v>
      </c>
      <c r="AC1754" s="13">
        <v>3</v>
      </c>
      <c r="AD1754" s="13">
        <v>3</v>
      </c>
      <c r="AE1754" s="13"/>
      <c r="AF1754" s="13"/>
      <c r="AG1754" s="16">
        <f>IFERROR(SUMIF(reading[[#This Row],[1st]:[7th]],"&gt;0")/COUNTIF(reading[[#This Row],[1st]:[7th]],"&gt;0"),"")</f>
        <v>3</v>
      </c>
    </row>
    <row r="1755" spans="1:33" hidden="1" x14ac:dyDescent="0.2">
      <c r="A1755" s="4">
        <f>IF(B1755=1,3,IF(D1755=1,2,IF(F1755=1,1,0)))</f>
        <v>0</v>
      </c>
      <c r="B1755" s="4" t="str">
        <f>IF(C1755=$L1755,1,IF(C1755="","",0))</f>
        <v/>
      </c>
      <c r="C1755" s="42"/>
      <c r="D1755" s="4" t="str">
        <f>IF(E1755=$L1755,1,IF(E1755="","",0))</f>
        <v/>
      </c>
      <c r="E1755" s="14"/>
      <c r="F1755" s="4" t="str">
        <f>IF(G1755=$L1755,1,IF(G1755="","",0))</f>
        <v/>
      </c>
      <c r="G1755" s="14"/>
      <c r="H1755" s="6">
        <v>428</v>
      </c>
      <c r="I1755" s="15" t="s">
        <v>3120</v>
      </c>
      <c r="J1755" s="6" t="s">
        <v>3574</v>
      </c>
      <c r="K1755" s="15" t="s">
        <v>3138</v>
      </c>
      <c r="L1755" s="6" t="s">
        <v>558</v>
      </c>
      <c r="M1755" s="6" t="s">
        <v>6537</v>
      </c>
      <c r="N1755" s="7">
        <f ca="1">RAND()</f>
        <v>0.51646285074565934</v>
      </c>
      <c r="O1755" s="8">
        <v>45201</v>
      </c>
      <c r="P1755" s="8">
        <v>45202</v>
      </c>
      <c r="Q1755" s="8">
        <v>45204</v>
      </c>
      <c r="R1755" s="8">
        <v>45208</v>
      </c>
      <c r="S1755" s="8">
        <v>45215</v>
      </c>
      <c r="T1755" s="8">
        <v>45227</v>
      </c>
      <c r="U1755" s="8">
        <v>45829</v>
      </c>
      <c r="V1755" s="10">
        <f>COUNTA(O1755:U1755)</f>
        <v>7</v>
      </c>
      <c r="W1755" s="11">
        <f>_xlfn.IFNA(INDEX(reading[[#This Row],[Memo 01]:[Memo 07]],MATCH(0,reading[[#This Row],[Memo 01]:[Memo 07]],-1)),"")</f>
        <v>45829</v>
      </c>
      <c r="X1755" s="11">
        <f ca="1">IFERROR(reading[[#This Row],[Previous]]+OFFSET(reading[[#Headers],[Memo 01]],-1,MATCH(0,reading[[#This Row],[Memo 01]:[Memo 07]],-1)-1),"")</f>
        <v>55829</v>
      </c>
      <c r="Y1755" s="10" t="str">
        <f ca="1">IF(reading[[#This Row],[Next]]&lt;&gt;"",IF(reading[[#This Row],[Next]]&gt;TODAY(),"OK",""),"")</f>
        <v>OK</v>
      </c>
      <c r="Z1755" s="13">
        <v>3</v>
      </c>
      <c r="AA1755" s="13">
        <v>3</v>
      </c>
      <c r="AB1755" s="13">
        <v>3</v>
      </c>
      <c r="AC1755" s="13">
        <v>3</v>
      </c>
      <c r="AD1755" s="13">
        <v>3</v>
      </c>
      <c r="AE1755" s="13">
        <v>3</v>
      </c>
      <c r="AF1755" s="13">
        <v>3</v>
      </c>
      <c r="AG1755" s="16">
        <f>IFERROR(SUMIF(reading[[#This Row],[1st]:[7th]],"&gt;0")/COUNTIF(reading[[#This Row],[1st]:[7th]],"&gt;0"),"")</f>
        <v>3</v>
      </c>
    </row>
    <row r="1756" spans="1:33" hidden="1" x14ac:dyDescent="0.2">
      <c r="A1756" s="4">
        <f>IF(B1756=1,3,IF(D1756=1,2,IF(F1756=1,1,0)))</f>
        <v>0</v>
      </c>
      <c r="B1756" s="4" t="str">
        <f>IF(C1756=$L1756,1,IF(C1756="","",0))</f>
        <v/>
      </c>
      <c r="C1756" s="42"/>
      <c r="D1756" s="4" t="str">
        <f>IF(E1756=$L1756,1,IF(E1756="","",0))</f>
        <v/>
      </c>
      <c r="E1756" s="23"/>
      <c r="F1756" s="4" t="str">
        <f>IF(G1756=$L1756,1,IF(G1756="","",0))</f>
        <v/>
      </c>
      <c r="G1756" s="14"/>
      <c r="H1756" s="6">
        <v>1406</v>
      </c>
      <c r="I1756" s="15" t="s">
        <v>3120</v>
      </c>
      <c r="J1756" s="6" t="s">
        <v>4520</v>
      </c>
      <c r="K1756" s="6"/>
      <c r="L1756" s="6" t="s">
        <v>1497</v>
      </c>
      <c r="M1756" s="6" t="s">
        <v>7513</v>
      </c>
      <c r="N1756" s="7">
        <f ca="1">RAND()</f>
        <v>0.37782731855355212</v>
      </c>
      <c r="O1756" s="8">
        <v>45208</v>
      </c>
      <c r="P1756" s="8">
        <v>45209</v>
      </c>
      <c r="Q1756" s="8">
        <v>45211</v>
      </c>
      <c r="R1756" s="8">
        <v>45215</v>
      </c>
      <c r="S1756" s="8">
        <v>45222</v>
      </c>
      <c r="T1756" s="8">
        <v>45234</v>
      </c>
      <c r="U1756" s="8">
        <v>45816</v>
      </c>
      <c r="V1756" s="10">
        <f>COUNTA(O1756:U1756)</f>
        <v>7</v>
      </c>
      <c r="W1756" s="11">
        <f>_xlfn.IFNA(INDEX(reading[[#This Row],[Memo 01]:[Memo 07]],MATCH(0,reading[[#This Row],[Memo 01]:[Memo 07]],-1)),"")</f>
        <v>45816</v>
      </c>
      <c r="X1756" s="11">
        <f ca="1">IFERROR(reading[[#This Row],[Previous]]+OFFSET(reading[[#Headers],[Memo 01]],-1,MATCH(0,reading[[#This Row],[Memo 01]:[Memo 07]],-1)-1),"")</f>
        <v>55816</v>
      </c>
      <c r="Y1756" s="10" t="str">
        <f ca="1">IF(reading[[#This Row],[Next]]&lt;&gt;"",IF(reading[[#This Row],[Next]]&gt;TODAY(),"OK",""),"")</f>
        <v>OK</v>
      </c>
      <c r="Z1756" s="13">
        <v>3</v>
      </c>
      <c r="AA1756" s="13">
        <v>3</v>
      </c>
      <c r="AB1756" s="13">
        <v>3</v>
      </c>
      <c r="AC1756" s="13">
        <v>3</v>
      </c>
      <c r="AD1756" s="13">
        <v>3</v>
      </c>
      <c r="AE1756" s="13">
        <v>3</v>
      </c>
      <c r="AF1756" s="13">
        <v>2</v>
      </c>
      <c r="AG1756" s="16">
        <f>IFERROR(SUMIF(reading[[#This Row],[1st]:[7th]],"&gt;0")/COUNTIF(reading[[#This Row],[1st]:[7th]],"&gt;0"),"")</f>
        <v>2.8571428571428572</v>
      </c>
    </row>
    <row r="1757" spans="1:33" hidden="1" x14ac:dyDescent="0.2">
      <c r="A1757" s="4">
        <f>IF(B1757=1,3,IF(D1757=1,2,IF(F1757=1,1,0)))</f>
        <v>3</v>
      </c>
      <c r="B1757" s="4">
        <f>IF(C1757=$L1757,1,IF(C1757="","",0))</f>
        <v>1</v>
      </c>
      <c r="C1757" s="32" t="s">
        <v>1841</v>
      </c>
      <c r="D1757" s="4" t="str">
        <f>IF(E1757=$L1757,1,IF(E1757="","",0))</f>
        <v/>
      </c>
      <c r="E1757" s="14"/>
      <c r="F1757" s="4" t="str">
        <f>IF(G1757=$L1757,1,IF(G1757="","",0))</f>
        <v/>
      </c>
      <c r="G1757" s="14"/>
      <c r="H1757" s="6">
        <v>1761</v>
      </c>
      <c r="I1757" s="15" t="s">
        <v>3120</v>
      </c>
      <c r="J1757" s="6" t="s">
        <v>4869</v>
      </c>
      <c r="K1757" s="6"/>
      <c r="L1757" s="6" t="s">
        <v>1841</v>
      </c>
      <c r="M1757" s="6" t="s">
        <v>7867</v>
      </c>
      <c r="N1757" s="7">
        <f ca="1">RAND()</f>
        <v>0.44023355974189216</v>
      </c>
      <c r="O1757" s="8">
        <v>45211</v>
      </c>
      <c r="P1757" s="8">
        <v>45211</v>
      </c>
      <c r="Q1757" s="8">
        <v>45211</v>
      </c>
      <c r="R1757" s="8">
        <v>45211</v>
      </c>
      <c r="S1757" s="8">
        <v>45211</v>
      </c>
      <c r="T1757" s="8">
        <v>45211</v>
      </c>
      <c r="U1757" s="8">
        <v>45211</v>
      </c>
      <c r="V1757" s="10">
        <f>COUNTA(O1757:U1757)</f>
        <v>7</v>
      </c>
      <c r="W1757" s="11">
        <f>_xlfn.IFNA(INDEX(reading[[#This Row],[Memo 01]:[Memo 07]],MATCH(0,reading[[#This Row],[Memo 01]:[Memo 07]],-1)),"")</f>
        <v>45211</v>
      </c>
      <c r="X1757" s="11">
        <f ca="1">IFERROR(reading[[#This Row],[Previous]]+OFFSET(reading[[#Headers],[Memo 01]],-1,MATCH(0,reading[[#This Row],[Memo 01]:[Memo 07]],-1)-1),"")</f>
        <v>55211</v>
      </c>
      <c r="Y1757" s="10" t="str">
        <f ca="1">IF(reading[[#This Row],[Next]]&lt;&gt;"",IF(reading[[#This Row],[Next]]&gt;TODAY(),"OK",""),"")</f>
        <v>OK</v>
      </c>
      <c r="Z1757" s="13">
        <v>3</v>
      </c>
      <c r="AA1757" s="13"/>
      <c r="AB1757" s="13"/>
      <c r="AC1757" s="13"/>
      <c r="AD1757" s="13"/>
      <c r="AE1757" s="13"/>
      <c r="AF1757" s="13"/>
      <c r="AG1757" s="16">
        <f>IFERROR(SUMIF(reading[[#This Row],[1st]:[7th]],"&gt;0")/COUNTIF(reading[[#This Row],[1st]:[7th]],"&gt;0"),"")</f>
        <v>3</v>
      </c>
    </row>
    <row r="1758" spans="1:33" hidden="1" x14ac:dyDescent="0.2">
      <c r="A1758" s="4">
        <f>IF(B1758=1,3,IF(D1758=1,2,IF(F1758=1,1,0)))</f>
        <v>0</v>
      </c>
      <c r="B1758" s="4" t="str">
        <f>IF(C1758=$L1758,1,IF(C1758="","",0))</f>
        <v/>
      </c>
      <c r="C1758" s="42"/>
      <c r="D1758" s="4" t="str">
        <f>IF(E1758=$L1758,1,IF(E1758="","",0))</f>
        <v/>
      </c>
      <c r="E1758" s="18"/>
      <c r="F1758" s="4" t="str">
        <f>IF(G1758=$L1758,1,IF(G1758="","",0))</f>
        <v/>
      </c>
      <c r="G1758" s="14"/>
      <c r="H1758" s="6">
        <v>1557</v>
      </c>
      <c r="I1758" s="15" t="s">
        <v>3120</v>
      </c>
      <c r="J1758" s="6" t="s">
        <v>4670</v>
      </c>
      <c r="K1758" s="6"/>
      <c r="L1758" s="6" t="s">
        <v>1642</v>
      </c>
      <c r="M1758" s="6" t="s">
        <v>7663</v>
      </c>
      <c r="N1758" s="7">
        <f ca="1">RAND()</f>
        <v>0.69114614014673714</v>
      </c>
      <c r="O1758" s="8">
        <v>45209</v>
      </c>
      <c r="P1758" s="8">
        <v>45210</v>
      </c>
      <c r="Q1758" s="8">
        <v>45212</v>
      </c>
      <c r="R1758" s="8">
        <v>45216</v>
      </c>
      <c r="S1758" s="8">
        <v>45223</v>
      </c>
      <c r="T1758" s="8">
        <v>45235</v>
      </c>
      <c r="U1758" s="8">
        <v>45830</v>
      </c>
      <c r="V1758" s="10">
        <f>COUNTA(O1758:U1758)</f>
        <v>7</v>
      </c>
      <c r="W1758" s="11">
        <f>_xlfn.IFNA(INDEX(reading[[#This Row],[Memo 01]:[Memo 07]],MATCH(0,reading[[#This Row],[Memo 01]:[Memo 07]],-1)),"")</f>
        <v>45830</v>
      </c>
      <c r="X1758" s="11">
        <f ca="1">IFERROR(reading[[#This Row],[Previous]]+OFFSET(reading[[#Headers],[Memo 01]],-1,MATCH(0,reading[[#This Row],[Memo 01]:[Memo 07]],-1)-1),"")</f>
        <v>55830</v>
      </c>
      <c r="Y1758" s="10" t="str">
        <f ca="1">IF(reading[[#This Row],[Next]]&lt;&gt;"",IF(reading[[#This Row],[Next]]&gt;TODAY(),"OK",""),"")</f>
        <v>OK</v>
      </c>
      <c r="Z1758" s="13">
        <v>3</v>
      </c>
      <c r="AA1758" s="13">
        <v>3</v>
      </c>
      <c r="AB1758" s="13">
        <v>3</v>
      </c>
      <c r="AC1758" s="13">
        <v>3</v>
      </c>
      <c r="AD1758" s="13">
        <v>2</v>
      </c>
      <c r="AE1758" s="13">
        <v>3</v>
      </c>
      <c r="AF1758" s="13">
        <v>3</v>
      </c>
      <c r="AG1758" s="16">
        <f>IFERROR(SUMIF(reading[[#This Row],[1st]:[7th]],"&gt;0")/COUNTIF(reading[[#This Row],[1st]:[7th]],"&gt;0"),"")</f>
        <v>2.8571428571428572</v>
      </c>
    </row>
    <row r="1759" spans="1:33" hidden="1" x14ac:dyDescent="0.2">
      <c r="A1759" s="4">
        <f>IF(B1759=1,3,IF(D1759=1,2,IF(F1759=1,1,0)))</f>
        <v>0</v>
      </c>
      <c r="B1759" s="4" t="str">
        <f>IF(C1759=$L1759,1,IF(C1759="","",0))</f>
        <v/>
      </c>
      <c r="C1759" s="42"/>
      <c r="D1759" s="4" t="str">
        <f>IF(E1759=$L1759,1,IF(E1759="","",0))</f>
        <v/>
      </c>
      <c r="E1759" s="14"/>
      <c r="F1759" s="4" t="str">
        <f>IF(G1759=$L1759,1,IF(G1759="","",0))</f>
        <v/>
      </c>
      <c r="G1759" s="14"/>
      <c r="H1759" s="6">
        <v>2876</v>
      </c>
      <c r="I1759" s="15" t="s">
        <v>3120</v>
      </c>
      <c r="J1759" s="6" t="s">
        <v>5913</v>
      </c>
      <c r="K1759" s="15" t="s">
        <v>3140</v>
      </c>
      <c r="L1759" s="6" t="s">
        <v>2907</v>
      </c>
      <c r="M1759" s="6" t="s">
        <v>8980</v>
      </c>
      <c r="N1759" s="7">
        <f ca="1">RAND()</f>
        <v>0.56327613100632279</v>
      </c>
      <c r="O1759" s="8">
        <v>45222</v>
      </c>
      <c r="P1759" s="8">
        <v>45223</v>
      </c>
      <c r="Q1759" s="8">
        <v>45225</v>
      </c>
      <c r="R1759" s="8">
        <v>45229</v>
      </c>
      <c r="S1759" s="8">
        <v>45236</v>
      </c>
      <c r="T1759" s="8">
        <v>45830</v>
      </c>
      <c r="U1759" s="8"/>
      <c r="V1759" s="10">
        <f>COUNTA(O1759:U1759)</f>
        <v>6</v>
      </c>
      <c r="W1759" s="11">
        <f>_xlfn.IFNA(INDEX(reading[[#This Row],[Memo 01]:[Memo 07]],MATCH(0,reading[[#This Row],[Memo 01]:[Memo 07]],-1)),"")</f>
        <v>45830</v>
      </c>
      <c r="X1759" s="11">
        <f ca="1">IFERROR(reading[[#This Row],[Previous]]+OFFSET(reading[[#Headers],[Memo 01]],-1,MATCH(0,reading[[#This Row],[Memo 01]:[Memo 07]],-1)-1),"")</f>
        <v>45850</v>
      </c>
      <c r="Y1759" s="10" t="str">
        <f ca="1">IF(reading[[#This Row],[Next]]&lt;&gt;"",IF(reading[[#This Row],[Next]]&gt;TODAY(),"OK",""),"")</f>
        <v>OK</v>
      </c>
      <c r="Z1759" s="13">
        <v>3</v>
      </c>
      <c r="AA1759" s="13">
        <v>3</v>
      </c>
      <c r="AB1759" s="13">
        <v>3</v>
      </c>
      <c r="AC1759" s="13">
        <v>3</v>
      </c>
      <c r="AD1759" s="13">
        <v>3</v>
      </c>
      <c r="AE1759" s="13">
        <v>3</v>
      </c>
      <c r="AF1759" s="13"/>
      <c r="AG1759" s="16">
        <f>IFERROR(SUMIF(reading[[#This Row],[1st]:[7th]],"&gt;0")/COUNTIF(reading[[#This Row],[1st]:[7th]],"&gt;0"),"")</f>
        <v>3</v>
      </c>
    </row>
    <row r="1760" spans="1:33" hidden="1" x14ac:dyDescent="0.2">
      <c r="A1760" s="4">
        <f>IF(B1760=1,3,IF(D1760=1,2,IF(F1760=1,1,0)))</f>
        <v>0</v>
      </c>
      <c r="B1760" s="4" t="str">
        <f>IF(C1760=$L1760,1,IF(C1760="","",0))</f>
        <v/>
      </c>
      <c r="C1760" s="42"/>
      <c r="D1760" s="4" t="str">
        <f>IF(E1760=$L1760,1,IF(E1760="","",0))</f>
        <v/>
      </c>
      <c r="E1760" s="14"/>
      <c r="F1760" s="4" t="str">
        <f>IF(G1760=$L1760,1,IF(G1760="","",0))</f>
        <v/>
      </c>
      <c r="G1760" s="14"/>
      <c r="H1760" s="6">
        <v>897</v>
      </c>
      <c r="I1760" s="15" t="s">
        <v>3120</v>
      </c>
      <c r="J1760" s="6" t="s">
        <v>4029</v>
      </c>
      <c r="K1760" s="6"/>
      <c r="L1760" s="6" t="s">
        <v>1010</v>
      </c>
      <c r="M1760" s="6" t="s">
        <v>7006</v>
      </c>
      <c r="N1760" s="7">
        <f ca="1">RAND()</f>
        <v>0.51378977274250348</v>
      </c>
      <c r="O1760" s="8">
        <v>45204</v>
      </c>
      <c r="P1760" s="8">
        <v>45205</v>
      </c>
      <c r="Q1760" s="8">
        <v>45207</v>
      </c>
      <c r="R1760" s="8">
        <v>45211</v>
      </c>
      <c r="S1760" s="8">
        <v>45218</v>
      </c>
      <c r="T1760" s="8">
        <v>45230</v>
      </c>
      <c r="U1760" s="8">
        <v>45830</v>
      </c>
      <c r="V1760" s="10">
        <f>COUNTA(O1760:U1760)</f>
        <v>7</v>
      </c>
      <c r="W1760" s="11">
        <f>_xlfn.IFNA(INDEX(reading[[#This Row],[Memo 01]:[Memo 07]],MATCH(0,reading[[#This Row],[Memo 01]:[Memo 07]],-1)),"")</f>
        <v>45830</v>
      </c>
      <c r="X1760" s="11">
        <f ca="1">IFERROR(reading[[#This Row],[Previous]]+OFFSET(reading[[#Headers],[Memo 01]],-1,MATCH(0,reading[[#This Row],[Memo 01]:[Memo 07]],-1)-1),"")</f>
        <v>55830</v>
      </c>
      <c r="Y1760" s="10" t="str">
        <f ca="1">IF(reading[[#This Row],[Next]]&lt;&gt;"",IF(reading[[#This Row],[Next]]&gt;TODAY(),"OK",""),"")</f>
        <v>OK</v>
      </c>
      <c r="Z1760" s="13">
        <v>3</v>
      </c>
      <c r="AA1760" s="13">
        <v>3</v>
      </c>
      <c r="AB1760" s="13">
        <v>3</v>
      </c>
      <c r="AC1760" s="13">
        <v>3</v>
      </c>
      <c r="AD1760" s="13">
        <v>3</v>
      </c>
      <c r="AE1760" s="13">
        <v>3</v>
      </c>
      <c r="AF1760" s="13">
        <v>3</v>
      </c>
      <c r="AG1760" s="16">
        <f>IFERROR(SUMIF(reading[[#This Row],[1st]:[7th]],"&gt;0")/COUNTIF(reading[[#This Row],[1st]:[7th]],"&gt;0"),"")</f>
        <v>3</v>
      </c>
    </row>
    <row r="1761" spans="1:33" hidden="1" x14ac:dyDescent="0.2">
      <c r="A1761" s="4">
        <f>IF(B1761=1,3,IF(D1761=1,2,IF(F1761=1,1,0)))</f>
        <v>0</v>
      </c>
      <c r="B1761" s="4" t="str">
        <f>IF(C1761=$L1761,1,IF(C1761="","",0))</f>
        <v/>
      </c>
      <c r="C1761" s="42"/>
      <c r="D1761" s="4" t="str">
        <f>IF(E1761=$L1761,1,IF(E1761="","",0))</f>
        <v/>
      </c>
      <c r="E1761" s="23"/>
      <c r="F1761" s="4" t="str">
        <f>IF(G1761=$L1761,1,IF(G1761="","",0))</f>
        <v/>
      </c>
      <c r="G1761" s="23"/>
      <c r="H1761" s="6">
        <v>2904</v>
      </c>
      <c r="I1761" s="15" t="s">
        <v>3120</v>
      </c>
      <c r="J1761" s="6" t="s">
        <v>5940</v>
      </c>
      <c r="K1761" s="6"/>
      <c r="L1761" s="6" t="s">
        <v>2934</v>
      </c>
      <c r="M1761" s="6" t="s">
        <v>9008</v>
      </c>
      <c r="N1761" s="7">
        <f ca="1">RAND()</f>
        <v>6.8935756586389618E-2</v>
      </c>
      <c r="O1761" s="8">
        <v>45223</v>
      </c>
      <c r="P1761" s="8">
        <v>45224</v>
      </c>
      <c r="Q1761" s="8">
        <v>45226</v>
      </c>
      <c r="R1761" s="8">
        <v>45230</v>
      </c>
      <c r="S1761" s="8">
        <v>45237</v>
      </c>
      <c r="T1761" s="8">
        <v>45817</v>
      </c>
      <c r="U1761" s="8"/>
      <c r="V1761" s="10">
        <f>COUNTA(O1761:U1761)</f>
        <v>6</v>
      </c>
      <c r="W1761" s="11">
        <f>_xlfn.IFNA(INDEX(reading[[#This Row],[Memo 01]:[Memo 07]],MATCH(0,reading[[#This Row],[Memo 01]:[Memo 07]],-1)),"")</f>
        <v>45817</v>
      </c>
      <c r="X1761" s="11">
        <f ca="1">IFERROR(reading[[#This Row],[Previous]]+OFFSET(reading[[#Headers],[Memo 01]],-1,MATCH(0,reading[[#This Row],[Memo 01]:[Memo 07]],-1)-1),"")</f>
        <v>45837</v>
      </c>
      <c r="Y1761" s="10" t="str">
        <f ca="1">IF(reading[[#This Row],[Next]]&lt;&gt;"",IF(reading[[#This Row],[Next]]&gt;TODAY(),"OK",""),"")</f>
        <v>OK</v>
      </c>
      <c r="Z1761" s="13">
        <v>3</v>
      </c>
      <c r="AA1761" s="13">
        <v>3</v>
      </c>
      <c r="AB1761" s="13">
        <v>3</v>
      </c>
      <c r="AC1761" s="13">
        <v>3</v>
      </c>
      <c r="AD1761" s="13">
        <v>3</v>
      </c>
      <c r="AE1761" s="13">
        <v>1</v>
      </c>
      <c r="AF1761" s="13"/>
      <c r="AG1761" s="16">
        <f>IFERROR(SUMIF(reading[[#This Row],[1st]:[7th]],"&gt;0")/COUNTIF(reading[[#This Row],[1st]:[7th]],"&gt;0"),"")</f>
        <v>2.6666666666666665</v>
      </c>
    </row>
    <row r="1762" spans="1:33" hidden="1" x14ac:dyDescent="0.2">
      <c r="A1762" s="4">
        <f>IF(B1762=1,3,IF(D1762=1,2,IF(F1762=1,1,0)))</f>
        <v>0</v>
      </c>
      <c r="B1762" s="4" t="str">
        <f>IF(C1762=$L1762,1,IF(C1762="","",0))</f>
        <v/>
      </c>
      <c r="C1762" s="42"/>
      <c r="D1762" s="4" t="str">
        <f>IF(E1762=$L1762,1,IF(E1762="","",0))</f>
        <v/>
      </c>
      <c r="E1762" s="18"/>
      <c r="F1762" s="4" t="str">
        <f>IF(G1762=$L1762,1,IF(G1762="","",0))</f>
        <v/>
      </c>
      <c r="G1762" s="14"/>
      <c r="H1762" s="6">
        <v>740</v>
      </c>
      <c r="I1762" s="15" t="s">
        <v>3120</v>
      </c>
      <c r="J1762" s="6" t="s">
        <v>3877</v>
      </c>
      <c r="K1762" s="6"/>
      <c r="L1762" s="6" t="s">
        <v>860</v>
      </c>
      <c r="M1762" s="6" t="s">
        <v>6849</v>
      </c>
      <c r="N1762" s="7">
        <f ca="1">RAND()</f>
        <v>0.5205938283670184</v>
      </c>
      <c r="O1762" s="8">
        <v>45203</v>
      </c>
      <c r="P1762" s="8">
        <v>45204</v>
      </c>
      <c r="Q1762" s="8">
        <v>45206</v>
      </c>
      <c r="R1762" s="8">
        <v>45210</v>
      </c>
      <c r="S1762" s="8">
        <v>45217</v>
      </c>
      <c r="T1762" s="8">
        <v>45229</v>
      </c>
      <c r="U1762" s="8">
        <v>45829</v>
      </c>
      <c r="V1762" s="10">
        <f>COUNTA(O1762:U1762)</f>
        <v>7</v>
      </c>
      <c r="W1762" s="11">
        <f>_xlfn.IFNA(INDEX(reading[[#This Row],[Memo 01]:[Memo 07]],MATCH(0,reading[[#This Row],[Memo 01]:[Memo 07]],-1)),"")</f>
        <v>45829</v>
      </c>
      <c r="X1762" s="11">
        <f ca="1">IFERROR(reading[[#This Row],[Previous]]+OFFSET(reading[[#Headers],[Memo 01]],-1,MATCH(0,reading[[#This Row],[Memo 01]:[Memo 07]],-1)-1),"")</f>
        <v>55829</v>
      </c>
      <c r="Y1762" s="10" t="str">
        <f ca="1">IF(reading[[#This Row],[Next]]&lt;&gt;"",IF(reading[[#This Row],[Next]]&gt;TODAY(),"OK",""),"")</f>
        <v>OK</v>
      </c>
      <c r="Z1762" s="13">
        <v>3</v>
      </c>
      <c r="AA1762" s="13">
        <v>3</v>
      </c>
      <c r="AB1762" s="13">
        <v>3</v>
      </c>
      <c r="AC1762" s="13">
        <v>3</v>
      </c>
      <c r="AD1762" s="13">
        <v>2</v>
      </c>
      <c r="AE1762" s="13">
        <v>3</v>
      </c>
      <c r="AF1762" s="13">
        <v>3</v>
      </c>
      <c r="AG1762" s="16">
        <f>IFERROR(SUMIF(reading[[#This Row],[1st]:[7th]],"&gt;0")/COUNTIF(reading[[#This Row],[1st]:[7th]],"&gt;0"),"")</f>
        <v>2.8571428571428572</v>
      </c>
    </row>
    <row r="1763" spans="1:33" hidden="1" x14ac:dyDescent="0.2">
      <c r="A1763" s="4">
        <f>IF(B1763=1,3,IF(D1763=1,2,IF(F1763=1,1,0)))</f>
        <v>0</v>
      </c>
      <c r="B1763" s="4" t="str">
        <f>IF(C1763=$L1763,1,IF(C1763="","",0))</f>
        <v/>
      </c>
      <c r="C1763" s="42"/>
      <c r="D1763" s="4" t="str">
        <f>IF(E1763=$L1763,1,IF(E1763="","",0))</f>
        <v/>
      </c>
      <c r="E1763" s="18"/>
      <c r="F1763" s="4" t="str">
        <f>IF(G1763=$L1763,1,IF(G1763="","",0))</f>
        <v/>
      </c>
      <c r="G1763" s="18"/>
      <c r="H1763" s="6">
        <v>1233</v>
      </c>
      <c r="I1763" s="15" t="s">
        <v>3120</v>
      </c>
      <c r="J1763" s="6" t="s">
        <v>4350</v>
      </c>
      <c r="K1763" s="15" t="s">
        <v>3139</v>
      </c>
      <c r="L1763" s="6" t="s">
        <v>1333</v>
      </c>
      <c r="M1763" s="6" t="s">
        <v>7340</v>
      </c>
      <c r="N1763" s="7">
        <f ca="1">RAND()</f>
        <v>0.67005089936239137</v>
      </c>
      <c r="O1763" s="8">
        <v>45206</v>
      </c>
      <c r="P1763" s="8">
        <v>45207</v>
      </c>
      <c r="Q1763" s="8">
        <v>45209</v>
      </c>
      <c r="R1763" s="8">
        <v>45213</v>
      </c>
      <c r="S1763" s="8">
        <v>45220</v>
      </c>
      <c r="T1763" s="8">
        <v>45232</v>
      </c>
      <c r="U1763" s="8">
        <v>45253</v>
      </c>
      <c r="V1763" s="10">
        <f>COUNTA(O1763:U1763)</f>
        <v>7</v>
      </c>
      <c r="W1763" s="11">
        <f>_xlfn.IFNA(INDEX(reading[[#This Row],[Memo 01]:[Memo 07]],MATCH(0,reading[[#This Row],[Memo 01]:[Memo 07]],-1)),"")</f>
        <v>45253</v>
      </c>
      <c r="X1763" s="11">
        <f ca="1">IFERROR(reading[[#This Row],[Previous]]+OFFSET(reading[[#Headers],[Memo 01]],-1,MATCH(0,reading[[#This Row],[Memo 01]:[Memo 07]],-1)-1),"")</f>
        <v>55253</v>
      </c>
      <c r="Y1763" s="10" t="str">
        <f ca="1">IF(reading[[#This Row],[Next]]&lt;&gt;"",IF(reading[[#This Row],[Next]]&gt;TODAY(),"OK",""),"")</f>
        <v>OK</v>
      </c>
      <c r="Z1763" s="13">
        <v>3</v>
      </c>
      <c r="AA1763" s="13">
        <v>3</v>
      </c>
      <c r="AB1763" s="13">
        <v>3</v>
      </c>
      <c r="AC1763" s="13">
        <v>1</v>
      </c>
      <c r="AD1763" s="13">
        <v>2</v>
      </c>
      <c r="AE1763" s="13">
        <v>2</v>
      </c>
      <c r="AF1763" s="13">
        <v>2</v>
      </c>
      <c r="AG1763" s="16">
        <f>IFERROR(SUMIF(reading[[#This Row],[1st]:[7th]],"&gt;0")/COUNTIF(reading[[#This Row],[1st]:[7th]],"&gt;0"),"")</f>
        <v>2.2857142857142856</v>
      </c>
    </row>
    <row r="1764" spans="1:33" x14ac:dyDescent="0.2">
      <c r="A1764" s="4">
        <f>IF(B1764=1,3,IF(D1764=1,2,IF(F1764=1,1,0)))</f>
        <v>3</v>
      </c>
      <c r="B1764" s="4">
        <f>IF(C1764=$L1764,1,IF(C1764="","",0))</f>
        <v>1</v>
      </c>
      <c r="C1764" s="42" t="s">
        <v>9311</v>
      </c>
      <c r="D1764" s="4" t="str">
        <f>IF(E1764=$L1764,1,IF(E1764="","",0))</f>
        <v/>
      </c>
      <c r="E1764" s="14"/>
      <c r="F1764" s="4" t="str">
        <f>IF(G1764=$L1764,1,IF(G1764="","",0))</f>
        <v/>
      </c>
      <c r="G1764" s="14"/>
      <c r="H1764" s="6">
        <v>1809</v>
      </c>
      <c r="I1764" s="15" t="s">
        <v>3120</v>
      </c>
      <c r="J1764" s="6" t="s">
        <v>4915</v>
      </c>
      <c r="K1764" s="6"/>
      <c r="L1764" s="6" t="s">
        <v>1888</v>
      </c>
      <c r="M1764" s="6" t="s">
        <v>7915</v>
      </c>
      <c r="N1764" s="7">
        <f ca="1">RAND()</f>
        <v>0.5675828474278336</v>
      </c>
      <c r="O1764" s="8">
        <v>45212</v>
      </c>
      <c r="P1764" s="8">
        <v>45213</v>
      </c>
      <c r="Q1764" s="8">
        <v>45215</v>
      </c>
      <c r="R1764" s="8">
        <v>45219</v>
      </c>
      <c r="S1764" s="8">
        <v>45226</v>
      </c>
      <c r="T1764" s="8"/>
      <c r="U1764" s="8"/>
      <c r="V1764" s="10">
        <f>COUNTA(O1764:U1764)</f>
        <v>5</v>
      </c>
      <c r="W1764" s="11">
        <f>_xlfn.IFNA(INDEX(reading[[#This Row],[Memo 01]:[Memo 07]],MATCH(0,reading[[#This Row],[Memo 01]:[Memo 07]],-1)),"")</f>
        <v>45226</v>
      </c>
      <c r="X1764" s="11">
        <f ca="1">IFERROR(reading[[#This Row],[Previous]]+OFFSET(reading[[#Headers],[Memo 01]],-1,MATCH(0,reading[[#This Row],[Memo 01]:[Memo 07]],-1)-1),"")</f>
        <v>45238</v>
      </c>
      <c r="Y1764" s="10" t="str">
        <f ca="1">IF(reading[[#This Row],[Next]]&lt;&gt;"",IF(reading[[#This Row],[Next]]&gt;TODAY(),"OK",""),"")</f>
        <v/>
      </c>
      <c r="Z1764" s="13">
        <v>3</v>
      </c>
      <c r="AA1764" s="13">
        <v>3</v>
      </c>
      <c r="AB1764" s="13">
        <v>3</v>
      </c>
      <c r="AC1764" s="13">
        <v>3</v>
      </c>
      <c r="AD1764" s="13">
        <v>3</v>
      </c>
      <c r="AE1764" s="13"/>
      <c r="AF1764" s="13"/>
      <c r="AG1764" s="16">
        <f>IFERROR(SUMIF(reading[[#This Row],[1st]:[7th]],"&gt;0")/COUNTIF(reading[[#This Row],[1st]:[7th]],"&gt;0"),"")</f>
        <v>3</v>
      </c>
    </row>
    <row r="1765" spans="1:33" hidden="1" x14ac:dyDescent="0.2">
      <c r="A1765" s="4">
        <f>IF(B1765=1,3,IF(D1765=1,2,IF(F1765=1,1,0)))</f>
        <v>0</v>
      </c>
      <c r="B1765" s="4" t="str">
        <f>IF(C1765=$L1765,1,IF(C1765="","",0))</f>
        <v/>
      </c>
      <c r="C1765" s="42"/>
      <c r="D1765" s="4" t="str">
        <f>IF(E1765=$L1765,1,IF(E1765="","",0))</f>
        <v/>
      </c>
      <c r="E1765" s="14"/>
      <c r="F1765" s="4" t="str">
        <f>IF(G1765=$L1765,1,IF(G1765="","",0))</f>
        <v/>
      </c>
      <c r="G1765" s="14"/>
      <c r="H1765" s="6">
        <v>1929</v>
      </c>
      <c r="I1765" s="15" t="s">
        <v>3120</v>
      </c>
      <c r="J1765" s="6" t="s">
        <v>5028</v>
      </c>
      <c r="K1765" s="6"/>
      <c r="L1765" s="6" t="s">
        <v>2005</v>
      </c>
      <c r="M1765" s="6" t="s">
        <v>8035</v>
      </c>
      <c r="N1765" s="7">
        <f ca="1">RAND()</f>
        <v>0.60406791020396444</v>
      </c>
      <c r="O1765" s="8">
        <v>45212</v>
      </c>
      <c r="P1765" s="8">
        <v>45213</v>
      </c>
      <c r="Q1765" s="8">
        <v>45215</v>
      </c>
      <c r="R1765" s="8">
        <v>45219</v>
      </c>
      <c r="S1765" s="8">
        <v>45226</v>
      </c>
      <c r="T1765" s="8">
        <v>45830</v>
      </c>
      <c r="U1765" s="8"/>
      <c r="V1765" s="10">
        <f>COUNTA(O1765:U1765)</f>
        <v>6</v>
      </c>
      <c r="W1765" s="11">
        <f>_xlfn.IFNA(INDEX(reading[[#This Row],[Memo 01]:[Memo 07]],MATCH(0,reading[[#This Row],[Memo 01]:[Memo 07]],-1)),"")</f>
        <v>45830</v>
      </c>
      <c r="X1765" s="11">
        <f ca="1">IFERROR(reading[[#This Row],[Previous]]+OFFSET(reading[[#Headers],[Memo 01]],-1,MATCH(0,reading[[#This Row],[Memo 01]:[Memo 07]],-1)-1),"")</f>
        <v>45850</v>
      </c>
      <c r="Y1765" s="10" t="str">
        <f ca="1">IF(reading[[#This Row],[Next]]&lt;&gt;"",IF(reading[[#This Row],[Next]]&gt;TODAY(),"OK",""),"")</f>
        <v>OK</v>
      </c>
      <c r="Z1765" s="13">
        <v>3</v>
      </c>
      <c r="AA1765" s="13">
        <v>3</v>
      </c>
      <c r="AB1765" s="13">
        <v>3</v>
      </c>
      <c r="AC1765" s="13">
        <v>3</v>
      </c>
      <c r="AD1765" s="13">
        <v>3</v>
      </c>
      <c r="AE1765" s="13">
        <v>3</v>
      </c>
      <c r="AF1765" s="13"/>
      <c r="AG1765" s="16">
        <f>IFERROR(SUMIF(reading[[#This Row],[1st]:[7th]],"&gt;0")/COUNTIF(reading[[#This Row],[1st]:[7th]],"&gt;0"),"")</f>
        <v>3</v>
      </c>
    </row>
    <row r="1766" spans="1:33" hidden="1" x14ac:dyDescent="0.2">
      <c r="A1766" s="4">
        <f>IF(B1766=1,3,IF(D1766=1,2,IF(F1766=1,1,0)))</f>
        <v>3</v>
      </c>
      <c r="B1766" s="4">
        <f>IF(C1766=$L1766,1,IF(C1766="","",0))</f>
        <v>1</v>
      </c>
      <c r="C1766" s="32" t="s">
        <v>1850</v>
      </c>
      <c r="D1766" s="4" t="str">
        <f>IF(E1766=$L1766,1,IF(E1766="","",0))</f>
        <v/>
      </c>
      <c r="E1766" s="14"/>
      <c r="F1766" s="4" t="str">
        <f>IF(G1766=$L1766,1,IF(G1766="","",0))</f>
        <v/>
      </c>
      <c r="G1766" s="14"/>
      <c r="H1766" s="6">
        <v>1770</v>
      </c>
      <c r="I1766" s="15" t="s">
        <v>3120</v>
      </c>
      <c r="J1766" s="6" t="s">
        <v>4877</v>
      </c>
      <c r="K1766" s="6"/>
      <c r="L1766" s="6" t="s">
        <v>1850</v>
      </c>
      <c r="M1766" s="6" t="s">
        <v>7876</v>
      </c>
      <c r="N1766" s="7">
        <f ca="1">RAND()</f>
        <v>1.8507128731438893E-2</v>
      </c>
      <c r="O1766" s="8">
        <v>45211</v>
      </c>
      <c r="P1766" s="8">
        <v>45211</v>
      </c>
      <c r="Q1766" s="8">
        <v>45211</v>
      </c>
      <c r="R1766" s="8">
        <v>45211</v>
      </c>
      <c r="S1766" s="8">
        <v>45211</v>
      </c>
      <c r="T1766" s="8">
        <v>45211</v>
      </c>
      <c r="U1766" s="8">
        <v>45211</v>
      </c>
      <c r="V1766" s="10">
        <f>COUNTA(O1766:U1766)</f>
        <v>7</v>
      </c>
      <c r="W1766" s="11">
        <f>_xlfn.IFNA(INDEX(reading[[#This Row],[Memo 01]:[Memo 07]],MATCH(0,reading[[#This Row],[Memo 01]:[Memo 07]],-1)),"")</f>
        <v>45211</v>
      </c>
      <c r="X1766" s="11">
        <f ca="1">IFERROR(reading[[#This Row],[Previous]]+OFFSET(reading[[#Headers],[Memo 01]],-1,MATCH(0,reading[[#This Row],[Memo 01]:[Memo 07]],-1)-1),"")</f>
        <v>55211</v>
      </c>
      <c r="Y1766" s="10" t="str">
        <f ca="1">IF(reading[[#This Row],[Next]]&lt;&gt;"",IF(reading[[#This Row],[Next]]&gt;TODAY(),"OK",""),"")</f>
        <v>OK</v>
      </c>
      <c r="Z1766" s="13">
        <v>3</v>
      </c>
      <c r="AA1766" s="13"/>
      <c r="AB1766" s="13"/>
      <c r="AC1766" s="13"/>
      <c r="AD1766" s="13"/>
      <c r="AE1766" s="13"/>
      <c r="AF1766" s="13"/>
      <c r="AG1766" s="16">
        <f>IFERROR(SUMIF(reading[[#This Row],[1st]:[7th]],"&gt;0")/COUNTIF(reading[[#This Row],[1st]:[7th]],"&gt;0"),"")</f>
        <v>3</v>
      </c>
    </row>
    <row r="1767" spans="1:33" hidden="1" x14ac:dyDescent="0.2">
      <c r="A1767" s="4">
        <f>IF(B1767=1,3,IF(D1767=1,2,IF(F1767=1,1,0)))</f>
        <v>0</v>
      </c>
      <c r="B1767" s="4" t="str">
        <f>IF(C1767=$L1767,1,IF(C1767="","",0))</f>
        <v/>
      </c>
      <c r="C1767" s="42"/>
      <c r="D1767" s="4" t="str">
        <f>IF(E1767=$L1767,1,IF(E1767="","",0))</f>
        <v/>
      </c>
      <c r="E1767" s="14"/>
      <c r="F1767" s="4" t="str">
        <f>IF(G1767=$L1767,1,IF(G1767="","",0))</f>
        <v/>
      </c>
      <c r="G1767" s="14"/>
      <c r="H1767" s="6">
        <v>3080</v>
      </c>
      <c r="I1767" s="15" t="s">
        <v>3120</v>
      </c>
      <c r="J1767" s="6" t="s">
        <v>4209</v>
      </c>
      <c r="K1767" s="6"/>
      <c r="L1767" s="6" t="s">
        <v>3104</v>
      </c>
      <c r="M1767" s="6" t="s">
        <v>9183</v>
      </c>
      <c r="N1767" s="7">
        <f ca="1">RAND()</f>
        <v>0.69699318820684064</v>
      </c>
      <c r="O1767" s="8">
        <v>45227</v>
      </c>
      <c r="P1767" s="8">
        <v>45228</v>
      </c>
      <c r="Q1767" s="8">
        <v>45230</v>
      </c>
      <c r="R1767" s="8">
        <v>45234</v>
      </c>
      <c r="S1767" s="8">
        <v>45251</v>
      </c>
      <c r="T1767" s="8">
        <v>45830</v>
      </c>
      <c r="U1767" s="8"/>
      <c r="V1767" s="10">
        <f>COUNTA(O1767:U1767)</f>
        <v>6</v>
      </c>
      <c r="W1767" s="11">
        <f>_xlfn.IFNA(INDEX(reading[[#This Row],[Memo 01]:[Memo 07]],MATCH(0,reading[[#This Row],[Memo 01]:[Memo 07]],-1)),"")</f>
        <v>45830</v>
      </c>
      <c r="X1767" s="11">
        <f ca="1">IFERROR(reading[[#This Row],[Previous]]+OFFSET(reading[[#Headers],[Memo 01]],-1,MATCH(0,reading[[#This Row],[Memo 01]:[Memo 07]],-1)-1),"")</f>
        <v>45850</v>
      </c>
      <c r="Y1767" s="10" t="str">
        <f ca="1">IF(reading[[#This Row],[Next]]&lt;&gt;"",IF(reading[[#This Row],[Next]]&gt;TODAY(),"OK",""),"")</f>
        <v>OK</v>
      </c>
      <c r="Z1767" s="13">
        <v>3</v>
      </c>
      <c r="AA1767" s="13">
        <v>3</v>
      </c>
      <c r="AB1767" s="13">
        <v>3</v>
      </c>
      <c r="AC1767" s="13">
        <v>3</v>
      </c>
      <c r="AD1767" s="13">
        <v>3</v>
      </c>
      <c r="AE1767" s="13">
        <v>3</v>
      </c>
      <c r="AF1767" s="13"/>
      <c r="AG1767" s="16">
        <f>IFERROR(SUMIF(reading[[#This Row],[1st]:[7th]],"&gt;0")/COUNTIF(reading[[#This Row],[1st]:[7th]],"&gt;0"),"")</f>
        <v>3</v>
      </c>
    </row>
    <row r="1768" spans="1:33" hidden="1" x14ac:dyDescent="0.2">
      <c r="A1768" s="4">
        <f>IF(B1768=1,3,IF(D1768=1,2,IF(F1768=1,1,0)))</f>
        <v>0</v>
      </c>
      <c r="B1768" s="4" t="str">
        <f>IF(C1768=$L1768,1,IF(C1768="","",0))</f>
        <v/>
      </c>
      <c r="C1768" s="42"/>
      <c r="D1768" s="4" t="str">
        <f>IF(E1768=$L1768,1,IF(E1768="","",0))</f>
        <v/>
      </c>
      <c r="E1768" s="43"/>
      <c r="F1768" s="4" t="str">
        <f>IF(G1768=$L1768,1,IF(G1768="","",0))</f>
        <v/>
      </c>
      <c r="G1768" s="14"/>
      <c r="H1768" s="6">
        <v>2798</v>
      </c>
      <c r="I1768" s="15" t="s">
        <v>3120</v>
      </c>
      <c r="J1768" s="6" t="s">
        <v>5841</v>
      </c>
      <c r="K1768" s="6"/>
      <c r="L1768" s="6" t="s">
        <v>2835</v>
      </c>
      <c r="M1768" s="6" t="s">
        <v>8902</v>
      </c>
      <c r="N1768" s="7">
        <f ca="1">RAND()</f>
        <v>0.20028798580180029</v>
      </c>
      <c r="O1768" s="8">
        <v>45222</v>
      </c>
      <c r="P1768" s="8">
        <v>45223</v>
      </c>
      <c r="Q1768" s="8">
        <v>45225</v>
      </c>
      <c r="R1768" s="8">
        <v>45229</v>
      </c>
      <c r="S1768" s="8">
        <v>45236</v>
      </c>
      <c r="T1768" s="8">
        <v>45816</v>
      </c>
      <c r="U1768" s="8"/>
      <c r="V1768" s="10">
        <f>COUNTA(O1768:U1768)</f>
        <v>6</v>
      </c>
      <c r="W1768" s="11">
        <f>_xlfn.IFNA(INDEX(reading[[#This Row],[Memo 01]:[Memo 07]],MATCH(0,reading[[#This Row],[Memo 01]:[Memo 07]],-1)),"")</f>
        <v>45816</v>
      </c>
      <c r="X1768" s="11">
        <f ca="1">IFERROR(reading[[#This Row],[Previous]]+OFFSET(reading[[#Headers],[Memo 01]],-1,MATCH(0,reading[[#This Row],[Memo 01]:[Memo 07]],-1)-1),"")</f>
        <v>45836</v>
      </c>
      <c r="Y1768" s="10" t="str">
        <f ca="1">IF(reading[[#This Row],[Next]]&lt;&gt;"",IF(reading[[#This Row],[Next]]&gt;TODAY(),"OK",""),"")</f>
        <v>OK</v>
      </c>
      <c r="Z1768" s="13">
        <v>3</v>
      </c>
      <c r="AA1768" s="13">
        <v>2</v>
      </c>
      <c r="AB1768" s="13">
        <v>3</v>
      </c>
      <c r="AC1768" s="13">
        <v>3</v>
      </c>
      <c r="AD1768" s="13">
        <v>3</v>
      </c>
      <c r="AE1768" s="13">
        <v>2</v>
      </c>
      <c r="AF1768" s="13"/>
      <c r="AG1768" s="16">
        <f>IFERROR(SUMIF(reading[[#This Row],[1st]:[7th]],"&gt;0")/COUNTIF(reading[[#This Row],[1st]:[7th]],"&gt;0"),"")</f>
        <v>2.6666666666666665</v>
      </c>
    </row>
    <row r="1769" spans="1:33" x14ac:dyDescent="0.2">
      <c r="A1769" s="4">
        <f>IF(B1769=1,3,IF(D1769=1,2,IF(F1769=1,1,0)))</f>
        <v>3</v>
      </c>
      <c r="B1769" s="4">
        <f>IF(C1769=$L1769,1,IF(C1769="","",0))</f>
        <v>1</v>
      </c>
      <c r="C1769" s="42" t="s">
        <v>9313</v>
      </c>
      <c r="D1769" s="4" t="str">
        <f>IF(E1769=$L1769,1,IF(E1769="","",0))</f>
        <v/>
      </c>
      <c r="E1769" s="14"/>
      <c r="F1769" s="4" t="str">
        <f>IF(G1769=$L1769,1,IF(G1769="","",0))</f>
        <v/>
      </c>
      <c r="G1769" s="14"/>
      <c r="H1769" s="6">
        <v>2600</v>
      </c>
      <c r="I1769" s="15" t="s">
        <v>3120</v>
      </c>
      <c r="J1769" s="6" t="s">
        <v>5657</v>
      </c>
      <c r="K1769" s="6"/>
      <c r="L1769" s="6" t="s">
        <v>2643</v>
      </c>
      <c r="M1769" s="6" t="s">
        <v>8705</v>
      </c>
      <c r="N1769" s="7">
        <f ca="1">RAND()</f>
        <v>0.41484345331116934</v>
      </c>
      <c r="O1769" s="8">
        <v>45219</v>
      </c>
      <c r="P1769" s="8">
        <v>45220</v>
      </c>
      <c r="Q1769" s="8">
        <v>45222</v>
      </c>
      <c r="R1769" s="8">
        <v>45226</v>
      </c>
      <c r="S1769" s="8">
        <v>45233</v>
      </c>
      <c r="T1769" s="8"/>
      <c r="U1769" s="8"/>
      <c r="V1769" s="10">
        <f>COUNTA(O1769:U1769)</f>
        <v>5</v>
      </c>
      <c r="W1769" s="11">
        <f>_xlfn.IFNA(INDEX(reading[[#This Row],[Memo 01]:[Memo 07]],MATCH(0,reading[[#This Row],[Memo 01]:[Memo 07]],-1)),"")</f>
        <v>45233</v>
      </c>
      <c r="X1769" s="11">
        <f ca="1">IFERROR(reading[[#This Row],[Previous]]+OFFSET(reading[[#Headers],[Memo 01]],-1,MATCH(0,reading[[#This Row],[Memo 01]:[Memo 07]],-1)-1),"")</f>
        <v>45245</v>
      </c>
      <c r="Y1769" s="10" t="str">
        <f ca="1">IF(reading[[#This Row],[Next]]&lt;&gt;"",IF(reading[[#This Row],[Next]]&gt;TODAY(),"OK",""),"")</f>
        <v/>
      </c>
      <c r="Z1769" s="13">
        <v>3</v>
      </c>
      <c r="AA1769" s="13">
        <v>3</v>
      </c>
      <c r="AB1769" s="13">
        <v>3</v>
      </c>
      <c r="AC1769" s="13">
        <v>3</v>
      </c>
      <c r="AD1769" s="13">
        <v>3</v>
      </c>
      <c r="AE1769" s="13"/>
      <c r="AF1769" s="13"/>
      <c r="AG1769" s="16">
        <f>IFERROR(SUMIF(reading[[#This Row],[1st]:[7th]],"&gt;0")/COUNTIF(reading[[#This Row],[1st]:[7th]],"&gt;0"),"")</f>
        <v>3</v>
      </c>
    </row>
    <row r="1770" spans="1:33" hidden="1" x14ac:dyDescent="0.2">
      <c r="A1770" s="4">
        <f>IF(B1770=1,3,IF(D1770=1,2,IF(F1770=1,1,0)))</f>
        <v>0</v>
      </c>
      <c r="B1770" s="4" t="str">
        <f>IF(C1770=$L1770,1,IF(C1770="","",0))</f>
        <v/>
      </c>
      <c r="C1770" s="42"/>
      <c r="D1770" s="4" t="str">
        <f>IF(E1770=$L1770,1,IF(E1770="","",0))</f>
        <v/>
      </c>
      <c r="E1770" s="18"/>
      <c r="F1770" s="4" t="str">
        <f>IF(G1770=$L1770,1,IF(G1770="","",0))</f>
        <v/>
      </c>
      <c r="G1770" s="14"/>
      <c r="H1770" s="6">
        <v>2955</v>
      </c>
      <c r="I1770" s="15" t="s">
        <v>3120</v>
      </c>
      <c r="J1770" s="6" t="s">
        <v>5987</v>
      </c>
      <c r="K1770" s="6"/>
      <c r="L1770" s="6" t="s">
        <v>2985</v>
      </c>
      <c r="M1770" s="6" t="s">
        <v>9059</v>
      </c>
      <c r="N1770" s="7">
        <f ca="1">RAND()</f>
        <v>0.90577150761940317</v>
      </c>
      <c r="O1770" s="8">
        <v>45223</v>
      </c>
      <c r="P1770" s="8">
        <v>45224</v>
      </c>
      <c r="Q1770" s="8">
        <v>45226</v>
      </c>
      <c r="R1770" s="8">
        <v>45230</v>
      </c>
      <c r="S1770" s="8">
        <v>45250</v>
      </c>
      <c r="T1770" s="8">
        <v>45829</v>
      </c>
      <c r="U1770" s="8"/>
      <c r="V1770" s="10">
        <f>COUNTA(O1770:U1770)</f>
        <v>6</v>
      </c>
      <c r="W1770" s="11">
        <f>_xlfn.IFNA(INDEX(reading[[#This Row],[Memo 01]:[Memo 07]],MATCH(0,reading[[#This Row],[Memo 01]:[Memo 07]],-1)),"")</f>
        <v>45829</v>
      </c>
      <c r="X1770" s="11">
        <f ca="1">IFERROR(reading[[#This Row],[Previous]]+OFFSET(reading[[#Headers],[Memo 01]],-1,MATCH(0,reading[[#This Row],[Memo 01]:[Memo 07]],-1)-1),"")</f>
        <v>45849</v>
      </c>
      <c r="Y1770" s="10" t="str">
        <f ca="1">IF(reading[[#This Row],[Next]]&lt;&gt;"",IF(reading[[#This Row],[Next]]&gt;TODAY(),"OK",""),"")</f>
        <v>OK</v>
      </c>
      <c r="Z1770" s="13">
        <v>3</v>
      </c>
      <c r="AA1770" s="13">
        <v>3</v>
      </c>
      <c r="AB1770" s="13">
        <v>3</v>
      </c>
      <c r="AC1770" s="13">
        <v>3</v>
      </c>
      <c r="AD1770" s="13">
        <v>1</v>
      </c>
      <c r="AE1770" s="13">
        <v>3</v>
      </c>
      <c r="AF1770" s="13"/>
      <c r="AG1770" s="16">
        <f>IFERROR(SUMIF(reading[[#This Row],[1st]:[7th]],"&gt;0")/COUNTIF(reading[[#This Row],[1st]:[7th]],"&gt;0"),"")</f>
        <v>2.6666666666666665</v>
      </c>
    </row>
    <row r="1771" spans="1:33" hidden="1" x14ac:dyDescent="0.2">
      <c r="A1771" s="4">
        <f>IF(B1771=1,3,IF(D1771=1,2,IF(F1771=1,1,0)))</f>
        <v>3</v>
      </c>
      <c r="B1771" s="4">
        <f>IF(C1771=$L1771,1,IF(C1771="","",0))</f>
        <v>1</v>
      </c>
      <c r="C1771" s="32" t="s">
        <v>1855</v>
      </c>
      <c r="D1771" s="4" t="str">
        <f>IF(E1771=$L1771,1,IF(E1771="","",0))</f>
        <v/>
      </c>
      <c r="E1771" s="14"/>
      <c r="F1771" s="4" t="str">
        <f>IF(G1771=$L1771,1,IF(G1771="","",0))</f>
        <v/>
      </c>
      <c r="G1771" s="14"/>
      <c r="H1771" s="6">
        <v>1775</v>
      </c>
      <c r="I1771" s="15" t="s">
        <v>3120</v>
      </c>
      <c r="J1771" s="6" t="s">
        <v>4882</v>
      </c>
      <c r="K1771" s="6"/>
      <c r="L1771" s="6" t="s">
        <v>1855</v>
      </c>
      <c r="M1771" s="6" t="s">
        <v>7881</v>
      </c>
      <c r="N1771" s="7">
        <f ca="1">RAND()</f>
        <v>0.31604112369190407</v>
      </c>
      <c r="O1771" s="8">
        <v>45211</v>
      </c>
      <c r="P1771" s="8">
        <v>45211</v>
      </c>
      <c r="Q1771" s="8">
        <v>45211</v>
      </c>
      <c r="R1771" s="8">
        <v>45211</v>
      </c>
      <c r="S1771" s="8">
        <v>45211</v>
      </c>
      <c r="T1771" s="8">
        <v>45211</v>
      </c>
      <c r="U1771" s="8">
        <v>45211</v>
      </c>
      <c r="V1771" s="10">
        <f>COUNTA(O1771:U1771)</f>
        <v>7</v>
      </c>
      <c r="W1771" s="11">
        <f>_xlfn.IFNA(INDEX(reading[[#This Row],[Memo 01]:[Memo 07]],MATCH(0,reading[[#This Row],[Memo 01]:[Memo 07]],-1)),"")</f>
        <v>45211</v>
      </c>
      <c r="X1771" s="11">
        <f ca="1">IFERROR(reading[[#This Row],[Previous]]+OFFSET(reading[[#Headers],[Memo 01]],-1,MATCH(0,reading[[#This Row],[Memo 01]:[Memo 07]],-1)-1),"")</f>
        <v>55211</v>
      </c>
      <c r="Y1771" s="10" t="str">
        <f ca="1">IF(reading[[#This Row],[Next]]&lt;&gt;"",IF(reading[[#This Row],[Next]]&gt;TODAY(),"OK",""),"")</f>
        <v>OK</v>
      </c>
      <c r="Z1771" s="13">
        <v>3</v>
      </c>
      <c r="AA1771" s="13"/>
      <c r="AB1771" s="13"/>
      <c r="AC1771" s="13"/>
      <c r="AD1771" s="13"/>
      <c r="AE1771" s="13"/>
      <c r="AF1771" s="13"/>
      <c r="AG1771" s="16">
        <f>IFERROR(SUMIF(reading[[#This Row],[1st]:[7th]],"&gt;0")/COUNTIF(reading[[#This Row],[1st]:[7th]],"&gt;0"),"")</f>
        <v>3</v>
      </c>
    </row>
    <row r="1772" spans="1:33" hidden="1" x14ac:dyDescent="0.2">
      <c r="A1772" s="4">
        <f>IF(B1772=1,3,IF(D1772=1,2,IF(F1772=1,1,0)))</f>
        <v>0</v>
      </c>
      <c r="B1772" s="4" t="str">
        <f>IF(C1772=$L1772,1,IF(C1772="","",0))</f>
        <v/>
      </c>
      <c r="C1772" s="42"/>
      <c r="D1772" s="4" t="str">
        <f>IF(E1772=$L1772,1,IF(E1772="","",0))</f>
        <v/>
      </c>
      <c r="E1772" s="14"/>
      <c r="F1772" s="4" t="str">
        <f>IF(G1772=$L1772,1,IF(G1772="","",0))</f>
        <v/>
      </c>
      <c r="G1772" s="14"/>
      <c r="H1772" s="6">
        <v>2437</v>
      </c>
      <c r="I1772" s="15" t="s">
        <v>3120</v>
      </c>
      <c r="J1772" s="6" t="s">
        <v>5507</v>
      </c>
      <c r="K1772" s="6"/>
      <c r="L1772" s="6" t="s">
        <v>2487</v>
      </c>
      <c r="M1772" s="6" t="s">
        <v>8542</v>
      </c>
      <c r="N1772" s="7">
        <f ca="1">RAND()</f>
        <v>8.5505259697633562E-2</v>
      </c>
      <c r="O1772" s="8">
        <v>45217</v>
      </c>
      <c r="P1772" s="8">
        <v>45218</v>
      </c>
      <c r="Q1772" s="8">
        <v>45220</v>
      </c>
      <c r="R1772" s="8">
        <v>45224</v>
      </c>
      <c r="S1772" s="8">
        <v>45231</v>
      </c>
      <c r="T1772" s="8">
        <v>45829</v>
      </c>
      <c r="U1772" s="8"/>
      <c r="V1772" s="10">
        <f>COUNTA(O1772:U1772)</f>
        <v>6</v>
      </c>
      <c r="W1772" s="11">
        <f>_xlfn.IFNA(INDEX(reading[[#This Row],[Memo 01]:[Memo 07]],MATCH(0,reading[[#This Row],[Memo 01]:[Memo 07]],-1)),"")</f>
        <v>45829</v>
      </c>
      <c r="X1772" s="11">
        <f ca="1">IFERROR(reading[[#This Row],[Previous]]+OFFSET(reading[[#Headers],[Memo 01]],-1,MATCH(0,reading[[#This Row],[Memo 01]:[Memo 07]],-1)-1),"")</f>
        <v>45849</v>
      </c>
      <c r="Y1772" s="10" t="str">
        <f ca="1">IF(reading[[#This Row],[Next]]&lt;&gt;"",IF(reading[[#This Row],[Next]]&gt;TODAY(),"OK",""),"")</f>
        <v>OK</v>
      </c>
      <c r="Z1772" s="13">
        <v>3</v>
      </c>
      <c r="AA1772" s="13">
        <v>3</v>
      </c>
      <c r="AB1772" s="13">
        <v>3</v>
      </c>
      <c r="AC1772" s="13">
        <v>3</v>
      </c>
      <c r="AD1772" s="13">
        <v>3</v>
      </c>
      <c r="AE1772" s="13">
        <v>3</v>
      </c>
      <c r="AF1772" s="13"/>
      <c r="AG1772" s="16">
        <f>IFERROR(SUMIF(reading[[#This Row],[1st]:[7th]],"&gt;0")/COUNTIF(reading[[#This Row],[1st]:[7th]],"&gt;0"),"")</f>
        <v>3</v>
      </c>
    </row>
    <row r="1773" spans="1:33" hidden="1" x14ac:dyDescent="0.2">
      <c r="A1773" s="4">
        <f>IF(B1773=1,3,IF(D1773=1,2,IF(F1773=1,1,0)))</f>
        <v>0</v>
      </c>
      <c r="B1773" s="4" t="str">
        <f>IF(C1773=$L1773,1,IF(C1773="","",0))</f>
        <v/>
      </c>
      <c r="C1773" s="42"/>
      <c r="D1773" s="4" t="str">
        <f>IF(E1773=$L1773,1,IF(E1773="","",0))</f>
        <v/>
      </c>
      <c r="E1773" s="43"/>
      <c r="F1773" s="4" t="str">
        <f>IF(G1773=$L1773,1,IF(G1773="","",0))</f>
        <v/>
      </c>
      <c r="G1773" s="18"/>
      <c r="H1773" s="6">
        <v>2076</v>
      </c>
      <c r="I1773" s="15" t="s">
        <v>3120</v>
      </c>
      <c r="J1773" s="6" t="s">
        <v>5169</v>
      </c>
      <c r="K1773" s="6"/>
      <c r="L1773" s="6" t="s">
        <v>2147</v>
      </c>
      <c r="M1773" s="6" t="s">
        <v>8182</v>
      </c>
      <c r="N1773" s="7">
        <f ca="1">RAND()</f>
        <v>0.94956670966562962</v>
      </c>
      <c r="O1773" s="8">
        <v>45214</v>
      </c>
      <c r="P1773" s="8">
        <v>45215</v>
      </c>
      <c r="Q1773" s="8">
        <v>45217</v>
      </c>
      <c r="R1773" s="8">
        <v>45221</v>
      </c>
      <c r="S1773" s="8">
        <v>45228</v>
      </c>
      <c r="T1773" s="8">
        <v>45252</v>
      </c>
      <c r="U1773" s="8">
        <v>45825</v>
      </c>
      <c r="V1773" s="10">
        <f>COUNTA(O1773:U1773)</f>
        <v>7</v>
      </c>
      <c r="W1773" s="11">
        <f>_xlfn.IFNA(INDEX(reading[[#This Row],[Memo 01]:[Memo 07]],MATCH(0,reading[[#This Row],[Memo 01]:[Memo 07]],-1)),"")</f>
        <v>45825</v>
      </c>
      <c r="X1773" s="11">
        <f ca="1">IFERROR(reading[[#This Row],[Previous]]+OFFSET(reading[[#Headers],[Memo 01]],-1,MATCH(0,reading[[#This Row],[Memo 01]:[Memo 07]],-1)-1),"")</f>
        <v>55825</v>
      </c>
      <c r="Y1773" s="10" t="str">
        <f ca="1">IF(reading[[#This Row],[Next]]&lt;&gt;"",IF(reading[[#This Row],[Next]]&gt;TODAY(),"OK",""),"")</f>
        <v>OK</v>
      </c>
      <c r="Z1773" s="13">
        <v>3</v>
      </c>
      <c r="AA1773" s="13">
        <v>3</v>
      </c>
      <c r="AB1773" s="13">
        <v>3</v>
      </c>
      <c r="AC1773" s="13">
        <v>1</v>
      </c>
      <c r="AD1773" s="13">
        <v>3</v>
      </c>
      <c r="AE1773" s="13">
        <v>2</v>
      </c>
      <c r="AF1773" s="13">
        <v>2</v>
      </c>
      <c r="AG1773" s="16">
        <f>IFERROR(SUMIF(reading[[#This Row],[1st]:[7th]],"&gt;0")/COUNTIF(reading[[#This Row],[1st]:[7th]],"&gt;0"),"")</f>
        <v>2.4285714285714284</v>
      </c>
    </row>
    <row r="1774" spans="1:33" x14ac:dyDescent="0.2">
      <c r="A1774" s="4">
        <f>IF(B1774=1,3,IF(D1774=1,2,IF(F1774=1,1,0)))</f>
        <v>3</v>
      </c>
      <c r="B1774" s="4">
        <f>IF(C1774=$L1774,1,IF(C1774="","",0))</f>
        <v>1</v>
      </c>
      <c r="C1774" s="42" t="s">
        <v>9207</v>
      </c>
      <c r="D1774" s="4" t="str">
        <f>IF(E1774=$L1774,1,IF(E1774="","",0))</f>
        <v/>
      </c>
      <c r="E1774" s="14"/>
      <c r="F1774" s="4" t="str">
        <f>IF(G1774=$L1774,1,IF(G1774="","",0))</f>
        <v/>
      </c>
      <c r="G1774" s="14"/>
      <c r="H1774" s="6">
        <v>2467</v>
      </c>
      <c r="I1774" s="15" t="s">
        <v>3120</v>
      </c>
      <c r="J1774" s="6" t="s">
        <v>5536</v>
      </c>
      <c r="K1774" s="6"/>
      <c r="L1774" s="6" t="s">
        <v>2515</v>
      </c>
      <c r="M1774" s="6" t="s">
        <v>8572</v>
      </c>
      <c r="N1774" s="7">
        <f ca="1">RAND()</f>
        <v>0.44985777424862328</v>
      </c>
      <c r="O1774" s="8">
        <v>45218</v>
      </c>
      <c r="P1774" s="8">
        <v>45219</v>
      </c>
      <c r="Q1774" s="8">
        <v>45221</v>
      </c>
      <c r="R1774" s="8">
        <v>45225</v>
      </c>
      <c r="S1774" s="8">
        <v>45232</v>
      </c>
      <c r="T1774" s="8">
        <v>45792</v>
      </c>
      <c r="U1774" s="8"/>
      <c r="V1774" s="10">
        <f>COUNTA(O1774:U1774)</f>
        <v>6</v>
      </c>
      <c r="W1774" s="11">
        <f>_xlfn.IFNA(INDEX(reading[[#This Row],[Memo 01]:[Memo 07]],MATCH(0,reading[[#This Row],[Memo 01]:[Memo 07]],-1)),"")</f>
        <v>45792</v>
      </c>
      <c r="X1774" s="11">
        <f ca="1">IFERROR(reading[[#This Row],[Previous]]+OFFSET(reading[[#Headers],[Memo 01]],-1,MATCH(0,reading[[#This Row],[Memo 01]:[Memo 07]],-1)-1),"")</f>
        <v>45812</v>
      </c>
      <c r="Y1774" s="10" t="str">
        <f ca="1">IF(reading[[#This Row],[Next]]&lt;&gt;"",IF(reading[[#This Row],[Next]]&gt;TODAY(),"OK",""),"")</f>
        <v/>
      </c>
      <c r="Z1774" s="13">
        <v>3</v>
      </c>
      <c r="AA1774" s="13">
        <v>3</v>
      </c>
      <c r="AB1774" s="13">
        <v>3</v>
      </c>
      <c r="AC1774" s="13">
        <v>3</v>
      </c>
      <c r="AD1774" s="13">
        <v>3</v>
      </c>
      <c r="AE1774" s="13">
        <v>3</v>
      </c>
      <c r="AF1774" s="13"/>
      <c r="AG1774" s="16">
        <f>IFERROR(SUMIF(reading[[#This Row],[1st]:[7th]],"&gt;0")/COUNTIF(reading[[#This Row],[1st]:[7th]],"&gt;0"),"")</f>
        <v>3</v>
      </c>
    </row>
    <row r="1775" spans="1:33" hidden="1" x14ac:dyDescent="0.2">
      <c r="A1775" s="4">
        <f>IF(B1775=1,3,IF(D1775=1,2,IF(F1775=1,1,0)))</f>
        <v>0</v>
      </c>
      <c r="B1775" s="4" t="str">
        <f>IF(C1775=$L1775,1,IF(C1775="","",0))</f>
        <v/>
      </c>
      <c r="C1775" s="42"/>
      <c r="D1775" s="4" t="str">
        <f>IF(E1775=$L1775,1,IF(E1775="","",0))</f>
        <v/>
      </c>
      <c r="E1775" s="18"/>
      <c r="F1775" s="4" t="str">
        <f>IF(G1775=$L1775,1,IF(G1775="","",0))</f>
        <v/>
      </c>
      <c r="G1775" s="18"/>
      <c r="H1775" s="6">
        <v>1777</v>
      </c>
      <c r="I1775" s="15" t="s">
        <v>3120</v>
      </c>
      <c r="J1775" s="6" t="s">
        <v>4884</v>
      </c>
      <c r="K1775" s="6" t="s">
        <v>3139</v>
      </c>
      <c r="L1775" s="6" t="s">
        <v>1857</v>
      </c>
      <c r="M1775" s="6" t="s">
        <v>7883</v>
      </c>
      <c r="N1775" s="7">
        <f ca="1">RAND()</f>
        <v>0.22672523800246147</v>
      </c>
      <c r="O1775" s="8">
        <v>45212</v>
      </c>
      <c r="P1775" s="8">
        <v>45213</v>
      </c>
      <c r="Q1775" s="8">
        <v>45215</v>
      </c>
      <c r="R1775" s="8">
        <v>45219</v>
      </c>
      <c r="S1775" s="8">
        <v>45226</v>
      </c>
      <c r="T1775" s="8">
        <v>45248</v>
      </c>
      <c r="U1775" s="8">
        <v>45829</v>
      </c>
      <c r="V1775" s="10">
        <f>COUNTA(O1775:U1775)</f>
        <v>7</v>
      </c>
      <c r="W1775" s="11">
        <f>_xlfn.IFNA(INDEX(reading[[#This Row],[Memo 01]:[Memo 07]],MATCH(0,reading[[#This Row],[Memo 01]:[Memo 07]],-1)),"")</f>
        <v>45829</v>
      </c>
      <c r="X1775" s="11">
        <f ca="1">IFERROR(reading[[#This Row],[Previous]]+OFFSET(reading[[#Headers],[Memo 01]],-1,MATCH(0,reading[[#This Row],[Memo 01]:[Memo 07]],-1)-1),"")</f>
        <v>55829</v>
      </c>
      <c r="Y1775" s="10" t="str">
        <f ca="1">IF(reading[[#This Row],[Next]]&lt;&gt;"",IF(reading[[#This Row],[Next]]&gt;TODAY(),"OK",""),"")</f>
        <v>OK</v>
      </c>
      <c r="Z1775" s="13">
        <v>3</v>
      </c>
      <c r="AA1775" s="13">
        <v>1</v>
      </c>
      <c r="AB1775" s="13">
        <v>2</v>
      </c>
      <c r="AC1775" s="13">
        <v>2</v>
      </c>
      <c r="AD1775" s="13">
        <v>2</v>
      </c>
      <c r="AE1775" s="13">
        <v>3</v>
      </c>
      <c r="AF1775" s="13">
        <v>3</v>
      </c>
      <c r="AG1775" s="16">
        <f>IFERROR(SUMIF(reading[[#This Row],[1st]:[7th]],"&gt;0")/COUNTIF(reading[[#This Row],[1st]:[7th]],"&gt;0"),"")</f>
        <v>2.2857142857142856</v>
      </c>
    </row>
    <row r="1776" spans="1:33" hidden="1" x14ac:dyDescent="0.2">
      <c r="A1776" s="4">
        <f>IF(B1776=1,3,IF(D1776=1,2,IF(F1776=1,1,0)))</f>
        <v>0</v>
      </c>
      <c r="B1776" s="4" t="str">
        <f>IF(C1776=$L1776,1,IF(C1776="","",0))</f>
        <v/>
      </c>
      <c r="C1776" s="42"/>
      <c r="D1776" s="4" t="str">
        <f>IF(E1776=$L1776,1,IF(E1776="","",0))</f>
        <v/>
      </c>
      <c r="E1776" s="14"/>
      <c r="F1776" s="4" t="str">
        <f>IF(G1776=$L1776,1,IF(G1776="","",0))</f>
        <v/>
      </c>
      <c r="G1776" s="14"/>
      <c r="H1776" s="6">
        <v>2960</v>
      </c>
      <c r="I1776" s="15" t="s">
        <v>3120</v>
      </c>
      <c r="J1776" s="6" t="s">
        <v>5991</v>
      </c>
      <c r="K1776" s="6"/>
      <c r="L1776" s="6" t="s">
        <v>2990</v>
      </c>
      <c r="M1776" s="6" t="s">
        <v>9064</v>
      </c>
      <c r="N1776" s="7">
        <f ca="1">RAND()</f>
        <v>0.84221603334452189</v>
      </c>
      <c r="O1776" s="8">
        <v>45223</v>
      </c>
      <c r="P1776" s="8">
        <v>45224</v>
      </c>
      <c r="Q1776" s="8">
        <v>45226</v>
      </c>
      <c r="R1776" s="8">
        <v>45230</v>
      </c>
      <c r="S1776" s="8">
        <v>45237</v>
      </c>
      <c r="T1776" s="8">
        <v>45801</v>
      </c>
      <c r="U1776" s="8">
        <v>45829</v>
      </c>
      <c r="V1776" s="10">
        <f>COUNTA(O1776:U1776)</f>
        <v>7</v>
      </c>
      <c r="W1776" s="11">
        <f>_xlfn.IFNA(INDEX(reading[[#This Row],[Memo 01]:[Memo 07]],MATCH(0,reading[[#This Row],[Memo 01]:[Memo 07]],-1)),"")</f>
        <v>45829</v>
      </c>
      <c r="X1776" s="11">
        <f ca="1">IFERROR(reading[[#This Row],[Previous]]+OFFSET(reading[[#Headers],[Memo 01]],-1,MATCH(0,reading[[#This Row],[Memo 01]:[Memo 07]],-1)-1),"")</f>
        <v>55829</v>
      </c>
      <c r="Y1776" s="10" t="str">
        <f ca="1">IF(reading[[#This Row],[Next]]&lt;&gt;"",IF(reading[[#This Row],[Next]]&gt;TODAY(),"OK",""),"")</f>
        <v>OK</v>
      </c>
      <c r="Z1776" s="13">
        <v>3</v>
      </c>
      <c r="AA1776" s="13">
        <v>3</v>
      </c>
      <c r="AB1776" s="13">
        <v>3</v>
      </c>
      <c r="AC1776" s="13">
        <v>3</v>
      </c>
      <c r="AD1776" s="13">
        <v>3</v>
      </c>
      <c r="AE1776" s="13">
        <v>3</v>
      </c>
      <c r="AF1776" s="13">
        <v>3</v>
      </c>
      <c r="AG1776" s="16">
        <f>IFERROR(SUMIF(reading[[#This Row],[1st]:[7th]],"&gt;0")/COUNTIF(reading[[#This Row],[1st]:[7th]],"&gt;0"),"")</f>
        <v>3</v>
      </c>
    </row>
    <row r="1777" spans="1:33" hidden="1" x14ac:dyDescent="0.2">
      <c r="A1777" s="4">
        <f>IF(B1777=1,3,IF(D1777=1,2,IF(F1777=1,1,0)))</f>
        <v>0</v>
      </c>
      <c r="B1777" s="4" t="str">
        <f>IF(C1777=$L1777,1,IF(C1777="","",0))</f>
        <v/>
      </c>
      <c r="C1777" s="42"/>
      <c r="D1777" s="4" t="str">
        <f>IF(E1777=$L1777,1,IF(E1777="","",0))</f>
        <v/>
      </c>
      <c r="E1777" s="14"/>
      <c r="F1777" s="4" t="str">
        <f>IF(G1777=$L1777,1,IF(G1777="","",0))</f>
        <v/>
      </c>
      <c r="G1777" s="14"/>
      <c r="H1777" s="6">
        <v>2214</v>
      </c>
      <c r="I1777" s="15" t="s">
        <v>3120</v>
      </c>
      <c r="J1777" s="6" t="s">
        <v>5300</v>
      </c>
      <c r="K1777" s="6"/>
      <c r="L1777" s="6" t="s">
        <v>2277</v>
      </c>
      <c r="M1777" s="6" t="s">
        <v>8320</v>
      </c>
      <c r="N1777" s="7">
        <f ca="1">RAND()</f>
        <v>0.84786531923019814</v>
      </c>
      <c r="O1777" s="8">
        <v>45215</v>
      </c>
      <c r="P1777" s="8">
        <v>45216</v>
      </c>
      <c r="Q1777" s="8">
        <v>45218</v>
      </c>
      <c r="R1777" s="8">
        <v>45222</v>
      </c>
      <c r="S1777" s="8">
        <v>45229</v>
      </c>
      <c r="T1777" s="8">
        <v>45829</v>
      </c>
      <c r="U1777" s="8"/>
      <c r="V1777" s="10">
        <f>COUNTA(O1777:U1777)</f>
        <v>6</v>
      </c>
      <c r="W1777" s="11">
        <f>_xlfn.IFNA(INDEX(reading[[#This Row],[Memo 01]:[Memo 07]],MATCH(0,reading[[#This Row],[Memo 01]:[Memo 07]],-1)),"")</f>
        <v>45829</v>
      </c>
      <c r="X1777" s="11">
        <f ca="1">IFERROR(reading[[#This Row],[Previous]]+OFFSET(reading[[#Headers],[Memo 01]],-1,MATCH(0,reading[[#This Row],[Memo 01]:[Memo 07]],-1)-1),"")</f>
        <v>45849</v>
      </c>
      <c r="Y1777" s="10" t="str">
        <f ca="1">IF(reading[[#This Row],[Next]]&lt;&gt;"",IF(reading[[#This Row],[Next]]&gt;TODAY(),"OK",""),"")</f>
        <v>OK</v>
      </c>
      <c r="Z1777" s="13">
        <v>3</v>
      </c>
      <c r="AA1777" s="13">
        <v>3</v>
      </c>
      <c r="AB1777" s="13">
        <v>3</v>
      </c>
      <c r="AC1777" s="13">
        <v>3</v>
      </c>
      <c r="AD1777" s="13">
        <v>3</v>
      </c>
      <c r="AE1777" s="13">
        <v>3</v>
      </c>
      <c r="AF1777" s="13"/>
      <c r="AG1777" s="16">
        <f>IFERROR(SUMIF(reading[[#This Row],[1st]:[7th]],"&gt;0")/COUNTIF(reading[[#This Row],[1st]:[7th]],"&gt;0"),"")</f>
        <v>3</v>
      </c>
    </row>
    <row r="1778" spans="1:33" hidden="1" x14ac:dyDescent="0.2">
      <c r="A1778" s="4">
        <f>IF(B1778=1,3,IF(D1778=1,2,IF(F1778=1,1,0)))</f>
        <v>0</v>
      </c>
      <c r="B1778" s="4" t="str">
        <f>IF(C1778=$L1778,1,IF(C1778="","",0))</f>
        <v/>
      </c>
      <c r="C1778" s="42"/>
      <c r="D1778" s="4" t="str">
        <f>IF(E1778=$L1778,1,IF(E1778="","",0))</f>
        <v/>
      </c>
      <c r="E1778" s="23"/>
      <c r="F1778" s="4" t="str">
        <f>IF(G1778=$L1778,1,IF(G1778="","",0))</f>
        <v/>
      </c>
      <c r="G1778" s="14"/>
      <c r="H1778" s="6">
        <v>2271</v>
      </c>
      <c r="I1778" s="15" t="s">
        <v>3120</v>
      </c>
      <c r="J1778" s="6" t="s">
        <v>5353</v>
      </c>
      <c r="K1778" s="6"/>
      <c r="L1778" s="6" t="s">
        <v>2331</v>
      </c>
      <c r="M1778" s="6" t="s">
        <v>8376</v>
      </c>
      <c r="N1778" s="7">
        <f ca="1">RAND()</f>
        <v>0.40067894810422533</v>
      </c>
      <c r="O1778" s="8">
        <v>45215</v>
      </c>
      <c r="P1778" s="8">
        <v>45216</v>
      </c>
      <c r="Q1778" s="8">
        <v>45218</v>
      </c>
      <c r="R1778" s="8">
        <v>45222</v>
      </c>
      <c r="S1778" s="8">
        <v>45229</v>
      </c>
      <c r="T1778" s="8">
        <v>45816</v>
      </c>
      <c r="U1778" s="8"/>
      <c r="V1778" s="10">
        <f>COUNTA(O1778:U1778)</f>
        <v>6</v>
      </c>
      <c r="W1778" s="11">
        <f>_xlfn.IFNA(INDEX(reading[[#This Row],[Memo 01]:[Memo 07]],MATCH(0,reading[[#This Row],[Memo 01]:[Memo 07]],-1)),"")</f>
        <v>45816</v>
      </c>
      <c r="X1778" s="11">
        <f ca="1">IFERROR(reading[[#This Row],[Previous]]+OFFSET(reading[[#Headers],[Memo 01]],-1,MATCH(0,reading[[#This Row],[Memo 01]:[Memo 07]],-1)-1),"")</f>
        <v>45836</v>
      </c>
      <c r="Y1778" s="10" t="str">
        <f ca="1">IF(reading[[#This Row],[Next]]&lt;&gt;"",IF(reading[[#This Row],[Next]]&gt;TODAY(),"OK",""),"")</f>
        <v>OK</v>
      </c>
      <c r="Z1778" s="13">
        <v>3</v>
      </c>
      <c r="AA1778" s="13">
        <v>3</v>
      </c>
      <c r="AB1778" s="13">
        <v>3</v>
      </c>
      <c r="AC1778" s="13">
        <v>3</v>
      </c>
      <c r="AD1778" s="13">
        <v>3</v>
      </c>
      <c r="AE1778" s="13">
        <v>2</v>
      </c>
      <c r="AF1778" s="13"/>
      <c r="AG1778" s="16">
        <f>IFERROR(SUMIF(reading[[#This Row],[1st]:[7th]],"&gt;0")/COUNTIF(reading[[#This Row],[1st]:[7th]],"&gt;0"),"")</f>
        <v>2.8333333333333335</v>
      </c>
    </row>
    <row r="1779" spans="1:33" hidden="1" x14ac:dyDescent="0.2">
      <c r="A1779" s="4">
        <f>IF(B1779=1,3,IF(D1779=1,2,IF(F1779=1,1,0)))</f>
        <v>0</v>
      </c>
      <c r="B1779" s="4" t="str">
        <f>IF(C1779=$L1779,1,IF(C1779="","",0))</f>
        <v/>
      </c>
      <c r="C1779" s="42"/>
      <c r="D1779" s="4" t="str">
        <f>IF(E1779=$L1779,1,IF(E1779="","",0))</f>
        <v/>
      </c>
      <c r="E1779" s="14"/>
      <c r="F1779" s="4" t="str">
        <f>IF(G1779=$L1779,1,IF(G1779="","",0))</f>
        <v/>
      </c>
      <c r="G1779" s="14"/>
      <c r="H1779" s="6">
        <v>2791</v>
      </c>
      <c r="I1779" s="15" t="s">
        <v>3120</v>
      </c>
      <c r="J1779" s="6" t="s">
        <v>5834</v>
      </c>
      <c r="K1779" s="6"/>
      <c r="L1779" s="6" t="s">
        <v>2828</v>
      </c>
      <c r="M1779" s="6" t="s">
        <v>8895</v>
      </c>
      <c r="N1779" s="7">
        <f ca="1">RAND()</f>
        <v>1.7233856733511632E-2</v>
      </c>
      <c r="O1779" s="8">
        <v>45221</v>
      </c>
      <c r="P1779" s="8">
        <v>45222</v>
      </c>
      <c r="Q1779" s="8">
        <v>45224</v>
      </c>
      <c r="R1779" s="8">
        <v>45228</v>
      </c>
      <c r="S1779" s="8">
        <v>45235</v>
      </c>
      <c r="T1779" s="8">
        <v>45829</v>
      </c>
      <c r="U1779" s="8"/>
      <c r="V1779" s="10">
        <f>COUNTA(O1779:U1779)</f>
        <v>6</v>
      </c>
      <c r="W1779" s="11">
        <f>_xlfn.IFNA(INDEX(reading[[#This Row],[Memo 01]:[Memo 07]],MATCH(0,reading[[#This Row],[Memo 01]:[Memo 07]],-1)),"")</f>
        <v>45829</v>
      </c>
      <c r="X1779" s="11">
        <f ca="1">IFERROR(reading[[#This Row],[Previous]]+OFFSET(reading[[#Headers],[Memo 01]],-1,MATCH(0,reading[[#This Row],[Memo 01]:[Memo 07]],-1)-1),"")</f>
        <v>45849</v>
      </c>
      <c r="Y1779" s="10" t="str">
        <f ca="1">IF(reading[[#This Row],[Next]]&lt;&gt;"",IF(reading[[#This Row],[Next]]&gt;TODAY(),"OK",""),"")</f>
        <v>OK</v>
      </c>
      <c r="Z1779" s="13">
        <v>3</v>
      </c>
      <c r="AA1779" s="13">
        <v>3</v>
      </c>
      <c r="AB1779" s="13">
        <v>3</v>
      </c>
      <c r="AC1779" s="13">
        <v>3</v>
      </c>
      <c r="AD1779" s="13">
        <v>3</v>
      </c>
      <c r="AE1779" s="13">
        <v>3</v>
      </c>
      <c r="AF1779" s="13"/>
      <c r="AG1779" s="16">
        <f>IFERROR(SUMIF(reading[[#This Row],[1st]:[7th]],"&gt;0")/COUNTIF(reading[[#This Row],[1st]:[7th]],"&gt;0"),"")</f>
        <v>3</v>
      </c>
    </row>
    <row r="1780" spans="1:33" hidden="1" x14ac:dyDescent="0.2">
      <c r="A1780" s="4">
        <f>IF(B1780=1,3,IF(D1780=1,2,IF(F1780=1,1,0)))</f>
        <v>0</v>
      </c>
      <c r="B1780" s="4" t="str">
        <f>IF(C1780=$L1780,1,IF(C1780="","",0))</f>
        <v/>
      </c>
      <c r="C1780" s="42"/>
      <c r="D1780" s="4" t="str">
        <f>IF(E1780=$L1780,1,IF(E1780="","",0))</f>
        <v/>
      </c>
      <c r="E1780" s="14"/>
      <c r="F1780" s="4" t="str">
        <f>IF(G1780=$L1780,1,IF(G1780="","",0))</f>
        <v/>
      </c>
      <c r="G1780" s="14"/>
      <c r="H1780" s="6">
        <v>2374</v>
      </c>
      <c r="I1780" s="15" t="s">
        <v>3120</v>
      </c>
      <c r="J1780" s="6" t="s">
        <v>5448</v>
      </c>
      <c r="K1780" s="6"/>
      <c r="L1780" s="6" t="s">
        <v>2426</v>
      </c>
      <c r="M1780" s="6" t="s">
        <v>8479</v>
      </c>
      <c r="N1780" s="7">
        <f ca="1">RAND()</f>
        <v>0.22214475502707087</v>
      </c>
      <c r="O1780" s="8">
        <v>45216</v>
      </c>
      <c r="P1780" s="8">
        <v>45217</v>
      </c>
      <c r="Q1780" s="8">
        <v>45219</v>
      </c>
      <c r="R1780" s="8">
        <v>45223</v>
      </c>
      <c r="S1780" s="8">
        <v>45230</v>
      </c>
      <c r="T1780" s="8">
        <v>45830</v>
      </c>
      <c r="U1780" s="8"/>
      <c r="V1780" s="10">
        <f>COUNTA(O1780:U1780)</f>
        <v>6</v>
      </c>
      <c r="W1780" s="11">
        <f>_xlfn.IFNA(INDEX(reading[[#This Row],[Memo 01]:[Memo 07]],MATCH(0,reading[[#This Row],[Memo 01]:[Memo 07]],-1)),"")</f>
        <v>45830</v>
      </c>
      <c r="X1780" s="11">
        <f ca="1">IFERROR(reading[[#This Row],[Previous]]+OFFSET(reading[[#Headers],[Memo 01]],-1,MATCH(0,reading[[#This Row],[Memo 01]:[Memo 07]],-1)-1),"")</f>
        <v>45850</v>
      </c>
      <c r="Y1780" s="10" t="str">
        <f ca="1">IF(reading[[#This Row],[Next]]&lt;&gt;"",IF(reading[[#This Row],[Next]]&gt;TODAY(),"OK",""),"")</f>
        <v>OK</v>
      </c>
      <c r="Z1780" s="13">
        <v>3</v>
      </c>
      <c r="AA1780" s="13">
        <v>3</v>
      </c>
      <c r="AB1780" s="13">
        <v>3</v>
      </c>
      <c r="AC1780" s="13">
        <v>3</v>
      </c>
      <c r="AD1780" s="13">
        <v>3</v>
      </c>
      <c r="AE1780" s="13">
        <v>3</v>
      </c>
      <c r="AF1780" s="13"/>
      <c r="AG1780" s="16">
        <f>IFERROR(SUMIF(reading[[#This Row],[1st]:[7th]],"&gt;0")/COUNTIF(reading[[#This Row],[1st]:[7th]],"&gt;0"),"")</f>
        <v>3</v>
      </c>
    </row>
    <row r="1781" spans="1:33" hidden="1" x14ac:dyDescent="0.2">
      <c r="A1781" s="4">
        <f>IF(B1781=1,3,IF(D1781=1,2,IF(F1781=1,1,0)))</f>
        <v>0</v>
      </c>
      <c r="B1781" s="4" t="str">
        <f>IF(C1781=$L1781,1,IF(C1781="","",0))</f>
        <v/>
      </c>
      <c r="C1781" s="41"/>
      <c r="D1781" s="4" t="str">
        <f>IF(E1781=$L1781,1,IF(E1781="","",0))</f>
        <v/>
      </c>
      <c r="E1781" s="18"/>
      <c r="F1781" s="4" t="str">
        <f>IF(G1781=$L1781,1,IF(G1781="","",0))</f>
        <v/>
      </c>
      <c r="G1781" s="14"/>
      <c r="H1781" s="6">
        <v>312</v>
      </c>
      <c r="I1781" s="15" t="s">
        <v>3120</v>
      </c>
      <c r="J1781" s="6" t="s">
        <v>3459</v>
      </c>
      <c r="K1781" s="6"/>
      <c r="L1781" s="6" t="s">
        <v>447</v>
      </c>
      <c r="M1781" s="6" t="s">
        <v>6421</v>
      </c>
      <c r="N1781" s="7">
        <f ca="1">RAND()</f>
        <v>0.34059003967634183</v>
      </c>
      <c r="O1781" s="8">
        <v>45200</v>
      </c>
      <c r="P1781" s="8">
        <v>45201</v>
      </c>
      <c r="Q1781" s="8">
        <v>45203</v>
      </c>
      <c r="R1781" s="8">
        <v>45207</v>
      </c>
      <c r="S1781" s="8">
        <v>45214</v>
      </c>
      <c r="T1781" s="8">
        <v>45226</v>
      </c>
      <c r="U1781" s="8">
        <v>45250</v>
      </c>
      <c r="V1781" s="10">
        <f>COUNTA(O1781:U1781)</f>
        <v>7</v>
      </c>
      <c r="W1781" s="11">
        <f>_xlfn.IFNA(INDEX(reading[[#This Row],[Memo 01]:[Memo 07]],MATCH(0,reading[[#This Row],[Memo 01]:[Memo 07]],-1)),"")</f>
        <v>45250</v>
      </c>
      <c r="X1781" s="11">
        <f ca="1">IFERROR(reading[[#This Row],[Previous]]+OFFSET(reading[[#Headers],[Memo 01]],-1,MATCH(0,reading[[#This Row],[Memo 01]:[Memo 07]],-1)-1),"")</f>
        <v>55250</v>
      </c>
      <c r="Y1781" s="10" t="str">
        <f ca="1">IF(reading[[#This Row],[Next]]&lt;&gt;"",IF(reading[[#This Row],[Next]]&gt;TODAY(),"OK",""),"")</f>
        <v>OK</v>
      </c>
      <c r="Z1781" s="13">
        <v>3</v>
      </c>
      <c r="AA1781" s="13">
        <v>3</v>
      </c>
      <c r="AB1781" s="13">
        <v>1</v>
      </c>
      <c r="AC1781" s="13">
        <v>3</v>
      </c>
      <c r="AD1781" s="13">
        <v>2</v>
      </c>
      <c r="AE1781" s="13">
        <v>3</v>
      </c>
      <c r="AF1781" s="13">
        <v>1</v>
      </c>
      <c r="AG1781" s="16">
        <f>IFERROR(SUMIF(reading[[#This Row],[1st]:[7th]],"&gt;0")/COUNTIF(reading[[#This Row],[1st]:[7th]],"&gt;0"),"")</f>
        <v>2.2857142857142856</v>
      </c>
    </row>
    <row r="1782" spans="1:33" hidden="1" x14ac:dyDescent="0.2">
      <c r="A1782" s="4">
        <f>IF(B1782=1,3,IF(D1782=1,2,IF(F1782=1,1,0)))</f>
        <v>0</v>
      </c>
      <c r="B1782" s="4" t="str">
        <f>IF(C1782=$L1782,1,IF(C1782="","",0))</f>
        <v/>
      </c>
      <c r="C1782" s="42"/>
      <c r="D1782" s="4" t="str">
        <f>IF(E1782=$L1782,1,IF(E1782="","",0))</f>
        <v/>
      </c>
      <c r="E1782" s="18"/>
      <c r="F1782" s="4" t="str">
        <f>IF(G1782=$L1782,1,IF(G1782="","",0))</f>
        <v/>
      </c>
      <c r="G1782" s="14"/>
      <c r="H1782" s="6">
        <v>1119</v>
      </c>
      <c r="I1782" s="15" t="s">
        <v>3120</v>
      </c>
      <c r="J1782" s="6" t="s">
        <v>3998</v>
      </c>
      <c r="K1782" s="6"/>
      <c r="L1782" s="6" t="s">
        <v>1224</v>
      </c>
      <c r="M1782" s="6" t="s">
        <v>7227</v>
      </c>
      <c r="N1782" s="7">
        <f ca="1">RAND()</f>
        <v>6.7095662432882008E-2</v>
      </c>
      <c r="O1782" s="8">
        <v>45205</v>
      </c>
      <c r="P1782" s="8">
        <v>45206</v>
      </c>
      <c r="Q1782" s="8">
        <v>45208</v>
      </c>
      <c r="R1782" s="8">
        <v>45212</v>
      </c>
      <c r="S1782" s="8">
        <v>45219</v>
      </c>
      <c r="T1782" s="8">
        <v>45231</v>
      </c>
      <c r="U1782" s="8">
        <v>45829</v>
      </c>
      <c r="V1782" s="10">
        <f>COUNTA(O1782:U1782)</f>
        <v>7</v>
      </c>
      <c r="W1782" s="11">
        <f>_xlfn.IFNA(INDEX(reading[[#This Row],[Memo 01]:[Memo 07]],MATCH(0,reading[[#This Row],[Memo 01]:[Memo 07]],-1)),"")</f>
        <v>45829</v>
      </c>
      <c r="X1782" s="11">
        <f ca="1">IFERROR(reading[[#This Row],[Previous]]+OFFSET(reading[[#Headers],[Memo 01]],-1,MATCH(0,reading[[#This Row],[Memo 01]:[Memo 07]],-1)-1),"")</f>
        <v>55829</v>
      </c>
      <c r="Y1782" s="10" t="str">
        <f ca="1">IF(reading[[#This Row],[Next]]&lt;&gt;"",IF(reading[[#This Row],[Next]]&gt;TODAY(),"OK",""),"")</f>
        <v>OK</v>
      </c>
      <c r="Z1782" s="13">
        <v>3</v>
      </c>
      <c r="AA1782" s="13">
        <v>3</v>
      </c>
      <c r="AB1782" s="13">
        <v>3</v>
      </c>
      <c r="AC1782" s="13">
        <v>3</v>
      </c>
      <c r="AD1782" s="13">
        <v>2</v>
      </c>
      <c r="AE1782" s="13">
        <v>3</v>
      </c>
      <c r="AF1782" s="13">
        <v>3</v>
      </c>
      <c r="AG1782" s="16">
        <f>IFERROR(SUMIF(reading[[#This Row],[1st]:[7th]],"&gt;0")/COUNTIF(reading[[#This Row],[1st]:[7th]],"&gt;0"),"")</f>
        <v>2.8571428571428572</v>
      </c>
    </row>
    <row r="1783" spans="1:33" hidden="1" x14ac:dyDescent="0.2">
      <c r="A1783" s="4">
        <f>IF(B1783=1,3,IF(D1783=1,2,IF(F1783=1,1,0)))</f>
        <v>0</v>
      </c>
      <c r="B1783" s="4" t="str">
        <f>IF(C1783=$L1783,1,IF(C1783="","",0))</f>
        <v/>
      </c>
      <c r="C1783" s="42"/>
      <c r="D1783" s="4" t="str">
        <f>IF(E1783=$L1783,1,IF(E1783="","",0))</f>
        <v/>
      </c>
      <c r="E1783" s="43"/>
      <c r="F1783" s="4" t="str">
        <f>IF(G1783=$L1783,1,IF(G1783="","",0))</f>
        <v/>
      </c>
      <c r="G1783" s="43"/>
      <c r="H1783" s="6">
        <v>1131</v>
      </c>
      <c r="I1783" s="15" t="s">
        <v>3120</v>
      </c>
      <c r="J1783" s="6" t="s">
        <v>4252</v>
      </c>
      <c r="K1783" s="6"/>
      <c r="L1783" s="6" t="s">
        <v>1233</v>
      </c>
      <c r="M1783" s="6" t="s">
        <v>7239</v>
      </c>
      <c r="N1783" s="7">
        <f ca="1">RAND()</f>
        <v>0.6540682316661981</v>
      </c>
      <c r="O1783" s="8">
        <v>45205</v>
      </c>
      <c r="P1783" s="8">
        <v>45206</v>
      </c>
      <c r="Q1783" s="8">
        <v>45208</v>
      </c>
      <c r="R1783" s="8">
        <v>45220</v>
      </c>
      <c r="S1783" s="8">
        <v>45227</v>
      </c>
      <c r="T1783" s="8">
        <v>45252</v>
      </c>
      <c r="U1783" s="8">
        <v>45817</v>
      </c>
      <c r="V1783" s="10">
        <f>COUNTA(O1783:U1783)</f>
        <v>7</v>
      </c>
      <c r="W1783" s="11">
        <f>_xlfn.IFNA(INDEX(reading[[#This Row],[Memo 01]:[Memo 07]],MATCH(0,reading[[#This Row],[Memo 01]:[Memo 07]],-1)),"")</f>
        <v>45817</v>
      </c>
      <c r="X1783" s="11">
        <f ca="1">IFERROR(reading[[#This Row],[Previous]]+OFFSET(reading[[#Headers],[Memo 01]],-1,MATCH(0,reading[[#This Row],[Memo 01]:[Memo 07]],-1)-1),"")</f>
        <v>55817</v>
      </c>
      <c r="Y1783" s="10" t="str">
        <f ca="1">IF(reading[[#This Row],[Next]]&lt;&gt;"",IF(reading[[#This Row],[Next]]&gt;TODAY(),"OK",""),"")</f>
        <v>OK</v>
      </c>
      <c r="Z1783" s="13">
        <v>3</v>
      </c>
      <c r="AA1783" s="13">
        <v>3</v>
      </c>
      <c r="AB1783" s="13">
        <v>2</v>
      </c>
      <c r="AC1783" s="13">
        <v>3</v>
      </c>
      <c r="AD1783" s="13">
        <v>2</v>
      </c>
      <c r="AE1783" s="13">
        <v>2</v>
      </c>
      <c r="AF1783" s="13">
        <v>1</v>
      </c>
      <c r="AG1783" s="16">
        <f>IFERROR(SUMIF(reading[[#This Row],[1st]:[7th]],"&gt;0")/COUNTIF(reading[[#This Row],[1st]:[7th]],"&gt;0"),"")</f>
        <v>2.2857142857142856</v>
      </c>
    </row>
    <row r="1784" spans="1:33" hidden="1" x14ac:dyDescent="0.2">
      <c r="A1784" s="4">
        <f>IF(B1784=1,3,IF(D1784=1,2,IF(F1784=1,1,0)))</f>
        <v>0</v>
      </c>
      <c r="B1784" s="4" t="str">
        <f>IF(C1784=$L1784,1,IF(C1784="","",0))</f>
        <v/>
      </c>
      <c r="C1784" s="42"/>
      <c r="D1784" s="4" t="str">
        <f>IF(E1784=$L1784,1,IF(E1784="","",0))</f>
        <v/>
      </c>
      <c r="E1784" s="23"/>
      <c r="F1784" s="4" t="str">
        <f>IF(G1784=$L1784,1,IF(G1784="","",0))</f>
        <v/>
      </c>
      <c r="G1784" s="14"/>
      <c r="H1784" s="6">
        <v>1066</v>
      </c>
      <c r="I1784" s="15" t="s">
        <v>3120</v>
      </c>
      <c r="J1784" s="6" t="s">
        <v>4192</v>
      </c>
      <c r="K1784" s="6"/>
      <c r="L1784" s="6" t="s">
        <v>1174</v>
      </c>
      <c r="M1784" s="6" t="s">
        <v>7174</v>
      </c>
      <c r="N1784" s="7">
        <f ca="1">RAND()</f>
        <v>0.87912342822374034</v>
      </c>
      <c r="O1784" s="8">
        <v>45205</v>
      </c>
      <c r="P1784" s="8">
        <v>45206</v>
      </c>
      <c r="Q1784" s="8">
        <v>45208</v>
      </c>
      <c r="R1784" s="8">
        <v>45212</v>
      </c>
      <c r="S1784" s="8">
        <v>45219</v>
      </c>
      <c r="T1784" s="8">
        <v>45231</v>
      </c>
      <c r="U1784" s="8">
        <v>45825</v>
      </c>
      <c r="V1784" s="10">
        <f>COUNTA(O1784:U1784)</f>
        <v>7</v>
      </c>
      <c r="W1784" s="11">
        <f>_xlfn.IFNA(INDEX(reading[[#This Row],[Memo 01]:[Memo 07]],MATCH(0,reading[[#This Row],[Memo 01]:[Memo 07]],-1)),"")</f>
        <v>45825</v>
      </c>
      <c r="X1784" s="11">
        <f ca="1">IFERROR(reading[[#This Row],[Previous]]+OFFSET(reading[[#Headers],[Memo 01]],-1,MATCH(0,reading[[#This Row],[Memo 01]:[Memo 07]],-1)-1),"")</f>
        <v>55825</v>
      </c>
      <c r="Y1784" s="10" t="str">
        <f ca="1">IF(reading[[#This Row],[Next]]&lt;&gt;"",IF(reading[[#This Row],[Next]]&gt;TODAY(),"OK",""),"")</f>
        <v>OK</v>
      </c>
      <c r="Z1784" s="13">
        <v>3</v>
      </c>
      <c r="AA1784" s="13">
        <v>3</v>
      </c>
      <c r="AB1784" s="13">
        <v>3</v>
      </c>
      <c r="AC1784" s="13">
        <v>3</v>
      </c>
      <c r="AD1784" s="13">
        <v>3</v>
      </c>
      <c r="AE1784" s="13">
        <v>3</v>
      </c>
      <c r="AF1784" s="13">
        <v>2</v>
      </c>
      <c r="AG1784" s="16">
        <f>IFERROR(SUMIF(reading[[#This Row],[1st]:[7th]],"&gt;0")/COUNTIF(reading[[#This Row],[1st]:[7th]],"&gt;0"),"")</f>
        <v>2.8571428571428572</v>
      </c>
    </row>
    <row r="1785" spans="1:33" hidden="1" x14ac:dyDescent="0.2">
      <c r="A1785" s="4">
        <f>IF(B1785=1,3,IF(D1785=1,2,IF(F1785=1,1,0)))</f>
        <v>0</v>
      </c>
      <c r="B1785" s="4" t="str">
        <f>IF(C1785=$L1785,1,IF(C1785="","",0))</f>
        <v/>
      </c>
      <c r="C1785" s="42"/>
      <c r="D1785" s="4" t="str">
        <f>IF(E1785=$L1785,1,IF(E1785="","",0))</f>
        <v/>
      </c>
      <c r="E1785" s="18"/>
      <c r="F1785" s="4" t="str">
        <f>IF(G1785=$L1785,1,IF(G1785="","",0))</f>
        <v/>
      </c>
      <c r="G1785" s="14"/>
      <c r="H1785" s="6">
        <v>623</v>
      </c>
      <c r="I1785" s="15" t="s">
        <v>3120</v>
      </c>
      <c r="J1785" s="6" t="s">
        <v>3765</v>
      </c>
      <c r="K1785" s="6"/>
      <c r="L1785" s="6" t="s">
        <v>746</v>
      </c>
      <c r="M1785" s="6" t="s">
        <v>6732</v>
      </c>
      <c r="N1785" s="7">
        <f ca="1">RAND()</f>
        <v>0.55541922897335405</v>
      </c>
      <c r="O1785" s="8">
        <v>45202</v>
      </c>
      <c r="P1785" s="8">
        <v>45203</v>
      </c>
      <c r="Q1785" s="8">
        <v>45205</v>
      </c>
      <c r="R1785" s="8">
        <v>45209</v>
      </c>
      <c r="S1785" s="8">
        <v>45216</v>
      </c>
      <c r="T1785" s="8">
        <v>45228</v>
      </c>
      <c r="U1785" s="8">
        <v>45830</v>
      </c>
      <c r="V1785" s="10">
        <f>COUNTA(O1785:U1785)</f>
        <v>7</v>
      </c>
      <c r="W1785" s="11">
        <f>_xlfn.IFNA(INDEX(reading[[#This Row],[Memo 01]:[Memo 07]],MATCH(0,reading[[#This Row],[Memo 01]:[Memo 07]],-1)),"")</f>
        <v>45830</v>
      </c>
      <c r="X1785" s="11">
        <f ca="1">IFERROR(reading[[#This Row],[Previous]]+OFFSET(reading[[#Headers],[Memo 01]],-1,MATCH(0,reading[[#This Row],[Memo 01]:[Memo 07]],-1)-1),"")</f>
        <v>55830</v>
      </c>
      <c r="Y1785" s="10" t="str">
        <f ca="1">IF(reading[[#This Row],[Next]]&lt;&gt;"",IF(reading[[#This Row],[Next]]&gt;TODAY(),"OK",""),"")</f>
        <v>OK</v>
      </c>
      <c r="Z1785" s="13">
        <v>3</v>
      </c>
      <c r="AA1785" s="13">
        <v>3</v>
      </c>
      <c r="AB1785" s="13">
        <v>3</v>
      </c>
      <c r="AC1785" s="13">
        <v>3</v>
      </c>
      <c r="AD1785" s="13">
        <v>2</v>
      </c>
      <c r="AE1785" s="13">
        <v>3</v>
      </c>
      <c r="AF1785" s="13">
        <v>3</v>
      </c>
      <c r="AG1785" s="16">
        <f>IFERROR(SUMIF(reading[[#This Row],[1st]:[7th]],"&gt;0")/COUNTIF(reading[[#This Row],[1st]:[7th]],"&gt;0"),"")</f>
        <v>2.8571428571428572</v>
      </c>
    </row>
    <row r="1786" spans="1:33" x14ac:dyDescent="0.2">
      <c r="A1786" s="4">
        <f>IF(B1786=1,3,IF(D1786=1,2,IF(F1786=1,1,0)))</f>
        <v>3</v>
      </c>
      <c r="B1786" s="4">
        <f>IF(C1786=$L1786,1,IF(C1786="","",0))</f>
        <v>1</v>
      </c>
      <c r="C1786" s="42" t="s">
        <v>9210</v>
      </c>
      <c r="D1786" s="4" t="str">
        <f>IF(E1786=$L1786,1,IF(E1786="","",0))</f>
        <v/>
      </c>
      <c r="E1786" s="14"/>
      <c r="F1786" s="4" t="str">
        <f>IF(G1786=$L1786,1,IF(G1786="","",0))</f>
        <v/>
      </c>
      <c r="G1786" s="14"/>
      <c r="H1786" s="6">
        <v>2846</v>
      </c>
      <c r="I1786" s="15" t="s">
        <v>3120</v>
      </c>
      <c r="J1786" s="6" t="s">
        <v>5886</v>
      </c>
      <c r="K1786" s="6"/>
      <c r="L1786" s="6" t="s">
        <v>2881</v>
      </c>
      <c r="M1786" s="6" t="s">
        <v>8950</v>
      </c>
      <c r="N1786" s="7">
        <f ca="1">RAND()</f>
        <v>3.4470886458481953E-4</v>
      </c>
      <c r="O1786" s="8">
        <v>45222</v>
      </c>
      <c r="P1786" s="8">
        <v>45223</v>
      </c>
      <c r="Q1786" s="8">
        <v>45225</v>
      </c>
      <c r="R1786" s="8">
        <v>45229</v>
      </c>
      <c r="S1786" s="8">
        <v>45236</v>
      </c>
      <c r="T1786" s="8">
        <v>45792</v>
      </c>
      <c r="U1786" s="8"/>
      <c r="V1786" s="10">
        <f>COUNTA(O1786:U1786)</f>
        <v>6</v>
      </c>
      <c r="W1786" s="11">
        <f>_xlfn.IFNA(INDEX(reading[[#This Row],[Memo 01]:[Memo 07]],MATCH(0,reading[[#This Row],[Memo 01]:[Memo 07]],-1)),"")</f>
        <v>45792</v>
      </c>
      <c r="X1786" s="11">
        <f ca="1">IFERROR(reading[[#This Row],[Previous]]+OFFSET(reading[[#Headers],[Memo 01]],-1,MATCH(0,reading[[#This Row],[Memo 01]:[Memo 07]],-1)-1),"")</f>
        <v>45812</v>
      </c>
      <c r="Y1786" s="10" t="str">
        <f ca="1">IF(reading[[#This Row],[Next]]&lt;&gt;"",IF(reading[[#This Row],[Next]]&gt;TODAY(),"OK",""),"")</f>
        <v/>
      </c>
      <c r="Z1786" s="13">
        <v>3</v>
      </c>
      <c r="AA1786" s="13">
        <v>3</v>
      </c>
      <c r="AB1786" s="13">
        <v>3</v>
      </c>
      <c r="AC1786" s="13">
        <v>3</v>
      </c>
      <c r="AD1786" s="13">
        <v>3</v>
      </c>
      <c r="AE1786" s="13">
        <v>3</v>
      </c>
      <c r="AF1786" s="13"/>
      <c r="AG1786" s="16">
        <f>IFERROR(SUMIF(reading[[#This Row],[1st]:[7th]],"&gt;0")/COUNTIF(reading[[#This Row],[1st]:[7th]],"&gt;0"),"")</f>
        <v>3</v>
      </c>
    </row>
    <row r="1787" spans="1:33" hidden="1" x14ac:dyDescent="0.2">
      <c r="A1787" s="4">
        <f>IF(B1787=1,3,IF(D1787=1,2,IF(F1787=1,1,0)))</f>
        <v>0</v>
      </c>
      <c r="B1787" s="4" t="str">
        <f>IF(C1787=$L1787,1,IF(C1787="","",0))</f>
        <v/>
      </c>
      <c r="C1787" s="42"/>
      <c r="D1787" s="4" t="str">
        <f>IF(E1787=$L1787,1,IF(E1787="","",0))</f>
        <v/>
      </c>
      <c r="E1787" s="23"/>
      <c r="F1787" s="4" t="str">
        <f>IF(G1787=$L1787,1,IF(G1787="","",0))</f>
        <v/>
      </c>
      <c r="G1787" s="23"/>
      <c r="H1787" s="6">
        <v>2535</v>
      </c>
      <c r="I1787" s="15" t="s">
        <v>3120</v>
      </c>
      <c r="J1787" s="6" t="s">
        <v>5597</v>
      </c>
      <c r="K1787" s="6"/>
      <c r="L1787" s="6" t="s">
        <v>2580</v>
      </c>
      <c r="M1787" s="6" t="s">
        <v>8640</v>
      </c>
      <c r="N1787" s="7">
        <f ca="1">RAND()</f>
        <v>0.47143205097775098</v>
      </c>
      <c r="O1787" s="8">
        <v>45219</v>
      </c>
      <c r="P1787" s="8">
        <v>45220</v>
      </c>
      <c r="Q1787" s="8">
        <v>45222</v>
      </c>
      <c r="R1787" s="8">
        <v>45226</v>
      </c>
      <c r="S1787" s="8">
        <v>45233</v>
      </c>
      <c r="T1787" s="8">
        <v>45817</v>
      </c>
      <c r="U1787" s="8"/>
      <c r="V1787" s="10">
        <f>COUNTA(O1787:U1787)</f>
        <v>6</v>
      </c>
      <c r="W1787" s="11">
        <f>_xlfn.IFNA(INDEX(reading[[#This Row],[Memo 01]:[Memo 07]],MATCH(0,reading[[#This Row],[Memo 01]:[Memo 07]],-1)),"")</f>
        <v>45817</v>
      </c>
      <c r="X1787" s="11">
        <f ca="1">IFERROR(reading[[#This Row],[Previous]]+OFFSET(reading[[#Headers],[Memo 01]],-1,MATCH(0,reading[[#This Row],[Memo 01]:[Memo 07]],-1)-1),"")</f>
        <v>45837</v>
      </c>
      <c r="Y1787" s="10" t="str">
        <f ca="1">IF(reading[[#This Row],[Next]]&lt;&gt;"",IF(reading[[#This Row],[Next]]&gt;TODAY(),"OK",""),"")</f>
        <v>OK</v>
      </c>
      <c r="Z1787" s="13">
        <v>3</v>
      </c>
      <c r="AA1787" s="13">
        <v>3</v>
      </c>
      <c r="AB1787" s="13">
        <v>3</v>
      </c>
      <c r="AC1787" s="13">
        <v>3</v>
      </c>
      <c r="AD1787" s="13">
        <v>3</v>
      </c>
      <c r="AE1787" s="13">
        <v>1</v>
      </c>
      <c r="AF1787" s="13"/>
      <c r="AG1787" s="16">
        <f>IFERROR(SUMIF(reading[[#This Row],[1st]:[7th]],"&gt;0")/COUNTIF(reading[[#This Row],[1st]:[7th]],"&gt;0"),"")</f>
        <v>2.6666666666666665</v>
      </c>
    </row>
    <row r="1788" spans="1:33" x14ac:dyDescent="0.2">
      <c r="A1788" s="4">
        <f>IF(B1788=1,3,IF(D1788=1,2,IF(F1788=1,1,0)))</f>
        <v>0</v>
      </c>
      <c r="B1788" s="4">
        <f>IF(C1788=$L1788,1,IF(C1788="","",0))</f>
        <v>0</v>
      </c>
      <c r="C1788" s="42" t="s">
        <v>9314</v>
      </c>
      <c r="D1788" s="4" t="str">
        <f>IF(E1788=$L1788,1,IF(E1788="","",0))</f>
        <v/>
      </c>
      <c r="E1788" s="14"/>
      <c r="F1788" s="4" t="str">
        <f>IF(G1788=$L1788,1,IF(G1788="","",0))</f>
        <v/>
      </c>
      <c r="G1788" s="14"/>
      <c r="H1788" s="6">
        <v>2947</v>
      </c>
      <c r="I1788" s="15" t="s">
        <v>3120</v>
      </c>
      <c r="J1788" s="6" t="s">
        <v>5980</v>
      </c>
      <c r="K1788" s="6"/>
      <c r="L1788" s="6" t="s">
        <v>2977</v>
      </c>
      <c r="M1788" s="6" t="s">
        <v>9051</v>
      </c>
      <c r="N1788" s="7">
        <f ca="1">RAND()</f>
        <v>3.2741868891179249E-2</v>
      </c>
      <c r="O1788" s="8">
        <v>45223</v>
      </c>
      <c r="P1788" s="8">
        <v>45224</v>
      </c>
      <c r="Q1788" s="8">
        <v>45226</v>
      </c>
      <c r="R1788" s="8">
        <v>45230</v>
      </c>
      <c r="S1788" s="8">
        <v>45237</v>
      </c>
      <c r="T1788" s="8"/>
      <c r="U1788" s="8"/>
      <c r="V1788" s="10">
        <f>COUNTA(O1788:U1788)</f>
        <v>5</v>
      </c>
      <c r="W1788" s="11">
        <f>_xlfn.IFNA(INDEX(reading[[#This Row],[Memo 01]:[Memo 07]],MATCH(0,reading[[#This Row],[Memo 01]:[Memo 07]],-1)),"")</f>
        <v>45237</v>
      </c>
      <c r="X1788" s="11">
        <f ca="1">IFERROR(reading[[#This Row],[Previous]]+OFFSET(reading[[#Headers],[Memo 01]],-1,MATCH(0,reading[[#This Row],[Memo 01]:[Memo 07]],-1)-1),"")</f>
        <v>45249</v>
      </c>
      <c r="Y1788" s="10" t="str">
        <f ca="1">IF(reading[[#This Row],[Next]]&lt;&gt;"",IF(reading[[#This Row],[Next]]&gt;TODAY(),"OK",""),"")</f>
        <v/>
      </c>
      <c r="Z1788" s="13">
        <v>3</v>
      </c>
      <c r="AA1788" s="13">
        <v>3</v>
      </c>
      <c r="AB1788" s="13">
        <v>3</v>
      </c>
      <c r="AC1788" s="13">
        <v>3</v>
      </c>
      <c r="AD1788" s="13">
        <v>3</v>
      </c>
      <c r="AE1788" s="13"/>
      <c r="AF1788" s="13"/>
      <c r="AG1788" s="16">
        <f>IFERROR(SUMIF(reading[[#This Row],[1st]:[7th]],"&gt;0")/COUNTIF(reading[[#This Row],[1st]:[7th]],"&gt;0"),"")</f>
        <v>3</v>
      </c>
    </row>
    <row r="1789" spans="1:33" hidden="1" x14ac:dyDescent="0.2">
      <c r="A1789" s="4">
        <f>IF(B1789=1,3,IF(D1789=1,2,IF(F1789=1,1,0)))</f>
        <v>3</v>
      </c>
      <c r="B1789" s="4">
        <f>IF(C1789=$L1789,1,IF(C1789="","",0))</f>
        <v>1</v>
      </c>
      <c r="C1789" s="32" t="s">
        <v>1872</v>
      </c>
      <c r="D1789" s="4" t="str">
        <f>IF(E1789=$L1789,1,IF(E1789="","",0))</f>
        <v/>
      </c>
      <c r="E1789" s="14"/>
      <c r="F1789" s="4" t="str">
        <f>IF(G1789=$L1789,1,IF(G1789="","",0))</f>
        <v/>
      </c>
      <c r="G1789" s="14"/>
      <c r="H1789" s="6">
        <v>1793</v>
      </c>
      <c r="I1789" s="15" t="s">
        <v>3120</v>
      </c>
      <c r="J1789" s="6" t="s">
        <v>4900</v>
      </c>
      <c r="K1789" s="6"/>
      <c r="L1789" s="6" t="s">
        <v>1872</v>
      </c>
      <c r="M1789" s="6" t="s">
        <v>7899</v>
      </c>
      <c r="N1789" s="7">
        <f ca="1">RAND()</f>
        <v>0.85439168927327191</v>
      </c>
      <c r="O1789" s="8">
        <v>45211</v>
      </c>
      <c r="P1789" s="8">
        <v>45211</v>
      </c>
      <c r="Q1789" s="8">
        <v>45211</v>
      </c>
      <c r="R1789" s="8">
        <v>45211</v>
      </c>
      <c r="S1789" s="8">
        <v>45211</v>
      </c>
      <c r="T1789" s="8">
        <v>45211</v>
      </c>
      <c r="U1789" s="8">
        <v>45211</v>
      </c>
      <c r="V1789" s="10">
        <f>COUNTA(O1789:U1789)</f>
        <v>7</v>
      </c>
      <c r="W1789" s="11">
        <f>_xlfn.IFNA(INDEX(reading[[#This Row],[Memo 01]:[Memo 07]],MATCH(0,reading[[#This Row],[Memo 01]:[Memo 07]],-1)),"")</f>
        <v>45211</v>
      </c>
      <c r="X1789" s="11">
        <f ca="1">IFERROR(reading[[#This Row],[Previous]]+OFFSET(reading[[#Headers],[Memo 01]],-1,MATCH(0,reading[[#This Row],[Memo 01]:[Memo 07]],-1)-1),"")</f>
        <v>55211</v>
      </c>
      <c r="Y1789" s="10" t="str">
        <f ca="1">IF(reading[[#This Row],[Next]]&lt;&gt;"",IF(reading[[#This Row],[Next]]&gt;TODAY(),"OK",""),"")</f>
        <v>OK</v>
      </c>
      <c r="Z1789" s="13">
        <v>3</v>
      </c>
      <c r="AA1789" s="13"/>
      <c r="AB1789" s="13"/>
      <c r="AC1789" s="13"/>
      <c r="AD1789" s="13"/>
      <c r="AE1789" s="13"/>
      <c r="AF1789" s="13"/>
      <c r="AG1789" s="16">
        <f>IFERROR(SUMIF(reading[[#This Row],[1st]:[7th]],"&gt;0")/COUNTIF(reading[[#This Row],[1st]:[7th]],"&gt;0"),"")</f>
        <v>3</v>
      </c>
    </row>
    <row r="1790" spans="1:33" hidden="1" x14ac:dyDescent="0.2">
      <c r="A1790" s="4">
        <f>IF(B1790=1,3,IF(D1790=1,2,IF(F1790=1,1,0)))</f>
        <v>0</v>
      </c>
      <c r="B1790" s="4" t="str">
        <f>IF(C1790=$L1790,1,IF(C1790="","",0))</f>
        <v/>
      </c>
      <c r="C1790" s="42"/>
      <c r="D1790" s="4" t="str">
        <f>IF(E1790=$L1790,1,IF(E1790="","",0))</f>
        <v/>
      </c>
      <c r="E1790" s="18"/>
      <c r="F1790" s="4" t="str">
        <f>IF(G1790=$L1790,1,IF(G1790="","",0))</f>
        <v/>
      </c>
      <c r="G1790" s="14"/>
      <c r="H1790" s="6">
        <v>1568</v>
      </c>
      <c r="I1790" s="15" t="s">
        <v>3120</v>
      </c>
      <c r="J1790" s="6" t="s">
        <v>4681</v>
      </c>
      <c r="K1790" s="15" t="s">
        <v>3139</v>
      </c>
      <c r="L1790" s="6" t="s">
        <v>1653</v>
      </c>
      <c r="M1790" s="6" t="s">
        <v>7674</v>
      </c>
      <c r="N1790" s="7">
        <f ca="1">RAND()</f>
        <v>0.62785863197139535</v>
      </c>
      <c r="O1790" s="8">
        <v>45209</v>
      </c>
      <c r="P1790" s="8">
        <v>45210</v>
      </c>
      <c r="Q1790" s="8">
        <v>45212</v>
      </c>
      <c r="R1790" s="8">
        <v>45216</v>
      </c>
      <c r="S1790" s="8">
        <v>45223</v>
      </c>
      <c r="T1790" s="8">
        <v>45235</v>
      </c>
      <c r="U1790" s="8">
        <v>45829</v>
      </c>
      <c r="V1790" s="10">
        <f>COUNTA(O1790:U1790)</f>
        <v>7</v>
      </c>
      <c r="W1790" s="11">
        <f>_xlfn.IFNA(INDEX(reading[[#This Row],[Memo 01]:[Memo 07]],MATCH(0,reading[[#This Row],[Memo 01]:[Memo 07]],-1)),"")</f>
        <v>45829</v>
      </c>
      <c r="X1790" s="11">
        <f ca="1">IFERROR(reading[[#This Row],[Previous]]+OFFSET(reading[[#Headers],[Memo 01]],-1,MATCH(0,reading[[#This Row],[Memo 01]:[Memo 07]],-1)-1),"")</f>
        <v>55829</v>
      </c>
      <c r="Y1790" s="10" t="str">
        <f ca="1">IF(reading[[#This Row],[Next]]&lt;&gt;"",IF(reading[[#This Row],[Next]]&gt;TODAY(),"OK",""),"")</f>
        <v>OK</v>
      </c>
      <c r="Z1790" s="13">
        <v>3</v>
      </c>
      <c r="AA1790" s="13">
        <v>3</v>
      </c>
      <c r="AB1790" s="13">
        <v>3</v>
      </c>
      <c r="AC1790" s="13">
        <v>3</v>
      </c>
      <c r="AD1790" s="13">
        <v>2</v>
      </c>
      <c r="AE1790" s="13">
        <v>3</v>
      </c>
      <c r="AF1790" s="13">
        <v>3</v>
      </c>
      <c r="AG1790" s="16">
        <f>IFERROR(SUMIF(reading[[#This Row],[1st]:[7th]],"&gt;0")/COUNTIF(reading[[#This Row],[1st]:[7th]],"&gt;0"),"")</f>
        <v>2.8571428571428572</v>
      </c>
    </row>
    <row r="1791" spans="1:33" hidden="1" x14ac:dyDescent="0.2">
      <c r="A1791" s="4">
        <f>IF(B1791=1,3,IF(D1791=1,2,IF(F1791=1,1,0)))</f>
        <v>0</v>
      </c>
      <c r="B1791" s="4" t="str">
        <f>IF(C1791=$L1791,1,IF(C1791="","",0))</f>
        <v/>
      </c>
      <c r="C1791" s="42"/>
      <c r="D1791" s="4" t="str">
        <f>IF(E1791=$L1791,1,IF(E1791="","",0))</f>
        <v/>
      </c>
      <c r="E1791" s="23"/>
      <c r="F1791" s="4" t="str">
        <f>IF(G1791=$L1791,1,IF(G1791="","",0))</f>
        <v/>
      </c>
      <c r="G1791" s="14"/>
      <c r="H1791" s="6">
        <v>1181</v>
      </c>
      <c r="I1791" s="15" t="s">
        <v>3120</v>
      </c>
      <c r="J1791" s="6" t="s">
        <v>4300</v>
      </c>
      <c r="K1791" s="6"/>
      <c r="L1791" s="6" t="s">
        <v>1283</v>
      </c>
      <c r="M1791" s="6" t="s">
        <v>7289</v>
      </c>
      <c r="N1791" s="7">
        <f ca="1">RAND()</f>
        <v>0.87926461771896858</v>
      </c>
      <c r="O1791" s="8">
        <v>45206</v>
      </c>
      <c r="P1791" s="8">
        <v>45207</v>
      </c>
      <c r="Q1791" s="8">
        <v>45209</v>
      </c>
      <c r="R1791" s="8">
        <v>45213</v>
      </c>
      <c r="S1791" s="8">
        <v>45220</v>
      </c>
      <c r="T1791" s="8">
        <v>45232</v>
      </c>
      <c r="U1791" s="8">
        <v>45829</v>
      </c>
      <c r="V1791" s="10">
        <f>COUNTA(O1791:U1791)</f>
        <v>7</v>
      </c>
      <c r="W1791" s="11">
        <f>_xlfn.IFNA(INDEX(reading[[#This Row],[Memo 01]:[Memo 07]],MATCH(0,reading[[#This Row],[Memo 01]:[Memo 07]],-1)),"")</f>
        <v>45829</v>
      </c>
      <c r="X1791" s="11">
        <f ca="1">IFERROR(reading[[#This Row],[Previous]]+OFFSET(reading[[#Headers],[Memo 01]],-1,MATCH(0,reading[[#This Row],[Memo 01]:[Memo 07]],-1)-1),"")</f>
        <v>55829</v>
      </c>
      <c r="Y1791" s="10" t="str">
        <f ca="1">IF(reading[[#This Row],[Next]]&lt;&gt;"",IF(reading[[#This Row],[Next]]&gt;TODAY(),"OK",""),"")</f>
        <v>OK</v>
      </c>
      <c r="Z1791" s="13">
        <v>3</v>
      </c>
      <c r="AA1791" s="13">
        <v>3</v>
      </c>
      <c r="AB1791" s="13">
        <v>2</v>
      </c>
      <c r="AC1791" s="13">
        <v>3</v>
      </c>
      <c r="AD1791" s="13">
        <v>3</v>
      </c>
      <c r="AE1791" s="13">
        <v>3</v>
      </c>
      <c r="AF1791" s="13">
        <v>3</v>
      </c>
      <c r="AG1791" s="16">
        <f>IFERROR(SUMIF(reading[[#This Row],[1st]:[7th]],"&gt;0")/COUNTIF(reading[[#This Row],[1st]:[7th]],"&gt;0"),"")</f>
        <v>2.8571428571428572</v>
      </c>
    </row>
    <row r="1792" spans="1:33" x14ac:dyDescent="0.2">
      <c r="A1792" s="4">
        <f>IF(B1792=1,3,IF(D1792=1,2,IF(F1792=1,1,0)))</f>
        <v>3</v>
      </c>
      <c r="B1792" s="4">
        <f>IF(C1792=$L1792,1,IF(C1792="","",0))</f>
        <v>1</v>
      </c>
      <c r="C1792" s="42" t="s">
        <v>9315</v>
      </c>
      <c r="D1792" s="4" t="str">
        <f>IF(E1792=$L1792,1,IF(E1792="","",0))</f>
        <v/>
      </c>
      <c r="E1792" s="14"/>
      <c r="F1792" s="4" t="str">
        <f>IF(G1792=$L1792,1,IF(G1792="","",0))</f>
        <v/>
      </c>
      <c r="G1792" s="14"/>
      <c r="H1792" s="6">
        <v>731</v>
      </c>
      <c r="I1792" s="15" t="s">
        <v>3120</v>
      </c>
      <c r="J1792" s="6" t="s">
        <v>3869</v>
      </c>
      <c r="K1792" s="6"/>
      <c r="L1792" s="6" t="s">
        <v>91</v>
      </c>
      <c r="M1792" s="6" t="s">
        <v>6840</v>
      </c>
      <c r="N1792" s="7">
        <f ca="1">RAND()</f>
        <v>0.45760427720740349</v>
      </c>
      <c r="O1792" s="8">
        <v>45203</v>
      </c>
      <c r="P1792" s="8">
        <v>45204</v>
      </c>
      <c r="Q1792" s="8">
        <v>45206</v>
      </c>
      <c r="R1792" s="8">
        <v>45210</v>
      </c>
      <c r="S1792" s="8">
        <v>45217</v>
      </c>
      <c r="T1792" s="8">
        <v>45229</v>
      </c>
      <c r="U1792" s="8"/>
      <c r="V1792" s="10">
        <f>COUNTA(O1792:U1792)</f>
        <v>6</v>
      </c>
      <c r="W1792" s="11">
        <f>_xlfn.IFNA(INDEX(reading[[#This Row],[Memo 01]:[Memo 07]],MATCH(0,reading[[#This Row],[Memo 01]:[Memo 07]],-1)),"")</f>
        <v>45229</v>
      </c>
      <c r="X1792" s="11">
        <f ca="1">IFERROR(reading[[#This Row],[Previous]]+OFFSET(reading[[#Headers],[Memo 01]],-1,MATCH(0,reading[[#This Row],[Memo 01]:[Memo 07]],-1)-1),"")</f>
        <v>45249</v>
      </c>
      <c r="Y1792" s="10" t="str">
        <f ca="1">IF(reading[[#This Row],[Next]]&lt;&gt;"",IF(reading[[#This Row],[Next]]&gt;TODAY(),"OK",""),"")</f>
        <v/>
      </c>
      <c r="Z1792" s="13">
        <v>3</v>
      </c>
      <c r="AA1792" s="13">
        <v>3</v>
      </c>
      <c r="AB1792" s="13">
        <v>3</v>
      </c>
      <c r="AC1792" s="13">
        <v>3</v>
      </c>
      <c r="AD1792" s="13">
        <v>3</v>
      </c>
      <c r="AE1792" s="13">
        <v>3</v>
      </c>
      <c r="AF1792" s="13"/>
      <c r="AG1792" s="16">
        <f>IFERROR(SUMIF(reading[[#This Row],[1st]:[7th]],"&gt;0")/COUNTIF(reading[[#This Row],[1st]:[7th]],"&gt;0"),"")</f>
        <v>3</v>
      </c>
    </row>
    <row r="1793" spans="1:33" hidden="1" x14ac:dyDescent="0.2">
      <c r="A1793" s="4">
        <f>IF(B1793=1,3,IF(D1793=1,2,IF(F1793=1,1,0)))</f>
        <v>0</v>
      </c>
      <c r="B1793" s="4" t="str">
        <f>IF(C1793=$L1793,1,IF(C1793="","",0))</f>
        <v/>
      </c>
      <c r="C1793" s="42"/>
      <c r="D1793" s="4" t="str">
        <f>IF(E1793=$L1793,1,IF(E1793="","",0))</f>
        <v/>
      </c>
      <c r="E1793" s="14"/>
      <c r="F1793" s="4" t="str">
        <f>IF(G1793=$L1793,1,IF(G1793="","",0))</f>
        <v/>
      </c>
      <c r="G1793" s="14"/>
      <c r="H1793" s="6">
        <v>2109</v>
      </c>
      <c r="I1793" s="15" t="s">
        <v>3120</v>
      </c>
      <c r="J1793" s="6" t="s">
        <v>5198</v>
      </c>
      <c r="K1793" s="6"/>
      <c r="L1793" s="6" t="s">
        <v>2177</v>
      </c>
      <c r="M1793" s="6" t="s">
        <v>8215</v>
      </c>
      <c r="N1793" s="7">
        <f ca="1">RAND()</f>
        <v>0.87431897028312711</v>
      </c>
      <c r="O1793" s="8">
        <v>45214</v>
      </c>
      <c r="P1793" s="8">
        <v>45215</v>
      </c>
      <c r="Q1793" s="8">
        <v>45217</v>
      </c>
      <c r="R1793" s="8">
        <v>45221</v>
      </c>
      <c r="S1793" s="8">
        <v>45228</v>
      </c>
      <c r="T1793" s="8">
        <v>45783</v>
      </c>
      <c r="U1793" s="8">
        <v>45830</v>
      </c>
      <c r="V1793" s="10">
        <f>COUNTA(O1793:U1793)</f>
        <v>7</v>
      </c>
      <c r="W1793" s="11">
        <f>_xlfn.IFNA(INDEX(reading[[#This Row],[Memo 01]:[Memo 07]],MATCH(0,reading[[#This Row],[Memo 01]:[Memo 07]],-1)),"")</f>
        <v>45830</v>
      </c>
      <c r="X1793" s="11">
        <f ca="1">IFERROR(reading[[#This Row],[Previous]]+OFFSET(reading[[#Headers],[Memo 01]],-1,MATCH(0,reading[[#This Row],[Memo 01]:[Memo 07]],-1)-1),"")</f>
        <v>55830</v>
      </c>
      <c r="Y1793" s="10" t="str">
        <f ca="1">IF(reading[[#This Row],[Next]]&lt;&gt;"",IF(reading[[#This Row],[Next]]&gt;TODAY(),"OK",""),"")</f>
        <v>OK</v>
      </c>
      <c r="Z1793" s="13">
        <v>3</v>
      </c>
      <c r="AA1793" s="13">
        <v>3</v>
      </c>
      <c r="AB1793" s="13">
        <v>3</v>
      </c>
      <c r="AC1793" s="13">
        <v>3</v>
      </c>
      <c r="AD1793" s="13">
        <v>3</v>
      </c>
      <c r="AE1793" s="13">
        <v>3</v>
      </c>
      <c r="AF1793" s="13">
        <v>3</v>
      </c>
      <c r="AG1793" s="16">
        <f>IFERROR(SUMIF(reading[[#This Row],[1st]:[7th]],"&gt;0")/COUNTIF(reading[[#This Row],[1st]:[7th]],"&gt;0"),"")</f>
        <v>3</v>
      </c>
    </row>
    <row r="1794" spans="1:33" hidden="1" x14ac:dyDescent="0.2">
      <c r="A1794" s="4">
        <f>IF(B1794=1,3,IF(D1794=1,2,IF(F1794=1,1,0)))</f>
        <v>0</v>
      </c>
      <c r="B1794" s="4">
        <f>IF(C1794=$L1794,1,IF(C1794="","",0))</f>
        <v>0</v>
      </c>
      <c r="C1794" s="42" t="s">
        <v>9200</v>
      </c>
      <c r="D1794" s="4">
        <f>IF(E1794=$L1794,1,IF(E1794="","",0))</f>
        <v>0</v>
      </c>
      <c r="E1794" s="43" t="s">
        <v>9258</v>
      </c>
      <c r="F1794" s="4" t="str">
        <f>IF(G1794=$L1794,1,IF(G1794="","",0))</f>
        <v/>
      </c>
      <c r="G1794" s="14"/>
      <c r="H1794" s="6">
        <v>2199</v>
      </c>
      <c r="I1794" s="15" t="s">
        <v>3120</v>
      </c>
      <c r="J1794" s="6" t="s">
        <v>5285</v>
      </c>
      <c r="K1794" s="6"/>
      <c r="L1794" s="6" t="s">
        <v>2262</v>
      </c>
      <c r="M1794" s="6" t="s">
        <v>8305</v>
      </c>
      <c r="N1794" s="7">
        <f ca="1">RAND()</f>
        <v>0.55110896315070967</v>
      </c>
      <c r="O1794" s="8">
        <v>45216</v>
      </c>
      <c r="P1794" s="8">
        <v>45217</v>
      </c>
      <c r="Q1794" s="8">
        <v>45219</v>
      </c>
      <c r="R1794" s="8">
        <v>45223</v>
      </c>
      <c r="S1794" s="8">
        <v>45230</v>
      </c>
      <c r="T1794" s="8">
        <v>45252</v>
      </c>
      <c r="U1794" s="8"/>
      <c r="V1794" s="10">
        <f>COUNTA(O1794:U1794)</f>
        <v>6</v>
      </c>
      <c r="W1794" s="11">
        <f>_xlfn.IFNA(INDEX(reading[[#This Row],[Memo 01]:[Memo 07]],MATCH(0,reading[[#This Row],[Memo 01]:[Memo 07]],-1)),"")</f>
        <v>45252</v>
      </c>
      <c r="X1794" s="11">
        <f ca="1">IFERROR(reading[[#This Row],[Previous]]+OFFSET(reading[[#Headers],[Memo 01]],-1,MATCH(0,reading[[#This Row],[Memo 01]:[Memo 07]],-1)-1),"")</f>
        <v>45272</v>
      </c>
      <c r="Y1794" s="10" t="str">
        <f ca="1">IF(reading[[#This Row],[Next]]&lt;&gt;"",IF(reading[[#This Row],[Next]]&gt;TODAY(),"OK",""),"")</f>
        <v/>
      </c>
      <c r="Z1794" s="13">
        <v>3</v>
      </c>
      <c r="AA1794" s="13">
        <v>3</v>
      </c>
      <c r="AB1794" s="13">
        <v>3</v>
      </c>
      <c r="AC1794" s="13">
        <v>2</v>
      </c>
      <c r="AD1794" s="13">
        <v>2</v>
      </c>
      <c r="AE1794" s="13">
        <v>2</v>
      </c>
      <c r="AF1794" s="13"/>
      <c r="AG1794" s="16">
        <f>IFERROR(SUMIF(reading[[#This Row],[1st]:[7th]],"&gt;0")/COUNTIF(reading[[#This Row],[1st]:[7th]],"&gt;0"),"")</f>
        <v>2.5</v>
      </c>
    </row>
    <row r="1795" spans="1:33" hidden="1" x14ac:dyDescent="0.2">
      <c r="A1795" s="4">
        <f>IF(B1795=1,3,IF(D1795=1,2,IF(F1795=1,1,0)))</f>
        <v>0</v>
      </c>
      <c r="B1795" s="4" t="str">
        <f>IF(C1795=$L1795,1,IF(C1795="","",0))</f>
        <v/>
      </c>
      <c r="C1795" s="42"/>
      <c r="D1795" s="4" t="str">
        <f>IF(E1795=$L1795,1,IF(E1795="","",0))</f>
        <v/>
      </c>
      <c r="E1795" s="14"/>
      <c r="F1795" s="4" t="str">
        <f>IF(G1795=$L1795,1,IF(G1795="","",0))</f>
        <v/>
      </c>
      <c r="G1795" s="14"/>
      <c r="H1795" s="6">
        <v>353</v>
      </c>
      <c r="I1795" s="15" t="s">
        <v>3120</v>
      </c>
      <c r="J1795" s="6" t="s">
        <v>3500</v>
      </c>
      <c r="K1795" s="6"/>
      <c r="L1795" s="6" t="s">
        <v>487</v>
      </c>
      <c r="M1795" s="6" t="s">
        <v>6462</v>
      </c>
      <c r="N1795" s="7">
        <f ca="1">RAND()</f>
        <v>0.91035729638830243</v>
      </c>
      <c r="O1795" s="8">
        <v>45201</v>
      </c>
      <c r="P1795" s="8">
        <v>45202</v>
      </c>
      <c r="Q1795" s="8">
        <v>45204</v>
      </c>
      <c r="R1795" s="8">
        <v>45208</v>
      </c>
      <c r="S1795" s="8">
        <v>45215</v>
      </c>
      <c r="T1795" s="8">
        <v>45227</v>
      </c>
      <c r="U1795" s="8">
        <v>45829</v>
      </c>
      <c r="V1795" s="10">
        <f>COUNTA(O1795:U1795)</f>
        <v>7</v>
      </c>
      <c r="W1795" s="11">
        <f>_xlfn.IFNA(INDEX(reading[[#This Row],[Memo 01]:[Memo 07]],MATCH(0,reading[[#This Row],[Memo 01]:[Memo 07]],-1)),"")</f>
        <v>45829</v>
      </c>
      <c r="X1795" s="11">
        <f ca="1">IFERROR(reading[[#This Row],[Previous]]+OFFSET(reading[[#Headers],[Memo 01]],-1,MATCH(0,reading[[#This Row],[Memo 01]:[Memo 07]],-1)-1),"")</f>
        <v>55829</v>
      </c>
      <c r="Y1795" s="10" t="str">
        <f ca="1">IF(reading[[#This Row],[Next]]&lt;&gt;"",IF(reading[[#This Row],[Next]]&gt;TODAY(),"OK",""),"")</f>
        <v>OK</v>
      </c>
      <c r="Z1795" s="13">
        <v>3</v>
      </c>
      <c r="AA1795" s="13">
        <v>3</v>
      </c>
      <c r="AB1795" s="13">
        <v>3</v>
      </c>
      <c r="AC1795" s="13">
        <v>3</v>
      </c>
      <c r="AD1795" s="13">
        <v>3</v>
      </c>
      <c r="AE1795" s="13">
        <v>3</v>
      </c>
      <c r="AF1795" s="13">
        <v>3</v>
      </c>
      <c r="AG1795" s="16">
        <f>IFERROR(SUMIF(reading[[#This Row],[1st]:[7th]],"&gt;0")/COUNTIF(reading[[#This Row],[1st]:[7th]],"&gt;0"),"")</f>
        <v>3</v>
      </c>
    </row>
    <row r="1796" spans="1:33" hidden="1" x14ac:dyDescent="0.2">
      <c r="A1796" s="4">
        <f>IF(B1796=1,3,IF(D1796=1,2,IF(F1796=1,1,0)))</f>
        <v>0</v>
      </c>
      <c r="B1796" s="4" t="str">
        <f>IF(C1796=$L1796,1,IF(C1796="","",0))</f>
        <v/>
      </c>
      <c r="C1796" s="42"/>
      <c r="D1796" s="4" t="str">
        <f>IF(E1796=$L1796,1,IF(E1796="","",0))</f>
        <v/>
      </c>
      <c r="E1796" s="43"/>
      <c r="F1796" s="4" t="str">
        <f>IF(G1796=$L1796,1,IF(G1796="","",0))</f>
        <v/>
      </c>
      <c r="G1796" s="23"/>
      <c r="H1796" s="6">
        <v>2125</v>
      </c>
      <c r="I1796" s="15" t="s">
        <v>3120</v>
      </c>
      <c r="J1796" s="6" t="s">
        <v>5213</v>
      </c>
      <c r="K1796" s="6"/>
      <c r="L1796" s="6" t="s">
        <v>2192</v>
      </c>
      <c r="M1796" s="6" t="s">
        <v>8231</v>
      </c>
      <c r="N1796" s="7">
        <f ca="1">RAND()</f>
        <v>0.45303597394640749</v>
      </c>
      <c r="O1796" s="8">
        <v>45214</v>
      </c>
      <c r="P1796" s="8">
        <v>45215</v>
      </c>
      <c r="Q1796" s="8">
        <v>45217</v>
      </c>
      <c r="R1796" s="8">
        <v>45221</v>
      </c>
      <c r="S1796" s="8">
        <v>45228</v>
      </c>
      <c r="T1796" s="8">
        <v>45816</v>
      </c>
      <c r="U1796" s="8"/>
      <c r="V1796" s="10">
        <f>COUNTA(O1796:U1796)</f>
        <v>6</v>
      </c>
      <c r="W1796" s="11">
        <f>_xlfn.IFNA(INDEX(reading[[#This Row],[Memo 01]:[Memo 07]],MATCH(0,reading[[#This Row],[Memo 01]:[Memo 07]],-1)),"")</f>
        <v>45816</v>
      </c>
      <c r="X1796" s="11">
        <f ca="1">IFERROR(reading[[#This Row],[Previous]]+OFFSET(reading[[#Headers],[Memo 01]],-1,MATCH(0,reading[[#This Row],[Memo 01]:[Memo 07]],-1)-1),"")</f>
        <v>45836</v>
      </c>
      <c r="Y1796" s="10" t="str">
        <f ca="1">IF(reading[[#This Row],[Next]]&lt;&gt;"",IF(reading[[#This Row],[Next]]&gt;TODAY(),"OK",""),"")</f>
        <v>OK</v>
      </c>
      <c r="Z1796" s="13">
        <v>3</v>
      </c>
      <c r="AA1796" s="13">
        <v>3</v>
      </c>
      <c r="AB1796" s="13">
        <v>2</v>
      </c>
      <c r="AC1796" s="13">
        <v>3</v>
      </c>
      <c r="AD1796" s="13">
        <v>3</v>
      </c>
      <c r="AE1796" s="13">
        <v>1</v>
      </c>
      <c r="AF1796" s="13"/>
      <c r="AG1796" s="16">
        <f>IFERROR(SUMIF(reading[[#This Row],[1st]:[7th]],"&gt;0")/COUNTIF(reading[[#This Row],[1st]:[7th]],"&gt;0"),"")</f>
        <v>2.5</v>
      </c>
    </row>
    <row r="1797" spans="1:33" hidden="1" x14ac:dyDescent="0.2">
      <c r="A1797" s="4">
        <f>IF(B1797=1,3,IF(D1797=1,2,IF(F1797=1,1,0)))</f>
        <v>0</v>
      </c>
      <c r="B1797" s="4" t="str">
        <f>IF(C1797=$L1797,1,IF(C1797="","",0))</f>
        <v/>
      </c>
      <c r="C1797" s="42"/>
      <c r="D1797" s="4" t="str">
        <f>IF(E1797=$L1797,1,IF(E1797="","",0))</f>
        <v/>
      </c>
      <c r="E1797" s="14"/>
      <c r="F1797" s="4" t="str">
        <f>IF(G1797=$L1797,1,IF(G1797="","",0))</f>
        <v/>
      </c>
      <c r="G1797" s="14"/>
      <c r="H1797" s="6">
        <v>978</v>
      </c>
      <c r="I1797" s="15" t="s">
        <v>3120</v>
      </c>
      <c r="J1797" s="6" t="s">
        <v>4107</v>
      </c>
      <c r="K1797" s="6"/>
      <c r="L1797" s="6" t="s">
        <v>1088</v>
      </c>
      <c r="M1797" s="6" t="s">
        <v>7086</v>
      </c>
      <c r="N1797" s="7">
        <f ca="1">RAND()</f>
        <v>0.11621112422675073</v>
      </c>
      <c r="O1797" s="8">
        <v>45204</v>
      </c>
      <c r="P1797" s="8">
        <v>45205</v>
      </c>
      <c r="Q1797" s="8">
        <v>45207</v>
      </c>
      <c r="R1797" s="8">
        <v>45211</v>
      </c>
      <c r="S1797" s="8">
        <v>45218</v>
      </c>
      <c r="T1797" s="8">
        <v>45230</v>
      </c>
      <c r="U1797" s="8">
        <v>45830</v>
      </c>
      <c r="V1797" s="10">
        <f>COUNTA(O1797:U1797)</f>
        <v>7</v>
      </c>
      <c r="W1797" s="11">
        <f>_xlfn.IFNA(INDEX(reading[[#This Row],[Memo 01]:[Memo 07]],MATCH(0,reading[[#This Row],[Memo 01]:[Memo 07]],-1)),"")</f>
        <v>45830</v>
      </c>
      <c r="X1797" s="11">
        <f ca="1">IFERROR(reading[[#This Row],[Previous]]+OFFSET(reading[[#Headers],[Memo 01]],-1,MATCH(0,reading[[#This Row],[Memo 01]:[Memo 07]],-1)-1),"")</f>
        <v>55830</v>
      </c>
      <c r="Y1797" s="10" t="str">
        <f ca="1">IF(reading[[#This Row],[Next]]&lt;&gt;"",IF(reading[[#This Row],[Next]]&gt;TODAY(),"OK",""),"")</f>
        <v>OK</v>
      </c>
      <c r="Z1797" s="13">
        <v>3</v>
      </c>
      <c r="AA1797" s="13">
        <v>3</v>
      </c>
      <c r="AB1797" s="13">
        <v>3</v>
      </c>
      <c r="AC1797" s="13">
        <v>3</v>
      </c>
      <c r="AD1797" s="13">
        <v>3</v>
      </c>
      <c r="AE1797" s="13">
        <v>3</v>
      </c>
      <c r="AF1797" s="13">
        <v>3</v>
      </c>
      <c r="AG1797" s="16">
        <f>IFERROR(SUMIF(reading[[#This Row],[1st]:[7th]],"&gt;0")/COUNTIF(reading[[#This Row],[1st]:[7th]],"&gt;0"),"")</f>
        <v>3</v>
      </c>
    </row>
    <row r="1798" spans="1:33" hidden="1" x14ac:dyDescent="0.2">
      <c r="A1798" s="4">
        <f>IF(B1798=1,3,IF(D1798=1,2,IF(F1798=1,1,0)))</f>
        <v>0</v>
      </c>
      <c r="B1798" s="4" t="str">
        <f>IF(C1798=$L1798,1,IF(C1798="","",0))</f>
        <v/>
      </c>
      <c r="C1798" s="42"/>
      <c r="D1798" s="4" t="str">
        <f>IF(E1798=$L1798,1,IF(E1798="","",0))</f>
        <v/>
      </c>
      <c r="E1798" s="14"/>
      <c r="F1798" s="4" t="str">
        <f>IF(G1798=$L1798,1,IF(G1798="","",0))</f>
        <v/>
      </c>
      <c r="G1798" s="14"/>
      <c r="H1798" s="6">
        <v>2283</v>
      </c>
      <c r="I1798" s="15" t="s">
        <v>3120</v>
      </c>
      <c r="J1798" s="6" t="s">
        <v>5364</v>
      </c>
      <c r="K1798" s="15" t="s">
        <v>3138</v>
      </c>
      <c r="L1798" s="6" t="s">
        <v>2343</v>
      </c>
      <c r="M1798" s="6" t="s">
        <v>8388</v>
      </c>
      <c r="N1798" s="7">
        <f ca="1">RAND()</f>
        <v>0.29528485760254097</v>
      </c>
      <c r="O1798" s="8">
        <v>45215</v>
      </c>
      <c r="P1798" s="8">
        <v>45216</v>
      </c>
      <c r="Q1798" s="8">
        <v>45218</v>
      </c>
      <c r="R1798" s="8">
        <v>45222</v>
      </c>
      <c r="S1798" s="8">
        <v>45229</v>
      </c>
      <c r="T1798" s="8">
        <v>45830</v>
      </c>
      <c r="U1798" s="8"/>
      <c r="V1798" s="10">
        <f>COUNTA(O1798:U1798)</f>
        <v>6</v>
      </c>
      <c r="W1798" s="11">
        <f>_xlfn.IFNA(INDEX(reading[[#This Row],[Memo 01]:[Memo 07]],MATCH(0,reading[[#This Row],[Memo 01]:[Memo 07]],-1)),"")</f>
        <v>45830</v>
      </c>
      <c r="X1798" s="11">
        <f ca="1">IFERROR(reading[[#This Row],[Previous]]+OFFSET(reading[[#Headers],[Memo 01]],-1,MATCH(0,reading[[#This Row],[Memo 01]:[Memo 07]],-1)-1),"")</f>
        <v>45850</v>
      </c>
      <c r="Y1798" s="10" t="str">
        <f ca="1">IF(reading[[#This Row],[Next]]&lt;&gt;"",IF(reading[[#This Row],[Next]]&gt;TODAY(),"OK",""),"")</f>
        <v>OK</v>
      </c>
      <c r="Z1798" s="13">
        <v>3</v>
      </c>
      <c r="AA1798" s="13">
        <v>3</v>
      </c>
      <c r="AB1798" s="13">
        <v>3</v>
      </c>
      <c r="AC1798" s="13">
        <v>3</v>
      </c>
      <c r="AD1798" s="13">
        <v>3</v>
      </c>
      <c r="AE1798" s="13">
        <v>3</v>
      </c>
      <c r="AF1798" s="13"/>
      <c r="AG1798" s="16">
        <f>IFERROR(SUMIF(reading[[#This Row],[1st]:[7th]],"&gt;0")/COUNTIF(reading[[#This Row],[1st]:[7th]],"&gt;0"),"")</f>
        <v>3</v>
      </c>
    </row>
    <row r="1799" spans="1:33" x14ac:dyDescent="0.2">
      <c r="A1799" s="4">
        <f>IF(B1799=1,3,IF(D1799=1,2,IF(F1799=1,1,0)))</f>
        <v>0</v>
      </c>
      <c r="B1799" s="4">
        <f>IF(C1799=$L1799,1,IF(C1799="","",0))</f>
        <v>0</v>
      </c>
      <c r="C1799" s="42" t="s">
        <v>9200</v>
      </c>
      <c r="D1799" s="4" t="str">
        <f>IF(E1799=$L1799,1,IF(E1799="","",0))</f>
        <v/>
      </c>
      <c r="E1799" s="18"/>
      <c r="F1799" s="4" t="str">
        <f>IF(G1799=$L1799,1,IF(G1799="","",0))</f>
        <v/>
      </c>
      <c r="G1799" s="18"/>
      <c r="H1799" s="6">
        <v>2481</v>
      </c>
      <c r="I1799" s="15" t="s">
        <v>3120</v>
      </c>
      <c r="J1799" s="6" t="s">
        <v>5549</v>
      </c>
      <c r="K1799" s="6"/>
      <c r="L1799" s="6" t="s">
        <v>2527</v>
      </c>
      <c r="M1799" s="6" t="s">
        <v>8586</v>
      </c>
      <c r="N1799" s="7">
        <f ca="1">RAND()</f>
        <v>0.37649458964356897</v>
      </c>
      <c r="O1799" s="8">
        <v>45218</v>
      </c>
      <c r="P1799" s="8">
        <v>45219</v>
      </c>
      <c r="Q1799" s="8">
        <v>45221</v>
      </c>
      <c r="R1799" s="8">
        <v>45225</v>
      </c>
      <c r="S1799" s="8">
        <v>45232</v>
      </c>
      <c r="T1799" s="8">
        <v>45248</v>
      </c>
      <c r="U1799" s="8"/>
      <c r="V1799" s="10">
        <f>COUNTA(O1799:U1799)</f>
        <v>6</v>
      </c>
      <c r="W1799" s="11">
        <f>_xlfn.IFNA(INDEX(reading[[#This Row],[Memo 01]:[Memo 07]],MATCH(0,reading[[#This Row],[Memo 01]:[Memo 07]],-1)),"")</f>
        <v>45248</v>
      </c>
      <c r="X1799" s="11">
        <f ca="1">IFERROR(reading[[#This Row],[Previous]]+OFFSET(reading[[#Headers],[Memo 01]],-1,MATCH(0,reading[[#This Row],[Memo 01]:[Memo 07]],-1)-1),"")</f>
        <v>45268</v>
      </c>
      <c r="Y1799" s="10" t="str">
        <f ca="1">IF(reading[[#This Row],[Next]]&lt;&gt;"",IF(reading[[#This Row],[Next]]&gt;TODAY(),"OK",""),"")</f>
        <v/>
      </c>
      <c r="Z1799" s="13">
        <v>3</v>
      </c>
      <c r="AA1799" s="13">
        <v>2</v>
      </c>
      <c r="AB1799" s="13">
        <v>1</v>
      </c>
      <c r="AC1799" s="13">
        <v>2</v>
      </c>
      <c r="AD1799" s="13">
        <v>2</v>
      </c>
      <c r="AE1799" s="13">
        <v>3</v>
      </c>
      <c r="AF1799" s="13"/>
      <c r="AG1799" s="16">
        <f>IFERROR(SUMIF(reading[[#This Row],[1st]:[7th]],"&gt;0")/COUNTIF(reading[[#This Row],[1st]:[7th]],"&gt;0"),"")</f>
        <v>2.1666666666666665</v>
      </c>
    </row>
    <row r="1800" spans="1:33" hidden="1" x14ac:dyDescent="0.2">
      <c r="A1800" s="4">
        <f>IF(B1800=1,3,IF(D1800=1,2,IF(F1800=1,1,0)))</f>
        <v>3</v>
      </c>
      <c r="B1800" s="4">
        <f>IF(C1800=$L1800,1,IF(C1800="","",0))</f>
        <v>1</v>
      </c>
      <c r="C1800" s="32" t="s">
        <v>1883</v>
      </c>
      <c r="D1800" s="4" t="str">
        <f>IF(E1800=$L1800,1,IF(E1800="","",0))</f>
        <v/>
      </c>
      <c r="E1800" s="14"/>
      <c r="F1800" s="4" t="str">
        <f>IF(G1800=$L1800,1,IF(G1800="","",0))</f>
        <v/>
      </c>
      <c r="G1800" s="14"/>
      <c r="H1800" s="6">
        <v>1804</v>
      </c>
      <c r="I1800" s="15" t="s">
        <v>3120</v>
      </c>
      <c r="J1800" s="6" t="s">
        <v>4911</v>
      </c>
      <c r="K1800" s="6"/>
      <c r="L1800" s="6" t="s">
        <v>1883</v>
      </c>
      <c r="M1800" s="6" t="s">
        <v>7910</v>
      </c>
      <c r="N1800" s="7">
        <f ca="1">RAND()</f>
        <v>0.23306176347540686</v>
      </c>
      <c r="O1800" s="8">
        <v>45212</v>
      </c>
      <c r="P1800" s="8">
        <v>45212</v>
      </c>
      <c r="Q1800" s="8">
        <v>45212</v>
      </c>
      <c r="R1800" s="8">
        <v>45212</v>
      </c>
      <c r="S1800" s="8">
        <v>45212</v>
      </c>
      <c r="T1800" s="8">
        <v>45212</v>
      </c>
      <c r="U1800" s="8">
        <v>45212</v>
      </c>
      <c r="V1800" s="10">
        <f>COUNTA(O1800:U1800)</f>
        <v>7</v>
      </c>
      <c r="W1800" s="11">
        <f>_xlfn.IFNA(INDEX(reading[[#This Row],[Memo 01]:[Memo 07]],MATCH(0,reading[[#This Row],[Memo 01]:[Memo 07]],-1)),"")</f>
        <v>45212</v>
      </c>
      <c r="X1800" s="11">
        <f ca="1">IFERROR(reading[[#This Row],[Previous]]+OFFSET(reading[[#Headers],[Memo 01]],-1,MATCH(0,reading[[#This Row],[Memo 01]:[Memo 07]],-1)-1),"")</f>
        <v>55212</v>
      </c>
      <c r="Y1800" s="10" t="str">
        <f ca="1">IF(reading[[#This Row],[Next]]&lt;&gt;"",IF(reading[[#This Row],[Next]]&gt;TODAY(),"OK",""),"")</f>
        <v>OK</v>
      </c>
      <c r="Z1800" s="13">
        <v>3</v>
      </c>
      <c r="AA1800" s="13"/>
      <c r="AB1800" s="13"/>
      <c r="AC1800" s="13"/>
      <c r="AD1800" s="13"/>
      <c r="AE1800" s="13"/>
      <c r="AF1800" s="13"/>
      <c r="AG1800" s="16">
        <f>IFERROR(SUMIF(reading[[#This Row],[1st]:[7th]],"&gt;0")/COUNTIF(reading[[#This Row],[1st]:[7th]],"&gt;0"),"")</f>
        <v>3</v>
      </c>
    </row>
    <row r="1801" spans="1:33" x14ac:dyDescent="0.2">
      <c r="A1801" s="4">
        <f>IF(B1801=1,3,IF(D1801=1,2,IF(F1801=1,1,0)))</f>
        <v>3</v>
      </c>
      <c r="B1801" s="4">
        <f>IF(C1801=$L1801,1,IF(C1801="","",0))</f>
        <v>1</v>
      </c>
      <c r="C1801" s="42" t="s">
        <v>9316</v>
      </c>
      <c r="D1801" s="4" t="str">
        <f>IF(E1801=$L1801,1,IF(E1801="","",0))</f>
        <v/>
      </c>
      <c r="E1801" s="14"/>
      <c r="F1801" s="4" t="str">
        <f>IF(G1801=$L1801,1,IF(G1801="","",0))</f>
        <v/>
      </c>
      <c r="G1801" s="14"/>
      <c r="H1801" s="6">
        <v>2639</v>
      </c>
      <c r="I1801" s="15" t="s">
        <v>3120</v>
      </c>
      <c r="J1801" s="6" t="s">
        <v>5693</v>
      </c>
      <c r="K1801" s="6"/>
      <c r="L1801" s="6" t="s">
        <v>115</v>
      </c>
      <c r="M1801" s="6" t="s">
        <v>8744</v>
      </c>
      <c r="N1801" s="7">
        <f ca="1">RAND()</f>
        <v>0.61872108283969807</v>
      </c>
      <c r="O1801" s="8">
        <v>45220</v>
      </c>
      <c r="P1801" s="8">
        <v>45221</v>
      </c>
      <c r="Q1801" s="8">
        <v>45223</v>
      </c>
      <c r="R1801" s="8">
        <v>45227</v>
      </c>
      <c r="S1801" s="8">
        <v>45234</v>
      </c>
      <c r="T1801" s="8"/>
      <c r="U1801" s="8"/>
      <c r="V1801" s="10">
        <f>COUNTA(O1801:U1801)</f>
        <v>5</v>
      </c>
      <c r="W1801" s="11">
        <f>_xlfn.IFNA(INDEX(reading[[#This Row],[Memo 01]:[Memo 07]],MATCH(0,reading[[#This Row],[Memo 01]:[Memo 07]],-1)),"")</f>
        <v>45234</v>
      </c>
      <c r="X1801" s="11">
        <f ca="1">IFERROR(reading[[#This Row],[Previous]]+OFFSET(reading[[#Headers],[Memo 01]],-1,MATCH(0,reading[[#This Row],[Memo 01]:[Memo 07]],-1)-1),"")</f>
        <v>45246</v>
      </c>
      <c r="Y1801" s="10" t="str">
        <f ca="1">IF(reading[[#This Row],[Next]]&lt;&gt;"",IF(reading[[#This Row],[Next]]&gt;TODAY(),"OK",""),"")</f>
        <v/>
      </c>
      <c r="Z1801" s="13">
        <v>3</v>
      </c>
      <c r="AA1801" s="13">
        <v>3</v>
      </c>
      <c r="AB1801" s="13">
        <v>3</v>
      </c>
      <c r="AC1801" s="13">
        <v>3</v>
      </c>
      <c r="AD1801" s="13">
        <v>3</v>
      </c>
      <c r="AE1801" s="13"/>
      <c r="AF1801" s="13"/>
      <c r="AG1801" s="16">
        <f>IFERROR(SUMIF(reading[[#This Row],[1st]:[7th]],"&gt;0")/COUNTIF(reading[[#This Row],[1st]:[7th]],"&gt;0"),"")</f>
        <v>3</v>
      </c>
    </row>
    <row r="1802" spans="1:33" x14ac:dyDescent="0.2">
      <c r="A1802" s="4">
        <f>IF(B1802=1,3,IF(D1802=1,2,IF(F1802=1,1,0)))</f>
        <v>3</v>
      </c>
      <c r="B1802" s="4">
        <f>IF(C1802=$L1802,1,IF(C1802="","",0))</f>
        <v>1</v>
      </c>
      <c r="C1802" s="42" t="s">
        <v>9317</v>
      </c>
      <c r="D1802" s="4" t="str">
        <f>IF(E1802=$L1802,1,IF(E1802="","",0))</f>
        <v/>
      </c>
      <c r="E1802" s="18"/>
      <c r="F1802" s="4" t="str">
        <f>IF(G1802=$L1802,1,IF(G1802="","",0))</f>
        <v/>
      </c>
      <c r="G1802" s="14"/>
      <c r="H1802" s="6">
        <v>681</v>
      </c>
      <c r="I1802" s="15" t="s">
        <v>3120</v>
      </c>
      <c r="J1802" s="6" t="s">
        <v>3820</v>
      </c>
      <c r="K1802" s="6"/>
      <c r="L1802" s="6" t="s">
        <v>804</v>
      </c>
      <c r="M1802" s="6" t="s">
        <v>6790</v>
      </c>
      <c r="N1802" s="7">
        <f ca="1">RAND()</f>
        <v>0.57366525123209267</v>
      </c>
      <c r="O1802" s="8">
        <v>45203</v>
      </c>
      <c r="P1802" s="8">
        <v>45204</v>
      </c>
      <c r="Q1802" s="8">
        <v>45206</v>
      </c>
      <c r="R1802" s="8">
        <v>45210</v>
      </c>
      <c r="S1802" s="8">
        <v>45217</v>
      </c>
      <c r="T1802" s="8">
        <v>45229</v>
      </c>
      <c r="U1802" s="8"/>
      <c r="V1802" s="10">
        <f>COUNTA(O1802:U1802)</f>
        <v>6</v>
      </c>
      <c r="W1802" s="11">
        <f>_xlfn.IFNA(INDEX(reading[[#This Row],[Memo 01]:[Memo 07]],MATCH(0,reading[[#This Row],[Memo 01]:[Memo 07]],-1)),"")</f>
        <v>45229</v>
      </c>
      <c r="X1802" s="11">
        <f ca="1">IFERROR(reading[[#This Row],[Previous]]+OFFSET(reading[[#Headers],[Memo 01]],-1,MATCH(0,reading[[#This Row],[Memo 01]:[Memo 07]],-1)-1),"")</f>
        <v>45249</v>
      </c>
      <c r="Y1802" s="10" t="str">
        <f ca="1">IF(reading[[#This Row],[Next]]&lt;&gt;"",IF(reading[[#This Row],[Next]]&gt;TODAY(),"OK",""),"")</f>
        <v/>
      </c>
      <c r="Z1802" s="13">
        <v>3</v>
      </c>
      <c r="AA1802" s="13">
        <v>3</v>
      </c>
      <c r="AB1802" s="13">
        <v>3</v>
      </c>
      <c r="AC1802" s="13">
        <v>3</v>
      </c>
      <c r="AD1802" s="13">
        <v>3</v>
      </c>
      <c r="AE1802" s="13">
        <v>2</v>
      </c>
      <c r="AF1802" s="13"/>
      <c r="AG1802" s="16">
        <f>IFERROR(SUMIF(reading[[#This Row],[1st]:[7th]],"&gt;0")/COUNTIF(reading[[#This Row],[1st]:[7th]],"&gt;0"),"")</f>
        <v>2.8333333333333335</v>
      </c>
    </row>
    <row r="1803" spans="1:33" hidden="1" x14ac:dyDescent="0.2">
      <c r="A1803" s="4">
        <f>IF(B1803=1,3,IF(D1803=1,2,IF(F1803=1,1,0)))</f>
        <v>0</v>
      </c>
      <c r="B1803" s="4" t="str">
        <f>IF(C1803=$L1803,1,IF(C1803="","",0))</f>
        <v/>
      </c>
      <c r="C1803" s="42"/>
      <c r="D1803" s="4" t="str">
        <f>IF(E1803=$L1803,1,IF(E1803="","",0))</f>
        <v/>
      </c>
      <c r="E1803" s="14"/>
      <c r="F1803" s="4" t="str">
        <f>IF(G1803=$L1803,1,IF(G1803="","",0))</f>
        <v/>
      </c>
      <c r="G1803" s="14"/>
      <c r="H1803" s="6">
        <v>2156</v>
      </c>
      <c r="I1803" s="15" t="s">
        <v>3120</v>
      </c>
      <c r="J1803" s="6" t="s">
        <v>5244</v>
      </c>
      <c r="K1803" s="6"/>
      <c r="L1803" s="6" t="s">
        <v>2222</v>
      </c>
      <c r="M1803" s="6" t="s">
        <v>8262</v>
      </c>
      <c r="N1803" s="7">
        <f ca="1">RAND()</f>
        <v>0.20531822327111171</v>
      </c>
      <c r="O1803" s="8">
        <v>45214</v>
      </c>
      <c r="P1803" s="8">
        <v>45215</v>
      </c>
      <c r="Q1803" s="8">
        <v>45217</v>
      </c>
      <c r="R1803" s="8">
        <v>45221</v>
      </c>
      <c r="S1803" s="8">
        <v>45228</v>
      </c>
      <c r="T1803" s="8">
        <v>45783</v>
      </c>
      <c r="U1803" s="8">
        <v>45829</v>
      </c>
      <c r="V1803" s="10">
        <f>COUNTA(O1803:U1803)</f>
        <v>7</v>
      </c>
      <c r="W1803" s="11">
        <f>_xlfn.IFNA(INDEX(reading[[#This Row],[Memo 01]:[Memo 07]],MATCH(0,reading[[#This Row],[Memo 01]:[Memo 07]],-1)),"")</f>
        <v>45829</v>
      </c>
      <c r="X1803" s="11">
        <f ca="1">IFERROR(reading[[#This Row],[Previous]]+OFFSET(reading[[#Headers],[Memo 01]],-1,MATCH(0,reading[[#This Row],[Memo 01]:[Memo 07]],-1)-1),"")</f>
        <v>55829</v>
      </c>
      <c r="Y1803" s="10" t="str">
        <f ca="1">IF(reading[[#This Row],[Next]]&lt;&gt;"",IF(reading[[#This Row],[Next]]&gt;TODAY(),"OK",""),"")</f>
        <v>OK</v>
      </c>
      <c r="Z1803" s="13">
        <v>3</v>
      </c>
      <c r="AA1803" s="13">
        <v>3</v>
      </c>
      <c r="AB1803" s="13">
        <v>3</v>
      </c>
      <c r="AC1803" s="13">
        <v>3</v>
      </c>
      <c r="AD1803" s="13">
        <v>3</v>
      </c>
      <c r="AE1803" s="13">
        <v>3</v>
      </c>
      <c r="AF1803" s="13">
        <v>3</v>
      </c>
      <c r="AG1803" s="16">
        <f>IFERROR(SUMIF(reading[[#This Row],[1st]:[7th]],"&gt;0")/COUNTIF(reading[[#This Row],[1st]:[7th]],"&gt;0"),"")</f>
        <v>3</v>
      </c>
    </row>
    <row r="1804" spans="1:33" hidden="1" x14ac:dyDescent="0.2">
      <c r="A1804" s="4">
        <f>IF(B1804=1,3,IF(D1804=1,2,IF(F1804=1,1,0)))</f>
        <v>0</v>
      </c>
      <c r="B1804" s="4" t="str">
        <f>IF(C1804=$L1804,1,IF(C1804="","",0))</f>
        <v/>
      </c>
      <c r="C1804" s="42"/>
      <c r="D1804" s="4" t="str">
        <f>IF(E1804=$L1804,1,IF(E1804="","",0))</f>
        <v/>
      </c>
      <c r="E1804" s="23"/>
      <c r="F1804" s="4" t="str">
        <f>IF(G1804=$L1804,1,IF(G1804="","",0))</f>
        <v/>
      </c>
      <c r="G1804" s="14"/>
      <c r="H1804" s="6">
        <v>3045</v>
      </c>
      <c r="I1804" s="15" t="s">
        <v>3120</v>
      </c>
      <c r="J1804" s="6" t="s">
        <v>6066</v>
      </c>
      <c r="K1804" s="6"/>
      <c r="L1804" s="6" t="s">
        <v>3071</v>
      </c>
      <c r="M1804" s="6" t="s">
        <v>9148</v>
      </c>
      <c r="N1804" s="7">
        <f ca="1">RAND()</f>
        <v>0.65884944608924889</v>
      </c>
      <c r="O1804" s="8">
        <v>45224</v>
      </c>
      <c r="P1804" s="8">
        <v>45225</v>
      </c>
      <c r="Q1804" s="8">
        <v>45227</v>
      </c>
      <c r="R1804" s="8">
        <v>45231</v>
      </c>
      <c r="S1804" s="8">
        <v>45250</v>
      </c>
      <c r="T1804" s="8">
        <v>45816</v>
      </c>
      <c r="U1804" s="8"/>
      <c r="V1804" s="10">
        <f>COUNTA(O1804:U1804)</f>
        <v>6</v>
      </c>
      <c r="W1804" s="11">
        <f>_xlfn.IFNA(INDEX(reading[[#This Row],[Memo 01]:[Memo 07]],MATCH(0,reading[[#This Row],[Memo 01]:[Memo 07]],-1)),"")</f>
        <v>45816</v>
      </c>
      <c r="X1804" s="11">
        <f ca="1">IFERROR(reading[[#This Row],[Previous]]+OFFSET(reading[[#Headers],[Memo 01]],-1,MATCH(0,reading[[#This Row],[Memo 01]:[Memo 07]],-1)-1),"")</f>
        <v>45836</v>
      </c>
      <c r="Y1804" s="10" t="str">
        <f ca="1">IF(reading[[#This Row],[Next]]&lt;&gt;"",IF(reading[[#This Row],[Next]]&gt;TODAY(),"OK",""),"")</f>
        <v>OK</v>
      </c>
      <c r="Z1804" s="13">
        <v>3</v>
      </c>
      <c r="AA1804" s="13">
        <v>3</v>
      </c>
      <c r="AB1804" s="13">
        <v>3</v>
      </c>
      <c r="AC1804" s="13">
        <v>3</v>
      </c>
      <c r="AD1804" s="13">
        <v>2</v>
      </c>
      <c r="AE1804" s="13">
        <v>2</v>
      </c>
      <c r="AF1804" s="13"/>
      <c r="AG1804" s="16">
        <f>IFERROR(SUMIF(reading[[#This Row],[1st]:[7th]],"&gt;0")/COUNTIF(reading[[#This Row],[1st]:[7th]],"&gt;0"),"")</f>
        <v>2.6666666666666665</v>
      </c>
    </row>
    <row r="1805" spans="1:33" hidden="1" x14ac:dyDescent="0.2">
      <c r="A1805" s="4">
        <f>IF(B1805=1,3,IF(D1805=1,2,IF(F1805=1,1,0)))</f>
        <v>0</v>
      </c>
      <c r="B1805" s="4">
        <f>IF(C1805=$L1805,1,IF(C1805="","",0))</f>
        <v>0</v>
      </c>
      <c r="C1805" s="42" t="s">
        <v>9253</v>
      </c>
      <c r="D1805" s="4">
        <f>IF(E1805=$L1805,1,IF(E1805="","",0))</f>
        <v>0</v>
      </c>
      <c r="E1805" s="43" t="s">
        <v>9253</v>
      </c>
      <c r="F1805" s="4" t="str">
        <f>IF(G1805=$L1805,1,IF(G1805="","",0))</f>
        <v/>
      </c>
      <c r="G1805" s="14"/>
      <c r="H1805" s="6">
        <v>2707</v>
      </c>
      <c r="I1805" s="15" t="s">
        <v>3120</v>
      </c>
      <c r="J1805" s="6" t="s">
        <v>5757</v>
      </c>
      <c r="K1805" s="6"/>
      <c r="L1805" s="6" t="s">
        <v>2746</v>
      </c>
      <c r="M1805" s="6" t="s">
        <v>8812</v>
      </c>
      <c r="N1805" s="7">
        <f ca="1">RAND()</f>
        <v>0.91503074867030176</v>
      </c>
      <c r="O1805" s="8">
        <v>45221</v>
      </c>
      <c r="P1805" s="8">
        <v>45222</v>
      </c>
      <c r="Q1805" s="8">
        <v>45224</v>
      </c>
      <c r="R1805" s="8">
        <v>45228</v>
      </c>
      <c r="S1805" s="8">
        <v>45235</v>
      </c>
      <c r="T1805" s="8"/>
      <c r="U1805" s="8"/>
      <c r="V1805" s="10">
        <f>COUNTA(O1805:U1805)</f>
        <v>5</v>
      </c>
      <c r="W1805" s="11">
        <f>_xlfn.IFNA(INDEX(reading[[#This Row],[Memo 01]:[Memo 07]],MATCH(0,reading[[#This Row],[Memo 01]:[Memo 07]],-1)),"")</f>
        <v>45235</v>
      </c>
      <c r="X1805" s="11">
        <f ca="1">IFERROR(reading[[#This Row],[Previous]]+OFFSET(reading[[#Headers],[Memo 01]],-1,MATCH(0,reading[[#This Row],[Memo 01]:[Memo 07]],-1)-1),"")</f>
        <v>45247</v>
      </c>
      <c r="Y1805" s="10" t="str">
        <f ca="1">IF(reading[[#This Row],[Next]]&lt;&gt;"",IF(reading[[#This Row],[Next]]&gt;TODAY(),"OK",""),"")</f>
        <v/>
      </c>
      <c r="Z1805" s="13">
        <v>3</v>
      </c>
      <c r="AA1805" s="13">
        <v>2</v>
      </c>
      <c r="AB1805" s="13">
        <v>3</v>
      </c>
      <c r="AC1805" s="13">
        <v>3</v>
      </c>
      <c r="AD1805" s="13">
        <v>3</v>
      </c>
      <c r="AE1805" s="13"/>
      <c r="AF1805" s="13"/>
      <c r="AG1805" s="16">
        <f>IFERROR(SUMIF(reading[[#This Row],[1st]:[7th]],"&gt;0")/COUNTIF(reading[[#This Row],[1st]:[7th]],"&gt;0"),"")</f>
        <v>2.8</v>
      </c>
    </row>
    <row r="1806" spans="1:33" hidden="1" x14ac:dyDescent="0.2">
      <c r="A1806" s="4">
        <f>IF(B1806=1,3,IF(D1806=1,2,IF(F1806=1,1,0)))</f>
        <v>0</v>
      </c>
      <c r="B1806" s="4" t="str">
        <f>IF(C1806=$L1806,1,IF(C1806="","",0))</f>
        <v/>
      </c>
      <c r="C1806" s="42"/>
      <c r="D1806" s="4" t="str">
        <f>IF(E1806=$L1806,1,IF(E1806="","",0))</f>
        <v/>
      </c>
      <c r="E1806" s="23"/>
      <c r="F1806" s="4" t="str">
        <f>IF(G1806=$L1806,1,IF(G1806="","",0))</f>
        <v/>
      </c>
      <c r="G1806" s="23"/>
      <c r="H1806" s="6">
        <v>1508</v>
      </c>
      <c r="I1806" s="15" t="s">
        <v>3120</v>
      </c>
      <c r="J1806" s="6" t="s">
        <v>4621</v>
      </c>
      <c r="K1806" s="15" t="s">
        <v>3138</v>
      </c>
      <c r="L1806" s="6" t="s">
        <v>1593</v>
      </c>
      <c r="M1806" s="6" t="s">
        <v>7615</v>
      </c>
      <c r="N1806" s="7">
        <f ca="1">RAND()</f>
        <v>0.64345955513821063</v>
      </c>
      <c r="O1806" s="8">
        <v>45209</v>
      </c>
      <c r="P1806" s="8">
        <v>45210</v>
      </c>
      <c r="Q1806" s="8">
        <v>45212</v>
      </c>
      <c r="R1806" s="8">
        <v>45216</v>
      </c>
      <c r="S1806" s="8">
        <v>45223</v>
      </c>
      <c r="T1806" s="8">
        <v>45235</v>
      </c>
      <c r="U1806" s="8">
        <v>45816</v>
      </c>
      <c r="V1806" s="10">
        <f>COUNTA(O1806:U1806)</f>
        <v>7</v>
      </c>
      <c r="W1806" s="11">
        <f>_xlfn.IFNA(INDEX(reading[[#This Row],[Memo 01]:[Memo 07]],MATCH(0,reading[[#This Row],[Memo 01]:[Memo 07]],-1)),"")</f>
        <v>45816</v>
      </c>
      <c r="X1806" s="11">
        <f ca="1">IFERROR(reading[[#This Row],[Previous]]+OFFSET(reading[[#Headers],[Memo 01]],-1,MATCH(0,reading[[#This Row],[Memo 01]:[Memo 07]],-1)-1),"")</f>
        <v>55816</v>
      </c>
      <c r="Y1806" s="10" t="str">
        <f ca="1">IF(reading[[#This Row],[Next]]&lt;&gt;"",IF(reading[[#This Row],[Next]]&gt;TODAY(),"OK",""),"")</f>
        <v>OK</v>
      </c>
      <c r="Z1806" s="13">
        <v>3</v>
      </c>
      <c r="AA1806" s="13">
        <v>3</v>
      </c>
      <c r="AB1806" s="13">
        <v>3</v>
      </c>
      <c r="AC1806" s="13">
        <v>3</v>
      </c>
      <c r="AD1806" s="13">
        <v>3</v>
      </c>
      <c r="AE1806" s="13">
        <v>3</v>
      </c>
      <c r="AF1806" s="13">
        <v>1</v>
      </c>
      <c r="AG1806" s="16">
        <f>IFERROR(SUMIF(reading[[#This Row],[1st]:[7th]],"&gt;0")/COUNTIF(reading[[#This Row],[1st]:[7th]],"&gt;0"),"")</f>
        <v>2.7142857142857144</v>
      </c>
    </row>
    <row r="1807" spans="1:33" hidden="1" x14ac:dyDescent="0.2">
      <c r="A1807" s="4">
        <f>IF(B1807=1,3,IF(D1807=1,2,IF(F1807=1,1,0)))</f>
        <v>0</v>
      </c>
      <c r="B1807" s="4" t="str">
        <f>IF(C1807=$L1807,1,IF(C1807="","",0))</f>
        <v/>
      </c>
      <c r="C1807" s="42"/>
      <c r="D1807" s="4" t="str">
        <f>IF(E1807=$L1807,1,IF(E1807="","",0))</f>
        <v/>
      </c>
      <c r="E1807" s="14"/>
      <c r="F1807" s="4" t="str">
        <f>IF(G1807=$L1807,1,IF(G1807="","",0))</f>
        <v/>
      </c>
      <c r="G1807" s="14"/>
      <c r="H1807" s="6">
        <v>2966</v>
      </c>
      <c r="I1807" s="15" t="s">
        <v>3120</v>
      </c>
      <c r="J1807" s="6" t="s">
        <v>4051</v>
      </c>
      <c r="K1807" s="6"/>
      <c r="L1807" s="6" t="s">
        <v>2996</v>
      </c>
      <c r="M1807" s="6" t="s">
        <v>9070</v>
      </c>
      <c r="N1807" s="7">
        <f ca="1">RAND()</f>
        <v>0.83972569378447259</v>
      </c>
      <c r="O1807" s="8">
        <v>45223</v>
      </c>
      <c r="P1807" s="8">
        <v>45224</v>
      </c>
      <c r="Q1807" s="8">
        <v>45226</v>
      </c>
      <c r="R1807" s="8">
        <v>45230</v>
      </c>
      <c r="S1807" s="8">
        <v>45237</v>
      </c>
      <c r="T1807" s="8">
        <v>45829</v>
      </c>
      <c r="U1807" s="8"/>
      <c r="V1807" s="10">
        <f>COUNTA(O1807:U1807)</f>
        <v>6</v>
      </c>
      <c r="W1807" s="11">
        <f>_xlfn.IFNA(INDEX(reading[[#This Row],[Memo 01]:[Memo 07]],MATCH(0,reading[[#This Row],[Memo 01]:[Memo 07]],-1)),"")</f>
        <v>45829</v>
      </c>
      <c r="X1807" s="11">
        <f ca="1">IFERROR(reading[[#This Row],[Previous]]+OFFSET(reading[[#Headers],[Memo 01]],-1,MATCH(0,reading[[#This Row],[Memo 01]:[Memo 07]],-1)-1),"")</f>
        <v>45849</v>
      </c>
      <c r="Y1807" s="10" t="str">
        <f ca="1">IF(reading[[#This Row],[Next]]&lt;&gt;"",IF(reading[[#This Row],[Next]]&gt;TODAY(),"OK",""),"")</f>
        <v>OK</v>
      </c>
      <c r="Z1807" s="13">
        <v>3</v>
      </c>
      <c r="AA1807" s="13">
        <v>3</v>
      </c>
      <c r="AB1807" s="13">
        <v>3</v>
      </c>
      <c r="AC1807" s="13">
        <v>3</v>
      </c>
      <c r="AD1807" s="13">
        <v>3</v>
      </c>
      <c r="AE1807" s="13">
        <v>3</v>
      </c>
      <c r="AF1807" s="13"/>
      <c r="AG1807" s="16">
        <f>IFERROR(SUMIF(reading[[#This Row],[1st]:[7th]],"&gt;0")/COUNTIF(reading[[#This Row],[1st]:[7th]],"&gt;0"),"")</f>
        <v>3</v>
      </c>
    </row>
    <row r="1808" spans="1:33" hidden="1" x14ac:dyDescent="0.2">
      <c r="A1808" s="4">
        <f>IF(B1808=1,3,IF(D1808=1,2,IF(F1808=1,1,0)))</f>
        <v>3</v>
      </c>
      <c r="B1808" s="4">
        <f>IF(C1808=$L1808,1,IF(C1808="","",0))</f>
        <v>1</v>
      </c>
      <c r="C1808" s="32" t="s">
        <v>1891</v>
      </c>
      <c r="D1808" s="4" t="str">
        <f>IF(E1808=$L1808,1,IF(E1808="","",0))</f>
        <v/>
      </c>
      <c r="E1808" s="14"/>
      <c r="F1808" s="4" t="str">
        <f>IF(G1808=$L1808,1,IF(G1808="","",0))</f>
        <v/>
      </c>
      <c r="G1808" s="14"/>
      <c r="H1808" s="6">
        <v>1812</v>
      </c>
      <c r="I1808" s="15" t="s">
        <v>3120</v>
      </c>
      <c r="J1808" s="6" t="s">
        <v>4917</v>
      </c>
      <c r="K1808" s="6"/>
      <c r="L1808" s="6" t="s">
        <v>1891</v>
      </c>
      <c r="M1808" s="6" t="s">
        <v>7918</v>
      </c>
      <c r="N1808" s="7">
        <f ca="1">RAND()</f>
        <v>0.29115797627304074</v>
      </c>
      <c r="O1808" s="8">
        <v>45212</v>
      </c>
      <c r="P1808" s="8">
        <v>45212</v>
      </c>
      <c r="Q1808" s="8">
        <v>45212</v>
      </c>
      <c r="R1808" s="8">
        <v>45212</v>
      </c>
      <c r="S1808" s="8">
        <v>45212</v>
      </c>
      <c r="T1808" s="8">
        <v>45212</v>
      </c>
      <c r="U1808" s="8">
        <v>45212</v>
      </c>
      <c r="V1808" s="10">
        <f>COUNTA(O1808:U1808)</f>
        <v>7</v>
      </c>
      <c r="W1808" s="11">
        <f>_xlfn.IFNA(INDEX(reading[[#This Row],[Memo 01]:[Memo 07]],MATCH(0,reading[[#This Row],[Memo 01]:[Memo 07]],-1)),"")</f>
        <v>45212</v>
      </c>
      <c r="X1808" s="11">
        <f ca="1">IFERROR(reading[[#This Row],[Previous]]+OFFSET(reading[[#Headers],[Memo 01]],-1,MATCH(0,reading[[#This Row],[Memo 01]:[Memo 07]],-1)-1),"")</f>
        <v>55212</v>
      </c>
      <c r="Y1808" s="10" t="str">
        <f ca="1">IF(reading[[#This Row],[Next]]&lt;&gt;"",IF(reading[[#This Row],[Next]]&gt;TODAY(),"OK",""),"")</f>
        <v>OK</v>
      </c>
      <c r="Z1808" s="13">
        <v>3</v>
      </c>
      <c r="AA1808" s="13"/>
      <c r="AB1808" s="13"/>
      <c r="AC1808" s="13"/>
      <c r="AD1808" s="13"/>
      <c r="AE1808" s="13"/>
      <c r="AF1808" s="13"/>
      <c r="AG1808" s="16">
        <f>IFERROR(SUMIF(reading[[#This Row],[1st]:[7th]],"&gt;0")/COUNTIF(reading[[#This Row],[1st]:[7th]],"&gt;0"),"")</f>
        <v>3</v>
      </c>
    </row>
    <row r="1809" spans="1:33" hidden="1" x14ac:dyDescent="0.2">
      <c r="A1809" s="4">
        <f>IF(B1809=1,3,IF(D1809=1,2,IF(F1809=1,1,0)))</f>
        <v>0</v>
      </c>
      <c r="B1809" s="4" t="str">
        <f>IF(C1809=$L1809,1,IF(C1809="","",0))</f>
        <v/>
      </c>
      <c r="C1809" s="42"/>
      <c r="D1809" s="4" t="str">
        <f>IF(E1809=$L1809,1,IF(E1809="","",0))</f>
        <v/>
      </c>
      <c r="E1809" s="14"/>
      <c r="F1809" s="4" t="str">
        <f>IF(G1809=$L1809,1,IF(G1809="","",0))</f>
        <v/>
      </c>
      <c r="G1809" s="14"/>
      <c r="H1809" s="6">
        <v>1908</v>
      </c>
      <c r="I1809" s="15" t="s">
        <v>3120</v>
      </c>
      <c r="J1809" s="6" t="s">
        <v>5009</v>
      </c>
      <c r="K1809" s="6"/>
      <c r="L1809" s="6" t="s">
        <v>1984</v>
      </c>
      <c r="M1809" s="6" t="s">
        <v>8014</v>
      </c>
      <c r="N1809" s="7">
        <f ca="1">RAND()</f>
        <v>0.38433493144546993</v>
      </c>
      <c r="O1809" s="8">
        <v>45212</v>
      </c>
      <c r="P1809" s="8">
        <v>45213</v>
      </c>
      <c r="Q1809" s="8">
        <v>45215</v>
      </c>
      <c r="R1809" s="8">
        <v>45219</v>
      </c>
      <c r="S1809" s="8">
        <v>45226</v>
      </c>
      <c r="T1809" s="8">
        <v>45829</v>
      </c>
      <c r="U1809" s="8"/>
      <c r="V1809" s="10">
        <f>COUNTA(O1809:U1809)</f>
        <v>6</v>
      </c>
      <c r="W1809" s="11">
        <f>_xlfn.IFNA(INDEX(reading[[#This Row],[Memo 01]:[Memo 07]],MATCH(0,reading[[#This Row],[Memo 01]:[Memo 07]],-1)),"")</f>
        <v>45829</v>
      </c>
      <c r="X1809" s="11">
        <f ca="1">IFERROR(reading[[#This Row],[Previous]]+OFFSET(reading[[#Headers],[Memo 01]],-1,MATCH(0,reading[[#This Row],[Memo 01]:[Memo 07]],-1)-1),"")</f>
        <v>45849</v>
      </c>
      <c r="Y1809" s="10" t="str">
        <f ca="1">IF(reading[[#This Row],[Next]]&lt;&gt;"",IF(reading[[#This Row],[Next]]&gt;TODAY(),"OK",""),"")</f>
        <v>OK</v>
      </c>
      <c r="Z1809" s="13">
        <v>3</v>
      </c>
      <c r="AA1809" s="13">
        <v>3</v>
      </c>
      <c r="AB1809" s="13">
        <v>3</v>
      </c>
      <c r="AC1809" s="13">
        <v>3</v>
      </c>
      <c r="AD1809" s="13">
        <v>3</v>
      </c>
      <c r="AE1809" s="13">
        <v>3</v>
      </c>
      <c r="AF1809" s="13"/>
      <c r="AG1809" s="16">
        <f>IFERROR(SUMIF(reading[[#This Row],[1st]:[7th]],"&gt;0")/COUNTIF(reading[[#This Row],[1st]:[7th]],"&gt;0"),"")</f>
        <v>3</v>
      </c>
    </row>
    <row r="1810" spans="1:33" hidden="1" x14ac:dyDescent="0.2">
      <c r="A1810" s="4">
        <f>IF(B1810=1,3,IF(D1810=1,2,IF(F1810=1,1,0)))</f>
        <v>0</v>
      </c>
      <c r="B1810" s="4" t="str">
        <f>IF(C1810=$L1810,1,IF(C1810="","",0))</f>
        <v/>
      </c>
      <c r="C1810" s="42"/>
      <c r="D1810" s="4" t="str">
        <f>IF(E1810=$L1810,1,IF(E1810="","",0))</f>
        <v/>
      </c>
      <c r="E1810" s="14"/>
      <c r="F1810" s="4" t="str">
        <f>IF(G1810=$L1810,1,IF(G1810="","",0))</f>
        <v/>
      </c>
      <c r="G1810" s="14"/>
      <c r="H1810" s="6">
        <v>1899</v>
      </c>
      <c r="I1810" s="15" t="s">
        <v>3120</v>
      </c>
      <c r="J1810" s="6" t="s">
        <v>5000</v>
      </c>
      <c r="K1810" s="6"/>
      <c r="L1810" s="6" t="s">
        <v>1975</v>
      </c>
      <c r="M1810" s="6" t="s">
        <v>8005</v>
      </c>
      <c r="N1810" s="7">
        <f ca="1">RAND()</f>
        <v>0.95354233526113918</v>
      </c>
      <c r="O1810" s="8">
        <v>45212</v>
      </c>
      <c r="P1810" s="8">
        <v>45213</v>
      </c>
      <c r="Q1810" s="8">
        <v>45215</v>
      </c>
      <c r="R1810" s="8">
        <v>45219</v>
      </c>
      <c r="S1810" s="8">
        <v>45226</v>
      </c>
      <c r="T1810" s="8">
        <v>45829</v>
      </c>
      <c r="U1810" s="8"/>
      <c r="V1810" s="10">
        <f>COUNTA(O1810:U1810)</f>
        <v>6</v>
      </c>
      <c r="W1810" s="11">
        <f>_xlfn.IFNA(INDEX(reading[[#This Row],[Memo 01]:[Memo 07]],MATCH(0,reading[[#This Row],[Memo 01]:[Memo 07]],-1)),"")</f>
        <v>45829</v>
      </c>
      <c r="X1810" s="11">
        <f ca="1">IFERROR(reading[[#This Row],[Previous]]+OFFSET(reading[[#Headers],[Memo 01]],-1,MATCH(0,reading[[#This Row],[Memo 01]:[Memo 07]],-1)-1),"")</f>
        <v>45849</v>
      </c>
      <c r="Y1810" s="10" t="str">
        <f ca="1">IF(reading[[#This Row],[Next]]&lt;&gt;"",IF(reading[[#This Row],[Next]]&gt;TODAY(),"OK",""),"")</f>
        <v>OK</v>
      </c>
      <c r="Z1810" s="13">
        <v>3</v>
      </c>
      <c r="AA1810" s="13">
        <v>3</v>
      </c>
      <c r="AB1810" s="13">
        <v>3</v>
      </c>
      <c r="AC1810" s="13">
        <v>3</v>
      </c>
      <c r="AD1810" s="13">
        <v>3</v>
      </c>
      <c r="AE1810" s="13">
        <v>3</v>
      </c>
      <c r="AF1810" s="13"/>
      <c r="AG1810" s="16">
        <f>IFERROR(SUMIF(reading[[#This Row],[1st]:[7th]],"&gt;0")/COUNTIF(reading[[#This Row],[1st]:[7th]],"&gt;0"),"")</f>
        <v>3</v>
      </c>
    </row>
    <row r="1811" spans="1:33" hidden="1" x14ac:dyDescent="0.2">
      <c r="A1811" s="4">
        <f>IF(B1811=1,3,IF(D1811=1,2,IF(F1811=1,1,0)))</f>
        <v>0</v>
      </c>
      <c r="B1811" s="4" t="str">
        <f>IF(C1811=$L1811,1,IF(C1811="","",0))</f>
        <v/>
      </c>
      <c r="C1811" s="42"/>
      <c r="D1811" s="4" t="str">
        <f>IF(E1811=$L1811,1,IF(E1811="","",0))</f>
        <v/>
      </c>
      <c r="E1811" s="14"/>
      <c r="F1811" s="4" t="str">
        <f>IF(G1811=$L1811,1,IF(G1811="","",0))</f>
        <v/>
      </c>
      <c r="G1811" s="14"/>
      <c r="H1811" s="6">
        <v>524</v>
      </c>
      <c r="I1811" s="15" t="s">
        <v>3120</v>
      </c>
      <c r="J1811" s="6" t="s">
        <v>3669</v>
      </c>
      <c r="K1811" s="6"/>
      <c r="L1811" s="6" t="s">
        <v>652</v>
      </c>
      <c r="M1811" s="6" t="s">
        <v>6633</v>
      </c>
      <c r="N1811" s="7">
        <f ca="1">RAND()</f>
        <v>0.39002164156880825</v>
      </c>
      <c r="O1811" s="8">
        <v>45202</v>
      </c>
      <c r="P1811" s="8">
        <v>45203</v>
      </c>
      <c r="Q1811" s="8">
        <v>45205</v>
      </c>
      <c r="R1811" s="8">
        <v>45209</v>
      </c>
      <c r="S1811" s="8">
        <v>45216</v>
      </c>
      <c r="T1811" s="8">
        <v>45228</v>
      </c>
      <c r="U1811" s="8">
        <v>45829</v>
      </c>
      <c r="V1811" s="10">
        <f>COUNTA(O1811:U1811)</f>
        <v>7</v>
      </c>
      <c r="W1811" s="11">
        <f>_xlfn.IFNA(INDEX(reading[[#This Row],[Memo 01]:[Memo 07]],MATCH(0,reading[[#This Row],[Memo 01]:[Memo 07]],-1)),"")</f>
        <v>45829</v>
      </c>
      <c r="X1811" s="11">
        <f ca="1">IFERROR(reading[[#This Row],[Previous]]+OFFSET(reading[[#Headers],[Memo 01]],-1,MATCH(0,reading[[#This Row],[Memo 01]:[Memo 07]],-1)-1),"")</f>
        <v>55829</v>
      </c>
      <c r="Y1811" s="10" t="str">
        <f ca="1">IF(reading[[#This Row],[Next]]&lt;&gt;"",IF(reading[[#This Row],[Next]]&gt;TODAY(),"OK",""),"")</f>
        <v>OK</v>
      </c>
      <c r="Z1811" s="13">
        <v>3</v>
      </c>
      <c r="AA1811" s="13">
        <v>3</v>
      </c>
      <c r="AB1811" s="13">
        <v>3</v>
      </c>
      <c r="AC1811" s="13">
        <v>3</v>
      </c>
      <c r="AD1811" s="13">
        <v>3</v>
      </c>
      <c r="AE1811" s="13">
        <v>2</v>
      </c>
      <c r="AF1811" s="13">
        <v>3</v>
      </c>
      <c r="AG1811" s="16">
        <f>IFERROR(SUMIF(reading[[#This Row],[1st]:[7th]],"&gt;0")/COUNTIF(reading[[#This Row],[1st]:[7th]],"&gt;0"),"")</f>
        <v>2.8571428571428572</v>
      </c>
    </row>
    <row r="1812" spans="1:33" hidden="1" x14ac:dyDescent="0.2">
      <c r="A1812" s="4">
        <f>IF(B1812=1,3,IF(D1812=1,2,IF(F1812=1,1,0)))</f>
        <v>0</v>
      </c>
      <c r="B1812" s="4" t="str">
        <f>IF(C1812=$L1812,1,IF(C1812="","",0))</f>
        <v/>
      </c>
      <c r="C1812" s="42"/>
      <c r="D1812" s="4" t="str">
        <f>IF(E1812=$L1812,1,IF(E1812="","",0))</f>
        <v/>
      </c>
      <c r="E1812" s="18"/>
      <c r="F1812" s="4" t="str">
        <f>IF(G1812=$L1812,1,IF(G1812="","",0))</f>
        <v/>
      </c>
      <c r="G1812" s="14"/>
      <c r="H1812" s="6">
        <v>1440</v>
      </c>
      <c r="I1812" s="15" t="s">
        <v>3120</v>
      </c>
      <c r="J1812" s="6" t="s">
        <v>4554</v>
      </c>
      <c r="K1812" s="6"/>
      <c r="L1812" s="6" t="s">
        <v>1530</v>
      </c>
      <c r="M1812" s="6" t="s">
        <v>7547</v>
      </c>
      <c r="N1812" s="7">
        <f ca="1">RAND()</f>
        <v>0.58137193049622182</v>
      </c>
      <c r="O1812" s="8">
        <v>45208</v>
      </c>
      <c r="P1812" s="8">
        <v>45209</v>
      </c>
      <c r="Q1812" s="8">
        <v>45211</v>
      </c>
      <c r="R1812" s="8">
        <v>45215</v>
      </c>
      <c r="S1812" s="8">
        <v>45222</v>
      </c>
      <c r="T1812" s="8">
        <v>45235</v>
      </c>
      <c r="U1812" s="8">
        <v>45829</v>
      </c>
      <c r="V1812" s="10">
        <f>COUNTA(O1812:U1812)</f>
        <v>7</v>
      </c>
      <c r="W1812" s="11">
        <f>_xlfn.IFNA(INDEX(reading[[#This Row],[Memo 01]:[Memo 07]],MATCH(0,reading[[#This Row],[Memo 01]:[Memo 07]],-1)),"")</f>
        <v>45829</v>
      </c>
      <c r="X1812" s="11">
        <f ca="1">IFERROR(reading[[#This Row],[Previous]]+OFFSET(reading[[#Headers],[Memo 01]],-1,MATCH(0,reading[[#This Row],[Memo 01]:[Memo 07]],-1)-1),"")</f>
        <v>55829</v>
      </c>
      <c r="Y1812" s="10" t="str">
        <f ca="1">IF(reading[[#This Row],[Next]]&lt;&gt;"",IF(reading[[#This Row],[Next]]&gt;TODAY(),"OK",""),"")</f>
        <v>OK</v>
      </c>
      <c r="Z1812" s="13">
        <v>3</v>
      </c>
      <c r="AA1812" s="13">
        <v>3</v>
      </c>
      <c r="AB1812" s="13">
        <v>3</v>
      </c>
      <c r="AC1812" s="13">
        <v>2</v>
      </c>
      <c r="AD1812" s="13">
        <v>2</v>
      </c>
      <c r="AE1812" s="13">
        <v>2</v>
      </c>
      <c r="AF1812" s="13">
        <v>3</v>
      </c>
      <c r="AG1812" s="16">
        <f>IFERROR(SUMIF(reading[[#This Row],[1st]:[7th]],"&gt;0")/COUNTIF(reading[[#This Row],[1st]:[7th]],"&gt;0"),"")</f>
        <v>2.5714285714285716</v>
      </c>
    </row>
    <row r="1813" spans="1:33" x14ac:dyDescent="0.2">
      <c r="A1813" s="4">
        <f>IF(B1813=1,3,IF(D1813=1,2,IF(F1813=1,1,0)))</f>
        <v>3</v>
      </c>
      <c r="B1813" s="4">
        <f>IF(C1813=$L1813,1,IF(C1813="","",0))</f>
        <v>1</v>
      </c>
      <c r="C1813" s="42" t="s">
        <v>9318</v>
      </c>
      <c r="D1813" s="4" t="str">
        <f>IF(E1813=$L1813,1,IF(E1813="","",0))</f>
        <v/>
      </c>
      <c r="E1813" s="14"/>
      <c r="F1813" s="4" t="str">
        <f>IF(G1813=$L1813,1,IF(G1813="","",0))</f>
        <v/>
      </c>
      <c r="G1813" s="14"/>
      <c r="H1813" s="6">
        <v>1458</v>
      </c>
      <c r="I1813" s="15" t="s">
        <v>3120</v>
      </c>
      <c r="J1813" s="6" t="s">
        <v>4572</v>
      </c>
      <c r="K1813" s="6"/>
      <c r="L1813" s="6" t="s">
        <v>1546</v>
      </c>
      <c r="M1813" s="6" t="s">
        <v>7565</v>
      </c>
      <c r="N1813" s="7">
        <f ca="1">RAND()</f>
        <v>0.88315959037325564</v>
      </c>
      <c r="O1813" s="8">
        <v>45208</v>
      </c>
      <c r="P1813" s="8">
        <v>45209</v>
      </c>
      <c r="Q1813" s="8">
        <v>45211</v>
      </c>
      <c r="R1813" s="8">
        <v>45215</v>
      </c>
      <c r="S1813" s="8">
        <v>45222</v>
      </c>
      <c r="T1813" s="8">
        <v>45234</v>
      </c>
      <c r="U1813" s="8"/>
      <c r="V1813" s="10">
        <f>COUNTA(O1813:U1813)</f>
        <v>6</v>
      </c>
      <c r="W1813" s="11">
        <f>_xlfn.IFNA(INDEX(reading[[#This Row],[Memo 01]:[Memo 07]],MATCH(0,reading[[#This Row],[Memo 01]:[Memo 07]],-1)),"")</f>
        <v>45234</v>
      </c>
      <c r="X1813" s="11">
        <f ca="1">IFERROR(reading[[#This Row],[Previous]]+OFFSET(reading[[#Headers],[Memo 01]],-1,MATCH(0,reading[[#This Row],[Memo 01]:[Memo 07]],-1)-1),"")</f>
        <v>45254</v>
      </c>
      <c r="Y1813" s="10" t="str">
        <f ca="1">IF(reading[[#This Row],[Next]]&lt;&gt;"",IF(reading[[#This Row],[Next]]&gt;TODAY(),"OK",""),"")</f>
        <v/>
      </c>
      <c r="Z1813" s="13">
        <v>3</v>
      </c>
      <c r="AA1813" s="13">
        <v>3</v>
      </c>
      <c r="AB1813" s="13">
        <v>3</v>
      </c>
      <c r="AC1813" s="13">
        <v>3</v>
      </c>
      <c r="AD1813" s="13">
        <v>3</v>
      </c>
      <c r="AE1813" s="13">
        <v>3</v>
      </c>
      <c r="AF1813" s="13"/>
      <c r="AG1813" s="16">
        <f>IFERROR(SUMIF(reading[[#This Row],[1st]:[7th]],"&gt;0")/COUNTIF(reading[[#This Row],[1st]:[7th]],"&gt;0"),"")</f>
        <v>3</v>
      </c>
    </row>
    <row r="1814" spans="1:33" hidden="1" x14ac:dyDescent="0.2">
      <c r="A1814" s="4">
        <f>IF(B1814=1,3,IF(D1814=1,2,IF(F1814=1,1,0)))</f>
        <v>0</v>
      </c>
      <c r="B1814" s="4" t="str">
        <f>IF(C1814=$L1814,1,IF(C1814="","",0))</f>
        <v/>
      </c>
      <c r="C1814" s="42"/>
      <c r="D1814" s="4" t="str">
        <f>IF(E1814=$L1814,1,IF(E1814="","",0))</f>
        <v/>
      </c>
      <c r="E1814" s="14"/>
      <c r="F1814" s="4" t="str">
        <f>IF(G1814=$L1814,1,IF(G1814="","",0))</f>
        <v/>
      </c>
      <c r="G1814" s="14"/>
      <c r="H1814" s="6">
        <v>629</v>
      </c>
      <c r="I1814" s="15" t="s">
        <v>3120</v>
      </c>
      <c r="J1814" s="6" t="s">
        <v>3771</v>
      </c>
      <c r="K1814" s="6"/>
      <c r="L1814" s="6" t="s">
        <v>752</v>
      </c>
      <c r="M1814" s="6" t="s">
        <v>6738</v>
      </c>
      <c r="N1814" s="7">
        <f ca="1">RAND()</f>
        <v>0.47557907883031136</v>
      </c>
      <c r="O1814" s="8">
        <v>45202</v>
      </c>
      <c r="P1814" s="8">
        <v>45203</v>
      </c>
      <c r="Q1814" s="8">
        <v>45205</v>
      </c>
      <c r="R1814" s="8">
        <v>45209</v>
      </c>
      <c r="S1814" s="8">
        <v>45216</v>
      </c>
      <c r="T1814" s="8">
        <v>45228</v>
      </c>
      <c r="U1814" s="8">
        <v>45830</v>
      </c>
      <c r="V1814" s="10">
        <f>COUNTA(O1814:U1814)</f>
        <v>7</v>
      </c>
      <c r="W1814" s="11">
        <f>_xlfn.IFNA(INDEX(reading[[#This Row],[Memo 01]:[Memo 07]],MATCH(0,reading[[#This Row],[Memo 01]:[Memo 07]],-1)),"")</f>
        <v>45830</v>
      </c>
      <c r="X1814" s="11">
        <f ca="1">IFERROR(reading[[#This Row],[Previous]]+OFFSET(reading[[#Headers],[Memo 01]],-1,MATCH(0,reading[[#This Row],[Memo 01]:[Memo 07]],-1)-1),"")</f>
        <v>55830</v>
      </c>
      <c r="Y1814" s="10" t="str">
        <f ca="1">IF(reading[[#This Row],[Next]]&lt;&gt;"",IF(reading[[#This Row],[Next]]&gt;TODAY(),"OK",""),"")</f>
        <v>OK</v>
      </c>
      <c r="Z1814" s="13">
        <v>3</v>
      </c>
      <c r="AA1814" s="13">
        <v>3</v>
      </c>
      <c r="AB1814" s="13">
        <v>3</v>
      </c>
      <c r="AC1814" s="13">
        <v>3</v>
      </c>
      <c r="AD1814" s="13">
        <v>3</v>
      </c>
      <c r="AE1814" s="13">
        <v>3</v>
      </c>
      <c r="AF1814" s="13">
        <v>3</v>
      </c>
      <c r="AG1814" s="16">
        <f>IFERROR(SUMIF(reading[[#This Row],[1st]:[7th]],"&gt;0")/COUNTIF(reading[[#This Row],[1st]:[7th]],"&gt;0"),"")</f>
        <v>3</v>
      </c>
    </row>
    <row r="1815" spans="1:33" hidden="1" x14ac:dyDescent="0.2">
      <c r="A1815" s="4">
        <f>IF(B1815=1,3,IF(D1815=1,2,IF(F1815=1,1,0)))</f>
        <v>0</v>
      </c>
      <c r="B1815" s="4" t="str">
        <f>IF(C1815=$L1815,1,IF(C1815="","",0))</f>
        <v/>
      </c>
      <c r="C1815" s="42"/>
      <c r="D1815" s="4" t="str">
        <f>IF(E1815=$L1815,1,IF(E1815="","",0))</f>
        <v/>
      </c>
      <c r="E1815" s="43"/>
      <c r="F1815" s="4" t="str">
        <f>IF(G1815=$L1815,1,IF(G1815="","",0))</f>
        <v/>
      </c>
      <c r="G1815" s="18"/>
      <c r="H1815" s="6">
        <v>1285</v>
      </c>
      <c r="I1815" s="15" t="s">
        <v>3120</v>
      </c>
      <c r="J1815" s="6" t="s">
        <v>4402</v>
      </c>
      <c r="K1815" s="6"/>
      <c r="L1815" s="6" t="s">
        <v>1383</v>
      </c>
      <c r="M1815" s="6" t="s">
        <v>7392</v>
      </c>
      <c r="N1815" s="7">
        <f ca="1">RAND()</f>
        <v>0.15163841196966565</v>
      </c>
      <c r="O1815" s="8">
        <v>45207</v>
      </c>
      <c r="P1815" s="8">
        <v>45208</v>
      </c>
      <c r="Q1815" s="8">
        <v>45210</v>
      </c>
      <c r="R1815" s="8">
        <v>45214</v>
      </c>
      <c r="S1815" s="8">
        <v>45221</v>
      </c>
      <c r="T1815" s="8">
        <v>45233</v>
      </c>
      <c r="U1815" s="8">
        <v>45825</v>
      </c>
      <c r="V1815" s="10">
        <f>COUNTA(O1815:U1815)</f>
        <v>7</v>
      </c>
      <c r="W1815" s="11">
        <f>_xlfn.IFNA(INDEX(reading[[#This Row],[Memo 01]:[Memo 07]],MATCH(0,reading[[#This Row],[Memo 01]:[Memo 07]],-1)),"")</f>
        <v>45825</v>
      </c>
      <c r="X1815" s="11">
        <f ca="1">IFERROR(reading[[#This Row],[Previous]]+OFFSET(reading[[#Headers],[Memo 01]],-1,MATCH(0,reading[[#This Row],[Memo 01]:[Memo 07]],-1)-1),"")</f>
        <v>55825</v>
      </c>
      <c r="Y1815" s="10" t="str">
        <f ca="1">IF(reading[[#This Row],[Next]]&lt;&gt;"",IF(reading[[#This Row],[Next]]&gt;TODAY(),"OK",""),"")</f>
        <v>OK</v>
      </c>
      <c r="Z1815" s="13">
        <v>3</v>
      </c>
      <c r="AA1815" s="13">
        <v>3</v>
      </c>
      <c r="AB1815" s="13">
        <v>3</v>
      </c>
      <c r="AC1815" s="13">
        <v>3</v>
      </c>
      <c r="AD1815" s="13">
        <v>1</v>
      </c>
      <c r="AE1815" s="13">
        <v>3</v>
      </c>
      <c r="AF1815" s="13">
        <v>2</v>
      </c>
      <c r="AG1815" s="16">
        <f>IFERROR(SUMIF(reading[[#This Row],[1st]:[7th]],"&gt;0")/COUNTIF(reading[[#This Row],[1st]:[7th]],"&gt;0"),"")</f>
        <v>2.5714285714285716</v>
      </c>
    </row>
    <row r="1816" spans="1:33" hidden="1" x14ac:dyDescent="0.2">
      <c r="A1816" s="4">
        <f>IF(B1816=1,3,IF(D1816=1,2,IF(F1816=1,1,0)))</f>
        <v>0</v>
      </c>
      <c r="B1816" s="4" t="str">
        <f>IF(C1816=$L1816,1,IF(C1816="","",0))</f>
        <v/>
      </c>
      <c r="C1816" s="42"/>
      <c r="D1816" s="4" t="str">
        <f>IF(E1816=$L1816,1,IF(E1816="","",0))</f>
        <v/>
      </c>
      <c r="E1816" s="14"/>
      <c r="F1816" s="4" t="str">
        <f>IF(G1816=$L1816,1,IF(G1816="","",0))</f>
        <v/>
      </c>
      <c r="G1816" s="14"/>
      <c r="H1816" s="6">
        <v>3019</v>
      </c>
      <c r="I1816" s="15" t="s">
        <v>3120</v>
      </c>
      <c r="J1816" s="6" t="s">
        <v>6042</v>
      </c>
      <c r="K1816" s="6"/>
      <c r="L1816" s="6" t="s">
        <v>3048</v>
      </c>
      <c r="M1816" s="6" t="s">
        <v>9122</v>
      </c>
      <c r="N1816" s="7">
        <f ca="1">RAND()</f>
        <v>0.48340558731591599</v>
      </c>
      <c r="O1816" s="8">
        <v>45224</v>
      </c>
      <c r="P1816" s="8">
        <v>45225</v>
      </c>
      <c r="Q1816" s="8">
        <v>45227</v>
      </c>
      <c r="R1816" s="8">
        <v>45231</v>
      </c>
      <c r="S1816" s="8">
        <v>45249</v>
      </c>
      <c r="T1816" s="8">
        <v>45829</v>
      </c>
      <c r="U1816" s="8"/>
      <c r="V1816" s="10">
        <f>COUNTA(O1816:U1816)</f>
        <v>6</v>
      </c>
      <c r="W1816" s="11">
        <f>_xlfn.IFNA(INDEX(reading[[#This Row],[Memo 01]:[Memo 07]],MATCH(0,reading[[#This Row],[Memo 01]:[Memo 07]],-1)),"")</f>
        <v>45829</v>
      </c>
      <c r="X1816" s="11">
        <f ca="1">IFERROR(reading[[#This Row],[Previous]]+OFFSET(reading[[#Headers],[Memo 01]],-1,MATCH(0,reading[[#This Row],[Memo 01]:[Memo 07]],-1)-1),"")</f>
        <v>45849</v>
      </c>
      <c r="Y1816" s="10" t="str">
        <f ca="1">IF(reading[[#This Row],[Next]]&lt;&gt;"",IF(reading[[#This Row],[Next]]&gt;TODAY(),"OK",""),"")</f>
        <v>OK</v>
      </c>
      <c r="Z1816" s="13">
        <v>3</v>
      </c>
      <c r="AA1816" s="13">
        <v>3</v>
      </c>
      <c r="AB1816" s="13">
        <v>3</v>
      </c>
      <c r="AC1816" s="13">
        <v>3</v>
      </c>
      <c r="AD1816" s="13">
        <v>3</v>
      </c>
      <c r="AE1816" s="13">
        <v>3</v>
      </c>
      <c r="AF1816" s="13"/>
      <c r="AG1816" s="16">
        <f>IFERROR(SUMIF(reading[[#This Row],[1st]:[7th]],"&gt;0")/COUNTIF(reading[[#This Row],[1st]:[7th]],"&gt;0"),"")</f>
        <v>3</v>
      </c>
    </row>
    <row r="1817" spans="1:33" hidden="1" x14ac:dyDescent="0.2">
      <c r="A1817" s="4">
        <f>IF(B1817=1,3,IF(D1817=1,2,IF(F1817=1,1,0)))</f>
        <v>0</v>
      </c>
      <c r="B1817" s="4" t="str">
        <f>IF(C1817=$L1817,1,IF(C1817="","",0))</f>
        <v/>
      </c>
      <c r="C1817" s="42"/>
      <c r="D1817" s="4" t="str">
        <f>IF(E1817=$L1817,1,IF(E1817="","",0))</f>
        <v/>
      </c>
      <c r="E1817" s="43"/>
      <c r="F1817" s="4" t="str">
        <f>IF(G1817=$L1817,1,IF(G1817="","",0))</f>
        <v/>
      </c>
      <c r="G1817" s="14"/>
      <c r="H1817" s="6">
        <v>2391</v>
      </c>
      <c r="I1817" s="15" t="s">
        <v>3120</v>
      </c>
      <c r="J1817" s="6" t="s">
        <v>5464</v>
      </c>
      <c r="K1817" s="6"/>
      <c r="L1817" s="6" t="s">
        <v>2442</v>
      </c>
      <c r="M1817" s="6" t="s">
        <v>8496</v>
      </c>
      <c r="N1817" s="7">
        <f ca="1">RAND()</f>
        <v>0.14748544189637502</v>
      </c>
      <c r="O1817" s="8">
        <v>45217</v>
      </c>
      <c r="P1817" s="8">
        <v>45218</v>
      </c>
      <c r="Q1817" s="8">
        <v>45220</v>
      </c>
      <c r="R1817" s="8">
        <v>45224</v>
      </c>
      <c r="S1817" s="8">
        <v>45231</v>
      </c>
      <c r="T1817" s="8">
        <v>45252</v>
      </c>
      <c r="U1817" s="8">
        <v>45825</v>
      </c>
      <c r="V1817" s="10">
        <f>COUNTA(O1817:U1817)</f>
        <v>7</v>
      </c>
      <c r="W1817" s="11">
        <f>_xlfn.IFNA(INDEX(reading[[#This Row],[Memo 01]:[Memo 07]],MATCH(0,reading[[#This Row],[Memo 01]:[Memo 07]],-1)),"")</f>
        <v>45825</v>
      </c>
      <c r="X1817" s="11">
        <f ca="1">IFERROR(reading[[#This Row],[Previous]]+OFFSET(reading[[#Headers],[Memo 01]],-1,MATCH(0,reading[[#This Row],[Memo 01]:[Memo 07]],-1)-1),"")</f>
        <v>55825</v>
      </c>
      <c r="Y1817" s="10" t="str">
        <f ca="1">IF(reading[[#This Row],[Next]]&lt;&gt;"",IF(reading[[#This Row],[Next]]&gt;TODAY(),"OK",""),"")</f>
        <v>OK</v>
      </c>
      <c r="Z1817" s="13">
        <v>3</v>
      </c>
      <c r="AA1817" s="13">
        <v>2</v>
      </c>
      <c r="AB1817" s="13">
        <v>2</v>
      </c>
      <c r="AC1817" s="13">
        <v>3</v>
      </c>
      <c r="AD1817" s="13">
        <v>3</v>
      </c>
      <c r="AE1817" s="13">
        <v>2</v>
      </c>
      <c r="AF1817" s="13">
        <v>2</v>
      </c>
      <c r="AG1817" s="16">
        <f>IFERROR(SUMIF(reading[[#This Row],[1st]:[7th]],"&gt;0")/COUNTIF(reading[[#This Row],[1st]:[7th]],"&gt;0"),"")</f>
        <v>2.4285714285714284</v>
      </c>
    </row>
    <row r="1818" spans="1:33" hidden="1" x14ac:dyDescent="0.2">
      <c r="A1818" s="4">
        <f>IF(B1818=1,3,IF(D1818=1,2,IF(F1818=1,1,0)))</f>
        <v>0</v>
      </c>
      <c r="B1818" s="4" t="str">
        <f>IF(C1818=$L1818,1,IF(C1818="","",0))</f>
        <v/>
      </c>
      <c r="C1818" s="42"/>
      <c r="D1818" s="4" t="str">
        <f>IF(E1818=$L1818,1,IF(E1818="","",0))</f>
        <v/>
      </c>
      <c r="E1818" s="43"/>
      <c r="F1818" s="4" t="str">
        <f>IF(G1818=$L1818,1,IF(G1818="","",0))</f>
        <v/>
      </c>
      <c r="G1818" s="23"/>
      <c r="H1818" s="6">
        <v>1622</v>
      </c>
      <c r="I1818" s="15" t="s">
        <v>3120</v>
      </c>
      <c r="J1818" s="6" t="s">
        <v>4734</v>
      </c>
      <c r="K1818" s="6"/>
      <c r="L1818" s="6" t="s">
        <v>1704</v>
      </c>
      <c r="M1818" s="6" t="s">
        <v>7728</v>
      </c>
      <c r="N1818" s="7">
        <f ca="1">RAND()</f>
        <v>6.8557225932413757E-2</v>
      </c>
      <c r="O1818" s="8">
        <v>45210</v>
      </c>
      <c r="P1818" s="8">
        <v>45211</v>
      </c>
      <c r="Q1818" s="8">
        <v>45213</v>
      </c>
      <c r="R1818" s="8">
        <v>45217</v>
      </c>
      <c r="S1818" s="8">
        <v>45224</v>
      </c>
      <c r="T1818" s="8">
        <v>45236</v>
      </c>
      <c r="U1818" s="8">
        <v>45817</v>
      </c>
      <c r="V1818" s="10">
        <f>COUNTA(O1818:U1818)</f>
        <v>7</v>
      </c>
      <c r="W1818" s="11">
        <f>_xlfn.IFNA(INDEX(reading[[#This Row],[Memo 01]:[Memo 07]],MATCH(0,reading[[#This Row],[Memo 01]:[Memo 07]],-1)),"")</f>
        <v>45817</v>
      </c>
      <c r="X1818" s="11">
        <f ca="1">IFERROR(reading[[#This Row],[Previous]]+OFFSET(reading[[#Headers],[Memo 01]],-1,MATCH(0,reading[[#This Row],[Memo 01]:[Memo 07]],-1)-1),"")</f>
        <v>55817</v>
      </c>
      <c r="Y1818" s="10" t="str">
        <f ca="1">IF(reading[[#This Row],[Next]]&lt;&gt;"",IF(reading[[#This Row],[Next]]&gt;TODAY(),"OK",""),"")</f>
        <v>OK</v>
      </c>
      <c r="Z1818" s="13">
        <v>3</v>
      </c>
      <c r="AA1818" s="13">
        <v>3</v>
      </c>
      <c r="AB1818" s="13">
        <v>3</v>
      </c>
      <c r="AC1818" s="13">
        <v>3</v>
      </c>
      <c r="AD1818" s="13">
        <v>2</v>
      </c>
      <c r="AE1818" s="13">
        <v>3</v>
      </c>
      <c r="AF1818" s="13">
        <v>1</v>
      </c>
      <c r="AG1818" s="16">
        <f>IFERROR(SUMIF(reading[[#This Row],[1st]:[7th]],"&gt;0")/COUNTIF(reading[[#This Row],[1st]:[7th]],"&gt;0"),"")</f>
        <v>2.5714285714285716</v>
      </c>
    </row>
    <row r="1819" spans="1:33" hidden="1" x14ac:dyDescent="0.2">
      <c r="A1819" s="4">
        <f>IF(B1819=1,3,IF(D1819=1,2,IF(F1819=1,1,0)))</f>
        <v>0</v>
      </c>
      <c r="B1819" s="4" t="str">
        <f>IF(C1819=$L1819,1,IF(C1819="","",0))</f>
        <v/>
      </c>
      <c r="C1819" s="42"/>
      <c r="D1819" s="4" t="str">
        <f>IF(E1819=$L1819,1,IF(E1819="","",0))</f>
        <v/>
      </c>
      <c r="E1819" s="14"/>
      <c r="F1819" s="4" t="str">
        <f>IF(G1819=$L1819,1,IF(G1819="","",0))</f>
        <v/>
      </c>
      <c r="G1819" s="14"/>
      <c r="H1819" s="6">
        <v>1849</v>
      </c>
      <c r="I1819" s="15" t="s">
        <v>3120</v>
      </c>
      <c r="J1819" s="6" t="s">
        <v>4952</v>
      </c>
      <c r="K1819" s="6"/>
      <c r="L1819" s="6" t="s">
        <v>1927</v>
      </c>
      <c r="M1819" s="6" t="s">
        <v>7955</v>
      </c>
      <c r="N1819" s="7">
        <f ca="1">RAND()</f>
        <v>0.9999831750924586</v>
      </c>
      <c r="O1819" s="8">
        <v>45213</v>
      </c>
      <c r="P1819" s="8">
        <v>45214</v>
      </c>
      <c r="Q1819" s="8">
        <v>45216</v>
      </c>
      <c r="R1819" s="8">
        <v>45220</v>
      </c>
      <c r="S1819" s="8">
        <v>45227</v>
      </c>
      <c r="T1819" s="8">
        <v>45829</v>
      </c>
      <c r="U1819" s="8"/>
      <c r="V1819" s="10">
        <f>COUNTA(O1819:U1819)</f>
        <v>6</v>
      </c>
      <c r="W1819" s="11">
        <f>_xlfn.IFNA(INDEX(reading[[#This Row],[Memo 01]:[Memo 07]],MATCH(0,reading[[#This Row],[Memo 01]:[Memo 07]],-1)),"")</f>
        <v>45829</v>
      </c>
      <c r="X1819" s="11">
        <f ca="1">IFERROR(reading[[#This Row],[Previous]]+OFFSET(reading[[#Headers],[Memo 01]],-1,MATCH(0,reading[[#This Row],[Memo 01]:[Memo 07]],-1)-1),"")</f>
        <v>45849</v>
      </c>
      <c r="Y1819" s="10" t="str">
        <f ca="1">IF(reading[[#This Row],[Next]]&lt;&gt;"",IF(reading[[#This Row],[Next]]&gt;TODAY(),"OK",""),"")</f>
        <v>OK</v>
      </c>
      <c r="Z1819" s="13">
        <v>3</v>
      </c>
      <c r="AA1819" s="13">
        <v>3</v>
      </c>
      <c r="AB1819" s="13">
        <v>3</v>
      </c>
      <c r="AC1819" s="13">
        <v>3</v>
      </c>
      <c r="AD1819" s="13">
        <v>3</v>
      </c>
      <c r="AE1819" s="13">
        <v>3</v>
      </c>
      <c r="AF1819" s="13"/>
      <c r="AG1819" s="16">
        <f>IFERROR(SUMIF(reading[[#This Row],[1st]:[7th]],"&gt;0")/COUNTIF(reading[[#This Row],[1st]:[7th]],"&gt;0"),"")</f>
        <v>3</v>
      </c>
    </row>
    <row r="1820" spans="1:33" x14ac:dyDescent="0.2">
      <c r="A1820" s="4">
        <f>IF(B1820=1,3,IF(D1820=1,2,IF(F1820=1,1,0)))</f>
        <v>0</v>
      </c>
      <c r="B1820" s="4">
        <f>IF(C1820=$L1820,1,IF(C1820="","",0))</f>
        <v>0</v>
      </c>
      <c r="C1820" s="42" t="s">
        <v>9200</v>
      </c>
      <c r="D1820" s="4" t="str">
        <f>IF(E1820=$L1820,1,IF(E1820="","",0))</f>
        <v/>
      </c>
      <c r="E1820" s="14"/>
      <c r="F1820" s="4" t="str">
        <f>IF(G1820=$L1820,1,IF(G1820="","",0))</f>
        <v/>
      </c>
      <c r="G1820" s="14"/>
      <c r="H1820" s="6">
        <v>1283</v>
      </c>
      <c r="I1820" s="15" t="s">
        <v>3120</v>
      </c>
      <c r="J1820" s="6" t="s">
        <v>4400</v>
      </c>
      <c r="K1820" s="6"/>
      <c r="L1820" s="6" t="s">
        <v>1381</v>
      </c>
      <c r="M1820" s="6" t="s">
        <v>7390</v>
      </c>
      <c r="N1820" s="7">
        <f ca="1">RAND()</f>
        <v>0.38850580761639775</v>
      </c>
      <c r="O1820" s="8">
        <v>45207</v>
      </c>
      <c r="P1820" s="8">
        <v>45208</v>
      </c>
      <c r="Q1820" s="8">
        <v>45210</v>
      </c>
      <c r="R1820" s="8">
        <v>45214</v>
      </c>
      <c r="S1820" s="8">
        <v>45221</v>
      </c>
      <c r="T1820" s="8">
        <v>45233</v>
      </c>
      <c r="U1820" s="8"/>
      <c r="V1820" s="10">
        <f>COUNTA(O1820:U1820)</f>
        <v>6</v>
      </c>
      <c r="W1820" s="11">
        <f>_xlfn.IFNA(INDEX(reading[[#This Row],[Memo 01]:[Memo 07]],MATCH(0,reading[[#This Row],[Memo 01]:[Memo 07]],-1)),"")</f>
        <v>45233</v>
      </c>
      <c r="X1820" s="11">
        <f ca="1">IFERROR(reading[[#This Row],[Previous]]+OFFSET(reading[[#Headers],[Memo 01]],-1,MATCH(0,reading[[#This Row],[Memo 01]:[Memo 07]],-1)-1),"")</f>
        <v>45253</v>
      </c>
      <c r="Y1820" s="10" t="str">
        <f ca="1">IF(reading[[#This Row],[Next]]&lt;&gt;"",IF(reading[[#This Row],[Next]]&gt;TODAY(),"OK",""),"")</f>
        <v/>
      </c>
      <c r="Z1820" s="13">
        <v>3</v>
      </c>
      <c r="AA1820" s="13">
        <v>3</v>
      </c>
      <c r="AB1820" s="13">
        <v>3</v>
      </c>
      <c r="AC1820" s="13">
        <v>3</v>
      </c>
      <c r="AD1820" s="13">
        <v>3</v>
      </c>
      <c r="AE1820" s="13">
        <v>3</v>
      </c>
      <c r="AF1820" s="13"/>
      <c r="AG1820" s="16">
        <f>IFERROR(SUMIF(reading[[#This Row],[1st]:[7th]],"&gt;0")/COUNTIF(reading[[#This Row],[1st]:[7th]],"&gt;0"),"")</f>
        <v>3</v>
      </c>
    </row>
    <row r="1821" spans="1:33" x14ac:dyDescent="0.2">
      <c r="A1821" s="4">
        <f>IF(B1821=1,3,IF(D1821=1,2,IF(F1821=1,1,0)))</f>
        <v>3</v>
      </c>
      <c r="B1821" s="4">
        <f>IF(C1821=$L1821,1,IF(C1821="","",0))</f>
        <v>1</v>
      </c>
      <c r="C1821" s="42" t="s">
        <v>9319</v>
      </c>
      <c r="D1821" s="4" t="str">
        <f>IF(E1821=$L1821,1,IF(E1821="","",0))</f>
        <v/>
      </c>
      <c r="E1821" s="14"/>
      <c r="F1821" s="4" t="str">
        <f>IF(G1821=$L1821,1,IF(G1821="","",0))</f>
        <v/>
      </c>
      <c r="G1821" s="14"/>
      <c r="H1821" s="6">
        <v>927</v>
      </c>
      <c r="I1821" s="15" t="s">
        <v>3120</v>
      </c>
      <c r="J1821" s="6" t="s">
        <v>4058</v>
      </c>
      <c r="K1821" s="6"/>
      <c r="L1821" s="6" t="s">
        <v>1038</v>
      </c>
      <c r="M1821" s="6" t="s">
        <v>7035</v>
      </c>
      <c r="N1821" s="7">
        <f ca="1">RAND()</f>
        <v>1.0790328229246193E-2</v>
      </c>
      <c r="O1821" s="8">
        <v>45204</v>
      </c>
      <c r="P1821" s="8">
        <v>45205</v>
      </c>
      <c r="Q1821" s="8">
        <v>45207</v>
      </c>
      <c r="R1821" s="8">
        <v>45211</v>
      </c>
      <c r="S1821" s="8">
        <v>45218</v>
      </c>
      <c r="T1821" s="8">
        <v>45230</v>
      </c>
      <c r="U1821" s="8"/>
      <c r="V1821" s="10">
        <f>COUNTA(O1821:U1821)</f>
        <v>6</v>
      </c>
      <c r="W1821" s="11">
        <f>_xlfn.IFNA(INDEX(reading[[#This Row],[Memo 01]:[Memo 07]],MATCH(0,reading[[#This Row],[Memo 01]:[Memo 07]],-1)),"")</f>
        <v>45230</v>
      </c>
      <c r="X1821" s="11">
        <f ca="1">IFERROR(reading[[#This Row],[Previous]]+OFFSET(reading[[#Headers],[Memo 01]],-1,MATCH(0,reading[[#This Row],[Memo 01]:[Memo 07]],-1)-1),"")</f>
        <v>45250</v>
      </c>
      <c r="Y1821" s="10" t="str">
        <f ca="1">IF(reading[[#This Row],[Next]]&lt;&gt;"",IF(reading[[#This Row],[Next]]&gt;TODAY(),"OK",""),"")</f>
        <v/>
      </c>
      <c r="Z1821" s="13">
        <v>3</v>
      </c>
      <c r="AA1821" s="13">
        <v>3</v>
      </c>
      <c r="AB1821" s="13">
        <v>3</v>
      </c>
      <c r="AC1821" s="13">
        <v>3</v>
      </c>
      <c r="AD1821" s="13">
        <v>3</v>
      </c>
      <c r="AE1821" s="13">
        <v>3</v>
      </c>
      <c r="AF1821" s="13"/>
      <c r="AG1821" s="16">
        <f>IFERROR(SUMIF(reading[[#This Row],[1st]:[7th]],"&gt;0")/COUNTIF(reading[[#This Row],[1st]:[7th]],"&gt;0"),"")</f>
        <v>3</v>
      </c>
    </row>
    <row r="1822" spans="1:33" x14ac:dyDescent="0.2">
      <c r="A1822" s="4">
        <f>IF(B1822=1,3,IF(D1822=1,2,IF(F1822=1,1,0)))</f>
        <v>3</v>
      </c>
      <c r="B1822" s="4">
        <f>IF(C1822=$L1822,1,IF(C1822="","",0))</f>
        <v>1</v>
      </c>
      <c r="C1822" s="42" t="s">
        <v>9320</v>
      </c>
      <c r="D1822" s="4" t="str">
        <f>IF(E1822=$L1822,1,IF(E1822="","",0))</f>
        <v/>
      </c>
      <c r="E1822" s="14"/>
      <c r="F1822" s="4" t="str">
        <f>IF(G1822=$L1822,1,IF(G1822="","",0))</f>
        <v/>
      </c>
      <c r="G1822" s="14"/>
      <c r="H1822" s="6">
        <v>1559</v>
      </c>
      <c r="I1822" s="15" t="s">
        <v>3120</v>
      </c>
      <c r="J1822" s="6" t="s">
        <v>4672</v>
      </c>
      <c r="K1822" s="6"/>
      <c r="L1822" s="6" t="s">
        <v>1644</v>
      </c>
      <c r="M1822" s="6" t="s">
        <v>7665</v>
      </c>
      <c r="N1822" s="7">
        <f ca="1">RAND()</f>
        <v>0.90196441453455478</v>
      </c>
      <c r="O1822" s="8">
        <v>45209</v>
      </c>
      <c r="P1822" s="8">
        <v>45210</v>
      </c>
      <c r="Q1822" s="8">
        <v>45212</v>
      </c>
      <c r="R1822" s="8">
        <v>45216</v>
      </c>
      <c r="S1822" s="8">
        <v>45223</v>
      </c>
      <c r="T1822" s="8">
        <v>45235</v>
      </c>
      <c r="U1822" s="8"/>
      <c r="V1822" s="10">
        <f>COUNTA(O1822:U1822)</f>
        <v>6</v>
      </c>
      <c r="W1822" s="11">
        <f>_xlfn.IFNA(INDEX(reading[[#This Row],[Memo 01]:[Memo 07]],MATCH(0,reading[[#This Row],[Memo 01]:[Memo 07]],-1)),"")</f>
        <v>45235</v>
      </c>
      <c r="X1822" s="11">
        <f ca="1">IFERROR(reading[[#This Row],[Previous]]+OFFSET(reading[[#Headers],[Memo 01]],-1,MATCH(0,reading[[#This Row],[Memo 01]:[Memo 07]],-1)-1),"")</f>
        <v>45255</v>
      </c>
      <c r="Y1822" s="10" t="str">
        <f ca="1">IF(reading[[#This Row],[Next]]&lt;&gt;"",IF(reading[[#This Row],[Next]]&gt;TODAY(),"OK",""),"")</f>
        <v/>
      </c>
      <c r="Z1822" s="13">
        <v>3</v>
      </c>
      <c r="AA1822" s="13">
        <v>3</v>
      </c>
      <c r="AB1822" s="13">
        <v>3</v>
      </c>
      <c r="AC1822" s="13">
        <v>3</v>
      </c>
      <c r="AD1822" s="13">
        <v>3</v>
      </c>
      <c r="AE1822" s="13">
        <v>3</v>
      </c>
      <c r="AF1822" s="13"/>
      <c r="AG1822" s="16">
        <f>IFERROR(SUMIF(reading[[#This Row],[1st]:[7th]],"&gt;0")/COUNTIF(reading[[#This Row],[1st]:[7th]],"&gt;0"),"")</f>
        <v>3</v>
      </c>
    </row>
    <row r="1823" spans="1:33" x14ac:dyDescent="0.2">
      <c r="A1823" s="4">
        <f>IF(B1823=1,3,IF(D1823=1,2,IF(F1823=1,1,0)))</f>
        <v>0</v>
      </c>
      <c r="B1823" s="4">
        <f>IF(C1823=$L1823,1,IF(C1823="","",0))</f>
        <v>0</v>
      </c>
      <c r="C1823" s="42" t="s">
        <v>9200</v>
      </c>
      <c r="D1823" s="4" t="str">
        <f>IF(E1823=$L1823,1,IF(E1823="","",0))</f>
        <v/>
      </c>
      <c r="E1823" s="14"/>
      <c r="F1823" s="4" t="str">
        <f>IF(G1823=$L1823,1,IF(G1823="","",0))</f>
        <v/>
      </c>
      <c r="G1823" s="14"/>
      <c r="H1823" s="6">
        <v>693</v>
      </c>
      <c r="I1823" s="15" t="s">
        <v>3120</v>
      </c>
      <c r="J1823" s="6" t="s">
        <v>3832</v>
      </c>
      <c r="K1823" s="6"/>
      <c r="L1823" s="6" t="s">
        <v>816</v>
      </c>
      <c r="M1823" s="6" t="s">
        <v>6802</v>
      </c>
      <c r="N1823" s="7">
        <f ca="1">RAND()</f>
        <v>6.5707444301423945E-2</v>
      </c>
      <c r="O1823" s="8">
        <v>45203</v>
      </c>
      <c r="P1823" s="8">
        <v>45204</v>
      </c>
      <c r="Q1823" s="8">
        <v>45206</v>
      </c>
      <c r="R1823" s="8">
        <v>45210</v>
      </c>
      <c r="S1823" s="8">
        <v>45217</v>
      </c>
      <c r="T1823" s="8">
        <v>45229</v>
      </c>
      <c r="U1823" s="8"/>
      <c r="V1823" s="10">
        <f>COUNTA(O1823:U1823)</f>
        <v>6</v>
      </c>
      <c r="W1823" s="11">
        <f>_xlfn.IFNA(INDEX(reading[[#This Row],[Memo 01]:[Memo 07]],MATCH(0,reading[[#This Row],[Memo 01]:[Memo 07]],-1)),"")</f>
        <v>45229</v>
      </c>
      <c r="X1823" s="11">
        <f ca="1">IFERROR(reading[[#This Row],[Previous]]+OFFSET(reading[[#Headers],[Memo 01]],-1,MATCH(0,reading[[#This Row],[Memo 01]:[Memo 07]],-1)-1),"")</f>
        <v>45249</v>
      </c>
      <c r="Y1823" s="10" t="str">
        <f ca="1">IF(reading[[#This Row],[Next]]&lt;&gt;"",IF(reading[[#This Row],[Next]]&gt;TODAY(),"OK",""),"")</f>
        <v/>
      </c>
      <c r="Z1823" s="13">
        <v>3</v>
      </c>
      <c r="AA1823" s="13">
        <v>3</v>
      </c>
      <c r="AB1823" s="13">
        <v>3</v>
      </c>
      <c r="AC1823" s="13">
        <v>3</v>
      </c>
      <c r="AD1823" s="13">
        <v>3</v>
      </c>
      <c r="AE1823" s="13">
        <v>3</v>
      </c>
      <c r="AF1823" s="13"/>
      <c r="AG1823" s="16">
        <f>IFERROR(SUMIF(reading[[#This Row],[1st]:[7th]],"&gt;0")/COUNTIF(reading[[#This Row],[1st]:[7th]],"&gt;0"),"")</f>
        <v>3</v>
      </c>
    </row>
    <row r="1824" spans="1:33" hidden="1" x14ac:dyDescent="0.2">
      <c r="A1824" s="4">
        <f>IF(B1824=1,3,IF(D1824=1,2,IF(F1824=1,1,0)))</f>
        <v>0</v>
      </c>
      <c r="B1824" s="4" t="str">
        <f>IF(C1824=$L1824,1,IF(C1824="","",0))</f>
        <v/>
      </c>
      <c r="C1824" s="42"/>
      <c r="D1824" s="4" t="str">
        <f>IF(E1824=$L1824,1,IF(E1824="","",0))</f>
        <v/>
      </c>
      <c r="E1824" s="14"/>
      <c r="F1824" s="4" t="str">
        <f>IF(G1824=$L1824,1,IF(G1824="","",0))</f>
        <v/>
      </c>
      <c r="G1824" s="14"/>
      <c r="H1824" s="6">
        <v>577</v>
      </c>
      <c r="I1824" s="15" t="s">
        <v>3120</v>
      </c>
      <c r="J1824" s="6" t="s">
        <v>3720</v>
      </c>
      <c r="K1824" s="6"/>
      <c r="L1824" s="6" t="s">
        <v>704</v>
      </c>
      <c r="M1824" s="6" t="s">
        <v>6686</v>
      </c>
      <c r="N1824" s="7">
        <f ca="1">RAND()</f>
        <v>0.68218951409056561</v>
      </c>
      <c r="O1824" s="8">
        <v>45203</v>
      </c>
      <c r="P1824" s="8">
        <v>45204</v>
      </c>
      <c r="Q1824" s="8">
        <v>45206</v>
      </c>
      <c r="R1824" s="8">
        <v>45210</v>
      </c>
      <c r="S1824" s="8">
        <v>45217</v>
      </c>
      <c r="T1824" s="8">
        <v>45229</v>
      </c>
      <c r="U1824" s="8">
        <v>45830</v>
      </c>
      <c r="V1824" s="10">
        <f>COUNTA(O1824:U1824)</f>
        <v>7</v>
      </c>
      <c r="W1824" s="11">
        <f>_xlfn.IFNA(INDEX(reading[[#This Row],[Memo 01]:[Memo 07]],MATCH(0,reading[[#This Row],[Memo 01]:[Memo 07]],-1)),"")</f>
        <v>45830</v>
      </c>
      <c r="X1824" s="11">
        <f ca="1">IFERROR(reading[[#This Row],[Previous]]+OFFSET(reading[[#Headers],[Memo 01]],-1,MATCH(0,reading[[#This Row],[Memo 01]:[Memo 07]],-1)-1),"")</f>
        <v>55830</v>
      </c>
      <c r="Y1824" s="10" t="str">
        <f ca="1">IF(reading[[#This Row],[Next]]&lt;&gt;"",IF(reading[[#This Row],[Next]]&gt;TODAY(),"OK",""),"")</f>
        <v>OK</v>
      </c>
      <c r="Z1824" s="13">
        <v>3</v>
      </c>
      <c r="AA1824" s="13">
        <v>3</v>
      </c>
      <c r="AB1824" s="13">
        <v>3</v>
      </c>
      <c r="AC1824" s="13">
        <v>3</v>
      </c>
      <c r="AD1824" s="13">
        <v>3</v>
      </c>
      <c r="AE1824" s="13">
        <v>3</v>
      </c>
      <c r="AF1824" s="13">
        <v>3</v>
      </c>
      <c r="AG1824" s="16">
        <f>IFERROR(SUMIF(reading[[#This Row],[1st]:[7th]],"&gt;0")/COUNTIF(reading[[#This Row],[1st]:[7th]],"&gt;0"),"")</f>
        <v>3</v>
      </c>
    </row>
    <row r="1825" spans="1:33" hidden="1" x14ac:dyDescent="0.2">
      <c r="A1825" s="4">
        <f>IF(B1825=1,3,IF(D1825=1,2,IF(F1825=1,1,0)))</f>
        <v>0</v>
      </c>
      <c r="B1825" s="4" t="str">
        <f>IF(C1825=$L1825,1,IF(C1825="","",0))</f>
        <v/>
      </c>
      <c r="C1825" s="42"/>
      <c r="D1825" s="4" t="str">
        <f>IF(E1825=$L1825,1,IF(E1825="","",0))</f>
        <v/>
      </c>
      <c r="E1825" s="14"/>
      <c r="F1825" s="4" t="str">
        <f>IF(G1825=$L1825,1,IF(G1825="","",0))</f>
        <v/>
      </c>
      <c r="G1825" s="14"/>
      <c r="H1825" s="6">
        <v>2408</v>
      </c>
      <c r="I1825" s="15" t="s">
        <v>3120</v>
      </c>
      <c r="J1825" s="6" t="s">
        <v>5479</v>
      </c>
      <c r="K1825" s="6"/>
      <c r="L1825" s="6" t="s">
        <v>2458</v>
      </c>
      <c r="M1825" s="6" t="s">
        <v>8513</v>
      </c>
      <c r="N1825" s="7">
        <f ca="1">RAND()</f>
        <v>0.50056852985316713</v>
      </c>
      <c r="O1825" s="8">
        <v>45217</v>
      </c>
      <c r="P1825" s="8">
        <v>45218</v>
      </c>
      <c r="Q1825" s="8">
        <v>45220</v>
      </c>
      <c r="R1825" s="8">
        <v>45224</v>
      </c>
      <c r="S1825" s="8">
        <v>45231</v>
      </c>
      <c r="T1825" s="8">
        <v>45792</v>
      </c>
      <c r="U1825" s="8">
        <v>45829</v>
      </c>
      <c r="V1825" s="10">
        <f>COUNTA(O1825:U1825)</f>
        <v>7</v>
      </c>
      <c r="W1825" s="11">
        <f>_xlfn.IFNA(INDEX(reading[[#This Row],[Memo 01]:[Memo 07]],MATCH(0,reading[[#This Row],[Memo 01]:[Memo 07]],-1)),"")</f>
        <v>45829</v>
      </c>
      <c r="X1825" s="11">
        <f ca="1">IFERROR(reading[[#This Row],[Previous]]+OFFSET(reading[[#Headers],[Memo 01]],-1,MATCH(0,reading[[#This Row],[Memo 01]:[Memo 07]],-1)-1),"")</f>
        <v>55829</v>
      </c>
      <c r="Y1825" s="10" t="str">
        <f ca="1">IF(reading[[#This Row],[Next]]&lt;&gt;"",IF(reading[[#This Row],[Next]]&gt;TODAY(),"OK",""),"")</f>
        <v>OK</v>
      </c>
      <c r="Z1825" s="13">
        <v>3</v>
      </c>
      <c r="AA1825" s="13">
        <v>3</v>
      </c>
      <c r="AB1825" s="13">
        <v>3</v>
      </c>
      <c r="AC1825" s="13">
        <v>3</v>
      </c>
      <c r="AD1825" s="13">
        <v>3</v>
      </c>
      <c r="AE1825" s="13">
        <v>3</v>
      </c>
      <c r="AF1825" s="13">
        <v>3</v>
      </c>
      <c r="AG1825" s="16">
        <f>IFERROR(SUMIF(reading[[#This Row],[1st]:[7th]],"&gt;0")/COUNTIF(reading[[#This Row],[1st]:[7th]],"&gt;0"),"")</f>
        <v>3</v>
      </c>
    </row>
    <row r="1826" spans="1:33" hidden="1" x14ac:dyDescent="0.2">
      <c r="A1826" s="4">
        <f>IF(B1826=1,3,IF(D1826=1,2,IF(F1826=1,1,0)))</f>
        <v>0</v>
      </c>
      <c r="B1826" s="4" t="str">
        <f>IF(C1826=$L1826,1,IF(C1826="","",0))</f>
        <v/>
      </c>
      <c r="C1826" s="42"/>
      <c r="D1826" s="4" t="str">
        <f>IF(E1826=$L1826,1,IF(E1826="","",0))</f>
        <v/>
      </c>
      <c r="E1826" s="43"/>
      <c r="F1826" s="4" t="str">
        <f>IF(G1826=$L1826,1,IF(G1826="","",0))</f>
        <v/>
      </c>
      <c r="G1826" s="14"/>
      <c r="H1826" s="6">
        <v>119</v>
      </c>
      <c r="I1826" s="15" t="s">
        <v>3120</v>
      </c>
      <c r="J1826" s="6" t="s">
        <v>3268</v>
      </c>
      <c r="K1826" s="6" t="s">
        <v>3139</v>
      </c>
      <c r="L1826" s="6" t="s">
        <v>256</v>
      </c>
      <c r="M1826" s="6" t="s">
        <v>6228</v>
      </c>
      <c r="N1826" s="7">
        <f ca="1">RAND()</f>
        <v>0.63537585795797025</v>
      </c>
      <c r="O1826" s="8">
        <v>45199</v>
      </c>
      <c r="P1826" s="8">
        <v>45200</v>
      </c>
      <c r="Q1826" s="8">
        <v>45202</v>
      </c>
      <c r="R1826" s="8">
        <v>45206</v>
      </c>
      <c r="S1826" s="8">
        <v>45213</v>
      </c>
      <c r="T1826" s="8">
        <v>45225</v>
      </c>
      <c r="U1826" s="8">
        <v>45825</v>
      </c>
      <c r="V1826" s="10">
        <f>COUNTA(O1826:U1826)</f>
        <v>7</v>
      </c>
      <c r="W1826" s="11">
        <f>_xlfn.IFNA(INDEX(reading[[#This Row],[Memo 01]:[Memo 07]],MATCH(0,reading[[#This Row],[Memo 01]:[Memo 07]],-1)),"")</f>
        <v>45825</v>
      </c>
      <c r="X1826" s="11">
        <f ca="1">IFERROR(reading[[#This Row],[Previous]]+OFFSET(reading[[#Headers],[Memo 01]],-1,MATCH(0,reading[[#This Row],[Memo 01]:[Memo 07]],-1)-1),"")</f>
        <v>55825</v>
      </c>
      <c r="Y1826" s="10" t="str">
        <f ca="1">IF(reading[[#This Row],[Next]]&lt;&gt;"",IF(reading[[#This Row],[Next]]&gt;TODAY(),"OK",""),"")</f>
        <v>OK</v>
      </c>
      <c r="Z1826" s="13">
        <v>3</v>
      </c>
      <c r="AA1826" s="13">
        <v>3</v>
      </c>
      <c r="AB1826" s="13">
        <v>3</v>
      </c>
      <c r="AC1826" s="13">
        <v>3</v>
      </c>
      <c r="AD1826" s="13">
        <v>3</v>
      </c>
      <c r="AE1826" s="13">
        <v>2</v>
      </c>
      <c r="AF1826" s="13">
        <v>2</v>
      </c>
      <c r="AG1826" s="16">
        <f>IFERROR(SUMIF(reading[[#This Row],[1st]:[7th]],"&gt;0")/COUNTIF(reading[[#This Row],[1st]:[7th]],"&gt;0"),"")</f>
        <v>2.7142857142857144</v>
      </c>
    </row>
    <row r="1827" spans="1:33" hidden="1" x14ac:dyDescent="0.2">
      <c r="A1827" s="4">
        <f>IF(B1827=1,3,IF(D1827=1,2,IF(F1827=1,1,0)))</f>
        <v>0</v>
      </c>
      <c r="B1827" s="4">
        <f>IF(C1827=$L1827,1,IF(C1827="","",0))</f>
        <v>0</v>
      </c>
      <c r="C1827" s="42" t="s">
        <v>9200</v>
      </c>
      <c r="D1827" s="4" t="str">
        <f>IF(E1827=$L1827,1,IF(E1827="","",0))</f>
        <v/>
      </c>
      <c r="E1827" s="14"/>
      <c r="F1827" s="4" t="str">
        <f>IF(G1827=$L1827,1,IF(G1827="","",0))</f>
        <v/>
      </c>
      <c r="G1827" s="14"/>
      <c r="H1827" s="6">
        <v>2030</v>
      </c>
      <c r="I1827" s="15" t="s">
        <v>3120</v>
      </c>
      <c r="J1827" s="6" t="s">
        <v>5126</v>
      </c>
      <c r="K1827" s="6"/>
      <c r="L1827" s="6" t="s">
        <v>2105</v>
      </c>
      <c r="M1827" s="6" t="s">
        <v>8136</v>
      </c>
      <c r="N1827" s="7">
        <f ca="1">RAND()</f>
        <v>0.74995501533294573</v>
      </c>
      <c r="O1827" s="8">
        <v>45214</v>
      </c>
      <c r="P1827" s="8">
        <v>45215</v>
      </c>
      <c r="Q1827" s="8">
        <v>45217</v>
      </c>
      <c r="R1827" s="8">
        <v>45221</v>
      </c>
      <c r="S1827" s="8">
        <v>45228</v>
      </c>
      <c r="T1827" s="8"/>
      <c r="U1827" s="8"/>
      <c r="V1827" s="10">
        <f>COUNTA(O1827:U1827)</f>
        <v>5</v>
      </c>
      <c r="W1827" s="11">
        <f>_xlfn.IFNA(INDEX(reading[[#This Row],[Memo 01]:[Memo 07]],MATCH(0,reading[[#This Row],[Memo 01]:[Memo 07]],-1)),"")</f>
        <v>45228</v>
      </c>
      <c r="X1827" s="11">
        <f ca="1">IFERROR(reading[[#This Row],[Previous]]+OFFSET(reading[[#Headers],[Memo 01]],-1,MATCH(0,reading[[#This Row],[Memo 01]:[Memo 07]],-1)-1),"")</f>
        <v>45240</v>
      </c>
      <c r="Y1827" s="10" t="str">
        <f ca="1">IF(reading[[#This Row],[Next]]&lt;&gt;"",IF(reading[[#This Row],[Next]]&gt;TODAY(),"OK",""),"")</f>
        <v/>
      </c>
      <c r="Z1827" s="13">
        <v>3</v>
      </c>
      <c r="AA1827" s="13">
        <v>3</v>
      </c>
      <c r="AB1827" s="13">
        <v>3</v>
      </c>
      <c r="AC1827" s="13">
        <v>3</v>
      </c>
      <c r="AD1827" s="13">
        <v>2</v>
      </c>
      <c r="AE1827" s="13"/>
      <c r="AF1827" s="13"/>
      <c r="AG1827" s="16">
        <f>IFERROR(SUMIF(reading[[#This Row],[1st]:[7th]],"&gt;0")/COUNTIF(reading[[#This Row],[1st]:[7th]],"&gt;0"),"")</f>
        <v>2.8</v>
      </c>
    </row>
    <row r="1828" spans="1:33" hidden="1" x14ac:dyDescent="0.2">
      <c r="A1828" s="4">
        <f>IF(B1828=1,3,IF(D1828=1,2,IF(F1828=1,1,0)))</f>
        <v>0</v>
      </c>
      <c r="B1828" s="4" t="str">
        <f>IF(C1828=$L1828,1,IF(C1828="","",0))</f>
        <v/>
      </c>
      <c r="C1828" s="42"/>
      <c r="D1828" s="4" t="str">
        <f>IF(E1828=$L1828,1,IF(E1828="","",0))</f>
        <v/>
      </c>
      <c r="E1828" s="14"/>
      <c r="F1828" s="4" t="str">
        <f>IF(G1828=$L1828,1,IF(G1828="","",0))</f>
        <v/>
      </c>
      <c r="G1828" s="14"/>
      <c r="H1828" s="6">
        <v>3075</v>
      </c>
      <c r="I1828" s="15" t="s">
        <v>3120</v>
      </c>
      <c r="J1828" s="6" t="s">
        <v>6095</v>
      </c>
      <c r="K1828" s="15" t="s">
        <v>3138</v>
      </c>
      <c r="L1828" s="6" t="s">
        <v>3100</v>
      </c>
      <c r="M1828" s="6" t="s">
        <v>9178</v>
      </c>
      <c r="N1828" s="7">
        <f ca="1">RAND()</f>
        <v>0.65811512271568817</v>
      </c>
      <c r="O1828" s="8">
        <v>45224</v>
      </c>
      <c r="P1828" s="8">
        <v>45225</v>
      </c>
      <c r="Q1828" s="8">
        <v>45227</v>
      </c>
      <c r="R1828" s="8">
        <v>45231</v>
      </c>
      <c r="S1828" s="8">
        <v>45251</v>
      </c>
      <c r="T1828" s="8">
        <v>45792</v>
      </c>
      <c r="U1828" s="8">
        <v>45829</v>
      </c>
      <c r="V1828" s="10">
        <f>COUNTA(O1828:U1828)</f>
        <v>7</v>
      </c>
      <c r="W1828" s="11">
        <f>_xlfn.IFNA(INDEX(reading[[#This Row],[Memo 01]:[Memo 07]],MATCH(0,reading[[#This Row],[Memo 01]:[Memo 07]],-1)),"")</f>
        <v>45829</v>
      </c>
      <c r="X1828" s="11">
        <f ca="1">IFERROR(reading[[#This Row],[Previous]]+OFFSET(reading[[#Headers],[Memo 01]],-1,MATCH(0,reading[[#This Row],[Memo 01]:[Memo 07]],-1)-1),"")</f>
        <v>55829</v>
      </c>
      <c r="Y1828" s="10" t="str">
        <f ca="1">IF(reading[[#This Row],[Next]]&lt;&gt;"",IF(reading[[#This Row],[Next]]&gt;TODAY(),"OK",""),"")</f>
        <v>OK</v>
      </c>
      <c r="Z1828" s="13">
        <v>3</v>
      </c>
      <c r="AA1828" s="13">
        <v>3</v>
      </c>
      <c r="AB1828" s="13">
        <v>3</v>
      </c>
      <c r="AC1828" s="13">
        <v>3</v>
      </c>
      <c r="AD1828" s="13">
        <v>3</v>
      </c>
      <c r="AE1828" s="13">
        <v>3</v>
      </c>
      <c r="AF1828" s="13">
        <v>3</v>
      </c>
      <c r="AG1828" s="16">
        <f>IFERROR(SUMIF(reading[[#This Row],[1st]:[7th]],"&gt;0")/COUNTIF(reading[[#This Row],[1st]:[7th]],"&gt;0"),"")</f>
        <v>3</v>
      </c>
    </row>
    <row r="1829" spans="1:33" hidden="1" x14ac:dyDescent="0.2">
      <c r="A1829" s="4">
        <f>IF(B1829=1,3,IF(D1829=1,2,IF(F1829=1,1,0)))</f>
        <v>0</v>
      </c>
      <c r="B1829" s="4" t="str">
        <f>IF(C1829=$L1829,1,IF(C1829="","",0))</f>
        <v/>
      </c>
      <c r="C1829" s="42"/>
      <c r="D1829" s="4" t="str">
        <f>IF(E1829=$L1829,1,IF(E1829="","",0))</f>
        <v/>
      </c>
      <c r="E1829" s="14"/>
      <c r="F1829" s="4" t="str">
        <f>IF(G1829=$L1829,1,IF(G1829="","",0))</f>
        <v/>
      </c>
      <c r="G1829" s="14"/>
      <c r="H1829" s="6">
        <v>1279</v>
      </c>
      <c r="I1829" s="15" t="s">
        <v>3120</v>
      </c>
      <c r="J1829" s="6" t="s">
        <v>4396</v>
      </c>
      <c r="K1829" s="15" t="s">
        <v>3138</v>
      </c>
      <c r="L1829" s="6" t="s">
        <v>1377</v>
      </c>
      <c r="M1829" s="6" t="s">
        <v>7386</v>
      </c>
      <c r="N1829" s="7">
        <f ca="1">RAND()</f>
        <v>0.80839948205259982</v>
      </c>
      <c r="O1829" s="8">
        <v>45207</v>
      </c>
      <c r="P1829" s="8">
        <v>45208</v>
      </c>
      <c r="Q1829" s="8">
        <v>45210</v>
      </c>
      <c r="R1829" s="8">
        <v>45214</v>
      </c>
      <c r="S1829" s="8">
        <v>45221</v>
      </c>
      <c r="T1829" s="8">
        <v>45233</v>
      </c>
      <c r="U1829" s="8">
        <v>45829</v>
      </c>
      <c r="V1829" s="10">
        <f>COUNTA(O1829:U1829)</f>
        <v>7</v>
      </c>
      <c r="W1829" s="11">
        <f>_xlfn.IFNA(INDEX(reading[[#This Row],[Memo 01]:[Memo 07]],MATCH(0,reading[[#This Row],[Memo 01]:[Memo 07]],-1)),"")</f>
        <v>45829</v>
      </c>
      <c r="X1829" s="11">
        <f ca="1">IFERROR(reading[[#This Row],[Previous]]+OFFSET(reading[[#Headers],[Memo 01]],-1,MATCH(0,reading[[#This Row],[Memo 01]:[Memo 07]],-1)-1),"")</f>
        <v>55829</v>
      </c>
      <c r="Y1829" s="10" t="str">
        <f ca="1">IF(reading[[#This Row],[Next]]&lt;&gt;"",IF(reading[[#This Row],[Next]]&gt;TODAY(),"OK",""),"")</f>
        <v>OK</v>
      </c>
      <c r="Z1829" s="13">
        <v>3</v>
      </c>
      <c r="AA1829" s="13">
        <v>3</v>
      </c>
      <c r="AB1829" s="13">
        <v>3</v>
      </c>
      <c r="AC1829" s="13">
        <v>3</v>
      </c>
      <c r="AD1829" s="13">
        <v>3</v>
      </c>
      <c r="AE1829" s="13">
        <v>3</v>
      </c>
      <c r="AF1829" s="13">
        <v>3</v>
      </c>
      <c r="AG1829" s="16">
        <f>IFERROR(SUMIF(reading[[#This Row],[1st]:[7th]],"&gt;0")/COUNTIF(reading[[#This Row],[1st]:[7th]],"&gt;0"),"")</f>
        <v>3</v>
      </c>
    </row>
    <row r="1830" spans="1:33" hidden="1" x14ac:dyDescent="0.2">
      <c r="A1830" s="4">
        <f>IF(B1830=1,3,IF(D1830=1,2,IF(F1830=1,1,0)))</f>
        <v>0</v>
      </c>
      <c r="B1830" s="4" t="str">
        <f>IF(C1830=$L1830,1,IF(C1830="","",0))</f>
        <v/>
      </c>
      <c r="C1830" s="42"/>
      <c r="D1830" s="4" t="str">
        <f>IF(E1830=$L1830,1,IF(E1830="","",0))</f>
        <v/>
      </c>
      <c r="E1830" s="14"/>
      <c r="F1830" s="4" t="str">
        <f>IF(G1830=$L1830,1,IF(G1830="","",0))</f>
        <v/>
      </c>
      <c r="G1830" s="14"/>
      <c r="H1830" s="6">
        <v>2531</v>
      </c>
      <c r="I1830" s="15" t="s">
        <v>3120</v>
      </c>
      <c r="J1830" s="6" t="s">
        <v>5593</v>
      </c>
      <c r="K1830" s="6"/>
      <c r="L1830" s="6" t="s">
        <v>67</v>
      </c>
      <c r="M1830" s="6" t="s">
        <v>8636</v>
      </c>
      <c r="N1830" s="7">
        <f ca="1">RAND()</f>
        <v>0.69445141495306439</v>
      </c>
      <c r="O1830" s="8">
        <v>45219</v>
      </c>
      <c r="P1830" s="8">
        <v>45220</v>
      </c>
      <c r="Q1830" s="8">
        <v>45222</v>
      </c>
      <c r="R1830" s="8">
        <v>45226</v>
      </c>
      <c r="S1830" s="8">
        <v>45233</v>
      </c>
      <c r="T1830" s="8">
        <v>45830</v>
      </c>
      <c r="U1830" s="8"/>
      <c r="V1830" s="10">
        <f>COUNTA(O1830:U1830)</f>
        <v>6</v>
      </c>
      <c r="W1830" s="11">
        <f>_xlfn.IFNA(INDEX(reading[[#This Row],[Memo 01]:[Memo 07]],MATCH(0,reading[[#This Row],[Memo 01]:[Memo 07]],-1)),"")</f>
        <v>45830</v>
      </c>
      <c r="X1830" s="11">
        <f ca="1">IFERROR(reading[[#This Row],[Previous]]+OFFSET(reading[[#Headers],[Memo 01]],-1,MATCH(0,reading[[#This Row],[Memo 01]:[Memo 07]],-1)-1),"")</f>
        <v>45850</v>
      </c>
      <c r="Y1830" s="10" t="str">
        <f ca="1">IF(reading[[#This Row],[Next]]&lt;&gt;"",IF(reading[[#This Row],[Next]]&gt;TODAY(),"OK",""),"")</f>
        <v>OK</v>
      </c>
      <c r="Z1830" s="13">
        <v>3</v>
      </c>
      <c r="AA1830" s="13">
        <v>3</v>
      </c>
      <c r="AB1830" s="13">
        <v>3</v>
      </c>
      <c r="AC1830" s="13">
        <v>3</v>
      </c>
      <c r="AD1830" s="13">
        <v>3</v>
      </c>
      <c r="AE1830" s="13">
        <v>3</v>
      </c>
      <c r="AF1830" s="13"/>
      <c r="AG1830" s="16">
        <f>IFERROR(SUMIF(reading[[#This Row],[1st]:[7th]],"&gt;0")/COUNTIF(reading[[#This Row],[1st]:[7th]],"&gt;0"),"")</f>
        <v>3</v>
      </c>
    </row>
    <row r="1831" spans="1:33" x14ac:dyDescent="0.2">
      <c r="A1831" s="4">
        <f>IF(B1831=1,3,IF(D1831=1,2,IF(F1831=1,1,0)))</f>
        <v>0</v>
      </c>
      <c r="B1831" s="4">
        <f>IF(C1831=$L1831,1,IF(C1831="","",0))</f>
        <v>0</v>
      </c>
      <c r="C1831" s="42" t="s">
        <v>9200</v>
      </c>
      <c r="D1831" s="4" t="str">
        <f>IF(E1831=$L1831,1,IF(E1831="","",0))</f>
        <v/>
      </c>
      <c r="E1831" s="18"/>
      <c r="F1831" s="4" t="str">
        <f>IF(G1831=$L1831,1,IF(G1831="","",0))</f>
        <v/>
      </c>
      <c r="G1831" s="18"/>
      <c r="H1831" s="6">
        <v>1514</v>
      </c>
      <c r="I1831" s="15" t="s">
        <v>3120</v>
      </c>
      <c r="J1831" s="6" t="s">
        <v>4627</v>
      </c>
      <c r="K1831" s="6"/>
      <c r="L1831" s="6" t="s">
        <v>1599</v>
      </c>
      <c r="M1831" s="6" t="s">
        <v>7621</v>
      </c>
      <c r="N1831" s="7">
        <f ca="1">RAND()</f>
        <v>0.3921375615647783</v>
      </c>
      <c r="O1831" s="8">
        <v>45209</v>
      </c>
      <c r="P1831" s="8">
        <v>45210</v>
      </c>
      <c r="Q1831" s="8">
        <v>45213</v>
      </c>
      <c r="R1831" s="8">
        <v>45217</v>
      </c>
      <c r="S1831" s="8">
        <v>45224</v>
      </c>
      <c r="T1831" s="8">
        <v>45236</v>
      </c>
      <c r="U1831" s="8"/>
      <c r="V1831" s="10">
        <f>COUNTA(O1831:U1831)</f>
        <v>6</v>
      </c>
      <c r="W1831" s="11">
        <f>_xlfn.IFNA(INDEX(reading[[#This Row],[Memo 01]:[Memo 07]],MATCH(0,reading[[#This Row],[Memo 01]:[Memo 07]],-1)),"")</f>
        <v>45236</v>
      </c>
      <c r="X1831" s="11">
        <f ca="1">IFERROR(reading[[#This Row],[Previous]]+OFFSET(reading[[#Headers],[Memo 01]],-1,MATCH(0,reading[[#This Row],[Memo 01]:[Memo 07]],-1)-1),"")</f>
        <v>45256</v>
      </c>
      <c r="Y1831" s="10" t="str">
        <f ca="1">IF(reading[[#This Row],[Next]]&lt;&gt;"",IF(reading[[#This Row],[Next]]&gt;TODAY(),"OK",""),"")</f>
        <v/>
      </c>
      <c r="Z1831" s="13">
        <v>3</v>
      </c>
      <c r="AA1831" s="13">
        <v>3</v>
      </c>
      <c r="AB1831" s="13">
        <v>2</v>
      </c>
      <c r="AC1831" s="13">
        <v>1</v>
      </c>
      <c r="AD1831" s="13">
        <v>2</v>
      </c>
      <c r="AE1831" s="13">
        <v>3</v>
      </c>
      <c r="AF1831" s="13"/>
      <c r="AG1831" s="16">
        <f>IFERROR(SUMIF(reading[[#This Row],[1st]:[7th]],"&gt;0")/COUNTIF(reading[[#This Row],[1st]:[7th]],"&gt;0"),"")</f>
        <v>2.3333333333333335</v>
      </c>
    </row>
    <row r="1832" spans="1:33" hidden="1" x14ac:dyDescent="0.2">
      <c r="A1832" s="4">
        <f>IF(B1832=1,3,IF(D1832=1,2,IF(F1832=1,1,0)))</f>
        <v>0</v>
      </c>
      <c r="B1832" s="4" t="str">
        <f>IF(C1832=$L1832,1,IF(C1832="","",0))</f>
        <v/>
      </c>
      <c r="C1832" s="42"/>
      <c r="D1832" s="4" t="str">
        <f>IF(E1832=$L1832,1,IF(E1832="","",0))</f>
        <v/>
      </c>
      <c r="E1832" s="14"/>
      <c r="F1832" s="4" t="str">
        <f>IF(G1832=$L1832,1,IF(G1832="","",0))</f>
        <v/>
      </c>
      <c r="G1832" s="14"/>
      <c r="H1832" s="6">
        <v>2377</v>
      </c>
      <c r="I1832" s="15" t="s">
        <v>3120</v>
      </c>
      <c r="J1832" s="6" t="s">
        <v>5450</v>
      </c>
      <c r="K1832" s="6"/>
      <c r="L1832" s="6" t="s">
        <v>2429</v>
      </c>
      <c r="M1832" s="6" t="s">
        <v>8482</v>
      </c>
      <c r="N1832" s="7">
        <f ca="1">RAND()</f>
        <v>4.9199951606398451E-2</v>
      </c>
      <c r="O1832" s="8">
        <v>45216</v>
      </c>
      <c r="P1832" s="8">
        <v>45217</v>
      </c>
      <c r="Q1832" s="8">
        <v>45219</v>
      </c>
      <c r="R1832" s="8">
        <v>45223</v>
      </c>
      <c r="S1832" s="8">
        <v>45230</v>
      </c>
      <c r="T1832" s="8">
        <v>45801</v>
      </c>
      <c r="U1832" s="8">
        <v>45829</v>
      </c>
      <c r="V1832" s="10">
        <f>COUNTA(O1832:U1832)</f>
        <v>7</v>
      </c>
      <c r="W1832" s="11">
        <f>_xlfn.IFNA(INDEX(reading[[#This Row],[Memo 01]:[Memo 07]],MATCH(0,reading[[#This Row],[Memo 01]:[Memo 07]],-1)),"")</f>
        <v>45829</v>
      </c>
      <c r="X1832" s="11">
        <f ca="1">IFERROR(reading[[#This Row],[Previous]]+OFFSET(reading[[#Headers],[Memo 01]],-1,MATCH(0,reading[[#This Row],[Memo 01]:[Memo 07]],-1)-1),"")</f>
        <v>55829</v>
      </c>
      <c r="Y1832" s="10" t="str">
        <f ca="1">IF(reading[[#This Row],[Next]]&lt;&gt;"",IF(reading[[#This Row],[Next]]&gt;TODAY(),"OK",""),"")</f>
        <v>OK</v>
      </c>
      <c r="Z1832" s="13">
        <v>3</v>
      </c>
      <c r="AA1832" s="13">
        <v>3</v>
      </c>
      <c r="AB1832" s="13">
        <v>3</v>
      </c>
      <c r="AC1832" s="13">
        <v>3</v>
      </c>
      <c r="AD1832" s="13">
        <v>3</v>
      </c>
      <c r="AE1832" s="13">
        <v>3</v>
      </c>
      <c r="AF1832" s="13">
        <v>3</v>
      </c>
      <c r="AG1832" s="16">
        <f>IFERROR(SUMIF(reading[[#This Row],[1st]:[7th]],"&gt;0")/COUNTIF(reading[[#This Row],[1st]:[7th]],"&gt;0"),"")</f>
        <v>3</v>
      </c>
    </row>
    <row r="1833" spans="1:33" hidden="1" x14ac:dyDescent="0.2">
      <c r="A1833" s="4">
        <f>IF(B1833=1,3,IF(D1833=1,2,IF(F1833=1,1,0)))</f>
        <v>0</v>
      </c>
      <c r="B1833" s="4" t="str">
        <f>IF(C1833=$L1833,1,IF(C1833="","",0))</f>
        <v/>
      </c>
      <c r="C1833" s="42"/>
      <c r="D1833" s="4" t="str">
        <f>IF(E1833=$L1833,1,IF(E1833="","",0))</f>
        <v/>
      </c>
      <c r="E1833" s="14"/>
      <c r="F1833" s="4" t="str">
        <f>IF(G1833=$L1833,1,IF(G1833="","",0))</f>
        <v/>
      </c>
      <c r="G1833" s="14"/>
      <c r="H1833" s="6">
        <v>1970</v>
      </c>
      <c r="I1833" s="15" t="s">
        <v>3120</v>
      </c>
      <c r="J1833" s="6" t="s">
        <v>5069</v>
      </c>
      <c r="K1833" s="6"/>
      <c r="L1833" s="6" t="s">
        <v>2045</v>
      </c>
      <c r="M1833" s="6" t="s">
        <v>8076</v>
      </c>
      <c r="N1833" s="7">
        <f ca="1">RAND()</f>
        <v>0.56903964817749197</v>
      </c>
      <c r="O1833" s="8">
        <v>45213</v>
      </c>
      <c r="P1833" s="8">
        <v>45214</v>
      </c>
      <c r="Q1833" s="8">
        <v>45216</v>
      </c>
      <c r="R1833" s="8">
        <v>45220</v>
      </c>
      <c r="S1833" s="8">
        <v>45227</v>
      </c>
      <c r="T1833" s="8">
        <v>45829</v>
      </c>
      <c r="U1833" s="8"/>
      <c r="V1833" s="10">
        <f>COUNTA(O1833:U1833)</f>
        <v>6</v>
      </c>
      <c r="W1833" s="11">
        <f>_xlfn.IFNA(INDEX(reading[[#This Row],[Memo 01]:[Memo 07]],MATCH(0,reading[[#This Row],[Memo 01]:[Memo 07]],-1)),"")</f>
        <v>45829</v>
      </c>
      <c r="X1833" s="11">
        <f ca="1">IFERROR(reading[[#This Row],[Previous]]+OFFSET(reading[[#Headers],[Memo 01]],-1,MATCH(0,reading[[#This Row],[Memo 01]:[Memo 07]],-1)-1),"")</f>
        <v>45849</v>
      </c>
      <c r="Y1833" s="10" t="str">
        <f ca="1">IF(reading[[#This Row],[Next]]&lt;&gt;"",IF(reading[[#This Row],[Next]]&gt;TODAY(),"OK",""),"")</f>
        <v>OK</v>
      </c>
      <c r="Z1833" s="13">
        <v>3</v>
      </c>
      <c r="AA1833" s="13">
        <v>3</v>
      </c>
      <c r="AB1833" s="13">
        <v>3</v>
      </c>
      <c r="AC1833" s="13">
        <v>3</v>
      </c>
      <c r="AD1833" s="13">
        <v>3</v>
      </c>
      <c r="AE1833" s="13">
        <v>3</v>
      </c>
      <c r="AF1833" s="13"/>
      <c r="AG1833" s="16">
        <f>IFERROR(SUMIF(reading[[#This Row],[1st]:[7th]],"&gt;0")/COUNTIF(reading[[#This Row],[1st]:[7th]],"&gt;0"),"")</f>
        <v>3</v>
      </c>
    </row>
    <row r="1834" spans="1:33" hidden="1" x14ac:dyDescent="0.2">
      <c r="A1834" s="4">
        <f>IF(B1834=1,3,IF(D1834=1,2,IF(F1834=1,1,0)))</f>
        <v>0</v>
      </c>
      <c r="B1834" s="4" t="str">
        <f>IF(C1834=$L1834,1,IF(C1834="","",0))</f>
        <v/>
      </c>
      <c r="C1834" s="42"/>
      <c r="D1834" s="4" t="str">
        <f>IF(E1834=$L1834,1,IF(E1834="","",0))</f>
        <v/>
      </c>
      <c r="E1834" s="18"/>
      <c r="F1834" s="4" t="str">
        <f>IF(G1834=$L1834,1,IF(G1834="","",0))</f>
        <v/>
      </c>
      <c r="G1834" s="14"/>
      <c r="H1834" s="6">
        <v>511</v>
      </c>
      <c r="I1834" s="15" t="s">
        <v>3120</v>
      </c>
      <c r="J1834" s="6" t="s">
        <v>3656</v>
      </c>
      <c r="K1834" s="6"/>
      <c r="L1834" s="6" t="s">
        <v>639</v>
      </c>
      <c r="M1834" s="6" t="s">
        <v>6620</v>
      </c>
      <c r="N1834" s="7">
        <f ca="1">RAND()</f>
        <v>0.62935612203112723</v>
      </c>
      <c r="O1834" s="8">
        <v>45202</v>
      </c>
      <c r="P1834" s="8">
        <v>45203</v>
      </c>
      <c r="Q1834" s="8">
        <v>45205</v>
      </c>
      <c r="R1834" s="8">
        <v>45209</v>
      </c>
      <c r="S1834" s="8">
        <v>45216</v>
      </c>
      <c r="T1834" s="8">
        <v>45228</v>
      </c>
      <c r="U1834" s="8">
        <v>45830</v>
      </c>
      <c r="V1834" s="10">
        <f>COUNTA(O1834:U1834)</f>
        <v>7</v>
      </c>
      <c r="W1834" s="11">
        <f>_xlfn.IFNA(INDEX(reading[[#This Row],[Memo 01]:[Memo 07]],MATCH(0,reading[[#This Row],[Memo 01]:[Memo 07]],-1)),"")</f>
        <v>45830</v>
      </c>
      <c r="X1834" s="11">
        <f ca="1">IFERROR(reading[[#This Row],[Previous]]+OFFSET(reading[[#Headers],[Memo 01]],-1,MATCH(0,reading[[#This Row],[Memo 01]:[Memo 07]],-1)-1),"")</f>
        <v>55830</v>
      </c>
      <c r="Y1834" s="10" t="str">
        <f ca="1">IF(reading[[#This Row],[Next]]&lt;&gt;"",IF(reading[[#This Row],[Next]]&gt;TODAY(),"OK",""),"")</f>
        <v>OK</v>
      </c>
      <c r="Z1834" s="13">
        <v>3</v>
      </c>
      <c r="AA1834" s="13">
        <v>3</v>
      </c>
      <c r="AB1834" s="13">
        <v>3</v>
      </c>
      <c r="AC1834" s="13">
        <v>3</v>
      </c>
      <c r="AD1834" s="13">
        <v>2</v>
      </c>
      <c r="AE1834" s="13">
        <v>3</v>
      </c>
      <c r="AF1834" s="13">
        <v>3</v>
      </c>
      <c r="AG1834" s="16">
        <f>IFERROR(SUMIF(reading[[#This Row],[1st]:[7th]],"&gt;0")/COUNTIF(reading[[#This Row],[1st]:[7th]],"&gt;0"),"")</f>
        <v>2.8571428571428572</v>
      </c>
    </row>
    <row r="1835" spans="1:33" hidden="1" x14ac:dyDescent="0.2">
      <c r="A1835" s="4">
        <f>IF(B1835=1,3,IF(D1835=1,2,IF(F1835=1,1,0)))</f>
        <v>0</v>
      </c>
      <c r="B1835" s="4" t="str">
        <f>IF(C1835=$L1835,1,IF(C1835="","",0))</f>
        <v/>
      </c>
      <c r="C1835" s="42"/>
      <c r="D1835" s="4" t="str">
        <f>IF(E1835=$L1835,1,IF(E1835="","",0))</f>
        <v/>
      </c>
      <c r="E1835" s="18"/>
      <c r="F1835" s="4" t="str">
        <f>IF(G1835=$L1835,1,IF(G1835="","",0))</f>
        <v/>
      </c>
      <c r="G1835" s="14"/>
      <c r="H1835" s="6">
        <v>1326</v>
      </c>
      <c r="I1835" s="15" t="s">
        <v>3120</v>
      </c>
      <c r="J1835" s="6" t="s">
        <v>4442</v>
      </c>
      <c r="K1835" s="6"/>
      <c r="L1835" s="6" t="s">
        <v>1423</v>
      </c>
      <c r="M1835" s="6" t="s">
        <v>7433</v>
      </c>
      <c r="N1835" s="7">
        <f ca="1">RAND()</f>
        <v>0.26575456894192229</v>
      </c>
      <c r="O1835" s="8">
        <v>45207</v>
      </c>
      <c r="P1835" s="8">
        <v>45208</v>
      </c>
      <c r="Q1835" s="8">
        <v>45210</v>
      </c>
      <c r="R1835" s="8">
        <v>45214</v>
      </c>
      <c r="S1835" s="8">
        <v>45221</v>
      </c>
      <c r="T1835" s="8">
        <v>45233</v>
      </c>
      <c r="U1835" s="8">
        <v>45829</v>
      </c>
      <c r="V1835" s="10">
        <f>COUNTA(O1835:U1835)</f>
        <v>7</v>
      </c>
      <c r="W1835" s="11">
        <f>_xlfn.IFNA(INDEX(reading[[#This Row],[Memo 01]:[Memo 07]],MATCH(0,reading[[#This Row],[Memo 01]:[Memo 07]],-1)),"")</f>
        <v>45829</v>
      </c>
      <c r="X1835" s="11">
        <f ca="1">IFERROR(reading[[#This Row],[Previous]]+OFFSET(reading[[#Headers],[Memo 01]],-1,MATCH(0,reading[[#This Row],[Memo 01]:[Memo 07]],-1)-1),"")</f>
        <v>55829</v>
      </c>
      <c r="Y1835" s="10" t="str">
        <f ca="1">IF(reading[[#This Row],[Next]]&lt;&gt;"",IF(reading[[#This Row],[Next]]&gt;TODAY(),"OK",""),"")</f>
        <v>OK</v>
      </c>
      <c r="Z1835" s="13">
        <v>3</v>
      </c>
      <c r="AA1835" s="13">
        <v>2</v>
      </c>
      <c r="AB1835" s="13">
        <v>3</v>
      </c>
      <c r="AC1835" s="13">
        <v>2</v>
      </c>
      <c r="AD1835" s="13">
        <v>3</v>
      </c>
      <c r="AE1835" s="13">
        <v>3</v>
      </c>
      <c r="AF1835" s="13">
        <v>3</v>
      </c>
      <c r="AG1835" s="16">
        <f>IFERROR(SUMIF(reading[[#This Row],[1st]:[7th]],"&gt;0")/COUNTIF(reading[[#This Row],[1st]:[7th]],"&gt;0"),"")</f>
        <v>2.7142857142857144</v>
      </c>
    </row>
    <row r="1836" spans="1:33" hidden="1" x14ac:dyDescent="0.2">
      <c r="A1836" s="4">
        <f>IF(B1836=1,3,IF(D1836=1,2,IF(F1836=1,1,0)))</f>
        <v>0</v>
      </c>
      <c r="B1836" s="4" t="str">
        <f>IF(C1836=$L1836,1,IF(C1836="","",0))</f>
        <v/>
      </c>
      <c r="C1836" s="42"/>
      <c r="D1836" s="4" t="str">
        <f>IF(E1836=$L1836,1,IF(E1836="","",0))</f>
        <v/>
      </c>
      <c r="E1836" s="14"/>
      <c r="F1836" s="4" t="str">
        <f>IF(G1836=$L1836,1,IF(G1836="","",0))</f>
        <v/>
      </c>
      <c r="G1836" s="14"/>
      <c r="H1836" s="6">
        <v>2259</v>
      </c>
      <c r="I1836" s="15" t="s">
        <v>3120</v>
      </c>
      <c r="J1836" s="6" t="s">
        <v>5341</v>
      </c>
      <c r="K1836" s="15" t="s">
        <v>3139</v>
      </c>
      <c r="L1836" s="6" t="s">
        <v>2319</v>
      </c>
      <c r="M1836" s="6" t="s">
        <v>8364</v>
      </c>
      <c r="N1836" s="7">
        <f ca="1">RAND()</f>
        <v>0.62018708064511618</v>
      </c>
      <c r="O1836" s="8">
        <v>45215</v>
      </c>
      <c r="P1836" s="8">
        <v>45216</v>
      </c>
      <c r="Q1836" s="8">
        <v>45218</v>
      </c>
      <c r="R1836" s="8">
        <v>45222</v>
      </c>
      <c r="S1836" s="8">
        <v>45229</v>
      </c>
      <c r="T1836" s="8">
        <v>45792</v>
      </c>
      <c r="U1836" s="8">
        <v>45829</v>
      </c>
      <c r="V1836" s="10">
        <f>COUNTA(O1836:U1836)</f>
        <v>7</v>
      </c>
      <c r="W1836" s="11">
        <f>_xlfn.IFNA(INDEX(reading[[#This Row],[Memo 01]:[Memo 07]],MATCH(0,reading[[#This Row],[Memo 01]:[Memo 07]],-1)),"")</f>
        <v>45829</v>
      </c>
      <c r="X1836" s="11">
        <f ca="1">IFERROR(reading[[#This Row],[Previous]]+OFFSET(reading[[#Headers],[Memo 01]],-1,MATCH(0,reading[[#This Row],[Memo 01]:[Memo 07]],-1)-1),"")</f>
        <v>55829</v>
      </c>
      <c r="Y1836" s="10" t="str">
        <f ca="1">IF(reading[[#This Row],[Next]]&lt;&gt;"",IF(reading[[#This Row],[Next]]&gt;TODAY(),"OK",""),"")</f>
        <v>OK</v>
      </c>
      <c r="Z1836" s="13">
        <v>3</v>
      </c>
      <c r="AA1836" s="13">
        <v>3</v>
      </c>
      <c r="AB1836" s="13">
        <v>3</v>
      </c>
      <c r="AC1836" s="13">
        <v>3</v>
      </c>
      <c r="AD1836" s="13">
        <v>3</v>
      </c>
      <c r="AE1836" s="13">
        <v>3</v>
      </c>
      <c r="AF1836" s="13">
        <v>3</v>
      </c>
      <c r="AG1836" s="16">
        <f>IFERROR(SUMIF(reading[[#This Row],[1st]:[7th]],"&gt;0")/COUNTIF(reading[[#This Row],[1st]:[7th]],"&gt;0"),"")</f>
        <v>3</v>
      </c>
    </row>
    <row r="1837" spans="1:33" hidden="1" x14ac:dyDescent="0.2">
      <c r="A1837" s="4">
        <f>IF(B1837=1,3,IF(D1837=1,2,IF(F1837=1,1,0)))</f>
        <v>0</v>
      </c>
      <c r="B1837" s="4" t="str">
        <f>IF(C1837=$L1837,1,IF(C1837="","",0))</f>
        <v/>
      </c>
      <c r="C1837" s="42"/>
      <c r="D1837" s="4" t="str">
        <f>IF(E1837=$L1837,1,IF(E1837="","",0))</f>
        <v/>
      </c>
      <c r="E1837" s="14"/>
      <c r="F1837" s="4" t="str">
        <f>IF(G1837=$L1837,1,IF(G1837="","",0))</f>
        <v/>
      </c>
      <c r="G1837" s="14"/>
      <c r="H1837" s="6">
        <v>409</v>
      </c>
      <c r="I1837" s="15" t="s">
        <v>3120</v>
      </c>
      <c r="J1837" s="6" t="s">
        <v>3555</v>
      </c>
      <c r="K1837" s="6"/>
      <c r="L1837" s="6" t="s">
        <v>540</v>
      </c>
      <c r="M1837" s="6" t="s">
        <v>6518</v>
      </c>
      <c r="N1837" s="7">
        <f ca="1">RAND()</f>
        <v>0.8396557134172018</v>
      </c>
      <c r="O1837" s="8">
        <v>45201</v>
      </c>
      <c r="P1837" s="8">
        <v>45202</v>
      </c>
      <c r="Q1837" s="8">
        <v>45204</v>
      </c>
      <c r="R1837" s="8">
        <v>45208</v>
      </c>
      <c r="S1837" s="8">
        <v>45215</v>
      </c>
      <c r="T1837" s="8">
        <v>45227</v>
      </c>
      <c r="U1837" s="8">
        <v>45829</v>
      </c>
      <c r="V1837" s="10">
        <f>COUNTA(O1837:U1837)</f>
        <v>7</v>
      </c>
      <c r="W1837" s="11">
        <f>_xlfn.IFNA(INDEX(reading[[#This Row],[Memo 01]:[Memo 07]],MATCH(0,reading[[#This Row],[Memo 01]:[Memo 07]],-1)),"")</f>
        <v>45829</v>
      </c>
      <c r="X1837" s="11">
        <f ca="1">IFERROR(reading[[#This Row],[Previous]]+OFFSET(reading[[#Headers],[Memo 01]],-1,MATCH(0,reading[[#This Row],[Memo 01]:[Memo 07]],-1)-1),"")</f>
        <v>55829</v>
      </c>
      <c r="Y1837" s="10" t="str">
        <f ca="1">IF(reading[[#This Row],[Next]]&lt;&gt;"",IF(reading[[#This Row],[Next]]&gt;TODAY(),"OK",""),"")</f>
        <v>OK</v>
      </c>
      <c r="Z1837" s="13">
        <v>3</v>
      </c>
      <c r="AA1837" s="13">
        <v>3</v>
      </c>
      <c r="AB1837" s="13">
        <v>3</v>
      </c>
      <c r="AC1837" s="13">
        <v>3</v>
      </c>
      <c r="AD1837" s="13">
        <v>3</v>
      </c>
      <c r="AE1837" s="13">
        <v>3</v>
      </c>
      <c r="AF1837" s="13">
        <v>3</v>
      </c>
      <c r="AG1837" s="16">
        <f>IFERROR(SUMIF(reading[[#This Row],[1st]:[7th]],"&gt;0")/COUNTIF(reading[[#This Row],[1st]:[7th]],"&gt;0"),"")</f>
        <v>3</v>
      </c>
    </row>
    <row r="1838" spans="1:33" x14ac:dyDescent="0.2">
      <c r="A1838" s="4">
        <f>IF(B1838=1,3,IF(D1838=1,2,IF(F1838=1,1,0)))</f>
        <v>0</v>
      </c>
      <c r="B1838" s="4">
        <f>IF(C1838=$L1838,1,IF(C1838="","",0))</f>
        <v>0</v>
      </c>
      <c r="C1838" s="42" t="s">
        <v>9200</v>
      </c>
      <c r="D1838" s="4" t="str">
        <f>IF(E1838=$L1838,1,IF(E1838="","",0))</f>
        <v/>
      </c>
      <c r="E1838" s="14"/>
      <c r="F1838" s="4" t="str">
        <f>IF(G1838=$L1838,1,IF(G1838="","",0))</f>
        <v/>
      </c>
      <c r="G1838" s="14"/>
      <c r="H1838" s="6">
        <v>2693</v>
      </c>
      <c r="I1838" s="15" t="s">
        <v>3120</v>
      </c>
      <c r="J1838" s="6" t="s">
        <v>5744</v>
      </c>
      <c r="K1838" s="6"/>
      <c r="L1838" s="6" t="s">
        <v>2732</v>
      </c>
      <c r="M1838" s="6" t="s">
        <v>8798</v>
      </c>
      <c r="N1838" s="7">
        <f ca="1">RAND()</f>
        <v>0.5701704961303391</v>
      </c>
      <c r="O1838" s="8">
        <v>45220</v>
      </c>
      <c r="P1838" s="8">
        <v>45221</v>
      </c>
      <c r="Q1838" s="8">
        <v>45223</v>
      </c>
      <c r="R1838" s="8">
        <v>45227</v>
      </c>
      <c r="S1838" s="8">
        <v>45234</v>
      </c>
      <c r="T1838" s="8"/>
      <c r="U1838" s="8"/>
      <c r="V1838" s="10">
        <f>COUNTA(O1838:U1838)</f>
        <v>5</v>
      </c>
      <c r="W1838" s="11">
        <f>_xlfn.IFNA(INDEX(reading[[#This Row],[Memo 01]:[Memo 07]],MATCH(0,reading[[#This Row],[Memo 01]:[Memo 07]],-1)),"")</f>
        <v>45234</v>
      </c>
      <c r="X1838" s="11">
        <f ca="1">IFERROR(reading[[#This Row],[Previous]]+OFFSET(reading[[#Headers],[Memo 01]],-1,MATCH(0,reading[[#This Row],[Memo 01]:[Memo 07]],-1)-1),"")</f>
        <v>45246</v>
      </c>
      <c r="Y1838" s="10" t="str">
        <f ca="1">IF(reading[[#This Row],[Next]]&lt;&gt;"",IF(reading[[#This Row],[Next]]&gt;TODAY(),"OK",""),"")</f>
        <v/>
      </c>
      <c r="Z1838" s="13">
        <v>3</v>
      </c>
      <c r="AA1838" s="13">
        <v>3</v>
      </c>
      <c r="AB1838" s="13">
        <v>3</v>
      </c>
      <c r="AC1838" s="13">
        <v>3</v>
      </c>
      <c r="AD1838" s="13">
        <v>3</v>
      </c>
      <c r="AE1838" s="13"/>
      <c r="AF1838" s="13"/>
      <c r="AG1838" s="16">
        <f>IFERROR(SUMIF(reading[[#This Row],[1st]:[7th]],"&gt;0")/COUNTIF(reading[[#This Row],[1st]:[7th]],"&gt;0"),"")</f>
        <v>3</v>
      </c>
    </row>
    <row r="1839" spans="1:33" hidden="1" x14ac:dyDescent="0.2">
      <c r="A1839" s="4">
        <f>IF(B1839=1,3,IF(D1839=1,2,IF(F1839=1,1,0)))</f>
        <v>0</v>
      </c>
      <c r="B1839" s="4" t="str">
        <f>IF(C1839=$L1839,1,IF(C1839="","",0))</f>
        <v/>
      </c>
      <c r="C1839" s="42"/>
      <c r="D1839" s="4" t="str">
        <f>IF(E1839=$L1839,1,IF(E1839="","",0))</f>
        <v/>
      </c>
      <c r="E1839" s="14"/>
      <c r="F1839" s="4" t="str">
        <f>IF(G1839=$L1839,1,IF(G1839="","",0))</f>
        <v/>
      </c>
      <c r="G1839" s="14"/>
      <c r="H1839" s="6">
        <v>923</v>
      </c>
      <c r="I1839" s="15" t="s">
        <v>3120</v>
      </c>
      <c r="J1839" s="6" t="s">
        <v>4055</v>
      </c>
      <c r="K1839" s="6"/>
      <c r="L1839" s="6" t="s">
        <v>1035</v>
      </c>
      <c r="M1839" s="6" t="s">
        <v>7032</v>
      </c>
      <c r="N1839" s="7">
        <f ca="1">RAND()</f>
        <v>0.39407801420352229</v>
      </c>
      <c r="O1839" s="8">
        <v>45204</v>
      </c>
      <c r="P1839" s="8">
        <v>45205</v>
      </c>
      <c r="Q1839" s="8">
        <v>45207</v>
      </c>
      <c r="R1839" s="8">
        <v>45211</v>
      </c>
      <c r="S1839" s="8">
        <v>45218</v>
      </c>
      <c r="T1839" s="8">
        <v>45230</v>
      </c>
      <c r="U1839" s="8">
        <v>45829</v>
      </c>
      <c r="V1839" s="10">
        <f>COUNTA(O1839:U1839)</f>
        <v>7</v>
      </c>
      <c r="W1839" s="11">
        <f>_xlfn.IFNA(INDEX(reading[[#This Row],[Memo 01]:[Memo 07]],MATCH(0,reading[[#This Row],[Memo 01]:[Memo 07]],-1)),"")</f>
        <v>45829</v>
      </c>
      <c r="X1839" s="11">
        <f ca="1">IFERROR(reading[[#This Row],[Previous]]+OFFSET(reading[[#Headers],[Memo 01]],-1,MATCH(0,reading[[#This Row],[Memo 01]:[Memo 07]],-1)-1),"")</f>
        <v>55829</v>
      </c>
      <c r="Y1839" s="10" t="str">
        <f ca="1">IF(reading[[#This Row],[Next]]&lt;&gt;"",IF(reading[[#This Row],[Next]]&gt;TODAY(),"OK",""),"")</f>
        <v>OK</v>
      </c>
      <c r="Z1839" s="13">
        <v>3</v>
      </c>
      <c r="AA1839" s="13">
        <v>3</v>
      </c>
      <c r="AB1839" s="13">
        <v>3</v>
      </c>
      <c r="AC1839" s="13">
        <v>3</v>
      </c>
      <c r="AD1839" s="13">
        <v>3</v>
      </c>
      <c r="AE1839" s="13">
        <v>3</v>
      </c>
      <c r="AF1839" s="13">
        <v>3</v>
      </c>
      <c r="AG1839" s="16">
        <f>IFERROR(SUMIF(reading[[#This Row],[1st]:[7th]],"&gt;0")/COUNTIF(reading[[#This Row],[1st]:[7th]],"&gt;0"),"")</f>
        <v>3</v>
      </c>
    </row>
    <row r="1840" spans="1:33" hidden="1" x14ac:dyDescent="0.2">
      <c r="A1840" s="4">
        <f>IF(B1840=1,3,IF(D1840=1,2,IF(F1840=1,1,0)))</f>
        <v>0</v>
      </c>
      <c r="B1840" s="4" t="str">
        <f>IF(C1840=$L1840,1,IF(C1840="","",0))</f>
        <v/>
      </c>
      <c r="C1840" s="42"/>
      <c r="D1840" s="4" t="str">
        <f>IF(E1840=$L1840,1,IF(E1840="","",0))</f>
        <v/>
      </c>
      <c r="E1840" s="18"/>
      <c r="F1840" s="4" t="str">
        <f>IF(G1840=$L1840,1,IF(G1840="","",0))</f>
        <v/>
      </c>
      <c r="G1840" s="14"/>
      <c r="H1840" s="6">
        <v>1959</v>
      </c>
      <c r="I1840" s="15" t="s">
        <v>3120</v>
      </c>
      <c r="J1840" s="6" t="s">
        <v>5058</v>
      </c>
      <c r="K1840" s="6"/>
      <c r="L1840" s="6" t="s">
        <v>2034</v>
      </c>
      <c r="M1840" s="6" t="s">
        <v>8065</v>
      </c>
      <c r="N1840" s="7">
        <f ca="1">RAND()</f>
        <v>0.22287750214558111</v>
      </c>
      <c r="O1840" s="8">
        <v>45213</v>
      </c>
      <c r="P1840" s="8">
        <v>45214</v>
      </c>
      <c r="Q1840" s="8">
        <v>45216</v>
      </c>
      <c r="R1840" s="8">
        <v>45220</v>
      </c>
      <c r="S1840" s="8">
        <v>45227</v>
      </c>
      <c r="T1840" s="8">
        <v>45829</v>
      </c>
      <c r="U1840" s="8"/>
      <c r="V1840" s="10">
        <f>COUNTA(O1840:U1840)</f>
        <v>6</v>
      </c>
      <c r="W1840" s="11">
        <f>_xlfn.IFNA(INDEX(reading[[#This Row],[Memo 01]:[Memo 07]],MATCH(0,reading[[#This Row],[Memo 01]:[Memo 07]],-1)),"")</f>
        <v>45829</v>
      </c>
      <c r="X1840" s="11">
        <f ca="1">IFERROR(reading[[#This Row],[Previous]]+OFFSET(reading[[#Headers],[Memo 01]],-1,MATCH(0,reading[[#This Row],[Memo 01]:[Memo 07]],-1)-1),"")</f>
        <v>45849</v>
      </c>
      <c r="Y1840" s="10" t="str">
        <f ca="1">IF(reading[[#This Row],[Next]]&lt;&gt;"",IF(reading[[#This Row],[Next]]&gt;TODAY(),"OK",""),"")</f>
        <v>OK</v>
      </c>
      <c r="Z1840" s="13">
        <v>3</v>
      </c>
      <c r="AA1840" s="13">
        <v>3</v>
      </c>
      <c r="AB1840" s="13">
        <v>3</v>
      </c>
      <c r="AC1840" s="13">
        <v>2</v>
      </c>
      <c r="AD1840" s="13">
        <v>3</v>
      </c>
      <c r="AE1840" s="13">
        <v>3</v>
      </c>
      <c r="AF1840" s="13"/>
      <c r="AG1840" s="16">
        <f>IFERROR(SUMIF(reading[[#This Row],[1st]:[7th]],"&gt;0")/COUNTIF(reading[[#This Row],[1st]:[7th]],"&gt;0"),"")</f>
        <v>2.8333333333333335</v>
      </c>
    </row>
    <row r="1841" spans="1:33" hidden="1" x14ac:dyDescent="0.2">
      <c r="A1841" s="4">
        <f>IF(B1841=1,3,IF(D1841=1,2,IF(F1841=1,1,0)))</f>
        <v>0</v>
      </c>
      <c r="B1841" s="4" t="str">
        <f>IF(C1841=$L1841,1,IF(C1841="","",0))</f>
        <v/>
      </c>
      <c r="C1841" s="42"/>
      <c r="D1841" s="4" t="str">
        <f>IF(E1841=$L1841,1,IF(E1841="","",0))</f>
        <v/>
      </c>
      <c r="E1841" s="14"/>
      <c r="F1841" s="4" t="str">
        <f>IF(G1841=$L1841,1,IF(G1841="","",0))</f>
        <v/>
      </c>
      <c r="G1841" s="14"/>
      <c r="H1841" s="6">
        <v>1773</v>
      </c>
      <c r="I1841" s="15" t="s">
        <v>3120</v>
      </c>
      <c r="J1841" s="6" t="s">
        <v>4880</v>
      </c>
      <c r="K1841" s="6"/>
      <c r="L1841" s="6" t="s">
        <v>1853</v>
      </c>
      <c r="M1841" s="6" t="s">
        <v>7879</v>
      </c>
      <c r="N1841" s="7">
        <f ca="1">RAND()</f>
        <v>0.7409103817951932</v>
      </c>
      <c r="O1841" s="8">
        <v>45211</v>
      </c>
      <c r="P1841" s="8">
        <v>45212</v>
      </c>
      <c r="Q1841" s="8">
        <v>45214</v>
      </c>
      <c r="R1841" s="8">
        <v>45218</v>
      </c>
      <c r="S1841" s="8">
        <v>45225</v>
      </c>
      <c r="T1841" s="8">
        <v>45237</v>
      </c>
      <c r="U1841" s="8">
        <v>45829</v>
      </c>
      <c r="V1841" s="10">
        <f>COUNTA(O1841:U1841)</f>
        <v>7</v>
      </c>
      <c r="W1841" s="11">
        <f>_xlfn.IFNA(INDEX(reading[[#This Row],[Memo 01]:[Memo 07]],MATCH(0,reading[[#This Row],[Memo 01]:[Memo 07]],-1)),"")</f>
        <v>45829</v>
      </c>
      <c r="X1841" s="11">
        <f ca="1">IFERROR(reading[[#This Row],[Previous]]+OFFSET(reading[[#Headers],[Memo 01]],-1,MATCH(0,reading[[#This Row],[Memo 01]:[Memo 07]],-1)-1),"")</f>
        <v>55829</v>
      </c>
      <c r="Y1841" s="10" t="str">
        <f ca="1">IF(reading[[#This Row],[Next]]&lt;&gt;"",IF(reading[[#This Row],[Next]]&gt;TODAY(),"OK",""),"")</f>
        <v>OK</v>
      </c>
      <c r="Z1841" s="13">
        <v>3</v>
      </c>
      <c r="AA1841" s="13">
        <v>3</v>
      </c>
      <c r="AB1841" s="13">
        <v>3</v>
      </c>
      <c r="AC1841" s="13">
        <v>3</v>
      </c>
      <c r="AD1841" s="13">
        <v>3</v>
      </c>
      <c r="AE1841" s="13">
        <v>3</v>
      </c>
      <c r="AF1841" s="13">
        <v>3</v>
      </c>
      <c r="AG1841" s="16">
        <f>IFERROR(SUMIF(reading[[#This Row],[1st]:[7th]],"&gt;0")/COUNTIF(reading[[#This Row],[1st]:[7th]],"&gt;0"),"")</f>
        <v>3</v>
      </c>
    </row>
    <row r="1842" spans="1:33" hidden="1" x14ac:dyDescent="0.2">
      <c r="A1842" s="4">
        <f>IF(B1842=1,3,IF(D1842=1,2,IF(F1842=1,1,0)))</f>
        <v>0</v>
      </c>
      <c r="B1842" s="4" t="str">
        <f>IF(C1842=$L1842,1,IF(C1842="","",0))</f>
        <v/>
      </c>
      <c r="C1842" s="42"/>
      <c r="D1842" s="4" t="str">
        <f>IF(E1842=$L1842,1,IF(E1842="","",0))</f>
        <v/>
      </c>
      <c r="E1842" s="18"/>
      <c r="F1842" s="4" t="str">
        <f>IF(G1842=$L1842,1,IF(G1842="","",0))</f>
        <v/>
      </c>
      <c r="G1842" s="14"/>
      <c r="H1842" s="6">
        <v>1667</v>
      </c>
      <c r="I1842" s="15" t="s">
        <v>3120</v>
      </c>
      <c r="J1842" s="6" t="s">
        <v>4778</v>
      </c>
      <c r="K1842" s="6" t="s">
        <v>3139</v>
      </c>
      <c r="L1842" s="6" t="s">
        <v>1748</v>
      </c>
      <c r="M1842" s="6" t="s">
        <v>7773</v>
      </c>
      <c r="N1842" s="7">
        <f ca="1">RAND()</f>
        <v>0.9926344573083592</v>
      </c>
      <c r="O1842" s="8">
        <v>45210</v>
      </c>
      <c r="P1842" s="8">
        <v>45211</v>
      </c>
      <c r="Q1842" s="8">
        <v>45213</v>
      </c>
      <c r="R1842" s="8">
        <v>45217</v>
      </c>
      <c r="S1842" s="8">
        <v>45224</v>
      </c>
      <c r="T1842" s="8">
        <v>45236</v>
      </c>
      <c r="U1842" s="8">
        <v>45829</v>
      </c>
      <c r="V1842" s="10">
        <f>COUNTA(O1842:U1842)</f>
        <v>7</v>
      </c>
      <c r="W1842" s="11">
        <f>_xlfn.IFNA(INDEX(reading[[#This Row],[Memo 01]:[Memo 07]],MATCH(0,reading[[#This Row],[Memo 01]:[Memo 07]],-1)),"")</f>
        <v>45829</v>
      </c>
      <c r="X1842" s="11">
        <f ca="1">IFERROR(reading[[#This Row],[Previous]]+OFFSET(reading[[#Headers],[Memo 01]],-1,MATCH(0,reading[[#This Row],[Memo 01]:[Memo 07]],-1)-1),"")</f>
        <v>55829</v>
      </c>
      <c r="Y1842" s="10" t="str">
        <f ca="1">IF(reading[[#This Row],[Next]]&lt;&gt;"",IF(reading[[#This Row],[Next]]&gt;TODAY(),"OK",""),"")</f>
        <v>OK</v>
      </c>
      <c r="Z1842" s="13">
        <v>3</v>
      </c>
      <c r="AA1842" s="13">
        <v>3</v>
      </c>
      <c r="AB1842" s="13">
        <v>2</v>
      </c>
      <c r="AC1842" s="13">
        <v>2</v>
      </c>
      <c r="AD1842" s="13">
        <v>3</v>
      </c>
      <c r="AE1842" s="13">
        <v>3</v>
      </c>
      <c r="AF1842" s="13">
        <v>3</v>
      </c>
      <c r="AG1842" s="16">
        <f>IFERROR(SUMIF(reading[[#This Row],[1st]:[7th]],"&gt;0")/COUNTIF(reading[[#This Row],[1st]:[7th]],"&gt;0"),"")</f>
        <v>2.7142857142857144</v>
      </c>
    </row>
    <row r="1843" spans="1:33" x14ac:dyDescent="0.2">
      <c r="A1843" s="4">
        <f>IF(B1843=1,3,IF(D1843=1,2,IF(F1843=1,1,0)))</f>
        <v>0</v>
      </c>
      <c r="B1843" s="4">
        <f>IF(C1843=$L1843,1,IF(C1843="","",0))</f>
        <v>0</v>
      </c>
      <c r="C1843" s="42" t="s">
        <v>9200</v>
      </c>
      <c r="D1843" s="4" t="str">
        <f>IF(E1843=$L1843,1,IF(E1843="","",0))</f>
        <v/>
      </c>
      <c r="E1843" s="18"/>
      <c r="F1843" s="4" t="str">
        <f>IF(G1843=$L1843,1,IF(G1843="","",0))</f>
        <v/>
      </c>
      <c r="G1843" s="14"/>
      <c r="H1843" s="6">
        <v>776</v>
      </c>
      <c r="I1843" s="15" t="s">
        <v>3120</v>
      </c>
      <c r="J1843" s="6" t="s">
        <v>3910</v>
      </c>
      <c r="K1843" s="6"/>
      <c r="L1843" s="6" t="s">
        <v>895</v>
      </c>
      <c r="M1843" s="6" t="s">
        <v>6885</v>
      </c>
      <c r="N1843" s="7">
        <f ca="1">RAND()</f>
        <v>4.970169686491821E-2</v>
      </c>
      <c r="O1843" s="8">
        <v>45203</v>
      </c>
      <c r="P1843" s="8">
        <v>45204</v>
      </c>
      <c r="Q1843" s="8">
        <v>45206</v>
      </c>
      <c r="R1843" s="8">
        <v>45210</v>
      </c>
      <c r="S1843" s="8">
        <v>45217</v>
      </c>
      <c r="T1843" s="8">
        <v>45229</v>
      </c>
      <c r="U1843" s="8"/>
      <c r="V1843" s="10">
        <f>COUNTA(O1843:U1843)</f>
        <v>6</v>
      </c>
      <c r="W1843" s="11">
        <f>_xlfn.IFNA(INDEX(reading[[#This Row],[Memo 01]:[Memo 07]],MATCH(0,reading[[#This Row],[Memo 01]:[Memo 07]],-1)),"")</f>
        <v>45229</v>
      </c>
      <c r="X1843" s="11">
        <f ca="1">IFERROR(reading[[#This Row],[Previous]]+OFFSET(reading[[#Headers],[Memo 01]],-1,MATCH(0,reading[[#This Row],[Memo 01]:[Memo 07]],-1)-1),"")</f>
        <v>45249</v>
      </c>
      <c r="Y1843" s="10" t="str">
        <f ca="1">IF(reading[[#This Row],[Next]]&lt;&gt;"",IF(reading[[#This Row],[Next]]&gt;TODAY(),"OK",""),"")</f>
        <v/>
      </c>
      <c r="Z1843" s="13">
        <v>3</v>
      </c>
      <c r="AA1843" s="13">
        <v>3</v>
      </c>
      <c r="AB1843" s="13">
        <v>3</v>
      </c>
      <c r="AC1843" s="13">
        <v>3</v>
      </c>
      <c r="AD1843" s="13">
        <v>2</v>
      </c>
      <c r="AE1843" s="13">
        <v>3</v>
      </c>
      <c r="AF1843" s="13"/>
      <c r="AG1843" s="16">
        <f>IFERROR(SUMIF(reading[[#This Row],[1st]:[7th]],"&gt;0")/COUNTIF(reading[[#This Row],[1st]:[7th]],"&gt;0"),"")</f>
        <v>2.8333333333333335</v>
      </c>
    </row>
    <row r="1844" spans="1:33" hidden="1" x14ac:dyDescent="0.2">
      <c r="A1844" s="4">
        <f>IF(B1844=1,3,IF(D1844=1,2,IF(F1844=1,1,0)))</f>
        <v>0</v>
      </c>
      <c r="B1844" s="4">
        <f>IF(C1844=$L1844,1,IF(C1844="","",0))</f>
        <v>0</v>
      </c>
      <c r="C1844" s="42" t="s">
        <v>9200</v>
      </c>
      <c r="D1844" s="4" t="str">
        <f>IF(E1844=$L1844,1,IF(E1844="","",0))</f>
        <v/>
      </c>
      <c r="E1844" s="18"/>
      <c r="F1844" s="4" t="str">
        <f>IF(G1844=$L1844,1,IF(G1844="","",0))</f>
        <v/>
      </c>
      <c r="G1844" s="18"/>
      <c r="H1844" s="6">
        <v>2807</v>
      </c>
      <c r="I1844" s="15" t="s">
        <v>3120</v>
      </c>
      <c r="J1844" s="6" t="s">
        <v>5850</v>
      </c>
      <c r="K1844" s="15" t="s">
        <v>3138</v>
      </c>
      <c r="L1844" s="6" t="s">
        <v>2843</v>
      </c>
      <c r="M1844" s="6" t="s">
        <v>8911</v>
      </c>
      <c r="N1844" s="7">
        <f ca="1">RAND()</f>
        <v>5.987572280111042E-2</v>
      </c>
      <c r="O1844" s="8">
        <v>45223</v>
      </c>
      <c r="P1844" s="8">
        <v>45224</v>
      </c>
      <c r="Q1844" s="8">
        <v>45226</v>
      </c>
      <c r="R1844" s="8">
        <v>45230</v>
      </c>
      <c r="S1844" s="8">
        <v>45237</v>
      </c>
      <c r="T1844" s="8"/>
      <c r="U1844" s="8"/>
      <c r="V1844" s="10">
        <f>COUNTA(O1844:U1844)</f>
        <v>5</v>
      </c>
      <c r="W1844" s="11">
        <f>_xlfn.IFNA(INDEX(reading[[#This Row],[Memo 01]:[Memo 07]],MATCH(0,reading[[#This Row],[Memo 01]:[Memo 07]],-1)),"")</f>
        <v>45237</v>
      </c>
      <c r="X1844" s="11">
        <f ca="1">IFERROR(reading[[#This Row],[Previous]]+OFFSET(reading[[#Headers],[Memo 01]],-1,MATCH(0,reading[[#This Row],[Memo 01]:[Memo 07]],-1)-1),"")</f>
        <v>45249</v>
      </c>
      <c r="Y1844" s="10" t="str">
        <f ca="1">IF(reading[[#This Row],[Next]]&lt;&gt;"",IF(reading[[#This Row],[Next]]&gt;TODAY(),"OK",""),"")</f>
        <v/>
      </c>
      <c r="Z1844" s="13">
        <v>3</v>
      </c>
      <c r="AA1844" s="13">
        <v>3</v>
      </c>
      <c r="AB1844" s="13">
        <v>2</v>
      </c>
      <c r="AC1844" s="13">
        <v>3</v>
      </c>
      <c r="AD1844" s="13">
        <v>3</v>
      </c>
      <c r="AE1844" s="13"/>
      <c r="AF1844" s="13"/>
      <c r="AG1844" s="16">
        <f>IFERROR(SUMIF(reading[[#This Row],[1st]:[7th]],"&gt;0")/COUNTIF(reading[[#This Row],[1st]:[7th]],"&gt;0"),"")</f>
        <v>2.8</v>
      </c>
    </row>
    <row r="1845" spans="1:33" hidden="1" x14ac:dyDescent="0.2">
      <c r="A1845" s="4">
        <f>IF(B1845=1,3,IF(D1845=1,2,IF(F1845=1,1,0)))</f>
        <v>0</v>
      </c>
      <c r="B1845" s="4" t="str">
        <f>IF(C1845=$L1845,1,IF(C1845="","",0))</f>
        <v/>
      </c>
      <c r="C1845" s="42"/>
      <c r="D1845" s="4" t="str">
        <f>IF(E1845=$L1845,1,IF(E1845="","",0))</f>
        <v/>
      </c>
      <c r="E1845" s="14"/>
      <c r="F1845" s="4" t="str">
        <f>IF(G1845=$L1845,1,IF(G1845="","",0))</f>
        <v/>
      </c>
      <c r="G1845" s="14"/>
      <c r="H1845" s="6">
        <v>2837</v>
      </c>
      <c r="I1845" s="15" t="s">
        <v>3120</v>
      </c>
      <c r="J1845" s="6" t="s">
        <v>5878</v>
      </c>
      <c r="K1845" s="6"/>
      <c r="L1845" s="6" t="s">
        <v>2872</v>
      </c>
      <c r="M1845" s="6" t="s">
        <v>8941</v>
      </c>
      <c r="N1845" s="7">
        <f ca="1">RAND()</f>
        <v>0.7122494066986339</v>
      </c>
      <c r="O1845" s="8">
        <v>45222</v>
      </c>
      <c r="P1845" s="8">
        <v>45223</v>
      </c>
      <c r="Q1845" s="8">
        <v>45225</v>
      </c>
      <c r="R1845" s="8">
        <v>45229</v>
      </c>
      <c r="S1845" s="8">
        <v>45236</v>
      </c>
      <c r="T1845" s="8">
        <v>45830</v>
      </c>
      <c r="U1845" s="8"/>
      <c r="V1845" s="10">
        <f>COUNTA(O1845:U1845)</f>
        <v>6</v>
      </c>
      <c r="W1845" s="11">
        <f>_xlfn.IFNA(INDEX(reading[[#This Row],[Memo 01]:[Memo 07]],MATCH(0,reading[[#This Row],[Memo 01]:[Memo 07]],-1)),"")</f>
        <v>45830</v>
      </c>
      <c r="X1845" s="11">
        <f ca="1">IFERROR(reading[[#This Row],[Previous]]+OFFSET(reading[[#Headers],[Memo 01]],-1,MATCH(0,reading[[#This Row],[Memo 01]:[Memo 07]],-1)-1),"")</f>
        <v>45850</v>
      </c>
      <c r="Y1845" s="10" t="str">
        <f ca="1">IF(reading[[#This Row],[Next]]&lt;&gt;"",IF(reading[[#This Row],[Next]]&gt;TODAY(),"OK",""),"")</f>
        <v>OK</v>
      </c>
      <c r="Z1845" s="13">
        <v>3</v>
      </c>
      <c r="AA1845" s="13">
        <v>3</v>
      </c>
      <c r="AB1845" s="13">
        <v>3</v>
      </c>
      <c r="AC1845" s="13">
        <v>3</v>
      </c>
      <c r="AD1845" s="13">
        <v>3</v>
      </c>
      <c r="AE1845" s="13">
        <v>3</v>
      </c>
      <c r="AF1845" s="13"/>
      <c r="AG1845" s="16">
        <f>IFERROR(SUMIF(reading[[#This Row],[1st]:[7th]],"&gt;0")/COUNTIF(reading[[#This Row],[1st]:[7th]],"&gt;0"),"")</f>
        <v>3</v>
      </c>
    </row>
    <row r="1846" spans="1:33" hidden="1" x14ac:dyDescent="0.2">
      <c r="A1846" s="4">
        <f>IF(B1846=1,3,IF(D1846=1,2,IF(F1846=1,1,0)))</f>
        <v>0</v>
      </c>
      <c r="B1846" s="4" t="str">
        <f>IF(C1846=$L1846,1,IF(C1846="","",0))</f>
        <v/>
      </c>
      <c r="C1846" s="42"/>
      <c r="D1846" s="4" t="str">
        <f>IF(E1846=$L1846,1,IF(E1846="","",0))</f>
        <v/>
      </c>
      <c r="E1846" s="14"/>
      <c r="F1846" s="4" t="str">
        <f>IF(G1846=$L1846,1,IF(G1846="","",0))</f>
        <v/>
      </c>
      <c r="G1846" s="14"/>
      <c r="H1846" s="6">
        <v>1850</v>
      </c>
      <c r="I1846" s="15" t="s">
        <v>3120</v>
      </c>
      <c r="J1846" s="6" t="s">
        <v>4953</v>
      </c>
      <c r="K1846" s="6"/>
      <c r="L1846" s="6" t="s">
        <v>1928</v>
      </c>
      <c r="M1846" s="6" t="s">
        <v>7956</v>
      </c>
      <c r="N1846" s="7">
        <f ca="1">RAND()</f>
        <v>0.40064540934299786</v>
      </c>
      <c r="O1846" s="8">
        <v>45213</v>
      </c>
      <c r="P1846" s="8">
        <v>45214</v>
      </c>
      <c r="Q1846" s="8">
        <v>45216</v>
      </c>
      <c r="R1846" s="8">
        <v>45220</v>
      </c>
      <c r="S1846" s="8">
        <v>45227</v>
      </c>
      <c r="T1846" s="8">
        <v>45829</v>
      </c>
      <c r="U1846" s="8"/>
      <c r="V1846" s="10">
        <f>COUNTA(O1846:U1846)</f>
        <v>6</v>
      </c>
      <c r="W1846" s="11">
        <f>_xlfn.IFNA(INDEX(reading[[#This Row],[Memo 01]:[Memo 07]],MATCH(0,reading[[#This Row],[Memo 01]:[Memo 07]],-1)),"")</f>
        <v>45829</v>
      </c>
      <c r="X1846" s="11">
        <f ca="1">IFERROR(reading[[#This Row],[Previous]]+OFFSET(reading[[#Headers],[Memo 01]],-1,MATCH(0,reading[[#This Row],[Memo 01]:[Memo 07]],-1)-1),"")</f>
        <v>45849</v>
      </c>
      <c r="Y1846" s="10" t="str">
        <f ca="1">IF(reading[[#This Row],[Next]]&lt;&gt;"",IF(reading[[#This Row],[Next]]&gt;TODAY(),"OK",""),"")</f>
        <v>OK</v>
      </c>
      <c r="Z1846" s="13">
        <v>3</v>
      </c>
      <c r="AA1846" s="13">
        <v>3</v>
      </c>
      <c r="AB1846" s="13">
        <v>3</v>
      </c>
      <c r="AC1846" s="13">
        <v>3</v>
      </c>
      <c r="AD1846" s="13">
        <v>3</v>
      </c>
      <c r="AE1846" s="13">
        <v>3</v>
      </c>
      <c r="AF1846" s="13"/>
      <c r="AG1846" s="16">
        <f>IFERROR(SUMIF(reading[[#This Row],[1st]:[7th]],"&gt;0")/COUNTIF(reading[[#This Row],[1st]:[7th]],"&gt;0"),"")</f>
        <v>3</v>
      </c>
    </row>
    <row r="1847" spans="1:33" hidden="1" x14ac:dyDescent="0.2">
      <c r="A1847" s="4">
        <f>IF(B1847=1,3,IF(D1847=1,2,IF(F1847=1,1,0)))</f>
        <v>0</v>
      </c>
      <c r="B1847" s="4" t="str">
        <f>IF(C1847=$L1847,1,IF(C1847="","",0))</f>
        <v/>
      </c>
      <c r="C1847" s="43"/>
      <c r="D1847" s="4" t="str">
        <f>IF(E1847=$L1847,1,IF(E1847="","",0))</f>
        <v/>
      </c>
      <c r="E1847" s="43"/>
      <c r="F1847" s="4" t="str">
        <f>IF(G1847=$L1847,1,IF(G1847="","",0))</f>
        <v/>
      </c>
      <c r="G1847" s="23"/>
      <c r="H1847" s="6">
        <v>206</v>
      </c>
      <c r="I1847" s="15" t="s">
        <v>3120</v>
      </c>
      <c r="J1847" s="6" t="s">
        <v>3355</v>
      </c>
      <c r="K1847" s="6"/>
      <c r="L1847" s="6" t="s">
        <v>342</v>
      </c>
      <c r="M1847" s="6" t="s">
        <v>6315</v>
      </c>
      <c r="N1847" s="7">
        <f ca="1">RAND()</f>
        <v>0.24485537652733691</v>
      </c>
      <c r="O1847" s="8">
        <v>45199</v>
      </c>
      <c r="P1847" s="8">
        <v>45200</v>
      </c>
      <c r="Q1847" s="8">
        <v>45202</v>
      </c>
      <c r="R1847" s="8">
        <v>45206</v>
      </c>
      <c r="S1847" s="8">
        <v>45213</v>
      </c>
      <c r="T1847" s="8">
        <v>45225</v>
      </c>
      <c r="U1847" s="8">
        <v>45816</v>
      </c>
      <c r="V1847" s="10">
        <f>COUNTA(O1847:U1847)</f>
        <v>7</v>
      </c>
      <c r="W1847" s="11">
        <f>_xlfn.IFNA(INDEX(reading[[#This Row],[Memo 01]:[Memo 07]],MATCH(0,reading[[#This Row],[Memo 01]:[Memo 07]],-1)),"")</f>
        <v>45816</v>
      </c>
      <c r="X1847" s="11">
        <f ca="1">IFERROR(reading[[#This Row],[Previous]]+OFFSET(reading[[#Headers],[Memo 01]],-1,MATCH(0,reading[[#This Row],[Memo 01]:[Memo 07]],-1)-1),"")</f>
        <v>55816</v>
      </c>
      <c r="Y1847" s="10" t="str">
        <f ca="1">IF(reading[[#This Row],[Next]]&lt;&gt;"",IF(reading[[#This Row],[Next]]&gt;TODAY(),"OK",""),"")</f>
        <v>OK</v>
      </c>
      <c r="Z1847" s="13">
        <v>3</v>
      </c>
      <c r="AA1847" s="13">
        <v>3</v>
      </c>
      <c r="AB1847" s="13">
        <v>3</v>
      </c>
      <c r="AC1847" s="13">
        <v>3</v>
      </c>
      <c r="AD1847" s="13">
        <v>3</v>
      </c>
      <c r="AE1847" s="13">
        <v>2</v>
      </c>
      <c r="AF1847" s="13">
        <v>1</v>
      </c>
      <c r="AG1847" s="16">
        <f>IFERROR(SUMIF(reading[[#This Row],[1st]:[7th]],"&gt;0")/COUNTIF(reading[[#This Row],[1st]:[7th]],"&gt;0"),"")</f>
        <v>2.5714285714285716</v>
      </c>
    </row>
    <row r="1848" spans="1:33" hidden="1" x14ac:dyDescent="0.2">
      <c r="A1848" s="4">
        <f>IF(B1848=1,3,IF(D1848=1,2,IF(F1848=1,1,0)))</f>
        <v>0</v>
      </c>
      <c r="B1848" s="4" t="str">
        <f>IF(C1848=$L1848,1,IF(C1848="","",0))</f>
        <v/>
      </c>
      <c r="C1848" s="42"/>
      <c r="D1848" s="4" t="str">
        <f>IF(E1848=$L1848,1,IF(E1848="","",0))</f>
        <v/>
      </c>
      <c r="E1848" s="23"/>
      <c r="F1848" s="4" t="str">
        <f>IF(G1848=$L1848,1,IF(G1848="","",0))</f>
        <v/>
      </c>
      <c r="G1848" s="14"/>
      <c r="H1848" s="6">
        <v>1291</v>
      </c>
      <c r="I1848" s="15" t="s">
        <v>3120</v>
      </c>
      <c r="J1848" s="6" t="s">
        <v>4408</v>
      </c>
      <c r="K1848" s="6"/>
      <c r="L1848" s="6" t="s">
        <v>1389</v>
      </c>
      <c r="M1848" s="6" t="s">
        <v>7398</v>
      </c>
      <c r="N1848" s="7">
        <f ca="1">RAND()</f>
        <v>0.25825369561174816</v>
      </c>
      <c r="O1848" s="8">
        <v>45207</v>
      </c>
      <c r="P1848" s="8">
        <v>45208</v>
      </c>
      <c r="Q1848" s="8">
        <v>45210</v>
      </c>
      <c r="R1848" s="8">
        <v>45214</v>
      </c>
      <c r="S1848" s="8">
        <v>45221</v>
      </c>
      <c r="T1848" s="8">
        <v>45233</v>
      </c>
      <c r="U1848" s="8">
        <v>45816</v>
      </c>
      <c r="V1848" s="10">
        <f>COUNTA(O1848:U1848)</f>
        <v>7</v>
      </c>
      <c r="W1848" s="11">
        <f>_xlfn.IFNA(INDEX(reading[[#This Row],[Memo 01]:[Memo 07]],MATCH(0,reading[[#This Row],[Memo 01]:[Memo 07]],-1)),"")</f>
        <v>45816</v>
      </c>
      <c r="X1848" s="11">
        <f ca="1">IFERROR(reading[[#This Row],[Previous]]+OFFSET(reading[[#Headers],[Memo 01]],-1,MATCH(0,reading[[#This Row],[Memo 01]:[Memo 07]],-1)-1),"")</f>
        <v>55816</v>
      </c>
      <c r="Y1848" s="10" t="str">
        <f ca="1">IF(reading[[#This Row],[Next]]&lt;&gt;"",IF(reading[[#This Row],[Next]]&gt;TODAY(),"OK",""),"")</f>
        <v>OK</v>
      </c>
      <c r="Z1848" s="13">
        <v>3</v>
      </c>
      <c r="AA1848" s="13">
        <v>3</v>
      </c>
      <c r="AB1848" s="13">
        <v>3</v>
      </c>
      <c r="AC1848" s="13">
        <v>3</v>
      </c>
      <c r="AD1848" s="13">
        <v>3</v>
      </c>
      <c r="AE1848" s="13">
        <v>3</v>
      </c>
      <c r="AF1848" s="13">
        <v>2</v>
      </c>
      <c r="AG1848" s="16">
        <f>IFERROR(SUMIF(reading[[#This Row],[1st]:[7th]],"&gt;0")/COUNTIF(reading[[#This Row],[1st]:[7th]],"&gt;0"),"")</f>
        <v>2.8571428571428572</v>
      </c>
    </row>
    <row r="1849" spans="1:33" hidden="1" x14ac:dyDescent="0.2">
      <c r="A1849" s="4">
        <f>IF(B1849=1,3,IF(D1849=1,2,IF(F1849=1,1,0)))</f>
        <v>0</v>
      </c>
      <c r="B1849" s="4" t="str">
        <f>IF(C1849=$L1849,1,IF(C1849="","",0))</f>
        <v/>
      </c>
      <c r="C1849" s="42"/>
      <c r="D1849" s="4" t="str">
        <f>IF(E1849=$L1849,1,IF(E1849="","",0))</f>
        <v/>
      </c>
      <c r="E1849" s="23"/>
      <c r="F1849" s="4" t="str">
        <f>IF(G1849=$L1849,1,IF(G1849="","",0))</f>
        <v/>
      </c>
      <c r="G1849" s="14"/>
      <c r="H1849" s="6">
        <v>2348</v>
      </c>
      <c r="I1849" s="15" t="s">
        <v>3120</v>
      </c>
      <c r="J1849" s="6" t="s">
        <v>5425</v>
      </c>
      <c r="K1849" s="6"/>
      <c r="L1849" s="6" t="s">
        <v>2401</v>
      </c>
      <c r="M1849" s="6" t="s">
        <v>8453</v>
      </c>
      <c r="N1849" s="7">
        <f ca="1">RAND()</f>
        <v>0.55232846701419891</v>
      </c>
      <c r="O1849" s="8">
        <v>45216</v>
      </c>
      <c r="P1849" s="8">
        <v>45217</v>
      </c>
      <c r="Q1849" s="8">
        <v>45219</v>
      </c>
      <c r="R1849" s="8">
        <v>45223</v>
      </c>
      <c r="S1849" s="8">
        <v>45230</v>
      </c>
      <c r="T1849" s="8">
        <v>45816</v>
      </c>
      <c r="U1849" s="8"/>
      <c r="V1849" s="10">
        <f>COUNTA(O1849:U1849)</f>
        <v>6</v>
      </c>
      <c r="W1849" s="11">
        <f>_xlfn.IFNA(INDEX(reading[[#This Row],[Memo 01]:[Memo 07]],MATCH(0,reading[[#This Row],[Memo 01]:[Memo 07]],-1)),"")</f>
        <v>45816</v>
      </c>
      <c r="X1849" s="11">
        <f ca="1">IFERROR(reading[[#This Row],[Previous]]+OFFSET(reading[[#Headers],[Memo 01]],-1,MATCH(0,reading[[#This Row],[Memo 01]:[Memo 07]],-1)-1),"")</f>
        <v>45836</v>
      </c>
      <c r="Y1849" s="10" t="str">
        <f ca="1">IF(reading[[#This Row],[Next]]&lt;&gt;"",IF(reading[[#This Row],[Next]]&gt;TODAY(),"OK",""),"")</f>
        <v>OK</v>
      </c>
      <c r="Z1849" s="13">
        <v>3</v>
      </c>
      <c r="AA1849" s="13">
        <v>3</v>
      </c>
      <c r="AB1849" s="13">
        <v>3</v>
      </c>
      <c r="AC1849" s="13">
        <v>3</v>
      </c>
      <c r="AD1849" s="13">
        <v>3</v>
      </c>
      <c r="AE1849" s="13">
        <v>2</v>
      </c>
      <c r="AF1849" s="13"/>
      <c r="AG1849" s="16">
        <f>IFERROR(SUMIF(reading[[#This Row],[1st]:[7th]],"&gt;0")/COUNTIF(reading[[#This Row],[1st]:[7th]],"&gt;0"),"")</f>
        <v>2.8333333333333335</v>
      </c>
    </row>
    <row r="1850" spans="1:33" hidden="1" x14ac:dyDescent="0.2">
      <c r="A1850" s="4">
        <f>IF(B1850=1,3,IF(D1850=1,2,IF(F1850=1,1,0)))</f>
        <v>0</v>
      </c>
      <c r="B1850" s="4" t="str">
        <f>IF(C1850=$L1850,1,IF(C1850="","",0))</f>
        <v/>
      </c>
      <c r="C1850" s="42"/>
      <c r="D1850" s="4" t="str">
        <f>IF(E1850=$L1850,1,IF(E1850="","",0))</f>
        <v/>
      </c>
      <c r="E1850" s="14"/>
      <c r="F1850" s="4" t="str">
        <f>IF(G1850=$L1850,1,IF(G1850="","",0))</f>
        <v/>
      </c>
      <c r="G1850" s="14"/>
      <c r="H1850" s="6">
        <v>3089</v>
      </c>
      <c r="I1850" s="15" t="s">
        <v>3120</v>
      </c>
      <c r="J1850" s="6" t="s">
        <v>6108</v>
      </c>
      <c r="K1850" s="6"/>
      <c r="L1850" s="6" t="s">
        <v>3113</v>
      </c>
      <c r="M1850" s="6" t="s">
        <v>9192</v>
      </c>
      <c r="N1850" s="7">
        <f ca="1">RAND()</f>
        <v>5.2910118419785768E-2</v>
      </c>
      <c r="O1850" s="8">
        <v>45224</v>
      </c>
      <c r="P1850" s="8">
        <v>45225</v>
      </c>
      <c r="Q1850" s="8">
        <v>45227</v>
      </c>
      <c r="R1850" s="8">
        <v>45231</v>
      </c>
      <c r="S1850" s="8">
        <v>45251</v>
      </c>
      <c r="T1850" s="8">
        <v>45829</v>
      </c>
      <c r="U1850" s="8"/>
      <c r="V1850" s="10">
        <f>COUNTA(O1850:U1850)</f>
        <v>6</v>
      </c>
      <c r="W1850" s="11">
        <f>_xlfn.IFNA(INDEX(reading[[#This Row],[Memo 01]:[Memo 07]],MATCH(0,reading[[#This Row],[Memo 01]:[Memo 07]],-1)),"")</f>
        <v>45829</v>
      </c>
      <c r="X1850" s="11">
        <f ca="1">IFERROR(reading[[#This Row],[Previous]]+OFFSET(reading[[#Headers],[Memo 01]],-1,MATCH(0,reading[[#This Row],[Memo 01]:[Memo 07]],-1)-1),"")</f>
        <v>45849</v>
      </c>
      <c r="Y1850" s="10" t="str">
        <f ca="1">IF(reading[[#This Row],[Next]]&lt;&gt;"",IF(reading[[#This Row],[Next]]&gt;TODAY(),"OK",""),"")</f>
        <v>OK</v>
      </c>
      <c r="Z1850" s="13">
        <v>3</v>
      </c>
      <c r="AA1850" s="13">
        <v>3</v>
      </c>
      <c r="AB1850" s="13">
        <v>3</v>
      </c>
      <c r="AC1850" s="13">
        <v>3</v>
      </c>
      <c r="AD1850" s="13">
        <v>3</v>
      </c>
      <c r="AE1850" s="13">
        <v>3</v>
      </c>
      <c r="AF1850" s="13"/>
      <c r="AG1850" s="16">
        <f>IFERROR(SUMIF(reading[[#This Row],[1st]:[7th]],"&gt;0")/COUNTIF(reading[[#This Row],[1st]:[7th]],"&gt;0"),"")</f>
        <v>3</v>
      </c>
    </row>
    <row r="1851" spans="1:33" hidden="1" x14ac:dyDescent="0.2">
      <c r="A1851" s="4">
        <f>IF(B1851=1,3,IF(D1851=1,2,IF(F1851=1,1,0)))</f>
        <v>0</v>
      </c>
      <c r="B1851" s="4" t="str">
        <f>IF(C1851=$L1851,1,IF(C1851="","",0))</f>
        <v/>
      </c>
      <c r="C1851" s="42"/>
      <c r="D1851" s="4" t="str">
        <f>IF(E1851=$L1851,1,IF(E1851="","",0))</f>
        <v/>
      </c>
      <c r="E1851" s="18"/>
      <c r="F1851" s="4" t="str">
        <f>IF(G1851=$L1851,1,IF(G1851="","",0))</f>
        <v/>
      </c>
      <c r="G1851" s="18"/>
      <c r="H1851" s="6">
        <v>1351</v>
      </c>
      <c r="I1851" s="15" t="s">
        <v>3120</v>
      </c>
      <c r="J1851" s="6" t="s">
        <v>4465</v>
      </c>
      <c r="K1851" s="15" t="s">
        <v>3139</v>
      </c>
      <c r="L1851" s="6" t="s">
        <v>1446</v>
      </c>
      <c r="M1851" s="6" t="s">
        <v>7458</v>
      </c>
      <c r="N1851" s="7">
        <f ca="1">RAND()</f>
        <v>0.33027026087452083</v>
      </c>
      <c r="O1851" s="8">
        <v>45207</v>
      </c>
      <c r="P1851" s="8">
        <v>45208</v>
      </c>
      <c r="Q1851" s="8">
        <v>45210</v>
      </c>
      <c r="R1851" s="8">
        <v>45214</v>
      </c>
      <c r="S1851" s="8">
        <v>45221</v>
      </c>
      <c r="T1851" s="8">
        <v>45233</v>
      </c>
      <c r="U1851" s="8">
        <v>45829</v>
      </c>
      <c r="V1851" s="10">
        <f>COUNTA(O1851:U1851)</f>
        <v>7</v>
      </c>
      <c r="W1851" s="11">
        <f>_xlfn.IFNA(INDEX(reading[[#This Row],[Memo 01]:[Memo 07]],MATCH(0,reading[[#This Row],[Memo 01]:[Memo 07]],-1)),"")</f>
        <v>45829</v>
      </c>
      <c r="X1851" s="11">
        <f ca="1">IFERROR(reading[[#This Row],[Previous]]+OFFSET(reading[[#Headers],[Memo 01]],-1,MATCH(0,reading[[#This Row],[Memo 01]:[Memo 07]],-1)-1),"")</f>
        <v>55829</v>
      </c>
      <c r="Y1851" s="10" t="str">
        <f ca="1">IF(reading[[#This Row],[Next]]&lt;&gt;"",IF(reading[[#This Row],[Next]]&gt;TODAY(),"OK",""),"")</f>
        <v>OK</v>
      </c>
      <c r="Z1851" s="13">
        <v>3</v>
      </c>
      <c r="AA1851" s="13">
        <v>3</v>
      </c>
      <c r="AB1851" s="13">
        <v>2</v>
      </c>
      <c r="AC1851" s="13">
        <v>2</v>
      </c>
      <c r="AD1851" s="13">
        <v>1</v>
      </c>
      <c r="AE1851" s="13">
        <v>2</v>
      </c>
      <c r="AF1851" s="13">
        <v>3</v>
      </c>
      <c r="AG1851" s="16">
        <f>IFERROR(SUMIF(reading[[#This Row],[1st]:[7th]],"&gt;0")/COUNTIF(reading[[#This Row],[1st]:[7th]],"&gt;0"),"")</f>
        <v>2.2857142857142856</v>
      </c>
    </row>
    <row r="1852" spans="1:33" hidden="1" x14ac:dyDescent="0.2">
      <c r="A1852" s="4">
        <f>IF(B1852=1,3,IF(D1852=1,2,IF(F1852=1,1,0)))</f>
        <v>0</v>
      </c>
      <c r="B1852" s="4" t="str">
        <f>IF(C1852=$L1852,1,IF(C1852="","",0))</f>
        <v/>
      </c>
      <c r="C1852" s="42"/>
      <c r="D1852" s="4" t="str">
        <f>IF(E1852=$L1852,1,IF(E1852="","",0))</f>
        <v/>
      </c>
      <c r="E1852" s="14"/>
      <c r="F1852" s="4" t="str">
        <f>IF(G1852=$L1852,1,IF(G1852="","",0))</f>
        <v/>
      </c>
      <c r="G1852" s="14"/>
      <c r="H1852" s="6">
        <v>995</v>
      </c>
      <c r="I1852" s="15" t="s">
        <v>3120</v>
      </c>
      <c r="J1852" s="6" t="s">
        <v>4124</v>
      </c>
      <c r="K1852" s="6"/>
      <c r="L1852" s="6" t="s">
        <v>1105</v>
      </c>
      <c r="M1852" s="6" t="s">
        <v>7103</v>
      </c>
      <c r="N1852" s="7">
        <f ca="1">RAND()</f>
        <v>0.28110096675743257</v>
      </c>
      <c r="O1852" s="8">
        <v>45204</v>
      </c>
      <c r="P1852" s="8">
        <v>45205</v>
      </c>
      <c r="Q1852" s="8">
        <v>45207</v>
      </c>
      <c r="R1852" s="8">
        <v>45212</v>
      </c>
      <c r="S1852" s="8">
        <v>45219</v>
      </c>
      <c r="T1852" s="8">
        <v>45231</v>
      </c>
      <c r="U1852" s="8">
        <v>45829</v>
      </c>
      <c r="V1852" s="10">
        <f>COUNTA(O1852:U1852)</f>
        <v>7</v>
      </c>
      <c r="W1852" s="11">
        <f>_xlfn.IFNA(INDEX(reading[[#This Row],[Memo 01]:[Memo 07]],MATCH(0,reading[[#This Row],[Memo 01]:[Memo 07]],-1)),"")</f>
        <v>45829</v>
      </c>
      <c r="X1852" s="11">
        <f ca="1">IFERROR(reading[[#This Row],[Previous]]+OFFSET(reading[[#Headers],[Memo 01]],-1,MATCH(0,reading[[#This Row],[Memo 01]:[Memo 07]],-1)-1),"")</f>
        <v>55829</v>
      </c>
      <c r="Y1852" s="10" t="str">
        <f ca="1">IF(reading[[#This Row],[Next]]&lt;&gt;"",IF(reading[[#This Row],[Next]]&gt;TODAY(),"OK",""),"")</f>
        <v>OK</v>
      </c>
      <c r="Z1852" s="13">
        <v>3</v>
      </c>
      <c r="AA1852" s="13">
        <v>3</v>
      </c>
      <c r="AB1852" s="13">
        <v>3</v>
      </c>
      <c r="AC1852" s="13">
        <v>2</v>
      </c>
      <c r="AD1852" s="13">
        <v>3</v>
      </c>
      <c r="AE1852" s="13">
        <v>3</v>
      </c>
      <c r="AF1852" s="13">
        <v>3</v>
      </c>
      <c r="AG1852" s="16">
        <f>IFERROR(SUMIF(reading[[#This Row],[1st]:[7th]],"&gt;0")/COUNTIF(reading[[#This Row],[1st]:[7th]],"&gt;0"),"")</f>
        <v>2.8571428571428572</v>
      </c>
    </row>
    <row r="1853" spans="1:33" hidden="1" x14ac:dyDescent="0.2">
      <c r="A1853" s="4">
        <f>IF(B1853=1,3,IF(D1853=1,2,IF(F1853=1,1,0)))</f>
        <v>0</v>
      </c>
      <c r="B1853" s="4" t="str">
        <f>IF(C1853=$L1853,1,IF(C1853="","",0))</f>
        <v/>
      </c>
      <c r="C1853" s="42"/>
      <c r="D1853" s="4" t="str">
        <f>IF(E1853=$L1853,1,IF(E1853="","",0))</f>
        <v/>
      </c>
      <c r="E1853" s="23"/>
      <c r="F1853" s="4" t="str">
        <f>IF(G1853=$L1853,1,IF(G1853="","",0))</f>
        <v/>
      </c>
      <c r="G1853" s="23"/>
      <c r="H1853" s="6">
        <v>2810</v>
      </c>
      <c r="I1853" s="15" t="s">
        <v>3120</v>
      </c>
      <c r="J1853" s="6" t="s">
        <v>5853</v>
      </c>
      <c r="K1853" s="6"/>
      <c r="L1853" s="6" t="s">
        <v>2846</v>
      </c>
      <c r="M1853" s="6" t="s">
        <v>8914</v>
      </c>
      <c r="N1853" s="7">
        <f ca="1">RAND()</f>
        <v>5.9399326779621342E-2</v>
      </c>
      <c r="O1853" s="8">
        <v>45222</v>
      </c>
      <c r="P1853" s="8">
        <v>45223</v>
      </c>
      <c r="Q1853" s="8">
        <v>45225</v>
      </c>
      <c r="R1853" s="8">
        <v>45229</v>
      </c>
      <c r="S1853" s="8">
        <v>45236</v>
      </c>
      <c r="T1853" s="8">
        <v>45817</v>
      </c>
      <c r="U1853" s="8"/>
      <c r="V1853" s="10">
        <f>COUNTA(O1853:U1853)</f>
        <v>6</v>
      </c>
      <c r="W1853" s="11">
        <f>_xlfn.IFNA(INDEX(reading[[#This Row],[Memo 01]:[Memo 07]],MATCH(0,reading[[#This Row],[Memo 01]:[Memo 07]],-1)),"")</f>
        <v>45817</v>
      </c>
      <c r="X1853" s="11">
        <f ca="1">IFERROR(reading[[#This Row],[Previous]]+OFFSET(reading[[#Headers],[Memo 01]],-1,MATCH(0,reading[[#This Row],[Memo 01]:[Memo 07]],-1)-1),"")</f>
        <v>45837</v>
      </c>
      <c r="Y1853" s="10" t="str">
        <f ca="1">IF(reading[[#This Row],[Next]]&lt;&gt;"",IF(reading[[#This Row],[Next]]&gt;TODAY(),"OK",""),"")</f>
        <v>OK</v>
      </c>
      <c r="Z1853" s="13">
        <v>3</v>
      </c>
      <c r="AA1853" s="13">
        <v>3</v>
      </c>
      <c r="AB1853" s="13">
        <v>3</v>
      </c>
      <c r="AC1853" s="13">
        <v>3</v>
      </c>
      <c r="AD1853" s="13">
        <v>3</v>
      </c>
      <c r="AE1853" s="13">
        <v>1</v>
      </c>
      <c r="AF1853" s="13"/>
      <c r="AG1853" s="16">
        <f>IFERROR(SUMIF(reading[[#This Row],[1st]:[7th]],"&gt;0")/COUNTIF(reading[[#This Row],[1st]:[7th]],"&gt;0"),"")</f>
        <v>2.6666666666666665</v>
      </c>
    </row>
    <row r="1854" spans="1:33" hidden="1" x14ac:dyDescent="0.2">
      <c r="A1854" s="4">
        <f>IF(B1854=1,3,IF(D1854=1,2,IF(F1854=1,1,0)))</f>
        <v>0</v>
      </c>
      <c r="B1854" s="4" t="str">
        <f>IF(C1854=$L1854,1,IF(C1854="","",0))</f>
        <v/>
      </c>
      <c r="C1854" s="42"/>
      <c r="D1854" s="4" t="str">
        <f>IF(E1854=$L1854,1,IF(E1854="","",0))</f>
        <v/>
      </c>
      <c r="E1854" s="14"/>
      <c r="F1854" s="4" t="str">
        <f>IF(G1854=$L1854,1,IF(G1854="","",0))</f>
        <v/>
      </c>
      <c r="G1854" s="14"/>
      <c r="H1854" s="6">
        <v>1097</v>
      </c>
      <c r="I1854" s="15" t="s">
        <v>3120</v>
      </c>
      <c r="J1854" s="6" t="s">
        <v>4221</v>
      </c>
      <c r="K1854" s="6"/>
      <c r="L1854" s="6" t="s">
        <v>1203</v>
      </c>
      <c r="M1854" s="6" t="s">
        <v>7205</v>
      </c>
      <c r="N1854" s="7">
        <f ca="1">RAND()</f>
        <v>0.37989683004176977</v>
      </c>
      <c r="O1854" s="8">
        <v>45205</v>
      </c>
      <c r="P1854" s="8">
        <v>45206</v>
      </c>
      <c r="Q1854" s="8">
        <v>45208</v>
      </c>
      <c r="R1854" s="8">
        <v>45212</v>
      </c>
      <c r="S1854" s="8">
        <v>45219</v>
      </c>
      <c r="T1854" s="8">
        <v>45231</v>
      </c>
      <c r="U1854" s="8">
        <v>45829</v>
      </c>
      <c r="V1854" s="10">
        <f>COUNTA(O1854:U1854)</f>
        <v>7</v>
      </c>
      <c r="W1854" s="11">
        <f>_xlfn.IFNA(INDEX(reading[[#This Row],[Memo 01]:[Memo 07]],MATCH(0,reading[[#This Row],[Memo 01]:[Memo 07]],-1)),"")</f>
        <v>45829</v>
      </c>
      <c r="X1854" s="11">
        <f ca="1">IFERROR(reading[[#This Row],[Previous]]+OFFSET(reading[[#Headers],[Memo 01]],-1,MATCH(0,reading[[#This Row],[Memo 01]:[Memo 07]],-1)-1),"")</f>
        <v>55829</v>
      </c>
      <c r="Y1854" s="10" t="str">
        <f ca="1">IF(reading[[#This Row],[Next]]&lt;&gt;"",IF(reading[[#This Row],[Next]]&gt;TODAY(),"OK",""),"")</f>
        <v>OK</v>
      </c>
      <c r="Z1854" s="13">
        <v>3</v>
      </c>
      <c r="AA1854" s="13">
        <v>3</v>
      </c>
      <c r="AB1854" s="13">
        <v>2</v>
      </c>
      <c r="AC1854" s="13">
        <v>3</v>
      </c>
      <c r="AD1854" s="13">
        <v>3</v>
      </c>
      <c r="AE1854" s="13">
        <v>3</v>
      </c>
      <c r="AF1854" s="13">
        <v>3</v>
      </c>
      <c r="AG1854" s="16">
        <f>IFERROR(SUMIF(reading[[#This Row],[1st]:[7th]],"&gt;0")/COUNTIF(reading[[#This Row],[1st]:[7th]],"&gt;0"),"")</f>
        <v>2.8571428571428572</v>
      </c>
    </row>
    <row r="1855" spans="1:33" hidden="1" x14ac:dyDescent="0.2">
      <c r="A1855" s="4">
        <f>IF(B1855=1,3,IF(D1855=1,2,IF(F1855=1,1,0)))</f>
        <v>0</v>
      </c>
      <c r="B1855" s="4" t="str">
        <f>IF(C1855=$L1855,1,IF(C1855="","",0))</f>
        <v/>
      </c>
      <c r="C1855" s="42"/>
      <c r="D1855" s="4" t="str">
        <f>IF(E1855=$L1855,1,IF(E1855="","",0))</f>
        <v/>
      </c>
      <c r="E1855" s="14"/>
      <c r="F1855" s="4" t="str">
        <f>IF(G1855=$L1855,1,IF(G1855="","",0))</f>
        <v/>
      </c>
      <c r="G1855" s="14"/>
      <c r="H1855" s="6">
        <v>2021</v>
      </c>
      <c r="I1855" s="15" t="s">
        <v>3120</v>
      </c>
      <c r="J1855" s="6" t="s">
        <v>5118</v>
      </c>
      <c r="K1855" s="6"/>
      <c r="L1855" s="6" t="s">
        <v>2096</v>
      </c>
      <c r="M1855" s="6" t="s">
        <v>8127</v>
      </c>
      <c r="N1855" s="7">
        <f ca="1">RAND()</f>
        <v>0.31361079549686399</v>
      </c>
      <c r="O1855" s="8">
        <v>45213</v>
      </c>
      <c r="P1855" s="8">
        <v>45214</v>
      </c>
      <c r="Q1855" s="8">
        <v>45216</v>
      </c>
      <c r="R1855" s="8">
        <v>45220</v>
      </c>
      <c r="S1855" s="8">
        <v>45227</v>
      </c>
      <c r="T1855" s="8">
        <v>45783</v>
      </c>
      <c r="U1855" s="8">
        <v>45829</v>
      </c>
      <c r="V1855" s="10">
        <f>COUNTA(O1855:U1855)</f>
        <v>7</v>
      </c>
      <c r="W1855" s="11">
        <f>_xlfn.IFNA(INDEX(reading[[#This Row],[Memo 01]:[Memo 07]],MATCH(0,reading[[#This Row],[Memo 01]:[Memo 07]],-1)),"")</f>
        <v>45829</v>
      </c>
      <c r="X1855" s="11">
        <f ca="1">IFERROR(reading[[#This Row],[Previous]]+OFFSET(reading[[#Headers],[Memo 01]],-1,MATCH(0,reading[[#This Row],[Memo 01]:[Memo 07]],-1)-1),"")</f>
        <v>55829</v>
      </c>
      <c r="Y1855" s="10" t="str">
        <f ca="1">IF(reading[[#This Row],[Next]]&lt;&gt;"",IF(reading[[#This Row],[Next]]&gt;TODAY(),"OK",""),"")</f>
        <v>OK</v>
      </c>
      <c r="Z1855" s="13">
        <v>3</v>
      </c>
      <c r="AA1855" s="13">
        <v>3</v>
      </c>
      <c r="AB1855" s="13">
        <v>3</v>
      </c>
      <c r="AC1855" s="13">
        <v>3</v>
      </c>
      <c r="AD1855" s="13">
        <v>3</v>
      </c>
      <c r="AE1855" s="13">
        <v>3</v>
      </c>
      <c r="AF1855" s="13">
        <v>3</v>
      </c>
      <c r="AG1855" s="16">
        <f>IFERROR(SUMIF(reading[[#This Row],[1st]:[7th]],"&gt;0")/COUNTIF(reading[[#This Row],[1st]:[7th]],"&gt;0"),"")</f>
        <v>3</v>
      </c>
    </row>
    <row r="1856" spans="1:33" hidden="1" x14ac:dyDescent="0.2">
      <c r="A1856" s="4">
        <f>IF(B1856=1,3,IF(D1856=1,2,IF(F1856=1,1,0)))</f>
        <v>0</v>
      </c>
      <c r="B1856" s="4">
        <f>IF(C1856=$L1856,1,IF(C1856="","",0))</f>
        <v>0</v>
      </c>
      <c r="C1856" s="42" t="s">
        <v>9200</v>
      </c>
      <c r="D1856" s="4" t="str">
        <f>IF(E1856=$L1856,1,IF(E1856="","",0))</f>
        <v/>
      </c>
      <c r="E1856" s="18"/>
      <c r="F1856" s="4" t="str">
        <f>IF(G1856=$L1856,1,IF(G1856="","",0))</f>
        <v/>
      </c>
      <c r="G1856" s="14"/>
      <c r="H1856" s="6">
        <v>2412</v>
      </c>
      <c r="I1856" s="15" t="s">
        <v>3120</v>
      </c>
      <c r="J1856" s="6" t="s">
        <v>5483</v>
      </c>
      <c r="K1856" s="6"/>
      <c r="L1856" s="6" t="s">
        <v>2462</v>
      </c>
      <c r="M1856" s="6" t="s">
        <v>8517</v>
      </c>
      <c r="N1856" s="7">
        <f ca="1">RAND()</f>
        <v>0.20886613198798976</v>
      </c>
      <c r="O1856" s="8">
        <v>45217</v>
      </c>
      <c r="P1856" s="8">
        <v>45218</v>
      </c>
      <c r="Q1856" s="8">
        <v>45220</v>
      </c>
      <c r="R1856" s="8">
        <v>45224</v>
      </c>
      <c r="S1856" s="8">
        <v>45231</v>
      </c>
      <c r="T1856" s="8">
        <v>45248</v>
      </c>
      <c r="U1856" s="8"/>
      <c r="V1856" s="10">
        <f>COUNTA(O1856:U1856)</f>
        <v>6</v>
      </c>
      <c r="W1856" s="11">
        <f>_xlfn.IFNA(INDEX(reading[[#This Row],[Memo 01]:[Memo 07]],MATCH(0,reading[[#This Row],[Memo 01]:[Memo 07]],-1)),"")</f>
        <v>45248</v>
      </c>
      <c r="X1856" s="11">
        <f ca="1">IFERROR(reading[[#This Row],[Previous]]+OFFSET(reading[[#Headers],[Memo 01]],-1,MATCH(0,reading[[#This Row],[Memo 01]:[Memo 07]],-1)-1),"")</f>
        <v>45268</v>
      </c>
      <c r="Y1856" s="10" t="str">
        <f ca="1">IF(reading[[#This Row],[Next]]&lt;&gt;"",IF(reading[[#This Row],[Next]]&gt;TODAY(),"OK",""),"")</f>
        <v/>
      </c>
      <c r="Z1856" s="13">
        <v>3</v>
      </c>
      <c r="AA1856" s="13">
        <v>2</v>
      </c>
      <c r="AB1856" s="13">
        <v>3</v>
      </c>
      <c r="AC1856" s="13">
        <v>2</v>
      </c>
      <c r="AD1856" s="13">
        <v>2</v>
      </c>
      <c r="AE1856" s="13">
        <v>3</v>
      </c>
      <c r="AF1856" s="13"/>
      <c r="AG1856" s="16">
        <f>IFERROR(SUMIF(reading[[#This Row],[1st]:[7th]],"&gt;0")/COUNTIF(reading[[#This Row],[1st]:[7th]],"&gt;0"),"")</f>
        <v>2.5</v>
      </c>
    </row>
    <row r="1857" spans="1:33" x14ac:dyDescent="0.2">
      <c r="A1857" s="4">
        <f>IF(B1857=1,3,IF(D1857=1,2,IF(F1857=1,1,0)))</f>
        <v>3</v>
      </c>
      <c r="B1857" s="4">
        <f>IF(C1857=$L1857,1,IF(C1857="","",0))</f>
        <v>1</v>
      </c>
      <c r="C1857" s="42" t="s">
        <v>9321</v>
      </c>
      <c r="D1857" s="4" t="str">
        <f>IF(E1857=$L1857,1,IF(E1857="","",0))</f>
        <v/>
      </c>
      <c r="E1857" s="14"/>
      <c r="F1857" s="4" t="str">
        <f>IF(G1857=$L1857,1,IF(G1857="","",0))</f>
        <v/>
      </c>
      <c r="G1857" s="14"/>
      <c r="H1857" s="6">
        <v>2163</v>
      </c>
      <c r="I1857" s="15" t="s">
        <v>3120</v>
      </c>
      <c r="J1857" s="6" t="s">
        <v>5251</v>
      </c>
      <c r="K1857" s="15" t="s">
        <v>3139</v>
      </c>
      <c r="L1857" s="6" t="s">
        <v>2229</v>
      </c>
      <c r="M1857" s="6" t="s">
        <v>8269</v>
      </c>
      <c r="N1857" s="7">
        <f ca="1">RAND()</f>
        <v>0.968167592726626</v>
      </c>
      <c r="O1857" s="8">
        <v>45214</v>
      </c>
      <c r="P1857" s="8">
        <v>45215</v>
      </c>
      <c r="Q1857" s="8">
        <v>45217</v>
      </c>
      <c r="R1857" s="8">
        <v>45221</v>
      </c>
      <c r="S1857" s="8">
        <v>45228</v>
      </c>
      <c r="T1857" s="8"/>
      <c r="U1857" s="8"/>
      <c r="V1857" s="10">
        <f>COUNTA(O1857:U1857)</f>
        <v>5</v>
      </c>
      <c r="W1857" s="11">
        <f>_xlfn.IFNA(INDEX(reading[[#This Row],[Memo 01]:[Memo 07]],MATCH(0,reading[[#This Row],[Memo 01]:[Memo 07]],-1)),"")</f>
        <v>45228</v>
      </c>
      <c r="X1857" s="11">
        <f ca="1">IFERROR(reading[[#This Row],[Previous]]+OFFSET(reading[[#Headers],[Memo 01]],-1,MATCH(0,reading[[#This Row],[Memo 01]:[Memo 07]],-1)-1),"")</f>
        <v>45240</v>
      </c>
      <c r="Y1857" s="10" t="str">
        <f ca="1">IF(reading[[#This Row],[Next]]&lt;&gt;"",IF(reading[[#This Row],[Next]]&gt;TODAY(),"OK",""),"")</f>
        <v/>
      </c>
      <c r="Z1857" s="13">
        <v>3</v>
      </c>
      <c r="AA1857" s="13">
        <v>3</v>
      </c>
      <c r="AB1857" s="13">
        <v>3</v>
      </c>
      <c r="AC1857" s="13">
        <v>3</v>
      </c>
      <c r="AD1857" s="13">
        <v>2</v>
      </c>
      <c r="AE1857" s="13"/>
      <c r="AF1857" s="13"/>
      <c r="AG1857" s="16">
        <f>IFERROR(SUMIF(reading[[#This Row],[1st]:[7th]],"&gt;0")/COUNTIF(reading[[#This Row],[1st]:[7th]],"&gt;0"),"")</f>
        <v>2.8</v>
      </c>
    </row>
    <row r="1858" spans="1:33" hidden="1" x14ac:dyDescent="0.2">
      <c r="A1858" s="4">
        <f>IF(B1858=1,3,IF(D1858=1,2,IF(F1858=1,1,0)))</f>
        <v>0</v>
      </c>
      <c r="B1858" s="4" t="str">
        <f>IF(C1858=$L1858,1,IF(C1858="","",0))</f>
        <v/>
      </c>
      <c r="C1858" s="42"/>
      <c r="D1858" s="4" t="str">
        <f>IF(E1858=$L1858,1,IF(E1858="","",0))</f>
        <v/>
      </c>
      <c r="E1858" s="14"/>
      <c r="F1858" s="4" t="str">
        <f>IF(G1858=$L1858,1,IF(G1858="","",0))</f>
        <v/>
      </c>
      <c r="G1858" s="14"/>
      <c r="H1858" s="6">
        <v>1048</v>
      </c>
      <c r="I1858" s="15" t="s">
        <v>3120</v>
      </c>
      <c r="J1858" s="6" t="s">
        <v>4175</v>
      </c>
      <c r="K1858" s="6"/>
      <c r="L1858" s="6" t="s">
        <v>1157</v>
      </c>
      <c r="M1858" s="6" t="s">
        <v>7156</v>
      </c>
      <c r="N1858" s="7">
        <f ca="1">RAND()</f>
        <v>8.1294074121398219E-2</v>
      </c>
      <c r="O1858" s="8">
        <v>45205</v>
      </c>
      <c r="P1858" s="8">
        <v>45206</v>
      </c>
      <c r="Q1858" s="8">
        <v>45208</v>
      </c>
      <c r="R1858" s="8">
        <v>45212</v>
      </c>
      <c r="S1858" s="8">
        <v>45219</v>
      </c>
      <c r="T1858" s="8">
        <v>45231</v>
      </c>
      <c r="U1858" s="8">
        <v>45830</v>
      </c>
      <c r="V1858" s="10">
        <f>COUNTA(O1858:U1858)</f>
        <v>7</v>
      </c>
      <c r="W1858" s="11">
        <f>_xlfn.IFNA(INDEX(reading[[#This Row],[Memo 01]:[Memo 07]],MATCH(0,reading[[#This Row],[Memo 01]:[Memo 07]],-1)),"")</f>
        <v>45830</v>
      </c>
      <c r="X1858" s="11">
        <f ca="1">IFERROR(reading[[#This Row],[Previous]]+OFFSET(reading[[#Headers],[Memo 01]],-1,MATCH(0,reading[[#This Row],[Memo 01]:[Memo 07]],-1)-1),"")</f>
        <v>55830</v>
      </c>
      <c r="Y1858" s="10" t="str">
        <f ca="1">IF(reading[[#This Row],[Next]]&lt;&gt;"",IF(reading[[#This Row],[Next]]&gt;TODAY(),"OK",""),"")</f>
        <v>OK</v>
      </c>
      <c r="Z1858" s="13">
        <v>3</v>
      </c>
      <c r="AA1858" s="13">
        <v>3</v>
      </c>
      <c r="AB1858" s="13">
        <v>3</v>
      </c>
      <c r="AC1858" s="13">
        <v>3</v>
      </c>
      <c r="AD1858" s="13">
        <v>3</v>
      </c>
      <c r="AE1858" s="13">
        <v>3</v>
      </c>
      <c r="AF1858" s="13">
        <v>3</v>
      </c>
      <c r="AG1858" s="16">
        <f>IFERROR(SUMIF(reading[[#This Row],[1st]:[7th]],"&gt;0")/COUNTIF(reading[[#This Row],[1st]:[7th]],"&gt;0"),"")</f>
        <v>3</v>
      </c>
    </row>
    <row r="1859" spans="1:33" x14ac:dyDescent="0.2">
      <c r="A1859" s="4">
        <f>IF(B1859=1,3,IF(D1859=1,2,IF(F1859=1,1,0)))</f>
        <v>0</v>
      </c>
      <c r="B1859" s="4">
        <f>IF(C1859=$L1859,1,IF(C1859="","",0))</f>
        <v>0</v>
      </c>
      <c r="C1859" s="42" t="s">
        <v>9200</v>
      </c>
      <c r="D1859" s="4" t="str">
        <f>IF(E1859=$L1859,1,IF(E1859="","",0))</f>
        <v/>
      </c>
      <c r="E1859" s="18"/>
      <c r="F1859" s="4" t="str">
        <f>IF(G1859=$L1859,1,IF(G1859="","",0))</f>
        <v/>
      </c>
      <c r="G1859" s="14"/>
      <c r="H1859" s="6">
        <v>1925</v>
      </c>
      <c r="I1859" s="15" t="s">
        <v>3120</v>
      </c>
      <c r="J1859" s="6" t="s">
        <v>5024</v>
      </c>
      <c r="K1859" s="6"/>
      <c r="L1859" s="6" t="s">
        <v>2001</v>
      </c>
      <c r="M1859" s="6" t="s">
        <v>8031</v>
      </c>
      <c r="N1859" s="7">
        <f ca="1">RAND()</f>
        <v>0.21181739471014693</v>
      </c>
      <c r="O1859" s="8">
        <v>45213</v>
      </c>
      <c r="P1859" s="8">
        <v>45214</v>
      </c>
      <c r="Q1859" s="8">
        <v>45216</v>
      </c>
      <c r="R1859" s="8">
        <v>45220</v>
      </c>
      <c r="S1859" s="8">
        <v>45227</v>
      </c>
      <c r="T1859" s="8"/>
      <c r="U1859" s="8"/>
      <c r="V1859" s="10">
        <f>COUNTA(O1859:U1859)</f>
        <v>5</v>
      </c>
      <c r="W1859" s="11">
        <f>_xlfn.IFNA(INDEX(reading[[#This Row],[Memo 01]:[Memo 07]],MATCH(0,reading[[#This Row],[Memo 01]:[Memo 07]],-1)),"")</f>
        <v>45227</v>
      </c>
      <c r="X1859" s="11">
        <f ca="1">IFERROR(reading[[#This Row],[Previous]]+OFFSET(reading[[#Headers],[Memo 01]],-1,MATCH(0,reading[[#This Row],[Memo 01]:[Memo 07]],-1)-1),"")</f>
        <v>45239</v>
      </c>
      <c r="Y1859" s="10" t="str">
        <f ca="1">IF(reading[[#This Row],[Next]]&lt;&gt;"",IF(reading[[#This Row],[Next]]&gt;TODAY(),"OK",""),"")</f>
        <v/>
      </c>
      <c r="Z1859" s="13">
        <v>3</v>
      </c>
      <c r="AA1859" s="13">
        <v>3</v>
      </c>
      <c r="AB1859" s="13">
        <v>3</v>
      </c>
      <c r="AC1859" s="13">
        <v>2</v>
      </c>
      <c r="AD1859" s="13">
        <v>3</v>
      </c>
      <c r="AE1859" s="13"/>
      <c r="AF1859" s="13"/>
      <c r="AG1859" s="16">
        <f>IFERROR(SUMIF(reading[[#This Row],[1st]:[7th]],"&gt;0")/COUNTIF(reading[[#This Row],[1st]:[7th]],"&gt;0"),"")</f>
        <v>2.8</v>
      </c>
    </row>
    <row r="1860" spans="1:33" hidden="1" x14ac:dyDescent="0.2">
      <c r="A1860" s="4">
        <f>IF(B1860=1,3,IF(D1860=1,2,IF(F1860=1,1,0)))</f>
        <v>3</v>
      </c>
      <c r="B1860" s="4">
        <f>IF(C1860=$L1860,1,IF(C1860="","",0))</f>
        <v>1</v>
      </c>
      <c r="C1860" s="32" t="s">
        <v>1942</v>
      </c>
      <c r="D1860" s="4" t="str">
        <f>IF(E1860=$L1860,1,IF(E1860="","",0))</f>
        <v/>
      </c>
      <c r="E1860" s="14"/>
      <c r="F1860" s="4" t="str">
        <f>IF(G1860=$L1860,1,IF(G1860="","",0))</f>
        <v/>
      </c>
      <c r="G1860" s="14"/>
      <c r="H1860" s="6">
        <v>1864</v>
      </c>
      <c r="I1860" s="15" t="s">
        <v>3120</v>
      </c>
      <c r="J1860" s="6" t="s">
        <v>4966</v>
      </c>
      <c r="K1860" s="6"/>
      <c r="L1860" s="6" t="s">
        <v>1942</v>
      </c>
      <c r="M1860" s="6" t="s">
        <v>7970</v>
      </c>
      <c r="N1860" s="7">
        <f ca="1">RAND()</f>
        <v>0.7571191649259652</v>
      </c>
      <c r="O1860" s="8">
        <v>45212</v>
      </c>
      <c r="P1860" s="8">
        <v>45212</v>
      </c>
      <c r="Q1860" s="8">
        <v>45212</v>
      </c>
      <c r="R1860" s="8">
        <v>45212</v>
      </c>
      <c r="S1860" s="8">
        <v>45212</v>
      </c>
      <c r="T1860" s="8">
        <v>45212</v>
      </c>
      <c r="U1860" s="8">
        <v>45212</v>
      </c>
      <c r="V1860" s="10">
        <f>COUNTA(O1860:U1860)</f>
        <v>7</v>
      </c>
      <c r="W1860" s="11">
        <f>_xlfn.IFNA(INDEX(reading[[#This Row],[Memo 01]:[Memo 07]],MATCH(0,reading[[#This Row],[Memo 01]:[Memo 07]],-1)),"")</f>
        <v>45212</v>
      </c>
      <c r="X1860" s="11">
        <f ca="1">IFERROR(reading[[#This Row],[Previous]]+OFFSET(reading[[#Headers],[Memo 01]],-1,MATCH(0,reading[[#This Row],[Memo 01]:[Memo 07]],-1)-1),"")</f>
        <v>55212</v>
      </c>
      <c r="Y1860" s="10" t="str">
        <f ca="1">IF(reading[[#This Row],[Next]]&lt;&gt;"",IF(reading[[#This Row],[Next]]&gt;TODAY(),"OK",""),"")</f>
        <v>OK</v>
      </c>
      <c r="Z1860" s="13">
        <v>3</v>
      </c>
      <c r="AA1860" s="13"/>
      <c r="AB1860" s="13"/>
      <c r="AC1860" s="13"/>
      <c r="AD1860" s="13"/>
      <c r="AE1860" s="13"/>
      <c r="AF1860" s="13"/>
      <c r="AG1860" s="16">
        <f>IFERROR(SUMIF(reading[[#This Row],[1st]:[7th]],"&gt;0")/COUNTIF(reading[[#This Row],[1st]:[7th]],"&gt;0"),"")</f>
        <v>3</v>
      </c>
    </row>
    <row r="1861" spans="1:33" hidden="1" x14ac:dyDescent="0.2">
      <c r="A1861" s="4">
        <f>IF(B1861=1,3,IF(D1861=1,2,IF(F1861=1,1,0)))</f>
        <v>0</v>
      </c>
      <c r="B1861" s="4" t="str">
        <f>IF(C1861=$L1861,1,IF(C1861="","",0))</f>
        <v/>
      </c>
      <c r="C1861" s="42"/>
      <c r="D1861" s="4" t="str">
        <f>IF(E1861=$L1861,1,IF(E1861="","",0))</f>
        <v/>
      </c>
      <c r="E1861" s="14"/>
      <c r="F1861" s="4" t="str">
        <f>IF(G1861=$L1861,1,IF(G1861="","",0))</f>
        <v/>
      </c>
      <c r="G1861" s="14"/>
      <c r="H1861" s="6">
        <v>2620</v>
      </c>
      <c r="I1861" s="15" t="s">
        <v>3120</v>
      </c>
      <c r="J1861" s="6" t="s">
        <v>5675</v>
      </c>
      <c r="K1861" s="6"/>
      <c r="L1861" s="6" t="s">
        <v>2662</v>
      </c>
      <c r="M1861" s="6" t="s">
        <v>8725</v>
      </c>
      <c r="N1861" s="7">
        <f ca="1">RAND()</f>
        <v>0.98563175505430778</v>
      </c>
      <c r="O1861" s="8">
        <v>45220</v>
      </c>
      <c r="P1861" s="8">
        <v>45221</v>
      </c>
      <c r="Q1861" s="8">
        <v>45223</v>
      </c>
      <c r="R1861" s="8">
        <v>45227</v>
      </c>
      <c r="S1861" s="8">
        <v>45234</v>
      </c>
      <c r="T1861" s="8">
        <v>45830</v>
      </c>
      <c r="U1861" s="8"/>
      <c r="V1861" s="10">
        <f>COUNTA(O1861:U1861)</f>
        <v>6</v>
      </c>
      <c r="W1861" s="11">
        <f>_xlfn.IFNA(INDEX(reading[[#This Row],[Memo 01]:[Memo 07]],MATCH(0,reading[[#This Row],[Memo 01]:[Memo 07]],-1)),"")</f>
        <v>45830</v>
      </c>
      <c r="X1861" s="11">
        <f ca="1">IFERROR(reading[[#This Row],[Previous]]+OFFSET(reading[[#Headers],[Memo 01]],-1,MATCH(0,reading[[#This Row],[Memo 01]:[Memo 07]],-1)-1),"")</f>
        <v>45850</v>
      </c>
      <c r="Y1861" s="10" t="str">
        <f ca="1">IF(reading[[#This Row],[Next]]&lt;&gt;"",IF(reading[[#This Row],[Next]]&gt;TODAY(),"OK",""),"")</f>
        <v>OK</v>
      </c>
      <c r="Z1861" s="13">
        <v>3</v>
      </c>
      <c r="AA1861" s="13">
        <v>3</v>
      </c>
      <c r="AB1861" s="13">
        <v>3</v>
      </c>
      <c r="AC1861" s="13">
        <v>3</v>
      </c>
      <c r="AD1861" s="13">
        <v>3</v>
      </c>
      <c r="AE1861" s="13">
        <v>3</v>
      </c>
      <c r="AF1861" s="13"/>
      <c r="AG1861" s="16">
        <f>IFERROR(SUMIF(reading[[#This Row],[1st]:[7th]],"&gt;0")/COUNTIF(reading[[#This Row],[1st]:[7th]],"&gt;0"),"")</f>
        <v>3</v>
      </c>
    </row>
    <row r="1862" spans="1:33" hidden="1" x14ac:dyDescent="0.2">
      <c r="A1862" s="4">
        <f>IF(B1862=1,3,IF(D1862=1,2,IF(F1862=1,1,0)))</f>
        <v>0</v>
      </c>
      <c r="B1862" s="4" t="str">
        <f>IF(C1862=$L1862,1,IF(C1862="","",0))</f>
        <v/>
      </c>
      <c r="C1862" s="42"/>
      <c r="D1862" s="4" t="str">
        <f>IF(E1862=$L1862,1,IF(E1862="","",0))</f>
        <v/>
      </c>
      <c r="E1862" s="14"/>
      <c r="F1862" s="4" t="str">
        <f>IF(G1862=$L1862,1,IF(G1862="","",0))</f>
        <v/>
      </c>
      <c r="G1862" s="14"/>
      <c r="H1862" s="6">
        <v>1801</v>
      </c>
      <c r="I1862" s="15" t="s">
        <v>3120</v>
      </c>
      <c r="J1862" s="6" t="s">
        <v>4908</v>
      </c>
      <c r="K1862" s="6"/>
      <c r="L1862" s="6" t="s">
        <v>1880</v>
      </c>
      <c r="M1862" s="6" t="s">
        <v>7907</v>
      </c>
      <c r="N1862" s="7">
        <f ca="1">RAND()</f>
        <v>7.5367966083234039E-3</v>
      </c>
      <c r="O1862" s="8">
        <v>45213</v>
      </c>
      <c r="P1862" s="8">
        <v>45214</v>
      </c>
      <c r="Q1862" s="8">
        <v>45216</v>
      </c>
      <c r="R1862" s="8">
        <v>45220</v>
      </c>
      <c r="S1862" s="8">
        <v>45227</v>
      </c>
      <c r="T1862" s="8">
        <v>45830</v>
      </c>
      <c r="U1862" s="8"/>
      <c r="V1862" s="10">
        <f>COUNTA(O1862:U1862)</f>
        <v>6</v>
      </c>
      <c r="W1862" s="11">
        <f>_xlfn.IFNA(INDEX(reading[[#This Row],[Memo 01]:[Memo 07]],MATCH(0,reading[[#This Row],[Memo 01]:[Memo 07]],-1)),"")</f>
        <v>45830</v>
      </c>
      <c r="X1862" s="11">
        <f ca="1">IFERROR(reading[[#This Row],[Previous]]+OFFSET(reading[[#Headers],[Memo 01]],-1,MATCH(0,reading[[#This Row],[Memo 01]:[Memo 07]],-1)-1),"")</f>
        <v>45850</v>
      </c>
      <c r="Y1862" s="10" t="str">
        <f ca="1">IF(reading[[#This Row],[Next]]&lt;&gt;"",IF(reading[[#This Row],[Next]]&gt;TODAY(),"OK",""),"")</f>
        <v>OK</v>
      </c>
      <c r="Z1862" s="13">
        <v>3</v>
      </c>
      <c r="AA1862" s="13">
        <v>3</v>
      </c>
      <c r="AB1862" s="13">
        <v>3</v>
      </c>
      <c r="AC1862" s="13">
        <v>3</v>
      </c>
      <c r="AD1862" s="13">
        <v>3</v>
      </c>
      <c r="AE1862" s="13">
        <v>3</v>
      </c>
      <c r="AF1862" s="13"/>
      <c r="AG1862" s="16">
        <f>IFERROR(SUMIF(reading[[#This Row],[1st]:[7th]],"&gt;0")/COUNTIF(reading[[#This Row],[1st]:[7th]],"&gt;0"),"")</f>
        <v>3</v>
      </c>
    </row>
    <row r="1863" spans="1:33" x14ac:dyDescent="0.2">
      <c r="A1863" s="4">
        <f>IF(B1863=1,3,IF(D1863=1,2,IF(F1863=1,1,0)))</f>
        <v>3</v>
      </c>
      <c r="B1863" s="4">
        <f>IF(C1863=$L1863,1,IF(C1863="","",0))</f>
        <v>1</v>
      </c>
      <c r="C1863" s="42" t="s">
        <v>9322</v>
      </c>
      <c r="D1863" s="4" t="str">
        <f>IF(E1863=$L1863,1,IF(E1863="","",0))</f>
        <v/>
      </c>
      <c r="E1863" s="14"/>
      <c r="F1863" s="4" t="str">
        <f>IF(G1863=$L1863,1,IF(G1863="","",0))</f>
        <v/>
      </c>
      <c r="G1863" s="14"/>
      <c r="H1863" s="6">
        <v>1295</v>
      </c>
      <c r="I1863" s="15" t="s">
        <v>3120</v>
      </c>
      <c r="J1863" s="6" t="s">
        <v>4412</v>
      </c>
      <c r="K1863" s="6"/>
      <c r="L1863" s="6" t="s">
        <v>1392</v>
      </c>
      <c r="M1863" s="6" t="s">
        <v>7402</v>
      </c>
      <c r="N1863" s="7">
        <f ca="1">RAND()</f>
        <v>0.7178398949881386</v>
      </c>
      <c r="O1863" s="8">
        <v>45207</v>
      </c>
      <c r="P1863" s="8">
        <v>45208</v>
      </c>
      <c r="Q1863" s="8">
        <v>45210</v>
      </c>
      <c r="R1863" s="8">
        <v>45214</v>
      </c>
      <c r="S1863" s="8">
        <v>45221</v>
      </c>
      <c r="T1863" s="8">
        <v>45233</v>
      </c>
      <c r="U1863" s="8"/>
      <c r="V1863" s="10">
        <f>COUNTA(O1863:U1863)</f>
        <v>6</v>
      </c>
      <c r="W1863" s="11">
        <f>_xlfn.IFNA(INDEX(reading[[#This Row],[Memo 01]:[Memo 07]],MATCH(0,reading[[#This Row],[Memo 01]:[Memo 07]],-1)),"")</f>
        <v>45233</v>
      </c>
      <c r="X1863" s="11">
        <f ca="1">IFERROR(reading[[#This Row],[Previous]]+OFFSET(reading[[#Headers],[Memo 01]],-1,MATCH(0,reading[[#This Row],[Memo 01]:[Memo 07]],-1)-1),"")</f>
        <v>45253</v>
      </c>
      <c r="Y1863" s="10" t="str">
        <f ca="1">IF(reading[[#This Row],[Next]]&lt;&gt;"",IF(reading[[#This Row],[Next]]&gt;TODAY(),"OK",""),"")</f>
        <v/>
      </c>
      <c r="Z1863" s="13">
        <v>3</v>
      </c>
      <c r="AA1863" s="13">
        <v>3</v>
      </c>
      <c r="AB1863" s="13">
        <v>2</v>
      </c>
      <c r="AC1863" s="13">
        <v>3</v>
      </c>
      <c r="AD1863" s="13">
        <v>3</v>
      </c>
      <c r="AE1863" s="13">
        <v>3</v>
      </c>
      <c r="AF1863" s="13"/>
      <c r="AG1863" s="16">
        <f>IFERROR(SUMIF(reading[[#This Row],[1st]:[7th]],"&gt;0")/COUNTIF(reading[[#This Row],[1st]:[7th]],"&gt;0"),"")</f>
        <v>2.8333333333333335</v>
      </c>
    </row>
    <row r="1864" spans="1:33" hidden="1" x14ac:dyDescent="0.2">
      <c r="A1864" s="4">
        <f>IF(B1864=1,3,IF(D1864=1,2,IF(F1864=1,1,0)))</f>
        <v>0</v>
      </c>
      <c r="B1864" s="4" t="str">
        <f>IF(C1864=$L1864,1,IF(C1864="","",0))</f>
        <v/>
      </c>
      <c r="C1864" s="42"/>
      <c r="D1864" s="4" t="str">
        <f>IF(E1864=$L1864,1,IF(E1864="","",0))</f>
        <v/>
      </c>
      <c r="E1864" s="23"/>
      <c r="F1864" s="4" t="str">
        <f>IF(G1864=$L1864,1,IF(G1864="","",0))</f>
        <v/>
      </c>
      <c r="G1864" s="14"/>
      <c r="H1864" s="6">
        <v>424</v>
      </c>
      <c r="I1864" s="15" t="s">
        <v>3120</v>
      </c>
      <c r="J1864" s="6" t="s">
        <v>3570</v>
      </c>
      <c r="K1864" s="6"/>
      <c r="L1864" s="6" t="s">
        <v>554</v>
      </c>
      <c r="M1864" s="6" t="s">
        <v>6533</v>
      </c>
      <c r="N1864" s="7">
        <f ca="1">RAND()</f>
        <v>0.5395008715913443</v>
      </c>
      <c r="O1864" s="8">
        <v>45201</v>
      </c>
      <c r="P1864" s="8">
        <v>45202</v>
      </c>
      <c r="Q1864" s="8">
        <v>45204</v>
      </c>
      <c r="R1864" s="8">
        <v>45208</v>
      </c>
      <c r="S1864" s="8">
        <v>45215</v>
      </c>
      <c r="T1864" s="8">
        <v>45227</v>
      </c>
      <c r="U1864" s="8">
        <v>45816</v>
      </c>
      <c r="V1864" s="10">
        <f>COUNTA(O1864:U1864)</f>
        <v>7</v>
      </c>
      <c r="W1864" s="11">
        <f>_xlfn.IFNA(INDEX(reading[[#This Row],[Memo 01]:[Memo 07]],MATCH(0,reading[[#This Row],[Memo 01]:[Memo 07]],-1)),"")</f>
        <v>45816</v>
      </c>
      <c r="X1864" s="11">
        <f ca="1">IFERROR(reading[[#This Row],[Previous]]+OFFSET(reading[[#Headers],[Memo 01]],-1,MATCH(0,reading[[#This Row],[Memo 01]:[Memo 07]],-1)-1),"")</f>
        <v>55816</v>
      </c>
      <c r="Y1864" s="10" t="str">
        <f ca="1">IF(reading[[#This Row],[Next]]&lt;&gt;"",IF(reading[[#This Row],[Next]]&gt;TODAY(),"OK",""),"")</f>
        <v>OK</v>
      </c>
      <c r="Z1864" s="13">
        <v>3</v>
      </c>
      <c r="AA1864" s="13">
        <v>3</v>
      </c>
      <c r="AB1864" s="13">
        <v>3</v>
      </c>
      <c r="AC1864" s="13">
        <v>3</v>
      </c>
      <c r="AD1864" s="13">
        <v>3</v>
      </c>
      <c r="AE1864" s="13">
        <v>3</v>
      </c>
      <c r="AF1864" s="13">
        <v>2</v>
      </c>
      <c r="AG1864" s="16">
        <f>IFERROR(SUMIF(reading[[#This Row],[1st]:[7th]],"&gt;0")/COUNTIF(reading[[#This Row],[1st]:[7th]],"&gt;0"),"")</f>
        <v>2.8571428571428572</v>
      </c>
    </row>
    <row r="1865" spans="1:33" hidden="1" x14ac:dyDescent="0.2">
      <c r="A1865" s="4">
        <f>IF(B1865=1,3,IF(D1865=1,2,IF(F1865=1,1,0)))</f>
        <v>0</v>
      </c>
      <c r="B1865" s="4" t="str">
        <f>IF(C1865=$L1865,1,IF(C1865="","",0))</f>
        <v/>
      </c>
      <c r="C1865" s="42"/>
      <c r="D1865" s="4" t="str">
        <f>IF(E1865=$L1865,1,IF(E1865="","",0))</f>
        <v/>
      </c>
      <c r="E1865" s="14"/>
      <c r="F1865" s="4" t="str">
        <f>IF(G1865=$L1865,1,IF(G1865="","",0))</f>
        <v/>
      </c>
      <c r="G1865" s="14"/>
      <c r="H1865" s="6">
        <v>1187</v>
      </c>
      <c r="I1865" s="15" t="s">
        <v>3120</v>
      </c>
      <c r="J1865" s="6" t="s">
        <v>4306</v>
      </c>
      <c r="K1865" s="6"/>
      <c r="L1865" s="6" t="s">
        <v>1289</v>
      </c>
      <c r="M1865" s="24" t="s">
        <v>9292</v>
      </c>
      <c r="N1865" s="7">
        <f ca="1">RAND()</f>
        <v>7.4583673757742108E-2</v>
      </c>
      <c r="O1865" s="8">
        <v>45206</v>
      </c>
      <c r="P1865" s="8">
        <v>45207</v>
      </c>
      <c r="Q1865" s="8">
        <v>45209</v>
      </c>
      <c r="R1865" s="8">
        <v>45213</v>
      </c>
      <c r="S1865" s="8">
        <v>45220</v>
      </c>
      <c r="T1865" s="8">
        <v>45232</v>
      </c>
      <c r="U1865" s="8">
        <v>45830</v>
      </c>
      <c r="V1865" s="10">
        <f>COUNTA(O1865:U1865)</f>
        <v>7</v>
      </c>
      <c r="W1865" s="11">
        <f>_xlfn.IFNA(INDEX(reading[[#This Row],[Memo 01]:[Memo 07]],MATCH(0,reading[[#This Row],[Memo 01]:[Memo 07]],-1)),"")</f>
        <v>45830</v>
      </c>
      <c r="X1865" s="11">
        <f ca="1">IFERROR(reading[[#This Row],[Previous]]+OFFSET(reading[[#Headers],[Memo 01]],-1,MATCH(0,reading[[#This Row],[Memo 01]:[Memo 07]],-1)-1),"")</f>
        <v>55830</v>
      </c>
      <c r="Y1865" s="10" t="str">
        <f ca="1">IF(reading[[#This Row],[Next]]&lt;&gt;"",IF(reading[[#This Row],[Next]]&gt;TODAY(),"OK",""),"")</f>
        <v>OK</v>
      </c>
      <c r="Z1865" s="13">
        <v>3</v>
      </c>
      <c r="AA1865" s="13">
        <v>3</v>
      </c>
      <c r="AB1865" s="13">
        <v>3</v>
      </c>
      <c r="AC1865" s="13">
        <v>3</v>
      </c>
      <c r="AD1865" s="13">
        <v>3</v>
      </c>
      <c r="AE1865" s="13">
        <v>3</v>
      </c>
      <c r="AF1865" s="13">
        <v>3</v>
      </c>
      <c r="AG1865" s="16">
        <f>IFERROR(SUMIF(reading[[#This Row],[1st]:[7th]],"&gt;0")/COUNTIF(reading[[#This Row],[1st]:[7th]],"&gt;0"),"")</f>
        <v>3</v>
      </c>
    </row>
    <row r="1866" spans="1:33" x14ac:dyDescent="0.2">
      <c r="A1866" s="4">
        <f>IF(B1866=1,3,IF(D1866=1,2,IF(F1866=1,1,0)))</f>
        <v>3</v>
      </c>
      <c r="B1866" s="4">
        <f>IF(C1866=$L1866,1,IF(C1866="","",0))</f>
        <v>1</v>
      </c>
      <c r="C1866" s="42" t="s">
        <v>9323</v>
      </c>
      <c r="D1866" s="4" t="str">
        <f>IF(E1866=$L1866,1,IF(E1866="","",0))</f>
        <v/>
      </c>
      <c r="E1866" s="14"/>
      <c r="F1866" s="4" t="str">
        <f>IF(G1866=$L1866,1,IF(G1866="","",0))</f>
        <v/>
      </c>
      <c r="G1866" s="14"/>
      <c r="H1866" s="6">
        <v>653</v>
      </c>
      <c r="I1866" s="15" t="s">
        <v>3120</v>
      </c>
      <c r="J1866" s="6" t="s">
        <v>3793</v>
      </c>
      <c r="K1866" s="6"/>
      <c r="L1866" s="6" t="s">
        <v>776</v>
      </c>
      <c r="M1866" s="6" t="s">
        <v>6762</v>
      </c>
      <c r="N1866" s="7">
        <f ca="1">RAND()</f>
        <v>0.11113121802304959</v>
      </c>
      <c r="O1866" s="8">
        <v>45202</v>
      </c>
      <c r="P1866" s="8">
        <v>45203</v>
      </c>
      <c r="Q1866" s="8">
        <v>45205</v>
      </c>
      <c r="R1866" s="8">
        <v>45209</v>
      </c>
      <c r="S1866" s="8">
        <v>45216</v>
      </c>
      <c r="T1866" s="8">
        <v>45228</v>
      </c>
      <c r="U1866" s="8"/>
      <c r="V1866" s="10">
        <f>COUNTA(O1866:U1866)</f>
        <v>6</v>
      </c>
      <c r="W1866" s="11">
        <f>_xlfn.IFNA(INDEX(reading[[#This Row],[Memo 01]:[Memo 07]],MATCH(0,reading[[#This Row],[Memo 01]:[Memo 07]],-1)),"")</f>
        <v>45228</v>
      </c>
      <c r="X1866" s="11">
        <f ca="1">IFERROR(reading[[#This Row],[Previous]]+OFFSET(reading[[#Headers],[Memo 01]],-1,MATCH(0,reading[[#This Row],[Memo 01]:[Memo 07]],-1)-1),"")</f>
        <v>45248</v>
      </c>
      <c r="Y1866" s="10" t="str">
        <f ca="1">IF(reading[[#This Row],[Next]]&lt;&gt;"",IF(reading[[#This Row],[Next]]&gt;TODAY(),"OK",""),"")</f>
        <v/>
      </c>
      <c r="Z1866" s="13">
        <v>3</v>
      </c>
      <c r="AA1866" s="13">
        <v>2</v>
      </c>
      <c r="AB1866" s="13">
        <v>3</v>
      </c>
      <c r="AC1866" s="13">
        <v>3</v>
      </c>
      <c r="AD1866" s="13">
        <v>3</v>
      </c>
      <c r="AE1866" s="13">
        <v>3</v>
      </c>
      <c r="AF1866" s="13"/>
      <c r="AG1866" s="16">
        <f>IFERROR(SUMIF(reading[[#This Row],[1st]:[7th]],"&gt;0")/COUNTIF(reading[[#This Row],[1st]:[7th]],"&gt;0"),"")</f>
        <v>2.8333333333333335</v>
      </c>
    </row>
    <row r="1867" spans="1:33" x14ac:dyDescent="0.2">
      <c r="A1867" s="4">
        <f>IF(B1867=1,3,IF(D1867=1,2,IF(F1867=1,1,0)))</f>
        <v>3</v>
      </c>
      <c r="B1867" s="4">
        <f>IF(C1867=$L1867,1,IF(C1867="","",0))</f>
        <v>1</v>
      </c>
      <c r="C1867" s="42" t="s">
        <v>9223</v>
      </c>
      <c r="D1867" s="4" t="str">
        <f>IF(E1867=$L1867,1,IF(E1867="","",0))</f>
        <v/>
      </c>
      <c r="E1867" s="14"/>
      <c r="F1867" s="4" t="str">
        <f>IF(G1867=$L1867,1,IF(G1867="","",0))</f>
        <v/>
      </c>
      <c r="G1867" s="14"/>
      <c r="H1867" s="6">
        <v>2994</v>
      </c>
      <c r="I1867" s="15" t="s">
        <v>3120</v>
      </c>
      <c r="J1867" s="6" t="s">
        <v>3513</v>
      </c>
      <c r="K1867" s="6"/>
      <c r="L1867" s="6" t="s">
        <v>3023</v>
      </c>
      <c r="M1867" s="6" t="s">
        <v>9097</v>
      </c>
      <c r="N1867" s="7">
        <f ca="1">RAND()</f>
        <v>0.26401332720824999</v>
      </c>
      <c r="O1867" s="8">
        <v>45223</v>
      </c>
      <c r="P1867" s="8">
        <v>45224</v>
      </c>
      <c r="Q1867" s="8">
        <v>45226</v>
      </c>
      <c r="R1867" s="8">
        <v>45230</v>
      </c>
      <c r="S1867" s="8">
        <v>45237</v>
      </c>
      <c r="T1867" s="8">
        <v>45801</v>
      </c>
      <c r="U1867" s="8"/>
      <c r="V1867" s="10">
        <f>COUNTA(O1867:U1867)</f>
        <v>6</v>
      </c>
      <c r="W1867" s="11">
        <f>_xlfn.IFNA(INDEX(reading[[#This Row],[Memo 01]:[Memo 07]],MATCH(0,reading[[#This Row],[Memo 01]:[Memo 07]],-1)),"")</f>
        <v>45801</v>
      </c>
      <c r="X1867" s="11">
        <f ca="1">IFERROR(reading[[#This Row],[Previous]]+OFFSET(reading[[#Headers],[Memo 01]],-1,MATCH(0,reading[[#This Row],[Memo 01]:[Memo 07]],-1)-1),"")</f>
        <v>45821</v>
      </c>
      <c r="Y1867" s="10" t="str">
        <f ca="1">IF(reading[[#This Row],[Next]]&lt;&gt;"",IF(reading[[#This Row],[Next]]&gt;TODAY(),"OK",""),"")</f>
        <v/>
      </c>
      <c r="Z1867" s="13">
        <v>3</v>
      </c>
      <c r="AA1867" s="13">
        <v>3</v>
      </c>
      <c r="AB1867" s="13">
        <v>3</v>
      </c>
      <c r="AC1867" s="13">
        <v>3</v>
      </c>
      <c r="AD1867" s="13">
        <v>3</v>
      </c>
      <c r="AE1867" s="13">
        <v>3</v>
      </c>
      <c r="AF1867" s="13"/>
      <c r="AG1867" s="16">
        <f>IFERROR(SUMIF(reading[[#This Row],[1st]:[7th]],"&gt;0")/COUNTIF(reading[[#This Row],[1st]:[7th]],"&gt;0"),"")</f>
        <v>3</v>
      </c>
    </row>
    <row r="1868" spans="1:33" x14ac:dyDescent="0.2">
      <c r="A1868" s="4">
        <f>IF(B1868=1,3,IF(D1868=1,2,IF(F1868=1,1,0)))</f>
        <v>0</v>
      </c>
      <c r="B1868" s="4">
        <f>IF(C1868=$L1868,1,IF(C1868="","",0))</f>
        <v>0</v>
      </c>
      <c r="C1868" s="42" t="s">
        <v>9324</v>
      </c>
      <c r="D1868" s="4" t="str">
        <f>IF(E1868=$L1868,1,IF(E1868="","",0))</f>
        <v/>
      </c>
      <c r="E1868" s="14"/>
      <c r="F1868" s="4" t="str">
        <f>IF(G1868=$L1868,1,IF(G1868="","",0))</f>
        <v/>
      </c>
      <c r="G1868" s="14"/>
      <c r="H1868" s="6">
        <v>902</v>
      </c>
      <c r="I1868" s="15" t="s">
        <v>3120</v>
      </c>
      <c r="J1868" s="6" t="s">
        <v>4034</v>
      </c>
      <c r="K1868" s="6"/>
      <c r="L1868" s="6" t="s">
        <v>1015</v>
      </c>
      <c r="M1868" s="6" t="s">
        <v>7011</v>
      </c>
      <c r="N1868" s="7">
        <f ca="1">RAND()</f>
        <v>0.85164179854337663</v>
      </c>
      <c r="O1868" s="8">
        <v>45204</v>
      </c>
      <c r="P1868" s="8">
        <v>45205</v>
      </c>
      <c r="Q1868" s="8">
        <v>45207</v>
      </c>
      <c r="R1868" s="8">
        <v>45211</v>
      </c>
      <c r="S1868" s="8">
        <v>45218</v>
      </c>
      <c r="T1868" s="8">
        <v>45230</v>
      </c>
      <c r="U1868" s="8"/>
      <c r="V1868" s="10">
        <f>COUNTA(O1868:U1868)</f>
        <v>6</v>
      </c>
      <c r="W1868" s="11">
        <f>_xlfn.IFNA(INDEX(reading[[#This Row],[Memo 01]:[Memo 07]],MATCH(0,reading[[#This Row],[Memo 01]:[Memo 07]],-1)),"")</f>
        <v>45230</v>
      </c>
      <c r="X1868" s="11">
        <f ca="1">IFERROR(reading[[#This Row],[Previous]]+OFFSET(reading[[#Headers],[Memo 01]],-1,MATCH(0,reading[[#This Row],[Memo 01]:[Memo 07]],-1)-1),"")</f>
        <v>45250</v>
      </c>
      <c r="Y1868" s="10" t="str">
        <f ca="1">IF(reading[[#This Row],[Next]]&lt;&gt;"",IF(reading[[#This Row],[Next]]&gt;TODAY(),"OK",""),"")</f>
        <v/>
      </c>
      <c r="Z1868" s="13">
        <v>3</v>
      </c>
      <c r="AA1868" s="13">
        <v>3</v>
      </c>
      <c r="AB1868" s="13">
        <v>3</v>
      </c>
      <c r="AC1868" s="13">
        <v>3</v>
      </c>
      <c r="AD1868" s="13">
        <v>3</v>
      </c>
      <c r="AE1868" s="13">
        <v>3</v>
      </c>
      <c r="AF1868" s="13"/>
      <c r="AG1868" s="16">
        <f>IFERROR(SUMIF(reading[[#This Row],[1st]:[7th]],"&gt;0")/COUNTIF(reading[[#This Row],[1st]:[7th]],"&gt;0"),"")</f>
        <v>3</v>
      </c>
    </row>
    <row r="1869" spans="1:33" hidden="1" x14ac:dyDescent="0.2">
      <c r="A1869" s="4">
        <f>IF(B1869=1,3,IF(D1869=1,2,IF(F1869=1,1,0)))</f>
        <v>0</v>
      </c>
      <c r="B1869" s="4" t="str">
        <f>IF(C1869=$L1869,1,IF(C1869="","",0))</f>
        <v/>
      </c>
      <c r="C1869" s="42"/>
      <c r="D1869" s="4" t="str">
        <f>IF(E1869=$L1869,1,IF(E1869="","",0))</f>
        <v/>
      </c>
      <c r="E1869" s="14"/>
      <c r="F1869" s="4" t="str">
        <f>IF(G1869=$L1869,1,IF(G1869="","",0))</f>
        <v/>
      </c>
      <c r="G1869" s="14"/>
      <c r="H1869" s="6">
        <v>1814</v>
      </c>
      <c r="I1869" s="15" t="s">
        <v>3120</v>
      </c>
      <c r="J1869" s="6" t="s">
        <v>4919</v>
      </c>
      <c r="K1869" s="6"/>
      <c r="L1869" s="6" t="s">
        <v>140</v>
      </c>
      <c r="M1869" s="6" t="s">
        <v>7920</v>
      </c>
      <c r="N1869" s="7">
        <f ca="1">RAND()</f>
        <v>0.58423426185211869</v>
      </c>
      <c r="O1869" s="8">
        <v>45212</v>
      </c>
      <c r="P1869" s="8">
        <v>45213</v>
      </c>
      <c r="Q1869" s="8">
        <v>45215</v>
      </c>
      <c r="R1869" s="8">
        <v>45219</v>
      </c>
      <c r="S1869" s="8">
        <v>45226</v>
      </c>
      <c r="T1869" s="8">
        <v>45792</v>
      </c>
      <c r="U1869" s="8">
        <v>45830</v>
      </c>
      <c r="V1869" s="10">
        <f>COUNTA(O1869:U1869)</f>
        <v>7</v>
      </c>
      <c r="W1869" s="11">
        <f>_xlfn.IFNA(INDEX(reading[[#This Row],[Memo 01]:[Memo 07]],MATCH(0,reading[[#This Row],[Memo 01]:[Memo 07]],-1)),"")</f>
        <v>45830</v>
      </c>
      <c r="X1869" s="11">
        <f ca="1">IFERROR(reading[[#This Row],[Previous]]+OFFSET(reading[[#Headers],[Memo 01]],-1,MATCH(0,reading[[#This Row],[Memo 01]:[Memo 07]],-1)-1),"")</f>
        <v>55830</v>
      </c>
      <c r="Y1869" s="10" t="str">
        <f ca="1">IF(reading[[#This Row],[Next]]&lt;&gt;"",IF(reading[[#This Row],[Next]]&gt;TODAY(),"OK",""),"")</f>
        <v>OK</v>
      </c>
      <c r="Z1869" s="13">
        <v>3</v>
      </c>
      <c r="AA1869" s="13">
        <v>3</v>
      </c>
      <c r="AB1869" s="13">
        <v>3</v>
      </c>
      <c r="AC1869" s="13">
        <v>3</v>
      </c>
      <c r="AD1869" s="13">
        <v>3</v>
      </c>
      <c r="AE1869" s="13">
        <v>3</v>
      </c>
      <c r="AF1869" s="13">
        <v>3</v>
      </c>
      <c r="AG1869" s="16">
        <f>IFERROR(SUMIF(reading[[#This Row],[1st]:[7th]],"&gt;0")/COUNTIF(reading[[#This Row],[1st]:[7th]],"&gt;0"),"")</f>
        <v>3</v>
      </c>
    </row>
    <row r="1870" spans="1:33" hidden="1" x14ac:dyDescent="0.2">
      <c r="A1870" s="4">
        <f>IF(B1870=1,3,IF(D1870=1,2,IF(F1870=1,1,0)))</f>
        <v>0</v>
      </c>
      <c r="B1870" s="4" t="str">
        <f>IF(C1870=$L1870,1,IF(C1870="","",0))</f>
        <v/>
      </c>
      <c r="C1870" s="42"/>
      <c r="D1870" s="4" t="str">
        <f>IF(E1870=$L1870,1,IF(E1870="","",0))</f>
        <v/>
      </c>
      <c r="E1870" s="43"/>
      <c r="F1870" s="4" t="str">
        <f>IF(G1870=$L1870,1,IF(G1870="","",0))</f>
        <v/>
      </c>
      <c r="G1870" s="14"/>
      <c r="H1870" s="6">
        <v>2529</v>
      </c>
      <c r="I1870" s="15" t="s">
        <v>3120</v>
      </c>
      <c r="J1870" s="6" t="s">
        <v>5591</v>
      </c>
      <c r="K1870" s="6"/>
      <c r="L1870" s="6" t="s">
        <v>2575</v>
      </c>
      <c r="M1870" s="6" t="s">
        <v>8634</v>
      </c>
      <c r="N1870" s="7">
        <f ca="1">RAND()</f>
        <v>0.62180056254058591</v>
      </c>
      <c r="O1870" s="8">
        <v>45219</v>
      </c>
      <c r="P1870" s="8">
        <v>45220</v>
      </c>
      <c r="Q1870" s="8">
        <v>45222</v>
      </c>
      <c r="R1870" s="8">
        <v>45226</v>
      </c>
      <c r="S1870" s="8">
        <v>45233</v>
      </c>
      <c r="T1870" s="8">
        <v>45252</v>
      </c>
      <c r="U1870" s="8">
        <v>45825</v>
      </c>
      <c r="V1870" s="10">
        <f>COUNTA(O1870:U1870)</f>
        <v>7</v>
      </c>
      <c r="W1870" s="11">
        <f>_xlfn.IFNA(INDEX(reading[[#This Row],[Memo 01]:[Memo 07]],MATCH(0,reading[[#This Row],[Memo 01]:[Memo 07]],-1)),"")</f>
        <v>45825</v>
      </c>
      <c r="X1870" s="11">
        <f ca="1">IFERROR(reading[[#This Row],[Previous]]+OFFSET(reading[[#Headers],[Memo 01]],-1,MATCH(0,reading[[#This Row],[Memo 01]:[Memo 07]],-1)-1),"")</f>
        <v>55825</v>
      </c>
      <c r="Y1870" s="10" t="str">
        <f ca="1">IF(reading[[#This Row],[Next]]&lt;&gt;"",IF(reading[[#This Row],[Next]]&gt;TODAY(),"OK",""),"")</f>
        <v>OK</v>
      </c>
      <c r="Z1870" s="13">
        <v>3</v>
      </c>
      <c r="AA1870" s="13">
        <v>3</v>
      </c>
      <c r="AB1870" s="13">
        <v>2</v>
      </c>
      <c r="AC1870" s="13">
        <v>2</v>
      </c>
      <c r="AD1870" s="13">
        <v>3</v>
      </c>
      <c r="AE1870" s="13">
        <v>2</v>
      </c>
      <c r="AF1870" s="13">
        <v>2</v>
      </c>
      <c r="AG1870" s="16">
        <f>IFERROR(SUMIF(reading[[#This Row],[1st]:[7th]],"&gt;0")/COUNTIF(reading[[#This Row],[1st]:[7th]],"&gt;0"),"")</f>
        <v>2.4285714285714284</v>
      </c>
    </row>
    <row r="1871" spans="1:33" hidden="1" x14ac:dyDescent="0.2">
      <c r="A1871" s="4">
        <f>IF(B1871=1,3,IF(D1871=1,2,IF(F1871=1,1,0)))</f>
        <v>3</v>
      </c>
      <c r="B1871" s="4">
        <f>IF(C1871=$L1871,1,IF(C1871="","",0))</f>
        <v>1</v>
      </c>
      <c r="C1871" s="32" t="s">
        <v>1952</v>
      </c>
      <c r="D1871" s="4" t="str">
        <f>IF(E1871=$L1871,1,IF(E1871="","",0))</f>
        <v/>
      </c>
      <c r="E1871" s="14"/>
      <c r="F1871" s="4" t="str">
        <f>IF(G1871=$L1871,1,IF(G1871="","",0))</f>
        <v/>
      </c>
      <c r="G1871" s="14"/>
      <c r="H1871" s="6">
        <v>1875</v>
      </c>
      <c r="I1871" s="15" t="s">
        <v>3120</v>
      </c>
      <c r="J1871" s="6" t="s">
        <v>4977</v>
      </c>
      <c r="K1871" s="6"/>
      <c r="L1871" s="6" t="s">
        <v>1952</v>
      </c>
      <c r="M1871" s="6" t="s">
        <v>7981</v>
      </c>
      <c r="N1871" s="7">
        <f ca="1">RAND()</f>
        <v>0.67492676456295886</v>
      </c>
      <c r="O1871" s="8">
        <v>45212</v>
      </c>
      <c r="P1871" s="8">
        <v>45212</v>
      </c>
      <c r="Q1871" s="8">
        <v>45212</v>
      </c>
      <c r="R1871" s="8">
        <v>45212</v>
      </c>
      <c r="S1871" s="8">
        <v>45212</v>
      </c>
      <c r="T1871" s="8">
        <v>45212</v>
      </c>
      <c r="U1871" s="8">
        <v>45212</v>
      </c>
      <c r="V1871" s="10">
        <f>COUNTA(O1871:U1871)</f>
        <v>7</v>
      </c>
      <c r="W1871" s="11">
        <f>_xlfn.IFNA(INDEX(reading[[#This Row],[Memo 01]:[Memo 07]],MATCH(0,reading[[#This Row],[Memo 01]:[Memo 07]],-1)),"")</f>
        <v>45212</v>
      </c>
      <c r="X1871" s="11">
        <f ca="1">IFERROR(reading[[#This Row],[Previous]]+OFFSET(reading[[#Headers],[Memo 01]],-1,MATCH(0,reading[[#This Row],[Memo 01]:[Memo 07]],-1)-1),"")</f>
        <v>55212</v>
      </c>
      <c r="Y1871" s="10" t="str">
        <f ca="1">IF(reading[[#This Row],[Next]]&lt;&gt;"",IF(reading[[#This Row],[Next]]&gt;TODAY(),"OK",""),"")</f>
        <v>OK</v>
      </c>
      <c r="Z1871" s="13">
        <v>3</v>
      </c>
      <c r="AA1871" s="13"/>
      <c r="AB1871" s="13"/>
      <c r="AC1871" s="13"/>
      <c r="AD1871" s="13"/>
      <c r="AE1871" s="13"/>
      <c r="AF1871" s="13"/>
      <c r="AG1871" s="16">
        <f>IFERROR(SUMIF(reading[[#This Row],[1st]:[7th]],"&gt;0")/COUNTIF(reading[[#This Row],[1st]:[7th]],"&gt;0"),"")</f>
        <v>3</v>
      </c>
    </row>
    <row r="1872" spans="1:33" x14ac:dyDescent="0.2">
      <c r="A1872" s="4">
        <f>IF(B1872=1,3,IF(D1872=1,2,IF(F1872=1,1,0)))</f>
        <v>3</v>
      </c>
      <c r="B1872" s="4">
        <f>IF(C1872=$L1872,1,IF(C1872="","",0))</f>
        <v>1</v>
      </c>
      <c r="C1872" s="42" t="s">
        <v>9325</v>
      </c>
      <c r="D1872" s="4" t="str">
        <f>IF(E1872=$L1872,1,IF(E1872="","",0))</f>
        <v/>
      </c>
      <c r="E1872" s="14"/>
      <c r="F1872" s="4" t="str">
        <f>IF(G1872=$L1872,1,IF(G1872="","",0))</f>
        <v/>
      </c>
      <c r="G1872" s="14"/>
      <c r="H1872" s="6">
        <v>2246</v>
      </c>
      <c r="I1872" s="15" t="s">
        <v>3120</v>
      </c>
      <c r="J1872" s="6" t="s">
        <v>5330</v>
      </c>
      <c r="K1872" s="6"/>
      <c r="L1872" s="6" t="s">
        <v>2308</v>
      </c>
      <c r="M1872" s="6" t="s">
        <v>8351</v>
      </c>
      <c r="N1872" s="7">
        <f ca="1">RAND()</f>
        <v>0.65368285050453678</v>
      </c>
      <c r="O1872" s="8">
        <v>45216</v>
      </c>
      <c r="P1872" s="8">
        <v>45217</v>
      </c>
      <c r="Q1872" s="8">
        <v>45219</v>
      </c>
      <c r="R1872" s="8">
        <v>45223</v>
      </c>
      <c r="S1872" s="8">
        <v>45230</v>
      </c>
      <c r="T1872" s="8"/>
      <c r="U1872" s="8"/>
      <c r="V1872" s="10">
        <f>COUNTA(O1872:U1872)</f>
        <v>5</v>
      </c>
      <c r="W1872" s="11">
        <f>_xlfn.IFNA(INDEX(reading[[#This Row],[Memo 01]:[Memo 07]],MATCH(0,reading[[#This Row],[Memo 01]:[Memo 07]],-1)),"")</f>
        <v>45230</v>
      </c>
      <c r="X1872" s="11">
        <f ca="1">IFERROR(reading[[#This Row],[Previous]]+OFFSET(reading[[#Headers],[Memo 01]],-1,MATCH(0,reading[[#This Row],[Memo 01]:[Memo 07]],-1)-1),"")</f>
        <v>45242</v>
      </c>
      <c r="Y1872" s="10" t="str">
        <f ca="1">IF(reading[[#This Row],[Next]]&lt;&gt;"",IF(reading[[#This Row],[Next]]&gt;TODAY(),"OK",""),"")</f>
        <v/>
      </c>
      <c r="Z1872" s="13">
        <v>3</v>
      </c>
      <c r="AA1872" s="13">
        <v>3</v>
      </c>
      <c r="AB1872" s="13">
        <v>3</v>
      </c>
      <c r="AC1872" s="13">
        <v>3</v>
      </c>
      <c r="AD1872" s="13">
        <v>3</v>
      </c>
      <c r="AE1872" s="13"/>
      <c r="AF1872" s="13"/>
      <c r="AG1872" s="16">
        <f>IFERROR(SUMIF(reading[[#This Row],[1st]:[7th]],"&gt;0")/COUNTIF(reading[[#This Row],[1st]:[7th]],"&gt;0"),"")</f>
        <v>3</v>
      </c>
    </row>
    <row r="1873" spans="1:33" hidden="1" x14ac:dyDescent="0.2">
      <c r="A1873" s="4">
        <f>IF(B1873=1,3,IF(D1873=1,2,IF(F1873=1,1,0)))</f>
        <v>0</v>
      </c>
      <c r="B1873" s="4" t="str">
        <f>IF(C1873=$L1873,1,IF(C1873="","",0))</f>
        <v/>
      </c>
      <c r="C1873" s="18"/>
      <c r="D1873" s="4" t="str">
        <f>IF(E1873=$L1873,1,IF(E1873="","",0))</f>
        <v/>
      </c>
      <c r="E1873" s="18"/>
      <c r="F1873" s="4" t="str">
        <f>IF(G1873=$L1873,1,IF(G1873="","",0))</f>
        <v/>
      </c>
      <c r="G1873" s="14"/>
      <c r="H1873" s="6">
        <v>96</v>
      </c>
      <c r="I1873" s="15" t="s">
        <v>3120</v>
      </c>
      <c r="J1873" s="6" t="s">
        <v>3246</v>
      </c>
      <c r="K1873" s="6"/>
      <c r="L1873" s="6" t="s">
        <v>233</v>
      </c>
      <c r="M1873" s="6" t="s">
        <v>6205</v>
      </c>
      <c r="N1873" s="7">
        <f ca="1">RAND()</f>
        <v>0.54127493229475299</v>
      </c>
      <c r="O1873" s="8">
        <v>45198</v>
      </c>
      <c r="P1873" s="8">
        <v>45199</v>
      </c>
      <c r="Q1873" s="8">
        <v>45202</v>
      </c>
      <c r="R1873" s="8">
        <v>45206</v>
      </c>
      <c r="S1873" s="8">
        <v>45213</v>
      </c>
      <c r="T1873" s="8">
        <v>45225</v>
      </c>
      <c r="U1873" s="8">
        <v>45253</v>
      </c>
      <c r="V1873" s="10">
        <f>COUNTA(O1873:U1873)</f>
        <v>7</v>
      </c>
      <c r="W1873" s="11">
        <f>_xlfn.IFNA(INDEX(reading[[#This Row],[Memo 01]:[Memo 07]],MATCH(0,reading[[#This Row],[Memo 01]:[Memo 07]],-1)),"")</f>
        <v>45253</v>
      </c>
      <c r="X1873" s="11">
        <f ca="1">IFERROR(reading[[#This Row],[Previous]]+OFFSET(reading[[#Headers],[Memo 01]],-1,MATCH(0,reading[[#This Row],[Memo 01]:[Memo 07]],-1)-1),"")</f>
        <v>55253</v>
      </c>
      <c r="Y1873" s="10" t="str">
        <f ca="1">IF(reading[[#This Row],[Next]]&lt;&gt;"",IF(reading[[#This Row],[Next]]&gt;TODAY(),"OK",""),"")</f>
        <v>OK</v>
      </c>
      <c r="Z1873" s="13">
        <v>3</v>
      </c>
      <c r="AA1873" s="13">
        <v>3</v>
      </c>
      <c r="AB1873" s="13">
        <v>2</v>
      </c>
      <c r="AC1873" s="13">
        <v>3</v>
      </c>
      <c r="AD1873" s="13">
        <v>2</v>
      </c>
      <c r="AE1873" s="13">
        <v>3</v>
      </c>
      <c r="AF1873" s="13">
        <v>2</v>
      </c>
      <c r="AG1873" s="16">
        <f>IFERROR(SUMIF(reading[[#This Row],[1st]:[7th]],"&gt;0")/COUNTIF(reading[[#This Row],[1st]:[7th]],"&gt;0"),"")</f>
        <v>2.5714285714285716</v>
      </c>
    </row>
    <row r="1874" spans="1:33" hidden="1" x14ac:dyDescent="0.2">
      <c r="A1874" s="4">
        <f>IF(B1874=1,3,IF(D1874=1,2,IF(F1874=1,1,0)))</f>
        <v>0</v>
      </c>
      <c r="B1874" s="4" t="str">
        <f>IF(C1874=$L1874,1,IF(C1874="","",0))</f>
        <v/>
      </c>
      <c r="C1874" s="42"/>
      <c r="D1874" s="4" t="str">
        <f>IF(E1874=$L1874,1,IF(E1874="","",0))</f>
        <v/>
      </c>
      <c r="E1874" s="14"/>
      <c r="F1874" s="4" t="str">
        <f>IF(G1874=$L1874,1,IF(G1874="","",0))</f>
        <v/>
      </c>
      <c r="G1874" s="14"/>
      <c r="H1874" s="6">
        <v>1810</v>
      </c>
      <c r="I1874" s="15" t="s">
        <v>3120</v>
      </c>
      <c r="J1874" s="6" t="s">
        <v>3930</v>
      </c>
      <c r="K1874" s="6"/>
      <c r="L1874" s="6" t="s">
        <v>1889</v>
      </c>
      <c r="M1874" s="6" t="s">
        <v>7916</v>
      </c>
      <c r="N1874" s="7">
        <f ca="1">RAND()</f>
        <v>0.95428060011981697</v>
      </c>
      <c r="O1874" s="8">
        <v>45213</v>
      </c>
      <c r="P1874" s="8">
        <v>45214</v>
      </c>
      <c r="Q1874" s="8">
        <v>45216</v>
      </c>
      <c r="R1874" s="8">
        <v>45220</v>
      </c>
      <c r="S1874" s="8">
        <v>45227</v>
      </c>
      <c r="T1874" s="8">
        <v>45783</v>
      </c>
      <c r="U1874" s="8">
        <v>45830</v>
      </c>
      <c r="V1874" s="10">
        <f>COUNTA(O1874:U1874)</f>
        <v>7</v>
      </c>
      <c r="W1874" s="11">
        <f>_xlfn.IFNA(INDEX(reading[[#This Row],[Memo 01]:[Memo 07]],MATCH(0,reading[[#This Row],[Memo 01]:[Memo 07]],-1)),"")</f>
        <v>45830</v>
      </c>
      <c r="X1874" s="11">
        <f ca="1">IFERROR(reading[[#This Row],[Previous]]+OFFSET(reading[[#Headers],[Memo 01]],-1,MATCH(0,reading[[#This Row],[Memo 01]:[Memo 07]],-1)-1),"")</f>
        <v>55830</v>
      </c>
      <c r="Y1874" s="10" t="str">
        <f ca="1">IF(reading[[#This Row],[Next]]&lt;&gt;"",IF(reading[[#This Row],[Next]]&gt;TODAY(),"OK",""),"")</f>
        <v>OK</v>
      </c>
      <c r="Z1874" s="13">
        <v>3</v>
      </c>
      <c r="AA1874" s="13">
        <v>3</v>
      </c>
      <c r="AB1874" s="13">
        <v>3</v>
      </c>
      <c r="AC1874" s="13">
        <v>3</v>
      </c>
      <c r="AD1874" s="13">
        <v>3</v>
      </c>
      <c r="AE1874" s="13">
        <v>3</v>
      </c>
      <c r="AF1874" s="13">
        <v>3</v>
      </c>
      <c r="AG1874" s="16">
        <f>IFERROR(SUMIF(reading[[#This Row],[1st]:[7th]],"&gt;0")/COUNTIF(reading[[#This Row],[1st]:[7th]],"&gt;0"),"")</f>
        <v>3</v>
      </c>
    </row>
    <row r="1875" spans="1:33" hidden="1" x14ac:dyDescent="0.2">
      <c r="A1875" s="4">
        <f>IF(B1875=1,3,IF(D1875=1,2,IF(F1875=1,1,0)))</f>
        <v>0</v>
      </c>
      <c r="B1875" s="4" t="str">
        <f>IF(C1875=$L1875,1,IF(C1875="","",0))</f>
        <v/>
      </c>
      <c r="C1875" s="42"/>
      <c r="D1875" s="4" t="str">
        <f>IF(E1875=$L1875,1,IF(E1875="","",0))</f>
        <v/>
      </c>
      <c r="E1875" s="43"/>
      <c r="F1875" s="4" t="str">
        <f>IF(G1875=$L1875,1,IF(G1875="","",0))</f>
        <v/>
      </c>
      <c r="G1875" s="23"/>
      <c r="H1875" s="6">
        <v>2411</v>
      </c>
      <c r="I1875" s="15" t="s">
        <v>3120</v>
      </c>
      <c r="J1875" s="6" t="s">
        <v>5482</v>
      </c>
      <c r="K1875" s="6"/>
      <c r="L1875" s="6" t="s">
        <v>2461</v>
      </c>
      <c r="M1875" s="6" t="s">
        <v>8516</v>
      </c>
      <c r="N1875" s="7">
        <f ca="1">RAND()</f>
        <v>0.62307291477379789</v>
      </c>
      <c r="O1875" s="8">
        <v>45218</v>
      </c>
      <c r="P1875" s="8">
        <v>45219</v>
      </c>
      <c r="Q1875" s="8">
        <v>45221</v>
      </c>
      <c r="R1875" s="8">
        <v>45225</v>
      </c>
      <c r="S1875" s="8">
        <v>45232</v>
      </c>
      <c r="T1875" s="8">
        <v>45251</v>
      </c>
      <c r="U1875" s="8">
        <v>45817</v>
      </c>
      <c r="V1875" s="10">
        <f>COUNTA(O1875:U1875)</f>
        <v>7</v>
      </c>
      <c r="W1875" s="11">
        <f>_xlfn.IFNA(INDEX(reading[[#This Row],[Memo 01]:[Memo 07]],MATCH(0,reading[[#This Row],[Memo 01]:[Memo 07]],-1)),"")</f>
        <v>45817</v>
      </c>
      <c r="X1875" s="11">
        <f ca="1">IFERROR(reading[[#This Row],[Previous]]+OFFSET(reading[[#Headers],[Memo 01]],-1,MATCH(0,reading[[#This Row],[Memo 01]:[Memo 07]],-1)-1),"")</f>
        <v>55817</v>
      </c>
      <c r="Y1875" s="10" t="str">
        <f ca="1">IF(reading[[#This Row],[Next]]&lt;&gt;"",IF(reading[[#This Row],[Next]]&gt;TODAY(),"OK",""),"")</f>
        <v>OK</v>
      </c>
      <c r="Z1875" s="13">
        <v>3</v>
      </c>
      <c r="AA1875" s="13">
        <v>3</v>
      </c>
      <c r="AB1875" s="13">
        <v>3</v>
      </c>
      <c r="AC1875" s="13">
        <v>2</v>
      </c>
      <c r="AD1875" s="13">
        <v>2</v>
      </c>
      <c r="AE1875" s="13">
        <v>3</v>
      </c>
      <c r="AF1875" s="13">
        <v>1</v>
      </c>
      <c r="AG1875" s="16">
        <f>IFERROR(SUMIF(reading[[#This Row],[1st]:[7th]],"&gt;0")/COUNTIF(reading[[#This Row],[1st]:[7th]],"&gt;0"),"")</f>
        <v>2.4285714285714284</v>
      </c>
    </row>
    <row r="1876" spans="1:33" hidden="1" x14ac:dyDescent="0.2">
      <c r="A1876" s="4">
        <f>IF(B1876=1,3,IF(D1876=1,2,IF(F1876=1,1,0)))</f>
        <v>0</v>
      </c>
      <c r="B1876" s="4" t="str">
        <f>IF(C1876=$L1876,1,IF(C1876="","",0))</f>
        <v/>
      </c>
      <c r="C1876" s="42"/>
      <c r="D1876" s="4" t="str">
        <f>IF(E1876=$L1876,1,IF(E1876="","",0))</f>
        <v/>
      </c>
      <c r="E1876" s="14"/>
      <c r="F1876" s="4" t="str">
        <f>IF(G1876=$L1876,1,IF(G1876="","",0))</f>
        <v/>
      </c>
      <c r="G1876" s="14"/>
      <c r="H1876" s="6">
        <v>2841</v>
      </c>
      <c r="I1876" s="15" t="s">
        <v>3120</v>
      </c>
      <c r="J1876" s="6" t="s">
        <v>5882</v>
      </c>
      <c r="K1876" s="6"/>
      <c r="L1876" s="6" t="s">
        <v>2876</v>
      </c>
      <c r="M1876" s="6" t="s">
        <v>8945</v>
      </c>
      <c r="N1876" s="7">
        <f ca="1">RAND()</f>
        <v>0.85683888640933104</v>
      </c>
      <c r="O1876" s="8">
        <v>45222</v>
      </c>
      <c r="P1876" s="8">
        <v>45223</v>
      </c>
      <c r="Q1876" s="8">
        <v>45225</v>
      </c>
      <c r="R1876" s="8">
        <v>45229</v>
      </c>
      <c r="S1876" s="8">
        <v>45236</v>
      </c>
      <c r="T1876" s="8">
        <v>45792</v>
      </c>
      <c r="U1876" s="8">
        <v>45830</v>
      </c>
      <c r="V1876" s="10">
        <f>COUNTA(O1876:U1876)</f>
        <v>7</v>
      </c>
      <c r="W1876" s="11">
        <f>_xlfn.IFNA(INDEX(reading[[#This Row],[Memo 01]:[Memo 07]],MATCH(0,reading[[#This Row],[Memo 01]:[Memo 07]],-1)),"")</f>
        <v>45830</v>
      </c>
      <c r="X1876" s="11">
        <f ca="1">IFERROR(reading[[#This Row],[Previous]]+OFFSET(reading[[#Headers],[Memo 01]],-1,MATCH(0,reading[[#This Row],[Memo 01]:[Memo 07]],-1)-1),"")</f>
        <v>55830</v>
      </c>
      <c r="Y1876" s="10" t="str">
        <f ca="1">IF(reading[[#This Row],[Next]]&lt;&gt;"",IF(reading[[#This Row],[Next]]&gt;TODAY(),"OK",""),"")</f>
        <v>OK</v>
      </c>
      <c r="Z1876" s="13">
        <v>3</v>
      </c>
      <c r="AA1876" s="13">
        <v>3</v>
      </c>
      <c r="AB1876" s="13">
        <v>3</v>
      </c>
      <c r="AC1876" s="13">
        <v>3</v>
      </c>
      <c r="AD1876" s="13">
        <v>3</v>
      </c>
      <c r="AE1876" s="13">
        <v>3</v>
      </c>
      <c r="AF1876" s="13">
        <v>3</v>
      </c>
      <c r="AG1876" s="16">
        <f>IFERROR(SUMIF(reading[[#This Row],[1st]:[7th]],"&gt;0")/COUNTIF(reading[[#This Row],[1st]:[7th]],"&gt;0"),"")</f>
        <v>3</v>
      </c>
    </row>
    <row r="1877" spans="1:33" hidden="1" x14ac:dyDescent="0.2">
      <c r="A1877" s="4">
        <f>IF(B1877=1,3,IF(D1877=1,2,IF(F1877=1,1,0)))</f>
        <v>0</v>
      </c>
      <c r="B1877" s="4" t="str">
        <f>IF(C1877=$L1877,1,IF(C1877="","",0))</f>
        <v/>
      </c>
      <c r="C1877" s="42"/>
      <c r="D1877" s="4" t="str">
        <f>IF(E1877=$L1877,1,IF(E1877="","",0))</f>
        <v/>
      </c>
      <c r="E1877" s="14"/>
      <c r="F1877" s="4" t="str">
        <f>IF(G1877=$L1877,1,IF(G1877="","",0))</f>
        <v/>
      </c>
      <c r="G1877" s="14"/>
      <c r="H1877" s="6">
        <v>806</v>
      </c>
      <c r="I1877" s="15" t="s">
        <v>3120</v>
      </c>
      <c r="J1877" s="6" t="s">
        <v>3940</v>
      </c>
      <c r="K1877" s="6"/>
      <c r="L1877" s="6" t="s">
        <v>923</v>
      </c>
      <c r="M1877" s="6" t="s">
        <v>6915</v>
      </c>
      <c r="N1877" s="7">
        <f ca="1">RAND()</f>
        <v>0.30130979213074149</v>
      </c>
      <c r="O1877" s="8">
        <v>45204</v>
      </c>
      <c r="P1877" s="8">
        <v>45205</v>
      </c>
      <c r="Q1877" s="8">
        <v>45207</v>
      </c>
      <c r="R1877" s="8">
        <v>45211</v>
      </c>
      <c r="S1877" s="8">
        <v>45218</v>
      </c>
      <c r="T1877" s="8">
        <v>45230</v>
      </c>
      <c r="U1877" s="8">
        <v>45830</v>
      </c>
      <c r="V1877" s="10">
        <f>COUNTA(O1877:U1877)</f>
        <v>7</v>
      </c>
      <c r="W1877" s="11">
        <f>_xlfn.IFNA(INDEX(reading[[#This Row],[Memo 01]:[Memo 07]],MATCH(0,reading[[#This Row],[Memo 01]:[Memo 07]],-1)),"")</f>
        <v>45830</v>
      </c>
      <c r="X1877" s="11">
        <f ca="1">IFERROR(reading[[#This Row],[Previous]]+OFFSET(reading[[#Headers],[Memo 01]],-1,MATCH(0,reading[[#This Row],[Memo 01]:[Memo 07]],-1)-1),"")</f>
        <v>55830</v>
      </c>
      <c r="Y1877" s="10" t="str">
        <f ca="1">IF(reading[[#This Row],[Next]]&lt;&gt;"",IF(reading[[#This Row],[Next]]&gt;TODAY(),"OK",""),"")</f>
        <v>OK</v>
      </c>
      <c r="Z1877" s="13">
        <v>3</v>
      </c>
      <c r="AA1877" s="13">
        <v>3</v>
      </c>
      <c r="AB1877" s="13">
        <v>3</v>
      </c>
      <c r="AC1877" s="13">
        <v>3</v>
      </c>
      <c r="AD1877" s="13">
        <v>3</v>
      </c>
      <c r="AE1877" s="13">
        <v>3</v>
      </c>
      <c r="AF1877" s="13">
        <v>3</v>
      </c>
      <c r="AG1877" s="16">
        <f>IFERROR(SUMIF(reading[[#This Row],[1st]:[7th]],"&gt;0")/COUNTIF(reading[[#This Row],[1st]:[7th]],"&gt;0"),"")</f>
        <v>3</v>
      </c>
    </row>
    <row r="1878" spans="1:33" hidden="1" x14ac:dyDescent="0.2">
      <c r="A1878" s="4">
        <f>IF(B1878=1,3,IF(D1878=1,2,IF(F1878=1,1,0)))</f>
        <v>3</v>
      </c>
      <c r="B1878" s="4">
        <f>IF(C1878=$L1878,1,IF(C1878="","",0))</f>
        <v>1</v>
      </c>
      <c r="C1878" s="32" t="s">
        <v>1959</v>
      </c>
      <c r="D1878" s="4" t="str">
        <f>IF(E1878=$L1878,1,IF(E1878="","",0))</f>
        <v/>
      </c>
      <c r="E1878" s="14"/>
      <c r="F1878" s="4" t="str">
        <f>IF(G1878=$L1878,1,IF(G1878="","",0))</f>
        <v/>
      </c>
      <c r="G1878" s="14"/>
      <c r="H1878" s="6">
        <v>1882</v>
      </c>
      <c r="I1878" s="15" t="s">
        <v>3120</v>
      </c>
      <c r="J1878" s="6" t="s">
        <v>4984</v>
      </c>
      <c r="K1878" s="6"/>
      <c r="L1878" s="6" t="s">
        <v>1959</v>
      </c>
      <c r="M1878" s="6" t="s">
        <v>7988</v>
      </c>
      <c r="N1878" s="7">
        <f ca="1">RAND()</f>
        <v>0.61563873852288542</v>
      </c>
      <c r="O1878" s="8">
        <v>45212</v>
      </c>
      <c r="P1878" s="8">
        <v>45212</v>
      </c>
      <c r="Q1878" s="8">
        <v>45212</v>
      </c>
      <c r="R1878" s="8">
        <v>45212</v>
      </c>
      <c r="S1878" s="8">
        <v>45212</v>
      </c>
      <c r="T1878" s="8">
        <v>45212</v>
      </c>
      <c r="U1878" s="8">
        <v>45212</v>
      </c>
      <c r="V1878" s="10">
        <f>COUNTA(O1878:U1878)</f>
        <v>7</v>
      </c>
      <c r="W1878" s="11">
        <f>_xlfn.IFNA(INDEX(reading[[#This Row],[Memo 01]:[Memo 07]],MATCH(0,reading[[#This Row],[Memo 01]:[Memo 07]],-1)),"")</f>
        <v>45212</v>
      </c>
      <c r="X1878" s="11">
        <f ca="1">IFERROR(reading[[#This Row],[Previous]]+OFFSET(reading[[#Headers],[Memo 01]],-1,MATCH(0,reading[[#This Row],[Memo 01]:[Memo 07]],-1)-1),"")</f>
        <v>55212</v>
      </c>
      <c r="Y1878" s="10" t="str">
        <f ca="1">IF(reading[[#This Row],[Next]]&lt;&gt;"",IF(reading[[#This Row],[Next]]&gt;TODAY(),"OK",""),"")</f>
        <v>OK</v>
      </c>
      <c r="Z1878" s="13">
        <v>3</v>
      </c>
      <c r="AA1878" s="13"/>
      <c r="AB1878" s="13"/>
      <c r="AC1878" s="13"/>
      <c r="AD1878" s="13"/>
      <c r="AE1878" s="13"/>
      <c r="AF1878" s="13"/>
      <c r="AG1878" s="16">
        <f>IFERROR(SUMIF(reading[[#This Row],[1st]:[7th]],"&gt;0")/COUNTIF(reading[[#This Row],[1st]:[7th]],"&gt;0"),"")</f>
        <v>3</v>
      </c>
    </row>
    <row r="1879" spans="1:33" x14ac:dyDescent="0.2">
      <c r="A1879" s="4">
        <f>IF(B1879=1,3,IF(D1879=1,2,IF(F1879=1,1,0)))</f>
        <v>0</v>
      </c>
      <c r="B1879" s="4">
        <f>IF(C1879=$L1879,1,IF(C1879="","",0))</f>
        <v>0</v>
      </c>
      <c r="C1879" s="42" t="s">
        <v>9200</v>
      </c>
      <c r="D1879" s="4" t="str">
        <f>IF(E1879=$L1879,1,IF(E1879="","",0))</f>
        <v/>
      </c>
      <c r="E1879" s="14"/>
      <c r="F1879" s="4" t="str">
        <f>IF(G1879=$L1879,1,IF(G1879="","",0))</f>
        <v/>
      </c>
      <c r="G1879" s="14"/>
      <c r="H1879" s="6">
        <v>2215</v>
      </c>
      <c r="I1879" s="15" t="s">
        <v>3120</v>
      </c>
      <c r="J1879" s="6" t="s">
        <v>5301</v>
      </c>
      <c r="K1879" s="6"/>
      <c r="L1879" s="6" t="s">
        <v>2278</v>
      </c>
      <c r="M1879" s="6" t="s">
        <v>8321</v>
      </c>
      <c r="N1879" s="7">
        <f ca="1">RAND()</f>
        <v>0.29839322677804014</v>
      </c>
      <c r="O1879" s="8">
        <v>45216</v>
      </c>
      <c r="P1879" s="8">
        <v>45217</v>
      </c>
      <c r="Q1879" s="8">
        <v>45219</v>
      </c>
      <c r="R1879" s="8">
        <v>45223</v>
      </c>
      <c r="S1879" s="8">
        <v>45230</v>
      </c>
      <c r="T1879" s="8"/>
      <c r="U1879" s="8"/>
      <c r="V1879" s="10">
        <f>COUNTA(O1879:U1879)</f>
        <v>5</v>
      </c>
      <c r="W1879" s="11">
        <f>_xlfn.IFNA(INDEX(reading[[#This Row],[Memo 01]:[Memo 07]],MATCH(0,reading[[#This Row],[Memo 01]:[Memo 07]],-1)),"")</f>
        <v>45230</v>
      </c>
      <c r="X1879" s="11">
        <f ca="1">IFERROR(reading[[#This Row],[Previous]]+OFFSET(reading[[#Headers],[Memo 01]],-1,MATCH(0,reading[[#This Row],[Memo 01]:[Memo 07]],-1)-1),"")</f>
        <v>45242</v>
      </c>
      <c r="Y1879" s="10" t="str">
        <f ca="1">IF(reading[[#This Row],[Next]]&lt;&gt;"",IF(reading[[#This Row],[Next]]&gt;TODAY(),"OK",""),"")</f>
        <v/>
      </c>
      <c r="Z1879" s="13">
        <v>3</v>
      </c>
      <c r="AA1879" s="13">
        <v>3</v>
      </c>
      <c r="AB1879" s="13">
        <v>3</v>
      </c>
      <c r="AC1879" s="13">
        <v>3</v>
      </c>
      <c r="AD1879" s="13">
        <v>3</v>
      </c>
      <c r="AE1879" s="13"/>
      <c r="AF1879" s="13"/>
      <c r="AG1879" s="16">
        <f>IFERROR(SUMIF(reading[[#This Row],[1st]:[7th]],"&gt;0")/COUNTIF(reading[[#This Row],[1st]:[7th]],"&gt;0"),"")</f>
        <v>3</v>
      </c>
    </row>
    <row r="1880" spans="1:33" hidden="1" x14ac:dyDescent="0.2">
      <c r="A1880" s="4">
        <f>IF(B1880=1,3,IF(D1880=1,2,IF(F1880=1,1,0)))</f>
        <v>3</v>
      </c>
      <c r="B1880" s="4">
        <f>IF(C1880=$L1880,1,IF(C1880="","",0))</f>
        <v>1</v>
      </c>
      <c r="C1880" s="32" t="s">
        <v>1961</v>
      </c>
      <c r="D1880" s="4" t="str">
        <f>IF(E1880=$L1880,1,IF(E1880="","",0))</f>
        <v/>
      </c>
      <c r="E1880" s="14"/>
      <c r="F1880" s="4" t="str">
        <f>IF(G1880=$L1880,1,IF(G1880="","",0))</f>
        <v/>
      </c>
      <c r="G1880" s="14"/>
      <c r="H1880" s="6">
        <v>1884</v>
      </c>
      <c r="I1880" s="15" t="s">
        <v>3120</v>
      </c>
      <c r="J1880" s="6" t="s">
        <v>4986</v>
      </c>
      <c r="K1880" s="6"/>
      <c r="L1880" s="6" t="s">
        <v>1961</v>
      </c>
      <c r="M1880" s="6" t="s">
        <v>7990</v>
      </c>
      <c r="N1880" s="7">
        <f ca="1">RAND()</f>
        <v>0.41991858554055994</v>
      </c>
      <c r="O1880" s="8">
        <v>45212</v>
      </c>
      <c r="P1880" s="8">
        <v>45212</v>
      </c>
      <c r="Q1880" s="8">
        <v>45212</v>
      </c>
      <c r="R1880" s="8">
        <v>45212</v>
      </c>
      <c r="S1880" s="8">
        <v>45212</v>
      </c>
      <c r="T1880" s="8">
        <v>45212</v>
      </c>
      <c r="U1880" s="8">
        <v>45212</v>
      </c>
      <c r="V1880" s="10">
        <f>COUNTA(O1880:U1880)</f>
        <v>7</v>
      </c>
      <c r="W1880" s="11">
        <f>_xlfn.IFNA(INDEX(reading[[#This Row],[Memo 01]:[Memo 07]],MATCH(0,reading[[#This Row],[Memo 01]:[Memo 07]],-1)),"")</f>
        <v>45212</v>
      </c>
      <c r="X1880" s="11">
        <f ca="1">IFERROR(reading[[#This Row],[Previous]]+OFFSET(reading[[#Headers],[Memo 01]],-1,MATCH(0,reading[[#This Row],[Memo 01]:[Memo 07]],-1)-1),"")</f>
        <v>55212</v>
      </c>
      <c r="Y1880" s="10" t="str">
        <f ca="1">IF(reading[[#This Row],[Next]]&lt;&gt;"",IF(reading[[#This Row],[Next]]&gt;TODAY(),"OK",""),"")</f>
        <v>OK</v>
      </c>
      <c r="Z1880" s="13">
        <v>3</v>
      </c>
      <c r="AA1880" s="13"/>
      <c r="AB1880" s="13"/>
      <c r="AC1880" s="13"/>
      <c r="AD1880" s="13"/>
      <c r="AE1880" s="13"/>
      <c r="AF1880" s="13"/>
      <c r="AG1880" s="16">
        <f>IFERROR(SUMIF(reading[[#This Row],[1st]:[7th]],"&gt;0")/COUNTIF(reading[[#This Row],[1st]:[7th]],"&gt;0"),"")</f>
        <v>3</v>
      </c>
    </row>
    <row r="1881" spans="1:33" hidden="1" x14ac:dyDescent="0.2">
      <c r="A1881" s="4">
        <f>IF(B1881=1,3,IF(D1881=1,2,IF(F1881=1,1,0)))</f>
        <v>0</v>
      </c>
      <c r="B1881" s="4" t="str">
        <f>IF(C1881=$L1881,1,IF(C1881="","",0))</f>
        <v/>
      </c>
      <c r="C1881" s="42"/>
      <c r="D1881" s="4" t="str">
        <f>IF(E1881=$L1881,1,IF(E1881="","",0))</f>
        <v/>
      </c>
      <c r="E1881" s="14"/>
      <c r="F1881" s="4" t="str">
        <f>IF(G1881=$L1881,1,IF(G1881="","",0))</f>
        <v/>
      </c>
      <c r="G1881" s="14"/>
      <c r="H1881" s="6">
        <v>1525</v>
      </c>
      <c r="I1881" s="15" t="s">
        <v>3120</v>
      </c>
      <c r="J1881" s="6" t="s">
        <v>4638</v>
      </c>
      <c r="K1881" s="6"/>
      <c r="L1881" s="6" t="s">
        <v>1610</v>
      </c>
      <c r="M1881" s="6" t="s">
        <v>7632</v>
      </c>
      <c r="N1881" s="7">
        <f ca="1">RAND()</f>
        <v>8.3268116609676812E-2</v>
      </c>
      <c r="O1881" s="8">
        <v>45209</v>
      </c>
      <c r="P1881" s="8">
        <v>45210</v>
      </c>
      <c r="Q1881" s="8">
        <v>45213</v>
      </c>
      <c r="R1881" s="8">
        <v>45217</v>
      </c>
      <c r="S1881" s="8">
        <v>45224</v>
      </c>
      <c r="T1881" s="8">
        <v>45236</v>
      </c>
      <c r="U1881" s="8">
        <v>45830</v>
      </c>
      <c r="V1881" s="10">
        <f>COUNTA(O1881:U1881)</f>
        <v>7</v>
      </c>
      <c r="W1881" s="11">
        <f>_xlfn.IFNA(INDEX(reading[[#This Row],[Memo 01]:[Memo 07]],MATCH(0,reading[[#This Row],[Memo 01]:[Memo 07]],-1)),"")</f>
        <v>45830</v>
      </c>
      <c r="X1881" s="11">
        <f ca="1">IFERROR(reading[[#This Row],[Previous]]+OFFSET(reading[[#Headers],[Memo 01]],-1,MATCH(0,reading[[#This Row],[Memo 01]:[Memo 07]],-1)-1),"")</f>
        <v>55830</v>
      </c>
      <c r="Y1881" s="10" t="str">
        <f ca="1">IF(reading[[#This Row],[Next]]&lt;&gt;"",IF(reading[[#This Row],[Next]]&gt;TODAY(),"OK",""),"")</f>
        <v>OK</v>
      </c>
      <c r="Z1881" s="13">
        <v>3</v>
      </c>
      <c r="AA1881" s="13">
        <v>3</v>
      </c>
      <c r="AB1881" s="13">
        <v>2</v>
      </c>
      <c r="AC1881" s="13">
        <v>3</v>
      </c>
      <c r="AD1881" s="13">
        <v>3</v>
      </c>
      <c r="AE1881" s="13">
        <v>3</v>
      </c>
      <c r="AF1881" s="13">
        <v>3</v>
      </c>
      <c r="AG1881" s="16">
        <f>IFERROR(SUMIF(reading[[#This Row],[1st]:[7th]],"&gt;0")/COUNTIF(reading[[#This Row],[1st]:[7th]],"&gt;0"),"")</f>
        <v>2.8571428571428572</v>
      </c>
    </row>
    <row r="1882" spans="1:33" hidden="1" x14ac:dyDescent="0.2">
      <c r="A1882" s="4">
        <f>IF(B1882=1,3,IF(D1882=1,2,IF(F1882=1,1,0)))</f>
        <v>0</v>
      </c>
      <c r="B1882" s="4">
        <f>IF(C1882=$L1882,1,IF(C1882="","",0))</f>
        <v>0</v>
      </c>
      <c r="C1882" s="42" t="s">
        <v>9200</v>
      </c>
      <c r="D1882" s="4" t="str">
        <f>IF(E1882=$L1882,1,IF(E1882="","",0))</f>
        <v/>
      </c>
      <c r="E1882" s="18"/>
      <c r="F1882" s="4" t="str">
        <f>IF(G1882=$L1882,1,IF(G1882="","",0))</f>
        <v/>
      </c>
      <c r="G1882" s="14"/>
      <c r="H1882" s="6">
        <v>838</v>
      </c>
      <c r="I1882" s="15" t="s">
        <v>3120</v>
      </c>
      <c r="J1882" s="6" t="s">
        <v>3971</v>
      </c>
      <c r="K1882" s="6"/>
      <c r="L1882" s="6" t="s">
        <v>954</v>
      </c>
      <c r="M1882" s="6" t="s">
        <v>6947</v>
      </c>
      <c r="N1882" s="7">
        <f ca="1">RAND()</f>
        <v>7.2236263545809365E-2</v>
      </c>
      <c r="O1882" s="8">
        <v>45203</v>
      </c>
      <c r="P1882" s="8">
        <v>45204</v>
      </c>
      <c r="Q1882" s="8">
        <v>45206</v>
      </c>
      <c r="R1882" s="8">
        <v>45210</v>
      </c>
      <c r="S1882" s="8">
        <v>45217</v>
      </c>
      <c r="T1882" s="8">
        <v>45229</v>
      </c>
      <c r="U1882" s="8"/>
      <c r="V1882" s="10">
        <f>COUNTA(O1882:U1882)</f>
        <v>6</v>
      </c>
      <c r="W1882" s="11">
        <f>_xlfn.IFNA(INDEX(reading[[#This Row],[Memo 01]:[Memo 07]],MATCH(0,reading[[#This Row],[Memo 01]:[Memo 07]],-1)),"")</f>
        <v>45229</v>
      </c>
      <c r="X1882" s="11">
        <f ca="1">IFERROR(reading[[#This Row],[Previous]]+OFFSET(reading[[#Headers],[Memo 01]],-1,MATCH(0,reading[[#This Row],[Memo 01]:[Memo 07]],-1)-1),"")</f>
        <v>45249</v>
      </c>
      <c r="Y1882" s="10" t="str">
        <f ca="1">IF(reading[[#This Row],[Next]]&lt;&gt;"",IF(reading[[#This Row],[Next]]&gt;TODAY(),"OK",""),"")</f>
        <v/>
      </c>
      <c r="Z1882" s="13">
        <v>3</v>
      </c>
      <c r="AA1882" s="13">
        <v>3</v>
      </c>
      <c r="AB1882" s="13">
        <v>3</v>
      </c>
      <c r="AC1882" s="13">
        <v>3</v>
      </c>
      <c r="AD1882" s="13">
        <v>2</v>
      </c>
      <c r="AE1882" s="13">
        <v>3</v>
      </c>
      <c r="AF1882" s="13"/>
      <c r="AG1882" s="16">
        <f>IFERROR(SUMIF(reading[[#This Row],[1st]:[7th]],"&gt;0")/COUNTIF(reading[[#This Row],[1st]:[7th]],"&gt;0"),"")</f>
        <v>2.8333333333333335</v>
      </c>
    </row>
    <row r="1883" spans="1:33" hidden="1" x14ac:dyDescent="0.2">
      <c r="A1883" s="4">
        <f>IF(B1883=1,3,IF(D1883=1,2,IF(F1883=1,1,0)))</f>
        <v>0</v>
      </c>
      <c r="B1883" s="4" t="str">
        <f>IF(C1883=$L1883,1,IF(C1883="","",0))</f>
        <v/>
      </c>
      <c r="C1883" s="42"/>
      <c r="D1883" s="4" t="str">
        <f>IF(E1883=$L1883,1,IF(E1883="","",0))</f>
        <v/>
      </c>
      <c r="E1883" s="14"/>
      <c r="F1883" s="4" t="str">
        <f>IF(G1883=$L1883,1,IF(G1883="","",0))</f>
        <v/>
      </c>
      <c r="G1883" s="14"/>
      <c r="H1883" s="6">
        <v>1590</v>
      </c>
      <c r="I1883" s="15" t="s">
        <v>3120</v>
      </c>
      <c r="J1883" s="6" t="s">
        <v>4702</v>
      </c>
      <c r="K1883" s="6"/>
      <c r="L1883" s="6" t="s">
        <v>1673</v>
      </c>
      <c r="M1883" s="6" t="s">
        <v>7696</v>
      </c>
      <c r="N1883" s="7">
        <f ca="1">RAND()</f>
        <v>0.52971736284402182</v>
      </c>
      <c r="O1883" s="8">
        <v>45209</v>
      </c>
      <c r="P1883" s="8">
        <v>45210</v>
      </c>
      <c r="Q1883" s="8">
        <v>45212</v>
      </c>
      <c r="R1883" s="8">
        <v>45216</v>
      </c>
      <c r="S1883" s="8">
        <v>45223</v>
      </c>
      <c r="T1883" s="8">
        <v>45235</v>
      </c>
      <c r="U1883" s="8">
        <v>45830</v>
      </c>
      <c r="V1883" s="10">
        <f>COUNTA(O1883:U1883)</f>
        <v>7</v>
      </c>
      <c r="W1883" s="11">
        <f>_xlfn.IFNA(INDEX(reading[[#This Row],[Memo 01]:[Memo 07]],MATCH(0,reading[[#This Row],[Memo 01]:[Memo 07]],-1)),"")</f>
        <v>45830</v>
      </c>
      <c r="X1883" s="11">
        <f ca="1">IFERROR(reading[[#This Row],[Previous]]+OFFSET(reading[[#Headers],[Memo 01]],-1,MATCH(0,reading[[#This Row],[Memo 01]:[Memo 07]],-1)-1),"")</f>
        <v>55830</v>
      </c>
      <c r="Y1883" s="10" t="str">
        <f ca="1">IF(reading[[#This Row],[Next]]&lt;&gt;"",IF(reading[[#This Row],[Next]]&gt;TODAY(),"OK",""),"")</f>
        <v>OK</v>
      </c>
      <c r="Z1883" s="13">
        <v>3</v>
      </c>
      <c r="AA1883" s="13">
        <v>3</v>
      </c>
      <c r="AB1883" s="13">
        <v>3</v>
      </c>
      <c r="AC1883" s="13">
        <v>3</v>
      </c>
      <c r="AD1883" s="13">
        <v>3</v>
      </c>
      <c r="AE1883" s="13">
        <v>3</v>
      </c>
      <c r="AF1883" s="13">
        <v>3</v>
      </c>
      <c r="AG1883" s="16">
        <f>IFERROR(SUMIF(reading[[#This Row],[1st]:[7th]],"&gt;0")/COUNTIF(reading[[#This Row],[1st]:[7th]],"&gt;0"),"")</f>
        <v>3</v>
      </c>
    </row>
    <row r="1884" spans="1:33" hidden="1" x14ac:dyDescent="0.2">
      <c r="A1884" s="4">
        <f>IF(B1884=1,3,IF(D1884=1,2,IF(F1884=1,1,0)))</f>
        <v>0</v>
      </c>
      <c r="B1884" s="4" t="str">
        <f>IF(C1884=$L1884,1,IF(C1884="","",0))</f>
        <v/>
      </c>
      <c r="C1884" s="42"/>
      <c r="D1884" s="4" t="str">
        <f>IF(E1884=$L1884,1,IF(E1884="","",0))</f>
        <v/>
      </c>
      <c r="E1884" s="14"/>
      <c r="F1884" s="4" t="str">
        <f>IF(G1884=$L1884,1,IF(G1884="","",0))</f>
        <v/>
      </c>
      <c r="G1884" s="14"/>
      <c r="H1884" s="6">
        <v>1897</v>
      </c>
      <c r="I1884" s="15" t="s">
        <v>3120</v>
      </c>
      <c r="J1884" s="6" t="s">
        <v>4998</v>
      </c>
      <c r="K1884" s="6"/>
      <c r="L1884" s="6" t="s">
        <v>1973</v>
      </c>
      <c r="M1884" s="6" t="s">
        <v>8003</v>
      </c>
      <c r="N1884" s="7">
        <f ca="1">RAND()</f>
        <v>0.53531372725367721</v>
      </c>
      <c r="O1884" s="8">
        <v>45213</v>
      </c>
      <c r="P1884" s="8">
        <v>45214</v>
      </c>
      <c r="Q1884" s="8">
        <v>45216</v>
      </c>
      <c r="R1884" s="8">
        <v>45220</v>
      </c>
      <c r="S1884" s="8">
        <v>45227</v>
      </c>
      <c r="T1884" s="8">
        <v>45830</v>
      </c>
      <c r="U1884" s="8"/>
      <c r="V1884" s="10">
        <f>COUNTA(O1884:U1884)</f>
        <v>6</v>
      </c>
      <c r="W1884" s="11">
        <f>_xlfn.IFNA(INDEX(reading[[#This Row],[Memo 01]:[Memo 07]],MATCH(0,reading[[#This Row],[Memo 01]:[Memo 07]],-1)),"")</f>
        <v>45830</v>
      </c>
      <c r="X1884" s="11">
        <f ca="1">IFERROR(reading[[#This Row],[Previous]]+OFFSET(reading[[#Headers],[Memo 01]],-1,MATCH(0,reading[[#This Row],[Memo 01]:[Memo 07]],-1)-1),"")</f>
        <v>45850</v>
      </c>
      <c r="Y1884" s="10" t="str">
        <f ca="1">IF(reading[[#This Row],[Next]]&lt;&gt;"",IF(reading[[#This Row],[Next]]&gt;TODAY(),"OK",""),"")</f>
        <v>OK</v>
      </c>
      <c r="Z1884" s="13">
        <v>3</v>
      </c>
      <c r="AA1884" s="13">
        <v>3</v>
      </c>
      <c r="AB1884" s="13">
        <v>3</v>
      </c>
      <c r="AC1884" s="13">
        <v>3</v>
      </c>
      <c r="AD1884" s="13">
        <v>3</v>
      </c>
      <c r="AE1884" s="13">
        <v>3</v>
      </c>
      <c r="AF1884" s="13"/>
      <c r="AG1884" s="16">
        <f>IFERROR(SUMIF(reading[[#This Row],[1st]:[7th]],"&gt;0")/COUNTIF(reading[[#This Row],[1st]:[7th]],"&gt;0"),"")</f>
        <v>3</v>
      </c>
    </row>
    <row r="1885" spans="1:33" x14ac:dyDescent="0.2">
      <c r="A1885" s="4">
        <f>IF(B1885=1,3,IF(D1885=1,2,IF(F1885=1,1,0)))</f>
        <v>3</v>
      </c>
      <c r="B1885" s="4">
        <f>IF(C1885=$L1885,1,IF(C1885="","",0))</f>
        <v>1</v>
      </c>
      <c r="C1885" s="42" t="s">
        <v>9326</v>
      </c>
      <c r="D1885" s="4" t="str">
        <f>IF(E1885=$L1885,1,IF(E1885="","",0))</f>
        <v/>
      </c>
      <c r="E1885" s="14"/>
      <c r="F1885" s="4" t="str">
        <f>IF(G1885=$L1885,1,IF(G1885="","",0))</f>
        <v/>
      </c>
      <c r="G1885" s="14"/>
      <c r="H1885" s="6">
        <v>1070</v>
      </c>
      <c r="I1885" s="15" t="s">
        <v>3120</v>
      </c>
      <c r="J1885" s="6" t="s">
        <v>4196</v>
      </c>
      <c r="K1885" s="6"/>
      <c r="L1885" s="6" t="s">
        <v>1177</v>
      </c>
      <c r="M1885" s="6" t="s">
        <v>7178</v>
      </c>
      <c r="N1885" s="7">
        <f ca="1">RAND()</f>
        <v>0.33099810111695926</v>
      </c>
      <c r="O1885" s="8">
        <v>45205</v>
      </c>
      <c r="P1885" s="8">
        <v>45206</v>
      </c>
      <c r="Q1885" s="8">
        <v>45208</v>
      </c>
      <c r="R1885" s="8">
        <v>45212</v>
      </c>
      <c r="S1885" s="8">
        <v>45219</v>
      </c>
      <c r="T1885" s="8">
        <v>45231</v>
      </c>
      <c r="U1885" s="8"/>
      <c r="V1885" s="10">
        <f>COUNTA(O1885:U1885)</f>
        <v>6</v>
      </c>
      <c r="W1885" s="11">
        <f>_xlfn.IFNA(INDEX(reading[[#This Row],[Memo 01]:[Memo 07]],MATCH(0,reading[[#This Row],[Memo 01]:[Memo 07]],-1)),"")</f>
        <v>45231</v>
      </c>
      <c r="X1885" s="11">
        <f ca="1">IFERROR(reading[[#This Row],[Previous]]+OFFSET(reading[[#Headers],[Memo 01]],-1,MATCH(0,reading[[#This Row],[Memo 01]:[Memo 07]],-1)-1),"")</f>
        <v>45251</v>
      </c>
      <c r="Y1885" s="10" t="str">
        <f ca="1">IF(reading[[#This Row],[Next]]&lt;&gt;"",IF(reading[[#This Row],[Next]]&gt;TODAY(),"OK",""),"")</f>
        <v/>
      </c>
      <c r="Z1885" s="13">
        <v>3</v>
      </c>
      <c r="AA1885" s="13">
        <v>3</v>
      </c>
      <c r="AB1885" s="13">
        <v>3</v>
      </c>
      <c r="AC1885" s="13">
        <v>3</v>
      </c>
      <c r="AD1885" s="13">
        <v>3</v>
      </c>
      <c r="AE1885" s="13">
        <v>3</v>
      </c>
      <c r="AF1885" s="13"/>
      <c r="AG1885" s="16">
        <f>IFERROR(SUMIF(reading[[#This Row],[1st]:[7th]],"&gt;0")/COUNTIF(reading[[#This Row],[1st]:[7th]],"&gt;0"),"")</f>
        <v>3</v>
      </c>
    </row>
    <row r="1886" spans="1:33" x14ac:dyDescent="0.2">
      <c r="A1886" s="4">
        <f>IF(B1886=1,3,IF(D1886=1,2,IF(F1886=1,1,0)))</f>
        <v>0</v>
      </c>
      <c r="B1886" s="4">
        <f>IF(C1886=$L1886,1,IF(C1886="","",0))</f>
        <v>0</v>
      </c>
      <c r="C1886" s="42" t="s">
        <v>9200</v>
      </c>
      <c r="D1886" s="4" t="str">
        <f>IF(E1886=$L1886,1,IF(E1886="","",0))</f>
        <v/>
      </c>
      <c r="E1886" s="18"/>
      <c r="F1886" s="4" t="str">
        <f>IF(G1886=$L1886,1,IF(G1886="","",0))</f>
        <v/>
      </c>
      <c r="G1886" s="14"/>
      <c r="H1886" s="6">
        <v>2975</v>
      </c>
      <c r="I1886" s="15" t="s">
        <v>3120</v>
      </c>
      <c r="J1886" s="6" t="s">
        <v>6005</v>
      </c>
      <c r="K1886" s="15" t="s">
        <v>3138</v>
      </c>
      <c r="L1886" s="6" t="s">
        <v>3004</v>
      </c>
      <c r="M1886" s="6" t="s">
        <v>9079</v>
      </c>
      <c r="N1886" s="7">
        <f ca="1">RAND()</f>
        <v>0.5196091331171957</v>
      </c>
      <c r="O1886" s="8">
        <v>45223</v>
      </c>
      <c r="P1886" s="8">
        <v>45224</v>
      </c>
      <c r="Q1886" s="8">
        <v>45226</v>
      </c>
      <c r="R1886" s="8">
        <v>45230</v>
      </c>
      <c r="S1886" s="8">
        <v>45237</v>
      </c>
      <c r="T1886" s="8">
        <v>45252</v>
      </c>
      <c r="U1886" s="8"/>
      <c r="V1886" s="10">
        <f>COUNTA(O1886:U1886)</f>
        <v>6</v>
      </c>
      <c r="W1886" s="11">
        <f>_xlfn.IFNA(INDEX(reading[[#This Row],[Memo 01]:[Memo 07]],MATCH(0,reading[[#This Row],[Memo 01]:[Memo 07]],-1)),"")</f>
        <v>45252</v>
      </c>
      <c r="X1886" s="11">
        <f ca="1">IFERROR(reading[[#This Row],[Previous]]+OFFSET(reading[[#Headers],[Memo 01]],-1,MATCH(0,reading[[#This Row],[Memo 01]:[Memo 07]],-1)-1),"")</f>
        <v>45272</v>
      </c>
      <c r="Y1886" s="10" t="str">
        <f ca="1">IF(reading[[#This Row],[Next]]&lt;&gt;"",IF(reading[[#This Row],[Next]]&gt;TODAY(),"OK",""),"")</f>
        <v/>
      </c>
      <c r="Z1886" s="13">
        <v>3</v>
      </c>
      <c r="AA1886" s="13">
        <v>2</v>
      </c>
      <c r="AB1886" s="13">
        <v>3</v>
      </c>
      <c r="AC1886" s="13">
        <v>2</v>
      </c>
      <c r="AD1886" s="13">
        <v>3</v>
      </c>
      <c r="AE1886" s="13">
        <v>2</v>
      </c>
      <c r="AF1886" s="13"/>
      <c r="AG1886" s="16">
        <f>IFERROR(SUMIF(reading[[#This Row],[1st]:[7th]],"&gt;0")/COUNTIF(reading[[#This Row],[1st]:[7th]],"&gt;0"),"")</f>
        <v>2.5</v>
      </c>
    </row>
    <row r="1887" spans="1:33" hidden="1" x14ac:dyDescent="0.2">
      <c r="A1887" s="4">
        <f>IF(B1887=1,3,IF(D1887=1,2,IF(F1887=1,1,0)))</f>
        <v>0</v>
      </c>
      <c r="B1887" s="4" t="str">
        <f>IF(C1887=$L1887,1,IF(C1887="","",0))</f>
        <v/>
      </c>
      <c r="C1887" s="42"/>
      <c r="D1887" s="4" t="str">
        <f>IF(E1887=$L1887,1,IF(E1887="","",0))</f>
        <v/>
      </c>
      <c r="E1887" s="23"/>
      <c r="F1887" s="4" t="str">
        <f>IF(G1887=$L1887,1,IF(G1887="","",0))</f>
        <v/>
      </c>
      <c r="G1887" s="14"/>
      <c r="H1887" s="6">
        <v>2845</v>
      </c>
      <c r="I1887" s="15" t="s">
        <v>3120</v>
      </c>
      <c r="J1887" s="6" t="s">
        <v>5885</v>
      </c>
      <c r="K1887" s="6"/>
      <c r="L1887" s="6" t="s">
        <v>2880</v>
      </c>
      <c r="M1887" s="6" t="s">
        <v>8949</v>
      </c>
      <c r="N1887" s="7">
        <f ca="1">RAND()</f>
        <v>0.76303710877042707</v>
      </c>
      <c r="O1887" s="8">
        <v>45222</v>
      </c>
      <c r="P1887" s="8">
        <v>45223</v>
      </c>
      <c r="Q1887" s="8">
        <v>45225</v>
      </c>
      <c r="R1887" s="8">
        <v>45229</v>
      </c>
      <c r="S1887" s="8">
        <v>45236</v>
      </c>
      <c r="T1887" s="8">
        <v>45816</v>
      </c>
      <c r="U1887" s="8"/>
      <c r="V1887" s="10">
        <f>COUNTA(O1887:U1887)</f>
        <v>6</v>
      </c>
      <c r="W1887" s="11">
        <f>_xlfn.IFNA(INDEX(reading[[#This Row],[Memo 01]:[Memo 07]],MATCH(0,reading[[#This Row],[Memo 01]:[Memo 07]],-1)),"")</f>
        <v>45816</v>
      </c>
      <c r="X1887" s="11">
        <f ca="1">IFERROR(reading[[#This Row],[Previous]]+OFFSET(reading[[#Headers],[Memo 01]],-1,MATCH(0,reading[[#This Row],[Memo 01]:[Memo 07]],-1)-1),"")</f>
        <v>45836</v>
      </c>
      <c r="Y1887" s="10" t="str">
        <f ca="1">IF(reading[[#This Row],[Next]]&lt;&gt;"",IF(reading[[#This Row],[Next]]&gt;TODAY(),"OK",""),"")</f>
        <v>OK</v>
      </c>
      <c r="Z1887" s="13">
        <v>3</v>
      </c>
      <c r="AA1887" s="13">
        <v>3</v>
      </c>
      <c r="AB1887" s="13">
        <v>3</v>
      </c>
      <c r="AC1887" s="13">
        <v>3</v>
      </c>
      <c r="AD1887" s="13">
        <v>3</v>
      </c>
      <c r="AE1887" s="13">
        <v>2</v>
      </c>
      <c r="AF1887" s="13"/>
      <c r="AG1887" s="16">
        <f>IFERROR(SUMIF(reading[[#This Row],[1st]:[7th]],"&gt;0")/COUNTIF(reading[[#This Row],[1st]:[7th]],"&gt;0"),"")</f>
        <v>2.8333333333333335</v>
      </c>
    </row>
    <row r="1888" spans="1:33" x14ac:dyDescent="0.2">
      <c r="A1888" s="4">
        <f>IF(B1888=1,3,IF(D1888=1,2,IF(F1888=1,1,0)))</f>
        <v>3</v>
      </c>
      <c r="B1888" s="4">
        <f>IF(C1888=$L1888,1,IF(C1888="","",0))</f>
        <v>1</v>
      </c>
      <c r="C1888" s="43" t="s">
        <v>9327</v>
      </c>
      <c r="D1888" s="4" t="str">
        <f>IF(E1888=$L1888,1,IF(E1888="","",0))</f>
        <v/>
      </c>
      <c r="E1888" s="14"/>
      <c r="F1888" s="4" t="str">
        <f>IF(G1888=$L1888,1,IF(G1888="","",0))</f>
        <v/>
      </c>
      <c r="G1888" s="14"/>
      <c r="H1888" s="6">
        <v>82</v>
      </c>
      <c r="I1888" s="15" t="s">
        <v>3120</v>
      </c>
      <c r="J1888" s="6" t="s">
        <v>3232</v>
      </c>
      <c r="K1888" s="6"/>
      <c r="L1888" s="6" t="s">
        <v>220</v>
      </c>
      <c r="M1888" s="6" t="s">
        <v>6191</v>
      </c>
      <c r="N1888" s="7">
        <f ca="1">RAND()</f>
        <v>0.50478141695557899</v>
      </c>
      <c r="O1888" s="8">
        <v>45198</v>
      </c>
      <c r="P1888" s="8">
        <v>45199</v>
      </c>
      <c r="Q1888" s="8">
        <v>45201</v>
      </c>
      <c r="R1888" s="8">
        <v>45205</v>
      </c>
      <c r="S1888" s="8">
        <v>45212</v>
      </c>
      <c r="T1888" s="8">
        <v>45224</v>
      </c>
      <c r="U1888" s="8"/>
      <c r="V1888" s="10">
        <f>COUNTA(O1888:U1888)</f>
        <v>6</v>
      </c>
      <c r="W1888" s="11">
        <f>_xlfn.IFNA(INDEX(reading[[#This Row],[Memo 01]:[Memo 07]],MATCH(0,reading[[#This Row],[Memo 01]:[Memo 07]],-1)),"")</f>
        <v>45224</v>
      </c>
      <c r="X1888" s="11">
        <f ca="1">IFERROR(reading[[#This Row],[Previous]]+OFFSET(reading[[#Headers],[Memo 01]],-1,MATCH(0,reading[[#This Row],[Memo 01]:[Memo 07]],-1)-1),"")</f>
        <v>45244</v>
      </c>
      <c r="Y1888" s="10" t="str">
        <f ca="1">IF(reading[[#This Row],[Next]]&lt;&gt;"",IF(reading[[#This Row],[Next]]&gt;TODAY(),"OK",""),"")</f>
        <v/>
      </c>
      <c r="Z1888" s="13">
        <v>3</v>
      </c>
      <c r="AA1888" s="13">
        <v>3</v>
      </c>
      <c r="AB1888" s="13">
        <v>3</v>
      </c>
      <c r="AC1888" s="13">
        <v>3</v>
      </c>
      <c r="AD1888" s="13">
        <v>3</v>
      </c>
      <c r="AE1888" s="13">
        <v>3</v>
      </c>
      <c r="AF1888" s="13"/>
      <c r="AG1888" s="16">
        <f>IFERROR(SUMIF(reading[[#This Row],[1st]:[7th]],"&gt;0")/COUNTIF(reading[[#This Row],[1st]:[7th]],"&gt;0"),"")</f>
        <v>3</v>
      </c>
    </row>
    <row r="1889" spans="1:33" x14ac:dyDescent="0.2">
      <c r="A1889" s="4">
        <f>IF(B1889=1,3,IF(D1889=1,2,IF(F1889=1,1,0)))</f>
        <v>3</v>
      </c>
      <c r="B1889" s="4">
        <f>IF(C1889=$L1889,1,IF(C1889="","",0))</f>
        <v>1</v>
      </c>
      <c r="C1889" s="42" t="s">
        <v>9202</v>
      </c>
      <c r="D1889" s="4" t="str">
        <f>IF(E1889=$L1889,1,IF(E1889="","",0))</f>
        <v/>
      </c>
      <c r="E1889" s="14"/>
      <c r="F1889" s="4" t="str">
        <f>IF(G1889=$L1889,1,IF(G1889="","",0))</f>
        <v/>
      </c>
      <c r="G1889" s="14"/>
      <c r="H1889" s="6">
        <v>2578</v>
      </c>
      <c r="I1889" s="15" t="s">
        <v>3120</v>
      </c>
      <c r="J1889" s="6" t="s">
        <v>5638</v>
      </c>
      <c r="K1889" s="6"/>
      <c r="L1889" s="6" t="s">
        <v>2622</v>
      </c>
      <c r="M1889" s="6" t="s">
        <v>8683</v>
      </c>
      <c r="N1889" s="7">
        <f ca="1">RAND()</f>
        <v>0.26001210847306688</v>
      </c>
      <c r="O1889" s="8">
        <v>45219</v>
      </c>
      <c r="P1889" s="8">
        <v>45220</v>
      </c>
      <c r="Q1889" s="8">
        <v>45222</v>
      </c>
      <c r="R1889" s="8">
        <v>45226</v>
      </c>
      <c r="S1889" s="8">
        <v>45233</v>
      </c>
      <c r="T1889" s="8">
        <v>45783</v>
      </c>
      <c r="U1889" s="8"/>
      <c r="V1889" s="10">
        <f>COUNTA(O1889:U1889)</f>
        <v>6</v>
      </c>
      <c r="W1889" s="11">
        <f>_xlfn.IFNA(INDEX(reading[[#This Row],[Memo 01]:[Memo 07]],MATCH(0,reading[[#This Row],[Memo 01]:[Memo 07]],-1)),"")</f>
        <v>45783</v>
      </c>
      <c r="X1889" s="11">
        <f ca="1">IFERROR(reading[[#This Row],[Previous]]+OFFSET(reading[[#Headers],[Memo 01]],-1,MATCH(0,reading[[#This Row],[Memo 01]:[Memo 07]],-1)-1),"")</f>
        <v>45803</v>
      </c>
      <c r="Y1889" s="10" t="str">
        <f ca="1">IF(reading[[#This Row],[Next]]&lt;&gt;"",IF(reading[[#This Row],[Next]]&gt;TODAY(),"OK",""),"")</f>
        <v/>
      </c>
      <c r="Z1889" s="13">
        <v>3</v>
      </c>
      <c r="AA1889" s="13">
        <v>3</v>
      </c>
      <c r="AB1889" s="13">
        <v>3</v>
      </c>
      <c r="AC1889" s="13">
        <v>3</v>
      </c>
      <c r="AD1889" s="13">
        <v>3</v>
      </c>
      <c r="AE1889" s="13">
        <v>3</v>
      </c>
      <c r="AF1889" s="13"/>
      <c r="AG1889" s="16">
        <f>IFERROR(SUMIF(reading[[#This Row],[1st]:[7th]],"&gt;0")/COUNTIF(reading[[#This Row],[1st]:[7th]],"&gt;0"),"")</f>
        <v>3</v>
      </c>
    </row>
    <row r="1890" spans="1:33" hidden="1" x14ac:dyDescent="0.2">
      <c r="A1890" s="4">
        <f>IF(B1890=1,3,IF(D1890=1,2,IF(F1890=1,1,0)))</f>
        <v>0</v>
      </c>
      <c r="B1890" s="4">
        <f>IF(C1890=$L1890,1,IF(C1890="","",0))</f>
        <v>0</v>
      </c>
      <c r="C1890" s="42" t="s">
        <v>9200</v>
      </c>
      <c r="D1890" s="4">
        <f>IF(E1890=$L1890,1,IF(E1890="","",0))</f>
        <v>0</v>
      </c>
      <c r="E1890" s="43" t="s">
        <v>9200</v>
      </c>
      <c r="F1890" s="4" t="str">
        <f>IF(G1890=$L1890,1,IF(G1890="","",0))</f>
        <v/>
      </c>
      <c r="G1890" s="14"/>
      <c r="H1890" s="6">
        <v>1895</v>
      </c>
      <c r="I1890" s="15" t="s">
        <v>3120</v>
      </c>
      <c r="J1890" s="6" t="s">
        <v>4996</v>
      </c>
      <c r="K1890" s="6"/>
      <c r="L1890" s="6" t="s">
        <v>1971</v>
      </c>
      <c r="M1890" s="6" t="s">
        <v>8001</v>
      </c>
      <c r="N1890" s="7">
        <f ca="1">RAND()</f>
        <v>0.47943902308342801</v>
      </c>
      <c r="O1890" s="8">
        <v>45212</v>
      </c>
      <c r="P1890" s="8">
        <v>45213</v>
      </c>
      <c r="Q1890" s="8">
        <v>45215</v>
      </c>
      <c r="R1890" s="8">
        <v>45219</v>
      </c>
      <c r="S1890" s="8">
        <v>45226</v>
      </c>
      <c r="T1890" s="8">
        <v>45251</v>
      </c>
      <c r="U1890" s="8"/>
      <c r="V1890" s="10">
        <f>COUNTA(O1890:U1890)</f>
        <v>6</v>
      </c>
      <c r="W1890" s="11">
        <f>_xlfn.IFNA(INDEX(reading[[#This Row],[Memo 01]:[Memo 07]],MATCH(0,reading[[#This Row],[Memo 01]:[Memo 07]],-1)),"")</f>
        <v>45251</v>
      </c>
      <c r="X1890" s="11">
        <f ca="1">IFERROR(reading[[#This Row],[Previous]]+OFFSET(reading[[#Headers],[Memo 01]],-1,MATCH(0,reading[[#This Row],[Memo 01]:[Memo 07]],-1)-1),"")</f>
        <v>45271</v>
      </c>
      <c r="Y1890" s="10" t="str">
        <f ca="1">IF(reading[[#This Row],[Next]]&lt;&gt;"",IF(reading[[#This Row],[Next]]&gt;TODAY(),"OK",""),"")</f>
        <v/>
      </c>
      <c r="Z1890" s="13">
        <v>3</v>
      </c>
      <c r="AA1890" s="13">
        <v>3</v>
      </c>
      <c r="AB1890" s="13">
        <v>3</v>
      </c>
      <c r="AC1890" s="13">
        <v>2</v>
      </c>
      <c r="AD1890" s="13">
        <v>2</v>
      </c>
      <c r="AE1890" s="13">
        <v>3</v>
      </c>
      <c r="AF1890" s="13"/>
      <c r="AG1890" s="16">
        <f>IFERROR(SUMIF(reading[[#This Row],[1st]:[7th]],"&gt;0")/COUNTIF(reading[[#This Row],[1st]:[7th]],"&gt;0"),"")</f>
        <v>2.6666666666666665</v>
      </c>
    </row>
    <row r="1891" spans="1:33" x14ac:dyDescent="0.2">
      <c r="A1891" s="4">
        <f>IF(B1891=1,3,IF(D1891=1,2,IF(F1891=1,1,0)))</f>
        <v>0</v>
      </c>
      <c r="B1891" s="4">
        <f>IF(C1891=$L1891,1,IF(C1891="","",0))</f>
        <v>0</v>
      </c>
      <c r="C1891" s="42" t="s">
        <v>9200</v>
      </c>
      <c r="D1891" s="4" t="str">
        <f>IF(E1891=$L1891,1,IF(E1891="","",0))</f>
        <v/>
      </c>
      <c r="E1891" s="18"/>
      <c r="F1891" s="4" t="str">
        <f>IF(G1891=$L1891,1,IF(G1891="","",0))</f>
        <v/>
      </c>
      <c r="G1891" s="14"/>
      <c r="H1891" s="6">
        <v>2597</v>
      </c>
      <c r="I1891" s="15" t="s">
        <v>3120</v>
      </c>
      <c r="J1891" s="6" t="s">
        <v>5654</v>
      </c>
      <c r="K1891" s="6"/>
      <c r="L1891" s="6" t="s">
        <v>2640</v>
      </c>
      <c r="M1891" s="6" t="s">
        <v>8702</v>
      </c>
      <c r="N1891" s="7">
        <f ca="1">RAND()</f>
        <v>0.53258387867714507</v>
      </c>
      <c r="O1891" s="8">
        <v>45220</v>
      </c>
      <c r="P1891" s="8">
        <v>45221</v>
      </c>
      <c r="Q1891" s="8">
        <v>45223</v>
      </c>
      <c r="R1891" s="8">
        <v>45227</v>
      </c>
      <c r="S1891" s="8">
        <v>45234</v>
      </c>
      <c r="T1891" s="8"/>
      <c r="U1891" s="8"/>
      <c r="V1891" s="10">
        <f>COUNTA(O1891:U1891)</f>
        <v>5</v>
      </c>
      <c r="W1891" s="11">
        <f>_xlfn.IFNA(INDEX(reading[[#This Row],[Memo 01]:[Memo 07]],MATCH(0,reading[[#This Row],[Memo 01]:[Memo 07]],-1)),"")</f>
        <v>45234</v>
      </c>
      <c r="X1891" s="11">
        <f ca="1">IFERROR(reading[[#This Row],[Previous]]+OFFSET(reading[[#Headers],[Memo 01]],-1,MATCH(0,reading[[#This Row],[Memo 01]:[Memo 07]],-1)-1),"")</f>
        <v>45246</v>
      </c>
      <c r="Y1891" s="10" t="str">
        <f ca="1">IF(reading[[#This Row],[Next]]&lt;&gt;"",IF(reading[[#This Row],[Next]]&gt;TODAY(),"OK",""),"")</f>
        <v/>
      </c>
      <c r="Z1891" s="13">
        <v>3</v>
      </c>
      <c r="AA1891" s="13">
        <v>3</v>
      </c>
      <c r="AB1891" s="13">
        <v>3</v>
      </c>
      <c r="AC1891" s="13">
        <v>2</v>
      </c>
      <c r="AD1891" s="13">
        <v>3</v>
      </c>
      <c r="AE1891" s="13"/>
      <c r="AF1891" s="13"/>
      <c r="AG1891" s="16">
        <f>IFERROR(SUMIF(reading[[#This Row],[1st]:[7th]],"&gt;0")/COUNTIF(reading[[#This Row],[1st]:[7th]],"&gt;0"),"")</f>
        <v>2.8</v>
      </c>
    </row>
    <row r="1892" spans="1:33" x14ac:dyDescent="0.2">
      <c r="A1892" s="4">
        <f>IF(B1892=1,3,IF(D1892=1,2,IF(F1892=1,1,0)))</f>
        <v>0</v>
      </c>
      <c r="B1892" s="4">
        <f>IF(C1892=$L1892,1,IF(C1892="","",0))</f>
        <v>0</v>
      </c>
      <c r="C1892" s="42" t="s">
        <v>9328</v>
      </c>
      <c r="D1892" s="4" t="str">
        <f>IF(E1892=$L1892,1,IF(E1892="","",0))</f>
        <v/>
      </c>
      <c r="E1892" s="18"/>
      <c r="F1892" s="4" t="str">
        <f>IF(G1892=$L1892,1,IF(G1892="","",0))</f>
        <v/>
      </c>
      <c r="G1892" s="14"/>
      <c r="H1892" s="6">
        <v>2098</v>
      </c>
      <c r="I1892" s="15" t="s">
        <v>3120</v>
      </c>
      <c r="J1892" s="6" t="s">
        <v>5188</v>
      </c>
      <c r="K1892" s="6"/>
      <c r="L1892" s="6" t="s">
        <v>2168</v>
      </c>
      <c r="M1892" s="6" t="s">
        <v>8204</v>
      </c>
      <c r="N1892" s="7">
        <f ca="1">RAND()</f>
        <v>0.58261998835507722</v>
      </c>
      <c r="O1892" s="8">
        <v>45214</v>
      </c>
      <c r="P1892" s="8">
        <v>45215</v>
      </c>
      <c r="Q1892" s="8">
        <v>45217</v>
      </c>
      <c r="R1892" s="8">
        <v>45221</v>
      </c>
      <c r="S1892" s="8">
        <v>45228</v>
      </c>
      <c r="T1892" s="8">
        <v>45783</v>
      </c>
      <c r="U1892" s="8"/>
      <c r="V1892" s="10">
        <f>COUNTA(O1892:U1892)</f>
        <v>6</v>
      </c>
      <c r="W1892" s="11">
        <f>_xlfn.IFNA(INDEX(reading[[#This Row],[Memo 01]:[Memo 07]],MATCH(0,reading[[#This Row],[Memo 01]:[Memo 07]],-1)),"")</f>
        <v>45783</v>
      </c>
      <c r="X1892" s="11">
        <f ca="1">IFERROR(reading[[#This Row],[Previous]]+OFFSET(reading[[#Headers],[Memo 01]],-1,MATCH(0,reading[[#This Row],[Memo 01]:[Memo 07]],-1)-1),"")</f>
        <v>45803</v>
      </c>
      <c r="Y1892" s="10" t="str">
        <f ca="1">IF(reading[[#This Row],[Next]]&lt;&gt;"",IF(reading[[#This Row],[Next]]&gt;TODAY(),"OK",""),"")</f>
        <v/>
      </c>
      <c r="Z1892" s="13">
        <v>3</v>
      </c>
      <c r="AA1892" s="13">
        <v>3</v>
      </c>
      <c r="AB1892" s="13">
        <v>3</v>
      </c>
      <c r="AC1892" s="13">
        <v>3</v>
      </c>
      <c r="AD1892" s="13">
        <v>3</v>
      </c>
      <c r="AE1892" s="13">
        <v>3</v>
      </c>
      <c r="AF1892" s="13"/>
      <c r="AG1892" s="16">
        <f>IFERROR(SUMIF(reading[[#This Row],[1st]:[7th]],"&gt;0")/COUNTIF(reading[[#This Row],[1st]:[7th]],"&gt;0"),"")</f>
        <v>3</v>
      </c>
    </row>
    <row r="1893" spans="1:33" x14ac:dyDescent="0.2">
      <c r="A1893" s="4">
        <f>IF(B1893=1,3,IF(D1893=1,2,IF(F1893=1,1,0)))</f>
        <v>0</v>
      </c>
      <c r="B1893" s="4">
        <f>IF(C1893=$L1893,1,IF(C1893="","",0))</f>
        <v>0</v>
      </c>
      <c r="C1893" s="42" t="s">
        <v>9329</v>
      </c>
      <c r="D1893" s="4" t="str">
        <f>IF(E1893=$L1893,1,IF(E1893="","",0))</f>
        <v/>
      </c>
      <c r="E1893" s="14"/>
      <c r="F1893" s="4" t="str">
        <f>IF(G1893=$L1893,1,IF(G1893="","",0))</f>
        <v/>
      </c>
      <c r="G1893" s="14"/>
      <c r="H1893" s="6">
        <v>1019</v>
      </c>
      <c r="I1893" s="15" t="s">
        <v>3120</v>
      </c>
      <c r="J1893" s="6" t="s">
        <v>4147</v>
      </c>
      <c r="K1893" s="6"/>
      <c r="L1893" s="6" t="s">
        <v>1129</v>
      </c>
      <c r="M1893" s="6" t="s">
        <v>7127</v>
      </c>
      <c r="N1893" s="7">
        <f ca="1">RAND()</f>
        <v>0.33680309366383343</v>
      </c>
      <c r="O1893" s="8">
        <v>45205</v>
      </c>
      <c r="P1893" s="8">
        <v>45206</v>
      </c>
      <c r="Q1893" s="8">
        <v>45208</v>
      </c>
      <c r="R1893" s="8">
        <v>45212</v>
      </c>
      <c r="S1893" s="8">
        <v>45219</v>
      </c>
      <c r="T1893" s="8">
        <v>45231</v>
      </c>
      <c r="U1893" s="8"/>
      <c r="V1893" s="10">
        <f>COUNTA(O1893:U1893)</f>
        <v>6</v>
      </c>
      <c r="W1893" s="11">
        <f>_xlfn.IFNA(INDEX(reading[[#This Row],[Memo 01]:[Memo 07]],MATCH(0,reading[[#This Row],[Memo 01]:[Memo 07]],-1)),"")</f>
        <v>45231</v>
      </c>
      <c r="X1893" s="11">
        <f ca="1">IFERROR(reading[[#This Row],[Previous]]+OFFSET(reading[[#Headers],[Memo 01]],-1,MATCH(0,reading[[#This Row],[Memo 01]:[Memo 07]],-1)-1),"")</f>
        <v>45251</v>
      </c>
      <c r="Y1893" s="10" t="str">
        <f ca="1">IF(reading[[#This Row],[Next]]&lt;&gt;"",IF(reading[[#This Row],[Next]]&gt;TODAY(),"OK",""),"")</f>
        <v/>
      </c>
      <c r="Z1893" s="13">
        <v>3</v>
      </c>
      <c r="AA1893" s="13">
        <v>3</v>
      </c>
      <c r="AB1893" s="13">
        <v>3</v>
      </c>
      <c r="AC1893" s="13">
        <v>3</v>
      </c>
      <c r="AD1893" s="13">
        <v>3</v>
      </c>
      <c r="AE1893" s="13">
        <v>3</v>
      </c>
      <c r="AF1893" s="13"/>
      <c r="AG1893" s="16">
        <f>IFERROR(SUMIF(reading[[#This Row],[1st]:[7th]],"&gt;0")/COUNTIF(reading[[#This Row],[1st]:[7th]],"&gt;0"),"")</f>
        <v>3</v>
      </c>
    </row>
    <row r="1894" spans="1:33" x14ac:dyDescent="0.2">
      <c r="A1894" s="4">
        <f>IF(B1894=1,3,IF(D1894=1,2,IF(F1894=1,1,0)))</f>
        <v>3</v>
      </c>
      <c r="B1894" s="4">
        <f>IF(C1894=$L1894,1,IF(C1894="","",0))</f>
        <v>1</v>
      </c>
      <c r="C1894" s="42" t="s">
        <v>9330</v>
      </c>
      <c r="D1894" s="4" t="str">
        <f>IF(E1894=$L1894,1,IF(E1894="","",0))</f>
        <v/>
      </c>
      <c r="E1894" s="23"/>
      <c r="F1894" s="4" t="str">
        <f>IF(G1894=$L1894,1,IF(G1894="","",0))</f>
        <v/>
      </c>
      <c r="G1894" s="14"/>
      <c r="H1894" s="6">
        <v>660</v>
      </c>
      <c r="I1894" s="15" t="s">
        <v>3120</v>
      </c>
      <c r="J1894" s="6" t="s">
        <v>3800</v>
      </c>
      <c r="K1894" s="6"/>
      <c r="L1894" s="6" t="s">
        <v>783</v>
      </c>
      <c r="M1894" s="6" t="s">
        <v>6769</v>
      </c>
      <c r="N1894" s="7">
        <f ca="1">RAND()</f>
        <v>0.99183418640383636</v>
      </c>
      <c r="O1894" s="8">
        <v>45202</v>
      </c>
      <c r="P1894" s="8">
        <v>45203</v>
      </c>
      <c r="Q1894" s="8">
        <v>45205</v>
      </c>
      <c r="R1894" s="8">
        <v>45209</v>
      </c>
      <c r="S1894" s="8">
        <v>45216</v>
      </c>
      <c r="T1894" s="8">
        <v>45228</v>
      </c>
      <c r="U1894" s="8"/>
      <c r="V1894" s="10">
        <f>COUNTA(O1894:U1894)</f>
        <v>6</v>
      </c>
      <c r="W1894" s="11">
        <f>_xlfn.IFNA(INDEX(reading[[#This Row],[Memo 01]:[Memo 07]],MATCH(0,reading[[#This Row],[Memo 01]:[Memo 07]],-1)),"")</f>
        <v>45228</v>
      </c>
      <c r="X1894" s="11">
        <f ca="1">IFERROR(reading[[#This Row],[Previous]]+OFFSET(reading[[#Headers],[Memo 01]],-1,MATCH(0,reading[[#This Row],[Memo 01]:[Memo 07]],-1)-1),"")</f>
        <v>45248</v>
      </c>
      <c r="Y1894" s="10" t="str">
        <f ca="1">IF(reading[[#This Row],[Next]]&lt;&gt;"",IF(reading[[#This Row],[Next]]&gt;TODAY(),"OK",""),"")</f>
        <v/>
      </c>
      <c r="Z1894" s="13">
        <v>3</v>
      </c>
      <c r="AA1894" s="13">
        <v>3</v>
      </c>
      <c r="AB1894" s="13">
        <v>3</v>
      </c>
      <c r="AC1894" s="13">
        <v>2</v>
      </c>
      <c r="AD1894" s="13">
        <v>3</v>
      </c>
      <c r="AE1894" s="13">
        <v>3</v>
      </c>
      <c r="AF1894" s="13"/>
      <c r="AG1894" s="16">
        <f>IFERROR(SUMIF(reading[[#This Row],[1st]:[7th]],"&gt;0")/COUNTIF(reading[[#This Row],[1st]:[7th]],"&gt;0"),"")</f>
        <v>2.8333333333333335</v>
      </c>
    </row>
    <row r="1895" spans="1:33" hidden="1" x14ac:dyDescent="0.2">
      <c r="A1895" s="4">
        <f>IF(B1895=1,3,IF(D1895=1,2,IF(F1895=1,1,0)))</f>
        <v>0</v>
      </c>
      <c r="B1895" s="4" t="str">
        <f>IF(C1895=$L1895,1,IF(C1895="","",0))</f>
        <v/>
      </c>
      <c r="C1895" s="42"/>
      <c r="D1895" s="4" t="str">
        <f>IF(E1895=$L1895,1,IF(E1895="","",0))</f>
        <v/>
      </c>
      <c r="E1895" s="43"/>
      <c r="F1895" s="4" t="str">
        <f>IF(G1895=$L1895,1,IF(G1895="","",0))</f>
        <v/>
      </c>
      <c r="G1895" s="14"/>
      <c r="H1895" s="6">
        <v>2431</v>
      </c>
      <c r="I1895" s="15" t="s">
        <v>3120</v>
      </c>
      <c r="J1895" s="6" t="s">
        <v>5501</v>
      </c>
      <c r="K1895" s="6"/>
      <c r="L1895" s="6" t="s">
        <v>2481</v>
      </c>
      <c r="M1895" s="6" t="s">
        <v>8536</v>
      </c>
      <c r="N1895" s="7">
        <f ca="1">RAND()</f>
        <v>0.1565972755676367</v>
      </c>
      <c r="O1895" s="8">
        <v>45217</v>
      </c>
      <c r="P1895" s="8">
        <v>45218</v>
      </c>
      <c r="Q1895" s="8">
        <v>45220</v>
      </c>
      <c r="R1895" s="8">
        <v>45224</v>
      </c>
      <c r="S1895" s="8">
        <v>45231</v>
      </c>
      <c r="T1895" s="8">
        <v>45816</v>
      </c>
      <c r="U1895" s="8"/>
      <c r="V1895" s="10">
        <f>COUNTA(O1895:U1895)</f>
        <v>6</v>
      </c>
      <c r="W1895" s="11">
        <f>_xlfn.IFNA(INDEX(reading[[#This Row],[Memo 01]:[Memo 07]],MATCH(0,reading[[#This Row],[Memo 01]:[Memo 07]],-1)),"")</f>
        <v>45816</v>
      </c>
      <c r="X1895" s="11">
        <f ca="1">IFERROR(reading[[#This Row],[Previous]]+OFFSET(reading[[#Headers],[Memo 01]],-1,MATCH(0,reading[[#This Row],[Memo 01]:[Memo 07]],-1)-1),"")</f>
        <v>45836</v>
      </c>
      <c r="Y1895" s="10" t="str">
        <f ca="1">IF(reading[[#This Row],[Next]]&lt;&gt;"",IF(reading[[#This Row],[Next]]&gt;TODAY(),"OK",""),"")</f>
        <v>OK</v>
      </c>
      <c r="Z1895" s="13">
        <v>3</v>
      </c>
      <c r="AA1895" s="13">
        <v>3</v>
      </c>
      <c r="AB1895" s="13">
        <v>3</v>
      </c>
      <c r="AC1895" s="13">
        <v>2</v>
      </c>
      <c r="AD1895" s="13">
        <v>3</v>
      </c>
      <c r="AE1895" s="13">
        <v>2</v>
      </c>
      <c r="AF1895" s="13"/>
      <c r="AG1895" s="16">
        <f>IFERROR(SUMIF(reading[[#This Row],[1st]:[7th]],"&gt;0")/COUNTIF(reading[[#This Row],[1st]:[7th]],"&gt;0"),"")</f>
        <v>2.6666666666666665</v>
      </c>
    </row>
    <row r="1896" spans="1:33" hidden="1" x14ac:dyDescent="0.2">
      <c r="A1896" s="4">
        <f>IF(B1896=1,3,IF(D1896=1,2,IF(F1896=1,1,0)))</f>
        <v>0</v>
      </c>
      <c r="B1896" s="4">
        <f>IF(C1896=$L1896,1,IF(C1896="","",0))</f>
        <v>0</v>
      </c>
      <c r="C1896" s="42" t="s">
        <v>9247</v>
      </c>
      <c r="D1896" s="4">
        <f>IF(E1896=$L1896,1,IF(E1896="","",0))</f>
        <v>0</v>
      </c>
      <c r="E1896" s="23" t="s">
        <v>9200</v>
      </c>
      <c r="F1896" s="4" t="str">
        <f>IF(G1896=$L1896,1,IF(G1896="","",0))</f>
        <v/>
      </c>
      <c r="G1896" s="14"/>
      <c r="H1896" s="6">
        <v>2592</v>
      </c>
      <c r="I1896" s="15" t="s">
        <v>3120</v>
      </c>
      <c r="J1896" s="6" t="s">
        <v>5649</v>
      </c>
      <c r="K1896" s="6"/>
      <c r="L1896" s="6" t="s">
        <v>2635</v>
      </c>
      <c r="M1896" s="6" t="s">
        <v>8697</v>
      </c>
      <c r="N1896" s="7">
        <f ca="1">RAND()</f>
        <v>0.76460410051940553</v>
      </c>
      <c r="O1896" s="8">
        <v>45219</v>
      </c>
      <c r="P1896" s="8">
        <v>45220</v>
      </c>
      <c r="Q1896" s="8">
        <v>45222</v>
      </c>
      <c r="R1896" s="8">
        <v>45226</v>
      </c>
      <c r="S1896" s="8">
        <v>45233</v>
      </c>
      <c r="T1896" s="8"/>
      <c r="U1896" s="8"/>
      <c r="V1896" s="10">
        <f>COUNTA(O1896:U1896)</f>
        <v>5</v>
      </c>
      <c r="W1896" s="11">
        <f>_xlfn.IFNA(INDEX(reading[[#This Row],[Memo 01]:[Memo 07]],MATCH(0,reading[[#This Row],[Memo 01]:[Memo 07]],-1)),"")</f>
        <v>45233</v>
      </c>
      <c r="X1896" s="11">
        <f ca="1">IFERROR(reading[[#This Row],[Previous]]+OFFSET(reading[[#Headers],[Memo 01]],-1,MATCH(0,reading[[#This Row],[Memo 01]:[Memo 07]],-1)-1),"")</f>
        <v>45245</v>
      </c>
      <c r="Y1896" s="10" t="str">
        <f ca="1">IF(reading[[#This Row],[Next]]&lt;&gt;"",IF(reading[[#This Row],[Next]]&gt;TODAY(),"OK",""),"")</f>
        <v/>
      </c>
      <c r="Z1896" s="13">
        <v>3</v>
      </c>
      <c r="AA1896" s="13">
        <v>3</v>
      </c>
      <c r="AB1896" s="13">
        <v>3</v>
      </c>
      <c r="AC1896" s="13">
        <v>3</v>
      </c>
      <c r="AD1896" s="13">
        <v>3</v>
      </c>
      <c r="AE1896" s="13"/>
      <c r="AF1896" s="13"/>
      <c r="AG1896" s="16">
        <f>IFERROR(SUMIF(reading[[#This Row],[1st]:[7th]],"&gt;0")/COUNTIF(reading[[#This Row],[1st]:[7th]],"&gt;0"),"")</f>
        <v>3</v>
      </c>
    </row>
    <row r="1897" spans="1:33" x14ac:dyDescent="0.2">
      <c r="A1897" s="4">
        <f>IF(B1897=1,3,IF(D1897=1,2,IF(F1897=1,1,0)))</f>
        <v>0</v>
      </c>
      <c r="B1897" s="4">
        <f>IF(C1897=$L1897,1,IF(C1897="","",0))</f>
        <v>0</v>
      </c>
      <c r="C1897" s="42" t="s">
        <v>9200</v>
      </c>
      <c r="D1897" s="4" t="str">
        <f>IF(E1897=$L1897,1,IF(E1897="","",0))</f>
        <v/>
      </c>
      <c r="E1897" s="14"/>
      <c r="F1897" s="4" t="str">
        <f>IF(G1897=$L1897,1,IF(G1897="","",0))</f>
        <v/>
      </c>
      <c r="G1897" s="14"/>
      <c r="H1897" s="6">
        <v>2735</v>
      </c>
      <c r="I1897" s="15" t="s">
        <v>3120</v>
      </c>
      <c r="J1897" s="6" t="s">
        <v>5783</v>
      </c>
      <c r="K1897" s="6"/>
      <c r="L1897" s="6" t="s">
        <v>2773</v>
      </c>
      <c r="M1897" s="6" t="s">
        <v>8840</v>
      </c>
      <c r="N1897" s="7">
        <f ca="1">RAND()</f>
        <v>0.97959141489963952</v>
      </c>
      <c r="O1897" s="8">
        <v>45221</v>
      </c>
      <c r="P1897" s="8">
        <v>45222</v>
      </c>
      <c r="Q1897" s="8">
        <v>45224</v>
      </c>
      <c r="R1897" s="8">
        <v>45228</v>
      </c>
      <c r="S1897" s="8">
        <v>45235</v>
      </c>
      <c r="T1897" s="8"/>
      <c r="U1897" s="8"/>
      <c r="V1897" s="10">
        <f>COUNTA(O1897:U1897)</f>
        <v>5</v>
      </c>
      <c r="W1897" s="11">
        <f>_xlfn.IFNA(INDEX(reading[[#This Row],[Memo 01]:[Memo 07]],MATCH(0,reading[[#This Row],[Memo 01]:[Memo 07]],-1)),"")</f>
        <v>45235</v>
      </c>
      <c r="X1897" s="11">
        <f ca="1">IFERROR(reading[[#This Row],[Previous]]+OFFSET(reading[[#Headers],[Memo 01]],-1,MATCH(0,reading[[#This Row],[Memo 01]:[Memo 07]],-1)-1),"")</f>
        <v>45247</v>
      </c>
      <c r="Y1897" s="10" t="str">
        <f ca="1">IF(reading[[#This Row],[Next]]&lt;&gt;"",IF(reading[[#This Row],[Next]]&gt;TODAY(),"OK",""),"")</f>
        <v/>
      </c>
      <c r="Z1897" s="13">
        <v>3</v>
      </c>
      <c r="AA1897" s="13">
        <v>3</v>
      </c>
      <c r="AB1897" s="13">
        <v>3</v>
      </c>
      <c r="AC1897" s="13">
        <v>3</v>
      </c>
      <c r="AD1897" s="13">
        <v>3</v>
      </c>
      <c r="AE1897" s="13"/>
      <c r="AF1897" s="13"/>
      <c r="AG1897" s="16">
        <f>IFERROR(SUMIF(reading[[#This Row],[1st]:[7th]],"&gt;0")/COUNTIF(reading[[#This Row],[1st]:[7th]],"&gt;0"),"")</f>
        <v>3</v>
      </c>
    </row>
    <row r="1898" spans="1:33" x14ac:dyDescent="0.2">
      <c r="A1898" s="4">
        <f>IF(B1898=1,3,IF(D1898=1,2,IF(F1898=1,1,0)))</f>
        <v>3</v>
      </c>
      <c r="B1898" s="4">
        <f>IF(C1898=$L1898,1,IF(C1898="","",0))</f>
        <v>1</v>
      </c>
      <c r="C1898" s="42" t="s">
        <v>9208</v>
      </c>
      <c r="D1898" s="4" t="str">
        <f>IF(E1898=$L1898,1,IF(E1898="","",0))</f>
        <v/>
      </c>
      <c r="E1898" s="18"/>
      <c r="F1898" s="4" t="str">
        <f>IF(G1898=$L1898,1,IF(G1898="","",0))</f>
        <v/>
      </c>
      <c r="G1898" s="14"/>
      <c r="H1898" s="6">
        <v>2776</v>
      </c>
      <c r="I1898" s="15" t="s">
        <v>3120</v>
      </c>
      <c r="J1898" s="6" t="s">
        <v>5819</v>
      </c>
      <c r="K1898" s="6"/>
      <c r="L1898" s="6" t="s">
        <v>2814</v>
      </c>
      <c r="M1898" s="6" t="s">
        <v>8880</v>
      </c>
      <c r="N1898" s="7">
        <f ca="1">RAND()</f>
        <v>0.77738840187124392</v>
      </c>
      <c r="O1898" s="8">
        <v>45222</v>
      </c>
      <c r="P1898" s="8">
        <v>45223</v>
      </c>
      <c r="Q1898" s="8">
        <v>45225</v>
      </c>
      <c r="R1898" s="8">
        <v>45229</v>
      </c>
      <c r="S1898" s="8">
        <v>45236</v>
      </c>
      <c r="T1898" s="8">
        <v>45792</v>
      </c>
      <c r="U1898" s="8"/>
      <c r="V1898" s="10">
        <f>COUNTA(O1898:U1898)</f>
        <v>6</v>
      </c>
      <c r="W1898" s="11">
        <f>_xlfn.IFNA(INDEX(reading[[#This Row],[Memo 01]:[Memo 07]],MATCH(0,reading[[#This Row],[Memo 01]:[Memo 07]],-1)),"")</f>
        <v>45792</v>
      </c>
      <c r="X1898" s="11">
        <f ca="1">IFERROR(reading[[#This Row],[Previous]]+OFFSET(reading[[#Headers],[Memo 01]],-1,MATCH(0,reading[[#This Row],[Memo 01]:[Memo 07]],-1)-1),"")</f>
        <v>45812</v>
      </c>
      <c r="Y1898" s="10" t="str">
        <f ca="1">IF(reading[[#This Row],[Next]]&lt;&gt;"",IF(reading[[#This Row],[Next]]&gt;TODAY(),"OK",""),"")</f>
        <v/>
      </c>
      <c r="Z1898" s="13">
        <v>3</v>
      </c>
      <c r="AA1898" s="13">
        <v>3</v>
      </c>
      <c r="AB1898" s="13">
        <v>2</v>
      </c>
      <c r="AC1898" s="13">
        <v>3</v>
      </c>
      <c r="AD1898" s="13">
        <v>3</v>
      </c>
      <c r="AE1898" s="13">
        <v>3</v>
      </c>
      <c r="AF1898" s="13"/>
      <c r="AG1898" s="16">
        <f>IFERROR(SUMIF(reading[[#This Row],[1st]:[7th]],"&gt;0")/COUNTIF(reading[[#This Row],[1st]:[7th]],"&gt;0"),"")</f>
        <v>2.8333333333333335</v>
      </c>
    </row>
    <row r="1899" spans="1:33" x14ac:dyDescent="0.2">
      <c r="A1899" s="4">
        <f>IF(B1899=1,3,IF(D1899=1,2,IF(F1899=1,1,0)))</f>
        <v>3</v>
      </c>
      <c r="B1899" s="4">
        <f>IF(C1899=$L1899,1,IF(C1899="","",0))</f>
        <v>1</v>
      </c>
      <c r="C1899" s="42" t="s">
        <v>9331</v>
      </c>
      <c r="D1899" s="4" t="str">
        <f>IF(E1899=$L1899,1,IF(E1899="","",0))</f>
        <v/>
      </c>
      <c r="E1899" s="18"/>
      <c r="F1899" s="4" t="str">
        <f>IF(G1899=$L1899,1,IF(G1899="","",0))</f>
        <v/>
      </c>
      <c r="G1899" s="14"/>
      <c r="H1899" s="6">
        <v>1412</v>
      </c>
      <c r="I1899" s="15" t="s">
        <v>3120</v>
      </c>
      <c r="J1899" s="6" t="s">
        <v>4526</v>
      </c>
      <c r="K1899" s="6"/>
      <c r="L1899" s="6" t="s">
        <v>1503</v>
      </c>
      <c r="M1899" s="6" t="s">
        <v>7519</v>
      </c>
      <c r="N1899" s="7">
        <f ca="1">RAND()</f>
        <v>0.7034725065010109</v>
      </c>
      <c r="O1899" s="8">
        <v>45208</v>
      </c>
      <c r="P1899" s="8">
        <v>45209</v>
      </c>
      <c r="Q1899" s="8">
        <v>45211</v>
      </c>
      <c r="R1899" s="8">
        <v>45215</v>
      </c>
      <c r="S1899" s="8">
        <v>45222</v>
      </c>
      <c r="T1899" s="8">
        <v>45234</v>
      </c>
      <c r="U1899" s="8"/>
      <c r="V1899" s="10">
        <f>COUNTA(O1899:U1899)</f>
        <v>6</v>
      </c>
      <c r="W1899" s="11">
        <f>_xlfn.IFNA(INDEX(reading[[#This Row],[Memo 01]:[Memo 07]],MATCH(0,reading[[#This Row],[Memo 01]:[Memo 07]],-1)),"")</f>
        <v>45234</v>
      </c>
      <c r="X1899" s="11">
        <f ca="1">IFERROR(reading[[#This Row],[Previous]]+OFFSET(reading[[#Headers],[Memo 01]],-1,MATCH(0,reading[[#This Row],[Memo 01]:[Memo 07]],-1)-1),"")</f>
        <v>45254</v>
      </c>
      <c r="Y1899" s="10" t="str">
        <f ca="1">IF(reading[[#This Row],[Next]]&lt;&gt;"",IF(reading[[#This Row],[Next]]&gt;TODAY(),"OK",""),"")</f>
        <v/>
      </c>
      <c r="Z1899" s="13">
        <v>3</v>
      </c>
      <c r="AA1899" s="13">
        <v>3</v>
      </c>
      <c r="AB1899" s="13">
        <v>3</v>
      </c>
      <c r="AC1899" s="13">
        <v>2</v>
      </c>
      <c r="AD1899" s="13">
        <v>3</v>
      </c>
      <c r="AE1899" s="13">
        <v>3</v>
      </c>
      <c r="AF1899" s="13"/>
      <c r="AG1899" s="16">
        <f>IFERROR(SUMIF(reading[[#This Row],[1st]:[7th]],"&gt;0")/COUNTIF(reading[[#This Row],[1st]:[7th]],"&gt;0"),"")</f>
        <v>2.8333333333333335</v>
      </c>
    </row>
    <row r="1900" spans="1:33" x14ac:dyDescent="0.2">
      <c r="A1900" s="4">
        <f>IF(B1900=1,3,IF(D1900=1,2,IF(F1900=1,1,0)))</f>
        <v>3</v>
      </c>
      <c r="B1900" s="4">
        <f>IF(C1900=$L1900,1,IF(C1900="","",0))</f>
        <v>1</v>
      </c>
      <c r="C1900" s="42" t="s">
        <v>9215</v>
      </c>
      <c r="D1900" s="4" t="str">
        <f>IF(E1900=$L1900,1,IF(E1900="","",0))</f>
        <v/>
      </c>
      <c r="E1900" s="14"/>
      <c r="F1900" s="4" t="str">
        <f>IF(G1900=$L1900,1,IF(G1900="","",0))</f>
        <v/>
      </c>
      <c r="G1900" s="14"/>
      <c r="H1900" s="6">
        <v>2744</v>
      </c>
      <c r="I1900" s="15" t="s">
        <v>3120</v>
      </c>
      <c r="J1900" s="6" t="s">
        <v>5791</v>
      </c>
      <c r="K1900" s="6"/>
      <c r="L1900" s="6" t="s">
        <v>2782</v>
      </c>
      <c r="M1900" s="24" t="s">
        <v>9301</v>
      </c>
      <c r="N1900" s="7">
        <f ca="1">RAND()</f>
        <v>0.62107632812615843</v>
      </c>
      <c r="O1900" s="8">
        <v>45221</v>
      </c>
      <c r="P1900" s="8">
        <v>45222</v>
      </c>
      <c r="Q1900" s="8">
        <v>45224</v>
      </c>
      <c r="R1900" s="8">
        <v>45228</v>
      </c>
      <c r="S1900" s="8">
        <v>45235</v>
      </c>
      <c r="T1900" s="8">
        <v>45792</v>
      </c>
      <c r="U1900" s="8"/>
      <c r="V1900" s="10">
        <f>COUNTA(O1900:U1900)</f>
        <v>6</v>
      </c>
      <c r="W1900" s="11">
        <f>_xlfn.IFNA(INDEX(reading[[#This Row],[Memo 01]:[Memo 07]],MATCH(0,reading[[#This Row],[Memo 01]:[Memo 07]],-1)),"")</f>
        <v>45792</v>
      </c>
      <c r="X1900" s="11">
        <f ca="1">IFERROR(reading[[#This Row],[Previous]]+OFFSET(reading[[#Headers],[Memo 01]],-1,MATCH(0,reading[[#This Row],[Memo 01]:[Memo 07]],-1)-1),"")</f>
        <v>45812</v>
      </c>
      <c r="Y1900" s="10" t="str">
        <f ca="1">IF(reading[[#This Row],[Next]]&lt;&gt;"",IF(reading[[#This Row],[Next]]&gt;TODAY(),"OK",""),"")</f>
        <v/>
      </c>
      <c r="Z1900" s="13">
        <v>3</v>
      </c>
      <c r="AA1900" s="13">
        <v>3</v>
      </c>
      <c r="AB1900" s="13">
        <v>3</v>
      </c>
      <c r="AC1900" s="13">
        <v>3</v>
      </c>
      <c r="AD1900" s="13">
        <v>3</v>
      </c>
      <c r="AE1900" s="13">
        <v>3</v>
      </c>
      <c r="AF1900" s="13"/>
      <c r="AG1900" s="16">
        <f>IFERROR(SUMIF(reading[[#This Row],[1st]:[7th]],"&gt;0")/COUNTIF(reading[[#This Row],[1st]:[7th]],"&gt;0"),"")</f>
        <v>3</v>
      </c>
    </row>
    <row r="1901" spans="1:33" x14ac:dyDescent="0.2">
      <c r="A1901" s="4">
        <f>IF(B1901=1,3,IF(D1901=1,2,IF(F1901=1,1,0)))</f>
        <v>0</v>
      </c>
      <c r="B1901" s="4">
        <f>IF(C1901=$L1901,1,IF(C1901="","",0))</f>
        <v>0</v>
      </c>
      <c r="C1901" s="42" t="s">
        <v>9332</v>
      </c>
      <c r="D1901" s="4" t="str">
        <f>IF(E1901=$L1901,1,IF(E1901="","",0))</f>
        <v/>
      </c>
      <c r="E1901" s="14"/>
      <c r="F1901" s="4" t="str">
        <f>IF(G1901=$L1901,1,IF(G1901="","",0))</f>
        <v/>
      </c>
      <c r="G1901" s="14"/>
      <c r="H1901" s="6">
        <v>2340</v>
      </c>
      <c r="I1901" s="15" t="s">
        <v>3120</v>
      </c>
      <c r="J1901" s="6" t="s">
        <v>5417</v>
      </c>
      <c r="K1901" s="6"/>
      <c r="L1901" s="6" t="s">
        <v>2393</v>
      </c>
      <c r="M1901" s="6" t="s">
        <v>8445</v>
      </c>
      <c r="N1901" s="7">
        <f ca="1">RAND()</f>
        <v>4.5474331937504942E-2</v>
      </c>
      <c r="O1901" s="8">
        <v>45216</v>
      </c>
      <c r="P1901" s="8">
        <v>45217</v>
      </c>
      <c r="Q1901" s="8">
        <v>45219</v>
      </c>
      <c r="R1901" s="8">
        <v>45223</v>
      </c>
      <c r="S1901" s="8">
        <v>45230</v>
      </c>
      <c r="T1901" s="8"/>
      <c r="U1901" s="8"/>
      <c r="V1901" s="10">
        <f>COUNTA(O1901:U1901)</f>
        <v>5</v>
      </c>
      <c r="W1901" s="11">
        <f>_xlfn.IFNA(INDEX(reading[[#This Row],[Memo 01]:[Memo 07]],MATCH(0,reading[[#This Row],[Memo 01]:[Memo 07]],-1)),"")</f>
        <v>45230</v>
      </c>
      <c r="X1901" s="11">
        <f ca="1">IFERROR(reading[[#This Row],[Previous]]+OFFSET(reading[[#Headers],[Memo 01]],-1,MATCH(0,reading[[#This Row],[Memo 01]:[Memo 07]],-1)-1),"")</f>
        <v>45242</v>
      </c>
      <c r="Y1901" s="10" t="str">
        <f ca="1">IF(reading[[#This Row],[Next]]&lt;&gt;"",IF(reading[[#This Row],[Next]]&gt;TODAY(),"OK",""),"")</f>
        <v/>
      </c>
      <c r="Z1901" s="13">
        <v>3</v>
      </c>
      <c r="AA1901" s="13">
        <v>3</v>
      </c>
      <c r="AB1901" s="13">
        <v>3</v>
      </c>
      <c r="AC1901" s="13">
        <v>3</v>
      </c>
      <c r="AD1901" s="13">
        <v>3</v>
      </c>
      <c r="AE1901" s="13"/>
      <c r="AF1901" s="13"/>
      <c r="AG1901" s="16">
        <f>IFERROR(SUMIF(reading[[#This Row],[1st]:[7th]],"&gt;0")/COUNTIF(reading[[#This Row],[1st]:[7th]],"&gt;0"),"")</f>
        <v>3</v>
      </c>
    </row>
    <row r="1902" spans="1:33" x14ac:dyDescent="0.2">
      <c r="A1902" s="4">
        <f>IF(B1902=1,3,IF(D1902=1,2,IF(F1902=1,1,0)))</f>
        <v>3</v>
      </c>
      <c r="B1902" s="4">
        <f>IF(C1902=$L1902,1,IF(C1902="","",0))</f>
        <v>1</v>
      </c>
      <c r="C1902" s="42" t="s">
        <v>9252</v>
      </c>
      <c r="D1902" s="4" t="str">
        <f>IF(E1902=$L1902,1,IF(E1902="","",0))</f>
        <v/>
      </c>
      <c r="E1902" s="14"/>
      <c r="F1902" s="4" t="str">
        <f>IF(G1902=$L1902,1,IF(G1902="","",0))</f>
        <v/>
      </c>
      <c r="G1902" s="14"/>
      <c r="H1902" s="6">
        <v>604</v>
      </c>
      <c r="I1902" s="15" t="s">
        <v>3120</v>
      </c>
      <c r="J1902" s="6" t="s">
        <v>3746</v>
      </c>
      <c r="K1902" s="6"/>
      <c r="L1902" s="6" t="s">
        <v>729</v>
      </c>
      <c r="M1902" s="6" t="s">
        <v>6713</v>
      </c>
      <c r="N1902" s="7">
        <f ca="1">RAND()</f>
        <v>0.28683681011832463</v>
      </c>
      <c r="O1902" s="8">
        <v>45202</v>
      </c>
      <c r="P1902" s="8">
        <v>45203</v>
      </c>
      <c r="Q1902" s="8">
        <v>45205</v>
      </c>
      <c r="R1902" s="8">
        <v>45209</v>
      </c>
      <c r="S1902" s="8">
        <v>45216</v>
      </c>
      <c r="T1902" s="8">
        <v>45228</v>
      </c>
      <c r="U1902" s="8"/>
      <c r="V1902" s="10">
        <f>COUNTA(O1902:U1902)</f>
        <v>6</v>
      </c>
      <c r="W1902" s="11">
        <f>_xlfn.IFNA(INDEX(reading[[#This Row],[Memo 01]:[Memo 07]],MATCH(0,reading[[#This Row],[Memo 01]:[Memo 07]],-1)),"")</f>
        <v>45228</v>
      </c>
      <c r="X1902" s="11">
        <f ca="1">IFERROR(reading[[#This Row],[Previous]]+OFFSET(reading[[#Headers],[Memo 01]],-1,MATCH(0,reading[[#This Row],[Memo 01]:[Memo 07]],-1)-1),"")</f>
        <v>45248</v>
      </c>
      <c r="Y1902" s="10" t="str">
        <f ca="1">IF(reading[[#This Row],[Next]]&lt;&gt;"",IF(reading[[#This Row],[Next]]&gt;TODAY(),"OK",""),"")</f>
        <v/>
      </c>
      <c r="Z1902" s="13">
        <v>3</v>
      </c>
      <c r="AA1902" s="13">
        <v>3</v>
      </c>
      <c r="AB1902" s="13">
        <v>3</v>
      </c>
      <c r="AC1902" s="13">
        <v>3</v>
      </c>
      <c r="AD1902" s="13">
        <v>3</v>
      </c>
      <c r="AE1902" s="13">
        <v>2</v>
      </c>
      <c r="AF1902" s="13"/>
      <c r="AG1902" s="16">
        <f>IFERROR(SUMIF(reading[[#This Row],[1st]:[7th]],"&gt;0")/COUNTIF(reading[[#This Row],[1st]:[7th]],"&gt;0"),"")</f>
        <v>2.8333333333333335</v>
      </c>
    </row>
    <row r="1903" spans="1:33" hidden="1" x14ac:dyDescent="0.2">
      <c r="A1903" s="4">
        <f>IF(B1903=1,3,IF(D1903=1,2,IF(F1903=1,1,0)))</f>
        <v>0</v>
      </c>
      <c r="B1903" s="4" t="str">
        <f>IF(C1903=$L1903,1,IF(C1903="","",0))</f>
        <v/>
      </c>
      <c r="C1903" s="42"/>
      <c r="D1903" s="4" t="str">
        <f>IF(E1903=$L1903,1,IF(E1903="","",0))</f>
        <v/>
      </c>
      <c r="E1903" s="43"/>
      <c r="F1903" s="4" t="str">
        <f>IF(G1903=$L1903,1,IF(G1903="","",0))</f>
        <v/>
      </c>
      <c r="G1903" s="14"/>
      <c r="H1903" s="6">
        <v>2443</v>
      </c>
      <c r="I1903" s="15" t="s">
        <v>3120</v>
      </c>
      <c r="J1903" s="6" t="s">
        <v>5513</v>
      </c>
      <c r="K1903" s="6"/>
      <c r="L1903" s="6" t="s">
        <v>2493</v>
      </c>
      <c r="M1903" s="6" t="s">
        <v>8548</v>
      </c>
      <c r="N1903" s="7">
        <f ca="1">RAND()</f>
        <v>3.1289457227117068E-2</v>
      </c>
      <c r="O1903" s="8">
        <v>45217</v>
      </c>
      <c r="P1903" s="8">
        <v>45218</v>
      </c>
      <c r="Q1903" s="8">
        <v>45220</v>
      </c>
      <c r="R1903" s="8">
        <v>45224</v>
      </c>
      <c r="S1903" s="8">
        <v>45231</v>
      </c>
      <c r="T1903" s="8">
        <v>45251</v>
      </c>
      <c r="U1903" s="8">
        <v>45825</v>
      </c>
      <c r="V1903" s="10">
        <f>COUNTA(O1903:U1903)</f>
        <v>7</v>
      </c>
      <c r="W1903" s="11">
        <f>_xlfn.IFNA(INDEX(reading[[#This Row],[Memo 01]:[Memo 07]],MATCH(0,reading[[#This Row],[Memo 01]:[Memo 07]],-1)),"")</f>
        <v>45825</v>
      </c>
      <c r="X1903" s="11">
        <f ca="1">IFERROR(reading[[#This Row],[Previous]]+OFFSET(reading[[#Headers],[Memo 01]],-1,MATCH(0,reading[[#This Row],[Memo 01]:[Memo 07]],-1)-1),"")</f>
        <v>55825</v>
      </c>
      <c r="Y1903" s="10" t="str">
        <f ca="1">IF(reading[[#This Row],[Next]]&lt;&gt;"",IF(reading[[#This Row],[Next]]&gt;TODAY(),"OK",""),"")</f>
        <v>OK</v>
      </c>
      <c r="Z1903" s="13">
        <v>3</v>
      </c>
      <c r="AA1903" s="13">
        <v>2</v>
      </c>
      <c r="AB1903" s="13">
        <v>2</v>
      </c>
      <c r="AC1903" s="13">
        <v>3</v>
      </c>
      <c r="AD1903" s="13">
        <v>3</v>
      </c>
      <c r="AE1903" s="13">
        <v>3</v>
      </c>
      <c r="AF1903" s="13">
        <v>2</v>
      </c>
      <c r="AG1903" s="16">
        <f>IFERROR(SUMIF(reading[[#This Row],[1st]:[7th]],"&gt;0")/COUNTIF(reading[[#This Row],[1st]:[7th]],"&gt;0"),"")</f>
        <v>2.5714285714285716</v>
      </c>
    </row>
    <row r="1904" spans="1:33" hidden="1" x14ac:dyDescent="0.2">
      <c r="A1904" s="4">
        <f>IF(B1904=1,3,IF(D1904=1,2,IF(F1904=1,1,0)))</f>
        <v>0</v>
      </c>
      <c r="B1904" s="4" t="str">
        <f>IF(C1904=$L1904,1,IF(C1904="","",0))</f>
        <v/>
      </c>
      <c r="C1904" s="42"/>
      <c r="D1904" s="4" t="str">
        <f>IF(E1904=$L1904,1,IF(E1904="","",0))</f>
        <v/>
      </c>
      <c r="E1904" s="23"/>
      <c r="F1904" s="4" t="str">
        <f>IF(G1904=$L1904,1,IF(G1904="","",0))</f>
        <v/>
      </c>
      <c r="G1904" s="23"/>
      <c r="H1904" s="6">
        <v>1577</v>
      </c>
      <c r="I1904" s="15" t="s">
        <v>3120</v>
      </c>
      <c r="J1904" s="6" t="s">
        <v>4689</v>
      </c>
      <c r="K1904" s="6"/>
      <c r="L1904" s="6" t="s">
        <v>116</v>
      </c>
      <c r="M1904" s="6" t="s">
        <v>7683</v>
      </c>
      <c r="N1904" s="7">
        <f ca="1">RAND()</f>
        <v>0.61217683113714394</v>
      </c>
      <c r="O1904" s="8">
        <v>45209</v>
      </c>
      <c r="P1904" s="8">
        <v>45210</v>
      </c>
      <c r="Q1904" s="8">
        <v>45212</v>
      </c>
      <c r="R1904" s="8">
        <v>45216</v>
      </c>
      <c r="S1904" s="8">
        <v>45223</v>
      </c>
      <c r="T1904" s="8">
        <v>45235</v>
      </c>
      <c r="U1904" s="8">
        <v>45816</v>
      </c>
      <c r="V1904" s="10">
        <f>COUNTA(O1904:U1904)</f>
        <v>7</v>
      </c>
      <c r="W1904" s="11">
        <f>_xlfn.IFNA(INDEX(reading[[#This Row],[Memo 01]:[Memo 07]],MATCH(0,reading[[#This Row],[Memo 01]:[Memo 07]],-1)),"")</f>
        <v>45816</v>
      </c>
      <c r="X1904" s="11">
        <f ca="1">IFERROR(reading[[#This Row],[Previous]]+OFFSET(reading[[#Headers],[Memo 01]],-1,MATCH(0,reading[[#This Row],[Memo 01]:[Memo 07]],-1)-1),"")</f>
        <v>55816</v>
      </c>
      <c r="Y1904" s="10" t="str">
        <f ca="1">IF(reading[[#This Row],[Next]]&lt;&gt;"",IF(reading[[#This Row],[Next]]&gt;TODAY(),"OK",""),"")</f>
        <v>OK</v>
      </c>
      <c r="Z1904" s="13">
        <v>3</v>
      </c>
      <c r="AA1904" s="13">
        <v>3</v>
      </c>
      <c r="AB1904" s="13">
        <v>3</v>
      </c>
      <c r="AC1904" s="13">
        <v>3</v>
      </c>
      <c r="AD1904" s="13">
        <v>3</v>
      </c>
      <c r="AE1904" s="13">
        <v>3</v>
      </c>
      <c r="AF1904" s="13">
        <v>1</v>
      </c>
      <c r="AG1904" s="16">
        <f>IFERROR(SUMIF(reading[[#This Row],[1st]:[7th]],"&gt;0")/COUNTIF(reading[[#This Row],[1st]:[7th]],"&gt;0"),"")</f>
        <v>2.7142857142857144</v>
      </c>
    </row>
    <row r="1905" spans="1:33" hidden="1" x14ac:dyDescent="0.2">
      <c r="A1905" s="4">
        <f>IF(B1905=1,3,IF(D1905=1,2,IF(F1905=1,1,0)))</f>
        <v>0</v>
      </c>
      <c r="B1905" s="4">
        <f>IF(C1905=$L1905,1,IF(C1905="","",0))</f>
        <v>0</v>
      </c>
      <c r="C1905" s="42" t="s">
        <v>9200</v>
      </c>
      <c r="D1905" s="4" t="str">
        <f>IF(E1905=$L1905,1,IF(E1905="","",0))</f>
        <v/>
      </c>
      <c r="E1905" s="18"/>
      <c r="F1905" s="4" t="str">
        <f>IF(G1905=$L1905,1,IF(G1905="","",0))</f>
        <v/>
      </c>
      <c r="G1905" s="14"/>
      <c r="H1905" s="6">
        <v>2572</v>
      </c>
      <c r="I1905" s="15" t="s">
        <v>3120</v>
      </c>
      <c r="J1905" s="6" t="s">
        <v>5632</v>
      </c>
      <c r="K1905" s="6"/>
      <c r="L1905" s="6" t="s">
        <v>2616</v>
      </c>
      <c r="M1905" s="6" t="s">
        <v>8677</v>
      </c>
      <c r="N1905" s="7">
        <f ca="1">RAND()</f>
        <v>0.4272159099862558</v>
      </c>
      <c r="O1905" s="8">
        <v>45220</v>
      </c>
      <c r="P1905" s="8">
        <v>45221</v>
      </c>
      <c r="Q1905" s="8">
        <v>45223</v>
      </c>
      <c r="R1905" s="8">
        <v>45227</v>
      </c>
      <c r="S1905" s="8">
        <v>45235</v>
      </c>
      <c r="T1905" s="8">
        <v>45251</v>
      </c>
      <c r="U1905" s="8"/>
      <c r="V1905" s="10">
        <f>COUNTA(O1905:U1905)</f>
        <v>6</v>
      </c>
      <c r="W1905" s="11">
        <f>_xlfn.IFNA(INDEX(reading[[#This Row],[Memo 01]:[Memo 07]],MATCH(0,reading[[#This Row],[Memo 01]:[Memo 07]],-1)),"")</f>
        <v>45251</v>
      </c>
      <c r="X1905" s="11">
        <f ca="1">IFERROR(reading[[#This Row],[Previous]]+OFFSET(reading[[#Headers],[Memo 01]],-1,MATCH(0,reading[[#This Row],[Memo 01]:[Memo 07]],-1)-1),"")</f>
        <v>45271</v>
      </c>
      <c r="Y1905" s="10" t="str">
        <f ca="1">IF(reading[[#This Row],[Next]]&lt;&gt;"",IF(reading[[#This Row],[Next]]&gt;TODAY(),"OK",""),"")</f>
        <v/>
      </c>
      <c r="Z1905" s="13">
        <v>3</v>
      </c>
      <c r="AA1905" s="13">
        <v>3</v>
      </c>
      <c r="AB1905" s="13">
        <v>3</v>
      </c>
      <c r="AC1905" s="13">
        <v>2</v>
      </c>
      <c r="AD1905" s="13">
        <v>2</v>
      </c>
      <c r="AE1905" s="13">
        <v>3</v>
      </c>
      <c r="AF1905" s="13"/>
      <c r="AG1905" s="16">
        <f>IFERROR(SUMIF(reading[[#This Row],[1st]:[7th]],"&gt;0")/COUNTIF(reading[[#This Row],[1st]:[7th]],"&gt;0"),"")</f>
        <v>2.6666666666666665</v>
      </c>
    </row>
    <row r="1906" spans="1:33" x14ac:dyDescent="0.2">
      <c r="A1906" s="4">
        <f>IF(B1906=1,3,IF(D1906=1,2,IF(F1906=1,1,0)))</f>
        <v>0</v>
      </c>
      <c r="B1906" s="4">
        <f>IF(C1906=$L1906,1,IF(C1906="","",0))</f>
        <v>0</v>
      </c>
      <c r="C1906" s="42" t="s">
        <v>9200</v>
      </c>
      <c r="D1906" s="4" t="str">
        <f>IF(E1906=$L1906,1,IF(E1906="","",0))</f>
        <v/>
      </c>
      <c r="E1906" s="14"/>
      <c r="F1906" s="4" t="str">
        <f>IF(G1906=$L1906,1,IF(G1906="","",0))</f>
        <v/>
      </c>
      <c r="G1906" s="14"/>
      <c r="H1906" s="6">
        <v>2676</v>
      </c>
      <c r="I1906" s="15" t="s">
        <v>3120</v>
      </c>
      <c r="J1906" s="6" t="s">
        <v>5728</v>
      </c>
      <c r="K1906" s="6"/>
      <c r="L1906" s="6" t="s">
        <v>2715</v>
      </c>
      <c r="M1906" s="6" t="s">
        <v>8781</v>
      </c>
      <c r="N1906" s="7">
        <f ca="1">RAND()</f>
        <v>0.39516090654604552</v>
      </c>
      <c r="O1906" s="8">
        <v>45221</v>
      </c>
      <c r="P1906" s="8">
        <v>45222</v>
      </c>
      <c r="Q1906" s="8">
        <v>45224</v>
      </c>
      <c r="R1906" s="8">
        <v>45228</v>
      </c>
      <c r="S1906" s="8">
        <v>45235</v>
      </c>
      <c r="T1906" s="8"/>
      <c r="U1906" s="8"/>
      <c r="V1906" s="10">
        <f>COUNTA(O1906:U1906)</f>
        <v>5</v>
      </c>
      <c r="W1906" s="11">
        <f>_xlfn.IFNA(INDEX(reading[[#This Row],[Memo 01]:[Memo 07]],MATCH(0,reading[[#This Row],[Memo 01]:[Memo 07]],-1)),"")</f>
        <v>45235</v>
      </c>
      <c r="X1906" s="11">
        <f ca="1">IFERROR(reading[[#This Row],[Previous]]+OFFSET(reading[[#Headers],[Memo 01]],-1,MATCH(0,reading[[#This Row],[Memo 01]:[Memo 07]],-1)-1),"")</f>
        <v>45247</v>
      </c>
      <c r="Y1906" s="10" t="str">
        <f ca="1">IF(reading[[#This Row],[Next]]&lt;&gt;"",IF(reading[[#This Row],[Next]]&gt;TODAY(),"OK",""),"")</f>
        <v/>
      </c>
      <c r="Z1906" s="13">
        <v>3</v>
      </c>
      <c r="AA1906" s="13">
        <v>3</v>
      </c>
      <c r="AB1906" s="13">
        <v>3</v>
      </c>
      <c r="AC1906" s="13">
        <v>3</v>
      </c>
      <c r="AD1906" s="13">
        <v>3</v>
      </c>
      <c r="AE1906" s="13"/>
      <c r="AF1906" s="13"/>
      <c r="AG1906" s="16">
        <f>IFERROR(SUMIF(reading[[#This Row],[1st]:[7th]],"&gt;0")/COUNTIF(reading[[#This Row],[1st]:[7th]],"&gt;0"),"")</f>
        <v>3</v>
      </c>
    </row>
    <row r="1907" spans="1:33" x14ac:dyDescent="0.2">
      <c r="A1907" s="4">
        <f>IF(B1907=1,3,IF(D1907=1,2,IF(F1907=1,1,0)))</f>
        <v>3</v>
      </c>
      <c r="B1907" s="4">
        <f>IF(C1907=$L1907,1,IF(C1907="","",0))</f>
        <v>1</v>
      </c>
      <c r="C1907" s="42" t="s">
        <v>9333</v>
      </c>
      <c r="D1907" s="4" t="str">
        <f>IF(E1907=$L1907,1,IF(E1907="","",0))</f>
        <v/>
      </c>
      <c r="E1907" s="18"/>
      <c r="F1907" s="4" t="str">
        <f>IF(G1907=$L1907,1,IF(G1907="","",0))</f>
        <v/>
      </c>
      <c r="G1907" s="14"/>
      <c r="H1907" s="6">
        <v>297</v>
      </c>
      <c r="I1907" s="15" t="s">
        <v>3120</v>
      </c>
      <c r="J1907" s="6" t="s">
        <v>3445</v>
      </c>
      <c r="K1907" s="6"/>
      <c r="L1907" s="6" t="s">
        <v>432</v>
      </c>
      <c r="M1907" s="6" t="s">
        <v>6406</v>
      </c>
      <c r="N1907" s="7">
        <f ca="1">RAND()</f>
        <v>0.25095618069025105</v>
      </c>
      <c r="O1907" s="8">
        <v>45200</v>
      </c>
      <c r="P1907" s="8">
        <v>45201</v>
      </c>
      <c r="Q1907" s="8">
        <v>45203</v>
      </c>
      <c r="R1907" s="8">
        <v>45207</v>
      </c>
      <c r="S1907" s="8">
        <v>45214</v>
      </c>
      <c r="T1907" s="8">
        <v>45226</v>
      </c>
      <c r="U1907" s="8"/>
      <c r="V1907" s="10">
        <f>COUNTA(O1907:U1907)</f>
        <v>6</v>
      </c>
      <c r="W1907" s="11">
        <f>_xlfn.IFNA(INDEX(reading[[#This Row],[Memo 01]:[Memo 07]],MATCH(0,reading[[#This Row],[Memo 01]:[Memo 07]],-1)),"")</f>
        <v>45226</v>
      </c>
      <c r="X1907" s="11">
        <f ca="1">IFERROR(reading[[#This Row],[Previous]]+OFFSET(reading[[#Headers],[Memo 01]],-1,MATCH(0,reading[[#This Row],[Memo 01]:[Memo 07]],-1)-1),"")</f>
        <v>45246</v>
      </c>
      <c r="Y1907" s="10" t="str">
        <f ca="1">IF(reading[[#This Row],[Next]]&lt;&gt;"",IF(reading[[#This Row],[Next]]&gt;TODAY(),"OK",""),"")</f>
        <v/>
      </c>
      <c r="Z1907" s="13">
        <v>3</v>
      </c>
      <c r="AA1907" s="13">
        <v>3</v>
      </c>
      <c r="AB1907" s="13">
        <v>3</v>
      </c>
      <c r="AC1907" s="13">
        <v>3</v>
      </c>
      <c r="AD1907" s="13">
        <v>3</v>
      </c>
      <c r="AE1907" s="13">
        <v>2</v>
      </c>
      <c r="AF1907" s="13"/>
      <c r="AG1907" s="16">
        <f>IFERROR(SUMIF(reading[[#This Row],[1st]:[7th]],"&gt;0")/COUNTIF(reading[[#This Row],[1st]:[7th]],"&gt;0"),"")</f>
        <v>2.8333333333333335</v>
      </c>
    </row>
    <row r="1908" spans="1:33" x14ac:dyDescent="0.2">
      <c r="A1908" s="4">
        <f>IF(B1908=1,3,IF(D1908=1,2,IF(F1908=1,1,0)))</f>
        <v>3</v>
      </c>
      <c r="B1908" s="4">
        <f>IF(C1908=$L1908,1,IF(C1908="","",0))</f>
        <v>1</v>
      </c>
      <c r="C1908" s="42" t="s">
        <v>9334</v>
      </c>
      <c r="D1908" s="4" t="str">
        <f>IF(E1908=$L1908,1,IF(E1908="","",0))</f>
        <v/>
      </c>
      <c r="E1908" s="14"/>
      <c r="F1908" s="4" t="str">
        <f>IF(G1908=$L1908,1,IF(G1908="","",0))</f>
        <v/>
      </c>
      <c r="G1908" s="14"/>
      <c r="H1908" s="6">
        <v>1342</v>
      </c>
      <c r="I1908" s="15" t="s">
        <v>3120</v>
      </c>
      <c r="J1908" s="6" t="s">
        <v>4456</v>
      </c>
      <c r="K1908" s="6"/>
      <c r="L1908" s="6" t="s">
        <v>1438</v>
      </c>
      <c r="M1908" s="6" t="s">
        <v>7449</v>
      </c>
      <c r="N1908" s="7">
        <f ca="1">RAND()</f>
        <v>0.20688988808392794</v>
      </c>
      <c r="O1908" s="8">
        <v>45207</v>
      </c>
      <c r="P1908" s="8">
        <v>45208</v>
      </c>
      <c r="Q1908" s="8">
        <v>45210</v>
      </c>
      <c r="R1908" s="8">
        <v>45214</v>
      </c>
      <c r="S1908" s="8">
        <v>45221</v>
      </c>
      <c r="T1908" s="8">
        <v>45233</v>
      </c>
      <c r="U1908" s="8"/>
      <c r="V1908" s="10">
        <f>COUNTA(O1908:U1908)</f>
        <v>6</v>
      </c>
      <c r="W1908" s="11">
        <f>_xlfn.IFNA(INDEX(reading[[#This Row],[Memo 01]:[Memo 07]],MATCH(0,reading[[#This Row],[Memo 01]:[Memo 07]],-1)),"")</f>
        <v>45233</v>
      </c>
      <c r="X1908" s="11">
        <f ca="1">IFERROR(reading[[#This Row],[Previous]]+OFFSET(reading[[#Headers],[Memo 01]],-1,MATCH(0,reading[[#This Row],[Memo 01]:[Memo 07]],-1)-1),"")</f>
        <v>45253</v>
      </c>
      <c r="Y1908" s="10" t="str">
        <f ca="1">IF(reading[[#This Row],[Next]]&lt;&gt;"",IF(reading[[#This Row],[Next]]&gt;TODAY(),"OK",""),"")</f>
        <v/>
      </c>
      <c r="Z1908" s="13">
        <v>3</v>
      </c>
      <c r="AA1908" s="13">
        <v>3</v>
      </c>
      <c r="AB1908" s="13">
        <v>3</v>
      </c>
      <c r="AC1908" s="13">
        <v>3</v>
      </c>
      <c r="AD1908" s="13">
        <v>3</v>
      </c>
      <c r="AE1908" s="13">
        <v>3</v>
      </c>
      <c r="AF1908" s="13"/>
      <c r="AG1908" s="16">
        <f>IFERROR(SUMIF(reading[[#This Row],[1st]:[7th]],"&gt;0")/COUNTIF(reading[[#This Row],[1st]:[7th]],"&gt;0"),"")</f>
        <v>3</v>
      </c>
    </row>
    <row r="1909" spans="1:33" x14ac:dyDescent="0.2">
      <c r="A1909" s="4">
        <f>IF(B1909=1,3,IF(D1909=1,2,IF(F1909=1,1,0)))</f>
        <v>0</v>
      </c>
      <c r="B1909" s="4">
        <f>IF(C1909=$L1909,1,IF(C1909="","",0))</f>
        <v>0</v>
      </c>
      <c r="C1909" s="42" t="s">
        <v>9335</v>
      </c>
      <c r="D1909" s="4" t="str">
        <f>IF(E1909=$L1909,1,IF(E1909="","",0))</f>
        <v/>
      </c>
      <c r="E1909" s="14"/>
      <c r="F1909" s="4" t="str">
        <f>IF(G1909=$L1909,1,IF(G1909="","",0))</f>
        <v/>
      </c>
      <c r="G1909" s="14"/>
      <c r="H1909" s="6">
        <v>2722</v>
      </c>
      <c r="I1909" s="15" t="s">
        <v>3120</v>
      </c>
      <c r="J1909" s="6" t="s">
        <v>5772</v>
      </c>
      <c r="K1909" s="6"/>
      <c r="L1909" s="6" t="s">
        <v>2760</v>
      </c>
      <c r="M1909" s="6" t="s">
        <v>8827</v>
      </c>
      <c r="N1909" s="7">
        <f ca="1">RAND()</f>
        <v>0.21396933896120451</v>
      </c>
      <c r="O1909" s="8">
        <v>45221</v>
      </c>
      <c r="P1909" s="8">
        <v>45222</v>
      </c>
      <c r="Q1909" s="8">
        <v>45224</v>
      </c>
      <c r="R1909" s="8">
        <v>45228</v>
      </c>
      <c r="S1909" s="8">
        <v>45235</v>
      </c>
      <c r="T1909" s="8">
        <v>45792</v>
      </c>
      <c r="U1909" s="8"/>
      <c r="V1909" s="10">
        <f>COUNTA(O1909:U1909)</f>
        <v>6</v>
      </c>
      <c r="W1909" s="11">
        <f>_xlfn.IFNA(INDEX(reading[[#This Row],[Memo 01]:[Memo 07]],MATCH(0,reading[[#This Row],[Memo 01]:[Memo 07]],-1)),"")</f>
        <v>45792</v>
      </c>
      <c r="X1909" s="11">
        <f ca="1">IFERROR(reading[[#This Row],[Previous]]+OFFSET(reading[[#Headers],[Memo 01]],-1,MATCH(0,reading[[#This Row],[Memo 01]:[Memo 07]],-1)-1),"")</f>
        <v>45812</v>
      </c>
      <c r="Y1909" s="10" t="str">
        <f ca="1">IF(reading[[#This Row],[Next]]&lt;&gt;"",IF(reading[[#This Row],[Next]]&gt;TODAY(),"OK",""),"")</f>
        <v/>
      </c>
      <c r="Z1909" s="13">
        <v>3</v>
      </c>
      <c r="AA1909" s="13">
        <v>3</v>
      </c>
      <c r="AB1909" s="13">
        <v>3</v>
      </c>
      <c r="AC1909" s="13">
        <v>3</v>
      </c>
      <c r="AD1909" s="13">
        <v>3</v>
      </c>
      <c r="AE1909" s="13">
        <v>3</v>
      </c>
      <c r="AF1909" s="13"/>
      <c r="AG1909" s="16">
        <f>IFERROR(SUMIF(reading[[#This Row],[1st]:[7th]],"&gt;0")/COUNTIF(reading[[#This Row],[1st]:[7th]],"&gt;0"),"")</f>
        <v>3</v>
      </c>
    </row>
    <row r="1910" spans="1:33" hidden="1" x14ac:dyDescent="0.2">
      <c r="A1910" s="4">
        <f>IF(B1910=1,3,IF(D1910=1,2,IF(F1910=1,1,0)))</f>
        <v>0</v>
      </c>
      <c r="B1910" s="4" t="str">
        <f>IF(C1910=$L1910,1,IF(C1910="","",0))</f>
        <v/>
      </c>
      <c r="C1910" s="42"/>
      <c r="D1910" s="4" t="str">
        <f>IF(E1910=$L1910,1,IF(E1910="","",0))</f>
        <v/>
      </c>
      <c r="E1910" s="23"/>
      <c r="F1910" s="4" t="str">
        <f>IF(G1910=$L1910,1,IF(G1910="","",0))</f>
        <v/>
      </c>
      <c r="G1910" s="14"/>
      <c r="H1910" s="6">
        <v>2243</v>
      </c>
      <c r="I1910" s="15" t="s">
        <v>3120</v>
      </c>
      <c r="J1910" s="6" t="s">
        <v>5327</v>
      </c>
      <c r="K1910" s="6"/>
      <c r="L1910" s="6" t="s">
        <v>2305</v>
      </c>
      <c r="M1910" s="6" t="s">
        <v>8348</v>
      </c>
      <c r="N1910" s="7">
        <f ca="1">RAND()</f>
        <v>0.88603708959932337</v>
      </c>
      <c r="O1910" s="8">
        <v>45215</v>
      </c>
      <c r="P1910" s="8">
        <v>45216</v>
      </c>
      <c r="Q1910" s="8">
        <v>45218</v>
      </c>
      <c r="R1910" s="8">
        <v>45222</v>
      </c>
      <c r="S1910" s="8">
        <v>45229</v>
      </c>
      <c r="T1910" s="8">
        <v>45816</v>
      </c>
      <c r="U1910" s="8"/>
      <c r="V1910" s="10">
        <f>COUNTA(O1910:U1910)</f>
        <v>6</v>
      </c>
      <c r="W1910" s="11">
        <f>_xlfn.IFNA(INDEX(reading[[#This Row],[Memo 01]:[Memo 07]],MATCH(0,reading[[#This Row],[Memo 01]:[Memo 07]],-1)),"")</f>
        <v>45816</v>
      </c>
      <c r="X1910" s="11">
        <f ca="1">IFERROR(reading[[#This Row],[Previous]]+OFFSET(reading[[#Headers],[Memo 01]],-1,MATCH(0,reading[[#This Row],[Memo 01]:[Memo 07]],-1)-1),"")</f>
        <v>45836</v>
      </c>
      <c r="Y1910" s="10" t="str">
        <f ca="1">IF(reading[[#This Row],[Next]]&lt;&gt;"",IF(reading[[#This Row],[Next]]&gt;TODAY(),"OK",""),"")</f>
        <v>OK</v>
      </c>
      <c r="Z1910" s="13">
        <v>3</v>
      </c>
      <c r="AA1910" s="13">
        <v>3</v>
      </c>
      <c r="AB1910" s="13">
        <v>3</v>
      </c>
      <c r="AC1910" s="13">
        <v>3</v>
      </c>
      <c r="AD1910" s="13">
        <v>3</v>
      </c>
      <c r="AE1910" s="13">
        <v>2</v>
      </c>
      <c r="AF1910" s="13"/>
      <c r="AG1910" s="16">
        <f>IFERROR(SUMIF(reading[[#This Row],[1st]:[7th]],"&gt;0")/COUNTIF(reading[[#This Row],[1st]:[7th]],"&gt;0"),"")</f>
        <v>2.8333333333333335</v>
      </c>
    </row>
    <row r="1911" spans="1:33" hidden="1" x14ac:dyDescent="0.2">
      <c r="A1911" s="4">
        <f>IF(B1911=1,3,IF(D1911=1,2,IF(F1911=1,1,0)))</f>
        <v>0</v>
      </c>
      <c r="B1911" s="4" t="str">
        <f>IF(C1911=$L1911,1,IF(C1911="","",0))</f>
        <v/>
      </c>
      <c r="C1911" s="42"/>
      <c r="D1911" s="4" t="str">
        <f>IF(E1911=$L1911,1,IF(E1911="","",0))</f>
        <v/>
      </c>
      <c r="E1911" s="23"/>
      <c r="F1911" s="4" t="str">
        <f>IF(G1911=$L1911,1,IF(G1911="","",0))</f>
        <v/>
      </c>
      <c r="G1911" s="14"/>
      <c r="H1911" s="6">
        <v>478</v>
      </c>
      <c r="I1911" s="15" t="s">
        <v>3120</v>
      </c>
      <c r="J1911" s="6" t="s">
        <v>3624</v>
      </c>
      <c r="K1911" s="6"/>
      <c r="L1911" s="6" t="s">
        <v>607</v>
      </c>
      <c r="M1911" s="6" t="s">
        <v>6587</v>
      </c>
      <c r="N1911" s="7">
        <f ca="1">RAND()</f>
        <v>0.92515273943322507</v>
      </c>
      <c r="O1911" s="8">
        <v>45202</v>
      </c>
      <c r="P1911" s="8">
        <v>45203</v>
      </c>
      <c r="Q1911" s="8">
        <v>45205</v>
      </c>
      <c r="R1911" s="8">
        <v>45209</v>
      </c>
      <c r="S1911" s="8">
        <v>45216</v>
      </c>
      <c r="T1911" s="8">
        <v>45228</v>
      </c>
      <c r="U1911" s="8">
        <v>45816</v>
      </c>
      <c r="V1911" s="10">
        <f>COUNTA(O1911:U1911)</f>
        <v>7</v>
      </c>
      <c r="W1911" s="11">
        <f>_xlfn.IFNA(INDEX(reading[[#This Row],[Memo 01]:[Memo 07]],MATCH(0,reading[[#This Row],[Memo 01]:[Memo 07]],-1)),"")</f>
        <v>45816</v>
      </c>
      <c r="X1911" s="11">
        <f ca="1">IFERROR(reading[[#This Row],[Previous]]+OFFSET(reading[[#Headers],[Memo 01]],-1,MATCH(0,reading[[#This Row],[Memo 01]:[Memo 07]],-1)-1),"")</f>
        <v>55816</v>
      </c>
      <c r="Y1911" s="10" t="str">
        <f ca="1">IF(reading[[#This Row],[Next]]&lt;&gt;"",IF(reading[[#This Row],[Next]]&gt;TODAY(),"OK",""),"")</f>
        <v>OK</v>
      </c>
      <c r="Z1911" s="13">
        <v>3</v>
      </c>
      <c r="AA1911" s="13">
        <v>3</v>
      </c>
      <c r="AB1911" s="13">
        <v>3</v>
      </c>
      <c r="AC1911" s="13">
        <v>2</v>
      </c>
      <c r="AD1911" s="13">
        <v>3</v>
      </c>
      <c r="AE1911" s="13">
        <v>3</v>
      </c>
      <c r="AF1911" s="13">
        <v>2</v>
      </c>
      <c r="AG1911" s="16">
        <f>IFERROR(SUMIF(reading[[#This Row],[1st]:[7th]],"&gt;0")/COUNTIF(reading[[#This Row],[1st]:[7th]],"&gt;0"),"")</f>
        <v>2.7142857142857144</v>
      </c>
    </row>
    <row r="1912" spans="1:33" hidden="1" x14ac:dyDescent="0.2">
      <c r="A1912" s="4">
        <f>IF(B1912=1,3,IF(D1912=1,2,IF(F1912=1,1,0)))</f>
        <v>0</v>
      </c>
      <c r="B1912" s="4">
        <f>IF(C1912=$L1912,1,IF(C1912="","",0))</f>
        <v>0</v>
      </c>
      <c r="C1912" s="42" t="s">
        <v>9282</v>
      </c>
      <c r="D1912" s="4" t="str">
        <f>IF(E1912=$L1912,1,IF(E1912="","",0))</f>
        <v/>
      </c>
      <c r="E1912" s="14"/>
      <c r="F1912" s="4" t="str">
        <f>IF(G1912=$L1912,1,IF(G1912="","",0))</f>
        <v/>
      </c>
      <c r="G1912" s="14"/>
      <c r="H1912" s="6">
        <v>2203</v>
      </c>
      <c r="I1912" s="15" t="s">
        <v>3120</v>
      </c>
      <c r="J1912" s="6" t="s">
        <v>5289</v>
      </c>
      <c r="K1912" s="6"/>
      <c r="L1912" s="6" t="s">
        <v>2266</v>
      </c>
      <c r="M1912" s="6" t="s">
        <v>8309</v>
      </c>
      <c r="N1912" s="7">
        <f ca="1">RAND()</f>
        <v>0.61383768762920055</v>
      </c>
      <c r="O1912" s="8">
        <v>45215</v>
      </c>
      <c r="P1912" s="8">
        <v>45216</v>
      </c>
      <c r="Q1912" s="8">
        <v>45218</v>
      </c>
      <c r="R1912" s="8">
        <v>45222</v>
      </c>
      <c r="S1912" s="8">
        <v>45229</v>
      </c>
      <c r="T1912" s="8"/>
      <c r="U1912" s="8"/>
      <c r="V1912" s="10">
        <f>COUNTA(O1912:U1912)</f>
        <v>5</v>
      </c>
      <c r="W1912" s="11">
        <f>_xlfn.IFNA(INDEX(reading[[#This Row],[Memo 01]:[Memo 07]],MATCH(0,reading[[#This Row],[Memo 01]:[Memo 07]],-1)),"")</f>
        <v>45229</v>
      </c>
      <c r="X1912" s="11">
        <f ca="1">IFERROR(reading[[#This Row],[Previous]]+OFFSET(reading[[#Headers],[Memo 01]],-1,MATCH(0,reading[[#This Row],[Memo 01]:[Memo 07]],-1)-1),"")</f>
        <v>45241</v>
      </c>
      <c r="Y1912" s="10" t="str">
        <f ca="1">IF(reading[[#This Row],[Next]]&lt;&gt;"",IF(reading[[#This Row],[Next]]&gt;TODAY(),"OK",""),"")</f>
        <v/>
      </c>
      <c r="Z1912" s="13">
        <v>3</v>
      </c>
      <c r="AA1912" s="13">
        <v>3</v>
      </c>
      <c r="AB1912" s="13">
        <v>3</v>
      </c>
      <c r="AC1912" s="13">
        <v>3</v>
      </c>
      <c r="AD1912" s="13">
        <v>3</v>
      </c>
      <c r="AE1912" s="13"/>
      <c r="AF1912" s="13"/>
      <c r="AG1912" s="16">
        <f>IFERROR(SUMIF(reading[[#This Row],[1st]:[7th]],"&gt;0")/COUNTIF(reading[[#This Row],[1st]:[7th]],"&gt;0"),"")</f>
        <v>3</v>
      </c>
    </row>
    <row r="1913" spans="1:33" hidden="1" x14ac:dyDescent="0.2">
      <c r="A1913" s="4">
        <f>IF(B1913=1,3,IF(D1913=1,2,IF(F1913=1,1,0)))</f>
        <v>0</v>
      </c>
      <c r="B1913" s="4">
        <f>IF(C1913=$L1913,1,IF(C1913="","",0))</f>
        <v>0</v>
      </c>
      <c r="C1913" s="42" t="s">
        <v>9200</v>
      </c>
      <c r="D1913" s="4" t="str">
        <f>IF(E1913=$L1913,1,IF(E1913="","",0))</f>
        <v/>
      </c>
      <c r="E1913" s="14"/>
      <c r="F1913" s="4" t="str">
        <f>IF(G1913=$L1913,1,IF(G1913="","",0))</f>
        <v/>
      </c>
      <c r="G1913" s="14"/>
      <c r="H1913" s="6">
        <v>790</v>
      </c>
      <c r="I1913" s="15" t="s">
        <v>3120</v>
      </c>
      <c r="J1913" s="6" t="s">
        <v>3924</v>
      </c>
      <c r="K1913" s="6"/>
      <c r="L1913" s="6" t="s">
        <v>909</v>
      </c>
      <c r="M1913" s="6" t="s">
        <v>6899</v>
      </c>
      <c r="N1913" s="7">
        <f ca="1">RAND()</f>
        <v>0.30935632898408083</v>
      </c>
      <c r="O1913" s="8">
        <v>45203</v>
      </c>
      <c r="P1913" s="8">
        <v>45204</v>
      </c>
      <c r="Q1913" s="8">
        <v>45206</v>
      </c>
      <c r="R1913" s="8">
        <v>45210</v>
      </c>
      <c r="S1913" s="8">
        <v>45217</v>
      </c>
      <c r="T1913" s="8">
        <v>45229</v>
      </c>
      <c r="U1913" s="8"/>
      <c r="V1913" s="10">
        <f>COUNTA(O1913:U1913)</f>
        <v>6</v>
      </c>
      <c r="W1913" s="11">
        <f>_xlfn.IFNA(INDEX(reading[[#This Row],[Memo 01]:[Memo 07]],MATCH(0,reading[[#This Row],[Memo 01]:[Memo 07]],-1)),"")</f>
        <v>45229</v>
      </c>
      <c r="X1913" s="11">
        <f ca="1">IFERROR(reading[[#This Row],[Previous]]+OFFSET(reading[[#Headers],[Memo 01]],-1,MATCH(0,reading[[#This Row],[Memo 01]:[Memo 07]],-1)-1),"")</f>
        <v>45249</v>
      </c>
      <c r="Y1913" s="10" t="str">
        <f ca="1">IF(reading[[#This Row],[Next]]&lt;&gt;"",IF(reading[[#This Row],[Next]]&gt;TODAY(),"OK",""),"")</f>
        <v/>
      </c>
      <c r="Z1913" s="13">
        <v>3</v>
      </c>
      <c r="AA1913" s="13">
        <v>3</v>
      </c>
      <c r="AB1913" s="13">
        <v>3</v>
      </c>
      <c r="AC1913" s="13">
        <v>3</v>
      </c>
      <c r="AD1913" s="13">
        <v>3</v>
      </c>
      <c r="AE1913" s="13">
        <v>3</v>
      </c>
      <c r="AF1913" s="13"/>
      <c r="AG1913" s="16">
        <f>IFERROR(SUMIF(reading[[#This Row],[1st]:[7th]],"&gt;0")/COUNTIF(reading[[#This Row],[1st]:[7th]],"&gt;0"),"")</f>
        <v>3</v>
      </c>
    </row>
    <row r="1914" spans="1:33" x14ac:dyDescent="0.2">
      <c r="A1914" s="4">
        <f>IF(B1914=1,3,IF(D1914=1,2,IF(F1914=1,1,0)))</f>
        <v>0</v>
      </c>
      <c r="B1914" s="4">
        <f>IF(C1914=$L1914,1,IF(C1914="","",0))</f>
        <v>0</v>
      </c>
      <c r="C1914" s="42" t="s">
        <v>9200</v>
      </c>
      <c r="D1914" s="4" t="str">
        <f>IF(E1914=$L1914,1,IF(E1914="","",0))</f>
        <v/>
      </c>
      <c r="E1914" s="18"/>
      <c r="F1914" s="4" t="str">
        <f>IF(G1914=$L1914,1,IF(G1914="","",0))</f>
        <v/>
      </c>
      <c r="G1914" s="18"/>
      <c r="H1914" s="6">
        <v>1697</v>
      </c>
      <c r="I1914" s="15" t="s">
        <v>3120</v>
      </c>
      <c r="J1914" s="6" t="s">
        <v>4807</v>
      </c>
      <c r="K1914" s="6"/>
      <c r="L1914" s="6" t="s">
        <v>1777</v>
      </c>
      <c r="M1914" s="6" t="s">
        <v>7803</v>
      </c>
      <c r="N1914" s="7">
        <f ca="1">RAND()</f>
        <v>0.87287125038821578</v>
      </c>
      <c r="O1914" s="8">
        <v>45210</v>
      </c>
      <c r="P1914" s="8">
        <v>45211</v>
      </c>
      <c r="Q1914" s="8">
        <v>45213</v>
      </c>
      <c r="R1914" s="8">
        <v>45217</v>
      </c>
      <c r="S1914" s="8">
        <v>45224</v>
      </c>
      <c r="T1914" s="8">
        <v>45236</v>
      </c>
      <c r="U1914" s="8"/>
      <c r="V1914" s="10">
        <f>COUNTA(O1914:U1914)</f>
        <v>6</v>
      </c>
      <c r="W1914" s="11">
        <f>_xlfn.IFNA(INDEX(reading[[#This Row],[Memo 01]:[Memo 07]],MATCH(0,reading[[#This Row],[Memo 01]:[Memo 07]],-1)),"")</f>
        <v>45236</v>
      </c>
      <c r="X1914" s="11">
        <f ca="1">IFERROR(reading[[#This Row],[Previous]]+OFFSET(reading[[#Headers],[Memo 01]],-1,MATCH(0,reading[[#This Row],[Memo 01]:[Memo 07]],-1)-1),"")</f>
        <v>45256</v>
      </c>
      <c r="Y1914" s="10" t="str">
        <f ca="1">IF(reading[[#This Row],[Next]]&lt;&gt;"",IF(reading[[#This Row],[Next]]&gt;TODAY(),"OK",""),"")</f>
        <v/>
      </c>
      <c r="Z1914" s="13">
        <v>3</v>
      </c>
      <c r="AA1914" s="13">
        <v>3</v>
      </c>
      <c r="AB1914" s="13">
        <v>3</v>
      </c>
      <c r="AC1914" s="13">
        <v>2</v>
      </c>
      <c r="AD1914" s="13">
        <v>1</v>
      </c>
      <c r="AE1914" s="13">
        <v>3</v>
      </c>
      <c r="AF1914" s="13"/>
      <c r="AG1914" s="16">
        <f>IFERROR(SUMIF(reading[[#This Row],[1st]:[7th]],"&gt;0")/COUNTIF(reading[[#This Row],[1st]:[7th]],"&gt;0"),"")</f>
        <v>2.5</v>
      </c>
    </row>
    <row r="1915" spans="1:33" x14ac:dyDescent="0.2">
      <c r="A1915" s="4">
        <f>IF(B1915=1,3,IF(D1915=1,2,IF(F1915=1,1,0)))</f>
        <v>3</v>
      </c>
      <c r="B1915" s="4">
        <f>IF(C1915=$L1915,1,IF(C1915="","",0))</f>
        <v>1</v>
      </c>
      <c r="C1915" s="42" t="s">
        <v>9336</v>
      </c>
      <c r="D1915" s="4" t="str">
        <f>IF(E1915=$L1915,1,IF(E1915="","",0))</f>
        <v/>
      </c>
      <c r="E1915" s="14"/>
      <c r="F1915" s="4" t="str">
        <f>IF(G1915=$L1915,1,IF(G1915="","",0))</f>
        <v/>
      </c>
      <c r="G1915" s="14"/>
      <c r="H1915" s="6">
        <v>1091</v>
      </c>
      <c r="I1915" s="15" t="s">
        <v>3120</v>
      </c>
      <c r="J1915" s="6" t="s">
        <v>4215</v>
      </c>
      <c r="K1915" s="6"/>
      <c r="L1915" s="6" t="s">
        <v>1197</v>
      </c>
      <c r="M1915" s="6" t="s">
        <v>7199</v>
      </c>
      <c r="N1915" s="7">
        <f ca="1">RAND()</f>
        <v>0.94488283428912023</v>
      </c>
      <c r="O1915" s="8">
        <v>45205</v>
      </c>
      <c r="P1915" s="8">
        <v>45206</v>
      </c>
      <c r="Q1915" s="8">
        <v>45208</v>
      </c>
      <c r="R1915" s="8">
        <v>45212</v>
      </c>
      <c r="S1915" s="8">
        <v>45219</v>
      </c>
      <c r="T1915" s="8">
        <v>45231</v>
      </c>
      <c r="U1915" s="8"/>
      <c r="V1915" s="10">
        <f>COUNTA(O1915:U1915)</f>
        <v>6</v>
      </c>
      <c r="W1915" s="11">
        <f>_xlfn.IFNA(INDEX(reading[[#This Row],[Memo 01]:[Memo 07]],MATCH(0,reading[[#This Row],[Memo 01]:[Memo 07]],-1)),"")</f>
        <v>45231</v>
      </c>
      <c r="X1915" s="11">
        <f ca="1">IFERROR(reading[[#This Row],[Previous]]+OFFSET(reading[[#Headers],[Memo 01]],-1,MATCH(0,reading[[#This Row],[Memo 01]:[Memo 07]],-1)-1),"")</f>
        <v>45251</v>
      </c>
      <c r="Y1915" s="10" t="str">
        <f ca="1">IF(reading[[#This Row],[Next]]&lt;&gt;"",IF(reading[[#This Row],[Next]]&gt;TODAY(),"OK",""),"")</f>
        <v/>
      </c>
      <c r="Z1915" s="13">
        <v>3</v>
      </c>
      <c r="AA1915" s="13">
        <v>3</v>
      </c>
      <c r="AB1915" s="13">
        <v>3</v>
      </c>
      <c r="AC1915" s="13">
        <v>3</v>
      </c>
      <c r="AD1915" s="13">
        <v>3</v>
      </c>
      <c r="AE1915" s="13">
        <v>3</v>
      </c>
      <c r="AF1915" s="13"/>
      <c r="AG1915" s="16">
        <f>IFERROR(SUMIF(reading[[#This Row],[1st]:[7th]],"&gt;0")/COUNTIF(reading[[#This Row],[1st]:[7th]],"&gt;0"),"")</f>
        <v>3</v>
      </c>
    </row>
    <row r="1916" spans="1:33" x14ac:dyDescent="0.2">
      <c r="A1916" s="4">
        <f>IF(B1916=1,3,IF(D1916=1,2,IF(F1916=1,1,0)))</f>
        <v>3</v>
      </c>
      <c r="B1916" s="4">
        <f>IF(C1916=$L1916,1,IF(C1916="","",0))</f>
        <v>1</v>
      </c>
      <c r="C1916" s="42" t="s">
        <v>9337</v>
      </c>
      <c r="D1916" s="4" t="str">
        <f>IF(E1916=$L1916,1,IF(E1916="","",0))</f>
        <v/>
      </c>
      <c r="E1916" s="14"/>
      <c r="F1916" s="4" t="str">
        <f>IF(G1916=$L1916,1,IF(G1916="","",0))</f>
        <v/>
      </c>
      <c r="G1916" s="14"/>
      <c r="H1916" s="6">
        <v>495</v>
      </c>
      <c r="I1916" s="15" t="s">
        <v>3120</v>
      </c>
      <c r="J1916" s="6" t="s">
        <v>3641</v>
      </c>
      <c r="K1916" s="6"/>
      <c r="L1916" s="6" t="s">
        <v>623</v>
      </c>
      <c r="M1916" s="6" t="s">
        <v>6604</v>
      </c>
      <c r="N1916" s="7">
        <f ca="1">RAND()</f>
        <v>0.67852987996932068</v>
      </c>
      <c r="O1916" s="8">
        <v>45202</v>
      </c>
      <c r="P1916" s="8">
        <v>45203</v>
      </c>
      <c r="Q1916" s="8">
        <v>45205</v>
      </c>
      <c r="R1916" s="8">
        <v>45209</v>
      </c>
      <c r="S1916" s="8">
        <v>45216</v>
      </c>
      <c r="T1916" s="8">
        <v>45228</v>
      </c>
      <c r="U1916" s="8"/>
      <c r="V1916" s="10">
        <f>COUNTA(O1916:U1916)</f>
        <v>6</v>
      </c>
      <c r="W1916" s="11">
        <f>_xlfn.IFNA(INDEX(reading[[#This Row],[Memo 01]:[Memo 07]],MATCH(0,reading[[#This Row],[Memo 01]:[Memo 07]],-1)),"")</f>
        <v>45228</v>
      </c>
      <c r="X1916" s="11">
        <f ca="1">IFERROR(reading[[#This Row],[Previous]]+OFFSET(reading[[#Headers],[Memo 01]],-1,MATCH(0,reading[[#This Row],[Memo 01]:[Memo 07]],-1)-1),"")</f>
        <v>45248</v>
      </c>
      <c r="Y1916" s="10" t="str">
        <f ca="1">IF(reading[[#This Row],[Next]]&lt;&gt;"",IF(reading[[#This Row],[Next]]&gt;TODAY(),"OK",""),"")</f>
        <v/>
      </c>
      <c r="Z1916" s="13">
        <v>3</v>
      </c>
      <c r="AA1916" s="13">
        <v>3</v>
      </c>
      <c r="AB1916" s="13">
        <v>3</v>
      </c>
      <c r="AC1916" s="13">
        <v>3</v>
      </c>
      <c r="AD1916" s="13">
        <v>3</v>
      </c>
      <c r="AE1916" s="13">
        <v>3</v>
      </c>
      <c r="AF1916" s="13"/>
      <c r="AG1916" s="16">
        <f>IFERROR(SUMIF(reading[[#This Row],[1st]:[7th]],"&gt;0")/COUNTIF(reading[[#This Row],[1st]:[7th]],"&gt;0"),"")</f>
        <v>3</v>
      </c>
    </row>
    <row r="1917" spans="1:33" x14ac:dyDescent="0.2">
      <c r="A1917" s="4">
        <f>IF(B1917=1,3,IF(D1917=1,2,IF(F1917=1,1,0)))</f>
        <v>3</v>
      </c>
      <c r="B1917" s="4">
        <f>IF(C1917=$L1917,1,IF(C1917="","",0))</f>
        <v>1</v>
      </c>
      <c r="C1917" s="42" t="s">
        <v>9338</v>
      </c>
      <c r="D1917" s="4" t="str">
        <f>IF(E1917=$L1917,1,IF(E1917="","",0))</f>
        <v/>
      </c>
      <c r="E1917" s="14"/>
      <c r="F1917" s="4" t="str">
        <f>IF(G1917=$L1917,1,IF(G1917="","",0))</f>
        <v/>
      </c>
      <c r="G1917" s="14"/>
      <c r="H1917" s="6">
        <v>828</v>
      </c>
      <c r="I1917" s="15" t="s">
        <v>3120</v>
      </c>
      <c r="J1917" s="6" t="s">
        <v>3961</v>
      </c>
      <c r="K1917" s="6"/>
      <c r="L1917" s="6" t="s">
        <v>944</v>
      </c>
      <c r="M1917" s="6" t="s">
        <v>6937</v>
      </c>
      <c r="N1917" s="7">
        <f ca="1">RAND()</f>
        <v>0.59630028538501012</v>
      </c>
      <c r="O1917" s="8">
        <v>45203</v>
      </c>
      <c r="P1917" s="8">
        <v>45204</v>
      </c>
      <c r="Q1917" s="8">
        <v>45206</v>
      </c>
      <c r="R1917" s="8">
        <v>45210</v>
      </c>
      <c r="S1917" s="8">
        <v>45217</v>
      </c>
      <c r="T1917" s="8">
        <v>45229</v>
      </c>
      <c r="U1917" s="8"/>
      <c r="V1917" s="10">
        <f>COUNTA(O1917:U1917)</f>
        <v>6</v>
      </c>
      <c r="W1917" s="11">
        <f>_xlfn.IFNA(INDEX(reading[[#This Row],[Memo 01]:[Memo 07]],MATCH(0,reading[[#This Row],[Memo 01]:[Memo 07]],-1)),"")</f>
        <v>45229</v>
      </c>
      <c r="X1917" s="11">
        <f ca="1">IFERROR(reading[[#This Row],[Previous]]+OFFSET(reading[[#Headers],[Memo 01]],-1,MATCH(0,reading[[#This Row],[Memo 01]:[Memo 07]],-1)-1),"")</f>
        <v>45249</v>
      </c>
      <c r="Y1917" s="10" t="str">
        <f ca="1">IF(reading[[#This Row],[Next]]&lt;&gt;"",IF(reading[[#This Row],[Next]]&gt;TODAY(),"OK",""),"")</f>
        <v/>
      </c>
      <c r="Z1917" s="13">
        <v>3</v>
      </c>
      <c r="AA1917" s="13">
        <v>3</v>
      </c>
      <c r="AB1917" s="13">
        <v>3</v>
      </c>
      <c r="AC1917" s="13">
        <v>3</v>
      </c>
      <c r="AD1917" s="13">
        <v>3</v>
      </c>
      <c r="AE1917" s="13">
        <v>3</v>
      </c>
      <c r="AF1917" s="13"/>
      <c r="AG1917" s="16">
        <f>IFERROR(SUMIF(reading[[#This Row],[1st]:[7th]],"&gt;0")/COUNTIF(reading[[#This Row],[1st]:[7th]],"&gt;0"),"")</f>
        <v>3</v>
      </c>
    </row>
    <row r="1918" spans="1:33" x14ac:dyDescent="0.2">
      <c r="A1918" s="4">
        <f>IF(B1918=1,3,IF(D1918=1,2,IF(F1918=1,1,0)))</f>
        <v>0</v>
      </c>
      <c r="B1918" s="4">
        <f>IF(C1918=$L1918,1,IF(C1918="","",0))</f>
        <v>0</v>
      </c>
      <c r="C1918" s="42" t="s">
        <v>9200</v>
      </c>
      <c r="D1918" s="4" t="str">
        <f>IF(E1918=$L1918,1,IF(E1918="","",0))</f>
        <v/>
      </c>
      <c r="E1918" s="14"/>
      <c r="F1918" s="4" t="str">
        <f>IF(G1918=$L1918,1,IF(G1918="","",0))</f>
        <v/>
      </c>
      <c r="G1918" s="14"/>
      <c r="H1918" s="6">
        <v>1946</v>
      </c>
      <c r="I1918" s="15" t="s">
        <v>3120</v>
      </c>
      <c r="J1918" s="6" t="s">
        <v>5045</v>
      </c>
      <c r="K1918" s="6"/>
      <c r="L1918" s="6" t="s">
        <v>114</v>
      </c>
      <c r="M1918" s="6" t="s">
        <v>8052</v>
      </c>
      <c r="N1918" s="7">
        <f ca="1">RAND()</f>
        <v>0.22738670301044717</v>
      </c>
      <c r="O1918" s="8">
        <v>45212</v>
      </c>
      <c r="P1918" s="8">
        <v>45213</v>
      </c>
      <c r="Q1918" s="8">
        <v>45215</v>
      </c>
      <c r="R1918" s="8">
        <v>45219</v>
      </c>
      <c r="S1918" s="8">
        <v>45226</v>
      </c>
      <c r="T1918" s="8"/>
      <c r="U1918" s="8"/>
      <c r="V1918" s="10">
        <f>COUNTA(O1918:U1918)</f>
        <v>5</v>
      </c>
      <c r="W1918" s="11">
        <f>_xlfn.IFNA(INDEX(reading[[#This Row],[Memo 01]:[Memo 07]],MATCH(0,reading[[#This Row],[Memo 01]:[Memo 07]],-1)),"")</f>
        <v>45226</v>
      </c>
      <c r="X1918" s="11">
        <f ca="1">IFERROR(reading[[#This Row],[Previous]]+OFFSET(reading[[#Headers],[Memo 01]],-1,MATCH(0,reading[[#This Row],[Memo 01]:[Memo 07]],-1)-1),"")</f>
        <v>45238</v>
      </c>
      <c r="Y1918" s="10" t="str">
        <f ca="1">IF(reading[[#This Row],[Next]]&lt;&gt;"",IF(reading[[#This Row],[Next]]&gt;TODAY(),"OK",""),"")</f>
        <v/>
      </c>
      <c r="Z1918" s="13">
        <v>3</v>
      </c>
      <c r="AA1918" s="13">
        <v>3</v>
      </c>
      <c r="AB1918" s="13">
        <v>3</v>
      </c>
      <c r="AC1918" s="13">
        <v>3</v>
      </c>
      <c r="AD1918" s="13">
        <v>3</v>
      </c>
      <c r="AE1918" s="13"/>
      <c r="AF1918" s="13"/>
      <c r="AG1918" s="16">
        <f>IFERROR(SUMIF(reading[[#This Row],[1st]:[7th]],"&gt;0")/COUNTIF(reading[[#This Row],[1st]:[7th]],"&gt;0"),"")</f>
        <v>3</v>
      </c>
    </row>
    <row r="1919" spans="1:33" x14ac:dyDescent="0.2">
      <c r="A1919" s="4">
        <f>IF(B1919=1,3,IF(D1919=1,2,IF(F1919=1,1,0)))</f>
        <v>3</v>
      </c>
      <c r="B1919" s="4">
        <f>IF(C1919=$L1919,1,IF(C1919="","",0))</f>
        <v>1</v>
      </c>
      <c r="C1919" s="42" t="s">
        <v>9339</v>
      </c>
      <c r="D1919" s="4" t="str">
        <f>IF(E1919=$L1919,1,IF(E1919="","",0))</f>
        <v/>
      </c>
      <c r="E1919" s="14"/>
      <c r="F1919" s="4" t="str">
        <f>IF(G1919=$L1919,1,IF(G1919="","",0))</f>
        <v/>
      </c>
      <c r="G1919" s="14"/>
      <c r="H1919" s="6">
        <v>2422</v>
      </c>
      <c r="I1919" s="15" t="s">
        <v>3120</v>
      </c>
      <c r="J1919" s="6" t="s">
        <v>5493</v>
      </c>
      <c r="K1919" s="6"/>
      <c r="L1919" s="6" t="s">
        <v>2472</v>
      </c>
      <c r="M1919" s="6" t="s">
        <v>8527</v>
      </c>
      <c r="N1919" s="7">
        <f ca="1">RAND()</f>
        <v>0.34132430593723462</v>
      </c>
      <c r="O1919" s="8">
        <v>45217</v>
      </c>
      <c r="P1919" s="8">
        <v>45218</v>
      </c>
      <c r="Q1919" s="8">
        <v>45220</v>
      </c>
      <c r="R1919" s="8">
        <v>45224</v>
      </c>
      <c r="S1919" s="8">
        <v>45231</v>
      </c>
      <c r="T1919" s="8"/>
      <c r="U1919" s="8"/>
      <c r="V1919" s="10">
        <f>COUNTA(O1919:U1919)</f>
        <v>5</v>
      </c>
      <c r="W1919" s="11">
        <f>_xlfn.IFNA(INDEX(reading[[#This Row],[Memo 01]:[Memo 07]],MATCH(0,reading[[#This Row],[Memo 01]:[Memo 07]],-1)),"")</f>
        <v>45231</v>
      </c>
      <c r="X1919" s="11">
        <f ca="1">IFERROR(reading[[#This Row],[Previous]]+OFFSET(reading[[#Headers],[Memo 01]],-1,MATCH(0,reading[[#This Row],[Memo 01]:[Memo 07]],-1)-1),"")</f>
        <v>45243</v>
      </c>
      <c r="Y1919" s="10" t="str">
        <f ca="1">IF(reading[[#This Row],[Next]]&lt;&gt;"",IF(reading[[#This Row],[Next]]&gt;TODAY(),"OK",""),"")</f>
        <v/>
      </c>
      <c r="Z1919" s="13">
        <v>3</v>
      </c>
      <c r="AA1919" s="13">
        <v>3</v>
      </c>
      <c r="AB1919" s="13">
        <v>3</v>
      </c>
      <c r="AC1919" s="13">
        <v>3</v>
      </c>
      <c r="AD1919" s="13">
        <v>3</v>
      </c>
      <c r="AE1919" s="13"/>
      <c r="AF1919" s="13"/>
      <c r="AG1919" s="16">
        <f>IFERROR(SUMIF(reading[[#This Row],[1st]:[7th]],"&gt;0")/COUNTIF(reading[[#This Row],[1st]:[7th]],"&gt;0"),"")</f>
        <v>3</v>
      </c>
    </row>
    <row r="1920" spans="1:33" x14ac:dyDescent="0.2">
      <c r="A1920" s="4">
        <f>IF(B1920=1,3,IF(D1920=1,2,IF(F1920=1,1,0)))</f>
        <v>3</v>
      </c>
      <c r="B1920" s="4">
        <f>IF(C1920=$L1920,1,IF(C1920="","",0))</f>
        <v>1</v>
      </c>
      <c r="C1920" s="42" t="s">
        <v>9340</v>
      </c>
      <c r="D1920" s="4" t="str">
        <f>IF(E1920=$L1920,1,IF(E1920="","",0))</f>
        <v/>
      </c>
      <c r="E1920" s="14"/>
      <c r="F1920" s="4" t="str">
        <f>IF(G1920=$L1920,1,IF(G1920="","",0))</f>
        <v/>
      </c>
      <c r="G1920" s="14"/>
      <c r="H1920" s="6">
        <v>555</v>
      </c>
      <c r="I1920" s="15" t="s">
        <v>3120</v>
      </c>
      <c r="J1920" s="6" t="s">
        <v>3700</v>
      </c>
      <c r="K1920" s="6"/>
      <c r="L1920" s="6" t="s">
        <v>682</v>
      </c>
      <c r="M1920" s="6" t="s">
        <v>6664</v>
      </c>
      <c r="N1920" s="7">
        <f ca="1">RAND()</f>
        <v>0.18201384659036191</v>
      </c>
      <c r="O1920" s="8">
        <v>45202</v>
      </c>
      <c r="P1920" s="8">
        <v>45203</v>
      </c>
      <c r="Q1920" s="8">
        <v>45205</v>
      </c>
      <c r="R1920" s="8">
        <v>45209</v>
      </c>
      <c r="S1920" s="8">
        <v>45216</v>
      </c>
      <c r="T1920" s="8">
        <v>45228</v>
      </c>
      <c r="U1920" s="8"/>
      <c r="V1920" s="10">
        <f>COUNTA(O1920:U1920)</f>
        <v>6</v>
      </c>
      <c r="W1920" s="11">
        <f>_xlfn.IFNA(INDEX(reading[[#This Row],[Memo 01]:[Memo 07]],MATCH(0,reading[[#This Row],[Memo 01]:[Memo 07]],-1)),"")</f>
        <v>45228</v>
      </c>
      <c r="X1920" s="11">
        <f ca="1">IFERROR(reading[[#This Row],[Previous]]+OFFSET(reading[[#Headers],[Memo 01]],-1,MATCH(0,reading[[#This Row],[Memo 01]:[Memo 07]],-1)-1),"")</f>
        <v>45248</v>
      </c>
      <c r="Y1920" s="10" t="str">
        <f ca="1">IF(reading[[#This Row],[Next]]&lt;&gt;"",IF(reading[[#This Row],[Next]]&gt;TODAY(),"OK",""),"")</f>
        <v/>
      </c>
      <c r="Z1920" s="13">
        <v>3</v>
      </c>
      <c r="AA1920" s="13">
        <v>2</v>
      </c>
      <c r="AB1920" s="13">
        <v>3</v>
      </c>
      <c r="AC1920" s="13">
        <v>3</v>
      </c>
      <c r="AD1920" s="13">
        <v>3</v>
      </c>
      <c r="AE1920" s="13">
        <v>3</v>
      </c>
      <c r="AF1920" s="13"/>
      <c r="AG1920" s="16">
        <f>IFERROR(SUMIF(reading[[#This Row],[1st]:[7th]],"&gt;0")/COUNTIF(reading[[#This Row],[1st]:[7th]],"&gt;0"),"")</f>
        <v>2.8333333333333335</v>
      </c>
    </row>
    <row r="1921" spans="1:33" x14ac:dyDescent="0.2">
      <c r="A1921" s="4">
        <f>IF(B1921=1,3,IF(D1921=1,2,IF(F1921=1,1,0)))</f>
        <v>3</v>
      </c>
      <c r="B1921" s="4">
        <f>IF(C1921=$L1921,1,IF(C1921="","",0))</f>
        <v>1</v>
      </c>
      <c r="C1921" s="42" t="s">
        <v>9341</v>
      </c>
      <c r="D1921" s="4" t="str">
        <f>IF(E1921=$L1921,1,IF(E1921="","",0))</f>
        <v/>
      </c>
      <c r="E1921" s="14"/>
      <c r="F1921" s="4" t="str">
        <f>IF(G1921=$L1921,1,IF(G1921="","",0))</f>
        <v/>
      </c>
      <c r="G1921" s="14"/>
      <c r="H1921" s="6">
        <v>831</v>
      </c>
      <c r="I1921" s="15" t="s">
        <v>3120</v>
      </c>
      <c r="J1921" s="6" t="s">
        <v>3964</v>
      </c>
      <c r="K1921" s="6"/>
      <c r="L1921" s="6" t="s">
        <v>947</v>
      </c>
      <c r="M1921" s="6" t="s">
        <v>6940</v>
      </c>
      <c r="N1921" s="7">
        <f ca="1">RAND()</f>
        <v>0.14553389767540403</v>
      </c>
      <c r="O1921" s="8">
        <v>45203</v>
      </c>
      <c r="P1921" s="8">
        <v>45204</v>
      </c>
      <c r="Q1921" s="8">
        <v>45206</v>
      </c>
      <c r="R1921" s="8">
        <v>45210</v>
      </c>
      <c r="S1921" s="8">
        <v>45217</v>
      </c>
      <c r="T1921" s="8">
        <v>45229</v>
      </c>
      <c r="U1921" s="8"/>
      <c r="V1921" s="10">
        <f>COUNTA(O1921:U1921)</f>
        <v>6</v>
      </c>
      <c r="W1921" s="11">
        <f>_xlfn.IFNA(INDEX(reading[[#This Row],[Memo 01]:[Memo 07]],MATCH(0,reading[[#This Row],[Memo 01]:[Memo 07]],-1)),"")</f>
        <v>45229</v>
      </c>
      <c r="X1921" s="11">
        <f ca="1">IFERROR(reading[[#This Row],[Previous]]+OFFSET(reading[[#Headers],[Memo 01]],-1,MATCH(0,reading[[#This Row],[Memo 01]:[Memo 07]],-1)-1),"")</f>
        <v>45249</v>
      </c>
      <c r="Y1921" s="10" t="str">
        <f ca="1">IF(reading[[#This Row],[Next]]&lt;&gt;"",IF(reading[[#This Row],[Next]]&gt;TODAY(),"OK",""),"")</f>
        <v/>
      </c>
      <c r="Z1921" s="13">
        <v>3</v>
      </c>
      <c r="AA1921" s="13">
        <v>3</v>
      </c>
      <c r="AB1921" s="13">
        <v>3</v>
      </c>
      <c r="AC1921" s="13">
        <v>3</v>
      </c>
      <c r="AD1921" s="13">
        <v>3</v>
      </c>
      <c r="AE1921" s="13">
        <v>3</v>
      </c>
      <c r="AF1921" s="13"/>
      <c r="AG1921" s="16">
        <f>IFERROR(SUMIF(reading[[#This Row],[1st]:[7th]],"&gt;0")/COUNTIF(reading[[#This Row],[1st]:[7th]],"&gt;0"),"")</f>
        <v>3</v>
      </c>
    </row>
    <row r="1922" spans="1:33" x14ac:dyDescent="0.2">
      <c r="A1922" s="4">
        <f>IF(B1922=1,3,IF(D1922=1,2,IF(F1922=1,1,0)))</f>
        <v>0</v>
      </c>
      <c r="B1922" s="4">
        <f>IF(C1922=$L1922,1,IF(C1922="","",0))</f>
        <v>0</v>
      </c>
      <c r="C1922" s="42" t="s">
        <v>9200</v>
      </c>
      <c r="D1922" s="4" t="str">
        <f>IF(E1922=$L1922,1,IF(E1922="","",0))</f>
        <v/>
      </c>
      <c r="E1922" s="14"/>
      <c r="F1922" s="4" t="str">
        <f>IF(G1922=$L1922,1,IF(G1922="","",0))</f>
        <v/>
      </c>
      <c r="G1922" s="14"/>
      <c r="H1922" s="6">
        <v>2889</v>
      </c>
      <c r="I1922" s="15" t="s">
        <v>3120</v>
      </c>
      <c r="J1922" s="6" t="s">
        <v>3907</v>
      </c>
      <c r="K1922" s="6"/>
      <c r="L1922" s="6" t="s">
        <v>2920</v>
      </c>
      <c r="M1922" s="6" t="s">
        <v>8993</v>
      </c>
      <c r="N1922" s="7">
        <f ca="1">RAND()</f>
        <v>0.69763437650314453</v>
      </c>
      <c r="O1922" s="8">
        <v>45222</v>
      </c>
      <c r="P1922" s="8">
        <v>45223</v>
      </c>
      <c r="Q1922" s="8">
        <v>45225</v>
      </c>
      <c r="R1922" s="8">
        <v>45229</v>
      </c>
      <c r="S1922" s="8">
        <v>45236</v>
      </c>
      <c r="T1922" s="8"/>
      <c r="U1922" s="8"/>
      <c r="V1922" s="10">
        <f>COUNTA(O1922:U1922)</f>
        <v>5</v>
      </c>
      <c r="W1922" s="11">
        <f>_xlfn.IFNA(INDEX(reading[[#This Row],[Memo 01]:[Memo 07]],MATCH(0,reading[[#This Row],[Memo 01]:[Memo 07]],-1)),"")</f>
        <v>45236</v>
      </c>
      <c r="X1922" s="11">
        <f ca="1">IFERROR(reading[[#This Row],[Previous]]+OFFSET(reading[[#Headers],[Memo 01]],-1,MATCH(0,reading[[#This Row],[Memo 01]:[Memo 07]],-1)-1),"")</f>
        <v>45248</v>
      </c>
      <c r="Y1922" s="10" t="str">
        <f ca="1">IF(reading[[#This Row],[Next]]&lt;&gt;"",IF(reading[[#This Row],[Next]]&gt;TODAY(),"OK",""),"")</f>
        <v/>
      </c>
      <c r="Z1922" s="13">
        <v>3</v>
      </c>
      <c r="AA1922" s="13">
        <v>3</v>
      </c>
      <c r="AB1922" s="13">
        <v>3</v>
      </c>
      <c r="AC1922" s="13">
        <v>3</v>
      </c>
      <c r="AD1922" s="13">
        <v>3</v>
      </c>
      <c r="AE1922" s="13"/>
      <c r="AF1922" s="13"/>
      <c r="AG1922" s="16">
        <f>IFERROR(SUMIF(reading[[#This Row],[1st]:[7th]],"&gt;0")/COUNTIF(reading[[#This Row],[1st]:[7th]],"&gt;0"),"")</f>
        <v>3</v>
      </c>
    </row>
    <row r="1923" spans="1:33" x14ac:dyDescent="0.2">
      <c r="A1923" s="4">
        <f>IF(B1923=1,3,IF(D1923=1,2,IF(F1923=1,1,0)))</f>
        <v>3</v>
      </c>
      <c r="B1923" s="4">
        <f>IF(C1923=$L1923,1,IF(C1923="","",0))</f>
        <v>1</v>
      </c>
      <c r="C1923" s="43" t="s">
        <v>9342</v>
      </c>
      <c r="D1923" s="4" t="str">
        <f>IF(E1923=$L1923,1,IF(E1923="","",0))</f>
        <v/>
      </c>
      <c r="E1923" s="14"/>
      <c r="F1923" s="4" t="str">
        <f>IF(G1923=$L1923,1,IF(G1923="","",0))</f>
        <v/>
      </c>
      <c r="G1923" s="14"/>
      <c r="H1923" s="6">
        <v>7</v>
      </c>
      <c r="I1923" s="15" t="s">
        <v>3120</v>
      </c>
      <c r="J1923" s="6" t="s">
        <v>3162</v>
      </c>
      <c r="K1923" s="6"/>
      <c r="L1923" s="6" t="s">
        <v>152</v>
      </c>
      <c r="M1923" s="6" t="s">
        <v>6121</v>
      </c>
      <c r="N1923" s="7">
        <f ca="1">RAND()</f>
        <v>0.88194052895855934</v>
      </c>
      <c r="O1923" s="8">
        <v>45198</v>
      </c>
      <c r="P1923" s="8">
        <v>45199</v>
      </c>
      <c r="Q1923" s="8">
        <v>45201</v>
      </c>
      <c r="R1923" s="8">
        <v>45205</v>
      </c>
      <c r="S1923" s="8">
        <v>45212</v>
      </c>
      <c r="T1923" s="8">
        <v>45224</v>
      </c>
      <c r="U1923" s="8"/>
      <c r="V1923" s="10">
        <f>COUNTA(O1923:U1923)</f>
        <v>6</v>
      </c>
      <c r="W1923" s="11">
        <f>_xlfn.IFNA(INDEX(reading[[#This Row],[Memo 01]:[Memo 07]],MATCH(0,reading[[#This Row],[Memo 01]:[Memo 07]],-1)),"")</f>
        <v>45224</v>
      </c>
      <c r="X1923" s="11">
        <f ca="1">IFERROR(reading[[#This Row],[Previous]]+OFFSET(reading[[#Headers],[Memo 01]],-1,MATCH(0,reading[[#This Row],[Memo 01]:[Memo 07]],-1)-1),"")</f>
        <v>45244</v>
      </c>
      <c r="Y1923" s="10" t="str">
        <f ca="1">IF(reading[[#This Row],[Next]]&lt;&gt;"",IF(reading[[#This Row],[Next]]&gt;TODAY(),"OK",""),"")</f>
        <v/>
      </c>
      <c r="Z1923" s="13">
        <v>3</v>
      </c>
      <c r="AA1923" s="13">
        <v>3</v>
      </c>
      <c r="AB1923" s="13">
        <v>3</v>
      </c>
      <c r="AC1923" s="13">
        <v>3</v>
      </c>
      <c r="AD1923" s="13">
        <v>3</v>
      </c>
      <c r="AE1923" s="13">
        <v>3</v>
      </c>
      <c r="AF1923" s="13"/>
      <c r="AG1923" s="16">
        <f>IFERROR(SUMIF(reading[[#This Row],[1st]:[7th]],"&gt;0")/COUNTIF(reading[[#This Row],[1st]:[7th]],"&gt;0"),"")</f>
        <v>3</v>
      </c>
    </row>
    <row r="1924" spans="1:33" x14ac:dyDescent="0.2">
      <c r="A1924" s="4">
        <f>IF(B1924=1,3,IF(D1924=1,2,IF(F1924=1,1,0)))</f>
        <v>3</v>
      </c>
      <c r="B1924" s="4">
        <f>IF(C1924=$L1924,1,IF(C1924="","",0))</f>
        <v>1</v>
      </c>
      <c r="C1924" s="43" t="s">
        <v>9343</v>
      </c>
      <c r="D1924" s="4" t="str">
        <f>IF(E1924=$L1924,1,IF(E1924="","",0))</f>
        <v/>
      </c>
      <c r="E1924" s="14"/>
      <c r="F1924" s="4" t="str">
        <f>IF(G1924=$L1924,1,IF(G1924="","",0))</f>
        <v/>
      </c>
      <c r="G1924" s="14"/>
      <c r="H1924" s="6">
        <v>41</v>
      </c>
      <c r="I1924" s="15" t="s">
        <v>3120</v>
      </c>
      <c r="J1924" s="6" t="s">
        <v>3196</v>
      </c>
      <c r="K1924" s="6"/>
      <c r="L1924" s="6" t="s">
        <v>184</v>
      </c>
      <c r="M1924" s="6" t="s">
        <v>6155</v>
      </c>
      <c r="N1924" s="7">
        <f ca="1">RAND()</f>
        <v>0.59637057584995234</v>
      </c>
      <c r="O1924" s="8">
        <v>45198</v>
      </c>
      <c r="P1924" s="8">
        <v>45199</v>
      </c>
      <c r="Q1924" s="8">
        <v>45201</v>
      </c>
      <c r="R1924" s="8">
        <v>45205</v>
      </c>
      <c r="S1924" s="8">
        <v>45212</v>
      </c>
      <c r="T1924" s="8">
        <v>45224</v>
      </c>
      <c r="U1924" s="8"/>
      <c r="V1924" s="10">
        <f>COUNTA(O1924:U1924)</f>
        <v>6</v>
      </c>
      <c r="W1924" s="11">
        <f>_xlfn.IFNA(INDEX(reading[[#This Row],[Memo 01]:[Memo 07]],MATCH(0,reading[[#This Row],[Memo 01]:[Memo 07]],-1)),"")</f>
        <v>45224</v>
      </c>
      <c r="X1924" s="11">
        <f ca="1">IFERROR(reading[[#This Row],[Previous]]+OFFSET(reading[[#Headers],[Memo 01]],-1,MATCH(0,reading[[#This Row],[Memo 01]:[Memo 07]],-1)-1),"")</f>
        <v>45244</v>
      </c>
      <c r="Y1924" s="10" t="str">
        <f ca="1">IF(reading[[#This Row],[Next]]&lt;&gt;"",IF(reading[[#This Row],[Next]]&gt;TODAY(),"OK",""),"")</f>
        <v/>
      </c>
      <c r="Z1924" s="13">
        <v>3</v>
      </c>
      <c r="AA1924" s="13">
        <v>3</v>
      </c>
      <c r="AB1924" s="13">
        <v>3</v>
      </c>
      <c r="AC1924" s="13">
        <v>3</v>
      </c>
      <c r="AD1924" s="13">
        <v>3</v>
      </c>
      <c r="AE1924" s="13">
        <v>3</v>
      </c>
      <c r="AF1924" s="13"/>
      <c r="AG1924" s="16">
        <f>IFERROR(SUMIF(reading[[#This Row],[1st]:[7th]],"&gt;0")/COUNTIF(reading[[#This Row],[1st]:[7th]],"&gt;0"),"")</f>
        <v>3</v>
      </c>
    </row>
    <row r="1925" spans="1:33" x14ac:dyDescent="0.2">
      <c r="A1925" s="4">
        <f>IF(B1925=1,3,IF(D1925=1,2,IF(F1925=1,1,0)))</f>
        <v>0</v>
      </c>
      <c r="B1925" s="4">
        <f>IF(C1925=$L1925,1,IF(C1925="","",0))</f>
        <v>0</v>
      </c>
      <c r="C1925" s="42" t="s">
        <v>9200</v>
      </c>
      <c r="D1925" s="4" t="str">
        <f>IF(E1925=$L1925,1,IF(E1925="","",0))</f>
        <v/>
      </c>
      <c r="E1925" s="14"/>
      <c r="F1925" s="4" t="str">
        <f>IF(G1925=$L1925,1,IF(G1925="","",0))</f>
        <v/>
      </c>
      <c r="G1925" s="14"/>
      <c r="H1925" s="6">
        <v>2822</v>
      </c>
      <c r="I1925" s="15" t="s">
        <v>3120</v>
      </c>
      <c r="J1925" s="6" t="s">
        <v>3829</v>
      </c>
      <c r="K1925" s="15" t="s">
        <v>3139</v>
      </c>
      <c r="L1925" s="6" t="s">
        <v>2858</v>
      </c>
      <c r="M1925" s="6" t="s">
        <v>8926</v>
      </c>
      <c r="N1925" s="7">
        <f ca="1">RAND()</f>
        <v>0.94988173042899637</v>
      </c>
      <c r="O1925" s="8">
        <v>45222</v>
      </c>
      <c r="P1925" s="8">
        <v>45223</v>
      </c>
      <c r="Q1925" s="8">
        <v>45225</v>
      </c>
      <c r="R1925" s="8">
        <v>45229</v>
      </c>
      <c r="S1925" s="8">
        <v>45236</v>
      </c>
      <c r="T1925" s="8"/>
      <c r="U1925" s="8"/>
      <c r="V1925" s="10">
        <f>COUNTA(O1925:U1925)</f>
        <v>5</v>
      </c>
      <c r="W1925" s="11">
        <f>_xlfn.IFNA(INDEX(reading[[#This Row],[Memo 01]:[Memo 07]],MATCH(0,reading[[#This Row],[Memo 01]:[Memo 07]],-1)),"")</f>
        <v>45236</v>
      </c>
      <c r="X1925" s="11">
        <f ca="1">IFERROR(reading[[#This Row],[Previous]]+OFFSET(reading[[#Headers],[Memo 01]],-1,MATCH(0,reading[[#This Row],[Memo 01]:[Memo 07]],-1)-1),"")</f>
        <v>45248</v>
      </c>
      <c r="Y1925" s="10" t="str">
        <f ca="1">IF(reading[[#This Row],[Next]]&lt;&gt;"",IF(reading[[#This Row],[Next]]&gt;TODAY(),"OK",""),"")</f>
        <v/>
      </c>
      <c r="Z1925" s="13">
        <v>3</v>
      </c>
      <c r="AA1925" s="13">
        <v>3</v>
      </c>
      <c r="AB1925" s="13">
        <v>3</v>
      </c>
      <c r="AC1925" s="13">
        <v>3</v>
      </c>
      <c r="AD1925" s="13">
        <v>3</v>
      </c>
      <c r="AE1925" s="13"/>
      <c r="AF1925" s="13"/>
      <c r="AG1925" s="16">
        <f>IFERROR(SUMIF(reading[[#This Row],[1st]:[7th]],"&gt;0")/COUNTIF(reading[[#This Row],[1st]:[7th]],"&gt;0"),"")</f>
        <v>3</v>
      </c>
    </row>
    <row r="1926" spans="1:33" x14ac:dyDescent="0.2">
      <c r="A1926" s="4">
        <f>IF(B1926=1,3,IF(D1926=1,2,IF(F1926=1,1,0)))</f>
        <v>3</v>
      </c>
      <c r="B1926" s="4">
        <f>IF(C1926=$L1926,1,IF(C1926="","",0))</f>
        <v>1</v>
      </c>
      <c r="C1926" s="42" t="s">
        <v>9229</v>
      </c>
      <c r="D1926" s="4" t="str">
        <f>IF(E1926=$L1926,1,IF(E1926="","",0))</f>
        <v/>
      </c>
      <c r="E1926" s="43"/>
      <c r="F1926" s="4" t="str">
        <f>IF(G1926=$L1926,1,IF(G1926="","",0))</f>
        <v/>
      </c>
      <c r="G1926" s="14"/>
      <c r="H1926" s="6">
        <v>2832</v>
      </c>
      <c r="I1926" s="15" t="s">
        <v>3120</v>
      </c>
      <c r="J1926" s="6" t="s">
        <v>5873</v>
      </c>
      <c r="K1926" s="6"/>
      <c r="L1926" s="6" t="s">
        <v>2867</v>
      </c>
      <c r="M1926" s="6" t="s">
        <v>8936</v>
      </c>
      <c r="N1926" s="7">
        <f ca="1">RAND()</f>
        <v>0.55996557227751786</v>
      </c>
      <c r="O1926" s="8">
        <v>45223</v>
      </c>
      <c r="P1926" s="8">
        <v>45224</v>
      </c>
      <c r="Q1926" s="8">
        <v>45226</v>
      </c>
      <c r="R1926" s="8">
        <v>45252</v>
      </c>
      <c r="S1926" s="8">
        <v>45815</v>
      </c>
      <c r="T1926" s="8"/>
      <c r="U1926" s="8"/>
      <c r="V1926" s="10">
        <f>COUNTA(O1926:U1926)</f>
        <v>5</v>
      </c>
      <c r="W1926" s="11">
        <f>_xlfn.IFNA(INDEX(reading[[#This Row],[Memo 01]:[Memo 07]],MATCH(0,reading[[#This Row],[Memo 01]:[Memo 07]],-1)),"")</f>
        <v>45815</v>
      </c>
      <c r="X1926" s="11">
        <f ca="1">IFERROR(reading[[#This Row],[Previous]]+OFFSET(reading[[#Headers],[Memo 01]],-1,MATCH(0,reading[[#This Row],[Memo 01]:[Memo 07]],-1)-1),"")</f>
        <v>45827</v>
      </c>
      <c r="Y1926" s="10" t="str">
        <f ca="1">IF(reading[[#This Row],[Next]]&lt;&gt;"",IF(reading[[#This Row],[Next]]&gt;TODAY(),"OK",""),"")</f>
        <v/>
      </c>
      <c r="Z1926" s="13">
        <v>3</v>
      </c>
      <c r="AA1926" s="13">
        <v>3</v>
      </c>
      <c r="AB1926" s="13">
        <v>2</v>
      </c>
      <c r="AC1926" s="13">
        <v>2</v>
      </c>
      <c r="AD1926" s="13">
        <v>2</v>
      </c>
      <c r="AE1926" s="13"/>
      <c r="AF1926" s="13"/>
      <c r="AG1926" s="16">
        <f>IFERROR(SUMIF(reading[[#This Row],[1st]:[7th]],"&gt;0")/COUNTIF(reading[[#This Row],[1st]:[7th]],"&gt;0"),"")</f>
        <v>2.4</v>
      </c>
    </row>
    <row r="1927" spans="1:33" hidden="1" x14ac:dyDescent="0.2">
      <c r="A1927" s="4">
        <f>IF(B1927=1,3,IF(D1927=1,2,IF(F1927=1,1,0)))</f>
        <v>0</v>
      </c>
      <c r="B1927" s="4" t="str">
        <f>IF(C1927=$L1927,1,IF(C1927="","",0))</f>
        <v/>
      </c>
      <c r="C1927" s="42"/>
      <c r="D1927" s="4" t="str">
        <f>IF(E1927=$L1927,1,IF(E1927="","",0))</f>
        <v/>
      </c>
      <c r="E1927" s="43"/>
      <c r="F1927" s="4" t="str">
        <f>IF(G1927=$L1927,1,IF(G1927="","",0))</f>
        <v/>
      </c>
      <c r="G1927" s="14"/>
      <c r="H1927" s="6">
        <v>343</v>
      </c>
      <c r="I1927" s="15" t="s">
        <v>3120</v>
      </c>
      <c r="J1927" s="6" t="s">
        <v>3490</v>
      </c>
      <c r="K1927" s="6"/>
      <c r="L1927" s="6" t="s">
        <v>478</v>
      </c>
      <c r="M1927" s="6" t="s">
        <v>6452</v>
      </c>
      <c r="N1927" s="7">
        <f ca="1">RAND()</f>
        <v>0.94662135428343774</v>
      </c>
      <c r="O1927" s="8">
        <v>45200</v>
      </c>
      <c r="P1927" s="8">
        <v>45201</v>
      </c>
      <c r="Q1927" s="8">
        <v>45203</v>
      </c>
      <c r="R1927" s="8">
        <v>45207</v>
      </c>
      <c r="S1927" s="8">
        <v>45214</v>
      </c>
      <c r="T1927" s="8">
        <v>45226</v>
      </c>
      <c r="U1927" s="8">
        <v>45816</v>
      </c>
      <c r="V1927" s="10">
        <f>COUNTA(O1927:U1927)</f>
        <v>7</v>
      </c>
      <c r="W1927" s="11">
        <f>_xlfn.IFNA(INDEX(reading[[#This Row],[Memo 01]:[Memo 07]],MATCH(0,reading[[#This Row],[Memo 01]:[Memo 07]],-1)),"")</f>
        <v>45816</v>
      </c>
      <c r="X1927" s="11">
        <f ca="1">IFERROR(reading[[#This Row],[Previous]]+OFFSET(reading[[#Headers],[Memo 01]],-1,MATCH(0,reading[[#This Row],[Memo 01]:[Memo 07]],-1)-1),"")</f>
        <v>55816</v>
      </c>
      <c r="Y1927" s="10" t="str">
        <f ca="1">IF(reading[[#This Row],[Next]]&lt;&gt;"",IF(reading[[#This Row],[Next]]&gt;TODAY(),"OK",""),"")</f>
        <v>OK</v>
      </c>
      <c r="Z1927" s="13">
        <v>3</v>
      </c>
      <c r="AA1927" s="13">
        <v>3</v>
      </c>
      <c r="AB1927" s="13">
        <v>3</v>
      </c>
      <c r="AC1927" s="13">
        <v>2</v>
      </c>
      <c r="AD1927" s="13">
        <v>3</v>
      </c>
      <c r="AE1927" s="13">
        <v>3</v>
      </c>
      <c r="AF1927" s="13">
        <v>2</v>
      </c>
      <c r="AG1927" s="16">
        <f>IFERROR(SUMIF(reading[[#This Row],[1st]:[7th]],"&gt;0")/COUNTIF(reading[[#This Row],[1st]:[7th]],"&gt;0"),"")</f>
        <v>2.7142857142857144</v>
      </c>
    </row>
    <row r="1928" spans="1:33" x14ac:dyDescent="0.2">
      <c r="A1928" s="4">
        <f>IF(B1928=1,3,IF(D1928=1,2,IF(F1928=1,1,0)))</f>
        <v>3</v>
      </c>
      <c r="B1928" s="4">
        <f>IF(C1928=$L1928,1,IF(C1928="","",0))</f>
        <v>1</v>
      </c>
      <c r="C1928" s="42" t="s">
        <v>9344</v>
      </c>
      <c r="D1928" s="4" t="str">
        <f>IF(E1928=$L1928,1,IF(E1928="","",0))</f>
        <v/>
      </c>
      <c r="E1928" s="18"/>
      <c r="F1928" s="4" t="str">
        <f>IF(G1928=$L1928,1,IF(G1928="","",0))</f>
        <v/>
      </c>
      <c r="G1928" s="18"/>
      <c r="H1928" s="6">
        <v>1267</v>
      </c>
      <c r="I1928" s="15" t="s">
        <v>3120</v>
      </c>
      <c r="J1928" s="6" t="s">
        <v>4384</v>
      </c>
      <c r="K1928" s="6"/>
      <c r="L1928" s="6" t="s">
        <v>1365</v>
      </c>
      <c r="M1928" s="6" t="s">
        <v>7374</v>
      </c>
      <c r="N1928" s="7">
        <f ca="1">RAND()</f>
        <v>0.54475950520658212</v>
      </c>
      <c r="O1928" s="8">
        <v>45207</v>
      </c>
      <c r="P1928" s="8">
        <v>45208</v>
      </c>
      <c r="Q1928" s="8">
        <v>45210</v>
      </c>
      <c r="R1928" s="8">
        <v>45214</v>
      </c>
      <c r="S1928" s="8">
        <v>45221</v>
      </c>
      <c r="T1928" s="8">
        <v>45233</v>
      </c>
      <c r="U1928" s="8"/>
      <c r="V1928" s="10">
        <f>COUNTA(O1928:U1928)</f>
        <v>6</v>
      </c>
      <c r="W1928" s="11">
        <f>_xlfn.IFNA(INDEX(reading[[#This Row],[Memo 01]:[Memo 07]],MATCH(0,reading[[#This Row],[Memo 01]:[Memo 07]],-1)),"")</f>
        <v>45233</v>
      </c>
      <c r="X1928" s="11">
        <f ca="1">IFERROR(reading[[#This Row],[Previous]]+OFFSET(reading[[#Headers],[Memo 01]],-1,MATCH(0,reading[[#This Row],[Memo 01]:[Memo 07]],-1)-1),"")</f>
        <v>45253</v>
      </c>
      <c r="Y1928" s="10" t="str">
        <f ca="1">IF(reading[[#This Row],[Next]]&lt;&gt;"",IF(reading[[#This Row],[Next]]&gt;TODAY(),"OK",""),"")</f>
        <v/>
      </c>
      <c r="Z1928" s="13">
        <v>3</v>
      </c>
      <c r="AA1928" s="13">
        <v>3</v>
      </c>
      <c r="AB1928" s="13">
        <v>3</v>
      </c>
      <c r="AC1928" s="13">
        <v>2</v>
      </c>
      <c r="AD1928" s="13">
        <v>1</v>
      </c>
      <c r="AE1928" s="13">
        <v>3</v>
      </c>
      <c r="AF1928" s="13"/>
      <c r="AG1928" s="16">
        <f>IFERROR(SUMIF(reading[[#This Row],[1st]:[7th]],"&gt;0")/COUNTIF(reading[[#This Row],[1st]:[7th]],"&gt;0"),"")</f>
        <v>2.5</v>
      </c>
    </row>
    <row r="1929" spans="1:33" x14ac:dyDescent="0.2">
      <c r="A1929" s="4">
        <f>IF(B1929=1,3,IF(D1929=1,2,IF(F1929=1,1,0)))</f>
        <v>3</v>
      </c>
      <c r="B1929" s="4">
        <f>IF(C1929=$L1929,1,IF(C1929="","",0))</f>
        <v>1</v>
      </c>
      <c r="C1929" s="42" t="s">
        <v>9345</v>
      </c>
      <c r="D1929" s="4" t="str">
        <f>IF(E1929=$L1929,1,IF(E1929="","",0))</f>
        <v/>
      </c>
      <c r="E1929" s="14"/>
      <c r="F1929" s="4" t="str">
        <f>IF(G1929=$L1929,1,IF(G1929="","",0))</f>
        <v/>
      </c>
      <c r="G1929" s="14"/>
      <c r="H1929" s="6">
        <v>1036</v>
      </c>
      <c r="I1929" s="15" t="s">
        <v>3120</v>
      </c>
      <c r="J1929" s="6" t="s">
        <v>4163</v>
      </c>
      <c r="K1929" s="6"/>
      <c r="L1929" s="6" t="s">
        <v>1145</v>
      </c>
      <c r="M1929" s="6" t="s">
        <v>7144</v>
      </c>
      <c r="N1929" s="7">
        <f ca="1">RAND()</f>
        <v>0.44934964984835035</v>
      </c>
      <c r="O1929" s="8">
        <v>45205</v>
      </c>
      <c r="P1929" s="8">
        <v>45206</v>
      </c>
      <c r="Q1929" s="8">
        <v>45208</v>
      </c>
      <c r="R1929" s="8">
        <v>45212</v>
      </c>
      <c r="S1929" s="8">
        <v>45219</v>
      </c>
      <c r="T1929" s="8">
        <v>45231</v>
      </c>
      <c r="U1929" s="8"/>
      <c r="V1929" s="10">
        <f>COUNTA(O1929:U1929)</f>
        <v>6</v>
      </c>
      <c r="W1929" s="11">
        <f>_xlfn.IFNA(INDEX(reading[[#This Row],[Memo 01]:[Memo 07]],MATCH(0,reading[[#This Row],[Memo 01]:[Memo 07]],-1)),"")</f>
        <v>45231</v>
      </c>
      <c r="X1929" s="11">
        <f ca="1">IFERROR(reading[[#This Row],[Previous]]+OFFSET(reading[[#Headers],[Memo 01]],-1,MATCH(0,reading[[#This Row],[Memo 01]:[Memo 07]],-1)-1),"")</f>
        <v>45251</v>
      </c>
      <c r="Y1929" s="10" t="str">
        <f ca="1">IF(reading[[#This Row],[Next]]&lt;&gt;"",IF(reading[[#This Row],[Next]]&gt;TODAY(),"OK",""),"")</f>
        <v/>
      </c>
      <c r="Z1929" s="13">
        <v>3</v>
      </c>
      <c r="AA1929" s="13">
        <v>3</v>
      </c>
      <c r="AB1929" s="13">
        <v>3</v>
      </c>
      <c r="AC1929" s="13">
        <v>3</v>
      </c>
      <c r="AD1929" s="13">
        <v>3</v>
      </c>
      <c r="AE1929" s="13">
        <v>3</v>
      </c>
      <c r="AF1929" s="13"/>
      <c r="AG1929" s="16">
        <f>IFERROR(SUMIF(reading[[#This Row],[1st]:[7th]],"&gt;0")/COUNTIF(reading[[#This Row],[1st]:[7th]],"&gt;0"),"")</f>
        <v>3</v>
      </c>
    </row>
    <row r="1930" spans="1:33" x14ac:dyDescent="0.2">
      <c r="A1930" s="4">
        <f>IF(B1930=1,3,IF(D1930=1,2,IF(F1930=1,1,0)))</f>
        <v>3</v>
      </c>
      <c r="B1930" s="4">
        <f>IF(C1930=$L1930,1,IF(C1930="","",0))</f>
        <v>1</v>
      </c>
      <c r="C1930" s="42" t="s">
        <v>9346</v>
      </c>
      <c r="D1930" s="4" t="str">
        <f>IF(E1930=$L1930,1,IF(E1930="","",0))</f>
        <v/>
      </c>
      <c r="E1930" s="14"/>
      <c r="F1930" s="4" t="str">
        <f>IF(G1930=$L1930,1,IF(G1930="","",0))</f>
        <v/>
      </c>
      <c r="G1930" s="14"/>
      <c r="H1930" s="6">
        <v>2077</v>
      </c>
      <c r="I1930" s="15" t="s">
        <v>3120</v>
      </c>
      <c r="J1930" s="6" t="s">
        <v>5170</v>
      </c>
      <c r="K1930" s="6"/>
      <c r="L1930" s="6" t="s">
        <v>2148</v>
      </c>
      <c r="M1930" s="6" t="s">
        <v>8183</v>
      </c>
      <c r="N1930" s="7">
        <f ca="1">RAND()</f>
        <v>0.32912466124880313</v>
      </c>
      <c r="O1930" s="8">
        <v>45214</v>
      </c>
      <c r="P1930" s="8">
        <v>45215</v>
      </c>
      <c r="Q1930" s="8">
        <v>45217</v>
      </c>
      <c r="R1930" s="8">
        <v>45221</v>
      </c>
      <c r="S1930" s="8">
        <v>45228</v>
      </c>
      <c r="T1930" s="8"/>
      <c r="U1930" s="8"/>
      <c r="V1930" s="10">
        <f>COUNTA(O1930:U1930)</f>
        <v>5</v>
      </c>
      <c r="W1930" s="11">
        <f>_xlfn.IFNA(INDEX(reading[[#This Row],[Memo 01]:[Memo 07]],MATCH(0,reading[[#This Row],[Memo 01]:[Memo 07]],-1)),"")</f>
        <v>45228</v>
      </c>
      <c r="X1930" s="11">
        <f ca="1">IFERROR(reading[[#This Row],[Previous]]+OFFSET(reading[[#Headers],[Memo 01]],-1,MATCH(0,reading[[#This Row],[Memo 01]:[Memo 07]],-1)-1),"")</f>
        <v>45240</v>
      </c>
      <c r="Y1930" s="10" t="str">
        <f ca="1">IF(reading[[#This Row],[Next]]&lt;&gt;"",IF(reading[[#This Row],[Next]]&gt;TODAY(),"OK",""),"")</f>
        <v/>
      </c>
      <c r="Z1930" s="13">
        <v>3</v>
      </c>
      <c r="AA1930" s="13">
        <v>3</v>
      </c>
      <c r="AB1930" s="13">
        <v>3</v>
      </c>
      <c r="AC1930" s="13">
        <v>3</v>
      </c>
      <c r="AD1930" s="13">
        <v>3</v>
      </c>
      <c r="AE1930" s="13"/>
      <c r="AF1930" s="13"/>
      <c r="AG1930" s="16">
        <f>IFERROR(SUMIF(reading[[#This Row],[1st]:[7th]],"&gt;0")/COUNTIF(reading[[#This Row],[1st]:[7th]],"&gt;0"),"")</f>
        <v>3</v>
      </c>
    </row>
    <row r="1931" spans="1:33" hidden="1" x14ac:dyDescent="0.2">
      <c r="A1931" s="4">
        <f>IF(B1931=1,3,IF(D1931=1,2,IF(F1931=1,1,0)))</f>
        <v>3</v>
      </c>
      <c r="B1931" s="4">
        <f>IF(C1931=$L1931,1,IF(C1931="","",0))</f>
        <v>1</v>
      </c>
      <c r="C1931" s="32" t="s">
        <v>2011</v>
      </c>
      <c r="D1931" s="4" t="str">
        <f>IF(E1931=$L1931,1,IF(E1931="","",0))</f>
        <v/>
      </c>
      <c r="E1931" s="14"/>
      <c r="F1931" s="4" t="str">
        <f>IF(G1931=$L1931,1,IF(G1931="","",0))</f>
        <v/>
      </c>
      <c r="G1931" s="14"/>
      <c r="H1931" s="6">
        <v>1935</v>
      </c>
      <c r="I1931" s="15" t="s">
        <v>3120</v>
      </c>
      <c r="J1931" s="6" t="s">
        <v>5034</v>
      </c>
      <c r="K1931" s="6"/>
      <c r="L1931" s="6" t="s">
        <v>2011</v>
      </c>
      <c r="M1931" s="6" t="s">
        <v>8041</v>
      </c>
      <c r="N1931" s="7">
        <f ca="1">RAND()</f>
        <v>0.1971859769844676</v>
      </c>
      <c r="O1931" s="8">
        <v>45212</v>
      </c>
      <c r="P1931" s="8">
        <v>45212</v>
      </c>
      <c r="Q1931" s="8">
        <v>45212</v>
      </c>
      <c r="R1931" s="8">
        <v>45212</v>
      </c>
      <c r="S1931" s="8">
        <v>45212</v>
      </c>
      <c r="T1931" s="8">
        <v>45212</v>
      </c>
      <c r="U1931" s="8">
        <v>45212</v>
      </c>
      <c r="V1931" s="10">
        <f>COUNTA(O1931:U1931)</f>
        <v>7</v>
      </c>
      <c r="W1931" s="11">
        <f>_xlfn.IFNA(INDEX(reading[[#This Row],[Memo 01]:[Memo 07]],MATCH(0,reading[[#This Row],[Memo 01]:[Memo 07]],-1)),"")</f>
        <v>45212</v>
      </c>
      <c r="X1931" s="11">
        <f ca="1">IFERROR(reading[[#This Row],[Previous]]+OFFSET(reading[[#Headers],[Memo 01]],-1,MATCH(0,reading[[#This Row],[Memo 01]:[Memo 07]],-1)-1),"")</f>
        <v>55212</v>
      </c>
      <c r="Y1931" s="10" t="str">
        <f ca="1">IF(reading[[#This Row],[Next]]&lt;&gt;"",IF(reading[[#This Row],[Next]]&gt;TODAY(),"OK",""),"")</f>
        <v>OK</v>
      </c>
      <c r="Z1931" s="13">
        <v>3</v>
      </c>
      <c r="AA1931" s="13"/>
      <c r="AB1931" s="13"/>
      <c r="AC1931" s="13"/>
      <c r="AD1931" s="13"/>
      <c r="AE1931" s="13"/>
      <c r="AF1931" s="13"/>
      <c r="AG1931" s="16">
        <f>IFERROR(SUMIF(reading[[#This Row],[1st]:[7th]],"&gt;0")/COUNTIF(reading[[#This Row],[1st]:[7th]],"&gt;0"),"")</f>
        <v>3</v>
      </c>
    </row>
    <row r="1932" spans="1:33" x14ac:dyDescent="0.2">
      <c r="A1932" s="4">
        <f>IF(B1932=1,3,IF(D1932=1,2,IF(F1932=1,1,0)))</f>
        <v>3</v>
      </c>
      <c r="B1932" s="4">
        <f>IF(C1932=$L1932,1,IF(C1932="","",0))</f>
        <v>1</v>
      </c>
      <c r="C1932" s="42" t="s">
        <v>9347</v>
      </c>
      <c r="D1932" s="4" t="str">
        <f>IF(E1932=$L1932,1,IF(E1932="","",0))</f>
        <v/>
      </c>
      <c r="E1932" s="14"/>
      <c r="F1932" s="4" t="str">
        <f>IF(G1932=$L1932,1,IF(G1932="","",0))</f>
        <v/>
      </c>
      <c r="G1932" s="14"/>
      <c r="H1932" s="6">
        <v>1825</v>
      </c>
      <c r="I1932" s="15" t="s">
        <v>3120</v>
      </c>
      <c r="J1932" s="6" t="s">
        <v>4930</v>
      </c>
      <c r="K1932" s="6"/>
      <c r="L1932" s="6" t="s">
        <v>1903</v>
      </c>
      <c r="M1932" s="6" t="s">
        <v>7931</v>
      </c>
      <c r="N1932" s="7">
        <f ca="1">RAND()</f>
        <v>0.37111213201734838</v>
      </c>
      <c r="O1932" s="8">
        <v>45212</v>
      </c>
      <c r="P1932" s="8">
        <v>45213</v>
      </c>
      <c r="Q1932" s="8">
        <v>45215</v>
      </c>
      <c r="R1932" s="8">
        <v>45219</v>
      </c>
      <c r="S1932" s="8">
        <v>45226</v>
      </c>
      <c r="T1932" s="8"/>
      <c r="U1932" s="8"/>
      <c r="V1932" s="10">
        <f>COUNTA(O1932:U1932)</f>
        <v>5</v>
      </c>
      <c r="W1932" s="11">
        <f>_xlfn.IFNA(INDEX(reading[[#This Row],[Memo 01]:[Memo 07]],MATCH(0,reading[[#This Row],[Memo 01]:[Memo 07]],-1)),"")</f>
        <v>45226</v>
      </c>
      <c r="X1932" s="11">
        <f ca="1">IFERROR(reading[[#This Row],[Previous]]+OFFSET(reading[[#Headers],[Memo 01]],-1,MATCH(0,reading[[#This Row],[Memo 01]:[Memo 07]],-1)-1),"")</f>
        <v>45238</v>
      </c>
      <c r="Y1932" s="10" t="str">
        <f ca="1">IF(reading[[#This Row],[Next]]&lt;&gt;"",IF(reading[[#This Row],[Next]]&gt;TODAY(),"OK",""),"")</f>
        <v/>
      </c>
      <c r="Z1932" s="13">
        <v>3</v>
      </c>
      <c r="AA1932" s="13">
        <v>3</v>
      </c>
      <c r="AB1932" s="13">
        <v>3</v>
      </c>
      <c r="AC1932" s="13">
        <v>3</v>
      </c>
      <c r="AD1932" s="13">
        <v>3</v>
      </c>
      <c r="AE1932" s="13"/>
      <c r="AF1932" s="13"/>
      <c r="AG1932" s="16">
        <f>IFERROR(SUMIF(reading[[#This Row],[1st]:[7th]],"&gt;0")/COUNTIF(reading[[#This Row],[1st]:[7th]],"&gt;0"),"")</f>
        <v>3</v>
      </c>
    </row>
    <row r="1933" spans="1:33" hidden="1" x14ac:dyDescent="0.2">
      <c r="A1933" s="4">
        <f>IF(B1933=1,3,IF(D1933=1,2,IF(F1933=1,1,0)))</f>
        <v>0</v>
      </c>
      <c r="B1933" s="4" t="str">
        <f>IF(C1933=$L1933,1,IF(C1933="","",0))</f>
        <v/>
      </c>
      <c r="C1933" s="42"/>
      <c r="D1933" s="4" t="str">
        <f>IF(E1933=$L1933,1,IF(E1933="","",0))</f>
        <v/>
      </c>
      <c r="E1933" s="18"/>
      <c r="F1933" s="4" t="str">
        <f>IF(G1933=$L1933,1,IF(G1933="","",0))</f>
        <v/>
      </c>
      <c r="G1933" s="14"/>
      <c r="H1933" s="6">
        <v>317</v>
      </c>
      <c r="I1933" s="15" t="s">
        <v>3120</v>
      </c>
      <c r="J1933" s="6" t="s">
        <v>3464</v>
      </c>
      <c r="K1933" s="15" t="s">
        <v>3138</v>
      </c>
      <c r="L1933" s="6" t="s">
        <v>452</v>
      </c>
      <c r="M1933" s="6" t="s">
        <v>6426</v>
      </c>
      <c r="N1933" s="7">
        <f ca="1">RAND()</f>
        <v>0.18557502707685458</v>
      </c>
      <c r="O1933" s="8">
        <v>45200</v>
      </c>
      <c r="P1933" s="8">
        <v>45201</v>
      </c>
      <c r="Q1933" s="8">
        <v>45203</v>
      </c>
      <c r="R1933" s="8">
        <v>45207</v>
      </c>
      <c r="S1933" s="8">
        <v>45214</v>
      </c>
      <c r="T1933" s="8">
        <v>45226</v>
      </c>
      <c r="U1933" s="8">
        <v>45253</v>
      </c>
      <c r="V1933" s="10">
        <f>COUNTA(O1933:U1933)</f>
        <v>7</v>
      </c>
      <c r="W1933" s="11">
        <f>_xlfn.IFNA(INDEX(reading[[#This Row],[Memo 01]:[Memo 07]],MATCH(0,reading[[#This Row],[Memo 01]:[Memo 07]],-1)),"")</f>
        <v>45253</v>
      </c>
      <c r="X1933" s="11">
        <f ca="1">IFERROR(reading[[#This Row],[Previous]]+OFFSET(reading[[#Headers],[Memo 01]],-1,MATCH(0,reading[[#This Row],[Memo 01]:[Memo 07]],-1)-1),"")</f>
        <v>55253</v>
      </c>
      <c r="Y1933" s="10" t="str">
        <f ca="1">IF(reading[[#This Row],[Next]]&lt;&gt;"",IF(reading[[#This Row],[Next]]&gt;TODAY(),"OK",""),"")</f>
        <v>OK</v>
      </c>
      <c r="Z1933" s="13">
        <v>3</v>
      </c>
      <c r="AA1933" s="13">
        <v>3</v>
      </c>
      <c r="AB1933" s="13">
        <v>2</v>
      </c>
      <c r="AC1933" s="13">
        <v>3</v>
      </c>
      <c r="AD1933" s="13">
        <v>3</v>
      </c>
      <c r="AE1933" s="13">
        <v>2</v>
      </c>
      <c r="AF1933" s="13">
        <v>2</v>
      </c>
      <c r="AG1933" s="16">
        <f>IFERROR(SUMIF(reading[[#This Row],[1st]:[7th]],"&gt;0")/COUNTIF(reading[[#This Row],[1st]:[7th]],"&gt;0"),"")</f>
        <v>2.5714285714285716</v>
      </c>
    </row>
    <row r="1934" spans="1:33" x14ac:dyDescent="0.2">
      <c r="A1934" s="4">
        <f>IF(B1934=1,3,IF(D1934=1,2,IF(F1934=1,1,0)))</f>
        <v>3</v>
      </c>
      <c r="B1934" s="4">
        <f>IF(C1934=$L1934,1,IF(C1934="","",0))</f>
        <v>1</v>
      </c>
      <c r="C1934" s="42" t="s">
        <v>9348</v>
      </c>
      <c r="D1934" s="4" t="str">
        <f>IF(E1934=$L1934,1,IF(E1934="","",0))</f>
        <v/>
      </c>
      <c r="E1934" s="14"/>
      <c r="F1934" s="4" t="str">
        <f>IF(G1934=$L1934,1,IF(G1934="","",0))</f>
        <v/>
      </c>
      <c r="G1934" s="14"/>
      <c r="H1934" s="6">
        <v>2816</v>
      </c>
      <c r="I1934" s="15" t="s">
        <v>3120</v>
      </c>
      <c r="J1934" s="6" t="s">
        <v>5859</v>
      </c>
      <c r="K1934" s="6"/>
      <c r="L1934" s="6" t="s">
        <v>2852</v>
      </c>
      <c r="M1934" s="6" t="s">
        <v>8920</v>
      </c>
      <c r="N1934" s="7">
        <f ca="1">RAND()</f>
        <v>0.42447011218859698</v>
      </c>
      <c r="O1934" s="8">
        <v>45222</v>
      </c>
      <c r="P1934" s="8">
        <v>45223</v>
      </c>
      <c r="Q1934" s="8">
        <v>45225</v>
      </c>
      <c r="R1934" s="8">
        <v>45229</v>
      </c>
      <c r="S1934" s="8">
        <v>45236</v>
      </c>
      <c r="T1934" s="8"/>
      <c r="U1934" s="8"/>
      <c r="V1934" s="10">
        <f>COUNTA(O1934:U1934)</f>
        <v>5</v>
      </c>
      <c r="W1934" s="11">
        <f>_xlfn.IFNA(INDEX(reading[[#This Row],[Memo 01]:[Memo 07]],MATCH(0,reading[[#This Row],[Memo 01]:[Memo 07]],-1)),"")</f>
        <v>45236</v>
      </c>
      <c r="X1934" s="11">
        <f ca="1">IFERROR(reading[[#This Row],[Previous]]+OFFSET(reading[[#Headers],[Memo 01]],-1,MATCH(0,reading[[#This Row],[Memo 01]:[Memo 07]],-1)-1),"")</f>
        <v>45248</v>
      </c>
      <c r="Y1934" s="10" t="str">
        <f ca="1">IF(reading[[#This Row],[Next]]&lt;&gt;"",IF(reading[[#This Row],[Next]]&gt;TODAY(),"OK",""),"")</f>
        <v/>
      </c>
      <c r="Z1934" s="13">
        <v>3</v>
      </c>
      <c r="AA1934" s="13">
        <v>3</v>
      </c>
      <c r="AB1934" s="13">
        <v>3</v>
      </c>
      <c r="AC1934" s="13">
        <v>3</v>
      </c>
      <c r="AD1934" s="13">
        <v>3</v>
      </c>
      <c r="AE1934" s="13"/>
      <c r="AF1934" s="13"/>
      <c r="AG1934" s="16">
        <f>IFERROR(SUMIF(reading[[#This Row],[1st]:[7th]],"&gt;0")/COUNTIF(reading[[#This Row],[1st]:[7th]],"&gt;0"),"")</f>
        <v>3</v>
      </c>
    </row>
    <row r="1935" spans="1:33" hidden="1" x14ac:dyDescent="0.2">
      <c r="A1935" s="4">
        <f>IF(B1935=1,3,IF(D1935=1,2,IF(F1935=1,1,0)))</f>
        <v>0</v>
      </c>
      <c r="B1935" s="4">
        <f>IF(C1935=$L1935,1,IF(C1935="","",0))</f>
        <v>0</v>
      </c>
      <c r="C1935" s="42" t="s">
        <v>9200</v>
      </c>
      <c r="D1935" s="4">
        <f>IF(E1935=$L1935,1,IF(E1935="","",0))</f>
        <v>0</v>
      </c>
      <c r="E1935" s="23" t="s">
        <v>9200</v>
      </c>
      <c r="F1935" s="4" t="str">
        <f>IF(G1935=$L1935,1,IF(G1935="","",0))</f>
        <v/>
      </c>
      <c r="G1935" s="23"/>
      <c r="H1935" s="6">
        <v>1433</v>
      </c>
      <c r="I1935" s="15" t="s">
        <v>3120</v>
      </c>
      <c r="J1935" s="6" t="s">
        <v>4547</v>
      </c>
      <c r="K1935" s="6"/>
      <c r="L1935" s="6" t="s">
        <v>1524</v>
      </c>
      <c r="M1935" s="6" t="s">
        <v>7540</v>
      </c>
      <c r="N1935" s="7">
        <f ca="1">RAND()</f>
        <v>0.82136027628484953</v>
      </c>
      <c r="O1935" s="8">
        <v>45208</v>
      </c>
      <c r="P1935" s="8">
        <v>45209</v>
      </c>
      <c r="Q1935" s="8">
        <v>45212</v>
      </c>
      <c r="R1935" s="8">
        <v>45216</v>
      </c>
      <c r="S1935" s="8">
        <v>45223</v>
      </c>
      <c r="T1935" s="8">
        <v>45235</v>
      </c>
      <c r="U1935" s="8"/>
      <c r="V1935" s="10">
        <f>COUNTA(O1935:U1935)</f>
        <v>6</v>
      </c>
      <c r="W1935" s="11">
        <f>_xlfn.IFNA(INDEX(reading[[#This Row],[Memo 01]:[Memo 07]],MATCH(0,reading[[#This Row],[Memo 01]:[Memo 07]],-1)),"")</f>
        <v>45235</v>
      </c>
      <c r="X1935" s="11">
        <f ca="1">IFERROR(reading[[#This Row],[Previous]]+OFFSET(reading[[#Headers],[Memo 01]],-1,MATCH(0,reading[[#This Row],[Memo 01]:[Memo 07]],-1)-1),"")</f>
        <v>45255</v>
      </c>
      <c r="Y1935" s="10" t="str">
        <f ca="1">IF(reading[[#This Row],[Next]]&lt;&gt;"",IF(reading[[#This Row],[Next]]&gt;TODAY(),"OK",""),"")</f>
        <v/>
      </c>
      <c r="Z1935" s="13">
        <v>3</v>
      </c>
      <c r="AA1935" s="13">
        <v>3</v>
      </c>
      <c r="AB1935" s="13">
        <v>2</v>
      </c>
      <c r="AC1935" s="13">
        <v>3</v>
      </c>
      <c r="AD1935" s="13">
        <v>3</v>
      </c>
      <c r="AE1935" s="13">
        <v>3</v>
      </c>
      <c r="AF1935" s="13"/>
      <c r="AG1935" s="16">
        <f>IFERROR(SUMIF(reading[[#This Row],[1st]:[7th]],"&gt;0")/COUNTIF(reading[[#This Row],[1st]:[7th]],"&gt;0"),"")</f>
        <v>2.8333333333333335</v>
      </c>
    </row>
    <row r="1936" spans="1:33" x14ac:dyDescent="0.2">
      <c r="A1936" s="4">
        <f>IF(B1936=1,3,IF(D1936=1,2,IF(F1936=1,1,0)))</f>
        <v>3</v>
      </c>
      <c r="B1936" s="4">
        <f>IF(C1936=$L1936,1,IF(C1936="","",0))</f>
        <v>1</v>
      </c>
      <c r="C1936" s="42" t="s">
        <v>9349</v>
      </c>
      <c r="D1936" s="4" t="str">
        <f>IF(E1936=$L1936,1,IF(E1936="","",0))</f>
        <v/>
      </c>
      <c r="E1936" s="14"/>
      <c r="F1936" s="4" t="str">
        <f>IF(G1936=$L1936,1,IF(G1936="","",0))</f>
        <v/>
      </c>
      <c r="G1936" s="14"/>
      <c r="H1936" s="6">
        <v>2394</v>
      </c>
      <c r="I1936" s="15" t="s">
        <v>3120</v>
      </c>
      <c r="J1936" s="6" t="s">
        <v>5466</v>
      </c>
      <c r="K1936" s="6"/>
      <c r="L1936" s="6" t="s">
        <v>2445</v>
      </c>
      <c r="M1936" s="6" t="s">
        <v>8499</v>
      </c>
      <c r="N1936" s="7">
        <f ca="1">RAND()</f>
        <v>0.46707600368352487</v>
      </c>
      <c r="O1936" s="8">
        <v>45217</v>
      </c>
      <c r="P1936" s="8">
        <v>45218</v>
      </c>
      <c r="Q1936" s="8">
        <v>45220</v>
      </c>
      <c r="R1936" s="8">
        <v>45224</v>
      </c>
      <c r="S1936" s="8">
        <v>45231</v>
      </c>
      <c r="T1936" s="8"/>
      <c r="U1936" s="8"/>
      <c r="V1936" s="10">
        <f>COUNTA(O1936:U1936)</f>
        <v>5</v>
      </c>
      <c r="W1936" s="11">
        <f>_xlfn.IFNA(INDEX(reading[[#This Row],[Memo 01]:[Memo 07]],MATCH(0,reading[[#This Row],[Memo 01]:[Memo 07]],-1)),"")</f>
        <v>45231</v>
      </c>
      <c r="X1936" s="11">
        <f ca="1">IFERROR(reading[[#This Row],[Previous]]+OFFSET(reading[[#Headers],[Memo 01]],-1,MATCH(0,reading[[#This Row],[Memo 01]:[Memo 07]],-1)-1),"")</f>
        <v>45243</v>
      </c>
      <c r="Y1936" s="10" t="str">
        <f ca="1">IF(reading[[#This Row],[Next]]&lt;&gt;"",IF(reading[[#This Row],[Next]]&gt;TODAY(),"OK",""),"")</f>
        <v/>
      </c>
      <c r="Z1936" s="13">
        <v>3</v>
      </c>
      <c r="AA1936" s="13">
        <v>3</v>
      </c>
      <c r="AB1936" s="13">
        <v>3</v>
      </c>
      <c r="AC1936" s="13">
        <v>3</v>
      </c>
      <c r="AD1936" s="13">
        <v>3</v>
      </c>
      <c r="AE1936" s="13"/>
      <c r="AF1936" s="13"/>
      <c r="AG1936" s="16">
        <f>IFERROR(SUMIF(reading[[#This Row],[1st]:[7th]],"&gt;0")/COUNTIF(reading[[#This Row],[1st]:[7th]],"&gt;0"),"")</f>
        <v>3</v>
      </c>
    </row>
    <row r="1937" spans="1:33" hidden="1" x14ac:dyDescent="0.2">
      <c r="A1937" s="4">
        <f>IF(B1937=1,3,IF(D1937=1,2,IF(F1937=1,1,0)))</f>
        <v>0</v>
      </c>
      <c r="B1937" s="4" t="str">
        <f>IF(C1937=$L1937,1,IF(C1937="","",0))</f>
        <v/>
      </c>
      <c r="C1937" s="42"/>
      <c r="D1937" s="4" t="str">
        <f>IF(E1937=$L1937,1,IF(E1937="","",0))</f>
        <v/>
      </c>
      <c r="E1937" s="43"/>
      <c r="F1937" s="4" t="str">
        <f>IF(G1937=$L1937,1,IF(G1937="","",0))</f>
        <v/>
      </c>
      <c r="G1937" s="23"/>
      <c r="H1937" s="6">
        <v>2436</v>
      </c>
      <c r="I1937" s="15" t="s">
        <v>3120</v>
      </c>
      <c r="J1937" s="6" t="s">
        <v>5506</v>
      </c>
      <c r="K1937" s="6"/>
      <c r="L1937" s="6" t="s">
        <v>2486</v>
      </c>
      <c r="M1937" s="6" t="s">
        <v>8541</v>
      </c>
      <c r="N1937" s="7">
        <f ca="1">RAND()</f>
        <v>0.91892043691400849</v>
      </c>
      <c r="O1937" s="8">
        <v>45218</v>
      </c>
      <c r="P1937" s="8">
        <v>45219</v>
      </c>
      <c r="Q1937" s="8">
        <v>45221</v>
      </c>
      <c r="R1937" s="8">
        <v>45225</v>
      </c>
      <c r="S1937" s="8">
        <v>45232</v>
      </c>
      <c r="T1937" s="8">
        <v>45817</v>
      </c>
      <c r="U1937" s="8"/>
      <c r="V1937" s="10">
        <f>COUNTA(O1937:U1937)</f>
        <v>6</v>
      </c>
      <c r="W1937" s="11">
        <f>_xlfn.IFNA(INDEX(reading[[#This Row],[Memo 01]:[Memo 07]],MATCH(0,reading[[#This Row],[Memo 01]:[Memo 07]],-1)),"")</f>
        <v>45817</v>
      </c>
      <c r="X1937" s="11">
        <f ca="1">IFERROR(reading[[#This Row],[Previous]]+OFFSET(reading[[#Headers],[Memo 01]],-1,MATCH(0,reading[[#This Row],[Memo 01]:[Memo 07]],-1)-1),"")</f>
        <v>45837</v>
      </c>
      <c r="Y1937" s="10" t="str">
        <f ca="1">IF(reading[[#This Row],[Next]]&lt;&gt;"",IF(reading[[#This Row],[Next]]&gt;TODAY(),"OK",""),"")</f>
        <v>OK</v>
      </c>
      <c r="Z1937" s="13">
        <v>3</v>
      </c>
      <c r="AA1937" s="13">
        <v>3</v>
      </c>
      <c r="AB1937" s="13">
        <v>3</v>
      </c>
      <c r="AC1937" s="13">
        <v>2</v>
      </c>
      <c r="AD1937" s="13">
        <v>3</v>
      </c>
      <c r="AE1937" s="13">
        <v>1</v>
      </c>
      <c r="AF1937" s="13"/>
      <c r="AG1937" s="16">
        <f>IFERROR(SUMIF(reading[[#This Row],[1st]:[7th]],"&gt;0")/COUNTIF(reading[[#This Row],[1st]:[7th]],"&gt;0"),"")</f>
        <v>2.5</v>
      </c>
    </row>
    <row r="1938" spans="1:33" x14ac:dyDescent="0.2">
      <c r="A1938" s="4">
        <f>IF(B1938=1,3,IF(D1938=1,2,IF(F1938=1,1,0)))</f>
        <v>3</v>
      </c>
      <c r="B1938" s="4">
        <f>IF(C1938=$L1938,1,IF(C1938="","",0))</f>
        <v>1</v>
      </c>
      <c r="C1938" s="42" t="s">
        <v>9350</v>
      </c>
      <c r="D1938" s="4" t="str">
        <f>IF(E1938=$L1938,1,IF(E1938="","",0))</f>
        <v/>
      </c>
      <c r="E1938" s="14"/>
      <c r="F1938" s="4" t="str">
        <f>IF(G1938=$L1938,1,IF(G1938="","",0))</f>
        <v/>
      </c>
      <c r="G1938" s="14"/>
      <c r="H1938" s="6">
        <v>1544</v>
      </c>
      <c r="I1938" s="15" t="s">
        <v>3120</v>
      </c>
      <c r="J1938" s="6" t="s">
        <v>4657</v>
      </c>
      <c r="K1938" s="6"/>
      <c r="L1938" s="6" t="s">
        <v>1629</v>
      </c>
      <c r="M1938" s="6" t="s">
        <v>7651</v>
      </c>
      <c r="N1938" s="7">
        <f ca="1">RAND()</f>
        <v>0.44086931898671622</v>
      </c>
      <c r="O1938" s="8">
        <v>45209</v>
      </c>
      <c r="P1938" s="8">
        <v>45210</v>
      </c>
      <c r="Q1938" s="8">
        <v>45212</v>
      </c>
      <c r="R1938" s="8">
        <v>45216</v>
      </c>
      <c r="S1938" s="8">
        <v>45223</v>
      </c>
      <c r="T1938" s="8">
        <v>45235</v>
      </c>
      <c r="U1938" s="8"/>
      <c r="V1938" s="10">
        <f>COUNTA(O1938:U1938)</f>
        <v>6</v>
      </c>
      <c r="W1938" s="11">
        <f>_xlfn.IFNA(INDEX(reading[[#This Row],[Memo 01]:[Memo 07]],MATCH(0,reading[[#This Row],[Memo 01]:[Memo 07]],-1)),"")</f>
        <v>45235</v>
      </c>
      <c r="X1938" s="11">
        <f ca="1">IFERROR(reading[[#This Row],[Previous]]+OFFSET(reading[[#Headers],[Memo 01]],-1,MATCH(0,reading[[#This Row],[Memo 01]:[Memo 07]],-1)-1),"")</f>
        <v>45255</v>
      </c>
      <c r="Y1938" s="10" t="str">
        <f ca="1">IF(reading[[#This Row],[Next]]&lt;&gt;"",IF(reading[[#This Row],[Next]]&gt;TODAY(),"OK",""),"")</f>
        <v/>
      </c>
      <c r="Z1938" s="13">
        <v>3</v>
      </c>
      <c r="AA1938" s="13">
        <v>3</v>
      </c>
      <c r="AB1938" s="13">
        <v>3</v>
      </c>
      <c r="AC1938" s="13">
        <v>3</v>
      </c>
      <c r="AD1938" s="13">
        <v>3</v>
      </c>
      <c r="AE1938" s="13">
        <v>3</v>
      </c>
      <c r="AF1938" s="13"/>
      <c r="AG1938" s="16">
        <f>IFERROR(SUMIF(reading[[#This Row],[1st]:[7th]],"&gt;0")/COUNTIF(reading[[#This Row],[1st]:[7th]],"&gt;0"),"")</f>
        <v>3</v>
      </c>
    </row>
    <row r="1939" spans="1:33" x14ac:dyDescent="0.2">
      <c r="A1939" s="4">
        <f>IF(B1939=1,3,IF(D1939=1,2,IF(F1939=1,1,0)))</f>
        <v>3</v>
      </c>
      <c r="B1939" s="4">
        <f>IF(C1939=$L1939,1,IF(C1939="","",0))</f>
        <v>1</v>
      </c>
      <c r="C1939" s="42" t="s">
        <v>9351</v>
      </c>
      <c r="D1939" s="4" t="str">
        <f>IF(E1939=$L1939,1,IF(E1939="","",0))</f>
        <v/>
      </c>
      <c r="E1939" s="14"/>
      <c r="F1939" s="4" t="str">
        <f>IF(G1939=$L1939,1,IF(G1939="","",0))</f>
        <v/>
      </c>
      <c r="G1939" s="14"/>
      <c r="H1939" s="6">
        <v>1113</v>
      </c>
      <c r="I1939" s="15" t="s">
        <v>3120</v>
      </c>
      <c r="J1939" s="6" t="s">
        <v>4236</v>
      </c>
      <c r="K1939" s="6"/>
      <c r="L1939" s="6" t="s">
        <v>1219</v>
      </c>
      <c r="M1939" s="6" t="s">
        <v>7221</v>
      </c>
      <c r="N1939" s="7">
        <f ca="1">RAND()</f>
        <v>0.65903734359144173</v>
      </c>
      <c r="O1939" s="8">
        <v>45205</v>
      </c>
      <c r="P1939" s="8">
        <v>45206</v>
      </c>
      <c r="Q1939" s="8">
        <v>45208</v>
      </c>
      <c r="R1939" s="8">
        <v>45212</v>
      </c>
      <c r="S1939" s="8">
        <v>45219</v>
      </c>
      <c r="T1939" s="8">
        <v>45231</v>
      </c>
      <c r="U1939" s="8"/>
      <c r="V1939" s="10">
        <f>COUNTA(O1939:U1939)</f>
        <v>6</v>
      </c>
      <c r="W1939" s="11">
        <f>_xlfn.IFNA(INDEX(reading[[#This Row],[Memo 01]:[Memo 07]],MATCH(0,reading[[#This Row],[Memo 01]:[Memo 07]],-1)),"")</f>
        <v>45231</v>
      </c>
      <c r="X1939" s="11">
        <f ca="1">IFERROR(reading[[#This Row],[Previous]]+OFFSET(reading[[#Headers],[Memo 01]],-1,MATCH(0,reading[[#This Row],[Memo 01]:[Memo 07]],-1)-1),"")</f>
        <v>45251</v>
      </c>
      <c r="Y1939" s="10" t="str">
        <f ca="1">IF(reading[[#This Row],[Next]]&lt;&gt;"",IF(reading[[#This Row],[Next]]&gt;TODAY(),"OK",""),"")</f>
        <v/>
      </c>
      <c r="Z1939" s="13">
        <v>3</v>
      </c>
      <c r="AA1939" s="13">
        <v>3</v>
      </c>
      <c r="AB1939" s="13">
        <v>3</v>
      </c>
      <c r="AC1939" s="13">
        <v>3</v>
      </c>
      <c r="AD1939" s="13">
        <v>3</v>
      </c>
      <c r="AE1939" s="13">
        <v>3</v>
      </c>
      <c r="AF1939" s="13"/>
      <c r="AG1939" s="16">
        <f>IFERROR(SUMIF(reading[[#This Row],[1st]:[7th]],"&gt;0")/COUNTIF(reading[[#This Row],[1st]:[7th]],"&gt;0"),"")</f>
        <v>3</v>
      </c>
    </row>
    <row r="1940" spans="1:33" x14ac:dyDescent="0.2">
      <c r="A1940" s="4">
        <f>IF(B1940=1,3,IF(D1940=1,2,IF(F1940=1,1,0)))</f>
        <v>3</v>
      </c>
      <c r="B1940" s="4">
        <f>IF(C1940=$L1940,1,IF(C1940="","",0))</f>
        <v>1</v>
      </c>
      <c r="C1940" s="42" t="s">
        <v>9352</v>
      </c>
      <c r="D1940" s="4" t="str">
        <f>IF(E1940=$L1940,1,IF(E1940="","",0))</f>
        <v/>
      </c>
      <c r="E1940" s="14"/>
      <c r="F1940" s="4" t="str">
        <f>IF(G1940=$L1940,1,IF(G1940="","",0))</f>
        <v/>
      </c>
      <c r="G1940" s="14"/>
      <c r="H1940" s="6">
        <v>1872</v>
      </c>
      <c r="I1940" s="15" t="s">
        <v>3120</v>
      </c>
      <c r="J1940" s="6" t="s">
        <v>4974</v>
      </c>
      <c r="K1940" s="6"/>
      <c r="L1940" s="6" t="s">
        <v>78</v>
      </c>
      <c r="M1940" s="6" t="s">
        <v>7978</v>
      </c>
      <c r="N1940" s="7">
        <f ca="1">RAND()</f>
        <v>0.58123323270124527</v>
      </c>
      <c r="O1940" s="8">
        <v>45212</v>
      </c>
      <c r="P1940" s="8">
        <v>45213</v>
      </c>
      <c r="Q1940" s="8">
        <v>45215</v>
      </c>
      <c r="R1940" s="8">
        <v>45219</v>
      </c>
      <c r="S1940" s="8">
        <v>45226</v>
      </c>
      <c r="T1940" s="8"/>
      <c r="U1940" s="8"/>
      <c r="V1940" s="10">
        <f>COUNTA(O1940:U1940)</f>
        <v>5</v>
      </c>
      <c r="W1940" s="11">
        <f>_xlfn.IFNA(INDEX(reading[[#This Row],[Memo 01]:[Memo 07]],MATCH(0,reading[[#This Row],[Memo 01]:[Memo 07]],-1)),"")</f>
        <v>45226</v>
      </c>
      <c r="X1940" s="11">
        <f ca="1">IFERROR(reading[[#This Row],[Previous]]+OFFSET(reading[[#Headers],[Memo 01]],-1,MATCH(0,reading[[#This Row],[Memo 01]:[Memo 07]],-1)-1),"")</f>
        <v>45238</v>
      </c>
      <c r="Y1940" s="10" t="str">
        <f ca="1">IF(reading[[#This Row],[Next]]&lt;&gt;"",IF(reading[[#This Row],[Next]]&gt;TODAY(),"OK",""),"")</f>
        <v/>
      </c>
      <c r="Z1940" s="13">
        <v>3</v>
      </c>
      <c r="AA1940" s="13">
        <v>3</v>
      </c>
      <c r="AB1940" s="13">
        <v>3</v>
      </c>
      <c r="AC1940" s="13">
        <v>3</v>
      </c>
      <c r="AD1940" s="13">
        <v>3</v>
      </c>
      <c r="AE1940" s="13"/>
      <c r="AF1940" s="13"/>
      <c r="AG1940" s="16">
        <f>IFERROR(SUMIF(reading[[#This Row],[1st]:[7th]],"&gt;0")/COUNTIF(reading[[#This Row],[1st]:[7th]],"&gt;0"),"")</f>
        <v>3</v>
      </c>
    </row>
    <row r="1941" spans="1:33" x14ac:dyDescent="0.2">
      <c r="A1941" s="4">
        <f>IF(B1941=1,3,IF(D1941=1,2,IF(F1941=1,1,0)))</f>
        <v>3</v>
      </c>
      <c r="B1941" s="4">
        <f>IF(C1941=$L1941,1,IF(C1941="","",0))</f>
        <v>1</v>
      </c>
      <c r="C1941" s="42" t="s">
        <v>9353</v>
      </c>
      <c r="D1941" s="4" t="str">
        <f>IF(E1941=$L1941,1,IF(E1941="","",0))</f>
        <v/>
      </c>
      <c r="E1941" s="14"/>
      <c r="F1941" s="4" t="str">
        <f>IF(G1941=$L1941,1,IF(G1941="","",0))</f>
        <v/>
      </c>
      <c r="G1941" s="14"/>
      <c r="H1941" s="6">
        <v>1365</v>
      </c>
      <c r="I1941" s="15" t="s">
        <v>3120</v>
      </c>
      <c r="J1941" s="6" t="s">
        <v>4479</v>
      </c>
      <c r="K1941" s="6"/>
      <c r="L1941" s="6" t="s">
        <v>1459</v>
      </c>
      <c r="M1941" s="6" t="s">
        <v>7472</v>
      </c>
      <c r="N1941" s="7">
        <f ca="1">RAND()</f>
        <v>0.19116770373677638</v>
      </c>
      <c r="O1941" s="8">
        <v>45207</v>
      </c>
      <c r="P1941" s="8">
        <v>45208</v>
      </c>
      <c r="Q1941" s="8">
        <v>45210</v>
      </c>
      <c r="R1941" s="8">
        <v>45214</v>
      </c>
      <c r="S1941" s="8">
        <v>45221</v>
      </c>
      <c r="T1941" s="8">
        <v>45233</v>
      </c>
      <c r="U1941" s="8"/>
      <c r="V1941" s="10">
        <f>COUNTA(O1941:U1941)</f>
        <v>6</v>
      </c>
      <c r="W1941" s="11">
        <f>_xlfn.IFNA(INDEX(reading[[#This Row],[Memo 01]:[Memo 07]],MATCH(0,reading[[#This Row],[Memo 01]:[Memo 07]],-1)),"")</f>
        <v>45233</v>
      </c>
      <c r="X1941" s="11">
        <f ca="1">IFERROR(reading[[#This Row],[Previous]]+OFFSET(reading[[#Headers],[Memo 01]],-1,MATCH(0,reading[[#This Row],[Memo 01]:[Memo 07]],-1)-1),"")</f>
        <v>45253</v>
      </c>
      <c r="Y1941" s="10" t="str">
        <f ca="1">IF(reading[[#This Row],[Next]]&lt;&gt;"",IF(reading[[#This Row],[Next]]&gt;TODAY(),"OK",""),"")</f>
        <v/>
      </c>
      <c r="Z1941" s="13">
        <v>3</v>
      </c>
      <c r="AA1941" s="13">
        <v>3</v>
      </c>
      <c r="AB1941" s="13">
        <v>3</v>
      </c>
      <c r="AC1941" s="13">
        <v>3</v>
      </c>
      <c r="AD1941" s="13">
        <v>3</v>
      </c>
      <c r="AE1941" s="13">
        <v>3</v>
      </c>
      <c r="AF1941" s="13"/>
      <c r="AG1941" s="16">
        <f>IFERROR(SUMIF(reading[[#This Row],[1st]:[7th]],"&gt;0")/COUNTIF(reading[[#This Row],[1st]:[7th]],"&gt;0"),"")</f>
        <v>3</v>
      </c>
    </row>
    <row r="1942" spans="1:33" hidden="1" x14ac:dyDescent="0.2">
      <c r="A1942" s="4">
        <f>IF(B1942=1,3,IF(D1942=1,2,IF(F1942=1,1,0)))</f>
        <v>0</v>
      </c>
      <c r="B1942" s="4" t="str">
        <f>IF(C1942=$L1942,1,IF(C1942="","",0))</f>
        <v/>
      </c>
      <c r="C1942" s="42"/>
      <c r="D1942" s="4" t="str">
        <f>IF(E1942=$L1942,1,IF(E1942="","",0))</f>
        <v/>
      </c>
      <c r="E1942" s="23"/>
      <c r="F1942" s="4" t="str">
        <f>IF(G1942=$L1942,1,IF(G1942="","",0))</f>
        <v/>
      </c>
      <c r="G1942" s="14"/>
      <c r="H1942" s="6">
        <v>2438</v>
      </c>
      <c r="I1942" s="15" t="s">
        <v>3120</v>
      </c>
      <c r="J1942" s="6" t="s">
        <v>5508</v>
      </c>
      <c r="K1942" s="15" t="s">
        <v>3138</v>
      </c>
      <c r="L1942" s="6" t="s">
        <v>2488</v>
      </c>
      <c r="M1942" s="6" t="s">
        <v>8543</v>
      </c>
      <c r="N1942" s="7">
        <f ca="1">RAND()</f>
        <v>0.4295960809238023</v>
      </c>
      <c r="O1942" s="8">
        <v>45217</v>
      </c>
      <c r="P1942" s="8">
        <v>45218</v>
      </c>
      <c r="Q1942" s="8">
        <v>45220</v>
      </c>
      <c r="R1942" s="8">
        <v>45224</v>
      </c>
      <c r="S1942" s="8">
        <v>45231</v>
      </c>
      <c r="T1942" s="8">
        <v>45825</v>
      </c>
      <c r="U1942" s="8"/>
      <c r="V1942" s="10">
        <f>COUNTA(O1942:U1942)</f>
        <v>6</v>
      </c>
      <c r="W1942" s="11">
        <f>_xlfn.IFNA(INDEX(reading[[#This Row],[Memo 01]:[Memo 07]],MATCH(0,reading[[#This Row],[Memo 01]:[Memo 07]],-1)),"")</f>
        <v>45825</v>
      </c>
      <c r="X1942" s="11">
        <f ca="1">IFERROR(reading[[#This Row],[Previous]]+OFFSET(reading[[#Headers],[Memo 01]],-1,MATCH(0,reading[[#This Row],[Memo 01]:[Memo 07]],-1)-1),"")</f>
        <v>45845</v>
      </c>
      <c r="Y1942" s="10" t="str">
        <f ca="1">IF(reading[[#This Row],[Next]]&lt;&gt;"",IF(reading[[#This Row],[Next]]&gt;TODAY(),"OK",""),"")</f>
        <v>OK</v>
      </c>
      <c r="Z1942" s="13">
        <v>3</v>
      </c>
      <c r="AA1942" s="13">
        <v>3</v>
      </c>
      <c r="AB1942" s="13">
        <v>3</v>
      </c>
      <c r="AC1942" s="13">
        <v>3</v>
      </c>
      <c r="AD1942" s="13">
        <v>3</v>
      </c>
      <c r="AE1942" s="13">
        <v>2</v>
      </c>
      <c r="AF1942" s="13"/>
      <c r="AG1942" s="16">
        <f>IFERROR(SUMIF(reading[[#This Row],[1st]:[7th]],"&gt;0")/COUNTIF(reading[[#This Row],[1st]:[7th]],"&gt;0"),"")</f>
        <v>2.8333333333333335</v>
      </c>
    </row>
    <row r="1943" spans="1:33" x14ac:dyDescent="0.2">
      <c r="A1943" s="4">
        <f>IF(B1943=1,3,IF(D1943=1,2,IF(F1943=1,1,0)))</f>
        <v>3</v>
      </c>
      <c r="B1943" s="4">
        <f>IF(C1943=$L1943,1,IF(C1943="","",0))</f>
        <v>1</v>
      </c>
      <c r="C1943" s="42" t="s">
        <v>9354</v>
      </c>
      <c r="D1943" s="4" t="str">
        <f>IF(E1943=$L1943,1,IF(E1943="","",0))</f>
        <v/>
      </c>
      <c r="E1943" s="18"/>
      <c r="F1943" s="4" t="str">
        <f>IF(G1943=$L1943,1,IF(G1943="","",0))</f>
        <v/>
      </c>
      <c r="G1943" s="14"/>
      <c r="H1943" s="6">
        <v>2439</v>
      </c>
      <c r="I1943" s="15" t="s">
        <v>3120</v>
      </c>
      <c r="J1943" s="6" t="s">
        <v>5509</v>
      </c>
      <c r="K1943" s="6"/>
      <c r="L1943" s="6" t="s">
        <v>2489</v>
      </c>
      <c r="M1943" s="6" t="s">
        <v>8544</v>
      </c>
      <c r="N1943" s="7">
        <f ca="1">RAND()</f>
        <v>0.73525379726166051</v>
      </c>
      <c r="O1943" s="8">
        <v>45218</v>
      </c>
      <c r="P1943" s="8">
        <v>45219</v>
      </c>
      <c r="Q1943" s="8">
        <v>45221</v>
      </c>
      <c r="R1943" s="8">
        <v>45225</v>
      </c>
      <c r="S1943" s="8">
        <v>45232</v>
      </c>
      <c r="T1943" s="8">
        <v>45251</v>
      </c>
      <c r="U1943" s="8"/>
      <c r="V1943" s="10">
        <f>COUNTA(O1943:U1943)</f>
        <v>6</v>
      </c>
      <c r="W1943" s="11">
        <f>_xlfn.IFNA(INDEX(reading[[#This Row],[Memo 01]:[Memo 07]],MATCH(0,reading[[#This Row],[Memo 01]:[Memo 07]],-1)),"")</f>
        <v>45251</v>
      </c>
      <c r="X1943" s="11">
        <f ca="1">IFERROR(reading[[#This Row],[Previous]]+OFFSET(reading[[#Headers],[Memo 01]],-1,MATCH(0,reading[[#This Row],[Memo 01]:[Memo 07]],-1)-1),"")</f>
        <v>45271</v>
      </c>
      <c r="Y1943" s="10" t="str">
        <f ca="1">IF(reading[[#This Row],[Next]]&lt;&gt;"",IF(reading[[#This Row],[Next]]&gt;TODAY(),"OK",""),"")</f>
        <v/>
      </c>
      <c r="Z1943" s="13">
        <v>3</v>
      </c>
      <c r="AA1943" s="13">
        <v>3</v>
      </c>
      <c r="AB1943" s="13">
        <v>3</v>
      </c>
      <c r="AC1943" s="13">
        <v>2</v>
      </c>
      <c r="AD1943" s="13">
        <v>2</v>
      </c>
      <c r="AE1943" s="13">
        <v>3</v>
      </c>
      <c r="AF1943" s="13"/>
      <c r="AG1943" s="16">
        <f>IFERROR(SUMIF(reading[[#This Row],[1st]:[7th]],"&gt;0")/COUNTIF(reading[[#This Row],[1st]:[7th]],"&gt;0"),"")</f>
        <v>2.6666666666666665</v>
      </c>
    </row>
    <row r="1944" spans="1:33" ht="15" x14ac:dyDescent="0.2">
      <c r="A1944" s="4">
        <f>IF(B1944=1,3,IF(D1944=1,2,IF(F1944=1,1,0)))</f>
        <v>0</v>
      </c>
      <c r="B1944" s="4">
        <f>IF(C1944=$L1944,1,IF(C1944="","",0))</f>
        <v>0</v>
      </c>
      <c r="C1944" s="42" t="s">
        <v>9200</v>
      </c>
      <c r="D1944" s="4" t="str">
        <f>IF(E1944=$L1944,1,IF(E1944="","",0))</f>
        <v/>
      </c>
      <c r="E1944" s="18"/>
      <c r="F1944" s="4" t="str">
        <f>IF(G1944=$L1944,1,IF(G1944="","",0))</f>
        <v/>
      </c>
      <c r="G1944" s="14"/>
      <c r="H1944" s="6">
        <v>2992</v>
      </c>
      <c r="I1944" s="15" t="s">
        <v>3120</v>
      </c>
      <c r="J1944" s="24" t="s">
        <v>9302</v>
      </c>
      <c r="K1944" s="24" t="s">
        <v>9303</v>
      </c>
      <c r="L1944" s="6" t="s">
        <v>3021</v>
      </c>
      <c r="M1944" s="45" t="s">
        <v>9304</v>
      </c>
      <c r="N1944" s="7">
        <f ca="1">RAND()</f>
        <v>7.1552160260521691E-2</v>
      </c>
      <c r="O1944" s="8">
        <v>45223</v>
      </c>
      <c r="P1944" s="8">
        <v>45224</v>
      </c>
      <c r="Q1944" s="8">
        <v>45226</v>
      </c>
      <c r="R1944" s="8">
        <v>45230</v>
      </c>
      <c r="S1944" s="8">
        <v>45237</v>
      </c>
      <c r="T1944" s="8"/>
      <c r="U1944" s="8"/>
      <c r="V1944" s="10">
        <f>COUNTA(O1944:U1944)</f>
        <v>5</v>
      </c>
      <c r="W1944" s="11">
        <f>_xlfn.IFNA(INDEX(reading[[#This Row],[Memo 01]:[Memo 07]],MATCH(0,reading[[#This Row],[Memo 01]:[Memo 07]],-1)),"")</f>
        <v>45237</v>
      </c>
      <c r="X1944" s="11">
        <f ca="1">IFERROR(reading[[#This Row],[Previous]]+OFFSET(reading[[#Headers],[Memo 01]],-1,MATCH(0,reading[[#This Row],[Memo 01]:[Memo 07]],-1)-1),"")</f>
        <v>45249</v>
      </c>
      <c r="Y1944" s="10" t="str">
        <f ca="1">IF(reading[[#This Row],[Next]]&lt;&gt;"",IF(reading[[#This Row],[Next]]&gt;TODAY(),"OK",""),"")</f>
        <v/>
      </c>
      <c r="Z1944" s="13">
        <v>3</v>
      </c>
      <c r="AA1944" s="13">
        <v>3</v>
      </c>
      <c r="AB1944" s="13">
        <v>3</v>
      </c>
      <c r="AC1944" s="13">
        <v>2</v>
      </c>
      <c r="AD1944" s="13">
        <v>3</v>
      </c>
      <c r="AE1944" s="13"/>
      <c r="AF1944" s="13"/>
      <c r="AG1944" s="16">
        <f>IFERROR(SUMIF(reading[[#This Row],[1st]:[7th]],"&gt;0")/COUNTIF(reading[[#This Row],[1st]:[7th]],"&gt;0"),"")</f>
        <v>2.8</v>
      </c>
    </row>
    <row r="1945" spans="1:33" x14ac:dyDescent="0.2">
      <c r="A1945" s="4">
        <f>IF(B1945=1,3,IF(D1945=1,2,IF(F1945=1,1,0)))</f>
        <v>3</v>
      </c>
      <c r="B1945" s="4">
        <f>IF(C1945=$L1945,1,IF(C1945="","",0))</f>
        <v>1</v>
      </c>
      <c r="C1945" s="42" t="s">
        <v>9355</v>
      </c>
      <c r="D1945" s="4" t="str">
        <f>IF(E1945=$L1945,1,IF(E1945="","",0))</f>
        <v/>
      </c>
      <c r="E1945" s="18"/>
      <c r="F1945" s="4" t="str">
        <f>IF(G1945=$L1945,1,IF(G1945="","",0))</f>
        <v/>
      </c>
      <c r="G1945" s="14"/>
      <c r="H1945" s="6">
        <v>1668</v>
      </c>
      <c r="I1945" s="15" t="s">
        <v>3120</v>
      </c>
      <c r="J1945" s="6" t="s">
        <v>4779</v>
      </c>
      <c r="K1945" s="15" t="s">
        <v>3138</v>
      </c>
      <c r="L1945" s="6" t="s">
        <v>1749</v>
      </c>
      <c r="M1945" s="6" t="s">
        <v>7774</v>
      </c>
      <c r="N1945" s="7">
        <f ca="1">RAND()</f>
        <v>0.80885511893914819</v>
      </c>
      <c r="O1945" s="8">
        <v>45210</v>
      </c>
      <c r="P1945" s="8">
        <v>45212</v>
      </c>
      <c r="Q1945" s="8">
        <v>45214</v>
      </c>
      <c r="R1945" s="8">
        <v>45218</v>
      </c>
      <c r="S1945" s="8">
        <v>45225</v>
      </c>
      <c r="T1945" s="8">
        <v>45237</v>
      </c>
      <c r="U1945" s="8"/>
      <c r="V1945" s="10">
        <f>COUNTA(O1945:U1945)</f>
        <v>6</v>
      </c>
      <c r="W1945" s="11">
        <f>_xlfn.IFNA(INDEX(reading[[#This Row],[Memo 01]:[Memo 07]],MATCH(0,reading[[#This Row],[Memo 01]:[Memo 07]],-1)),"")</f>
        <v>45237</v>
      </c>
      <c r="X1945" s="11">
        <f ca="1">IFERROR(reading[[#This Row],[Previous]]+OFFSET(reading[[#Headers],[Memo 01]],-1,MATCH(0,reading[[#This Row],[Memo 01]:[Memo 07]],-1)-1),"")</f>
        <v>45257</v>
      </c>
      <c r="Y1945" s="10" t="str">
        <f ca="1">IF(reading[[#This Row],[Next]]&lt;&gt;"",IF(reading[[#This Row],[Next]]&gt;TODAY(),"OK",""),"")</f>
        <v/>
      </c>
      <c r="Z1945" s="13">
        <v>3</v>
      </c>
      <c r="AA1945" s="13">
        <v>2</v>
      </c>
      <c r="AB1945" s="13">
        <v>3</v>
      </c>
      <c r="AC1945" s="13">
        <v>3</v>
      </c>
      <c r="AD1945" s="13">
        <v>2</v>
      </c>
      <c r="AE1945" s="13">
        <v>3</v>
      </c>
      <c r="AF1945" s="13"/>
      <c r="AG1945" s="16">
        <f>IFERROR(SUMIF(reading[[#This Row],[1st]:[7th]],"&gt;0")/COUNTIF(reading[[#This Row],[1st]:[7th]],"&gt;0"),"")</f>
        <v>2.6666666666666665</v>
      </c>
    </row>
    <row r="1946" spans="1:33" hidden="1" x14ac:dyDescent="0.2">
      <c r="A1946" s="4">
        <f>IF(B1946=1,3,IF(D1946=1,2,IF(F1946=1,1,0)))</f>
        <v>0</v>
      </c>
      <c r="B1946" s="4" t="str">
        <f>IF(C1946=$L1946,1,IF(C1946="","",0))</f>
        <v/>
      </c>
      <c r="C1946" s="42"/>
      <c r="D1946" s="4" t="str">
        <f>IF(E1946=$L1946,1,IF(E1946="","",0))</f>
        <v/>
      </c>
      <c r="E1946" s="43"/>
      <c r="F1946" s="4" t="str">
        <f>IF(G1946=$L1946,1,IF(G1946="","",0))</f>
        <v/>
      </c>
      <c r="G1946" s="14"/>
      <c r="H1946" s="6">
        <v>165</v>
      </c>
      <c r="I1946" s="15" t="s">
        <v>3120</v>
      </c>
      <c r="J1946" s="6" t="s">
        <v>3314</v>
      </c>
      <c r="K1946" s="6"/>
      <c r="L1946" s="6" t="s">
        <v>302</v>
      </c>
      <c r="M1946" s="6" t="s">
        <v>6274</v>
      </c>
      <c r="N1946" s="7">
        <f ca="1">RAND()</f>
        <v>0.16432769607476794</v>
      </c>
      <c r="O1946" s="8">
        <v>45199</v>
      </c>
      <c r="P1946" s="8">
        <v>45200</v>
      </c>
      <c r="Q1946" s="8">
        <v>45202</v>
      </c>
      <c r="R1946" s="8">
        <v>45206</v>
      </c>
      <c r="S1946" s="8">
        <v>45213</v>
      </c>
      <c r="T1946" s="8">
        <v>45225</v>
      </c>
      <c r="U1946" s="8">
        <v>45816</v>
      </c>
      <c r="V1946" s="10">
        <f>COUNTA(O1946:U1946)</f>
        <v>7</v>
      </c>
      <c r="W1946" s="11">
        <f>_xlfn.IFNA(INDEX(reading[[#This Row],[Memo 01]:[Memo 07]],MATCH(0,reading[[#This Row],[Memo 01]:[Memo 07]],-1)),"")</f>
        <v>45816</v>
      </c>
      <c r="X1946" s="11">
        <f ca="1">IFERROR(reading[[#This Row],[Previous]]+OFFSET(reading[[#Headers],[Memo 01]],-1,MATCH(0,reading[[#This Row],[Memo 01]:[Memo 07]],-1)-1),"")</f>
        <v>55816</v>
      </c>
      <c r="Y1946" s="10" t="str">
        <f ca="1">IF(reading[[#This Row],[Next]]&lt;&gt;"",IF(reading[[#This Row],[Next]]&gt;TODAY(),"OK",""),"")</f>
        <v>OK</v>
      </c>
      <c r="Z1946" s="13">
        <v>2</v>
      </c>
      <c r="AA1946" s="13">
        <v>3</v>
      </c>
      <c r="AB1946" s="13">
        <v>3</v>
      </c>
      <c r="AC1946" s="13">
        <v>2</v>
      </c>
      <c r="AD1946" s="13">
        <v>3</v>
      </c>
      <c r="AE1946" s="13">
        <v>3</v>
      </c>
      <c r="AF1946" s="13">
        <v>2</v>
      </c>
      <c r="AG1946" s="16">
        <f>IFERROR(SUMIF(reading[[#This Row],[1st]:[7th]],"&gt;0")/COUNTIF(reading[[#This Row],[1st]:[7th]],"&gt;0"),"")</f>
        <v>2.5714285714285716</v>
      </c>
    </row>
    <row r="1947" spans="1:33" x14ac:dyDescent="0.2">
      <c r="A1947" s="4">
        <f>IF(B1947=1,3,IF(D1947=1,2,IF(F1947=1,1,0)))</f>
        <v>3</v>
      </c>
      <c r="B1947" s="4">
        <f>IF(C1947=$L1947,1,IF(C1947="","",0))</f>
        <v>1</v>
      </c>
      <c r="C1947" s="42" t="s">
        <v>9356</v>
      </c>
      <c r="D1947" s="4" t="str">
        <f>IF(E1947=$L1947,1,IF(E1947="","",0))</f>
        <v/>
      </c>
      <c r="E1947" s="14"/>
      <c r="F1947" s="4" t="str">
        <f>IF(G1947=$L1947,1,IF(G1947="","",0))</f>
        <v/>
      </c>
      <c r="G1947" s="14"/>
      <c r="H1947" s="6">
        <v>2783</v>
      </c>
      <c r="I1947" s="15" t="s">
        <v>3120</v>
      </c>
      <c r="J1947" s="6" t="s">
        <v>5826</v>
      </c>
      <c r="K1947" s="15" t="s">
        <v>3138</v>
      </c>
      <c r="L1947" s="6" t="s">
        <v>2821</v>
      </c>
      <c r="M1947" s="6" t="s">
        <v>8887</v>
      </c>
      <c r="N1947" s="7">
        <f ca="1">RAND()</f>
        <v>0.38821632708609655</v>
      </c>
      <c r="O1947" s="8">
        <v>45221</v>
      </c>
      <c r="P1947" s="8">
        <v>45222</v>
      </c>
      <c r="Q1947" s="8">
        <v>45224</v>
      </c>
      <c r="R1947" s="8">
        <v>45228</v>
      </c>
      <c r="S1947" s="8">
        <v>45235</v>
      </c>
      <c r="T1947" s="8"/>
      <c r="U1947" s="8"/>
      <c r="V1947" s="10">
        <f>COUNTA(O1947:U1947)</f>
        <v>5</v>
      </c>
      <c r="W1947" s="11">
        <f>_xlfn.IFNA(INDEX(reading[[#This Row],[Memo 01]:[Memo 07]],MATCH(0,reading[[#This Row],[Memo 01]:[Memo 07]],-1)),"")</f>
        <v>45235</v>
      </c>
      <c r="X1947" s="11">
        <f ca="1">IFERROR(reading[[#This Row],[Previous]]+OFFSET(reading[[#Headers],[Memo 01]],-1,MATCH(0,reading[[#This Row],[Memo 01]:[Memo 07]],-1)-1),"")</f>
        <v>45247</v>
      </c>
      <c r="Y1947" s="10" t="str">
        <f ca="1">IF(reading[[#This Row],[Next]]&lt;&gt;"",IF(reading[[#This Row],[Next]]&gt;TODAY(),"OK",""),"")</f>
        <v/>
      </c>
      <c r="Z1947" s="13">
        <v>3</v>
      </c>
      <c r="AA1947" s="13">
        <v>3</v>
      </c>
      <c r="AB1947" s="13">
        <v>3</v>
      </c>
      <c r="AC1947" s="13">
        <v>3</v>
      </c>
      <c r="AD1947" s="13">
        <v>3</v>
      </c>
      <c r="AE1947" s="13"/>
      <c r="AF1947" s="13"/>
      <c r="AG1947" s="16">
        <f>IFERROR(SUMIF(reading[[#This Row],[1st]:[7th]],"&gt;0")/COUNTIF(reading[[#This Row],[1st]:[7th]],"&gt;0"),"")</f>
        <v>3</v>
      </c>
    </row>
    <row r="1948" spans="1:33" hidden="1" x14ac:dyDescent="0.2">
      <c r="A1948" s="4">
        <f>IF(B1948=1,3,IF(D1948=1,2,IF(F1948=1,1,0)))</f>
        <v>0</v>
      </c>
      <c r="B1948" s="4" t="str">
        <f>IF(C1948=$L1948,1,IF(C1948="","",0))</f>
        <v/>
      </c>
      <c r="C1948" s="42"/>
      <c r="D1948" s="4" t="str">
        <f>IF(E1948=$L1948,1,IF(E1948="","",0))</f>
        <v/>
      </c>
      <c r="E1948" s="43"/>
      <c r="F1948" s="4" t="str">
        <f>IF(G1948=$L1948,1,IF(G1948="","",0))</f>
        <v/>
      </c>
      <c r="G1948" s="23"/>
      <c r="H1948" s="6">
        <v>2647</v>
      </c>
      <c r="I1948" s="15" t="s">
        <v>3120</v>
      </c>
      <c r="J1948" s="6" t="s">
        <v>5701</v>
      </c>
      <c r="K1948" s="6"/>
      <c r="L1948" s="6" t="s">
        <v>2687</v>
      </c>
      <c r="M1948" s="6" t="s">
        <v>8752</v>
      </c>
      <c r="N1948" s="7">
        <f ca="1">RAND()</f>
        <v>0.29913597845752815</v>
      </c>
      <c r="O1948" s="8">
        <v>45220</v>
      </c>
      <c r="P1948" s="8">
        <v>45221</v>
      </c>
      <c r="Q1948" s="8">
        <v>45223</v>
      </c>
      <c r="R1948" s="8">
        <v>45227</v>
      </c>
      <c r="S1948" s="8">
        <v>45234</v>
      </c>
      <c r="T1948" s="8">
        <v>45252</v>
      </c>
      <c r="U1948" s="8">
        <v>45825</v>
      </c>
      <c r="V1948" s="10">
        <f>COUNTA(O1948:U1948)</f>
        <v>7</v>
      </c>
      <c r="W1948" s="11">
        <f>_xlfn.IFNA(INDEX(reading[[#This Row],[Memo 01]:[Memo 07]],MATCH(0,reading[[#This Row],[Memo 01]:[Memo 07]],-1)),"")</f>
        <v>45825</v>
      </c>
      <c r="X1948" s="11">
        <f ca="1">IFERROR(reading[[#This Row],[Previous]]+OFFSET(reading[[#Headers],[Memo 01]],-1,MATCH(0,reading[[#This Row],[Memo 01]:[Memo 07]],-1)-1),"")</f>
        <v>55825</v>
      </c>
      <c r="Y1948" s="10" t="str">
        <f ca="1">IF(reading[[#This Row],[Next]]&lt;&gt;"",IF(reading[[#This Row],[Next]]&gt;TODAY(),"OK",""),"")</f>
        <v>OK</v>
      </c>
      <c r="Z1948" s="13">
        <v>3</v>
      </c>
      <c r="AA1948" s="13">
        <v>2</v>
      </c>
      <c r="AB1948" s="13">
        <v>2</v>
      </c>
      <c r="AC1948" s="13">
        <v>3</v>
      </c>
      <c r="AD1948" s="13">
        <v>3</v>
      </c>
      <c r="AE1948" s="13">
        <v>2</v>
      </c>
      <c r="AF1948" s="13">
        <v>1</v>
      </c>
      <c r="AG1948" s="16">
        <f>IFERROR(SUMIF(reading[[#This Row],[1st]:[7th]],"&gt;0")/COUNTIF(reading[[#This Row],[1st]:[7th]],"&gt;0"),"")</f>
        <v>2.2857142857142856</v>
      </c>
    </row>
    <row r="1949" spans="1:33" hidden="1" x14ac:dyDescent="0.2">
      <c r="A1949" s="4">
        <f>IF(B1949=1,3,IF(D1949=1,2,IF(F1949=1,1,0)))</f>
        <v>0</v>
      </c>
      <c r="B1949" s="4" t="str">
        <f>IF(C1949=$L1949,1,IF(C1949="","",0))</f>
        <v/>
      </c>
      <c r="C1949" s="42"/>
      <c r="D1949" s="4" t="str">
        <f>IF(E1949=$L1949,1,IF(E1949="","",0))</f>
        <v/>
      </c>
      <c r="E1949" s="23"/>
      <c r="F1949" s="4" t="str">
        <f>IF(G1949=$L1949,1,IF(G1949="","",0))</f>
        <v/>
      </c>
      <c r="G1949" s="14"/>
      <c r="H1949" s="6">
        <v>2926</v>
      </c>
      <c r="I1949" s="15" t="s">
        <v>3120</v>
      </c>
      <c r="J1949" s="6" t="s">
        <v>5961</v>
      </c>
      <c r="K1949" s="6"/>
      <c r="L1949" s="6" t="s">
        <v>2956</v>
      </c>
      <c r="M1949" s="6" t="s">
        <v>9030</v>
      </c>
      <c r="N1949" s="7">
        <f ca="1">RAND()</f>
        <v>0.39459469072551911</v>
      </c>
      <c r="O1949" s="8">
        <v>45223</v>
      </c>
      <c r="P1949" s="8">
        <v>45224</v>
      </c>
      <c r="Q1949" s="8">
        <v>45226</v>
      </c>
      <c r="R1949" s="8">
        <v>45230</v>
      </c>
      <c r="S1949" s="8">
        <v>45237</v>
      </c>
      <c r="T1949" s="8">
        <v>45816</v>
      </c>
      <c r="U1949" s="8"/>
      <c r="V1949" s="10">
        <f>COUNTA(O1949:U1949)</f>
        <v>6</v>
      </c>
      <c r="W1949" s="11">
        <f>_xlfn.IFNA(INDEX(reading[[#This Row],[Memo 01]:[Memo 07]],MATCH(0,reading[[#This Row],[Memo 01]:[Memo 07]],-1)),"")</f>
        <v>45816</v>
      </c>
      <c r="X1949" s="11">
        <f ca="1">IFERROR(reading[[#This Row],[Previous]]+OFFSET(reading[[#Headers],[Memo 01]],-1,MATCH(0,reading[[#This Row],[Memo 01]:[Memo 07]],-1)-1),"")</f>
        <v>45836</v>
      </c>
      <c r="Y1949" s="10" t="str">
        <f ca="1">IF(reading[[#This Row],[Next]]&lt;&gt;"",IF(reading[[#This Row],[Next]]&gt;TODAY(),"OK",""),"")</f>
        <v>OK</v>
      </c>
      <c r="Z1949" s="13">
        <v>3</v>
      </c>
      <c r="AA1949" s="13">
        <v>3</v>
      </c>
      <c r="AB1949" s="13">
        <v>3</v>
      </c>
      <c r="AC1949" s="13">
        <v>3</v>
      </c>
      <c r="AD1949" s="13">
        <v>3</v>
      </c>
      <c r="AE1949" s="13">
        <v>2</v>
      </c>
      <c r="AF1949" s="13"/>
      <c r="AG1949" s="16">
        <f>IFERROR(SUMIF(reading[[#This Row],[1st]:[7th]],"&gt;0")/COUNTIF(reading[[#This Row],[1st]:[7th]],"&gt;0"),"")</f>
        <v>2.8333333333333335</v>
      </c>
    </row>
    <row r="1950" spans="1:33" hidden="1" x14ac:dyDescent="0.2">
      <c r="A1950" s="4">
        <f>IF(B1950=1,3,IF(D1950=1,2,IF(F1950=1,1,0)))</f>
        <v>0</v>
      </c>
      <c r="B1950" s="4" t="str">
        <f>IF(C1950=$L1950,1,IF(C1950="","",0))</f>
        <v/>
      </c>
      <c r="C1950" s="42"/>
      <c r="D1950" s="4" t="str">
        <f>IF(E1950=$L1950,1,IF(E1950="","",0))</f>
        <v/>
      </c>
      <c r="E1950" s="23"/>
      <c r="F1950" s="4" t="str">
        <f>IF(G1950=$L1950,1,IF(G1950="","",0))</f>
        <v/>
      </c>
      <c r="G1950" s="14"/>
      <c r="H1950" s="6">
        <v>2668</v>
      </c>
      <c r="I1950" s="15" t="s">
        <v>3120</v>
      </c>
      <c r="J1950" s="6" t="s">
        <v>5720</v>
      </c>
      <c r="K1950" s="6"/>
      <c r="L1950" s="6" t="s">
        <v>2707</v>
      </c>
      <c r="M1950" s="6" t="s">
        <v>8773</v>
      </c>
      <c r="N1950" s="7">
        <f ca="1">RAND()</f>
        <v>0.25010412205526478</v>
      </c>
      <c r="O1950" s="8">
        <v>45220</v>
      </c>
      <c r="P1950" s="8">
        <v>45221</v>
      </c>
      <c r="Q1950" s="8">
        <v>45223</v>
      </c>
      <c r="R1950" s="8">
        <v>45227</v>
      </c>
      <c r="S1950" s="8">
        <v>45234</v>
      </c>
      <c r="T1950" s="8">
        <v>45825</v>
      </c>
      <c r="U1950" s="8"/>
      <c r="V1950" s="10">
        <f>COUNTA(O1950:U1950)</f>
        <v>6</v>
      </c>
      <c r="W1950" s="11">
        <f>_xlfn.IFNA(INDEX(reading[[#This Row],[Memo 01]:[Memo 07]],MATCH(0,reading[[#This Row],[Memo 01]:[Memo 07]],-1)),"")</f>
        <v>45825</v>
      </c>
      <c r="X1950" s="11">
        <f ca="1">IFERROR(reading[[#This Row],[Previous]]+OFFSET(reading[[#Headers],[Memo 01]],-1,MATCH(0,reading[[#This Row],[Memo 01]:[Memo 07]],-1)-1),"")</f>
        <v>45845</v>
      </c>
      <c r="Y1950" s="10" t="str">
        <f ca="1">IF(reading[[#This Row],[Next]]&lt;&gt;"",IF(reading[[#This Row],[Next]]&gt;TODAY(),"OK",""),"")</f>
        <v>OK</v>
      </c>
      <c r="Z1950" s="13">
        <v>3</v>
      </c>
      <c r="AA1950" s="13">
        <v>3</v>
      </c>
      <c r="AB1950" s="13">
        <v>3</v>
      </c>
      <c r="AC1950" s="13">
        <v>3</v>
      </c>
      <c r="AD1950" s="13">
        <v>3</v>
      </c>
      <c r="AE1950" s="13">
        <v>2</v>
      </c>
      <c r="AF1950" s="13"/>
      <c r="AG1950" s="16">
        <f>IFERROR(SUMIF(reading[[#This Row],[1st]:[7th]],"&gt;0")/COUNTIF(reading[[#This Row],[1st]:[7th]],"&gt;0"),"")</f>
        <v>2.8333333333333335</v>
      </c>
    </row>
    <row r="1951" spans="1:33" hidden="1" x14ac:dyDescent="0.2">
      <c r="A1951" s="4">
        <f>IF(B1951=1,3,IF(D1951=1,2,IF(F1951=1,1,0)))</f>
        <v>0</v>
      </c>
      <c r="B1951" s="4">
        <f>IF(C1951=$L1951,1,IF(C1951="","",0))</f>
        <v>0</v>
      </c>
      <c r="C1951" s="42" t="s">
        <v>9245</v>
      </c>
      <c r="D1951" s="4">
        <f>IF(E1951=$L1951,1,IF(E1951="","",0))</f>
        <v>0</v>
      </c>
      <c r="E1951" s="43" t="s">
        <v>9200</v>
      </c>
      <c r="F1951" s="4" t="str">
        <f>IF(G1951=$L1951,1,IF(G1951="","",0))</f>
        <v/>
      </c>
      <c r="G1951" s="18"/>
      <c r="H1951" s="6">
        <v>2151</v>
      </c>
      <c r="I1951" s="15" t="s">
        <v>3120</v>
      </c>
      <c r="J1951" s="6" t="s">
        <v>5239</v>
      </c>
      <c r="K1951" s="15" t="s">
        <v>3138</v>
      </c>
      <c r="L1951" s="6" t="s">
        <v>2218</v>
      </c>
      <c r="M1951" s="6" t="s">
        <v>8257</v>
      </c>
      <c r="N1951" s="7">
        <f ca="1">RAND()</f>
        <v>0.61597615942516537</v>
      </c>
      <c r="O1951" s="8">
        <v>45215</v>
      </c>
      <c r="P1951" s="8">
        <v>45216</v>
      </c>
      <c r="Q1951" s="8">
        <v>45218</v>
      </c>
      <c r="R1951" s="8">
        <v>45222</v>
      </c>
      <c r="S1951" s="8">
        <v>45229</v>
      </c>
      <c r="T1951" s="8">
        <v>45248</v>
      </c>
      <c r="U1951" s="8"/>
      <c r="V1951" s="10">
        <f>COUNTA(O1951:U1951)</f>
        <v>6</v>
      </c>
      <c r="W1951" s="11">
        <f>_xlfn.IFNA(INDEX(reading[[#This Row],[Memo 01]:[Memo 07]],MATCH(0,reading[[#This Row],[Memo 01]:[Memo 07]],-1)),"")</f>
        <v>45248</v>
      </c>
      <c r="X1951" s="11">
        <f ca="1">IFERROR(reading[[#This Row],[Previous]]+OFFSET(reading[[#Headers],[Memo 01]],-1,MATCH(0,reading[[#This Row],[Memo 01]:[Memo 07]],-1)-1),"")</f>
        <v>45268</v>
      </c>
      <c r="Y1951" s="10" t="str">
        <f ca="1">IF(reading[[#This Row],[Next]]&lt;&gt;"",IF(reading[[#This Row],[Next]]&gt;TODAY(),"OK",""),"")</f>
        <v/>
      </c>
      <c r="Z1951" s="13">
        <v>3</v>
      </c>
      <c r="AA1951" s="13">
        <v>3</v>
      </c>
      <c r="AB1951" s="13">
        <v>3</v>
      </c>
      <c r="AC1951" s="13">
        <v>2</v>
      </c>
      <c r="AD1951" s="13">
        <v>1</v>
      </c>
      <c r="AE1951" s="13">
        <v>3</v>
      </c>
      <c r="AF1951" s="13"/>
      <c r="AG1951" s="16">
        <f>IFERROR(SUMIF(reading[[#This Row],[1st]:[7th]],"&gt;0")/COUNTIF(reading[[#This Row],[1st]:[7th]],"&gt;0"),"")</f>
        <v>2.5</v>
      </c>
    </row>
    <row r="1952" spans="1:33" x14ac:dyDescent="0.2">
      <c r="A1952" s="4">
        <f>IF(B1952=1,3,IF(D1952=1,2,IF(F1952=1,1,0)))</f>
        <v>3</v>
      </c>
      <c r="B1952" s="4">
        <f>IF(C1952=$L1952,1,IF(C1952="","",0))</f>
        <v>1</v>
      </c>
      <c r="C1952" s="42" t="s">
        <v>9357</v>
      </c>
      <c r="D1952" s="4" t="str">
        <f>IF(E1952=$L1952,1,IF(E1952="","",0))</f>
        <v/>
      </c>
      <c r="E1952" s="14"/>
      <c r="F1952" s="4" t="str">
        <f>IF(G1952=$L1952,1,IF(G1952="","",0))</f>
        <v/>
      </c>
      <c r="G1952" s="14"/>
      <c r="H1952" s="6">
        <v>2875</v>
      </c>
      <c r="I1952" s="15" t="s">
        <v>3120</v>
      </c>
      <c r="J1952" s="6" t="s">
        <v>5912</v>
      </c>
      <c r="K1952" s="6"/>
      <c r="L1952" s="6" t="s">
        <v>2906</v>
      </c>
      <c r="M1952" s="6" t="s">
        <v>8979</v>
      </c>
      <c r="N1952" s="7">
        <f ca="1">RAND()</f>
        <v>0.75114573156994058</v>
      </c>
      <c r="O1952" s="8">
        <v>45222</v>
      </c>
      <c r="P1952" s="8">
        <v>45223</v>
      </c>
      <c r="Q1952" s="8">
        <v>45225</v>
      </c>
      <c r="R1952" s="8">
        <v>45229</v>
      </c>
      <c r="S1952" s="8">
        <v>45236</v>
      </c>
      <c r="T1952" s="8"/>
      <c r="U1952" s="8"/>
      <c r="V1952" s="10">
        <f>COUNTA(O1952:U1952)</f>
        <v>5</v>
      </c>
      <c r="W1952" s="11">
        <f>_xlfn.IFNA(INDEX(reading[[#This Row],[Memo 01]:[Memo 07]],MATCH(0,reading[[#This Row],[Memo 01]:[Memo 07]],-1)),"")</f>
        <v>45236</v>
      </c>
      <c r="X1952" s="11">
        <f ca="1">IFERROR(reading[[#This Row],[Previous]]+OFFSET(reading[[#Headers],[Memo 01]],-1,MATCH(0,reading[[#This Row],[Memo 01]:[Memo 07]],-1)-1),"")</f>
        <v>45248</v>
      </c>
      <c r="Y1952" s="10" t="str">
        <f ca="1">IF(reading[[#This Row],[Next]]&lt;&gt;"",IF(reading[[#This Row],[Next]]&gt;TODAY(),"OK",""),"")</f>
        <v/>
      </c>
      <c r="Z1952" s="13">
        <v>3</v>
      </c>
      <c r="AA1952" s="13">
        <v>3</v>
      </c>
      <c r="AB1952" s="13">
        <v>3</v>
      </c>
      <c r="AC1952" s="13">
        <v>3</v>
      </c>
      <c r="AD1952" s="13">
        <v>3</v>
      </c>
      <c r="AE1952" s="13"/>
      <c r="AF1952" s="13"/>
      <c r="AG1952" s="16">
        <f>IFERROR(SUMIF(reading[[#This Row],[1st]:[7th]],"&gt;0")/COUNTIF(reading[[#This Row],[1st]:[7th]],"&gt;0"),"")</f>
        <v>3</v>
      </c>
    </row>
    <row r="1953" spans="1:33" x14ac:dyDescent="0.2">
      <c r="A1953" s="4">
        <f>IF(B1953=1,3,IF(D1953=1,2,IF(F1953=1,1,0)))</f>
        <v>3</v>
      </c>
      <c r="B1953" s="4">
        <f>IF(C1953=$L1953,1,IF(C1953="","",0))</f>
        <v>1</v>
      </c>
      <c r="C1953" s="42" t="s">
        <v>9358</v>
      </c>
      <c r="D1953" s="4" t="str">
        <f>IF(E1953=$L1953,1,IF(E1953="","",0))</f>
        <v/>
      </c>
      <c r="E1953" s="14"/>
      <c r="F1953" s="4" t="str">
        <f>IF(G1953=$L1953,1,IF(G1953="","",0))</f>
        <v/>
      </c>
      <c r="G1953" s="14"/>
      <c r="H1953" s="6">
        <v>1794</v>
      </c>
      <c r="I1953" s="15" t="s">
        <v>3120</v>
      </c>
      <c r="J1953" s="6" t="s">
        <v>4901</v>
      </c>
      <c r="K1953" s="6"/>
      <c r="L1953" s="6" t="s">
        <v>1873</v>
      </c>
      <c r="M1953" s="6" t="s">
        <v>7900</v>
      </c>
      <c r="N1953" s="7">
        <f ca="1">RAND()</f>
        <v>0.53921251430471839</v>
      </c>
      <c r="O1953" s="8">
        <v>45211</v>
      </c>
      <c r="P1953" s="8">
        <v>45212</v>
      </c>
      <c r="Q1953" s="8">
        <v>45214</v>
      </c>
      <c r="R1953" s="8">
        <v>45218</v>
      </c>
      <c r="S1953" s="8">
        <v>45225</v>
      </c>
      <c r="T1953" s="8">
        <v>45237</v>
      </c>
      <c r="U1953" s="8"/>
      <c r="V1953" s="10">
        <f>COUNTA(O1953:U1953)</f>
        <v>6</v>
      </c>
      <c r="W1953" s="11">
        <f>_xlfn.IFNA(INDEX(reading[[#This Row],[Memo 01]:[Memo 07]],MATCH(0,reading[[#This Row],[Memo 01]:[Memo 07]],-1)),"")</f>
        <v>45237</v>
      </c>
      <c r="X1953" s="11">
        <f ca="1">IFERROR(reading[[#This Row],[Previous]]+OFFSET(reading[[#Headers],[Memo 01]],-1,MATCH(0,reading[[#This Row],[Memo 01]:[Memo 07]],-1)-1),"")</f>
        <v>45257</v>
      </c>
      <c r="Y1953" s="10" t="str">
        <f ca="1">IF(reading[[#This Row],[Next]]&lt;&gt;"",IF(reading[[#This Row],[Next]]&gt;TODAY(),"OK",""),"")</f>
        <v/>
      </c>
      <c r="Z1953" s="13">
        <v>3</v>
      </c>
      <c r="AA1953" s="13">
        <v>3</v>
      </c>
      <c r="AB1953" s="13">
        <v>3</v>
      </c>
      <c r="AC1953" s="13">
        <v>3</v>
      </c>
      <c r="AD1953" s="13">
        <v>3</v>
      </c>
      <c r="AE1953" s="13">
        <v>3</v>
      </c>
      <c r="AF1953" s="13"/>
      <c r="AG1953" s="16">
        <f>IFERROR(SUMIF(reading[[#This Row],[1st]:[7th]],"&gt;0")/COUNTIF(reading[[#This Row],[1st]:[7th]],"&gt;0"),"")</f>
        <v>3</v>
      </c>
    </row>
    <row r="1954" spans="1:33" hidden="1" x14ac:dyDescent="0.2">
      <c r="A1954" s="4">
        <f>IF(B1954=1,3,IF(D1954=1,2,IF(F1954=1,1,0)))</f>
        <v>3</v>
      </c>
      <c r="B1954" s="4">
        <f>IF(C1954=$L1954,1,IF(C1954="","",0))</f>
        <v>1</v>
      </c>
      <c r="C1954" s="33" t="s">
        <v>2033</v>
      </c>
      <c r="D1954" s="4" t="str">
        <f>IF(E1954=$L1954,1,IF(E1954="","",0))</f>
        <v/>
      </c>
      <c r="E1954" s="14"/>
      <c r="F1954" s="4" t="str">
        <f>IF(G1954=$L1954,1,IF(G1954="","",0))</f>
        <v/>
      </c>
      <c r="G1954" s="14"/>
      <c r="H1954" s="6">
        <v>1958</v>
      </c>
      <c r="I1954" s="15" t="s">
        <v>3120</v>
      </c>
      <c r="J1954" s="6" t="s">
        <v>5057</v>
      </c>
      <c r="K1954" s="6"/>
      <c r="L1954" s="6" t="s">
        <v>2033</v>
      </c>
      <c r="M1954" s="6" t="s">
        <v>8064</v>
      </c>
      <c r="N1954" s="7">
        <f ca="1">RAND()</f>
        <v>0.6914689113732555</v>
      </c>
      <c r="O1954" s="8">
        <v>45213</v>
      </c>
      <c r="P1954" s="8">
        <v>45213</v>
      </c>
      <c r="Q1954" s="8">
        <v>45213</v>
      </c>
      <c r="R1954" s="8">
        <v>45213</v>
      </c>
      <c r="S1954" s="8">
        <v>45213</v>
      </c>
      <c r="T1954" s="8">
        <v>45213</v>
      </c>
      <c r="U1954" s="8">
        <v>45213</v>
      </c>
      <c r="V1954" s="10">
        <f>COUNTA(O1954:U1954)</f>
        <v>7</v>
      </c>
      <c r="W1954" s="11">
        <f>_xlfn.IFNA(INDEX(reading[[#This Row],[Memo 01]:[Memo 07]],MATCH(0,reading[[#This Row],[Memo 01]:[Memo 07]],-1)),"")</f>
        <v>45213</v>
      </c>
      <c r="X1954" s="11">
        <f ca="1">IFERROR(reading[[#This Row],[Previous]]+OFFSET(reading[[#Headers],[Memo 01]],-1,MATCH(0,reading[[#This Row],[Memo 01]:[Memo 07]],-1)-1),"")</f>
        <v>55213</v>
      </c>
      <c r="Y1954" s="10" t="str">
        <f ca="1">IF(reading[[#This Row],[Next]]&lt;&gt;"",IF(reading[[#This Row],[Next]]&gt;TODAY(),"OK",""),"")</f>
        <v>OK</v>
      </c>
      <c r="Z1954" s="13">
        <v>3</v>
      </c>
      <c r="AA1954" s="13"/>
      <c r="AB1954" s="13"/>
      <c r="AC1954" s="13"/>
      <c r="AD1954" s="13"/>
      <c r="AE1954" s="13"/>
      <c r="AF1954" s="13"/>
      <c r="AG1954" s="16">
        <f>IFERROR(SUMIF(reading[[#This Row],[1st]:[7th]],"&gt;0")/COUNTIF(reading[[#This Row],[1st]:[7th]],"&gt;0"),"")</f>
        <v>3</v>
      </c>
    </row>
    <row r="1955" spans="1:33" x14ac:dyDescent="0.2">
      <c r="A1955" s="4">
        <f>IF(B1955=1,3,IF(D1955=1,2,IF(F1955=1,1,0)))</f>
        <v>0</v>
      </c>
      <c r="B1955" s="4">
        <f>IF(C1955=$L1955,1,IF(C1955="","",0))</f>
        <v>0</v>
      </c>
      <c r="C1955" s="42" t="s">
        <v>9359</v>
      </c>
      <c r="D1955" s="4" t="str">
        <f>IF(E1955=$L1955,1,IF(E1955="","",0))</f>
        <v/>
      </c>
      <c r="E1955" s="14"/>
      <c r="F1955" s="4" t="str">
        <f>IF(G1955=$L1955,1,IF(G1955="","",0))</f>
        <v/>
      </c>
      <c r="G1955" s="14"/>
      <c r="H1955" s="6">
        <v>1456</v>
      </c>
      <c r="I1955" s="15" t="s">
        <v>3120</v>
      </c>
      <c r="J1955" s="6" t="s">
        <v>4570</v>
      </c>
      <c r="K1955" s="6"/>
      <c r="L1955" s="6" t="s">
        <v>1544</v>
      </c>
      <c r="M1955" s="6" t="s">
        <v>7563</v>
      </c>
      <c r="N1955" s="7">
        <f ca="1">RAND()</f>
        <v>0.80706419472201396</v>
      </c>
      <c r="O1955" s="8">
        <v>45208</v>
      </c>
      <c r="P1955" s="8">
        <v>45209</v>
      </c>
      <c r="Q1955" s="8">
        <v>45211</v>
      </c>
      <c r="R1955" s="8">
        <v>45215</v>
      </c>
      <c r="S1955" s="8">
        <v>45222</v>
      </c>
      <c r="T1955" s="8">
        <v>45234</v>
      </c>
      <c r="U1955" s="8"/>
      <c r="V1955" s="10">
        <f>COUNTA(O1955:U1955)</f>
        <v>6</v>
      </c>
      <c r="W1955" s="11">
        <f>_xlfn.IFNA(INDEX(reading[[#This Row],[Memo 01]:[Memo 07]],MATCH(0,reading[[#This Row],[Memo 01]:[Memo 07]],-1)),"")</f>
        <v>45234</v>
      </c>
      <c r="X1955" s="11">
        <f ca="1">IFERROR(reading[[#This Row],[Previous]]+OFFSET(reading[[#Headers],[Memo 01]],-1,MATCH(0,reading[[#This Row],[Memo 01]:[Memo 07]],-1)-1),"")</f>
        <v>45254</v>
      </c>
      <c r="Y1955" s="10" t="str">
        <f ca="1">IF(reading[[#This Row],[Next]]&lt;&gt;"",IF(reading[[#This Row],[Next]]&gt;TODAY(),"OK",""),"")</f>
        <v/>
      </c>
      <c r="Z1955" s="13">
        <v>3</v>
      </c>
      <c r="AA1955" s="13">
        <v>3</v>
      </c>
      <c r="AB1955" s="13">
        <v>3</v>
      </c>
      <c r="AC1955" s="13">
        <v>3</v>
      </c>
      <c r="AD1955" s="13">
        <v>3</v>
      </c>
      <c r="AE1955" s="13">
        <v>3</v>
      </c>
      <c r="AF1955" s="13"/>
      <c r="AG1955" s="16">
        <f>IFERROR(SUMIF(reading[[#This Row],[1st]:[7th]],"&gt;0")/COUNTIF(reading[[#This Row],[1st]:[7th]],"&gt;0"),"")</f>
        <v>3</v>
      </c>
    </row>
    <row r="1956" spans="1:33" x14ac:dyDescent="0.2">
      <c r="A1956" s="4">
        <f>IF(B1956=1,3,IF(D1956=1,2,IF(F1956=1,1,0)))</f>
        <v>0</v>
      </c>
      <c r="B1956" s="4">
        <f>IF(C1956=$L1956,1,IF(C1956="","",0))</f>
        <v>0</v>
      </c>
      <c r="C1956" s="42" t="s">
        <v>9200</v>
      </c>
      <c r="D1956" s="4" t="str">
        <f>IF(E1956=$L1956,1,IF(E1956="","",0))</f>
        <v/>
      </c>
      <c r="E1956" s="14"/>
      <c r="F1956" s="4" t="str">
        <f>IF(G1956=$L1956,1,IF(G1956="","",0))</f>
        <v/>
      </c>
      <c r="G1956" s="14"/>
      <c r="H1956" s="6">
        <v>117</v>
      </c>
      <c r="I1956" s="15" t="s">
        <v>3120</v>
      </c>
      <c r="J1956" s="6" t="s">
        <v>3266</v>
      </c>
      <c r="K1956" s="6"/>
      <c r="L1956" s="6" t="s">
        <v>254</v>
      </c>
      <c r="M1956" s="6" t="s">
        <v>6226</v>
      </c>
      <c r="N1956" s="7">
        <f ca="1">RAND()</f>
        <v>0.13602334856338449</v>
      </c>
      <c r="O1956" s="8">
        <v>45199</v>
      </c>
      <c r="P1956" s="8">
        <v>45200</v>
      </c>
      <c r="Q1956" s="8">
        <v>45202</v>
      </c>
      <c r="R1956" s="8">
        <v>45206</v>
      </c>
      <c r="S1956" s="8">
        <v>45213</v>
      </c>
      <c r="T1956" s="8">
        <v>45225</v>
      </c>
      <c r="U1956" s="8"/>
      <c r="V1956" s="10">
        <f>COUNTA(O1956:U1956)</f>
        <v>6</v>
      </c>
      <c r="W1956" s="11">
        <f>_xlfn.IFNA(INDEX(reading[[#This Row],[Memo 01]:[Memo 07]],MATCH(0,reading[[#This Row],[Memo 01]:[Memo 07]],-1)),"")</f>
        <v>45225</v>
      </c>
      <c r="X1956" s="11">
        <f ca="1">IFERROR(reading[[#This Row],[Previous]]+OFFSET(reading[[#Headers],[Memo 01]],-1,MATCH(0,reading[[#This Row],[Memo 01]:[Memo 07]],-1)-1),"")</f>
        <v>45245</v>
      </c>
      <c r="Y1956" s="10" t="str">
        <f ca="1">IF(reading[[#This Row],[Next]]&lt;&gt;"",IF(reading[[#This Row],[Next]]&gt;TODAY(),"OK",""),"")</f>
        <v/>
      </c>
      <c r="Z1956" s="13">
        <v>3</v>
      </c>
      <c r="AA1956" s="13">
        <v>3</v>
      </c>
      <c r="AB1956" s="13">
        <v>3</v>
      </c>
      <c r="AC1956" s="13">
        <v>3</v>
      </c>
      <c r="AD1956" s="13">
        <v>3</v>
      </c>
      <c r="AE1956" s="13">
        <v>3</v>
      </c>
      <c r="AF1956" s="13"/>
      <c r="AG1956" s="16">
        <f>IFERROR(SUMIF(reading[[#This Row],[1st]:[7th]],"&gt;0")/COUNTIF(reading[[#This Row],[1st]:[7th]],"&gt;0"),"")</f>
        <v>3</v>
      </c>
    </row>
    <row r="1957" spans="1:33" hidden="1" x14ac:dyDescent="0.2">
      <c r="A1957" s="4">
        <f>IF(B1957=1,3,IF(D1957=1,2,IF(F1957=1,1,0)))</f>
        <v>0</v>
      </c>
      <c r="B1957" s="4" t="str">
        <f>IF(C1957=$L1957,1,IF(C1957="","",0))</f>
        <v/>
      </c>
      <c r="C1957" s="42"/>
      <c r="D1957" s="4" t="str">
        <f>IF(E1957=$L1957,1,IF(E1957="","",0))</f>
        <v/>
      </c>
      <c r="E1957" s="23"/>
      <c r="F1957" s="4" t="str">
        <f>IF(G1957=$L1957,1,IF(G1957="","",0))</f>
        <v/>
      </c>
      <c r="G1957" s="23"/>
      <c r="H1957" s="6">
        <v>2018</v>
      </c>
      <c r="I1957" s="15" t="s">
        <v>3120</v>
      </c>
      <c r="J1957" s="6" t="s">
        <v>5115</v>
      </c>
      <c r="K1957" s="15" t="s">
        <v>3139</v>
      </c>
      <c r="L1957" s="6" t="s">
        <v>2093</v>
      </c>
      <c r="M1957" s="6" t="s">
        <v>8124</v>
      </c>
      <c r="N1957" s="7">
        <f ca="1">RAND()</f>
        <v>9.3850460499036559E-2</v>
      </c>
      <c r="O1957" s="8">
        <v>45214</v>
      </c>
      <c r="P1957" s="8">
        <v>45215</v>
      </c>
      <c r="Q1957" s="8">
        <v>45217</v>
      </c>
      <c r="R1957" s="8">
        <v>45221</v>
      </c>
      <c r="S1957" s="8">
        <v>45228</v>
      </c>
      <c r="T1957" s="8">
        <v>45817</v>
      </c>
      <c r="U1957" s="8"/>
      <c r="V1957" s="10">
        <f>COUNTA(O1957:U1957)</f>
        <v>6</v>
      </c>
      <c r="W1957" s="11">
        <f>_xlfn.IFNA(INDEX(reading[[#This Row],[Memo 01]:[Memo 07]],MATCH(0,reading[[#This Row],[Memo 01]:[Memo 07]],-1)),"")</f>
        <v>45817</v>
      </c>
      <c r="X1957" s="11">
        <f ca="1">IFERROR(reading[[#This Row],[Previous]]+OFFSET(reading[[#Headers],[Memo 01]],-1,MATCH(0,reading[[#This Row],[Memo 01]:[Memo 07]],-1)-1),"")</f>
        <v>45837</v>
      </c>
      <c r="Y1957" s="10" t="str">
        <f ca="1">IF(reading[[#This Row],[Next]]&lt;&gt;"",IF(reading[[#This Row],[Next]]&gt;TODAY(),"OK",""),"")</f>
        <v>OK</v>
      </c>
      <c r="Z1957" s="13">
        <v>3</v>
      </c>
      <c r="AA1957" s="13">
        <v>3</v>
      </c>
      <c r="AB1957" s="13">
        <v>3</v>
      </c>
      <c r="AC1957" s="13">
        <v>3</v>
      </c>
      <c r="AD1957" s="13">
        <v>2</v>
      </c>
      <c r="AE1957" s="13">
        <v>1</v>
      </c>
      <c r="AF1957" s="13"/>
      <c r="AG1957" s="16">
        <f>IFERROR(SUMIF(reading[[#This Row],[1st]:[7th]],"&gt;0")/COUNTIF(reading[[#This Row],[1st]:[7th]],"&gt;0"),"")</f>
        <v>2.5</v>
      </c>
    </row>
    <row r="1958" spans="1:33" x14ac:dyDescent="0.2">
      <c r="A1958" s="4">
        <f>IF(B1958=1,3,IF(D1958=1,2,IF(F1958=1,1,0)))</f>
        <v>3</v>
      </c>
      <c r="B1958" s="4">
        <f>IF(C1958=$L1958,1,IF(C1958="","",0))</f>
        <v>1</v>
      </c>
      <c r="C1958" s="42" t="s">
        <v>9360</v>
      </c>
      <c r="D1958" s="4" t="str">
        <f>IF(E1958=$L1958,1,IF(E1958="","",0))</f>
        <v/>
      </c>
      <c r="E1958" s="14"/>
      <c r="F1958" s="4" t="str">
        <f>IF(G1958=$L1958,1,IF(G1958="","",0))</f>
        <v/>
      </c>
      <c r="G1958" s="14"/>
      <c r="H1958" s="6">
        <v>1994</v>
      </c>
      <c r="I1958" s="15" t="s">
        <v>3120</v>
      </c>
      <c r="J1958" s="6" t="s">
        <v>5092</v>
      </c>
      <c r="K1958" s="6"/>
      <c r="L1958" s="6" t="s">
        <v>2069</v>
      </c>
      <c r="M1958" s="6" t="s">
        <v>8100</v>
      </c>
      <c r="N1958" s="7">
        <f ca="1">RAND()</f>
        <v>6.4827747215114861E-3</v>
      </c>
      <c r="O1958" s="8">
        <v>45213</v>
      </c>
      <c r="P1958" s="8">
        <v>45214</v>
      </c>
      <c r="Q1958" s="8">
        <v>45216</v>
      </c>
      <c r="R1958" s="8">
        <v>45220</v>
      </c>
      <c r="S1958" s="8">
        <v>45227</v>
      </c>
      <c r="T1958" s="8"/>
      <c r="U1958" s="8"/>
      <c r="V1958" s="10">
        <f>COUNTA(O1958:U1958)</f>
        <v>5</v>
      </c>
      <c r="W1958" s="11">
        <f>_xlfn.IFNA(INDEX(reading[[#This Row],[Memo 01]:[Memo 07]],MATCH(0,reading[[#This Row],[Memo 01]:[Memo 07]],-1)),"")</f>
        <v>45227</v>
      </c>
      <c r="X1958" s="11">
        <f ca="1">IFERROR(reading[[#This Row],[Previous]]+OFFSET(reading[[#Headers],[Memo 01]],-1,MATCH(0,reading[[#This Row],[Memo 01]:[Memo 07]],-1)-1),"")</f>
        <v>45239</v>
      </c>
      <c r="Y1958" s="10" t="str">
        <f ca="1">IF(reading[[#This Row],[Next]]&lt;&gt;"",IF(reading[[#This Row],[Next]]&gt;TODAY(),"OK",""),"")</f>
        <v/>
      </c>
      <c r="Z1958" s="13">
        <v>3</v>
      </c>
      <c r="AA1958" s="13">
        <v>3</v>
      </c>
      <c r="AB1958" s="13">
        <v>3</v>
      </c>
      <c r="AC1958" s="13">
        <v>3</v>
      </c>
      <c r="AD1958" s="13">
        <v>3</v>
      </c>
      <c r="AE1958" s="13"/>
      <c r="AF1958" s="13"/>
      <c r="AG1958" s="16">
        <f>IFERROR(SUMIF(reading[[#This Row],[1st]:[7th]],"&gt;0")/COUNTIF(reading[[#This Row],[1st]:[7th]],"&gt;0"),"")</f>
        <v>3</v>
      </c>
    </row>
    <row r="1959" spans="1:33" hidden="1" x14ac:dyDescent="0.2">
      <c r="A1959" s="4">
        <f>IF(B1959=1,3,IF(D1959=1,2,IF(F1959=1,1,0)))</f>
        <v>0</v>
      </c>
      <c r="B1959" s="4" t="str">
        <f>IF(C1959=$L1959,1,IF(C1959="","",0))</f>
        <v/>
      </c>
      <c r="C1959" s="42"/>
      <c r="D1959" s="4" t="str">
        <f>IF(E1959=$L1959,1,IF(E1959="","",0))</f>
        <v/>
      </c>
      <c r="E1959" s="43"/>
      <c r="F1959" s="4" t="str">
        <f>IF(G1959=$L1959,1,IF(G1959="","",0))</f>
        <v/>
      </c>
      <c r="G1959" s="14"/>
      <c r="H1959" s="6">
        <v>2773</v>
      </c>
      <c r="I1959" s="15" t="s">
        <v>3120</v>
      </c>
      <c r="J1959" s="6" t="s">
        <v>5817</v>
      </c>
      <c r="K1959" s="6"/>
      <c r="L1959" s="6" t="s">
        <v>2811</v>
      </c>
      <c r="M1959" s="6" t="s">
        <v>8877</v>
      </c>
      <c r="N1959" s="7">
        <f ca="1">RAND()</f>
        <v>0.18196991748270419</v>
      </c>
      <c r="O1959" s="8">
        <v>45222</v>
      </c>
      <c r="P1959" s="8">
        <v>45223</v>
      </c>
      <c r="Q1959" s="8">
        <v>45225</v>
      </c>
      <c r="R1959" s="8">
        <v>45229</v>
      </c>
      <c r="S1959" s="8">
        <v>45236</v>
      </c>
      <c r="T1959" s="8">
        <v>45825</v>
      </c>
      <c r="U1959" s="8"/>
      <c r="V1959" s="10">
        <f>COUNTA(O1959:U1959)</f>
        <v>6</v>
      </c>
      <c r="W1959" s="11">
        <f>_xlfn.IFNA(INDEX(reading[[#This Row],[Memo 01]:[Memo 07]],MATCH(0,reading[[#This Row],[Memo 01]:[Memo 07]],-1)),"")</f>
        <v>45825</v>
      </c>
      <c r="X1959" s="11">
        <f ca="1">IFERROR(reading[[#This Row],[Previous]]+OFFSET(reading[[#Headers],[Memo 01]],-1,MATCH(0,reading[[#This Row],[Memo 01]:[Memo 07]],-1)-1),"")</f>
        <v>45845</v>
      </c>
      <c r="Y1959" s="10" t="str">
        <f ca="1">IF(reading[[#This Row],[Next]]&lt;&gt;"",IF(reading[[#This Row],[Next]]&gt;TODAY(),"OK",""),"")</f>
        <v>OK</v>
      </c>
      <c r="Z1959" s="13">
        <v>3</v>
      </c>
      <c r="AA1959" s="13">
        <v>2</v>
      </c>
      <c r="AB1959" s="13">
        <v>3</v>
      </c>
      <c r="AC1959" s="13">
        <v>3</v>
      </c>
      <c r="AD1959" s="13">
        <v>3</v>
      </c>
      <c r="AE1959" s="13">
        <v>2</v>
      </c>
      <c r="AF1959" s="13"/>
      <c r="AG1959" s="16">
        <f>IFERROR(SUMIF(reading[[#This Row],[1st]:[7th]],"&gt;0")/COUNTIF(reading[[#This Row],[1st]:[7th]],"&gt;0"),"")</f>
        <v>2.6666666666666665</v>
      </c>
    </row>
    <row r="1960" spans="1:33" x14ac:dyDescent="0.2">
      <c r="A1960" s="4">
        <f>IF(B1960=1,3,IF(D1960=1,2,IF(F1960=1,1,0)))</f>
        <v>3</v>
      </c>
      <c r="B1960" s="4">
        <f>IF(C1960=$L1960,1,IF(C1960="","",0))</f>
        <v>1</v>
      </c>
      <c r="C1960" s="42" t="s">
        <v>9312</v>
      </c>
      <c r="D1960" s="4" t="str">
        <f>IF(E1960=$L1960,1,IF(E1960="","",0))</f>
        <v/>
      </c>
      <c r="E1960" s="14"/>
      <c r="F1960" s="4" t="str">
        <f>IF(G1960=$L1960,1,IF(G1960="","",0))</f>
        <v/>
      </c>
      <c r="G1960" s="14"/>
      <c r="H1960" s="6">
        <v>2491</v>
      </c>
      <c r="I1960" s="15" t="s">
        <v>3120</v>
      </c>
      <c r="J1960" s="6" t="s">
        <v>5558</v>
      </c>
      <c r="K1960" s="6"/>
      <c r="L1960" s="6" t="s">
        <v>2537</v>
      </c>
      <c r="M1960" s="6" t="s">
        <v>8596</v>
      </c>
      <c r="N1960" s="7">
        <f ca="1">RAND()</f>
        <v>0.24743406767937992</v>
      </c>
      <c r="O1960" s="8">
        <v>45218</v>
      </c>
      <c r="P1960" s="8">
        <v>45219</v>
      </c>
      <c r="Q1960" s="8">
        <v>45221</v>
      </c>
      <c r="R1960" s="8">
        <v>45225</v>
      </c>
      <c r="S1960" s="8">
        <v>45232</v>
      </c>
      <c r="T1960" s="8"/>
      <c r="U1960" s="8"/>
      <c r="V1960" s="10">
        <f>COUNTA(O1960:U1960)</f>
        <v>5</v>
      </c>
      <c r="W1960" s="11">
        <f>_xlfn.IFNA(INDEX(reading[[#This Row],[Memo 01]:[Memo 07]],MATCH(0,reading[[#This Row],[Memo 01]:[Memo 07]],-1)),"")</f>
        <v>45232</v>
      </c>
      <c r="X1960" s="11">
        <f ca="1">IFERROR(reading[[#This Row],[Previous]]+OFFSET(reading[[#Headers],[Memo 01]],-1,MATCH(0,reading[[#This Row],[Memo 01]:[Memo 07]],-1)-1),"")</f>
        <v>45244</v>
      </c>
      <c r="Y1960" s="10" t="str">
        <f ca="1">IF(reading[[#This Row],[Next]]&lt;&gt;"",IF(reading[[#This Row],[Next]]&gt;TODAY(),"OK",""),"")</f>
        <v/>
      </c>
      <c r="Z1960" s="13">
        <v>3</v>
      </c>
      <c r="AA1960" s="13">
        <v>3</v>
      </c>
      <c r="AB1960" s="13">
        <v>3</v>
      </c>
      <c r="AC1960" s="13">
        <v>3</v>
      </c>
      <c r="AD1960" s="13">
        <v>3</v>
      </c>
      <c r="AE1960" s="13"/>
      <c r="AF1960" s="13"/>
      <c r="AG1960" s="16">
        <f>IFERROR(SUMIF(reading[[#This Row],[1st]:[7th]],"&gt;0")/COUNTIF(reading[[#This Row],[1st]:[7th]],"&gt;0"),"")</f>
        <v>3</v>
      </c>
    </row>
    <row r="1961" spans="1:33" x14ac:dyDescent="0.2">
      <c r="A1961" s="4">
        <f>IF(B1961=1,3,IF(D1961=1,2,IF(F1961=1,1,0)))</f>
        <v>3</v>
      </c>
      <c r="B1961" s="4">
        <f>IF(C1961=$L1961,1,IF(C1961="","",0))</f>
        <v>1</v>
      </c>
      <c r="C1961" s="42" t="s">
        <v>9361</v>
      </c>
      <c r="D1961" s="4" t="str">
        <f>IF(E1961=$L1961,1,IF(E1961="","",0))</f>
        <v/>
      </c>
      <c r="E1961" s="14"/>
      <c r="F1961" s="4" t="str">
        <f>IF(G1961=$L1961,1,IF(G1961="","",0))</f>
        <v/>
      </c>
      <c r="G1961" s="14"/>
      <c r="H1961" s="6">
        <v>346</v>
      </c>
      <c r="I1961" s="15" t="s">
        <v>3120</v>
      </c>
      <c r="J1961" s="6" t="s">
        <v>3493</v>
      </c>
      <c r="K1961" s="6"/>
      <c r="L1961" s="6" t="s">
        <v>76</v>
      </c>
      <c r="M1961" s="6" t="s">
        <v>6455</v>
      </c>
      <c r="N1961" s="7">
        <f ca="1">RAND()</f>
        <v>0.79900105185236203</v>
      </c>
      <c r="O1961" s="8">
        <v>45200</v>
      </c>
      <c r="P1961" s="8">
        <v>45201</v>
      </c>
      <c r="Q1961" s="8">
        <v>45203</v>
      </c>
      <c r="R1961" s="8">
        <v>45207</v>
      </c>
      <c r="S1961" s="8">
        <v>45214</v>
      </c>
      <c r="T1961" s="8">
        <v>45226</v>
      </c>
      <c r="U1961" s="8"/>
      <c r="V1961" s="10">
        <f>COUNTA(O1961:U1961)</f>
        <v>6</v>
      </c>
      <c r="W1961" s="11">
        <f>_xlfn.IFNA(INDEX(reading[[#This Row],[Memo 01]:[Memo 07]],MATCH(0,reading[[#This Row],[Memo 01]:[Memo 07]],-1)),"")</f>
        <v>45226</v>
      </c>
      <c r="X1961" s="11">
        <f ca="1">IFERROR(reading[[#This Row],[Previous]]+OFFSET(reading[[#Headers],[Memo 01]],-1,MATCH(0,reading[[#This Row],[Memo 01]:[Memo 07]],-1)-1),"")</f>
        <v>45246</v>
      </c>
      <c r="Y1961" s="10" t="str">
        <f ca="1">IF(reading[[#This Row],[Next]]&lt;&gt;"",IF(reading[[#This Row],[Next]]&gt;TODAY(),"OK",""),"")</f>
        <v/>
      </c>
      <c r="Z1961" s="13">
        <v>3</v>
      </c>
      <c r="AA1961" s="13">
        <v>3</v>
      </c>
      <c r="AB1961" s="13">
        <v>3</v>
      </c>
      <c r="AC1961" s="13">
        <v>3</v>
      </c>
      <c r="AD1961" s="13">
        <v>3</v>
      </c>
      <c r="AE1961" s="13">
        <v>3</v>
      </c>
      <c r="AF1961" s="13"/>
      <c r="AG1961" s="16">
        <f>IFERROR(SUMIF(reading[[#This Row],[1st]:[7th]],"&gt;0")/COUNTIF(reading[[#This Row],[1st]:[7th]],"&gt;0"),"")</f>
        <v>3</v>
      </c>
    </row>
    <row r="1962" spans="1:33" x14ac:dyDescent="0.2">
      <c r="A1962" s="4">
        <f>IF(B1962=1,3,IF(D1962=1,2,IF(F1962=1,1,0)))</f>
        <v>3</v>
      </c>
      <c r="B1962" s="4">
        <f>IF(C1962=$L1962,1,IF(C1962="","",0))</f>
        <v>1</v>
      </c>
      <c r="C1962" s="42" t="s">
        <v>9362</v>
      </c>
      <c r="D1962" s="4" t="str">
        <f>IF(E1962=$L1962,1,IF(E1962="","",0))</f>
        <v/>
      </c>
      <c r="E1962" s="14"/>
      <c r="F1962" s="4" t="str">
        <f>IF(G1962=$L1962,1,IF(G1962="","",0))</f>
        <v/>
      </c>
      <c r="G1962" s="14"/>
      <c r="H1962" s="6">
        <v>2500</v>
      </c>
      <c r="I1962" s="15" t="s">
        <v>3120</v>
      </c>
      <c r="J1962" s="6" t="s">
        <v>5566</v>
      </c>
      <c r="K1962" s="6"/>
      <c r="L1962" s="6" t="s">
        <v>2546</v>
      </c>
      <c r="M1962" s="6" t="s">
        <v>8605</v>
      </c>
      <c r="N1962" s="7">
        <f ca="1">RAND()</f>
        <v>0.63257692454647096</v>
      </c>
      <c r="O1962" s="8">
        <v>45218</v>
      </c>
      <c r="P1962" s="8">
        <v>45219</v>
      </c>
      <c r="Q1962" s="8">
        <v>45221</v>
      </c>
      <c r="R1962" s="8">
        <v>45225</v>
      </c>
      <c r="S1962" s="8">
        <v>45232</v>
      </c>
      <c r="T1962" s="8"/>
      <c r="U1962" s="8"/>
      <c r="V1962" s="10">
        <f>COUNTA(O1962:U1962)</f>
        <v>5</v>
      </c>
      <c r="W1962" s="11">
        <f>_xlfn.IFNA(INDEX(reading[[#This Row],[Memo 01]:[Memo 07]],MATCH(0,reading[[#This Row],[Memo 01]:[Memo 07]],-1)),"")</f>
        <v>45232</v>
      </c>
      <c r="X1962" s="11">
        <f ca="1">IFERROR(reading[[#This Row],[Previous]]+OFFSET(reading[[#Headers],[Memo 01]],-1,MATCH(0,reading[[#This Row],[Memo 01]:[Memo 07]],-1)-1),"")</f>
        <v>45244</v>
      </c>
      <c r="Y1962" s="10" t="str">
        <f ca="1">IF(reading[[#This Row],[Next]]&lt;&gt;"",IF(reading[[#This Row],[Next]]&gt;TODAY(),"OK",""),"")</f>
        <v/>
      </c>
      <c r="Z1962" s="13">
        <v>3</v>
      </c>
      <c r="AA1962" s="13">
        <v>3</v>
      </c>
      <c r="AB1962" s="13">
        <v>3</v>
      </c>
      <c r="AC1962" s="13">
        <v>3</v>
      </c>
      <c r="AD1962" s="13">
        <v>3</v>
      </c>
      <c r="AE1962" s="13"/>
      <c r="AF1962" s="13"/>
      <c r="AG1962" s="16">
        <f>IFERROR(SUMIF(reading[[#This Row],[1st]:[7th]],"&gt;0")/COUNTIF(reading[[#This Row],[1st]:[7th]],"&gt;0"),"")</f>
        <v>3</v>
      </c>
    </row>
    <row r="1963" spans="1:33" hidden="1" x14ac:dyDescent="0.2">
      <c r="A1963" s="4">
        <f>IF(B1963=1,3,IF(D1963=1,2,IF(F1963=1,1,0)))</f>
        <v>0</v>
      </c>
      <c r="B1963" s="4">
        <f>IF(C1963=$L1963,1,IF(C1963="","",0))</f>
        <v>0</v>
      </c>
      <c r="C1963" s="42" t="s">
        <v>9200</v>
      </c>
      <c r="D1963" s="4" t="str">
        <f>IF(E1963=$L1963,1,IF(E1963="","",0))</f>
        <v/>
      </c>
      <c r="E1963" s="14"/>
      <c r="F1963" s="4" t="str">
        <f>IF(G1963=$L1963,1,IF(G1963="","",0))</f>
        <v/>
      </c>
      <c r="G1963" s="14"/>
      <c r="H1963" s="6">
        <v>2864</v>
      </c>
      <c r="I1963" s="15" t="s">
        <v>3120</v>
      </c>
      <c r="J1963" s="6" t="s">
        <v>5903</v>
      </c>
      <c r="K1963" s="6"/>
      <c r="L1963" s="6" t="s">
        <v>46</v>
      </c>
      <c r="M1963" s="6" t="s">
        <v>8968</v>
      </c>
      <c r="N1963" s="7">
        <f ca="1">RAND()</f>
        <v>0.45488375243215629</v>
      </c>
      <c r="O1963" s="8">
        <v>45222</v>
      </c>
      <c r="P1963" s="8">
        <v>45223</v>
      </c>
      <c r="Q1963" s="8">
        <v>45225</v>
      </c>
      <c r="R1963" s="8">
        <v>45229</v>
      </c>
      <c r="S1963" s="8">
        <v>45236</v>
      </c>
      <c r="T1963" s="8"/>
      <c r="U1963" s="8"/>
      <c r="V1963" s="10">
        <f>COUNTA(O1963:U1963)</f>
        <v>5</v>
      </c>
      <c r="W1963" s="11">
        <f>_xlfn.IFNA(INDEX(reading[[#This Row],[Memo 01]:[Memo 07]],MATCH(0,reading[[#This Row],[Memo 01]:[Memo 07]],-1)),"")</f>
        <v>45236</v>
      </c>
      <c r="X1963" s="11">
        <f ca="1">IFERROR(reading[[#This Row],[Previous]]+OFFSET(reading[[#Headers],[Memo 01]],-1,MATCH(0,reading[[#This Row],[Memo 01]:[Memo 07]],-1)-1),"")</f>
        <v>45248</v>
      </c>
      <c r="Y1963" s="10" t="str">
        <f ca="1">IF(reading[[#This Row],[Next]]&lt;&gt;"",IF(reading[[#This Row],[Next]]&gt;TODAY(),"OK",""),"")</f>
        <v/>
      </c>
      <c r="Z1963" s="13">
        <v>3</v>
      </c>
      <c r="AA1963" s="13">
        <v>3</v>
      </c>
      <c r="AB1963" s="13">
        <v>3</v>
      </c>
      <c r="AC1963" s="13">
        <v>3</v>
      </c>
      <c r="AD1963" s="13">
        <v>3</v>
      </c>
      <c r="AE1963" s="13"/>
      <c r="AF1963" s="13"/>
      <c r="AG1963" s="16">
        <f>IFERROR(SUMIF(reading[[#This Row],[1st]:[7th]],"&gt;0")/COUNTIF(reading[[#This Row],[1st]:[7th]],"&gt;0"),"")</f>
        <v>3</v>
      </c>
    </row>
    <row r="1964" spans="1:33" x14ac:dyDescent="0.2">
      <c r="A1964" s="4">
        <f>IF(B1964=1,3,IF(D1964=1,2,IF(F1964=1,1,0)))</f>
        <v>3</v>
      </c>
      <c r="B1964" s="4">
        <f>IF(C1964=$L1964,1,IF(C1964="","",0))</f>
        <v>1</v>
      </c>
      <c r="C1964" s="42" t="s">
        <v>9363</v>
      </c>
      <c r="D1964" s="4" t="str">
        <f>IF(E1964=$L1964,1,IF(E1964="","",0))</f>
        <v/>
      </c>
      <c r="E1964" s="14"/>
      <c r="F1964" s="4" t="str">
        <f>IF(G1964=$L1964,1,IF(G1964="","",0))</f>
        <v/>
      </c>
      <c r="G1964" s="14"/>
      <c r="H1964" s="6">
        <v>639</v>
      </c>
      <c r="I1964" s="15" t="s">
        <v>3120</v>
      </c>
      <c r="J1964" s="6" t="s">
        <v>3780</v>
      </c>
      <c r="K1964" s="6"/>
      <c r="L1964" s="6" t="s">
        <v>762</v>
      </c>
      <c r="M1964" s="6" t="s">
        <v>6748</v>
      </c>
      <c r="N1964" s="7">
        <f ca="1">RAND()</f>
        <v>8.6120306153105952E-2</v>
      </c>
      <c r="O1964" s="8">
        <v>45202</v>
      </c>
      <c r="P1964" s="8">
        <v>45203</v>
      </c>
      <c r="Q1964" s="8">
        <v>45205</v>
      </c>
      <c r="R1964" s="8">
        <v>45209</v>
      </c>
      <c r="S1964" s="8">
        <v>45216</v>
      </c>
      <c r="T1964" s="8">
        <v>45228</v>
      </c>
      <c r="U1964" s="8"/>
      <c r="V1964" s="10">
        <f>COUNTA(O1964:U1964)</f>
        <v>6</v>
      </c>
      <c r="W1964" s="11">
        <f>_xlfn.IFNA(INDEX(reading[[#This Row],[Memo 01]:[Memo 07]],MATCH(0,reading[[#This Row],[Memo 01]:[Memo 07]],-1)),"")</f>
        <v>45228</v>
      </c>
      <c r="X1964" s="11">
        <f ca="1">IFERROR(reading[[#This Row],[Previous]]+OFFSET(reading[[#Headers],[Memo 01]],-1,MATCH(0,reading[[#This Row],[Memo 01]:[Memo 07]],-1)-1),"")</f>
        <v>45248</v>
      </c>
      <c r="Y1964" s="10" t="str">
        <f ca="1">IF(reading[[#This Row],[Next]]&lt;&gt;"",IF(reading[[#This Row],[Next]]&gt;TODAY(),"OK",""),"")</f>
        <v/>
      </c>
      <c r="Z1964" s="13">
        <v>3</v>
      </c>
      <c r="AA1964" s="13">
        <v>3</v>
      </c>
      <c r="AB1964" s="13">
        <v>3</v>
      </c>
      <c r="AC1964" s="13">
        <v>3</v>
      </c>
      <c r="AD1964" s="13">
        <v>3</v>
      </c>
      <c r="AE1964" s="13">
        <v>3</v>
      </c>
      <c r="AF1964" s="13"/>
      <c r="AG1964" s="16">
        <f>IFERROR(SUMIF(reading[[#This Row],[1st]:[7th]],"&gt;0")/COUNTIF(reading[[#This Row],[1st]:[7th]],"&gt;0"),"")</f>
        <v>3</v>
      </c>
    </row>
    <row r="1965" spans="1:33" x14ac:dyDescent="0.2">
      <c r="A1965" s="4">
        <f>IF(B1965=1,3,IF(D1965=1,2,IF(F1965=1,1,0)))</f>
        <v>0</v>
      </c>
      <c r="B1965" s="4">
        <f>IF(C1965=$L1965,1,IF(C1965="","",0))</f>
        <v>0</v>
      </c>
      <c r="C1965" s="42" t="s">
        <v>9200</v>
      </c>
      <c r="D1965" s="4" t="str">
        <f>IF(E1965=$L1965,1,IF(E1965="","",0))</f>
        <v/>
      </c>
      <c r="E1965" s="14"/>
      <c r="F1965" s="4" t="str">
        <f>IF(G1965=$L1965,1,IF(G1965="","",0))</f>
        <v/>
      </c>
      <c r="G1965" s="14"/>
      <c r="H1965" s="6">
        <v>2840</v>
      </c>
      <c r="I1965" s="15" t="s">
        <v>3120</v>
      </c>
      <c r="J1965" s="6" t="s">
        <v>5881</v>
      </c>
      <c r="K1965" s="6"/>
      <c r="L1965" s="6" t="s">
        <v>2875</v>
      </c>
      <c r="M1965" s="6" t="s">
        <v>8944</v>
      </c>
      <c r="N1965" s="7">
        <f ca="1">RAND()</f>
        <v>0.793227525689297</v>
      </c>
      <c r="O1965" s="8">
        <v>45223</v>
      </c>
      <c r="P1965" s="8">
        <v>45224</v>
      </c>
      <c r="Q1965" s="8">
        <v>45226</v>
      </c>
      <c r="R1965" s="8">
        <v>45230</v>
      </c>
      <c r="S1965" s="8">
        <v>45237</v>
      </c>
      <c r="T1965" s="8"/>
      <c r="U1965" s="8"/>
      <c r="V1965" s="10">
        <f>COUNTA(O1965:U1965)</f>
        <v>5</v>
      </c>
      <c r="W1965" s="11">
        <f>_xlfn.IFNA(INDEX(reading[[#This Row],[Memo 01]:[Memo 07]],MATCH(0,reading[[#This Row],[Memo 01]:[Memo 07]],-1)),"")</f>
        <v>45237</v>
      </c>
      <c r="X1965" s="11">
        <f ca="1">IFERROR(reading[[#This Row],[Previous]]+OFFSET(reading[[#Headers],[Memo 01]],-1,MATCH(0,reading[[#This Row],[Memo 01]:[Memo 07]],-1)-1),"")</f>
        <v>45249</v>
      </c>
      <c r="Y1965" s="10" t="str">
        <f ca="1">IF(reading[[#This Row],[Next]]&lt;&gt;"",IF(reading[[#This Row],[Next]]&gt;TODAY(),"OK",""),"")</f>
        <v/>
      </c>
      <c r="Z1965" s="13">
        <v>3</v>
      </c>
      <c r="AA1965" s="13">
        <v>3</v>
      </c>
      <c r="AB1965" s="13">
        <v>3</v>
      </c>
      <c r="AC1965" s="13">
        <v>3</v>
      </c>
      <c r="AD1965" s="13">
        <v>3</v>
      </c>
      <c r="AE1965" s="13"/>
      <c r="AF1965" s="13"/>
      <c r="AG1965" s="16">
        <f>IFERROR(SUMIF(reading[[#This Row],[1st]:[7th]],"&gt;0")/COUNTIF(reading[[#This Row],[1st]:[7th]],"&gt;0"),"")</f>
        <v>3</v>
      </c>
    </row>
    <row r="1966" spans="1:33" x14ac:dyDescent="0.2">
      <c r="A1966" s="4">
        <f>IF(B1966=1,3,IF(D1966=1,2,IF(F1966=1,1,0)))</f>
        <v>0</v>
      </c>
      <c r="B1966" s="4">
        <f>IF(C1966=$L1966,1,IF(C1966="","",0))</f>
        <v>0</v>
      </c>
      <c r="C1966" s="42" t="s">
        <v>9200</v>
      </c>
      <c r="D1966" s="4" t="str">
        <f>IF(E1966=$L1966,1,IF(E1966="","",0))</f>
        <v/>
      </c>
      <c r="E1966" s="14"/>
      <c r="F1966" s="4" t="str">
        <f>IF(G1966=$L1966,1,IF(G1966="","",0))</f>
        <v/>
      </c>
      <c r="G1966" s="14"/>
      <c r="H1966" s="6">
        <v>1305</v>
      </c>
      <c r="I1966" s="15" t="s">
        <v>3120</v>
      </c>
      <c r="J1966" s="6" t="s">
        <v>4422</v>
      </c>
      <c r="K1966" s="6"/>
      <c r="L1966" s="6" t="s">
        <v>1402</v>
      </c>
      <c r="M1966" s="6" t="s">
        <v>7412</v>
      </c>
      <c r="N1966" s="7">
        <f ca="1">RAND()</f>
        <v>0.19844920384911158</v>
      </c>
      <c r="O1966" s="8">
        <v>45207</v>
      </c>
      <c r="P1966" s="8">
        <v>45208</v>
      </c>
      <c r="Q1966" s="8">
        <v>45210</v>
      </c>
      <c r="R1966" s="8">
        <v>45214</v>
      </c>
      <c r="S1966" s="8">
        <v>45221</v>
      </c>
      <c r="T1966" s="8">
        <v>45233</v>
      </c>
      <c r="U1966" s="8"/>
      <c r="V1966" s="10">
        <f>COUNTA(O1966:U1966)</f>
        <v>6</v>
      </c>
      <c r="W1966" s="11">
        <f>_xlfn.IFNA(INDEX(reading[[#This Row],[Memo 01]:[Memo 07]],MATCH(0,reading[[#This Row],[Memo 01]:[Memo 07]],-1)),"")</f>
        <v>45233</v>
      </c>
      <c r="X1966" s="11">
        <f ca="1">IFERROR(reading[[#This Row],[Previous]]+OFFSET(reading[[#Headers],[Memo 01]],-1,MATCH(0,reading[[#This Row],[Memo 01]:[Memo 07]],-1)-1),"")</f>
        <v>45253</v>
      </c>
      <c r="Y1966" s="10" t="str">
        <f ca="1">IF(reading[[#This Row],[Next]]&lt;&gt;"",IF(reading[[#This Row],[Next]]&gt;TODAY(),"OK",""),"")</f>
        <v/>
      </c>
      <c r="Z1966" s="13">
        <v>3</v>
      </c>
      <c r="AA1966" s="13">
        <v>3</v>
      </c>
      <c r="AB1966" s="13">
        <v>3</v>
      </c>
      <c r="AC1966" s="13">
        <v>3</v>
      </c>
      <c r="AD1966" s="13">
        <v>3</v>
      </c>
      <c r="AE1966" s="13">
        <v>3</v>
      </c>
      <c r="AF1966" s="13"/>
      <c r="AG1966" s="16">
        <f>IFERROR(SUMIF(reading[[#This Row],[1st]:[7th]],"&gt;0")/COUNTIF(reading[[#This Row],[1st]:[7th]],"&gt;0"),"")</f>
        <v>3</v>
      </c>
    </row>
    <row r="1967" spans="1:33" x14ac:dyDescent="0.2">
      <c r="A1967" s="4">
        <f>IF(B1967=1,3,IF(D1967=1,2,IF(F1967=1,1,0)))</f>
        <v>0</v>
      </c>
      <c r="B1967" s="4">
        <f>IF(C1967=$L1967,1,IF(C1967="","",0))</f>
        <v>0</v>
      </c>
      <c r="C1967" s="42" t="s">
        <v>9200</v>
      </c>
      <c r="D1967" s="4" t="str">
        <f>IF(E1967=$L1967,1,IF(E1967="","",0))</f>
        <v/>
      </c>
      <c r="E1967" s="23"/>
      <c r="F1967" s="4" t="str">
        <f>IF(G1967=$L1967,1,IF(G1967="","",0))</f>
        <v/>
      </c>
      <c r="G1967" s="14"/>
      <c r="H1967" s="6">
        <v>1481</v>
      </c>
      <c r="I1967" s="15" t="s">
        <v>3120</v>
      </c>
      <c r="J1967" s="6" t="s">
        <v>4595</v>
      </c>
      <c r="K1967" s="24" t="s">
        <v>3142</v>
      </c>
      <c r="L1967" s="6" t="s">
        <v>1567</v>
      </c>
      <c r="M1967" s="6" t="s">
        <v>7588</v>
      </c>
      <c r="N1967" s="7">
        <f ca="1">RAND()</f>
        <v>0.60311872330971328</v>
      </c>
      <c r="O1967" s="8">
        <v>45208</v>
      </c>
      <c r="P1967" s="8">
        <v>45209</v>
      </c>
      <c r="Q1967" s="8">
        <v>45212</v>
      </c>
      <c r="R1967" s="8">
        <v>45216</v>
      </c>
      <c r="S1967" s="8">
        <v>45223</v>
      </c>
      <c r="T1967" s="8">
        <v>45235</v>
      </c>
      <c r="U1967" s="8"/>
      <c r="V1967" s="10">
        <f>COUNTA(O1967:U1967)</f>
        <v>6</v>
      </c>
      <c r="W1967" s="11">
        <f>_xlfn.IFNA(INDEX(reading[[#This Row],[Memo 01]:[Memo 07]],MATCH(0,reading[[#This Row],[Memo 01]:[Memo 07]],-1)),"")</f>
        <v>45235</v>
      </c>
      <c r="X1967" s="11">
        <f ca="1">IFERROR(reading[[#This Row],[Previous]]+OFFSET(reading[[#Headers],[Memo 01]],-1,MATCH(0,reading[[#This Row],[Memo 01]:[Memo 07]],-1)-1),"")</f>
        <v>45255</v>
      </c>
      <c r="Y1967" s="10" t="str">
        <f ca="1">IF(reading[[#This Row],[Next]]&lt;&gt;"",IF(reading[[#This Row],[Next]]&gt;TODAY(),"OK",""),"")</f>
        <v/>
      </c>
      <c r="Z1967" s="13">
        <v>3</v>
      </c>
      <c r="AA1967" s="13">
        <v>1</v>
      </c>
      <c r="AB1967" s="13">
        <v>2</v>
      </c>
      <c r="AC1967" s="13">
        <v>3</v>
      </c>
      <c r="AD1967" s="13">
        <v>2</v>
      </c>
      <c r="AE1967" s="13">
        <v>3</v>
      </c>
      <c r="AF1967" s="13"/>
      <c r="AG1967" s="16">
        <f>IFERROR(SUMIF(reading[[#This Row],[1st]:[7th]],"&gt;0")/COUNTIF(reading[[#This Row],[1st]:[7th]],"&gt;0"),"")</f>
        <v>2.3333333333333335</v>
      </c>
    </row>
    <row r="1968" spans="1:33" hidden="1" x14ac:dyDescent="0.2">
      <c r="A1968" s="4">
        <f>IF(B1968=1,3,IF(D1968=1,2,IF(F1968=1,1,0)))</f>
        <v>0</v>
      </c>
      <c r="B1968" s="4" t="str">
        <f>IF(C1968=$L1968,1,IF(C1968="","",0))</f>
        <v/>
      </c>
      <c r="C1968" s="42"/>
      <c r="D1968" s="4" t="str">
        <f>IF(E1968=$L1968,1,IF(E1968="","",0))</f>
        <v/>
      </c>
      <c r="E1968" s="23"/>
      <c r="F1968" s="4" t="str">
        <f>IF(G1968=$L1968,1,IF(G1968="","",0))</f>
        <v/>
      </c>
      <c r="G1968" s="23"/>
      <c r="H1968" s="6">
        <v>480</v>
      </c>
      <c r="I1968" s="15" t="s">
        <v>3120</v>
      </c>
      <c r="J1968" s="6" t="s">
        <v>3626</v>
      </c>
      <c r="K1968" s="24" t="s">
        <v>3150</v>
      </c>
      <c r="L1968" s="6" t="s">
        <v>608</v>
      </c>
      <c r="M1968" s="6" t="s">
        <v>6589</v>
      </c>
      <c r="N1968" s="7">
        <f ca="1">RAND()</f>
        <v>0.30649513621155922</v>
      </c>
      <c r="O1968" s="8">
        <v>45202</v>
      </c>
      <c r="P1968" s="8">
        <v>45203</v>
      </c>
      <c r="Q1968" s="8">
        <v>45205</v>
      </c>
      <c r="R1968" s="8">
        <v>45209</v>
      </c>
      <c r="S1968" s="8">
        <v>45216</v>
      </c>
      <c r="T1968" s="8">
        <v>45228</v>
      </c>
      <c r="U1968" s="8">
        <v>45817</v>
      </c>
      <c r="V1968" s="10">
        <f>COUNTA(O1968:U1968)</f>
        <v>7</v>
      </c>
      <c r="W1968" s="11">
        <f>_xlfn.IFNA(INDEX(reading[[#This Row],[Memo 01]:[Memo 07]],MATCH(0,reading[[#This Row],[Memo 01]:[Memo 07]],-1)),"")</f>
        <v>45817</v>
      </c>
      <c r="X1968" s="11">
        <f ca="1">IFERROR(reading[[#This Row],[Previous]]+OFFSET(reading[[#Headers],[Memo 01]],-1,MATCH(0,reading[[#This Row],[Memo 01]:[Memo 07]],-1)-1),"")</f>
        <v>55817</v>
      </c>
      <c r="Y1968" s="10" t="str">
        <f ca="1">IF(reading[[#This Row],[Next]]&lt;&gt;"",IF(reading[[#This Row],[Next]]&gt;TODAY(),"OK",""),"")</f>
        <v>OK</v>
      </c>
      <c r="Z1968" s="13">
        <v>3</v>
      </c>
      <c r="AA1968" s="13">
        <v>3</v>
      </c>
      <c r="AB1968" s="13">
        <v>3</v>
      </c>
      <c r="AC1968" s="13">
        <v>2</v>
      </c>
      <c r="AD1968" s="13">
        <v>3</v>
      </c>
      <c r="AE1968" s="13">
        <v>3</v>
      </c>
      <c r="AF1968" s="13">
        <v>1</v>
      </c>
      <c r="AG1968" s="16">
        <f>IFERROR(SUMIF(reading[[#This Row],[1st]:[7th]],"&gt;0")/COUNTIF(reading[[#This Row],[1st]:[7th]],"&gt;0"),"")</f>
        <v>2.5714285714285716</v>
      </c>
    </row>
    <row r="1969" spans="1:33" x14ac:dyDescent="0.2">
      <c r="A1969" s="4">
        <f>IF(B1969=1,3,IF(D1969=1,2,IF(F1969=1,1,0)))</f>
        <v>0</v>
      </c>
      <c r="B1969" s="4">
        <f>IF(C1969=$L1969,1,IF(C1969="","",0))</f>
        <v>0</v>
      </c>
      <c r="C1969" s="42" t="s">
        <v>9364</v>
      </c>
      <c r="D1969" s="4" t="str">
        <f>IF(E1969=$L1969,1,IF(E1969="","",0))</f>
        <v/>
      </c>
      <c r="E1969" s="18"/>
      <c r="F1969" s="4" t="str">
        <f>IF(G1969=$L1969,1,IF(G1969="","",0))</f>
        <v/>
      </c>
      <c r="G1969" s="14"/>
      <c r="H1969" s="6">
        <v>1377</v>
      </c>
      <c r="I1969" s="15" t="s">
        <v>3120</v>
      </c>
      <c r="J1969" s="6" t="s">
        <v>4491</v>
      </c>
      <c r="K1969" s="6"/>
      <c r="L1969" s="6" t="s">
        <v>1471</v>
      </c>
      <c r="M1969" s="6" t="s">
        <v>7484</v>
      </c>
      <c r="N1969" s="7">
        <f ca="1">RAND()</f>
        <v>2.7387690269805698E-2</v>
      </c>
      <c r="O1969" s="8">
        <v>45207</v>
      </c>
      <c r="P1969" s="8">
        <v>45208</v>
      </c>
      <c r="Q1969" s="8">
        <v>45210</v>
      </c>
      <c r="R1969" s="8">
        <v>45214</v>
      </c>
      <c r="S1969" s="8">
        <v>45221</v>
      </c>
      <c r="T1969" s="8">
        <v>45233</v>
      </c>
      <c r="U1969" s="8"/>
      <c r="V1969" s="10">
        <f>COUNTA(O1969:U1969)</f>
        <v>6</v>
      </c>
      <c r="W1969" s="11">
        <f>_xlfn.IFNA(INDEX(reading[[#This Row],[Memo 01]:[Memo 07]],MATCH(0,reading[[#This Row],[Memo 01]:[Memo 07]],-1)),"")</f>
        <v>45233</v>
      </c>
      <c r="X1969" s="11">
        <f ca="1">IFERROR(reading[[#This Row],[Previous]]+OFFSET(reading[[#Headers],[Memo 01]],-1,MATCH(0,reading[[#This Row],[Memo 01]:[Memo 07]],-1)-1),"")</f>
        <v>45253</v>
      </c>
      <c r="Y1969" s="10" t="str">
        <f ca="1">IF(reading[[#This Row],[Next]]&lt;&gt;"",IF(reading[[#This Row],[Next]]&gt;TODAY(),"OK",""),"")</f>
        <v/>
      </c>
      <c r="Z1969" s="13">
        <v>3</v>
      </c>
      <c r="AA1969" s="13">
        <v>3</v>
      </c>
      <c r="AB1969" s="13">
        <v>3</v>
      </c>
      <c r="AC1969" s="13">
        <v>3</v>
      </c>
      <c r="AD1969" s="13">
        <v>2</v>
      </c>
      <c r="AE1969" s="13">
        <v>3</v>
      </c>
      <c r="AF1969" s="13"/>
      <c r="AG1969" s="16">
        <f>IFERROR(SUMIF(reading[[#This Row],[1st]:[7th]],"&gt;0")/COUNTIF(reading[[#This Row],[1st]:[7th]],"&gt;0"),"")</f>
        <v>2.8333333333333335</v>
      </c>
    </row>
    <row r="1970" spans="1:33" hidden="1" x14ac:dyDescent="0.2">
      <c r="A1970" s="4">
        <f>IF(B1970=1,3,IF(D1970=1,2,IF(F1970=1,1,0)))</f>
        <v>3</v>
      </c>
      <c r="B1970" s="4">
        <f>IF(C1970=$L1970,1,IF(C1970="","",0))</f>
        <v>1</v>
      </c>
      <c r="C1970" s="33" t="s">
        <v>2049</v>
      </c>
      <c r="D1970" s="4" t="str">
        <f>IF(E1970=$L1970,1,IF(E1970="","",0))</f>
        <v/>
      </c>
      <c r="E1970" s="14"/>
      <c r="F1970" s="4" t="str">
        <f>IF(G1970=$L1970,1,IF(G1970="","",0))</f>
        <v/>
      </c>
      <c r="G1970" s="14"/>
      <c r="H1970" s="6">
        <v>1974</v>
      </c>
      <c r="I1970" s="15" t="s">
        <v>3120</v>
      </c>
      <c r="J1970" s="6" t="s">
        <v>5073</v>
      </c>
      <c r="K1970" s="6"/>
      <c r="L1970" s="6" t="s">
        <v>2049</v>
      </c>
      <c r="M1970" s="6" t="s">
        <v>8080</v>
      </c>
      <c r="N1970" s="7">
        <f ca="1">RAND()</f>
        <v>0.19991621960728945</v>
      </c>
      <c r="O1970" s="8">
        <v>45213</v>
      </c>
      <c r="P1970" s="8">
        <v>45213</v>
      </c>
      <c r="Q1970" s="8">
        <v>45213</v>
      </c>
      <c r="R1970" s="8">
        <v>45213</v>
      </c>
      <c r="S1970" s="8">
        <v>45213</v>
      </c>
      <c r="T1970" s="8">
        <v>45213</v>
      </c>
      <c r="U1970" s="8">
        <v>45213</v>
      </c>
      <c r="V1970" s="10">
        <f>COUNTA(O1970:U1970)</f>
        <v>7</v>
      </c>
      <c r="W1970" s="11">
        <f>_xlfn.IFNA(INDEX(reading[[#This Row],[Memo 01]:[Memo 07]],MATCH(0,reading[[#This Row],[Memo 01]:[Memo 07]],-1)),"")</f>
        <v>45213</v>
      </c>
      <c r="X1970" s="11">
        <f ca="1">IFERROR(reading[[#This Row],[Previous]]+OFFSET(reading[[#Headers],[Memo 01]],-1,MATCH(0,reading[[#This Row],[Memo 01]:[Memo 07]],-1)-1),"")</f>
        <v>55213</v>
      </c>
      <c r="Y1970" s="10" t="str">
        <f ca="1">IF(reading[[#This Row],[Next]]&lt;&gt;"",IF(reading[[#This Row],[Next]]&gt;TODAY(),"OK",""),"")</f>
        <v>OK</v>
      </c>
      <c r="Z1970" s="13">
        <v>3</v>
      </c>
      <c r="AA1970" s="13"/>
      <c r="AB1970" s="13"/>
      <c r="AC1970" s="13"/>
      <c r="AD1970" s="13"/>
      <c r="AE1970" s="13"/>
      <c r="AF1970" s="13"/>
      <c r="AG1970" s="16">
        <f>IFERROR(SUMIF(reading[[#This Row],[1st]:[7th]],"&gt;0")/COUNTIF(reading[[#This Row],[1st]:[7th]],"&gt;0"),"")</f>
        <v>3</v>
      </c>
    </row>
    <row r="1971" spans="1:33" x14ac:dyDescent="0.2">
      <c r="A1971" s="4">
        <f>IF(B1971=1,3,IF(D1971=1,2,IF(F1971=1,1,0)))</f>
        <v>0</v>
      </c>
      <c r="B1971" s="4">
        <f>IF(C1971=$L1971,1,IF(C1971="","",0))</f>
        <v>0</v>
      </c>
      <c r="C1971" s="42" t="s">
        <v>9365</v>
      </c>
      <c r="D1971" s="4" t="str">
        <f>IF(E1971=$L1971,1,IF(E1971="","",0))</f>
        <v/>
      </c>
      <c r="E1971" s="14"/>
      <c r="F1971" s="4" t="str">
        <f>IF(G1971=$L1971,1,IF(G1971="","",0))</f>
        <v/>
      </c>
      <c r="G1971" s="14"/>
      <c r="H1971" s="6">
        <v>1817</v>
      </c>
      <c r="I1971" s="15" t="s">
        <v>3120</v>
      </c>
      <c r="J1971" s="6" t="s">
        <v>4922</v>
      </c>
      <c r="K1971" s="6"/>
      <c r="L1971" s="6" t="s">
        <v>1895</v>
      </c>
      <c r="M1971" s="6" t="s">
        <v>7923</v>
      </c>
      <c r="N1971" s="7">
        <f ca="1">RAND()</f>
        <v>0.3801402680729058</v>
      </c>
      <c r="O1971" s="8">
        <v>45212</v>
      </c>
      <c r="P1971" s="8">
        <v>45213</v>
      </c>
      <c r="Q1971" s="8">
        <v>45215</v>
      </c>
      <c r="R1971" s="8">
        <v>45219</v>
      </c>
      <c r="S1971" s="8">
        <v>45226</v>
      </c>
      <c r="T1971" s="8"/>
      <c r="U1971" s="8"/>
      <c r="V1971" s="10">
        <f>COUNTA(O1971:U1971)</f>
        <v>5</v>
      </c>
      <c r="W1971" s="11">
        <f>_xlfn.IFNA(INDEX(reading[[#This Row],[Memo 01]:[Memo 07]],MATCH(0,reading[[#This Row],[Memo 01]:[Memo 07]],-1)),"")</f>
        <v>45226</v>
      </c>
      <c r="X1971" s="11">
        <f ca="1">IFERROR(reading[[#This Row],[Previous]]+OFFSET(reading[[#Headers],[Memo 01]],-1,MATCH(0,reading[[#This Row],[Memo 01]:[Memo 07]],-1)-1),"")</f>
        <v>45238</v>
      </c>
      <c r="Y1971" s="10" t="str">
        <f ca="1">IF(reading[[#This Row],[Next]]&lt;&gt;"",IF(reading[[#This Row],[Next]]&gt;TODAY(),"OK",""),"")</f>
        <v/>
      </c>
      <c r="Z1971" s="13">
        <v>3</v>
      </c>
      <c r="AA1971" s="13">
        <v>3</v>
      </c>
      <c r="AB1971" s="13">
        <v>3</v>
      </c>
      <c r="AC1971" s="13">
        <v>3</v>
      </c>
      <c r="AD1971" s="13">
        <v>3</v>
      </c>
      <c r="AE1971" s="13"/>
      <c r="AF1971" s="13"/>
      <c r="AG1971" s="16">
        <f>IFERROR(SUMIF(reading[[#This Row],[1st]:[7th]],"&gt;0")/COUNTIF(reading[[#This Row],[1st]:[7th]],"&gt;0"),"")</f>
        <v>3</v>
      </c>
    </row>
    <row r="1972" spans="1:33" x14ac:dyDescent="0.2">
      <c r="A1972" s="4">
        <f>IF(B1972=1,3,IF(D1972=1,2,IF(F1972=1,1,0)))</f>
        <v>3</v>
      </c>
      <c r="B1972" s="4">
        <f>IF(C1972=$L1972,1,IF(C1972="","",0))</f>
        <v>1</v>
      </c>
      <c r="C1972" s="42" t="s">
        <v>9366</v>
      </c>
      <c r="D1972" s="4" t="str">
        <f>IF(E1972=$L1972,1,IF(E1972="","",0))</f>
        <v/>
      </c>
      <c r="E1972" s="23"/>
      <c r="F1972" s="4" t="str">
        <f>IF(G1972=$L1972,1,IF(G1972="","",0))</f>
        <v/>
      </c>
      <c r="G1972" s="14"/>
      <c r="H1972" s="6">
        <v>1441</v>
      </c>
      <c r="I1972" s="15" t="s">
        <v>3120</v>
      </c>
      <c r="J1972" s="6" t="s">
        <v>4555</v>
      </c>
      <c r="K1972" s="24" t="s">
        <v>3142</v>
      </c>
      <c r="L1972" s="6" t="s">
        <v>1531</v>
      </c>
      <c r="M1972" s="6" t="s">
        <v>7548</v>
      </c>
      <c r="N1972" s="7">
        <f ca="1">RAND()</f>
        <v>0.16497294293993436</v>
      </c>
      <c r="O1972" s="8">
        <v>45208</v>
      </c>
      <c r="P1972" s="8">
        <v>45209</v>
      </c>
      <c r="Q1972" s="8">
        <v>45212</v>
      </c>
      <c r="R1972" s="8">
        <v>45216</v>
      </c>
      <c r="S1972" s="8">
        <v>45223</v>
      </c>
      <c r="T1972" s="8">
        <v>45235</v>
      </c>
      <c r="U1972" s="8"/>
      <c r="V1972" s="10">
        <f>COUNTA(O1972:U1972)</f>
        <v>6</v>
      </c>
      <c r="W1972" s="11">
        <f>_xlfn.IFNA(INDEX(reading[[#This Row],[Memo 01]:[Memo 07]],MATCH(0,reading[[#This Row],[Memo 01]:[Memo 07]],-1)),"")</f>
        <v>45235</v>
      </c>
      <c r="X1972" s="11">
        <f ca="1">IFERROR(reading[[#This Row],[Previous]]+OFFSET(reading[[#Headers],[Memo 01]],-1,MATCH(0,reading[[#This Row],[Memo 01]:[Memo 07]],-1)-1),"")</f>
        <v>45255</v>
      </c>
      <c r="Y1972" s="10" t="str">
        <f ca="1">IF(reading[[#This Row],[Next]]&lt;&gt;"",IF(reading[[#This Row],[Next]]&gt;TODAY(),"OK",""),"")</f>
        <v/>
      </c>
      <c r="Z1972" s="13">
        <v>3</v>
      </c>
      <c r="AA1972" s="13">
        <v>2</v>
      </c>
      <c r="AB1972" s="13">
        <v>2</v>
      </c>
      <c r="AC1972" s="13">
        <v>2</v>
      </c>
      <c r="AD1972" s="13">
        <v>2</v>
      </c>
      <c r="AE1972" s="13">
        <v>3</v>
      </c>
      <c r="AF1972" s="13"/>
      <c r="AG1972" s="16">
        <f>IFERROR(SUMIF(reading[[#This Row],[1st]:[7th]],"&gt;0")/COUNTIF(reading[[#This Row],[1st]:[7th]],"&gt;0"),"")</f>
        <v>2.3333333333333335</v>
      </c>
    </row>
    <row r="1973" spans="1:33" x14ac:dyDescent="0.2">
      <c r="A1973" s="4">
        <f>IF(B1973=1,3,IF(D1973=1,2,IF(F1973=1,1,0)))</f>
        <v>3</v>
      </c>
      <c r="B1973" s="4">
        <f>IF(C1973=$L1973,1,IF(C1973="","",0))</f>
        <v>1</v>
      </c>
      <c r="C1973" s="42" t="s">
        <v>9216</v>
      </c>
      <c r="D1973" s="4" t="str">
        <f>IF(E1973=$L1973,1,IF(E1973="","",0))</f>
        <v/>
      </c>
      <c r="E1973" s="14"/>
      <c r="F1973" s="4" t="str">
        <f>IF(G1973=$L1973,1,IF(G1973="","",0))</f>
        <v/>
      </c>
      <c r="G1973" s="14"/>
      <c r="H1973" s="6">
        <v>2392</v>
      </c>
      <c r="I1973" s="15" t="s">
        <v>3120</v>
      </c>
      <c r="J1973" s="6" t="s">
        <v>5465</v>
      </c>
      <c r="K1973" s="6"/>
      <c r="L1973" s="6" t="s">
        <v>2443</v>
      </c>
      <c r="M1973" s="6" t="s">
        <v>8497</v>
      </c>
      <c r="N1973" s="7">
        <f ca="1">RAND()</f>
        <v>0.95750110388770915</v>
      </c>
      <c r="O1973" s="8">
        <v>45217</v>
      </c>
      <c r="P1973" s="8">
        <v>45218</v>
      </c>
      <c r="Q1973" s="8">
        <v>45220</v>
      </c>
      <c r="R1973" s="8">
        <v>45224</v>
      </c>
      <c r="S1973" s="8">
        <v>45231</v>
      </c>
      <c r="T1973" s="8">
        <v>45792</v>
      </c>
      <c r="U1973" s="8"/>
      <c r="V1973" s="10">
        <f>COUNTA(O1973:U1973)</f>
        <v>6</v>
      </c>
      <c r="W1973" s="11">
        <f>_xlfn.IFNA(INDEX(reading[[#This Row],[Memo 01]:[Memo 07]],MATCH(0,reading[[#This Row],[Memo 01]:[Memo 07]],-1)),"")</f>
        <v>45792</v>
      </c>
      <c r="X1973" s="11">
        <f ca="1">IFERROR(reading[[#This Row],[Previous]]+OFFSET(reading[[#Headers],[Memo 01]],-1,MATCH(0,reading[[#This Row],[Memo 01]:[Memo 07]],-1)-1),"")</f>
        <v>45812</v>
      </c>
      <c r="Y1973" s="10" t="str">
        <f ca="1">IF(reading[[#This Row],[Next]]&lt;&gt;"",IF(reading[[#This Row],[Next]]&gt;TODAY(),"OK",""),"")</f>
        <v/>
      </c>
      <c r="Z1973" s="13">
        <v>3</v>
      </c>
      <c r="AA1973" s="13">
        <v>3</v>
      </c>
      <c r="AB1973" s="13">
        <v>3</v>
      </c>
      <c r="AC1973" s="13">
        <v>3</v>
      </c>
      <c r="AD1973" s="13">
        <v>3</v>
      </c>
      <c r="AE1973" s="13">
        <v>3</v>
      </c>
      <c r="AF1973" s="13"/>
      <c r="AG1973" s="16">
        <f>IFERROR(SUMIF(reading[[#This Row],[1st]:[7th]],"&gt;0")/COUNTIF(reading[[#This Row],[1st]:[7th]],"&gt;0"),"")</f>
        <v>3</v>
      </c>
    </row>
    <row r="1974" spans="1:33" x14ac:dyDescent="0.2">
      <c r="A1974" s="4">
        <f>IF(B1974=1,3,IF(D1974=1,2,IF(F1974=1,1,0)))</f>
        <v>0</v>
      </c>
      <c r="B1974" s="4">
        <f>IF(C1974=$L1974,1,IF(C1974="","",0))</f>
        <v>0</v>
      </c>
      <c r="C1974" s="42" t="s">
        <v>9206</v>
      </c>
      <c r="D1974" s="4" t="str">
        <f>IF(E1974=$L1974,1,IF(E1974="","",0))</f>
        <v/>
      </c>
      <c r="E1974" s="18"/>
      <c r="F1974" s="4" t="str">
        <f>IF(G1974=$L1974,1,IF(G1974="","",0))</f>
        <v/>
      </c>
      <c r="G1974" s="14"/>
      <c r="H1974" s="6">
        <v>613</v>
      </c>
      <c r="I1974" s="15" t="s">
        <v>3120</v>
      </c>
      <c r="J1974" s="6" t="s">
        <v>3755</v>
      </c>
      <c r="K1974" s="15" t="s">
        <v>3138</v>
      </c>
      <c r="L1974" s="6" t="s">
        <v>736</v>
      </c>
      <c r="M1974" s="6" t="s">
        <v>6722</v>
      </c>
      <c r="N1974" s="7">
        <f ca="1">RAND()</f>
        <v>0.26557924795480681</v>
      </c>
      <c r="O1974" s="8">
        <v>45202</v>
      </c>
      <c r="P1974" s="8">
        <v>45203</v>
      </c>
      <c r="Q1974" s="8">
        <v>45205</v>
      </c>
      <c r="R1974" s="8">
        <v>45216</v>
      </c>
      <c r="S1974" s="8">
        <v>45223</v>
      </c>
      <c r="T1974" s="8">
        <v>45235</v>
      </c>
      <c r="U1974" s="8"/>
      <c r="V1974" s="10">
        <f>COUNTA(O1974:U1974)</f>
        <v>6</v>
      </c>
      <c r="W1974" s="11">
        <f>_xlfn.IFNA(INDEX(reading[[#This Row],[Memo 01]:[Memo 07]],MATCH(0,reading[[#This Row],[Memo 01]:[Memo 07]],-1)),"")</f>
        <v>45235</v>
      </c>
      <c r="X1974" s="11">
        <f ca="1">IFERROR(reading[[#This Row],[Previous]]+OFFSET(reading[[#Headers],[Memo 01]],-1,MATCH(0,reading[[#This Row],[Memo 01]:[Memo 07]],-1)-1),"")</f>
        <v>45255</v>
      </c>
      <c r="Y1974" s="10" t="str">
        <f ca="1">IF(reading[[#This Row],[Next]]&lt;&gt;"",IF(reading[[#This Row],[Next]]&gt;TODAY(),"OK",""),"")</f>
        <v/>
      </c>
      <c r="Z1974" s="13">
        <v>3</v>
      </c>
      <c r="AA1974" s="13">
        <v>3</v>
      </c>
      <c r="AB1974" s="13">
        <v>3</v>
      </c>
      <c r="AC1974" s="13">
        <v>3</v>
      </c>
      <c r="AD1974" s="13">
        <v>3</v>
      </c>
      <c r="AE1974" s="13">
        <v>3</v>
      </c>
      <c r="AF1974" s="13"/>
      <c r="AG1974" s="16">
        <f>IFERROR(SUMIF(reading[[#This Row],[1st]:[7th]],"&gt;0")/COUNTIF(reading[[#This Row],[1st]:[7th]],"&gt;0"),"")</f>
        <v>3</v>
      </c>
    </row>
    <row r="1975" spans="1:33" x14ac:dyDescent="0.2">
      <c r="A1975" s="4">
        <f>IF(B1975=1,3,IF(D1975=1,2,IF(F1975=1,1,0)))</f>
        <v>0</v>
      </c>
      <c r="B1975" s="4">
        <f>IF(C1975=$L1975,1,IF(C1975="","",0))</f>
        <v>0</v>
      </c>
      <c r="C1975" s="42" t="s">
        <v>9200</v>
      </c>
      <c r="D1975" s="4" t="str">
        <f>IF(E1975=$L1975,1,IF(E1975="","",0))</f>
        <v/>
      </c>
      <c r="E1975" s="14"/>
      <c r="F1975" s="4" t="str">
        <f>IF(G1975=$L1975,1,IF(G1975="","",0))</f>
        <v/>
      </c>
      <c r="G1975" s="14"/>
      <c r="H1975" s="6">
        <v>494</v>
      </c>
      <c r="I1975" s="15" t="s">
        <v>3120</v>
      </c>
      <c r="J1975" s="6" t="s">
        <v>3640</v>
      </c>
      <c r="K1975" s="6"/>
      <c r="L1975" s="6" t="s">
        <v>622</v>
      </c>
      <c r="M1975" s="6" t="s">
        <v>6603</v>
      </c>
      <c r="N1975" s="7">
        <f ca="1">RAND()</f>
        <v>0.15769372047388019</v>
      </c>
      <c r="O1975" s="8">
        <v>45202</v>
      </c>
      <c r="P1975" s="8">
        <v>45203</v>
      </c>
      <c r="Q1975" s="8">
        <v>45205</v>
      </c>
      <c r="R1975" s="8">
        <v>45209</v>
      </c>
      <c r="S1975" s="8">
        <v>45216</v>
      </c>
      <c r="T1975" s="8">
        <v>45228</v>
      </c>
      <c r="U1975" s="8"/>
      <c r="V1975" s="10">
        <f>COUNTA(O1975:U1975)</f>
        <v>6</v>
      </c>
      <c r="W1975" s="11">
        <f>_xlfn.IFNA(INDEX(reading[[#This Row],[Memo 01]:[Memo 07]],MATCH(0,reading[[#This Row],[Memo 01]:[Memo 07]],-1)),"")</f>
        <v>45228</v>
      </c>
      <c r="X1975" s="11">
        <f ca="1">IFERROR(reading[[#This Row],[Previous]]+OFFSET(reading[[#Headers],[Memo 01]],-1,MATCH(0,reading[[#This Row],[Memo 01]:[Memo 07]],-1)-1),"")</f>
        <v>45248</v>
      </c>
      <c r="Y1975" s="10" t="str">
        <f ca="1">IF(reading[[#This Row],[Next]]&lt;&gt;"",IF(reading[[#This Row],[Next]]&gt;TODAY(),"OK",""),"")</f>
        <v/>
      </c>
      <c r="Z1975" s="13">
        <v>3</v>
      </c>
      <c r="AA1975" s="13">
        <v>2</v>
      </c>
      <c r="AB1975" s="13">
        <v>3</v>
      </c>
      <c r="AC1975" s="13">
        <v>3</v>
      </c>
      <c r="AD1975" s="13">
        <v>3</v>
      </c>
      <c r="AE1975" s="13">
        <v>3</v>
      </c>
      <c r="AF1975" s="13"/>
      <c r="AG1975" s="16">
        <f>IFERROR(SUMIF(reading[[#This Row],[1st]:[7th]],"&gt;0")/COUNTIF(reading[[#This Row],[1st]:[7th]],"&gt;0"),"")</f>
        <v>2.8333333333333335</v>
      </c>
    </row>
    <row r="1976" spans="1:33" hidden="1" x14ac:dyDescent="0.2">
      <c r="A1976" s="4">
        <f>IF(B1976=1,3,IF(D1976=1,2,IF(F1976=1,1,0)))</f>
        <v>0</v>
      </c>
      <c r="B1976" s="4" t="str">
        <f>IF(C1976=$L1976,1,IF(C1976="","",0))</f>
        <v/>
      </c>
      <c r="C1976" s="42"/>
      <c r="D1976" s="4" t="str">
        <f>IF(E1976=$L1976,1,IF(E1976="","",0))</f>
        <v/>
      </c>
      <c r="E1976" s="23"/>
      <c r="F1976" s="4" t="str">
        <f>IF(G1976=$L1976,1,IF(G1976="","",0))</f>
        <v/>
      </c>
      <c r="G1976" s="14"/>
      <c r="H1976" s="6">
        <v>2854</v>
      </c>
      <c r="I1976" s="15" t="s">
        <v>3120</v>
      </c>
      <c r="J1976" s="6" t="s">
        <v>5894</v>
      </c>
      <c r="K1976" s="6"/>
      <c r="L1976" s="6" t="s">
        <v>2887</v>
      </c>
      <c r="M1976" s="6" t="s">
        <v>8958</v>
      </c>
      <c r="N1976" s="7">
        <f ca="1">RAND()</f>
        <v>0.42131417660534787</v>
      </c>
      <c r="O1976" s="8">
        <v>45222</v>
      </c>
      <c r="P1976" s="8">
        <v>45223</v>
      </c>
      <c r="Q1976" s="8">
        <v>45225</v>
      </c>
      <c r="R1976" s="8">
        <v>45229</v>
      </c>
      <c r="S1976" s="8">
        <v>45236</v>
      </c>
      <c r="T1976" s="8">
        <v>45816</v>
      </c>
      <c r="U1976" s="8"/>
      <c r="V1976" s="10">
        <f>COUNTA(O1976:U1976)</f>
        <v>6</v>
      </c>
      <c r="W1976" s="11">
        <f>_xlfn.IFNA(INDEX(reading[[#This Row],[Memo 01]:[Memo 07]],MATCH(0,reading[[#This Row],[Memo 01]:[Memo 07]],-1)),"")</f>
        <v>45816</v>
      </c>
      <c r="X1976" s="11">
        <f ca="1">IFERROR(reading[[#This Row],[Previous]]+OFFSET(reading[[#Headers],[Memo 01]],-1,MATCH(0,reading[[#This Row],[Memo 01]:[Memo 07]],-1)-1),"")</f>
        <v>45836</v>
      </c>
      <c r="Y1976" s="10" t="str">
        <f ca="1">IF(reading[[#This Row],[Next]]&lt;&gt;"",IF(reading[[#This Row],[Next]]&gt;TODAY(),"OK",""),"")</f>
        <v>OK</v>
      </c>
      <c r="Z1976" s="13">
        <v>3</v>
      </c>
      <c r="AA1976" s="13">
        <v>3</v>
      </c>
      <c r="AB1976" s="13">
        <v>3</v>
      </c>
      <c r="AC1976" s="13">
        <v>3</v>
      </c>
      <c r="AD1976" s="13">
        <v>3</v>
      </c>
      <c r="AE1976" s="13">
        <v>2</v>
      </c>
      <c r="AF1976" s="13"/>
      <c r="AG1976" s="16">
        <f>IFERROR(SUMIF(reading[[#This Row],[1st]:[7th]],"&gt;0")/COUNTIF(reading[[#This Row],[1st]:[7th]],"&gt;0"),"")</f>
        <v>2.8333333333333335</v>
      </c>
    </row>
    <row r="1977" spans="1:33" x14ac:dyDescent="0.2">
      <c r="A1977" s="4">
        <f>IF(B1977=1,3,IF(D1977=1,2,IF(F1977=1,1,0)))</f>
        <v>3</v>
      </c>
      <c r="B1977" s="4">
        <f>IF(C1977=$L1977,1,IF(C1977="","",0))</f>
        <v>1</v>
      </c>
      <c r="C1977" s="42" t="s">
        <v>9367</v>
      </c>
      <c r="D1977" s="4" t="str">
        <f>IF(E1977=$L1977,1,IF(E1977="","",0))</f>
        <v/>
      </c>
      <c r="E1977" s="18"/>
      <c r="F1977" s="4" t="str">
        <f>IF(G1977=$L1977,1,IF(G1977="","",0))</f>
        <v/>
      </c>
      <c r="G1977" s="14"/>
      <c r="H1977" s="6">
        <v>118</v>
      </c>
      <c r="I1977" s="15" t="s">
        <v>3120</v>
      </c>
      <c r="J1977" s="6" t="s">
        <v>3267</v>
      </c>
      <c r="K1977" s="6"/>
      <c r="L1977" s="6" t="s">
        <v>255</v>
      </c>
      <c r="M1977" s="6" t="s">
        <v>6227</v>
      </c>
      <c r="N1977" s="7">
        <f ca="1">RAND()</f>
        <v>0.79297900743483518</v>
      </c>
      <c r="O1977" s="8">
        <v>45199</v>
      </c>
      <c r="P1977" s="8">
        <v>45200</v>
      </c>
      <c r="Q1977" s="8">
        <v>45202</v>
      </c>
      <c r="R1977" s="8">
        <v>45206</v>
      </c>
      <c r="S1977" s="8">
        <v>45213</v>
      </c>
      <c r="T1977" s="8">
        <v>45225</v>
      </c>
      <c r="U1977" s="8"/>
      <c r="V1977" s="10">
        <f>COUNTA(O1977:U1977)</f>
        <v>6</v>
      </c>
      <c r="W1977" s="11">
        <f>_xlfn.IFNA(INDEX(reading[[#This Row],[Memo 01]:[Memo 07]],MATCH(0,reading[[#This Row],[Memo 01]:[Memo 07]],-1)),"")</f>
        <v>45225</v>
      </c>
      <c r="X1977" s="11">
        <f ca="1">IFERROR(reading[[#This Row],[Previous]]+OFFSET(reading[[#Headers],[Memo 01]],-1,MATCH(0,reading[[#This Row],[Memo 01]:[Memo 07]],-1)-1),"")</f>
        <v>45245</v>
      </c>
      <c r="Y1977" s="10" t="str">
        <f ca="1">IF(reading[[#This Row],[Next]]&lt;&gt;"",IF(reading[[#This Row],[Next]]&gt;TODAY(),"OK",""),"")</f>
        <v/>
      </c>
      <c r="Z1977" s="13">
        <v>3</v>
      </c>
      <c r="AA1977" s="13">
        <v>3</v>
      </c>
      <c r="AB1977" s="13">
        <v>3</v>
      </c>
      <c r="AC1977" s="13">
        <v>3</v>
      </c>
      <c r="AD1977" s="13">
        <v>3</v>
      </c>
      <c r="AE1977" s="13">
        <v>2</v>
      </c>
      <c r="AF1977" s="13"/>
      <c r="AG1977" s="16">
        <f>IFERROR(SUMIF(reading[[#This Row],[1st]:[7th]],"&gt;0")/COUNTIF(reading[[#This Row],[1st]:[7th]],"&gt;0"),"")</f>
        <v>2.8333333333333335</v>
      </c>
    </row>
    <row r="1978" spans="1:33" x14ac:dyDescent="0.2">
      <c r="A1978" s="4">
        <f>IF(B1978=1,3,IF(D1978=1,2,IF(F1978=1,1,0)))</f>
        <v>0</v>
      </c>
      <c r="B1978" s="4">
        <f>IF(C1978=$L1978,1,IF(C1978="","",0))</f>
        <v>0</v>
      </c>
      <c r="C1978" s="42" t="s">
        <v>9200</v>
      </c>
      <c r="D1978" s="4" t="str">
        <f>IF(E1978=$L1978,1,IF(E1978="","",0))</f>
        <v/>
      </c>
      <c r="E1978" s="14"/>
      <c r="F1978" s="4" t="str">
        <f>IF(G1978=$L1978,1,IF(G1978="","",0))</f>
        <v/>
      </c>
      <c r="G1978" s="14"/>
      <c r="H1978" s="6">
        <v>1584</v>
      </c>
      <c r="I1978" s="15" t="s">
        <v>3120</v>
      </c>
      <c r="J1978" s="6" t="s">
        <v>4696</v>
      </c>
      <c r="K1978" s="6"/>
      <c r="L1978" s="6" t="s">
        <v>1667</v>
      </c>
      <c r="M1978" s="6" t="s">
        <v>7690</v>
      </c>
      <c r="N1978" s="7">
        <f ca="1">RAND()</f>
        <v>0.83515901395243963</v>
      </c>
      <c r="O1978" s="8">
        <v>45209</v>
      </c>
      <c r="P1978" s="8">
        <v>45210</v>
      </c>
      <c r="Q1978" s="8">
        <v>45212</v>
      </c>
      <c r="R1978" s="8">
        <v>45216</v>
      </c>
      <c r="S1978" s="8">
        <v>45223</v>
      </c>
      <c r="T1978" s="8">
        <v>45235</v>
      </c>
      <c r="U1978" s="8"/>
      <c r="V1978" s="10">
        <f>COUNTA(O1978:U1978)</f>
        <v>6</v>
      </c>
      <c r="W1978" s="11">
        <f>_xlfn.IFNA(INDEX(reading[[#This Row],[Memo 01]:[Memo 07]],MATCH(0,reading[[#This Row],[Memo 01]:[Memo 07]],-1)),"")</f>
        <v>45235</v>
      </c>
      <c r="X1978" s="11">
        <f ca="1">IFERROR(reading[[#This Row],[Previous]]+OFFSET(reading[[#Headers],[Memo 01]],-1,MATCH(0,reading[[#This Row],[Memo 01]:[Memo 07]],-1)-1),"")</f>
        <v>45255</v>
      </c>
      <c r="Y1978" s="10" t="str">
        <f ca="1">IF(reading[[#This Row],[Next]]&lt;&gt;"",IF(reading[[#This Row],[Next]]&gt;TODAY(),"OK",""),"")</f>
        <v/>
      </c>
      <c r="Z1978" s="13">
        <v>3</v>
      </c>
      <c r="AA1978" s="13">
        <v>2</v>
      </c>
      <c r="AB1978" s="13">
        <v>3</v>
      </c>
      <c r="AC1978" s="13">
        <v>3</v>
      </c>
      <c r="AD1978" s="13">
        <v>3</v>
      </c>
      <c r="AE1978" s="13">
        <v>3</v>
      </c>
      <c r="AF1978" s="13"/>
      <c r="AG1978" s="16">
        <f>IFERROR(SUMIF(reading[[#This Row],[1st]:[7th]],"&gt;0")/COUNTIF(reading[[#This Row],[1st]:[7th]],"&gt;0"),"")</f>
        <v>2.8333333333333335</v>
      </c>
    </row>
    <row r="1979" spans="1:33" x14ac:dyDescent="0.2">
      <c r="A1979" s="4">
        <f>IF(B1979=1,3,IF(D1979=1,2,IF(F1979=1,1,0)))</f>
        <v>0</v>
      </c>
      <c r="B1979" s="4">
        <f>IF(C1979=$L1979,1,IF(C1979="","",0))</f>
        <v>0</v>
      </c>
      <c r="C1979" s="42" t="s">
        <v>9200</v>
      </c>
      <c r="D1979" s="4" t="str">
        <f>IF(E1979=$L1979,1,IF(E1979="","",0))</f>
        <v/>
      </c>
      <c r="E1979" s="18"/>
      <c r="F1979" s="4" t="str">
        <f>IF(G1979=$L1979,1,IF(G1979="","",0))</f>
        <v/>
      </c>
      <c r="G1979" s="14"/>
      <c r="H1979" s="6">
        <v>2646</v>
      </c>
      <c r="I1979" s="15" t="s">
        <v>3120</v>
      </c>
      <c r="J1979" s="6" t="s">
        <v>5700</v>
      </c>
      <c r="K1979" s="15" t="s">
        <v>3139</v>
      </c>
      <c r="L1979" s="6" t="s">
        <v>2686</v>
      </c>
      <c r="M1979" s="6" t="s">
        <v>8751</v>
      </c>
      <c r="N1979" s="7">
        <f ca="1">RAND()</f>
        <v>6.8412765677684506E-2</v>
      </c>
      <c r="O1979" s="8">
        <v>45220</v>
      </c>
      <c r="P1979" s="8">
        <v>45221</v>
      </c>
      <c r="Q1979" s="8">
        <v>45223</v>
      </c>
      <c r="R1979" s="8">
        <v>45227</v>
      </c>
      <c r="S1979" s="8">
        <v>45234</v>
      </c>
      <c r="T1979" s="8"/>
      <c r="U1979" s="8"/>
      <c r="V1979" s="10">
        <f>COUNTA(O1979:U1979)</f>
        <v>5</v>
      </c>
      <c r="W1979" s="11">
        <f>_xlfn.IFNA(INDEX(reading[[#This Row],[Memo 01]:[Memo 07]],MATCH(0,reading[[#This Row],[Memo 01]:[Memo 07]],-1)),"")</f>
        <v>45234</v>
      </c>
      <c r="X1979" s="11">
        <f ca="1">IFERROR(reading[[#This Row],[Previous]]+OFFSET(reading[[#Headers],[Memo 01]],-1,MATCH(0,reading[[#This Row],[Memo 01]:[Memo 07]],-1)-1),"")</f>
        <v>45246</v>
      </c>
      <c r="Y1979" s="10" t="str">
        <f ca="1">IF(reading[[#This Row],[Next]]&lt;&gt;"",IF(reading[[#This Row],[Next]]&gt;TODAY(),"OK",""),"")</f>
        <v/>
      </c>
      <c r="Z1979" s="13">
        <v>3</v>
      </c>
      <c r="AA1979" s="13">
        <v>3</v>
      </c>
      <c r="AB1979" s="13">
        <v>2</v>
      </c>
      <c r="AC1979" s="13">
        <v>3</v>
      </c>
      <c r="AD1979" s="13">
        <v>3</v>
      </c>
      <c r="AE1979" s="13"/>
      <c r="AF1979" s="13"/>
      <c r="AG1979" s="16">
        <f>IFERROR(SUMIF(reading[[#This Row],[1st]:[7th]],"&gt;0")/COUNTIF(reading[[#This Row],[1st]:[7th]],"&gt;0"),"")</f>
        <v>2.8</v>
      </c>
    </row>
    <row r="1980" spans="1:33" x14ac:dyDescent="0.2">
      <c r="A1980" s="4">
        <f>IF(B1980=1,3,IF(D1980=1,2,IF(F1980=1,1,0)))</f>
        <v>0</v>
      </c>
      <c r="B1980" s="4">
        <f>IF(C1980=$L1980,1,IF(C1980="","",0))</f>
        <v>0</v>
      </c>
      <c r="C1980" s="42" t="s">
        <v>9368</v>
      </c>
      <c r="D1980" s="4" t="str">
        <f>IF(E1980=$L1980,1,IF(E1980="","",0))</f>
        <v/>
      </c>
      <c r="E1980" s="18"/>
      <c r="F1980" s="4" t="str">
        <f>IF(G1980=$L1980,1,IF(G1980="","",0))</f>
        <v/>
      </c>
      <c r="G1980" s="14"/>
      <c r="H1980" s="6">
        <v>2138</v>
      </c>
      <c r="I1980" s="15" t="s">
        <v>3120</v>
      </c>
      <c r="J1980" s="6" t="s">
        <v>5226</v>
      </c>
      <c r="K1980" s="6"/>
      <c r="L1980" s="6" t="s">
        <v>2205</v>
      </c>
      <c r="M1980" s="6" t="s">
        <v>8244</v>
      </c>
      <c r="N1980" s="7">
        <f ca="1">RAND()</f>
        <v>0.83792565683582965</v>
      </c>
      <c r="O1980" s="8">
        <v>45214</v>
      </c>
      <c r="P1980" s="8">
        <v>45215</v>
      </c>
      <c r="Q1980" s="8">
        <v>45217</v>
      </c>
      <c r="R1980" s="8">
        <v>45221</v>
      </c>
      <c r="S1980" s="8">
        <v>45228</v>
      </c>
      <c r="T1980" s="8"/>
      <c r="U1980" s="8"/>
      <c r="V1980" s="10">
        <f>COUNTA(O1980:U1980)</f>
        <v>5</v>
      </c>
      <c r="W1980" s="11">
        <f>_xlfn.IFNA(INDEX(reading[[#This Row],[Memo 01]:[Memo 07]],MATCH(0,reading[[#This Row],[Memo 01]:[Memo 07]],-1)),"")</f>
        <v>45228</v>
      </c>
      <c r="X1980" s="11">
        <f ca="1">IFERROR(reading[[#This Row],[Previous]]+OFFSET(reading[[#Headers],[Memo 01]],-1,MATCH(0,reading[[#This Row],[Memo 01]:[Memo 07]],-1)-1),"")</f>
        <v>45240</v>
      </c>
      <c r="Y1980" s="10" t="str">
        <f ca="1">IF(reading[[#This Row],[Next]]&lt;&gt;"",IF(reading[[#This Row],[Next]]&gt;TODAY(),"OK",""),"")</f>
        <v/>
      </c>
      <c r="Z1980" s="13">
        <v>3</v>
      </c>
      <c r="AA1980" s="13">
        <v>2</v>
      </c>
      <c r="AB1980" s="13">
        <v>3</v>
      </c>
      <c r="AC1980" s="13">
        <v>3</v>
      </c>
      <c r="AD1980" s="13">
        <v>3</v>
      </c>
      <c r="AE1980" s="13"/>
      <c r="AF1980" s="13"/>
      <c r="AG1980" s="16">
        <f>IFERROR(SUMIF(reading[[#This Row],[1st]:[7th]],"&gt;0")/COUNTIF(reading[[#This Row],[1st]:[7th]],"&gt;0"),"")</f>
        <v>2.8</v>
      </c>
    </row>
    <row r="1981" spans="1:33" hidden="1" x14ac:dyDescent="0.2">
      <c r="A1981" s="4">
        <f>IF(B1981=1,3,IF(D1981=1,2,IF(F1981=1,1,0)))</f>
        <v>0</v>
      </c>
      <c r="B1981" s="4" t="str">
        <f>IF(C1981=$L1981,1,IF(C1981="","",0))</f>
        <v/>
      </c>
      <c r="C1981" s="41"/>
      <c r="D1981" s="4" t="str">
        <f>IF(E1981=$L1981,1,IF(E1981="","",0))</f>
        <v/>
      </c>
      <c r="E1981" s="18"/>
      <c r="F1981" s="4" t="str">
        <f>IF(G1981=$L1981,1,IF(G1981="","",0))</f>
        <v/>
      </c>
      <c r="G1981" s="14"/>
      <c r="H1981" s="6">
        <v>431</v>
      </c>
      <c r="I1981" s="15" t="s">
        <v>3120</v>
      </c>
      <c r="J1981" s="6" t="s">
        <v>3577</v>
      </c>
      <c r="K1981" s="6"/>
      <c r="L1981" s="6" t="s">
        <v>561</v>
      </c>
      <c r="M1981" s="6" t="s">
        <v>6540</v>
      </c>
      <c r="N1981" s="7">
        <f ca="1">RAND()</f>
        <v>0.98617869038528549</v>
      </c>
      <c r="O1981" s="8">
        <v>45201</v>
      </c>
      <c r="P1981" s="8">
        <v>45202</v>
      </c>
      <c r="Q1981" s="8">
        <v>45204</v>
      </c>
      <c r="R1981" s="8">
        <v>45208</v>
      </c>
      <c r="S1981" s="8">
        <v>45215</v>
      </c>
      <c r="T1981" s="8">
        <v>45227</v>
      </c>
      <c r="U1981" s="8">
        <v>45249</v>
      </c>
      <c r="V1981" s="10">
        <f>COUNTA(O1981:U1981)</f>
        <v>7</v>
      </c>
      <c r="W1981" s="11">
        <f>_xlfn.IFNA(INDEX(reading[[#This Row],[Memo 01]:[Memo 07]],MATCH(0,reading[[#This Row],[Memo 01]:[Memo 07]],-1)),"")</f>
        <v>45249</v>
      </c>
      <c r="X1981" s="11">
        <f ca="1">IFERROR(reading[[#This Row],[Previous]]+OFFSET(reading[[#Headers],[Memo 01]],-1,MATCH(0,reading[[#This Row],[Memo 01]:[Memo 07]],-1)-1),"")</f>
        <v>55249</v>
      </c>
      <c r="Y1981" s="10" t="str">
        <f ca="1">IF(reading[[#This Row],[Next]]&lt;&gt;"",IF(reading[[#This Row],[Next]]&gt;TODAY(),"OK",""),"")</f>
        <v>OK</v>
      </c>
      <c r="Z1981" s="13">
        <v>3</v>
      </c>
      <c r="AA1981" s="13">
        <v>2</v>
      </c>
      <c r="AB1981" s="13">
        <v>3</v>
      </c>
      <c r="AC1981" s="13">
        <v>2</v>
      </c>
      <c r="AD1981" s="13">
        <v>2</v>
      </c>
      <c r="AE1981" s="13">
        <v>3</v>
      </c>
      <c r="AF1981" s="13">
        <v>2</v>
      </c>
      <c r="AG1981" s="16">
        <f>IFERROR(SUMIF(reading[[#This Row],[1st]:[7th]],"&gt;0")/COUNTIF(reading[[#This Row],[1st]:[7th]],"&gt;0"),"")</f>
        <v>2.4285714285714284</v>
      </c>
    </row>
    <row r="1982" spans="1:33" x14ac:dyDescent="0.2">
      <c r="A1982" s="4">
        <f>IF(B1982=1,3,IF(D1982=1,2,IF(F1982=1,1,0)))</f>
        <v>0</v>
      </c>
      <c r="B1982" s="4">
        <f>IF(C1982=$L1982,1,IF(C1982="","",0))</f>
        <v>0</v>
      </c>
      <c r="C1982" s="42" t="s">
        <v>9200</v>
      </c>
      <c r="D1982" s="4" t="str">
        <f>IF(E1982=$L1982,1,IF(E1982="","",0))</f>
        <v/>
      </c>
      <c r="E1982" s="14"/>
      <c r="F1982" s="4" t="str">
        <f>IF(G1982=$L1982,1,IF(G1982="","",0))</f>
        <v/>
      </c>
      <c r="G1982" s="14"/>
      <c r="H1982" s="6">
        <v>1968</v>
      </c>
      <c r="I1982" s="15" t="s">
        <v>3120</v>
      </c>
      <c r="J1982" s="6" t="s">
        <v>5067</v>
      </c>
      <c r="K1982" s="6"/>
      <c r="L1982" s="6" t="s">
        <v>2043</v>
      </c>
      <c r="M1982" s="6" t="s">
        <v>8074</v>
      </c>
      <c r="N1982" s="7">
        <f ca="1">RAND()</f>
        <v>0.36190962818854933</v>
      </c>
      <c r="O1982" s="8">
        <v>45213</v>
      </c>
      <c r="P1982" s="8">
        <v>45214</v>
      </c>
      <c r="Q1982" s="8">
        <v>45216</v>
      </c>
      <c r="R1982" s="8">
        <v>45220</v>
      </c>
      <c r="S1982" s="8">
        <v>45227</v>
      </c>
      <c r="T1982" s="8"/>
      <c r="U1982" s="8"/>
      <c r="V1982" s="10">
        <f>COUNTA(O1982:U1982)</f>
        <v>5</v>
      </c>
      <c r="W1982" s="11">
        <f>_xlfn.IFNA(INDEX(reading[[#This Row],[Memo 01]:[Memo 07]],MATCH(0,reading[[#This Row],[Memo 01]:[Memo 07]],-1)),"")</f>
        <v>45227</v>
      </c>
      <c r="X1982" s="11">
        <f ca="1">IFERROR(reading[[#This Row],[Previous]]+OFFSET(reading[[#Headers],[Memo 01]],-1,MATCH(0,reading[[#This Row],[Memo 01]:[Memo 07]],-1)-1),"")</f>
        <v>45239</v>
      </c>
      <c r="Y1982" s="10" t="str">
        <f ca="1">IF(reading[[#This Row],[Next]]&lt;&gt;"",IF(reading[[#This Row],[Next]]&gt;TODAY(),"OK",""),"")</f>
        <v/>
      </c>
      <c r="Z1982" s="13">
        <v>3</v>
      </c>
      <c r="AA1982" s="13">
        <v>3</v>
      </c>
      <c r="AB1982" s="13">
        <v>3</v>
      </c>
      <c r="AC1982" s="13">
        <v>3</v>
      </c>
      <c r="AD1982" s="13">
        <v>3</v>
      </c>
      <c r="AE1982" s="13"/>
      <c r="AF1982" s="13"/>
      <c r="AG1982" s="16">
        <f>IFERROR(SUMIF(reading[[#This Row],[1st]:[7th]],"&gt;0")/COUNTIF(reading[[#This Row],[1st]:[7th]],"&gt;0"),"")</f>
        <v>3</v>
      </c>
    </row>
    <row r="1983" spans="1:33" hidden="1" x14ac:dyDescent="0.2">
      <c r="A1983" s="4">
        <f>IF(B1983=1,3,IF(D1983=1,2,IF(F1983=1,1,0)))</f>
        <v>3</v>
      </c>
      <c r="B1983" s="4">
        <f>IF(C1983=$L1983,1,IF(C1983="","",0))</f>
        <v>1</v>
      </c>
      <c r="C1983" s="33" t="s">
        <v>2062</v>
      </c>
      <c r="D1983" s="4" t="str">
        <f>IF(E1983=$L1983,1,IF(E1983="","",0))</f>
        <v/>
      </c>
      <c r="E1983" s="14"/>
      <c r="F1983" s="4" t="str">
        <f>IF(G1983=$L1983,1,IF(G1983="","",0))</f>
        <v/>
      </c>
      <c r="G1983" s="14"/>
      <c r="H1983" s="6">
        <v>1987</v>
      </c>
      <c r="I1983" s="15" t="s">
        <v>3120</v>
      </c>
      <c r="J1983" s="6" t="s">
        <v>5085</v>
      </c>
      <c r="K1983" s="6"/>
      <c r="L1983" s="6" t="s">
        <v>2062</v>
      </c>
      <c r="M1983" s="6" t="s">
        <v>8093</v>
      </c>
      <c r="N1983" s="7">
        <f ca="1">RAND()</f>
        <v>0.70694169294252063</v>
      </c>
      <c r="O1983" s="8">
        <v>45213</v>
      </c>
      <c r="P1983" s="8">
        <v>45213</v>
      </c>
      <c r="Q1983" s="8">
        <v>45213</v>
      </c>
      <c r="R1983" s="8">
        <v>45213</v>
      </c>
      <c r="S1983" s="8">
        <v>45213</v>
      </c>
      <c r="T1983" s="8">
        <v>45213</v>
      </c>
      <c r="U1983" s="8">
        <v>45213</v>
      </c>
      <c r="V1983" s="10">
        <f>COUNTA(O1983:U1983)</f>
        <v>7</v>
      </c>
      <c r="W1983" s="11">
        <f>_xlfn.IFNA(INDEX(reading[[#This Row],[Memo 01]:[Memo 07]],MATCH(0,reading[[#This Row],[Memo 01]:[Memo 07]],-1)),"")</f>
        <v>45213</v>
      </c>
      <c r="X1983" s="11">
        <f ca="1">IFERROR(reading[[#This Row],[Previous]]+OFFSET(reading[[#Headers],[Memo 01]],-1,MATCH(0,reading[[#This Row],[Memo 01]:[Memo 07]],-1)-1),"")</f>
        <v>55213</v>
      </c>
      <c r="Y1983" s="10" t="str">
        <f ca="1">IF(reading[[#This Row],[Next]]&lt;&gt;"",IF(reading[[#This Row],[Next]]&gt;TODAY(),"OK",""),"")</f>
        <v>OK</v>
      </c>
      <c r="Z1983" s="13">
        <v>3</v>
      </c>
      <c r="AA1983" s="13"/>
      <c r="AB1983" s="13"/>
      <c r="AC1983" s="13"/>
      <c r="AD1983" s="13"/>
      <c r="AE1983" s="13"/>
      <c r="AF1983" s="13"/>
      <c r="AG1983" s="16">
        <f>IFERROR(SUMIF(reading[[#This Row],[1st]:[7th]],"&gt;0")/COUNTIF(reading[[#This Row],[1st]:[7th]],"&gt;0"),"")</f>
        <v>3</v>
      </c>
    </row>
    <row r="1984" spans="1:33" x14ac:dyDescent="0.2">
      <c r="A1984" s="4">
        <f>IF(B1984=1,3,IF(D1984=1,2,IF(F1984=1,1,0)))</f>
        <v>0</v>
      </c>
      <c r="B1984" s="4">
        <f>IF(C1984=$L1984,1,IF(C1984="","",0))</f>
        <v>0</v>
      </c>
      <c r="C1984" s="42" t="s">
        <v>9200</v>
      </c>
      <c r="D1984" s="4" t="str">
        <f>IF(E1984=$L1984,1,IF(E1984="","",0))</f>
        <v/>
      </c>
      <c r="E1984" s="18"/>
      <c r="F1984" s="4" t="str">
        <f>IF(G1984=$L1984,1,IF(G1984="","",0))</f>
        <v/>
      </c>
      <c r="G1984" s="18"/>
      <c r="H1984" s="6">
        <v>1693</v>
      </c>
      <c r="I1984" s="15" t="s">
        <v>3120</v>
      </c>
      <c r="J1984" s="6" t="s">
        <v>4803</v>
      </c>
      <c r="K1984" s="6" t="s">
        <v>3138</v>
      </c>
      <c r="L1984" s="6" t="s">
        <v>1773</v>
      </c>
      <c r="M1984" s="6" t="s">
        <v>7799</v>
      </c>
      <c r="N1984" s="7">
        <f ca="1">RAND()</f>
        <v>0.53900033388942281</v>
      </c>
      <c r="O1984" s="8">
        <v>45210</v>
      </c>
      <c r="P1984" s="8">
        <v>45212</v>
      </c>
      <c r="Q1984" s="8">
        <v>45214</v>
      </c>
      <c r="R1984" s="8">
        <v>45218</v>
      </c>
      <c r="S1984" s="8">
        <v>45226</v>
      </c>
      <c r="T1984" s="8">
        <v>45250</v>
      </c>
      <c r="U1984" s="8"/>
      <c r="V1984" s="10">
        <f>COUNTA(O1984:U1984)</f>
        <v>6</v>
      </c>
      <c r="W1984" s="11">
        <f>_xlfn.IFNA(INDEX(reading[[#This Row],[Memo 01]:[Memo 07]],MATCH(0,reading[[#This Row],[Memo 01]:[Memo 07]],-1)),"")</f>
        <v>45250</v>
      </c>
      <c r="X1984" s="11">
        <f ca="1">IFERROR(reading[[#This Row],[Previous]]+OFFSET(reading[[#Headers],[Memo 01]],-1,MATCH(0,reading[[#This Row],[Memo 01]:[Memo 07]],-1)-1),"")</f>
        <v>45270</v>
      </c>
      <c r="Y1984" s="10" t="str">
        <f ca="1">IF(reading[[#This Row],[Next]]&lt;&gt;"",IF(reading[[#This Row],[Next]]&gt;TODAY(),"OK",""),"")</f>
        <v/>
      </c>
      <c r="Z1984" s="13">
        <v>3</v>
      </c>
      <c r="AA1984" s="13">
        <v>2</v>
      </c>
      <c r="AB1984" s="13">
        <v>1</v>
      </c>
      <c r="AC1984" s="13">
        <v>2</v>
      </c>
      <c r="AD1984" s="13">
        <v>1</v>
      </c>
      <c r="AE1984" s="13">
        <v>1</v>
      </c>
      <c r="AF1984" s="13"/>
      <c r="AG1984" s="16">
        <f>IFERROR(SUMIF(reading[[#This Row],[1st]:[7th]],"&gt;0")/COUNTIF(reading[[#This Row],[1st]:[7th]],"&gt;0"),"")</f>
        <v>1.6666666666666667</v>
      </c>
    </row>
    <row r="1985" spans="1:33" x14ac:dyDescent="0.2">
      <c r="A1985" s="4">
        <f>IF(B1985=1,3,IF(D1985=1,2,IF(F1985=1,1,0)))</f>
        <v>3</v>
      </c>
      <c r="B1985" s="4">
        <f>IF(C1985=$L1985,1,IF(C1985="","",0))</f>
        <v>1</v>
      </c>
      <c r="C1985" s="42" t="s">
        <v>9204</v>
      </c>
      <c r="D1985" s="4" t="str">
        <f>IF(E1985=$L1985,1,IF(E1985="","",0))</f>
        <v/>
      </c>
      <c r="E1985" s="14"/>
      <c r="F1985" s="4" t="str">
        <f>IF(G1985=$L1985,1,IF(G1985="","",0))</f>
        <v/>
      </c>
      <c r="G1985" s="14"/>
      <c r="H1985" s="6">
        <v>2815</v>
      </c>
      <c r="I1985" s="15" t="s">
        <v>3120</v>
      </c>
      <c r="J1985" s="6" t="s">
        <v>5858</v>
      </c>
      <c r="K1985" s="6"/>
      <c r="L1985" s="6" t="s">
        <v>2851</v>
      </c>
      <c r="M1985" s="6" t="s">
        <v>8919</v>
      </c>
      <c r="N1985" s="7">
        <f ca="1">RAND()</f>
        <v>0.96918563407259117</v>
      </c>
      <c r="O1985" s="8">
        <v>45222</v>
      </c>
      <c r="P1985" s="8">
        <v>45223</v>
      </c>
      <c r="Q1985" s="8">
        <v>45225</v>
      </c>
      <c r="R1985" s="8">
        <v>45229</v>
      </c>
      <c r="S1985" s="8">
        <v>45236</v>
      </c>
      <c r="T1985" s="8">
        <v>45783</v>
      </c>
      <c r="U1985" s="8"/>
      <c r="V1985" s="10">
        <f>COUNTA(O1985:U1985)</f>
        <v>6</v>
      </c>
      <c r="W1985" s="11">
        <f>_xlfn.IFNA(INDEX(reading[[#This Row],[Memo 01]:[Memo 07]],MATCH(0,reading[[#This Row],[Memo 01]:[Memo 07]],-1)),"")</f>
        <v>45783</v>
      </c>
      <c r="X1985" s="11">
        <f ca="1">IFERROR(reading[[#This Row],[Previous]]+OFFSET(reading[[#Headers],[Memo 01]],-1,MATCH(0,reading[[#This Row],[Memo 01]:[Memo 07]],-1)-1),"")</f>
        <v>45803</v>
      </c>
      <c r="Y1985" s="10" t="str">
        <f ca="1">IF(reading[[#This Row],[Next]]&lt;&gt;"",IF(reading[[#This Row],[Next]]&gt;TODAY(),"OK",""),"")</f>
        <v/>
      </c>
      <c r="Z1985" s="13">
        <v>3</v>
      </c>
      <c r="AA1985" s="13">
        <v>3</v>
      </c>
      <c r="AB1985" s="13">
        <v>3</v>
      </c>
      <c r="AC1985" s="13">
        <v>3</v>
      </c>
      <c r="AD1985" s="13">
        <v>3</v>
      </c>
      <c r="AE1985" s="13">
        <v>3</v>
      </c>
      <c r="AF1985" s="13"/>
      <c r="AG1985" s="16">
        <f>IFERROR(SUMIF(reading[[#This Row],[1st]:[7th]],"&gt;0")/COUNTIF(reading[[#This Row],[1st]:[7th]],"&gt;0"),"")</f>
        <v>3</v>
      </c>
    </row>
    <row r="1986" spans="1:33" hidden="1" x14ac:dyDescent="0.2">
      <c r="A1986" s="4">
        <f>IF(B1986=1,3,IF(D1986=1,2,IF(F1986=1,1,0)))</f>
        <v>3</v>
      </c>
      <c r="B1986" s="4">
        <f>IF(C1986=$L1986,1,IF(C1986="","",0))</f>
        <v>1</v>
      </c>
      <c r="C1986" s="33" t="s">
        <v>2065</v>
      </c>
      <c r="D1986" s="4" t="str">
        <f>IF(E1986=$L1986,1,IF(E1986="","",0))</f>
        <v/>
      </c>
      <c r="E1986" s="14"/>
      <c r="F1986" s="4" t="str">
        <f>IF(G1986=$L1986,1,IF(G1986="","",0))</f>
        <v/>
      </c>
      <c r="G1986" s="14"/>
      <c r="H1986" s="6">
        <v>1990</v>
      </c>
      <c r="I1986" s="15" t="s">
        <v>3120</v>
      </c>
      <c r="J1986" s="6" t="s">
        <v>5088</v>
      </c>
      <c r="K1986" s="6"/>
      <c r="L1986" s="6" t="s">
        <v>2065</v>
      </c>
      <c r="M1986" s="6" t="s">
        <v>8096</v>
      </c>
      <c r="N1986" s="7">
        <f ca="1">RAND()</f>
        <v>0.94646777553105166</v>
      </c>
      <c r="O1986" s="8">
        <v>45213</v>
      </c>
      <c r="P1986" s="8">
        <v>45213</v>
      </c>
      <c r="Q1986" s="8">
        <v>45213</v>
      </c>
      <c r="R1986" s="8">
        <v>45213</v>
      </c>
      <c r="S1986" s="8">
        <v>45213</v>
      </c>
      <c r="T1986" s="8">
        <v>45213</v>
      </c>
      <c r="U1986" s="8">
        <v>45213</v>
      </c>
      <c r="V1986" s="10">
        <f>COUNTA(O1986:U1986)</f>
        <v>7</v>
      </c>
      <c r="W1986" s="11">
        <f>_xlfn.IFNA(INDEX(reading[[#This Row],[Memo 01]:[Memo 07]],MATCH(0,reading[[#This Row],[Memo 01]:[Memo 07]],-1)),"")</f>
        <v>45213</v>
      </c>
      <c r="X1986" s="11">
        <f ca="1">IFERROR(reading[[#This Row],[Previous]]+OFFSET(reading[[#Headers],[Memo 01]],-1,MATCH(0,reading[[#This Row],[Memo 01]:[Memo 07]],-1)-1),"")</f>
        <v>55213</v>
      </c>
      <c r="Y1986" s="10" t="str">
        <f ca="1">IF(reading[[#This Row],[Next]]&lt;&gt;"",IF(reading[[#This Row],[Next]]&gt;TODAY(),"OK",""),"")</f>
        <v>OK</v>
      </c>
      <c r="Z1986" s="13">
        <v>3</v>
      </c>
      <c r="AA1986" s="13"/>
      <c r="AB1986" s="13"/>
      <c r="AC1986" s="13"/>
      <c r="AD1986" s="13"/>
      <c r="AE1986" s="13"/>
      <c r="AF1986" s="13"/>
      <c r="AG1986" s="16">
        <f>IFERROR(SUMIF(reading[[#This Row],[1st]:[7th]],"&gt;0")/COUNTIF(reading[[#This Row],[1st]:[7th]],"&gt;0"),"")</f>
        <v>3</v>
      </c>
    </row>
    <row r="1987" spans="1:33" hidden="1" x14ac:dyDescent="0.2">
      <c r="A1987" s="4">
        <f>IF(B1987=1,3,IF(D1987=1,2,IF(F1987=1,1,0)))</f>
        <v>3</v>
      </c>
      <c r="B1987" s="4">
        <f>IF(C1987=$L1987,1,IF(C1987="","",0))</f>
        <v>1</v>
      </c>
      <c r="C1987" s="33" t="s">
        <v>2066</v>
      </c>
      <c r="D1987" s="4" t="str">
        <f>IF(E1987=$L1987,1,IF(E1987="","",0))</f>
        <v/>
      </c>
      <c r="E1987" s="14"/>
      <c r="F1987" s="4" t="str">
        <f>IF(G1987=$L1987,1,IF(G1987="","",0))</f>
        <v/>
      </c>
      <c r="G1987" s="14"/>
      <c r="H1987" s="6">
        <v>1991</v>
      </c>
      <c r="I1987" s="15" t="s">
        <v>3120</v>
      </c>
      <c r="J1987" s="6" t="s">
        <v>5089</v>
      </c>
      <c r="K1987" s="6"/>
      <c r="L1987" s="6" t="s">
        <v>2066</v>
      </c>
      <c r="M1987" s="6" t="s">
        <v>8097</v>
      </c>
      <c r="N1987" s="7">
        <f ca="1">RAND()</f>
        <v>0.52411696670938046</v>
      </c>
      <c r="O1987" s="8">
        <v>45213</v>
      </c>
      <c r="P1987" s="8">
        <v>45213</v>
      </c>
      <c r="Q1987" s="8">
        <v>45213</v>
      </c>
      <c r="R1987" s="8">
        <v>45213</v>
      </c>
      <c r="S1987" s="8">
        <v>45213</v>
      </c>
      <c r="T1987" s="8">
        <v>45213</v>
      </c>
      <c r="U1987" s="8">
        <v>45213</v>
      </c>
      <c r="V1987" s="10">
        <f>COUNTA(O1987:U1987)</f>
        <v>7</v>
      </c>
      <c r="W1987" s="11">
        <f>_xlfn.IFNA(INDEX(reading[[#This Row],[Memo 01]:[Memo 07]],MATCH(0,reading[[#This Row],[Memo 01]:[Memo 07]],-1)),"")</f>
        <v>45213</v>
      </c>
      <c r="X1987" s="11">
        <f ca="1">IFERROR(reading[[#This Row],[Previous]]+OFFSET(reading[[#Headers],[Memo 01]],-1,MATCH(0,reading[[#This Row],[Memo 01]:[Memo 07]],-1)-1),"")</f>
        <v>55213</v>
      </c>
      <c r="Y1987" s="10" t="str">
        <f ca="1">IF(reading[[#This Row],[Next]]&lt;&gt;"",IF(reading[[#This Row],[Next]]&gt;TODAY(),"OK",""),"")</f>
        <v>OK</v>
      </c>
      <c r="Z1987" s="13">
        <v>3</v>
      </c>
      <c r="AA1987" s="13"/>
      <c r="AB1987" s="13"/>
      <c r="AC1987" s="13"/>
      <c r="AD1987" s="13"/>
      <c r="AE1987" s="13"/>
      <c r="AF1987" s="13"/>
      <c r="AG1987" s="16">
        <f>IFERROR(SUMIF(reading[[#This Row],[1st]:[7th]],"&gt;0")/COUNTIF(reading[[#This Row],[1st]:[7th]],"&gt;0"),"")</f>
        <v>3</v>
      </c>
    </row>
    <row r="1988" spans="1:33" hidden="1" x14ac:dyDescent="0.2">
      <c r="A1988" s="4">
        <f>IF(B1988=1,3,IF(D1988=1,2,IF(F1988=1,1,0)))</f>
        <v>3</v>
      </c>
      <c r="B1988" s="4">
        <f>IF(C1988=$L1988,1,IF(C1988="","",0))</f>
        <v>1</v>
      </c>
      <c r="C1988" s="33" t="s">
        <v>2067</v>
      </c>
      <c r="D1988" s="4" t="str">
        <f>IF(E1988=$L1988,1,IF(E1988="","",0))</f>
        <v/>
      </c>
      <c r="E1988" s="14"/>
      <c r="F1988" s="4" t="str">
        <f>IF(G1988=$L1988,1,IF(G1988="","",0))</f>
        <v/>
      </c>
      <c r="G1988" s="14"/>
      <c r="H1988" s="6">
        <v>1992</v>
      </c>
      <c r="I1988" s="15" t="s">
        <v>3120</v>
      </c>
      <c r="J1988" s="6" t="s">
        <v>5090</v>
      </c>
      <c r="K1988" s="15" t="s">
        <v>3139</v>
      </c>
      <c r="L1988" s="6" t="s">
        <v>2067</v>
      </c>
      <c r="M1988" s="6" t="s">
        <v>8098</v>
      </c>
      <c r="N1988" s="7">
        <f ca="1">RAND()</f>
        <v>0.21723976222684882</v>
      </c>
      <c r="O1988" s="8">
        <v>45213</v>
      </c>
      <c r="P1988" s="8">
        <v>45213</v>
      </c>
      <c r="Q1988" s="8">
        <v>45213</v>
      </c>
      <c r="R1988" s="8">
        <v>45213</v>
      </c>
      <c r="S1988" s="8">
        <v>45213</v>
      </c>
      <c r="T1988" s="8">
        <v>45213</v>
      </c>
      <c r="U1988" s="8">
        <v>45213</v>
      </c>
      <c r="V1988" s="10">
        <f>COUNTA(O1988:U1988)</f>
        <v>7</v>
      </c>
      <c r="W1988" s="11">
        <f>_xlfn.IFNA(INDEX(reading[[#This Row],[Memo 01]:[Memo 07]],MATCH(0,reading[[#This Row],[Memo 01]:[Memo 07]],-1)),"")</f>
        <v>45213</v>
      </c>
      <c r="X1988" s="11">
        <f ca="1">IFERROR(reading[[#This Row],[Previous]]+OFFSET(reading[[#Headers],[Memo 01]],-1,MATCH(0,reading[[#This Row],[Memo 01]:[Memo 07]],-1)-1),"")</f>
        <v>55213</v>
      </c>
      <c r="Y1988" s="10" t="str">
        <f ca="1">IF(reading[[#This Row],[Next]]&lt;&gt;"",IF(reading[[#This Row],[Next]]&gt;TODAY(),"OK",""),"")</f>
        <v>OK</v>
      </c>
      <c r="Z1988" s="13">
        <v>3</v>
      </c>
      <c r="AA1988" s="13"/>
      <c r="AB1988" s="13"/>
      <c r="AC1988" s="13"/>
      <c r="AD1988" s="13"/>
      <c r="AE1988" s="13"/>
      <c r="AF1988" s="13"/>
      <c r="AG1988" s="16">
        <f>IFERROR(SUMIF(reading[[#This Row],[1st]:[7th]],"&gt;0")/COUNTIF(reading[[#This Row],[1st]:[7th]],"&gt;0"),"")</f>
        <v>3</v>
      </c>
    </row>
    <row r="1989" spans="1:33" x14ac:dyDescent="0.2">
      <c r="A1989" s="4">
        <f>IF(B1989=1,3,IF(D1989=1,2,IF(F1989=1,1,0)))</f>
        <v>0</v>
      </c>
      <c r="B1989" s="4">
        <f>IF(C1989=$L1989,1,IF(C1989="","",0))</f>
        <v>0</v>
      </c>
      <c r="C1989" s="42" t="s">
        <v>9200</v>
      </c>
      <c r="D1989" s="4" t="str">
        <f>IF(E1989=$L1989,1,IF(E1989="","",0))</f>
        <v/>
      </c>
      <c r="E1989" s="18"/>
      <c r="F1989" s="4" t="str">
        <f>IF(G1989=$L1989,1,IF(G1989="","",0))</f>
        <v/>
      </c>
      <c r="G1989" s="14"/>
      <c r="H1989" s="6">
        <v>2123</v>
      </c>
      <c r="I1989" s="15" t="s">
        <v>3120</v>
      </c>
      <c r="J1989" s="6" t="s">
        <v>5211</v>
      </c>
      <c r="K1989" s="6"/>
      <c r="L1989" s="6" t="s">
        <v>2190</v>
      </c>
      <c r="M1989" s="6" t="s">
        <v>8229</v>
      </c>
      <c r="N1989" s="7">
        <f ca="1">RAND()</f>
        <v>0.44613159486335663</v>
      </c>
      <c r="O1989" s="8">
        <v>45214</v>
      </c>
      <c r="P1989" s="8">
        <v>45215</v>
      </c>
      <c r="Q1989" s="8">
        <v>45217</v>
      </c>
      <c r="R1989" s="8">
        <v>45221</v>
      </c>
      <c r="S1989" s="8">
        <v>45228</v>
      </c>
      <c r="T1989" s="8"/>
      <c r="U1989" s="8"/>
      <c r="V1989" s="10">
        <f>COUNTA(O1989:U1989)</f>
        <v>5</v>
      </c>
      <c r="W1989" s="11">
        <f>_xlfn.IFNA(INDEX(reading[[#This Row],[Memo 01]:[Memo 07]],MATCH(0,reading[[#This Row],[Memo 01]:[Memo 07]],-1)),"")</f>
        <v>45228</v>
      </c>
      <c r="X1989" s="11">
        <f ca="1">IFERROR(reading[[#This Row],[Previous]]+OFFSET(reading[[#Headers],[Memo 01]],-1,MATCH(0,reading[[#This Row],[Memo 01]:[Memo 07]],-1)-1),"")</f>
        <v>45240</v>
      </c>
      <c r="Y1989" s="10" t="str">
        <f ca="1">IF(reading[[#This Row],[Next]]&lt;&gt;"",IF(reading[[#This Row],[Next]]&gt;TODAY(),"OK",""),"")</f>
        <v/>
      </c>
      <c r="Z1989" s="13">
        <v>3</v>
      </c>
      <c r="AA1989" s="13">
        <v>3</v>
      </c>
      <c r="AB1989" s="13">
        <v>3</v>
      </c>
      <c r="AC1989" s="13">
        <v>2</v>
      </c>
      <c r="AD1989" s="13">
        <v>3</v>
      </c>
      <c r="AE1989" s="13"/>
      <c r="AF1989" s="13"/>
      <c r="AG1989" s="16">
        <f>IFERROR(SUMIF(reading[[#This Row],[1st]:[7th]],"&gt;0")/COUNTIF(reading[[#This Row],[1st]:[7th]],"&gt;0"),"")</f>
        <v>2.8</v>
      </c>
    </row>
    <row r="1990" spans="1:33" x14ac:dyDescent="0.2">
      <c r="A1990" s="4">
        <f>IF(B1990=1,3,IF(D1990=1,2,IF(F1990=1,1,0)))</f>
        <v>3</v>
      </c>
      <c r="B1990" s="4">
        <f>IF(C1990=$L1990,1,IF(C1990="","",0))</f>
        <v>1</v>
      </c>
      <c r="C1990" s="42" t="s">
        <v>9369</v>
      </c>
      <c r="D1990" s="4" t="str">
        <f>IF(E1990=$L1990,1,IF(E1990="","",0))</f>
        <v/>
      </c>
      <c r="E1990" s="14"/>
      <c r="F1990" s="4" t="str">
        <f>IF(G1990=$L1990,1,IF(G1990="","",0))</f>
        <v/>
      </c>
      <c r="G1990" s="14"/>
      <c r="H1990" s="6">
        <v>1494</v>
      </c>
      <c r="I1990" s="15" t="s">
        <v>3120</v>
      </c>
      <c r="J1990" s="6" t="s">
        <v>4608</v>
      </c>
      <c r="K1990" s="15" t="s">
        <v>3138</v>
      </c>
      <c r="L1990" s="6" t="s">
        <v>1580</v>
      </c>
      <c r="M1990" s="6" t="s">
        <v>7601</v>
      </c>
      <c r="N1990" s="7">
        <f ca="1">RAND()</f>
        <v>0.1065933722703627</v>
      </c>
      <c r="O1990" s="8">
        <v>45208</v>
      </c>
      <c r="P1990" s="8">
        <v>45209</v>
      </c>
      <c r="Q1990" s="8">
        <v>45211</v>
      </c>
      <c r="R1990" s="8">
        <v>45215</v>
      </c>
      <c r="S1990" s="8">
        <v>45222</v>
      </c>
      <c r="T1990" s="8">
        <v>45234</v>
      </c>
      <c r="U1990" s="8"/>
      <c r="V1990" s="10">
        <f>COUNTA(O1990:U1990)</f>
        <v>6</v>
      </c>
      <c r="W1990" s="11">
        <f>_xlfn.IFNA(INDEX(reading[[#This Row],[Memo 01]:[Memo 07]],MATCH(0,reading[[#This Row],[Memo 01]:[Memo 07]],-1)),"")</f>
        <v>45234</v>
      </c>
      <c r="X1990" s="11">
        <f ca="1">IFERROR(reading[[#This Row],[Previous]]+OFFSET(reading[[#Headers],[Memo 01]],-1,MATCH(0,reading[[#This Row],[Memo 01]:[Memo 07]],-1)-1),"")</f>
        <v>45254</v>
      </c>
      <c r="Y1990" s="10" t="str">
        <f ca="1">IF(reading[[#This Row],[Next]]&lt;&gt;"",IF(reading[[#This Row],[Next]]&gt;TODAY(),"OK",""),"")</f>
        <v/>
      </c>
      <c r="Z1990" s="13">
        <v>3</v>
      </c>
      <c r="AA1990" s="13">
        <v>3</v>
      </c>
      <c r="AB1990" s="13">
        <v>3</v>
      </c>
      <c r="AC1990" s="13">
        <v>3</v>
      </c>
      <c r="AD1990" s="13">
        <v>3</v>
      </c>
      <c r="AE1990" s="13">
        <v>3</v>
      </c>
      <c r="AF1990" s="13"/>
      <c r="AG1990" s="16">
        <f>IFERROR(SUMIF(reading[[#This Row],[1st]:[7th]],"&gt;0")/COUNTIF(reading[[#This Row],[1st]:[7th]],"&gt;0"),"")</f>
        <v>3</v>
      </c>
    </row>
    <row r="1991" spans="1:33" hidden="1" x14ac:dyDescent="0.2">
      <c r="A1991" s="4">
        <f>IF(B1991=1,3,IF(D1991=1,2,IF(F1991=1,1,0)))</f>
        <v>3</v>
      </c>
      <c r="B1991" s="4">
        <f>IF(C1991=$L1991,1,IF(C1991="","",0))</f>
        <v>1</v>
      </c>
      <c r="C1991" s="33" t="s">
        <v>2070</v>
      </c>
      <c r="D1991" s="4" t="str">
        <f>IF(E1991=$L1991,1,IF(E1991="","",0))</f>
        <v/>
      </c>
      <c r="E1991" s="14"/>
      <c r="F1991" s="4" t="str">
        <f>IF(G1991=$L1991,1,IF(G1991="","",0))</f>
        <v/>
      </c>
      <c r="G1991" s="14"/>
      <c r="H1991" s="6">
        <v>1995</v>
      </c>
      <c r="I1991" s="15" t="s">
        <v>3120</v>
      </c>
      <c r="J1991" s="6" t="s">
        <v>5093</v>
      </c>
      <c r="K1991" s="6"/>
      <c r="L1991" s="6" t="s">
        <v>2070</v>
      </c>
      <c r="M1991" s="6" t="s">
        <v>8101</v>
      </c>
      <c r="N1991" s="7">
        <f ca="1">RAND()</f>
        <v>0.13016949705734715</v>
      </c>
      <c r="O1991" s="8">
        <v>45213</v>
      </c>
      <c r="P1991" s="8">
        <v>45213</v>
      </c>
      <c r="Q1991" s="8">
        <v>45213</v>
      </c>
      <c r="R1991" s="8">
        <v>45213</v>
      </c>
      <c r="S1991" s="8">
        <v>45213</v>
      </c>
      <c r="T1991" s="8">
        <v>45213</v>
      </c>
      <c r="U1991" s="8">
        <v>45213</v>
      </c>
      <c r="V1991" s="10">
        <f>COUNTA(O1991:U1991)</f>
        <v>7</v>
      </c>
      <c r="W1991" s="11">
        <f>_xlfn.IFNA(INDEX(reading[[#This Row],[Memo 01]:[Memo 07]],MATCH(0,reading[[#This Row],[Memo 01]:[Memo 07]],-1)),"")</f>
        <v>45213</v>
      </c>
      <c r="X1991" s="11">
        <f ca="1">IFERROR(reading[[#This Row],[Previous]]+OFFSET(reading[[#Headers],[Memo 01]],-1,MATCH(0,reading[[#This Row],[Memo 01]:[Memo 07]],-1)-1),"")</f>
        <v>55213</v>
      </c>
      <c r="Y1991" s="10" t="str">
        <f ca="1">IF(reading[[#This Row],[Next]]&lt;&gt;"",IF(reading[[#This Row],[Next]]&gt;TODAY(),"OK",""),"")</f>
        <v>OK</v>
      </c>
      <c r="Z1991" s="13">
        <v>3</v>
      </c>
      <c r="AA1991" s="13"/>
      <c r="AB1991" s="13"/>
      <c r="AC1991" s="13"/>
      <c r="AD1991" s="13"/>
      <c r="AE1991" s="13"/>
      <c r="AF1991" s="13"/>
      <c r="AG1991" s="16">
        <f>IFERROR(SUMIF(reading[[#This Row],[1st]:[7th]],"&gt;0")/COUNTIF(reading[[#This Row],[1st]:[7th]],"&gt;0"),"")</f>
        <v>3</v>
      </c>
    </row>
    <row r="1992" spans="1:33" x14ac:dyDescent="0.2">
      <c r="A1992" s="4">
        <f>IF(B1992=1,3,IF(D1992=1,2,IF(F1992=1,1,0)))</f>
        <v>0</v>
      </c>
      <c r="B1992" s="4">
        <f>IF(C1992=$L1992,1,IF(C1992="","",0))</f>
        <v>0</v>
      </c>
      <c r="C1992" s="42" t="s">
        <v>9200</v>
      </c>
      <c r="D1992" s="4" t="str">
        <f>IF(E1992=$L1992,1,IF(E1992="","",0))</f>
        <v/>
      </c>
      <c r="E1992" s="18"/>
      <c r="F1992" s="4" t="str">
        <f>IF(G1992=$L1992,1,IF(G1992="","",0))</f>
        <v/>
      </c>
      <c r="G1992" s="14"/>
      <c r="H1992" s="6">
        <v>2589</v>
      </c>
      <c r="I1992" s="15" t="s">
        <v>3120</v>
      </c>
      <c r="J1992" s="6" t="s">
        <v>3433</v>
      </c>
      <c r="K1992" s="15" t="s">
        <v>3138</v>
      </c>
      <c r="L1992" s="6" t="s">
        <v>2632</v>
      </c>
      <c r="M1992" s="6" t="s">
        <v>8694</v>
      </c>
      <c r="N1992" s="7">
        <f ca="1">RAND()</f>
        <v>0.32451425985419446</v>
      </c>
      <c r="O1992" s="8">
        <v>45220</v>
      </c>
      <c r="P1992" s="8">
        <v>45221</v>
      </c>
      <c r="Q1992" s="8">
        <v>45223</v>
      </c>
      <c r="R1992" s="8">
        <v>45227</v>
      </c>
      <c r="S1992" s="8">
        <v>45235</v>
      </c>
      <c r="T1992" s="8">
        <v>45252</v>
      </c>
      <c r="U1992" s="8"/>
      <c r="V1992" s="10">
        <f>COUNTA(O1992:U1992)</f>
        <v>6</v>
      </c>
      <c r="W1992" s="11">
        <f>_xlfn.IFNA(INDEX(reading[[#This Row],[Memo 01]:[Memo 07]],MATCH(0,reading[[#This Row],[Memo 01]:[Memo 07]],-1)),"")</f>
        <v>45252</v>
      </c>
      <c r="X1992" s="11">
        <f ca="1">IFERROR(reading[[#This Row],[Previous]]+OFFSET(reading[[#Headers],[Memo 01]],-1,MATCH(0,reading[[#This Row],[Memo 01]:[Memo 07]],-1)-1),"")</f>
        <v>45272</v>
      </c>
      <c r="Y1992" s="10" t="str">
        <f ca="1">IF(reading[[#This Row],[Next]]&lt;&gt;"",IF(reading[[#This Row],[Next]]&gt;TODAY(),"OK",""),"")</f>
        <v/>
      </c>
      <c r="Z1992" s="13">
        <v>3</v>
      </c>
      <c r="AA1992" s="13">
        <v>3</v>
      </c>
      <c r="AB1992" s="13">
        <v>2</v>
      </c>
      <c r="AC1992" s="13">
        <v>3</v>
      </c>
      <c r="AD1992" s="13">
        <v>2</v>
      </c>
      <c r="AE1992" s="13">
        <v>2</v>
      </c>
      <c r="AF1992" s="13"/>
      <c r="AG1992" s="16">
        <f>IFERROR(SUMIF(reading[[#This Row],[1st]:[7th]],"&gt;0")/COUNTIF(reading[[#This Row],[1st]:[7th]],"&gt;0"),"")</f>
        <v>2.5</v>
      </c>
    </row>
    <row r="1993" spans="1:33" x14ac:dyDescent="0.2">
      <c r="A1993" s="4">
        <f>IF(B1993=1,3,IF(D1993=1,2,IF(F1993=1,1,0)))</f>
        <v>0</v>
      </c>
      <c r="B1993" s="4">
        <f>IF(C1993=$L1993,1,IF(C1993="","",0))</f>
        <v>0</v>
      </c>
      <c r="C1993" s="42" t="s">
        <v>9200</v>
      </c>
      <c r="D1993" s="4" t="str">
        <f>IF(E1993=$L1993,1,IF(E1993="","",0))</f>
        <v/>
      </c>
      <c r="E1993" s="18"/>
      <c r="F1993" s="4" t="str">
        <f>IF(G1993=$L1993,1,IF(G1993="","",0))</f>
        <v/>
      </c>
      <c r="G1993" s="14"/>
      <c r="H1993" s="6">
        <v>2774</v>
      </c>
      <c r="I1993" s="15" t="s">
        <v>3120</v>
      </c>
      <c r="J1993" s="6" t="s">
        <v>3830</v>
      </c>
      <c r="K1993" s="6"/>
      <c r="L1993" s="6" t="s">
        <v>2812</v>
      </c>
      <c r="M1993" s="6" t="s">
        <v>8878</v>
      </c>
      <c r="N1993" s="7">
        <f ca="1">RAND()</f>
        <v>3.0105942411853492E-2</v>
      </c>
      <c r="O1993" s="8">
        <v>45222</v>
      </c>
      <c r="P1993" s="8">
        <v>45223</v>
      </c>
      <c r="Q1993" s="8">
        <v>45225</v>
      </c>
      <c r="R1993" s="8">
        <v>45229</v>
      </c>
      <c r="S1993" s="8">
        <v>45236</v>
      </c>
      <c r="T1993" s="8"/>
      <c r="U1993" s="8"/>
      <c r="V1993" s="10">
        <f>COUNTA(O1993:U1993)</f>
        <v>5</v>
      </c>
      <c r="W1993" s="11">
        <f>_xlfn.IFNA(INDEX(reading[[#This Row],[Memo 01]:[Memo 07]],MATCH(0,reading[[#This Row],[Memo 01]:[Memo 07]],-1)),"")</f>
        <v>45236</v>
      </c>
      <c r="X1993" s="11">
        <f ca="1">IFERROR(reading[[#This Row],[Previous]]+OFFSET(reading[[#Headers],[Memo 01]],-1,MATCH(0,reading[[#This Row],[Memo 01]:[Memo 07]],-1)-1),"")</f>
        <v>45248</v>
      </c>
      <c r="Y1993" s="10" t="str">
        <f ca="1">IF(reading[[#This Row],[Next]]&lt;&gt;"",IF(reading[[#This Row],[Next]]&gt;TODAY(),"OK",""),"")</f>
        <v/>
      </c>
      <c r="Z1993" s="13">
        <v>3</v>
      </c>
      <c r="AA1993" s="13">
        <v>2</v>
      </c>
      <c r="AB1993" s="13">
        <v>3</v>
      </c>
      <c r="AC1993" s="13">
        <v>3</v>
      </c>
      <c r="AD1993" s="13">
        <v>3</v>
      </c>
      <c r="AE1993" s="13"/>
      <c r="AF1993" s="13"/>
      <c r="AG1993" s="16">
        <f>IFERROR(SUMIF(reading[[#This Row],[1st]:[7th]],"&gt;0")/COUNTIF(reading[[#This Row],[1st]:[7th]],"&gt;0"),"")</f>
        <v>2.8</v>
      </c>
    </row>
    <row r="1994" spans="1:33" hidden="1" x14ac:dyDescent="0.2">
      <c r="A1994" s="4">
        <f>IF(B1994=1,3,IF(D1994=1,2,IF(F1994=1,1,0)))</f>
        <v>0</v>
      </c>
      <c r="B1994" s="4" t="str">
        <f>IF(C1994=$L1994,1,IF(C1994="","",0))</f>
        <v/>
      </c>
      <c r="C1994" s="42"/>
      <c r="D1994" s="4" t="str">
        <f>IF(E1994=$L1994,1,IF(E1994="","",0))</f>
        <v/>
      </c>
      <c r="E1994" s="43"/>
      <c r="F1994" s="4" t="str">
        <f>IF(G1994=$L1994,1,IF(G1994="","",0))</f>
        <v/>
      </c>
      <c r="G1994" s="23"/>
      <c r="H1994" s="6">
        <v>2580</v>
      </c>
      <c r="I1994" s="15" t="s">
        <v>3120</v>
      </c>
      <c r="J1994" s="6" t="s">
        <v>5640</v>
      </c>
      <c r="K1994" s="15" t="s">
        <v>3139</v>
      </c>
      <c r="L1994" s="6" t="s">
        <v>2624</v>
      </c>
      <c r="M1994" s="6" t="s">
        <v>8685</v>
      </c>
      <c r="N1994" s="7">
        <f ca="1">RAND()</f>
        <v>5.7231739985398877E-2</v>
      </c>
      <c r="O1994" s="8">
        <v>45220</v>
      </c>
      <c r="P1994" s="8">
        <v>45221</v>
      </c>
      <c r="Q1994" s="8">
        <v>45223</v>
      </c>
      <c r="R1994" s="8">
        <v>45227</v>
      </c>
      <c r="S1994" s="8">
        <v>45235</v>
      </c>
      <c r="T1994" s="8">
        <v>45252</v>
      </c>
      <c r="U1994" s="8">
        <v>45817</v>
      </c>
      <c r="V1994" s="10">
        <f>COUNTA(O1994:U1994)</f>
        <v>7</v>
      </c>
      <c r="W1994" s="11">
        <f>_xlfn.IFNA(INDEX(reading[[#This Row],[Memo 01]:[Memo 07]],MATCH(0,reading[[#This Row],[Memo 01]:[Memo 07]],-1)),"")</f>
        <v>45817</v>
      </c>
      <c r="X1994" s="11">
        <f ca="1">IFERROR(reading[[#This Row],[Previous]]+OFFSET(reading[[#Headers],[Memo 01]],-1,MATCH(0,reading[[#This Row],[Memo 01]:[Memo 07]],-1)-1),"")</f>
        <v>55817</v>
      </c>
      <c r="Y1994" s="10" t="str">
        <f ca="1">IF(reading[[#This Row],[Next]]&lt;&gt;"",IF(reading[[#This Row],[Next]]&gt;TODAY(),"OK",""),"")</f>
        <v>OK</v>
      </c>
      <c r="Z1994" s="13">
        <v>3</v>
      </c>
      <c r="AA1994" s="13">
        <v>3</v>
      </c>
      <c r="AB1994" s="13">
        <v>3</v>
      </c>
      <c r="AC1994" s="13">
        <v>2</v>
      </c>
      <c r="AD1994" s="13">
        <v>2</v>
      </c>
      <c r="AE1994" s="13">
        <v>2</v>
      </c>
      <c r="AF1994" s="13">
        <v>1</v>
      </c>
      <c r="AG1994" s="16">
        <f>IFERROR(SUMIF(reading[[#This Row],[1st]:[7th]],"&gt;0")/COUNTIF(reading[[#This Row],[1st]:[7th]],"&gt;0"),"")</f>
        <v>2.2857142857142856</v>
      </c>
    </row>
    <row r="1995" spans="1:33" hidden="1" x14ac:dyDescent="0.2">
      <c r="A1995" s="4">
        <f>IF(B1995=1,3,IF(D1995=1,2,IF(F1995=1,1,0)))</f>
        <v>0</v>
      </c>
      <c r="B1995" s="4" t="str">
        <f>IF(C1995=$L1995,1,IF(C1995="","",0))</f>
        <v/>
      </c>
      <c r="C1995" s="42"/>
      <c r="D1995" s="4" t="str">
        <f>IF(E1995=$L1995,1,IF(E1995="","",0))</f>
        <v/>
      </c>
      <c r="E1995" s="23"/>
      <c r="F1995" s="4" t="str">
        <f>IF(G1995=$L1995,1,IF(G1995="","",0))</f>
        <v/>
      </c>
      <c r="G1995" s="14"/>
      <c r="H1995" s="6">
        <v>2835</v>
      </c>
      <c r="I1995" s="15" t="s">
        <v>3120</v>
      </c>
      <c r="J1995" s="6" t="s">
        <v>5876</v>
      </c>
      <c r="K1995" s="6"/>
      <c r="L1995" s="6" t="s">
        <v>2870</v>
      </c>
      <c r="M1995" s="6" t="s">
        <v>8939</v>
      </c>
      <c r="N1995" s="7">
        <f ca="1">RAND()</f>
        <v>0.64042274460489079</v>
      </c>
      <c r="O1995" s="8">
        <v>45222</v>
      </c>
      <c r="P1995" s="8">
        <v>45223</v>
      </c>
      <c r="Q1995" s="8">
        <v>45225</v>
      </c>
      <c r="R1995" s="8">
        <v>45229</v>
      </c>
      <c r="S1995" s="8">
        <v>45236</v>
      </c>
      <c r="T1995" s="8">
        <v>45825</v>
      </c>
      <c r="U1995" s="8"/>
      <c r="V1995" s="10">
        <f>COUNTA(O1995:U1995)</f>
        <v>6</v>
      </c>
      <c r="W1995" s="11">
        <f>_xlfn.IFNA(INDEX(reading[[#This Row],[Memo 01]:[Memo 07]],MATCH(0,reading[[#This Row],[Memo 01]:[Memo 07]],-1)),"")</f>
        <v>45825</v>
      </c>
      <c r="X1995" s="11">
        <f ca="1">IFERROR(reading[[#This Row],[Previous]]+OFFSET(reading[[#Headers],[Memo 01]],-1,MATCH(0,reading[[#This Row],[Memo 01]:[Memo 07]],-1)-1),"")</f>
        <v>45845</v>
      </c>
      <c r="Y1995" s="10" t="str">
        <f ca="1">IF(reading[[#This Row],[Next]]&lt;&gt;"",IF(reading[[#This Row],[Next]]&gt;TODAY(),"OK",""),"")</f>
        <v>OK</v>
      </c>
      <c r="Z1995" s="13">
        <v>3</v>
      </c>
      <c r="AA1995" s="13">
        <v>3</v>
      </c>
      <c r="AB1995" s="13">
        <v>3</v>
      </c>
      <c r="AC1995" s="13">
        <v>3</v>
      </c>
      <c r="AD1995" s="13">
        <v>3</v>
      </c>
      <c r="AE1995" s="13">
        <v>2</v>
      </c>
      <c r="AF1995" s="13"/>
      <c r="AG1995" s="16">
        <f>IFERROR(SUMIF(reading[[#This Row],[1st]:[7th]],"&gt;0")/COUNTIF(reading[[#This Row],[1st]:[7th]],"&gt;0"),"")</f>
        <v>2.8333333333333335</v>
      </c>
    </row>
    <row r="1996" spans="1:33" x14ac:dyDescent="0.2">
      <c r="A1996" s="4">
        <f>IF(B1996=1,3,IF(D1996=1,2,IF(F1996=1,1,0)))</f>
        <v>3</v>
      </c>
      <c r="B1996" s="4">
        <f>IF(C1996=$L1996,1,IF(C1996="","",0))</f>
        <v>1</v>
      </c>
      <c r="C1996" s="42" t="s">
        <v>9370</v>
      </c>
      <c r="D1996" s="4" t="str">
        <f>IF(E1996=$L1996,1,IF(E1996="","",0))</f>
        <v/>
      </c>
      <c r="E1996" s="14"/>
      <c r="F1996" s="4" t="str">
        <f>IF(G1996=$L1996,1,IF(G1996="","",0))</f>
        <v/>
      </c>
      <c r="G1996" s="14"/>
      <c r="H1996" s="6">
        <v>2220</v>
      </c>
      <c r="I1996" s="15" t="s">
        <v>3120</v>
      </c>
      <c r="J1996" s="6" t="s">
        <v>5306</v>
      </c>
      <c r="K1996" s="6"/>
      <c r="L1996" s="6" t="s">
        <v>2283</v>
      </c>
      <c r="M1996" s="6" t="s">
        <v>8326</v>
      </c>
      <c r="N1996" s="7">
        <f ca="1">RAND()</f>
        <v>0.33511156501204609</v>
      </c>
      <c r="O1996" s="8">
        <v>45215</v>
      </c>
      <c r="P1996" s="8">
        <v>45216</v>
      </c>
      <c r="Q1996" s="8">
        <v>45218</v>
      </c>
      <c r="R1996" s="8">
        <v>45222</v>
      </c>
      <c r="S1996" s="8">
        <v>45229</v>
      </c>
      <c r="T1996" s="8"/>
      <c r="U1996" s="8"/>
      <c r="V1996" s="10">
        <f>COUNTA(O1996:U1996)</f>
        <v>5</v>
      </c>
      <c r="W1996" s="11">
        <f>_xlfn.IFNA(INDEX(reading[[#This Row],[Memo 01]:[Memo 07]],MATCH(0,reading[[#This Row],[Memo 01]:[Memo 07]],-1)),"")</f>
        <v>45229</v>
      </c>
      <c r="X1996" s="11">
        <f ca="1">IFERROR(reading[[#This Row],[Previous]]+OFFSET(reading[[#Headers],[Memo 01]],-1,MATCH(0,reading[[#This Row],[Memo 01]:[Memo 07]],-1)-1),"")</f>
        <v>45241</v>
      </c>
      <c r="Y1996" s="10" t="str">
        <f ca="1">IF(reading[[#This Row],[Next]]&lt;&gt;"",IF(reading[[#This Row],[Next]]&gt;TODAY(),"OK",""),"")</f>
        <v/>
      </c>
      <c r="Z1996" s="13">
        <v>3</v>
      </c>
      <c r="AA1996" s="13">
        <v>3</v>
      </c>
      <c r="AB1996" s="13">
        <v>3</v>
      </c>
      <c r="AC1996" s="13">
        <v>3</v>
      </c>
      <c r="AD1996" s="13">
        <v>3</v>
      </c>
      <c r="AE1996" s="13"/>
      <c r="AF1996" s="13"/>
      <c r="AG1996" s="16">
        <f>IFERROR(SUMIF(reading[[#This Row],[1st]:[7th]],"&gt;0")/COUNTIF(reading[[#This Row],[1st]:[7th]],"&gt;0"),"")</f>
        <v>3</v>
      </c>
    </row>
    <row r="1997" spans="1:33" hidden="1" x14ac:dyDescent="0.2">
      <c r="A1997" s="4">
        <f>IF(B1997=1,3,IF(D1997=1,2,IF(F1997=1,1,0)))</f>
        <v>0</v>
      </c>
      <c r="B1997" s="4" t="str">
        <f>IF(C1997=$L1997,1,IF(C1997="","",0))</f>
        <v/>
      </c>
      <c r="C1997" s="42"/>
      <c r="D1997" s="4" t="str">
        <f>IF(E1997=$L1997,1,IF(E1997="","",0))</f>
        <v/>
      </c>
      <c r="E1997" s="23"/>
      <c r="F1997" s="4" t="str">
        <f>IF(G1997=$L1997,1,IF(G1997="","",0))</f>
        <v/>
      </c>
      <c r="G1997" s="14"/>
      <c r="H1997" s="6">
        <v>1931</v>
      </c>
      <c r="I1997" s="15" t="s">
        <v>3120</v>
      </c>
      <c r="J1997" s="6" t="s">
        <v>5030</v>
      </c>
      <c r="K1997" s="6"/>
      <c r="L1997" s="6" t="s">
        <v>2007</v>
      </c>
      <c r="M1997" s="6" t="s">
        <v>8037</v>
      </c>
      <c r="N1997" s="7">
        <f ca="1">RAND()</f>
        <v>0.65417969521016195</v>
      </c>
      <c r="O1997" s="8">
        <v>45212</v>
      </c>
      <c r="P1997" s="8">
        <v>45213</v>
      </c>
      <c r="Q1997" s="8">
        <v>45215</v>
      </c>
      <c r="R1997" s="8">
        <v>45219</v>
      </c>
      <c r="S1997" s="8">
        <v>45226</v>
      </c>
      <c r="T1997" s="8">
        <v>45816</v>
      </c>
      <c r="U1997" s="8"/>
      <c r="V1997" s="10">
        <f>COUNTA(O1997:U1997)</f>
        <v>6</v>
      </c>
      <c r="W1997" s="11">
        <f>_xlfn.IFNA(INDEX(reading[[#This Row],[Memo 01]:[Memo 07]],MATCH(0,reading[[#This Row],[Memo 01]:[Memo 07]],-1)),"")</f>
        <v>45816</v>
      </c>
      <c r="X1997" s="11">
        <f ca="1">IFERROR(reading[[#This Row],[Previous]]+OFFSET(reading[[#Headers],[Memo 01]],-1,MATCH(0,reading[[#This Row],[Memo 01]:[Memo 07]],-1)-1),"")</f>
        <v>45836</v>
      </c>
      <c r="Y1997" s="10" t="str">
        <f ca="1">IF(reading[[#This Row],[Next]]&lt;&gt;"",IF(reading[[#This Row],[Next]]&gt;TODAY(),"OK",""),"")</f>
        <v>OK</v>
      </c>
      <c r="Z1997" s="13">
        <v>3</v>
      </c>
      <c r="AA1997" s="13">
        <v>3</v>
      </c>
      <c r="AB1997" s="13">
        <v>3</v>
      </c>
      <c r="AC1997" s="13">
        <v>3</v>
      </c>
      <c r="AD1997" s="13">
        <v>3</v>
      </c>
      <c r="AE1997" s="13">
        <v>2</v>
      </c>
      <c r="AF1997" s="13"/>
      <c r="AG1997" s="16">
        <f>IFERROR(SUMIF(reading[[#This Row],[1st]:[7th]],"&gt;0")/COUNTIF(reading[[#This Row],[1st]:[7th]],"&gt;0"),"")</f>
        <v>2.8333333333333335</v>
      </c>
    </row>
    <row r="1998" spans="1:33" x14ac:dyDescent="0.2">
      <c r="A1998" s="4">
        <f>IF(B1998=1,3,IF(D1998=1,2,IF(F1998=1,1,0)))</f>
        <v>3</v>
      </c>
      <c r="B1998" s="4">
        <f>IF(C1998=$L1998,1,IF(C1998="","",0))</f>
        <v>1</v>
      </c>
      <c r="C1998" s="42" t="s">
        <v>9371</v>
      </c>
      <c r="D1998" s="4" t="str">
        <f>IF(E1998=$L1998,1,IF(E1998="","",0))</f>
        <v/>
      </c>
      <c r="E1998" s="18"/>
      <c r="F1998" s="4" t="str">
        <f>IF(G1998=$L1998,1,IF(G1998="","",0))</f>
        <v/>
      </c>
      <c r="G1998" s="14"/>
      <c r="H1998" s="6">
        <v>967</v>
      </c>
      <c r="I1998" s="15" t="s">
        <v>3120</v>
      </c>
      <c r="J1998" s="6" t="s">
        <v>4096</v>
      </c>
      <c r="K1998" s="6"/>
      <c r="L1998" s="6" t="s">
        <v>1077</v>
      </c>
      <c r="M1998" s="6" t="s">
        <v>7075</v>
      </c>
      <c r="N1998" s="7">
        <f ca="1">RAND()</f>
        <v>0.36776276954461662</v>
      </c>
      <c r="O1998" s="8">
        <v>45204</v>
      </c>
      <c r="P1998" s="8">
        <v>45205</v>
      </c>
      <c r="Q1998" s="8">
        <v>45207</v>
      </c>
      <c r="R1998" s="8">
        <v>45211</v>
      </c>
      <c r="S1998" s="8">
        <v>45218</v>
      </c>
      <c r="T1998" s="8">
        <v>45230</v>
      </c>
      <c r="U1998" s="8"/>
      <c r="V1998" s="10">
        <f>COUNTA(O1998:U1998)</f>
        <v>6</v>
      </c>
      <c r="W1998" s="11">
        <f>_xlfn.IFNA(INDEX(reading[[#This Row],[Memo 01]:[Memo 07]],MATCH(0,reading[[#This Row],[Memo 01]:[Memo 07]],-1)),"")</f>
        <v>45230</v>
      </c>
      <c r="X1998" s="11">
        <f ca="1">IFERROR(reading[[#This Row],[Previous]]+OFFSET(reading[[#Headers],[Memo 01]],-1,MATCH(0,reading[[#This Row],[Memo 01]:[Memo 07]],-1)-1),"")</f>
        <v>45250</v>
      </c>
      <c r="Y1998" s="10" t="str">
        <f ca="1">IF(reading[[#This Row],[Next]]&lt;&gt;"",IF(reading[[#This Row],[Next]]&gt;TODAY(),"OK",""),"")</f>
        <v/>
      </c>
      <c r="Z1998" s="13">
        <v>3</v>
      </c>
      <c r="AA1998" s="13">
        <v>3</v>
      </c>
      <c r="AB1998" s="13">
        <v>3</v>
      </c>
      <c r="AC1998" s="13">
        <v>3</v>
      </c>
      <c r="AD1998" s="13">
        <v>3</v>
      </c>
      <c r="AE1998" s="13">
        <v>3</v>
      </c>
      <c r="AF1998" s="13"/>
      <c r="AG1998" s="16">
        <f>IFERROR(SUMIF(reading[[#This Row],[1st]:[7th]],"&gt;0")/COUNTIF(reading[[#This Row],[1st]:[7th]],"&gt;0"),"")</f>
        <v>3</v>
      </c>
    </row>
    <row r="1999" spans="1:33" hidden="1" x14ac:dyDescent="0.2">
      <c r="A1999" s="4">
        <f>IF(B1999=1,3,IF(D1999=1,2,IF(F1999=1,1,0)))</f>
        <v>0</v>
      </c>
      <c r="B1999" s="4" t="str">
        <f>IF(C1999=$L1999,1,IF(C1999="","",0))</f>
        <v/>
      </c>
      <c r="C1999" s="42"/>
      <c r="D1999" s="4" t="str">
        <f>IF(E1999=$L1999,1,IF(E1999="","",0))</f>
        <v/>
      </c>
      <c r="E1999" s="23"/>
      <c r="F1999" s="4" t="str">
        <f>IF(G1999=$L1999,1,IF(G1999="","",0))</f>
        <v/>
      </c>
      <c r="G1999" s="14"/>
      <c r="H1999" s="6">
        <v>2986</v>
      </c>
      <c r="I1999" s="15" t="s">
        <v>3120</v>
      </c>
      <c r="J1999" s="6" t="s">
        <v>6013</v>
      </c>
      <c r="K1999" s="15" t="s">
        <v>3138</v>
      </c>
      <c r="L1999" s="6" t="s">
        <v>3015</v>
      </c>
      <c r="M1999" s="6" t="s">
        <v>9090</v>
      </c>
      <c r="N1999" s="7">
        <f ca="1">RAND()</f>
        <v>0.7821201811681131</v>
      </c>
      <c r="O1999" s="8">
        <v>45223</v>
      </c>
      <c r="P1999" s="8">
        <v>45224</v>
      </c>
      <c r="Q1999" s="8">
        <v>45226</v>
      </c>
      <c r="R1999" s="8">
        <v>45230</v>
      </c>
      <c r="S1999" s="8">
        <v>45237</v>
      </c>
      <c r="T1999" s="8">
        <v>45816</v>
      </c>
      <c r="U1999" s="8"/>
      <c r="V1999" s="10">
        <f>COUNTA(O1999:U1999)</f>
        <v>6</v>
      </c>
      <c r="W1999" s="11">
        <f>_xlfn.IFNA(INDEX(reading[[#This Row],[Memo 01]:[Memo 07]],MATCH(0,reading[[#This Row],[Memo 01]:[Memo 07]],-1)),"")</f>
        <v>45816</v>
      </c>
      <c r="X1999" s="11">
        <f ca="1">IFERROR(reading[[#This Row],[Previous]]+OFFSET(reading[[#Headers],[Memo 01]],-1,MATCH(0,reading[[#This Row],[Memo 01]:[Memo 07]],-1)-1),"")</f>
        <v>45836</v>
      </c>
      <c r="Y1999" s="10" t="str">
        <f ca="1">IF(reading[[#This Row],[Next]]&lt;&gt;"",IF(reading[[#This Row],[Next]]&gt;TODAY(),"OK",""),"")</f>
        <v>OK</v>
      </c>
      <c r="Z1999" s="13">
        <v>3</v>
      </c>
      <c r="AA1999" s="13">
        <v>3</v>
      </c>
      <c r="AB1999" s="13">
        <v>3</v>
      </c>
      <c r="AC1999" s="13">
        <v>3</v>
      </c>
      <c r="AD1999" s="13">
        <v>3</v>
      </c>
      <c r="AE1999" s="13">
        <v>2</v>
      </c>
      <c r="AF1999" s="13"/>
      <c r="AG1999" s="16">
        <f>IFERROR(SUMIF(reading[[#This Row],[1st]:[7th]],"&gt;0")/COUNTIF(reading[[#This Row],[1st]:[7th]],"&gt;0"),"")</f>
        <v>2.8333333333333335</v>
      </c>
    </row>
    <row r="2000" spans="1:33" x14ac:dyDescent="0.2">
      <c r="A2000" s="4">
        <f>IF(B2000=1,3,IF(D2000=1,2,IF(F2000=1,1,0)))</f>
        <v>3</v>
      </c>
      <c r="B2000" s="4">
        <f>IF(C2000=$L2000,1,IF(C2000="","",0))</f>
        <v>1</v>
      </c>
      <c r="C2000" s="42" t="s">
        <v>9372</v>
      </c>
      <c r="D2000" s="4" t="str">
        <f>IF(E2000=$L2000,1,IF(E2000="","",0))</f>
        <v/>
      </c>
      <c r="E2000" s="14"/>
      <c r="F2000" s="4" t="str">
        <f>IF(G2000=$L2000,1,IF(G2000="","",0))</f>
        <v/>
      </c>
      <c r="G2000" s="14"/>
      <c r="H2000" s="6">
        <v>582</v>
      </c>
      <c r="I2000" s="15" t="s">
        <v>3120</v>
      </c>
      <c r="J2000" s="6" t="s">
        <v>3725</v>
      </c>
      <c r="K2000" s="6"/>
      <c r="L2000" s="6" t="s">
        <v>708</v>
      </c>
      <c r="M2000" s="6" t="s">
        <v>6691</v>
      </c>
      <c r="N2000" s="7">
        <f ca="1">RAND()</f>
        <v>0.44582528089842732</v>
      </c>
      <c r="O2000" s="8">
        <v>45202</v>
      </c>
      <c r="P2000" s="8">
        <v>45203</v>
      </c>
      <c r="Q2000" s="8">
        <v>45205</v>
      </c>
      <c r="R2000" s="8">
        <v>45209</v>
      </c>
      <c r="S2000" s="8">
        <v>45216</v>
      </c>
      <c r="T2000" s="8">
        <v>45228</v>
      </c>
      <c r="U2000" s="8"/>
      <c r="V2000" s="10">
        <f>COUNTA(O2000:U2000)</f>
        <v>6</v>
      </c>
      <c r="W2000" s="11">
        <f>_xlfn.IFNA(INDEX(reading[[#This Row],[Memo 01]:[Memo 07]],MATCH(0,reading[[#This Row],[Memo 01]:[Memo 07]],-1)),"")</f>
        <v>45228</v>
      </c>
      <c r="X2000" s="11">
        <f ca="1">IFERROR(reading[[#This Row],[Previous]]+OFFSET(reading[[#Headers],[Memo 01]],-1,MATCH(0,reading[[#This Row],[Memo 01]:[Memo 07]],-1)-1),"")</f>
        <v>45248</v>
      </c>
      <c r="Y2000" s="10" t="str">
        <f ca="1">IF(reading[[#This Row],[Next]]&lt;&gt;"",IF(reading[[#This Row],[Next]]&gt;TODAY(),"OK",""),"")</f>
        <v/>
      </c>
      <c r="Z2000" s="13">
        <v>3</v>
      </c>
      <c r="AA2000" s="13">
        <v>3</v>
      </c>
      <c r="AB2000" s="13">
        <v>3</v>
      </c>
      <c r="AC2000" s="13">
        <v>3</v>
      </c>
      <c r="AD2000" s="13">
        <v>3</v>
      </c>
      <c r="AE2000" s="13">
        <v>3</v>
      </c>
      <c r="AF2000" s="13"/>
      <c r="AG2000" s="16">
        <f>IFERROR(SUMIF(reading[[#This Row],[1st]:[7th]],"&gt;0")/COUNTIF(reading[[#This Row],[1st]:[7th]],"&gt;0"),"")</f>
        <v>3</v>
      </c>
    </row>
    <row r="2001" spans="1:33" hidden="1" x14ac:dyDescent="0.2">
      <c r="A2001" s="4">
        <f>IF(B2001=1,3,IF(D2001=1,2,IF(F2001=1,1,0)))</f>
        <v>0</v>
      </c>
      <c r="B2001" s="4" t="str">
        <f>IF(C2001=$L2001,1,IF(C2001="","",0))</f>
        <v/>
      </c>
      <c r="C2001" s="42"/>
      <c r="D2001" s="4" t="str">
        <f>IF(E2001=$L2001,1,IF(E2001="","",0))</f>
        <v/>
      </c>
      <c r="E2001" s="43"/>
      <c r="F2001" s="4" t="str">
        <f>IF(G2001=$L2001,1,IF(G2001="","",0))</f>
        <v/>
      </c>
      <c r="G2001" s="14"/>
      <c r="H2001" s="6">
        <v>2170</v>
      </c>
      <c r="I2001" s="15" t="s">
        <v>3120</v>
      </c>
      <c r="J2001" s="6" t="s">
        <v>5258</v>
      </c>
      <c r="K2001" s="6"/>
      <c r="L2001" s="6" t="s">
        <v>2236</v>
      </c>
      <c r="M2001" s="6" t="s">
        <v>8276</v>
      </c>
      <c r="N2001" s="7">
        <f ca="1">RAND()</f>
        <v>0.18595588738887692</v>
      </c>
      <c r="O2001" s="8">
        <v>45214</v>
      </c>
      <c r="P2001" s="8">
        <v>45215</v>
      </c>
      <c r="Q2001" s="8">
        <v>45217</v>
      </c>
      <c r="R2001" s="8">
        <v>45221</v>
      </c>
      <c r="S2001" s="8">
        <v>45228</v>
      </c>
      <c r="T2001" s="8">
        <v>45816</v>
      </c>
      <c r="U2001" s="8"/>
      <c r="V2001" s="10">
        <f>COUNTA(O2001:U2001)</f>
        <v>6</v>
      </c>
      <c r="W2001" s="11">
        <f>_xlfn.IFNA(INDEX(reading[[#This Row],[Memo 01]:[Memo 07]],MATCH(0,reading[[#This Row],[Memo 01]:[Memo 07]],-1)),"")</f>
        <v>45816</v>
      </c>
      <c r="X2001" s="11">
        <f ca="1">IFERROR(reading[[#This Row],[Previous]]+OFFSET(reading[[#Headers],[Memo 01]],-1,MATCH(0,reading[[#This Row],[Memo 01]:[Memo 07]],-1)-1),"")</f>
        <v>45836</v>
      </c>
      <c r="Y2001" s="10" t="str">
        <f ca="1">IF(reading[[#This Row],[Next]]&lt;&gt;"",IF(reading[[#This Row],[Next]]&gt;TODAY(),"OK",""),"")</f>
        <v>OK</v>
      </c>
      <c r="Z2001" s="13">
        <v>3</v>
      </c>
      <c r="AA2001" s="13">
        <v>3</v>
      </c>
      <c r="AB2001" s="13">
        <v>2</v>
      </c>
      <c r="AC2001" s="13">
        <v>3</v>
      </c>
      <c r="AD2001" s="13">
        <v>3</v>
      </c>
      <c r="AE2001" s="13">
        <v>2</v>
      </c>
      <c r="AF2001" s="13"/>
      <c r="AG2001" s="16">
        <f>IFERROR(SUMIF(reading[[#This Row],[1st]:[7th]],"&gt;0")/COUNTIF(reading[[#This Row],[1st]:[7th]],"&gt;0"),"")</f>
        <v>2.6666666666666665</v>
      </c>
    </row>
    <row r="2002" spans="1:33" x14ac:dyDescent="0.2">
      <c r="A2002" s="4">
        <f>IF(B2002=1,3,IF(D2002=1,2,IF(F2002=1,1,0)))</f>
        <v>3</v>
      </c>
      <c r="B2002" s="4">
        <f>IF(C2002=$L2002,1,IF(C2002="","",0))</f>
        <v>1</v>
      </c>
      <c r="C2002" s="42" t="s">
        <v>9373</v>
      </c>
      <c r="D2002" s="4" t="str">
        <f>IF(E2002=$L2002,1,IF(E2002="","",0))</f>
        <v/>
      </c>
      <c r="E2002" s="14"/>
      <c r="F2002" s="4" t="str">
        <f>IF(G2002=$L2002,1,IF(G2002="","",0))</f>
        <v/>
      </c>
      <c r="G2002" s="14"/>
      <c r="H2002" s="6">
        <v>2140</v>
      </c>
      <c r="I2002" s="15" t="s">
        <v>3120</v>
      </c>
      <c r="J2002" s="6" t="s">
        <v>5228</v>
      </c>
      <c r="K2002" s="6"/>
      <c r="L2002" s="6" t="s">
        <v>2207</v>
      </c>
      <c r="M2002" s="6" t="s">
        <v>8246</v>
      </c>
      <c r="N2002" s="7">
        <f ca="1">RAND()</f>
        <v>0.38747810365473201</v>
      </c>
      <c r="O2002" s="8">
        <v>45214</v>
      </c>
      <c r="P2002" s="8">
        <v>45215</v>
      </c>
      <c r="Q2002" s="8">
        <v>45217</v>
      </c>
      <c r="R2002" s="8">
        <v>45221</v>
      </c>
      <c r="S2002" s="8">
        <v>45228</v>
      </c>
      <c r="T2002" s="8"/>
      <c r="U2002" s="8"/>
      <c r="V2002" s="10">
        <f>COUNTA(O2002:U2002)</f>
        <v>5</v>
      </c>
      <c r="W2002" s="11">
        <f>_xlfn.IFNA(INDEX(reading[[#This Row],[Memo 01]:[Memo 07]],MATCH(0,reading[[#This Row],[Memo 01]:[Memo 07]],-1)),"")</f>
        <v>45228</v>
      </c>
      <c r="X2002" s="11">
        <f ca="1">IFERROR(reading[[#This Row],[Previous]]+OFFSET(reading[[#Headers],[Memo 01]],-1,MATCH(0,reading[[#This Row],[Memo 01]:[Memo 07]],-1)-1),"")</f>
        <v>45240</v>
      </c>
      <c r="Y2002" s="10" t="str">
        <f ca="1">IF(reading[[#This Row],[Next]]&lt;&gt;"",IF(reading[[#This Row],[Next]]&gt;TODAY(),"OK",""),"")</f>
        <v/>
      </c>
      <c r="Z2002" s="13">
        <v>3</v>
      </c>
      <c r="AA2002" s="13">
        <v>3</v>
      </c>
      <c r="AB2002" s="13">
        <v>3</v>
      </c>
      <c r="AC2002" s="13">
        <v>3</v>
      </c>
      <c r="AD2002" s="13">
        <v>2</v>
      </c>
      <c r="AE2002" s="13"/>
      <c r="AF2002" s="13"/>
      <c r="AG2002" s="16">
        <f>IFERROR(SUMIF(reading[[#This Row],[1st]:[7th]],"&gt;0")/COUNTIF(reading[[#This Row],[1st]:[7th]],"&gt;0"),"")</f>
        <v>2.8</v>
      </c>
    </row>
    <row r="2003" spans="1:33" x14ac:dyDescent="0.2">
      <c r="A2003" s="4">
        <f>IF(B2003=1,3,IF(D2003=1,2,IF(F2003=1,1,0)))</f>
        <v>0</v>
      </c>
      <c r="B2003" s="4">
        <f>IF(C2003=$L2003,1,IF(C2003="","",0))</f>
        <v>0</v>
      </c>
      <c r="C2003" s="42" t="s">
        <v>9200</v>
      </c>
      <c r="D2003" s="4" t="str">
        <f>IF(E2003=$L2003,1,IF(E2003="","",0))</f>
        <v/>
      </c>
      <c r="E2003" s="14"/>
      <c r="F2003" s="4" t="str">
        <f>IF(G2003=$L2003,1,IF(G2003="","",0))</f>
        <v/>
      </c>
      <c r="G2003" s="14"/>
      <c r="H2003" s="6">
        <v>391</v>
      </c>
      <c r="I2003" s="15" t="s">
        <v>3120</v>
      </c>
      <c r="J2003" s="6" t="s">
        <v>3537</v>
      </c>
      <c r="K2003" s="6"/>
      <c r="L2003" s="6" t="s">
        <v>102</v>
      </c>
      <c r="M2003" s="6" t="s">
        <v>6500</v>
      </c>
      <c r="N2003" s="7">
        <f ca="1">RAND()</f>
        <v>1.9955855613560836E-2</v>
      </c>
      <c r="O2003" s="8">
        <v>45201</v>
      </c>
      <c r="P2003" s="8">
        <v>45202</v>
      </c>
      <c r="Q2003" s="8">
        <v>45204</v>
      </c>
      <c r="R2003" s="8">
        <v>45208</v>
      </c>
      <c r="S2003" s="8">
        <v>45215</v>
      </c>
      <c r="T2003" s="8">
        <v>45227</v>
      </c>
      <c r="U2003" s="8"/>
      <c r="V2003" s="10">
        <f>COUNTA(O2003:U2003)</f>
        <v>6</v>
      </c>
      <c r="W2003" s="11">
        <f>_xlfn.IFNA(INDEX(reading[[#This Row],[Memo 01]:[Memo 07]],MATCH(0,reading[[#This Row],[Memo 01]:[Memo 07]],-1)),"")</f>
        <v>45227</v>
      </c>
      <c r="X2003" s="11">
        <f ca="1">IFERROR(reading[[#This Row],[Previous]]+OFFSET(reading[[#Headers],[Memo 01]],-1,MATCH(0,reading[[#This Row],[Memo 01]:[Memo 07]],-1)-1),"")</f>
        <v>45247</v>
      </c>
      <c r="Y2003" s="10" t="str">
        <f ca="1">IF(reading[[#This Row],[Next]]&lt;&gt;"",IF(reading[[#This Row],[Next]]&gt;TODAY(),"OK",""),"")</f>
        <v/>
      </c>
      <c r="Z2003" s="13">
        <v>3</v>
      </c>
      <c r="AA2003" s="13">
        <v>3</v>
      </c>
      <c r="AB2003" s="13">
        <v>3</v>
      </c>
      <c r="AC2003" s="13">
        <v>3</v>
      </c>
      <c r="AD2003" s="13">
        <v>3</v>
      </c>
      <c r="AE2003" s="13">
        <v>3</v>
      </c>
      <c r="AF2003" s="13"/>
      <c r="AG2003" s="16">
        <f>IFERROR(SUMIF(reading[[#This Row],[1st]:[7th]],"&gt;0")/COUNTIF(reading[[#This Row],[1st]:[7th]],"&gt;0"),"")</f>
        <v>3</v>
      </c>
    </row>
    <row r="2004" spans="1:33" x14ac:dyDescent="0.2">
      <c r="A2004" s="4">
        <f>IF(B2004=1,3,IF(D2004=1,2,IF(F2004=1,1,0)))</f>
        <v>3</v>
      </c>
      <c r="B2004" s="4">
        <f>IF(C2004=$L2004,1,IF(C2004="","",0))</f>
        <v>1</v>
      </c>
      <c r="C2004" s="42" t="s">
        <v>9230</v>
      </c>
      <c r="D2004" s="4" t="str">
        <f>IF(E2004=$L2004,1,IF(E2004="","",0))</f>
        <v/>
      </c>
      <c r="E2004" s="18"/>
      <c r="F2004" s="4" t="str">
        <f>IF(G2004=$L2004,1,IF(G2004="","",0))</f>
        <v/>
      </c>
      <c r="G2004" s="14"/>
      <c r="H2004" s="6">
        <v>398</v>
      </c>
      <c r="I2004" s="15" t="s">
        <v>3120</v>
      </c>
      <c r="J2004" s="6" t="s">
        <v>3544</v>
      </c>
      <c r="K2004" s="6"/>
      <c r="L2004" s="6" t="s">
        <v>529</v>
      </c>
      <c r="M2004" s="6" t="s">
        <v>6507</v>
      </c>
      <c r="N2004" s="7">
        <f ca="1">RAND()</f>
        <v>0.84549128327349288</v>
      </c>
      <c r="O2004" s="8">
        <v>45201</v>
      </c>
      <c r="P2004" s="8">
        <v>45202</v>
      </c>
      <c r="Q2004" s="8">
        <v>45204</v>
      </c>
      <c r="R2004" s="8">
        <v>45208</v>
      </c>
      <c r="S2004" s="8">
        <v>45215</v>
      </c>
      <c r="T2004" s="8">
        <v>45227</v>
      </c>
      <c r="U2004" s="8"/>
      <c r="V2004" s="10">
        <f>COUNTA(O2004:U2004)</f>
        <v>6</v>
      </c>
      <c r="W2004" s="11">
        <f>_xlfn.IFNA(INDEX(reading[[#This Row],[Memo 01]:[Memo 07]],MATCH(0,reading[[#This Row],[Memo 01]:[Memo 07]],-1)),"")</f>
        <v>45227</v>
      </c>
      <c r="X2004" s="11">
        <f ca="1">IFERROR(reading[[#This Row],[Previous]]+OFFSET(reading[[#Headers],[Memo 01]],-1,MATCH(0,reading[[#This Row],[Memo 01]:[Memo 07]],-1)-1),"")</f>
        <v>45247</v>
      </c>
      <c r="Y2004" s="10" t="str">
        <f ca="1">IF(reading[[#This Row],[Next]]&lt;&gt;"",IF(reading[[#This Row],[Next]]&gt;TODAY(),"OK",""),"")</f>
        <v/>
      </c>
      <c r="Z2004" s="13">
        <v>3</v>
      </c>
      <c r="AA2004" s="13">
        <v>3</v>
      </c>
      <c r="AB2004" s="13">
        <v>3</v>
      </c>
      <c r="AC2004" s="13">
        <v>2</v>
      </c>
      <c r="AD2004" s="13">
        <v>3</v>
      </c>
      <c r="AE2004" s="13">
        <v>2</v>
      </c>
      <c r="AF2004" s="13"/>
      <c r="AG2004" s="16">
        <f>IFERROR(SUMIF(reading[[#This Row],[1st]:[7th]],"&gt;0")/COUNTIF(reading[[#This Row],[1st]:[7th]],"&gt;0"),"")</f>
        <v>2.6666666666666665</v>
      </c>
    </row>
    <row r="2005" spans="1:33" x14ac:dyDescent="0.2">
      <c r="A2005" s="4">
        <f>IF(B2005=1,3,IF(D2005=1,2,IF(F2005=1,1,0)))</f>
        <v>3</v>
      </c>
      <c r="B2005" s="4">
        <f>IF(C2005=$L2005,1,IF(C2005="","",0))</f>
        <v>1</v>
      </c>
      <c r="C2005" s="42" t="s">
        <v>9374</v>
      </c>
      <c r="D2005" s="4" t="str">
        <f>IF(E2005=$L2005,1,IF(E2005="","",0))</f>
        <v/>
      </c>
      <c r="E2005" s="18"/>
      <c r="F2005" s="4" t="str">
        <f>IF(G2005=$L2005,1,IF(G2005="","",0))</f>
        <v/>
      </c>
      <c r="G2005" s="14"/>
      <c r="H2005" s="6">
        <v>148</v>
      </c>
      <c r="I2005" s="15" t="s">
        <v>3120</v>
      </c>
      <c r="J2005" s="6" t="s">
        <v>3297</v>
      </c>
      <c r="K2005" s="6"/>
      <c r="L2005" s="6" t="s">
        <v>285</v>
      </c>
      <c r="M2005" s="6" t="s">
        <v>6257</v>
      </c>
      <c r="N2005" s="7">
        <f ca="1">RAND()</f>
        <v>0.49299912898645892</v>
      </c>
      <c r="O2005" s="8">
        <v>45199</v>
      </c>
      <c r="P2005" s="8">
        <v>45200</v>
      </c>
      <c r="Q2005" s="8">
        <v>45202</v>
      </c>
      <c r="R2005" s="8">
        <v>45206</v>
      </c>
      <c r="S2005" s="8">
        <v>45213</v>
      </c>
      <c r="T2005" s="8">
        <v>45225</v>
      </c>
      <c r="U2005" s="8"/>
      <c r="V2005" s="10">
        <f>COUNTA(O2005:U2005)</f>
        <v>6</v>
      </c>
      <c r="W2005" s="11">
        <f>_xlfn.IFNA(INDEX(reading[[#This Row],[Memo 01]:[Memo 07]],MATCH(0,reading[[#This Row],[Memo 01]:[Memo 07]],-1)),"")</f>
        <v>45225</v>
      </c>
      <c r="X2005" s="11">
        <f ca="1">IFERROR(reading[[#This Row],[Previous]]+OFFSET(reading[[#Headers],[Memo 01]],-1,MATCH(0,reading[[#This Row],[Memo 01]:[Memo 07]],-1)-1),"")</f>
        <v>45245</v>
      </c>
      <c r="Y2005" s="10" t="str">
        <f ca="1">IF(reading[[#This Row],[Next]]&lt;&gt;"",IF(reading[[#This Row],[Next]]&gt;TODAY(),"OK",""),"")</f>
        <v/>
      </c>
      <c r="Z2005" s="13">
        <v>3</v>
      </c>
      <c r="AA2005" s="13">
        <v>3</v>
      </c>
      <c r="AB2005" s="13">
        <v>3</v>
      </c>
      <c r="AC2005" s="13">
        <v>3</v>
      </c>
      <c r="AD2005" s="13">
        <v>2</v>
      </c>
      <c r="AE2005" s="13">
        <v>3</v>
      </c>
      <c r="AF2005" s="13"/>
      <c r="AG2005" s="16">
        <f>IFERROR(SUMIF(reading[[#This Row],[1st]:[7th]],"&gt;0")/COUNTIF(reading[[#This Row],[1st]:[7th]],"&gt;0"),"")</f>
        <v>2.8333333333333335</v>
      </c>
    </row>
    <row r="2006" spans="1:33" x14ac:dyDescent="0.2">
      <c r="A2006" s="4">
        <f>IF(B2006=1,3,IF(D2006=1,2,IF(F2006=1,1,0)))</f>
        <v>3</v>
      </c>
      <c r="B2006" s="4">
        <f>IF(C2006=$L2006,1,IF(C2006="","",0))</f>
        <v>1</v>
      </c>
      <c r="C2006" s="42" t="s">
        <v>9375</v>
      </c>
      <c r="D2006" s="4" t="str">
        <f>IF(E2006=$L2006,1,IF(E2006="","",0))</f>
        <v/>
      </c>
      <c r="E2006" s="14"/>
      <c r="F2006" s="4" t="str">
        <f>IF(G2006=$L2006,1,IF(G2006="","",0))</f>
        <v/>
      </c>
      <c r="G2006" s="14"/>
      <c r="H2006" s="6">
        <v>1005</v>
      </c>
      <c r="I2006" s="15" t="s">
        <v>3120</v>
      </c>
      <c r="J2006" s="6" t="s">
        <v>4133</v>
      </c>
      <c r="K2006" s="6"/>
      <c r="L2006" s="6" t="s">
        <v>1115</v>
      </c>
      <c r="M2006" s="6" t="s">
        <v>7113</v>
      </c>
      <c r="N2006" s="7">
        <f ca="1">RAND()</f>
        <v>0.52703660556358811</v>
      </c>
      <c r="O2006" s="8">
        <v>45205</v>
      </c>
      <c r="P2006" s="8">
        <v>45206</v>
      </c>
      <c r="Q2006" s="8">
        <v>45208</v>
      </c>
      <c r="R2006" s="8">
        <v>45212</v>
      </c>
      <c r="S2006" s="8">
        <v>45219</v>
      </c>
      <c r="T2006" s="8">
        <v>45231</v>
      </c>
      <c r="U2006" s="8"/>
      <c r="V2006" s="10">
        <f>COUNTA(O2006:U2006)</f>
        <v>6</v>
      </c>
      <c r="W2006" s="11">
        <f>_xlfn.IFNA(INDEX(reading[[#This Row],[Memo 01]:[Memo 07]],MATCH(0,reading[[#This Row],[Memo 01]:[Memo 07]],-1)),"")</f>
        <v>45231</v>
      </c>
      <c r="X2006" s="11">
        <f ca="1">IFERROR(reading[[#This Row],[Previous]]+OFFSET(reading[[#Headers],[Memo 01]],-1,MATCH(0,reading[[#This Row],[Memo 01]:[Memo 07]],-1)-1),"")</f>
        <v>45251</v>
      </c>
      <c r="Y2006" s="10" t="str">
        <f ca="1">IF(reading[[#This Row],[Next]]&lt;&gt;"",IF(reading[[#This Row],[Next]]&gt;TODAY(),"OK",""),"")</f>
        <v/>
      </c>
      <c r="Z2006" s="13">
        <v>3</v>
      </c>
      <c r="AA2006" s="13">
        <v>3</v>
      </c>
      <c r="AB2006" s="13">
        <v>3</v>
      </c>
      <c r="AC2006" s="13">
        <v>3</v>
      </c>
      <c r="AD2006" s="13">
        <v>3</v>
      </c>
      <c r="AE2006" s="13">
        <v>3</v>
      </c>
      <c r="AF2006" s="13"/>
      <c r="AG2006" s="16">
        <f>IFERROR(SUMIF(reading[[#This Row],[1st]:[7th]],"&gt;0")/COUNTIF(reading[[#This Row],[1st]:[7th]],"&gt;0"),"")</f>
        <v>3</v>
      </c>
    </row>
    <row r="2007" spans="1:33" x14ac:dyDescent="0.2">
      <c r="A2007" s="4">
        <f>IF(B2007=1,3,IF(D2007=1,2,IF(F2007=1,1,0)))</f>
        <v>3</v>
      </c>
      <c r="B2007" s="4">
        <f>IF(C2007=$L2007,1,IF(C2007="","",0))</f>
        <v>1</v>
      </c>
      <c r="C2007" s="42" t="s">
        <v>9376</v>
      </c>
      <c r="D2007" s="4" t="str">
        <f>IF(E2007=$L2007,1,IF(E2007="","",0))</f>
        <v/>
      </c>
      <c r="E2007" s="14"/>
      <c r="F2007" s="4" t="str">
        <f>IF(G2007=$L2007,1,IF(G2007="","",0))</f>
        <v/>
      </c>
      <c r="G2007" s="14"/>
      <c r="H2007" s="6">
        <v>321</v>
      </c>
      <c r="I2007" s="15" t="s">
        <v>3120</v>
      </c>
      <c r="J2007" s="6" t="s">
        <v>3468</v>
      </c>
      <c r="K2007" s="6"/>
      <c r="L2007" s="6" t="s">
        <v>456</v>
      </c>
      <c r="M2007" s="6" t="s">
        <v>6430</v>
      </c>
      <c r="N2007" s="7">
        <f ca="1">RAND()</f>
        <v>4.7665156729570946E-2</v>
      </c>
      <c r="O2007" s="8">
        <v>45200</v>
      </c>
      <c r="P2007" s="8">
        <v>45201</v>
      </c>
      <c r="Q2007" s="8">
        <v>45203</v>
      </c>
      <c r="R2007" s="8">
        <v>45207</v>
      </c>
      <c r="S2007" s="8">
        <v>45214</v>
      </c>
      <c r="T2007" s="8">
        <v>45226</v>
      </c>
      <c r="U2007" s="8"/>
      <c r="V2007" s="10">
        <f>COUNTA(O2007:U2007)</f>
        <v>6</v>
      </c>
      <c r="W2007" s="11">
        <f>_xlfn.IFNA(INDEX(reading[[#This Row],[Memo 01]:[Memo 07]],MATCH(0,reading[[#This Row],[Memo 01]:[Memo 07]],-1)),"")</f>
        <v>45226</v>
      </c>
      <c r="X2007" s="11">
        <f ca="1">IFERROR(reading[[#This Row],[Previous]]+OFFSET(reading[[#Headers],[Memo 01]],-1,MATCH(0,reading[[#This Row],[Memo 01]:[Memo 07]],-1)-1),"")</f>
        <v>45246</v>
      </c>
      <c r="Y2007" s="10" t="str">
        <f ca="1">IF(reading[[#This Row],[Next]]&lt;&gt;"",IF(reading[[#This Row],[Next]]&gt;TODAY(),"OK",""),"")</f>
        <v/>
      </c>
      <c r="Z2007" s="13">
        <v>3</v>
      </c>
      <c r="AA2007" s="13">
        <v>3</v>
      </c>
      <c r="AB2007" s="13">
        <v>3</v>
      </c>
      <c r="AC2007" s="13">
        <v>3</v>
      </c>
      <c r="AD2007" s="13">
        <v>3</v>
      </c>
      <c r="AE2007" s="13">
        <v>3</v>
      </c>
      <c r="AF2007" s="13"/>
      <c r="AG2007" s="16">
        <f>IFERROR(SUMIF(reading[[#This Row],[1st]:[7th]],"&gt;0")/COUNTIF(reading[[#This Row],[1st]:[7th]],"&gt;0"),"")</f>
        <v>3</v>
      </c>
    </row>
    <row r="2008" spans="1:33" x14ac:dyDescent="0.2">
      <c r="A2008" s="4">
        <f>IF(B2008=1,3,IF(D2008=1,2,IF(F2008=1,1,0)))</f>
        <v>3</v>
      </c>
      <c r="B2008" s="4">
        <f>IF(C2008=$L2008,1,IF(C2008="","",0))</f>
        <v>1</v>
      </c>
      <c r="C2008" s="42" t="s">
        <v>9377</v>
      </c>
      <c r="D2008" s="4" t="str">
        <f>IF(E2008=$L2008,1,IF(E2008="","",0))</f>
        <v/>
      </c>
      <c r="E2008" s="18"/>
      <c r="F2008" s="4" t="str">
        <f>IF(G2008=$L2008,1,IF(G2008="","",0))</f>
        <v/>
      </c>
      <c r="G2008" s="14"/>
      <c r="H2008" s="6">
        <v>3003</v>
      </c>
      <c r="I2008" s="15" t="s">
        <v>3120</v>
      </c>
      <c r="J2008" s="6" t="s">
        <v>6027</v>
      </c>
      <c r="K2008" s="15" t="s">
        <v>3138</v>
      </c>
      <c r="L2008" s="6" t="s">
        <v>3032</v>
      </c>
      <c r="M2008" s="6" t="s">
        <v>9106</v>
      </c>
      <c r="N2008" s="7">
        <f ca="1">RAND()</f>
        <v>0.58045010917833162</v>
      </c>
      <c r="O2008" s="8">
        <v>45224</v>
      </c>
      <c r="P2008" s="8">
        <v>45225</v>
      </c>
      <c r="Q2008" s="8">
        <v>45227</v>
      </c>
      <c r="R2008" s="8">
        <v>45231</v>
      </c>
      <c r="S2008" s="8">
        <v>45249</v>
      </c>
      <c r="T2008" s="8"/>
      <c r="U2008" s="8"/>
      <c r="V2008" s="10">
        <f>COUNTA(O2008:U2008)</f>
        <v>5</v>
      </c>
      <c r="W2008" s="11">
        <f>_xlfn.IFNA(INDEX(reading[[#This Row],[Memo 01]:[Memo 07]],MATCH(0,reading[[#This Row],[Memo 01]:[Memo 07]],-1)),"")</f>
        <v>45249</v>
      </c>
      <c r="X2008" s="11">
        <f ca="1">IFERROR(reading[[#This Row],[Previous]]+OFFSET(reading[[#Headers],[Memo 01]],-1,MATCH(0,reading[[#This Row],[Memo 01]:[Memo 07]],-1)-1),"")</f>
        <v>45261</v>
      </c>
      <c r="Y2008" s="10" t="str">
        <f ca="1">IF(reading[[#This Row],[Next]]&lt;&gt;"",IF(reading[[#This Row],[Next]]&gt;TODAY(),"OK",""),"")</f>
        <v/>
      </c>
      <c r="Z2008" s="13">
        <v>3</v>
      </c>
      <c r="AA2008" s="13">
        <v>3</v>
      </c>
      <c r="AB2008" s="13">
        <v>1</v>
      </c>
      <c r="AC2008" s="13">
        <v>2</v>
      </c>
      <c r="AD2008" s="13">
        <v>2</v>
      </c>
      <c r="AE2008" s="13"/>
      <c r="AF2008" s="13"/>
      <c r="AG2008" s="16">
        <f>IFERROR(SUMIF(reading[[#This Row],[1st]:[7th]],"&gt;0")/COUNTIF(reading[[#This Row],[1st]:[7th]],"&gt;0"),"")</f>
        <v>2.2000000000000002</v>
      </c>
    </row>
    <row r="2009" spans="1:33" hidden="1" x14ac:dyDescent="0.2">
      <c r="A2009" s="4">
        <f>IF(B2009=1,3,IF(D2009=1,2,IF(F2009=1,1,0)))</f>
        <v>3</v>
      </c>
      <c r="B2009" s="4">
        <f>IF(C2009=$L2009,1,IF(C2009="","",0))</f>
        <v>1</v>
      </c>
      <c r="C2009" s="33" t="s">
        <v>2088</v>
      </c>
      <c r="D2009" s="4" t="str">
        <f>IF(E2009=$L2009,1,IF(E2009="","",0))</f>
        <v/>
      </c>
      <c r="E2009" s="14"/>
      <c r="F2009" s="4" t="str">
        <f>IF(G2009=$L2009,1,IF(G2009="","",0))</f>
        <v/>
      </c>
      <c r="G2009" s="14"/>
      <c r="H2009" s="6">
        <v>2013</v>
      </c>
      <c r="I2009" s="15" t="s">
        <v>3120</v>
      </c>
      <c r="J2009" s="6" t="s">
        <v>5111</v>
      </c>
      <c r="K2009" s="6"/>
      <c r="L2009" s="6" t="s">
        <v>2088</v>
      </c>
      <c r="M2009" s="6" t="s">
        <v>8119</v>
      </c>
      <c r="N2009" s="7">
        <f ca="1">RAND()</f>
        <v>0.83882892664917796</v>
      </c>
      <c r="O2009" s="8">
        <v>45213</v>
      </c>
      <c r="P2009" s="8">
        <v>45213</v>
      </c>
      <c r="Q2009" s="8">
        <v>45213</v>
      </c>
      <c r="R2009" s="8">
        <v>45213</v>
      </c>
      <c r="S2009" s="8">
        <v>45213</v>
      </c>
      <c r="T2009" s="8">
        <v>45213</v>
      </c>
      <c r="U2009" s="8">
        <v>45213</v>
      </c>
      <c r="V2009" s="10">
        <f>COUNTA(O2009:U2009)</f>
        <v>7</v>
      </c>
      <c r="W2009" s="11">
        <f>_xlfn.IFNA(INDEX(reading[[#This Row],[Memo 01]:[Memo 07]],MATCH(0,reading[[#This Row],[Memo 01]:[Memo 07]],-1)),"")</f>
        <v>45213</v>
      </c>
      <c r="X2009" s="11">
        <f ca="1">IFERROR(reading[[#This Row],[Previous]]+OFFSET(reading[[#Headers],[Memo 01]],-1,MATCH(0,reading[[#This Row],[Memo 01]:[Memo 07]],-1)-1),"")</f>
        <v>55213</v>
      </c>
      <c r="Y2009" s="10" t="str">
        <f ca="1">IF(reading[[#This Row],[Next]]&lt;&gt;"",IF(reading[[#This Row],[Next]]&gt;TODAY(),"OK",""),"")</f>
        <v>OK</v>
      </c>
      <c r="Z2009" s="13">
        <v>3</v>
      </c>
      <c r="AA2009" s="13"/>
      <c r="AB2009" s="13"/>
      <c r="AC2009" s="13"/>
      <c r="AD2009" s="13"/>
      <c r="AE2009" s="13"/>
      <c r="AF2009" s="13"/>
      <c r="AG2009" s="16">
        <f>IFERROR(SUMIF(reading[[#This Row],[1st]:[7th]],"&gt;0")/COUNTIF(reading[[#This Row],[1st]:[7th]],"&gt;0"),"")</f>
        <v>3</v>
      </c>
    </row>
    <row r="2010" spans="1:33" hidden="1" x14ac:dyDescent="0.2">
      <c r="A2010" s="4">
        <f>IF(B2010=1,3,IF(D2010=1,2,IF(F2010=1,1,0)))</f>
        <v>3</v>
      </c>
      <c r="B2010" s="4">
        <f>IF(C2010=$L2010,1,IF(C2010="","",0))</f>
        <v>1</v>
      </c>
      <c r="C2010" s="33" t="s">
        <v>2089</v>
      </c>
      <c r="D2010" s="4" t="str">
        <f>IF(E2010=$L2010,1,IF(E2010="","",0))</f>
        <v/>
      </c>
      <c r="E2010" s="14"/>
      <c r="F2010" s="4" t="str">
        <f>IF(G2010=$L2010,1,IF(G2010="","",0))</f>
        <v/>
      </c>
      <c r="G2010" s="14"/>
      <c r="H2010" s="6">
        <v>2014</v>
      </c>
      <c r="I2010" s="15" t="s">
        <v>3120</v>
      </c>
      <c r="J2010" s="6" t="s">
        <v>3629</v>
      </c>
      <c r="K2010" s="6"/>
      <c r="L2010" s="6" t="s">
        <v>2089</v>
      </c>
      <c r="M2010" s="6" t="s">
        <v>8120</v>
      </c>
      <c r="N2010" s="7">
        <f ca="1">RAND()</f>
        <v>0.48608407330697756</v>
      </c>
      <c r="O2010" s="8">
        <v>45213</v>
      </c>
      <c r="P2010" s="8">
        <v>45213</v>
      </c>
      <c r="Q2010" s="8">
        <v>45213</v>
      </c>
      <c r="R2010" s="8">
        <v>45213</v>
      </c>
      <c r="S2010" s="8">
        <v>45213</v>
      </c>
      <c r="T2010" s="8">
        <v>45213</v>
      </c>
      <c r="U2010" s="8">
        <v>45213</v>
      </c>
      <c r="V2010" s="10">
        <f>COUNTA(O2010:U2010)</f>
        <v>7</v>
      </c>
      <c r="W2010" s="11">
        <f>_xlfn.IFNA(INDEX(reading[[#This Row],[Memo 01]:[Memo 07]],MATCH(0,reading[[#This Row],[Memo 01]:[Memo 07]],-1)),"")</f>
        <v>45213</v>
      </c>
      <c r="X2010" s="11">
        <f ca="1">IFERROR(reading[[#This Row],[Previous]]+OFFSET(reading[[#Headers],[Memo 01]],-1,MATCH(0,reading[[#This Row],[Memo 01]:[Memo 07]],-1)-1),"")</f>
        <v>55213</v>
      </c>
      <c r="Y2010" s="10" t="str">
        <f ca="1">IF(reading[[#This Row],[Next]]&lt;&gt;"",IF(reading[[#This Row],[Next]]&gt;TODAY(),"OK",""),"")</f>
        <v>OK</v>
      </c>
      <c r="Z2010" s="13">
        <v>3</v>
      </c>
      <c r="AA2010" s="13"/>
      <c r="AB2010" s="13"/>
      <c r="AC2010" s="13"/>
      <c r="AD2010" s="13"/>
      <c r="AE2010" s="13"/>
      <c r="AF2010" s="13"/>
      <c r="AG2010" s="16">
        <f>IFERROR(SUMIF(reading[[#This Row],[1st]:[7th]],"&gt;0")/COUNTIF(reading[[#This Row],[1st]:[7th]],"&gt;0"),"")</f>
        <v>3</v>
      </c>
    </row>
    <row r="2011" spans="1:33" hidden="1" x14ac:dyDescent="0.2">
      <c r="A2011" s="4">
        <f>IF(B2011=1,3,IF(D2011=1,2,IF(F2011=1,1,0)))</f>
        <v>3</v>
      </c>
      <c r="B2011" s="4">
        <f>IF(C2011=$L2011,1,IF(C2011="","",0))</f>
        <v>1</v>
      </c>
      <c r="C2011" s="33" t="s">
        <v>2090</v>
      </c>
      <c r="D2011" s="4" t="str">
        <f>IF(E2011=$L2011,1,IF(E2011="","",0))</f>
        <v/>
      </c>
      <c r="E2011" s="14"/>
      <c r="F2011" s="4" t="str">
        <f>IF(G2011=$L2011,1,IF(G2011="","",0))</f>
        <v/>
      </c>
      <c r="G2011" s="14"/>
      <c r="H2011" s="6">
        <v>2015</v>
      </c>
      <c r="I2011" s="15" t="s">
        <v>3120</v>
      </c>
      <c r="J2011" s="6" t="s">
        <v>5112</v>
      </c>
      <c r="K2011" s="6"/>
      <c r="L2011" s="6" t="s">
        <v>2090</v>
      </c>
      <c r="M2011" s="6" t="s">
        <v>8121</v>
      </c>
      <c r="N2011" s="7">
        <f ca="1">RAND()</f>
        <v>0.41861520095419635</v>
      </c>
      <c r="O2011" s="8">
        <v>45213</v>
      </c>
      <c r="P2011" s="8">
        <v>45213</v>
      </c>
      <c r="Q2011" s="8">
        <v>45213</v>
      </c>
      <c r="R2011" s="8">
        <v>45213</v>
      </c>
      <c r="S2011" s="8">
        <v>45213</v>
      </c>
      <c r="T2011" s="8">
        <v>45213</v>
      </c>
      <c r="U2011" s="8">
        <v>45213</v>
      </c>
      <c r="V2011" s="10">
        <f>COUNTA(O2011:U2011)</f>
        <v>7</v>
      </c>
      <c r="W2011" s="11">
        <f>_xlfn.IFNA(INDEX(reading[[#This Row],[Memo 01]:[Memo 07]],MATCH(0,reading[[#This Row],[Memo 01]:[Memo 07]],-1)),"")</f>
        <v>45213</v>
      </c>
      <c r="X2011" s="11">
        <f ca="1">IFERROR(reading[[#This Row],[Previous]]+OFFSET(reading[[#Headers],[Memo 01]],-1,MATCH(0,reading[[#This Row],[Memo 01]:[Memo 07]],-1)-1),"")</f>
        <v>55213</v>
      </c>
      <c r="Y2011" s="10" t="str">
        <f ca="1">IF(reading[[#This Row],[Next]]&lt;&gt;"",IF(reading[[#This Row],[Next]]&gt;TODAY(),"OK",""),"")</f>
        <v>OK</v>
      </c>
      <c r="Z2011" s="13">
        <v>3</v>
      </c>
      <c r="AA2011" s="13"/>
      <c r="AB2011" s="13"/>
      <c r="AC2011" s="13"/>
      <c r="AD2011" s="13"/>
      <c r="AE2011" s="13"/>
      <c r="AF2011" s="13"/>
      <c r="AG2011" s="16">
        <f>IFERROR(SUMIF(reading[[#This Row],[1st]:[7th]],"&gt;0")/COUNTIF(reading[[#This Row],[1st]:[7th]],"&gt;0"),"")</f>
        <v>3</v>
      </c>
    </row>
    <row r="2012" spans="1:33" x14ac:dyDescent="0.2">
      <c r="A2012" s="4">
        <f>IF(B2012=1,3,IF(D2012=1,2,IF(F2012=1,1,0)))</f>
        <v>3</v>
      </c>
      <c r="B2012" s="4">
        <f>IF(C2012=$L2012,1,IF(C2012="","",0))</f>
        <v>1</v>
      </c>
      <c r="C2012" s="42" t="s">
        <v>9201</v>
      </c>
      <c r="D2012" s="4" t="str">
        <f>IF(E2012=$L2012,1,IF(E2012="","",0))</f>
        <v/>
      </c>
      <c r="E2012" s="14"/>
      <c r="F2012" s="4" t="str">
        <f>IF(G2012=$L2012,1,IF(G2012="","",0))</f>
        <v/>
      </c>
      <c r="G2012" s="14"/>
      <c r="H2012" s="6">
        <v>2826</v>
      </c>
      <c r="I2012" s="15" t="s">
        <v>3120</v>
      </c>
      <c r="J2012" s="6" t="s">
        <v>5867</v>
      </c>
      <c r="K2012" s="15" t="s">
        <v>3139</v>
      </c>
      <c r="L2012" s="6" t="s">
        <v>2862</v>
      </c>
      <c r="M2012" s="6" t="s">
        <v>8930</v>
      </c>
      <c r="N2012" s="7">
        <f ca="1">RAND()</f>
        <v>0.93245527981241294</v>
      </c>
      <c r="O2012" s="8">
        <v>45222</v>
      </c>
      <c r="P2012" s="8">
        <v>45223</v>
      </c>
      <c r="Q2012" s="8">
        <v>45225</v>
      </c>
      <c r="R2012" s="8">
        <v>45229</v>
      </c>
      <c r="S2012" s="8">
        <v>45236</v>
      </c>
      <c r="T2012" s="8">
        <v>45783</v>
      </c>
      <c r="U2012" s="8"/>
      <c r="V2012" s="10">
        <f>COUNTA(O2012:U2012)</f>
        <v>6</v>
      </c>
      <c r="W2012" s="11">
        <f>_xlfn.IFNA(INDEX(reading[[#This Row],[Memo 01]:[Memo 07]],MATCH(0,reading[[#This Row],[Memo 01]:[Memo 07]],-1)),"")</f>
        <v>45783</v>
      </c>
      <c r="X2012" s="11">
        <f ca="1">IFERROR(reading[[#This Row],[Previous]]+OFFSET(reading[[#Headers],[Memo 01]],-1,MATCH(0,reading[[#This Row],[Memo 01]:[Memo 07]],-1)-1),"")</f>
        <v>45803</v>
      </c>
      <c r="Y2012" s="10" t="str">
        <f ca="1">IF(reading[[#This Row],[Next]]&lt;&gt;"",IF(reading[[#This Row],[Next]]&gt;TODAY(),"OK",""),"")</f>
        <v/>
      </c>
      <c r="Z2012" s="13">
        <v>3</v>
      </c>
      <c r="AA2012" s="13">
        <v>3</v>
      </c>
      <c r="AB2012" s="13">
        <v>3</v>
      </c>
      <c r="AC2012" s="13">
        <v>3</v>
      </c>
      <c r="AD2012" s="13">
        <v>3</v>
      </c>
      <c r="AE2012" s="13">
        <v>3</v>
      </c>
      <c r="AF2012" s="13"/>
      <c r="AG2012" s="16">
        <f>IFERROR(SUMIF(reading[[#This Row],[1st]:[7th]],"&gt;0")/COUNTIF(reading[[#This Row],[1st]:[7th]],"&gt;0"),"")</f>
        <v>3</v>
      </c>
    </row>
    <row r="2013" spans="1:33" hidden="1" x14ac:dyDescent="0.2">
      <c r="A2013" s="4">
        <f>IF(B2013=1,3,IF(D2013=1,2,IF(F2013=1,1,0)))</f>
        <v>0</v>
      </c>
      <c r="B2013" s="4" t="str">
        <f>IF(C2013=$L2013,1,IF(C2013="","",0))</f>
        <v/>
      </c>
      <c r="C2013" s="42"/>
      <c r="D2013" s="4" t="str">
        <f>IF(E2013=$L2013,1,IF(E2013="","",0))</f>
        <v/>
      </c>
      <c r="E2013" s="43"/>
      <c r="F2013" s="4" t="str">
        <f>IF(G2013=$L2013,1,IF(G2013="","",0))</f>
        <v/>
      </c>
      <c r="G2013" s="23"/>
      <c r="H2013" s="6">
        <v>1973</v>
      </c>
      <c r="I2013" s="15" t="s">
        <v>3120</v>
      </c>
      <c r="J2013" s="6" t="s">
        <v>5072</v>
      </c>
      <c r="K2013" s="6"/>
      <c r="L2013" s="6" t="s">
        <v>2048</v>
      </c>
      <c r="M2013" s="6" t="s">
        <v>8079</v>
      </c>
      <c r="N2013" s="7">
        <f ca="1">RAND()</f>
        <v>0.55540374159377037</v>
      </c>
      <c r="O2013" s="8">
        <v>45213</v>
      </c>
      <c r="P2013" s="8">
        <v>45214</v>
      </c>
      <c r="Q2013" s="8">
        <v>45216</v>
      </c>
      <c r="R2013" s="8">
        <v>45220</v>
      </c>
      <c r="S2013" s="8">
        <v>45227</v>
      </c>
      <c r="T2013" s="8">
        <v>45816</v>
      </c>
      <c r="U2013" s="8"/>
      <c r="V2013" s="10">
        <f>COUNTA(O2013:U2013)</f>
        <v>6</v>
      </c>
      <c r="W2013" s="11">
        <f>_xlfn.IFNA(INDEX(reading[[#This Row],[Memo 01]:[Memo 07]],MATCH(0,reading[[#This Row],[Memo 01]:[Memo 07]],-1)),"")</f>
        <v>45816</v>
      </c>
      <c r="X2013" s="11">
        <f ca="1">IFERROR(reading[[#This Row],[Previous]]+OFFSET(reading[[#Headers],[Memo 01]],-1,MATCH(0,reading[[#This Row],[Memo 01]:[Memo 07]],-1)-1),"")</f>
        <v>45836</v>
      </c>
      <c r="Y2013" s="10" t="str">
        <f ca="1">IF(reading[[#This Row],[Next]]&lt;&gt;"",IF(reading[[#This Row],[Next]]&gt;TODAY(),"OK",""),"")</f>
        <v>OK</v>
      </c>
      <c r="Z2013" s="13">
        <v>3</v>
      </c>
      <c r="AA2013" s="13">
        <v>3</v>
      </c>
      <c r="AB2013" s="13">
        <v>2</v>
      </c>
      <c r="AC2013" s="13">
        <v>3</v>
      </c>
      <c r="AD2013" s="13">
        <v>3</v>
      </c>
      <c r="AE2013" s="13">
        <v>1</v>
      </c>
      <c r="AF2013" s="13"/>
      <c r="AG2013" s="16">
        <f>IFERROR(SUMIF(reading[[#This Row],[1st]:[7th]],"&gt;0")/COUNTIF(reading[[#This Row],[1st]:[7th]],"&gt;0"),"")</f>
        <v>2.5</v>
      </c>
    </row>
    <row r="2014" spans="1:33" hidden="1" x14ac:dyDescent="0.2">
      <c r="A2014" s="4">
        <f>IF(B2014=1,3,IF(D2014=1,2,IF(F2014=1,1,0)))</f>
        <v>0</v>
      </c>
      <c r="B2014" s="4" t="str">
        <f>IF(C2014=$L2014,1,IF(C2014="","",0))</f>
        <v/>
      </c>
      <c r="C2014" s="42"/>
      <c r="D2014" s="4" t="str">
        <f>IF(E2014=$L2014,1,IF(E2014="","",0))</f>
        <v/>
      </c>
      <c r="E2014" s="23"/>
      <c r="F2014" s="4" t="str">
        <f>IF(G2014=$L2014,1,IF(G2014="","",0))</f>
        <v/>
      </c>
      <c r="G2014" s="14"/>
      <c r="H2014" s="6">
        <v>2353</v>
      </c>
      <c r="I2014" s="15" t="s">
        <v>3120</v>
      </c>
      <c r="J2014" s="6" t="s">
        <v>5430</v>
      </c>
      <c r="K2014" s="6"/>
      <c r="L2014" s="6" t="s">
        <v>2406</v>
      </c>
      <c r="M2014" s="6" t="s">
        <v>8458</v>
      </c>
      <c r="N2014" s="7">
        <f ca="1">RAND()</f>
        <v>0.35271994530229955</v>
      </c>
      <c r="O2014" s="8">
        <v>45216</v>
      </c>
      <c r="P2014" s="8">
        <v>45217</v>
      </c>
      <c r="Q2014" s="8">
        <v>45219</v>
      </c>
      <c r="R2014" s="8">
        <v>45223</v>
      </c>
      <c r="S2014" s="8">
        <v>45230</v>
      </c>
      <c r="T2014" s="8">
        <v>45816</v>
      </c>
      <c r="U2014" s="8"/>
      <c r="V2014" s="10">
        <f>COUNTA(O2014:U2014)</f>
        <v>6</v>
      </c>
      <c r="W2014" s="11">
        <f>_xlfn.IFNA(INDEX(reading[[#This Row],[Memo 01]:[Memo 07]],MATCH(0,reading[[#This Row],[Memo 01]:[Memo 07]],-1)),"")</f>
        <v>45816</v>
      </c>
      <c r="X2014" s="11">
        <f ca="1">IFERROR(reading[[#This Row],[Previous]]+OFFSET(reading[[#Headers],[Memo 01]],-1,MATCH(0,reading[[#This Row],[Memo 01]:[Memo 07]],-1)-1),"")</f>
        <v>45836</v>
      </c>
      <c r="Y2014" s="10" t="str">
        <f ca="1">IF(reading[[#This Row],[Next]]&lt;&gt;"",IF(reading[[#This Row],[Next]]&gt;TODAY(),"OK",""),"")</f>
        <v>OK</v>
      </c>
      <c r="Z2014" s="13">
        <v>3</v>
      </c>
      <c r="AA2014" s="13">
        <v>3</v>
      </c>
      <c r="AB2014" s="13">
        <v>3</v>
      </c>
      <c r="AC2014" s="13">
        <v>3</v>
      </c>
      <c r="AD2014" s="13">
        <v>3</v>
      </c>
      <c r="AE2014" s="13">
        <v>2</v>
      </c>
      <c r="AF2014" s="13"/>
      <c r="AG2014" s="16">
        <f>IFERROR(SUMIF(reading[[#This Row],[1st]:[7th]],"&gt;0")/COUNTIF(reading[[#This Row],[1st]:[7th]],"&gt;0"),"")</f>
        <v>2.8333333333333335</v>
      </c>
    </row>
    <row r="2015" spans="1:33" x14ac:dyDescent="0.2">
      <c r="A2015" s="4">
        <f>IF(B2015=1,3,IF(D2015=1,2,IF(F2015=1,1,0)))</f>
        <v>3</v>
      </c>
      <c r="B2015" s="4">
        <f>IF(C2015=$L2015,1,IF(C2015="","",0))</f>
        <v>1</v>
      </c>
      <c r="C2015" s="42" t="s">
        <v>9224</v>
      </c>
      <c r="D2015" s="4" t="str">
        <f>IF(E2015=$L2015,1,IF(E2015="","",0))</f>
        <v/>
      </c>
      <c r="E2015" s="14"/>
      <c r="F2015" s="4" t="str">
        <f>IF(G2015=$L2015,1,IF(G2015="","",0))</f>
        <v/>
      </c>
      <c r="G2015" s="14"/>
      <c r="H2015" s="6">
        <v>1876</v>
      </c>
      <c r="I2015" s="15" t="s">
        <v>3120</v>
      </c>
      <c r="J2015" s="6" t="s">
        <v>4978</v>
      </c>
      <c r="K2015" s="6"/>
      <c r="L2015" s="6" t="s">
        <v>1953</v>
      </c>
      <c r="M2015" s="6" t="s">
        <v>7982</v>
      </c>
      <c r="N2015" s="7">
        <f ca="1">RAND()</f>
        <v>0.38448478550390353</v>
      </c>
      <c r="O2015" s="8">
        <v>45212</v>
      </c>
      <c r="P2015" s="8">
        <v>45213</v>
      </c>
      <c r="Q2015" s="8">
        <v>45215</v>
      </c>
      <c r="R2015" s="8">
        <v>45219</v>
      </c>
      <c r="S2015" s="8">
        <v>45226</v>
      </c>
      <c r="T2015" s="8">
        <v>45801</v>
      </c>
      <c r="U2015" s="8"/>
      <c r="V2015" s="10">
        <f>COUNTA(O2015:U2015)</f>
        <v>6</v>
      </c>
      <c r="W2015" s="11">
        <f>_xlfn.IFNA(INDEX(reading[[#This Row],[Memo 01]:[Memo 07]],MATCH(0,reading[[#This Row],[Memo 01]:[Memo 07]],-1)),"")</f>
        <v>45801</v>
      </c>
      <c r="X2015" s="11">
        <f ca="1">IFERROR(reading[[#This Row],[Previous]]+OFFSET(reading[[#Headers],[Memo 01]],-1,MATCH(0,reading[[#This Row],[Memo 01]:[Memo 07]],-1)-1),"")</f>
        <v>45821</v>
      </c>
      <c r="Y2015" s="10" t="str">
        <f ca="1">IF(reading[[#This Row],[Next]]&lt;&gt;"",IF(reading[[#This Row],[Next]]&gt;TODAY(),"OK",""),"")</f>
        <v/>
      </c>
      <c r="Z2015" s="13">
        <v>3</v>
      </c>
      <c r="AA2015" s="13">
        <v>3</v>
      </c>
      <c r="AB2015" s="13">
        <v>3</v>
      </c>
      <c r="AC2015" s="13">
        <v>3</v>
      </c>
      <c r="AD2015" s="13">
        <v>3</v>
      </c>
      <c r="AE2015" s="13">
        <v>3</v>
      </c>
      <c r="AF2015" s="13"/>
      <c r="AG2015" s="16">
        <f>IFERROR(SUMIF(reading[[#This Row],[1st]:[7th]],"&gt;0")/COUNTIF(reading[[#This Row],[1st]:[7th]],"&gt;0"),"")</f>
        <v>3</v>
      </c>
    </row>
    <row r="2016" spans="1:33" hidden="1" x14ac:dyDescent="0.2">
      <c r="A2016" s="4">
        <f>IF(B2016=1,3,IF(D2016=1,2,IF(F2016=1,1,0)))</f>
        <v>0</v>
      </c>
      <c r="B2016" s="4" t="str">
        <f>IF(C2016=$L2016,1,IF(C2016="","",0))</f>
        <v/>
      </c>
      <c r="C2016" s="42"/>
      <c r="D2016" s="4" t="str">
        <f>IF(E2016=$L2016,1,IF(E2016="","",0))</f>
        <v/>
      </c>
      <c r="E2016" s="23"/>
      <c r="F2016" s="4" t="str">
        <f>IF(G2016=$L2016,1,IF(G2016="","",0))</f>
        <v/>
      </c>
      <c r="G2016" s="23"/>
      <c r="H2016" s="6">
        <v>817</v>
      </c>
      <c r="I2016" s="15" t="s">
        <v>3120</v>
      </c>
      <c r="J2016" s="6" t="s">
        <v>3364</v>
      </c>
      <c r="K2016" s="6"/>
      <c r="L2016" s="6" t="s">
        <v>933</v>
      </c>
      <c r="M2016" s="6" t="s">
        <v>6926</v>
      </c>
      <c r="N2016" s="7">
        <f ca="1">RAND()</f>
        <v>0.4234106625905889</v>
      </c>
      <c r="O2016" s="8">
        <v>45203</v>
      </c>
      <c r="P2016" s="8">
        <v>45204</v>
      </c>
      <c r="Q2016" s="8">
        <v>45206</v>
      </c>
      <c r="R2016" s="8">
        <v>45210</v>
      </c>
      <c r="S2016" s="8">
        <v>45217</v>
      </c>
      <c r="T2016" s="8">
        <v>45229</v>
      </c>
      <c r="U2016" s="8">
        <v>45817</v>
      </c>
      <c r="V2016" s="10">
        <f>COUNTA(O2016:U2016)</f>
        <v>7</v>
      </c>
      <c r="W2016" s="11">
        <f>_xlfn.IFNA(INDEX(reading[[#This Row],[Memo 01]:[Memo 07]],MATCH(0,reading[[#This Row],[Memo 01]:[Memo 07]],-1)),"")</f>
        <v>45817</v>
      </c>
      <c r="X2016" s="11">
        <f ca="1">IFERROR(reading[[#This Row],[Previous]]+OFFSET(reading[[#Headers],[Memo 01]],-1,MATCH(0,reading[[#This Row],[Memo 01]:[Memo 07]],-1)-1),"")</f>
        <v>55817</v>
      </c>
      <c r="Y2016" s="10" t="str">
        <f ca="1">IF(reading[[#This Row],[Next]]&lt;&gt;"",IF(reading[[#This Row],[Next]]&gt;TODAY(),"OK",""),"")</f>
        <v>OK</v>
      </c>
      <c r="Z2016" s="13">
        <v>3</v>
      </c>
      <c r="AA2016" s="13">
        <v>3</v>
      </c>
      <c r="AB2016" s="13">
        <v>3</v>
      </c>
      <c r="AC2016" s="13">
        <v>3</v>
      </c>
      <c r="AD2016" s="13">
        <v>3</v>
      </c>
      <c r="AE2016" s="13">
        <v>3</v>
      </c>
      <c r="AF2016" s="13">
        <v>1</v>
      </c>
      <c r="AG2016" s="16">
        <f>IFERROR(SUMIF(reading[[#This Row],[1st]:[7th]],"&gt;0")/COUNTIF(reading[[#This Row],[1st]:[7th]],"&gt;0"),"")</f>
        <v>2.7142857142857144</v>
      </c>
    </row>
    <row r="2017" spans="1:33" hidden="1" x14ac:dyDescent="0.2">
      <c r="A2017" s="4">
        <f>IF(B2017=1,3,IF(D2017=1,2,IF(F2017=1,1,0)))</f>
        <v>0</v>
      </c>
      <c r="B2017" s="4" t="str">
        <f>IF(C2017=$L2017,1,IF(C2017="","",0))</f>
        <v/>
      </c>
      <c r="C2017" s="42"/>
      <c r="D2017" s="4" t="str">
        <f>IF(E2017=$L2017,1,IF(E2017="","",0))</f>
        <v/>
      </c>
      <c r="E2017" s="23"/>
      <c r="F2017" s="4" t="str">
        <f>IF(G2017=$L2017,1,IF(G2017="","",0))</f>
        <v/>
      </c>
      <c r="G2017" s="14"/>
      <c r="H2017" s="6">
        <v>1281</v>
      </c>
      <c r="I2017" s="15" t="s">
        <v>3120</v>
      </c>
      <c r="J2017" s="6" t="s">
        <v>4398</v>
      </c>
      <c r="K2017" s="6"/>
      <c r="L2017" s="6" t="s">
        <v>1379</v>
      </c>
      <c r="M2017" s="6" t="s">
        <v>7388</v>
      </c>
      <c r="N2017" s="7">
        <f ca="1">RAND()</f>
        <v>0.21309172097159101</v>
      </c>
      <c r="O2017" s="8">
        <v>45207</v>
      </c>
      <c r="P2017" s="8">
        <v>45208</v>
      </c>
      <c r="Q2017" s="8">
        <v>45210</v>
      </c>
      <c r="R2017" s="8">
        <v>45214</v>
      </c>
      <c r="S2017" s="8">
        <v>45221</v>
      </c>
      <c r="T2017" s="8">
        <v>45233</v>
      </c>
      <c r="U2017" s="8">
        <v>45825</v>
      </c>
      <c r="V2017" s="10">
        <f>COUNTA(O2017:U2017)</f>
        <v>7</v>
      </c>
      <c r="W2017" s="11">
        <f>_xlfn.IFNA(INDEX(reading[[#This Row],[Memo 01]:[Memo 07]],MATCH(0,reading[[#This Row],[Memo 01]:[Memo 07]],-1)),"")</f>
        <v>45825</v>
      </c>
      <c r="X2017" s="11">
        <f ca="1">IFERROR(reading[[#This Row],[Previous]]+OFFSET(reading[[#Headers],[Memo 01]],-1,MATCH(0,reading[[#This Row],[Memo 01]:[Memo 07]],-1)-1),"")</f>
        <v>55825</v>
      </c>
      <c r="Y2017" s="10" t="str">
        <f ca="1">IF(reading[[#This Row],[Next]]&lt;&gt;"",IF(reading[[#This Row],[Next]]&gt;TODAY(),"OK",""),"")</f>
        <v>OK</v>
      </c>
      <c r="Z2017" s="13">
        <v>3</v>
      </c>
      <c r="AA2017" s="13">
        <v>3</v>
      </c>
      <c r="AB2017" s="13">
        <v>3</v>
      </c>
      <c r="AC2017" s="13">
        <v>3</v>
      </c>
      <c r="AD2017" s="13">
        <v>3</v>
      </c>
      <c r="AE2017" s="13">
        <v>3</v>
      </c>
      <c r="AF2017" s="13">
        <v>2</v>
      </c>
      <c r="AG2017" s="16">
        <f>IFERROR(SUMIF(reading[[#This Row],[1st]:[7th]],"&gt;0")/COUNTIF(reading[[#This Row],[1st]:[7th]],"&gt;0"),"")</f>
        <v>2.8571428571428572</v>
      </c>
    </row>
    <row r="2018" spans="1:33" x14ac:dyDescent="0.2">
      <c r="A2018" s="4">
        <f>IF(B2018=1,3,IF(D2018=1,2,IF(F2018=1,1,0)))</f>
        <v>0</v>
      </c>
      <c r="B2018" s="4">
        <f>IF(C2018=$L2018,1,IF(C2018="","",0))</f>
        <v>0</v>
      </c>
      <c r="C2018" s="42" t="s">
        <v>9200</v>
      </c>
      <c r="D2018" s="4" t="str">
        <f>IF(E2018=$L2018,1,IF(E2018="","",0))</f>
        <v/>
      </c>
      <c r="E2018" s="14"/>
      <c r="F2018" s="4" t="str">
        <f>IF(G2018=$L2018,1,IF(G2018="","",0))</f>
        <v/>
      </c>
      <c r="G2018" s="14"/>
      <c r="H2018" s="6">
        <v>1344</v>
      </c>
      <c r="I2018" s="15" t="s">
        <v>3120</v>
      </c>
      <c r="J2018" s="6" t="s">
        <v>4458</v>
      </c>
      <c r="K2018" s="6"/>
      <c r="L2018" s="6" t="s">
        <v>126</v>
      </c>
      <c r="M2018" s="6" t="s">
        <v>7451</v>
      </c>
      <c r="N2018" s="7">
        <f ca="1">RAND()</f>
        <v>0.47405766466847465</v>
      </c>
      <c r="O2018" s="8">
        <v>45207</v>
      </c>
      <c r="P2018" s="8">
        <v>45208</v>
      </c>
      <c r="Q2018" s="8">
        <v>45210</v>
      </c>
      <c r="R2018" s="8">
        <v>45214</v>
      </c>
      <c r="S2018" s="8">
        <v>45221</v>
      </c>
      <c r="T2018" s="8">
        <v>45233</v>
      </c>
      <c r="U2018" s="8"/>
      <c r="V2018" s="10">
        <f>COUNTA(O2018:U2018)</f>
        <v>6</v>
      </c>
      <c r="W2018" s="11">
        <f>_xlfn.IFNA(INDEX(reading[[#This Row],[Memo 01]:[Memo 07]],MATCH(0,reading[[#This Row],[Memo 01]:[Memo 07]],-1)),"")</f>
        <v>45233</v>
      </c>
      <c r="X2018" s="11">
        <f ca="1">IFERROR(reading[[#This Row],[Previous]]+OFFSET(reading[[#Headers],[Memo 01]],-1,MATCH(0,reading[[#This Row],[Memo 01]:[Memo 07]],-1)-1),"")</f>
        <v>45253</v>
      </c>
      <c r="Y2018" s="10" t="str">
        <f ca="1">IF(reading[[#This Row],[Next]]&lt;&gt;"",IF(reading[[#This Row],[Next]]&gt;TODAY(),"OK",""),"")</f>
        <v/>
      </c>
      <c r="Z2018" s="13">
        <v>3</v>
      </c>
      <c r="AA2018" s="13">
        <v>3</v>
      </c>
      <c r="AB2018" s="13">
        <v>3</v>
      </c>
      <c r="AC2018" s="13">
        <v>3</v>
      </c>
      <c r="AD2018" s="13">
        <v>3</v>
      </c>
      <c r="AE2018" s="13">
        <v>3</v>
      </c>
      <c r="AF2018" s="13"/>
      <c r="AG2018" s="16">
        <f>IFERROR(SUMIF(reading[[#This Row],[1st]:[7th]],"&gt;0")/COUNTIF(reading[[#This Row],[1st]:[7th]],"&gt;0"),"")</f>
        <v>3</v>
      </c>
    </row>
    <row r="2019" spans="1:33" x14ac:dyDescent="0.2">
      <c r="A2019" s="4">
        <f>IF(B2019=1,3,IF(D2019=1,2,IF(F2019=1,1,0)))</f>
        <v>3</v>
      </c>
      <c r="B2019" s="4">
        <f>IF(C2019=$L2019,1,IF(C2019="","",0))</f>
        <v>1</v>
      </c>
      <c r="C2019" s="42" t="s">
        <v>9378</v>
      </c>
      <c r="D2019" s="4" t="str">
        <f>IF(E2019=$L2019,1,IF(E2019="","",0))</f>
        <v/>
      </c>
      <c r="E2019" s="14"/>
      <c r="F2019" s="4" t="str">
        <f>IF(G2019=$L2019,1,IF(G2019="","",0))</f>
        <v/>
      </c>
      <c r="G2019" s="14"/>
      <c r="H2019" s="6">
        <v>1124</v>
      </c>
      <c r="I2019" s="15" t="s">
        <v>3120</v>
      </c>
      <c r="J2019" s="6" t="s">
        <v>4246</v>
      </c>
      <c r="K2019" s="6"/>
      <c r="L2019" s="6" t="s">
        <v>89</v>
      </c>
      <c r="M2019" s="6" t="s">
        <v>7232</v>
      </c>
      <c r="N2019" s="7">
        <f ca="1">RAND()</f>
        <v>0.93441223060842893</v>
      </c>
      <c r="O2019" s="8">
        <v>45205</v>
      </c>
      <c r="P2019" s="8">
        <v>45206</v>
      </c>
      <c r="Q2019" s="8">
        <v>45208</v>
      </c>
      <c r="R2019" s="8">
        <v>45212</v>
      </c>
      <c r="S2019" s="8">
        <v>45219</v>
      </c>
      <c r="T2019" s="8">
        <v>45231</v>
      </c>
      <c r="U2019" s="8"/>
      <c r="V2019" s="10">
        <f>COUNTA(O2019:U2019)</f>
        <v>6</v>
      </c>
      <c r="W2019" s="11">
        <f>_xlfn.IFNA(INDEX(reading[[#This Row],[Memo 01]:[Memo 07]],MATCH(0,reading[[#This Row],[Memo 01]:[Memo 07]],-1)),"")</f>
        <v>45231</v>
      </c>
      <c r="X2019" s="11">
        <f ca="1">IFERROR(reading[[#This Row],[Previous]]+OFFSET(reading[[#Headers],[Memo 01]],-1,MATCH(0,reading[[#This Row],[Memo 01]:[Memo 07]],-1)-1),"")</f>
        <v>45251</v>
      </c>
      <c r="Y2019" s="10" t="str">
        <f ca="1">IF(reading[[#This Row],[Next]]&lt;&gt;"",IF(reading[[#This Row],[Next]]&gt;TODAY(),"OK",""),"")</f>
        <v/>
      </c>
      <c r="Z2019" s="13">
        <v>3</v>
      </c>
      <c r="AA2019" s="13">
        <v>3</v>
      </c>
      <c r="AB2019" s="13">
        <v>3</v>
      </c>
      <c r="AC2019" s="13">
        <v>3</v>
      </c>
      <c r="AD2019" s="13">
        <v>3</v>
      </c>
      <c r="AE2019" s="13">
        <v>3</v>
      </c>
      <c r="AF2019" s="13"/>
      <c r="AG2019" s="16">
        <f>IFERROR(SUMIF(reading[[#This Row],[1st]:[7th]],"&gt;0")/COUNTIF(reading[[#This Row],[1st]:[7th]],"&gt;0"),"")</f>
        <v>3</v>
      </c>
    </row>
    <row r="2020" spans="1:33" x14ac:dyDescent="0.2">
      <c r="A2020" s="4">
        <f>IF(B2020=1,3,IF(D2020=1,2,IF(F2020=1,1,0)))</f>
        <v>0</v>
      </c>
      <c r="B2020" s="4">
        <f>IF(C2020=$L2020,1,IF(C2020="","",0))</f>
        <v>0</v>
      </c>
      <c r="C2020" s="42" t="s">
        <v>9200</v>
      </c>
      <c r="D2020" s="4" t="str">
        <f>IF(E2020=$L2020,1,IF(E2020="","",0))</f>
        <v/>
      </c>
      <c r="E2020" s="14"/>
      <c r="F2020" s="4" t="str">
        <f>IF(G2020=$L2020,1,IF(G2020="","",0))</f>
        <v/>
      </c>
      <c r="G2020" s="14"/>
      <c r="H2020" s="6">
        <v>2321</v>
      </c>
      <c r="I2020" s="15" t="s">
        <v>3120</v>
      </c>
      <c r="J2020" s="6" t="s">
        <v>5398</v>
      </c>
      <c r="K2020" s="15" t="s">
        <v>3139</v>
      </c>
      <c r="L2020" s="6" t="s">
        <v>2376</v>
      </c>
      <c r="M2020" s="6" t="s">
        <v>8426</v>
      </c>
      <c r="N2020" s="7">
        <f ca="1">RAND()</f>
        <v>0.79481179937341262</v>
      </c>
      <c r="O2020" s="8">
        <v>45217</v>
      </c>
      <c r="P2020" s="8">
        <v>45218</v>
      </c>
      <c r="Q2020" s="8">
        <v>45220</v>
      </c>
      <c r="R2020" s="8">
        <v>45224</v>
      </c>
      <c r="S2020" s="8">
        <v>45231</v>
      </c>
      <c r="T2020" s="8"/>
      <c r="U2020" s="8"/>
      <c r="V2020" s="10">
        <f>COUNTA(O2020:U2020)</f>
        <v>5</v>
      </c>
      <c r="W2020" s="11">
        <f>_xlfn.IFNA(INDEX(reading[[#This Row],[Memo 01]:[Memo 07]],MATCH(0,reading[[#This Row],[Memo 01]:[Memo 07]],-1)),"")</f>
        <v>45231</v>
      </c>
      <c r="X2020" s="11">
        <f ca="1">IFERROR(reading[[#This Row],[Previous]]+OFFSET(reading[[#Headers],[Memo 01]],-1,MATCH(0,reading[[#This Row],[Memo 01]:[Memo 07]],-1)-1),"")</f>
        <v>45243</v>
      </c>
      <c r="Y2020" s="10" t="str">
        <f ca="1">IF(reading[[#This Row],[Next]]&lt;&gt;"",IF(reading[[#This Row],[Next]]&gt;TODAY(),"OK",""),"")</f>
        <v/>
      </c>
      <c r="Z2020" s="13">
        <v>3</v>
      </c>
      <c r="AA2020" s="13">
        <v>3</v>
      </c>
      <c r="AB2020" s="13">
        <v>3</v>
      </c>
      <c r="AC2020" s="13">
        <v>3</v>
      </c>
      <c r="AD2020" s="13">
        <v>3</v>
      </c>
      <c r="AE2020" s="13"/>
      <c r="AF2020" s="13"/>
      <c r="AG2020" s="16">
        <f>IFERROR(SUMIF(reading[[#This Row],[1st]:[7th]],"&gt;0")/COUNTIF(reading[[#This Row],[1st]:[7th]],"&gt;0"),"")</f>
        <v>3</v>
      </c>
    </row>
    <row r="2021" spans="1:33" x14ac:dyDescent="0.2">
      <c r="A2021" s="4">
        <f>IF(B2021=1,3,IF(D2021=1,2,IF(F2021=1,1,0)))</f>
        <v>0</v>
      </c>
      <c r="B2021" s="4">
        <f>IF(C2021=$L2021,1,IF(C2021="","",0))</f>
        <v>0</v>
      </c>
      <c r="C2021" s="42" t="s">
        <v>9200</v>
      </c>
      <c r="D2021" s="4" t="str">
        <f>IF(E2021=$L2021,1,IF(E2021="","",0))</f>
        <v/>
      </c>
      <c r="E2021" s="18"/>
      <c r="F2021" s="4" t="str">
        <f>IF(G2021=$L2021,1,IF(G2021="","",0))</f>
        <v/>
      </c>
      <c r="G2021" s="14"/>
      <c r="H2021" s="6">
        <v>2982</v>
      </c>
      <c r="I2021" s="15" t="s">
        <v>3120</v>
      </c>
      <c r="J2021" s="6" t="s">
        <v>3556</v>
      </c>
      <c r="K2021" s="15" t="s">
        <v>3138</v>
      </c>
      <c r="L2021" s="6" t="s">
        <v>3011</v>
      </c>
      <c r="M2021" s="6" t="s">
        <v>9086</v>
      </c>
      <c r="N2021" s="7">
        <f ca="1">RAND()</f>
        <v>0.29168492547289471</v>
      </c>
      <c r="O2021" s="8">
        <v>45223</v>
      </c>
      <c r="P2021" s="8">
        <v>45224</v>
      </c>
      <c r="Q2021" s="8">
        <v>45226</v>
      </c>
      <c r="R2021" s="8">
        <v>45230</v>
      </c>
      <c r="S2021" s="8">
        <v>45237</v>
      </c>
      <c r="T2021" s="8"/>
      <c r="U2021" s="8"/>
      <c r="V2021" s="10">
        <f>COUNTA(O2021:U2021)</f>
        <v>5</v>
      </c>
      <c r="W2021" s="11">
        <f>_xlfn.IFNA(INDEX(reading[[#This Row],[Memo 01]:[Memo 07]],MATCH(0,reading[[#This Row],[Memo 01]:[Memo 07]],-1)),"")</f>
        <v>45237</v>
      </c>
      <c r="X2021" s="11">
        <f ca="1">IFERROR(reading[[#This Row],[Previous]]+OFFSET(reading[[#Headers],[Memo 01]],-1,MATCH(0,reading[[#This Row],[Memo 01]:[Memo 07]],-1)-1),"")</f>
        <v>45249</v>
      </c>
      <c r="Y2021" s="10" t="str">
        <f ca="1">IF(reading[[#This Row],[Next]]&lt;&gt;"",IF(reading[[#This Row],[Next]]&gt;TODAY(),"OK",""),"")</f>
        <v/>
      </c>
      <c r="Z2021" s="13">
        <v>3</v>
      </c>
      <c r="AA2021" s="13">
        <v>3</v>
      </c>
      <c r="AB2021" s="13">
        <v>3</v>
      </c>
      <c r="AC2021" s="13">
        <v>2</v>
      </c>
      <c r="AD2021" s="13">
        <v>3</v>
      </c>
      <c r="AE2021" s="13"/>
      <c r="AF2021" s="13"/>
      <c r="AG2021" s="16">
        <f>IFERROR(SUMIF(reading[[#This Row],[1st]:[7th]],"&gt;0")/COUNTIF(reading[[#This Row],[1st]:[7th]],"&gt;0"),"")</f>
        <v>2.8</v>
      </c>
    </row>
    <row r="2022" spans="1:33" x14ac:dyDescent="0.2">
      <c r="A2022" s="4">
        <f>IF(B2022=1,3,IF(D2022=1,2,IF(F2022=1,1,0)))</f>
        <v>0</v>
      </c>
      <c r="B2022" s="4">
        <f>IF(C2022=$L2022,1,IF(C2022="","",0))</f>
        <v>0</v>
      </c>
      <c r="C2022" s="42" t="s">
        <v>9200</v>
      </c>
      <c r="D2022" s="4" t="str">
        <f>IF(E2022=$L2022,1,IF(E2022="","",0))</f>
        <v/>
      </c>
      <c r="E2022" s="14"/>
      <c r="F2022" s="4" t="str">
        <f>IF(G2022=$L2022,1,IF(G2022="","",0))</f>
        <v/>
      </c>
      <c r="G2022" s="14"/>
      <c r="H2022" s="6">
        <v>501</v>
      </c>
      <c r="I2022" s="15" t="s">
        <v>3120</v>
      </c>
      <c r="J2022" s="24" t="s">
        <v>9305</v>
      </c>
      <c r="K2022" s="6"/>
      <c r="L2022" s="6" t="s">
        <v>629</v>
      </c>
      <c r="M2022" s="6" t="s">
        <v>6610</v>
      </c>
      <c r="N2022" s="7">
        <f ca="1">RAND()</f>
        <v>0.56079425113624792</v>
      </c>
      <c r="O2022" s="8">
        <v>45202</v>
      </c>
      <c r="P2022" s="8">
        <v>45203</v>
      </c>
      <c r="Q2022" s="8">
        <v>45205</v>
      </c>
      <c r="R2022" s="8">
        <v>45209</v>
      </c>
      <c r="S2022" s="8">
        <v>45216</v>
      </c>
      <c r="T2022" s="8">
        <v>45228</v>
      </c>
      <c r="U2022" s="8"/>
      <c r="V2022" s="10">
        <f>COUNTA(O2022:U2022)</f>
        <v>6</v>
      </c>
      <c r="W2022" s="11">
        <f>_xlfn.IFNA(INDEX(reading[[#This Row],[Memo 01]:[Memo 07]],MATCH(0,reading[[#This Row],[Memo 01]:[Memo 07]],-1)),"")</f>
        <v>45228</v>
      </c>
      <c r="X2022" s="11">
        <f ca="1">IFERROR(reading[[#This Row],[Previous]]+OFFSET(reading[[#Headers],[Memo 01]],-1,MATCH(0,reading[[#This Row],[Memo 01]:[Memo 07]],-1)-1),"")</f>
        <v>45248</v>
      </c>
      <c r="Y2022" s="10" t="str">
        <f ca="1">IF(reading[[#This Row],[Next]]&lt;&gt;"",IF(reading[[#This Row],[Next]]&gt;TODAY(),"OK",""),"")</f>
        <v/>
      </c>
      <c r="Z2022" s="13">
        <v>3</v>
      </c>
      <c r="AA2022" s="13">
        <v>3</v>
      </c>
      <c r="AB2022" s="13">
        <v>2</v>
      </c>
      <c r="AC2022" s="13">
        <v>3</v>
      </c>
      <c r="AD2022" s="13">
        <v>3</v>
      </c>
      <c r="AE2022" s="13">
        <v>3</v>
      </c>
      <c r="AF2022" s="13"/>
      <c r="AG2022" s="16">
        <f>IFERROR(SUMIF(reading[[#This Row],[1st]:[7th]],"&gt;0")/COUNTIF(reading[[#This Row],[1st]:[7th]],"&gt;0"),"")</f>
        <v>2.8333333333333335</v>
      </c>
    </row>
    <row r="2023" spans="1:33" hidden="1" x14ac:dyDescent="0.2">
      <c r="A2023" s="4">
        <f>IF(B2023=1,3,IF(D2023=1,2,IF(F2023=1,1,0)))</f>
        <v>3</v>
      </c>
      <c r="B2023" s="4">
        <f>IF(C2023=$L2023,1,IF(C2023="","",0))</f>
        <v>1</v>
      </c>
      <c r="C2023" s="33" t="s">
        <v>2102</v>
      </c>
      <c r="D2023" s="4" t="str">
        <f>IF(E2023=$L2023,1,IF(E2023="","",0))</f>
        <v/>
      </c>
      <c r="E2023" s="14"/>
      <c r="F2023" s="4" t="str">
        <f>IF(G2023=$L2023,1,IF(G2023="","",0))</f>
        <v/>
      </c>
      <c r="G2023" s="14"/>
      <c r="H2023" s="6">
        <v>2027</v>
      </c>
      <c r="I2023" s="15" t="s">
        <v>3120</v>
      </c>
      <c r="J2023" s="6" t="s">
        <v>5124</v>
      </c>
      <c r="K2023" s="6"/>
      <c r="L2023" s="6" t="s">
        <v>2102</v>
      </c>
      <c r="M2023" s="6" t="s">
        <v>8133</v>
      </c>
      <c r="N2023" s="7">
        <f ca="1">RAND()</f>
        <v>0.71656281000210464</v>
      </c>
      <c r="O2023" s="8">
        <v>45213</v>
      </c>
      <c r="P2023" s="8">
        <v>45213</v>
      </c>
      <c r="Q2023" s="8">
        <v>45213</v>
      </c>
      <c r="R2023" s="8">
        <v>45213</v>
      </c>
      <c r="S2023" s="8">
        <v>45213</v>
      </c>
      <c r="T2023" s="8">
        <v>45213</v>
      </c>
      <c r="U2023" s="8">
        <v>45213</v>
      </c>
      <c r="V2023" s="10">
        <f>COUNTA(O2023:U2023)</f>
        <v>7</v>
      </c>
      <c r="W2023" s="11">
        <f>_xlfn.IFNA(INDEX(reading[[#This Row],[Memo 01]:[Memo 07]],MATCH(0,reading[[#This Row],[Memo 01]:[Memo 07]],-1)),"")</f>
        <v>45213</v>
      </c>
      <c r="X2023" s="11">
        <f ca="1">IFERROR(reading[[#This Row],[Previous]]+OFFSET(reading[[#Headers],[Memo 01]],-1,MATCH(0,reading[[#This Row],[Memo 01]:[Memo 07]],-1)-1),"")</f>
        <v>55213</v>
      </c>
      <c r="Y2023" s="10" t="str">
        <f ca="1">IF(reading[[#This Row],[Next]]&lt;&gt;"",IF(reading[[#This Row],[Next]]&gt;TODAY(),"OK",""),"")</f>
        <v>OK</v>
      </c>
      <c r="Z2023" s="13">
        <v>3</v>
      </c>
      <c r="AA2023" s="13"/>
      <c r="AB2023" s="13"/>
      <c r="AC2023" s="13"/>
      <c r="AD2023" s="13"/>
      <c r="AE2023" s="13"/>
      <c r="AF2023" s="13"/>
      <c r="AG2023" s="16">
        <f>IFERROR(SUMIF(reading[[#This Row],[1st]:[7th]],"&gt;0")/COUNTIF(reading[[#This Row],[1st]:[7th]],"&gt;0"),"")</f>
        <v>3</v>
      </c>
    </row>
    <row r="2024" spans="1:33" x14ac:dyDescent="0.2">
      <c r="A2024" s="4">
        <f>IF(B2024=1,3,IF(D2024=1,2,IF(F2024=1,1,0)))</f>
        <v>0</v>
      </c>
      <c r="B2024" s="4">
        <f>IF(C2024=$L2024,1,IF(C2024="","",0))</f>
        <v>0</v>
      </c>
      <c r="C2024" s="42" t="s">
        <v>9200</v>
      </c>
      <c r="D2024" s="4" t="str">
        <f>IF(E2024=$L2024,1,IF(E2024="","",0))</f>
        <v/>
      </c>
      <c r="E2024" s="18"/>
      <c r="F2024" s="4" t="str">
        <f>IF(G2024=$L2024,1,IF(G2024="","",0))</f>
        <v/>
      </c>
      <c r="G2024" s="14"/>
      <c r="H2024" s="6">
        <v>664</v>
      </c>
      <c r="I2024" s="15" t="s">
        <v>3120</v>
      </c>
      <c r="J2024" s="6" t="s">
        <v>3803</v>
      </c>
      <c r="K2024" s="6"/>
      <c r="L2024" s="6" t="s">
        <v>787</v>
      </c>
      <c r="M2024" s="6" t="s">
        <v>6773</v>
      </c>
      <c r="N2024" s="7">
        <f ca="1">RAND()</f>
        <v>0.82567411764865328</v>
      </c>
      <c r="O2024" s="8">
        <v>45203</v>
      </c>
      <c r="P2024" s="8">
        <v>45204</v>
      </c>
      <c r="Q2024" s="8">
        <v>45206</v>
      </c>
      <c r="R2024" s="8">
        <v>45210</v>
      </c>
      <c r="S2024" s="8">
        <v>45217</v>
      </c>
      <c r="T2024" s="8">
        <v>45229</v>
      </c>
      <c r="U2024" s="8"/>
      <c r="V2024" s="10">
        <f>COUNTA(O2024:U2024)</f>
        <v>6</v>
      </c>
      <c r="W2024" s="11">
        <f>_xlfn.IFNA(INDEX(reading[[#This Row],[Memo 01]:[Memo 07]],MATCH(0,reading[[#This Row],[Memo 01]:[Memo 07]],-1)),"")</f>
        <v>45229</v>
      </c>
      <c r="X2024" s="11">
        <f ca="1">IFERROR(reading[[#This Row],[Previous]]+OFFSET(reading[[#Headers],[Memo 01]],-1,MATCH(0,reading[[#This Row],[Memo 01]:[Memo 07]],-1)-1),"")</f>
        <v>45249</v>
      </c>
      <c r="Y2024" s="10" t="str">
        <f ca="1">IF(reading[[#This Row],[Next]]&lt;&gt;"",IF(reading[[#This Row],[Next]]&gt;TODAY(),"OK",""),"")</f>
        <v/>
      </c>
      <c r="Z2024" s="13">
        <v>3</v>
      </c>
      <c r="AA2024" s="13">
        <v>2</v>
      </c>
      <c r="AB2024" s="13">
        <v>3</v>
      </c>
      <c r="AC2024" s="13">
        <v>3</v>
      </c>
      <c r="AD2024" s="13">
        <v>3</v>
      </c>
      <c r="AE2024" s="13">
        <v>3</v>
      </c>
      <c r="AF2024" s="13"/>
      <c r="AG2024" s="16">
        <f>IFERROR(SUMIF(reading[[#This Row],[1st]:[7th]],"&gt;0")/COUNTIF(reading[[#This Row],[1st]:[7th]],"&gt;0"),"")</f>
        <v>2.8333333333333335</v>
      </c>
    </row>
    <row r="2025" spans="1:33" x14ac:dyDescent="0.2">
      <c r="A2025" s="4">
        <f>IF(B2025=1,3,IF(D2025=1,2,IF(F2025=1,1,0)))</f>
        <v>0</v>
      </c>
      <c r="B2025" s="4">
        <f>IF(C2025=$L2025,1,IF(C2025="","",0))</f>
        <v>0</v>
      </c>
      <c r="C2025" s="42" t="s">
        <v>9200</v>
      </c>
      <c r="D2025" s="4" t="str">
        <f>IF(E2025=$L2025,1,IF(E2025="","",0))</f>
        <v/>
      </c>
      <c r="E2025" s="14"/>
      <c r="F2025" s="4" t="str">
        <f>IF(G2025=$L2025,1,IF(G2025="","",0))</f>
        <v/>
      </c>
      <c r="G2025" s="14"/>
      <c r="H2025" s="6">
        <v>2192</v>
      </c>
      <c r="I2025" s="15" t="s">
        <v>3120</v>
      </c>
      <c r="J2025" s="24" t="s">
        <v>9379</v>
      </c>
      <c r="K2025" s="6"/>
      <c r="L2025" s="6" t="s">
        <v>108</v>
      </c>
      <c r="M2025" s="6" t="s">
        <v>8298</v>
      </c>
      <c r="N2025" s="7">
        <f ca="1">RAND()</f>
        <v>0.79856644558932643</v>
      </c>
      <c r="O2025" s="8">
        <v>45214</v>
      </c>
      <c r="P2025" s="8">
        <v>45215</v>
      </c>
      <c r="Q2025" s="8">
        <v>45217</v>
      </c>
      <c r="R2025" s="8">
        <v>45221</v>
      </c>
      <c r="S2025" s="8">
        <v>45228</v>
      </c>
      <c r="T2025" s="8"/>
      <c r="U2025" s="8"/>
      <c r="V2025" s="10">
        <f>COUNTA(O2025:U2025)</f>
        <v>5</v>
      </c>
      <c r="W2025" s="11">
        <f>_xlfn.IFNA(INDEX(reading[[#This Row],[Memo 01]:[Memo 07]],MATCH(0,reading[[#This Row],[Memo 01]:[Memo 07]],-1)),"")</f>
        <v>45228</v>
      </c>
      <c r="X2025" s="11">
        <f ca="1">IFERROR(reading[[#This Row],[Previous]]+OFFSET(reading[[#Headers],[Memo 01]],-1,MATCH(0,reading[[#This Row],[Memo 01]:[Memo 07]],-1)-1),"")</f>
        <v>45240</v>
      </c>
      <c r="Y2025" s="10" t="str">
        <f ca="1">IF(reading[[#This Row],[Next]]&lt;&gt;"",IF(reading[[#This Row],[Next]]&gt;TODAY(),"OK",""),"")</f>
        <v/>
      </c>
      <c r="Z2025" s="13">
        <v>3</v>
      </c>
      <c r="AA2025" s="13">
        <v>3</v>
      </c>
      <c r="AB2025" s="13">
        <v>3</v>
      </c>
      <c r="AC2025" s="13">
        <v>3</v>
      </c>
      <c r="AD2025" s="13">
        <v>3</v>
      </c>
      <c r="AE2025" s="13"/>
      <c r="AF2025" s="13"/>
      <c r="AG2025" s="16">
        <f>IFERROR(SUMIF(reading[[#This Row],[1st]:[7th]],"&gt;0")/COUNTIF(reading[[#This Row],[1st]:[7th]],"&gt;0"),"")</f>
        <v>3</v>
      </c>
    </row>
    <row r="2026" spans="1:33" hidden="1" x14ac:dyDescent="0.2">
      <c r="A2026" s="4">
        <f>IF(B2026=1,3,IF(D2026=1,2,IF(F2026=1,1,0)))</f>
        <v>0</v>
      </c>
      <c r="B2026" s="4" t="str">
        <f>IF(C2026=$L2026,1,IF(C2026="","",0))</f>
        <v/>
      </c>
      <c r="C2026" s="42"/>
      <c r="D2026" s="4" t="str">
        <f>IF(E2026=$L2026,1,IF(E2026="","",0))</f>
        <v/>
      </c>
      <c r="E2026" s="43"/>
      <c r="F2026" s="4" t="str">
        <f>IF(G2026=$L2026,1,IF(G2026="","",0))</f>
        <v/>
      </c>
      <c r="G2026" s="14"/>
      <c r="H2026" s="6">
        <v>2538</v>
      </c>
      <c r="I2026" s="15" t="s">
        <v>3120</v>
      </c>
      <c r="J2026" s="6" t="s">
        <v>5600</v>
      </c>
      <c r="K2026" s="6"/>
      <c r="L2026" s="6" t="s">
        <v>2583</v>
      </c>
      <c r="M2026" s="6" t="s">
        <v>8643</v>
      </c>
      <c r="N2026" s="7">
        <f ca="1">RAND()</f>
        <v>5.1762307641991745E-2</v>
      </c>
      <c r="O2026" s="8">
        <v>45219</v>
      </c>
      <c r="P2026" s="8">
        <v>45220</v>
      </c>
      <c r="Q2026" s="8">
        <v>45222</v>
      </c>
      <c r="R2026" s="8">
        <v>45226</v>
      </c>
      <c r="S2026" s="8">
        <v>45233</v>
      </c>
      <c r="T2026" s="8">
        <v>45825</v>
      </c>
      <c r="U2026" s="8"/>
      <c r="V2026" s="10">
        <f>COUNTA(O2026:U2026)</f>
        <v>6</v>
      </c>
      <c r="W2026" s="11">
        <f>_xlfn.IFNA(INDEX(reading[[#This Row],[Memo 01]:[Memo 07]],MATCH(0,reading[[#This Row],[Memo 01]:[Memo 07]],-1)),"")</f>
        <v>45825</v>
      </c>
      <c r="X2026" s="11">
        <f ca="1">IFERROR(reading[[#This Row],[Previous]]+OFFSET(reading[[#Headers],[Memo 01]],-1,MATCH(0,reading[[#This Row],[Memo 01]:[Memo 07]],-1)-1),"")</f>
        <v>45845</v>
      </c>
      <c r="Y2026" s="10" t="str">
        <f ca="1">IF(reading[[#This Row],[Next]]&lt;&gt;"",IF(reading[[#This Row],[Next]]&gt;TODAY(),"OK",""),"")</f>
        <v>OK</v>
      </c>
      <c r="Z2026" s="13">
        <v>3</v>
      </c>
      <c r="AA2026" s="13">
        <v>3</v>
      </c>
      <c r="AB2026" s="13">
        <v>3</v>
      </c>
      <c r="AC2026" s="13">
        <v>2</v>
      </c>
      <c r="AD2026" s="13">
        <v>3</v>
      </c>
      <c r="AE2026" s="13">
        <v>2</v>
      </c>
      <c r="AF2026" s="13"/>
      <c r="AG2026" s="16">
        <f>IFERROR(SUMIF(reading[[#This Row],[1st]:[7th]],"&gt;0")/COUNTIF(reading[[#This Row],[1st]:[7th]],"&gt;0"),"")</f>
        <v>2.6666666666666665</v>
      </c>
    </row>
    <row r="2027" spans="1:33" x14ac:dyDescent="0.2">
      <c r="A2027" s="4">
        <f>IF(B2027=1,3,IF(D2027=1,2,IF(F2027=1,1,0)))</f>
        <v>3</v>
      </c>
      <c r="B2027" s="4">
        <f>IF(C2027=$L2027,1,IF(C2027="","",0))</f>
        <v>1</v>
      </c>
      <c r="C2027" s="42" t="s">
        <v>9380</v>
      </c>
      <c r="D2027" s="4" t="str">
        <f>IF(E2027=$L2027,1,IF(E2027="","",0))</f>
        <v/>
      </c>
      <c r="E2027" s="14"/>
      <c r="F2027" s="4" t="str">
        <f>IF(G2027=$L2027,1,IF(G2027="","",0))</f>
        <v/>
      </c>
      <c r="G2027" s="14"/>
      <c r="H2027" s="6">
        <v>1169</v>
      </c>
      <c r="I2027" s="15" t="s">
        <v>3120</v>
      </c>
      <c r="J2027" s="6" t="s">
        <v>4288</v>
      </c>
      <c r="K2027" s="6"/>
      <c r="L2027" s="6" t="s">
        <v>1271</v>
      </c>
      <c r="M2027" s="6" t="s">
        <v>7277</v>
      </c>
      <c r="N2027" s="7">
        <f ca="1">RAND()</f>
        <v>0.19550871938852099</v>
      </c>
      <c r="O2027" s="8">
        <v>45206</v>
      </c>
      <c r="P2027" s="8">
        <v>45207</v>
      </c>
      <c r="Q2027" s="8">
        <v>45209</v>
      </c>
      <c r="R2027" s="8">
        <v>45213</v>
      </c>
      <c r="S2027" s="8">
        <v>45220</v>
      </c>
      <c r="T2027" s="8">
        <v>45232</v>
      </c>
      <c r="U2027" s="8"/>
      <c r="V2027" s="10">
        <f>COUNTA(O2027:U2027)</f>
        <v>6</v>
      </c>
      <c r="W2027" s="11">
        <f>_xlfn.IFNA(INDEX(reading[[#This Row],[Memo 01]:[Memo 07]],MATCH(0,reading[[#This Row],[Memo 01]:[Memo 07]],-1)),"")</f>
        <v>45232</v>
      </c>
      <c r="X2027" s="11">
        <f ca="1">IFERROR(reading[[#This Row],[Previous]]+OFFSET(reading[[#Headers],[Memo 01]],-1,MATCH(0,reading[[#This Row],[Memo 01]:[Memo 07]],-1)-1),"")</f>
        <v>45252</v>
      </c>
      <c r="Y2027" s="10" t="str">
        <f ca="1">IF(reading[[#This Row],[Next]]&lt;&gt;"",IF(reading[[#This Row],[Next]]&gt;TODAY(),"OK",""),"")</f>
        <v/>
      </c>
      <c r="Z2027" s="13">
        <v>3</v>
      </c>
      <c r="AA2027" s="13">
        <v>3</v>
      </c>
      <c r="AB2027" s="13">
        <v>3</v>
      </c>
      <c r="AC2027" s="13">
        <v>3</v>
      </c>
      <c r="AD2027" s="13">
        <v>3</v>
      </c>
      <c r="AE2027" s="13">
        <v>3</v>
      </c>
      <c r="AF2027" s="13"/>
      <c r="AG2027" s="16">
        <f>IFERROR(SUMIF(reading[[#This Row],[1st]:[7th]],"&gt;0")/COUNTIF(reading[[#This Row],[1st]:[7th]],"&gt;0"),"")</f>
        <v>3</v>
      </c>
    </row>
    <row r="2028" spans="1:33" x14ac:dyDescent="0.2">
      <c r="A2028" s="4">
        <f>IF(B2028=1,3,IF(D2028=1,2,IF(F2028=1,1,0)))</f>
        <v>3</v>
      </c>
      <c r="B2028" s="4">
        <f>IF(C2028=$L2028,1,IF(C2028="","",0))</f>
        <v>1</v>
      </c>
      <c r="C2028" s="42" t="s">
        <v>9219</v>
      </c>
      <c r="D2028" s="4" t="str">
        <f>IF(E2028=$L2028,1,IF(E2028="","",0))</f>
        <v/>
      </c>
      <c r="E2028" s="14"/>
      <c r="F2028" s="4" t="str">
        <f>IF(G2028=$L2028,1,IF(G2028="","",0))</f>
        <v/>
      </c>
      <c r="G2028" s="14"/>
      <c r="H2028" s="6">
        <v>2709</v>
      </c>
      <c r="I2028" s="15" t="s">
        <v>3120</v>
      </c>
      <c r="J2028" s="6" t="s">
        <v>5759</v>
      </c>
      <c r="K2028" s="6"/>
      <c r="L2028" s="6" t="s">
        <v>2748</v>
      </c>
      <c r="M2028" s="6" t="s">
        <v>8814</v>
      </c>
      <c r="N2028" s="7">
        <f ca="1">RAND()</f>
        <v>9.9002254877297302E-3</v>
      </c>
      <c r="O2028" s="8">
        <v>45221</v>
      </c>
      <c r="P2028" s="8">
        <v>45222</v>
      </c>
      <c r="Q2028" s="8">
        <v>45224</v>
      </c>
      <c r="R2028" s="8">
        <v>45228</v>
      </c>
      <c r="S2028" s="8">
        <v>45235</v>
      </c>
      <c r="T2028" s="8">
        <v>45801</v>
      </c>
      <c r="U2028" s="8"/>
      <c r="V2028" s="10">
        <f>COUNTA(O2028:U2028)</f>
        <v>6</v>
      </c>
      <c r="W2028" s="11">
        <f>_xlfn.IFNA(INDEX(reading[[#This Row],[Memo 01]:[Memo 07]],MATCH(0,reading[[#This Row],[Memo 01]:[Memo 07]],-1)),"")</f>
        <v>45801</v>
      </c>
      <c r="X2028" s="11">
        <f ca="1">IFERROR(reading[[#This Row],[Previous]]+OFFSET(reading[[#Headers],[Memo 01]],-1,MATCH(0,reading[[#This Row],[Memo 01]:[Memo 07]],-1)-1),"")</f>
        <v>45821</v>
      </c>
      <c r="Y2028" s="10" t="str">
        <f ca="1">IF(reading[[#This Row],[Next]]&lt;&gt;"",IF(reading[[#This Row],[Next]]&gt;TODAY(),"OK",""),"")</f>
        <v/>
      </c>
      <c r="Z2028" s="13">
        <v>3</v>
      </c>
      <c r="AA2028" s="13">
        <v>3</v>
      </c>
      <c r="AB2028" s="13">
        <v>3</v>
      </c>
      <c r="AC2028" s="13">
        <v>3</v>
      </c>
      <c r="AD2028" s="13">
        <v>3</v>
      </c>
      <c r="AE2028" s="13">
        <v>3</v>
      </c>
      <c r="AF2028" s="13"/>
      <c r="AG2028" s="16">
        <f>IFERROR(SUMIF(reading[[#This Row],[1st]:[7th]],"&gt;0")/COUNTIF(reading[[#This Row],[1st]:[7th]],"&gt;0"),"")</f>
        <v>3</v>
      </c>
    </row>
    <row r="2029" spans="1:33" hidden="1" x14ac:dyDescent="0.2">
      <c r="A2029" s="4">
        <f>IF(B2029=1,3,IF(D2029=1,2,IF(F2029=1,1,0)))</f>
        <v>0</v>
      </c>
      <c r="B2029" s="4" t="str">
        <f>IF(C2029=$L2029,1,IF(C2029="","",0))</f>
        <v/>
      </c>
      <c r="C2029" s="42"/>
      <c r="D2029" s="4" t="str">
        <f>IF(E2029=$L2029,1,IF(E2029="","",0))</f>
        <v/>
      </c>
      <c r="E2029" s="23"/>
      <c r="F2029" s="4" t="str">
        <f>IF(G2029=$L2029,1,IF(G2029="","",0))</f>
        <v/>
      </c>
      <c r="G2029" s="14"/>
      <c r="H2029" s="6">
        <v>1034</v>
      </c>
      <c r="I2029" s="15" t="s">
        <v>3120</v>
      </c>
      <c r="J2029" s="6" t="s">
        <v>4161</v>
      </c>
      <c r="K2029" s="6"/>
      <c r="L2029" s="6" t="s">
        <v>1143</v>
      </c>
      <c r="M2029" s="6" t="s">
        <v>7142</v>
      </c>
      <c r="N2029" s="7">
        <f ca="1">RAND()</f>
        <v>0.47884529419487476</v>
      </c>
      <c r="O2029" s="8">
        <v>45205</v>
      </c>
      <c r="P2029" s="8">
        <v>45206</v>
      </c>
      <c r="Q2029" s="8">
        <v>45208</v>
      </c>
      <c r="R2029" s="8">
        <v>45212</v>
      </c>
      <c r="S2029" s="8">
        <v>45219</v>
      </c>
      <c r="T2029" s="8">
        <v>45231</v>
      </c>
      <c r="U2029" s="8">
        <v>45825</v>
      </c>
      <c r="V2029" s="10">
        <f>COUNTA(O2029:U2029)</f>
        <v>7</v>
      </c>
      <c r="W2029" s="11">
        <f>_xlfn.IFNA(INDEX(reading[[#This Row],[Memo 01]:[Memo 07]],MATCH(0,reading[[#This Row],[Memo 01]:[Memo 07]],-1)),"")</f>
        <v>45825</v>
      </c>
      <c r="X2029" s="11">
        <f ca="1">IFERROR(reading[[#This Row],[Previous]]+OFFSET(reading[[#Headers],[Memo 01]],-1,MATCH(0,reading[[#This Row],[Memo 01]:[Memo 07]],-1)-1),"")</f>
        <v>55825</v>
      </c>
      <c r="Y2029" s="10" t="str">
        <f ca="1">IF(reading[[#This Row],[Next]]&lt;&gt;"",IF(reading[[#This Row],[Next]]&gt;TODAY(),"OK",""),"")</f>
        <v>OK</v>
      </c>
      <c r="Z2029" s="13">
        <v>3</v>
      </c>
      <c r="AA2029" s="13">
        <v>2</v>
      </c>
      <c r="AB2029" s="13">
        <v>3</v>
      </c>
      <c r="AC2029" s="13">
        <v>3</v>
      </c>
      <c r="AD2029" s="13">
        <v>3</v>
      </c>
      <c r="AE2029" s="13">
        <v>3</v>
      </c>
      <c r="AF2029" s="13">
        <v>2</v>
      </c>
      <c r="AG2029" s="16">
        <f>IFERROR(SUMIF(reading[[#This Row],[1st]:[7th]],"&gt;0")/COUNTIF(reading[[#This Row],[1st]:[7th]],"&gt;0"),"")</f>
        <v>2.7142857142857144</v>
      </c>
    </row>
    <row r="2030" spans="1:33" x14ac:dyDescent="0.2">
      <c r="A2030" s="4">
        <f>IF(B2030=1,3,IF(D2030=1,2,IF(F2030=1,1,0)))</f>
        <v>3</v>
      </c>
      <c r="B2030" s="4">
        <f>IF(C2030=$L2030,1,IF(C2030="","",0))</f>
        <v>1</v>
      </c>
      <c r="C2030" s="42" t="s">
        <v>9221</v>
      </c>
      <c r="D2030" s="4" t="str">
        <f>IF(E2030=$L2030,1,IF(E2030="","",0))</f>
        <v/>
      </c>
      <c r="E2030" s="14"/>
      <c r="F2030" s="4" t="str">
        <f>IF(G2030=$L2030,1,IF(G2030="","",0))</f>
        <v/>
      </c>
      <c r="G2030" s="14"/>
      <c r="H2030" s="6">
        <v>2472</v>
      </c>
      <c r="I2030" s="15" t="s">
        <v>3120</v>
      </c>
      <c r="J2030" s="6" t="s">
        <v>5540</v>
      </c>
      <c r="K2030" s="6"/>
      <c r="L2030" s="6" t="s">
        <v>2520</v>
      </c>
      <c r="M2030" s="6" t="s">
        <v>8577</v>
      </c>
      <c r="N2030" s="7">
        <f ca="1">RAND()</f>
        <v>0.59917350581823547</v>
      </c>
      <c r="O2030" s="8">
        <v>45218</v>
      </c>
      <c r="P2030" s="8">
        <v>45219</v>
      </c>
      <c r="Q2030" s="8">
        <v>45221</v>
      </c>
      <c r="R2030" s="8">
        <v>45225</v>
      </c>
      <c r="S2030" s="8">
        <v>45232</v>
      </c>
      <c r="T2030" s="8">
        <v>45801</v>
      </c>
      <c r="U2030" s="8"/>
      <c r="V2030" s="10">
        <f>COUNTA(O2030:U2030)</f>
        <v>6</v>
      </c>
      <c r="W2030" s="11">
        <f>_xlfn.IFNA(INDEX(reading[[#This Row],[Memo 01]:[Memo 07]],MATCH(0,reading[[#This Row],[Memo 01]:[Memo 07]],-1)),"")</f>
        <v>45801</v>
      </c>
      <c r="X2030" s="11">
        <f ca="1">IFERROR(reading[[#This Row],[Previous]]+OFFSET(reading[[#Headers],[Memo 01]],-1,MATCH(0,reading[[#This Row],[Memo 01]:[Memo 07]],-1)-1),"")</f>
        <v>45821</v>
      </c>
      <c r="Y2030" s="10" t="str">
        <f ca="1">IF(reading[[#This Row],[Next]]&lt;&gt;"",IF(reading[[#This Row],[Next]]&gt;TODAY(),"OK",""),"")</f>
        <v/>
      </c>
      <c r="Z2030" s="13">
        <v>3</v>
      </c>
      <c r="AA2030" s="13">
        <v>3</v>
      </c>
      <c r="AB2030" s="13">
        <v>3</v>
      </c>
      <c r="AC2030" s="13">
        <v>3</v>
      </c>
      <c r="AD2030" s="13">
        <v>3</v>
      </c>
      <c r="AE2030" s="13">
        <v>3</v>
      </c>
      <c r="AF2030" s="13"/>
      <c r="AG2030" s="16">
        <f>IFERROR(SUMIF(reading[[#This Row],[1st]:[7th]],"&gt;0")/COUNTIF(reading[[#This Row],[1st]:[7th]],"&gt;0"),"")</f>
        <v>3</v>
      </c>
    </row>
    <row r="2031" spans="1:33" hidden="1" x14ac:dyDescent="0.2">
      <c r="A2031" s="4">
        <f>IF(B2031=1,3,IF(D2031=1,2,IF(F2031=1,1,0)))</f>
        <v>0</v>
      </c>
      <c r="B2031" s="4" t="str">
        <f>IF(C2031=$L2031,1,IF(C2031="","",0))</f>
        <v/>
      </c>
      <c r="C2031" s="42"/>
      <c r="D2031" s="4" t="str">
        <f>IF(E2031=$L2031,1,IF(E2031="","",0))</f>
        <v/>
      </c>
      <c r="E2031" s="43"/>
      <c r="F2031" s="4" t="str">
        <f>IF(G2031=$L2031,1,IF(G2031="","",0))</f>
        <v/>
      </c>
      <c r="G2031" s="23"/>
      <c r="H2031" s="6">
        <v>1785</v>
      </c>
      <c r="I2031" s="15" t="s">
        <v>3120</v>
      </c>
      <c r="J2031" s="6" t="s">
        <v>4892</v>
      </c>
      <c r="K2031" s="6"/>
      <c r="L2031" s="6" t="s">
        <v>1864</v>
      </c>
      <c r="M2031" s="6" t="s">
        <v>7891</v>
      </c>
      <c r="N2031" s="7">
        <f ca="1">RAND()</f>
        <v>0.712843688890616</v>
      </c>
      <c r="O2031" s="8">
        <v>45211</v>
      </c>
      <c r="P2031" s="8">
        <v>45212</v>
      </c>
      <c r="Q2031" s="8">
        <v>45214</v>
      </c>
      <c r="R2031" s="8">
        <v>45218</v>
      </c>
      <c r="S2031" s="8">
        <v>45225</v>
      </c>
      <c r="T2031" s="8">
        <v>45237</v>
      </c>
      <c r="U2031" s="8">
        <v>45817</v>
      </c>
      <c r="V2031" s="10">
        <f>COUNTA(O2031:U2031)</f>
        <v>7</v>
      </c>
      <c r="W2031" s="11">
        <f>_xlfn.IFNA(INDEX(reading[[#This Row],[Memo 01]:[Memo 07]],MATCH(0,reading[[#This Row],[Memo 01]:[Memo 07]],-1)),"")</f>
        <v>45817</v>
      </c>
      <c r="X2031" s="11">
        <f ca="1">IFERROR(reading[[#This Row],[Previous]]+OFFSET(reading[[#Headers],[Memo 01]],-1,MATCH(0,reading[[#This Row],[Memo 01]:[Memo 07]],-1)-1),"")</f>
        <v>55817</v>
      </c>
      <c r="Y2031" s="10" t="str">
        <f ca="1">IF(reading[[#This Row],[Next]]&lt;&gt;"",IF(reading[[#This Row],[Next]]&gt;TODAY(),"OK",""),"")</f>
        <v>OK</v>
      </c>
      <c r="Z2031" s="13">
        <v>3</v>
      </c>
      <c r="AA2031" s="13">
        <v>3</v>
      </c>
      <c r="AB2031" s="13">
        <v>3</v>
      </c>
      <c r="AC2031" s="13">
        <v>2</v>
      </c>
      <c r="AD2031" s="13">
        <v>2</v>
      </c>
      <c r="AE2031" s="13">
        <v>3</v>
      </c>
      <c r="AF2031" s="13">
        <v>1</v>
      </c>
      <c r="AG2031" s="16">
        <f>IFERROR(SUMIF(reading[[#This Row],[1st]:[7th]],"&gt;0")/COUNTIF(reading[[#This Row],[1st]:[7th]],"&gt;0"),"")</f>
        <v>2.4285714285714284</v>
      </c>
    </row>
    <row r="2032" spans="1:33" x14ac:dyDescent="0.2">
      <c r="A2032" s="4">
        <f>IF(B2032=1,3,IF(D2032=1,2,IF(F2032=1,1,0)))</f>
        <v>3</v>
      </c>
      <c r="B2032" s="4">
        <f>IF(C2032=$L2032,1,IF(C2032="","",0))</f>
        <v>1</v>
      </c>
      <c r="C2032" s="42" t="s">
        <v>9214</v>
      </c>
      <c r="D2032" s="4" t="str">
        <f>IF(E2032=$L2032,1,IF(E2032="","",0))</f>
        <v/>
      </c>
      <c r="E2032" s="18"/>
      <c r="F2032" s="4" t="str">
        <f>IF(G2032=$L2032,1,IF(G2032="","",0))</f>
        <v/>
      </c>
      <c r="G2032" s="14"/>
      <c r="H2032" s="6">
        <v>2040</v>
      </c>
      <c r="I2032" s="15" t="s">
        <v>3120</v>
      </c>
      <c r="J2032" s="6" t="s">
        <v>5136</v>
      </c>
      <c r="K2032" s="6"/>
      <c r="L2032" s="6" t="s">
        <v>2115</v>
      </c>
      <c r="M2032" s="6" t="s">
        <v>8146</v>
      </c>
      <c r="N2032" s="7">
        <f ca="1">RAND()</f>
        <v>0.43154911236516591</v>
      </c>
      <c r="O2032" s="8">
        <v>45213</v>
      </c>
      <c r="P2032" s="8">
        <v>45214</v>
      </c>
      <c r="Q2032" s="8">
        <v>45216</v>
      </c>
      <c r="R2032" s="8">
        <v>45220</v>
      </c>
      <c r="S2032" s="8">
        <v>45227</v>
      </c>
      <c r="T2032" s="8">
        <v>45792</v>
      </c>
      <c r="U2032" s="8"/>
      <c r="V2032" s="10">
        <f>COUNTA(O2032:U2032)</f>
        <v>6</v>
      </c>
      <c r="W2032" s="11">
        <f>_xlfn.IFNA(INDEX(reading[[#This Row],[Memo 01]:[Memo 07]],MATCH(0,reading[[#This Row],[Memo 01]:[Memo 07]],-1)),"")</f>
        <v>45792</v>
      </c>
      <c r="X2032" s="11">
        <f ca="1">IFERROR(reading[[#This Row],[Previous]]+OFFSET(reading[[#Headers],[Memo 01]],-1,MATCH(0,reading[[#This Row],[Memo 01]:[Memo 07]],-1)-1),"")</f>
        <v>45812</v>
      </c>
      <c r="Y2032" s="10" t="str">
        <f ca="1">IF(reading[[#This Row],[Next]]&lt;&gt;"",IF(reading[[#This Row],[Next]]&gt;TODAY(),"OK",""),"")</f>
        <v/>
      </c>
      <c r="Z2032" s="13">
        <v>3</v>
      </c>
      <c r="AA2032" s="13">
        <v>3</v>
      </c>
      <c r="AB2032" s="13">
        <v>2</v>
      </c>
      <c r="AC2032" s="13">
        <v>3</v>
      </c>
      <c r="AD2032" s="13">
        <v>3</v>
      </c>
      <c r="AE2032" s="13">
        <v>3</v>
      </c>
      <c r="AF2032" s="13"/>
      <c r="AG2032" s="16">
        <f>IFERROR(SUMIF(reading[[#This Row],[1st]:[7th]],"&gt;0")/COUNTIF(reading[[#This Row],[1st]:[7th]],"&gt;0"),"")</f>
        <v>2.8333333333333335</v>
      </c>
    </row>
    <row r="2033" spans="1:33" x14ac:dyDescent="0.2">
      <c r="A2033" s="4">
        <f>IF(B2033=1,3,IF(D2033=1,2,IF(F2033=1,1,0)))</f>
        <v>3</v>
      </c>
      <c r="B2033" s="4">
        <f>IF(C2033=$L2033,1,IF(C2033="","",0))</f>
        <v>1</v>
      </c>
      <c r="C2033" s="42" t="s">
        <v>9205</v>
      </c>
      <c r="D2033" s="4" t="str">
        <f>IF(E2033=$L2033,1,IF(E2033="","",0))</f>
        <v/>
      </c>
      <c r="E2033" s="14"/>
      <c r="F2033" s="4" t="str">
        <f>IF(G2033=$L2033,1,IF(G2033="","",0))</f>
        <v/>
      </c>
      <c r="G2033" s="14"/>
      <c r="H2033" s="6">
        <v>3022</v>
      </c>
      <c r="I2033" s="15" t="s">
        <v>3120</v>
      </c>
      <c r="J2033" s="6" t="s">
        <v>6045</v>
      </c>
      <c r="K2033" s="6"/>
      <c r="L2033" s="6" t="s">
        <v>3051</v>
      </c>
      <c r="M2033" s="6" t="s">
        <v>9125</v>
      </c>
      <c r="N2033" s="7">
        <f ca="1">RAND()</f>
        <v>9.1920225322165372E-2</v>
      </c>
      <c r="O2033" s="8">
        <v>45224</v>
      </c>
      <c r="P2033" s="8">
        <v>45225</v>
      </c>
      <c r="Q2033" s="8">
        <v>45227</v>
      </c>
      <c r="R2033" s="8">
        <v>45231</v>
      </c>
      <c r="S2033" s="8">
        <v>45249</v>
      </c>
      <c r="T2033" s="8">
        <v>45783</v>
      </c>
      <c r="U2033" s="8"/>
      <c r="V2033" s="10">
        <f>COUNTA(O2033:U2033)</f>
        <v>6</v>
      </c>
      <c r="W2033" s="11">
        <f>_xlfn.IFNA(INDEX(reading[[#This Row],[Memo 01]:[Memo 07]],MATCH(0,reading[[#This Row],[Memo 01]:[Memo 07]],-1)),"")</f>
        <v>45783</v>
      </c>
      <c r="X2033" s="11">
        <f ca="1">IFERROR(reading[[#This Row],[Previous]]+OFFSET(reading[[#Headers],[Memo 01]],-1,MATCH(0,reading[[#This Row],[Memo 01]:[Memo 07]],-1)-1),"")</f>
        <v>45803</v>
      </c>
      <c r="Y2033" s="10" t="str">
        <f ca="1">IF(reading[[#This Row],[Next]]&lt;&gt;"",IF(reading[[#This Row],[Next]]&gt;TODAY(),"OK",""),"")</f>
        <v/>
      </c>
      <c r="Z2033" s="13">
        <v>3</v>
      </c>
      <c r="AA2033" s="13">
        <v>3</v>
      </c>
      <c r="AB2033" s="13">
        <v>3</v>
      </c>
      <c r="AC2033" s="13">
        <v>3</v>
      </c>
      <c r="AD2033" s="13">
        <v>3</v>
      </c>
      <c r="AE2033" s="13">
        <v>3</v>
      </c>
      <c r="AF2033" s="13"/>
      <c r="AG2033" s="16">
        <f>IFERROR(SUMIF(reading[[#This Row],[1st]:[7th]],"&gt;0")/COUNTIF(reading[[#This Row],[1st]:[7th]],"&gt;0"),"")</f>
        <v>3</v>
      </c>
    </row>
    <row r="2034" spans="1:33" hidden="1" x14ac:dyDescent="0.2">
      <c r="A2034" s="4">
        <f>IF(B2034=1,3,IF(D2034=1,2,IF(F2034=1,1,0)))</f>
        <v>0</v>
      </c>
      <c r="B2034" s="4" t="str">
        <f>IF(C2034=$L2034,1,IF(C2034="","",0))</f>
        <v/>
      </c>
      <c r="C2034" s="42"/>
      <c r="D2034" s="4" t="str">
        <f>IF(E2034=$L2034,1,IF(E2034="","",0))</f>
        <v/>
      </c>
      <c r="E2034" s="43"/>
      <c r="F2034" s="4" t="str">
        <f>IF(G2034=$L2034,1,IF(G2034="","",0))</f>
        <v/>
      </c>
      <c r="G2034" s="14"/>
      <c r="H2034" s="6">
        <v>1436</v>
      </c>
      <c r="I2034" s="15" t="s">
        <v>3120</v>
      </c>
      <c r="J2034" s="6" t="s">
        <v>4550</v>
      </c>
      <c r="K2034" s="6"/>
      <c r="L2034" s="6" t="s">
        <v>1526</v>
      </c>
      <c r="M2034" s="6" t="s">
        <v>7543</v>
      </c>
      <c r="N2034" s="7">
        <f ca="1">RAND()</f>
        <v>0.84173321186540262</v>
      </c>
      <c r="O2034" s="8">
        <v>45208</v>
      </c>
      <c r="P2034" s="8">
        <v>45209</v>
      </c>
      <c r="Q2034" s="8">
        <v>45211</v>
      </c>
      <c r="R2034" s="8">
        <v>45215</v>
      </c>
      <c r="S2034" s="8">
        <v>45222</v>
      </c>
      <c r="T2034" s="8">
        <v>45234</v>
      </c>
      <c r="U2034" s="8">
        <v>45825</v>
      </c>
      <c r="V2034" s="10">
        <f>COUNTA(O2034:U2034)</f>
        <v>7</v>
      </c>
      <c r="W2034" s="11">
        <f>_xlfn.IFNA(INDEX(reading[[#This Row],[Memo 01]:[Memo 07]],MATCH(0,reading[[#This Row],[Memo 01]:[Memo 07]],-1)),"")</f>
        <v>45825</v>
      </c>
      <c r="X2034" s="11">
        <f ca="1">IFERROR(reading[[#This Row],[Previous]]+OFFSET(reading[[#Headers],[Memo 01]],-1,MATCH(0,reading[[#This Row],[Memo 01]:[Memo 07]],-1)-1),"")</f>
        <v>55825</v>
      </c>
      <c r="Y2034" s="10" t="str">
        <f ca="1">IF(reading[[#This Row],[Next]]&lt;&gt;"",IF(reading[[#This Row],[Next]]&gt;TODAY(),"OK",""),"")</f>
        <v>OK</v>
      </c>
      <c r="Z2034" s="13">
        <v>3</v>
      </c>
      <c r="AA2034" s="13">
        <v>3</v>
      </c>
      <c r="AB2034" s="13">
        <v>3</v>
      </c>
      <c r="AC2034" s="13">
        <v>2</v>
      </c>
      <c r="AD2034" s="13">
        <v>3</v>
      </c>
      <c r="AE2034" s="13">
        <v>3</v>
      </c>
      <c r="AF2034" s="13">
        <v>2</v>
      </c>
      <c r="AG2034" s="16">
        <f>IFERROR(SUMIF(reading[[#This Row],[1st]:[7th]],"&gt;0")/COUNTIF(reading[[#This Row],[1st]:[7th]],"&gt;0"),"")</f>
        <v>2.7142857142857144</v>
      </c>
    </row>
    <row r="2035" spans="1:33" hidden="1" x14ac:dyDescent="0.2">
      <c r="A2035" s="4">
        <f>IF(B2035=1,3,IF(D2035=1,2,IF(F2035=1,1,0)))</f>
        <v>3</v>
      </c>
      <c r="B2035" s="4">
        <f>IF(C2035=$L2035,1,IF(C2035="","",0))</f>
        <v>1</v>
      </c>
      <c r="C2035" s="33" t="s">
        <v>2114</v>
      </c>
      <c r="D2035" s="4" t="str">
        <f>IF(E2035=$L2035,1,IF(E2035="","",0))</f>
        <v/>
      </c>
      <c r="E2035" s="14"/>
      <c r="F2035" s="4" t="str">
        <f>IF(G2035=$L2035,1,IF(G2035="","",0))</f>
        <v/>
      </c>
      <c r="G2035" s="14"/>
      <c r="H2035" s="6">
        <v>2039</v>
      </c>
      <c r="I2035" s="15" t="s">
        <v>3120</v>
      </c>
      <c r="J2035" s="6" t="s">
        <v>5135</v>
      </c>
      <c r="K2035" s="6"/>
      <c r="L2035" s="6" t="s">
        <v>2114</v>
      </c>
      <c r="M2035" s="6" t="s">
        <v>8145</v>
      </c>
      <c r="N2035" s="7">
        <f ca="1">RAND()</f>
        <v>0.55563012429061587</v>
      </c>
      <c r="O2035" s="8">
        <v>45213</v>
      </c>
      <c r="P2035" s="8">
        <v>45213</v>
      </c>
      <c r="Q2035" s="8">
        <v>45213</v>
      </c>
      <c r="R2035" s="8">
        <v>45213</v>
      </c>
      <c r="S2035" s="8">
        <v>45213</v>
      </c>
      <c r="T2035" s="8">
        <v>45213</v>
      </c>
      <c r="U2035" s="8">
        <v>45213</v>
      </c>
      <c r="V2035" s="10">
        <f>COUNTA(O2035:U2035)</f>
        <v>7</v>
      </c>
      <c r="W2035" s="11">
        <f>_xlfn.IFNA(INDEX(reading[[#This Row],[Memo 01]:[Memo 07]],MATCH(0,reading[[#This Row],[Memo 01]:[Memo 07]],-1)),"")</f>
        <v>45213</v>
      </c>
      <c r="X2035" s="11">
        <f ca="1">IFERROR(reading[[#This Row],[Previous]]+OFFSET(reading[[#Headers],[Memo 01]],-1,MATCH(0,reading[[#This Row],[Memo 01]:[Memo 07]],-1)-1),"")</f>
        <v>55213</v>
      </c>
      <c r="Y2035" s="10" t="str">
        <f ca="1">IF(reading[[#This Row],[Next]]&lt;&gt;"",IF(reading[[#This Row],[Next]]&gt;TODAY(),"OK",""),"")</f>
        <v>OK</v>
      </c>
      <c r="Z2035" s="13">
        <v>3</v>
      </c>
      <c r="AA2035" s="13"/>
      <c r="AB2035" s="13"/>
      <c r="AC2035" s="13"/>
      <c r="AD2035" s="13"/>
      <c r="AE2035" s="13"/>
      <c r="AF2035" s="13"/>
      <c r="AG2035" s="16">
        <f>IFERROR(SUMIF(reading[[#This Row],[1st]:[7th]],"&gt;0")/COUNTIF(reading[[#This Row],[1st]:[7th]],"&gt;0"),"")</f>
        <v>3</v>
      </c>
    </row>
    <row r="2036" spans="1:33" x14ac:dyDescent="0.2">
      <c r="A2036" s="4">
        <f>IF(B2036=1,3,IF(D2036=1,2,IF(F2036=1,1,0)))</f>
        <v>0</v>
      </c>
      <c r="B2036" s="4">
        <f>IF(C2036=$L2036,1,IF(C2036="","",0))</f>
        <v>0</v>
      </c>
      <c r="C2036" s="42" t="s">
        <v>9200</v>
      </c>
      <c r="D2036" s="4" t="str">
        <f>IF(E2036=$L2036,1,IF(E2036="","",0))</f>
        <v/>
      </c>
      <c r="E2036" s="18"/>
      <c r="F2036" s="4" t="str">
        <f>IF(G2036=$L2036,1,IF(G2036="","",0))</f>
        <v/>
      </c>
      <c r="G2036" s="14"/>
      <c r="H2036" s="6">
        <v>2390</v>
      </c>
      <c r="I2036" s="15" t="s">
        <v>3120</v>
      </c>
      <c r="J2036" s="6" t="s">
        <v>5463</v>
      </c>
      <c r="K2036" s="6"/>
      <c r="L2036" s="6" t="s">
        <v>2441</v>
      </c>
      <c r="M2036" s="6" t="s">
        <v>8495</v>
      </c>
      <c r="N2036" s="7">
        <f ca="1">RAND()</f>
        <v>0.33137753161172445</v>
      </c>
      <c r="O2036" s="8">
        <v>45217</v>
      </c>
      <c r="P2036" s="8">
        <v>45218</v>
      </c>
      <c r="Q2036" s="8">
        <v>45220</v>
      </c>
      <c r="R2036" s="8">
        <v>45224</v>
      </c>
      <c r="S2036" s="8">
        <v>45231</v>
      </c>
      <c r="T2036" s="8">
        <v>45250</v>
      </c>
      <c r="U2036" s="8"/>
      <c r="V2036" s="10">
        <f>COUNTA(O2036:U2036)</f>
        <v>6</v>
      </c>
      <c r="W2036" s="11">
        <f>_xlfn.IFNA(INDEX(reading[[#This Row],[Memo 01]:[Memo 07]],MATCH(0,reading[[#This Row],[Memo 01]:[Memo 07]],-1)),"")</f>
        <v>45250</v>
      </c>
      <c r="X2036" s="11">
        <f ca="1">IFERROR(reading[[#This Row],[Previous]]+OFFSET(reading[[#Headers],[Memo 01]],-1,MATCH(0,reading[[#This Row],[Memo 01]:[Memo 07]],-1)-1),"")</f>
        <v>45270</v>
      </c>
      <c r="Y2036" s="10" t="str">
        <f ca="1">IF(reading[[#This Row],[Next]]&lt;&gt;"",IF(reading[[#This Row],[Next]]&gt;TODAY(),"OK",""),"")</f>
        <v/>
      </c>
      <c r="Z2036" s="13">
        <v>3</v>
      </c>
      <c r="AA2036" s="13">
        <v>2</v>
      </c>
      <c r="AB2036" s="13">
        <v>3</v>
      </c>
      <c r="AC2036" s="13">
        <v>2</v>
      </c>
      <c r="AD2036" s="13">
        <v>2</v>
      </c>
      <c r="AE2036" s="13">
        <v>1</v>
      </c>
      <c r="AF2036" s="13"/>
      <c r="AG2036" s="16">
        <f>IFERROR(SUMIF(reading[[#This Row],[1st]:[7th]],"&gt;0")/COUNTIF(reading[[#This Row],[1st]:[7th]],"&gt;0"),"")</f>
        <v>2.1666666666666665</v>
      </c>
    </row>
    <row r="2037" spans="1:33" hidden="1" x14ac:dyDescent="0.2">
      <c r="A2037" s="4">
        <f>IF(B2037=1,3,IF(D2037=1,2,IF(F2037=1,1,0)))</f>
        <v>3</v>
      </c>
      <c r="B2037" s="4">
        <f>IF(C2037=$L2037,1,IF(C2037="","",0))</f>
        <v>1</v>
      </c>
      <c r="C2037" s="33" t="s">
        <v>2116</v>
      </c>
      <c r="D2037" s="4" t="str">
        <f>IF(E2037=$L2037,1,IF(E2037="","",0))</f>
        <v/>
      </c>
      <c r="E2037" s="14"/>
      <c r="F2037" s="4" t="str">
        <f>IF(G2037=$L2037,1,IF(G2037="","",0))</f>
        <v/>
      </c>
      <c r="G2037" s="14"/>
      <c r="H2037" s="6">
        <v>2041</v>
      </c>
      <c r="I2037" s="15" t="s">
        <v>3120</v>
      </c>
      <c r="J2037" s="6" t="s">
        <v>5137</v>
      </c>
      <c r="K2037" s="6"/>
      <c r="L2037" s="6" t="s">
        <v>2116</v>
      </c>
      <c r="M2037" s="6" t="s">
        <v>8147</v>
      </c>
      <c r="N2037" s="7">
        <f ca="1">RAND()</f>
        <v>4.3498352509960481E-2</v>
      </c>
      <c r="O2037" s="8">
        <v>45213</v>
      </c>
      <c r="P2037" s="8">
        <v>45213</v>
      </c>
      <c r="Q2037" s="8">
        <v>45213</v>
      </c>
      <c r="R2037" s="8">
        <v>45213</v>
      </c>
      <c r="S2037" s="8">
        <v>45213</v>
      </c>
      <c r="T2037" s="8">
        <v>45213</v>
      </c>
      <c r="U2037" s="8">
        <v>45213</v>
      </c>
      <c r="V2037" s="10">
        <f>COUNTA(O2037:U2037)</f>
        <v>7</v>
      </c>
      <c r="W2037" s="11">
        <f>_xlfn.IFNA(INDEX(reading[[#This Row],[Memo 01]:[Memo 07]],MATCH(0,reading[[#This Row],[Memo 01]:[Memo 07]],-1)),"")</f>
        <v>45213</v>
      </c>
      <c r="X2037" s="11">
        <f ca="1">IFERROR(reading[[#This Row],[Previous]]+OFFSET(reading[[#Headers],[Memo 01]],-1,MATCH(0,reading[[#This Row],[Memo 01]:[Memo 07]],-1)-1),"")</f>
        <v>55213</v>
      </c>
      <c r="Y2037" s="10" t="str">
        <f ca="1">IF(reading[[#This Row],[Next]]&lt;&gt;"",IF(reading[[#This Row],[Next]]&gt;TODAY(),"OK",""),"")</f>
        <v>OK</v>
      </c>
      <c r="Z2037" s="13">
        <v>3</v>
      </c>
      <c r="AA2037" s="13"/>
      <c r="AB2037" s="13"/>
      <c r="AC2037" s="13"/>
      <c r="AD2037" s="13"/>
      <c r="AE2037" s="13"/>
      <c r="AF2037" s="13"/>
      <c r="AG2037" s="16">
        <f>IFERROR(SUMIF(reading[[#This Row],[1st]:[7th]],"&gt;0")/COUNTIF(reading[[#This Row],[1st]:[7th]],"&gt;0"),"")</f>
        <v>3</v>
      </c>
    </row>
    <row r="2038" spans="1:33" hidden="1" x14ac:dyDescent="0.2">
      <c r="A2038" s="4">
        <f>IF(B2038=1,3,IF(D2038=1,2,IF(F2038=1,1,0)))</f>
        <v>0</v>
      </c>
      <c r="B2038" s="4">
        <f>IF(C2038=$L2038,1,IF(C2038="","",0))</f>
        <v>0</v>
      </c>
      <c r="C2038" s="42" t="s">
        <v>9285</v>
      </c>
      <c r="D2038" s="4" t="str">
        <f>IF(E2038=$L2038,1,IF(E2038="","",0))</f>
        <v/>
      </c>
      <c r="E2038" s="18"/>
      <c r="F2038" s="4" t="str">
        <f>IF(G2038=$L2038,1,IF(G2038="","",0))</f>
        <v/>
      </c>
      <c r="G2038" s="14"/>
      <c r="H2038" s="6">
        <v>1604</v>
      </c>
      <c r="I2038" s="15" t="s">
        <v>3120</v>
      </c>
      <c r="J2038" s="6" t="s">
        <v>4716</v>
      </c>
      <c r="K2038" s="6"/>
      <c r="L2038" s="6" t="s">
        <v>134</v>
      </c>
      <c r="M2038" s="6" t="s">
        <v>7710</v>
      </c>
      <c r="N2038" s="7">
        <f ca="1">RAND()</f>
        <v>9.7545253065663973E-2</v>
      </c>
      <c r="O2038" s="8">
        <v>45210</v>
      </c>
      <c r="P2038" s="8">
        <v>45211</v>
      </c>
      <c r="Q2038" s="8">
        <v>45213</v>
      </c>
      <c r="R2038" s="8">
        <v>45217</v>
      </c>
      <c r="S2038" s="8">
        <v>45224</v>
      </c>
      <c r="T2038" s="8">
        <v>45236</v>
      </c>
      <c r="U2038" s="8"/>
      <c r="V2038" s="10">
        <f>COUNTA(O2038:U2038)</f>
        <v>6</v>
      </c>
      <c r="W2038" s="11">
        <f>_xlfn.IFNA(INDEX(reading[[#This Row],[Memo 01]:[Memo 07]],MATCH(0,reading[[#This Row],[Memo 01]:[Memo 07]],-1)),"")</f>
        <v>45236</v>
      </c>
      <c r="X2038" s="11">
        <f ca="1">IFERROR(reading[[#This Row],[Previous]]+OFFSET(reading[[#Headers],[Memo 01]],-1,MATCH(0,reading[[#This Row],[Memo 01]:[Memo 07]],-1)-1),"")</f>
        <v>45256</v>
      </c>
      <c r="Y2038" s="10" t="str">
        <f ca="1">IF(reading[[#This Row],[Next]]&lt;&gt;"",IF(reading[[#This Row],[Next]]&gt;TODAY(),"OK",""),"")</f>
        <v/>
      </c>
      <c r="Z2038" s="13">
        <v>3</v>
      </c>
      <c r="AA2038" s="13">
        <v>3</v>
      </c>
      <c r="AB2038" s="13">
        <v>3</v>
      </c>
      <c r="AC2038" s="13">
        <v>3</v>
      </c>
      <c r="AD2038" s="13">
        <v>2</v>
      </c>
      <c r="AE2038" s="13">
        <v>3</v>
      </c>
      <c r="AF2038" s="13"/>
      <c r="AG2038" s="16">
        <f>IFERROR(SUMIF(reading[[#This Row],[1st]:[7th]],"&gt;0")/COUNTIF(reading[[#This Row],[1st]:[7th]],"&gt;0"),"")</f>
        <v>2.8333333333333335</v>
      </c>
    </row>
    <row r="2039" spans="1:33" x14ac:dyDescent="0.2">
      <c r="A2039" s="4">
        <f>IF(B2039=1,3,IF(D2039=1,2,IF(F2039=1,1,0)))</f>
        <v>0</v>
      </c>
      <c r="B2039" s="4">
        <f>IF(C2039=$L2039,1,IF(C2039="","",0))</f>
        <v>0</v>
      </c>
      <c r="C2039" s="42" t="s">
        <v>9200</v>
      </c>
      <c r="D2039" s="4" t="str">
        <f>IF(E2039=$L2039,1,IF(E2039="","",0))</f>
        <v/>
      </c>
      <c r="E2039" s="14"/>
      <c r="F2039" s="4" t="str">
        <f>IF(G2039=$L2039,1,IF(G2039="","",0))</f>
        <v/>
      </c>
      <c r="G2039" s="14"/>
      <c r="H2039" s="6">
        <v>3036</v>
      </c>
      <c r="I2039" s="15" t="s">
        <v>3120</v>
      </c>
      <c r="J2039" s="6" t="s">
        <v>6058</v>
      </c>
      <c r="K2039" s="6"/>
      <c r="L2039" s="6" t="s">
        <v>3063</v>
      </c>
      <c r="M2039" s="6" t="s">
        <v>9139</v>
      </c>
      <c r="N2039" s="7">
        <f ca="1">RAND()</f>
        <v>0.61877332376819849</v>
      </c>
      <c r="O2039" s="8">
        <v>45224</v>
      </c>
      <c r="P2039" s="8">
        <v>45225</v>
      </c>
      <c r="Q2039" s="8">
        <v>45227</v>
      </c>
      <c r="R2039" s="8">
        <v>45231</v>
      </c>
      <c r="S2039" s="8">
        <v>45251</v>
      </c>
      <c r="T2039" s="8"/>
      <c r="U2039" s="8"/>
      <c r="V2039" s="10">
        <f>COUNTA(O2039:U2039)</f>
        <v>5</v>
      </c>
      <c r="W2039" s="11">
        <f>_xlfn.IFNA(INDEX(reading[[#This Row],[Memo 01]:[Memo 07]],MATCH(0,reading[[#This Row],[Memo 01]:[Memo 07]],-1)),"")</f>
        <v>45251</v>
      </c>
      <c r="X2039" s="11">
        <f ca="1">IFERROR(reading[[#This Row],[Previous]]+OFFSET(reading[[#Headers],[Memo 01]],-1,MATCH(0,reading[[#This Row],[Memo 01]:[Memo 07]],-1)-1),"")</f>
        <v>45263</v>
      </c>
      <c r="Y2039" s="10" t="str">
        <f ca="1">IF(reading[[#This Row],[Next]]&lt;&gt;"",IF(reading[[#This Row],[Next]]&gt;TODAY(),"OK",""),"")</f>
        <v/>
      </c>
      <c r="Z2039" s="13">
        <v>3</v>
      </c>
      <c r="AA2039" s="13">
        <v>3</v>
      </c>
      <c r="AB2039" s="13">
        <v>3</v>
      </c>
      <c r="AC2039" s="13">
        <v>3</v>
      </c>
      <c r="AD2039" s="13">
        <v>3</v>
      </c>
      <c r="AE2039" s="13"/>
      <c r="AF2039" s="13"/>
      <c r="AG2039" s="16">
        <f>IFERROR(SUMIF(reading[[#This Row],[1st]:[7th]],"&gt;0")/COUNTIF(reading[[#This Row],[1st]:[7th]],"&gt;0"),"")</f>
        <v>3</v>
      </c>
    </row>
    <row r="2040" spans="1:33" x14ac:dyDescent="0.2">
      <c r="A2040" s="4">
        <f>IF(B2040=1,3,IF(D2040=1,2,IF(F2040=1,1,0)))</f>
        <v>0</v>
      </c>
      <c r="B2040" s="4">
        <f>IF(C2040=$L2040,1,IF(C2040="","",0))</f>
        <v>0</v>
      </c>
      <c r="C2040" s="42" t="s">
        <v>9381</v>
      </c>
      <c r="D2040" s="4" t="str">
        <f>IF(E2040=$L2040,1,IF(E2040="","",0))</f>
        <v/>
      </c>
      <c r="E2040" s="14"/>
      <c r="F2040" s="4" t="str">
        <f>IF(G2040=$L2040,1,IF(G2040="","",0))</f>
        <v/>
      </c>
      <c r="G2040" s="14"/>
      <c r="H2040" s="6">
        <v>2447</v>
      </c>
      <c r="I2040" s="15" t="s">
        <v>3120</v>
      </c>
      <c r="J2040" s="6" t="s">
        <v>5517</v>
      </c>
      <c r="K2040" s="15" t="s">
        <v>3140</v>
      </c>
      <c r="L2040" s="6" t="s">
        <v>2496</v>
      </c>
      <c r="M2040" s="6" t="s">
        <v>8552</v>
      </c>
      <c r="N2040" s="7">
        <f ca="1">RAND()</f>
        <v>0.17966503116018806</v>
      </c>
      <c r="O2040" s="8">
        <v>45218</v>
      </c>
      <c r="P2040" s="8">
        <v>45219</v>
      </c>
      <c r="Q2040" s="8">
        <v>45221</v>
      </c>
      <c r="R2040" s="8">
        <v>45225</v>
      </c>
      <c r="S2040" s="8">
        <v>45232</v>
      </c>
      <c r="T2040" s="8">
        <v>45801</v>
      </c>
      <c r="U2040" s="8"/>
      <c r="V2040" s="10">
        <f>COUNTA(O2040:U2040)</f>
        <v>6</v>
      </c>
      <c r="W2040" s="11">
        <f>_xlfn.IFNA(INDEX(reading[[#This Row],[Memo 01]:[Memo 07]],MATCH(0,reading[[#This Row],[Memo 01]:[Memo 07]],-1)),"")</f>
        <v>45801</v>
      </c>
      <c r="X2040" s="11">
        <f ca="1">IFERROR(reading[[#This Row],[Previous]]+OFFSET(reading[[#Headers],[Memo 01]],-1,MATCH(0,reading[[#This Row],[Memo 01]:[Memo 07]],-1)-1),"")</f>
        <v>45821</v>
      </c>
      <c r="Y2040" s="10" t="str">
        <f ca="1">IF(reading[[#This Row],[Next]]&lt;&gt;"",IF(reading[[#This Row],[Next]]&gt;TODAY(),"OK",""),"")</f>
        <v/>
      </c>
      <c r="Z2040" s="13">
        <v>3</v>
      </c>
      <c r="AA2040" s="13">
        <v>3</v>
      </c>
      <c r="AB2040" s="13">
        <v>3</v>
      </c>
      <c r="AC2040" s="13">
        <v>3</v>
      </c>
      <c r="AD2040" s="13">
        <v>2</v>
      </c>
      <c r="AE2040" s="13">
        <v>3</v>
      </c>
      <c r="AF2040" s="13"/>
      <c r="AG2040" s="16">
        <f>IFERROR(SUMIF(reading[[#This Row],[1st]:[7th]],"&gt;0")/COUNTIF(reading[[#This Row],[1st]:[7th]],"&gt;0"),"")</f>
        <v>2.8333333333333335</v>
      </c>
    </row>
    <row r="2041" spans="1:33" x14ac:dyDescent="0.2">
      <c r="A2041" s="4">
        <f>IF(B2041=1,3,IF(D2041=1,2,IF(F2041=1,1,0)))</f>
        <v>3</v>
      </c>
      <c r="B2041" s="4">
        <f>IF(C2041=$L2041,1,IF(C2041="","",0))</f>
        <v>1</v>
      </c>
      <c r="C2041" s="42" t="s">
        <v>9382</v>
      </c>
      <c r="D2041" s="4" t="str">
        <f>IF(E2041=$L2041,1,IF(E2041="","",0))</f>
        <v/>
      </c>
      <c r="E2041" s="18"/>
      <c r="F2041" s="4" t="str">
        <f>IF(G2041=$L2041,1,IF(G2041="","",0))</f>
        <v/>
      </c>
      <c r="G2041" s="14"/>
      <c r="H2041" s="6">
        <v>2985</v>
      </c>
      <c r="I2041" s="15" t="s">
        <v>3120</v>
      </c>
      <c r="J2041" s="6" t="s">
        <v>6012</v>
      </c>
      <c r="K2041" s="15" t="s">
        <v>3153</v>
      </c>
      <c r="L2041" s="6" t="s">
        <v>3014</v>
      </c>
      <c r="M2041" s="6" t="s">
        <v>9089</v>
      </c>
      <c r="N2041" s="7">
        <f ca="1">RAND()</f>
        <v>0.68160755069951373</v>
      </c>
      <c r="O2041" s="8">
        <v>45223</v>
      </c>
      <c r="P2041" s="8">
        <v>45224</v>
      </c>
      <c r="Q2041" s="8">
        <v>45226</v>
      </c>
      <c r="R2041" s="8">
        <v>45230</v>
      </c>
      <c r="S2041" s="8">
        <v>45237</v>
      </c>
      <c r="T2041" s="8"/>
      <c r="U2041" s="8"/>
      <c r="V2041" s="10">
        <f>COUNTA(O2041:U2041)</f>
        <v>5</v>
      </c>
      <c r="W2041" s="11">
        <f>_xlfn.IFNA(INDEX(reading[[#This Row],[Memo 01]:[Memo 07]],MATCH(0,reading[[#This Row],[Memo 01]:[Memo 07]],-1)),"")</f>
        <v>45237</v>
      </c>
      <c r="X2041" s="11">
        <f ca="1">IFERROR(reading[[#This Row],[Previous]]+OFFSET(reading[[#Headers],[Memo 01]],-1,MATCH(0,reading[[#This Row],[Memo 01]:[Memo 07]],-1)-1),"")</f>
        <v>45249</v>
      </c>
      <c r="Y2041" s="10" t="str">
        <f ca="1">IF(reading[[#This Row],[Next]]&lt;&gt;"",IF(reading[[#This Row],[Next]]&gt;TODAY(),"OK",""),"")</f>
        <v/>
      </c>
      <c r="Z2041" s="13">
        <v>3</v>
      </c>
      <c r="AA2041" s="13">
        <v>3</v>
      </c>
      <c r="AB2041" s="13">
        <v>3</v>
      </c>
      <c r="AC2041" s="13">
        <v>2</v>
      </c>
      <c r="AD2041" s="13">
        <v>3</v>
      </c>
      <c r="AE2041" s="13"/>
      <c r="AF2041" s="13"/>
      <c r="AG2041" s="16">
        <f>IFERROR(SUMIF(reading[[#This Row],[1st]:[7th]],"&gt;0")/COUNTIF(reading[[#This Row],[1st]:[7th]],"&gt;0"),"")</f>
        <v>2.8</v>
      </c>
    </row>
    <row r="2042" spans="1:33" x14ac:dyDescent="0.2">
      <c r="A2042" s="4">
        <f>IF(B2042=1,3,IF(D2042=1,2,IF(F2042=1,1,0)))</f>
        <v>3</v>
      </c>
      <c r="B2042" s="4">
        <f>IF(C2042=$L2042,1,IF(C2042="","",0))</f>
        <v>1</v>
      </c>
      <c r="C2042" s="42" t="s">
        <v>9383</v>
      </c>
      <c r="D2042" s="4" t="str">
        <f>IF(E2042=$L2042,1,IF(E2042="","",0))</f>
        <v/>
      </c>
      <c r="E2042" s="14"/>
      <c r="F2042" s="4" t="str">
        <f>IF(G2042=$L2042,1,IF(G2042="","",0))</f>
        <v/>
      </c>
      <c r="G2042" s="14"/>
      <c r="H2042" s="6">
        <v>416</v>
      </c>
      <c r="I2042" s="15" t="s">
        <v>3120</v>
      </c>
      <c r="J2042" s="6" t="s">
        <v>3562</v>
      </c>
      <c r="K2042" s="15" t="s">
        <v>3138</v>
      </c>
      <c r="L2042" s="6" t="s">
        <v>546</v>
      </c>
      <c r="M2042" s="6" t="s">
        <v>6525</v>
      </c>
      <c r="N2042" s="7">
        <f ca="1">RAND()</f>
        <v>0.45334864498099658</v>
      </c>
      <c r="O2042" s="8">
        <v>45201</v>
      </c>
      <c r="P2042" s="8">
        <v>45202</v>
      </c>
      <c r="Q2042" s="8">
        <v>45204</v>
      </c>
      <c r="R2042" s="8">
        <v>45208</v>
      </c>
      <c r="S2042" s="8">
        <v>45215</v>
      </c>
      <c r="T2042" s="8">
        <v>45227</v>
      </c>
      <c r="U2042" s="8"/>
      <c r="V2042" s="10">
        <f>COUNTA(O2042:U2042)</f>
        <v>6</v>
      </c>
      <c r="W2042" s="11">
        <f>_xlfn.IFNA(INDEX(reading[[#This Row],[Memo 01]:[Memo 07]],MATCH(0,reading[[#This Row],[Memo 01]:[Memo 07]],-1)),"")</f>
        <v>45227</v>
      </c>
      <c r="X2042" s="11">
        <f ca="1">IFERROR(reading[[#This Row],[Previous]]+OFFSET(reading[[#Headers],[Memo 01]],-1,MATCH(0,reading[[#This Row],[Memo 01]:[Memo 07]],-1)-1),"")</f>
        <v>45247</v>
      </c>
      <c r="Y2042" s="10" t="str">
        <f ca="1">IF(reading[[#This Row],[Next]]&lt;&gt;"",IF(reading[[#This Row],[Next]]&gt;TODAY(),"OK",""),"")</f>
        <v/>
      </c>
      <c r="Z2042" s="13">
        <v>3</v>
      </c>
      <c r="AA2042" s="13">
        <v>3</v>
      </c>
      <c r="AB2042" s="13">
        <v>3</v>
      </c>
      <c r="AC2042" s="13">
        <v>3</v>
      </c>
      <c r="AD2042" s="13">
        <v>3</v>
      </c>
      <c r="AE2042" s="13">
        <v>3</v>
      </c>
      <c r="AF2042" s="13"/>
      <c r="AG2042" s="16">
        <f>IFERROR(SUMIF(reading[[#This Row],[1st]:[7th]],"&gt;0")/COUNTIF(reading[[#This Row],[1st]:[7th]],"&gt;0"),"")</f>
        <v>3</v>
      </c>
    </row>
    <row r="2043" spans="1:33" hidden="1" x14ac:dyDescent="0.2">
      <c r="A2043" s="4">
        <f>IF(B2043=1,3,IF(D2043=1,2,IF(F2043=1,1,0)))</f>
        <v>0</v>
      </c>
      <c r="B2043" s="4" t="str">
        <f>IF(C2043=$L2043,1,IF(C2043="","",0))</f>
        <v/>
      </c>
      <c r="C2043" s="41"/>
      <c r="D2043" s="4" t="str">
        <f>IF(E2043=$L2043,1,IF(E2043="","",0))</f>
        <v/>
      </c>
      <c r="E2043" s="18"/>
      <c r="F2043" s="4" t="str">
        <f>IF(G2043=$L2043,1,IF(G2043="","",0))</f>
        <v/>
      </c>
      <c r="G2043" s="18"/>
      <c r="H2043" s="6">
        <v>953</v>
      </c>
      <c r="I2043" s="15" t="s">
        <v>3120</v>
      </c>
      <c r="J2043" s="6" t="s">
        <v>4082</v>
      </c>
      <c r="K2043" s="6"/>
      <c r="L2043" s="6" t="s">
        <v>1063</v>
      </c>
      <c r="M2043" s="6" t="s">
        <v>7061</v>
      </c>
      <c r="N2043" s="7">
        <f ca="1">RAND()</f>
        <v>0.26372621226792714</v>
      </c>
      <c r="O2043" s="8">
        <v>45204</v>
      </c>
      <c r="P2043" s="8">
        <v>45205</v>
      </c>
      <c r="Q2043" s="8">
        <v>45207</v>
      </c>
      <c r="R2043" s="8">
        <v>45212</v>
      </c>
      <c r="S2043" s="8">
        <v>45219</v>
      </c>
      <c r="T2043" s="8">
        <v>45231</v>
      </c>
      <c r="U2043" s="8">
        <v>45252</v>
      </c>
      <c r="V2043" s="10">
        <f>COUNTA(O2043:U2043)</f>
        <v>7</v>
      </c>
      <c r="W2043" s="11">
        <f>_xlfn.IFNA(INDEX(reading[[#This Row],[Memo 01]:[Memo 07]],MATCH(0,reading[[#This Row],[Memo 01]:[Memo 07]],-1)),"")</f>
        <v>45252</v>
      </c>
      <c r="X2043" s="11">
        <f ca="1">IFERROR(reading[[#This Row],[Previous]]+OFFSET(reading[[#Headers],[Memo 01]],-1,MATCH(0,reading[[#This Row],[Memo 01]:[Memo 07]],-1)-1),"")</f>
        <v>55252</v>
      </c>
      <c r="Y2043" s="10" t="str">
        <f ca="1">IF(reading[[#This Row],[Next]]&lt;&gt;"",IF(reading[[#This Row],[Next]]&gt;TODAY(),"OK",""),"")</f>
        <v>OK</v>
      </c>
      <c r="Z2043" s="13">
        <v>3</v>
      </c>
      <c r="AA2043" s="13">
        <v>3</v>
      </c>
      <c r="AB2043" s="13">
        <v>1</v>
      </c>
      <c r="AC2043" s="13">
        <v>2</v>
      </c>
      <c r="AD2043" s="13">
        <v>3</v>
      </c>
      <c r="AE2043" s="13">
        <v>3</v>
      </c>
      <c r="AF2043" s="13">
        <v>2</v>
      </c>
      <c r="AG2043" s="16">
        <f>IFERROR(SUMIF(reading[[#This Row],[1st]:[7th]],"&gt;0")/COUNTIF(reading[[#This Row],[1st]:[7th]],"&gt;0"),"")</f>
        <v>2.4285714285714284</v>
      </c>
    </row>
    <row r="2044" spans="1:33" hidden="1" x14ac:dyDescent="0.2">
      <c r="A2044" s="4">
        <f>IF(B2044=1,3,IF(D2044=1,2,IF(F2044=1,1,0)))</f>
        <v>0</v>
      </c>
      <c r="B2044" s="4" t="str">
        <f>IF(C2044=$L2044,1,IF(C2044="","",0))</f>
        <v/>
      </c>
      <c r="C2044" s="42"/>
      <c r="D2044" s="4" t="str">
        <f>IF(E2044=$L2044,1,IF(E2044="","",0))</f>
        <v/>
      </c>
      <c r="E2044" s="43"/>
      <c r="F2044" s="4" t="str">
        <f>IF(G2044=$L2044,1,IF(G2044="","",0))</f>
        <v/>
      </c>
      <c r="G2044" s="23"/>
      <c r="H2044" s="6">
        <v>3083</v>
      </c>
      <c r="I2044" s="15" t="s">
        <v>3120</v>
      </c>
      <c r="J2044" s="6" t="s">
        <v>6102</v>
      </c>
      <c r="K2044" s="6"/>
      <c r="L2044" s="6" t="s">
        <v>3107</v>
      </c>
      <c r="M2044" s="6" t="s">
        <v>9186</v>
      </c>
      <c r="N2044" s="7">
        <f ca="1">RAND()</f>
        <v>0.73183235500099497</v>
      </c>
      <c r="O2044" s="8">
        <v>45224</v>
      </c>
      <c r="P2044" s="8">
        <v>45225</v>
      </c>
      <c r="Q2044" s="8">
        <v>45227</v>
      </c>
      <c r="R2044" s="8">
        <v>45231</v>
      </c>
      <c r="S2044" s="8">
        <v>45251</v>
      </c>
      <c r="T2044" s="8">
        <v>45817</v>
      </c>
      <c r="U2044" s="8"/>
      <c r="V2044" s="10">
        <f>COUNTA(O2044:U2044)</f>
        <v>6</v>
      </c>
      <c r="W2044" s="11">
        <f>_xlfn.IFNA(INDEX(reading[[#This Row],[Memo 01]:[Memo 07]],MATCH(0,reading[[#This Row],[Memo 01]:[Memo 07]],-1)),"")</f>
        <v>45817</v>
      </c>
      <c r="X2044" s="11">
        <f ca="1">IFERROR(reading[[#This Row],[Previous]]+OFFSET(reading[[#Headers],[Memo 01]],-1,MATCH(0,reading[[#This Row],[Memo 01]:[Memo 07]],-1)-1),"")</f>
        <v>45837</v>
      </c>
      <c r="Y2044" s="10" t="str">
        <f ca="1">IF(reading[[#This Row],[Next]]&lt;&gt;"",IF(reading[[#This Row],[Next]]&gt;TODAY(),"OK",""),"")</f>
        <v>OK</v>
      </c>
      <c r="Z2044" s="13">
        <v>3</v>
      </c>
      <c r="AA2044" s="13">
        <v>2</v>
      </c>
      <c r="AB2044" s="13">
        <v>3</v>
      </c>
      <c r="AC2044" s="13">
        <v>3</v>
      </c>
      <c r="AD2044" s="13">
        <v>3</v>
      </c>
      <c r="AE2044" s="13">
        <v>1</v>
      </c>
      <c r="AF2044" s="13"/>
      <c r="AG2044" s="16">
        <f>IFERROR(SUMIF(reading[[#This Row],[1st]:[7th]],"&gt;0")/COUNTIF(reading[[#This Row],[1st]:[7th]],"&gt;0"),"")</f>
        <v>2.5</v>
      </c>
    </row>
    <row r="2045" spans="1:33" x14ac:dyDescent="0.2">
      <c r="A2045" s="4">
        <f>IF(B2045=1,3,IF(D2045=1,2,IF(F2045=1,1,0)))</f>
        <v>0</v>
      </c>
      <c r="B2045" s="4">
        <f>IF(C2045=$L2045,1,IF(C2045="","",0))</f>
        <v>0</v>
      </c>
      <c r="C2045" s="42" t="s">
        <v>9200</v>
      </c>
      <c r="D2045" s="4" t="str">
        <f>IF(E2045=$L2045,1,IF(E2045="","",0))</f>
        <v/>
      </c>
      <c r="E2045" s="14"/>
      <c r="F2045" s="4" t="str">
        <f>IF(G2045=$L2045,1,IF(G2045="","",0))</f>
        <v/>
      </c>
      <c r="G2045" s="14"/>
      <c r="H2045" s="6">
        <v>2158</v>
      </c>
      <c r="I2045" s="15" t="s">
        <v>3120</v>
      </c>
      <c r="J2045" s="6" t="s">
        <v>5246</v>
      </c>
      <c r="K2045" s="6"/>
      <c r="L2045" s="6" t="s">
        <v>2224</v>
      </c>
      <c r="M2045" s="6" t="s">
        <v>8264</v>
      </c>
      <c r="N2045" s="7">
        <f ca="1">RAND()</f>
        <v>0.40890380590612951</v>
      </c>
      <c r="O2045" s="8">
        <v>45214</v>
      </c>
      <c r="P2045" s="8">
        <v>45215</v>
      </c>
      <c r="Q2045" s="8">
        <v>45217</v>
      </c>
      <c r="R2045" s="8">
        <v>45221</v>
      </c>
      <c r="S2045" s="8">
        <v>45228</v>
      </c>
      <c r="T2045" s="8"/>
      <c r="U2045" s="8"/>
      <c r="V2045" s="10">
        <f>COUNTA(O2045:U2045)</f>
        <v>5</v>
      </c>
      <c r="W2045" s="11">
        <f>_xlfn.IFNA(INDEX(reading[[#This Row],[Memo 01]:[Memo 07]],MATCH(0,reading[[#This Row],[Memo 01]:[Memo 07]],-1)),"")</f>
        <v>45228</v>
      </c>
      <c r="X2045" s="11">
        <f ca="1">IFERROR(reading[[#This Row],[Previous]]+OFFSET(reading[[#Headers],[Memo 01]],-1,MATCH(0,reading[[#This Row],[Memo 01]:[Memo 07]],-1)-1),"")</f>
        <v>45240</v>
      </c>
      <c r="Y2045" s="10" t="str">
        <f ca="1">IF(reading[[#This Row],[Next]]&lt;&gt;"",IF(reading[[#This Row],[Next]]&gt;TODAY(),"OK",""),"")</f>
        <v/>
      </c>
      <c r="Z2045" s="13">
        <v>3</v>
      </c>
      <c r="AA2045" s="13">
        <v>3</v>
      </c>
      <c r="AB2045" s="13">
        <v>3</v>
      </c>
      <c r="AC2045" s="13">
        <v>3</v>
      </c>
      <c r="AD2045" s="13">
        <v>2</v>
      </c>
      <c r="AE2045" s="13"/>
      <c r="AF2045" s="13"/>
      <c r="AG2045" s="16">
        <f>IFERROR(SUMIF(reading[[#This Row],[1st]:[7th]],"&gt;0")/COUNTIF(reading[[#This Row],[1st]:[7th]],"&gt;0"),"")</f>
        <v>2.8</v>
      </c>
    </row>
    <row r="2046" spans="1:33" x14ac:dyDescent="0.2">
      <c r="A2046" s="4">
        <f>IF(B2046=1,3,IF(D2046=1,2,IF(F2046=1,1,0)))</f>
        <v>3</v>
      </c>
      <c r="B2046" s="4">
        <f>IF(C2046=$L2046,1,IF(C2046="","",0))</f>
        <v>1</v>
      </c>
      <c r="C2046" s="42" t="s">
        <v>9384</v>
      </c>
      <c r="D2046" s="4" t="str">
        <f>IF(E2046=$L2046,1,IF(E2046="","",0))</f>
        <v/>
      </c>
      <c r="E2046" s="14"/>
      <c r="F2046" s="4" t="str">
        <f>IF(G2046=$L2046,1,IF(G2046="","",0))</f>
        <v/>
      </c>
      <c r="G2046" s="14"/>
      <c r="H2046" s="6">
        <v>777</v>
      </c>
      <c r="I2046" s="15" t="s">
        <v>3120</v>
      </c>
      <c r="J2046" s="6" t="s">
        <v>3911</v>
      </c>
      <c r="K2046" s="6"/>
      <c r="L2046" s="6" t="s">
        <v>896</v>
      </c>
      <c r="M2046" s="6" t="s">
        <v>6886</v>
      </c>
      <c r="N2046" s="7">
        <f ca="1">RAND()</f>
        <v>0.24031175354420564</v>
      </c>
      <c r="O2046" s="8">
        <v>45203</v>
      </c>
      <c r="P2046" s="8">
        <v>45204</v>
      </c>
      <c r="Q2046" s="8">
        <v>45206</v>
      </c>
      <c r="R2046" s="8">
        <v>45210</v>
      </c>
      <c r="S2046" s="8">
        <v>45217</v>
      </c>
      <c r="T2046" s="8">
        <v>45229</v>
      </c>
      <c r="U2046" s="8"/>
      <c r="V2046" s="10">
        <f>COUNTA(O2046:U2046)</f>
        <v>6</v>
      </c>
      <c r="W2046" s="11">
        <f>_xlfn.IFNA(INDEX(reading[[#This Row],[Memo 01]:[Memo 07]],MATCH(0,reading[[#This Row],[Memo 01]:[Memo 07]],-1)),"")</f>
        <v>45229</v>
      </c>
      <c r="X2046" s="11">
        <f ca="1">IFERROR(reading[[#This Row],[Previous]]+OFFSET(reading[[#Headers],[Memo 01]],-1,MATCH(0,reading[[#This Row],[Memo 01]:[Memo 07]],-1)-1),"")</f>
        <v>45249</v>
      </c>
      <c r="Y2046" s="10" t="str">
        <f ca="1">IF(reading[[#This Row],[Next]]&lt;&gt;"",IF(reading[[#This Row],[Next]]&gt;TODAY(),"OK",""),"")</f>
        <v/>
      </c>
      <c r="Z2046" s="13">
        <v>3</v>
      </c>
      <c r="AA2046" s="13">
        <v>3</v>
      </c>
      <c r="AB2046" s="13">
        <v>3</v>
      </c>
      <c r="AC2046" s="13">
        <v>3</v>
      </c>
      <c r="AD2046" s="13">
        <v>3</v>
      </c>
      <c r="AE2046" s="13">
        <v>3</v>
      </c>
      <c r="AF2046" s="13"/>
      <c r="AG2046" s="16">
        <f>IFERROR(SUMIF(reading[[#This Row],[1st]:[7th]],"&gt;0")/COUNTIF(reading[[#This Row],[1st]:[7th]],"&gt;0"),"")</f>
        <v>3</v>
      </c>
    </row>
    <row r="2047" spans="1:33" hidden="1" x14ac:dyDescent="0.2">
      <c r="A2047" s="4">
        <f>IF(B2047=1,3,IF(D2047=1,2,IF(F2047=1,1,0)))</f>
        <v>0</v>
      </c>
      <c r="B2047" s="4" t="str">
        <f>IF(C2047=$L2047,1,IF(C2047="","",0))</f>
        <v/>
      </c>
      <c r="C2047" s="42"/>
      <c r="D2047" s="4" t="str">
        <f>IF(E2047=$L2047,1,IF(E2047="","",0))</f>
        <v/>
      </c>
      <c r="E2047" s="23"/>
      <c r="F2047" s="4" t="str">
        <f>IF(G2047=$L2047,1,IF(G2047="","",0))</f>
        <v/>
      </c>
      <c r="G2047" s="23"/>
      <c r="H2047" s="6">
        <v>2951</v>
      </c>
      <c r="I2047" s="15" t="s">
        <v>3120</v>
      </c>
      <c r="J2047" s="6" t="s">
        <v>5983</v>
      </c>
      <c r="K2047" s="6"/>
      <c r="L2047" s="6" t="s">
        <v>2981</v>
      </c>
      <c r="M2047" s="6" t="s">
        <v>9055</v>
      </c>
      <c r="N2047" s="7">
        <f ca="1">RAND()</f>
        <v>0.62562375092836464</v>
      </c>
      <c r="O2047" s="8">
        <v>45223</v>
      </c>
      <c r="P2047" s="8">
        <v>45224</v>
      </c>
      <c r="Q2047" s="8">
        <v>45226</v>
      </c>
      <c r="R2047" s="8">
        <v>45230</v>
      </c>
      <c r="S2047" s="8">
        <v>45237</v>
      </c>
      <c r="T2047" s="8">
        <v>45816</v>
      </c>
      <c r="U2047" s="8"/>
      <c r="V2047" s="10">
        <f>COUNTA(O2047:U2047)</f>
        <v>6</v>
      </c>
      <c r="W2047" s="11">
        <f>_xlfn.IFNA(INDEX(reading[[#This Row],[Memo 01]:[Memo 07]],MATCH(0,reading[[#This Row],[Memo 01]:[Memo 07]],-1)),"")</f>
        <v>45816</v>
      </c>
      <c r="X2047" s="11">
        <f ca="1">IFERROR(reading[[#This Row],[Previous]]+OFFSET(reading[[#Headers],[Memo 01]],-1,MATCH(0,reading[[#This Row],[Memo 01]:[Memo 07]],-1)-1),"")</f>
        <v>45836</v>
      </c>
      <c r="Y2047" s="10" t="str">
        <f ca="1">IF(reading[[#This Row],[Next]]&lt;&gt;"",IF(reading[[#This Row],[Next]]&gt;TODAY(),"OK",""),"")</f>
        <v>OK</v>
      </c>
      <c r="Z2047" s="13">
        <v>3</v>
      </c>
      <c r="AA2047" s="13">
        <v>3</v>
      </c>
      <c r="AB2047" s="13">
        <v>3</v>
      </c>
      <c r="AC2047" s="13">
        <v>3</v>
      </c>
      <c r="AD2047" s="13">
        <v>3</v>
      </c>
      <c r="AE2047" s="13">
        <v>1</v>
      </c>
      <c r="AF2047" s="13"/>
      <c r="AG2047" s="16">
        <f>IFERROR(SUMIF(reading[[#This Row],[1st]:[7th]],"&gt;0")/COUNTIF(reading[[#This Row],[1st]:[7th]],"&gt;0"),"")</f>
        <v>2.6666666666666665</v>
      </c>
    </row>
    <row r="2048" spans="1:33" x14ac:dyDescent="0.2">
      <c r="A2048" s="4">
        <f>IF(B2048=1,3,IF(D2048=1,2,IF(F2048=1,1,0)))</f>
        <v>3</v>
      </c>
      <c r="B2048" s="4">
        <f>IF(C2048=$L2048,1,IF(C2048="","",0))</f>
        <v>1</v>
      </c>
      <c r="C2048" s="42" t="s">
        <v>9385</v>
      </c>
      <c r="D2048" s="4" t="str">
        <f>IF(E2048=$L2048,1,IF(E2048="","",0))</f>
        <v/>
      </c>
      <c r="E2048" s="14"/>
      <c r="F2048" s="4" t="str">
        <f>IF(G2048=$L2048,1,IF(G2048="","",0))</f>
        <v/>
      </c>
      <c r="G2048" s="14"/>
      <c r="H2048" s="6">
        <v>1694</v>
      </c>
      <c r="I2048" s="15" t="s">
        <v>3120</v>
      </c>
      <c r="J2048" s="6" t="s">
        <v>4804</v>
      </c>
      <c r="K2048" s="15" t="s">
        <v>3139</v>
      </c>
      <c r="L2048" s="6" t="s">
        <v>1774</v>
      </c>
      <c r="M2048" s="6" t="s">
        <v>7800</v>
      </c>
      <c r="N2048" s="7">
        <f ca="1">RAND()</f>
        <v>0.31510419421923141</v>
      </c>
      <c r="O2048" s="8">
        <v>45210</v>
      </c>
      <c r="P2048" s="8">
        <v>45211</v>
      </c>
      <c r="Q2048" s="8">
        <v>45213</v>
      </c>
      <c r="R2048" s="8">
        <v>45217</v>
      </c>
      <c r="S2048" s="8">
        <v>45224</v>
      </c>
      <c r="T2048" s="8">
        <v>45236</v>
      </c>
      <c r="U2048" s="8"/>
      <c r="V2048" s="10">
        <f>COUNTA(O2048:U2048)</f>
        <v>6</v>
      </c>
      <c r="W2048" s="11">
        <f>_xlfn.IFNA(INDEX(reading[[#This Row],[Memo 01]:[Memo 07]],MATCH(0,reading[[#This Row],[Memo 01]:[Memo 07]],-1)),"")</f>
        <v>45236</v>
      </c>
      <c r="X2048" s="11">
        <f ca="1">IFERROR(reading[[#This Row],[Previous]]+OFFSET(reading[[#Headers],[Memo 01]],-1,MATCH(0,reading[[#This Row],[Memo 01]:[Memo 07]],-1)-1),"")</f>
        <v>45256</v>
      </c>
      <c r="Y2048" s="10" t="str">
        <f ca="1">IF(reading[[#This Row],[Next]]&lt;&gt;"",IF(reading[[#This Row],[Next]]&gt;TODAY(),"OK",""),"")</f>
        <v/>
      </c>
      <c r="Z2048" s="13">
        <v>3</v>
      </c>
      <c r="AA2048" s="13">
        <v>3</v>
      </c>
      <c r="AB2048" s="13">
        <v>3</v>
      </c>
      <c r="AC2048" s="13">
        <v>3</v>
      </c>
      <c r="AD2048" s="13">
        <v>3</v>
      </c>
      <c r="AE2048" s="13">
        <v>2</v>
      </c>
      <c r="AF2048" s="13"/>
      <c r="AG2048" s="16">
        <f>IFERROR(SUMIF(reading[[#This Row],[1st]:[7th]],"&gt;0")/COUNTIF(reading[[#This Row],[1st]:[7th]],"&gt;0"),"")</f>
        <v>2.8333333333333335</v>
      </c>
    </row>
    <row r="2049" spans="1:33" hidden="1" x14ac:dyDescent="0.2">
      <c r="A2049" s="4">
        <f>IF(B2049=1,3,IF(D2049=1,2,IF(F2049=1,1,0)))</f>
        <v>0</v>
      </c>
      <c r="B2049" s="4" t="str">
        <f>IF(C2049=$L2049,1,IF(C2049="","",0))</f>
        <v/>
      </c>
      <c r="C2049" s="42"/>
      <c r="D2049" s="4" t="str">
        <f>IF(E2049=$L2049,1,IF(E2049="","",0))</f>
        <v/>
      </c>
      <c r="E2049" s="23"/>
      <c r="F2049" s="4" t="str">
        <f>IF(G2049=$L2049,1,IF(G2049="","",0))</f>
        <v/>
      </c>
      <c r="G2049" s="14"/>
      <c r="H2049" s="6">
        <v>1046</v>
      </c>
      <c r="I2049" s="15" t="s">
        <v>3120</v>
      </c>
      <c r="J2049" s="6" t="s">
        <v>4173</v>
      </c>
      <c r="K2049" s="6"/>
      <c r="L2049" s="6" t="s">
        <v>1155</v>
      </c>
      <c r="M2049" s="6" t="s">
        <v>7154</v>
      </c>
      <c r="N2049" s="7">
        <f ca="1">RAND()</f>
        <v>0.30572115170255976</v>
      </c>
      <c r="O2049" s="8">
        <v>45205</v>
      </c>
      <c r="P2049" s="8">
        <v>45206</v>
      </c>
      <c r="Q2049" s="8">
        <v>45208</v>
      </c>
      <c r="R2049" s="8">
        <v>45213</v>
      </c>
      <c r="S2049" s="8">
        <v>45220</v>
      </c>
      <c r="T2049" s="8">
        <v>45232</v>
      </c>
      <c r="U2049" s="8">
        <v>45253</v>
      </c>
      <c r="V2049" s="10">
        <f>COUNTA(O2049:U2049)</f>
        <v>7</v>
      </c>
      <c r="W2049" s="11">
        <f>_xlfn.IFNA(INDEX(reading[[#This Row],[Memo 01]:[Memo 07]],MATCH(0,reading[[#This Row],[Memo 01]:[Memo 07]],-1)),"")</f>
        <v>45253</v>
      </c>
      <c r="X2049" s="11">
        <f ca="1">IFERROR(reading[[#This Row],[Previous]]+OFFSET(reading[[#Headers],[Memo 01]],-1,MATCH(0,reading[[#This Row],[Memo 01]:[Memo 07]],-1)-1),"")</f>
        <v>55253</v>
      </c>
      <c r="Y2049" s="10" t="str">
        <f ca="1">IF(reading[[#This Row],[Next]]&lt;&gt;"",IF(reading[[#This Row],[Next]]&gt;TODAY(),"OK",""),"")</f>
        <v>OK</v>
      </c>
      <c r="Z2049" s="13">
        <v>3</v>
      </c>
      <c r="AA2049" s="13">
        <v>2</v>
      </c>
      <c r="AB2049" s="13">
        <v>2</v>
      </c>
      <c r="AC2049" s="13">
        <v>2</v>
      </c>
      <c r="AD2049" s="13">
        <v>2</v>
      </c>
      <c r="AE2049" s="13">
        <v>3</v>
      </c>
      <c r="AF2049" s="13">
        <v>2</v>
      </c>
      <c r="AG2049" s="16">
        <f>IFERROR(SUMIF(reading[[#This Row],[1st]:[7th]],"&gt;0")/COUNTIF(reading[[#This Row],[1st]:[7th]],"&gt;0"),"")</f>
        <v>2.2857142857142856</v>
      </c>
    </row>
    <row r="2050" spans="1:33" x14ac:dyDescent="0.2">
      <c r="A2050" s="4">
        <f>IF(B2050=1,3,IF(D2050=1,2,IF(F2050=1,1,0)))</f>
        <v>3</v>
      </c>
      <c r="B2050" s="4">
        <f>IF(C2050=$L2050,1,IF(C2050="","",0))</f>
        <v>1</v>
      </c>
      <c r="C2050" s="42" t="s">
        <v>9386</v>
      </c>
      <c r="D2050" s="4" t="str">
        <f>IF(E2050=$L2050,1,IF(E2050="","",0))</f>
        <v/>
      </c>
      <c r="E2050" s="14"/>
      <c r="F2050" s="4" t="str">
        <f>IF(G2050=$L2050,1,IF(G2050="","",0))</f>
        <v/>
      </c>
      <c r="G2050" s="14"/>
      <c r="H2050" s="6">
        <v>2096</v>
      </c>
      <c r="I2050" s="15" t="s">
        <v>3120</v>
      </c>
      <c r="J2050" s="6" t="s">
        <v>3183</v>
      </c>
      <c r="K2050" s="6"/>
      <c r="L2050" s="6" t="s">
        <v>2166</v>
      </c>
      <c r="M2050" s="6" t="s">
        <v>8202</v>
      </c>
      <c r="N2050" s="7">
        <f ca="1">RAND()</f>
        <v>0.36922350909386947</v>
      </c>
      <c r="O2050" s="8">
        <v>45214</v>
      </c>
      <c r="P2050" s="8">
        <v>45215</v>
      </c>
      <c r="Q2050" s="8">
        <v>45217</v>
      </c>
      <c r="R2050" s="8">
        <v>45221</v>
      </c>
      <c r="S2050" s="8">
        <v>45228</v>
      </c>
      <c r="T2050" s="8"/>
      <c r="U2050" s="8"/>
      <c r="V2050" s="10">
        <f>COUNTA(O2050:U2050)</f>
        <v>5</v>
      </c>
      <c r="W2050" s="11">
        <f>_xlfn.IFNA(INDEX(reading[[#This Row],[Memo 01]:[Memo 07]],MATCH(0,reading[[#This Row],[Memo 01]:[Memo 07]],-1)),"")</f>
        <v>45228</v>
      </c>
      <c r="X2050" s="11">
        <f ca="1">IFERROR(reading[[#This Row],[Previous]]+OFFSET(reading[[#Headers],[Memo 01]],-1,MATCH(0,reading[[#This Row],[Memo 01]:[Memo 07]],-1)-1),"")</f>
        <v>45240</v>
      </c>
      <c r="Y2050" s="10" t="str">
        <f ca="1">IF(reading[[#This Row],[Next]]&lt;&gt;"",IF(reading[[#This Row],[Next]]&gt;TODAY(),"OK",""),"")</f>
        <v/>
      </c>
      <c r="Z2050" s="13">
        <v>3</v>
      </c>
      <c r="AA2050" s="13">
        <v>3</v>
      </c>
      <c r="AB2050" s="13">
        <v>3</v>
      </c>
      <c r="AC2050" s="13">
        <v>3</v>
      </c>
      <c r="AD2050" s="13">
        <v>3</v>
      </c>
      <c r="AE2050" s="13"/>
      <c r="AF2050" s="13"/>
      <c r="AG2050" s="16">
        <f>IFERROR(SUMIF(reading[[#This Row],[1st]:[7th]],"&gt;0")/COUNTIF(reading[[#This Row],[1st]:[7th]],"&gt;0"),"")</f>
        <v>3</v>
      </c>
    </row>
    <row r="2051" spans="1:33" hidden="1" x14ac:dyDescent="0.2">
      <c r="A2051" s="4">
        <f>IF(B2051=1,3,IF(D2051=1,2,IF(F2051=1,1,0)))</f>
        <v>0</v>
      </c>
      <c r="B2051" s="4" t="str">
        <f>IF(C2051=$L2051,1,IF(C2051="","",0))</f>
        <v/>
      </c>
      <c r="C2051" s="42"/>
      <c r="D2051" s="4" t="str">
        <f>IF(E2051=$L2051,1,IF(E2051="","",0))</f>
        <v/>
      </c>
      <c r="E2051" s="23"/>
      <c r="F2051" s="4" t="str">
        <f>IF(G2051=$L2051,1,IF(G2051="","",0))</f>
        <v/>
      </c>
      <c r="G2051" s="14"/>
      <c r="H2051" s="6">
        <v>1373</v>
      </c>
      <c r="I2051" s="15" t="s">
        <v>3120</v>
      </c>
      <c r="J2051" s="6" t="s">
        <v>4487</v>
      </c>
      <c r="K2051" s="6"/>
      <c r="L2051" s="6" t="s">
        <v>1467</v>
      </c>
      <c r="M2051" s="6" t="s">
        <v>7480</v>
      </c>
      <c r="N2051" s="7">
        <f ca="1">RAND()</f>
        <v>0.40826000509947546</v>
      </c>
      <c r="O2051" s="8">
        <v>45207</v>
      </c>
      <c r="P2051" s="8">
        <v>45208</v>
      </c>
      <c r="Q2051" s="8">
        <v>45210</v>
      </c>
      <c r="R2051" s="8">
        <v>45214</v>
      </c>
      <c r="S2051" s="8">
        <v>45221</v>
      </c>
      <c r="T2051" s="8">
        <v>45233</v>
      </c>
      <c r="U2051" s="8">
        <v>45816</v>
      </c>
      <c r="V2051" s="10">
        <f>COUNTA(O2051:U2051)</f>
        <v>7</v>
      </c>
      <c r="W2051" s="11">
        <f>_xlfn.IFNA(INDEX(reading[[#This Row],[Memo 01]:[Memo 07]],MATCH(0,reading[[#This Row],[Memo 01]:[Memo 07]],-1)),"")</f>
        <v>45816</v>
      </c>
      <c r="X2051" s="11">
        <f ca="1">IFERROR(reading[[#This Row],[Previous]]+OFFSET(reading[[#Headers],[Memo 01]],-1,MATCH(0,reading[[#This Row],[Memo 01]:[Memo 07]],-1)-1),"")</f>
        <v>55816</v>
      </c>
      <c r="Y2051" s="10" t="str">
        <f ca="1">IF(reading[[#This Row],[Next]]&lt;&gt;"",IF(reading[[#This Row],[Next]]&gt;TODAY(),"OK",""),"")</f>
        <v>OK</v>
      </c>
      <c r="Z2051" s="13">
        <v>3</v>
      </c>
      <c r="AA2051" s="13">
        <v>3</v>
      </c>
      <c r="AB2051" s="13">
        <v>3</v>
      </c>
      <c r="AC2051" s="13">
        <v>3</v>
      </c>
      <c r="AD2051" s="13">
        <v>3</v>
      </c>
      <c r="AE2051" s="13">
        <v>3</v>
      </c>
      <c r="AF2051" s="13">
        <v>2</v>
      </c>
      <c r="AG2051" s="16">
        <f>IFERROR(SUMIF(reading[[#This Row],[1st]:[7th]],"&gt;0")/COUNTIF(reading[[#This Row],[1st]:[7th]],"&gt;0"),"")</f>
        <v>2.8571428571428572</v>
      </c>
    </row>
    <row r="2052" spans="1:33" hidden="1" x14ac:dyDescent="0.2">
      <c r="A2052" s="4">
        <f>IF(B2052=1,3,IF(D2052=1,2,IF(F2052=1,1,0)))</f>
        <v>3</v>
      </c>
      <c r="B2052" s="4">
        <f>IF(C2052=$L2052,1,IF(C2052="","",0))</f>
        <v>1</v>
      </c>
      <c r="C2052" s="34" t="s">
        <v>2131</v>
      </c>
      <c r="D2052" s="4" t="str">
        <f>IF(E2052=$L2052,1,IF(E2052="","",0))</f>
        <v/>
      </c>
      <c r="E2052" s="14"/>
      <c r="F2052" s="4" t="str">
        <f>IF(G2052=$L2052,1,IF(G2052="","",0))</f>
        <v/>
      </c>
      <c r="G2052" s="14"/>
      <c r="H2052" s="6">
        <v>2056</v>
      </c>
      <c r="I2052" s="15" t="s">
        <v>3120</v>
      </c>
      <c r="J2052" s="6" t="s">
        <v>5151</v>
      </c>
      <c r="K2052" s="6"/>
      <c r="L2052" s="6" t="s">
        <v>2131</v>
      </c>
      <c r="M2052" s="6" t="s">
        <v>8162</v>
      </c>
      <c r="N2052" s="7">
        <f ca="1">RAND()</f>
        <v>0.386326901211416</v>
      </c>
      <c r="O2052" s="8">
        <v>45214</v>
      </c>
      <c r="P2052" s="8">
        <v>45214</v>
      </c>
      <c r="Q2052" s="8">
        <v>45214</v>
      </c>
      <c r="R2052" s="8">
        <v>45214</v>
      </c>
      <c r="S2052" s="8">
        <v>45214</v>
      </c>
      <c r="T2052" s="8">
        <v>45214</v>
      </c>
      <c r="U2052" s="8">
        <v>45214</v>
      </c>
      <c r="V2052" s="10">
        <f>COUNTA(O2052:U2052)</f>
        <v>7</v>
      </c>
      <c r="W2052" s="11">
        <f>_xlfn.IFNA(INDEX(reading[[#This Row],[Memo 01]:[Memo 07]],MATCH(0,reading[[#This Row],[Memo 01]:[Memo 07]],-1)),"")</f>
        <v>45214</v>
      </c>
      <c r="X2052" s="11">
        <f ca="1">IFERROR(reading[[#This Row],[Previous]]+OFFSET(reading[[#Headers],[Memo 01]],-1,MATCH(0,reading[[#This Row],[Memo 01]:[Memo 07]],-1)-1),"")</f>
        <v>55214</v>
      </c>
      <c r="Y2052" s="10" t="str">
        <f ca="1">IF(reading[[#This Row],[Next]]&lt;&gt;"",IF(reading[[#This Row],[Next]]&gt;TODAY(),"OK",""),"")</f>
        <v>OK</v>
      </c>
      <c r="Z2052" s="13">
        <v>3</v>
      </c>
      <c r="AA2052" s="13"/>
      <c r="AB2052" s="13"/>
      <c r="AC2052" s="13"/>
      <c r="AD2052" s="13"/>
      <c r="AE2052" s="13"/>
      <c r="AF2052" s="13"/>
      <c r="AG2052" s="16">
        <f>IFERROR(SUMIF(reading[[#This Row],[1st]:[7th]],"&gt;0")/COUNTIF(reading[[#This Row],[1st]:[7th]],"&gt;0"),"")</f>
        <v>3</v>
      </c>
    </row>
    <row r="2053" spans="1:33" x14ac:dyDescent="0.2">
      <c r="A2053" s="4">
        <f>IF(B2053=1,3,IF(D2053=1,2,IF(F2053=1,1,0)))</f>
        <v>0</v>
      </c>
      <c r="B2053" s="4">
        <f>IF(C2053=$L2053,1,IF(C2053="","",0))</f>
        <v>0</v>
      </c>
      <c r="C2053" s="42" t="s">
        <v>9200</v>
      </c>
      <c r="D2053" s="4" t="str">
        <f>IF(E2053=$L2053,1,IF(E2053="","",0))</f>
        <v/>
      </c>
      <c r="E2053" s="14"/>
      <c r="F2053" s="4" t="str">
        <f>IF(G2053=$L2053,1,IF(G2053="","",0))</f>
        <v/>
      </c>
      <c r="G2053" s="14"/>
      <c r="H2053" s="6">
        <v>2608</v>
      </c>
      <c r="I2053" s="15" t="s">
        <v>3120</v>
      </c>
      <c r="J2053" s="6" t="s">
        <v>5664</v>
      </c>
      <c r="K2053" s="6"/>
      <c r="L2053" s="6" t="s">
        <v>2651</v>
      </c>
      <c r="M2053" s="6" t="s">
        <v>8713</v>
      </c>
      <c r="N2053" s="7">
        <f ca="1">RAND()</f>
        <v>0.72426567374140405</v>
      </c>
      <c r="O2053" s="8">
        <v>45220</v>
      </c>
      <c r="P2053" s="8">
        <v>45221</v>
      </c>
      <c r="Q2053" s="8">
        <v>45223</v>
      </c>
      <c r="R2053" s="8">
        <v>45227</v>
      </c>
      <c r="S2053" s="8">
        <v>45234</v>
      </c>
      <c r="T2053" s="8">
        <v>45783</v>
      </c>
      <c r="U2053" s="8"/>
      <c r="V2053" s="10">
        <f>COUNTA(O2053:U2053)</f>
        <v>6</v>
      </c>
      <c r="W2053" s="11">
        <f>_xlfn.IFNA(INDEX(reading[[#This Row],[Memo 01]:[Memo 07]],MATCH(0,reading[[#This Row],[Memo 01]:[Memo 07]],-1)),"")</f>
        <v>45783</v>
      </c>
      <c r="X2053" s="11">
        <f ca="1">IFERROR(reading[[#This Row],[Previous]]+OFFSET(reading[[#Headers],[Memo 01]],-1,MATCH(0,reading[[#This Row],[Memo 01]:[Memo 07]],-1)-1),"")</f>
        <v>45803</v>
      </c>
      <c r="Y2053" s="10" t="str">
        <f ca="1">IF(reading[[#This Row],[Next]]&lt;&gt;"",IF(reading[[#This Row],[Next]]&gt;TODAY(),"OK",""),"")</f>
        <v/>
      </c>
      <c r="Z2053" s="13">
        <v>3</v>
      </c>
      <c r="AA2053" s="13">
        <v>3</v>
      </c>
      <c r="AB2053" s="13">
        <v>3</v>
      </c>
      <c r="AC2053" s="13">
        <v>3</v>
      </c>
      <c r="AD2053" s="13">
        <v>3</v>
      </c>
      <c r="AE2053" s="13">
        <v>3</v>
      </c>
      <c r="AF2053" s="13"/>
      <c r="AG2053" s="16">
        <f>IFERROR(SUMIF(reading[[#This Row],[1st]:[7th]],"&gt;0")/COUNTIF(reading[[#This Row],[1st]:[7th]],"&gt;0"),"")</f>
        <v>3</v>
      </c>
    </row>
    <row r="2054" spans="1:33" x14ac:dyDescent="0.2">
      <c r="A2054" s="4">
        <f>IF(B2054=1,3,IF(D2054=1,2,IF(F2054=1,1,0)))</f>
        <v>3</v>
      </c>
      <c r="B2054" s="4">
        <f>IF(C2054=$L2054,1,IF(C2054="","",0))</f>
        <v>1</v>
      </c>
      <c r="C2054" s="42" t="s">
        <v>9387</v>
      </c>
      <c r="D2054" s="4" t="str">
        <f>IF(E2054=$L2054,1,IF(E2054="","",0))</f>
        <v/>
      </c>
      <c r="E2054" s="14"/>
      <c r="F2054" s="4" t="str">
        <f>IF(G2054=$L2054,1,IF(G2054="","",0))</f>
        <v/>
      </c>
      <c r="G2054" s="14"/>
      <c r="H2054" s="6">
        <v>888</v>
      </c>
      <c r="I2054" s="15" t="s">
        <v>3120</v>
      </c>
      <c r="J2054" s="6" t="s">
        <v>4020</v>
      </c>
      <c r="K2054" s="6"/>
      <c r="L2054" s="6" t="s">
        <v>1002</v>
      </c>
      <c r="M2054" s="6" t="s">
        <v>6997</v>
      </c>
      <c r="N2054" s="7">
        <f ca="1">RAND()</f>
        <v>0.95979146565190798</v>
      </c>
      <c r="O2054" s="8">
        <v>45204</v>
      </c>
      <c r="P2054" s="8">
        <v>45205</v>
      </c>
      <c r="Q2054" s="8">
        <v>45207</v>
      </c>
      <c r="R2054" s="8">
        <v>45211</v>
      </c>
      <c r="S2054" s="8">
        <v>45218</v>
      </c>
      <c r="T2054" s="8">
        <v>45230</v>
      </c>
      <c r="U2054" s="8"/>
      <c r="V2054" s="10">
        <f>COUNTA(O2054:U2054)</f>
        <v>6</v>
      </c>
      <c r="W2054" s="11">
        <f>_xlfn.IFNA(INDEX(reading[[#This Row],[Memo 01]:[Memo 07]],MATCH(0,reading[[#This Row],[Memo 01]:[Memo 07]],-1)),"")</f>
        <v>45230</v>
      </c>
      <c r="X2054" s="11">
        <f ca="1">IFERROR(reading[[#This Row],[Previous]]+OFFSET(reading[[#Headers],[Memo 01]],-1,MATCH(0,reading[[#This Row],[Memo 01]:[Memo 07]],-1)-1),"")</f>
        <v>45250</v>
      </c>
      <c r="Y2054" s="10" t="str">
        <f ca="1">IF(reading[[#This Row],[Next]]&lt;&gt;"",IF(reading[[#This Row],[Next]]&gt;TODAY(),"OK",""),"")</f>
        <v/>
      </c>
      <c r="Z2054" s="13">
        <v>3</v>
      </c>
      <c r="AA2054" s="13">
        <v>3</v>
      </c>
      <c r="AB2054" s="13">
        <v>3</v>
      </c>
      <c r="AC2054" s="13">
        <v>3</v>
      </c>
      <c r="AD2054" s="13">
        <v>3</v>
      </c>
      <c r="AE2054" s="13">
        <v>3</v>
      </c>
      <c r="AF2054" s="13"/>
      <c r="AG2054" s="16">
        <f>IFERROR(SUMIF(reading[[#This Row],[1st]:[7th]],"&gt;0")/COUNTIF(reading[[#This Row],[1st]:[7th]],"&gt;0"),"")</f>
        <v>3</v>
      </c>
    </row>
    <row r="2055" spans="1:33" x14ac:dyDescent="0.2">
      <c r="A2055" s="4">
        <f>IF(B2055=1,3,IF(D2055=1,2,IF(F2055=1,1,0)))</f>
        <v>3</v>
      </c>
      <c r="B2055" s="4">
        <f>IF(C2055=$L2055,1,IF(C2055="","",0))</f>
        <v>1</v>
      </c>
      <c r="C2055" s="42" t="s">
        <v>9388</v>
      </c>
      <c r="D2055" s="4" t="str">
        <f>IF(E2055=$L2055,1,IF(E2055="","",0))</f>
        <v/>
      </c>
      <c r="E2055" s="18"/>
      <c r="F2055" s="4" t="str">
        <f>IF(G2055=$L2055,1,IF(G2055="","",0))</f>
        <v/>
      </c>
      <c r="G2055" s="18"/>
      <c r="H2055" s="6">
        <v>1588</v>
      </c>
      <c r="I2055" s="15" t="s">
        <v>3120</v>
      </c>
      <c r="J2055" s="6" t="s">
        <v>4700</v>
      </c>
      <c r="K2055" s="6"/>
      <c r="L2055" s="6" t="s">
        <v>1671</v>
      </c>
      <c r="M2055" s="6" t="s">
        <v>7694</v>
      </c>
      <c r="N2055" s="7">
        <f ca="1">RAND()</f>
        <v>0.19900423815619839</v>
      </c>
      <c r="O2055" s="8">
        <v>45209</v>
      </c>
      <c r="P2055" s="8">
        <v>45210</v>
      </c>
      <c r="Q2055" s="8">
        <v>45212</v>
      </c>
      <c r="R2055" s="8">
        <v>45216</v>
      </c>
      <c r="S2055" s="8">
        <v>45223</v>
      </c>
      <c r="T2055" s="8">
        <v>45235</v>
      </c>
      <c r="U2055" s="8"/>
      <c r="V2055" s="10">
        <f>COUNTA(O2055:U2055)</f>
        <v>6</v>
      </c>
      <c r="W2055" s="11">
        <f>_xlfn.IFNA(INDEX(reading[[#This Row],[Memo 01]:[Memo 07]],MATCH(0,reading[[#This Row],[Memo 01]:[Memo 07]],-1)),"")</f>
        <v>45235</v>
      </c>
      <c r="X2055" s="11">
        <f ca="1">IFERROR(reading[[#This Row],[Previous]]+OFFSET(reading[[#Headers],[Memo 01]],-1,MATCH(0,reading[[#This Row],[Memo 01]:[Memo 07]],-1)-1),"")</f>
        <v>45255</v>
      </c>
      <c r="Y2055" s="10" t="str">
        <f ca="1">IF(reading[[#This Row],[Next]]&lt;&gt;"",IF(reading[[#This Row],[Next]]&gt;TODAY(),"OK",""),"")</f>
        <v/>
      </c>
      <c r="Z2055" s="13">
        <v>3</v>
      </c>
      <c r="AA2055" s="13">
        <v>3</v>
      </c>
      <c r="AB2055" s="13">
        <v>3</v>
      </c>
      <c r="AC2055" s="13">
        <v>1</v>
      </c>
      <c r="AD2055" s="13">
        <v>3</v>
      </c>
      <c r="AE2055" s="13">
        <v>3</v>
      </c>
      <c r="AF2055" s="13"/>
      <c r="AG2055" s="16">
        <f>IFERROR(SUMIF(reading[[#This Row],[1st]:[7th]],"&gt;0")/COUNTIF(reading[[#This Row],[1st]:[7th]],"&gt;0"),"")</f>
        <v>2.6666666666666665</v>
      </c>
    </row>
    <row r="2056" spans="1:33" x14ac:dyDescent="0.2">
      <c r="A2056" s="4">
        <f>IF(B2056=1,3,IF(D2056=1,2,IF(F2056=1,1,0)))</f>
        <v>0</v>
      </c>
      <c r="B2056" s="4">
        <f>IF(C2056=$L2056,1,IF(C2056="","",0))</f>
        <v>0</v>
      </c>
      <c r="C2056" s="42" t="s">
        <v>9200</v>
      </c>
      <c r="D2056" s="4" t="str">
        <f>IF(E2056=$L2056,1,IF(E2056="","",0))</f>
        <v/>
      </c>
      <c r="E2056" s="23"/>
      <c r="F2056" s="4" t="str">
        <f>IF(G2056=$L2056,1,IF(G2056="","",0))</f>
        <v/>
      </c>
      <c r="G2056" s="18"/>
      <c r="H2056" s="6">
        <v>1432</v>
      </c>
      <c r="I2056" s="15" t="s">
        <v>3120</v>
      </c>
      <c r="J2056" s="6" t="s">
        <v>4546</v>
      </c>
      <c r="K2056" s="6" t="s">
        <v>3139</v>
      </c>
      <c r="L2056" s="6" t="s">
        <v>1523</v>
      </c>
      <c r="M2056" s="6" t="s">
        <v>7539</v>
      </c>
      <c r="N2056" s="7">
        <f ca="1">RAND()</f>
        <v>0.89598528100950403</v>
      </c>
      <c r="O2056" s="8">
        <v>45208</v>
      </c>
      <c r="P2056" s="8">
        <v>45209</v>
      </c>
      <c r="Q2056" s="8">
        <v>45212</v>
      </c>
      <c r="R2056" s="8">
        <v>45216</v>
      </c>
      <c r="S2056" s="8">
        <v>45223</v>
      </c>
      <c r="T2056" s="8">
        <v>45235</v>
      </c>
      <c r="U2056" s="8"/>
      <c r="V2056" s="10">
        <f>COUNTA(O2056:U2056)</f>
        <v>6</v>
      </c>
      <c r="W2056" s="11">
        <f>_xlfn.IFNA(INDEX(reading[[#This Row],[Memo 01]:[Memo 07]],MATCH(0,reading[[#This Row],[Memo 01]:[Memo 07]],-1)),"")</f>
        <v>45235</v>
      </c>
      <c r="X2056" s="11">
        <f ca="1">IFERROR(reading[[#This Row],[Previous]]+OFFSET(reading[[#Headers],[Memo 01]],-1,MATCH(0,reading[[#This Row],[Memo 01]:[Memo 07]],-1)-1),"")</f>
        <v>45255</v>
      </c>
      <c r="Y2056" s="10" t="str">
        <f ca="1">IF(reading[[#This Row],[Next]]&lt;&gt;"",IF(reading[[#This Row],[Next]]&gt;TODAY(),"OK",""),"")</f>
        <v/>
      </c>
      <c r="Z2056" s="13">
        <v>3</v>
      </c>
      <c r="AA2056" s="13">
        <v>1</v>
      </c>
      <c r="AB2056" s="13">
        <v>1</v>
      </c>
      <c r="AC2056" s="13">
        <v>1</v>
      </c>
      <c r="AD2056" s="13">
        <v>2</v>
      </c>
      <c r="AE2056" s="13">
        <v>2</v>
      </c>
      <c r="AF2056" s="13"/>
      <c r="AG2056" s="16">
        <f>IFERROR(SUMIF(reading[[#This Row],[1st]:[7th]],"&gt;0")/COUNTIF(reading[[#This Row],[1st]:[7th]],"&gt;0"),"")</f>
        <v>1.6666666666666667</v>
      </c>
    </row>
    <row r="2057" spans="1:33" hidden="1" x14ac:dyDescent="0.2">
      <c r="A2057" s="4">
        <f>IF(B2057=1,3,IF(D2057=1,2,IF(F2057=1,1,0)))</f>
        <v>0</v>
      </c>
      <c r="B2057" s="4" t="str">
        <f>IF(C2057=$L2057,1,IF(C2057="","",0))</f>
        <v/>
      </c>
      <c r="C2057" s="42"/>
      <c r="D2057" s="4" t="str">
        <f>IF(E2057=$L2057,1,IF(E2057="","",0))</f>
        <v/>
      </c>
      <c r="E2057" s="23"/>
      <c r="F2057" s="4" t="str">
        <f>IF(G2057=$L2057,1,IF(G2057="","",0))</f>
        <v/>
      </c>
      <c r="G2057" s="23"/>
      <c r="H2057" s="6">
        <v>2083</v>
      </c>
      <c r="I2057" s="15" t="s">
        <v>3120</v>
      </c>
      <c r="J2057" s="6" t="s">
        <v>5174</v>
      </c>
      <c r="K2057" s="6"/>
      <c r="L2057" s="6" t="s">
        <v>2154</v>
      </c>
      <c r="M2057" s="6" t="s">
        <v>8189</v>
      </c>
      <c r="N2057" s="7">
        <f ca="1">RAND()</f>
        <v>0.56700305785569005</v>
      </c>
      <c r="O2057" s="8">
        <v>45214</v>
      </c>
      <c r="P2057" s="8">
        <v>45215</v>
      </c>
      <c r="Q2057" s="8">
        <v>45217</v>
      </c>
      <c r="R2057" s="8">
        <v>45221</v>
      </c>
      <c r="S2057" s="8">
        <v>45228</v>
      </c>
      <c r="T2057" s="8">
        <v>45817</v>
      </c>
      <c r="U2057" s="8"/>
      <c r="V2057" s="10">
        <f>COUNTA(O2057:U2057)</f>
        <v>6</v>
      </c>
      <c r="W2057" s="11">
        <f>_xlfn.IFNA(INDEX(reading[[#This Row],[Memo 01]:[Memo 07]],MATCH(0,reading[[#This Row],[Memo 01]:[Memo 07]],-1)),"")</f>
        <v>45817</v>
      </c>
      <c r="X2057" s="11">
        <f ca="1">IFERROR(reading[[#This Row],[Previous]]+OFFSET(reading[[#Headers],[Memo 01]],-1,MATCH(0,reading[[#This Row],[Memo 01]:[Memo 07]],-1)-1),"")</f>
        <v>45837</v>
      </c>
      <c r="Y2057" s="10" t="str">
        <f ca="1">IF(reading[[#This Row],[Next]]&lt;&gt;"",IF(reading[[#This Row],[Next]]&gt;TODAY(),"OK",""),"")</f>
        <v>OK</v>
      </c>
      <c r="Z2057" s="13">
        <v>3</v>
      </c>
      <c r="AA2057" s="13">
        <v>3</v>
      </c>
      <c r="AB2057" s="13">
        <v>3</v>
      </c>
      <c r="AC2057" s="13">
        <v>3</v>
      </c>
      <c r="AD2057" s="13">
        <v>3</v>
      </c>
      <c r="AE2057" s="13">
        <v>1</v>
      </c>
      <c r="AF2057" s="13"/>
      <c r="AG2057" s="16">
        <f>IFERROR(SUMIF(reading[[#This Row],[1st]:[7th]],"&gt;0")/COUNTIF(reading[[#This Row],[1st]:[7th]],"&gt;0"),"")</f>
        <v>2.6666666666666665</v>
      </c>
    </row>
    <row r="2058" spans="1:33" hidden="1" x14ac:dyDescent="0.2">
      <c r="A2058" s="4">
        <f>IF(B2058=1,3,IF(D2058=1,2,IF(F2058=1,1,0)))</f>
        <v>0</v>
      </c>
      <c r="B2058" s="4" t="str">
        <f>IF(C2058=$L2058,1,IF(C2058="","",0))</f>
        <v/>
      </c>
      <c r="C2058" s="42"/>
      <c r="D2058" s="4" t="str">
        <f>IF(E2058=$L2058,1,IF(E2058="","",0))</f>
        <v/>
      </c>
      <c r="E2058" s="23"/>
      <c r="F2058" s="4" t="str">
        <f>IF(G2058=$L2058,1,IF(G2058="","",0))</f>
        <v/>
      </c>
      <c r="G2058" s="18"/>
      <c r="H2058" s="6">
        <v>1256</v>
      </c>
      <c r="I2058" s="15" t="s">
        <v>3120</v>
      </c>
      <c r="J2058" s="6" t="s">
        <v>4373</v>
      </c>
      <c r="K2058" s="6"/>
      <c r="L2058" s="6" t="s">
        <v>1355</v>
      </c>
      <c r="M2058" s="6" t="s">
        <v>7363</v>
      </c>
      <c r="N2058" s="7">
        <f ca="1">RAND()</f>
        <v>0.99805670638012656</v>
      </c>
      <c r="O2058" s="8">
        <v>45207</v>
      </c>
      <c r="P2058" s="8">
        <v>45208</v>
      </c>
      <c r="Q2058" s="8">
        <v>45211</v>
      </c>
      <c r="R2058" s="8">
        <v>45215</v>
      </c>
      <c r="S2058" s="8">
        <v>45222</v>
      </c>
      <c r="T2058" s="8">
        <v>45234</v>
      </c>
      <c r="U2058" s="8">
        <v>45816</v>
      </c>
      <c r="V2058" s="10">
        <f>COUNTA(O2058:U2058)</f>
        <v>7</v>
      </c>
      <c r="W2058" s="11">
        <f>_xlfn.IFNA(INDEX(reading[[#This Row],[Memo 01]:[Memo 07]],MATCH(0,reading[[#This Row],[Memo 01]:[Memo 07]],-1)),"")</f>
        <v>45816</v>
      </c>
      <c r="X2058" s="11">
        <f ca="1">IFERROR(reading[[#This Row],[Previous]]+OFFSET(reading[[#Headers],[Memo 01]],-1,MATCH(0,reading[[#This Row],[Memo 01]:[Memo 07]],-1)-1),"")</f>
        <v>55816</v>
      </c>
      <c r="Y2058" s="10" t="str">
        <f ca="1">IF(reading[[#This Row],[Next]]&lt;&gt;"",IF(reading[[#This Row],[Next]]&gt;TODAY(),"OK",""),"")</f>
        <v>OK</v>
      </c>
      <c r="Z2058" s="13">
        <v>3</v>
      </c>
      <c r="AA2058" s="13">
        <v>2</v>
      </c>
      <c r="AB2058" s="13">
        <v>1</v>
      </c>
      <c r="AC2058" s="13">
        <v>3</v>
      </c>
      <c r="AD2058" s="13">
        <v>3</v>
      </c>
      <c r="AE2058" s="13">
        <v>3</v>
      </c>
      <c r="AF2058" s="13">
        <v>2</v>
      </c>
      <c r="AG2058" s="16">
        <f>IFERROR(SUMIF(reading[[#This Row],[1st]:[7th]],"&gt;0")/COUNTIF(reading[[#This Row],[1st]:[7th]],"&gt;0"),"")</f>
        <v>2.4285714285714284</v>
      </c>
    </row>
    <row r="2059" spans="1:33" hidden="1" x14ac:dyDescent="0.2">
      <c r="A2059" s="4">
        <f>IF(B2059=1,3,IF(D2059=1,2,IF(F2059=1,1,0)))</f>
        <v>0</v>
      </c>
      <c r="B2059" s="4" t="str">
        <f>IF(C2059=$L2059,1,IF(C2059="","",0))</f>
        <v/>
      </c>
      <c r="C2059" s="42"/>
      <c r="D2059" s="4" t="str">
        <f>IF(E2059=$L2059,1,IF(E2059="","",0))</f>
        <v/>
      </c>
      <c r="E2059" s="23"/>
      <c r="F2059" s="4" t="str">
        <f>IF(G2059=$L2059,1,IF(G2059="","",0))</f>
        <v/>
      </c>
      <c r="G2059" s="14"/>
      <c r="H2059" s="6">
        <v>2178</v>
      </c>
      <c r="I2059" s="15" t="s">
        <v>3120</v>
      </c>
      <c r="J2059" s="6" t="s">
        <v>5266</v>
      </c>
      <c r="K2059" s="6"/>
      <c r="L2059" s="6" t="s">
        <v>2243</v>
      </c>
      <c r="M2059" s="6" t="s">
        <v>8284</v>
      </c>
      <c r="N2059" s="7">
        <f ca="1">RAND()</f>
        <v>0.5297363728854938</v>
      </c>
      <c r="O2059" s="8">
        <v>45216</v>
      </c>
      <c r="P2059" s="8">
        <v>45217</v>
      </c>
      <c r="Q2059" s="8">
        <v>45219</v>
      </c>
      <c r="R2059" s="8">
        <v>45223</v>
      </c>
      <c r="S2059" s="8">
        <v>45230</v>
      </c>
      <c r="T2059" s="8">
        <v>45816</v>
      </c>
      <c r="U2059" s="8"/>
      <c r="V2059" s="10">
        <f>COUNTA(O2059:U2059)</f>
        <v>6</v>
      </c>
      <c r="W2059" s="11">
        <f>_xlfn.IFNA(INDEX(reading[[#This Row],[Memo 01]:[Memo 07]],MATCH(0,reading[[#This Row],[Memo 01]:[Memo 07]],-1)),"")</f>
        <v>45816</v>
      </c>
      <c r="X2059" s="11">
        <f ca="1">IFERROR(reading[[#This Row],[Previous]]+OFFSET(reading[[#Headers],[Memo 01]],-1,MATCH(0,reading[[#This Row],[Memo 01]:[Memo 07]],-1)-1),"")</f>
        <v>45836</v>
      </c>
      <c r="Y2059" s="10" t="str">
        <f ca="1">IF(reading[[#This Row],[Next]]&lt;&gt;"",IF(reading[[#This Row],[Next]]&gt;TODAY(),"OK",""),"")</f>
        <v>OK</v>
      </c>
      <c r="Z2059" s="13">
        <v>3</v>
      </c>
      <c r="AA2059" s="13">
        <v>3</v>
      </c>
      <c r="AB2059" s="13">
        <v>3</v>
      </c>
      <c r="AC2059" s="13">
        <v>3</v>
      </c>
      <c r="AD2059" s="13">
        <v>3</v>
      </c>
      <c r="AE2059" s="13">
        <v>2</v>
      </c>
      <c r="AF2059" s="13"/>
      <c r="AG2059" s="16">
        <f>IFERROR(SUMIF(reading[[#This Row],[1st]:[7th]],"&gt;0")/COUNTIF(reading[[#This Row],[1st]:[7th]],"&gt;0"),"")</f>
        <v>2.8333333333333335</v>
      </c>
    </row>
    <row r="2060" spans="1:33" x14ac:dyDescent="0.2">
      <c r="A2060" s="4">
        <f>IF(B2060=1,3,IF(D2060=1,2,IF(F2060=1,1,0)))</f>
        <v>0</v>
      </c>
      <c r="B2060" s="4">
        <f>IF(C2060=$L2060,1,IF(C2060="","",0))</f>
        <v>0</v>
      </c>
      <c r="C2060" s="42" t="s">
        <v>9389</v>
      </c>
      <c r="D2060" s="4" t="str">
        <f>IF(E2060=$L2060,1,IF(E2060="","",0))</f>
        <v/>
      </c>
      <c r="E2060" s="18"/>
      <c r="F2060" s="4" t="str">
        <f>IF(G2060=$L2060,1,IF(G2060="","",0))</f>
        <v/>
      </c>
      <c r="G2060" s="14"/>
      <c r="H2060" s="6">
        <v>1409</v>
      </c>
      <c r="I2060" s="15" t="s">
        <v>3120</v>
      </c>
      <c r="J2060" s="6" t="s">
        <v>4523</v>
      </c>
      <c r="K2060" s="6"/>
      <c r="L2060" s="6" t="s">
        <v>1500</v>
      </c>
      <c r="M2060" s="6" t="s">
        <v>7516</v>
      </c>
      <c r="N2060" s="7">
        <f ca="1">RAND()</f>
        <v>1.7052809321011164E-2</v>
      </c>
      <c r="O2060" s="8">
        <v>45208</v>
      </c>
      <c r="P2060" s="8">
        <v>45209</v>
      </c>
      <c r="Q2060" s="8">
        <v>45212</v>
      </c>
      <c r="R2060" s="8">
        <v>45216</v>
      </c>
      <c r="S2060" s="8">
        <v>45223</v>
      </c>
      <c r="T2060" s="8">
        <v>45235</v>
      </c>
      <c r="U2060" s="8"/>
      <c r="V2060" s="10">
        <f>COUNTA(O2060:U2060)</f>
        <v>6</v>
      </c>
      <c r="W2060" s="11">
        <f>_xlfn.IFNA(INDEX(reading[[#This Row],[Memo 01]:[Memo 07]],MATCH(0,reading[[#This Row],[Memo 01]:[Memo 07]],-1)),"")</f>
        <v>45235</v>
      </c>
      <c r="X2060" s="11">
        <f ca="1">IFERROR(reading[[#This Row],[Previous]]+OFFSET(reading[[#Headers],[Memo 01]],-1,MATCH(0,reading[[#This Row],[Memo 01]:[Memo 07]],-1)-1),"")</f>
        <v>45255</v>
      </c>
      <c r="Y2060" s="10" t="str">
        <f ca="1">IF(reading[[#This Row],[Next]]&lt;&gt;"",IF(reading[[#This Row],[Next]]&gt;TODAY(),"OK",""),"")</f>
        <v/>
      </c>
      <c r="Z2060" s="13">
        <v>3</v>
      </c>
      <c r="AA2060" s="13">
        <v>3</v>
      </c>
      <c r="AB2060" s="13">
        <v>2</v>
      </c>
      <c r="AC2060" s="13">
        <v>3</v>
      </c>
      <c r="AD2060" s="13">
        <v>2</v>
      </c>
      <c r="AE2060" s="13">
        <v>3</v>
      </c>
      <c r="AF2060" s="13"/>
      <c r="AG2060" s="16">
        <f>IFERROR(SUMIF(reading[[#This Row],[1st]:[7th]],"&gt;0")/COUNTIF(reading[[#This Row],[1st]:[7th]],"&gt;0"),"")</f>
        <v>2.6666666666666665</v>
      </c>
    </row>
    <row r="2061" spans="1:33" x14ac:dyDescent="0.2">
      <c r="A2061" s="4">
        <f>IF(B2061=1,3,IF(D2061=1,2,IF(F2061=1,1,0)))</f>
        <v>3</v>
      </c>
      <c r="B2061" s="4">
        <f>IF(C2061=$L2061,1,IF(C2061="","",0))</f>
        <v>1</v>
      </c>
      <c r="C2061" s="42" t="s">
        <v>9218</v>
      </c>
      <c r="D2061" s="4" t="str">
        <f>IF(E2061=$L2061,1,IF(E2061="","",0))</f>
        <v/>
      </c>
      <c r="E2061" s="14"/>
      <c r="F2061" s="4" t="str">
        <f>IF(G2061=$L2061,1,IF(G2061="","",0))</f>
        <v/>
      </c>
      <c r="G2061" s="14"/>
      <c r="H2061" s="6">
        <v>2048</v>
      </c>
      <c r="I2061" s="15" t="s">
        <v>3120</v>
      </c>
      <c r="J2061" s="6" t="s">
        <v>5144</v>
      </c>
      <c r="K2061" s="6"/>
      <c r="L2061" s="6" t="s">
        <v>2123</v>
      </c>
      <c r="M2061" s="6" t="s">
        <v>8154</v>
      </c>
      <c r="N2061" s="7">
        <f ca="1">RAND()</f>
        <v>0.17043240717439601</v>
      </c>
      <c r="O2061" s="8">
        <v>45213</v>
      </c>
      <c r="P2061" s="8">
        <v>45214</v>
      </c>
      <c r="Q2061" s="8">
        <v>45216</v>
      </c>
      <c r="R2061" s="8">
        <v>45220</v>
      </c>
      <c r="S2061" s="8">
        <v>45227</v>
      </c>
      <c r="T2061" s="8">
        <v>45801</v>
      </c>
      <c r="U2061" s="8"/>
      <c r="V2061" s="10">
        <f>COUNTA(O2061:U2061)</f>
        <v>6</v>
      </c>
      <c r="W2061" s="11">
        <f>_xlfn.IFNA(INDEX(reading[[#This Row],[Memo 01]:[Memo 07]],MATCH(0,reading[[#This Row],[Memo 01]:[Memo 07]],-1)),"")</f>
        <v>45801</v>
      </c>
      <c r="X2061" s="11">
        <f ca="1">IFERROR(reading[[#This Row],[Previous]]+OFFSET(reading[[#Headers],[Memo 01]],-1,MATCH(0,reading[[#This Row],[Memo 01]:[Memo 07]],-1)-1),"")</f>
        <v>45821</v>
      </c>
      <c r="Y2061" s="10" t="str">
        <f ca="1">IF(reading[[#This Row],[Next]]&lt;&gt;"",IF(reading[[#This Row],[Next]]&gt;TODAY(),"OK",""),"")</f>
        <v/>
      </c>
      <c r="Z2061" s="13">
        <v>3</v>
      </c>
      <c r="AA2061" s="13">
        <v>3</v>
      </c>
      <c r="AB2061" s="13">
        <v>3</v>
      </c>
      <c r="AC2061" s="13">
        <v>3</v>
      </c>
      <c r="AD2061" s="13">
        <v>3</v>
      </c>
      <c r="AE2061" s="13">
        <v>3</v>
      </c>
      <c r="AF2061" s="13"/>
      <c r="AG2061" s="16">
        <f>IFERROR(SUMIF(reading[[#This Row],[1st]:[7th]],"&gt;0")/COUNTIF(reading[[#This Row],[1st]:[7th]],"&gt;0"),"")</f>
        <v>3</v>
      </c>
    </row>
    <row r="2062" spans="1:33" x14ac:dyDescent="0.2">
      <c r="A2062" s="4">
        <f>IF(B2062=1,3,IF(D2062=1,2,IF(F2062=1,1,0)))</f>
        <v>3</v>
      </c>
      <c r="B2062" s="4">
        <f>IF(C2062=$L2062,1,IF(C2062="","",0))</f>
        <v>1</v>
      </c>
      <c r="C2062" s="42" t="s">
        <v>9220</v>
      </c>
      <c r="D2062" s="4" t="str">
        <f>IF(E2062=$L2062,1,IF(E2062="","",0))</f>
        <v/>
      </c>
      <c r="E2062" s="14"/>
      <c r="F2062" s="4" t="str">
        <f>IF(G2062=$L2062,1,IF(G2062="","",0))</f>
        <v/>
      </c>
      <c r="G2062" s="14"/>
      <c r="H2062" s="6">
        <v>2378</v>
      </c>
      <c r="I2062" s="15" t="s">
        <v>3120</v>
      </c>
      <c r="J2062" s="6" t="s">
        <v>5451</v>
      </c>
      <c r="K2062" s="6"/>
      <c r="L2062" s="6" t="s">
        <v>75</v>
      </c>
      <c r="M2062" s="6" t="s">
        <v>8483</v>
      </c>
      <c r="N2062" s="7">
        <f ca="1">RAND()</f>
        <v>0.62159692919204601</v>
      </c>
      <c r="O2062" s="8">
        <v>45216</v>
      </c>
      <c r="P2062" s="8">
        <v>45217</v>
      </c>
      <c r="Q2062" s="8">
        <v>45219</v>
      </c>
      <c r="R2062" s="8">
        <v>45223</v>
      </c>
      <c r="S2062" s="8">
        <v>45230</v>
      </c>
      <c r="T2062" s="8"/>
      <c r="U2062" s="8"/>
      <c r="V2062" s="10">
        <f>COUNTA(O2062:U2062)</f>
        <v>5</v>
      </c>
      <c r="W2062" s="11">
        <f>_xlfn.IFNA(INDEX(reading[[#This Row],[Memo 01]:[Memo 07]],MATCH(0,reading[[#This Row],[Memo 01]:[Memo 07]],-1)),"")</f>
        <v>45230</v>
      </c>
      <c r="X2062" s="11">
        <f ca="1">IFERROR(reading[[#This Row],[Previous]]+OFFSET(reading[[#Headers],[Memo 01]],-1,MATCH(0,reading[[#This Row],[Memo 01]:[Memo 07]],-1)-1),"")</f>
        <v>45242</v>
      </c>
      <c r="Y2062" s="10" t="str">
        <f ca="1">IF(reading[[#This Row],[Next]]&lt;&gt;"",IF(reading[[#This Row],[Next]]&gt;TODAY(),"OK",""),"")</f>
        <v/>
      </c>
      <c r="Z2062" s="13">
        <v>3</v>
      </c>
      <c r="AA2062" s="13">
        <v>3</v>
      </c>
      <c r="AB2062" s="13">
        <v>3</v>
      </c>
      <c r="AC2062" s="13">
        <v>3</v>
      </c>
      <c r="AD2062" s="13">
        <v>3</v>
      </c>
      <c r="AE2062" s="13"/>
      <c r="AF2062" s="13"/>
      <c r="AG2062" s="16">
        <f>IFERROR(SUMIF(reading[[#This Row],[1st]:[7th]],"&gt;0")/COUNTIF(reading[[#This Row],[1st]:[7th]],"&gt;0"),"")</f>
        <v>3</v>
      </c>
    </row>
    <row r="2063" spans="1:33" x14ac:dyDescent="0.2">
      <c r="A2063" s="4">
        <f>IF(B2063=1,3,IF(D2063=1,2,IF(F2063=1,1,0)))</f>
        <v>0</v>
      </c>
      <c r="B2063" s="4" t="str">
        <f>IF(C2063=$L2063,1,IF(C2063="","",0))</f>
        <v/>
      </c>
      <c r="C2063" s="42"/>
      <c r="D2063" s="4" t="str">
        <f>IF(E2063=$L2063,1,IF(E2063="","",0))</f>
        <v/>
      </c>
      <c r="E2063" s="14"/>
      <c r="F2063" s="4" t="str">
        <f>IF(G2063=$L2063,1,IF(G2063="","",0))</f>
        <v/>
      </c>
      <c r="G2063" s="14"/>
      <c r="H2063" s="6">
        <v>2678</v>
      </c>
      <c r="I2063" s="15" t="s">
        <v>3120</v>
      </c>
      <c r="J2063" s="6" t="s">
        <v>5730</v>
      </c>
      <c r="K2063" s="6"/>
      <c r="L2063" s="6" t="s">
        <v>2717</v>
      </c>
      <c r="M2063" s="6" t="s">
        <v>8783</v>
      </c>
      <c r="N2063" s="7">
        <f ca="1">RAND()</f>
        <v>0.18967899005690925</v>
      </c>
      <c r="O2063" s="8">
        <v>45220</v>
      </c>
      <c r="P2063" s="8">
        <v>45221</v>
      </c>
      <c r="Q2063" s="8">
        <v>45223</v>
      </c>
      <c r="R2063" s="8">
        <v>45227</v>
      </c>
      <c r="S2063" s="8">
        <v>45234</v>
      </c>
      <c r="T2063" s="8">
        <v>45783</v>
      </c>
      <c r="U2063" s="8"/>
      <c r="V2063" s="10">
        <f>COUNTA(O2063:U2063)</f>
        <v>6</v>
      </c>
      <c r="W2063" s="11">
        <f>_xlfn.IFNA(INDEX(reading[[#This Row],[Memo 01]:[Memo 07]],MATCH(0,reading[[#This Row],[Memo 01]:[Memo 07]],-1)),"")</f>
        <v>45783</v>
      </c>
      <c r="X2063" s="11">
        <f ca="1">IFERROR(reading[[#This Row],[Previous]]+OFFSET(reading[[#Headers],[Memo 01]],-1,MATCH(0,reading[[#This Row],[Memo 01]:[Memo 07]],-1)-1),"")</f>
        <v>45803</v>
      </c>
      <c r="Y2063" s="10" t="str">
        <f ca="1">IF(reading[[#This Row],[Next]]&lt;&gt;"",IF(reading[[#This Row],[Next]]&gt;TODAY(),"OK",""),"")</f>
        <v/>
      </c>
      <c r="Z2063" s="13">
        <v>3</v>
      </c>
      <c r="AA2063" s="13">
        <v>3</v>
      </c>
      <c r="AB2063" s="13">
        <v>3</v>
      </c>
      <c r="AC2063" s="13">
        <v>3</v>
      </c>
      <c r="AD2063" s="13">
        <v>3</v>
      </c>
      <c r="AE2063" s="13">
        <v>3</v>
      </c>
      <c r="AF2063" s="13"/>
      <c r="AG2063" s="16">
        <f>IFERROR(SUMIF(reading[[#This Row],[1st]:[7th]],"&gt;0")/COUNTIF(reading[[#This Row],[1st]:[7th]],"&gt;0"),"")</f>
        <v>3</v>
      </c>
    </row>
    <row r="2064" spans="1:33" x14ac:dyDescent="0.2">
      <c r="A2064" s="4">
        <f>IF(B2064=1,3,IF(D2064=1,2,IF(F2064=1,1,0)))</f>
        <v>0</v>
      </c>
      <c r="B2064" s="4" t="str">
        <f>IF(C2064=$L2064,1,IF(C2064="","",0))</f>
        <v/>
      </c>
      <c r="C2064" s="39"/>
      <c r="D2064" s="4" t="str">
        <f>IF(E2064=$L2064,1,IF(E2064="","",0))</f>
        <v/>
      </c>
      <c r="E2064" s="18"/>
      <c r="F2064" s="4" t="str">
        <f>IF(G2064=$L2064,1,IF(G2064="","",0))</f>
        <v/>
      </c>
      <c r="G2064" s="14"/>
      <c r="H2064" s="6">
        <v>2299</v>
      </c>
      <c r="I2064" s="15" t="s">
        <v>3120</v>
      </c>
      <c r="J2064" s="6" t="s">
        <v>5378</v>
      </c>
      <c r="K2064" s="15" t="s">
        <v>3138</v>
      </c>
      <c r="L2064" s="6" t="s">
        <v>2357</v>
      </c>
      <c r="M2064" s="6" t="s">
        <v>8404</v>
      </c>
      <c r="N2064" s="7">
        <f ca="1">RAND()</f>
        <v>0.78689660347929169</v>
      </c>
      <c r="O2064" s="8">
        <v>45216</v>
      </c>
      <c r="P2064" s="8">
        <v>45217</v>
      </c>
      <c r="Q2064" s="8">
        <v>45219</v>
      </c>
      <c r="R2064" s="8">
        <v>45223</v>
      </c>
      <c r="S2064" s="8">
        <v>45230</v>
      </c>
      <c r="T2064" s="8"/>
      <c r="U2064" s="8"/>
      <c r="V2064" s="10">
        <f>COUNTA(O2064:U2064)</f>
        <v>5</v>
      </c>
      <c r="W2064" s="11">
        <f>_xlfn.IFNA(INDEX(reading[[#This Row],[Memo 01]:[Memo 07]],MATCH(0,reading[[#This Row],[Memo 01]:[Memo 07]],-1)),"")</f>
        <v>45230</v>
      </c>
      <c r="X2064" s="11">
        <f ca="1">IFERROR(reading[[#This Row],[Previous]]+OFFSET(reading[[#Headers],[Memo 01]],-1,MATCH(0,reading[[#This Row],[Memo 01]:[Memo 07]],-1)-1),"")</f>
        <v>45242</v>
      </c>
      <c r="Y2064" s="10" t="str">
        <f ca="1">IF(reading[[#This Row],[Next]]&lt;&gt;"",IF(reading[[#This Row],[Next]]&gt;TODAY(),"OK",""),"")</f>
        <v/>
      </c>
      <c r="Z2064" s="13">
        <v>3</v>
      </c>
      <c r="AA2064" s="13">
        <v>2</v>
      </c>
      <c r="AB2064" s="13">
        <v>3</v>
      </c>
      <c r="AC2064" s="13">
        <v>3</v>
      </c>
      <c r="AD2064" s="13">
        <v>3</v>
      </c>
      <c r="AE2064" s="13"/>
      <c r="AF2064" s="13"/>
      <c r="AG2064" s="16">
        <f>IFERROR(SUMIF(reading[[#This Row],[1st]:[7th]],"&gt;0")/COUNTIF(reading[[#This Row],[1st]:[7th]],"&gt;0"),"")</f>
        <v>2.8</v>
      </c>
    </row>
    <row r="2065" spans="1:33" hidden="1" x14ac:dyDescent="0.2">
      <c r="A2065" s="4">
        <f>IF(B2065=1,3,IF(D2065=1,2,IF(F2065=1,1,0)))</f>
        <v>0</v>
      </c>
      <c r="B2065" s="4">
        <f>IF(C2065=$L2065,1,IF(C2065="","",0))</f>
        <v>0</v>
      </c>
      <c r="C2065" s="42" t="s">
        <v>9294</v>
      </c>
      <c r="D2065" s="4" t="str">
        <f>IF(E2065=$L2065,1,IF(E2065="","",0))</f>
        <v/>
      </c>
      <c r="E2065" s="18"/>
      <c r="F2065" s="4" t="str">
        <f>IF(G2065=$L2065,1,IF(G2065="","",0))</f>
        <v/>
      </c>
      <c r="G2065" s="14"/>
      <c r="H2065" s="6">
        <v>1635</v>
      </c>
      <c r="I2065" s="15" t="s">
        <v>3120</v>
      </c>
      <c r="J2065" s="6" t="s">
        <v>4747</v>
      </c>
      <c r="K2065" s="6"/>
      <c r="L2065" s="6" t="s">
        <v>1717</v>
      </c>
      <c r="M2065" s="6" t="s">
        <v>7741</v>
      </c>
      <c r="N2065" s="7">
        <f ca="1">RAND()</f>
        <v>0.92985763594940485</v>
      </c>
      <c r="O2065" s="8">
        <v>45210</v>
      </c>
      <c r="P2065" s="8">
        <v>45211</v>
      </c>
      <c r="Q2065" s="8">
        <v>45213</v>
      </c>
      <c r="R2065" s="8">
        <v>45217</v>
      </c>
      <c r="S2065" s="8">
        <v>45224</v>
      </c>
      <c r="T2065" s="8">
        <v>45236</v>
      </c>
      <c r="U2065" s="8"/>
      <c r="V2065" s="10">
        <f>COUNTA(O2065:U2065)</f>
        <v>6</v>
      </c>
      <c r="W2065" s="11">
        <f>_xlfn.IFNA(INDEX(reading[[#This Row],[Memo 01]:[Memo 07]],MATCH(0,reading[[#This Row],[Memo 01]:[Memo 07]],-1)),"")</f>
        <v>45236</v>
      </c>
      <c r="X2065" s="11">
        <f ca="1">IFERROR(reading[[#This Row],[Previous]]+OFFSET(reading[[#Headers],[Memo 01]],-1,MATCH(0,reading[[#This Row],[Memo 01]:[Memo 07]],-1)-1),"")</f>
        <v>45256</v>
      </c>
      <c r="Y2065" s="10" t="str">
        <f ca="1">IF(reading[[#This Row],[Next]]&lt;&gt;"",IF(reading[[#This Row],[Next]]&gt;TODAY(),"OK",""),"")</f>
        <v/>
      </c>
      <c r="Z2065" s="13">
        <v>3</v>
      </c>
      <c r="AA2065" s="13">
        <v>3</v>
      </c>
      <c r="AB2065" s="13">
        <v>3</v>
      </c>
      <c r="AC2065" s="13">
        <v>2</v>
      </c>
      <c r="AD2065" s="13">
        <v>3</v>
      </c>
      <c r="AE2065" s="13">
        <v>3</v>
      </c>
      <c r="AF2065" s="13"/>
      <c r="AG2065" s="16">
        <f>IFERROR(SUMIF(reading[[#This Row],[1st]:[7th]],"&gt;0")/COUNTIF(reading[[#This Row],[1st]:[7th]],"&gt;0"),"")</f>
        <v>2.8333333333333335</v>
      </c>
    </row>
    <row r="2066" spans="1:33" x14ac:dyDescent="0.2">
      <c r="A2066" s="4">
        <f>IF(B2066=1,3,IF(D2066=1,2,IF(F2066=1,1,0)))</f>
        <v>0</v>
      </c>
      <c r="B2066" s="4" t="str">
        <f>IF(C2066=$L2066,1,IF(C2066="","",0))</f>
        <v/>
      </c>
      <c r="C2066" s="39"/>
      <c r="D2066" s="4" t="str">
        <f>IF(E2066=$L2066,1,IF(E2066="","",0))</f>
        <v/>
      </c>
      <c r="E2066" s="14"/>
      <c r="F2066" s="4" t="str">
        <f>IF(G2066=$L2066,1,IF(G2066="","",0))</f>
        <v/>
      </c>
      <c r="G2066" s="14"/>
      <c r="H2066" s="6">
        <v>1688</v>
      </c>
      <c r="I2066" s="15" t="s">
        <v>3120</v>
      </c>
      <c r="J2066" s="6" t="s">
        <v>4798</v>
      </c>
      <c r="K2066" s="6"/>
      <c r="L2066" s="6" t="s">
        <v>1768</v>
      </c>
      <c r="M2066" s="6" t="s">
        <v>7794</v>
      </c>
      <c r="N2066" s="7">
        <f ca="1">RAND()</f>
        <v>3.8872977757460458E-2</v>
      </c>
      <c r="O2066" s="8">
        <v>45210</v>
      </c>
      <c r="P2066" s="8">
        <v>45211</v>
      </c>
      <c r="Q2066" s="8">
        <v>45213</v>
      </c>
      <c r="R2066" s="8">
        <v>45217</v>
      </c>
      <c r="S2066" s="8">
        <v>45224</v>
      </c>
      <c r="T2066" s="8">
        <v>45236</v>
      </c>
      <c r="U2066" s="8"/>
      <c r="V2066" s="10">
        <f>COUNTA(O2066:U2066)</f>
        <v>6</v>
      </c>
      <c r="W2066" s="11">
        <f>_xlfn.IFNA(INDEX(reading[[#This Row],[Memo 01]:[Memo 07]],MATCH(0,reading[[#This Row],[Memo 01]:[Memo 07]],-1)),"")</f>
        <v>45236</v>
      </c>
      <c r="X2066" s="11">
        <f ca="1">IFERROR(reading[[#This Row],[Previous]]+OFFSET(reading[[#Headers],[Memo 01]],-1,MATCH(0,reading[[#This Row],[Memo 01]:[Memo 07]],-1)-1),"")</f>
        <v>45256</v>
      </c>
      <c r="Y2066" s="10" t="str">
        <f ca="1">IF(reading[[#This Row],[Next]]&lt;&gt;"",IF(reading[[#This Row],[Next]]&gt;TODAY(),"OK",""),"")</f>
        <v/>
      </c>
      <c r="Z2066" s="13">
        <v>3</v>
      </c>
      <c r="AA2066" s="13">
        <v>3</v>
      </c>
      <c r="AB2066" s="13">
        <v>3</v>
      </c>
      <c r="AC2066" s="13">
        <v>3</v>
      </c>
      <c r="AD2066" s="13">
        <v>3</v>
      </c>
      <c r="AE2066" s="13">
        <v>3</v>
      </c>
      <c r="AF2066" s="13"/>
      <c r="AG2066" s="16">
        <f>IFERROR(SUMIF(reading[[#This Row],[1st]:[7th]],"&gt;0")/COUNTIF(reading[[#This Row],[1st]:[7th]],"&gt;0"),"")</f>
        <v>3</v>
      </c>
    </row>
    <row r="2067" spans="1:33" x14ac:dyDescent="0.2">
      <c r="A2067" s="4">
        <f>IF(B2067=1,3,IF(D2067=1,2,IF(F2067=1,1,0)))</f>
        <v>0</v>
      </c>
      <c r="B2067" s="4" t="str">
        <f>IF(C2067=$L2067,1,IF(C2067="","",0))</f>
        <v/>
      </c>
      <c r="C2067" s="38"/>
      <c r="D2067" s="4" t="str">
        <f>IF(E2067=$L2067,1,IF(E2067="","",0))</f>
        <v/>
      </c>
      <c r="E2067" s="23"/>
      <c r="F2067" s="4" t="str">
        <f>IF(G2067=$L2067,1,IF(G2067="","",0))</f>
        <v/>
      </c>
      <c r="G2067" s="14"/>
      <c r="H2067" s="6">
        <v>530</v>
      </c>
      <c r="I2067" s="15" t="s">
        <v>3120</v>
      </c>
      <c r="J2067" s="6" t="s">
        <v>3675</v>
      </c>
      <c r="K2067" s="6"/>
      <c r="L2067" s="6" t="s">
        <v>658</v>
      </c>
      <c r="M2067" s="6" t="s">
        <v>6639</v>
      </c>
      <c r="N2067" s="7">
        <f ca="1">RAND()</f>
        <v>0.72604177129490355</v>
      </c>
      <c r="O2067" s="8">
        <v>45202</v>
      </c>
      <c r="P2067" s="8">
        <v>45203</v>
      </c>
      <c r="Q2067" s="8">
        <v>45205</v>
      </c>
      <c r="R2067" s="8">
        <v>45209</v>
      </c>
      <c r="S2067" s="8">
        <v>45216</v>
      </c>
      <c r="T2067" s="8">
        <v>45228</v>
      </c>
      <c r="U2067" s="8"/>
      <c r="V2067" s="10">
        <f>COUNTA(O2067:U2067)</f>
        <v>6</v>
      </c>
      <c r="W2067" s="11">
        <f>_xlfn.IFNA(INDEX(reading[[#This Row],[Memo 01]:[Memo 07]],MATCH(0,reading[[#This Row],[Memo 01]:[Memo 07]],-1)),"")</f>
        <v>45228</v>
      </c>
      <c r="X2067" s="11">
        <f ca="1">IFERROR(reading[[#This Row],[Previous]]+OFFSET(reading[[#Headers],[Memo 01]],-1,MATCH(0,reading[[#This Row],[Memo 01]:[Memo 07]],-1)-1),"")</f>
        <v>45248</v>
      </c>
      <c r="Y2067" s="10" t="str">
        <f ca="1">IF(reading[[#This Row],[Next]]&lt;&gt;"",IF(reading[[#This Row],[Next]]&gt;TODAY(),"OK",""),"")</f>
        <v/>
      </c>
      <c r="Z2067" s="13">
        <v>3</v>
      </c>
      <c r="AA2067" s="13">
        <v>3</v>
      </c>
      <c r="AB2067" s="13">
        <v>3</v>
      </c>
      <c r="AC2067" s="13">
        <v>2</v>
      </c>
      <c r="AD2067" s="13">
        <v>3</v>
      </c>
      <c r="AE2067" s="13">
        <v>3</v>
      </c>
      <c r="AF2067" s="13"/>
      <c r="AG2067" s="16">
        <f>IFERROR(SUMIF(reading[[#This Row],[1st]:[7th]],"&gt;0")/COUNTIF(reading[[#This Row],[1st]:[7th]],"&gt;0"),"")</f>
        <v>2.8333333333333335</v>
      </c>
    </row>
    <row r="2068" spans="1:33" hidden="1" x14ac:dyDescent="0.2">
      <c r="A2068" s="4">
        <f>IF(B2068=1,3,IF(D2068=1,2,IF(F2068=1,1,0)))</f>
        <v>3</v>
      </c>
      <c r="B2068" s="4">
        <f>IF(C2068=$L2068,1,IF(C2068="","",0))</f>
        <v>1</v>
      </c>
      <c r="C2068" s="34" t="s">
        <v>2143</v>
      </c>
      <c r="D2068" s="4" t="str">
        <f>IF(E2068=$L2068,1,IF(E2068="","",0))</f>
        <v/>
      </c>
      <c r="E2068" s="14"/>
      <c r="F2068" s="4" t="str">
        <f>IF(G2068=$L2068,1,IF(G2068="","",0))</f>
        <v/>
      </c>
      <c r="G2068" s="14"/>
      <c r="H2068" s="6">
        <v>2072</v>
      </c>
      <c r="I2068" s="15" t="s">
        <v>3120</v>
      </c>
      <c r="J2068" s="6" t="s">
        <v>5165</v>
      </c>
      <c r="K2068" s="6"/>
      <c r="L2068" s="6" t="s">
        <v>2143</v>
      </c>
      <c r="M2068" s="6" t="s">
        <v>8178</v>
      </c>
      <c r="N2068" s="7">
        <f ca="1">RAND()</f>
        <v>0.14427269901399842</v>
      </c>
      <c r="O2068" s="8">
        <v>45214</v>
      </c>
      <c r="P2068" s="8">
        <v>45214</v>
      </c>
      <c r="Q2068" s="8">
        <v>45214</v>
      </c>
      <c r="R2068" s="8">
        <v>45214</v>
      </c>
      <c r="S2068" s="8">
        <v>45214</v>
      </c>
      <c r="T2068" s="8">
        <v>45214</v>
      </c>
      <c r="U2068" s="8">
        <v>45214</v>
      </c>
      <c r="V2068" s="10">
        <f>COUNTA(O2068:U2068)</f>
        <v>7</v>
      </c>
      <c r="W2068" s="11">
        <f>_xlfn.IFNA(INDEX(reading[[#This Row],[Memo 01]:[Memo 07]],MATCH(0,reading[[#This Row],[Memo 01]:[Memo 07]],-1)),"")</f>
        <v>45214</v>
      </c>
      <c r="X2068" s="11">
        <f ca="1">IFERROR(reading[[#This Row],[Previous]]+OFFSET(reading[[#Headers],[Memo 01]],-1,MATCH(0,reading[[#This Row],[Memo 01]:[Memo 07]],-1)-1),"")</f>
        <v>55214</v>
      </c>
      <c r="Y2068" s="10" t="str">
        <f ca="1">IF(reading[[#This Row],[Next]]&lt;&gt;"",IF(reading[[#This Row],[Next]]&gt;TODAY(),"OK",""),"")</f>
        <v>OK</v>
      </c>
      <c r="Z2068" s="13">
        <v>3</v>
      </c>
      <c r="AA2068" s="13"/>
      <c r="AB2068" s="13"/>
      <c r="AC2068" s="13"/>
      <c r="AD2068" s="13"/>
      <c r="AE2068" s="13"/>
      <c r="AF2068" s="13"/>
      <c r="AG2068" s="16">
        <f>IFERROR(SUMIF(reading[[#This Row],[1st]:[7th]],"&gt;0")/COUNTIF(reading[[#This Row],[1st]:[7th]],"&gt;0"),"")</f>
        <v>3</v>
      </c>
    </row>
    <row r="2069" spans="1:33" x14ac:dyDescent="0.2">
      <c r="A2069" s="4">
        <f>IF(B2069=1,3,IF(D2069=1,2,IF(F2069=1,1,0)))</f>
        <v>0</v>
      </c>
      <c r="B2069" s="4" t="str">
        <f>IF(C2069=$L2069,1,IF(C2069="","",0))</f>
        <v/>
      </c>
      <c r="C2069" s="38"/>
      <c r="D2069" s="4" t="str">
        <f>IF(E2069=$L2069,1,IF(E2069="","",0))</f>
        <v/>
      </c>
      <c r="E2069" s="14"/>
      <c r="F2069" s="4" t="str">
        <f>IF(G2069=$L2069,1,IF(G2069="","",0))</f>
        <v/>
      </c>
      <c r="G2069" s="14"/>
      <c r="H2069" s="6">
        <v>2186</v>
      </c>
      <c r="I2069" s="15" t="s">
        <v>3120</v>
      </c>
      <c r="J2069" s="6" t="s">
        <v>5274</v>
      </c>
      <c r="K2069" s="6"/>
      <c r="L2069" s="6" t="s">
        <v>2251</v>
      </c>
      <c r="M2069" s="6" t="s">
        <v>8292</v>
      </c>
      <c r="N2069" s="7">
        <f ca="1">RAND()</f>
        <v>0.36181924846989177</v>
      </c>
      <c r="O2069" s="8">
        <v>45214</v>
      </c>
      <c r="P2069" s="8">
        <v>45215</v>
      </c>
      <c r="Q2069" s="8">
        <v>45217</v>
      </c>
      <c r="R2069" s="8">
        <v>45221</v>
      </c>
      <c r="S2069" s="8">
        <v>45228</v>
      </c>
      <c r="T2069" s="8"/>
      <c r="U2069" s="8"/>
      <c r="V2069" s="10">
        <f>COUNTA(O2069:U2069)</f>
        <v>5</v>
      </c>
      <c r="W2069" s="11">
        <f>_xlfn.IFNA(INDEX(reading[[#This Row],[Memo 01]:[Memo 07]],MATCH(0,reading[[#This Row],[Memo 01]:[Memo 07]],-1)),"")</f>
        <v>45228</v>
      </c>
      <c r="X2069" s="11">
        <f ca="1">IFERROR(reading[[#This Row],[Previous]]+OFFSET(reading[[#Headers],[Memo 01]],-1,MATCH(0,reading[[#This Row],[Memo 01]:[Memo 07]],-1)-1),"")</f>
        <v>45240</v>
      </c>
      <c r="Y2069" s="10" t="str">
        <f ca="1">IF(reading[[#This Row],[Next]]&lt;&gt;"",IF(reading[[#This Row],[Next]]&gt;TODAY(),"OK",""),"")</f>
        <v/>
      </c>
      <c r="Z2069" s="13">
        <v>3</v>
      </c>
      <c r="AA2069" s="13">
        <v>3</v>
      </c>
      <c r="AB2069" s="13">
        <v>3</v>
      </c>
      <c r="AC2069" s="13">
        <v>3</v>
      </c>
      <c r="AD2069" s="13">
        <v>3</v>
      </c>
      <c r="AE2069" s="13"/>
      <c r="AF2069" s="13"/>
      <c r="AG2069" s="16">
        <f>IFERROR(SUMIF(reading[[#This Row],[1st]:[7th]],"&gt;0")/COUNTIF(reading[[#This Row],[1st]:[7th]],"&gt;0"),"")</f>
        <v>3</v>
      </c>
    </row>
    <row r="2070" spans="1:33" x14ac:dyDescent="0.2">
      <c r="A2070" s="4">
        <f>IF(B2070=1,3,IF(D2070=1,2,IF(F2070=1,1,0)))</f>
        <v>0</v>
      </c>
      <c r="B2070" s="4" t="str">
        <f>IF(C2070=$L2070,1,IF(C2070="","",0))</f>
        <v/>
      </c>
      <c r="C2070" s="38"/>
      <c r="D2070" s="4" t="str">
        <f>IF(E2070=$L2070,1,IF(E2070="","",0))</f>
        <v/>
      </c>
      <c r="E2070" s="18"/>
      <c r="F2070" s="4" t="str">
        <f>IF(G2070=$L2070,1,IF(G2070="","",0))</f>
        <v/>
      </c>
      <c r="G2070" s="14"/>
      <c r="H2070" s="6">
        <v>2287</v>
      </c>
      <c r="I2070" s="15" t="s">
        <v>3120</v>
      </c>
      <c r="J2070" s="6" t="s">
        <v>5368</v>
      </c>
      <c r="K2070" s="6"/>
      <c r="L2070" s="6" t="s">
        <v>2346</v>
      </c>
      <c r="M2070" s="6" t="s">
        <v>8392</v>
      </c>
      <c r="N2070" s="7">
        <f ca="1">RAND()</f>
        <v>1.6546386532752422E-2</v>
      </c>
      <c r="O2070" s="8">
        <v>45215</v>
      </c>
      <c r="P2070" s="8">
        <v>45216</v>
      </c>
      <c r="Q2070" s="8">
        <v>45218</v>
      </c>
      <c r="R2070" s="8">
        <v>45222</v>
      </c>
      <c r="S2070" s="8">
        <v>45229</v>
      </c>
      <c r="T2070" s="8"/>
      <c r="U2070" s="8"/>
      <c r="V2070" s="10">
        <f>COUNTA(O2070:U2070)</f>
        <v>5</v>
      </c>
      <c r="W2070" s="11">
        <f>_xlfn.IFNA(INDEX(reading[[#This Row],[Memo 01]:[Memo 07]],MATCH(0,reading[[#This Row],[Memo 01]:[Memo 07]],-1)),"")</f>
        <v>45229</v>
      </c>
      <c r="X2070" s="11">
        <f ca="1">IFERROR(reading[[#This Row],[Previous]]+OFFSET(reading[[#Headers],[Memo 01]],-1,MATCH(0,reading[[#This Row],[Memo 01]:[Memo 07]],-1)-1),"")</f>
        <v>45241</v>
      </c>
      <c r="Y2070" s="10" t="str">
        <f ca="1">IF(reading[[#This Row],[Next]]&lt;&gt;"",IF(reading[[#This Row],[Next]]&gt;TODAY(),"OK",""),"")</f>
        <v/>
      </c>
      <c r="Z2070" s="13">
        <v>3</v>
      </c>
      <c r="AA2070" s="13">
        <v>3</v>
      </c>
      <c r="AB2070" s="13">
        <v>3</v>
      </c>
      <c r="AC2070" s="13">
        <v>3</v>
      </c>
      <c r="AD2070" s="13">
        <v>2</v>
      </c>
      <c r="AE2070" s="13"/>
      <c r="AF2070" s="13"/>
      <c r="AG2070" s="16">
        <f>IFERROR(SUMIF(reading[[#This Row],[1st]:[7th]],"&gt;0")/COUNTIF(reading[[#This Row],[1st]:[7th]],"&gt;0"),"")</f>
        <v>2.8</v>
      </c>
    </row>
    <row r="2071" spans="1:33" x14ac:dyDescent="0.2">
      <c r="A2071" s="4">
        <f>IF(B2071=1,3,IF(D2071=1,2,IF(F2071=1,1,0)))</f>
        <v>0</v>
      </c>
      <c r="B2071" s="4" t="str">
        <f>IF(C2071=$L2071,1,IF(C2071="","",0))</f>
        <v/>
      </c>
      <c r="C2071" s="39"/>
      <c r="D2071" s="4" t="str">
        <f>IF(E2071=$L2071,1,IF(E2071="","",0))</f>
        <v/>
      </c>
      <c r="E2071" s="14"/>
      <c r="F2071" s="4" t="str">
        <f>IF(G2071=$L2071,1,IF(G2071="","",0))</f>
        <v/>
      </c>
      <c r="G2071" s="14"/>
      <c r="H2071" s="6">
        <v>2862</v>
      </c>
      <c r="I2071" s="15" t="s">
        <v>3120</v>
      </c>
      <c r="J2071" s="6" t="s">
        <v>5901</v>
      </c>
      <c r="K2071" s="6"/>
      <c r="L2071" s="6" t="s">
        <v>2894</v>
      </c>
      <c r="M2071" s="6" t="s">
        <v>8966</v>
      </c>
      <c r="N2071" s="7">
        <f ca="1">RAND()</f>
        <v>0.15852094826905816</v>
      </c>
      <c r="O2071" s="8">
        <v>45222</v>
      </c>
      <c r="P2071" s="8">
        <v>45223</v>
      </c>
      <c r="Q2071" s="8">
        <v>45225</v>
      </c>
      <c r="R2071" s="8">
        <v>45229</v>
      </c>
      <c r="S2071" s="8">
        <v>45236</v>
      </c>
      <c r="T2071" s="8"/>
      <c r="U2071" s="8"/>
      <c r="V2071" s="10">
        <f>COUNTA(O2071:U2071)</f>
        <v>5</v>
      </c>
      <c r="W2071" s="11">
        <f>_xlfn.IFNA(INDEX(reading[[#This Row],[Memo 01]:[Memo 07]],MATCH(0,reading[[#This Row],[Memo 01]:[Memo 07]],-1)),"")</f>
        <v>45236</v>
      </c>
      <c r="X2071" s="11">
        <f ca="1">IFERROR(reading[[#This Row],[Previous]]+OFFSET(reading[[#Headers],[Memo 01]],-1,MATCH(0,reading[[#This Row],[Memo 01]:[Memo 07]],-1)-1),"")</f>
        <v>45248</v>
      </c>
      <c r="Y2071" s="10" t="str">
        <f ca="1">IF(reading[[#This Row],[Next]]&lt;&gt;"",IF(reading[[#This Row],[Next]]&gt;TODAY(),"OK",""),"")</f>
        <v/>
      </c>
      <c r="Z2071" s="13">
        <v>3</v>
      </c>
      <c r="AA2071" s="13">
        <v>3</v>
      </c>
      <c r="AB2071" s="13">
        <v>3</v>
      </c>
      <c r="AC2071" s="13">
        <v>3</v>
      </c>
      <c r="AD2071" s="13">
        <v>3</v>
      </c>
      <c r="AE2071" s="13"/>
      <c r="AF2071" s="13"/>
      <c r="AG2071" s="16">
        <f>IFERROR(SUMIF(reading[[#This Row],[1st]:[7th]],"&gt;0")/COUNTIF(reading[[#This Row],[1st]:[7th]],"&gt;0"),"")</f>
        <v>3</v>
      </c>
    </row>
    <row r="2072" spans="1:33" hidden="1" x14ac:dyDescent="0.2">
      <c r="A2072" s="4">
        <f>IF(B2072=1,3,IF(D2072=1,2,IF(F2072=1,1,0)))</f>
        <v>0</v>
      </c>
      <c r="B2072" s="4" t="str">
        <f>IF(C2072=$L2072,1,IF(C2072="","",0))</f>
        <v/>
      </c>
      <c r="C2072" s="42"/>
      <c r="D2072" s="4" t="str">
        <f>IF(E2072=$L2072,1,IF(E2072="","",0))</f>
        <v/>
      </c>
      <c r="E2072" s="23"/>
      <c r="F2072" s="4" t="str">
        <f>IF(G2072=$L2072,1,IF(G2072="","",0))</f>
        <v/>
      </c>
      <c r="G2072" s="14"/>
      <c r="H2072" s="6">
        <v>3020</v>
      </c>
      <c r="I2072" s="15" t="s">
        <v>3120</v>
      </c>
      <c r="J2072" s="6" t="s">
        <v>6043</v>
      </c>
      <c r="K2072" s="6"/>
      <c r="L2072" s="6" t="s">
        <v>3049</v>
      </c>
      <c r="M2072" s="6" t="s">
        <v>9123</v>
      </c>
      <c r="N2072" s="7">
        <f ca="1">RAND()</f>
        <v>0.19783244275523737</v>
      </c>
      <c r="O2072" s="8">
        <v>45224</v>
      </c>
      <c r="P2072" s="8">
        <v>45225</v>
      </c>
      <c r="Q2072" s="8">
        <v>45227</v>
      </c>
      <c r="R2072" s="8">
        <v>45231</v>
      </c>
      <c r="S2072" s="8">
        <v>45251</v>
      </c>
      <c r="T2072" s="8">
        <v>45816</v>
      </c>
      <c r="U2072" s="8"/>
      <c r="V2072" s="10">
        <f>COUNTA(O2072:U2072)</f>
        <v>6</v>
      </c>
      <c r="W2072" s="11">
        <f>_xlfn.IFNA(INDEX(reading[[#This Row],[Memo 01]:[Memo 07]],MATCH(0,reading[[#This Row],[Memo 01]:[Memo 07]],-1)),"")</f>
        <v>45816</v>
      </c>
      <c r="X2072" s="11">
        <f ca="1">IFERROR(reading[[#This Row],[Previous]]+OFFSET(reading[[#Headers],[Memo 01]],-1,MATCH(0,reading[[#This Row],[Memo 01]:[Memo 07]],-1)-1),"")</f>
        <v>45836</v>
      </c>
      <c r="Y2072" s="10" t="str">
        <f ca="1">IF(reading[[#This Row],[Next]]&lt;&gt;"",IF(reading[[#This Row],[Next]]&gt;TODAY(),"OK",""),"")</f>
        <v>OK</v>
      </c>
      <c r="Z2072" s="13">
        <v>3</v>
      </c>
      <c r="AA2072" s="13">
        <v>3</v>
      </c>
      <c r="AB2072" s="13">
        <v>3</v>
      </c>
      <c r="AC2072" s="13">
        <v>3</v>
      </c>
      <c r="AD2072" s="13">
        <v>3</v>
      </c>
      <c r="AE2072" s="13">
        <v>2</v>
      </c>
      <c r="AF2072" s="13"/>
      <c r="AG2072" s="16">
        <f>IFERROR(SUMIF(reading[[#This Row],[1st]:[7th]],"&gt;0")/COUNTIF(reading[[#This Row],[1st]:[7th]],"&gt;0"),"")</f>
        <v>2.8333333333333335</v>
      </c>
    </row>
    <row r="2073" spans="1:33" x14ac:dyDescent="0.2">
      <c r="A2073" s="4">
        <f>IF(B2073=1,3,IF(D2073=1,2,IF(F2073=1,1,0)))</f>
        <v>0</v>
      </c>
      <c r="B2073" s="4" t="str">
        <f>IF(C2073=$L2073,1,IF(C2073="","",0))</f>
        <v/>
      </c>
      <c r="C2073" s="41"/>
      <c r="D2073" s="4" t="str">
        <f>IF(E2073=$L2073,1,IF(E2073="","",0))</f>
        <v/>
      </c>
      <c r="E2073" s="14"/>
      <c r="F2073" s="4" t="str">
        <f>IF(G2073=$L2073,1,IF(G2073="","",0))</f>
        <v/>
      </c>
      <c r="G2073" s="14"/>
      <c r="H2073" s="6">
        <v>3065</v>
      </c>
      <c r="I2073" s="15" t="s">
        <v>3120</v>
      </c>
      <c r="J2073" s="6" t="s">
        <v>6086</v>
      </c>
      <c r="K2073" s="6"/>
      <c r="L2073" s="6" t="s">
        <v>3090</v>
      </c>
      <c r="M2073" s="6" t="s">
        <v>9168</v>
      </c>
      <c r="N2073" s="7">
        <f ca="1">RAND()</f>
        <v>0.53522596681403045</v>
      </c>
      <c r="O2073" s="8">
        <v>45224</v>
      </c>
      <c r="P2073" s="8">
        <v>45225</v>
      </c>
      <c r="Q2073" s="8">
        <v>45227</v>
      </c>
      <c r="R2073" s="8">
        <v>45231</v>
      </c>
      <c r="S2073" s="8">
        <v>45250</v>
      </c>
      <c r="T2073" s="8"/>
      <c r="U2073" s="8"/>
      <c r="V2073" s="10">
        <f>COUNTA(O2073:U2073)</f>
        <v>5</v>
      </c>
      <c r="W2073" s="11">
        <f>_xlfn.IFNA(INDEX(reading[[#This Row],[Memo 01]:[Memo 07]],MATCH(0,reading[[#This Row],[Memo 01]:[Memo 07]],-1)),"")</f>
        <v>45250</v>
      </c>
      <c r="X2073" s="11">
        <f ca="1">IFERROR(reading[[#This Row],[Previous]]+OFFSET(reading[[#Headers],[Memo 01]],-1,MATCH(0,reading[[#This Row],[Memo 01]:[Memo 07]],-1)-1),"")</f>
        <v>45262</v>
      </c>
      <c r="Y2073" s="10" t="str">
        <f ca="1">IF(reading[[#This Row],[Next]]&lt;&gt;"",IF(reading[[#This Row],[Next]]&gt;TODAY(),"OK",""),"")</f>
        <v/>
      </c>
      <c r="Z2073" s="13">
        <v>3</v>
      </c>
      <c r="AA2073" s="13">
        <v>3</v>
      </c>
      <c r="AB2073" s="13">
        <v>3</v>
      </c>
      <c r="AC2073" s="13">
        <v>3</v>
      </c>
      <c r="AD2073" s="13">
        <v>2</v>
      </c>
      <c r="AE2073" s="13"/>
      <c r="AF2073" s="13"/>
      <c r="AG2073" s="16">
        <f>IFERROR(SUMIF(reading[[#This Row],[1st]:[7th]],"&gt;0")/COUNTIF(reading[[#This Row],[1st]:[7th]],"&gt;0"),"")</f>
        <v>2.8</v>
      </c>
    </row>
    <row r="2074" spans="1:33" hidden="1" x14ac:dyDescent="0.2">
      <c r="A2074" s="4">
        <f>IF(B2074=1,3,IF(D2074=1,2,IF(F2074=1,1,0)))</f>
        <v>3</v>
      </c>
      <c r="B2074" s="4">
        <f>IF(C2074=$L2074,1,IF(C2074="","",0))</f>
        <v>1</v>
      </c>
      <c r="C2074" s="34" t="s">
        <v>2149</v>
      </c>
      <c r="D2074" s="4" t="str">
        <f>IF(E2074=$L2074,1,IF(E2074="","",0))</f>
        <v/>
      </c>
      <c r="E2074" s="14"/>
      <c r="F2074" s="4" t="str">
        <f>IF(G2074=$L2074,1,IF(G2074="","",0))</f>
        <v/>
      </c>
      <c r="G2074" s="14"/>
      <c r="H2074" s="6">
        <v>2078</v>
      </c>
      <c r="I2074" s="15" t="s">
        <v>3120</v>
      </c>
      <c r="J2074" s="6" t="s">
        <v>5171</v>
      </c>
      <c r="K2074" s="6"/>
      <c r="L2074" s="6" t="s">
        <v>2149</v>
      </c>
      <c r="M2074" s="6" t="s">
        <v>8184</v>
      </c>
      <c r="N2074" s="7">
        <f ca="1">RAND()</f>
        <v>0.97995906974993952</v>
      </c>
      <c r="O2074" s="8">
        <v>45214</v>
      </c>
      <c r="P2074" s="8">
        <v>45214</v>
      </c>
      <c r="Q2074" s="8">
        <v>45214</v>
      </c>
      <c r="R2074" s="8">
        <v>45214</v>
      </c>
      <c r="S2074" s="8">
        <v>45214</v>
      </c>
      <c r="T2074" s="8">
        <v>45214</v>
      </c>
      <c r="U2074" s="8">
        <v>45214</v>
      </c>
      <c r="V2074" s="10">
        <f>COUNTA(O2074:U2074)</f>
        <v>7</v>
      </c>
      <c r="W2074" s="11">
        <f>_xlfn.IFNA(INDEX(reading[[#This Row],[Memo 01]:[Memo 07]],MATCH(0,reading[[#This Row],[Memo 01]:[Memo 07]],-1)),"")</f>
        <v>45214</v>
      </c>
      <c r="X2074" s="11">
        <f ca="1">IFERROR(reading[[#This Row],[Previous]]+OFFSET(reading[[#Headers],[Memo 01]],-1,MATCH(0,reading[[#This Row],[Memo 01]:[Memo 07]],-1)-1),"")</f>
        <v>55214</v>
      </c>
      <c r="Y2074" s="10" t="str">
        <f ca="1">IF(reading[[#This Row],[Next]]&lt;&gt;"",IF(reading[[#This Row],[Next]]&gt;TODAY(),"OK",""),"")</f>
        <v>OK</v>
      </c>
      <c r="Z2074" s="13">
        <v>3</v>
      </c>
      <c r="AA2074" s="13"/>
      <c r="AB2074" s="13"/>
      <c r="AC2074" s="13"/>
      <c r="AD2074" s="13"/>
      <c r="AE2074" s="13"/>
      <c r="AF2074" s="13"/>
      <c r="AG2074" s="16">
        <f>IFERROR(SUMIF(reading[[#This Row],[1st]:[7th]],"&gt;0")/COUNTIF(reading[[#This Row],[1st]:[7th]],"&gt;0"),"")</f>
        <v>3</v>
      </c>
    </row>
    <row r="2075" spans="1:33" x14ac:dyDescent="0.2">
      <c r="A2075" s="4">
        <f>IF(B2075=1,3,IF(D2075=1,2,IF(F2075=1,1,0)))</f>
        <v>0</v>
      </c>
      <c r="B2075" s="4" t="str">
        <f>IF(C2075=$L2075,1,IF(C2075="","",0))</f>
        <v/>
      </c>
      <c r="C2075" s="39"/>
      <c r="D2075" s="4" t="str">
        <f>IF(E2075=$L2075,1,IF(E2075="","",0))</f>
        <v/>
      </c>
      <c r="E2075" s="14"/>
      <c r="F2075" s="4" t="str">
        <f>IF(G2075=$L2075,1,IF(G2075="","",0))</f>
        <v/>
      </c>
      <c r="G2075" s="14"/>
      <c r="H2075" s="6">
        <v>2700</v>
      </c>
      <c r="I2075" s="15" t="s">
        <v>3120</v>
      </c>
      <c r="J2075" s="6" t="s">
        <v>5750</v>
      </c>
      <c r="K2075" s="6"/>
      <c r="L2075" s="6" t="s">
        <v>2739</v>
      </c>
      <c r="M2075" s="6" t="s">
        <v>8805</v>
      </c>
      <c r="N2075" s="7">
        <f ca="1">RAND()</f>
        <v>0.64076718677323274</v>
      </c>
      <c r="O2075" s="8">
        <v>45220</v>
      </c>
      <c r="P2075" s="8">
        <v>45221</v>
      </c>
      <c r="Q2075" s="8">
        <v>45223</v>
      </c>
      <c r="R2075" s="8">
        <v>45227</v>
      </c>
      <c r="S2075" s="8">
        <v>45234</v>
      </c>
      <c r="T2075" s="8"/>
      <c r="U2075" s="8"/>
      <c r="V2075" s="10">
        <f>COUNTA(O2075:U2075)</f>
        <v>5</v>
      </c>
      <c r="W2075" s="11">
        <f>_xlfn.IFNA(INDEX(reading[[#This Row],[Memo 01]:[Memo 07]],MATCH(0,reading[[#This Row],[Memo 01]:[Memo 07]],-1)),"")</f>
        <v>45234</v>
      </c>
      <c r="X2075" s="11">
        <f ca="1">IFERROR(reading[[#This Row],[Previous]]+OFFSET(reading[[#Headers],[Memo 01]],-1,MATCH(0,reading[[#This Row],[Memo 01]:[Memo 07]],-1)-1),"")</f>
        <v>45246</v>
      </c>
      <c r="Y2075" s="10" t="str">
        <f ca="1">IF(reading[[#This Row],[Next]]&lt;&gt;"",IF(reading[[#This Row],[Next]]&gt;TODAY(),"OK",""),"")</f>
        <v/>
      </c>
      <c r="Z2075" s="13">
        <v>3</v>
      </c>
      <c r="AA2075" s="13">
        <v>3</v>
      </c>
      <c r="AB2075" s="13">
        <v>3</v>
      </c>
      <c r="AC2075" s="13">
        <v>3</v>
      </c>
      <c r="AD2075" s="13">
        <v>3</v>
      </c>
      <c r="AE2075" s="13"/>
      <c r="AF2075" s="13"/>
      <c r="AG2075" s="16">
        <f>IFERROR(SUMIF(reading[[#This Row],[1st]:[7th]],"&gt;0")/COUNTIF(reading[[#This Row],[1st]:[7th]],"&gt;0"),"")</f>
        <v>3</v>
      </c>
    </row>
    <row r="2076" spans="1:33" x14ac:dyDescent="0.2">
      <c r="A2076" s="4">
        <f>IF(B2076=1,3,IF(D2076=1,2,IF(F2076=1,1,0)))</f>
        <v>0</v>
      </c>
      <c r="B2076" s="4" t="str">
        <f>IF(C2076=$L2076,1,IF(C2076="","",0))</f>
        <v/>
      </c>
      <c r="C2076" s="41"/>
      <c r="D2076" s="4" t="str">
        <f>IF(E2076=$L2076,1,IF(E2076="","",0))</f>
        <v/>
      </c>
      <c r="E2076" s="18"/>
      <c r="F2076" s="4" t="str">
        <f>IF(G2076=$L2076,1,IF(G2076="","",0))</f>
        <v/>
      </c>
      <c r="G2076" s="14"/>
      <c r="H2076" s="6">
        <v>1846</v>
      </c>
      <c r="I2076" s="15" t="s">
        <v>3120</v>
      </c>
      <c r="J2076" s="6" t="s">
        <v>3236</v>
      </c>
      <c r="K2076" s="15" t="s">
        <v>3138</v>
      </c>
      <c r="L2076" s="6" t="s">
        <v>1924</v>
      </c>
      <c r="M2076" s="6" t="s">
        <v>7952</v>
      </c>
      <c r="N2076" s="7">
        <f ca="1">RAND()</f>
        <v>0.26753015631230914</v>
      </c>
      <c r="O2076" s="8">
        <v>45212</v>
      </c>
      <c r="P2076" s="8">
        <v>45213</v>
      </c>
      <c r="Q2076" s="8">
        <v>45215</v>
      </c>
      <c r="R2076" s="8">
        <v>45219</v>
      </c>
      <c r="S2076" s="8">
        <v>45226</v>
      </c>
      <c r="T2076" s="8">
        <v>45248</v>
      </c>
      <c r="U2076" s="8"/>
      <c r="V2076" s="10">
        <f>COUNTA(O2076:U2076)</f>
        <v>6</v>
      </c>
      <c r="W2076" s="11">
        <f>_xlfn.IFNA(INDEX(reading[[#This Row],[Memo 01]:[Memo 07]],MATCH(0,reading[[#This Row],[Memo 01]:[Memo 07]],-1)),"")</f>
        <v>45248</v>
      </c>
      <c r="X2076" s="11">
        <f ca="1">IFERROR(reading[[#This Row],[Previous]]+OFFSET(reading[[#Headers],[Memo 01]],-1,MATCH(0,reading[[#This Row],[Memo 01]:[Memo 07]],-1)-1),"")</f>
        <v>45268</v>
      </c>
      <c r="Y2076" s="10" t="str">
        <f ca="1">IF(reading[[#This Row],[Next]]&lt;&gt;"",IF(reading[[#This Row],[Next]]&gt;TODAY(),"OK",""),"")</f>
        <v/>
      </c>
      <c r="Z2076" s="13">
        <v>3</v>
      </c>
      <c r="AA2076" s="13">
        <v>2</v>
      </c>
      <c r="AB2076" s="13">
        <v>2</v>
      </c>
      <c r="AC2076" s="13">
        <v>3</v>
      </c>
      <c r="AD2076" s="13">
        <v>2</v>
      </c>
      <c r="AE2076" s="13">
        <v>3</v>
      </c>
      <c r="AF2076" s="13"/>
      <c r="AG2076" s="16">
        <f>IFERROR(SUMIF(reading[[#This Row],[1st]:[7th]],"&gt;0")/COUNTIF(reading[[#This Row],[1st]:[7th]],"&gt;0"),"")</f>
        <v>2.5</v>
      </c>
    </row>
    <row r="2077" spans="1:33" x14ac:dyDescent="0.2">
      <c r="A2077" s="4">
        <f>IF(B2077=1,3,IF(D2077=1,2,IF(F2077=1,1,0)))</f>
        <v>0</v>
      </c>
      <c r="B2077" s="4" t="str">
        <f>IF(C2077=$L2077,1,IF(C2077="","",0))</f>
        <v/>
      </c>
      <c r="C2077" s="39"/>
      <c r="D2077" s="4" t="str">
        <f>IF(E2077=$L2077,1,IF(E2077="","",0))</f>
        <v/>
      </c>
      <c r="E2077" s="14"/>
      <c r="F2077" s="4" t="str">
        <f>IF(G2077=$L2077,1,IF(G2077="","",0))</f>
        <v/>
      </c>
      <c r="G2077" s="14"/>
      <c r="H2077" s="6">
        <v>2347</v>
      </c>
      <c r="I2077" s="15" t="s">
        <v>3120</v>
      </c>
      <c r="J2077" s="6" t="s">
        <v>5424</v>
      </c>
      <c r="K2077" s="6"/>
      <c r="L2077" s="6" t="s">
        <v>2400</v>
      </c>
      <c r="M2077" s="6" t="s">
        <v>8452</v>
      </c>
      <c r="N2077" s="7">
        <f ca="1">RAND()</f>
        <v>0.65306478145102653</v>
      </c>
      <c r="O2077" s="8">
        <v>45216</v>
      </c>
      <c r="P2077" s="8">
        <v>45217</v>
      </c>
      <c r="Q2077" s="8">
        <v>45219</v>
      </c>
      <c r="R2077" s="8">
        <v>45223</v>
      </c>
      <c r="S2077" s="8">
        <v>45230</v>
      </c>
      <c r="T2077" s="8"/>
      <c r="U2077" s="8"/>
      <c r="V2077" s="10">
        <f>COUNTA(O2077:U2077)</f>
        <v>5</v>
      </c>
      <c r="W2077" s="11">
        <f>_xlfn.IFNA(INDEX(reading[[#This Row],[Memo 01]:[Memo 07]],MATCH(0,reading[[#This Row],[Memo 01]:[Memo 07]],-1)),"")</f>
        <v>45230</v>
      </c>
      <c r="X2077" s="11">
        <f ca="1">IFERROR(reading[[#This Row],[Previous]]+OFFSET(reading[[#Headers],[Memo 01]],-1,MATCH(0,reading[[#This Row],[Memo 01]:[Memo 07]],-1)-1),"")</f>
        <v>45242</v>
      </c>
      <c r="Y2077" s="10" t="str">
        <f ca="1">IF(reading[[#This Row],[Next]]&lt;&gt;"",IF(reading[[#This Row],[Next]]&gt;TODAY(),"OK",""),"")</f>
        <v/>
      </c>
      <c r="Z2077" s="13">
        <v>3</v>
      </c>
      <c r="AA2077" s="13">
        <v>3</v>
      </c>
      <c r="AB2077" s="13">
        <v>3</v>
      </c>
      <c r="AC2077" s="13">
        <v>3</v>
      </c>
      <c r="AD2077" s="13">
        <v>3</v>
      </c>
      <c r="AE2077" s="13"/>
      <c r="AF2077" s="13"/>
      <c r="AG2077" s="16">
        <f>IFERROR(SUMIF(reading[[#This Row],[1st]:[7th]],"&gt;0")/COUNTIF(reading[[#This Row],[1st]:[7th]],"&gt;0"),"")</f>
        <v>3</v>
      </c>
    </row>
    <row r="2078" spans="1:33" hidden="1" x14ac:dyDescent="0.2">
      <c r="A2078" s="4">
        <f>IF(B2078=1,3,IF(D2078=1,2,IF(F2078=1,1,0)))</f>
        <v>3</v>
      </c>
      <c r="B2078" s="4">
        <f>IF(C2078=$L2078,1,IF(C2078="","",0))</f>
        <v>1</v>
      </c>
      <c r="C2078" s="34" t="s">
        <v>2153</v>
      </c>
      <c r="D2078" s="4" t="str">
        <f>IF(E2078=$L2078,1,IF(E2078="","",0))</f>
        <v/>
      </c>
      <c r="E2078" s="14"/>
      <c r="F2078" s="4" t="str">
        <f>IF(G2078=$L2078,1,IF(G2078="","",0))</f>
        <v/>
      </c>
      <c r="G2078" s="14"/>
      <c r="H2078" s="6">
        <v>2082</v>
      </c>
      <c r="I2078" s="15" t="s">
        <v>3120</v>
      </c>
      <c r="J2078" s="6" t="s">
        <v>5173</v>
      </c>
      <c r="K2078" s="6"/>
      <c r="L2078" s="6" t="s">
        <v>2153</v>
      </c>
      <c r="M2078" s="6" t="s">
        <v>8188</v>
      </c>
      <c r="N2078" s="7">
        <f ca="1">RAND()</f>
        <v>0.13634894629034922</v>
      </c>
      <c r="O2078" s="8">
        <v>45214</v>
      </c>
      <c r="P2078" s="8">
        <v>45214</v>
      </c>
      <c r="Q2078" s="8">
        <v>45214</v>
      </c>
      <c r="R2078" s="8">
        <v>45214</v>
      </c>
      <c r="S2078" s="8">
        <v>45214</v>
      </c>
      <c r="T2078" s="8">
        <v>45214</v>
      </c>
      <c r="U2078" s="8">
        <v>45214</v>
      </c>
      <c r="V2078" s="10">
        <f>COUNTA(O2078:U2078)</f>
        <v>7</v>
      </c>
      <c r="W2078" s="11">
        <f>_xlfn.IFNA(INDEX(reading[[#This Row],[Memo 01]:[Memo 07]],MATCH(0,reading[[#This Row],[Memo 01]:[Memo 07]],-1)),"")</f>
        <v>45214</v>
      </c>
      <c r="X2078" s="11">
        <f ca="1">IFERROR(reading[[#This Row],[Previous]]+OFFSET(reading[[#Headers],[Memo 01]],-1,MATCH(0,reading[[#This Row],[Memo 01]:[Memo 07]],-1)-1),"")</f>
        <v>55214</v>
      </c>
      <c r="Y2078" s="10" t="str">
        <f ca="1">IF(reading[[#This Row],[Next]]&lt;&gt;"",IF(reading[[#This Row],[Next]]&gt;TODAY(),"OK",""),"")</f>
        <v>OK</v>
      </c>
      <c r="Z2078" s="13">
        <v>3</v>
      </c>
      <c r="AA2078" s="13"/>
      <c r="AB2078" s="13"/>
      <c r="AC2078" s="13"/>
      <c r="AD2078" s="13"/>
      <c r="AE2078" s="13"/>
      <c r="AF2078" s="13"/>
      <c r="AG2078" s="16">
        <f>IFERROR(SUMIF(reading[[#This Row],[1st]:[7th]],"&gt;0")/COUNTIF(reading[[#This Row],[1st]:[7th]],"&gt;0"),"")</f>
        <v>3</v>
      </c>
    </row>
    <row r="2079" spans="1:33" x14ac:dyDescent="0.2">
      <c r="A2079" s="4">
        <f>IF(B2079=1,3,IF(D2079=1,2,IF(F2079=1,1,0)))</f>
        <v>0</v>
      </c>
      <c r="B2079" s="4" t="str">
        <f>IF(C2079=$L2079,1,IF(C2079="","",0))</f>
        <v/>
      </c>
      <c r="C2079" s="39"/>
      <c r="D2079" s="4" t="str">
        <f>IF(E2079=$L2079,1,IF(E2079="","",0))</f>
        <v/>
      </c>
      <c r="E2079" s="18"/>
      <c r="F2079" s="4" t="str">
        <f>IF(G2079=$L2079,1,IF(G2079="","",0))</f>
        <v/>
      </c>
      <c r="G2079" s="14"/>
      <c r="H2079" s="6">
        <v>896</v>
      </c>
      <c r="I2079" s="15" t="s">
        <v>3120</v>
      </c>
      <c r="J2079" s="6" t="s">
        <v>4028</v>
      </c>
      <c r="K2079" s="6"/>
      <c r="L2079" s="6" t="s">
        <v>1009</v>
      </c>
      <c r="M2079" s="6" t="s">
        <v>7005</v>
      </c>
      <c r="N2079" s="7">
        <f ca="1">RAND()</f>
        <v>0.4939427749561488</v>
      </c>
      <c r="O2079" s="8">
        <v>45204</v>
      </c>
      <c r="P2079" s="8">
        <v>45205</v>
      </c>
      <c r="Q2079" s="8">
        <v>45207</v>
      </c>
      <c r="R2079" s="8">
        <v>45211</v>
      </c>
      <c r="S2079" s="8">
        <v>45218</v>
      </c>
      <c r="T2079" s="8">
        <v>45230</v>
      </c>
      <c r="U2079" s="8"/>
      <c r="V2079" s="10">
        <f>COUNTA(O2079:U2079)</f>
        <v>6</v>
      </c>
      <c r="W2079" s="11">
        <f>_xlfn.IFNA(INDEX(reading[[#This Row],[Memo 01]:[Memo 07]],MATCH(0,reading[[#This Row],[Memo 01]:[Memo 07]],-1)),"")</f>
        <v>45230</v>
      </c>
      <c r="X2079" s="11">
        <f ca="1">IFERROR(reading[[#This Row],[Previous]]+OFFSET(reading[[#Headers],[Memo 01]],-1,MATCH(0,reading[[#This Row],[Memo 01]:[Memo 07]],-1)-1),"")</f>
        <v>45250</v>
      </c>
      <c r="Y2079" s="10" t="str">
        <f ca="1">IF(reading[[#This Row],[Next]]&lt;&gt;"",IF(reading[[#This Row],[Next]]&gt;TODAY(),"OK",""),"")</f>
        <v/>
      </c>
      <c r="Z2079" s="13">
        <v>3</v>
      </c>
      <c r="AA2079" s="13">
        <v>3</v>
      </c>
      <c r="AB2079" s="13">
        <v>3</v>
      </c>
      <c r="AC2079" s="13">
        <v>3</v>
      </c>
      <c r="AD2079" s="13">
        <v>2</v>
      </c>
      <c r="AE2079" s="13">
        <v>3</v>
      </c>
      <c r="AF2079" s="13"/>
      <c r="AG2079" s="16">
        <f>IFERROR(SUMIF(reading[[#This Row],[1st]:[7th]],"&gt;0")/COUNTIF(reading[[#This Row],[1st]:[7th]],"&gt;0"),"")</f>
        <v>2.8333333333333335</v>
      </c>
    </row>
    <row r="2080" spans="1:33" x14ac:dyDescent="0.2">
      <c r="A2080" s="4">
        <f>IF(B2080=1,3,IF(D2080=1,2,IF(F2080=1,1,0)))</f>
        <v>0</v>
      </c>
      <c r="B2080" s="4" t="str">
        <f>IF(C2080=$L2080,1,IF(C2080="","",0))</f>
        <v/>
      </c>
      <c r="C2080" s="38"/>
      <c r="D2080" s="4" t="str">
        <f>IF(E2080=$L2080,1,IF(E2080="","",0))</f>
        <v/>
      </c>
      <c r="E2080" s="23"/>
      <c r="F2080" s="4" t="str">
        <f>IF(G2080=$L2080,1,IF(G2080="","",0))</f>
        <v/>
      </c>
      <c r="G2080" s="14"/>
      <c r="H2080" s="6">
        <v>774</v>
      </c>
      <c r="I2080" s="15" t="s">
        <v>3120</v>
      </c>
      <c r="J2080" s="6" t="s">
        <v>3909</v>
      </c>
      <c r="K2080" s="6"/>
      <c r="L2080" s="6" t="s">
        <v>893</v>
      </c>
      <c r="M2080" s="6" t="s">
        <v>6883</v>
      </c>
      <c r="N2080" s="7">
        <f ca="1">RAND()</f>
        <v>0.78353088866344167</v>
      </c>
      <c r="O2080" s="8">
        <v>45203</v>
      </c>
      <c r="P2080" s="8">
        <v>45204</v>
      </c>
      <c r="Q2080" s="8">
        <v>45206</v>
      </c>
      <c r="R2080" s="8">
        <v>45210</v>
      </c>
      <c r="S2080" s="8">
        <v>45217</v>
      </c>
      <c r="T2080" s="8">
        <v>45229</v>
      </c>
      <c r="U2080" s="8"/>
      <c r="V2080" s="10">
        <f>COUNTA(O2080:U2080)</f>
        <v>6</v>
      </c>
      <c r="W2080" s="11">
        <f>_xlfn.IFNA(INDEX(reading[[#This Row],[Memo 01]:[Memo 07]],MATCH(0,reading[[#This Row],[Memo 01]:[Memo 07]],-1)),"")</f>
        <v>45229</v>
      </c>
      <c r="X2080" s="11">
        <f ca="1">IFERROR(reading[[#This Row],[Previous]]+OFFSET(reading[[#Headers],[Memo 01]],-1,MATCH(0,reading[[#This Row],[Memo 01]:[Memo 07]],-1)-1),"")</f>
        <v>45249</v>
      </c>
      <c r="Y2080" s="10" t="str">
        <f ca="1">IF(reading[[#This Row],[Next]]&lt;&gt;"",IF(reading[[#This Row],[Next]]&gt;TODAY(),"OK",""),"")</f>
        <v/>
      </c>
      <c r="Z2080" s="13">
        <v>3</v>
      </c>
      <c r="AA2080" s="13">
        <v>3</v>
      </c>
      <c r="AB2080" s="13">
        <v>2</v>
      </c>
      <c r="AC2080" s="13">
        <v>3</v>
      </c>
      <c r="AD2080" s="13">
        <v>3</v>
      </c>
      <c r="AE2080" s="13">
        <v>3</v>
      </c>
      <c r="AF2080" s="13"/>
      <c r="AG2080" s="16">
        <f>IFERROR(SUMIF(reading[[#This Row],[1st]:[7th]],"&gt;0")/COUNTIF(reading[[#This Row],[1st]:[7th]],"&gt;0"),"")</f>
        <v>2.8333333333333335</v>
      </c>
    </row>
    <row r="2081" spans="1:33" hidden="1" x14ac:dyDescent="0.2">
      <c r="A2081" s="4">
        <f>IF(B2081=1,3,IF(D2081=1,2,IF(F2081=1,1,0)))</f>
        <v>0</v>
      </c>
      <c r="B2081" s="4" t="str">
        <f>IF(C2081=$L2081,1,IF(C2081="","",0))</f>
        <v/>
      </c>
      <c r="C2081" s="42"/>
      <c r="D2081" s="4" t="str">
        <f>IF(E2081=$L2081,1,IF(E2081="","",0))</f>
        <v/>
      </c>
      <c r="E2081" s="23"/>
      <c r="F2081" s="4" t="str">
        <f>IF(G2081=$L2081,1,IF(G2081="","",0))</f>
        <v/>
      </c>
      <c r="G2081" s="23"/>
      <c r="H2081" s="6">
        <v>2972</v>
      </c>
      <c r="I2081" s="15" t="s">
        <v>3120</v>
      </c>
      <c r="J2081" s="6" t="s">
        <v>6002</v>
      </c>
      <c r="K2081" s="6"/>
      <c r="L2081" s="6" t="s">
        <v>3001</v>
      </c>
      <c r="M2081" s="6" t="s">
        <v>9076</v>
      </c>
      <c r="N2081" s="7">
        <f ca="1">RAND()</f>
        <v>0.57677208495986276</v>
      </c>
      <c r="O2081" s="8">
        <v>45223</v>
      </c>
      <c r="P2081" s="8">
        <v>45224</v>
      </c>
      <c r="Q2081" s="8">
        <v>45226</v>
      </c>
      <c r="R2081" s="8">
        <v>45230</v>
      </c>
      <c r="S2081" s="8">
        <v>45237</v>
      </c>
      <c r="T2081" s="8">
        <v>45825</v>
      </c>
      <c r="U2081" s="8"/>
      <c r="V2081" s="10">
        <f>COUNTA(O2081:U2081)</f>
        <v>6</v>
      </c>
      <c r="W2081" s="11">
        <f>_xlfn.IFNA(INDEX(reading[[#This Row],[Memo 01]:[Memo 07]],MATCH(0,reading[[#This Row],[Memo 01]:[Memo 07]],-1)),"")</f>
        <v>45825</v>
      </c>
      <c r="X2081" s="11">
        <f ca="1">IFERROR(reading[[#This Row],[Previous]]+OFFSET(reading[[#Headers],[Memo 01]],-1,MATCH(0,reading[[#This Row],[Memo 01]:[Memo 07]],-1)-1),"")</f>
        <v>45845</v>
      </c>
      <c r="Y2081" s="10" t="str">
        <f ca="1">IF(reading[[#This Row],[Next]]&lt;&gt;"",IF(reading[[#This Row],[Next]]&gt;TODAY(),"OK",""),"")</f>
        <v>OK</v>
      </c>
      <c r="Z2081" s="13">
        <v>3</v>
      </c>
      <c r="AA2081" s="13">
        <v>3</v>
      </c>
      <c r="AB2081" s="13">
        <v>3</v>
      </c>
      <c r="AC2081" s="13">
        <v>3</v>
      </c>
      <c r="AD2081" s="13">
        <v>3</v>
      </c>
      <c r="AE2081" s="13">
        <v>1</v>
      </c>
      <c r="AF2081" s="13"/>
      <c r="AG2081" s="16">
        <f>IFERROR(SUMIF(reading[[#This Row],[1st]:[7th]],"&gt;0")/COUNTIF(reading[[#This Row],[1st]:[7th]],"&gt;0"),"")</f>
        <v>2.6666666666666665</v>
      </c>
    </row>
    <row r="2082" spans="1:33" hidden="1" x14ac:dyDescent="0.2">
      <c r="A2082" s="4">
        <f>IF(B2082=1,3,IF(D2082=1,2,IF(F2082=1,1,0)))</f>
        <v>0</v>
      </c>
      <c r="B2082" s="4" t="str">
        <f>IF(C2082=$L2082,1,IF(C2082="","",0))</f>
        <v/>
      </c>
      <c r="C2082" s="42"/>
      <c r="D2082" s="4" t="str">
        <f>IF(E2082=$L2082,1,IF(E2082="","",0))</f>
        <v/>
      </c>
      <c r="E2082" s="23"/>
      <c r="F2082" s="4" t="str">
        <f>IF(G2082=$L2082,1,IF(G2082="","",0))</f>
        <v/>
      </c>
      <c r="G2082" s="14"/>
      <c r="H2082" s="6">
        <v>2713</v>
      </c>
      <c r="I2082" s="15" t="s">
        <v>3120</v>
      </c>
      <c r="J2082" s="6" t="s">
        <v>5763</v>
      </c>
      <c r="K2082" s="6"/>
      <c r="L2082" s="6" t="s">
        <v>98</v>
      </c>
      <c r="M2082" s="6" t="s">
        <v>8818</v>
      </c>
      <c r="N2082" s="7">
        <f ca="1">RAND()</f>
        <v>4.8682820237259561E-2</v>
      </c>
      <c r="O2082" s="8">
        <v>45221</v>
      </c>
      <c r="P2082" s="8">
        <v>45222</v>
      </c>
      <c r="Q2082" s="8">
        <v>45224</v>
      </c>
      <c r="R2082" s="8">
        <v>45228</v>
      </c>
      <c r="S2082" s="8">
        <v>45235</v>
      </c>
      <c r="T2082" s="8">
        <v>45825</v>
      </c>
      <c r="U2082" s="8"/>
      <c r="V2082" s="10">
        <f>COUNTA(O2082:U2082)</f>
        <v>6</v>
      </c>
      <c r="W2082" s="11">
        <f>_xlfn.IFNA(INDEX(reading[[#This Row],[Memo 01]:[Memo 07]],MATCH(0,reading[[#This Row],[Memo 01]:[Memo 07]],-1)),"")</f>
        <v>45825</v>
      </c>
      <c r="X2082" s="11">
        <f ca="1">IFERROR(reading[[#This Row],[Previous]]+OFFSET(reading[[#Headers],[Memo 01]],-1,MATCH(0,reading[[#This Row],[Memo 01]:[Memo 07]],-1)-1),"")</f>
        <v>45845</v>
      </c>
      <c r="Y2082" s="10" t="str">
        <f ca="1">IF(reading[[#This Row],[Next]]&lt;&gt;"",IF(reading[[#This Row],[Next]]&gt;TODAY(),"OK",""),"")</f>
        <v>OK</v>
      </c>
      <c r="Z2082" s="13">
        <v>3</v>
      </c>
      <c r="AA2082" s="13">
        <v>3</v>
      </c>
      <c r="AB2082" s="13">
        <v>3</v>
      </c>
      <c r="AC2082" s="13">
        <v>2</v>
      </c>
      <c r="AD2082" s="13">
        <v>3</v>
      </c>
      <c r="AE2082" s="13">
        <v>2</v>
      </c>
      <c r="AF2082" s="13"/>
      <c r="AG2082" s="16">
        <f>IFERROR(SUMIF(reading[[#This Row],[1st]:[7th]],"&gt;0")/COUNTIF(reading[[#This Row],[1st]:[7th]],"&gt;0"),"")</f>
        <v>2.6666666666666665</v>
      </c>
    </row>
    <row r="2083" spans="1:33" hidden="1" x14ac:dyDescent="0.2">
      <c r="A2083" s="4">
        <f>IF(B2083=1,3,IF(D2083=1,2,IF(F2083=1,1,0)))</f>
        <v>0</v>
      </c>
      <c r="B2083" s="4" t="str">
        <f>IF(C2083=$L2083,1,IF(C2083="","",0))</f>
        <v/>
      </c>
      <c r="C2083" s="42"/>
      <c r="D2083" s="4" t="str">
        <f>IF(E2083=$L2083,1,IF(E2083="","",0))</f>
        <v/>
      </c>
      <c r="E2083" s="23"/>
      <c r="F2083" s="4" t="str">
        <f>IF(G2083=$L2083,1,IF(G2083="","",0))</f>
        <v/>
      </c>
      <c r="G2083" s="14"/>
      <c r="H2083" s="6">
        <v>1643</v>
      </c>
      <c r="I2083" s="15" t="s">
        <v>3120</v>
      </c>
      <c r="J2083" s="6" t="s">
        <v>4755</v>
      </c>
      <c r="K2083" s="6"/>
      <c r="L2083" s="6" t="s">
        <v>1725</v>
      </c>
      <c r="M2083" s="6" t="s">
        <v>7749</v>
      </c>
      <c r="N2083" s="7">
        <f ca="1">RAND()</f>
        <v>0.58771316306723076</v>
      </c>
      <c r="O2083" s="8">
        <v>45212</v>
      </c>
      <c r="P2083" s="8">
        <v>45213</v>
      </c>
      <c r="Q2083" s="8">
        <v>45215</v>
      </c>
      <c r="R2083" s="8">
        <v>45219</v>
      </c>
      <c r="S2083" s="8">
        <v>45226</v>
      </c>
      <c r="T2083" s="8">
        <v>45801</v>
      </c>
      <c r="U2083" s="8">
        <v>45825</v>
      </c>
      <c r="V2083" s="10">
        <f>COUNTA(O2083:U2083)</f>
        <v>7</v>
      </c>
      <c r="W2083" s="11">
        <f>_xlfn.IFNA(INDEX(reading[[#This Row],[Memo 01]:[Memo 07]],MATCH(0,reading[[#This Row],[Memo 01]:[Memo 07]],-1)),"")</f>
        <v>45825</v>
      </c>
      <c r="X2083" s="11">
        <f ca="1">IFERROR(reading[[#This Row],[Previous]]+OFFSET(reading[[#Headers],[Memo 01]],-1,MATCH(0,reading[[#This Row],[Memo 01]:[Memo 07]],-1)-1),"")</f>
        <v>55825</v>
      </c>
      <c r="Y2083" s="10" t="str">
        <f ca="1">IF(reading[[#This Row],[Next]]&lt;&gt;"",IF(reading[[#This Row],[Next]]&gt;TODAY(),"OK",""),"")</f>
        <v>OK</v>
      </c>
      <c r="Z2083" s="13">
        <v>3</v>
      </c>
      <c r="AA2083" s="13">
        <v>3</v>
      </c>
      <c r="AB2083" s="13">
        <v>3</v>
      </c>
      <c r="AC2083" s="13">
        <v>3</v>
      </c>
      <c r="AD2083" s="13">
        <v>3</v>
      </c>
      <c r="AE2083" s="13">
        <v>3</v>
      </c>
      <c r="AF2083" s="13">
        <v>2</v>
      </c>
      <c r="AG2083" s="16">
        <f>IFERROR(SUMIF(reading[[#This Row],[1st]:[7th]],"&gt;0")/COUNTIF(reading[[#This Row],[1st]:[7th]],"&gt;0"),"")</f>
        <v>2.8571428571428572</v>
      </c>
    </row>
    <row r="2084" spans="1:33" hidden="1" x14ac:dyDescent="0.2">
      <c r="A2084" s="4">
        <f>IF(B2084=1,3,IF(D2084=1,2,IF(F2084=1,1,0)))</f>
        <v>0</v>
      </c>
      <c r="B2084" s="4" t="str">
        <f>IF(C2084=$L2084,1,IF(C2084="","",0))</f>
        <v/>
      </c>
      <c r="C2084" s="42"/>
      <c r="D2084" s="4" t="str">
        <f>IF(E2084=$L2084,1,IF(E2084="","",0))</f>
        <v/>
      </c>
      <c r="E2084" s="43"/>
      <c r="F2084" s="4" t="str">
        <f>IF(G2084=$L2084,1,IF(G2084="","",0))</f>
        <v/>
      </c>
      <c r="G2084" s="23"/>
      <c r="H2084" s="6">
        <v>1648</v>
      </c>
      <c r="I2084" s="15" t="s">
        <v>3120</v>
      </c>
      <c r="J2084" s="6" t="s">
        <v>4760</v>
      </c>
      <c r="K2084" s="6"/>
      <c r="L2084" s="6" t="s">
        <v>1729</v>
      </c>
      <c r="M2084" s="6" t="s">
        <v>7754</v>
      </c>
      <c r="N2084" s="7">
        <f ca="1">RAND()</f>
        <v>0.5115237755220251</v>
      </c>
      <c r="O2084" s="8">
        <v>45210</v>
      </c>
      <c r="P2084" s="8">
        <v>45211</v>
      </c>
      <c r="Q2084" s="8">
        <v>45213</v>
      </c>
      <c r="R2084" s="8">
        <v>45217</v>
      </c>
      <c r="S2084" s="8">
        <v>45224</v>
      </c>
      <c r="T2084" s="8">
        <v>45236</v>
      </c>
      <c r="U2084" s="8">
        <v>45817</v>
      </c>
      <c r="V2084" s="10">
        <f>COUNTA(O2084:U2084)</f>
        <v>7</v>
      </c>
      <c r="W2084" s="11">
        <f>_xlfn.IFNA(INDEX(reading[[#This Row],[Memo 01]:[Memo 07]],MATCH(0,reading[[#This Row],[Memo 01]:[Memo 07]],-1)),"")</f>
        <v>45817</v>
      </c>
      <c r="X2084" s="11">
        <f ca="1">IFERROR(reading[[#This Row],[Previous]]+OFFSET(reading[[#Headers],[Memo 01]],-1,MATCH(0,reading[[#This Row],[Memo 01]:[Memo 07]],-1)-1),"")</f>
        <v>55817</v>
      </c>
      <c r="Y2084" s="10" t="str">
        <f ca="1">IF(reading[[#This Row],[Next]]&lt;&gt;"",IF(reading[[#This Row],[Next]]&gt;TODAY(),"OK",""),"")</f>
        <v>OK</v>
      </c>
      <c r="Z2084" s="13">
        <v>3</v>
      </c>
      <c r="AA2084" s="13">
        <v>3</v>
      </c>
      <c r="AB2084" s="13">
        <v>3</v>
      </c>
      <c r="AC2084" s="13">
        <v>2</v>
      </c>
      <c r="AD2084" s="13">
        <v>2</v>
      </c>
      <c r="AE2084" s="13">
        <v>3</v>
      </c>
      <c r="AF2084" s="13">
        <v>1</v>
      </c>
      <c r="AG2084" s="16">
        <f>IFERROR(SUMIF(reading[[#This Row],[1st]:[7th]],"&gt;0")/COUNTIF(reading[[#This Row],[1st]:[7th]],"&gt;0"),"")</f>
        <v>2.4285714285714284</v>
      </c>
    </row>
    <row r="2085" spans="1:33" x14ac:dyDescent="0.2">
      <c r="A2085" s="4">
        <f>IF(B2085=1,3,IF(D2085=1,2,IF(F2085=1,1,0)))</f>
        <v>0</v>
      </c>
      <c r="B2085" s="4" t="str">
        <f>IF(C2085=$L2085,1,IF(C2085="","",0))</f>
        <v/>
      </c>
      <c r="C2085" s="39"/>
      <c r="D2085" s="4" t="str">
        <f>IF(E2085=$L2085,1,IF(E2085="","",0))</f>
        <v/>
      </c>
      <c r="E2085" s="14"/>
      <c r="F2085" s="4" t="str">
        <f>IF(G2085=$L2085,1,IF(G2085="","",0))</f>
        <v/>
      </c>
      <c r="G2085" s="14"/>
      <c r="H2085" s="6">
        <v>2621</v>
      </c>
      <c r="I2085" s="15" t="s">
        <v>3120</v>
      </c>
      <c r="J2085" s="6" t="s">
        <v>5676</v>
      </c>
      <c r="K2085" s="6"/>
      <c r="L2085" s="6" t="s">
        <v>2663</v>
      </c>
      <c r="M2085" s="6" t="s">
        <v>8726</v>
      </c>
      <c r="N2085" s="7">
        <f ca="1">RAND()</f>
        <v>0.62989476817498735</v>
      </c>
      <c r="O2085" s="8">
        <v>45220</v>
      </c>
      <c r="P2085" s="8">
        <v>45221</v>
      </c>
      <c r="Q2085" s="8">
        <v>45223</v>
      </c>
      <c r="R2085" s="8">
        <v>45227</v>
      </c>
      <c r="S2085" s="8">
        <v>45234</v>
      </c>
      <c r="T2085" s="8"/>
      <c r="U2085" s="8"/>
      <c r="V2085" s="10">
        <f>COUNTA(O2085:U2085)</f>
        <v>5</v>
      </c>
      <c r="W2085" s="11">
        <f>_xlfn.IFNA(INDEX(reading[[#This Row],[Memo 01]:[Memo 07]],MATCH(0,reading[[#This Row],[Memo 01]:[Memo 07]],-1)),"")</f>
        <v>45234</v>
      </c>
      <c r="X2085" s="11">
        <f ca="1">IFERROR(reading[[#This Row],[Previous]]+OFFSET(reading[[#Headers],[Memo 01]],-1,MATCH(0,reading[[#This Row],[Memo 01]:[Memo 07]],-1)-1),"")</f>
        <v>45246</v>
      </c>
      <c r="Y2085" s="10" t="str">
        <f ca="1">IF(reading[[#This Row],[Next]]&lt;&gt;"",IF(reading[[#This Row],[Next]]&gt;TODAY(),"OK",""),"")</f>
        <v/>
      </c>
      <c r="Z2085" s="13">
        <v>3</v>
      </c>
      <c r="AA2085" s="13">
        <v>3</v>
      </c>
      <c r="AB2085" s="13">
        <v>3</v>
      </c>
      <c r="AC2085" s="13">
        <v>3</v>
      </c>
      <c r="AD2085" s="13">
        <v>3</v>
      </c>
      <c r="AE2085" s="13"/>
      <c r="AF2085" s="13"/>
      <c r="AG2085" s="16">
        <f>IFERROR(SUMIF(reading[[#This Row],[1st]:[7th]],"&gt;0")/COUNTIF(reading[[#This Row],[1st]:[7th]],"&gt;0"),"")</f>
        <v>3</v>
      </c>
    </row>
    <row r="2086" spans="1:33" x14ac:dyDescent="0.2">
      <c r="A2086" s="4">
        <f>IF(B2086=1,3,IF(D2086=1,2,IF(F2086=1,1,0)))</f>
        <v>0</v>
      </c>
      <c r="B2086" s="4" t="str">
        <f>IF(C2086=$L2086,1,IF(C2086="","",0))</f>
        <v/>
      </c>
      <c r="C2086" s="39"/>
      <c r="D2086" s="4" t="str">
        <f>IF(E2086=$L2086,1,IF(E2086="","",0))</f>
        <v/>
      </c>
      <c r="E2086" s="14"/>
      <c r="F2086" s="4" t="str">
        <f>IF(G2086=$L2086,1,IF(G2086="","",0))</f>
        <v/>
      </c>
      <c r="G2086" s="14"/>
      <c r="H2086" s="6">
        <v>1439</v>
      </c>
      <c r="I2086" s="15" t="s">
        <v>3120</v>
      </c>
      <c r="J2086" s="6" t="s">
        <v>4553</v>
      </c>
      <c r="K2086" s="6"/>
      <c r="L2086" s="6" t="s">
        <v>1529</v>
      </c>
      <c r="M2086" s="6" t="s">
        <v>7546</v>
      </c>
      <c r="N2086" s="7">
        <f ca="1">RAND()</f>
        <v>0.52214683773502324</v>
      </c>
      <c r="O2086" s="8">
        <v>45208</v>
      </c>
      <c r="P2086" s="8">
        <v>45209</v>
      </c>
      <c r="Q2086" s="8">
        <v>45211</v>
      </c>
      <c r="R2086" s="8">
        <v>45215</v>
      </c>
      <c r="S2086" s="8">
        <v>45222</v>
      </c>
      <c r="T2086" s="8">
        <v>45234</v>
      </c>
      <c r="U2086" s="8"/>
      <c r="V2086" s="10">
        <f>COUNTA(O2086:U2086)</f>
        <v>6</v>
      </c>
      <c r="W2086" s="11">
        <f>_xlfn.IFNA(INDEX(reading[[#This Row],[Memo 01]:[Memo 07]],MATCH(0,reading[[#This Row],[Memo 01]:[Memo 07]],-1)),"")</f>
        <v>45234</v>
      </c>
      <c r="X2086" s="11">
        <f ca="1">IFERROR(reading[[#This Row],[Previous]]+OFFSET(reading[[#Headers],[Memo 01]],-1,MATCH(0,reading[[#This Row],[Memo 01]:[Memo 07]],-1)-1),"")</f>
        <v>45254</v>
      </c>
      <c r="Y2086" s="10" t="str">
        <f ca="1">IF(reading[[#This Row],[Next]]&lt;&gt;"",IF(reading[[#This Row],[Next]]&gt;TODAY(),"OK",""),"")</f>
        <v/>
      </c>
      <c r="Z2086" s="13">
        <v>3</v>
      </c>
      <c r="AA2086" s="13">
        <v>3</v>
      </c>
      <c r="AB2086" s="13">
        <v>3</v>
      </c>
      <c r="AC2086" s="13">
        <v>3</v>
      </c>
      <c r="AD2086" s="13">
        <v>3</v>
      </c>
      <c r="AE2086" s="13">
        <v>3</v>
      </c>
      <c r="AF2086" s="13"/>
      <c r="AG2086" s="16">
        <f>IFERROR(SUMIF(reading[[#This Row],[1st]:[7th]],"&gt;0")/COUNTIF(reading[[#This Row],[1st]:[7th]],"&gt;0"),"")</f>
        <v>3</v>
      </c>
    </row>
    <row r="2087" spans="1:33" x14ac:dyDescent="0.2">
      <c r="A2087" s="4">
        <f>IF(B2087=1,3,IF(D2087=1,2,IF(F2087=1,1,0)))</f>
        <v>0</v>
      </c>
      <c r="B2087" s="4" t="str">
        <f>IF(C2087=$L2087,1,IF(C2087="","",0))</f>
        <v/>
      </c>
      <c r="C2087" s="39"/>
      <c r="D2087" s="4" t="str">
        <f>IF(E2087=$L2087,1,IF(E2087="","",0))</f>
        <v/>
      </c>
      <c r="E2087" s="14"/>
      <c r="F2087" s="4" t="str">
        <f>IF(G2087=$L2087,1,IF(G2087="","",0))</f>
        <v/>
      </c>
      <c r="G2087" s="14"/>
      <c r="H2087" s="6">
        <v>1594</v>
      </c>
      <c r="I2087" s="15" t="s">
        <v>3120</v>
      </c>
      <c r="J2087" s="6" t="s">
        <v>4706</v>
      </c>
      <c r="K2087" s="6"/>
      <c r="L2087" s="6" t="s">
        <v>1677</v>
      </c>
      <c r="M2087" s="6" t="s">
        <v>7700</v>
      </c>
      <c r="N2087" s="7">
        <f ca="1">RAND()</f>
        <v>0.1858160778908079</v>
      </c>
      <c r="O2087" s="8">
        <v>45209</v>
      </c>
      <c r="P2087" s="8">
        <v>45210</v>
      </c>
      <c r="Q2087" s="8">
        <v>45212</v>
      </c>
      <c r="R2087" s="8">
        <v>45216</v>
      </c>
      <c r="S2087" s="8">
        <v>45223</v>
      </c>
      <c r="T2087" s="8">
        <v>45235</v>
      </c>
      <c r="U2087" s="8"/>
      <c r="V2087" s="10">
        <f>COUNTA(O2087:U2087)</f>
        <v>6</v>
      </c>
      <c r="W2087" s="11">
        <f>_xlfn.IFNA(INDEX(reading[[#This Row],[Memo 01]:[Memo 07]],MATCH(0,reading[[#This Row],[Memo 01]:[Memo 07]],-1)),"")</f>
        <v>45235</v>
      </c>
      <c r="X2087" s="11">
        <f ca="1">IFERROR(reading[[#This Row],[Previous]]+OFFSET(reading[[#Headers],[Memo 01]],-1,MATCH(0,reading[[#This Row],[Memo 01]:[Memo 07]],-1)-1),"")</f>
        <v>45255</v>
      </c>
      <c r="Y2087" s="10" t="str">
        <f ca="1">IF(reading[[#This Row],[Next]]&lt;&gt;"",IF(reading[[#This Row],[Next]]&gt;TODAY(),"OK",""),"")</f>
        <v/>
      </c>
      <c r="Z2087" s="13">
        <v>3</v>
      </c>
      <c r="AA2087" s="13">
        <v>3</v>
      </c>
      <c r="AB2087" s="13">
        <v>3</v>
      </c>
      <c r="AC2087" s="13">
        <v>3</v>
      </c>
      <c r="AD2087" s="13">
        <v>3</v>
      </c>
      <c r="AE2087" s="13">
        <v>3</v>
      </c>
      <c r="AF2087" s="13"/>
      <c r="AG2087" s="16">
        <f>IFERROR(SUMIF(reading[[#This Row],[1st]:[7th]],"&gt;0")/COUNTIF(reading[[#This Row],[1st]:[7th]],"&gt;0"),"")</f>
        <v>3</v>
      </c>
    </row>
    <row r="2088" spans="1:33" x14ac:dyDescent="0.2">
      <c r="A2088" s="4">
        <f>IF(B2088=1,3,IF(D2088=1,2,IF(F2088=1,1,0)))</f>
        <v>0</v>
      </c>
      <c r="B2088" s="4" t="str">
        <f>IF(C2088=$L2088,1,IF(C2088="","",0))</f>
        <v/>
      </c>
      <c r="C2088" s="18"/>
      <c r="D2088" s="4" t="str">
        <f>IF(E2088=$L2088,1,IF(E2088="","",0))</f>
        <v/>
      </c>
      <c r="E2088" s="14"/>
      <c r="F2088" s="4" t="str">
        <f>IF(G2088=$L2088,1,IF(G2088="","",0))</f>
        <v/>
      </c>
      <c r="G2088" s="14"/>
      <c r="H2088" s="6">
        <v>50</v>
      </c>
      <c r="I2088" s="15" t="s">
        <v>3120</v>
      </c>
      <c r="J2088" s="6" t="s">
        <v>3205</v>
      </c>
      <c r="K2088" s="6"/>
      <c r="L2088" s="6" t="s">
        <v>193</v>
      </c>
      <c r="M2088" s="6" t="s">
        <v>6164</v>
      </c>
      <c r="N2088" s="7">
        <f ca="1">RAND()</f>
        <v>0.46736881818717868</v>
      </c>
      <c r="O2088" s="8">
        <v>45198</v>
      </c>
      <c r="P2088" s="8">
        <v>45199</v>
      </c>
      <c r="Q2088" s="8">
        <v>45201</v>
      </c>
      <c r="R2088" s="8">
        <v>45205</v>
      </c>
      <c r="S2088" s="8">
        <v>45212</v>
      </c>
      <c r="T2088" s="8">
        <v>45224</v>
      </c>
      <c r="U2088" s="8"/>
      <c r="V2088" s="10">
        <f>COUNTA(O2088:U2088)</f>
        <v>6</v>
      </c>
      <c r="W2088" s="11">
        <f>_xlfn.IFNA(INDEX(reading[[#This Row],[Memo 01]:[Memo 07]],MATCH(0,reading[[#This Row],[Memo 01]:[Memo 07]],-1)),"")</f>
        <v>45224</v>
      </c>
      <c r="X2088" s="11">
        <f ca="1">IFERROR(reading[[#This Row],[Previous]]+OFFSET(reading[[#Headers],[Memo 01]],-1,MATCH(0,reading[[#This Row],[Memo 01]:[Memo 07]],-1)-1),"")</f>
        <v>45244</v>
      </c>
      <c r="Y2088" s="10" t="str">
        <f ca="1">IF(reading[[#This Row],[Next]]&lt;&gt;"",IF(reading[[#This Row],[Next]]&gt;TODAY(),"OK",""),"")</f>
        <v/>
      </c>
      <c r="Z2088" s="13">
        <v>3</v>
      </c>
      <c r="AA2088" s="13">
        <v>3</v>
      </c>
      <c r="AB2088" s="13">
        <v>3</v>
      </c>
      <c r="AC2088" s="13">
        <v>3</v>
      </c>
      <c r="AD2088" s="13">
        <v>3</v>
      </c>
      <c r="AE2088" s="13">
        <v>3</v>
      </c>
      <c r="AF2088" s="13"/>
      <c r="AG2088" s="16">
        <f>IFERROR(SUMIF(reading[[#This Row],[1st]:[7th]],"&gt;0")/COUNTIF(reading[[#This Row],[1st]:[7th]],"&gt;0"),"")</f>
        <v>3</v>
      </c>
    </row>
    <row r="2089" spans="1:33" x14ac:dyDescent="0.2">
      <c r="A2089" s="4">
        <f>IF(B2089=1,3,IF(D2089=1,2,IF(F2089=1,1,0)))</f>
        <v>0</v>
      </c>
      <c r="B2089" s="4" t="str">
        <f>IF(C2089=$L2089,1,IF(C2089="","",0))</f>
        <v/>
      </c>
      <c r="C2089" s="39"/>
      <c r="D2089" s="4" t="str">
        <f>IF(E2089=$L2089,1,IF(E2089="","",0))</f>
        <v/>
      </c>
      <c r="E2089" s="14"/>
      <c r="F2089" s="4" t="str">
        <f>IF(G2089=$L2089,1,IF(G2089="","",0))</f>
        <v/>
      </c>
      <c r="G2089" s="14"/>
      <c r="H2089" s="6">
        <v>2546</v>
      </c>
      <c r="I2089" s="15" t="s">
        <v>3120</v>
      </c>
      <c r="J2089" s="6" t="s">
        <v>5607</v>
      </c>
      <c r="K2089" s="6"/>
      <c r="L2089" s="6" t="s">
        <v>2591</v>
      </c>
      <c r="M2089" s="6" t="s">
        <v>8651</v>
      </c>
      <c r="N2089" s="7">
        <f ca="1">RAND()</f>
        <v>0.47241310031376316</v>
      </c>
      <c r="O2089" s="8">
        <v>45220</v>
      </c>
      <c r="P2089" s="8">
        <v>45221</v>
      </c>
      <c r="Q2089" s="8">
        <v>45223</v>
      </c>
      <c r="R2089" s="8">
        <v>45227</v>
      </c>
      <c r="S2089" s="8">
        <v>45234</v>
      </c>
      <c r="T2089" s="8"/>
      <c r="U2089" s="8"/>
      <c r="V2089" s="10">
        <f>COUNTA(O2089:U2089)</f>
        <v>5</v>
      </c>
      <c r="W2089" s="11">
        <f>_xlfn.IFNA(INDEX(reading[[#This Row],[Memo 01]:[Memo 07]],MATCH(0,reading[[#This Row],[Memo 01]:[Memo 07]],-1)),"")</f>
        <v>45234</v>
      </c>
      <c r="X2089" s="11">
        <f ca="1">IFERROR(reading[[#This Row],[Previous]]+OFFSET(reading[[#Headers],[Memo 01]],-1,MATCH(0,reading[[#This Row],[Memo 01]:[Memo 07]],-1)-1),"")</f>
        <v>45246</v>
      </c>
      <c r="Y2089" s="10" t="str">
        <f ca="1">IF(reading[[#This Row],[Next]]&lt;&gt;"",IF(reading[[#This Row],[Next]]&gt;TODAY(),"OK",""),"")</f>
        <v/>
      </c>
      <c r="Z2089" s="13">
        <v>3</v>
      </c>
      <c r="AA2089" s="13">
        <v>3</v>
      </c>
      <c r="AB2089" s="13">
        <v>3</v>
      </c>
      <c r="AC2089" s="13">
        <v>3</v>
      </c>
      <c r="AD2089" s="13">
        <v>3</v>
      </c>
      <c r="AE2089" s="13"/>
      <c r="AF2089" s="13"/>
      <c r="AG2089" s="16">
        <f>IFERROR(SUMIF(reading[[#This Row],[1st]:[7th]],"&gt;0")/COUNTIF(reading[[#This Row],[1st]:[7th]],"&gt;0"),"")</f>
        <v>3</v>
      </c>
    </row>
    <row r="2090" spans="1:33" x14ac:dyDescent="0.2">
      <c r="A2090" s="4">
        <f>IF(B2090=1,3,IF(D2090=1,2,IF(F2090=1,1,0)))</f>
        <v>0</v>
      </c>
      <c r="B2090" s="4" t="str">
        <f>IF(C2090=$L2090,1,IF(C2090="","",0))</f>
        <v/>
      </c>
      <c r="C2090" s="36"/>
      <c r="D2090" s="4" t="str">
        <f>IF(E2090=$L2090,1,IF(E2090="","",0))</f>
        <v/>
      </c>
      <c r="E2090" s="14"/>
      <c r="F2090" s="4" t="str">
        <f>IF(G2090=$L2090,1,IF(G2090="","",0))</f>
        <v/>
      </c>
      <c r="G2090" s="14"/>
      <c r="H2090" s="6">
        <v>401</v>
      </c>
      <c r="I2090" s="15" t="s">
        <v>3120</v>
      </c>
      <c r="J2090" s="6" t="s">
        <v>3547</v>
      </c>
      <c r="K2090" s="6"/>
      <c r="L2090" s="6" t="s">
        <v>532</v>
      </c>
      <c r="M2090" s="6" t="s">
        <v>6510</v>
      </c>
      <c r="N2090" s="7">
        <f ca="1">RAND()</f>
        <v>0.15179589322325693</v>
      </c>
      <c r="O2090" s="8">
        <v>45201</v>
      </c>
      <c r="P2090" s="8">
        <v>45202</v>
      </c>
      <c r="Q2090" s="8">
        <v>45204</v>
      </c>
      <c r="R2090" s="8">
        <v>45208</v>
      </c>
      <c r="S2090" s="8">
        <v>45215</v>
      </c>
      <c r="T2090" s="8">
        <v>45227</v>
      </c>
      <c r="U2090" s="8"/>
      <c r="V2090" s="10">
        <f>COUNTA(O2090:U2090)</f>
        <v>6</v>
      </c>
      <c r="W2090" s="11">
        <f>_xlfn.IFNA(INDEX(reading[[#This Row],[Memo 01]:[Memo 07]],MATCH(0,reading[[#This Row],[Memo 01]:[Memo 07]],-1)),"")</f>
        <v>45227</v>
      </c>
      <c r="X2090" s="11">
        <f ca="1">IFERROR(reading[[#This Row],[Previous]]+OFFSET(reading[[#Headers],[Memo 01]],-1,MATCH(0,reading[[#This Row],[Memo 01]:[Memo 07]],-1)-1),"")</f>
        <v>45247</v>
      </c>
      <c r="Y2090" s="10" t="str">
        <f ca="1">IF(reading[[#This Row],[Next]]&lt;&gt;"",IF(reading[[#This Row],[Next]]&gt;TODAY(),"OK",""),"")</f>
        <v/>
      </c>
      <c r="Z2090" s="13">
        <v>3</v>
      </c>
      <c r="AA2090" s="13">
        <v>3</v>
      </c>
      <c r="AB2090" s="13">
        <v>3</v>
      </c>
      <c r="AC2090" s="13">
        <v>3</v>
      </c>
      <c r="AD2090" s="13">
        <v>3</v>
      </c>
      <c r="AE2090" s="13">
        <v>3</v>
      </c>
      <c r="AF2090" s="13"/>
      <c r="AG2090" s="16">
        <f>IFERROR(SUMIF(reading[[#This Row],[1st]:[7th]],"&gt;0")/COUNTIF(reading[[#This Row],[1st]:[7th]],"&gt;0"),"")</f>
        <v>3</v>
      </c>
    </row>
    <row r="2091" spans="1:33" x14ac:dyDescent="0.2">
      <c r="A2091" s="4">
        <f>IF(B2091=1,3,IF(D2091=1,2,IF(F2091=1,1,0)))</f>
        <v>0</v>
      </c>
      <c r="B2091" s="4" t="str">
        <f>IF(C2091=$L2091,1,IF(C2091="","",0))</f>
        <v/>
      </c>
      <c r="C2091" s="39"/>
      <c r="D2091" s="4" t="str">
        <f>IF(E2091=$L2091,1,IF(E2091="","",0))</f>
        <v/>
      </c>
      <c r="E2091" s="23"/>
      <c r="F2091" s="4" t="str">
        <f>IF(G2091=$L2091,1,IF(G2091="","",0))</f>
        <v/>
      </c>
      <c r="G2091" s="18"/>
      <c r="H2091" s="6">
        <v>1492</v>
      </c>
      <c r="I2091" s="15" t="s">
        <v>3120</v>
      </c>
      <c r="J2091" s="6" t="s">
        <v>4606</v>
      </c>
      <c r="K2091" s="6"/>
      <c r="L2091" s="6" t="s">
        <v>1578</v>
      </c>
      <c r="M2091" s="6" t="s">
        <v>7599</v>
      </c>
      <c r="N2091" s="7">
        <f ca="1">RAND()</f>
        <v>0.27449325491207932</v>
      </c>
      <c r="O2091" s="8">
        <v>45209</v>
      </c>
      <c r="P2091" s="8">
        <v>45210</v>
      </c>
      <c r="Q2091" s="8">
        <v>45213</v>
      </c>
      <c r="R2091" s="8">
        <v>45217</v>
      </c>
      <c r="S2091" s="8">
        <v>45224</v>
      </c>
      <c r="T2091" s="8">
        <v>45236</v>
      </c>
      <c r="U2091" s="8"/>
      <c r="V2091" s="10">
        <f>COUNTA(O2091:U2091)</f>
        <v>6</v>
      </c>
      <c r="W2091" s="11">
        <f>_xlfn.IFNA(INDEX(reading[[#This Row],[Memo 01]:[Memo 07]],MATCH(0,reading[[#This Row],[Memo 01]:[Memo 07]],-1)),"")</f>
        <v>45236</v>
      </c>
      <c r="X2091" s="11">
        <f ca="1">IFERROR(reading[[#This Row],[Previous]]+OFFSET(reading[[#Headers],[Memo 01]],-1,MATCH(0,reading[[#This Row],[Memo 01]:[Memo 07]],-1)-1),"")</f>
        <v>45256</v>
      </c>
      <c r="Y2091" s="10" t="str">
        <f ca="1">IF(reading[[#This Row],[Next]]&lt;&gt;"",IF(reading[[#This Row],[Next]]&gt;TODAY(),"OK",""),"")</f>
        <v/>
      </c>
      <c r="Z2091" s="13">
        <v>3</v>
      </c>
      <c r="AA2091" s="13">
        <v>3</v>
      </c>
      <c r="AB2091" s="13">
        <v>2</v>
      </c>
      <c r="AC2091" s="13">
        <v>1</v>
      </c>
      <c r="AD2091" s="13">
        <v>2</v>
      </c>
      <c r="AE2091" s="13">
        <v>3</v>
      </c>
      <c r="AF2091" s="13"/>
      <c r="AG2091" s="16">
        <f>IFERROR(SUMIF(reading[[#This Row],[1st]:[7th]],"&gt;0")/COUNTIF(reading[[#This Row],[1st]:[7th]],"&gt;0"),"")</f>
        <v>2.3333333333333335</v>
      </c>
    </row>
    <row r="2092" spans="1:33" x14ac:dyDescent="0.2">
      <c r="A2092" s="4">
        <f>IF(B2092=1,3,IF(D2092=1,2,IF(F2092=1,1,0)))</f>
        <v>0</v>
      </c>
      <c r="B2092" s="4" t="str">
        <f>IF(C2092=$L2092,1,IF(C2092="","",0))</f>
        <v/>
      </c>
      <c r="C2092" s="39"/>
      <c r="D2092" s="4" t="str">
        <f>IF(E2092=$L2092,1,IF(E2092="","",0))</f>
        <v/>
      </c>
      <c r="E2092" s="18"/>
      <c r="F2092" s="4" t="str">
        <f>IF(G2092=$L2092,1,IF(G2092="","",0))</f>
        <v/>
      </c>
      <c r="G2092" s="14"/>
      <c r="H2092" s="6">
        <v>2532</v>
      </c>
      <c r="I2092" s="15" t="s">
        <v>3120</v>
      </c>
      <c r="J2092" s="6" t="s">
        <v>5594</v>
      </c>
      <c r="K2092" s="15" t="s">
        <v>3138</v>
      </c>
      <c r="L2092" s="6" t="s">
        <v>2577</v>
      </c>
      <c r="M2092" s="6" t="s">
        <v>8637</v>
      </c>
      <c r="N2092" s="7">
        <f ca="1">RAND()</f>
        <v>0.88773594445609205</v>
      </c>
      <c r="O2092" s="8">
        <v>45220</v>
      </c>
      <c r="P2092" s="8">
        <v>45221</v>
      </c>
      <c r="Q2092" s="8">
        <v>45223</v>
      </c>
      <c r="R2092" s="8">
        <v>45227</v>
      </c>
      <c r="S2092" s="8">
        <v>45234</v>
      </c>
      <c r="T2092" s="8"/>
      <c r="U2092" s="8"/>
      <c r="V2092" s="10">
        <f>COUNTA(O2092:U2092)</f>
        <v>5</v>
      </c>
      <c r="W2092" s="11">
        <f>_xlfn.IFNA(INDEX(reading[[#This Row],[Memo 01]:[Memo 07]],MATCH(0,reading[[#This Row],[Memo 01]:[Memo 07]],-1)),"")</f>
        <v>45234</v>
      </c>
      <c r="X2092" s="11">
        <f ca="1">IFERROR(reading[[#This Row],[Previous]]+OFFSET(reading[[#Headers],[Memo 01]],-1,MATCH(0,reading[[#This Row],[Memo 01]:[Memo 07]],-1)-1),"")</f>
        <v>45246</v>
      </c>
      <c r="Y2092" s="10" t="str">
        <f ca="1">IF(reading[[#This Row],[Next]]&lt;&gt;"",IF(reading[[#This Row],[Next]]&gt;TODAY(),"OK",""),"")</f>
        <v/>
      </c>
      <c r="Z2092" s="13">
        <v>3</v>
      </c>
      <c r="AA2092" s="13">
        <v>3</v>
      </c>
      <c r="AB2092" s="13">
        <v>3</v>
      </c>
      <c r="AC2092" s="13">
        <v>2</v>
      </c>
      <c r="AD2092" s="13">
        <v>3</v>
      </c>
      <c r="AE2092" s="13"/>
      <c r="AF2092" s="13"/>
      <c r="AG2092" s="16">
        <f>IFERROR(SUMIF(reading[[#This Row],[1st]:[7th]],"&gt;0")/COUNTIF(reading[[#This Row],[1st]:[7th]],"&gt;0"),"")</f>
        <v>2.8</v>
      </c>
    </row>
    <row r="2093" spans="1:33" x14ac:dyDescent="0.2">
      <c r="A2093" s="4">
        <f>IF(B2093=1,3,IF(D2093=1,2,IF(F2093=1,1,0)))</f>
        <v>0</v>
      </c>
      <c r="B2093" s="4" t="str">
        <f>IF(C2093=$L2093,1,IF(C2093="","",0))</f>
        <v/>
      </c>
      <c r="C2093" s="42"/>
      <c r="D2093" s="4" t="str">
        <f>IF(E2093=$L2093,1,IF(E2093="","",0))</f>
        <v/>
      </c>
      <c r="E2093" s="14"/>
      <c r="F2093" s="4" t="str">
        <f>IF(G2093=$L2093,1,IF(G2093="","",0))</f>
        <v/>
      </c>
      <c r="G2093" s="14"/>
      <c r="H2093" s="6">
        <v>2792</v>
      </c>
      <c r="I2093" s="15" t="s">
        <v>3120</v>
      </c>
      <c r="J2093" s="6" t="s">
        <v>5835</v>
      </c>
      <c r="K2093" s="6"/>
      <c r="L2093" s="6" t="s">
        <v>2829</v>
      </c>
      <c r="M2093" s="6" t="s">
        <v>8896</v>
      </c>
      <c r="N2093" s="7">
        <f ca="1">RAND()</f>
        <v>6.9488552144258975E-2</v>
      </c>
      <c r="O2093" s="8">
        <v>45222</v>
      </c>
      <c r="P2093" s="8">
        <v>45223</v>
      </c>
      <c r="Q2093" s="8">
        <v>45225</v>
      </c>
      <c r="R2093" s="8">
        <v>45229</v>
      </c>
      <c r="S2093" s="8">
        <v>45236</v>
      </c>
      <c r="T2093" s="8">
        <v>45783</v>
      </c>
      <c r="U2093" s="8"/>
      <c r="V2093" s="10">
        <f>COUNTA(O2093:U2093)</f>
        <v>6</v>
      </c>
      <c r="W2093" s="11">
        <f>_xlfn.IFNA(INDEX(reading[[#This Row],[Memo 01]:[Memo 07]],MATCH(0,reading[[#This Row],[Memo 01]:[Memo 07]],-1)),"")</f>
        <v>45783</v>
      </c>
      <c r="X2093" s="11">
        <f ca="1">IFERROR(reading[[#This Row],[Previous]]+OFFSET(reading[[#Headers],[Memo 01]],-1,MATCH(0,reading[[#This Row],[Memo 01]:[Memo 07]],-1)-1),"")</f>
        <v>45803</v>
      </c>
      <c r="Y2093" s="10" t="str">
        <f ca="1">IF(reading[[#This Row],[Next]]&lt;&gt;"",IF(reading[[#This Row],[Next]]&gt;TODAY(),"OK",""),"")</f>
        <v/>
      </c>
      <c r="Z2093" s="13">
        <v>3</v>
      </c>
      <c r="AA2093" s="13">
        <v>3</v>
      </c>
      <c r="AB2093" s="13">
        <v>3</v>
      </c>
      <c r="AC2093" s="13">
        <v>3</v>
      </c>
      <c r="AD2093" s="13">
        <v>3</v>
      </c>
      <c r="AE2093" s="13">
        <v>3</v>
      </c>
      <c r="AF2093" s="13"/>
      <c r="AG2093" s="16">
        <f>IFERROR(SUMIF(reading[[#This Row],[1st]:[7th]],"&gt;0")/COUNTIF(reading[[#This Row],[1st]:[7th]],"&gt;0"),"")</f>
        <v>3</v>
      </c>
    </row>
    <row r="2094" spans="1:33" x14ac:dyDescent="0.2">
      <c r="A2094" s="4">
        <f>IF(B2094=1,3,IF(D2094=1,2,IF(F2094=1,1,0)))</f>
        <v>0</v>
      </c>
      <c r="B2094" s="4" t="str">
        <f>IF(C2094=$L2094,1,IF(C2094="","",0))</f>
        <v/>
      </c>
      <c r="C2094" s="41"/>
      <c r="D2094" s="4" t="str">
        <f>IF(E2094=$L2094,1,IF(E2094="","",0))</f>
        <v/>
      </c>
      <c r="E2094" s="18"/>
      <c r="F2094" s="4" t="str">
        <f>IF(G2094=$L2094,1,IF(G2094="","",0))</f>
        <v/>
      </c>
      <c r="G2094" s="18"/>
      <c r="H2094" s="6">
        <v>2573</v>
      </c>
      <c r="I2094" s="15" t="s">
        <v>3120</v>
      </c>
      <c r="J2094" s="6" t="s">
        <v>5633</v>
      </c>
      <c r="K2094" s="15" t="s">
        <v>3138</v>
      </c>
      <c r="L2094" s="6" t="s">
        <v>2617</v>
      </c>
      <c r="M2094" s="6" t="s">
        <v>8678</v>
      </c>
      <c r="N2094" s="7">
        <f ca="1">RAND()</f>
        <v>0.66977269196354983</v>
      </c>
      <c r="O2094" s="8">
        <v>45220</v>
      </c>
      <c r="P2094" s="8">
        <v>45221</v>
      </c>
      <c r="Q2094" s="8">
        <v>45223</v>
      </c>
      <c r="R2094" s="8">
        <v>45227</v>
      </c>
      <c r="S2094" s="8">
        <v>45234</v>
      </c>
      <c r="T2094" s="8">
        <v>45248</v>
      </c>
      <c r="U2094" s="8"/>
      <c r="V2094" s="10">
        <f>COUNTA(O2094:U2094)</f>
        <v>6</v>
      </c>
      <c r="W2094" s="11">
        <f>_xlfn.IFNA(INDEX(reading[[#This Row],[Memo 01]:[Memo 07]],MATCH(0,reading[[#This Row],[Memo 01]:[Memo 07]],-1)),"")</f>
        <v>45248</v>
      </c>
      <c r="X2094" s="11">
        <f ca="1">IFERROR(reading[[#This Row],[Previous]]+OFFSET(reading[[#Headers],[Memo 01]],-1,MATCH(0,reading[[#This Row],[Memo 01]:[Memo 07]],-1)-1),"")</f>
        <v>45268</v>
      </c>
      <c r="Y2094" s="10" t="str">
        <f ca="1">IF(reading[[#This Row],[Next]]&lt;&gt;"",IF(reading[[#This Row],[Next]]&gt;TODAY(),"OK",""),"")</f>
        <v/>
      </c>
      <c r="Z2094" s="13">
        <v>3</v>
      </c>
      <c r="AA2094" s="13">
        <v>1</v>
      </c>
      <c r="AB2094" s="13">
        <v>2</v>
      </c>
      <c r="AC2094" s="13">
        <v>3</v>
      </c>
      <c r="AD2094" s="13">
        <v>3</v>
      </c>
      <c r="AE2094" s="13">
        <v>3</v>
      </c>
      <c r="AF2094" s="13"/>
      <c r="AG2094" s="16">
        <f>IFERROR(SUMIF(reading[[#This Row],[1st]:[7th]],"&gt;0")/COUNTIF(reading[[#This Row],[1st]:[7th]],"&gt;0"),"")</f>
        <v>2.5</v>
      </c>
    </row>
    <row r="2095" spans="1:33" x14ac:dyDescent="0.2">
      <c r="A2095" s="4">
        <f>IF(B2095=1,3,IF(D2095=1,2,IF(F2095=1,1,0)))</f>
        <v>0</v>
      </c>
      <c r="B2095" s="4" t="str">
        <f>IF(C2095=$L2095,1,IF(C2095="","",0))</f>
        <v/>
      </c>
      <c r="C2095" s="42"/>
      <c r="D2095" s="4" t="str">
        <f>IF(E2095=$L2095,1,IF(E2095="","",0))</f>
        <v/>
      </c>
      <c r="E2095" s="18"/>
      <c r="F2095" s="4" t="str">
        <f>IF(G2095=$L2095,1,IF(G2095="","",0))</f>
        <v/>
      </c>
      <c r="G2095" s="14"/>
      <c r="H2095" s="6">
        <v>2067</v>
      </c>
      <c r="I2095" s="15" t="s">
        <v>3120</v>
      </c>
      <c r="J2095" s="6" t="s">
        <v>5162</v>
      </c>
      <c r="K2095" s="6"/>
      <c r="L2095" s="6" t="s">
        <v>2139</v>
      </c>
      <c r="M2095" s="6" t="s">
        <v>8173</v>
      </c>
      <c r="N2095" s="7">
        <f ca="1">RAND()</f>
        <v>0.92873434727584825</v>
      </c>
      <c r="O2095" s="8">
        <v>45214</v>
      </c>
      <c r="P2095" s="8">
        <v>45215</v>
      </c>
      <c r="Q2095" s="8">
        <v>45217</v>
      </c>
      <c r="R2095" s="8">
        <v>45221</v>
      </c>
      <c r="S2095" s="8">
        <v>45228</v>
      </c>
      <c r="T2095" s="8">
        <v>45783</v>
      </c>
      <c r="U2095" s="8"/>
      <c r="V2095" s="10">
        <f>COUNTA(O2095:U2095)</f>
        <v>6</v>
      </c>
      <c r="W2095" s="11">
        <f>_xlfn.IFNA(INDEX(reading[[#This Row],[Memo 01]:[Memo 07]],MATCH(0,reading[[#This Row],[Memo 01]:[Memo 07]],-1)),"")</f>
        <v>45783</v>
      </c>
      <c r="X2095" s="11">
        <f ca="1">IFERROR(reading[[#This Row],[Previous]]+OFFSET(reading[[#Headers],[Memo 01]],-1,MATCH(0,reading[[#This Row],[Memo 01]:[Memo 07]],-1)-1),"")</f>
        <v>45803</v>
      </c>
      <c r="Y2095" s="10" t="str">
        <f ca="1">IF(reading[[#This Row],[Next]]&lt;&gt;"",IF(reading[[#This Row],[Next]]&gt;TODAY(),"OK",""),"")</f>
        <v/>
      </c>
      <c r="Z2095" s="13">
        <v>3</v>
      </c>
      <c r="AA2095" s="13">
        <v>3</v>
      </c>
      <c r="AB2095" s="13">
        <v>3</v>
      </c>
      <c r="AC2095" s="13">
        <v>2</v>
      </c>
      <c r="AD2095" s="13">
        <v>3</v>
      </c>
      <c r="AE2095" s="13">
        <v>3</v>
      </c>
      <c r="AF2095" s="13"/>
      <c r="AG2095" s="16">
        <f>IFERROR(SUMIF(reading[[#This Row],[1st]:[7th]],"&gt;0")/COUNTIF(reading[[#This Row],[1st]:[7th]],"&gt;0"),"")</f>
        <v>2.8333333333333335</v>
      </c>
    </row>
    <row r="2096" spans="1:33" hidden="1" x14ac:dyDescent="0.2">
      <c r="A2096" s="4">
        <f>IF(B2096=1,3,IF(D2096=1,2,IF(F2096=1,1,0)))</f>
        <v>0</v>
      </c>
      <c r="B2096" s="4" t="str">
        <f>IF(C2096=$L2096,1,IF(C2096="","",0))</f>
        <v/>
      </c>
      <c r="C2096" s="41"/>
      <c r="D2096" s="4" t="str">
        <f>IF(E2096=$L2096,1,IF(E2096="","",0))</f>
        <v/>
      </c>
      <c r="E2096" s="18"/>
      <c r="F2096" s="4" t="str">
        <f>IF(G2096=$L2096,1,IF(G2096="","",0))</f>
        <v/>
      </c>
      <c r="G2096" s="14"/>
      <c r="H2096" s="6">
        <v>869</v>
      </c>
      <c r="I2096" s="15" t="s">
        <v>3120</v>
      </c>
      <c r="J2096" s="6" t="s">
        <v>4001</v>
      </c>
      <c r="K2096" s="6"/>
      <c r="L2096" s="6" t="s">
        <v>984</v>
      </c>
      <c r="M2096" s="6" t="s">
        <v>6978</v>
      </c>
      <c r="N2096" s="7">
        <f ca="1">RAND()</f>
        <v>0.35748517518941125</v>
      </c>
      <c r="O2096" s="8">
        <v>45204</v>
      </c>
      <c r="P2096" s="8">
        <v>45205</v>
      </c>
      <c r="Q2096" s="8">
        <v>45207</v>
      </c>
      <c r="R2096" s="8">
        <v>45212</v>
      </c>
      <c r="S2096" s="8">
        <v>45219</v>
      </c>
      <c r="T2096" s="8">
        <v>45231</v>
      </c>
      <c r="U2096" s="8">
        <v>45252</v>
      </c>
      <c r="V2096" s="10">
        <f>COUNTA(O2096:U2096)</f>
        <v>7</v>
      </c>
      <c r="W2096" s="11">
        <f>_xlfn.IFNA(INDEX(reading[[#This Row],[Memo 01]:[Memo 07]],MATCH(0,reading[[#This Row],[Memo 01]:[Memo 07]],-1)),"")</f>
        <v>45252</v>
      </c>
      <c r="X2096" s="11">
        <f ca="1">IFERROR(reading[[#This Row],[Previous]]+OFFSET(reading[[#Headers],[Memo 01]],-1,MATCH(0,reading[[#This Row],[Memo 01]:[Memo 07]],-1)-1),"")</f>
        <v>55252</v>
      </c>
      <c r="Y2096" s="10" t="str">
        <f ca="1">IF(reading[[#This Row],[Next]]&lt;&gt;"",IF(reading[[#This Row],[Next]]&gt;TODAY(),"OK",""),"")</f>
        <v>OK</v>
      </c>
      <c r="Z2096" s="13">
        <v>3</v>
      </c>
      <c r="AA2096" s="13">
        <v>2</v>
      </c>
      <c r="AB2096" s="13">
        <v>3</v>
      </c>
      <c r="AC2096" s="13">
        <v>2</v>
      </c>
      <c r="AD2096" s="13">
        <v>3</v>
      </c>
      <c r="AE2096" s="13">
        <v>2</v>
      </c>
      <c r="AF2096" s="13">
        <v>2</v>
      </c>
      <c r="AG2096" s="16">
        <f>IFERROR(SUMIF(reading[[#This Row],[1st]:[7th]],"&gt;0")/COUNTIF(reading[[#This Row],[1st]:[7th]],"&gt;0"),"")</f>
        <v>2.4285714285714284</v>
      </c>
    </row>
    <row r="2097" spans="1:33" x14ac:dyDescent="0.2">
      <c r="A2097" s="4">
        <f>IF(B2097=1,3,IF(D2097=1,2,IF(F2097=1,1,0)))</f>
        <v>0</v>
      </c>
      <c r="B2097" s="4" t="str">
        <f>IF(C2097=$L2097,1,IF(C2097="","",0))</f>
        <v/>
      </c>
      <c r="C2097" s="36"/>
      <c r="D2097" s="4" t="str">
        <f>IF(E2097=$L2097,1,IF(E2097="","",0))</f>
        <v/>
      </c>
      <c r="E2097" s="14"/>
      <c r="F2097" s="4" t="str">
        <f>IF(G2097=$L2097,1,IF(G2097="","",0))</f>
        <v/>
      </c>
      <c r="G2097" s="14"/>
      <c r="H2097" s="6">
        <v>1930</v>
      </c>
      <c r="I2097" s="15" t="s">
        <v>3120</v>
      </c>
      <c r="J2097" s="6" t="s">
        <v>5029</v>
      </c>
      <c r="K2097" s="6"/>
      <c r="L2097" s="6" t="s">
        <v>2006</v>
      </c>
      <c r="M2097" s="6" t="s">
        <v>8036</v>
      </c>
      <c r="N2097" s="7">
        <f ca="1">RAND()</f>
        <v>0.22747059823969085</v>
      </c>
      <c r="O2097" s="8">
        <v>45212</v>
      </c>
      <c r="P2097" s="8">
        <v>45213</v>
      </c>
      <c r="Q2097" s="8">
        <v>45215</v>
      </c>
      <c r="R2097" s="8">
        <v>45219</v>
      </c>
      <c r="S2097" s="8">
        <v>45226</v>
      </c>
      <c r="T2097" s="8"/>
      <c r="U2097" s="8"/>
      <c r="V2097" s="10">
        <f>COUNTA(O2097:U2097)</f>
        <v>5</v>
      </c>
      <c r="W2097" s="11">
        <f>_xlfn.IFNA(INDEX(reading[[#This Row],[Memo 01]:[Memo 07]],MATCH(0,reading[[#This Row],[Memo 01]:[Memo 07]],-1)),"")</f>
        <v>45226</v>
      </c>
      <c r="X2097" s="11">
        <f ca="1">IFERROR(reading[[#This Row],[Previous]]+OFFSET(reading[[#Headers],[Memo 01]],-1,MATCH(0,reading[[#This Row],[Memo 01]:[Memo 07]],-1)-1),"")</f>
        <v>45238</v>
      </c>
      <c r="Y2097" s="10" t="str">
        <f ca="1">IF(reading[[#This Row],[Next]]&lt;&gt;"",IF(reading[[#This Row],[Next]]&gt;TODAY(),"OK",""),"")</f>
        <v/>
      </c>
      <c r="Z2097" s="13">
        <v>3</v>
      </c>
      <c r="AA2097" s="13">
        <v>3</v>
      </c>
      <c r="AB2097" s="13">
        <v>3</v>
      </c>
      <c r="AC2097" s="13">
        <v>3</v>
      </c>
      <c r="AD2097" s="13">
        <v>3</v>
      </c>
      <c r="AE2097" s="13"/>
      <c r="AF2097" s="13"/>
      <c r="AG2097" s="16">
        <f>IFERROR(SUMIF(reading[[#This Row],[1st]:[7th]],"&gt;0")/COUNTIF(reading[[#This Row],[1st]:[7th]],"&gt;0"),"")</f>
        <v>3</v>
      </c>
    </row>
    <row r="2098" spans="1:33" x14ac:dyDescent="0.2">
      <c r="A2098" s="4">
        <f>IF(B2098=1,3,IF(D2098=1,2,IF(F2098=1,1,0)))</f>
        <v>0</v>
      </c>
      <c r="B2098" s="4" t="str">
        <f>IF(C2098=$L2098,1,IF(C2098="","",0))</f>
        <v/>
      </c>
      <c r="C2098" s="38"/>
      <c r="D2098" s="4" t="str">
        <f>IF(E2098=$L2098,1,IF(E2098="","",0))</f>
        <v/>
      </c>
      <c r="E2098" s="14"/>
      <c r="F2098" s="4" t="str">
        <f>IF(G2098=$L2098,1,IF(G2098="","",0))</f>
        <v/>
      </c>
      <c r="G2098" s="14"/>
      <c r="H2098" s="6">
        <v>496</v>
      </c>
      <c r="I2098" s="15" t="s">
        <v>3120</v>
      </c>
      <c r="J2098" s="6" t="s">
        <v>3642</v>
      </c>
      <c r="K2098" s="6"/>
      <c r="L2098" s="6" t="s">
        <v>624</v>
      </c>
      <c r="M2098" s="6" t="s">
        <v>6605</v>
      </c>
      <c r="N2098" s="7">
        <f ca="1">RAND()</f>
        <v>8.9343237950544663E-2</v>
      </c>
      <c r="O2098" s="8">
        <v>45202</v>
      </c>
      <c r="P2098" s="8">
        <v>45203</v>
      </c>
      <c r="Q2098" s="8">
        <v>45205</v>
      </c>
      <c r="R2098" s="8">
        <v>45209</v>
      </c>
      <c r="S2098" s="8">
        <v>45216</v>
      </c>
      <c r="T2098" s="8">
        <v>45228</v>
      </c>
      <c r="U2098" s="8"/>
      <c r="V2098" s="10">
        <f>COUNTA(O2098:U2098)</f>
        <v>6</v>
      </c>
      <c r="W2098" s="11">
        <f>_xlfn.IFNA(INDEX(reading[[#This Row],[Memo 01]:[Memo 07]],MATCH(0,reading[[#This Row],[Memo 01]:[Memo 07]],-1)),"")</f>
        <v>45228</v>
      </c>
      <c r="X2098" s="11">
        <f ca="1">IFERROR(reading[[#This Row],[Previous]]+OFFSET(reading[[#Headers],[Memo 01]],-1,MATCH(0,reading[[#This Row],[Memo 01]:[Memo 07]],-1)-1),"")</f>
        <v>45248</v>
      </c>
      <c r="Y2098" s="10" t="str">
        <f ca="1">IF(reading[[#This Row],[Next]]&lt;&gt;"",IF(reading[[#This Row],[Next]]&gt;TODAY(),"OK",""),"")</f>
        <v/>
      </c>
      <c r="Z2098" s="13">
        <v>3</v>
      </c>
      <c r="AA2098" s="13">
        <v>2</v>
      </c>
      <c r="AB2098" s="13">
        <v>3</v>
      </c>
      <c r="AC2098" s="13">
        <v>3</v>
      </c>
      <c r="AD2098" s="13">
        <v>3</v>
      </c>
      <c r="AE2098" s="13">
        <v>3</v>
      </c>
      <c r="AF2098" s="13"/>
      <c r="AG2098" s="16">
        <f>IFERROR(SUMIF(reading[[#This Row],[1st]:[7th]],"&gt;0")/COUNTIF(reading[[#This Row],[1st]:[7th]],"&gt;0"),"")</f>
        <v>2.8333333333333335</v>
      </c>
    </row>
    <row r="2099" spans="1:33" hidden="1" x14ac:dyDescent="0.2">
      <c r="A2099" s="4">
        <f>IF(B2099=1,3,IF(D2099=1,2,IF(F2099=1,1,0)))</f>
        <v>3</v>
      </c>
      <c r="B2099" s="4">
        <f>IF(C2099=$L2099,1,IF(C2099="","",0))</f>
        <v>1</v>
      </c>
      <c r="C2099" s="34" t="s">
        <v>2172</v>
      </c>
      <c r="D2099" s="4" t="str">
        <f>IF(E2099=$L2099,1,IF(E2099="","",0))</f>
        <v/>
      </c>
      <c r="E2099" s="14"/>
      <c r="F2099" s="4" t="str">
        <f>IF(G2099=$L2099,1,IF(G2099="","",0))</f>
        <v/>
      </c>
      <c r="G2099" s="14"/>
      <c r="H2099" s="6">
        <v>2103</v>
      </c>
      <c r="I2099" s="15" t="s">
        <v>3120</v>
      </c>
      <c r="J2099" s="6" t="s">
        <v>5192</v>
      </c>
      <c r="K2099" s="6"/>
      <c r="L2099" s="6" t="s">
        <v>2172</v>
      </c>
      <c r="M2099" s="6" t="s">
        <v>8209</v>
      </c>
      <c r="N2099" s="7">
        <f ca="1">RAND()</f>
        <v>0.47326029246882773</v>
      </c>
      <c r="O2099" s="8">
        <v>45214</v>
      </c>
      <c r="P2099" s="8">
        <v>45214</v>
      </c>
      <c r="Q2099" s="8">
        <v>45214</v>
      </c>
      <c r="R2099" s="8">
        <v>45214</v>
      </c>
      <c r="S2099" s="8">
        <v>45214</v>
      </c>
      <c r="T2099" s="8">
        <v>45214</v>
      </c>
      <c r="U2099" s="8">
        <v>45214</v>
      </c>
      <c r="V2099" s="10">
        <f>COUNTA(O2099:U2099)</f>
        <v>7</v>
      </c>
      <c r="W2099" s="11">
        <f>_xlfn.IFNA(INDEX(reading[[#This Row],[Memo 01]:[Memo 07]],MATCH(0,reading[[#This Row],[Memo 01]:[Memo 07]],-1)),"")</f>
        <v>45214</v>
      </c>
      <c r="X2099" s="11">
        <f ca="1">IFERROR(reading[[#This Row],[Previous]]+OFFSET(reading[[#Headers],[Memo 01]],-1,MATCH(0,reading[[#This Row],[Memo 01]:[Memo 07]],-1)-1),"")</f>
        <v>55214</v>
      </c>
      <c r="Y2099" s="10" t="str">
        <f ca="1">IF(reading[[#This Row],[Next]]&lt;&gt;"",IF(reading[[#This Row],[Next]]&gt;TODAY(),"OK",""),"")</f>
        <v>OK</v>
      </c>
      <c r="Z2099" s="13">
        <v>3</v>
      </c>
      <c r="AA2099" s="13"/>
      <c r="AB2099" s="13"/>
      <c r="AC2099" s="13"/>
      <c r="AD2099" s="13"/>
      <c r="AE2099" s="13"/>
      <c r="AF2099" s="13"/>
      <c r="AG2099" s="16">
        <f>IFERROR(SUMIF(reading[[#This Row],[1st]:[7th]],"&gt;0")/COUNTIF(reading[[#This Row],[1st]:[7th]],"&gt;0"),"")</f>
        <v>3</v>
      </c>
    </row>
    <row r="2100" spans="1:33" x14ac:dyDescent="0.2">
      <c r="A2100" s="4">
        <f>IF(B2100=1,3,IF(D2100=1,2,IF(F2100=1,1,0)))</f>
        <v>0</v>
      </c>
      <c r="B2100" s="4" t="str">
        <f>IF(C2100=$L2100,1,IF(C2100="","",0))</f>
        <v/>
      </c>
      <c r="C2100" s="42"/>
      <c r="D2100" s="4" t="str">
        <f>IF(E2100=$L2100,1,IF(E2100="","",0))</f>
        <v/>
      </c>
      <c r="E2100" s="14"/>
      <c r="F2100" s="4" t="str">
        <f>IF(G2100=$L2100,1,IF(G2100="","",0))</f>
        <v/>
      </c>
      <c r="G2100" s="14"/>
      <c r="H2100" s="6">
        <v>1767</v>
      </c>
      <c r="I2100" s="15" t="s">
        <v>3120</v>
      </c>
      <c r="J2100" s="6" t="s">
        <v>4874</v>
      </c>
      <c r="K2100" s="15" t="s">
        <v>3139</v>
      </c>
      <c r="L2100" s="6" t="s">
        <v>1847</v>
      </c>
      <c r="M2100" s="6" t="s">
        <v>7873</v>
      </c>
      <c r="N2100" s="7">
        <f ca="1">RAND()</f>
        <v>0.25666191970569152</v>
      </c>
      <c r="O2100" s="8">
        <v>45212</v>
      </c>
      <c r="P2100" s="8">
        <v>45213</v>
      </c>
      <c r="Q2100" s="8">
        <v>45215</v>
      </c>
      <c r="R2100" s="8">
        <v>45219</v>
      </c>
      <c r="S2100" s="8">
        <v>45226</v>
      </c>
      <c r="T2100" s="8">
        <v>45783</v>
      </c>
      <c r="U2100" s="8"/>
      <c r="V2100" s="10">
        <f>COUNTA(O2100:U2100)</f>
        <v>6</v>
      </c>
      <c r="W2100" s="11">
        <f>_xlfn.IFNA(INDEX(reading[[#This Row],[Memo 01]:[Memo 07]],MATCH(0,reading[[#This Row],[Memo 01]:[Memo 07]],-1)),"")</f>
        <v>45783</v>
      </c>
      <c r="X2100" s="11">
        <f ca="1">IFERROR(reading[[#This Row],[Previous]]+OFFSET(reading[[#Headers],[Memo 01]],-1,MATCH(0,reading[[#This Row],[Memo 01]:[Memo 07]],-1)-1),"")</f>
        <v>45803</v>
      </c>
      <c r="Y2100" s="10" t="str">
        <f ca="1">IF(reading[[#This Row],[Next]]&lt;&gt;"",IF(reading[[#This Row],[Next]]&gt;TODAY(),"OK",""),"")</f>
        <v/>
      </c>
      <c r="Z2100" s="13">
        <v>3</v>
      </c>
      <c r="AA2100" s="13">
        <v>3</v>
      </c>
      <c r="AB2100" s="13">
        <v>3</v>
      </c>
      <c r="AC2100" s="13">
        <v>3</v>
      </c>
      <c r="AD2100" s="13">
        <v>3</v>
      </c>
      <c r="AE2100" s="13">
        <v>3</v>
      </c>
      <c r="AF2100" s="13"/>
      <c r="AG2100" s="16">
        <f>IFERROR(SUMIF(reading[[#This Row],[1st]:[7th]],"&gt;0")/COUNTIF(reading[[#This Row],[1st]:[7th]],"&gt;0"),"")</f>
        <v>3</v>
      </c>
    </row>
    <row r="2101" spans="1:33" x14ac:dyDescent="0.2">
      <c r="A2101" s="4">
        <f>IF(B2101=1,3,IF(D2101=1,2,IF(F2101=1,1,0)))</f>
        <v>0</v>
      </c>
      <c r="B2101" s="4" t="str">
        <f>IF(C2101=$L2101,1,IF(C2101="","",0))</f>
        <v/>
      </c>
      <c r="C2101" s="38"/>
      <c r="D2101" s="4" t="str">
        <f>IF(E2101=$L2101,1,IF(E2101="","",0))</f>
        <v/>
      </c>
      <c r="E2101" s="18"/>
      <c r="F2101" s="4" t="str">
        <f>IF(G2101=$L2101,1,IF(G2101="","",0))</f>
        <v/>
      </c>
      <c r="G2101" s="14"/>
      <c r="H2101" s="6">
        <v>2101</v>
      </c>
      <c r="I2101" s="15" t="s">
        <v>3120</v>
      </c>
      <c r="J2101" s="6" t="s">
        <v>5190</v>
      </c>
      <c r="K2101" s="6"/>
      <c r="L2101" s="6" t="s">
        <v>61</v>
      </c>
      <c r="M2101" s="6" t="s">
        <v>8207</v>
      </c>
      <c r="N2101" s="7">
        <f ca="1">RAND()</f>
        <v>0.94846917708583867</v>
      </c>
      <c r="O2101" s="8">
        <v>45214</v>
      </c>
      <c r="P2101" s="8">
        <v>45215</v>
      </c>
      <c r="Q2101" s="8">
        <v>45217</v>
      </c>
      <c r="R2101" s="8">
        <v>45221</v>
      </c>
      <c r="S2101" s="8">
        <v>45228</v>
      </c>
      <c r="T2101" s="8"/>
      <c r="U2101" s="8"/>
      <c r="V2101" s="10">
        <f>COUNTA(O2101:U2101)</f>
        <v>5</v>
      </c>
      <c r="W2101" s="11">
        <f>_xlfn.IFNA(INDEX(reading[[#This Row],[Memo 01]:[Memo 07]],MATCH(0,reading[[#This Row],[Memo 01]:[Memo 07]],-1)),"")</f>
        <v>45228</v>
      </c>
      <c r="X2101" s="11">
        <f ca="1">IFERROR(reading[[#This Row],[Previous]]+OFFSET(reading[[#Headers],[Memo 01]],-1,MATCH(0,reading[[#This Row],[Memo 01]:[Memo 07]],-1)-1),"")</f>
        <v>45240</v>
      </c>
      <c r="Y2101" s="10" t="str">
        <f ca="1">IF(reading[[#This Row],[Next]]&lt;&gt;"",IF(reading[[#This Row],[Next]]&gt;TODAY(),"OK",""),"")</f>
        <v/>
      </c>
      <c r="Z2101" s="13">
        <v>3</v>
      </c>
      <c r="AA2101" s="13">
        <v>2</v>
      </c>
      <c r="AB2101" s="13">
        <v>3</v>
      </c>
      <c r="AC2101" s="13">
        <v>3</v>
      </c>
      <c r="AD2101" s="13">
        <v>3</v>
      </c>
      <c r="AE2101" s="13"/>
      <c r="AF2101" s="13"/>
      <c r="AG2101" s="16">
        <f>IFERROR(SUMIF(reading[[#This Row],[1st]:[7th]],"&gt;0")/COUNTIF(reading[[#This Row],[1st]:[7th]],"&gt;0"),"")</f>
        <v>2.8</v>
      </c>
    </row>
    <row r="2102" spans="1:33" hidden="1" x14ac:dyDescent="0.2">
      <c r="A2102" s="4">
        <f>IF(B2102=1,3,IF(D2102=1,2,IF(F2102=1,1,0)))</f>
        <v>0</v>
      </c>
      <c r="B2102" s="4" t="str">
        <f>IF(C2102=$L2102,1,IF(C2102="","",0))</f>
        <v/>
      </c>
      <c r="C2102" s="42"/>
      <c r="D2102" s="4" t="str">
        <f>IF(E2102=$L2102,1,IF(E2102="","",0))</f>
        <v/>
      </c>
      <c r="E2102" s="23"/>
      <c r="F2102" s="4" t="str">
        <f>IF(G2102=$L2102,1,IF(G2102="","",0))</f>
        <v/>
      </c>
      <c r="G2102" s="14"/>
      <c r="H2102" s="6">
        <v>2432</v>
      </c>
      <c r="I2102" s="15" t="s">
        <v>3120</v>
      </c>
      <c r="J2102" s="6" t="s">
        <v>5502</v>
      </c>
      <c r="K2102" s="6"/>
      <c r="L2102" s="6" t="s">
        <v>2482</v>
      </c>
      <c r="M2102" s="6" t="s">
        <v>8537</v>
      </c>
      <c r="N2102" s="7">
        <f ca="1">RAND()</f>
        <v>0.25315888242200402</v>
      </c>
      <c r="O2102" s="8">
        <v>45218</v>
      </c>
      <c r="P2102" s="8">
        <v>45219</v>
      </c>
      <c r="Q2102" s="8">
        <v>45221</v>
      </c>
      <c r="R2102" s="8">
        <v>45225</v>
      </c>
      <c r="S2102" s="8">
        <v>45232</v>
      </c>
      <c r="T2102" s="8">
        <v>45816</v>
      </c>
      <c r="U2102" s="8"/>
      <c r="V2102" s="10">
        <f>COUNTA(O2102:U2102)</f>
        <v>6</v>
      </c>
      <c r="W2102" s="11">
        <f>_xlfn.IFNA(INDEX(reading[[#This Row],[Memo 01]:[Memo 07]],MATCH(0,reading[[#This Row],[Memo 01]:[Memo 07]],-1)),"")</f>
        <v>45816</v>
      </c>
      <c r="X2102" s="11">
        <f ca="1">IFERROR(reading[[#This Row],[Previous]]+OFFSET(reading[[#Headers],[Memo 01]],-1,MATCH(0,reading[[#This Row],[Memo 01]:[Memo 07]],-1)-1),"")</f>
        <v>45836</v>
      </c>
      <c r="Y2102" s="10" t="str">
        <f ca="1">IF(reading[[#This Row],[Next]]&lt;&gt;"",IF(reading[[#This Row],[Next]]&gt;TODAY(),"OK",""),"")</f>
        <v>OK</v>
      </c>
      <c r="Z2102" s="13">
        <v>3</v>
      </c>
      <c r="AA2102" s="13">
        <v>3</v>
      </c>
      <c r="AB2102" s="13">
        <v>3</v>
      </c>
      <c r="AC2102" s="13">
        <v>3</v>
      </c>
      <c r="AD2102" s="13">
        <v>3</v>
      </c>
      <c r="AE2102" s="13">
        <v>2</v>
      </c>
      <c r="AF2102" s="13"/>
      <c r="AG2102" s="16">
        <f>IFERROR(SUMIF(reading[[#This Row],[1st]:[7th]],"&gt;0")/COUNTIF(reading[[#This Row],[1st]:[7th]],"&gt;0"),"")</f>
        <v>2.8333333333333335</v>
      </c>
    </row>
    <row r="2103" spans="1:33" x14ac:dyDescent="0.2">
      <c r="A2103" s="4">
        <f>IF(B2103=1,3,IF(D2103=1,2,IF(F2103=1,1,0)))</f>
        <v>0</v>
      </c>
      <c r="B2103" s="4" t="str">
        <f>IF(C2103=$L2103,1,IF(C2103="","",0))</f>
        <v/>
      </c>
      <c r="C2103" s="39"/>
      <c r="D2103" s="4" t="str">
        <f>IF(E2103=$L2103,1,IF(E2103="","",0))</f>
        <v/>
      </c>
      <c r="E2103" s="14"/>
      <c r="F2103" s="4" t="str">
        <f>IF(G2103=$L2103,1,IF(G2103="","",0))</f>
        <v/>
      </c>
      <c r="G2103" s="14"/>
      <c r="H2103" s="6">
        <v>1512</v>
      </c>
      <c r="I2103" s="15" t="s">
        <v>3120</v>
      </c>
      <c r="J2103" s="6" t="s">
        <v>4625</v>
      </c>
      <c r="K2103" s="6"/>
      <c r="L2103" s="6" t="s">
        <v>1597</v>
      </c>
      <c r="M2103" s="6" t="s">
        <v>7619</v>
      </c>
      <c r="N2103" s="7">
        <f ca="1">RAND()</f>
        <v>0.38725568251734077</v>
      </c>
      <c r="O2103" s="8">
        <v>45209</v>
      </c>
      <c r="P2103" s="8">
        <v>45210</v>
      </c>
      <c r="Q2103" s="8">
        <v>45212</v>
      </c>
      <c r="R2103" s="8">
        <v>45216</v>
      </c>
      <c r="S2103" s="8">
        <v>45223</v>
      </c>
      <c r="T2103" s="8">
        <v>45235</v>
      </c>
      <c r="U2103" s="8"/>
      <c r="V2103" s="10">
        <f>COUNTA(O2103:U2103)</f>
        <v>6</v>
      </c>
      <c r="W2103" s="11">
        <f>_xlfn.IFNA(INDEX(reading[[#This Row],[Memo 01]:[Memo 07]],MATCH(0,reading[[#This Row],[Memo 01]:[Memo 07]],-1)),"")</f>
        <v>45235</v>
      </c>
      <c r="X2103" s="11">
        <f ca="1">IFERROR(reading[[#This Row],[Previous]]+OFFSET(reading[[#Headers],[Memo 01]],-1,MATCH(0,reading[[#This Row],[Memo 01]:[Memo 07]],-1)-1),"")</f>
        <v>45255</v>
      </c>
      <c r="Y2103" s="10" t="str">
        <f ca="1">IF(reading[[#This Row],[Next]]&lt;&gt;"",IF(reading[[#This Row],[Next]]&gt;TODAY(),"OK",""),"")</f>
        <v/>
      </c>
      <c r="Z2103" s="13">
        <v>3</v>
      </c>
      <c r="AA2103" s="13">
        <v>3</v>
      </c>
      <c r="AB2103" s="13">
        <v>3</v>
      </c>
      <c r="AC2103" s="13">
        <v>3</v>
      </c>
      <c r="AD2103" s="13">
        <v>3</v>
      </c>
      <c r="AE2103" s="13">
        <v>3</v>
      </c>
      <c r="AF2103" s="13"/>
      <c r="AG2103" s="16">
        <f>IFERROR(SUMIF(reading[[#This Row],[1st]:[7th]],"&gt;0")/COUNTIF(reading[[#This Row],[1st]:[7th]],"&gt;0"),"")</f>
        <v>3</v>
      </c>
    </row>
    <row r="2104" spans="1:33" x14ac:dyDescent="0.2">
      <c r="A2104" s="4">
        <f>IF(B2104=1,3,IF(D2104=1,2,IF(F2104=1,1,0)))</f>
        <v>0</v>
      </c>
      <c r="B2104" s="4" t="str">
        <f>IF(C2104=$L2104,1,IF(C2104="","",0))</f>
        <v/>
      </c>
      <c r="C2104" s="38"/>
      <c r="D2104" s="4" t="str">
        <f>IF(E2104=$L2104,1,IF(E2104="","",0))</f>
        <v/>
      </c>
      <c r="E2104" s="18"/>
      <c r="F2104" s="4" t="str">
        <f>IF(G2104=$L2104,1,IF(G2104="","",0))</f>
        <v/>
      </c>
      <c r="G2104" s="14"/>
      <c r="H2104" s="6">
        <v>2179</v>
      </c>
      <c r="I2104" s="15" t="s">
        <v>3120</v>
      </c>
      <c r="J2104" s="6" t="s">
        <v>5267</v>
      </c>
      <c r="K2104" s="6"/>
      <c r="L2104" s="6" t="s">
        <v>2244</v>
      </c>
      <c r="M2104" s="6" t="s">
        <v>8285</v>
      </c>
      <c r="N2104" s="7">
        <f ca="1">RAND()</f>
        <v>0.21335076159839517</v>
      </c>
      <c r="O2104" s="8">
        <v>45214</v>
      </c>
      <c r="P2104" s="8">
        <v>45215</v>
      </c>
      <c r="Q2104" s="8">
        <v>45217</v>
      </c>
      <c r="R2104" s="8">
        <v>45221</v>
      </c>
      <c r="S2104" s="8">
        <v>45228</v>
      </c>
      <c r="T2104" s="8"/>
      <c r="U2104" s="8"/>
      <c r="V2104" s="10">
        <f>COUNTA(O2104:U2104)</f>
        <v>5</v>
      </c>
      <c r="W2104" s="11">
        <f>_xlfn.IFNA(INDEX(reading[[#This Row],[Memo 01]:[Memo 07]],MATCH(0,reading[[#This Row],[Memo 01]:[Memo 07]],-1)),"")</f>
        <v>45228</v>
      </c>
      <c r="X2104" s="11">
        <f ca="1">IFERROR(reading[[#This Row],[Previous]]+OFFSET(reading[[#Headers],[Memo 01]],-1,MATCH(0,reading[[#This Row],[Memo 01]:[Memo 07]],-1)-1),"")</f>
        <v>45240</v>
      </c>
      <c r="Y2104" s="10" t="str">
        <f ca="1">IF(reading[[#This Row],[Next]]&lt;&gt;"",IF(reading[[#This Row],[Next]]&gt;TODAY(),"OK",""),"")</f>
        <v/>
      </c>
      <c r="Z2104" s="13">
        <v>3</v>
      </c>
      <c r="AA2104" s="13">
        <v>3</v>
      </c>
      <c r="AB2104" s="13">
        <v>3</v>
      </c>
      <c r="AC2104" s="13">
        <v>3</v>
      </c>
      <c r="AD2104" s="13">
        <v>3</v>
      </c>
      <c r="AE2104" s="13"/>
      <c r="AF2104" s="13"/>
      <c r="AG2104" s="16">
        <f>IFERROR(SUMIF(reading[[#This Row],[1st]:[7th]],"&gt;0")/COUNTIF(reading[[#This Row],[1st]:[7th]],"&gt;0"),"")</f>
        <v>3</v>
      </c>
    </row>
    <row r="2105" spans="1:33" hidden="1" x14ac:dyDescent="0.2">
      <c r="A2105" s="4">
        <f>IF(B2105=1,3,IF(D2105=1,2,IF(F2105=1,1,0)))</f>
        <v>0</v>
      </c>
      <c r="B2105" s="4" t="str">
        <f>IF(C2105=$L2105,1,IF(C2105="","",0))</f>
        <v/>
      </c>
      <c r="C2105" s="42"/>
      <c r="D2105" s="4" t="str">
        <f>IF(E2105=$L2105,1,IF(E2105="","",0))</f>
        <v/>
      </c>
      <c r="E2105" s="23"/>
      <c r="F2105" s="4" t="str">
        <f>IF(G2105=$L2105,1,IF(G2105="","",0))</f>
        <v/>
      </c>
      <c r="G2105" s="14"/>
      <c r="H2105" s="6">
        <v>1586</v>
      </c>
      <c r="I2105" s="15" t="s">
        <v>3120</v>
      </c>
      <c r="J2105" s="6" t="s">
        <v>4698</v>
      </c>
      <c r="K2105" s="6"/>
      <c r="L2105" s="6" t="s">
        <v>1669</v>
      </c>
      <c r="M2105" s="6" t="s">
        <v>7692</v>
      </c>
      <c r="N2105" s="7">
        <f ca="1">RAND()</f>
        <v>0.76827941167339209</v>
      </c>
      <c r="O2105" s="8">
        <v>45209</v>
      </c>
      <c r="P2105" s="8">
        <v>45210</v>
      </c>
      <c r="Q2105" s="8">
        <v>45212</v>
      </c>
      <c r="R2105" s="8">
        <v>45216</v>
      </c>
      <c r="S2105" s="8">
        <v>45223</v>
      </c>
      <c r="T2105" s="8">
        <v>45235</v>
      </c>
      <c r="U2105" s="8">
        <v>45816</v>
      </c>
      <c r="V2105" s="10">
        <f>COUNTA(O2105:U2105)</f>
        <v>7</v>
      </c>
      <c r="W2105" s="11">
        <f>_xlfn.IFNA(INDEX(reading[[#This Row],[Memo 01]:[Memo 07]],MATCH(0,reading[[#This Row],[Memo 01]:[Memo 07]],-1)),"")</f>
        <v>45816</v>
      </c>
      <c r="X2105" s="11">
        <f ca="1">IFERROR(reading[[#This Row],[Previous]]+OFFSET(reading[[#Headers],[Memo 01]],-1,MATCH(0,reading[[#This Row],[Memo 01]:[Memo 07]],-1)-1),"")</f>
        <v>55816</v>
      </c>
      <c r="Y2105" s="10" t="str">
        <f ca="1">IF(reading[[#This Row],[Next]]&lt;&gt;"",IF(reading[[#This Row],[Next]]&gt;TODAY(),"OK",""),"")</f>
        <v>OK</v>
      </c>
      <c r="Z2105" s="13">
        <v>3</v>
      </c>
      <c r="AA2105" s="13">
        <v>3</v>
      </c>
      <c r="AB2105" s="13">
        <v>3</v>
      </c>
      <c r="AC2105" s="13">
        <v>3</v>
      </c>
      <c r="AD2105" s="13">
        <v>3</v>
      </c>
      <c r="AE2105" s="13">
        <v>3</v>
      </c>
      <c r="AF2105" s="13">
        <v>2</v>
      </c>
      <c r="AG2105" s="16">
        <f>IFERROR(SUMIF(reading[[#This Row],[1st]:[7th]],"&gt;0")/COUNTIF(reading[[#This Row],[1st]:[7th]],"&gt;0"),"")</f>
        <v>2.8571428571428572</v>
      </c>
    </row>
    <row r="2106" spans="1:33" x14ac:dyDescent="0.2">
      <c r="A2106" s="4">
        <f>IF(B2106=1,3,IF(D2106=1,2,IF(F2106=1,1,0)))</f>
        <v>0</v>
      </c>
      <c r="B2106" s="4" t="str">
        <f>IF(C2106=$L2106,1,IF(C2106="","",0))</f>
        <v/>
      </c>
      <c r="C2106" s="42"/>
      <c r="D2106" s="4" t="str">
        <f>IF(E2106=$L2106,1,IF(E2106="","",0))</f>
        <v/>
      </c>
      <c r="E2106" s="18"/>
      <c r="F2106" s="4" t="str">
        <f>IF(G2106=$L2106,1,IF(G2106="","",0))</f>
        <v/>
      </c>
      <c r="G2106" s="14"/>
      <c r="H2106" s="6">
        <v>1956</v>
      </c>
      <c r="I2106" s="15" t="s">
        <v>3120</v>
      </c>
      <c r="J2106" s="6" t="s">
        <v>5055</v>
      </c>
      <c r="K2106" s="6"/>
      <c r="L2106" s="6" t="s">
        <v>2031</v>
      </c>
      <c r="M2106" s="6" t="s">
        <v>8062</v>
      </c>
      <c r="N2106" s="7">
        <f ca="1">RAND()</f>
        <v>3.7351337525013517E-2</v>
      </c>
      <c r="O2106" s="8">
        <v>45213</v>
      </c>
      <c r="P2106" s="8">
        <v>45214</v>
      </c>
      <c r="Q2106" s="8">
        <v>45216</v>
      </c>
      <c r="R2106" s="8">
        <v>45220</v>
      </c>
      <c r="S2106" s="8">
        <v>45227</v>
      </c>
      <c r="T2106" s="8">
        <v>45792</v>
      </c>
      <c r="U2106" s="8"/>
      <c r="V2106" s="10">
        <f>COUNTA(O2106:U2106)</f>
        <v>6</v>
      </c>
      <c r="W2106" s="11">
        <f>_xlfn.IFNA(INDEX(reading[[#This Row],[Memo 01]:[Memo 07]],MATCH(0,reading[[#This Row],[Memo 01]:[Memo 07]],-1)),"")</f>
        <v>45792</v>
      </c>
      <c r="X2106" s="11">
        <f ca="1">IFERROR(reading[[#This Row],[Previous]]+OFFSET(reading[[#Headers],[Memo 01]],-1,MATCH(0,reading[[#This Row],[Memo 01]:[Memo 07]],-1)-1),"")</f>
        <v>45812</v>
      </c>
      <c r="Y2106" s="10" t="str">
        <f ca="1">IF(reading[[#This Row],[Next]]&lt;&gt;"",IF(reading[[#This Row],[Next]]&gt;TODAY(),"OK",""),"")</f>
        <v/>
      </c>
      <c r="Z2106" s="13">
        <v>3</v>
      </c>
      <c r="AA2106" s="13">
        <v>3</v>
      </c>
      <c r="AB2106" s="13">
        <v>3</v>
      </c>
      <c r="AC2106" s="13">
        <v>2</v>
      </c>
      <c r="AD2106" s="13">
        <v>3</v>
      </c>
      <c r="AE2106" s="13">
        <v>3</v>
      </c>
      <c r="AF2106" s="13"/>
      <c r="AG2106" s="16">
        <f>IFERROR(SUMIF(reading[[#This Row],[1st]:[7th]],"&gt;0")/COUNTIF(reading[[#This Row],[1st]:[7th]],"&gt;0"),"")</f>
        <v>2.8333333333333335</v>
      </c>
    </row>
    <row r="2107" spans="1:33" hidden="1" x14ac:dyDescent="0.2">
      <c r="A2107" s="4">
        <f>IF(B2107=1,3,IF(D2107=1,2,IF(F2107=1,1,0)))</f>
        <v>3</v>
      </c>
      <c r="B2107" s="4">
        <f>IF(C2107=$L2107,1,IF(C2107="","",0))</f>
        <v>1</v>
      </c>
      <c r="C2107" s="34" t="s">
        <v>2179</v>
      </c>
      <c r="D2107" s="4" t="str">
        <f>IF(E2107=$L2107,1,IF(E2107="","",0))</f>
        <v/>
      </c>
      <c r="E2107" s="14"/>
      <c r="F2107" s="4" t="str">
        <f>IF(G2107=$L2107,1,IF(G2107="","",0))</f>
        <v/>
      </c>
      <c r="G2107" s="14"/>
      <c r="H2107" s="6">
        <v>2111</v>
      </c>
      <c r="I2107" s="15" t="s">
        <v>3120</v>
      </c>
      <c r="J2107" s="6" t="s">
        <v>5200</v>
      </c>
      <c r="K2107" s="6"/>
      <c r="L2107" s="6" t="s">
        <v>2179</v>
      </c>
      <c r="M2107" s="6" t="s">
        <v>8217</v>
      </c>
      <c r="N2107" s="7">
        <f ca="1">RAND()</f>
        <v>0.46245028542720013</v>
      </c>
      <c r="O2107" s="8">
        <v>45214</v>
      </c>
      <c r="P2107" s="8">
        <v>45214</v>
      </c>
      <c r="Q2107" s="8">
        <v>45214</v>
      </c>
      <c r="R2107" s="8">
        <v>45214</v>
      </c>
      <c r="S2107" s="8">
        <v>45214</v>
      </c>
      <c r="T2107" s="8">
        <v>45214</v>
      </c>
      <c r="U2107" s="8">
        <v>45214</v>
      </c>
      <c r="V2107" s="10">
        <f>COUNTA(O2107:U2107)</f>
        <v>7</v>
      </c>
      <c r="W2107" s="11">
        <f>_xlfn.IFNA(INDEX(reading[[#This Row],[Memo 01]:[Memo 07]],MATCH(0,reading[[#This Row],[Memo 01]:[Memo 07]],-1)),"")</f>
        <v>45214</v>
      </c>
      <c r="X2107" s="11">
        <f ca="1">IFERROR(reading[[#This Row],[Previous]]+OFFSET(reading[[#Headers],[Memo 01]],-1,MATCH(0,reading[[#This Row],[Memo 01]:[Memo 07]],-1)-1),"")</f>
        <v>55214</v>
      </c>
      <c r="Y2107" s="10" t="str">
        <f ca="1">IF(reading[[#This Row],[Next]]&lt;&gt;"",IF(reading[[#This Row],[Next]]&gt;TODAY(),"OK",""),"")</f>
        <v>OK</v>
      </c>
      <c r="Z2107" s="13">
        <v>3</v>
      </c>
      <c r="AA2107" s="13"/>
      <c r="AB2107" s="13"/>
      <c r="AC2107" s="13"/>
      <c r="AD2107" s="13"/>
      <c r="AE2107" s="13"/>
      <c r="AF2107" s="13"/>
      <c r="AG2107" s="16">
        <f>IFERROR(SUMIF(reading[[#This Row],[1st]:[7th]],"&gt;0")/COUNTIF(reading[[#This Row],[1st]:[7th]],"&gt;0"),"")</f>
        <v>3</v>
      </c>
    </row>
    <row r="2108" spans="1:33" hidden="1" x14ac:dyDescent="0.2">
      <c r="A2108" s="4">
        <f>IF(B2108=1,3,IF(D2108=1,2,IF(F2108=1,1,0)))</f>
        <v>2</v>
      </c>
      <c r="B2108" s="4">
        <f>IF(C2108=$L2108,1,IF(C2108="","",0))</f>
        <v>0</v>
      </c>
      <c r="C2108" s="34" t="s">
        <v>1381</v>
      </c>
      <c r="D2108" s="4">
        <f>IF(E2108=$L2108,1,IF(E2108="","",0))</f>
        <v>1</v>
      </c>
      <c r="E2108" s="18" t="s">
        <v>2180</v>
      </c>
      <c r="F2108" s="4" t="str">
        <f>IF(G2108=$L2108,1,IF(G2108="","",0))</f>
        <v/>
      </c>
      <c r="G2108" s="14"/>
      <c r="H2108" s="6">
        <v>2112</v>
      </c>
      <c r="I2108" s="15" t="s">
        <v>3120</v>
      </c>
      <c r="J2108" s="6" t="s">
        <v>3202</v>
      </c>
      <c r="K2108" s="6"/>
      <c r="L2108" s="6" t="s">
        <v>2180</v>
      </c>
      <c r="M2108" s="6" t="s">
        <v>8218</v>
      </c>
      <c r="N2108" s="7">
        <f ca="1">RAND()</f>
        <v>0.83532215976451796</v>
      </c>
      <c r="O2108" s="8">
        <v>45214</v>
      </c>
      <c r="P2108" s="8">
        <v>45214</v>
      </c>
      <c r="Q2108" s="8">
        <v>45214</v>
      </c>
      <c r="R2108" s="8">
        <v>45214</v>
      </c>
      <c r="S2108" s="8">
        <v>45214</v>
      </c>
      <c r="T2108" s="8">
        <v>45214</v>
      </c>
      <c r="U2108" s="8">
        <v>45214</v>
      </c>
      <c r="V2108" s="10">
        <f>COUNTA(O2108:U2108)</f>
        <v>7</v>
      </c>
      <c r="W2108" s="11">
        <f>_xlfn.IFNA(INDEX(reading[[#This Row],[Memo 01]:[Memo 07]],MATCH(0,reading[[#This Row],[Memo 01]:[Memo 07]],-1)),"")</f>
        <v>45214</v>
      </c>
      <c r="X2108" s="11">
        <f ca="1">IFERROR(reading[[#This Row],[Previous]]+OFFSET(reading[[#Headers],[Memo 01]],-1,MATCH(0,reading[[#This Row],[Memo 01]:[Memo 07]],-1)-1),"")</f>
        <v>55214</v>
      </c>
      <c r="Y2108" s="10" t="str">
        <f ca="1">IF(reading[[#This Row],[Next]]&lt;&gt;"",IF(reading[[#This Row],[Next]]&gt;TODAY(),"OK",""),"")</f>
        <v>OK</v>
      </c>
      <c r="Z2108" s="13">
        <v>3</v>
      </c>
      <c r="AA2108" s="13"/>
      <c r="AB2108" s="13"/>
      <c r="AC2108" s="13"/>
      <c r="AD2108" s="13"/>
      <c r="AE2108" s="13"/>
      <c r="AF2108" s="13"/>
      <c r="AG2108" s="16">
        <f>IFERROR(SUMIF(reading[[#This Row],[1st]:[7th]],"&gt;0")/COUNTIF(reading[[#This Row],[1st]:[7th]],"&gt;0"),"")</f>
        <v>3</v>
      </c>
    </row>
    <row r="2109" spans="1:33" x14ac:dyDescent="0.2">
      <c r="A2109" s="4">
        <f>IF(B2109=1,3,IF(D2109=1,2,IF(F2109=1,1,0)))</f>
        <v>0</v>
      </c>
      <c r="B2109" s="4" t="str">
        <f>IF(C2109=$L2109,1,IF(C2109="","",0))</f>
        <v/>
      </c>
      <c r="C2109" s="36"/>
      <c r="D2109" s="4" t="str">
        <f>IF(E2109=$L2109,1,IF(E2109="","",0))</f>
        <v/>
      </c>
      <c r="E2109" s="14"/>
      <c r="F2109" s="4" t="str">
        <f>IF(G2109=$L2109,1,IF(G2109="","",0))</f>
        <v/>
      </c>
      <c r="G2109" s="14"/>
      <c r="H2109" s="6">
        <v>1972</v>
      </c>
      <c r="I2109" s="15" t="s">
        <v>3120</v>
      </c>
      <c r="J2109" s="6" t="s">
        <v>5071</v>
      </c>
      <c r="K2109" s="6"/>
      <c r="L2109" s="6" t="s">
        <v>2047</v>
      </c>
      <c r="M2109" s="6" t="s">
        <v>8078</v>
      </c>
      <c r="N2109" s="7">
        <f ca="1">RAND()</f>
        <v>0.51673270030262419</v>
      </c>
      <c r="O2109" s="8">
        <v>45213</v>
      </c>
      <c r="P2109" s="8">
        <v>45214</v>
      </c>
      <c r="Q2109" s="8">
        <v>45216</v>
      </c>
      <c r="R2109" s="8">
        <v>45220</v>
      </c>
      <c r="S2109" s="8">
        <v>45227</v>
      </c>
      <c r="T2109" s="8"/>
      <c r="U2109" s="8"/>
      <c r="V2109" s="10">
        <f>COUNTA(O2109:U2109)</f>
        <v>5</v>
      </c>
      <c r="W2109" s="11">
        <f>_xlfn.IFNA(INDEX(reading[[#This Row],[Memo 01]:[Memo 07]],MATCH(0,reading[[#This Row],[Memo 01]:[Memo 07]],-1)),"")</f>
        <v>45227</v>
      </c>
      <c r="X2109" s="11">
        <f ca="1">IFERROR(reading[[#This Row],[Previous]]+OFFSET(reading[[#Headers],[Memo 01]],-1,MATCH(0,reading[[#This Row],[Memo 01]:[Memo 07]],-1)-1),"")</f>
        <v>45239</v>
      </c>
      <c r="Y2109" s="10" t="str">
        <f ca="1">IF(reading[[#This Row],[Next]]&lt;&gt;"",IF(reading[[#This Row],[Next]]&gt;TODAY(),"OK",""),"")</f>
        <v/>
      </c>
      <c r="Z2109" s="13">
        <v>3</v>
      </c>
      <c r="AA2109" s="13">
        <v>3</v>
      </c>
      <c r="AB2109" s="13">
        <v>3</v>
      </c>
      <c r="AC2109" s="13">
        <v>3</v>
      </c>
      <c r="AD2109" s="13">
        <v>3</v>
      </c>
      <c r="AE2109" s="13"/>
      <c r="AF2109" s="13"/>
      <c r="AG2109" s="16">
        <f>IFERROR(SUMIF(reading[[#This Row],[1st]:[7th]],"&gt;0")/COUNTIF(reading[[#This Row],[1st]:[7th]],"&gt;0"),"")</f>
        <v>3</v>
      </c>
    </row>
    <row r="2110" spans="1:33" x14ac:dyDescent="0.2">
      <c r="A2110" s="4">
        <f>IF(B2110=1,3,IF(D2110=1,2,IF(F2110=1,1,0)))</f>
        <v>0</v>
      </c>
      <c r="B2110" s="4" t="str">
        <f>IF(C2110=$L2110,1,IF(C2110="","",0))</f>
        <v/>
      </c>
      <c r="C2110" s="39"/>
      <c r="D2110" s="4" t="str">
        <f>IF(E2110=$L2110,1,IF(E2110="","",0))</f>
        <v/>
      </c>
      <c r="E2110" s="14"/>
      <c r="F2110" s="4" t="str">
        <f>IF(G2110=$L2110,1,IF(G2110="","",0))</f>
        <v/>
      </c>
      <c r="G2110" s="14"/>
      <c r="H2110" s="6">
        <v>1466</v>
      </c>
      <c r="I2110" s="15" t="s">
        <v>3120</v>
      </c>
      <c r="J2110" s="6" t="s">
        <v>4580</v>
      </c>
      <c r="K2110" s="6"/>
      <c r="L2110" s="6" t="s">
        <v>1553</v>
      </c>
      <c r="M2110" s="6" t="s">
        <v>7573</v>
      </c>
      <c r="N2110" s="7">
        <f ca="1">RAND()</f>
        <v>0.29568578261035516</v>
      </c>
      <c r="O2110" s="8">
        <v>45208</v>
      </c>
      <c r="P2110" s="8">
        <v>45209</v>
      </c>
      <c r="Q2110" s="8">
        <v>45211</v>
      </c>
      <c r="R2110" s="8">
        <v>45215</v>
      </c>
      <c r="S2110" s="8">
        <v>45222</v>
      </c>
      <c r="T2110" s="8">
        <v>45234</v>
      </c>
      <c r="U2110" s="8"/>
      <c r="V2110" s="10">
        <f>COUNTA(O2110:U2110)</f>
        <v>6</v>
      </c>
      <c r="W2110" s="11">
        <f>_xlfn.IFNA(INDEX(reading[[#This Row],[Memo 01]:[Memo 07]],MATCH(0,reading[[#This Row],[Memo 01]:[Memo 07]],-1)),"")</f>
        <v>45234</v>
      </c>
      <c r="X2110" s="11">
        <f ca="1">IFERROR(reading[[#This Row],[Previous]]+OFFSET(reading[[#Headers],[Memo 01]],-1,MATCH(0,reading[[#This Row],[Memo 01]:[Memo 07]],-1)-1),"")</f>
        <v>45254</v>
      </c>
      <c r="Y2110" s="10" t="str">
        <f ca="1">IF(reading[[#This Row],[Next]]&lt;&gt;"",IF(reading[[#This Row],[Next]]&gt;TODAY(),"OK",""),"")</f>
        <v/>
      </c>
      <c r="Z2110" s="13">
        <v>3</v>
      </c>
      <c r="AA2110" s="13">
        <v>3</v>
      </c>
      <c r="AB2110" s="13">
        <v>3</v>
      </c>
      <c r="AC2110" s="13">
        <v>3</v>
      </c>
      <c r="AD2110" s="13">
        <v>3</v>
      </c>
      <c r="AE2110" s="13">
        <v>3</v>
      </c>
      <c r="AF2110" s="13"/>
      <c r="AG2110" s="16">
        <f>IFERROR(SUMIF(reading[[#This Row],[1st]:[7th]],"&gt;0")/COUNTIF(reading[[#This Row],[1st]:[7th]],"&gt;0"),"")</f>
        <v>3</v>
      </c>
    </row>
    <row r="2111" spans="1:33" x14ac:dyDescent="0.2">
      <c r="A2111" s="4">
        <f>IF(B2111=1,3,IF(D2111=1,2,IF(F2111=1,1,0)))</f>
        <v>0</v>
      </c>
      <c r="B2111" s="4" t="str">
        <f>IF(C2111=$L2111,1,IF(C2111="","",0))</f>
        <v/>
      </c>
      <c r="C2111" s="39"/>
      <c r="D2111" s="4" t="str">
        <f>IF(E2111=$L2111,1,IF(E2111="","",0))</f>
        <v/>
      </c>
      <c r="E2111" s="14"/>
      <c r="F2111" s="4" t="str">
        <f>IF(G2111=$L2111,1,IF(G2111="","",0))</f>
        <v/>
      </c>
      <c r="G2111" s="14"/>
      <c r="H2111" s="6">
        <v>2866</v>
      </c>
      <c r="I2111" s="15" t="s">
        <v>3120</v>
      </c>
      <c r="J2111" s="6" t="s">
        <v>5904</v>
      </c>
      <c r="K2111" s="6"/>
      <c r="L2111" s="6" t="s">
        <v>2897</v>
      </c>
      <c r="M2111" s="6" t="s">
        <v>8970</v>
      </c>
      <c r="N2111" s="7">
        <f ca="1">RAND()</f>
        <v>0.35197926045056249</v>
      </c>
      <c r="O2111" s="8">
        <v>45222</v>
      </c>
      <c r="P2111" s="8">
        <v>45223</v>
      </c>
      <c r="Q2111" s="8">
        <v>45225</v>
      </c>
      <c r="R2111" s="8">
        <v>45229</v>
      </c>
      <c r="S2111" s="8">
        <v>45236</v>
      </c>
      <c r="T2111" s="8"/>
      <c r="U2111" s="8"/>
      <c r="V2111" s="10">
        <f>COUNTA(O2111:U2111)</f>
        <v>5</v>
      </c>
      <c r="W2111" s="11">
        <f>_xlfn.IFNA(INDEX(reading[[#This Row],[Memo 01]:[Memo 07]],MATCH(0,reading[[#This Row],[Memo 01]:[Memo 07]],-1)),"")</f>
        <v>45236</v>
      </c>
      <c r="X2111" s="11">
        <f ca="1">IFERROR(reading[[#This Row],[Previous]]+OFFSET(reading[[#Headers],[Memo 01]],-1,MATCH(0,reading[[#This Row],[Memo 01]:[Memo 07]],-1)-1),"")</f>
        <v>45248</v>
      </c>
      <c r="Y2111" s="10" t="str">
        <f ca="1">IF(reading[[#This Row],[Next]]&lt;&gt;"",IF(reading[[#This Row],[Next]]&gt;TODAY(),"OK",""),"")</f>
        <v/>
      </c>
      <c r="Z2111" s="13">
        <v>3</v>
      </c>
      <c r="AA2111" s="13">
        <v>3</v>
      </c>
      <c r="AB2111" s="13">
        <v>3</v>
      </c>
      <c r="AC2111" s="13">
        <v>3</v>
      </c>
      <c r="AD2111" s="13">
        <v>3</v>
      </c>
      <c r="AE2111" s="13"/>
      <c r="AF2111" s="13"/>
      <c r="AG2111" s="16">
        <f>IFERROR(SUMIF(reading[[#This Row],[1st]:[7th]],"&gt;0")/COUNTIF(reading[[#This Row],[1st]:[7th]],"&gt;0"),"")</f>
        <v>3</v>
      </c>
    </row>
    <row r="2112" spans="1:33" x14ac:dyDescent="0.2">
      <c r="A2112" s="4">
        <f>IF(B2112=1,3,IF(D2112=1,2,IF(F2112=1,1,0)))</f>
        <v>0</v>
      </c>
      <c r="B2112" s="4" t="str">
        <f>IF(C2112=$L2112,1,IF(C2112="","",0))</f>
        <v/>
      </c>
      <c r="C2112" s="42"/>
      <c r="D2112" s="4" t="str">
        <f>IF(E2112=$L2112,1,IF(E2112="","",0))</f>
        <v/>
      </c>
      <c r="E2112" s="14"/>
      <c r="F2112" s="4" t="str">
        <f>IF(G2112=$L2112,1,IF(G2112="","",0))</f>
        <v/>
      </c>
      <c r="G2112" s="14"/>
      <c r="H2112" s="6">
        <v>2406</v>
      </c>
      <c r="I2112" s="15" t="s">
        <v>3120</v>
      </c>
      <c r="J2112" s="6" t="s">
        <v>5477</v>
      </c>
      <c r="K2112" s="15" t="s">
        <v>3138</v>
      </c>
      <c r="L2112" s="6" t="s">
        <v>2456</v>
      </c>
      <c r="M2112" s="6" t="s">
        <v>8511</v>
      </c>
      <c r="N2112" s="7">
        <f ca="1">RAND()</f>
        <v>0.72766874222996847</v>
      </c>
      <c r="O2112" s="8">
        <v>45217</v>
      </c>
      <c r="P2112" s="8">
        <v>45218</v>
      </c>
      <c r="Q2112" s="8">
        <v>45220</v>
      </c>
      <c r="R2112" s="8">
        <v>45224</v>
      </c>
      <c r="S2112" s="8">
        <v>45231</v>
      </c>
      <c r="T2112" s="8">
        <v>45783</v>
      </c>
      <c r="U2112" s="8"/>
      <c r="V2112" s="10">
        <f>COUNTA(O2112:U2112)</f>
        <v>6</v>
      </c>
      <c r="W2112" s="11">
        <f>_xlfn.IFNA(INDEX(reading[[#This Row],[Memo 01]:[Memo 07]],MATCH(0,reading[[#This Row],[Memo 01]:[Memo 07]],-1)),"")</f>
        <v>45783</v>
      </c>
      <c r="X2112" s="11">
        <f ca="1">IFERROR(reading[[#This Row],[Previous]]+OFFSET(reading[[#Headers],[Memo 01]],-1,MATCH(0,reading[[#This Row],[Memo 01]:[Memo 07]],-1)-1),"")</f>
        <v>45803</v>
      </c>
      <c r="Y2112" s="10" t="str">
        <f ca="1">IF(reading[[#This Row],[Next]]&lt;&gt;"",IF(reading[[#This Row],[Next]]&gt;TODAY(),"OK",""),"")</f>
        <v/>
      </c>
      <c r="Z2112" s="13">
        <v>3</v>
      </c>
      <c r="AA2112" s="13">
        <v>3</v>
      </c>
      <c r="AB2112" s="13">
        <v>3</v>
      </c>
      <c r="AC2112" s="13">
        <v>3</v>
      </c>
      <c r="AD2112" s="13">
        <v>3</v>
      </c>
      <c r="AE2112" s="13">
        <v>3</v>
      </c>
      <c r="AF2112" s="13"/>
      <c r="AG2112" s="16">
        <f>IFERROR(SUMIF(reading[[#This Row],[1st]:[7th]],"&gt;0")/COUNTIF(reading[[#This Row],[1st]:[7th]],"&gt;0"),"")</f>
        <v>3</v>
      </c>
    </row>
    <row r="2113" spans="1:33" hidden="1" x14ac:dyDescent="0.2">
      <c r="A2113" s="4">
        <f>IF(B2113=1,3,IF(D2113=1,2,IF(F2113=1,1,0)))</f>
        <v>3</v>
      </c>
      <c r="B2113" s="4">
        <f>IF(C2113=$L2113,1,IF(C2113="","",0))</f>
        <v>1</v>
      </c>
      <c r="C2113" s="34" t="s">
        <v>2185</v>
      </c>
      <c r="D2113" s="4" t="str">
        <f>IF(E2113=$L2113,1,IF(E2113="","",0))</f>
        <v/>
      </c>
      <c r="E2113" s="14"/>
      <c r="F2113" s="4" t="str">
        <f>IF(G2113=$L2113,1,IF(G2113="","",0))</f>
        <v/>
      </c>
      <c r="G2113" s="14"/>
      <c r="H2113" s="6">
        <v>2117</v>
      </c>
      <c r="I2113" s="15" t="s">
        <v>3120</v>
      </c>
      <c r="J2113" s="6" t="s">
        <v>5205</v>
      </c>
      <c r="K2113" s="6"/>
      <c r="L2113" s="6" t="s">
        <v>2185</v>
      </c>
      <c r="M2113" s="6" t="s">
        <v>8223</v>
      </c>
      <c r="N2113" s="7">
        <f ca="1">RAND()</f>
        <v>0.82395875381509343</v>
      </c>
      <c r="O2113" s="8">
        <v>45214</v>
      </c>
      <c r="P2113" s="8">
        <v>45214</v>
      </c>
      <c r="Q2113" s="8">
        <v>45214</v>
      </c>
      <c r="R2113" s="8">
        <v>45214</v>
      </c>
      <c r="S2113" s="8">
        <v>45214</v>
      </c>
      <c r="T2113" s="8">
        <v>45214</v>
      </c>
      <c r="U2113" s="8">
        <v>45214</v>
      </c>
      <c r="V2113" s="10">
        <f>COUNTA(O2113:U2113)</f>
        <v>7</v>
      </c>
      <c r="W2113" s="11">
        <f>_xlfn.IFNA(INDEX(reading[[#This Row],[Memo 01]:[Memo 07]],MATCH(0,reading[[#This Row],[Memo 01]:[Memo 07]],-1)),"")</f>
        <v>45214</v>
      </c>
      <c r="X2113" s="11">
        <f ca="1">IFERROR(reading[[#This Row],[Previous]]+OFFSET(reading[[#Headers],[Memo 01]],-1,MATCH(0,reading[[#This Row],[Memo 01]:[Memo 07]],-1)-1),"")</f>
        <v>55214</v>
      </c>
      <c r="Y2113" s="10" t="str">
        <f ca="1">IF(reading[[#This Row],[Next]]&lt;&gt;"",IF(reading[[#This Row],[Next]]&gt;TODAY(),"OK",""),"")</f>
        <v>OK</v>
      </c>
      <c r="Z2113" s="13">
        <v>3</v>
      </c>
      <c r="AA2113" s="13"/>
      <c r="AB2113" s="13"/>
      <c r="AC2113" s="13"/>
      <c r="AD2113" s="13"/>
      <c r="AE2113" s="13"/>
      <c r="AF2113" s="13"/>
      <c r="AG2113" s="16">
        <f>IFERROR(SUMIF(reading[[#This Row],[1st]:[7th]],"&gt;0")/COUNTIF(reading[[#This Row],[1st]:[7th]],"&gt;0"),"")</f>
        <v>3</v>
      </c>
    </row>
    <row r="2114" spans="1:33" x14ac:dyDescent="0.2">
      <c r="A2114" s="4">
        <f>IF(B2114=1,3,IF(D2114=1,2,IF(F2114=1,1,0)))</f>
        <v>0</v>
      </c>
      <c r="B2114" s="4" t="str">
        <f>IF(C2114=$L2114,1,IF(C2114="","",0))</f>
        <v/>
      </c>
      <c r="C2114" s="39"/>
      <c r="D2114" s="4" t="str">
        <f>IF(E2114=$L2114,1,IF(E2114="","",0))</f>
        <v/>
      </c>
      <c r="E2114" s="14"/>
      <c r="F2114" s="4" t="str">
        <f>IF(G2114=$L2114,1,IF(G2114="","",0))</f>
        <v/>
      </c>
      <c r="G2114" s="14"/>
      <c r="H2114" s="6">
        <v>2591</v>
      </c>
      <c r="I2114" s="15" t="s">
        <v>3120</v>
      </c>
      <c r="J2114" s="6" t="s">
        <v>5648</v>
      </c>
      <c r="K2114" s="6"/>
      <c r="L2114" s="6" t="s">
        <v>2634</v>
      </c>
      <c r="M2114" s="6" t="s">
        <v>8696</v>
      </c>
      <c r="N2114" s="7">
        <f ca="1">RAND()</f>
        <v>0.25978632726974737</v>
      </c>
      <c r="O2114" s="8">
        <v>45219</v>
      </c>
      <c r="P2114" s="8">
        <v>45220</v>
      </c>
      <c r="Q2114" s="8">
        <v>45222</v>
      </c>
      <c r="R2114" s="8">
        <v>45226</v>
      </c>
      <c r="S2114" s="8">
        <v>45233</v>
      </c>
      <c r="T2114" s="8"/>
      <c r="U2114" s="8"/>
      <c r="V2114" s="10">
        <f>COUNTA(O2114:U2114)</f>
        <v>5</v>
      </c>
      <c r="W2114" s="11">
        <f>_xlfn.IFNA(INDEX(reading[[#This Row],[Memo 01]:[Memo 07]],MATCH(0,reading[[#This Row],[Memo 01]:[Memo 07]],-1)),"")</f>
        <v>45233</v>
      </c>
      <c r="X2114" s="11">
        <f ca="1">IFERROR(reading[[#This Row],[Previous]]+OFFSET(reading[[#Headers],[Memo 01]],-1,MATCH(0,reading[[#This Row],[Memo 01]:[Memo 07]],-1)-1),"")</f>
        <v>45245</v>
      </c>
      <c r="Y2114" s="10" t="str">
        <f ca="1">IF(reading[[#This Row],[Next]]&lt;&gt;"",IF(reading[[#This Row],[Next]]&gt;TODAY(),"OK",""),"")</f>
        <v/>
      </c>
      <c r="Z2114" s="13">
        <v>3</v>
      </c>
      <c r="AA2114" s="13">
        <v>3</v>
      </c>
      <c r="AB2114" s="13">
        <v>3</v>
      </c>
      <c r="AC2114" s="13">
        <v>3</v>
      </c>
      <c r="AD2114" s="13">
        <v>3</v>
      </c>
      <c r="AE2114" s="13"/>
      <c r="AF2114" s="13"/>
      <c r="AG2114" s="16">
        <f>IFERROR(SUMIF(reading[[#This Row],[1st]:[7th]],"&gt;0")/COUNTIF(reading[[#This Row],[1st]:[7th]],"&gt;0"),"")</f>
        <v>3</v>
      </c>
    </row>
    <row r="2115" spans="1:33" hidden="1" x14ac:dyDescent="0.2">
      <c r="A2115" s="4">
        <f>IF(B2115=1,3,IF(D2115=1,2,IF(F2115=1,1,0)))</f>
        <v>0</v>
      </c>
      <c r="B2115" s="4" t="str">
        <f>IF(C2115=$L2115,1,IF(C2115="","",0))</f>
        <v/>
      </c>
      <c r="C2115" s="42"/>
      <c r="D2115" s="4" t="str">
        <f>IF(E2115=$L2115,1,IF(E2115="","",0))</f>
        <v/>
      </c>
      <c r="E2115" s="23"/>
      <c r="F2115" s="4" t="str">
        <f>IF(G2115=$L2115,1,IF(G2115="","",0))</f>
        <v/>
      </c>
      <c r="G2115" s="14"/>
      <c r="H2115" s="6">
        <v>1077</v>
      </c>
      <c r="I2115" s="15" t="s">
        <v>3120</v>
      </c>
      <c r="J2115" s="6" t="s">
        <v>4202</v>
      </c>
      <c r="K2115" s="6"/>
      <c r="L2115" s="6" t="s">
        <v>1184</v>
      </c>
      <c r="M2115" s="6" t="s">
        <v>7185</v>
      </c>
      <c r="N2115" s="7">
        <f ca="1">RAND()</f>
        <v>0.67477816664466095</v>
      </c>
      <c r="O2115" s="8">
        <v>45205</v>
      </c>
      <c r="P2115" s="8">
        <v>45206</v>
      </c>
      <c r="Q2115" s="8">
        <v>45208</v>
      </c>
      <c r="R2115" s="8">
        <v>45212</v>
      </c>
      <c r="S2115" s="8">
        <v>45219</v>
      </c>
      <c r="T2115" s="8">
        <v>45231</v>
      </c>
      <c r="U2115" s="8">
        <v>45816</v>
      </c>
      <c r="V2115" s="10">
        <f>COUNTA(O2115:U2115)</f>
        <v>7</v>
      </c>
      <c r="W2115" s="11">
        <f>_xlfn.IFNA(INDEX(reading[[#This Row],[Memo 01]:[Memo 07]],MATCH(0,reading[[#This Row],[Memo 01]:[Memo 07]],-1)),"")</f>
        <v>45816</v>
      </c>
      <c r="X2115" s="11">
        <f ca="1">IFERROR(reading[[#This Row],[Previous]]+OFFSET(reading[[#Headers],[Memo 01]],-1,MATCH(0,reading[[#This Row],[Memo 01]:[Memo 07]],-1)-1),"")</f>
        <v>55816</v>
      </c>
      <c r="Y2115" s="10" t="str">
        <f ca="1">IF(reading[[#This Row],[Next]]&lt;&gt;"",IF(reading[[#This Row],[Next]]&gt;TODAY(),"OK",""),"")</f>
        <v>OK</v>
      </c>
      <c r="Z2115" s="13">
        <v>3</v>
      </c>
      <c r="AA2115" s="13">
        <v>3</v>
      </c>
      <c r="AB2115" s="13">
        <v>3</v>
      </c>
      <c r="AC2115" s="13">
        <v>3</v>
      </c>
      <c r="AD2115" s="13">
        <v>3</v>
      </c>
      <c r="AE2115" s="13">
        <v>3</v>
      </c>
      <c r="AF2115" s="13">
        <v>2</v>
      </c>
      <c r="AG2115" s="16">
        <f>IFERROR(SUMIF(reading[[#This Row],[1st]:[7th]],"&gt;0")/COUNTIF(reading[[#This Row],[1st]:[7th]],"&gt;0"),"")</f>
        <v>2.8571428571428572</v>
      </c>
    </row>
    <row r="2116" spans="1:33" x14ac:dyDescent="0.2">
      <c r="A2116" s="4">
        <f>IF(B2116=1,3,IF(D2116=1,2,IF(F2116=1,1,0)))</f>
        <v>0</v>
      </c>
      <c r="B2116" s="4" t="str">
        <f>IF(C2116=$L2116,1,IF(C2116="","",0))</f>
        <v/>
      </c>
      <c r="C2116" s="39"/>
      <c r="D2116" s="4" t="str">
        <f>IF(E2116=$L2116,1,IF(E2116="","",0))</f>
        <v/>
      </c>
      <c r="E2116" s="18"/>
      <c r="F2116" s="4" t="str">
        <f>IF(G2116=$L2116,1,IF(G2116="","",0))</f>
        <v/>
      </c>
      <c r="G2116" s="14"/>
      <c r="H2116" s="6">
        <v>1224</v>
      </c>
      <c r="I2116" s="15" t="s">
        <v>3120</v>
      </c>
      <c r="J2116" s="6" t="s">
        <v>4341</v>
      </c>
      <c r="K2116" s="15" t="s">
        <v>3139</v>
      </c>
      <c r="L2116" s="6" t="s">
        <v>1325</v>
      </c>
      <c r="M2116" s="6" t="s">
        <v>7331</v>
      </c>
      <c r="N2116" s="7">
        <f ca="1">RAND()</f>
        <v>0.60784956161811476</v>
      </c>
      <c r="O2116" s="8">
        <v>45206</v>
      </c>
      <c r="P2116" s="8">
        <v>45207</v>
      </c>
      <c r="Q2116" s="8">
        <v>45209</v>
      </c>
      <c r="R2116" s="8">
        <v>45213</v>
      </c>
      <c r="S2116" s="8">
        <v>45220</v>
      </c>
      <c r="T2116" s="8">
        <v>45232</v>
      </c>
      <c r="U2116" s="8"/>
      <c r="V2116" s="10">
        <f>COUNTA(O2116:U2116)</f>
        <v>6</v>
      </c>
      <c r="W2116" s="11">
        <f>_xlfn.IFNA(INDEX(reading[[#This Row],[Memo 01]:[Memo 07]],MATCH(0,reading[[#This Row],[Memo 01]:[Memo 07]],-1)),"")</f>
        <v>45232</v>
      </c>
      <c r="X2116" s="11">
        <f ca="1">IFERROR(reading[[#This Row],[Previous]]+OFFSET(reading[[#Headers],[Memo 01]],-1,MATCH(0,reading[[#This Row],[Memo 01]:[Memo 07]],-1)-1),"")</f>
        <v>45252</v>
      </c>
      <c r="Y2116" s="10" t="str">
        <f ca="1">IF(reading[[#This Row],[Next]]&lt;&gt;"",IF(reading[[#This Row],[Next]]&gt;TODAY(),"OK",""),"")</f>
        <v/>
      </c>
      <c r="Z2116" s="13">
        <v>3</v>
      </c>
      <c r="AA2116" s="13">
        <v>3</v>
      </c>
      <c r="AB2116" s="13">
        <v>3</v>
      </c>
      <c r="AC2116" s="13">
        <v>3</v>
      </c>
      <c r="AD2116" s="13">
        <v>2</v>
      </c>
      <c r="AE2116" s="13">
        <v>3</v>
      </c>
      <c r="AF2116" s="13"/>
      <c r="AG2116" s="16">
        <f>IFERROR(SUMIF(reading[[#This Row],[1st]:[7th]],"&gt;0")/COUNTIF(reading[[#This Row],[1st]:[7th]],"&gt;0"),"")</f>
        <v>2.8333333333333335</v>
      </c>
    </row>
    <row r="2117" spans="1:33" x14ac:dyDescent="0.2">
      <c r="A2117" s="4">
        <f>IF(B2117=1,3,IF(D2117=1,2,IF(F2117=1,1,0)))</f>
        <v>0</v>
      </c>
      <c r="B2117" s="4" t="str">
        <f>IF(C2117=$L2117,1,IF(C2117="","",0))</f>
        <v/>
      </c>
      <c r="C2117" s="38"/>
      <c r="D2117" s="4" t="str">
        <f>IF(E2117=$L2117,1,IF(E2117="","",0))</f>
        <v/>
      </c>
      <c r="E2117" s="14"/>
      <c r="F2117" s="4" t="str">
        <f>IF(G2117=$L2117,1,IF(G2117="","",0))</f>
        <v/>
      </c>
      <c r="G2117" s="14"/>
      <c r="H2117" s="6">
        <v>2185</v>
      </c>
      <c r="I2117" s="15" t="s">
        <v>3120</v>
      </c>
      <c r="J2117" s="6" t="s">
        <v>5273</v>
      </c>
      <c r="K2117" s="6"/>
      <c r="L2117" s="6" t="s">
        <v>2250</v>
      </c>
      <c r="M2117" s="6" t="s">
        <v>8291</v>
      </c>
      <c r="N2117" s="7">
        <f ca="1">RAND()</f>
        <v>0.35731127431998044</v>
      </c>
      <c r="O2117" s="8">
        <v>45215</v>
      </c>
      <c r="P2117" s="8">
        <v>45216</v>
      </c>
      <c r="Q2117" s="8">
        <v>45218</v>
      </c>
      <c r="R2117" s="8">
        <v>45222</v>
      </c>
      <c r="S2117" s="8">
        <v>45229</v>
      </c>
      <c r="T2117" s="8"/>
      <c r="U2117" s="8"/>
      <c r="V2117" s="10">
        <f>COUNTA(O2117:U2117)</f>
        <v>5</v>
      </c>
      <c r="W2117" s="11">
        <f>_xlfn.IFNA(INDEX(reading[[#This Row],[Memo 01]:[Memo 07]],MATCH(0,reading[[#This Row],[Memo 01]:[Memo 07]],-1)),"")</f>
        <v>45229</v>
      </c>
      <c r="X2117" s="11">
        <f ca="1">IFERROR(reading[[#This Row],[Previous]]+OFFSET(reading[[#Headers],[Memo 01]],-1,MATCH(0,reading[[#This Row],[Memo 01]:[Memo 07]],-1)-1),"")</f>
        <v>45241</v>
      </c>
      <c r="Y2117" s="10" t="str">
        <f ca="1">IF(reading[[#This Row],[Next]]&lt;&gt;"",IF(reading[[#This Row],[Next]]&gt;TODAY(),"OK",""),"")</f>
        <v/>
      </c>
      <c r="Z2117" s="13">
        <v>3</v>
      </c>
      <c r="AA2117" s="13">
        <v>3</v>
      </c>
      <c r="AB2117" s="13">
        <v>3</v>
      </c>
      <c r="AC2117" s="13">
        <v>3</v>
      </c>
      <c r="AD2117" s="13">
        <v>3</v>
      </c>
      <c r="AE2117" s="13"/>
      <c r="AF2117" s="13"/>
      <c r="AG2117" s="16">
        <f>IFERROR(SUMIF(reading[[#This Row],[1st]:[7th]],"&gt;0")/COUNTIF(reading[[#This Row],[1st]:[7th]],"&gt;0"),"")</f>
        <v>3</v>
      </c>
    </row>
    <row r="2118" spans="1:33" x14ac:dyDescent="0.2">
      <c r="A2118" s="4">
        <f>IF(B2118=1,3,IF(D2118=1,2,IF(F2118=1,1,0)))</f>
        <v>0</v>
      </c>
      <c r="B2118" s="4" t="str">
        <f>IF(C2118=$L2118,1,IF(C2118="","",0))</f>
        <v/>
      </c>
      <c r="C2118" s="39"/>
      <c r="D2118" s="4" t="str">
        <f>IF(E2118=$L2118,1,IF(E2118="","",0))</f>
        <v/>
      </c>
      <c r="E2118" s="18"/>
      <c r="F2118" s="4" t="str">
        <f>IF(G2118=$L2118,1,IF(G2118="","",0))</f>
        <v/>
      </c>
      <c r="G2118" s="14"/>
      <c r="H2118" s="6">
        <v>842</v>
      </c>
      <c r="I2118" s="15" t="s">
        <v>3120</v>
      </c>
      <c r="J2118" s="6" t="s">
        <v>3188</v>
      </c>
      <c r="K2118" s="6"/>
      <c r="L2118" s="6" t="s">
        <v>958</v>
      </c>
      <c r="M2118" s="6" t="s">
        <v>6951</v>
      </c>
      <c r="N2118" s="7">
        <f ca="1">RAND()</f>
        <v>0.87183462957110947</v>
      </c>
      <c r="O2118" s="8">
        <v>45204</v>
      </c>
      <c r="P2118" s="8">
        <v>45205</v>
      </c>
      <c r="Q2118" s="8">
        <v>45207</v>
      </c>
      <c r="R2118" s="8">
        <v>45211</v>
      </c>
      <c r="S2118" s="8">
        <v>45218</v>
      </c>
      <c r="T2118" s="8">
        <v>45230</v>
      </c>
      <c r="U2118" s="8"/>
      <c r="V2118" s="10">
        <f>COUNTA(O2118:U2118)</f>
        <v>6</v>
      </c>
      <c r="W2118" s="11">
        <f>_xlfn.IFNA(INDEX(reading[[#This Row],[Memo 01]:[Memo 07]],MATCH(0,reading[[#This Row],[Memo 01]:[Memo 07]],-1)),"")</f>
        <v>45230</v>
      </c>
      <c r="X2118" s="11">
        <f ca="1">IFERROR(reading[[#This Row],[Previous]]+OFFSET(reading[[#Headers],[Memo 01]],-1,MATCH(0,reading[[#This Row],[Memo 01]:[Memo 07]],-1)-1),"")</f>
        <v>45250</v>
      </c>
      <c r="Y2118" s="10" t="str">
        <f ca="1">IF(reading[[#This Row],[Next]]&lt;&gt;"",IF(reading[[#This Row],[Next]]&gt;TODAY(),"OK",""),"")</f>
        <v/>
      </c>
      <c r="Z2118" s="13">
        <v>3</v>
      </c>
      <c r="AA2118" s="13">
        <v>3</v>
      </c>
      <c r="AB2118" s="13">
        <v>3</v>
      </c>
      <c r="AC2118" s="13">
        <v>3</v>
      </c>
      <c r="AD2118" s="13">
        <v>3</v>
      </c>
      <c r="AE2118" s="13">
        <v>3</v>
      </c>
      <c r="AF2118" s="13"/>
      <c r="AG2118" s="16">
        <f>IFERROR(SUMIF(reading[[#This Row],[1st]:[7th]],"&gt;0")/COUNTIF(reading[[#This Row],[1st]:[7th]],"&gt;0"),"")</f>
        <v>3</v>
      </c>
    </row>
    <row r="2119" spans="1:33" x14ac:dyDescent="0.2">
      <c r="A2119" s="4">
        <f>IF(B2119=1,3,IF(D2119=1,2,IF(F2119=1,1,0)))</f>
        <v>0</v>
      </c>
      <c r="B2119" s="4" t="str">
        <f>IF(C2119=$L2119,1,IF(C2119="","",0))</f>
        <v/>
      </c>
      <c r="C2119" s="42"/>
      <c r="D2119" s="4" t="str">
        <f>IF(E2119=$L2119,1,IF(E2119="","",0))</f>
        <v/>
      </c>
      <c r="E2119" s="14"/>
      <c r="F2119" s="4" t="str">
        <f>IF(G2119=$L2119,1,IF(G2119="","",0))</f>
        <v/>
      </c>
      <c r="G2119" s="14"/>
      <c r="H2119" s="6">
        <v>1148</v>
      </c>
      <c r="I2119" s="15" t="s">
        <v>3120</v>
      </c>
      <c r="J2119" s="6" t="s">
        <v>4269</v>
      </c>
      <c r="K2119" s="6"/>
      <c r="L2119" s="6" t="s">
        <v>1250</v>
      </c>
      <c r="M2119" s="6" t="s">
        <v>7256</v>
      </c>
      <c r="N2119" s="7">
        <f ca="1">RAND()</f>
        <v>0.58675549591023868</v>
      </c>
      <c r="O2119" s="8">
        <v>45205</v>
      </c>
      <c r="P2119" s="8">
        <v>45206</v>
      </c>
      <c r="Q2119" s="8">
        <v>45208</v>
      </c>
      <c r="R2119" s="8">
        <v>45212</v>
      </c>
      <c r="S2119" s="8">
        <v>45219</v>
      </c>
      <c r="T2119" s="8">
        <v>45231</v>
      </c>
      <c r="U2119" s="8"/>
      <c r="V2119" s="10">
        <f>COUNTA(O2119:U2119)</f>
        <v>6</v>
      </c>
      <c r="W2119" s="11">
        <f>_xlfn.IFNA(INDEX(reading[[#This Row],[Memo 01]:[Memo 07]],MATCH(0,reading[[#This Row],[Memo 01]:[Memo 07]],-1)),"")</f>
        <v>45231</v>
      </c>
      <c r="X2119" s="11">
        <f ca="1">IFERROR(reading[[#This Row],[Previous]]+OFFSET(reading[[#Headers],[Memo 01]],-1,MATCH(0,reading[[#This Row],[Memo 01]:[Memo 07]],-1)-1),"")</f>
        <v>45251</v>
      </c>
      <c r="Y2119" s="10" t="str">
        <f ca="1">IF(reading[[#This Row],[Next]]&lt;&gt;"",IF(reading[[#This Row],[Next]]&gt;TODAY(),"OK",""),"")</f>
        <v/>
      </c>
      <c r="Z2119" s="13">
        <v>3</v>
      </c>
      <c r="AA2119" s="13">
        <v>3</v>
      </c>
      <c r="AB2119" s="13">
        <v>3</v>
      </c>
      <c r="AC2119" s="13">
        <v>3</v>
      </c>
      <c r="AD2119" s="13">
        <v>3</v>
      </c>
      <c r="AE2119" s="13">
        <v>3</v>
      </c>
      <c r="AF2119" s="13"/>
      <c r="AG2119" s="16">
        <f>IFERROR(SUMIF(reading[[#This Row],[1st]:[7th]],"&gt;0")/COUNTIF(reading[[#This Row],[1st]:[7th]],"&gt;0"),"")</f>
        <v>3</v>
      </c>
    </row>
    <row r="2120" spans="1:33" x14ac:dyDescent="0.2">
      <c r="A2120" s="4">
        <f>IF(B2120=1,3,IF(D2120=1,2,IF(F2120=1,1,0)))</f>
        <v>0</v>
      </c>
      <c r="B2120" s="4" t="str">
        <f>IF(C2120=$L2120,1,IF(C2120="","",0))</f>
        <v/>
      </c>
      <c r="C2120" s="36"/>
      <c r="D2120" s="4" t="str">
        <f>IF(E2120=$L2120,1,IF(E2120="","",0))</f>
        <v/>
      </c>
      <c r="E2120" s="18"/>
      <c r="F2120" s="4" t="str">
        <f>IF(G2120=$L2120,1,IF(G2120="","",0))</f>
        <v/>
      </c>
      <c r="G2120" s="14"/>
      <c r="H2120" s="6">
        <v>1879</v>
      </c>
      <c r="I2120" s="15" t="s">
        <v>3120</v>
      </c>
      <c r="J2120" s="6" t="s">
        <v>4981</v>
      </c>
      <c r="K2120" s="15" t="s">
        <v>3138</v>
      </c>
      <c r="L2120" s="6" t="s">
        <v>1956</v>
      </c>
      <c r="M2120" s="6" t="s">
        <v>7985</v>
      </c>
      <c r="N2120" s="7">
        <f ca="1">RAND()</f>
        <v>0.16611776703415115</v>
      </c>
      <c r="O2120" s="8">
        <v>45213</v>
      </c>
      <c r="P2120" s="8">
        <v>45214</v>
      </c>
      <c r="Q2120" s="8">
        <v>45216</v>
      </c>
      <c r="R2120" s="8">
        <v>45220</v>
      </c>
      <c r="S2120" s="8">
        <v>45227</v>
      </c>
      <c r="T2120" s="8"/>
      <c r="U2120" s="8"/>
      <c r="V2120" s="10">
        <f>COUNTA(O2120:U2120)</f>
        <v>5</v>
      </c>
      <c r="W2120" s="11">
        <f>_xlfn.IFNA(INDEX(reading[[#This Row],[Memo 01]:[Memo 07]],MATCH(0,reading[[#This Row],[Memo 01]:[Memo 07]],-1)),"")</f>
        <v>45227</v>
      </c>
      <c r="X2120" s="11">
        <f ca="1">IFERROR(reading[[#This Row],[Previous]]+OFFSET(reading[[#Headers],[Memo 01]],-1,MATCH(0,reading[[#This Row],[Memo 01]:[Memo 07]],-1)-1),"")</f>
        <v>45239</v>
      </c>
      <c r="Y2120" s="10" t="str">
        <f ca="1">IF(reading[[#This Row],[Next]]&lt;&gt;"",IF(reading[[#This Row],[Next]]&gt;TODAY(),"OK",""),"")</f>
        <v/>
      </c>
      <c r="Z2120" s="13">
        <v>3</v>
      </c>
      <c r="AA2120" s="13">
        <v>3</v>
      </c>
      <c r="AB2120" s="13">
        <v>3</v>
      </c>
      <c r="AC2120" s="13">
        <v>3</v>
      </c>
      <c r="AD2120" s="13">
        <v>2</v>
      </c>
      <c r="AE2120" s="13"/>
      <c r="AF2120" s="13"/>
      <c r="AG2120" s="16">
        <f>IFERROR(SUMIF(reading[[#This Row],[1st]:[7th]],"&gt;0")/COUNTIF(reading[[#This Row],[1st]:[7th]],"&gt;0"),"")</f>
        <v>2.8</v>
      </c>
    </row>
    <row r="2121" spans="1:33" hidden="1" x14ac:dyDescent="0.2">
      <c r="A2121" s="4">
        <f>IF(B2121=1,3,IF(D2121=1,2,IF(F2121=1,1,0)))</f>
        <v>0</v>
      </c>
      <c r="B2121" s="4" t="str">
        <f>IF(C2121=$L2121,1,IF(C2121="","",0))</f>
        <v/>
      </c>
      <c r="C2121" s="18"/>
      <c r="D2121" s="4" t="str">
        <f>IF(E2121=$L2121,1,IF(E2121="","",0))</f>
        <v/>
      </c>
      <c r="E2121" s="18"/>
      <c r="F2121" s="4" t="str">
        <f>IF(G2121=$L2121,1,IF(G2121="","",0))</f>
        <v/>
      </c>
      <c r="G2121" s="14"/>
      <c r="H2121" s="6">
        <v>205</v>
      </c>
      <c r="I2121" s="15" t="s">
        <v>3120</v>
      </c>
      <c r="J2121" s="6" t="s">
        <v>3354</v>
      </c>
      <c r="K2121" s="6"/>
      <c r="L2121" s="6" t="s">
        <v>341</v>
      </c>
      <c r="M2121" s="6" t="s">
        <v>6314</v>
      </c>
      <c r="N2121" s="7">
        <f ca="1">RAND()</f>
        <v>0.27003352837105166</v>
      </c>
      <c r="O2121" s="8">
        <v>45199</v>
      </c>
      <c r="P2121" s="8">
        <v>45200</v>
      </c>
      <c r="Q2121" s="8">
        <v>45202</v>
      </c>
      <c r="R2121" s="8">
        <v>45206</v>
      </c>
      <c r="S2121" s="8">
        <v>45213</v>
      </c>
      <c r="T2121" s="8">
        <v>45225</v>
      </c>
      <c r="U2121" s="8">
        <v>45250</v>
      </c>
      <c r="V2121" s="10">
        <f>COUNTA(O2121:U2121)</f>
        <v>7</v>
      </c>
      <c r="W2121" s="11">
        <f>_xlfn.IFNA(INDEX(reading[[#This Row],[Memo 01]:[Memo 07]],MATCH(0,reading[[#This Row],[Memo 01]:[Memo 07]],-1)),"")</f>
        <v>45250</v>
      </c>
      <c r="X2121" s="11">
        <f ca="1">IFERROR(reading[[#This Row],[Previous]]+OFFSET(reading[[#Headers],[Memo 01]],-1,MATCH(0,reading[[#This Row],[Memo 01]:[Memo 07]],-1)-1),"")</f>
        <v>55250</v>
      </c>
      <c r="Y2121" s="10" t="str">
        <f ca="1">IF(reading[[#This Row],[Next]]&lt;&gt;"",IF(reading[[#This Row],[Next]]&gt;TODAY(),"OK",""),"")</f>
        <v>OK</v>
      </c>
      <c r="Z2121" s="13">
        <v>3</v>
      </c>
      <c r="AA2121" s="13">
        <v>2</v>
      </c>
      <c r="AB2121" s="13">
        <v>3</v>
      </c>
      <c r="AC2121" s="13">
        <v>2</v>
      </c>
      <c r="AD2121" s="13">
        <v>2</v>
      </c>
      <c r="AE2121" s="13">
        <v>2</v>
      </c>
      <c r="AF2121" s="13">
        <v>1</v>
      </c>
      <c r="AG2121" s="16">
        <f>IFERROR(SUMIF(reading[[#This Row],[1st]:[7th]],"&gt;0")/COUNTIF(reading[[#This Row],[1st]:[7th]],"&gt;0"),"")</f>
        <v>2.1428571428571428</v>
      </c>
    </row>
    <row r="2122" spans="1:33" x14ac:dyDescent="0.2">
      <c r="A2122" s="4">
        <f>IF(B2122=1,3,IF(D2122=1,2,IF(F2122=1,1,0)))</f>
        <v>0</v>
      </c>
      <c r="B2122" s="4" t="str">
        <f>IF(C2122=$L2122,1,IF(C2122="","",0))</f>
        <v/>
      </c>
      <c r="C2122" s="41"/>
      <c r="D2122" s="4" t="str">
        <f>IF(E2122=$L2122,1,IF(E2122="","",0))</f>
        <v/>
      </c>
      <c r="E2122" s="18"/>
      <c r="F2122" s="4" t="str">
        <f>IF(G2122=$L2122,1,IF(G2122="","",0))</f>
        <v/>
      </c>
      <c r="G2122" s="18"/>
      <c r="H2122" s="6">
        <v>2368</v>
      </c>
      <c r="I2122" s="15" t="s">
        <v>3120</v>
      </c>
      <c r="J2122" s="6" t="s">
        <v>5443</v>
      </c>
      <c r="K2122" s="6"/>
      <c r="L2122" s="6" t="s">
        <v>2420</v>
      </c>
      <c r="M2122" s="6" t="s">
        <v>8473</v>
      </c>
      <c r="N2122" s="7">
        <f ca="1">RAND()</f>
        <v>0.76566198487931825</v>
      </c>
      <c r="O2122" s="8">
        <v>45216</v>
      </c>
      <c r="P2122" s="8">
        <v>45217</v>
      </c>
      <c r="Q2122" s="8">
        <v>45219</v>
      </c>
      <c r="R2122" s="8">
        <v>45223</v>
      </c>
      <c r="S2122" s="8">
        <v>45230</v>
      </c>
      <c r="T2122" s="8">
        <v>45252</v>
      </c>
      <c r="U2122" s="8"/>
      <c r="V2122" s="10">
        <f>COUNTA(O2122:U2122)</f>
        <v>6</v>
      </c>
      <c r="W2122" s="11">
        <f>_xlfn.IFNA(INDEX(reading[[#This Row],[Memo 01]:[Memo 07]],MATCH(0,reading[[#This Row],[Memo 01]:[Memo 07]],-1)),"")</f>
        <v>45252</v>
      </c>
      <c r="X2122" s="11">
        <f ca="1">IFERROR(reading[[#This Row],[Previous]]+OFFSET(reading[[#Headers],[Memo 01]],-1,MATCH(0,reading[[#This Row],[Memo 01]:[Memo 07]],-1)-1),"")</f>
        <v>45272</v>
      </c>
      <c r="Y2122" s="10" t="str">
        <f ca="1">IF(reading[[#This Row],[Next]]&lt;&gt;"",IF(reading[[#This Row],[Next]]&gt;TODAY(),"OK",""),"")</f>
        <v/>
      </c>
      <c r="Z2122" s="13">
        <v>3</v>
      </c>
      <c r="AA2122" s="13">
        <v>3</v>
      </c>
      <c r="AB2122" s="13">
        <v>3</v>
      </c>
      <c r="AC2122" s="13">
        <v>1</v>
      </c>
      <c r="AD2122" s="13">
        <v>3</v>
      </c>
      <c r="AE2122" s="13">
        <v>2</v>
      </c>
      <c r="AF2122" s="13"/>
      <c r="AG2122" s="16">
        <f>IFERROR(SUMIF(reading[[#This Row],[1st]:[7th]],"&gt;0")/COUNTIF(reading[[#This Row],[1st]:[7th]],"&gt;0"),"")</f>
        <v>2.5</v>
      </c>
    </row>
    <row r="2123" spans="1:33" hidden="1" x14ac:dyDescent="0.2">
      <c r="A2123" s="4">
        <f>IF(B2123=1,3,IF(D2123=1,2,IF(F2123=1,1,0)))</f>
        <v>0</v>
      </c>
      <c r="B2123" s="4" t="str">
        <f>IF(C2123=$L2123,1,IF(C2123="","",0))</f>
        <v/>
      </c>
      <c r="C2123" s="42"/>
      <c r="D2123" s="4" t="str">
        <f>IF(E2123=$L2123,1,IF(E2123="","",0))</f>
        <v/>
      </c>
      <c r="E2123" s="18"/>
      <c r="F2123" s="4" t="str">
        <f>IF(G2123=$L2123,1,IF(G2123="","",0))</f>
        <v/>
      </c>
      <c r="G2123" s="14"/>
      <c r="H2123" s="6">
        <v>1227</v>
      </c>
      <c r="I2123" s="15" t="s">
        <v>3120</v>
      </c>
      <c r="J2123" s="6" t="s">
        <v>4344</v>
      </c>
      <c r="K2123" s="6"/>
      <c r="L2123" s="6" t="s">
        <v>1328</v>
      </c>
      <c r="M2123" s="6" t="s">
        <v>7334</v>
      </c>
      <c r="N2123" s="7">
        <f ca="1">RAND()</f>
        <v>0.83022823290889236</v>
      </c>
      <c r="O2123" s="8">
        <v>45206</v>
      </c>
      <c r="P2123" s="8">
        <v>45207</v>
      </c>
      <c r="Q2123" s="8">
        <v>45209</v>
      </c>
      <c r="R2123" s="8">
        <v>45213</v>
      </c>
      <c r="S2123" s="8">
        <v>45220</v>
      </c>
      <c r="T2123" s="8">
        <v>45232</v>
      </c>
      <c r="U2123" s="8">
        <v>45253</v>
      </c>
      <c r="V2123" s="10">
        <f>COUNTA(O2123:U2123)</f>
        <v>7</v>
      </c>
      <c r="W2123" s="11">
        <f>_xlfn.IFNA(INDEX(reading[[#This Row],[Memo 01]:[Memo 07]],MATCH(0,reading[[#This Row],[Memo 01]:[Memo 07]],-1)),"")</f>
        <v>45253</v>
      </c>
      <c r="X2123" s="11">
        <f ca="1">IFERROR(reading[[#This Row],[Previous]]+OFFSET(reading[[#Headers],[Memo 01]],-1,MATCH(0,reading[[#This Row],[Memo 01]:[Memo 07]],-1)-1),"")</f>
        <v>55253</v>
      </c>
      <c r="Y2123" s="10" t="str">
        <f ca="1">IF(reading[[#This Row],[Next]]&lt;&gt;"",IF(reading[[#This Row],[Next]]&gt;TODAY(),"OK",""),"")</f>
        <v>OK</v>
      </c>
      <c r="Z2123" s="13">
        <v>3</v>
      </c>
      <c r="AA2123" s="13">
        <v>3</v>
      </c>
      <c r="AB2123" s="13">
        <v>3</v>
      </c>
      <c r="AC2123" s="13">
        <v>2</v>
      </c>
      <c r="AD2123" s="13">
        <v>2</v>
      </c>
      <c r="AE2123" s="13">
        <v>3</v>
      </c>
      <c r="AF2123" s="13">
        <v>2</v>
      </c>
      <c r="AG2123" s="16">
        <f>IFERROR(SUMIF(reading[[#This Row],[1st]:[7th]],"&gt;0")/COUNTIF(reading[[#This Row],[1st]:[7th]],"&gt;0"),"")</f>
        <v>2.5714285714285716</v>
      </c>
    </row>
    <row r="2124" spans="1:33" hidden="1" x14ac:dyDescent="0.2">
      <c r="A2124" s="4">
        <f>IF(B2124=1,3,IF(D2124=1,2,IF(F2124=1,1,0)))</f>
        <v>0</v>
      </c>
      <c r="B2124" s="4" t="str">
        <f>IF(C2124=$L2124,1,IF(C2124="","",0))</f>
        <v/>
      </c>
      <c r="C2124" s="42"/>
      <c r="D2124" s="4" t="str">
        <f>IF(E2124=$L2124,1,IF(E2124="","",0))</f>
        <v/>
      </c>
      <c r="E2124" s="18"/>
      <c r="F2124" s="4" t="str">
        <f>IF(G2124=$L2124,1,IF(G2124="","",0))</f>
        <v/>
      </c>
      <c r="G2124" s="18"/>
      <c r="H2124" s="6">
        <v>789</v>
      </c>
      <c r="I2124" s="15" t="s">
        <v>3120</v>
      </c>
      <c r="J2124" s="6" t="s">
        <v>3923</v>
      </c>
      <c r="K2124" s="6"/>
      <c r="L2124" s="6" t="s">
        <v>908</v>
      </c>
      <c r="M2124" s="6" t="s">
        <v>6898</v>
      </c>
      <c r="N2124" s="7">
        <f ca="1">RAND()</f>
        <v>0.87390362140909184</v>
      </c>
      <c r="O2124" s="8">
        <v>45203</v>
      </c>
      <c r="P2124" s="8">
        <v>45204</v>
      </c>
      <c r="Q2124" s="8">
        <v>45206</v>
      </c>
      <c r="R2124" s="8">
        <v>45210</v>
      </c>
      <c r="S2124" s="8">
        <v>45217</v>
      </c>
      <c r="T2124" s="8">
        <v>45229</v>
      </c>
      <c r="U2124" s="8">
        <v>45253</v>
      </c>
      <c r="V2124" s="10">
        <f>COUNTA(O2124:U2124)</f>
        <v>7</v>
      </c>
      <c r="W2124" s="11">
        <f>_xlfn.IFNA(INDEX(reading[[#This Row],[Memo 01]:[Memo 07]],MATCH(0,reading[[#This Row],[Memo 01]:[Memo 07]],-1)),"")</f>
        <v>45253</v>
      </c>
      <c r="X2124" s="11">
        <f ca="1">IFERROR(reading[[#This Row],[Previous]]+OFFSET(reading[[#Headers],[Memo 01]],-1,MATCH(0,reading[[#This Row],[Memo 01]:[Memo 07]],-1)-1),"")</f>
        <v>55253</v>
      </c>
      <c r="Y2124" s="10" t="str">
        <f ca="1">IF(reading[[#This Row],[Next]]&lt;&gt;"",IF(reading[[#This Row],[Next]]&gt;TODAY(),"OK",""),"")</f>
        <v>OK</v>
      </c>
      <c r="Z2124" s="13">
        <v>3</v>
      </c>
      <c r="AA2124" s="13">
        <v>3</v>
      </c>
      <c r="AB2124" s="13">
        <v>3</v>
      </c>
      <c r="AC2124" s="13">
        <v>3</v>
      </c>
      <c r="AD2124" s="13">
        <v>3</v>
      </c>
      <c r="AE2124" s="13">
        <v>1</v>
      </c>
      <c r="AF2124" s="13">
        <v>2</v>
      </c>
      <c r="AG2124" s="16">
        <f>IFERROR(SUMIF(reading[[#This Row],[1st]:[7th]],"&gt;0")/COUNTIF(reading[[#This Row],[1st]:[7th]],"&gt;0"),"")</f>
        <v>2.5714285714285716</v>
      </c>
    </row>
    <row r="2125" spans="1:33" x14ac:dyDescent="0.2">
      <c r="A2125" s="4">
        <f>IF(B2125=1,3,IF(D2125=1,2,IF(F2125=1,1,0)))</f>
        <v>0</v>
      </c>
      <c r="B2125" s="4" t="str">
        <f>IF(C2125=$L2125,1,IF(C2125="","",0))</f>
        <v/>
      </c>
      <c r="C2125" s="39"/>
      <c r="D2125" s="4" t="str">
        <f>IF(E2125=$L2125,1,IF(E2125="","",0))</f>
        <v/>
      </c>
      <c r="E2125" s="14"/>
      <c r="F2125" s="4" t="str">
        <f>IF(G2125=$L2125,1,IF(G2125="","",0))</f>
        <v/>
      </c>
      <c r="G2125" s="14"/>
      <c r="H2125" s="6">
        <v>1370</v>
      </c>
      <c r="I2125" s="15" t="s">
        <v>3120</v>
      </c>
      <c r="J2125" s="6" t="s">
        <v>4484</v>
      </c>
      <c r="K2125" s="6"/>
      <c r="L2125" s="6" t="s">
        <v>1464</v>
      </c>
      <c r="M2125" s="6" t="s">
        <v>7477</v>
      </c>
      <c r="N2125" s="7">
        <f ca="1">RAND()</f>
        <v>0.92955123855898614</v>
      </c>
      <c r="O2125" s="8">
        <v>45207</v>
      </c>
      <c r="P2125" s="8">
        <v>45208</v>
      </c>
      <c r="Q2125" s="8">
        <v>45210</v>
      </c>
      <c r="R2125" s="8">
        <v>45214</v>
      </c>
      <c r="S2125" s="8">
        <v>45221</v>
      </c>
      <c r="T2125" s="8">
        <v>45233</v>
      </c>
      <c r="U2125" s="8"/>
      <c r="V2125" s="10">
        <f>COUNTA(O2125:U2125)</f>
        <v>6</v>
      </c>
      <c r="W2125" s="11">
        <f>_xlfn.IFNA(INDEX(reading[[#This Row],[Memo 01]:[Memo 07]],MATCH(0,reading[[#This Row],[Memo 01]:[Memo 07]],-1)),"")</f>
        <v>45233</v>
      </c>
      <c r="X2125" s="11">
        <f ca="1">IFERROR(reading[[#This Row],[Previous]]+OFFSET(reading[[#Headers],[Memo 01]],-1,MATCH(0,reading[[#This Row],[Memo 01]:[Memo 07]],-1)-1),"")</f>
        <v>45253</v>
      </c>
      <c r="Y2125" s="10" t="str">
        <f ca="1">IF(reading[[#This Row],[Next]]&lt;&gt;"",IF(reading[[#This Row],[Next]]&gt;TODAY(),"OK",""),"")</f>
        <v/>
      </c>
      <c r="Z2125" s="13">
        <v>3</v>
      </c>
      <c r="AA2125" s="13">
        <v>3</v>
      </c>
      <c r="AB2125" s="13">
        <v>3</v>
      </c>
      <c r="AC2125" s="13">
        <v>3</v>
      </c>
      <c r="AD2125" s="13">
        <v>3</v>
      </c>
      <c r="AE2125" s="13">
        <v>3</v>
      </c>
      <c r="AF2125" s="13"/>
      <c r="AG2125" s="16">
        <f>IFERROR(SUMIF(reading[[#This Row],[1st]:[7th]],"&gt;0")/COUNTIF(reading[[#This Row],[1st]:[7th]],"&gt;0"),"")</f>
        <v>3</v>
      </c>
    </row>
    <row r="2126" spans="1:33" hidden="1" x14ac:dyDescent="0.2">
      <c r="A2126" s="4">
        <f>IF(B2126=1,3,IF(D2126=1,2,IF(F2126=1,1,0)))</f>
        <v>0</v>
      </c>
      <c r="B2126" s="4" t="str">
        <f>IF(C2126=$L2126,1,IF(C2126="","",0))</f>
        <v/>
      </c>
      <c r="C2126" s="42"/>
      <c r="D2126" s="4" t="str">
        <f>IF(E2126=$L2126,1,IF(E2126="","",0))</f>
        <v/>
      </c>
      <c r="E2126" s="23"/>
      <c r="F2126" s="4" t="str">
        <f>IF(G2126=$L2126,1,IF(G2126="","",0))</f>
        <v/>
      </c>
      <c r="G2126" s="14"/>
      <c r="H2126" s="6">
        <v>3000</v>
      </c>
      <c r="I2126" s="15" t="s">
        <v>3120</v>
      </c>
      <c r="J2126" s="6" t="s">
        <v>6024</v>
      </c>
      <c r="K2126" s="6"/>
      <c r="L2126" s="6" t="s">
        <v>3029</v>
      </c>
      <c r="M2126" s="6" t="s">
        <v>9103</v>
      </c>
      <c r="N2126" s="7">
        <f ca="1">RAND()</f>
        <v>0.41973340131486514</v>
      </c>
      <c r="O2126" s="8">
        <v>45223</v>
      </c>
      <c r="P2126" s="8">
        <v>45224</v>
      </c>
      <c r="Q2126" s="8">
        <v>45226</v>
      </c>
      <c r="R2126" s="8">
        <v>45230</v>
      </c>
      <c r="S2126" s="8">
        <v>45237</v>
      </c>
      <c r="T2126" s="8">
        <v>45816</v>
      </c>
      <c r="U2126" s="8"/>
      <c r="V2126" s="10">
        <f>COUNTA(O2126:U2126)</f>
        <v>6</v>
      </c>
      <c r="W2126" s="11">
        <f>_xlfn.IFNA(INDEX(reading[[#This Row],[Memo 01]:[Memo 07]],MATCH(0,reading[[#This Row],[Memo 01]:[Memo 07]],-1)),"")</f>
        <v>45816</v>
      </c>
      <c r="X2126" s="11">
        <f ca="1">IFERROR(reading[[#This Row],[Previous]]+OFFSET(reading[[#Headers],[Memo 01]],-1,MATCH(0,reading[[#This Row],[Memo 01]:[Memo 07]],-1)-1),"")</f>
        <v>45836</v>
      </c>
      <c r="Y2126" s="10" t="str">
        <f ca="1">IF(reading[[#This Row],[Next]]&lt;&gt;"",IF(reading[[#This Row],[Next]]&gt;TODAY(),"OK",""),"")</f>
        <v>OK</v>
      </c>
      <c r="Z2126" s="13">
        <v>3</v>
      </c>
      <c r="AA2126" s="13">
        <v>3</v>
      </c>
      <c r="AB2126" s="13">
        <v>3</v>
      </c>
      <c r="AC2126" s="13">
        <v>3</v>
      </c>
      <c r="AD2126" s="13">
        <v>3</v>
      </c>
      <c r="AE2126" s="13">
        <v>2</v>
      </c>
      <c r="AF2126" s="13"/>
      <c r="AG2126" s="16">
        <f>IFERROR(SUMIF(reading[[#This Row],[1st]:[7th]],"&gt;0")/COUNTIF(reading[[#This Row],[1st]:[7th]],"&gt;0"),"")</f>
        <v>2.8333333333333335</v>
      </c>
    </row>
    <row r="2127" spans="1:33" x14ac:dyDescent="0.2">
      <c r="A2127" s="4">
        <f>IF(B2127=1,3,IF(D2127=1,2,IF(F2127=1,1,0)))</f>
        <v>0</v>
      </c>
      <c r="B2127" s="4" t="str">
        <f>IF(C2127=$L2127,1,IF(C2127="","",0))</f>
        <v/>
      </c>
      <c r="C2127" s="39"/>
      <c r="D2127" s="4" t="str">
        <f>IF(E2127=$L2127,1,IF(E2127="","",0))</f>
        <v/>
      </c>
      <c r="E2127" s="14"/>
      <c r="F2127" s="4" t="str">
        <f>IF(G2127=$L2127,1,IF(G2127="","",0))</f>
        <v/>
      </c>
      <c r="G2127" s="14"/>
      <c r="H2127" s="6">
        <v>993</v>
      </c>
      <c r="I2127" s="15" t="s">
        <v>3120</v>
      </c>
      <c r="J2127" s="6" t="s">
        <v>4122</v>
      </c>
      <c r="K2127" s="6"/>
      <c r="L2127" s="6" t="s">
        <v>1103</v>
      </c>
      <c r="M2127" s="6" t="s">
        <v>7101</v>
      </c>
      <c r="N2127" s="7">
        <f ca="1">RAND()</f>
        <v>0.60363913036602679</v>
      </c>
      <c r="O2127" s="8">
        <v>45204</v>
      </c>
      <c r="P2127" s="8">
        <v>45205</v>
      </c>
      <c r="Q2127" s="8">
        <v>45207</v>
      </c>
      <c r="R2127" s="8">
        <v>45211</v>
      </c>
      <c r="S2127" s="8">
        <v>45218</v>
      </c>
      <c r="T2127" s="8">
        <v>45230</v>
      </c>
      <c r="U2127" s="8"/>
      <c r="V2127" s="10">
        <f>COUNTA(O2127:U2127)</f>
        <v>6</v>
      </c>
      <c r="W2127" s="11">
        <f>_xlfn.IFNA(INDEX(reading[[#This Row],[Memo 01]:[Memo 07]],MATCH(0,reading[[#This Row],[Memo 01]:[Memo 07]],-1)),"")</f>
        <v>45230</v>
      </c>
      <c r="X2127" s="11">
        <f ca="1">IFERROR(reading[[#This Row],[Previous]]+OFFSET(reading[[#Headers],[Memo 01]],-1,MATCH(0,reading[[#This Row],[Memo 01]:[Memo 07]],-1)-1),"")</f>
        <v>45250</v>
      </c>
      <c r="Y2127" s="10" t="str">
        <f ca="1">IF(reading[[#This Row],[Next]]&lt;&gt;"",IF(reading[[#This Row],[Next]]&gt;TODAY(),"OK",""),"")</f>
        <v/>
      </c>
      <c r="Z2127" s="13">
        <v>3</v>
      </c>
      <c r="AA2127" s="13">
        <v>3</v>
      </c>
      <c r="AB2127" s="13">
        <v>3</v>
      </c>
      <c r="AC2127" s="13">
        <v>3</v>
      </c>
      <c r="AD2127" s="13">
        <v>3</v>
      </c>
      <c r="AE2127" s="13">
        <v>3</v>
      </c>
      <c r="AF2127" s="13"/>
      <c r="AG2127" s="16">
        <f>IFERROR(SUMIF(reading[[#This Row],[1st]:[7th]],"&gt;0")/COUNTIF(reading[[#This Row],[1st]:[7th]],"&gt;0"),"")</f>
        <v>3</v>
      </c>
    </row>
    <row r="2128" spans="1:33" hidden="1" x14ac:dyDescent="0.2">
      <c r="A2128" s="4">
        <f>IF(B2128=1,3,IF(D2128=1,2,IF(F2128=1,1,0)))</f>
        <v>0</v>
      </c>
      <c r="B2128" s="4" t="str">
        <f>IF(C2128=$L2128,1,IF(C2128="","",0))</f>
        <v/>
      </c>
      <c r="C2128" s="42"/>
      <c r="D2128" s="4" t="str">
        <f>IF(E2128=$L2128,1,IF(E2128="","",0))</f>
        <v/>
      </c>
      <c r="E2128" s="43"/>
      <c r="F2128" s="4" t="str">
        <f>IF(G2128=$L2128,1,IF(G2128="","",0))</f>
        <v/>
      </c>
      <c r="G2128" s="43"/>
      <c r="H2128" s="6">
        <v>2519</v>
      </c>
      <c r="I2128" s="15" t="s">
        <v>3120</v>
      </c>
      <c r="J2128" s="6" t="s">
        <v>5581</v>
      </c>
      <c r="K2128" s="6"/>
      <c r="L2128" s="6" t="s">
        <v>2565</v>
      </c>
      <c r="M2128" s="6" t="s">
        <v>8624</v>
      </c>
      <c r="N2128" s="7">
        <f ca="1">RAND()</f>
        <v>0.82015487343700333</v>
      </c>
      <c r="O2128" s="8">
        <v>45219</v>
      </c>
      <c r="P2128" s="8">
        <v>45220</v>
      </c>
      <c r="Q2128" s="8">
        <v>45227</v>
      </c>
      <c r="R2128" s="8">
        <v>45231</v>
      </c>
      <c r="S2128" s="8">
        <v>45253</v>
      </c>
      <c r="T2128" s="8">
        <v>45817</v>
      </c>
      <c r="U2128" s="8"/>
      <c r="V2128" s="10">
        <f>COUNTA(O2128:U2128)</f>
        <v>6</v>
      </c>
      <c r="W2128" s="11">
        <f>_xlfn.IFNA(INDEX(reading[[#This Row],[Memo 01]:[Memo 07]],MATCH(0,reading[[#This Row],[Memo 01]:[Memo 07]],-1)),"")</f>
        <v>45817</v>
      </c>
      <c r="X2128" s="11">
        <f ca="1">IFERROR(reading[[#This Row],[Previous]]+OFFSET(reading[[#Headers],[Memo 01]],-1,MATCH(0,reading[[#This Row],[Memo 01]:[Memo 07]],-1)-1),"")</f>
        <v>45837</v>
      </c>
      <c r="Y2128" s="10" t="str">
        <f ca="1">IF(reading[[#This Row],[Next]]&lt;&gt;"",IF(reading[[#This Row],[Next]]&gt;TODAY(),"OK",""),"")</f>
        <v>OK</v>
      </c>
      <c r="Z2128" s="13">
        <v>3</v>
      </c>
      <c r="AA2128" s="13">
        <v>3</v>
      </c>
      <c r="AB2128" s="13">
        <v>3</v>
      </c>
      <c r="AC2128" s="13">
        <v>2</v>
      </c>
      <c r="AD2128" s="13">
        <v>1</v>
      </c>
      <c r="AE2128" s="13">
        <v>1</v>
      </c>
      <c r="AF2128" s="13"/>
      <c r="AG2128" s="16">
        <f>IFERROR(SUMIF(reading[[#This Row],[1st]:[7th]],"&gt;0")/COUNTIF(reading[[#This Row],[1st]:[7th]],"&gt;0"),"")</f>
        <v>2.1666666666666665</v>
      </c>
    </row>
    <row r="2129" spans="1:33" x14ac:dyDescent="0.2">
      <c r="A2129" s="4">
        <f>IF(B2129=1,3,IF(D2129=1,2,IF(F2129=1,1,0)))</f>
        <v>0</v>
      </c>
      <c r="B2129" s="4" t="str">
        <f>IF(C2129=$L2129,1,IF(C2129="","",0))</f>
        <v/>
      </c>
      <c r="C2129" s="38"/>
      <c r="D2129" s="4" t="str">
        <f>IF(E2129=$L2129,1,IF(E2129="","",0))</f>
        <v/>
      </c>
      <c r="E2129" s="14"/>
      <c r="F2129" s="4" t="str">
        <f>IF(G2129=$L2129,1,IF(G2129="","",0))</f>
        <v/>
      </c>
      <c r="G2129" s="14"/>
      <c r="H2129" s="6">
        <v>2180</v>
      </c>
      <c r="I2129" s="15" t="s">
        <v>3120</v>
      </c>
      <c r="J2129" s="6" t="s">
        <v>5268</v>
      </c>
      <c r="K2129" s="6"/>
      <c r="L2129" s="6" t="s">
        <v>2245</v>
      </c>
      <c r="M2129" s="6" t="s">
        <v>8286</v>
      </c>
      <c r="N2129" s="7">
        <f ca="1">RAND()</f>
        <v>1.0087238219263273E-2</v>
      </c>
      <c r="O2129" s="8">
        <v>45215</v>
      </c>
      <c r="P2129" s="8">
        <v>45216</v>
      </c>
      <c r="Q2129" s="8">
        <v>45218</v>
      </c>
      <c r="R2129" s="8">
        <v>45222</v>
      </c>
      <c r="S2129" s="8">
        <v>45229</v>
      </c>
      <c r="T2129" s="8"/>
      <c r="U2129" s="8"/>
      <c r="V2129" s="10">
        <f>COUNTA(O2129:U2129)</f>
        <v>5</v>
      </c>
      <c r="W2129" s="11">
        <f>_xlfn.IFNA(INDEX(reading[[#This Row],[Memo 01]:[Memo 07]],MATCH(0,reading[[#This Row],[Memo 01]:[Memo 07]],-1)),"")</f>
        <v>45229</v>
      </c>
      <c r="X2129" s="11">
        <f ca="1">IFERROR(reading[[#This Row],[Previous]]+OFFSET(reading[[#Headers],[Memo 01]],-1,MATCH(0,reading[[#This Row],[Memo 01]:[Memo 07]],-1)-1),"")</f>
        <v>45241</v>
      </c>
      <c r="Y2129" s="10" t="str">
        <f ca="1">IF(reading[[#This Row],[Next]]&lt;&gt;"",IF(reading[[#This Row],[Next]]&gt;TODAY(),"OK",""),"")</f>
        <v/>
      </c>
      <c r="Z2129" s="13">
        <v>3</v>
      </c>
      <c r="AA2129" s="13">
        <v>3</v>
      </c>
      <c r="AB2129" s="13">
        <v>3</v>
      </c>
      <c r="AC2129" s="13">
        <v>3</v>
      </c>
      <c r="AD2129" s="13">
        <v>3</v>
      </c>
      <c r="AE2129" s="13"/>
      <c r="AF2129" s="13"/>
      <c r="AG2129" s="16">
        <f>IFERROR(SUMIF(reading[[#This Row],[1st]:[7th]],"&gt;0")/COUNTIF(reading[[#This Row],[1st]:[7th]],"&gt;0"),"")</f>
        <v>3</v>
      </c>
    </row>
    <row r="2130" spans="1:33" x14ac:dyDescent="0.2">
      <c r="A2130" s="4">
        <f>IF(B2130=1,3,IF(D2130=1,2,IF(F2130=1,1,0)))</f>
        <v>0</v>
      </c>
      <c r="B2130" s="4" t="str">
        <f>IF(C2130=$L2130,1,IF(C2130="","",0))</f>
        <v/>
      </c>
      <c r="C2130" s="41"/>
      <c r="D2130" s="4" t="str">
        <f>IF(E2130=$L2130,1,IF(E2130="","",0))</f>
        <v/>
      </c>
      <c r="E2130" s="14"/>
      <c r="F2130" s="4" t="str">
        <f>IF(G2130=$L2130,1,IF(G2130="","",0))</f>
        <v/>
      </c>
      <c r="G2130" s="14"/>
      <c r="H2130" s="6">
        <v>3005</v>
      </c>
      <c r="I2130" s="15" t="s">
        <v>3120</v>
      </c>
      <c r="J2130" s="6" t="s">
        <v>6028</v>
      </c>
      <c r="K2130" s="6"/>
      <c r="L2130" s="6" t="s">
        <v>3034</v>
      </c>
      <c r="M2130" s="6" t="s">
        <v>9108</v>
      </c>
      <c r="N2130" s="7">
        <f ca="1">RAND()</f>
        <v>0.77163694122487714</v>
      </c>
      <c r="O2130" s="8">
        <v>45224</v>
      </c>
      <c r="P2130" s="8">
        <v>45225</v>
      </c>
      <c r="Q2130" s="8">
        <v>45227</v>
      </c>
      <c r="R2130" s="8">
        <v>45231</v>
      </c>
      <c r="S2130" s="8">
        <v>45249</v>
      </c>
      <c r="T2130" s="8"/>
      <c r="U2130" s="8"/>
      <c r="V2130" s="10">
        <f>COUNTA(O2130:U2130)</f>
        <v>5</v>
      </c>
      <c r="W2130" s="11">
        <f>_xlfn.IFNA(INDEX(reading[[#This Row],[Memo 01]:[Memo 07]],MATCH(0,reading[[#This Row],[Memo 01]:[Memo 07]],-1)),"")</f>
        <v>45249</v>
      </c>
      <c r="X2130" s="11">
        <f ca="1">IFERROR(reading[[#This Row],[Previous]]+OFFSET(reading[[#Headers],[Memo 01]],-1,MATCH(0,reading[[#This Row],[Memo 01]:[Memo 07]],-1)-1),"")</f>
        <v>45261</v>
      </c>
      <c r="Y2130" s="10" t="str">
        <f ca="1">IF(reading[[#This Row],[Next]]&lt;&gt;"",IF(reading[[#This Row],[Next]]&gt;TODAY(),"OK",""),"")</f>
        <v/>
      </c>
      <c r="Z2130" s="13">
        <v>3</v>
      </c>
      <c r="AA2130" s="13">
        <v>3</v>
      </c>
      <c r="AB2130" s="13">
        <v>3</v>
      </c>
      <c r="AC2130" s="13">
        <v>3</v>
      </c>
      <c r="AD2130" s="13">
        <v>3</v>
      </c>
      <c r="AE2130" s="13"/>
      <c r="AF2130" s="13"/>
      <c r="AG2130" s="16">
        <f>IFERROR(SUMIF(reading[[#This Row],[1st]:[7th]],"&gt;0")/COUNTIF(reading[[#This Row],[1st]:[7th]],"&gt;0"),"")</f>
        <v>3</v>
      </c>
    </row>
    <row r="2131" spans="1:33" x14ac:dyDescent="0.2">
      <c r="A2131" s="4">
        <f>IF(B2131=1,3,IF(D2131=1,2,IF(F2131=1,1,0)))</f>
        <v>0</v>
      </c>
      <c r="B2131" s="4" t="str">
        <f>IF(C2131=$L2131,1,IF(C2131="","",0))</f>
        <v/>
      </c>
      <c r="C2131" s="36"/>
      <c r="D2131" s="4" t="str">
        <f>IF(E2131=$L2131,1,IF(E2131="","",0))</f>
        <v/>
      </c>
      <c r="E2131" s="18"/>
      <c r="F2131" s="4" t="str">
        <f>IF(G2131=$L2131,1,IF(G2131="","",0))</f>
        <v/>
      </c>
      <c r="G2131" s="14"/>
      <c r="H2131" s="6">
        <v>313</v>
      </c>
      <c r="I2131" s="15" t="s">
        <v>3120</v>
      </c>
      <c r="J2131" s="6" t="s">
        <v>3460</v>
      </c>
      <c r="K2131" s="6"/>
      <c r="L2131" s="15" t="s">
        <v>448</v>
      </c>
      <c r="M2131" s="6" t="s">
        <v>6422</v>
      </c>
      <c r="N2131" s="7">
        <f ca="1">RAND()</f>
        <v>0.44739682640371425</v>
      </c>
      <c r="O2131" s="8">
        <v>45200</v>
      </c>
      <c r="P2131" s="8">
        <v>45201</v>
      </c>
      <c r="Q2131" s="8">
        <v>45203</v>
      </c>
      <c r="R2131" s="8">
        <v>45207</v>
      </c>
      <c r="S2131" s="8">
        <v>45214</v>
      </c>
      <c r="T2131" s="8">
        <v>45226</v>
      </c>
      <c r="U2131" s="8"/>
      <c r="V2131" s="10">
        <f>COUNTA(O2131:U2131)</f>
        <v>6</v>
      </c>
      <c r="W2131" s="11">
        <f>_xlfn.IFNA(INDEX(reading[[#This Row],[Memo 01]:[Memo 07]],MATCH(0,reading[[#This Row],[Memo 01]:[Memo 07]],-1)),"")</f>
        <v>45226</v>
      </c>
      <c r="X2131" s="11">
        <f ca="1">IFERROR(reading[[#This Row],[Previous]]+OFFSET(reading[[#Headers],[Memo 01]],-1,MATCH(0,reading[[#This Row],[Memo 01]:[Memo 07]],-1)-1),"")</f>
        <v>45246</v>
      </c>
      <c r="Y2131" s="10" t="str">
        <f ca="1">IF(reading[[#This Row],[Next]]&lt;&gt;"",IF(reading[[#This Row],[Next]]&gt;TODAY(),"OK",""),"")</f>
        <v/>
      </c>
      <c r="Z2131" s="13">
        <v>3</v>
      </c>
      <c r="AA2131" s="13">
        <v>3</v>
      </c>
      <c r="AB2131" s="13">
        <v>3</v>
      </c>
      <c r="AC2131" s="13">
        <v>2</v>
      </c>
      <c r="AD2131" s="13">
        <v>3</v>
      </c>
      <c r="AE2131" s="13">
        <v>3</v>
      </c>
      <c r="AF2131" s="13"/>
      <c r="AG2131" s="16">
        <f>IFERROR(SUMIF(reading[[#This Row],[1st]:[7th]],"&gt;0")/COUNTIF(reading[[#This Row],[1st]:[7th]],"&gt;0"),"")</f>
        <v>2.8333333333333335</v>
      </c>
    </row>
    <row r="2132" spans="1:33" hidden="1" x14ac:dyDescent="0.2">
      <c r="A2132" s="4">
        <f>IF(B2132=1,3,IF(D2132=1,2,IF(F2132=1,1,0)))</f>
        <v>3</v>
      </c>
      <c r="B2132" s="4">
        <f>IF(C2132=$L2132,1,IF(C2132="","",0))</f>
        <v>1</v>
      </c>
      <c r="C2132" s="34" t="s">
        <v>2203</v>
      </c>
      <c r="D2132" s="4" t="str">
        <f>IF(E2132=$L2132,1,IF(E2132="","",0))</f>
        <v/>
      </c>
      <c r="E2132" s="14"/>
      <c r="F2132" s="4" t="str">
        <f>IF(G2132=$L2132,1,IF(G2132="","",0))</f>
        <v/>
      </c>
      <c r="G2132" s="14"/>
      <c r="H2132" s="6">
        <v>2136</v>
      </c>
      <c r="I2132" s="15" t="s">
        <v>3120</v>
      </c>
      <c r="J2132" s="6" t="s">
        <v>5224</v>
      </c>
      <c r="K2132" s="6"/>
      <c r="L2132" s="6" t="s">
        <v>2203</v>
      </c>
      <c r="M2132" s="6" t="s">
        <v>8242</v>
      </c>
      <c r="N2132" s="7">
        <f ca="1">RAND()</f>
        <v>6.0004214771512521E-2</v>
      </c>
      <c r="O2132" s="8">
        <v>45214</v>
      </c>
      <c r="P2132" s="8">
        <v>45214</v>
      </c>
      <c r="Q2132" s="8">
        <v>45214</v>
      </c>
      <c r="R2132" s="8">
        <v>45214</v>
      </c>
      <c r="S2132" s="8">
        <v>45214</v>
      </c>
      <c r="T2132" s="8">
        <v>45214</v>
      </c>
      <c r="U2132" s="8">
        <v>45214</v>
      </c>
      <c r="V2132" s="10">
        <f>COUNTA(O2132:U2132)</f>
        <v>7</v>
      </c>
      <c r="W2132" s="11">
        <f>_xlfn.IFNA(INDEX(reading[[#This Row],[Memo 01]:[Memo 07]],MATCH(0,reading[[#This Row],[Memo 01]:[Memo 07]],-1)),"")</f>
        <v>45214</v>
      </c>
      <c r="X2132" s="11">
        <f ca="1">IFERROR(reading[[#This Row],[Previous]]+OFFSET(reading[[#Headers],[Memo 01]],-1,MATCH(0,reading[[#This Row],[Memo 01]:[Memo 07]],-1)-1),"")</f>
        <v>55214</v>
      </c>
      <c r="Y2132" s="10" t="str">
        <f ca="1">IF(reading[[#This Row],[Next]]&lt;&gt;"",IF(reading[[#This Row],[Next]]&gt;TODAY(),"OK",""),"")</f>
        <v>OK</v>
      </c>
      <c r="Z2132" s="13">
        <v>3</v>
      </c>
      <c r="AA2132" s="13"/>
      <c r="AB2132" s="13"/>
      <c r="AC2132" s="13"/>
      <c r="AD2132" s="13"/>
      <c r="AE2132" s="13"/>
      <c r="AF2132" s="13"/>
      <c r="AG2132" s="16">
        <f>IFERROR(SUMIF(reading[[#This Row],[1st]:[7th]],"&gt;0")/COUNTIF(reading[[#This Row],[1st]:[7th]],"&gt;0"),"")</f>
        <v>3</v>
      </c>
    </row>
    <row r="2133" spans="1:33" x14ac:dyDescent="0.2">
      <c r="A2133" s="4">
        <f>IF(B2133=1,3,IF(D2133=1,2,IF(F2133=1,1,0)))</f>
        <v>0</v>
      </c>
      <c r="B2133" s="4" t="str">
        <f>IF(C2133=$L2133,1,IF(C2133="","",0))</f>
        <v/>
      </c>
      <c r="C2133" s="42"/>
      <c r="D2133" s="4" t="str">
        <f>IF(E2133=$L2133,1,IF(E2133="","",0))</f>
        <v/>
      </c>
      <c r="E2133" s="14"/>
      <c r="F2133" s="4" t="str">
        <f>IF(G2133=$L2133,1,IF(G2133="","",0))</f>
        <v/>
      </c>
      <c r="G2133" s="14"/>
      <c r="H2133" s="6">
        <v>2533</v>
      </c>
      <c r="I2133" s="15" t="s">
        <v>3120</v>
      </c>
      <c r="J2133" s="6" t="s">
        <v>5595</v>
      </c>
      <c r="K2133" s="6"/>
      <c r="L2133" s="6" t="s">
        <v>2578</v>
      </c>
      <c r="M2133" s="6" t="s">
        <v>8638</v>
      </c>
      <c r="N2133" s="7">
        <f ca="1">RAND()</f>
        <v>0.86349165023050867</v>
      </c>
      <c r="O2133" s="8">
        <v>45219</v>
      </c>
      <c r="P2133" s="8">
        <v>45220</v>
      </c>
      <c r="Q2133" s="8">
        <v>45222</v>
      </c>
      <c r="R2133" s="8">
        <v>45226</v>
      </c>
      <c r="S2133" s="8">
        <v>45233</v>
      </c>
      <c r="T2133" s="8">
        <v>45783</v>
      </c>
      <c r="U2133" s="8"/>
      <c r="V2133" s="10">
        <f>COUNTA(O2133:U2133)</f>
        <v>6</v>
      </c>
      <c r="W2133" s="11">
        <f>_xlfn.IFNA(INDEX(reading[[#This Row],[Memo 01]:[Memo 07]],MATCH(0,reading[[#This Row],[Memo 01]:[Memo 07]],-1)),"")</f>
        <v>45783</v>
      </c>
      <c r="X2133" s="11">
        <f ca="1">IFERROR(reading[[#This Row],[Previous]]+OFFSET(reading[[#Headers],[Memo 01]],-1,MATCH(0,reading[[#This Row],[Memo 01]:[Memo 07]],-1)-1),"")</f>
        <v>45803</v>
      </c>
      <c r="Y2133" s="10" t="str">
        <f ca="1">IF(reading[[#This Row],[Next]]&lt;&gt;"",IF(reading[[#This Row],[Next]]&gt;TODAY(),"OK",""),"")</f>
        <v/>
      </c>
      <c r="Z2133" s="13">
        <v>3</v>
      </c>
      <c r="AA2133" s="13">
        <v>3</v>
      </c>
      <c r="AB2133" s="13">
        <v>3</v>
      </c>
      <c r="AC2133" s="13">
        <v>3</v>
      </c>
      <c r="AD2133" s="13">
        <v>3</v>
      </c>
      <c r="AE2133" s="13">
        <v>3</v>
      </c>
      <c r="AF2133" s="13"/>
      <c r="AG2133" s="16">
        <f>IFERROR(SUMIF(reading[[#This Row],[1st]:[7th]],"&gt;0")/COUNTIF(reading[[#This Row],[1st]:[7th]],"&gt;0"),"")</f>
        <v>3</v>
      </c>
    </row>
    <row r="2134" spans="1:33" x14ac:dyDescent="0.2">
      <c r="A2134" s="4">
        <f>IF(B2134=1,3,IF(D2134=1,2,IF(F2134=1,1,0)))</f>
        <v>0</v>
      </c>
      <c r="B2134" s="4" t="str">
        <f>IF(C2134=$L2134,1,IF(C2134="","",0))</f>
        <v/>
      </c>
      <c r="C2134" s="39"/>
      <c r="D2134" s="4" t="str">
        <f>IF(E2134=$L2134,1,IF(E2134="","",0))</f>
        <v/>
      </c>
      <c r="E2134" s="14"/>
      <c r="F2134" s="4" t="str">
        <f>IF(G2134=$L2134,1,IF(G2134="","",0))</f>
        <v/>
      </c>
      <c r="G2134" s="14"/>
      <c r="H2134" s="6">
        <v>2598</v>
      </c>
      <c r="I2134" s="15" t="s">
        <v>3120</v>
      </c>
      <c r="J2134" s="6" t="s">
        <v>5655</v>
      </c>
      <c r="K2134" s="6"/>
      <c r="L2134" s="6" t="s">
        <v>2641</v>
      </c>
      <c r="M2134" s="6" t="s">
        <v>8703</v>
      </c>
      <c r="N2134" s="7">
        <f ca="1">RAND()</f>
        <v>2.5511688905446972E-2</v>
      </c>
      <c r="O2134" s="8">
        <v>45219</v>
      </c>
      <c r="P2134" s="8">
        <v>45220</v>
      </c>
      <c r="Q2134" s="8">
        <v>45222</v>
      </c>
      <c r="R2134" s="8">
        <v>45226</v>
      </c>
      <c r="S2134" s="8">
        <v>45233</v>
      </c>
      <c r="T2134" s="8"/>
      <c r="U2134" s="8"/>
      <c r="V2134" s="10">
        <f>COUNTA(O2134:U2134)</f>
        <v>5</v>
      </c>
      <c r="W2134" s="11">
        <f>_xlfn.IFNA(INDEX(reading[[#This Row],[Memo 01]:[Memo 07]],MATCH(0,reading[[#This Row],[Memo 01]:[Memo 07]],-1)),"")</f>
        <v>45233</v>
      </c>
      <c r="X2134" s="11">
        <f ca="1">IFERROR(reading[[#This Row],[Previous]]+OFFSET(reading[[#Headers],[Memo 01]],-1,MATCH(0,reading[[#This Row],[Memo 01]:[Memo 07]],-1)-1),"")</f>
        <v>45245</v>
      </c>
      <c r="Y2134" s="10" t="str">
        <f ca="1">IF(reading[[#This Row],[Next]]&lt;&gt;"",IF(reading[[#This Row],[Next]]&gt;TODAY(),"OK",""),"")</f>
        <v/>
      </c>
      <c r="Z2134" s="13">
        <v>3</v>
      </c>
      <c r="AA2134" s="13">
        <v>3</v>
      </c>
      <c r="AB2134" s="13">
        <v>3</v>
      </c>
      <c r="AC2134" s="13">
        <v>3</v>
      </c>
      <c r="AD2134" s="13">
        <v>3</v>
      </c>
      <c r="AE2134" s="13"/>
      <c r="AF2134" s="13"/>
      <c r="AG2134" s="16">
        <f>IFERROR(SUMIF(reading[[#This Row],[1st]:[7th]],"&gt;0")/COUNTIF(reading[[#This Row],[1st]:[7th]],"&gt;0"),"")</f>
        <v>3</v>
      </c>
    </row>
    <row r="2135" spans="1:33" x14ac:dyDescent="0.2">
      <c r="A2135" s="4">
        <f>IF(B2135=1,3,IF(D2135=1,2,IF(F2135=1,1,0)))</f>
        <v>0</v>
      </c>
      <c r="B2135" s="4" t="str">
        <f>IF(C2135=$L2135,1,IF(C2135="","",0))</f>
        <v/>
      </c>
      <c r="C2135" s="41"/>
      <c r="D2135" s="4" t="str">
        <f>IF(E2135=$L2135,1,IF(E2135="","",0))</f>
        <v/>
      </c>
      <c r="E2135" s="18"/>
      <c r="F2135" s="4" t="str">
        <f>IF(G2135=$L2135,1,IF(G2135="","",0))</f>
        <v/>
      </c>
      <c r="G2135" s="14"/>
      <c r="H2135" s="6">
        <v>2128</v>
      </c>
      <c r="I2135" s="15" t="s">
        <v>3120</v>
      </c>
      <c r="J2135" s="6" t="s">
        <v>5216</v>
      </c>
      <c r="K2135" s="15" t="s">
        <v>3138</v>
      </c>
      <c r="L2135" s="6" t="s">
        <v>2195</v>
      </c>
      <c r="M2135" s="6" t="s">
        <v>8234</v>
      </c>
      <c r="N2135" s="7">
        <f ca="1">RAND()</f>
        <v>0.88991914933373439</v>
      </c>
      <c r="O2135" s="8">
        <v>45214</v>
      </c>
      <c r="P2135" s="8">
        <v>45215</v>
      </c>
      <c r="Q2135" s="8">
        <v>45217</v>
      </c>
      <c r="R2135" s="8">
        <v>45221</v>
      </c>
      <c r="S2135" s="8">
        <v>45228</v>
      </c>
      <c r="T2135" s="8">
        <v>45252</v>
      </c>
      <c r="U2135" s="8"/>
      <c r="V2135" s="10">
        <f>COUNTA(O2135:U2135)</f>
        <v>6</v>
      </c>
      <c r="W2135" s="11">
        <f>_xlfn.IFNA(INDEX(reading[[#This Row],[Memo 01]:[Memo 07]],MATCH(0,reading[[#This Row],[Memo 01]:[Memo 07]],-1)),"")</f>
        <v>45252</v>
      </c>
      <c r="X2135" s="11">
        <f ca="1">IFERROR(reading[[#This Row],[Previous]]+OFFSET(reading[[#Headers],[Memo 01]],-1,MATCH(0,reading[[#This Row],[Memo 01]:[Memo 07]],-1)-1),"")</f>
        <v>45272</v>
      </c>
      <c r="Y2135" s="10" t="str">
        <f ca="1">IF(reading[[#This Row],[Next]]&lt;&gt;"",IF(reading[[#This Row],[Next]]&gt;TODAY(),"OK",""),"")</f>
        <v/>
      </c>
      <c r="Z2135" s="13">
        <v>3</v>
      </c>
      <c r="AA2135" s="13">
        <v>3</v>
      </c>
      <c r="AB2135" s="13">
        <v>3</v>
      </c>
      <c r="AC2135" s="13">
        <v>3</v>
      </c>
      <c r="AD2135" s="13">
        <v>1</v>
      </c>
      <c r="AE2135" s="13">
        <v>2</v>
      </c>
      <c r="AF2135" s="13"/>
      <c r="AG2135" s="16">
        <f>IFERROR(SUMIF(reading[[#This Row],[1st]:[7th]],"&gt;0")/COUNTIF(reading[[#This Row],[1st]:[7th]],"&gt;0"),"")</f>
        <v>2.5</v>
      </c>
    </row>
    <row r="2136" spans="1:33" x14ac:dyDescent="0.2">
      <c r="A2136" s="4">
        <f>IF(B2136=1,3,IF(D2136=1,2,IF(F2136=1,1,0)))</f>
        <v>0</v>
      </c>
      <c r="B2136" s="4" t="str">
        <f>IF(C2136=$L2136,1,IF(C2136="","",0))</f>
        <v/>
      </c>
      <c r="C2136" s="42"/>
      <c r="D2136" s="4" t="str">
        <f>IF(E2136=$L2136,1,IF(E2136="","",0))</f>
        <v/>
      </c>
      <c r="E2136" s="14"/>
      <c r="F2136" s="4" t="str">
        <f>IF(G2136=$L2136,1,IF(G2136="","",0))</f>
        <v/>
      </c>
      <c r="G2136" s="14"/>
      <c r="H2136" s="6">
        <v>2770</v>
      </c>
      <c r="I2136" s="15" t="s">
        <v>3120</v>
      </c>
      <c r="J2136" s="6" t="s">
        <v>5814</v>
      </c>
      <c r="K2136" s="6"/>
      <c r="L2136" s="6" t="s">
        <v>2808</v>
      </c>
      <c r="M2136" s="6" t="s">
        <v>8874</v>
      </c>
      <c r="N2136" s="7">
        <f ca="1">RAND()</f>
        <v>0.14482012698648783</v>
      </c>
      <c r="O2136" s="8">
        <v>45222</v>
      </c>
      <c r="P2136" s="8">
        <v>45223</v>
      </c>
      <c r="Q2136" s="8">
        <v>45225</v>
      </c>
      <c r="R2136" s="8">
        <v>45229</v>
      </c>
      <c r="S2136" s="8">
        <v>45236</v>
      </c>
      <c r="T2136" s="8">
        <v>45783</v>
      </c>
      <c r="U2136" s="8"/>
      <c r="V2136" s="10">
        <f>COUNTA(O2136:U2136)</f>
        <v>6</v>
      </c>
      <c r="W2136" s="11">
        <f>_xlfn.IFNA(INDEX(reading[[#This Row],[Memo 01]:[Memo 07]],MATCH(0,reading[[#This Row],[Memo 01]:[Memo 07]],-1)),"")</f>
        <v>45783</v>
      </c>
      <c r="X2136" s="11">
        <f ca="1">IFERROR(reading[[#This Row],[Previous]]+OFFSET(reading[[#Headers],[Memo 01]],-1,MATCH(0,reading[[#This Row],[Memo 01]:[Memo 07]],-1)-1),"")</f>
        <v>45803</v>
      </c>
      <c r="Y2136" s="10" t="str">
        <f ca="1">IF(reading[[#This Row],[Next]]&lt;&gt;"",IF(reading[[#This Row],[Next]]&gt;TODAY(),"OK",""),"")</f>
        <v/>
      </c>
      <c r="Z2136" s="13">
        <v>3</v>
      </c>
      <c r="AA2136" s="13">
        <v>3</v>
      </c>
      <c r="AB2136" s="13">
        <v>3</v>
      </c>
      <c r="AC2136" s="13">
        <v>3</v>
      </c>
      <c r="AD2136" s="13">
        <v>3</v>
      </c>
      <c r="AE2136" s="13">
        <v>3</v>
      </c>
      <c r="AF2136" s="13"/>
      <c r="AG2136" s="16">
        <f>IFERROR(SUMIF(reading[[#This Row],[1st]:[7th]],"&gt;0")/COUNTIF(reading[[#This Row],[1st]:[7th]],"&gt;0"),"")</f>
        <v>3</v>
      </c>
    </row>
    <row r="2137" spans="1:33" x14ac:dyDescent="0.2">
      <c r="A2137" s="4">
        <f>IF(B2137=1,3,IF(D2137=1,2,IF(F2137=1,1,0)))</f>
        <v>0</v>
      </c>
      <c r="B2137" s="4" t="str">
        <f>IF(C2137=$L2137,1,IF(C2137="","",0))</f>
        <v/>
      </c>
      <c r="C2137" s="39"/>
      <c r="D2137" s="4" t="str">
        <f>IF(E2137=$L2137,1,IF(E2137="","",0))</f>
        <v/>
      </c>
      <c r="E2137" s="18"/>
      <c r="F2137" s="4" t="str">
        <f>IF(G2137=$L2137,1,IF(G2137="","",0))</f>
        <v/>
      </c>
      <c r="G2137" s="18"/>
      <c r="H2137" s="6">
        <v>1443</v>
      </c>
      <c r="I2137" s="15" t="s">
        <v>3120</v>
      </c>
      <c r="J2137" s="6" t="s">
        <v>4557</v>
      </c>
      <c r="K2137" s="6"/>
      <c r="L2137" s="6" t="s">
        <v>1533</v>
      </c>
      <c r="M2137" s="6" t="s">
        <v>7550</v>
      </c>
      <c r="N2137" s="7">
        <f ca="1">RAND()</f>
        <v>0.66220173632821244</v>
      </c>
      <c r="O2137" s="8">
        <v>45208</v>
      </c>
      <c r="P2137" s="8">
        <v>45209</v>
      </c>
      <c r="Q2137" s="8">
        <v>45211</v>
      </c>
      <c r="R2137" s="8">
        <v>45215</v>
      </c>
      <c r="S2137" s="8">
        <v>45222</v>
      </c>
      <c r="T2137" s="8">
        <v>45234</v>
      </c>
      <c r="U2137" s="8"/>
      <c r="V2137" s="10">
        <f>COUNTA(O2137:U2137)</f>
        <v>6</v>
      </c>
      <c r="W2137" s="11">
        <f>_xlfn.IFNA(INDEX(reading[[#This Row],[Memo 01]:[Memo 07]],MATCH(0,reading[[#This Row],[Memo 01]:[Memo 07]],-1)),"")</f>
        <v>45234</v>
      </c>
      <c r="X2137" s="11">
        <f ca="1">IFERROR(reading[[#This Row],[Previous]]+OFFSET(reading[[#Headers],[Memo 01]],-1,MATCH(0,reading[[#This Row],[Memo 01]:[Memo 07]],-1)-1),"")</f>
        <v>45254</v>
      </c>
      <c r="Y2137" s="10" t="str">
        <f ca="1">IF(reading[[#This Row],[Next]]&lt;&gt;"",IF(reading[[#This Row],[Next]]&gt;TODAY(),"OK",""),"")</f>
        <v/>
      </c>
      <c r="Z2137" s="13">
        <v>3</v>
      </c>
      <c r="AA2137" s="13">
        <v>3</v>
      </c>
      <c r="AB2137" s="13">
        <v>3</v>
      </c>
      <c r="AC2137" s="13">
        <v>1</v>
      </c>
      <c r="AD2137" s="13">
        <v>3</v>
      </c>
      <c r="AE2137" s="13">
        <v>3</v>
      </c>
      <c r="AF2137" s="13"/>
      <c r="AG2137" s="16">
        <f>IFERROR(SUMIF(reading[[#This Row],[1st]:[7th]],"&gt;0")/COUNTIF(reading[[#This Row],[1st]:[7th]],"&gt;0"),"")</f>
        <v>2.6666666666666665</v>
      </c>
    </row>
    <row r="2138" spans="1:33" x14ac:dyDescent="0.2">
      <c r="A2138" s="4">
        <f>IF(B2138=1,3,IF(D2138=1,2,IF(F2138=1,1,0)))</f>
        <v>0</v>
      </c>
      <c r="B2138" s="4" t="str">
        <f>IF(C2138=$L2138,1,IF(C2138="","",0))</f>
        <v/>
      </c>
      <c r="C2138" s="39"/>
      <c r="D2138" s="4" t="str">
        <f>IF(E2138=$L2138,1,IF(E2138="","",0))</f>
        <v/>
      </c>
      <c r="E2138" s="14"/>
      <c r="F2138" s="4" t="str">
        <f>IF(G2138=$L2138,1,IF(G2138="","",0))</f>
        <v/>
      </c>
      <c r="G2138" s="14"/>
      <c r="H2138" s="6">
        <v>2255</v>
      </c>
      <c r="I2138" s="15" t="s">
        <v>3120</v>
      </c>
      <c r="J2138" s="6" t="s">
        <v>5337</v>
      </c>
      <c r="K2138" s="6"/>
      <c r="L2138" s="6" t="s">
        <v>2317</v>
      </c>
      <c r="M2138" s="6" t="s">
        <v>8360</v>
      </c>
      <c r="N2138" s="7">
        <f ca="1">RAND()</f>
        <v>0.58935269009869951</v>
      </c>
      <c r="O2138" s="8">
        <v>45216</v>
      </c>
      <c r="P2138" s="8">
        <v>45217</v>
      </c>
      <c r="Q2138" s="8">
        <v>45219</v>
      </c>
      <c r="R2138" s="8">
        <v>45223</v>
      </c>
      <c r="S2138" s="8">
        <v>45230</v>
      </c>
      <c r="T2138" s="8"/>
      <c r="U2138" s="8"/>
      <c r="V2138" s="10">
        <f>COUNTA(O2138:U2138)</f>
        <v>5</v>
      </c>
      <c r="W2138" s="11">
        <f>_xlfn.IFNA(INDEX(reading[[#This Row],[Memo 01]:[Memo 07]],MATCH(0,reading[[#This Row],[Memo 01]:[Memo 07]],-1)),"")</f>
        <v>45230</v>
      </c>
      <c r="X2138" s="11">
        <f ca="1">IFERROR(reading[[#This Row],[Previous]]+OFFSET(reading[[#Headers],[Memo 01]],-1,MATCH(0,reading[[#This Row],[Memo 01]:[Memo 07]],-1)-1),"")</f>
        <v>45242</v>
      </c>
      <c r="Y2138" s="10" t="str">
        <f ca="1">IF(reading[[#This Row],[Next]]&lt;&gt;"",IF(reading[[#This Row],[Next]]&gt;TODAY(),"OK",""),"")</f>
        <v/>
      </c>
      <c r="Z2138" s="13">
        <v>3</v>
      </c>
      <c r="AA2138" s="13">
        <v>3</v>
      </c>
      <c r="AB2138" s="13">
        <v>3</v>
      </c>
      <c r="AC2138" s="13">
        <v>3</v>
      </c>
      <c r="AD2138" s="13">
        <v>3</v>
      </c>
      <c r="AE2138" s="13"/>
      <c r="AF2138" s="13"/>
      <c r="AG2138" s="16">
        <f>IFERROR(SUMIF(reading[[#This Row],[1st]:[7th]],"&gt;0")/COUNTIF(reading[[#This Row],[1st]:[7th]],"&gt;0"),"")</f>
        <v>3</v>
      </c>
    </row>
    <row r="2139" spans="1:33" hidden="1" x14ac:dyDescent="0.2">
      <c r="A2139" s="4">
        <f>IF(B2139=1,3,IF(D2139=1,2,IF(F2139=1,1,0)))</f>
        <v>0</v>
      </c>
      <c r="B2139" s="4" t="str">
        <f>IF(C2139=$L2139,1,IF(C2139="","",0))</f>
        <v/>
      </c>
      <c r="C2139" s="42"/>
      <c r="D2139" s="4" t="str">
        <f>IF(E2139=$L2139,1,IF(E2139="","",0))</f>
        <v/>
      </c>
      <c r="E2139" s="43"/>
      <c r="F2139" s="4" t="str">
        <f>IF(G2139=$L2139,1,IF(G2139="","",0))</f>
        <v/>
      </c>
      <c r="G2139" s="14"/>
      <c r="H2139" s="6">
        <v>1376</v>
      </c>
      <c r="I2139" s="15" t="s">
        <v>3120</v>
      </c>
      <c r="J2139" s="6" t="s">
        <v>4490</v>
      </c>
      <c r="K2139" s="15" t="s">
        <v>3139</v>
      </c>
      <c r="L2139" s="6" t="s">
        <v>1470</v>
      </c>
      <c r="M2139" s="6" t="s">
        <v>7483</v>
      </c>
      <c r="N2139" s="7">
        <f ca="1">RAND()</f>
        <v>0.32197687430176147</v>
      </c>
      <c r="O2139" s="8">
        <v>45207</v>
      </c>
      <c r="P2139" s="8">
        <v>45208</v>
      </c>
      <c r="Q2139" s="8">
        <v>45210</v>
      </c>
      <c r="R2139" s="8">
        <v>45214</v>
      </c>
      <c r="S2139" s="8">
        <v>45221</v>
      </c>
      <c r="T2139" s="8">
        <v>45233</v>
      </c>
      <c r="U2139" s="8">
        <v>45816</v>
      </c>
      <c r="V2139" s="10">
        <f>COUNTA(O2139:U2139)</f>
        <v>7</v>
      </c>
      <c r="W2139" s="11">
        <f>_xlfn.IFNA(INDEX(reading[[#This Row],[Memo 01]:[Memo 07]],MATCH(0,reading[[#This Row],[Memo 01]:[Memo 07]],-1)),"")</f>
        <v>45816</v>
      </c>
      <c r="X2139" s="11">
        <f ca="1">IFERROR(reading[[#This Row],[Previous]]+OFFSET(reading[[#Headers],[Memo 01]],-1,MATCH(0,reading[[#This Row],[Memo 01]:[Memo 07]],-1)-1),"")</f>
        <v>55816</v>
      </c>
      <c r="Y2139" s="10" t="str">
        <f ca="1">IF(reading[[#This Row],[Next]]&lt;&gt;"",IF(reading[[#This Row],[Next]]&gt;TODAY(),"OK",""),"")</f>
        <v>OK</v>
      </c>
      <c r="Z2139" s="13">
        <v>3</v>
      </c>
      <c r="AA2139" s="13">
        <v>3</v>
      </c>
      <c r="AB2139" s="13">
        <v>2</v>
      </c>
      <c r="AC2139" s="13">
        <v>2</v>
      </c>
      <c r="AD2139" s="13">
        <v>2</v>
      </c>
      <c r="AE2139" s="13">
        <v>3</v>
      </c>
      <c r="AF2139" s="13">
        <v>2</v>
      </c>
      <c r="AG2139" s="16">
        <f>IFERROR(SUMIF(reading[[#This Row],[1st]:[7th]],"&gt;0")/COUNTIF(reading[[#This Row],[1st]:[7th]],"&gt;0"),"")</f>
        <v>2.4285714285714284</v>
      </c>
    </row>
    <row r="2140" spans="1:33" x14ac:dyDescent="0.2">
      <c r="A2140" s="4">
        <f>IF(B2140=1,3,IF(D2140=1,2,IF(F2140=1,1,0)))</f>
        <v>0</v>
      </c>
      <c r="B2140" s="4" t="str">
        <f>IF(C2140=$L2140,1,IF(C2140="","",0))</f>
        <v/>
      </c>
      <c r="C2140" s="42"/>
      <c r="D2140" s="4" t="str">
        <f>IF(E2140=$L2140,1,IF(E2140="","",0))</f>
        <v/>
      </c>
      <c r="E2140" s="43"/>
      <c r="F2140" s="4" t="str">
        <f>IF(G2140=$L2140,1,IF(G2140="","",0))</f>
        <v/>
      </c>
      <c r="G2140" s="23"/>
      <c r="H2140" s="6">
        <v>2964</v>
      </c>
      <c r="I2140" s="15" t="s">
        <v>3120</v>
      </c>
      <c r="J2140" s="6" t="s">
        <v>5995</v>
      </c>
      <c r="K2140" s="6"/>
      <c r="L2140" s="6" t="s">
        <v>2994</v>
      </c>
      <c r="M2140" s="6" t="s">
        <v>9068</v>
      </c>
      <c r="N2140" s="7">
        <f ca="1">RAND()</f>
        <v>0.35994980127628351</v>
      </c>
      <c r="O2140" s="8">
        <v>45224</v>
      </c>
      <c r="P2140" s="8">
        <v>45225</v>
      </c>
      <c r="Q2140" s="8">
        <v>45227</v>
      </c>
      <c r="R2140" s="8">
        <v>45251</v>
      </c>
      <c r="S2140" s="8">
        <v>45817</v>
      </c>
      <c r="T2140" s="8"/>
      <c r="U2140" s="8"/>
      <c r="V2140" s="10">
        <f>COUNTA(O2140:U2140)</f>
        <v>5</v>
      </c>
      <c r="W2140" s="11">
        <f>_xlfn.IFNA(INDEX(reading[[#This Row],[Memo 01]:[Memo 07]],MATCH(0,reading[[#This Row],[Memo 01]:[Memo 07]],-1)),"")</f>
        <v>45817</v>
      </c>
      <c r="X2140" s="11">
        <f ca="1">IFERROR(reading[[#This Row],[Previous]]+OFFSET(reading[[#Headers],[Memo 01]],-1,MATCH(0,reading[[#This Row],[Memo 01]:[Memo 07]],-1)-1),"")</f>
        <v>45829</v>
      </c>
      <c r="Y2140" s="10" t="str">
        <f ca="1">IF(reading[[#This Row],[Next]]&lt;&gt;"",IF(reading[[#This Row],[Next]]&gt;TODAY(),"OK",""),"")</f>
        <v/>
      </c>
      <c r="Z2140" s="13">
        <v>3</v>
      </c>
      <c r="AA2140" s="13">
        <v>2</v>
      </c>
      <c r="AB2140" s="13">
        <v>2</v>
      </c>
      <c r="AC2140" s="13">
        <v>3</v>
      </c>
      <c r="AD2140" s="13">
        <v>1</v>
      </c>
      <c r="AE2140" s="13"/>
      <c r="AF2140" s="13"/>
      <c r="AG2140" s="16">
        <f>IFERROR(SUMIF(reading[[#This Row],[1st]:[7th]],"&gt;0")/COUNTIF(reading[[#This Row],[1st]:[7th]],"&gt;0"),"")</f>
        <v>2.2000000000000002</v>
      </c>
    </row>
    <row r="2141" spans="1:33" x14ac:dyDescent="0.2">
      <c r="A2141" s="4">
        <f>IF(B2141=1,3,IF(D2141=1,2,IF(F2141=1,1,0)))</f>
        <v>0</v>
      </c>
      <c r="B2141" s="4" t="str">
        <f>IF(C2141=$L2141,1,IF(C2141="","",0))</f>
        <v/>
      </c>
      <c r="C2141" s="42"/>
      <c r="D2141" s="4" t="str">
        <f>IF(E2141=$L2141,1,IF(E2141="","",0))</f>
        <v/>
      </c>
      <c r="E2141" s="18"/>
      <c r="F2141" s="4" t="str">
        <f>IF(G2141=$L2141,1,IF(G2141="","",0))</f>
        <v/>
      </c>
      <c r="G2141" s="14"/>
      <c r="H2141" s="6">
        <v>1867</v>
      </c>
      <c r="I2141" s="15" t="s">
        <v>3120</v>
      </c>
      <c r="J2141" s="6" t="s">
        <v>4969</v>
      </c>
      <c r="K2141" s="6"/>
      <c r="L2141" s="6" t="s">
        <v>1945</v>
      </c>
      <c r="M2141" s="6" t="s">
        <v>7973</v>
      </c>
      <c r="N2141" s="7">
        <f ca="1">RAND()</f>
        <v>0.21706490712331084</v>
      </c>
      <c r="O2141" s="8">
        <v>45213</v>
      </c>
      <c r="P2141" s="8">
        <v>45214</v>
      </c>
      <c r="Q2141" s="8">
        <v>45216</v>
      </c>
      <c r="R2141" s="8">
        <v>45220</v>
      </c>
      <c r="S2141" s="8">
        <v>45227</v>
      </c>
      <c r="T2141" s="8">
        <v>45792</v>
      </c>
      <c r="U2141" s="8"/>
      <c r="V2141" s="10">
        <f>COUNTA(O2141:U2141)</f>
        <v>6</v>
      </c>
      <c r="W2141" s="11">
        <f>_xlfn.IFNA(INDEX(reading[[#This Row],[Memo 01]:[Memo 07]],MATCH(0,reading[[#This Row],[Memo 01]:[Memo 07]],-1)),"")</f>
        <v>45792</v>
      </c>
      <c r="X2141" s="11">
        <f ca="1">IFERROR(reading[[#This Row],[Previous]]+OFFSET(reading[[#Headers],[Memo 01]],-1,MATCH(0,reading[[#This Row],[Memo 01]:[Memo 07]],-1)-1),"")</f>
        <v>45812</v>
      </c>
      <c r="Y2141" s="10" t="str">
        <f ca="1">IF(reading[[#This Row],[Next]]&lt;&gt;"",IF(reading[[#This Row],[Next]]&gt;TODAY(),"OK",""),"")</f>
        <v/>
      </c>
      <c r="Z2141" s="13">
        <v>3</v>
      </c>
      <c r="AA2141" s="13">
        <v>2</v>
      </c>
      <c r="AB2141" s="13">
        <v>3</v>
      </c>
      <c r="AC2141" s="13">
        <v>3</v>
      </c>
      <c r="AD2141" s="13">
        <v>3</v>
      </c>
      <c r="AE2141" s="13">
        <v>3</v>
      </c>
      <c r="AF2141" s="13"/>
      <c r="AG2141" s="16">
        <f>IFERROR(SUMIF(reading[[#This Row],[1st]:[7th]],"&gt;0")/COUNTIF(reading[[#This Row],[1st]:[7th]],"&gt;0"),"")</f>
        <v>2.8333333333333335</v>
      </c>
    </row>
    <row r="2142" spans="1:33" hidden="1" x14ac:dyDescent="0.2">
      <c r="A2142" s="4">
        <f>IF(B2142=1,3,IF(D2142=1,2,IF(F2142=1,1,0)))</f>
        <v>0</v>
      </c>
      <c r="B2142" s="4">
        <f>IF(C2142=$L2142,1,IF(C2142="","",0))</f>
        <v>0</v>
      </c>
      <c r="C2142" s="42" t="s">
        <v>9200</v>
      </c>
      <c r="D2142" s="4" t="str">
        <f>IF(E2142=$L2142,1,IF(E2142="","",0))</f>
        <v/>
      </c>
      <c r="E2142" s="14"/>
      <c r="F2142" s="4" t="str">
        <f>IF(G2142=$L2142,1,IF(G2142="","",0))</f>
        <v/>
      </c>
      <c r="G2142" s="14"/>
      <c r="H2142" s="6">
        <v>2556</v>
      </c>
      <c r="I2142" s="15" t="s">
        <v>3120</v>
      </c>
      <c r="J2142" s="6" t="s">
        <v>5617</v>
      </c>
      <c r="K2142" s="6"/>
      <c r="L2142" s="6" t="s">
        <v>2601</v>
      </c>
      <c r="M2142" s="6" t="s">
        <v>8661</v>
      </c>
      <c r="N2142" s="7">
        <f ca="1">RAND()</f>
        <v>0.79123682138782658</v>
      </c>
      <c r="O2142" s="8">
        <v>45219</v>
      </c>
      <c r="P2142" s="8">
        <v>45220</v>
      </c>
      <c r="Q2142" s="8">
        <v>45222</v>
      </c>
      <c r="R2142" s="8">
        <v>45226</v>
      </c>
      <c r="S2142" s="8">
        <v>45233</v>
      </c>
      <c r="T2142" s="8"/>
      <c r="U2142" s="8"/>
      <c r="V2142" s="10">
        <f>COUNTA(O2142:U2142)</f>
        <v>5</v>
      </c>
      <c r="W2142" s="11">
        <f>_xlfn.IFNA(INDEX(reading[[#This Row],[Memo 01]:[Memo 07]],MATCH(0,reading[[#This Row],[Memo 01]:[Memo 07]],-1)),"")</f>
        <v>45233</v>
      </c>
      <c r="X2142" s="11">
        <f ca="1">IFERROR(reading[[#This Row],[Previous]]+OFFSET(reading[[#Headers],[Memo 01]],-1,MATCH(0,reading[[#This Row],[Memo 01]:[Memo 07]],-1)-1),"")</f>
        <v>45245</v>
      </c>
      <c r="Y2142" s="10" t="str">
        <f ca="1">IF(reading[[#This Row],[Next]]&lt;&gt;"",IF(reading[[#This Row],[Next]]&gt;TODAY(),"OK",""),"")</f>
        <v/>
      </c>
      <c r="Z2142" s="13">
        <v>3</v>
      </c>
      <c r="AA2142" s="13">
        <v>3</v>
      </c>
      <c r="AB2142" s="13">
        <v>3</v>
      </c>
      <c r="AC2142" s="13">
        <v>3</v>
      </c>
      <c r="AD2142" s="13">
        <v>3</v>
      </c>
      <c r="AE2142" s="13"/>
      <c r="AF2142" s="13"/>
      <c r="AG2142" s="16">
        <f>IFERROR(SUMIF(reading[[#This Row],[1st]:[7th]],"&gt;0")/COUNTIF(reading[[#This Row],[1st]:[7th]],"&gt;0"),"")</f>
        <v>3</v>
      </c>
    </row>
    <row r="2143" spans="1:33" x14ac:dyDescent="0.2">
      <c r="A2143" s="4">
        <f>IF(B2143=1,3,IF(D2143=1,2,IF(F2143=1,1,0)))</f>
        <v>0</v>
      </c>
      <c r="B2143" s="4" t="str">
        <f>IF(C2143=$L2143,1,IF(C2143="","",0))</f>
        <v/>
      </c>
      <c r="C2143" s="41"/>
      <c r="D2143" s="4" t="str">
        <f>IF(E2143=$L2143,1,IF(E2143="","",0))</f>
        <v/>
      </c>
      <c r="E2143" s="14"/>
      <c r="F2143" s="4" t="str">
        <f>IF(G2143=$L2143,1,IF(G2143="","",0))</f>
        <v/>
      </c>
      <c r="G2143" s="14"/>
      <c r="H2143" s="6">
        <v>3010</v>
      </c>
      <c r="I2143" s="15" t="s">
        <v>3120</v>
      </c>
      <c r="J2143" s="6" t="s">
        <v>6033</v>
      </c>
      <c r="K2143" s="6"/>
      <c r="L2143" s="6" t="s">
        <v>3039</v>
      </c>
      <c r="M2143" s="6" t="s">
        <v>9113</v>
      </c>
      <c r="N2143" s="7">
        <f ca="1">RAND()</f>
        <v>0.44401275519943506</v>
      </c>
      <c r="O2143" s="8">
        <v>45224</v>
      </c>
      <c r="P2143" s="8">
        <v>45225</v>
      </c>
      <c r="Q2143" s="8">
        <v>45227</v>
      </c>
      <c r="R2143" s="8">
        <v>45231</v>
      </c>
      <c r="S2143" s="8">
        <v>45250</v>
      </c>
      <c r="T2143" s="8"/>
      <c r="U2143" s="8"/>
      <c r="V2143" s="10">
        <f>COUNTA(O2143:U2143)</f>
        <v>5</v>
      </c>
      <c r="W2143" s="11">
        <f>_xlfn.IFNA(INDEX(reading[[#This Row],[Memo 01]:[Memo 07]],MATCH(0,reading[[#This Row],[Memo 01]:[Memo 07]],-1)),"")</f>
        <v>45250</v>
      </c>
      <c r="X2143" s="11">
        <f ca="1">IFERROR(reading[[#This Row],[Previous]]+OFFSET(reading[[#Headers],[Memo 01]],-1,MATCH(0,reading[[#This Row],[Memo 01]:[Memo 07]],-1)-1),"")</f>
        <v>45262</v>
      </c>
      <c r="Y2143" s="10" t="str">
        <f ca="1">IF(reading[[#This Row],[Next]]&lt;&gt;"",IF(reading[[#This Row],[Next]]&gt;TODAY(),"OK",""),"")</f>
        <v/>
      </c>
      <c r="Z2143" s="13">
        <v>3</v>
      </c>
      <c r="AA2143" s="13">
        <v>3</v>
      </c>
      <c r="AB2143" s="13">
        <v>3</v>
      </c>
      <c r="AC2143" s="13">
        <v>3</v>
      </c>
      <c r="AD2143" s="13">
        <v>2</v>
      </c>
      <c r="AE2143" s="13"/>
      <c r="AF2143" s="13"/>
      <c r="AG2143" s="16">
        <f>IFERROR(SUMIF(reading[[#This Row],[1st]:[7th]],"&gt;0")/COUNTIF(reading[[#This Row],[1st]:[7th]],"&gt;0"),"")</f>
        <v>2.8</v>
      </c>
    </row>
    <row r="2144" spans="1:33" x14ac:dyDescent="0.2">
      <c r="A2144" s="4">
        <f>IF(B2144=1,3,IF(D2144=1,2,IF(F2144=1,1,0)))</f>
        <v>0</v>
      </c>
      <c r="B2144" s="4" t="str">
        <f>IF(C2144=$L2144,1,IF(C2144="","",0))</f>
        <v/>
      </c>
      <c r="C2144" s="18"/>
      <c r="D2144" s="4" t="str">
        <f>IF(E2144=$L2144,1,IF(E2144="","",0))</f>
        <v/>
      </c>
      <c r="E2144" s="23"/>
      <c r="F2144" s="4" t="str">
        <f>IF(G2144=$L2144,1,IF(G2144="","",0))</f>
        <v/>
      </c>
      <c r="G2144" s="14"/>
      <c r="H2144" s="6">
        <v>30</v>
      </c>
      <c r="I2144" s="15" t="s">
        <v>3120</v>
      </c>
      <c r="J2144" s="6" t="s">
        <v>3185</v>
      </c>
      <c r="K2144" s="24" t="s">
        <v>3137</v>
      </c>
      <c r="L2144" s="6" t="s">
        <v>173</v>
      </c>
      <c r="M2144" s="6" t="s">
        <v>6144</v>
      </c>
      <c r="N2144" s="7">
        <f ca="1">RAND()</f>
        <v>0.35133357184084202</v>
      </c>
      <c r="O2144" s="8">
        <v>45199</v>
      </c>
      <c r="P2144" s="8">
        <v>45200</v>
      </c>
      <c r="Q2144" s="8">
        <v>45202</v>
      </c>
      <c r="R2144" s="8">
        <v>45206</v>
      </c>
      <c r="S2144" s="8">
        <v>45213</v>
      </c>
      <c r="T2144" s="8">
        <v>45225</v>
      </c>
      <c r="U2144" s="8"/>
      <c r="V2144" s="10">
        <f>COUNTA(O2144:U2144)</f>
        <v>6</v>
      </c>
      <c r="W2144" s="11">
        <f>_xlfn.IFNA(INDEX(reading[[#This Row],[Memo 01]:[Memo 07]],MATCH(0,reading[[#This Row],[Memo 01]:[Memo 07]],-1)),"")</f>
        <v>45225</v>
      </c>
      <c r="X2144" s="11">
        <f ca="1">IFERROR(reading[[#This Row],[Previous]]+OFFSET(reading[[#Headers],[Memo 01]],-1,MATCH(0,reading[[#This Row],[Memo 01]:[Memo 07]],-1)-1),"")</f>
        <v>45245</v>
      </c>
      <c r="Y2144" s="10" t="str">
        <f ca="1">IF(reading[[#This Row],[Next]]&lt;&gt;"",IF(reading[[#This Row],[Next]]&gt;TODAY(),"OK",""),"")</f>
        <v/>
      </c>
      <c r="Z2144" s="13">
        <v>3</v>
      </c>
      <c r="AA2144" s="13">
        <v>3</v>
      </c>
      <c r="AB2144" s="13">
        <v>3</v>
      </c>
      <c r="AC2144" s="13">
        <v>2</v>
      </c>
      <c r="AD2144" s="13">
        <v>2</v>
      </c>
      <c r="AE2144" s="13">
        <v>3</v>
      </c>
      <c r="AF2144" s="13"/>
      <c r="AG2144" s="16">
        <f>IFERROR(SUMIF(reading[[#This Row],[1st]:[7th]],"&gt;0")/COUNTIF(reading[[#This Row],[1st]:[7th]],"&gt;0"),"")</f>
        <v>2.6666666666666665</v>
      </c>
    </row>
    <row r="2145" spans="1:33" x14ac:dyDescent="0.2">
      <c r="A2145" s="4">
        <f>IF(B2145=1,3,IF(D2145=1,2,IF(F2145=1,1,0)))</f>
        <v>0</v>
      </c>
      <c r="B2145" s="4" t="str">
        <f>IF(C2145=$L2145,1,IF(C2145="","",0))</f>
        <v/>
      </c>
      <c r="C2145" s="42"/>
      <c r="D2145" s="4" t="str">
        <f>IF(E2145=$L2145,1,IF(E2145="","",0))</f>
        <v/>
      </c>
      <c r="E2145" s="18"/>
      <c r="F2145" s="4" t="str">
        <f>IF(G2145=$L2145,1,IF(G2145="","",0))</f>
        <v/>
      </c>
      <c r="G2145" s="14"/>
      <c r="H2145" s="6">
        <v>2046</v>
      </c>
      <c r="I2145" s="15" t="s">
        <v>3120</v>
      </c>
      <c r="J2145" s="6" t="s">
        <v>5142</v>
      </c>
      <c r="K2145" s="15" t="s">
        <v>3138</v>
      </c>
      <c r="L2145" s="6" t="s">
        <v>2121</v>
      </c>
      <c r="M2145" s="6" t="s">
        <v>8152</v>
      </c>
      <c r="N2145" s="7">
        <f ca="1">RAND()</f>
        <v>0.93944481411031577</v>
      </c>
      <c r="O2145" s="8">
        <v>45213</v>
      </c>
      <c r="P2145" s="8">
        <v>45214</v>
      </c>
      <c r="Q2145" s="8">
        <v>45216</v>
      </c>
      <c r="R2145" s="8">
        <v>45220</v>
      </c>
      <c r="S2145" s="8">
        <v>45227</v>
      </c>
      <c r="T2145" s="8">
        <v>45792</v>
      </c>
      <c r="U2145" s="8"/>
      <c r="V2145" s="10">
        <f>COUNTA(O2145:U2145)</f>
        <v>6</v>
      </c>
      <c r="W2145" s="11">
        <f>_xlfn.IFNA(INDEX(reading[[#This Row],[Memo 01]:[Memo 07]],MATCH(0,reading[[#This Row],[Memo 01]:[Memo 07]],-1)),"")</f>
        <v>45792</v>
      </c>
      <c r="X2145" s="11">
        <f ca="1">IFERROR(reading[[#This Row],[Previous]]+OFFSET(reading[[#Headers],[Memo 01]],-1,MATCH(0,reading[[#This Row],[Memo 01]:[Memo 07]],-1)-1),"")</f>
        <v>45812</v>
      </c>
      <c r="Y2145" s="10" t="str">
        <f ca="1">IF(reading[[#This Row],[Next]]&lt;&gt;"",IF(reading[[#This Row],[Next]]&gt;TODAY(),"OK",""),"")</f>
        <v/>
      </c>
      <c r="Z2145" s="13">
        <v>3</v>
      </c>
      <c r="AA2145" s="13">
        <v>3</v>
      </c>
      <c r="AB2145" s="13">
        <v>3</v>
      </c>
      <c r="AC2145" s="13">
        <v>2</v>
      </c>
      <c r="AD2145" s="13">
        <v>3</v>
      </c>
      <c r="AE2145" s="13">
        <v>3</v>
      </c>
      <c r="AF2145" s="13"/>
      <c r="AG2145" s="16">
        <f>IFERROR(SUMIF(reading[[#This Row],[1st]:[7th]],"&gt;0")/COUNTIF(reading[[#This Row],[1st]:[7th]],"&gt;0"),"")</f>
        <v>2.8333333333333335</v>
      </c>
    </row>
    <row r="2146" spans="1:33" x14ac:dyDescent="0.2">
      <c r="A2146" s="4">
        <f>IF(B2146=1,3,IF(D2146=1,2,IF(F2146=1,1,0)))</f>
        <v>0</v>
      </c>
      <c r="B2146" s="4" t="str">
        <f>IF(C2146=$L2146,1,IF(C2146="","",0))</f>
        <v/>
      </c>
      <c r="C2146" s="39"/>
      <c r="D2146" s="4" t="str">
        <f>IF(E2146=$L2146,1,IF(E2146="","",0))</f>
        <v/>
      </c>
      <c r="E2146" s="18"/>
      <c r="F2146" s="4" t="str">
        <f>IF(G2146=$L2146,1,IF(G2146="","",0))</f>
        <v/>
      </c>
      <c r="G2146" s="14"/>
      <c r="H2146" s="6">
        <v>1014</v>
      </c>
      <c r="I2146" s="15" t="s">
        <v>3120</v>
      </c>
      <c r="J2146" s="6" t="s">
        <v>4142</v>
      </c>
      <c r="K2146" s="6"/>
      <c r="L2146" s="6" t="s">
        <v>1124</v>
      </c>
      <c r="M2146" s="6" t="s">
        <v>7122</v>
      </c>
      <c r="N2146" s="7">
        <f ca="1">RAND()</f>
        <v>0.8253514656834996</v>
      </c>
      <c r="O2146" s="8">
        <v>45205</v>
      </c>
      <c r="P2146" s="8">
        <v>45206</v>
      </c>
      <c r="Q2146" s="8">
        <v>45208</v>
      </c>
      <c r="R2146" s="8">
        <v>45212</v>
      </c>
      <c r="S2146" s="8">
        <v>45219</v>
      </c>
      <c r="T2146" s="8">
        <v>45231</v>
      </c>
      <c r="U2146" s="8"/>
      <c r="V2146" s="10">
        <f>COUNTA(O2146:U2146)</f>
        <v>6</v>
      </c>
      <c r="W2146" s="11">
        <f>_xlfn.IFNA(INDEX(reading[[#This Row],[Memo 01]:[Memo 07]],MATCH(0,reading[[#This Row],[Memo 01]:[Memo 07]],-1)),"")</f>
        <v>45231</v>
      </c>
      <c r="X2146" s="11">
        <f ca="1">IFERROR(reading[[#This Row],[Previous]]+OFFSET(reading[[#Headers],[Memo 01]],-1,MATCH(0,reading[[#This Row],[Memo 01]:[Memo 07]],-1)-1),"")</f>
        <v>45251</v>
      </c>
      <c r="Y2146" s="10" t="str">
        <f ca="1">IF(reading[[#This Row],[Next]]&lt;&gt;"",IF(reading[[#This Row],[Next]]&gt;TODAY(),"OK",""),"")</f>
        <v/>
      </c>
      <c r="Z2146" s="13">
        <v>3</v>
      </c>
      <c r="AA2146" s="13">
        <v>2</v>
      </c>
      <c r="AB2146" s="13">
        <v>3</v>
      </c>
      <c r="AC2146" s="13">
        <v>3</v>
      </c>
      <c r="AD2146" s="13">
        <v>3</v>
      </c>
      <c r="AE2146" s="13">
        <v>3</v>
      </c>
      <c r="AF2146" s="13"/>
      <c r="AG2146" s="16">
        <f>IFERROR(SUMIF(reading[[#This Row],[1st]:[7th]],"&gt;0")/COUNTIF(reading[[#This Row],[1st]:[7th]],"&gt;0"),"")</f>
        <v>2.8333333333333335</v>
      </c>
    </row>
    <row r="2147" spans="1:33" hidden="1" x14ac:dyDescent="0.2">
      <c r="A2147" s="4">
        <f>IF(B2147=1,3,IF(D2147=1,2,IF(F2147=1,1,0)))</f>
        <v>0</v>
      </c>
      <c r="B2147" s="4" t="str">
        <f>IF(C2147=$L2147,1,IF(C2147="","",0))</f>
        <v/>
      </c>
      <c r="C2147" s="42"/>
      <c r="D2147" s="4" t="str">
        <f>IF(E2147=$L2147,1,IF(E2147="","",0))</f>
        <v/>
      </c>
      <c r="E2147" s="23"/>
      <c r="F2147" s="4" t="str">
        <f>IF(G2147=$L2147,1,IF(G2147="","",0))</f>
        <v/>
      </c>
      <c r="G2147" s="14"/>
      <c r="H2147" s="6">
        <v>945</v>
      </c>
      <c r="I2147" s="15" t="s">
        <v>3120</v>
      </c>
      <c r="J2147" s="6" t="s">
        <v>4075</v>
      </c>
      <c r="K2147" s="6"/>
      <c r="L2147" s="6" t="s">
        <v>1055</v>
      </c>
      <c r="M2147" s="6" t="s">
        <v>7053</v>
      </c>
      <c r="N2147" s="7">
        <f ca="1">RAND()</f>
        <v>0.23671849477490614</v>
      </c>
      <c r="O2147" s="8">
        <v>45204</v>
      </c>
      <c r="P2147" s="8">
        <v>45205</v>
      </c>
      <c r="Q2147" s="8">
        <v>45207</v>
      </c>
      <c r="R2147" s="8">
        <v>45211</v>
      </c>
      <c r="S2147" s="8">
        <v>45218</v>
      </c>
      <c r="T2147" s="8">
        <v>45230</v>
      </c>
      <c r="U2147" s="8">
        <v>45816</v>
      </c>
      <c r="V2147" s="10">
        <f>COUNTA(O2147:U2147)</f>
        <v>7</v>
      </c>
      <c r="W2147" s="11">
        <f>_xlfn.IFNA(INDEX(reading[[#This Row],[Memo 01]:[Memo 07]],MATCH(0,reading[[#This Row],[Memo 01]:[Memo 07]],-1)),"")</f>
        <v>45816</v>
      </c>
      <c r="X2147" s="11">
        <f ca="1">IFERROR(reading[[#This Row],[Previous]]+OFFSET(reading[[#Headers],[Memo 01]],-1,MATCH(0,reading[[#This Row],[Memo 01]:[Memo 07]],-1)-1),"")</f>
        <v>55816</v>
      </c>
      <c r="Y2147" s="10" t="str">
        <f ca="1">IF(reading[[#This Row],[Next]]&lt;&gt;"",IF(reading[[#This Row],[Next]]&gt;TODAY(),"OK",""),"")</f>
        <v>OK</v>
      </c>
      <c r="Z2147" s="13">
        <v>3</v>
      </c>
      <c r="AA2147" s="13">
        <v>3</v>
      </c>
      <c r="AB2147" s="13">
        <v>3</v>
      </c>
      <c r="AC2147" s="13">
        <v>3</v>
      </c>
      <c r="AD2147" s="13">
        <v>3</v>
      </c>
      <c r="AE2147" s="13">
        <v>3</v>
      </c>
      <c r="AF2147" s="13">
        <v>2</v>
      </c>
      <c r="AG2147" s="16">
        <f>IFERROR(SUMIF(reading[[#This Row],[1st]:[7th]],"&gt;0")/COUNTIF(reading[[#This Row],[1st]:[7th]],"&gt;0"),"")</f>
        <v>2.8571428571428572</v>
      </c>
    </row>
    <row r="2148" spans="1:33" hidden="1" x14ac:dyDescent="0.2">
      <c r="A2148" s="4">
        <f>IF(B2148=1,3,IF(D2148=1,2,IF(F2148=1,1,0)))</f>
        <v>0</v>
      </c>
      <c r="B2148" s="4">
        <f>IF(C2148=$L2148,1,IF(C2148="","",0))</f>
        <v>0</v>
      </c>
      <c r="C2148" s="42" t="s">
        <v>9200</v>
      </c>
      <c r="D2148" s="4" t="str">
        <f>IF(E2148=$L2148,1,IF(E2148="","",0))</f>
        <v/>
      </c>
      <c r="E2148" s="18"/>
      <c r="F2148" s="4" t="str">
        <f>IF(G2148=$L2148,1,IF(G2148="","",0))</f>
        <v/>
      </c>
      <c r="G2148" s="14"/>
      <c r="H2148" s="6">
        <v>2256</v>
      </c>
      <c r="I2148" s="15" t="s">
        <v>3120</v>
      </c>
      <c r="J2148" s="6" t="s">
        <v>5338</v>
      </c>
      <c r="K2148" s="6"/>
      <c r="L2148" s="6" t="s">
        <v>2318</v>
      </c>
      <c r="M2148" s="6" t="s">
        <v>8361</v>
      </c>
      <c r="N2148" s="7">
        <f ca="1">RAND()</f>
        <v>0.99116709550569271</v>
      </c>
      <c r="O2148" s="8">
        <v>45216</v>
      </c>
      <c r="P2148" s="8">
        <v>45217</v>
      </c>
      <c r="Q2148" s="8">
        <v>45219</v>
      </c>
      <c r="R2148" s="8">
        <v>45223</v>
      </c>
      <c r="S2148" s="8">
        <v>45230</v>
      </c>
      <c r="T2148" s="8">
        <v>45252</v>
      </c>
      <c r="U2148" s="8"/>
      <c r="V2148" s="10">
        <f>COUNTA(O2148:U2148)</f>
        <v>6</v>
      </c>
      <c r="W2148" s="11">
        <f>_xlfn.IFNA(INDEX(reading[[#This Row],[Memo 01]:[Memo 07]],MATCH(0,reading[[#This Row],[Memo 01]:[Memo 07]],-1)),"")</f>
        <v>45252</v>
      </c>
      <c r="X2148" s="11">
        <f ca="1">IFERROR(reading[[#This Row],[Previous]]+OFFSET(reading[[#Headers],[Memo 01]],-1,MATCH(0,reading[[#This Row],[Memo 01]:[Memo 07]],-1)-1),"")</f>
        <v>45272</v>
      </c>
      <c r="Y2148" s="10" t="str">
        <f ca="1">IF(reading[[#This Row],[Next]]&lt;&gt;"",IF(reading[[#This Row],[Next]]&gt;TODAY(),"OK",""),"")</f>
        <v/>
      </c>
      <c r="Z2148" s="13">
        <v>3</v>
      </c>
      <c r="AA2148" s="13">
        <v>3</v>
      </c>
      <c r="AB2148" s="13">
        <v>2</v>
      </c>
      <c r="AC2148" s="13">
        <v>2</v>
      </c>
      <c r="AD2148" s="13">
        <v>3</v>
      </c>
      <c r="AE2148" s="13">
        <v>2</v>
      </c>
      <c r="AF2148" s="13"/>
      <c r="AG2148" s="16">
        <f>IFERROR(SUMIF(reading[[#This Row],[1st]:[7th]],"&gt;0")/COUNTIF(reading[[#This Row],[1st]:[7th]],"&gt;0"),"")</f>
        <v>2.5</v>
      </c>
    </row>
    <row r="2149" spans="1:33" x14ac:dyDescent="0.2">
      <c r="A2149" s="4">
        <f>IF(B2149=1,3,IF(D2149=1,2,IF(F2149=1,1,0)))</f>
        <v>0</v>
      </c>
      <c r="B2149" s="4" t="str">
        <f>IF(C2149=$L2149,1,IF(C2149="","",0))</f>
        <v/>
      </c>
      <c r="C2149" s="38"/>
      <c r="D2149" s="4" t="str">
        <f>IF(E2149=$L2149,1,IF(E2149="","",0))</f>
        <v/>
      </c>
      <c r="E2149" s="18"/>
      <c r="F2149" s="4" t="str">
        <f>IF(G2149=$L2149,1,IF(G2149="","",0))</f>
        <v/>
      </c>
      <c r="G2149" s="18"/>
      <c r="H2149" s="6">
        <v>1567</v>
      </c>
      <c r="I2149" s="15" t="s">
        <v>3120</v>
      </c>
      <c r="J2149" s="6" t="s">
        <v>4680</v>
      </c>
      <c r="K2149" s="6"/>
      <c r="L2149" s="6" t="s">
        <v>1652</v>
      </c>
      <c r="M2149" s="6" t="s">
        <v>7673</v>
      </c>
      <c r="N2149" s="7">
        <f ca="1">RAND()</f>
        <v>2.2455744067806371E-4</v>
      </c>
      <c r="O2149" s="8">
        <v>45209</v>
      </c>
      <c r="P2149" s="8">
        <v>45210</v>
      </c>
      <c r="Q2149" s="8">
        <v>45217</v>
      </c>
      <c r="R2149" s="8">
        <v>45221</v>
      </c>
      <c r="S2149" s="8">
        <v>45228</v>
      </c>
      <c r="T2149" s="8"/>
      <c r="U2149" s="8"/>
      <c r="V2149" s="10">
        <f>COUNTA(O2149:U2149)</f>
        <v>5</v>
      </c>
      <c r="W2149" s="11">
        <f>_xlfn.IFNA(INDEX(reading[[#This Row],[Memo 01]:[Memo 07]],MATCH(0,reading[[#This Row],[Memo 01]:[Memo 07]],-1)),"")</f>
        <v>45228</v>
      </c>
      <c r="X2149" s="11">
        <f ca="1">IFERROR(reading[[#This Row],[Previous]]+OFFSET(reading[[#Headers],[Memo 01]],-1,MATCH(0,reading[[#This Row],[Memo 01]:[Memo 07]],-1)-1),"")</f>
        <v>45240</v>
      </c>
      <c r="Y2149" s="10" t="str">
        <f ca="1">IF(reading[[#This Row],[Next]]&lt;&gt;"",IF(reading[[#This Row],[Next]]&gt;TODAY(),"OK",""),"")</f>
        <v/>
      </c>
      <c r="Z2149" s="13">
        <v>3</v>
      </c>
      <c r="AA2149" s="13">
        <v>3</v>
      </c>
      <c r="AB2149" s="13">
        <v>3</v>
      </c>
      <c r="AC2149" s="13">
        <v>3</v>
      </c>
      <c r="AD2149" s="13">
        <v>3</v>
      </c>
      <c r="AE2149" s="13"/>
      <c r="AF2149" s="13"/>
      <c r="AG2149" s="16">
        <f>IFERROR(SUMIF(reading[[#This Row],[1st]:[7th]],"&gt;0")/COUNTIF(reading[[#This Row],[1st]:[7th]],"&gt;0"),"")</f>
        <v>3</v>
      </c>
    </row>
    <row r="2150" spans="1:33" hidden="1" x14ac:dyDescent="0.2">
      <c r="A2150" s="4">
        <f>IF(B2150=1,3,IF(D2150=1,2,IF(F2150=1,1,0)))</f>
        <v>0</v>
      </c>
      <c r="B2150" s="4" t="str">
        <f>IF(C2150=$L2150,1,IF(C2150="","",0))</f>
        <v/>
      </c>
      <c r="C2150" s="41"/>
      <c r="D2150" s="4" t="str">
        <f>IF(E2150=$L2150,1,IF(E2150="","",0))</f>
        <v/>
      </c>
      <c r="E2150" s="18"/>
      <c r="F2150" s="4" t="str">
        <f>IF(G2150=$L2150,1,IF(G2150="","",0))</f>
        <v/>
      </c>
      <c r="G2150" s="14"/>
      <c r="H2150" s="6">
        <v>1090</v>
      </c>
      <c r="I2150" s="15" t="s">
        <v>3120</v>
      </c>
      <c r="J2150" s="6" t="s">
        <v>4214</v>
      </c>
      <c r="K2150" s="6"/>
      <c r="L2150" s="6" t="s">
        <v>1196</v>
      </c>
      <c r="M2150" s="6" t="s">
        <v>7198</v>
      </c>
      <c r="N2150" s="7">
        <f ca="1">RAND()</f>
        <v>0.86017093619612905</v>
      </c>
      <c r="O2150" s="8">
        <v>45205</v>
      </c>
      <c r="P2150" s="8">
        <v>45206</v>
      </c>
      <c r="Q2150" s="8">
        <v>45208</v>
      </c>
      <c r="R2150" s="8">
        <v>45212</v>
      </c>
      <c r="S2150" s="8">
        <v>45219</v>
      </c>
      <c r="T2150" s="8">
        <v>45231</v>
      </c>
      <c r="U2150" s="8">
        <v>45252</v>
      </c>
      <c r="V2150" s="10">
        <f>COUNTA(O2150:U2150)</f>
        <v>7</v>
      </c>
      <c r="W2150" s="11">
        <f>_xlfn.IFNA(INDEX(reading[[#This Row],[Memo 01]:[Memo 07]],MATCH(0,reading[[#This Row],[Memo 01]:[Memo 07]],-1)),"")</f>
        <v>45252</v>
      </c>
      <c r="X2150" s="11">
        <f ca="1">IFERROR(reading[[#This Row],[Previous]]+OFFSET(reading[[#Headers],[Memo 01]],-1,MATCH(0,reading[[#This Row],[Memo 01]:[Memo 07]],-1)-1),"")</f>
        <v>55252</v>
      </c>
      <c r="Y2150" s="10" t="str">
        <f ca="1">IF(reading[[#This Row],[Next]]&lt;&gt;"",IF(reading[[#This Row],[Next]]&gt;TODAY(),"OK",""),"")</f>
        <v>OK</v>
      </c>
      <c r="Z2150" s="13">
        <v>3</v>
      </c>
      <c r="AA2150" s="13">
        <v>3</v>
      </c>
      <c r="AB2150" s="13">
        <v>1</v>
      </c>
      <c r="AC2150" s="13">
        <v>3</v>
      </c>
      <c r="AD2150" s="13">
        <v>2</v>
      </c>
      <c r="AE2150" s="13">
        <v>3</v>
      </c>
      <c r="AF2150" s="13">
        <v>2</v>
      </c>
      <c r="AG2150" s="16">
        <f>IFERROR(SUMIF(reading[[#This Row],[1st]:[7th]],"&gt;0")/COUNTIF(reading[[#This Row],[1st]:[7th]],"&gt;0"),"")</f>
        <v>2.4285714285714284</v>
      </c>
    </row>
    <row r="2151" spans="1:33" hidden="1" x14ac:dyDescent="0.2">
      <c r="A2151" s="4">
        <f>IF(B2151=1,3,IF(D2151=1,2,IF(F2151=1,1,0)))</f>
        <v>0</v>
      </c>
      <c r="B2151" s="4" t="str">
        <f>IF(C2151=$L2151,1,IF(C2151="","",0))</f>
        <v/>
      </c>
      <c r="C2151" s="42"/>
      <c r="D2151" s="4" t="str">
        <f>IF(E2151=$L2151,1,IF(E2151="","",0))</f>
        <v/>
      </c>
      <c r="E2151" s="43"/>
      <c r="F2151" s="4" t="str">
        <f>IF(G2151=$L2151,1,IF(G2151="","",0))</f>
        <v/>
      </c>
      <c r="G2151" s="23"/>
      <c r="H2151" s="6">
        <v>2234</v>
      </c>
      <c r="I2151" s="15" t="s">
        <v>3120</v>
      </c>
      <c r="J2151" s="6" t="s">
        <v>5319</v>
      </c>
      <c r="K2151" s="6"/>
      <c r="L2151" s="6" t="s">
        <v>2296</v>
      </c>
      <c r="M2151" s="6" t="s">
        <v>8339</v>
      </c>
      <c r="N2151" s="7">
        <f ca="1">RAND()</f>
        <v>0.20509622128650218</v>
      </c>
      <c r="O2151" s="8">
        <v>45216</v>
      </c>
      <c r="P2151" s="8">
        <v>45217</v>
      </c>
      <c r="Q2151" s="8">
        <v>45219</v>
      </c>
      <c r="R2151" s="8">
        <v>45223</v>
      </c>
      <c r="S2151" s="8">
        <v>45230</v>
      </c>
      <c r="T2151" s="8">
        <v>45816</v>
      </c>
      <c r="U2151" s="8"/>
      <c r="V2151" s="10">
        <f>COUNTA(O2151:U2151)</f>
        <v>6</v>
      </c>
      <c r="W2151" s="11">
        <f>_xlfn.IFNA(INDEX(reading[[#This Row],[Memo 01]:[Memo 07]],MATCH(0,reading[[#This Row],[Memo 01]:[Memo 07]],-1)),"")</f>
        <v>45816</v>
      </c>
      <c r="X2151" s="11">
        <f ca="1">IFERROR(reading[[#This Row],[Previous]]+OFFSET(reading[[#Headers],[Memo 01]],-1,MATCH(0,reading[[#This Row],[Memo 01]:[Memo 07]],-1)-1),"")</f>
        <v>45836</v>
      </c>
      <c r="Y2151" s="10" t="str">
        <f ca="1">IF(reading[[#This Row],[Next]]&lt;&gt;"",IF(reading[[#This Row],[Next]]&gt;TODAY(),"OK",""),"")</f>
        <v>OK</v>
      </c>
      <c r="Z2151" s="13">
        <v>3</v>
      </c>
      <c r="AA2151" s="13">
        <v>3</v>
      </c>
      <c r="AB2151" s="13">
        <v>3</v>
      </c>
      <c r="AC2151" s="13">
        <v>3</v>
      </c>
      <c r="AD2151" s="13">
        <v>2</v>
      </c>
      <c r="AE2151" s="13">
        <v>1</v>
      </c>
      <c r="AF2151" s="13"/>
      <c r="AG2151" s="16">
        <f>IFERROR(SUMIF(reading[[#This Row],[1st]:[7th]],"&gt;0")/COUNTIF(reading[[#This Row],[1st]:[7th]],"&gt;0"),"")</f>
        <v>2.5</v>
      </c>
    </row>
    <row r="2152" spans="1:33" x14ac:dyDescent="0.2">
      <c r="A2152" s="4">
        <f>IF(B2152=1,3,IF(D2152=1,2,IF(F2152=1,1,0)))</f>
        <v>0</v>
      </c>
      <c r="B2152" s="4" t="str">
        <f>IF(C2152=$L2152,1,IF(C2152="","",0))</f>
        <v/>
      </c>
      <c r="C2152" s="42"/>
      <c r="D2152" s="4" t="str">
        <f>IF(E2152=$L2152,1,IF(E2152="","",0))</f>
        <v/>
      </c>
      <c r="E2152" s="14"/>
      <c r="F2152" s="4" t="str">
        <f>IF(G2152=$L2152,1,IF(G2152="","",0))</f>
        <v/>
      </c>
      <c r="G2152" s="14"/>
      <c r="H2152" s="6">
        <v>1852</v>
      </c>
      <c r="I2152" s="15" t="s">
        <v>3120</v>
      </c>
      <c r="J2152" s="6" t="s">
        <v>4474</v>
      </c>
      <c r="K2152" s="6"/>
      <c r="L2152" s="6" t="s">
        <v>1930</v>
      </c>
      <c r="M2152" s="6" t="s">
        <v>7958</v>
      </c>
      <c r="N2152" s="7">
        <f ca="1">RAND()</f>
        <v>0.81645314811284186</v>
      </c>
      <c r="O2152" s="8">
        <v>45212</v>
      </c>
      <c r="P2152" s="8">
        <v>45213</v>
      </c>
      <c r="Q2152" s="8">
        <v>45215</v>
      </c>
      <c r="R2152" s="8">
        <v>45219</v>
      </c>
      <c r="S2152" s="8">
        <v>45226</v>
      </c>
      <c r="T2152" s="8">
        <v>45801</v>
      </c>
      <c r="U2152" s="8"/>
      <c r="V2152" s="10">
        <f>COUNTA(O2152:U2152)</f>
        <v>6</v>
      </c>
      <c r="W2152" s="11">
        <f>_xlfn.IFNA(INDEX(reading[[#This Row],[Memo 01]:[Memo 07]],MATCH(0,reading[[#This Row],[Memo 01]:[Memo 07]],-1)),"")</f>
        <v>45801</v>
      </c>
      <c r="X2152" s="11">
        <f ca="1">IFERROR(reading[[#This Row],[Previous]]+OFFSET(reading[[#Headers],[Memo 01]],-1,MATCH(0,reading[[#This Row],[Memo 01]:[Memo 07]],-1)-1),"")</f>
        <v>45821</v>
      </c>
      <c r="Y2152" s="10" t="str">
        <f ca="1">IF(reading[[#This Row],[Next]]&lt;&gt;"",IF(reading[[#This Row],[Next]]&gt;TODAY(),"OK",""),"")</f>
        <v/>
      </c>
      <c r="Z2152" s="13">
        <v>3</v>
      </c>
      <c r="AA2152" s="13">
        <v>3</v>
      </c>
      <c r="AB2152" s="13">
        <v>3</v>
      </c>
      <c r="AC2152" s="13">
        <v>3</v>
      </c>
      <c r="AD2152" s="13">
        <v>3</v>
      </c>
      <c r="AE2152" s="13">
        <v>3</v>
      </c>
      <c r="AF2152" s="13"/>
      <c r="AG2152" s="16">
        <f>IFERROR(SUMIF(reading[[#This Row],[1st]:[7th]],"&gt;0")/COUNTIF(reading[[#This Row],[1st]:[7th]],"&gt;0"),"")</f>
        <v>3</v>
      </c>
    </row>
    <row r="2153" spans="1:33" hidden="1" x14ac:dyDescent="0.2">
      <c r="A2153" s="4">
        <f>IF(B2153=1,3,IF(D2153=1,2,IF(F2153=1,1,0)))</f>
        <v>0</v>
      </c>
      <c r="B2153" s="4">
        <f>IF(C2153=$L2153,1,IF(C2153="","",0))</f>
        <v>0</v>
      </c>
      <c r="C2153" s="42" t="s">
        <v>9200</v>
      </c>
      <c r="D2153" s="4">
        <f>IF(E2153=$L2153,1,IF(E2153="","",0))</f>
        <v>0</v>
      </c>
      <c r="E2153" s="43" t="s">
        <v>9267</v>
      </c>
      <c r="F2153" s="4" t="str">
        <f>IF(G2153=$L2153,1,IF(G2153="","",0))</f>
        <v/>
      </c>
      <c r="G2153" s="18"/>
      <c r="H2153" s="6">
        <v>1953</v>
      </c>
      <c r="I2153" s="15" t="s">
        <v>3120</v>
      </c>
      <c r="J2153" s="6" t="s">
        <v>5052</v>
      </c>
      <c r="K2153" s="6"/>
      <c r="L2153" s="6" t="s">
        <v>2028</v>
      </c>
      <c r="M2153" s="6" t="s">
        <v>8059</v>
      </c>
      <c r="N2153" s="7">
        <f ca="1">RAND()</f>
        <v>0.70490125280905735</v>
      </c>
      <c r="O2153" s="8">
        <v>45213</v>
      </c>
      <c r="P2153" s="8">
        <v>45214</v>
      </c>
      <c r="Q2153" s="8">
        <v>45216</v>
      </c>
      <c r="R2153" s="8">
        <v>45228</v>
      </c>
      <c r="S2153" s="8">
        <v>45235</v>
      </c>
      <c r="T2153" s="8">
        <v>45250</v>
      </c>
      <c r="U2153" s="8"/>
      <c r="V2153" s="10">
        <f>COUNTA(O2153:U2153)</f>
        <v>6</v>
      </c>
      <c r="W2153" s="11">
        <f>_xlfn.IFNA(INDEX(reading[[#This Row],[Memo 01]:[Memo 07]],MATCH(0,reading[[#This Row],[Memo 01]:[Memo 07]],-1)),"")</f>
        <v>45250</v>
      </c>
      <c r="X2153" s="11">
        <f ca="1">IFERROR(reading[[#This Row],[Previous]]+OFFSET(reading[[#Headers],[Memo 01]],-1,MATCH(0,reading[[#This Row],[Memo 01]:[Memo 07]],-1)-1),"")</f>
        <v>45270</v>
      </c>
      <c r="Y2153" s="10" t="str">
        <f ca="1">IF(reading[[#This Row],[Next]]&lt;&gt;"",IF(reading[[#This Row],[Next]]&gt;TODAY(),"OK",""),"")</f>
        <v/>
      </c>
      <c r="Z2153" s="13">
        <v>3</v>
      </c>
      <c r="AA2153" s="13">
        <v>2</v>
      </c>
      <c r="AB2153" s="13">
        <v>1</v>
      </c>
      <c r="AC2153" s="13">
        <v>3</v>
      </c>
      <c r="AD2153" s="13">
        <v>2</v>
      </c>
      <c r="AE2153" s="13">
        <v>2</v>
      </c>
      <c r="AF2153" s="13"/>
      <c r="AG2153" s="16">
        <f>IFERROR(SUMIF(reading[[#This Row],[1st]:[7th]],"&gt;0")/COUNTIF(reading[[#This Row],[1st]:[7th]],"&gt;0"),"")</f>
        <v>2.1666666666666665</v>
      </c>
    </row>
    <row r="2154" spans="1:33" x14ac:dyDescent="0.2">
      <c r="A2154" s="4">
        <f>IF(B2154=1,3,IF(D2154=1,2,IF(F2154=1,1,0)))</f>
        <v>0</v>
      </c>
      <c r="B2154" s="4" t="str">
        <f>IF(C2154=$L2154,1,IF(C2154="","",0))</f>
        <v/>
      </c>
      <c r="C2154" s="36"/>
      <c r="D2154" s="4" t="str">
        <f>IF(E2154=$L2154,1,IF(E2154="","",0))</f>
        <v/>
      </c>
      <c r="E2154" s="14"/>
      <c r="F2154" s="4" t="str">
        <f>IF(G2154=$L2154,1,IF(G2154="","",0))</f>
        <v/>
      </c>
      <c r="G2154" s="14"/>
      <c r="H2154" s="6">
        <v>304</v>
      </c>
      <c r="I2154" s="15" t="s">
        <v>3120</v>
      </c>
      <c r="J2154" s="6" t="s">
        <v>3452</v>
      </c>
      <c r="K2154" s="6"/>
      <c r="L2154" s="6" t="s">
        <v>439</v>
      </c>
      <c r="M2154" s="6" t="s">
        <v>6413</v>
      </c>
      <c r="N2154" s="7">
        <f ca="1">RAND()</f>
        <v>0.14665760301248076</v>
      </c>
      <c r="O2154" s="8">
        <v>45200</v>
      </c>
      <c r="P2154" s="8">
        <v>45201</v>
      </c>
      <c r="Q2154" s="8">
        <v>45203</v>
      </c>
      <c r="R2154" s="8">
        <v>45207</v>
      </c>
      <c r="S2154" s="8">
        <v>45214</v>
      </c>
      <c r="T2154" s="8">
        <v>45226</v>
      </c>
      <c r="U2154" s="8"/>
      <c r="V2154" s="10">
        <f>COUNTA(O2154:U2154)</f>
        <v>6</v>
      </c>
      <c r="W2154" s="11">
        <f>_xlfn.IFNA(INDEX(reading[[#This Row],[Memo 01]:[Memo 07]],MATCH(0,reading[[#This Row],[Memo 01]:[Memo 07]],-1)),"")</f>
        <v>45226</v>
      </c>
      <c r="X2154" s="11">
        <f ca="1">IFERROR(reading[[#This Row],[Previous]]+OFFSET(reading[[#Headers],[Memo 01]],-1,MATCH(0,reading[[#This Row],[Memo 01]:[Memo 07]],-1)-1),"")</f>
        <v>45246</v>
      </c>
      <c r="Y2154" s="10" t="str">
        <f ca="1">IF(reading[[#This Row],[Next]]&lt;&gt;"",IF(reading[[#This Row],[Next]]&gt;TODAY(),"OK",""),"")</f>
        <v/>
      </c>
      <c r="Z2154" s="13">
        <v>3</v>
      </c>
      <c r="AA2154" s="13">
        <v>3</v>
      </c>
      <c r="AB2154" s="13">
        <v>3</v>
      </c>
      <c r="AC2154" s="13">
        <v>3</v>
      </c>
      <c r="AD2154" s="13">
        <v>3</v>
      </c>
      <c r="AE2154" s="13">
        <v>3</v>
      </c>
      <c r="AF2154" s="13"/>
      <c r="AG2154" s="16">
        <f>IFERROR(SUMIF(reading[[#This Row],[1st]:[7th]],"&gt;0")/COUNTIF(reading[[#This Row],[1st]:[7th]],"&gt;0"),"")</f>
        <v>3</v>
      </c>
    </row>
    <row r="2155" spans="1:33" hidden="1" x14ac:dyDescent="0.2">
      <c r="A2155" s="4">
        <f>IF(B2155=1,3,IF(D2155=1,2,IF(F2155=1,1,0)))</f>
        <v>0</v>
      </c>
      <c r="B2155" s="4" t="str">
        <f>IF(C2155=$L2155,1,IF(C2155="","",0))</f>
        <v/>
      </c>
      <c r="C2155" s="42"/>
      <c r="D2155" s="4" t="str">
        <f>IF(E2155=$L2155,1,IF(E2155="","",0))</f>
        <v/>
      </c>
      <c r="E2155" s="43"/>
      <c r="F2155" s="4" t="str">
        <f>IF(G2155=$L2155,1,IF(G2155="","",0))</f>
        <v/>
      </c>
      <c r="G2155" s="18"/>
      <c r="H2155" s="6">
        <v>2588</v>
      </c>
      <c r="I2155" s="15" t="s">
        <v>3120</v>
      </c>
      <c r="J2155" s="6" t="s">
        <v>5646</v>
      </c>
      <c r="K2155" s="15" t="s">
        <v>3138</v>
      </c>
      <c r="L2155" s="6" t="s">
        <v>2631</v>
      </c>
      <c r="M2155" s="6" t="s">
        <v>8693</v>
      </c>
      <c r="N2155" s="7">
        <f ca="1">RAND()</f>
        <v>0.4525883685583395</v>
      </c>
      <c r="O2155" s="8">
        <v>45219</v>
      </c>
      <c r="P2155" s="8">
        <v>45220</v>
      </c>
      <c r="Q2155" s="8">
        <v>45222</v>
      </c>
      <c r="R2155" s="8">
        <v>45226</v>
      </c>
      <c r="S2155" s="8">
        <v>45233</v>
      </c>
      <c r="T2155" s="8">
        <v>45248</v>
      </c>
      <c r="U2155" s="8">
        <v>45816</v>
      </c>
      <c r="V2155" s="10">
        <f>COUNTA(O2155:U2155)</f>
        <v>7</v>
      </c>
      <c r="W2155" s="11">
        <f>_xlfn.IFNA(INDEX(reading[[#This Row],[Memo 01]:[Memo 07]],MATCH(0,reading[[#This Row],[Memo 01]:[Memo 07]],-1)),"")</f>
        <v>45816</v>
      </c>
      <c r="X2155" s="11">
        <f ca="1">IFERROR(reading[[#This Row],[Previous]]+OFFSET(reading[[#Headers],[Memo 01]],-1,MATCH(0,reading[[#This Row],[Memo 01]:[Memo 07]],-1)-1),"")</f>
        <v>55816</v>
      </c>
      <c r="Y2155" s="10" t="str">
        <f ca="1">IF(reading[[#This Row],[Next]]&lt;&gt;"",IF(reading[[#This Row],[Next]]&gt;TODAY(),"OK",""),"")</f>
        <v>OK</v>
      </c>
      <c r="Z2155" s="13">
        <v>3</v>
      </c>
      <c r="AA2155" s="13">
        <v>2</v>
      </c>
      <c r="AB2155" s="13">
        <v>3</v>
      </c>
      <c r="AC2155" s="13">
        <v>1</v>
      </c>
      <c r="AD2155" s="13">
        <v>3</v>
      </c>
      <c r="AE2155" s="13">
        <v>3</v>
      </c>
      <c r="AF2155" s="13">
        <v>2</v>
      </c>
      <c r="AG2155" s="16">
        <f>IFERROR(SUMIF(reading[[#This Row],[1st]:[7th]],"&gt;0")/COUNTIF(reading[[#This Row],[1st]:[7th]],"&gt;0"),"")</f>
        <v>2.4285714285714284</v>
      </c>
    </row>
    <row r="2156" spans="1:33" hidden="1" x14ac:dyDescent="0.2">
      <c r="A2156" s="4">
        <f>IF(B2156=1,3,IF(D2156=1,2,IF(F2156=1,1,0)))</f>
        <v>0</v>
      </c>
      <c r="B2156" s="4">
        <f>IF(C2156=$L2156,1,IF(C2156="","",0))</f>
        <v>0</v>
      </c>
      <c r="C2156" s="42" t="s">
        <v>9200</v>
      </c>
      <c r="D2156" s="4" t="str">
        <f>IF(E2156=$L2156,1,IF(E2156="","",0))</f>
        <v/>
      </c>
      <c r="E2156" s="18"/>
      <c r="F2156" s="4" t="str">
        <f>IF(G2156=$L2156,1,IF(G2156="","",0))</f>
        <v/>
      </c>
      <c r="G2156" s="14"/>
      <c r="H2156" s="6">
        <v>2383</v>
      </c>
      <c r="I2156" s="15" t="s">
        <v>3120</v>
      </c>
      <c r="J2156" s="6" t="s">
        <v>5456</v>
      </c>
      <c r="K2156" s="6"/>
      <c r="L2156" s="6" t="s">
        <v>2434</v>
      </c>
      <c r="M2156" s="6" t="s">
        <v>8488</v>
      </c>
      <c r="N2156" s="7">
        <f ca="1">RAND()</f>
        <v>0.79560673122568637</v>
      </c>
      <c r="O2156" s="8">
        <v>45217</v>
      </c>
      <c r="P2156" s="8">
        <v>45218</v>
      </c>
      <c r="Q2156" s="8">
        <v>45220</v>
      </c>
      <c r="R2156" s="8">
        <v>45224</v>
      </c>
      <c r="S2156" s="8">
        <v>45231</v>
      </c>
      <c r="T2156" s="8">
        <v>45253</v>
      </c>
      <c r="U2156" s="8"/>
      <c r="V2156" s="10">
        <f>COUNTA(O2156:U2156)</f>
        <v>6</v>
      </c>
      <c r="W2156" s="11">
        <f>_xlfn.IFNA(INDEX(reading[[#This Row],[Memo 01]:[Memo 07]],MATCH(0,reading[[#This Row],[Memo 01]:[Memo 07]],-1)),"")</f>
        <v>45253</v>
      </c>
      <c r="X2156" s="11">
        <f ca="1">IFERROR(reading[[#This Row],[Previous]]+OFFSET(reading[[#Headers],[Memo 01]],-1,MATCH(0,reading[[#This Row],[Memo 01]:[Memo 07]],-1)-1),"")</f>
        <v>45273</v>
      </c>
      <c r="Y2156" s="10" t="str">
        <f ca="1">IF(reading[[#This Row],[Next]]&lt;&gt;"",IF(reading[[#This Row],[Next]]&gt;TODAY(),"OK",""),"")</f>
        <v/>
      </c>
      <c r="Z2156" s="13">
        <v>3</v>
      </c>
      <c r="AA2156" s="13">
        <v>2</v>
      </c>
      <c r="AB2156" s="13">
        <v>3</v>
      </c>
      <c r="AC2156" s="13">
        <v>3</v>
      </c>
      <c r="AD2156" s="13">
        <v>2</v>
      </c>
      <c r="AE2156" s="13">
        <v>1</v>
      </c>
      <c r="AF2156" s="13"/>
      <c r="AG2156" s="16">
        <f>IFERROR(SUMIF(reading[[#This Row],[1st]:[7th]],"&gt;0")/COUNTIF(reading[[#This Row],[1st]:[7th]],"&gt;0"),"")</f>
        <v>2.3333333333333335</v>
      </c>
    </row>
    <row r="2157" spans="1:33" hidden="1" x14ac:dyDescent="0.2">
      <c r="A2157" s="4">
        <f>IF(B2157=1,3,IF(D2157=1,2,IF(F2157=1,1,0)))</f>
        <v>3</v>
      </c>
      <c r="B2157" s="4">
        <f>IF(C2157=$L2157,1,IF(C2157="","",0))</f>
        <v>1</v>
      </c>
      <c r="C2157" s="34" t="s">
        <v>2227</v>
      </c>
      <c r="D2157" s="4" t="str">
        <f>IF(E2157=$L2157,1,IF(E2157="","",0))</f>
        <v/>
      </c>
      <c r="E2157" s="14"/>
      <c r="F2157" s="4" t="str">
        <f>IF(G2157=$L2157,1,IF(G2157="","",0))</f>
        <v/>
      </c>
      <c r="G2157" s="14"/>
      <c r="H2157" s="6">
        <v>2161</v>
      </c>
      <c r="I2157" s="15" t="s">
        <v>3120</v>
      </c>
      <c r="J2157" s="6" t="s">
        <v>5249</v>
      </c>
      <c r="K2157" s="6"/>
      <c r="L2157" s="6" t="s">
        <v>2227</v>
      </c>
      <c r="M2157" s="6" t="s">
        <v>8267</v>
      </c>
      <c r="N2157" s="7">
        <f ca="1">RAND()</f>
        <v>1.3739746386452145E-2</v>
      </c>
      <c r="O2157" s="8">
        <v>45214</v>
      </c>
      <c r="P2157" s="8">
        <v>45214</v>
      </c>
      <c r="Q2157" s="8">
        <v>45214</v>
      </c>
      <c r="R2157" s="8">
        <v>45214</v>
      </c>
      <c r="S2157" s="8">
        <v>45214</v>
      </c>
      <c r="T2157" s="8">
        <v>45214</v>
      </c>
      <c r="U2157" s="8">
        <v>45214</v>
      </c>
      <c r="V2157" s="10">
        <f>COUNTA(O2157:U2157)</f>
        <v>7</v>
      </c>
      <c r="W2157" s="11">
        <f>_xlfn.IFNA(INDEX(reading[[#This Row],[Memo 01]:[Memo 07]],MATCH(0,reading[[#This Row],[Memo 01]:[Memo 07]],-1)),"")</f>
        <v>45214</v>
      </c>
      <c r="X2157" s="11">
        <f ca="1">IFERROR(reading[[#This Row],[Previous]]+OFFSET(reading[[#Headers],[Memo 01]],-1,MATCH(0,reading[[#This Row],[Memo 01]:[Memo 07]],-1)-1),"")</f>
        <v>55214</v>
      </c>
      <c r="Y2157" s="10" t="str">
        <f ca="1">IF(reading[[#This Row],[Next]]&lt;&gt;"",IF(reading[[#This Row],[Next]]&gt;TODAY(),"OK",""),"")</f>
        <v>OK</v>
      </c>
      <c r="Z2157" s="13">
        <v>3</v>
      </c>
      <c r="AA2157" s="13"/>
      <c r="AB2157" s="13"/>
      <c r="AC2157" s="13"/>
      <c r="AD2157" s="13"/>
      <c r="AE2157" s="13"/>
      <c r="AF2157" s="13"/>
      <c r="AG2157" s="16">
        <f>IFERROR(SUMIF(reading[[#This Row],[1st]:[7th]],"&gt;0")/COUNTIF(reading[[#This Row],[1st]:[7th]],"&gt;0"),"")</f>
        <v>3</v>
      </c>
    </row>
    <row r="2158" spans="1:33" x14ac:dyDescent="0.2">
      <c r="A2158" s="4">
        <f>IF(B2158=1,3,IF(D2158=1,2,IF(F2158=1,1,0)))</f>
        <v>0</v>
      </c>
      <c r="B2158" s="4" t="str">
        <f>IF(C2158=$L2158,1,IF(C2158="","",0))</f>
        <v/>
      </c>
      <c r="C2158" s="39"/>
      <c r="D2158" s="4" t="str">
        <f>IF(E2158=$L2158,1,IF(E2158="","",0))</f>
        <v/>
      </c>
      <c r="E2158" s="14"/>
      <c r="F2158" s="4" t="str">
        <f>IF(G2158=$L2158,1,IF(G2158="","",0))</f>
        <v/>
      </c>
      <c r="G2158" s="14"/>
      <c r="H2158" s="6">
        <v>2603</v>
      </c>
      <c r="I2158" s="15" t="s">
        <v>3120</v>
      </c>
      <c r="J2158" s="6" t="s">
        <v>3337</v>
      </c>
      <c r="K2158" s="6"/>
      <c r="L2158" s="6" t="s">
        <v>2646</v>
      </c>
      <c r="M2158" s="6" t="s">
        <v>8708</v>
      </c>
      <c r="N2158" s="7">
        <f ca="1">RAND()</f>
        <v>0.18448336818554423</v>
      </c>
      <c r="O2158" s="8">
        <v>45220</v>
      </c>
      <c r="P2158" s="8">
        <v>45221</v>
      </c>
      <c r="Q2158" s="8">
        <v>45223</v>
      </c>
      <c r="R2158" s="8">
        <v>45227</v>
      </c>
      <c r="S2158" s="8">
        <v>45234</v>
      </c>
      <c r="T2158" s="8"/>
      <c r="U2158" s="8"/>
      <c r="V2158" s="10">
        <f>COUNTA(O2158:U2158)</f>
        <v>5</v>
      </c>
      <c r="W2158" s="11">
        <f>_xlfn.IFNA(INDEX(reading[[#This Row],[Memo 01]:[Memo 07]],MATCH(0,reading[[#This Row],[Memo 01]:[Memo 07]],-1)),"")</f>
        <v>45234</v>
      </c>
      <c r="X2158" s="11">
        <f ca="1">IFERROR(reading[[#This Row],[Previous]]+OFFSET(reading[[#Headers],[Memo 01]],-1,MATCH(0,reading[[#This Row],[Memo 01]:[Memo 07]],-1)-1),"")</f>
        <v>45246</v>
      </c>
      <c r="Y2158" s="10" t="str">
        <f ca="1">IF(reading[[#This Row],[Next]]&lt;&gt;"",IF(reading[[#This Row],[Next]]&gt;TODAY(),"OK",""),"")</f>
        <v/>
      </c>
      <c r="Z2158" s="13">
        <v>3</v>
      </c>
      <c r="AA2158" s="13">
        <v>3</v>
      </c>
      <c r="AB2158" s="13">
        <v>3</v>
      </c>
      <c r="AC2158" s="13">
        <v>3</v>
      </c>
      <c r="AD2158" s="13">
        <v>3</v>
      </c>
      <c r="AE2158" s="13"/>
      <c r="AF2158" s="13"/>
      <c r="AG2158" s="16">
        <f>IFERROR(SUMIF(reading[[#This Row],[1st]:[7th]],"&gt;0")/COUNTIF(reading[[#This Row],[1st]:[7th]],"&gt;0"),"")</f>
        <v>3</v>
      </c>
    </row>
    <row r="2159" spans="1:33" hidden="1" x14ac:dyDescent="0.2">
      <c r="A2159" s="4">
        <f>IF(B2159=1,3,IF(D2159=1,2,IF(F2159=1,1,0)))</f>
        <v>0</v>
      </c>
      <c r="B2159" s="4">
        <f>IF(C2159=$L2159,1,IF(C2159="","",0))</f>
        <v>0</v>
      </c>
      <c r="C2159" s="42" t="s">
        <v>9200</v>
      </c>
      <c r="D2159" s="4" t="str">
        <f>IF(E2159=$L2159,1,IF(E2159="","",0))</f>
        <v/>
      </c>
      <c r="E2159" s="14"/>
      <c r="F2159" s="4" t="str">
        <f>IF(G2159=$L2159,1,IF(G2159="","",0))</f>
        <v/>
      </c>
      <c r="G2159" s="14"/>
      <c r="H2159" s="6">
        <v>2193</v>
      </c>
      <c r="I2159" s="15" t="s">
        <v>3120</v>
      </c>
      <c r="J2159" s="6" t="s">
        <v>5279</v>
      </c>
      <c r="K2159" s="6"/>
      <c r="L2159" s="6" t="s">
        <v>2256</v>
      </c>
      <c r="M2159" s="6" t="s">
        <v>8299</v>
      </c>
      <c r="N2159" s="7">
        <f ca="1">RAND()</f>
        <v>0.24836829474299571</v>
      </c>
      <c r="O2159" s="8">
        <v>45215</v>
      </c>
      <c r="P2159" s="8">
        <v>45216</v>
      </c>
      <c r="Q2159" s="8">
        <v>45218</v>
      </c>
      <c r="R2159" s="8">
        <v>45222</v>
      </c>
      <c r="S2159" s="8">
        <v>45229</v>
      </c>
      <c r="T2159" s="8"/>
      <c r="U2159" s="8"/>
      <c r="V2159" s="10">
        <f>COUNTA(O2159:U2159)</f>
        <v>5</v>
      </c>
      <c r="W2159" s="11">
        <f>_xlfn.IFNA(INDEX(reading[[#This Row],[Memo 01]:[Memo 07]],MATCH(0,reading[[#This Row],[Memo 01]:[Memo 07]],-1)),"")</f>
        <v>45229</v>
      </c>
      <c r="X2159" s="11">
        <f ca="1">IFERROR(reading[[#This Row],[Previous]]+OFFSET(reading[[#Headers],[Memo 01]],-1,MATCH(0,reading[[#This Row],[Memo 01]:[Memo 07]],-1)-1),"")</f>
        <v>45241</v>
      </c>
      <c r="Y2159" s="10" t="str">
        <f ca="1">IF(reading[[#This Row],[Next]]&lt;&gt;"",IF(reading[[#This Row],[Next]]&gt;TODAY(),"OK",""),"")</f>
        <v/>
      </c>
      <c r="Z2159" s="13">
        <v>3</v>
      </c>
      <c r="AA2159" s="13">
        <v>3</v>
      </c>
      <c r="AB2159" s="13">
        <v>3</v>
      </c>
      <c r="AC2159" s="13">
        <v>3</v>
      </c>
      <c r="AD2159" s="13">
        <v>3</v>
      </c>
      <c r="AE2159" s="13"/>
      <c r="AF2159" s="13"/>
      <c r="AG2159" s="16">
        <f>IFERROR(SUMIF(reading[[#This Row],[1st]:[7th]],"&gt;0")/COUNTIF(reading[[#This Row],[1st]:[7th]],"&gt;0"),"")</f>
        <v>3</v>
      </c>
    </row>
    <row r="2160" spans="1:33" hidden="1" x14ac:dyDescent="0.2">
      <c r="A2160" s="4">
        <f>IF(B2160=1,3,IF(D2160=1,2,IF(F2160=1,1,0)))</f>
        <v>0</v>
      </c>
      <c r="B2160" s="4" t="str">
        <f>IF(C2160=$L2160,1,IF(C2160="","",0))</f>
        <v/>
      </c>
      <c r="C2160" s="42"/>
      <c r="D2160" s="4" t="str">
        <f>IF(E2160=$L2160,1,IF(E2160="","",0))</f>
        <v/>
      </c>
      <c r="E2160" s="43"/>
      <c r="F2160" s="4" t="str">
        <f>IF(G2160=$L2160,1,IF(G2160="","",0))</f>
        <v/>
      </c>
      <c r="G2160" s="23"/>
      <c r="H2160" s="6">
        <v>2699</v>
      </c>
      <c r="I2160" s="15" t="s">
        <v>3120</v>
      </c>
      <c r="J2160" s="6" t="s">
        <v>5749</v>
      </c>
      <c r="K2160" s="6"/>
      <c r="L2160" s="6" t="s">
        <v>2738</v>
      </c>
      <c r="M2160" s="6" t="s">
        <v>8804</v>
      </c>
      <c r="N2160" s="7">
        <f ca="1">RAND()</f>
        <v>0.82208011766383826</v>
      </c>
      <c r="O2160" s="8">
        <v>45221</v>
      </c>
      <c r="P2160" s="8">
        <v>45222</v>
      </c>
      <c r="Q2160" s="8">
        <v>45224</v>
      </c>
      <c r="R2160" s="8">
        <v>45228</v>
      </c>
      <c r="S2160" s="8">
        <v>45235</v>
      </c>
      <c r="T2160" s="8">
        <v>45251</v>
      </c>
      <c r="U2160" s="8">
        <v>45817</v>
      </c>
      <c r="V2160" s="10">
        <f>COUNTA(O2160:U2160)</f>
        <v>7</v>
      </c>
      <c r="W2160" s="11">
        <f>_xlfn.IFNA(INDEX(reading[[#This Row],[Memo 01]:[Memo 07]],MATCH(0,reading[[#This Row],[Memo 01]:[Memo 07]],-1)),"")</f>
        <v>45817</v>
      </c>
      <c r="X2160" s="11">
        <f ca="1">IFERROR(reading[[#This Row],[Previous]]+OFFSET(reading[[#Headers],[Memo 01]],-1,MATCH(0,reading[[#This Row],[Memo 01]:[Memo 07]],-1)-1),"")</f>
        <v>55817</v>
      </c>
      <c r="Y2160" s="10" t="str">
        <f ca="1">IF(reading[[#This Row],[Next]]&lt;&gt;"",IF(reading[[#This Row],[Next]]&gt;TODAY(),"OK",""),"")</f>
        <v>OK</v>
      </c>
      <c r="Z2160" s="13">
        <v>3</v>
      </c>
      <c r="AA2160" s="13">
        <v>3</v>
      </c>
      <c r="AB2160" s="13">
        <v>2</v>
      </c>
      <c r="AC2160" s="13">
        <v>2</v>
      </c>
      <c r="AD2160" s="13">
        <v>3</v>
      </c>
      <c r="AE2160" s="13">
        <v>3</v>
      </c>
      <c r="AF2160" s="13">
        <v>1</v>
      </c>
      <c r="AG2160" s="16">
        <f>IFERROR(SUMIF(reading[[#This Row],[1st]:[7th]],"&gt;0")/COUNTIF(reading[[#This Row],[1st]:[7th]],"&gt;0"),"")</f>
        <v>2.4285714285714284</v>
      </c>
    </row>
    <row r="2161" spans="1:33" x14ac:dyDescent="0.2">
      <c r="A2161" s="4">
        <f>IF(B2161=1,3,IF(D2161=1,2,IF(F2161=1,1,0)))</f>
        <v>0</v>
      </c>
      <c r="B2161" s="4" t="str">
        <f>IF(C2161=$L2161,1,IF(C2161="","",0))</f>
        <v/>
      </c>
      <c r="C2161" s="41"/>
      <c r="D2161" s="4" t="str">
        <f>IF(E2161=$L2161,1,IF(E2161="","",0))</f>
        <v/>
      </c>
      <c r="E2161" s="18"/>
      <c r="F2161" s="4" t="str">
        <f>IF(G2161=$L2161,1,IF(G2161="","",0))</f>
        <v/>
      </c>
      <c r="G2161" s="14"/>
      <c r="H2161" s="6">
        <v>3025</v>
      </c>
      <c r="I2161" s="15" t="s">
        <v>3120</v>
      </c>
      <c r="J2161" s="6" t="s">
        <v>6048</v>
      </c>
      <c r="K2161" s="6"/>
      <c r="L2161" s="6" t="s">
        <v>3054</v>
      </c>
      <c r="M2161" s="6" t="s">
        <v>9128</v>
      </c>
      <c r="N2161" s="7">
        <f ca="1">RAND()</f>
        <v>0.33106648585170262</v>
      </c>
      <c r="O2161" s="8">
        <v>45224</v>
      </c>
      <c r="P2161" s="8">
        <v>45225</v>
      </c>
      <c r="Q2161" s="8">
        <v>45227</v>
      </c>
      <c r="R2161" s="8">
        <v>45231</v>
      </c>
      <c r="S2161" s="8">
        <v>45252</v>
      </c>
      <c r="T2161" s="8"/>
      <c r="U2161" s="8"/>
      <c r="V2161" s="10">
        <f>COUNTA(O2161:U2161)</f>
        <v>5</v>
      </c>
      <c r="W2161" s="11">
        <f>_xlfn.IFNA(INDEX(reading[[#This Row],[Memo 01]:[Memo 07]],MATCH(0,reading[[#This Row],[Memo 01]:[Memo 07]],-1)),"")</f>
        <v>45252</v>
      </c>
      <c r="X2161" s="11">
        <f ca="1">IFERROR(reading[[#This Row],[Previous]]+OFFSET(reading[[#Headers],[Memo 01]],-1,MATCH(0,reading[[#This Row],[Memo 01]:[Memo 07]],-1)-1),"")</f>
        <v>45264</v>
      </c>
      <c r="Y2161" s="10" t="str">
        <f ca="1">IF(reading[[#This Row],[Next]]&lt;&gt;"",IF(reading[[#This Row],[Next]]&gt;TODAY(),"OK",""),"")</f>
        <v/>
      </c>
      <c r="Z2161" s="13">
        <v>3</v>
      </c>
      <c r="AA2161" s="13">
        <v>3</v>
      </c>
      <c r="AB2161" s="13">
        <v>3</v>
      </c>
      <c r="AC2161" s="13">
        <v>3</v>
      </c>
      <c r="AD2161" s="13">
        <v>2</v>
      </c>
      <c r="AE2161" s="13"/>
      <c r="AF2161" s="13"/>
      <c r="AG2161" s="16">
        <f>IFERROR(SUMIF(reading[[#This Row],[1st]:[7th]],"&gt;0")/COUNTIF(reading[[#This Row],[1st]:[7th]],"&gt;0"),"")</f>
        <v>2.8</v>
      </c>
    </row>
    <row r="2162" spans="1:33" x14ac:dyDescent="0.2">
      <c r="A2162" s="4">
        <f>IF(B2162=1,3,IF(D2162=1,2,IF(F2162=1,1,0)))</f>
        <v>0</v>
      </c>
      <c r="B2162" s="4" t="str">
        <f>IF(C2162=$L2162,1,IF(C2162="","",0))</f>
        <v/>
      </c>
      <c r="C2162" s="42"/>
      <c r="D2162" s="4" t="str">
        <f>IF(E2162=$L2162,1,IF(E2162="","",0))</f>
        <v/>
      </c>
      <c r="E2162" s="14"/>
      <c r="F2162" s="4" t="str">
        <f>IF(G2162=$L2162,1,IF(G2162="","",0))</f>
        <v/>
      </c>
      <c r="G2162" s="14"/>
      <c r="H2162" s="6">
        <v>2286</v>
      </c>
      <c r="I2162" s="15" t="s">
        <v>3120</v>
      </c>
      <c r="J2162" s="6" t="s">
        <v>5367</v>
      </c>
      <c r="K2162" s="6"/>
      <c r="L2162" s="6" t="s">
        <v>2345</v>
      </c>
      <c r="M2162" s="6" t="s">
        <v>8391</v>
      </c>
      <c r="N2162" s="7">
        <f ca="1">RAND()</f>
        <v>0.93319454864497065</v>
      </c>
      <c r="O2162" s="8">
        <v>45215</v>
      </c>
      <c r="P2162" s="8">
        <v>45216</v>
      </c>
      <c r="Q2162" s="8">
        <v>45218</v>
      </c>
      <c r="R2162" s="8">
        <v>45222</v>
      </c>
      <c r="S2162" s="8">
        <v>45229</v>
      </c>
      <c r="T2162" s="8">
        <v>45801</v>
      </c>
      <c r="U2162" s="8"/>
      <c r="V2162" s="10">
        <f>COUNTA(O2162:U2162)</f>
        <v>6</v>
      </c>
      <c r="W2162" s="11">
        <f>_xlfn.IFNA(INDEX(reading[[#This Row],[Memo 01]:[Memo 07]],MATCH(0,reading[[#This Row],[Memo 01]:[Memo 07]],-1)),"")</f>
        <v>45801</v>
      </c>
      <c r="X2162" s="11">
        <f ca="1">IFERROR(reading[[#This Row],[Previous]]+OFFSET(reading[[#Headers],[Memo 01]],-1,MATCH(0,reading[[#This Row],[Memo 01]:[Memo 07]],-1)-1),"")</f>
        <v>45821</v>
      </c>
      <c r="Y2162" s="10" t="str">
        <f ca="1">IF(reading[[#This Row],[Next]]&lt;&gt;"",IF(reading[[#This Row],[Next]]&gt;TODAY(),"OK",""),"")</f>
        <v/>
      </c>
      <c r="Z2162" s="13">
        <v>3</v>
      </c>
      <c r="AA2162" s="13">
        <v>3</v>
      </c>
      <c r="AB2162" s="13">
        <v>3</v>
      </c>
      <c r="AC2162" s="13">
        <v>3</v>
      </c>
      <c r="AD2162" s="13">
        <v>3</v>
      </c>
      <c r="AE2162" s="13">
        <v>3</v>
      </c>
      <c r="AF2162" s="13"/>
      <c r="AG2162" s="16">
        <f>IFERROR(SUMIF(reading[[#This Row],[1st]:[7th]],"&gt;0")/COUNTIF(reading[[#This Row],[1st]:[7th]],"&gt;0"),"")</f>
        <v>3</v>
      </c>
    </row>
    <row r="2163" spans="1:33" hidden="1" x14ac:dyDescent="0.2">
      <c r="A2163" s="4">
        <f>IF(B2163=1,3,IF(D2163=1,2,IF(F2163=1,1,0)))</f>
        <v>0</v>
      </c>
      <c r="B2163" s="4" t="str">
        <f>IF(C2163=$L2163,1,IF(C2163="","",0))</f>
        <v/>
      </c>
      <c r="C2163" s="42"/>
      <c r="D2163" s="4" t="str">
        <f>IF(E2163=$L2163,1,IF(E2163="","",0))</f>
        <v/>
      </c>
      <c r="E2163" s="23"/>
      <c r="F2163" s="4" t="str">
        <f>IF(G2163=$L2163,1,IF(G2163="","",0))</f>
        <v/>
      </c>
      <c r="G2163" s="14"/>
      <c r="H2163" s="6">
        <v>371</v>
      </c>
      <c r="I2163" s="15" t="s">
        <v>3120</v>
      </c>
      <c r="J2163" s="6" t="s">
        <v>3518</v>
      </c>
      <c r="K2163" s="6"/>
      <c r="L2163" s="6" t="s">
        <v>504</v>
      </c>
      <c r="M2163" s="6" t="s">
        <v>6480</v>
      </c>
      <c r="N2163" s="7">
        <f ca="1">RAND()</f>
        <v>0.14565339337463279</v>
      </c>
      <c r="O2163" s="8">
        <v>45202</v>
      </c>
      <c r="P2163" s="8">
        <v>45203</v>
      </c>
      <c r="Q2163" s="8">
        <v>45205</v>
      </c>
      <c r="R2163" s="8">
        <v>45209</v>
      </c>
      <c r="S2163" s="8">
        <v>45216</v>
      </c>
      <c r="T2163" s="8">
        <v>45228</v>
      </c>
      <c r="U2163" s="8">
        <v>45825</v>
      </c>
      <c r="V2163" s="10">
        <f>COUNTA(O2163:U2163)</f>
        <v>7</v>
      </c>
      <c r="W2163" s="11">
        <f>_xlfn.IFNA(INDEX(reading[[#This Row],[Memo 01]:[Memo 07]],MATCH(0,reading[[#This Row],[Memo 01]:[Memo 07]],-1)),"")</f>
        <v>45825</v>
      </c>
      <c r="X2163" s="11">
        <f ca="1">IFERROR(reading[[#This Row],[Previous]]+OFFSET(reading[[#Headers],[Memo 01]],-1,MATCH(0,reading[[#This Row],[Memo 01]:[Memo 07]],-1)-1),"")</f>
        <v>55825</v>
      </c>
      <c r="Y2163" s="10" t="str">
        <f ca="1">IF(reading[[#This Row],[Next]]&lt;&gt;"",IF(reading[[#This Row],[Next]]&gt;TODAY(),"OK",""),"")</f>
        <v>OK</v>
      </c>
      <c r="Z2163" s="13">
        <v>3</v>
      </c>
      <c r="AA2163" s="13">
        <v>3</v>
      </c>
      <c r="AB2163" s="13">
        <v>3</v>
      </c>
      <c r="AC2163" s="13">
        <v>3</v>
      </c>
      <c r="AD2163" s="13">
        <v>3</v>
      </c>
      <c r="AE2163" s="13">
        <v>3</v>
      </c>
      <c r="AF2163" s="13">
        <v>2</v>
      </c>
      <c r="AG2163" s="16">
        <f>IFERROR(SUMIF(reading[[#This Row],[1st]:[7th]],"&gt;0")/COUNTIF(reading[[#This Row],[1st]:[7th]],"&gt;0"),"")</f>
        <v>2.8571428571428572</v>
      </c>
    </row>
    <row r="2164" spans="1:33" hidden="1" x14ac:dyDescent="0.2">
      <c r="A2164" s="4">
        <f>IF(B2164=1,3,IF(D2164=1,2,IF(F2164=1,1,0)))</f>
        <v>0</v>
      </c>
      <c r="B2164" s="4" t="str">
        <f>IF(C2164=$L2164,1,IF(C2164="","",0))</f>
        <v/>
      </c>
      <c r="C2164" s="41"/>
      <c r="D2164" s="4" t="str">
        <f>IF(E2164=$L2164,1,IF(E2164="","",0))</f>
        <v/>
      </c>
      <c r="E2164" s="18"/>
      <c r="F2164" s="4" t="str">
        <f>IF(G2164=$L2164,1,IF(G2164="","",0))</f>
        <v/>
      </c>
      <c r="G2164" s="18"/>
      <c r="H2164" s="6">
        <v>709</v>
      </c>
      <c r="I2164" s="15" t="s">
        <v>3120</v>
      </c>
      <c r="J2164" s="6" t="s">
        <v>3847</v>
      </c>
      <c r="K2164" s="6" t="s">
        <v>3139</v>
      </c>
      <c r="L2164" s="6" t="s">
        <v>831</v>
      </c>
      <c r="M2164" s="6" t="s">
        <v>6818</v>
      </c>
      <c r="N2164" s="7">
        <f ca="1">RAND()</f>
        <v>0.4421053930317862</v>
      </c>
      <c r="O2164" s="8">
        <v>45204</v>
      </c>
      <c r="P2164" s="8">
        <v>45205</v>
      </c>
      <c r="Q2164" s="8">
        <v>45207</v>
      </c>
      <c r="R2164" s="8">
        <v>45212</v>
      </c>
      <c r="S2164" s="8">
        <v>45219</v>
      </c>
      <c r="T2164" s="8">
        <v>45231</v>
      </c>
      <c r="U2164" s="8">
        <v>45252</v>
      </c>
      <c r="V2164" s="10">
        <f>COUNTA(O2164:U2164)</f>
        <v>7</v>
      </c>
      <c r="W2164" s="11">
        <f>_xlfn.IFNA(INDEX(reading[[#This Row],[Memo 01]:[Memo 07]],MATCH(0,reading[[#This Row],[Memo 01]:[Memo 07]],-1)),"")</f>
        <v>45252</v>
      </c>
      <c r="X2164" s="11">
        <f ca="1">IFERROR(reading[[#This Row],[Previous]]+OFFSET(reading[[#Headers],[Memo 01]],-1,MATCH(0,reading[[#This Row],[Memo 01]:[Memo 07]],-1)-1),"")</f>
        <v>55252</v>
      </c>
      <c r="Y2164" s="10" t="str">
        <f ca="1">IF(reading[[#This Row],[Next]]&lt;&gt;"",IF(reading[[#This Row],[Next]]&gt;TODAY(),"OK",""),"")</f>
        <v>OK</v>
      </c>
      <c r="Z2164" s="13">
        <v>3</v>
      </c>
      <c r="AA2164" s="13">
        <v>2</v>
      </c>
      <c r="AB2164" s="13">
        <v>2</v>
      </c>
      <c r="AC2164" s="13">
        <v>2</v>
      </c>
      <c r="AD2164" s="13">
        <v>2</v>
      </c>
      <c r="AE2164" s="13">
        <v>2</v>
      </c>
      <c r="AF2164" s="13">
        <v>2</v>
      </c>
      <c r="AG2164" s="16">
        <f>IFERROR(SUMIF(reading[[#This Row],[1st]:[7th]],"&gt;0")/COUNTIF(reading[[#This Row],[1st]:[7th]],"&gt;0"),"")</f>
        <v>2.1428571428571428</v>
      </c>
    </row>
    <row r="2165" spans="1:33" x14ac:dyDescent="0.2">
      <c r="A2165" s="4">
        <f>IF(B2165=1,3,IF(D2165=1,2,IF(F2165=1,1,0)))</f>
        <v>0</v>
      </c>
      <c r="B2165" s="4" t="str">
        <f>IF(C2165=$L2165,1,IF(C2165="","",0))</f>
        <v/>
      </c>
      <c r="C2165" s="39"/>
      <c r="D2165" s="4" t="str">
        <f>IF(E2165=$L2165,1,IF(E2165="","",0))</f>
        <v/>
      </c>
      <c r="E2165" s="14"/>
      <c r="F2165" s="4" t="str">
        <f>IF(G2165=$L2165,1,IF(G2165="","",0))</f>
        <v/>
      </c>
      <c r="G2165" s="14"/>
      <c r="H2165" s="6">
        <v>1398</v>
      </c>
      <c r="I2165" s="15" t="s">
        <v>3120</v>
      </c>
      <c r="J2165" s="6" t="s">
        <v>4512</v>
      </c>
      <c r="K2165" s="15" t="s">
        <v>3139</v>
      </c>
      <c r="L2165" s="6" t="s">
        <v>1490</v>
      </c>
      <c r="M2165" s="6" t="s">
        <v>7505</v>
      </c>
      <c r="N2165" s="7">
        <f ca="1">RAND()</f>
        <v>0.87199867933808295</v>
      </c>
      <c r="O2165" s="8">
        <v>45207</v>
      </c>
      <c r="P2165" s="8">
        <v>45208</v>
      </c>
      <c r="Q2165" s="8">
        <v>45210</v>
      </c>
      <c r="R2165" s="8">
        <v>45214</v>
      </c>
      <c r="S2165" s="8">
        <v>45221</v>
      </c>
      <c r="T2165" s="8">
        <v>45233</v>
      </c>
      <c r="U2165" s="8"/>
      <c r="V2165" s="10">
        <f>COUNTA(O2165:U2165)</f>
        <v>6</v>
      </c>
      <c r="W2165" s="11">
        <f>_xlfn.IFNA(INDEX(reading[[#This Row],[Memo 01]:[Memo 07]],MATCH(0,reading[[#This Row],[Memo 01]:[Memo 07]],-1)),"")</f>
        <v>45233</v>
      </c>
      <c r="X2165" s="11">
        <f ca="1">IFERROR(reading[[#This Row],[Previous]]+OFFSET(reading[[#Headers],[Memo 01]],-1,MATCH(0,reading[[#This Row],[Memo 01]:[Memo 07]],-1)-1),"")</f>
        <v>45253</v>
      </c>
      <c r="Y2165" s="10" t="str">
        <f ca="1">IF(reading[[#This Row],[Next]]&lt;&gt;"",IF(reading[[#This Row],[Next]]&gt;TODAY(),"OK",""),"")</f>
        <v/>
      </c>
      <c r="Z2165" s="13">
        <v>3</v>
      </c>
      <c r="AA2165" s="13">
        <v>3</v>
      </c>
      <c r="AB2165" s="13">
        <v>3</v>
      </c>
      <c r="AC2165" s="13">
        <v>3</v>
      </c>
      <c r="AD2165" s="13">
        <v>3</v>
      </c>
      <c r="AE2165" s="13">
        <v>3</v>
      </c>
      <c r="AF2165" s="13"/>
      <c r="AG2165" s="16">
        <f>IFERROR(SUMIF(reading[[#This Row],[1st]:[7th]],"&gt;0")/COUNTIF(reading[[#This Row],[1st]:[7th]],"&gt;0"),"")</f>
        <v>3</v>
      </c>
    </row>
    <row r="2166" spans="1:33" hidden="1" x14ac:dyDescent="0.2">
      <c r="A2166" s="4">
        <f>IF(B2166=1,3,IF(D2166=1,2,IF(F2166=1,1,0)))</f>
        <v>0</v>
      </c>
      <c r="B2166" s="4" t="str">
        <f>IF(C2166=$L2166,1,IF(C2166="","",0))</f>
        <v/>
      </c>
      <c r="C2166" s="41"/>
      <c r="D2166" s="4" t="str">
        <f>IF(E2166=$L2166,1,IF(E2166="","",0))</f>
        <v/>
      </c>
      <c r="E2166" s="18"/>
      <c r="F2166" s="4" t="str">
        <f>IF(G2166=$L2166,1,IF(G2166="","",0))</f>
        <v/>
      </c>
      <c r="G2166" s="18"/>
      <c r="H2166" s="6">
        <v>1004</v>
      </c>
      <c r="I2166" s="15" t="s">
        <v>3120</v>
      </c>
      <c r="J2166" s="6" t="s">
        <v>4024</v>
      </c>
      <c r="K2166" s="6"/>
      <c r="L2166" s="6" t="s">
        <v>1114</v>
      </c>
      <c r="M2166" s="6" t="s">
        <v>7112</v>
      </c>
      <c r="N2166" s="7">
        <f ca="1">RAND()</f>
        <v>0.63916634483390955</v>
      </c>
      <c r="O2166" s="8">
        <v>45205</v>
      </c>
      <c r="P2166" s="8">
        <v>45206</v>
      </c>
      <c r="Q2166" s="8">
        <v>45208</v>
      </c>
      <c r="R2166" s="8">
        <v>45212</v>
      </c>
      <c r="S2166" s="8">
        <v>45219</v>
      </c>
      <c r="T2166" s="8">
        <v>45231</v>
      </c>
      <c r="U2166" s="8">
        <v>45252</v>
      </c>
      <c r="V2166" s="10">
        <f>COUNTA(O2166:U2166)</f>
        <v>7</v>
      </c>
      <c r="W2166" s="11">
        <f>_xlfn.IFNA(INDEX(reading[[#This Row],[Memo 01]:[Memo 07]],MATCH(0,reading[[#This Row],[Memo 01]:[Memo 07]],-1)),"")</f>
        <v>45252</v>
      </c>
      <c r="X2166" s="11">
        <f ca="1">IFERROR(reading[[#This Row],[Previous]]+OFFSET(reading[[#Headers],[Memo 01]],-1,MATCH(0,reading[[#This Row],[Memo 01]:[Memo 07]],-1)-1),"")</f>
        <v>55252</v>
      </c>
      <c r="Y2166" s="10" t="str">
        <f ca="1">IF(reading[[#This Row],[Next]]&lt;&gt;"",IF(reading[[#This Row],[Next]]&gt;TODAY(),"OK",""),"")</f>
        <v>OK</v>
      </c>
      <c r="Z2166" s="13">
        <v>3</v>
      </c>
      <c r="AA2166" s="13">
        <v>2</v>
      </c>
      <c r="AB2166" s="13">
        <v>3</v>
      </c>
      <c r="AC2166" s="13">
        <v>3</v>
      </c>
      <c r="AD2166" s="13">
        <v>1</v>
      </c>
      <c r="AE2166" s="13">
        <v>3</v>
      </c>
      <c r="AF2166" s="13">
        <v>2</v>
      </c>
      <c r="AG2166" s="16">
        <f>IFERROR(SUMIF(reading[[#This Row],[1st]:[7th]],"&gt;0")/COUNTIF(reading[[#This Row],[1st]:[7th]],"&gt;0"),"")</f>
        <v>2.4285714285714284</v>
      </c>
    </row>
    <row r="2167" spans="1:33" x14ac:dyDescent="0.2">
      <c r="A2167" s="4">
        <f>IF(B2167=1,3,IF(D2167=1,2,IF(F2167=1,1,0)))</f>
        <v>0</v>
      </c>
      <c r="B2167" s="4" t="str">
        <f>IF(C2167=$L2167,1,IF(C2167="","",0))</f>
        <v/>
      </c>
      <c r="C2167" s="39"/>
      <c r="D2167" s="4" t="str">
        <f>IF(E2167=$L2167,1,IF(E2167="","",0))</f>
        <v/>
      </c>
      <c r="E2167" s="18"/>
      <c r="F2167" s="4" t="str">
        <f>IF(G2167=$L2167,1,IF(G2167="","",0))</f>
        <v/>
      </c>
      <c r="G2167" s="14"/>
      <c r="H2167" s="6">
        <v>1654</v>
      </c>
      <c r="I2167" s="15" t="s">
        <v>3120</v>
      </c>
      <c r="J2167" s="6" t="s">
        <v>4765</v>
      </c>
      <c r="K2167" s="6"/>
      <c r="L2167" s="6" t="s">
        <v>1735</v>
      </c>
      <c r="M2167" s="6" t="s">
        <v>7760</v>
      </c>
      <c r="N2167" s="7">
        <f ca="1">RAND()</f>
        <v>0.4196468442489355</v>
      </c>
      <c r="O2167" s="8">
        <v>45210</v>
      </c>
      <c r="P2167" s="8">
        <v>45212</v>
      </c>
      <c r="Q2167" s="8">
        <v>45214</v>
      </c>
      <c r="R2167" s="8">
        <v>45218</v>
      </c>
      <c r="S2167" s="8">
        <v>45225</v>
      </c>
      <c r="T2167" s="8">
        <v>45237</v>
      </c>
      <c r="U2167" s="8"/>
      <c r="V2167" s="10">
        <f>COUNTA(O2167:U2167)</f>
        <v>6</v>
      </c>
      <c r="W2167" s="11">
        <f>_xlfn.IFNA(INDEX(reading[[#This Row],[Memo 01]:[Memo 07]],MATCH(0,reading[[#This Row],[Memo 01]:[Memo 07]],-1)),"")</f>
        <v>45237</v>
      </c>
      <c r="X2167" s="11">
        <f ca="1">IFERROR(reading[[#This Row],[Previous]]+OFFSET(reading[[#Headers],[Memo 01]],-1,MATCH(0,reading[[#This Row],[Memo 01]:[Memo 07]],-1)-1),"")</f>
        <v>45257</v>
      </c>
      <c r="Y2167" s="10" t="str">
        <f ca="1">IF(reading[[#This Row],[Next]]&lt;&gt;"",IF(reading[[#This Row],[Next]]&gt;TODAY(),"OK",""),"")</f>
        <v/>
      </c>
      <c r="Z2167" s="13">
        <v>3</v>
      </c>
      <c r="AA2167" s="13">
        <v>2</v>
      </c>
      <c r="AB2167" s="13">
        <v>3</v>
      </c>
      <c r="AC2167" s="13">
        <v>2</v>
      </c>
      <c r="AD2167" s="13">
        <v>2</v>
      </c>
      <c r="AE2167" s="13">
        <v>3</v>
      </c>
      <c r="AF2167" s="13"/>
      <c r="AG2167" s="16">
        <f>IFERROR(SUMIF(reading[[#This Row],[1st]:[7th]],"&gt;0")/COUNTIF(reading[[#This Row],[1st]:[7th]],"&gt;0"),"")</f>
        <v>2.5</v>
      </c>
    </row>
    <row r="2168" spans="1:33" x14ac:dyDescent="0.2">
      <c r="A2168" s="4">
        <f>IF(B2168=1,3,IF(D2168=1,2,IF(F2168=1,1,0)))</f>
        <v>0</v>
      </c>
      <c r="B2168" s="4" t="str">
        <f>IF(C2168=$L2168,1,IF(C2168="","",0))</f>
        <v/>
      </c>
      <c r="C2168" s="36"/>
      <c r="D2168" s="4" t="str">
        <f>IF(E2168=$L2168,1,IF(E2168="","",0))</f>
        <v/>
      </c>
      <c r="E2168" s="18"/>
      <c r="F2168" s="4" t="str">
        <f>IF(G2168=$L2168,1,IF(G2168="","",0))</f>
        <v/>
      </c>
      <c r="G2168" s="14"/>
      <c r="H2168" s="6">
        <v>406</v>
      </c>
      <c r="I2168" s="15" t="s">
        <v>3120</v>
      </c>
      <c r="J2168" s="6" t="s">
        <v>3552</v>
      </c>
      <c r="K2168" s="6"/>
      <c r="L2168" s="6" t="s">
        <v>537</v>
      </c>
      <c r="M2168" s="6" t="s">
        <v>6515</v>
      </c>
      <c r="N2168" s="7">
        <f ca="1">RAND()</f>
        <v>0.67539671441006555</v>
      </c>
      <c r="O2168" s="8">
        <v>45201</v>
      </c>
      <c r="P2168" s="8">
        <v>45202</v>
      </c>
      <c r="Q2168" s="8">
        <v>45204</v>
      </c>
      <c r="R2168" s="8">
        <v>45208</v>
      </c>
      <c r="S2168" s="8">
        <v>45215</v>
      </c>
      <c r="T2168" s="8">
        <v>45227</v>
      </c>
      <c r="U2168" s="8"/>
      <c r="V2168" s="10">
        <f>COUNTA(O2168:U2168)</f>
        <v>6</v>
      </c>
      <c r="W2168" s="11">
        <f>_xlfn.IFNA(INDEX(reading[[#This Row],[Memo 01]:[Memo 07]],MATCH(0,reading[[#This Row],[Memo 01]:[Memo 07]],-1)),"")</f>
        <v>45227</v>
      </c>
      <c r="X2168" s="11">
        <f ca="1">IFERROR(reading[[#This Row],[Previous]]+OFFSET(reading[[#Headers],[Memo 01]],-1,MATCH(0,reading[[#This Row],[Memo 01]:[Memo 07]],-1)-1),"")</f>
        <v>45247</v>
      </c>
      <c r="Y2168" s="10" t="str">
        <f ca="1">IF(reading[[#This Row],[Next]]&lt;&gt;"",IF(reading[[#This Row],[Next]]&gt;TODAY(),"OK",""),"")</f>
        <v/>
      </c>
      <c r="Z2168" s="13">
        <v>3</v>
      </c>
      <c r="AA2168" s="13">
        <v>3</v>
      </c>
      <c r="AB2168" s="13">
        <v>3</v>
      </c>
      <c r="AC2168" s="13">
        <v>3</v>
      </c>
      <c r="AD2168" s="13">
        <v>2</v>
      </c>
      <c r="AE2168" s="13">
        <v>3</v>
      </c>
      <c r="AF2168" s="13"/>
      <c r="AG2168" s="16">
        <f>IFERROR(SUMIF(reading[[#This Row],[1st]:[7th]],"&gt;0")/COUNTIF(reading[[#This Row],[1st]:[7th]],"&gt;0"),"")</f>
        <v>2.8333333333333335</v>
      </c>
    </row>
    <row r="2169" spans="1:33" hidden="1" x14ac:dyDescent="0.2">
      <c r="A2169" s="4">
        <f>IF(B2169=1,3,IF(D2169=1,2,IF(F2169=1,1,0)))</f>
        <v>0</v>
      </c>
      <c r="B2169" s="4" t="str">
        <f>IF(C2169=$L2169,1,IF(C2169="","",0))</f>
        <v/>
      </c>
      <c r="C2169" s="42"/>
      <c r="D2169" s="4" t="str">
        <f>IF(E2169=$L2169,1,IF(E2169="","",0))</f>
        <v/>
      </c>
      <c r="E2169" s="43"/>
      <c r="F2169" s="4" t="str">
        <f>IF(G2169=$L2169,1,IF(G2169="","",0))</f>
        <v/>
      </c>
      <c r="G2169" s="14"/>
      <c r="H2169" s="6">
        <v>394</v>
      </c>
      <c r="I2169" s="15" t="s">
        <v>3120</v>
      </c>
      <c r="J2169" s="6" t="s">
        <v>3540</v>
      </c>
      <c r="K2169" s="6"/>
      <c r="L2169" s="6" t="s">
        <v>525</v>
      </c>
      <c r="M2169" s="6" t="s">
        <v>6503</v>
      </c>
      <c r="N2169" s="7">
        <f ca="1">RAND()</f>
        <v>0.68339656120569725</v>
      </c>
      <c r="O2169" s="8">
        <v>45201</v>
      </c>
      <c r="P2169" s="8">
        <v>45202</v>
      </c>
      <c r="Q2169" s="8">
        <v>45204</v>
      </c>
      <c r="R2169" s="8">
        <v>45208</v>
      </c>
      <c r="S2169" s="8">
        <v>45215</v>
      </c>
      <c r="T2169" s="8">
        <v>45227</v>
      </c>
      <c r="U2169" s="8">
        <v>45816</v>
      </c>
      <c r="V2169" s="10">
        <f>COUNTA(O2169:U2169)</f>
        <v>7</v>
      </c>
      <c r="W2169" s="11">
        <f>_xlfn.IFNA(INDEX(reading[[#This Row],[Memo 01]:[Memo 07]],MATCH(0,reading[[#This Row],[Memo 01]:[Memo 07]],-1)),"")</f>
        <v>45816</v>
      </c>
      <c r="X2169" s="11">
        <f ca="1">IFERROR(reading[[#This Row],[Previous]]+OFFSET(reading[[#Headers],[Memo 01]],-1,MATCH(0,reading[[#This Row],[Memo 01]:[Memo 07]],-1)-1),"")</f>
        <v>55816</v>
      </c>
      <c r="Y2169" s="10" t="str">
        <f ca="1">IF(reading[[#This Row],[Next]]&lt;&gt;"",IF(reading[[#This Row],[Next]]&gt;TODAY(),"OK",""),"")</f>
        <v>OK</v>
      </c>
      <c r="Z2169" s="13">
        <v>3</v>
      </c>
      <c r="AA2169" s="13">
        <v>3</v>
      </c>
      <c r="AB2169" s="13">
        <v>3</v>
      </c>
      <c r="AC2169" s="13">
        <v>3</v>
      </c>
      <c r="AD2169" s="13">
        <v>3</v>
      </c>
      <c r="AE2169" s="13">
        <v>2</v>
      </c>
      <c r="AF2169" s="13">
        <v>2</v>
      </c>
      <c r="AG2169" s="16">
        <f>IFERROR(SUMIF(reading[[#This Row],[1st]:[7th]],"&gt;0")/COUNTIF(reading[[#This Row],[1st]:[7th]],"&gt;0"),"")</f>
        <v>2.7142857142857144</v>
      </c>
    </row>
    <row r="2170" spans="1:33" x14ac:dyDescent="0.2">
      <c r="A2170" s="4">
        <f>IF(B2170=1,3,IF(D2170=1,2,IF(F2170=1,1,0)))</f>
        <v>0</v>
      </c>
      <c r="B2170" s="4" t="str">
        <f>IF(C2170=$L2170,1,IF(C2170="","",0))</f>
        <v/>
      </c>
      <c r="C2170" s="42"/>
      <c r="D2170" s="4" t="str">
        <f>IF(E2170=$L2170,1,IF(E2170="","",0))</f>
        <v/>
      </c>
      <c r="E2170" s="14"/>
      <c r="F2170" s="4" t="str">
        <f>IF(G2170=$L2170,1,IF(G2170="","",0))</f>
        <v/>
      </c>
      <c r="G2170" s="14"/>
      <c r="H2170" s="6">
        <v>2380</v>
      </c>
      <c r="I2170" s="15" t="s">
        <v>3120</v>
      </c>
      <c r="J2170" s="6" t="s">
        <v>5453</v>
      </c>
      <c r="K2170" s="6"/>
      <c r="L2170" s="6" t="s">
        <v>2431</v>
      </c>
      <c r="M2170" s="6" t="s">
        <v>8485</v>
      </c>
      <c r="N2170" s="7">
        <f ca="1">RAND()</f>
        <v>0.64335682361522539</v>
      </c>
      <c r="O2170" s="8">
        <v>45216</v>
      </c>
      <c r="P2170" s="8">
        <v>45217</v>
      </c>
      <c r="Q2170" s="8">
        <v>45219</v>
      </c>
      <c r="R2170" s="8">
        <v>45223</v>
      </c>
      <c r="S2170" s="8">
        <v>45230</v>
      </c>
      <c r="T2170" s="8">
        <v>45783</v>
      </c>
      <c r="U2170" s="8"/>
      <c r="V2170" s="10">
        <f>COUNTA(O2170:U2170)</f>
        <v>6</v>
      </c>
      <c r="W2170" s="11">
        <f>_xlfn.IFNA(INDEX(reading[[#This Row],[Memo 01]:[Memo 07]],MATCH(0,reading[[#This Row],[Memo 01]:[Memo 07]],-1)),"")</f>
        <v>45783</v>
      </c>
      <c r="X2170" s="11">
        <f ca="1">IFERROR(reading[[#This Row],[Previous]]+OFFSET(reading[[#Headers],[Memo 01]],-1,MATCH(0,reading[[#This Row],[Memo 01]:[Memo 07]],-1)-1),"")</f>
        <v>45803</v>
      </c>
      <c r="Y2170" s="10" t="str">
        <f ca="1">IF(reading[[#This Row],[Next]]&lt;&gt;"",IF(reading[[#This Row],[Next]]&gt;TODAY(),"OK",""),"")</f>
        <v/>
      </c>
      <c r="Z2170" s="13">
        <v>3</v>
      </c>
      <c r="AA2170" s="13">
        <v>3</v>
      </c>
      <c r="AB2170" s="13">
        <v>3</v>
      </c>
      <c r="AC2170" s="13">
        <v>3</v>
      </c>
      <c r="AD2170" s="13">
        <v>3</v>
      </c>
      <c r="AE2170" s="13">
        <v>3</v>
      </c>
      <c r="AF2170" s="13"/>
      <c r="AG2170" s="16">
        <f>IFERROR(SUMIF(reading[[#This Row],[1st]:[7th]],"&gt;0")/COUNTIF(reading[[#This Row],[1st]:[7th]],"&gt;0"),"")</f>
        <v>3</v>
      </c>
    </row>
    <row r="2171" spans="1:33" hidden="1" x14ac:dyDescent="0.2">
      <c r="A2171" s="4">
        <f>IF(B2171=1,3,IF(D2171=1,2,IF(F2171=1,1,0)))</f>
        <v>3</v>
      </c>
      <c r="B2171" s="4">
        <f>IF(C2171=$L2171,1,IF(C2171="","",0))</f>
        <v>1</v>
      </c>
      <c r="C2171" s="34" t="s">
        <v>2241</v>
      </c>
      <c r="D2171" s="4" t="str">
        <f>IF(E2171=$L2171,1,IF(E2171="","",0))</f>
        <v/>
      </c>
      <c r="E2171" s="14"/>
      <c r="F2171" s="4" t="str">
        <f>IF(G2171=$L2171,1,IF(G2171="","",0))</f>
        <v/>
      </c>
      <c r="G2171" s="14"/>
      <c r="H2171" s="6">
        <v>2175</v>
      </c>
      <c r="I2171" s="15" t="s">
        <v>3120</v>
      </c>
      <c r="J2171" s="6" t="s">
        <v>5263</v>
      </c>
      <c r="K2171" s="6"/>
      <c r="L2171" s="6" t="s">
        <v>2241</v>
      </c>
      <c r="M2171" s="6" t="s">
        <v>8281</v>
      </c>
      <c r="N2171" s="7">
        <f ca="1">RAND()</f>
        <v>1.6143063557651827E-2</v>
      </c>
      <c r="O2171" s="8">
        <v>45214</v>
      </c>
      <c r="P2171" s="8">
        <v>45214</v>
      </c>
      <c r="Q2171" s="8">
        <v>45214</v>
      </c>
      <c r="R2171" s="8">
        <v>45214</v>
      </c>
      <c r="S2171" s="8">
        <v>45214</v>
      </c>
      <c r="T2171" s="8">
        <v>45214</v>
      </c>
      <c r="U2171" s="8">
        <v>45214</v>
      </c>
      <c r="V2171" s="10">
        <f>COUNTA(O2171:U2171)</f>
        <v>7</v>
      </c>
      <c r="W2171" s="11">
        <f>_xlfn.IFNA(INDEX(reading[[#This Row],[Memo 01]:[Memo 07]],MATCH(0,reading[[#This Row],[Memo 01]:[Memo 07]],-1)),"")</f>
        <v>45214</v>
      </c>
      <c r="X2171" s="11">
        <f ca="1">IFERROR(reading[[#This Row],[Previous]]+OFFSET(reading[[#Headers],[Memo 01]],-1,MATCH(0,reading[[#This Row],[Memo 01]:[Memo 07]],-1)-1),"")</f>
        <v>55214</v>
      </c>
      <c r="Y2171" s="10" t="str">
        <f ca="1">IF(reading[[#This Row],[Next]]&lt;&gt;"",IF(reading[[#This Row],[Next]]&gt;TODAY(),"OK",""),"")</f>
        <v>OK</v>
      </c>
      <c r="Z2171" s="13">
        <v>3</v>
      </c>
      <c r="AA2171" s="13"/>
      <c r="AB2171" s="13"/>
      <c r="AC2171" s="13"/>
      <c r="AD2171" s="13"/>
      <c r="AE2171" s="13"/>
      <c r="AF2171" s="13"/>
      <c r="AG2171" s="16">
        <f>IFERROR(SUMIF(reading[[#This Row],[1st]:[7th]],"&gt;0")/COUNTIF(reading[[#This Row],[1st]:[7th]],"&gt;0"),"")</f>
        <v>3</v>
      </c>
    </row>
    <row r="2172" spans="1:33" hidden="1" x14ac:dyDescent="0.2">
      <c r="A2172" s="4">
        <f>IF(B2172=1,3,IF(D2172=1,2,IF(F2172=1,1,0)))</f>
        <v>0</v>
      </c>
      <c r="B2172" s="4">
        <f>IF(C2172=$L2172,1,IF(C2172="","",0))</f>
        <v>0</v>
      </c>
      <c r="C2172" s="42" t="s">
        <v>9211</v>
      </c>
      <c r="D2172" s="4" t="str">
        <f>IF(E2172=$L2172,1,IF(E2172="","",0))</f>
        <v/>
      </c>
      <c r="E2172" s="14"/>
      <c r="F2172" s="4" t="str">
        <f>IF(G2172=$L2172,1,IF(G2172="","",0))</f>
        <v/>
      </c>
      <c r="G2172" s="14"/>
      <c r="H2172" s="6">
        <v>1834</v>
      </c>
      <c r="I2172" s="15" t="s">
        <v>3120</v>
      </c>
      <c r="J2172" s="6" t="s">
        <v>4939</v>
      </c>
      <c r="K2172" s="6"/>
      <c r="L2172" s="6" t="s">
        <v>1912</v>
      </c>
      <c r="M2172" s="6" t="s">
        <v>7940</v>
      </c>
      <c r="N2172" s="7">
        <f ca="1">RAND()</f>
        <v>0.59304992310147753</v>
      </c>
      <c r="O2172" s="8">
        <v>45212</v>
      </c>
      <c r="P2172" s="8">
        <v>45213</v>
      </c>
      <c r="Q2172" s="8">
        <v>45215</v>
      </c>
      <c r="R2172" s="8">
        <v>45219</v>
      </c>
      <c r="S2172" s="8">
        <v>45226</v>
      </c>
      <c r="T2172" s="8">
        <v>45792</v>
      </c>
      <c r="U2172" s="8"/>
      <c r="V2172" s="10">
        <f>COUNTA(O2172:U2172)</f>
        <v>6</v>
      </c>
      <c r="W2172" s="11">
        <f>_xlfn.IFNA(INDEX(reading[[#This Row],[Memo 01]:[Memo 07]],MATCH(0,reading[[#This Row],[Memo 01]:[Memo 07]],-1)),"")</f>
        <v>45792</v>
      </c>
      <c r="X2172" s="11">
        <f ca="1">IFERROR(reading[[#This Row],[Previous]]+OFFSET(reading[[#Headers],[Memo 01]],-1,MATCH(0,reading[[#This Row],[Memo 01]:[Memo 07]],-1)-1),"")</f>
        <v>45812</v>
      </c>
      <c r="Y2172" s="10" t="str">
        <f ca="1">IF(reading[[#This Row],[Next]]&lt;&gt;"",IF(reading[[#This Row],[Next]]&gt;TODAY(),"OK",""),"")</f>
        <v/>
      </c>
      <c r="Z2172" s="13">
        <v>3</v>
      </c>
      <c r="AA2172" s="13">
        <v>3</v>
      </c>
      <c r="AB2172" s="13">
        <v>3</v>
      </c>
      <c r="AC2172" s="13">
        <v>3</v>
      </c>
      <c r="AD2172" s="13">
        <v>3</v>
      </c>
      <c r="AE2172" s="13">
        <v>3</v>
      </c>
      <c r="AF2172" s="13"/>
      <c r="AG2172" s="16">
        <f>IFERROR(SUMIF(reading[[#This Row],[1st]:[7th]],"&gt;0")/COUNTIF(reading[[#This Row],[1st]:[7th]],"&gt;0"),"")</f>
        <v>3</v>
      </c>
    </row>
    <row r="2173" spans="1:33" hidden="1" x14ac:dyDescent="0.2">
      <c r="A2173" s="4">
        <f>IF(B2173=1,3,IF(D2173=1,2,IF(F2173=1,1,0)))</f>
        <v>0</v>
      </c>
      <c r="B2173" s="4">
        <f>IF(C2173=$L2173,1,IF(C2173="","",0))</f>
        <v>0</v>
      </c>
      <c r="C2173" s="42" t="s">
        <v>9200</v>
      </c>
      <c r="D2173" s="4">
        <f>IF(E2173=$L2173,1,IF(E2173="","",0))</f>
        <v>0</v>
      </c>
      <c r="E2173" s="23" t="s">
        <v>9266</v>
      </c>
      <c r="F2173" s="4" t="str">
        <f>IF(G2173=$L2173,1,IF(G2173="","",0))</f>
        <v/>
      </c>
      <c r="G2173" s="14"/>
      <c r="H2173" s="6">
        <v>2912</v>
      </c>
      <c r="I2173" s="15" t="s">
        <v>3120</v>
      </c>
      <c r="J2173" s="6" t="s">
        <v>5948</v>
      </c>
      <c r="K2173" s="15" t="s">
        <v>3139</v>
      </c>
      <c r="L2173" s="6" t="s">
        <v>2942</v>
      </c>
      <c r="M2173" s="6" t="s">
        <v>9016</v>
      </c>
      <c r="N2173" s="7">
        <f ca="1">RAND()</f>
        <v>0.48699468312244409</v>
      </c>
      <c r="O2173" s="8">
        <v>45223</v>
      </c>
      <c r="P2173" s="8">
        <v>45224</v>
      </c>
      <c r="Q2173" s="8">
        <v>45226</v>
      </c>
      <c r="R2173" s="8">
        <v>45230</v>
      </c>
      <c r="S2173" s="8">
        <v>45237</v>
      </c>
      <c r="T2173" s="8"/>
      <c r="U2173" s="8"/>
      <c r="V2173" s="10">
        <f>COUNTA(O2173:U2173)</f>
        <v>5</v>
      </c>
      <c r="W2173" s="11">
        <f>_xlfn.IFNA(INDEX(reading[[#This Row],[Memo 01]:[Memo 07]],MATCH(0,reading[[#This Row],[Memo 01]:[Memo 07]],-1)),"")</f>
        <v>45237</v>
      </c>
      <c r="X2173" s="11">
        <f ca="1">IFERROR(reading[[#This Row],[Previous]]+OFFSET(reading[[#Headers],[Memo 01]],-1,MATCH(0,reading[[#This Row],[Memo 01]:[Memo 07]],-1)-1),"")</f>
        <v>45249</v>
      </c>
      <c r="Y2173" s="10" t="str">
        <f ca="1">IF(reading[[#This Row],[Next]]&lt;&gt;"",IF(reading[[#This Row],[Next]]&gt;TODAY(),"OK",""),"")</f>
        <v/>
      </c>
      <c r="Z2173" s="13">
        <v>3</v>
      </c>
      <c r="AA2173" s="13">
        <v>3</v>
      </c>
      <c r="AB2173" s="13">
        <v>3</v>
      </c>
      <c r="AC2173" s="13">
        <v>3</v>
      </c>
      <c r="AD2173" s="13">
        <v>3</v>
      </c>
      <c r="AE2173" s="13"/>
      <c r="AF2173" s="13"/>
      <c r="AG2173" s="16">
        <f>IFERROR(SUMIF(reading[[#This Row],[1st]:[7th]],"&gt;0")/COUNTIF(reading[[#This Row],[1st]:[7th]],"&gt;0"),"")</f>
        <v>3</v>
      </c>
    </row>
    <row r="2174" spans="1:33" x14ac:dyDescent="0.2">
      <c r="A2174" s="4">
        <f>IF(B2174=1,3,IF(D2174=1,2,IF(F2174=1,1,0)))</f>
        <v>0</v>
      </c>
      <c r="B2174" s="4" t="str">
        <f>IF(C2174=$L2174,1,IF(C2174="","",0))</f>
        <v/>
      </c>
      <c r="C2174" s="42"/>
      <c r="D2174" s="4" t="str">
        <f>IF(E2174=$L2174,1,IF(E2174="","",0))</f>
        <v/>
      </c>
      <c r="E2174" s="18"/>
      <c r="F2174" s="4" t="str">
        <f>IF(G2174=$L2174,1,IF(G2174="","",0))</f>
        <v/>
      </c>
      <c r="G2174" s="18"/>
      <c r="H2174" s="6">
        <v>714</v>
      </c>
      <c r="I2174" s="15" t="s">
        <v>3120</v>
      </c>
      <c r="J2174" s="6" t="s">
        <v>3852</v>
      </c>
      <c r="K2174" s="6"/>
      <c r="L2174" s="6" t="s">
        <v>835</v>
      </c>
      <c r="M2174" s="6" t="s">
        <v>6823</v>
      </c>
      <c r="N2174" s="7">
        <f ca="1">RAND()</f>
        <v>0.59753383643593749</v>
      </c>
      <c r="O2174" s="8">
        <v>45204</v>
      </c>
      <c r="P2174" s="8">
        <v>45205</v>
      </c>
      <c r="Q2174" s="8">
        <v>45207</v>
      </c>
      <c r="R2174" s="8">
        <v>45211</v>
      </c>
      <c r="S2174" s="8">
        <v>45218</v>
      </c>
      <c r="T2174" s="8">
        <v>45230</v>
      </c>
      <c r="U2174" s="8"/>
      <c r="V2174" s="10">
        <f>COUNTA(O2174:U2174)</f>
        <v>6</v>
      </c>
      <c r="W2174" s="11">
        <f>_xlfn.IFNA(INDEX(reading[[#This Row],[Memo 01]:[Memo 07]],MATCH(0,reading[[#This Row],[Memo 01]:[Memo 07]],-1)),"")</f>
        <v>45230</v>
      </c>
      <c r="X2174" s="11">
        <f ca="1">IFERROR(reading[[#This Row],[Previous]]+OFFSET(reading[[#Headers],[Memo 01]],-1,MATCH(0,reading[[#This Row],[Memo 01]:[Memo 07]],-1)-1),"")</f>
        <v>45250</v>
      </c>
      <c r="Y2174" s="10" t="str">
        <f ca="1">IF(reading[[#This Row],[Next]]&lt;&gt;"",IF(reading[[#This Row],[Next]]&gt;TODAY(),"OK",""),"")</f>
        <v/>
      </c>
      <c r="Z2174" s="13">
        <v>3</v>
      </c>
      <c r="AA2174" s="13">
        <v>2</v>
      </c>
      <c r="AB2174" s="13">
        <v>3</v>
      </c>
      <c r="AC2174" s="13">
        <v>3</v>
      </c>
      <c r="AD2174" s="13">
        <v>3</v>
      </c>
      <c r="AE2174" s="13">
        <v>2</v>
      </c>
      <c r="AF2174" s="13"/>
      <c r="AG2174" s="16">
        <f>IFERROR(SUMIF(reading[[#This Row],[1st]:[7th]],"&gt;0")/COUNTIF(reading[[#This Row],[1st]:[7th]],"&gt;0"),"")</f>
        <v>2.6666666666666665</v>
      </c>
    </row>
    <row r="2175" spans="1:33" x14ac:dyDescent="0.2">
      <c r="A2175" s="4">
        <f>IF(B2175=1,3,IF(D2175=1,2,IF(F2175=1,1,0)))</f>
        <v>0</v>
      </c>
      <c r="B2175" s="4" t="str">
        <f>IF(C2175=$L2175,1,IF(C2175="","",0))</f>
        <v/>
      </c>
      <c r="C2175" s="39"/>
      <c r="D2175" s="4" t="str">
        <f>IF(E2175=$L2175,1,IF(E2175="","",0))</f>
        <v/>
      </c>
      <c r="E2175" s="18"/>
      <c r="F2175" s="4" t="str">
        <f>IF(G2175=$L2175,1,IF(G2175="","",0))</f>
        <v/>
      </c>
      <c r="G2175" s="14"/>
      <c r="H2175" s="6">
        <v>2983</v>
      </c>
      <c r="I2175" s="15" t="s">
        <v>3120</v>
      </c>
      <c r="J2175" s="6" t="s">
        <v>6010</v>
      </c>
      <c r="K2175" s="6"/>
      <c r="L2175" s="6" t="s">
        <v>3012</v>
      </c>
      <c r="M2175" s="6" t="s">
        <v>9087</v>
      </c>
      <c r="N2175" s="7">
        <f ca="1">RAND()</f>
        <v>0.44613861531405974</v>
      </c>
      <c r="O2175" s="8">
        <v>45223</v>
      </c>
      <c r="P2175" s="8">
        <v>45224</v>
      </c>
      <c r="Q2175" s="8">
        <v>45226</v>
      </c>
      <c r="R2175" s="8">
        <v>45230</v>
      </c>
      <c r="S2175" s="8">
        <v>45237</v>
      </c>
      <c r="T2175" s="8"/>
      <c r="U2175" s="8"/>
      <c r="V2175" s="10">
        <f>COUNTA(O2175:U2175)</f>
        <v>5</v>
      </c>
      <c r="W2175" s="11">
        <f>_xlfn.IFNA(INDEX(reading[[#This Row],[Memo 01]:[Memo 07]],MATCH(0,reading[[#This Row],[Memo 01]:[Memo 07]],-1)),"")</f>
        <v>45237</v>
      </c>
      <c r="X2175" s="11">
        <f ca="1">IFERROR(reading[[#This Row],[Previous]]+OFFSET(reading[[#Headers],[Memo 01]],-1,MATCH(0,reading[[#This Row],[Memo 01]:[Memo 07]],-1)-1),"")</f>
        <v>45249</v>
      </c>
      <c r="Y2175" s="10" t="str">
        <f ca="1">IF(reading[[#This Row],[Next]]&lt;&gt;"",IF(reading[[#This Row],[Next]]&gt;TODAY(),"OK",""),"")</f>
        <v/>
      </c>
      <c r="Z2175" s="13">
        <v>3</v>
      </c>
      <c r="AA2175" s="13">
        <v>3</v>
      </c>
      <c r="AB2175" s="13">
        <v>3</v>
      </c>
      <c r="AC2175" s="13">
        <v>2</v>
      </c>
      <c r="AD2175" s="13">
        <v>3</v>
      </c>
      <c r="AE2175" s="13"/>
      <c r="AF2175" s="13"/>
      <c r="AG2175" s="16">
        <f>IFERROR(SUMIF(reading[[#This Row],[1st]:[7th]],"&gt;0")/COUNTIF(reading[[#This Row],[1st]:[7th]],"&gt;0"),"")</f>
        <v>2.8</v>
      </c>
    </row>
    <row r="2176" spans="1:33" hidden="1" x14ac:dyDescent="0.2">
      <c r="A2176" s="4">
        <f>IF(B2176=1,3,IF(D2176=1,2,IF(F2176=1,1,0)))</f>
        <v>0</v>
      </c>
      <c r="B2176" s="4" t="str">
        <f>IF(C2176=$L2176,1,IF(C2176="","",0))</f>
        <v/>
      </c>
      <c r="C2176" s="41"/>
      <c r="D2176" s="4" t="str">
        <f>IF(E2176=$L2176,1,IF(E2176="","",0))</f>
        <v/>
      </c>
      <c r="E2176" s="18"/>
      <c r="F2176" s="4" t="str">
        <f>IF(G2176=$L2176,1,IF(G2176="","",0))</f>
        <v/>
      </c>
      <c r="G2176" s="14"/>
      <c r="H2176" s="6">
        <v>282</v>
      </c>
      <c r="I2176" s="15" t="s">
        <v>3120</v>
      </c>
      <c r="J2176" s="6" t="s">
        <v>3430</v>
      </c>
      <c r="K2176" s="6"/>
      <c r="L2176" s="6" t="s">
        <v>417</v>
      </c>
      <c r="M2176" s="6" t="s">
        <v>6391</v>
      </c>
      <c r="N2176" s="7">
        <f ca="1">RAND()</f>
        <v>0.71562045882456127</v>
      </c>
      <c r="O2176" s="8">
        <v>45201</v>
      </c>
      <c r="P2176" s="8">
        <v>45202</v>
      </c>
      <c r="Q2176" s="8">
        <v>45204</v>
      </c>
      <c r="R2176" s="8">
        <v>45208</v>
      </c>
      <c r="S2176" s="8">
        <v>45215</v>
      </c>
      <c r="T2176" s="8">
        <v>45227</v>
      </c>
      <c r="U2176" s="8">
        <v>45249</v>
      </c>
      <c r="V2176" s="10">
        <f>COUNTA(O2176:U2176)</f>
        <v>7</v>
      </c>
      <c r="W2176" s="11">
        <f>_xlfn.IFNA(INDEX(reading[[#This Row],[Memo 01]:[Memo 07]],MATCH(0,reading[[#This Row],[Memo 01]:[Memo 07]],-1)),"")</f>
        <v>45249</v>
      </c>
      <c r="X2176" s="11">
        <f ca="1">IFERROR(reading[[#This Row],[Previous]]+OFFSET(reading[[#Headers],[Memo 01]],-1,MATCH(0,reading[[#This Row],[Memo 01]:[Memo 07]],-1)-1),"")</f>
        <v>55249</v>
      </c>
      <c r="Y2176" s="10" t="str">
        <f ca="1">IF(reading[[#This Row],[Next]]&lt;&gt;"",IF(reading[[#This Row],[Next]]&gt;TODAY(),"OK",""),"")</f>
        <v>OK</v>
      </c>
      <c r="Z2176" s="13">
        <v>3</v>
      </c>
      <c r="AA2176" s="13">
        <v>3</v>
      </c>
      <c r="AB2176" s="13">
        <v>2</v>
      </c>
      <c r="AC2176" s="13">
        <v>2</v>
      </c>
      <c r="AD2176" s="13">
        <v>2</v>
      </c>
      <c r="AE2176" s="13">
        <v>3</v>
      </c>
      <c r="AF2176" s="13">
        <v>2</v>
      </c>
      <c r="AG2176" s="16">
        <f>IFERROR(SUMIF(reading[[#This Row],[1st]:[7th]],"&gt;0")/COUNTIF(reading[[#This Row],[1st]:[7th]],"&gt;0"),"")</f>
        <v>2.4285714285714284</v>
      </c>
    </row>
    <row r="2177" spans="1:33" x14ac:dyDescent="0.2">
      <c r="A2177" s="4">
        <f>IF(B2177=1,3,IF(D2177=1,2,IF(F2177=1,1,0)))</f>
        <v>0</v>
      </c>
      <c r="B2177" s="4" t="str">
        <f>IF(C2177=$L2177,1,IF(C2177="","",0))</f>
        <v/>
      </c>
      <c r="C2177" s="41"/>
      <c r="D2177" s="4" t="str">
        <f>IF(E2177=$L2177,1,IF(E2177="","",0))</f>
        <v/>
      </c>
      <c r="E2177" s="14"/>
      <c r="F2177" s="4" t="str">
        <f>IF(G2177=$L2177,1,IF(G2177="","",0))</f>
        <v/>
      </c>
      <c r="G2177" s="14"/>
      <c r="H2177" s="6">
        <v>3087</v>
      </c>
      <c r="I2177" s="15" t="s">
        <v>3120</v>
      </c>
      <c r="J2177" s="6" t="s">
        <v>6106</v>
      </c>
      <c r="K2177" s="15" t="s">
        <v>3139</v>
      </c>
      <c r="L2177" s="6" t="s">
        <v>3111</v>
      </c>
      <c r="M2177" s="6" t="s">
        <v>9190</v>
      </c>
      <c r="N2177" s="7">
        <f ca="1">RAND()</f>
        <v>0.42043141964177178</v>
      </c>
      <c r="O2177" s="8">
        <v>45227</v>
      </c>
      <c r="P2177" s="8">
        <v>45228</v>
      </c>
      <c r="Q2177" s="8">
        <v>45230</v>
      </c>
      <c r="R2177" s="8">
        <v>45234</v>
      </c>
      <c r="S2177" s="8">
        <v>45249</v>
      </c>
      <c r="T2177" s="8"/>
      <c r="U2177" s="8"/>
      <c r="V2177" s="10">
        <f>COUNTA(O2177:U2177)</f>
        <v>5</v>
      </c>
      <c r="W2177" s="11">
        <f>_xlfn.IFNA(INDEX(reading[[#This Row],[Memo 01]:[Memo 07]],MATCH(0,reading[[#This Row],[Memo 01]:[Memo 07]],-1)),"")</f>
        <v>45249</v>
      </c>
      <c r="X2177" s="11">
        <f ca="1">IFERROR(reading[[#This Row],[Previous]]+OFFSET(reading[[#Headers],[Memo 01]],-1,MATCH(0,reading[[#This Row],[Memo 01]:[Memo 07]],-1)-1),"")</f>
        <v>45261</v>
      </c>
      <c r="Y2177" s="10" t="str">
        <f ca="1">IF(reading[[#This Row],[Next]]&lt;&gt;"",IF(reading[[#This Row],[Next]]&gt;TODAY(),"OK",""),"")</f>
        <v/>
      </c>
      <c r="Z2177" s="13">
        <v>3</v>
      </c>
      <c r="AA2177" s="13">
        <v>3</v>
      </c>
      <c r="AB2177" s="13">
        <v>3</v>
      </c>
      <c r="AC2177" s="13">
        <v>3</v>
      </c>
      <c r="AD2177" s="13">
        <v>3</v>
      </c>
      <c r="AE2177" s="13"/>
      <c r="AF2177" s="13"/>
      <c r="AG2177" s="16">
        <f>IFERROR(SUMIF(reading[[#This Row],[1st]:[7th]],"&gt;0")/COUNTIF(reading[[#This Row],[1st]:[7th]],"&gt;0"),"")</f>
        <v>3</v>
      </c>
    </row>
    <row r="2178" spans="1:33" hidden="1" x14ac:dyDescent="0.2">
      <c r="A2178" s="4">
        <f>IF(B2178=1,3,IF(D2178=1,2,IF(F2178=1,1,0)))</f>
        <v>0</v>
      </c>
      <c r="B2178" s="4">
        <f>IF(C2178=$L2178,1,IF(C2178="","",0))</f>
        <v>0</v>
      </c>
      <c r="C2178" s="42" t="s">
        <v>9200</v>
      </c>
      <c r="D2178" s="4">
        <f>IF(E2178=$L2178,1,IF(E2178="","",0))</f>
        <v>0</v>
      </c>
      <c r="E2178" s="23" t="s">
        <v>9200</v>
      </c>
      <c r="F2178" s="4" t="str">
        <f>IF(G2178=$L2178,1,IF(G2178="","",0))</f>
        <v/>
      </c>
      <c r="G2178" s="14"/>
      <c r="H2178" s="6">
        <v>2811</v>
      </c>
      <c r="I2178" s="15" t="s">
        <v>3120</v>
      </c>
      <c r="J2178" s="6" t="s">
        <v>5854</v>
      </c>
      <c r="K2178" s="6"/>
      <c r="L2178" s="6" t="s">
        <v>2847</v>
      </c>
      <c r="M2178" s="6" t="s">
        <v>8915</v>
      </c>
      <c r="N2178" s="7">
        <f ca="1">RAND()</f>
        <v>0.87729549682203445</v>
      </c>
      <c r="O2178" s="8">
        <v>45222</v>
      </c>
      <c r="P2178" s="8">
        <v>45223</v>
      </c>
      <c r="Q2178" s="8">
        <v>45225</v>
      </c>
      <c r="R2178" s="8">
        <v>45229</v>
      </c>
      <c r="S2178" s="8">
        <v>45236</v>
      </c>
      <c r="T2178" s="8"/>
      <c r="U2178" s="8"/>
      <c r="V2178" s="10">
        <f>COUNTA(O2178:U2178)</f>
        <v>5</v>
      </c>
      <c r="W2178" s="11">
        <f>_xlfn.IFNA(INDEX(reading[[#This Row],[Memo 01]:[Memo 07]],MATCH(0,reading[[#This Row],[Memo 01]:[Memo 07]],-1)),"")</f>
        <v>45236</v>
      </c>
      <c r="X2178" s="11">
        <f ca="1">IFERROR(reading[[#This Row],[Previous]]+OFFSET(reading[[#Headers],[Memo 01]],-1,MATCH(0,reading[[#This Row],[Memo 01]:[Memo 07]],-1)-1),"")</f>
        <v>45248</v>
      </c>
      <c r="Y2178" s="10" t="str">
        <f ca="1">IF(reading[[#This Row],[Next]]&lt;&gt;"",IF(reading[[#This Row],[Next]]&gt;TODAY(),"OK",""),"")</f>
        <v/>
      </c>
      <c r="Z2178" s="13">
        <v>3</v>
      </c>
      <c r="AA2178" s="13">
        <v>3</v>
      </c>
      <c r="AB2178" s="13">
        <v>3</v>
      </c>
      <c r="AC2178" s="13">
        <v>3</v>
      </c>
      <c r="AD2178" s="13">
        <v>3</v>
      </c>
      <c r="AE2178" s="13"/>
      <c r="AF2178" s="13"/>
      <c r="AG2178" s="16">
        <f>IFERROR(SUMIF(reading[[#This Row],[1st]:[7th]],"&gt;0")/COUNTIF(reading[[#This Row],[1st]:[7th]],"&gt;0"),"")</f>
        <v>3</v>
      </c>
    </row>
    <row r="2179" spans="1:33" x14ac:dyDescent="0.2">
      <c r="A2179" s="4">
        <f>IF(B2179=1,3,IF(D2179=1,2,IF(F2179=1,1,0)))</f>
        <v>0</v>
      </c>
      <c r="B2179" s="4" t="str">
        <f>IF(C2179=$L2179,1,IF(C2179="","",0))</f>
        <v/>
      </c>
      <c r="C2179" s="39"/>
      <c r="D2179" s="4" t="str">
        <f>IF(E2179=$L2179,1,IF(E2179="","",0))</f>
        <v/>
      </c>
      <c r="E2179" s="18"/>
      <c r="F2179" s="4" t="str">
        <f>IF(G2179=$L2179,1,IF(G2179="","",0))</f>
        <v/>
      </c>
      <c r="G2179" s="14"/>
      <c r="H2179" s="6">
        <v>2910</v>
      </c>
      <c r="I2179" s="15" t="s">
        <v>3120</v>
      </c>
      <c r="J2179" s="6" t="s">
        <v>5946</v>
      </c>
      <c r="K2179" s="15" t="s">
        <v>3139</v>
      </c>
      <c r="L2179" s="6" t="s">
        <v>2940</v>
      </c>
      <c r="M2179" s="6" t="s">
        <v>9014</v>
      </c>
      <c r="N2179" s="7">
        <f ca="1">RAND()</f>
        <v>0.39569464284265488</v>
      </c>
      <c r="O2179" s="8">
        <v>45223</v>
      </c>
      <c r="P2179" s="8">
        <v>45224</v>
      </c>
      <c r="Q2179" s="8">
        <v>45226</v>
      </c>
      <c r="R2179" s="8">
        <v>45230</v>
      </c>
      <c r="S2179" s="8">
        <v>45237</v>
      </c>
      <c r="T2179" s="8"/>
      <c r="U2179" s="8"/>
      <c r="V2179" s="10">
        <f>COUNTA(O2179:U2179)</f>
        <v>5</v>
      </c>
      <c r="W2179" s="11">
        <f>_xlfn.IFNA(INDEX(reading[[#This Row],[Memo 01]:[Memo 07]],MATCH(0,reading[[#This Row],[Memo 01]:[Memo 07]],-1)),"")</f>
        <v>45237</v>
      </c>
      <c r="X2179" s="11">
        <f ca="1">IFERROR(reading[[#This Row],[Previous]]+OFFSET(reading[[#Headers],[Memo 01]],-1,MATCH(0,reading[[#This Row],[Memo 01]:[Memo 07]],-1)-1),"")</f>
        <v>45249</v>
      </c>
      <c r="Y2179" s="10" t="str">
        <f ca="1">IF(reading[[#This Row],[Next]]&lt;&gt;"",IF(reading[[#This Row],[Next]]&gt;TODAY(),"OK",""),"")</f>
        <v/>
      </c>
      <c r="Z2179" s="13">
        <v>3</v>
      </c>
      <c r="AA2179" s="13">
        <v>3</v>
      </c>
      <c r="AB2179" s="13">
        <v>3</v>
      </c>
      <c r="AC2179" s="13">
        <v>2</v>
      </c>
      <c r="AD2179" s="13">
        <v>3</v>
      </c>
      <c r="AE2179" s="13"/>
      <c r="AF2179" s="13"/>
      <c r="AG2179" s="16">
        <f>IFERROR(SUMIF(reading[[#This Row],[1st]:[7th]],"&gt;0")/COUNTIF(reading[[#This Row],[1st]:[7th]],"&gt;0"),"")</f>
        <v>2.8</v>
      </c>
    </row>
    <row r="2180" spans="1:33" x14ac:dyDescent="0.2">
      <c r="A2180" s="4">
        <f>IF(B2180=1,3,IF(D2180=1,2,IF(F2180=1,1,0)))</f>
        <v>0</v>
      </c>
      <c r="B2180" s="4" t="str">
        <f>IF(C2180=$L2180,1,IF(C2180="","",0))</f>
        <v/>
      </c>
      <c r="C2180" s="39"/>
      <c r="D2180" s="4" t="str">
        <f>IF(E2180=$L2180,1,IF(E2180="","",0))</f>
        <v/>
      </c>
      <c r="E2180" s="14"/>
      <c r="F2180" s="4" t="str">
        <f>IF(G2180=$L2180,1,IF(G2180="","",0))</f>
        <v/>
      </c>
      <c r="G2180" s="14"/>
      <c r="H2180" s="6">
        <v>940</v>
      </c>
      <c r="I2180" s="15" t="s">
        <v>3120</v>
      </c>
      <c r="J2180" s="6" t="s">
        <v>4070</v>
      </c>
      <c r="K2180" s="6"/>
      <c r="L2180" s="6" t="s">
        <v>1051</v>
      </c>
      <c r="M2180" s="6" t="s">
        <v>7048</v>
      </c>
      <c r="N2180" s="7">
        <f ca="1">RAND()</f>
        <v>0.68081648843007403</v>
      </c>
      <c r="O2180" s="8">
        <v>45204</v>
      </c>
      <c r="P2180" s="8">
        <v>45205</v>
      </c>
      <c r="Q2180" s="8">
        <v>45207</v>
      </c>
      <c r="R2180" s="8">
        <v>45211</v>
      </c>
      <c r="S2180" s="8">
        <v>45218</v>
      </c>
      <c r="T2180" s="8">
        <v>45230</v>
      </c>
      <c r="U2180" s="8"/>
      <c r="V2180" s="10">
        <f>COUNTA(O2180:U2180)</f>
        <v>6</v>
      </c>
      <c r="W2180" s="11">
        <f>_xlfn.IFNA(INDEX(reading[[#This Row],[Memo 01]:[Memo 07]],MATCH(0,reading[[#This Row],[Memo 01]:[Memo 07]],-1)),"")</f>
        <v>45230</v>
      </c>
      <c r="X2180" s="11">
        <f ca="1">IFERROR(reading[[#This Row],[Previous]]+OFFSET(reading[[#Headers],[Memo 01]],-1,MATCH(0,reading[[#This Row],[Memo 01]:[Memo 07]],-1)-1),"")</f>
        <v>45250</v>
      </c>
      <c r="Y2180" s="10" t="str">
        <f ca="1">IF(reading[[#This Row],[Next]]&lt;&gt;"",IF(reading[[#This Row],[Next]]&gt;TODAY(),"OK",""),"")</f>
        <v/>
      </c>
      <c r="Z2180" s="13">
        <v>3</v>
      </c>
      <c r="AA2180" s="13">
        <v>3</v>
      </c>
      <c r="AB2180" s="13">
        <v>3</v>
      </c>
      <c r="AC2180" s="13">
        <v>3</v>
      </c>
      <c r="AD2180" s="13">
        <v>3</v>
      </c>
      <c r="AE2180" s="13">
        <v>3</v>
      </c>
      <c r="AF2180" s="13"/>
      <c r="AG2180" s="16">
        <f>IFERROR(SUMIF(reading[[#This Row],[1st]:[7th]],"&gt;0")/COUNTIF(reading[[#This Row],[1st]:[7th]],"&gt;0"),"")</f>
        <v>3</v>
      </c>
    </row>
    <row r="2181" spans="1:33" hidden="1" x14ac:dyDescent="0.2">
      <c r="A2181" s="4">
        <f>IF(B2181=1,3,IF(D2181=1,2,IF(F2181=1,1,0)))</f>
        <v>0</v>
      </c>
      <c r="B2181" s="4" t="str">
        <f>IF(C2181=$L2181,1,IF(C2181="","",0))</f>
        <v/>
      </c>
      <c r="C2181" s="42"/>
      <c r="D2181" s="4" t="str">
        <f>IF(E2181=$L2181,1,IF(E2181="","",0))</f>
        <v/>
      </c>
      <c r="E2181" s="23"/>
      <c r="F2181" s="4" t="str">
        <f>IF(G2181=$L2181,1,IF(G2181="","",0))</f>
        <v/>
      </c>
      <c r="G2181" s="14"/>
      <c r="H2181" s="6">
        <v>1404</v>
      </c>
      <c r="I2181" s="15" t="s">
        <v>3120</v>
      </c>
      <c r="J2181" s="6" t="s">
        <v>4518</v>
      </c>
      <c r="K2181" s="6"/>
      <c r="L2181" s="6" t="s">
        <v>1495</v>
      </c>
      <c r="M2181" s="6" t="s">
        <v>7511</v>
      </c>
      <c r="N2181" s="7">
        <f ca="1">RAND()</f>
        <v>0.38119531917774796</v>
      </c>
      <c r="O2181" s="8">
        <v>45208</v>
      </c>
      <c r="P2181" s="8">
        <v>45209</v>
      </c>
      <c r="Q2181" s="8">
        <v>45211</v>
      </c>
      <c r="R2181" s="8">
        <v>45215</v>
      </c>
      <c r="S2181" s="8">
        <v>45222</v>
      </c>
      <c r="T2181" s="8">
        <v>45234</v>
      </c>
      <c r="U2181" s="8">
        <v>45825</v>
      </c>
      <c r="V2181" s="10">
        <f>COUNTA(O2181:U2181)</f>
        <v>7</v>
      </c>
      <c r="W2181" s="11">
        <f>_xlfn.IFNA(INDEX(reading[[#This Row],[Memo 01]:[Memo 07]],MATCH(0,reading[[#This Row],[Memo 01]:[Memo 07]],-1)),"")</f>
        <v>45825</v>
      </c>
      <c r="X2181" s="11">
        <f ca="1">IFERROR(reading[[#This Row],[Previous]]+OFFSET(reading[[#Headers],[Memo 01]],-1,MATCH(0,reading[[#This Row],[Memo 01]:[Memo 07]],-1)-1),"")</f>
        <v>55825</v>
      </c>
      <c r="Y2181" s="10" t="str">
        <f ca="1">IF(reading[[#This Row],[Next]]&lt;&gt;"",IF(reading[[#This Row],[Next]]&gt;TODAY(),"OK",""),"")</f>
        <v>OK</v>
      </c>
      <c r="Z2181" s="13">
        <v>3</v>
      </c>
      <c r="AA2181" s="13">
        <v>3</v>
      </c>
      <c r="AB2181" s="13">
        <v>3</v>
      </c>
      <c r="AC2181" s="13">
        <v>3</v>
      </c>
      <c r="AD2181" s="13">
        <v>3</v>
      </c>
      <c r="AE2181" s="13">
        <v>3</v>
      </c>
      <c r="AF2181" s="13">
        <v>2</v>
      </c>
      <c r="AG2181" s="16">
        <f>IFERROR(SUMIF(reading[[#This Row],[1st]:[7th]],"&gt;0")/COUNTIF(reading[[#This Row],[1st]:[7th]],"&gt;0"),"")</f>
        <v>2.8571428571428572</v>
      </c>
    </row>
    <row r="2182" spans="1:33" x14ac:dyDescent="0.2">
      <c r="A2182" s="4">
        <f>IF(B2182=1,3,IF(D2182=1,2,IF(F2182=1,1,0)))</f>
        <v>0</v>
      </c>
      <c r="B2182" s="4" t="str">
        <f>IF(C2182=$L2182,1,IF(C2182="","",0))</f>
        <v/>
      </c>
      <c r="C2182" s="36"/>
      <c r="D2182" s="4" t="str">
        <f>IF(E2182=$L2182,1,IF(E2182="","",0))</f>
        <v/>
      </c>
      <c r="E2182" s="18"/>
      <c r="F2182" s="4" t="str">
        <f>IF(G2182=$L2182,1,IF(G2182="","",0))</f>
        <v/>
      </c>
      <c r="G2182" s="14"/>
      <c r="H2182" s="6">
        <v>339</v>
      </c>
      <c r="I2182" s="15" t="s">
        <v>3120</v>
      </c>
      <c r="J2182" s="6" t="s">
        <v>3486</v>
      </c>
      <c r="K2182" s="15" t="s">
        <v>3139</v>
      </c>
      <c r="L2182" s="6" t="s">
        <v>474</v>
      </c>
      <c r="M2182" s="6" t="s">
        <v>6448</v>
      </c>
      <c r="N2182" s="7">
        <f ca="1">RAND()</f>
        <v>7.449392711949665E-3</v>
      </c>
      <c r="O2182" s="8">
        <v>45200</v>
      </c>
      <c r="P2182" s="8">
        <v>45201</v>
      </c>
      <c r="Q2182" s="8">
        <v>45203</v>
      </c>
      <c r="R2182" s="8">
        <v>45207</v>
      </c>
      <c r="S2182" s="8">
        <v>45214</v>
      </c>
      <c r="T2182" s="8">
        <v>45226</v>
      </c>
      <c r="U2182" s="8"/>
      <c r="V2182" s="10">
        <f>COUNTA(O2182:U2182)</f>
        <v>6</v>
      </c>
      <c r="W2182" s="11">
        <f>_xlfn.IFNA(INDEX(reading[[#This Row],[Memo 01]:[Memo 07]],MATCH(0,reading[[#This Row],[Memo 01]:[Memo 07]],-1)),"")</f>
        <v>45226</v>
      </c>
      <c r="X2182" s="11">
        <f ca="1">IFERROR(reading[[#This Row],[Previous]]+OFFSET(reading[[#Headers],[Memo 01]],-1,MATCH(0,reading[[#This Row],[Memo 01]:[Memo 07]],-1)-1),"")</f>
        <v>45246</v>
      </c>
      <c r="Y2182" s="10" t="str">
        <f ca="1">IF(reading[[#This Row],[Next]]&lt;&gt;"",IF(reading[[#This Row],[Next]]&gt;TODAY(),"OK",""),"")</f>
        <v/>
      </c>
      <c r="Z2182" s="13">
        <v>3</v>
      </c>
      <c r="AA2182" s="13">
        <v>3</v>
      </c>
      <c r="AB2182" s="13">
        <v>3</v>
      </c>
      <c r="AC2182" s="13">
        <v>3</v>
      </c>
      <c r="AD2182" s="13">
        <v>2</v>
      </c>
      <c r="AE2182" s="13">
        <v>3</v>
      </c>
      <c r="AF2182" s="13"/>
      <c r="AG2182" s="16">
        <f>IFERROR(SUMIF(reading[[#This Row],[1st]:[7th]],"&gt;0")/COUNTIF(reading[[#This Row],[1st]:[7th]],"&gt;0"),"")</f>
        <v>2.8333333333333335</v>
      </c>
    </row>
    <row r="2183" spans="1:33" hidden="1" x14ac:dyDescent="0.2">
      <c r="A2183" s="4">
        <f>IF(B2183=1,3,IF(D2183=1,2,IF(F2183=1,1,0)))</f>
        <v>0</v>
      </c>
      <c r="B2183" s="4">
        <f>IF(C2183=$L2183,1,IF(C2183="","",0))</f>
        <v>0</v>
      </c>
      <c r="C2183" s="42" t="s">
        <v>9200</v>
      </c>
      <c r="D2183" s="4" t="str">
        <f>IF(E2183=$L2183,1,IF(E2183="","",0))</f>
        <v/>
      </c>
      <c r="E2183" s="18"/>
      <c r="F2183" s="4" t="str">
        <f>IF(G2183=$L2183,1,IF(G2183="","",0))</f>
        <v/>
      </c>
      <c r="G2183" s="14"/>
      <c r="H2183" s="6">
        <v>2327</v>
      </c>
      <c r="I2183" s="15" t="s">
        <v>3120</v>
      </c>
      <c r="J2183" s="6" t="s">
        <v>5404</v>
      </c>
      <c r="K2183" s="6"/>
      <c r="L2183" s="6" t="s">
        <v>2382</v>
      </c>
      <c r="M2183" s="6" t="s">
        <v>8432</v>
      </c>
      <c r="N2183" s="7">
        <f ca="1">RAND()</f>
        <v>0.69495938466454132</v>
      </c>
      <c r="O2183" s="8">
        <v>45216</v>
      </c>
      <c r="P2183" s="8">
        <v>45217</v>
      </c>
      <c r="Q2183" s="8">
        <v>45219</v>
      </c>
      <c r="R2183" s="8">
        <v>45223</v>
      </c>
      <c r="S2183" s="8">
        <v>45230</v>
      </c>
      <c r="T2183" s="8"/>
      <c r="U2183" s="8"/>
      <c r="V2183" s="10">
        <f>COUNTA(O2183:U2183)</f>
        <v>5</v>
      </c>
      <c r="W2183" s="11">
        <f>_xlfn.IFNA(INDEX(reading[[#This Row],[Memo 01]:[Memo 07]],MATCH(0,reading[[#This Row],[Memo 01]:[Memo 07]],-1)),"")</f>
        <v>45230</v>
      </c>
      <c r="X2183" s="11">
        <f ca="1">IFERROR(reading[[#This Row],[Previous]]+OFFSET(reading[[#Headers],[Memo 01]],-1,MATCH(0,reading[[#This Row],[Memo 01]:[Memo 07]],-1)-1),"")</f>
        <v>45242</v>
      </c>
      <c r="Y2183" s="10" t="str">
        <f ca="1">IF(reading[[#This Row],[Next]]&lt;&gt;"",IF(reading[[#This Row],[Next]]&gt;TODAY(),"OK",""),"")</f>
        <v/>
      </c>
      <c r="Z2183" s="13">
        <v>3</v>
      </c>
      <c r="AA2183" s="13">
        <v>3</v>
      </c>
      <c r="AB2183" s="13">
        <v>3</v>
      </c>
      <c r="AC2183" s="13">
        <v>2</v>
      </c>
      <c r="AD2183" s="13">
        <v>3</v>
      </c>
      <c r="AE2183" s="13"/>
      <c r="AF2183" s="13"/>
      <c r="AG2183" s="16">
        <f>IFERROR(SUMIF(reading[[#This Row],[1st]:[7th]],"&gt;0")/COUNTIF(reading[[#This Row],[1st]:[7th]],"&gt;0"),"")</f>
        <v>2.8</v>
      </c>
    </row>
    <row r="2184" spans="1:33" x14ac:dyDescent="0.2">
      <c r="A2184" s="4">
        <f>IF(B2184=1,3,IF(D2184=1,2,IF(F2184=1,1,0)))</f>
        <v>0</v>
      </c>
      <c r="B2184" s="4" t="str">
        <f>IF(C2184=$L2184,1,IF(C2184="","",0))</f>
        <v/>
      </c>
      <c r="C2184" s="36"/>
      <c r="D2184" s="4" t="str">
        <f>IF(E2184=$L2184,1,IF(E2184="","",0))</f>
        <v/>
      </c>
      <c r="E2184" s="14"/>
      <c r="F2184" s="4" t="str">
        <f>IF(G2184=$L2184,1,IF(G2184="","",0))</f>
        <v/>
      </c>
      <c r="G2184" s="14"/>
      <c r="H2184" s="6">
        <v>1944</v>
      </c>
      <c r="I2184" s="15" t="s">
        <v>3120</v>
      </c>
      <c r="J2184" s="6" t="s">
        <v>5043</v>
      </c>
      <c r="K2184" s="15" t="s">
        <v>3138</v>
      </c>
      <c r="L2184" s="6" t="s">
        <v>2020</v>
      </c>
      <c r="M2184" s="6" t="s">
        <v>8050</v>
      </c>
      <c r="N2184" s="7">
        <f ca="1">RAND()</f>
        <v>9.1992818146510058E-2</v>
      </c>
      <c r="O2184" s="8">
        <v>45213</v>
      </c>
      <c r="P2184" s="8">
        <v>45214</v>
      </c>
      <c r="Q2184" s="8">
        <v>45216</v>
      </c>
      <c r="R2184" s="8">
        <v>45220</v>
      </c>
      <c r="S2184" s="8">
        <v>45227</v>
      </c>
      <c r="T2184" s="8"/>
      <c r="U2184" s="8"/>
      <c r="V2184" s="10">
        <f>COUNTA(O2184:U2184)</f>
        <v>5</v>
      </c>
      <c r="W2184" s="11">
        <f>_xlfn.IFNA(INDEX(reading[[#This Row],[Memo 01]:[Memo 07]],MATCH(0,reading[[#This Row],[Memo 01]:[Memo 07]],-1)),"")</f>
        <v>45227</v>
      </c>
      <c r="X2184" s="11">
        <f ca="1">IFERROR(reading[[#This Row],[Previous]]+OFFSET(reading[[#Headers],[Memo 01]],-1,MATCH(0,reading[[#This Row],[Memo 01]:[Memo 07]],-1)-1),"")</f>
        <v>45239</v>
      </c>
      <c r="Y2184" s="10" t="str">
        <f ca="1">IF(reading[[#This Row],[Next]]&lt;&gt;"",IF(reading[[#This Row],[Next]]&gt;TODAY(),"OK",""),"")</f>
        <v/>
      </c>
      <c r="Z2184" s="13">
        <v>3</v>
      </c>
      <c r="AA2184" s="13">
        <v>3</v>
      </c>
      <c r="AB2184" s="13">
        <v>3</v>
      </c>
      <c r="AC2184" s="13">
        <v>3</v>
      </c>
      <c r="AD2184" s="13">
        <v>3</v>
      </c>
      <c r="AE2184" s="13"/>
      <c r="AF2184" s="13"/>
      <c r="AG2184" s="16">
        <f>IFERROR(SUMIF(reading[[#This Row],[1st]:[7th]],"&gt;0")/COUNTIF(reading[[#This Row],[1st]:[7th]],"&gt;0"),"")</f>
        <v>3</v>
      </c>
    </row>
    <row r="2185" spans="1:33" hidden="1" x14ac:dyDescent="0.2">
      <c r="A2185" s="4">
        <f>IF(B2185=1,3,IF(D2185=1,2,IF(F2185=1,1,0)))</f>
        <v>0</v>
      </c>
      <c r="B2185" s="4">
        <f>IF(C2185=$L2185,1,IF(C2185="","",0))</f>
        <v>0</v>
      </c>
      <c r="C2185" s="42" t="s">
        <v>9200</v>
      </c>
      <c r="D2185" s="4">
        <f>IF(E2185=$L2185,1,IF(E2185="","",0))</f>
        <v>0</v>
      </c>
      <c r="E2185" s="23" t="s">
        <v>9200</v>
      </c>
      <c r="F2185" s="4" t="str">
        <f>IF(G2185=$L2185,1,IF(G2185="","",0))</f>
        <v/>
      </c>
      <c r="G2185" s="14"/>
      <c r="H2185" s="6">
        <v>579</v>
      </c>
      <c r="I2185" s="15" t="s">
        <v>3120</v>
      </c>
      <c r="J2185" s="6" t="s">
        <v>3722</v>
      </c>
      <c r="K2185" s="24" t="s">
        <v>3136</v>
      </c>
      <c r="L2185" s="6" t="s">
        <v>73</v>
      </c>
      <c r="M2185" s="6" t="s">
        <v>6688</v>
      </c>
      <c r="N2185" s="7">
        <f ca="1">RAND()</f>
        <v>0.43318234152580659</v>
      </c>
      <c r="O2185" s="8">
        <v>45202</v>
      </c>
      <c r="P2185" s="8">
        <v>45203</v>
      </c>
      <c r="Q2185" s="8">
        <v>45205</v>
      </c>
      <c r="R2185" s="8">
        <v>45209</v>
      </c>
      <c r="S2185" s="8">
        <v>45216</v>
      </c>
      <c r="T2185" s="8">
        <v>45228</v>
      </c>
      <c r="U2185" s="8"/>
      <c r="V2185" s="10">
        <f>COUNTA(O2185:U2185)</f>
        <v>6</v>
      </c>
      <c r="W2185" s="11">
        <f>_xlfn.IFNA(INDEX(reading[[#This Row],[Memo 01]:[Memo 07]],MATCH(0,reading[[#This Row],[Memo 01]:[Memo 07]],-1)),"")</f>
        <v>45228</v>
      </c>
      <c r="X2185" s="11">
        <f ca="1">IFERROR(reading[[#This Row],[Previous]]+OFFSET(reading[[#Headers],[Memo 01]],-1,MATCH(0,reading[[#This Row],[Memo 01]:[Memo 07]],-1)-1),"")</f>
        <v>45248</v>
      </c>
      <c r="Y2185" s="10" t="str">
        <f ca="1">IF(reading[[#This Row],[Next]]&lt;&gt;"",IF(reading[[#This Row],[Next]]&gt;TODAY(),"OK",""),"")</f>
        <v/>
      </c>
      <c r="Z2185" s="13">
        <v>3</v>
      </c>
      <c r="AA2185" s="13">
        <v>3</v>
      </c>
      <c r="AB2185" s="13">
        <v>3</v>
      </c>
      <c r="AC2185" s="13">
        <v>3</v>
      </c>
      <c r="AD2185" s="13">
        <v>3</v>
      </c>
      <c r="AE2185" s="13">
        <v>3</v>
      </c>
      <c r="AF2185" s="13"/>
      <c r="AG2185" s="16">
        <f>IFERROR(SUMIF(reading[[#This Row],[1st]:[7th]],"&gt;0")/COUNTIF(reading[[#This Row],[1st]:[7th]],"&gt;0"),"")</f>
        <v>3</v>
      </c>
    </row>
    <row r="2186" spans="1:33" x14ac:dyDescent="0.2">
      <c r="A2186" s="4">
        <f>IF(B2186=1,3,IF(D2186=1,2,IF(F2186=1,1,0)))</f>
        <v>0</v>
      </c>
      <c r="B2186" s="4" t="str">
        <f>IF(C2186=$L2186,1,IF(C2186="","",0))</f>
        <v/>
      </c>
      <c r="C2186" s="39"/>
      <c r="D2186" s="4" t="str">
        <f>IF(E2186=$L2186,1,IF(E2186="","",0))</f>
        <v/>
      </c>
      <c r="E2186" s="14"/>
      <c r="F2186" s="4" t="str">
        <f>IF(G2186=$L2186,1,IF(G2186="","",0))</f>
        <v/>
      </c>
      <c r="G2186" s="14"/>
      <c r="H2186" s="6">
        <v>1410</v>
      </c>
      <c r="I2186" s="15" t="s">
        <v>3120</v>
      </c>
      <c r="J2186" s="6" t="s">
        <v>4524</v>
      </c>
      <c r="K2186" s="6"/>
      <c r="L2186" s="6" t="s">
        <v>1501</v>
      </c>
      <c r="M2186" s="6" t="s">
        <v>7517</v>
      </c>
      <c r="N2186" s="7">
        <f ca="1">RAND()</f>
        <v>0.17793312342264755</v>
      </c>
      <c r="O2186" s="8">
        <v>45208</v>
      </c>
      <c r="P2186" s="8">
        <v>45209</v>
      </c>
      <c r="Q2186" s="8">
        <v>45211</v>
      </c>
      <c r="R2186" s="8">
        <v>45215</v>
      </c>
      <c r="S2186" s="8">
        <v>45222</v>
      </c>
      <c r="T2186" s="8">
        <v>45234</v>
      </c>
      <c r="U2186" s="8"/>
      <c r="V2186" s="10">
        <f>COUNTA(O2186:U2186)</f>
        <v>6</v>
      </c>
      <c r="W2186" s="11">
        <f>_xlfn.IFNA(INDEX(reading[[#This Row],[Memo 01]:[Memo 07]],MATCH(0,reading[[#This Row],[Memo 01]:[Memo 07]],-1)),"")</f>
        <v>45234</v>
      </c>
      <c r="X2186" s="11">
        <f ca="1">IFERROR(reading[[#This Row],[Previous]]+OFFSET(reading[[#Headers],[Memo 01]],-1,MATCH(0,reading[[#This Row],[Memo 01]:[Memo 07]],-1)-1),"")</f>
        <v>45254</v>
      </c>
      <c r="Y2186" s="10" t="str">
        <f ca="1">IF(reading[[#This Row],[Next]]&lt;&gt;"",IF(reading[[#This Row],[Next]]&gt;TODAY(),"OK",""),"")</f>
        <v/>
      </c>
      <c r="Z2186" s="13">
        <v>3</v>
      </c>
      <c r="AA2186" s="13">
        <v>3</v>
      </c>
      <c r="AB2186" s="13">
        <v>3</v>
      </c>
      <c r="AC2186" s="13">
        <v>3</v>
      </c>
      <c r="AD2186" s="13">
        <v>3</v>
      </c>
      <c r="AE2186" s="13">
        <v>3</v>
      </c>
      <c r="AF2186" s="13"/>
      <c r="AG2186" s="16">
        <f>IFERROR(SUMIF(reading[[#This Row],[1st]:[7th]],"&gt;0")/COUNTIF(reading[[#This Row],[1st]:[7th]],"&gt;0"),"")</f>
        <v>3</v>
      </c>
    </row>
    <row r="2187" spans="1:33" x14ac:dyDescent="0.2">
      <c r="A2187" s="4">
        <f>IF(B2187=1,3,IF(D2187=1,2,IF(F2187=1,1,0)))</f>
        <v>0</v>
      </c>
      <c r="B2187" s="4" t="str">
        <f>IF(C2187=$L2187,1,IF(C2187="","",0))</f>
        <v/>
      </c>
      <c r="C2187" s="39"/>
      <c r="D2187" s="4" t="str">
        <f>IF(E2187=$L2187,1,IF(E2187="","",0))</f>
        <v/>
      </c>
      <c r="E2187" s="14"/>
      <c r="F2187" s="4" t="str">
        <f>IF(G2187=$L2187,1,IF(G2187="","",0))</f>
        <v/>
      </c>
      <c r="G2187" s="14"/>
      <c r="H2187" s="6">
        <v>2821</v>
      </c>
      <c r="I2187" s="15" t="s">
        <v>3120</v>
      </c>
      <c r="J2187" s="6" t="s">
        <v>5864</v>
      </c>
      <c r="K2187" s="6"/>
      <c r="L2187" s="6" t="s">
        <v>2857</v>
      </c>
      <c r="M2187" s="6" t="s">
        <v>8925</v>
      </c>
      <c r="N2187" s="7">
        <f ca="1">RAND()</f>
        <v>0.62314668584675825</v>
      </c>
      <c r="O2187" s="8">
        <v>45222</v>
      </c>
      <c r="P2187" s="8">
        <v>45223</v>
      </c>
      <c r="Q2187" s="8">
        <v>45225</v>
      </c>
      <c r="R2187" s="8">
        <v>45229</v>
      </c>
      <c r="S2187" s="8">
        <v>45236</v>
      </c>
      <c r="T2187" s="8"/>
      <c r="U2187" s="8"/>
      <c r="V2187" s="10">
        <f>COUNTA(O2187:U2187)</f>
        <v>5</v>
      </c>
      <c r="W2187" s="11">
        <f>_xlfn.IFNA(INDEX(reading[[#This Row],[Memo 01]:[Memo 07]],MATCH(0,reading[[#This Row],[Memo 01]:[Memo 07]],-1)),"")</f>
        <v>45236</v>
      </c>
      <c r="X2187" s="11">
        <f ca="1">IFERROR(reading[[#This Row],[Previous]]+OFFSET(reading[[#Headers],[Memo 01]],-1,MATCH(0,reading[[#This Row],[Memo 01]:[Memo 07]],-1)-1),"")</f>
        <v>45248</v>
      </c>
      <c r="Y2187" s="10" t="str">
        <f ca="1">IF(reading[[#This Row],[Next]]&lt;&gt;"",IF(reading[[#This Row],[Next]]&gt;TODAY(),"OK",""),"")</f>
        <v/>
      </c>
      <c r="Z2187" s="13">
        <v>3</v>
      </c>
      <c r="AA2187" s="13">
        <v>3</v>
      </c>
      <c r="AB2187" s="13">
        <v>3</v>
      </c>
      <c r="AC2187" s="13">
        <v>3</v>
      </c>
      <c r="AD2187" s="13">
        <v>3</v>
      </c>
      <c r="AE2187" s="13"/>
      <c r="AF2187" s="13"/>
      <c r="AG2187" s="16">
        <f>IFERROR(SUMIF(reading[[#This Row],[1st]:[7th]],"&gt;0")/COUNTIF(reading[[#This Row],[1st]:[7th]],"&gt;0"),"")</f>
        <v>3</v>
      </c>
    </row>
    <row r="2188" spans="1:33" x14ac:dyDescent="0.2">
      <c r="A2188" s="4">
        <f>IF(B2188=1,3,IF(D2188=1,2,IF(F2188=1,1,0)))</f>
        <v>0</v>
      </c>
      <c r="B2188" s="4" t="str">
        <f>IF(C2188=$L2188,1,IF(C2188="","",0))</f>
        <v/>
      </c>
      <c r="C2188" s="39"/>
      <c r="D2188" s="4" t="str">
        <f>IF(E2188=$L2188,1,IF(E2188="","",0))</f>
        <v/>
      </c>
      <c r="E2188" s="18"/>
      <c r="F2188" s="4" t="str">
        <f>IF(G2188=$L2188,1,IF(G2188="","",0))</f>
        <v/>
      </c>
      <c r="G2188" s="18"/>
      <c r="H2188" s="6">
        <v>1707</v>
      </c>
      <c r="I2188" s="15" t="s">
        <v>3120</v>
      </c>
      <c r="J2188" s="6" t="s">
        <v>4816</v>
      </c>
      <c r="K2188" s="6"/>
      <c r="L2188" s="6" t="s">
        <v>1787</v>
      </c>
      <c r="M2188" s="6" t="s">
        <v>7813</v>
      </c>
      <c r="N2188" s="7">
        <f ca="1">RAND()</f>
        <v>0.77351936235427399</v>
      </c>
      <c r="O2188" s="8">
        <v>45211</v>
      </c>
      <c r="P2188" s="8">
        <v>45212</v>
      </c>
      <c r="Q2188" s="8">
        <v>45214</v>
      </c>
      <c r="R2188" s="8">
        <v>45218</v>
      </c>
      <c r="S2188" s="8">
        <v>45225</v>
      </c>
      <c r="T2188" s="8">
        <v>45237</v>
      </c>
      <c r="U2188" s="8"/>
      <c r="V2188" s="10">
        <f>COUNTA(O2188:U2188)</f>
        <v>6</v>
      </c>
      <c r="W2188" s="11">
        <f>_xlfn.IFNA(INDEX(reading[[#This Row],[Memo 01]:[Memo 07]],MATCH(0,reading[[#This Row],[Memo 01]:[Memo 07]],-1)),"")</f>
        <v>45237</v>
      </c>
      <c r="X2188" s="11">
        <f ca="1">IFERROR(reading[[#This Row],[Previous]]+OFFSET(reading[[#Headers],[Memo 01]],-1,MATCH(0,reading[[#This Row],[Memo 01]:[Memo 07]],-1)-1),"")</f>
        <v>45257</v>
      </c>
      <c r="Y2188" s="10" t="str">
        <f ca="1">IF(reading[[#This Row],[Next]]&lt;&gt;"",IF(reading[[#This Row],[Next]]&gt;TODAY(),"OK",""),"")</f>
        <v/>
      </c>
      <c r="Z2188" s="13">
        <v>3</v>
      </c>
      <c r="AA2188" s="13">
        <v>3</v>
      </c>
      <c r="AB2188" s="13">
        <v>1</v>
      </c>
      <c r="AC2188" s="13">
        <v>3</v>
      </c>
      <c r="AD2188" s="13">
        <v>3</v>
      </c>
      <c r="AE2188" s="13">
        <v>3</v>
      </c>
      <c r="AF2188" s="13"/>
      <c r="AG2188" s="16">
        <f>IFERROR(SUMIF(reading[[#This Row],[1st]:[7th]],"&gt;0")/COUNTIF(reading[[#This Row],[1st]:[7th]],"&gt;0"),"")</f>
        <v>2.6666666666666665</v>
      </c>
    </row>
    <row r="2189" spans="1:33" x14ac:dyDescent="0.2">
      <c r="A2189" s="4">
        <f>IF(B2189=1,3,IF(D2189=1,2,IF(F2189=1,1,0)))</f>
        <v>0</v>
      </c>
      <c r="B2189" s="4" t="str">
        <f>IF(C2189=$L2189,1,IF(C2189="","",0))</f>
        <v/>
      </c>
      <c r="C2189" s="39"/>
      <c r="D2189" s="4" t="str">
        <f>IF(E2189=$L2189,1,IF(E2189="","",0))</f>
        <v/>
      </c>
      <c r="E2189" s="18"/>
      <c r="F2189" s="4" t="str">
        <f>IF(G2189=$L2189,1,IF(G2189="","",0))</f>
        <v/>
      </c>
      <c r="G2189" s="14"/>
      <c r="H2189" s="6">
        <v>2933</v>
      </c>
      <c r="I2189" s="15" t="s">
        <v>3120</v>
      </c>
      <c r="J2189" s="6" t="s">
        <v>5968</v>
      </c>
      <c r="K2189" s="6"/>
      <c r="L2189" s="6" t="s">
        <v>2963</v>
      </c>
      <c r="M2189" s="6" t="s">
        <v>9037</v>
      </c>
      <c r="N2189" s="7">
        <f ca="1">RAND()</f>
        <v>0.66808695140153151</v>
      </c>
      <c r="O2189" s="8">
        <v>45223</v>
      </c>
      <c r="P2189" s="8">
        <v>45224</v>
      </c>
      <c r="Q2189" s="8">
        <v>45226</v>
      </c>
      <c r="R2189" s="8">
        <v>45230</v>
      </c>
      <c r="S2189" s="8">
        <v>45237</v>
      </c>
      <c r="T2189" s="8"/>
      <c r="U2189" s="8"/>
      <c r="V2189" s="10">
        <f>COUNTA(O2189:U2189)</f>
        <v>5</v>
      </c>
      <c r="W2189" s="11">
        <f>_xlfn.IFNA(INDEX(reading[[#This Row],[Memo 01]:[Memo 07]],MATCH(0,reading[[#This Row],[Memo 01]:[Memo 07]],-1)),"")</f>
        <v>45237</v>
      </c>
      <c r="X2189" s="11">
        <f ca="1">IFERROR(reading[[#This Row],[Previous]]+OFFSET(reading[[#Headers],[Memo 01]],-1,MATCH(0,reading[[#This Row],[Memo 01]:[Memo 07]],-1)-1),"")</f>
        <v>45249</v>
      </c>
      <c r="Y2189" s="10" t="str">
        <f ca="1">IF(reading[[#This Row],[Next]]&lt;&gt;"",IF(reading[[#This Row],[Next]]&gt;TODAY(),"OK",""),"")</f>
        <v/>
      </c>
      <c r="Z2189" s="13">
        <v>3</v>
      </c>
      <c r="AA2189" s="13">
        <v>3</v>
      </c>
      <c r="AB2189" s="13">
        <v>2</v>
      </c>
      <c r="AC2189" s="13">
        <v>3</v>
      </c>
      <c r="AD2189" s="13">
        <v>3</v>
      </c>
      <c r="AE2189" s="13"/>
      <c r="AF2189" s="13"/>
      <c r="AG2189" s="16">
        <f>IFERROR(SUMIF(reading[[#This Row],[1st]:[7th]],"&gt;0")/COUNTIF(reading[[#This Row],[1st]:[7th]],"&gt;0"),"")</f>
        <v>2.8</v>
      </c>
    </row>
    <row r="2190" spans="1:33" hidden="1" x14ac:dyDescent="0.2">
      <c r="A2190" s="4">
        <f>IF(B2190=1,3,IF(D2190=1,2,IF(F2190=1,1,0)))</f>
        <v>0</v>
      </c>
      <c r="B2190" s="4" t="str">
        <f>IF(C2190=$L2190,1,IF(C2190="","",0))</f>
        <v/>
      </c>
      <c r="C2190" s="42"/>
      <c r="D2190" s="4" t="str">
        <f>IF(E2190=$L2190,1,IF(E2190="","",0))</f>
        <v/>
      </c>
      <c r="E2190" s="23"/>
      <c r="F2190" s="4" t="str">
        <f>IF(G2190=$L2190,1,IF(G2190="","",0))</f>
        <v/>
      </c>
      <c r="G2190" s="14"/>
      <c r="H2190" s="6">
        <v>2131</v>
      </c>
      <c r="I2190" s="15" t="s">
        <v>3120</v>
      </c>
      <c r="J2190" s="6" t="s">
        <v>5219</v>
      </c>
      <c r="K2190" s="6"/>
      <c r="L2190" s="6" t="s">
        <v>2198</v>
      </c>
      <c r="M2190" s="6" t="s">
        <v>8237</v>
      </c>
      <c r="N2190" s="7">
        <f ca="1">RAND()</f>
        <v>7.2924270715861716E-3</v>
      </c>
      <c r="O2190" s="8">
        <v>45214</v>
      </c>
      <c r="P2190" s="8">
        <v>45215</v>
      </c>
      <c r="Q2190" s="8">
        <v>45217</v>
      </c>
      <c r="R2190" s="8">
        <v>45221</v>
      </c>
      <c r="S2190" s="8">
        <v>45228</v>
      </c>
      <c r="T2190" s="8">
        <v>45816</v>
      </c>
      <c r="U2190" s="8"/>
      <c r="V2190" s="10">
        <f>COUNTA(O2190:U2190)</f>
        <v>6</v>
      </c>
      <c r="W2190" s="11">
        <f>_xlfn.IFNA(INDEX(reading[[#This Row],[Memo 01]:[Memo 07]],MATCH(0,reading[[#This Row],[Memo 01]:[Memo 07]],-1)),"")</f>
        <v>45816</v>
      </c>
      <c r="X2190" s="11">
        <f ca="1">IFERROR(reading[[#This Row],[Previous]]+OFFSET(reading[[#Headers],[Memo 01]],-1,MATCH(0,reading[[#This Row],[Memo 01]:[Memo 07]],-1)-1),"")</f>
        <v>45836</v>
      </c>
      <c r="Y2190" s="10" t="str">
        <f ca="1">IF(reading[[#This Row],[Next]]&lt;&gt;"",IF(reading[[#This Row],[Next]]&gt;TODAY(),"OK",""),"")</f>
        <v>OK</v>
      </c>
      <c r="Z2190" s="13">
        <v>3</v>
      </c>
      <c r="AA2190" s="13">
        <v>3</v>
      </c>
      <c r="AB2190" s="13">
        <v>3</v>
      </c>
      <c r="AC2190" s="13">
        <v>3</v>
      </c>
      <c r="AD2190" s="13">
        <v>2</v>
      </c>
      <c r="AE2190" s="13">
        <v>2</v>
      </c>
      <c r="AF2190" s="13"/>
      <c r="AG2190" s="16">
        <f>IFERROR(SUMIF(reading[[#This Row],[1st]:[7th]],"&gt;0")/COUNTIF(reading[[#This Row],[1st]:[7th]],"&gt;0"),"")</f>
        <v>2.6666666666666665</v>
      </c>
    </row>
    <row r="2191" spans="1:33" x14ac:dyDescent="0.2">
      <c r="A2191" s="4">
        <f>IF(B2191=1,3,IF(D2191=1,2,IF(F2191=1,1,0)))</f>
        <v>0</v>
      </c>
      <c r="B2191" s="4" t="str">
        <f>IF(C2191=$L2191,1,IF(C2191="","",0))</f>
        <v/>
      </c>
      <c r="C2191" s="39"/>
      <c r="D2191" s="4" t="str">
        <f>IF(E2191=$L2191,1,IF(E2191="","",0))</f>
        <v/>
      </c>
      <c r="E2191" s="14"/>
      <c r="F2191" s="4" t="str">
        <f>IF(G2191=$L2191,1,IF(G2191="","",0))</f>
        <v/>
      </c>
      <c r="G2191" s="14"/>
      <c r="H2191" s="6">
        <v>2945</v>
      </c>
      <c r="I2191" s="15" t="s">
        <v>3120</v>
      </c>
      <c r="J2191" s="6" t="s">
        <v>5978</v>
      </c>
      <c r="K2191" s="6"/>
      <c r="L2191" s="6" t="s">
        <v>2975</v>
      </c>
      <c r="M2191" s="6" t="s">
        <v>9049</v>
      </c>
      <c r="N2191" s="7">
        <f ca="1">RAND()</f>
        <v>0.62234557352361297</v>
      </c>
      <c r="O2191" s="8">
        <v>45223</v>
      </c>
      <c r="P2191" s="8">
        <v>45224</v>
      </c>
      <c r="Q2191" s="8">
        <v>45226</v>
      </c>
      <c r="R2191" s="8">
        <v>45230</v>
      </c>
      <c r="S2191" s="8">
        <v>45237</v>
      </c>
      <c r="T2191" s="8"/>
      <c r="U2191" s="8"/>
      <c r="V2191" s="10">
        <f>COUNTA(O2191:U2191)</f>
        <v>5</v>
      </c>
      <c r="W2191" s="11">
        <f>_xlfn.IFNA(INDEX(reading[[#This Row],[Memo 01]:[Memo 07]],MATCH(0,reading[[#This Row],[Memo 01]:[Memo 07]],-1)),"")</f>
        <v>45237</v>
      </c>
      <c r="X2191" s="11">
        <f ca="1">IFERROR(reading[[#This Row],[Previous]]+OFFSET(reading[[#Headers],[Memo 01]],-1,MATCH(0,reading[[#This Row],[Memo 01]:[Memo 07]],-1)-1),"")</f>
        <v>45249</v>
      </c>
      <c r="Y2191" s="10" t="str">
        <f ca="1">IF(reading[[#This Row],[Next]]&lt;&gt;"",IF(reading[[#This Row],[Next]]&gt;TODAY(),"OK",""),"")</f>
        <v/>
      </c>
      <c r="Z2191" s="13">
        <v>3</v>
      </c>
      <c r="AA2191" s="13">
        <v>3</v>
      </c>
      <c r="AB2191" s="13">
        <v>3</v>
      </c>
      <c r="AC2191" s="13">
        <v>3</v>
      </c>
      <c r="AD2191" s="13">
        <v>3</v>
      </c>
      <c r="AE2191" s="13"/>
      <c r="AF2191" s="13"/>
      <c r="AG2191" s="16">
        <f>IFERROR(SUMIF(reading[[#This Row],[1st]:[7th]],"&gt;0")/COUNTIF(reading[[#This Row],[1st]:[7th]],"&gt;0"),"")</f>
        <v>3</v>
      </c>
    </row>
    <row r="2192" spans="1:33" x14ac:dyDescent="0.2">
      <c r="A2192" s="4">
        <f>IF(B2192=1,3,IF(D2192=1,2,IF(F2192=1,1,0)))</f>
        <v>0</v>
      </c>
      <c r="B2192" s="4" t="str">
        <f>IF(C2192=$L2192,1,IF(C2192="","",0))</f>
        <v/>
      </c>
      <c r="C2192" s="39"/>
      <c r="D2192" s="4" t="str">
        <f>IF(E2192=$L2192,1,IF(E2192="","",0))</f>
        <v/>
      </c>
      <c r="E2192" s="14"/>
      <c r="F2192" s="4" t="str">
        <f>IF(G2192=$L2192,1,IF(G2192="","",0))</f>
        <v/>
      </c>
      <c r="G2192" s="14"/>
      <c r="H2192" s="6">
        <v>1395</v>
      </c>
      <c r="I2192" s="15" t="s">
        <v>3120</v>
      </c>
      <c r="J2192" s="6" t="s">
        <v>4509</v>
      </c>
      <c r="K2192" s="6"/>
      <c r="L2192" s="6" t="s">
        <v>1487</v>
      </c>
      <c r="M2192" s="6" t="s">
        <v>7502</v>
      </c>
      <c r="N2192" s="7">
        <f ca="1">RAND()</f>
        <v>0.43622548121741933</v>
      </c>
      <c r="O2192" s="8">
        <v>45207</v>
      </c>
      <c r="P2192" s="8">
        <v>45208</v>
      </c>
      <c r="Q2192" s="8">
        <v>45210</v>
      </c>
      <c r="R2192" s="8">
        <v>45214</v>
      </c>
      <c r="S2192" s="8">
        <v>45221</v>
      </c>
      <c r="T2192" s="8">
        <v>45233</v>
      </c>
      <c r="U2192" s="8"/>
      <c r="V2192" s="10">
        <f>COUNTA(O2192:U2192)</f>
        <v>6</v>
      </c>
      <c r="W2192" s="11">
        <f>_xlfn.IFNA(INDEX(reading[[#This Row],[Memo 01]:[Memo 07]],MATCH(0,reading[[#This Row],[Memo 01]:[Memo 07]],-1)),"")</f>
        <v>45233</v>
      </c>
      <c r="X2192" s="11">
        <f ca="1">IFERROR(reading[[#This Row],[Previous]]+OFFSET(reading[[#Headers],[Memo 01]],-1,MATCH(0,reading[[#This Row],[Memo 01]:[Memo 07]],-1)-1),"")</f>
        <v>45253</v>
      </c>
      <c r="Y2192" s="10" t="str">
        <f ca="1">IF(reading[[#This Row],[Next]]&lt;&gt;"",IF(reading[[#This Row],[Next]]&gt;TODAY(),"OK",""),"")</f>
        <v/>
      </c>
      <c r="Z2192" s="13">
        <v>3</v>
      </c>
      <c r="AA2192" s="13">
        <v>3</v>
      </c>
      <c r="AB2192" s="13">
        <v>3</v>
      </c>
      <c r="AC2192" s="13">
        <v>3</v>
      </c>
      <c r="AD2192" s="13">
        <v>3</v>
      </c>
      <c r="AE2192" s="13">
        <v>3</v>
      </c>
      <c r="AF2192" s="13"/>
      <c r="AG2192" s="16">
        <f>IFERROR(SUMIF(reading[[#This Row],[1st]:[7th]],"&gt;0")/COUNTIF(reading[[#This Row],[1st]:[7th]],"&gt;0"),"")</f>
        <v>3</v>
      </c>
    </row>
    <row r="2193" spans="1:33" x14ac:dyDescent="0.2">
      <c r="A2193" s="4">
        <f>IF(B2193=1,3,IF(D2193=1,2,IF(F2193=1,1,0)))</f>
        <v>0</v>
      </c>
      <c r="B2193" s="4" t="str">
        <f>IF(C2193=$L2193,1,IF(C2193="","",0))</f>
        <v/>
      </c>
      <c r="C2193" s="42"/>
      <c r="D2193" s="4" t="str">
        <f>IF(E2193=$L2193,1,IF(E2193="","",0))</f>
        <v/>
      </c>
      <c r="E2193" s="14"/>
      <c r="F2193" s="4" t="str">
        <f>IF(G2193=$L2193,1,IF(G2193="","",0))</f>
        <v/>
      </c>
      <c r="G2193" s="14"/>
      <c r="H2193" s="6">
        <v>3063</v>
      </c>
      <c r="I2193" s="15" t="s">
        <v>3120</v>
      </c>
      <c r="J2193" s="6" t="s">
        <v>6084</v>
      </c>
      <c r="K2193" s="6"/>
      <c r="L2193" s="6" t="s">
        <v>3088</v>
      </c>
      <c r="M2193" s="6" t="s">
        <v>9166</v>
      </c>
      <c r="N2193" s="7">
        <f ca="1">RAND()</f>
        <v>0.19124980392649549</v>
      </c>
      <c r="O2193" s="8">
        <v>45227</v>
      </c>
      <c r="P2193" s="8">
        <v>45228</v>
      </c>
      <c r="Q2193" s="8">
        <v>45230</v>
      </c>
      <c r="R2193" s="8">
        <v>45234</v>
      </c>
      <c r="S2193" s="8">
        <v>45250</v>
      </c>
      <c r="T2193" s="8">
        <v>45783</v>
      </c>
      <c r="U2193" s="8"/>
      <c r="V2193" s="10">
        <f>COUNTA(O2193:U2193)</f>
        <v>6</v>
      </c>
      <c r="W2193" s="11">
        <f>_xlfn.IFNA(INDEX(reading[[#This Row],[Memo 01]:[Memo 07]],MATCH(0,reading[[#This Row],[Memo 01]:[Memo 07]],-1)),"")</f>
        <v>45783</v>
      </c>
      <c r="X2193" s="11">
        <f ca="1">IFERROR(reading[[#This Row],[Previous]]+OFFSET(reading[[#Headers],[Memo 01]],-1,MATCH(0,reading[[#This Row],[Memo 01]:[Memo 07]],-1)-1),"")</f>
        <v>45803</v>
      </c>
      <c r="Y2193" s="10" t="str">
        <f ca="1">IF(reading[[#This Row],[Next]]&lt;&gt;"",IF(reading[[#This Row],[Next]]&gt;TODAY(),"OK",""),"")</f>
        <v/>
      </c>
      <c r="Z2193" s="13">
        <v>3</v>
      </c>
      <c r="AA2193" s="13">
        <v>3</v>
      </c>
      <c r="AB2193" s="13">
        <v>3</v>
      </c>
      <c r="AC2193" s="13">
        <v>3</v>
      </c>
      <c r="AD2193" s="13">
        <v>2</v>
      </c>
      <c r="AE2193" s="13">
        <v>3</v>
      </c>
      <c r="AF2193" s="13"/>
      <c r="AG2193" s="16">
        <f>IFERROR(SUMIF(reading[[#This Row],[1st]:[7th]],"&gt;0")/COUNTIF(reading[[#This Row],[1st]:[7th]],"&gt;0"),"")</f>
        <v>2.8333333333333335</v>
      </c>
    </row>
    <row r="2194" spans="1:33" hidden="1" x14ac:dyDescent="0.2">
      <c r="A2194" s="4">
        <f>IF(B2194=1,3,IF(D2194=1,2,IF(F2194=1,1,0)))</f>
        <v>0</v>
      </c>
      <c r="B2194" s="4" t="str">
        <f>IF(C2194=$L2194,1,IF(C2194="","",0))</f>
        <v/>
      </c>
      <c r="C2194" s="42"/>
      <c r="D2194" s="4" t="str">
        <f>IF(E2194=$L2194,1,IF(E2194="","",0))</f>
        <v/>
      </c>
      <c r="E2194" s="43"/>
      <c r="F2194" s="4" t="str">
        <f>IF(G2194=$L2194,1,IF(G2194="","",0))</f>
        <v/>
      </c>
      <c r="G2194" s="14"/>
      <c r="H2194" s="6">
        <v>2019</v>
      </c>
      <c r="I2194" s="15" t="s">
        <v>3120</v>
      </c>
      <c r="J2194" s="6" t="s">
        <v>5116</v>
      </c>
      <c r="K2194" s="6"/>
      <c r="L2194" s="6" t="s">
        <v>2094</v>
      </c>
      <c r="M2194" s="6" t="s">
        <v>8125</v>
      </c>
      <c r="N2194" s="7">
        <f ca="1">RAND()</f>
        <v>0.97219039153044573</v>
      </c>
      <c r="O2194" s="8">
        <v>45213</v>
      </c>
      <c r="P2194" s="8">
        <v>45214</v>
      </c>
      <c r="Q2194" s="8">
        <v>45216</v>
      </c>
      <c r="R2194" s="8">
        <v>45220</v>
      </c>
      <c r="S2194" s="8">
        <v>45227</v>
      </c>
      <c r="T2194" s="8">
        <v>45252</v>
      </c>
      <c r="U2194" s="8">
        <v>45816</v>
      </c>
      <c r="V2194" s="10">
        <f>COUNTA(O2194:U2194)</f>
        <v>7</v>
      </c>
      <c r="W2194" s="11">
        <f>_xlfn.IFNA(INDEX(reading[[#This Row],[Memo 01]:[Memo 07]],MATCH(0,reading[[#This Row],[Memo 01]:[Memo 07]],-1)),"")</f>
        <v>45816</v>
      </c>
      <c r="X2194" s="11">
        <f ca="1">IFERROR(reading[[#This Row],[Previous]]+OFFSET(reading[[#Headers],[Memo 01]],-1,MATCH(0,reading[[#This Row],[Memo 01]:[Memo 07]],-1)-1),"")</f>
        <v>55816</v>
      </c>
      <c r="Y2194" s="10" t="str">
        <f ca="1">IF(reading[[#This Row],[Next]]&lt;&gt;"",IF(reading[[#This Row],[Next]]&gt;TODAY(),"OK",""),"")</f>
        <v>OK</v>
      </c>
      <c r="Z2194" s="13">
        <v>3</v>
      </c>
      <c r="AA2194" s="13">
        <v>3</v>
      </c>
      <c r="AB2194" s="13">
        <v>2</v>
      </c>
      <c r="AC2194" s="13">
        <v>2</v>
      </c>
      <c r="AD2194" s="13">
        <v>3</v>
      </c>
      <c r="AE2194" s="13">
        <v>2</v>
      </c>
      <c r="AF2194" s="13">
        <v>2</v>
      </c>
      <c r="AG2194" s="16">
        <f>IFERROR(SUMIF(reading[[#This Row],[1st]:[7th]],"&gt;0")/COUNTIF(reading[[#This Row],[1st]:[7th]],"&gt;0"),"")</f>
        <v>2.4285714285714284</v>
      </c>
    </row>
    <row r="2195" spans="1:33" x14ac:dyDescent="0.2">
      <c r="A2195" s="4">
        <f>IF(B2195=1,3,IF(D2195=1,2,IF(F2195=1,1,0)))</f>
        <v>0</v>
      </c>
      <c r="B2195" s="4" t="str">
        <f>IF(C2195=$L2195,1,IF(C2195="","",0))</f>
        <v/>
      </c>
      <c r="C2195" s="39"/>
      <c r="D2195" s="4" t="str">
        <f>IF(E2195=$L2195,1,IF(E2195="","",0))</f>
        <v/>
      </c>
      <c r="E2195" s="18"/>
      <c r="F2195" s="4" t="str">
        <f>IF(G2195=$L2195,1,IF(G2195="","",0))</f>
        <v/>
      </c>
      <c r="G2195" s="14"/>
      <c r="H2195" s="6">
        <v>903</v>
      </c>
      <c r="I2195" s="15" t="s">
        <v>3120</v>
      </c>
      <c r="J2195" s="6" t="s">
        <v>4035</v>
      </c>
      <c r="K2195" s="6"/>
      <c r="L2195" s="6" t="s">
        <v>1016</v>
      </c>
      <c r="M2195" s="6" t="s">
        <v>7012</v>
      </c>
      <c r="N2195" s="7">
        <f ca="1">RAND()</f>
        <v>0.96142767012679875</v>
      </c>
      <c r="O2195" s="8">
        <v>45204</v>
      </c>
      <c r="P2195" s="8">
        <v>45205</v>
      </c>
      <c r="Q2195" s="8">
        <v>45207</v>
      </c>
      <c r="R2195" s="8">
        <v>45211</v>
      </c>
      <c r="S2195" s="8">
        <v>45218</v>
      </c>
      <c r="T2195" s="8">
        <v>45230</v>
      </c>
      <c r="U2195" s="8"/>
      <c r="V2195" s="10">
        <f>COUNTA(O2195:U2195)</f>
        <v>6</v>
      </c>
      <c r="W2195" s="11">
        <f>_xlfn.IFNA(INDEX(reading[[#This Row],[Memo 01]:[Memo 07]],MATCH(0,reading[[#This Row],[Memo 01]:[Memo 07]],-1)),"")</f>
        <v>45230</v>
      </c>
      <c r="X2195" s="11">
        <f ca="1">IFERROR(reading[[#This Row],[Previous]]+OFFSET(reading[[#Headers],[Memo 01]],-1,MATCH(0,reading[[#This Row],[Memo 01]:[Memo 07]],-1)-1),"")</f>
        <v>45250</v>
      </c>
      <c r="Y2195" s="10" t="str">
        <f ca="1">IF(reading[[#This Row],[Next]]&lt;&gt;"",IF(reading[[#This Row],[Next]]&gt;TODAY(),"OK",""),"")</f>
        <v/>
      </c>
      <c r="Z2195" s="13">
        <v>3</v>
      </c>
      <c r="AA2195" s="13">
        <v>3</v>
      </c>
      <c r="AB2195" s="13">
        <v>2</v>
      </c>
      <c r="AC2195" s="13">
        <v>3</v>
      </c>
      <c r="AD2195" s="13">
        <v>3</v>
      </c>
      <c r="AE2195" s="13">
        <v>3</v>
      </c>
      <c r="AF2195" s="13"/>
      <c r="AG2195" s="16">
        <f>IFERROR(SUMIF(reading[[#This Row],[1st]:[7th]],"&gt;0")/COUNTIF(reading[[#This Row],[1st]:[7th]],"&gt;0"),"")</f>
        <v>2.8333333333333335</v>
      </c>
    </row>
    <row r="2196" spans="1:33" x14ac:dyDescent="0.2">
      <c r="A2196" s="4">
        <f>IF(B2196=1,3,IF(D2196=1,2,IF(F2196=1,1,0)))</f>
        <v>0</v>
      </c>
      <c r="B2196" s="4" t="str">
        <f>IF(C2196=$L2196,1,IF(C2196="","",0))</f>
        <v/>
      </c>
      <c r="C2196" s="42"/>
      <c r="D2196" s="4" t="str">
        <f>IF(E2196=$L2196,1,IF(E2196="","",0))</f>
        <v/>
      </c>
      <c r="E2196" s="14"/>
      <c r="F2196" s="4" t="str">
        <f>IF(G2196=$L2196,1,IF(G2196="","",0))</f>
        <v/>
      </c>
      <c r="G2196" s="14"/>
      <c r="H2196" s="6">
        <v>2932</v>
      </c>
      <c r="I2196" s="15" t="s">
        <v>3120</v>
      </c>
      <c r="J2196" s="6" t="s">
        <v>5967</v>
      </c>
      <c r="K2196" s="6"/>
      <c r="L2196" s="6" t="s">
        <v>2962</v>
      </c>
      <c r="M2196" s="6" t="s">
        <v>9036</v>
      </c>
      <c r="N2196" s="7">
        <f ca="1">RAND()</f>
        <v>0.59287253641664739</v>
      </c>
      <c r="O2196" s="8">
        <v>45223</v>
      </c>
      <c r="P2196" s="8">
        <v>45224</v>
      </c>
      <c r="Q2196" s="8">
        <v>45226</v>
      </c>
      <c r="R2196" s="8">
        <v>45230</v>
      </c>
      <c r="S2196" s="8">
        <v>45237</v>
      </c>
      <c r="T2196" s="8">
        <v>45792</v>
      </c>
      <c r="U2196" s="8"/>
      <c r="V2196" s="10">
        <f>COUNTA(O2196:U2196)</f>
        <v>6</v>
      </c>
      <c r="W2196" s="11">
        <f>_xlfn.IFNA(INDEX(reading[[#This Row],[Memo 01]:[Memo 07]],MATCH(0,reading[[#This Row],[Memo 01]:[Memo 07]],-1)),"")</f>
        <v>45792</v>
      </c>
      <c r="X2196" s="11">
        <f ca="1">IFERROR(reading[[#This Row],[Previous]]+OFFSET(reading[[#Headers],[Memo 01]],-1,MATCH(0,reading[[#This Row],[Memo 01]:[Memo 07]],-1)-1),"")</f>
        <v>45812</v>
      </c>
      <c r="Y2196" s="10" t="str">
        <f ca="1">IF(reading[[#This Row],[Next]]&lt;&gt;"",IF(reading[[#This Row],[Next]]&gt;TODAY(),"OK",""),"")</f>
        <v/>
      </c>
      <c r="Z2196" s="13">
        <v>3</v>
      </c>
      <c r="AA2196" s="13">
        <v>3</v>
      </c>
      <c r="AB2196" s="13">
        <v>3</v>
      </c>
      <c r="AC2196" s="13">
        <v>3</v>
      </c>
      <c r="AD2196" s="13">
        <v>3</v>
      </c>
      <c r="AE2196" s="13">
        <v>3</v>
      </c>
      <c r="AF2196" s="13"/>
      <c r="AG2196" s="16">
        <f>IFERROR(SUMIF(reading[[#This Row],[1st]:[7th]],"&gt;0")/COUNTIF(reading[[#This Row],[1st]:[7th]],"&gt;0"),"")</f>
        <v>3</v>
      </c>
    </row>
    <row r="2197" spans="1:33" x14ac:dyDescent="0.2">
      <c r="A2197" s="4">
        <f>IF(B2197=1,3,IF(D2197=1,2,IF(F2197=1,1,0)))</f>
        <v>0</v>
      </c>
      <c r="B2197" s="4" t="str">
        <f>IF(C2197=$L2197,1,IF(C2197="","",0))</f>
        <v/>
      </c>
      <c r="C2197" s="38"/>
      <c r="D2197" s="4" t="str">
        <f>IF(E2197=$L2197,1,IF(E2197="","",0))</f>
        <v/>
      </c>
      <c r="E2197" s="14"/>
      <c r="F2197" s="4" t="str">
        <f>IF(G2197=$L2197,1,IF(G2197="","",0))</f>
        <v/>
      </c>
      <c r="G2197" s="14"/>
      <c r="H2197" s="6">
        <v>772</v>
      </c>
      <c r="I2197" s="15" t="s">
        <v>3120</v>
      </c>
      <c r="J2197" s="6" t="s">
        <v>3907</v>
      </c>
      <c r="K2197" s="6"/>
      <c r="L2197" s="6" t="s">
        <v>891</v>
      </c>
      <c r="M2197" s="6" t="s">
        <v>6881</v>
      </c>
      <c r="N2197" s="7">
        <f ca="1">RAND()</f>
        <v>0.26784701579530501</v>
      </c>
      <c r="O2197" s="8">
        <v>45203</v>
      </c>
      <c r="P2197" s="8">
        <v>45204</v>
      </c>
      <c r="Q2197" s="8">
        <v>45206</v>
      </c>
      <c r="R2197" s="8">
        <v>45210</v>
      </c>
      <c r="S2197" s="8">
        <v>45217</v>
      </c>
      <c r="T2197" s="8">
        <v>45229</v>
      </c>
      <c r="U2197" s="8"/>
      <c r="V2197" s="10">
        <f>COUNTA(O2197:U2197)</f>
        <v>6</v>
      </c>
      <c r="W2197" s="11">
        <f>_xlfn.IFNA(INDEX(reading[[#This Row],[Memo 01]:[Memo 07]],MATCH(0,reading[[#This Row],[Memo 01]:[Memo 07]],-1)),"")</f>
        <v>45229</v>
      </c>
      <c r="X2197" s="11">
        <f ca="1">IFERROR(reading[[#This Row],[Previous]]+OFFSET(reading[[#Headers],[Memo 01]],-1,MATCH(0,reading[[#This Row],[Memo 01]:[Memo 07]],-1)-1),"")</f>
        <v>45249</v>
      </c>
      <c r="Y2197" s="10" t="str">
        <f ca="1">IF(reading[[#This Row],[Next]]&lt;&gt;"",IF(reading[[#This Row],[Next]]&gt;TODAY(),"OK",""),"")</f>
        <v/>
      </c>
      <c r="Z2197" s="13">
        <v>3</v>
      </c>
      <c r="AA2197" s="13">
        <v>3</v>
      </c>
      <c r="AB2197" s="13">
        <v>3</v>
      </c>
      <c r="AC2197" s="13">
        <v>3</v>
      </c>
      <c r="AD2197" s="13">
        <v>3</v>
      </c>
      <c r="AE2197" s="13">
        <v>3</v>
      </c>
      <c r="AF2197" s="13"/>
      <c r="AG2197" s="16">
        <f>IFERROR(SUMIF(reading[[#This Row],[1st]:[7th]],"&gt;0")/COUNTIF(reading[[#This Row],[1st]:[7th]],"&gt;0"),"")</f>
        <v>3</v>
      </c>
    </row>
    <row r="2198" spans="1:33" x14ac:dyDescent="0.2">
      <c r="A2198" s="4">
        <f>IF(B2198=1,3,IF(D2198=1,2,IF(F2198=1,1,0)))</f>
        <v>0</v>
      </c>
      <c r="B2198" s="4" t="str">
        <f>IF(C2198=$L2198,1,IF(C2198="","",0))</f>
        <v/>
      </c>
      <c r="C2198" s="39"/>
      <c r="D2198" s="4" t="str">
        <f>IF(E2198=$L2198,1,IF(E2198="","",0))</f>
        <v/>
      </c>
      <c r="E2198" s="14"/>
      <c r="F2198" s="4" t="str">
        <f>IF(G2198=$L2198,1,IF(G2198="","",0))</f>
        <v/>
      </c>
      <c r="G2198" s="14"/>
      <c r="H2198" s="6">
        <v>2761</v>
      </c>
      <c r="I2198" s="15" t="s">
        <v>3120</v>
      </c>
      <c r="J2198" s="6" t="s">
        <v>5806</v>
      </c>
      <c r="K2198" s="6"/>
      <c r="L2198" s="6" t="s">
        <v>2799</v>
      </c>
      <c r="M2198" s="6" t="s">
        <v>8865</v>
      </c>
      <c r="N2198" s="7">
        <f ca="1">RAND()</f>
        <v>0.4611836623173502</v>
      </c>
      <c r="O2198" s="8">
        <v>45221</v>
      </c>
      <c r="P2198" s="8">
        <v>45222</v>
      </c>
      <c r="Q2198" s="8">
        <v>45224</v>
      </c>
      <c r="R2198" s="8">
        <v>45228</v>
      </c>
      <c r="S2198" s="8">
        <v>45235</v>
      </c>
      <c r="T2198" s="8"/>
      <c r="U2198" s="8"/>
      <c r="V2198" s="10">
        <f>COUNTA(O2198:U2198)</f>
        <v>5</v>
      </c>
      <c r="W2198" s="11">
        <f>_xlfn.IFNA(INDEX(reading[[#This Row],[Memo 01]:[Memo 07]],MATCH(0,reading[[#This Row],[Memo 01]:[Memo 07]],-1)),"")</f>
        <v>45235</v>
      </c>
      <c r="X2198" s="11">
        <f ca="1">IFERROR(reading[[#This Row],[Previous]]+OFFSET(reading[[#Headers],[Memo 01]],-1,MATCH(0,reading[[#This Row],[Memo 01]:[Memo 07]],-1)-1),"")</f>
        <v>45247</v>
      </c>
      <c r="Y2198" s="10" t="str">
        <f ca="1">IF(reading[[#This Row],[Next]]&lt;&gt;"",IF(reading[[#This Row],[Next]]&gt;TODAY(),"OK",""),"")</f>
        <v/>
      </c>
      <c r="Z2198" s="13">
        <v>3</v>
      </c>
      <c r="AA2198" s="13">
        <v>3</v>
      </c>
      <c r="AB2198" s="13">
        <v>3</v>
      </c>
      <c r="AC2198" s="13">
        <v>3</v>
      </c>
      <c r="AD2198" s="13">
        <v>3</v>
      </c>
      <c r="AE2198" s="13"/>
      <c r="AF2198" s="13"/>
      <c r="AG2198" s="16">
        <f>IFERROR(SUMIF(reading[[#This Row],[1st]:[7th]],"&gt;0")/COUNTIF(reading[[#This Row],[1st]:[7th]],"&gt;0"),"")</f>
        <v>3</v>
      </c>
    </row>
    <row r="2199" spans="1:33" x14ac:dyDescent="0.2">
      <c r="A2199" s="4">
        <f>IF(B2199=1,3,IF(D2199=1,2,IF(F2199=1,1,0)))</f>
        <v>0</v>
      </c>
      <c r="B2199" s="4" t="str">
        <f>IF(C2199=$L2199,1,IF(C2199="","",0))</f>
        <v/>
      </c>
      <c r="C2199" s="39"/>
      <c r="D2199" s="4" t="str">
        <f>IF(E2199=$L2199,1,IF(E2199="","",0))</f>
        <v/>
      </c>
      <c r="E2199" s="18"/>
      <c r="F2199" s="4" t="str">
        <f>IF(G2199=$L2199,1,IF(G2199="","",0))</f>
        <v/>
      </c>
      <c r="G2199" s="14"/>
      <c r="H2199" s="6">
        <v>2602</v>
      </c>
      <c r="I2199" s="15" t="s">
        <v>3120</v>
      </c>
      <c r="J2199" s="6" t="s">
        <v>5659</v>
      </c>
      <c r="K2199" s="6"/>
      <c r="L2199" s="6" t="s">
        <v>2645</v>
      </c>
      <c r="M2199" s="6" t="s">
        <v>8707</v>
      </c>
      <c r="N2199" s="7">
        <f ca="1">RAND()</f>
        <v>0.56217273298777359</v>
      </c>
      <c r="O2199" s="8">
        <v>45220</v>
      </c>
      <c r="P2199" s="8">
        <v>45221</v>
      </c>
      <c r="Q2199" s="8">
        <v>45223</v>
      </c>
      <c r="R2199" s="8">
        <v>45227</v>
      </c>
      <c r="S2199" s="8">
        <v>45234</v>
      </c>
      <c r="T2199" s="8"/>
      <c r="U2199" s="8"/>
      <c r="V2199" s="10">
        <f>COUNTA(O2199:U2199)</f>
        <v>5</v>
      </c>
      <c r="W2199" s="11">
        <f>_xlfn.IFNA(INDEX(reading[[#This Row],[Memo 01]:[Memo 07]],MATCH(0,reading[[#This Row],[Memo 01]:[Memo 07]],-1)),"")</f>
        <v>45234</v>
      </c>
      <c r="X2199" s="11">
        <f ca="1">IFERROR(reading[[#This Row],[Previous]]+OFFSET(reading[[#Headers],[Memo 01]],-1,MATCH(0,reading[[#This Row],[Memo 01]:[Memo 07]],-1)-1),"")</f>
        <v>45246</v>
      </c>
      <c r="Y2199" s="10" t="str">
        <f ca="1">IF(reading[[#This Row],[Next]]&lt;&gt;"",IF(reading[[#This Row],[Next]]&gt;TODAY(),"OK",""),"")</f>
        <v/>
      </c>
      <c r="Z2199" s="13">
        <v>3</v>
      </c>
      <c r="AA2199" s="13">
        <v>3</v>
      </c>
      <c r="AB2199" s="13">
        <v>3</v>
      </c>
      <c r="AC2199" s="13">
        <v>2</v>
      </c>
      <c r="AD2199" s="13">
        <v>3</v>
      </c>
      <c r="AE2199" s="13"/>
      <c r="AF2199" s="13"/>
      <c r="AG2199" s="16">
        <f>IFERROR(SUMIF(reading[[#This Row],[1st]:[7th]],"&gt;0")/COUNTIF(reading[[#This Row],[1st]:[7th]],"&gt;0"),"")</f>
        <v>2.8</v>
      </c>
    </row>
    <row r="2200" spans="1:33" hidden="1" x14ac:dyDescent="0.2">
      <c r="A2200" s="4">
        <f>IF(B2200=1,3,IF(D2200=1,2,IF(F2200=1,1,0)))</f>
        <v>0</v>
      </c>
      <c r="B2200" s="4" t="str">
        <f>IF(C2200=$L2200,1,IF(C2200="","",0))</f>
        <v/>
      </c>
      <c r="C2200" s="42"/>
      <c r="D2200" s="4" t="str">
        <f>IF(E2200=$L2200,1,IF(E2200="","",0))</f>
        <v/>
      </c>
      <c r="E2200" s="18"/>
      <c r="F2200" s="4" t="str">
        <f>IF(G2200=$L2200,1,IF(G2200="","",0))</f>
        <v/>
      </c>
      <c r="G2200" s="14"/>
      <c r="H2200" s="6">
        <v>246</v>
      </c>
      <c r="I2200" s="15" t="s">
        <v>3120</v>
      </c>
      <c r="J2200" s="6" t="s">
        <v>3395</v>
      </c>
      <c r="K2200" s="15" t="s">
        <v>3139</v>
      </c>
      <c r="L2200" s="6" t="s">
        <v>381</v>
      </c>
      <c r="M2200" s="6" t="s">
        <v>6355</v>
      </c>
      <c r="N2200" s="7">
        <f ca="1">RAND()</f>
        <v>0.1944856390281483</v>
      </c>
      <c r="O2200" s="8">
        <v>45200</v>
      </c>
      <c r="P2200" s="8">
        <v>45201</v>
      </c>
      <c r="Q2200" s="8">
        <v>45203</v>
      </c>
      <c r="R2200" s="8">
        <v>45207</v>
      </c>
      <c r="S2200" s="8">
        <v>45214</v>
      </c>
      <c r="T2200" s="8">
        <v>45226</v>
      </c>
      <c r="U2200" s="8">
        <v>45253</v>
      </c>
      <c r="V2200" s="10">
        <f>COUNTA(O2200:U2200)</f>
        <v>7</v>
      </c>
      <c r="W2200" s="11">
        <f>_xlfn.IFNA(INDEX(reading[[#This Row],[Memo 01]:[Memo 07]],MATCH(0,reading[[#This Row],[Memo 01]:[Memo 07]],-1)),"")</f>
        <v>45253</v>
      </c>
      <c r="X2200" s="11">
        <f ca="1">IFERROR(reading[[#This Row],[Previous]]+OFFSET(reading[[#Headers],[Memo 01]],-1,MATCH(0,reading[[#This Row],[Memo 01]:[Memo 07]],-1)-1),"")</f>
        <v>55253</v>
      </c>
      <c r="Y2200" s="10" t="str">
        <f ca="1">IF(reading[[#This Row],[Next]]&lt;&gt;"",IF(reading[[#This Row],[Next]]&gt;TODAY(),"OK",""),"")</f>
        <v>OK</v>
      </c>
      <c r="Z2200" s="13">
        <v>2</v>
      </c>
      <c r="AA2200" s="13">
        <v>3</v>
      </c>
      <c r="AB2200" s="13">
        <v>3</v>
      </c>
      <c r="AC2200" s="13">
        <v>3</v>
      </c>
      <c r="AD2200" s="13">
        <v>3</v>
      </c>
      <c r="AE2200" s="13">
        <v>2</v>
      </c>
      <c r="AF2200" s="13">
        <v>2</v>
      </c>
      <c r="AG2200" s="16">
        <f>IFERROR(SUMIF(reading[[#This Row],[1st]:[7th]],"&gt;0")/COUNTIF(reading[[#This Row],[1st]:[7th]],"&gt;0"),"")</f>
        <v>2.5714285714285716</v>
      </c>
    </row>
    <row r="2201" spans="1:33" hidden="1" x14ac:dyDescent="0.2">
      <c r="A2201" s="4">
        <f>IF(B2201=1,3,IF(D2201=1,2,IF(F2201=1,1,0)))</f>
        <v>0</v>
      </c>
      <c r="B2201" s="4">
        <f>IF(C2201=$L2201,1,IF(C2201="","",0))</f>
        <v>0</v>
      </c>
      <c r="C2201" s="42" t="s">
        <v>9200</v>
      </c>
      <c r="D2201" s="4" t="str">
        <f>IF(E2201=$L2201,1,IF(E2201="","",0))</f>
        <v/>
      </c>
      <c r="E2201" s="18"/>
      <c r="F2201" s="4" t="str">
        <f>IF(G2201=$L2201,1,IF(G2201="","",0))</f>
        <v/>
      </c>
      <c r="G2201" s="14"/>
      <c r="H2201" s="6">
        <v>2440</v>
      </c>
      <c r="I2201" s="15" t="s">
        <v>3120</v>
      </c>
      <c r="J2201" s="6" t="s">
        <v>5510</v>
      </c>
      <c r="K2201" s="6"/>
      <c r="L2201" s="6" t="s">
        <v>2490</v>
      </c>
      <c r="M2201" s="6" t="s">
        <v>8545</v>
      </c>
      <c r="N2201" s="7">
        <f ca="1">RAND()</f>
        <v>0.34481189380635302</v>
      </c>
      <c r="O2201" s="8">
        <v>45217</v>
      </c>
      <c r="P2201" s="8">
        <v>45218</v>
      </c>
      <c r="Q2201" s="8">
        <v>45220</v>
      </c>
      <c r="R2201" s="8">
        <v>45224</v>
      </c>
      <c r="S2201" s="8">
        <v>45232</v>
      </c>
      <c r="T2201" s="8">
        <v>45252</v>
      </c>
      <c r="U2201" s="8"/>
      <c r="V2201" s="10">
        <f>COUNTA(O2201:U2201)</f>
        <v>6</v>
      </c>
      <c r="W2201" s="11">
        <f>_xlfn.IFNA(INDEX(reading[[#This Row],[Memo 01]:[Memo 07]],MATCH(0,reading[[#This Row],[Memo 01]:[Memo 07]],-1)),"")</f>
        <v>45252</v>
      </c>
      <c r="X2201" s="11">
        <f ca="1">IFERROR(reading[[#This Row],[Previous]]+OFFSET(reading[[#Headers],[Memo 01]],-1,MATCH(0,reading[[#This Row],[Memo 01]:[Memo 07]],-1)-1),"")</f>
        <v>45272</v>
      </c>
      <c r="Y2201" s="10" t="str">
        <f ca="1">IF(reading[[#This Row],[Next]]&lt;&gt;"",IF(reading[[#This Row],[Next]]&gt;TODAY(),"OK",""),"")</f>
        <v/>
      </c>
      <c r="Z2201" s="13">
        <v>3</v>
      </c>
      <c r="AA2201" s="13">
        <v>3</v>
      </c>
      <c r="AB2201" s="13">
        <v>3</v>
      </c>
      <c r="AC2201" s="13">
        <v>3</v>
      </c>
      <c r="AD2201" s="13">
        <v>1</v>
      </c>
      <c r="AE2201" s="13">
        <v>2</v>
      </c>
      <c r="AF2201" s="13"/>
      <c r="AG2201" s="16">
        <f>IFERROR(SUMIF(reading[[#This Row],[1st]:[7th]],"&gt;0")/COUNTIF(reading[[#This Row],[1st]:[7th]],"&gt;0"),"")</f>
        <v>2.5</v>
      </c>
    </row>
    <row r="2202" spans="1:33" hidden="1" x14ac:dyDescent="0.2">
      <c r="A2202" s="4">
        <f>IF(B2202=1,3,IF(D2202=1,2,IF(F2202=1,1,0)))</f>
        <v>0</v>
      </c>
      <c r="B2202" s="4" t="str">
        <f>IF(C2202=$L2202,1,IF(C2202="","",0))</f>
        <v/>
      </c>
      <c r="C2202" s="42"/>
      <c r="D2202" s="4" t="str">
        <f>IF(E2202=$L2202,1,IF(E2202="","",0))</f>
        <v/>
      </c>
      <c r="E2202" s="43"/>
      <c r="F2202" s="4" t="str">
        <f>IF(G2202=$L2202,1,IF(G2202="","",0))</f>
        <v/>
      </c>
      <c r="G2202" s="14"/>
      <c r="H2202" s="6">
        <v>2576</v>
      </c>
      <c r="I2202" s="15" t="s">
        <v>3120</v>
      </c>
      <c r="J2202" s="6" t="s">
        <v>5636</v>
      </c>
      <c r="K2202" s="6"/>
      <c r="L2202" s="6" t="s">
        <v>2620</v>
      </c>
      <c r="M2202" s="6" t="s">
        <v>8681</v>
      </c>
      <c r="N2202" s="7">
        <f ca="1">RAND()</f>
        <v>0.26742338611761007</v>
      </c>
      <c r="O2202" s="8">
        <v>45219</v>
      </c>
      <c r="P2202" s="8">
        <v>45220</v>
      </c>
      <c r="Q2202" s="8">
        <v>45222</v>
      </c>
      <c r="R2202" s="8">
        <v>45226</v>
      </c>
      <c r="S2202" s="8">
        <v>45233</v>
      </c>
      <c r="T2202" s="8">
        <v>45825</v>
      </c>
      <c r="U2202" s="8"/>
      <c r="V2202" s="10">
        <f>COUNTA(O2202:U2202)</f>
        <v>6</v>
      </c>
      <c r="W2202" s="11">
        <f>_xlfn.IFNA(INDEX(reading[[#This Row],[Memo 01]:[Memo 07]],MATCH(0,reading[[#This Row],[Memo 01]:[Memo 07]],-1)),"")</f>
        <v>45825</v>
      </c>
      <c r="X2202" s="11">
        <f ca="1">IFERROR(reading[[#This Row],[Previous]]+OFFSET(reading[[#Headers],[Memo 01]],-1,MATCH(0,reading[[#This Row],[Memo 01]:[Memo 07]],-1)-1),"")</f>
        <v>45845</v>
      </c>
      <c r="Y2202" s="10" t="str">
        <f ca="1">IF(reading[[#This Row],[Next]]&lt;&gt;"",IF(reading[[#This Row],[Next]]&gt;TODAY(),"OK",""),"")</f>
        <v>OK</v>
      </c>
      <c r="Z2202" s="13">
        <v>3</v>
      </c>
      <c r="AA2202" s="13">
        <v>3</v>
      </c>
      <c r="AB2202" s="13">
        <v>2</v>
      </c>
      <c r="AC2202" s="13">
        <v>3</v>
      </c>
      <c r="AD2202" s="13">
        <v>3</v>
      </c>
      <c r="AE2202" s="13">
        <v>2</v>
      </c>
      <c r="AF2202" s="13"/>
      <c r="AG2202" s="16">
        <f>IFERROR(SUMIF(reading[[#This Row],[1st]:[7th]],"&gt;0")/COUNTIF(reading[[#This Row],[1st]:[7th]],"&gt;0"),"")</f>
        <v>2.6666666666666665</v>
      </c>
    </row>
    <row r="2203" spans="1:33" hidden="1" x14ac:dyDescent="0.2">
      <c r="A2203" s="4">
        <f>IF(B2203=1,3,IF(D2203=1,2,IF(F2203=1,1,0)))</f>
        <v>3</v>
      </c>
      <c r="B2203" s="4">
        <f>IF(C2203=$L2203,1,IF(C2203="","",0))</f>
        <v>1</v>
      </c>
      <c r="C2203" s="34" t="s">
        <v>2270</v>
      </c>
      <c r="D2203" s="4" t="str">
        <f>IF(E2203=$L2203,1,IF(E2203="","",0))</f>
        <v/>
      </c>
      <c r="E2203" s="14"/>
      <c r="F2203" s="4" t="str">
        <f>IF(G2203=$L2203,1,IF(G2203="","",0))</f>
        <v/>
      </c>
      <c r="G2203" s="14"/>
      <c r="H2203" s="6">
        <v>2207</v>
      </c>
      <c r="I2203" s="15" t="s">
        <v>3120</v>
      </c>
      <c r="J2203" s="6" t="s">
        <v>5293</v>
      </c>
      <c r="K2203" s="6"/>
      <c r="L2203" s="6" t="s">
        <v>2270</v>
      </c>
      <c r="M2203" s="6" t="s">
        <v>8313</v>
      </c>
      <c r="N2203" s="7">
        <f ca="1">RAND()</f>
        <v>0.23315155035033341</v>
      </c>
      <c r="O2203" s="8">
        <v>45215</v>
      </c>
      <c r="P2203" s="8">
        <v>45215</v>
      </c>
      <c r="Q2203" s="8">
        <v>45215</v>
      </c>
      <c r="R2203" s="8">
        <v>45215</v>
      </c>
      <c r="S2203" s="8">
        <v>45215</v>
      </c>
      <c r="T2203" s="8">
        <v>45215</v>
      </c>
      <c r="U2203" s="8">
        <v>45215</v>
      </c>
      <c r="V2203" s="10">
        <f>COUNTA(O2203:U2203)</f>
        <v>7</v>
      </c>
      <c r="W2203" s="11">
        <f>_xlfn.IFNA(INDEX(reading[[#This Row],[Memo 01]:[Memo 07]],MATCH(0,reading[[#This Row],[Memo 01]:[Memo 07]],-1)),"")</f>
        <v>45215</v>
      </c>
      <c r="X2203" s="11">
        <f ca="1">IFERROR(reading[[#This Row],[Previous]]+OFFSET(reading[[#Headers],[Memo 01]],-1,MATCH(0,reading[[#This Row],[Memo 01]:[Memo 07]],-1)-1),"")</f>
        <v>55215</v>
      </c>
      <c r="Y2203" s="10" t="str">
        <f ca="1">IF(reading[[#This Row],[Next]]&lt;&gt;"",IF(reading[[#This Row],[Next]]&gt;TODAY(),"OK",""),"")</f>
        <v>OK</v>
      </c>
      <c r="Z2203" s="13">
        <v>3</v>
      </c>
      <c r="AA2203" s="13"/>
      <c r="AB2203" s="13"/>
      <c r="AC2203" s="13"/>
      <c r="AD2203" s="13"/>
      <c r="AE2203" s="13"/>
      <c r="AF2203" s="13"/>
      <c r="AG2203" s="16">
        <f>IFERROR(SUMIF(reading[[#This Row],[1st]:[7th]],"&gt;0")/COUNTIF(reading[[#This Row],[1st]:[7th]],"&gt;0"),"")</f>
        <v>3</v>
      </c>
    </row>
    <row r="2204" spans="1:33" hidden="1" x14ac:dyDescent="0.2">
      <c r="A2204" s="4">
        <f>IF(B2204=1,3,IF(D2204=1,2,IF(F2204=1,1,0)))</f>
        <v>0</v>
      </c>
      <c r="B2204" s="4" t="str">
        <f>IF(C2204=$L2204,1,IF(C2204="","",0))</f>
        <v/>
      </c>
      <c r="C2204" s="42"/>
      <c r="D2204" s="4" t="str">
        <f>IF(E2204=$L2204,1,IF(E2204="","",0))</f>
        <v/>
      </c>
      <c r="E2204" s="23"/>
      <c r="F2204" s="4" t="str">
        <f>IF(G2204=$L2204,1,IF(G2204="","",0))</f>
        <v/>
      </c>
      <c r="G2204" s="14"/>
      <c r="H2204" s="6">
        <v>2886</v>
      </c>
      <c r="I2204" s="15" t="s">
        <v>3120</v>
      </c>
      <c r="J2204" s="6" t="s">
        <v>5923</v>
      </c>
      <c r="K2204" s="6"/>
      <c r="L2204" s="6" t="s">
        <v>2917</v>
      </c>
      <c r="M2204" s="6" t="s">
        <v>8990</v>
      </c>
      <c r="N2204" s="7">
        <f ca="1">RAND()</f>
        <v>0.96558105786296922</v>
      </c>
      <c r="O2204" s="8">
        <v>45222</v>
      </c>
      <c r="P2204" s="8">
        <v>45223</v>
      </c>
      <c r="Q2204" s="8">
        <v>45225</v>
      </c>
      <c r="R2204" s="8">
        <v>45229</v>
      </c>
      <c r="S2204" s="8">
        <v>45236</v>
      </c>
      <c r="T2204" s="8">
        <v>45825</v>
      </c>
      <c r="U2204" s="8"/>
      <c r="V2204" s="10">
        <f>COUNTA(O2204:U2204)</f>
        <v>6</v>
      </c>
      <c r="W2204" s="11">
        <f>_xlfn.IFNA(INDEX(reading[[#This Row],[Memo 01]:[Memo 07]],MATCH(0,reading[[#This Row],[Memo 01]:[Memo 07]],-1)),"")</f>
        <v>45825</v>
      </c>
      <c r="X2204" s="11">
        <f ca="1">IFERROR(reading[[#This Row],[Previous]]+OFFSET(reading[[#Headers],[Memo 01]],-1,MATCH(0,reading[[#This Row],[Memo 01]:[Memo 07]],-1)-1),"")</f>
        <v>45845</v>
      </c>
      <c r="Y2204" s="10" t="str">
        <f ca="1">IF(reading[[#This Row],[Next]]&lt;&gt;"",IF(reading[[#This Row],[Next]]&gt;TODAY(),"OK",""),"")</f>
        <v>OK</v>
      </c>
      <c r="Z2204" s="13">
        <v>3</v>
      </c>
      <c r="AA2204" s="13">
        <v>3</v>
      </c>
      <c r="AB2204" s="13">
        <v>3</v>
      </c>
      <c r="AC2204" s="13">
        <v>3</v>
      </c>
      <c r="AD2204" s="13">
        <v>3</v>
      </c>
      <c r="AE2204" s="13">
        <v>2</v>
      </c>
      <c r="AF2204" s="13"/>
      <c r="AG2204" s="16">
        <f>IFERROR(SUMIF(reading[[#This Row],[1st]:[7th]],"&gt;0")/COUNTIF(reading[[#This Row],[1st]:[7th]],"&gt;0"),"")</f>
        <v>2.8333333333333335</v>
      </c>
    </row>
    <row r="2205" spans="1:33" hidden="1" x14ac:dyDescent="0.2">
      <c r="A2205" s="4">
        <f>IF(B2205=1,3,IF(D2205=1,2,IF(F2205=1,1,0)))</f>
        <v>0</v>
      </c>
      <c r="B2205" s="4" t="str">
        <f>IF(C2205=$L2205,1,IF(C2205="","",0))</f>
        <v/>
      </c>
      <c r="C2205" s="42"/>
      <c r="D2205" s="4" t="str">
        <f>IF(E2205=$L2205,1,IF(E2205="","",0))</f>
        <v/>
      </c>
      <c r="E2205" s="18"/>
      <c r="F2205" s="4" t="str">
        <f>IF(G2205=$L2205,1,IF(G2205="","",0))</f>
        <v/>
      </c>
      <c r="G2205" s="14"/>
      <c r="H2205" s="6">
        <v>110</v>
      </c>
      <c r="I2205" s="15" t="s">
        <v>3120</v>
      </c>
      <c r="J2205" s="6" t="s">
        <v>3259</v>
      </c>
      <c r="K2205" s="6"/>
      <c r="L2205" s="6" t="s">
        <v>247</v>
      </c>
      <c r="M2205" s="6" t="s">
        <v>6219</v>
      </c>
      <c r="N2205" s="7">
        <f ca="1">RAND()</f>
        <v>0.9646953657905547</v>
      </c>
      <c r="O2205" s="8">
        <v>45199</v>
      </c>
      <c r="P2205" s="8">
        <v>45200</v>
      </c>
      <c r="Q2205" s="8">
        <v>45202</v>
      </c>
      <c r="R2205" s="8">
        <v>45206</v>
      </c>
      <c r="S2205" s="8">
        <v>45213</v>
      </c>
      <c r="T2205" s="8">
        <v>45225</v>
      </c>
      <c r="U2205" s="8">
        <v>45253</v>
      </c>
      <c r="V2205" s="10">
        <f>COUNTA(O2205:U2205)</f>
        <v>7</v>
      </c>
      <c r="W2205" s="11">
        <f>_xlfn.IFNA(INDEX(reading[[#This Row],[Memo 01]:[Memo 07]],MATCH(0,reading[[#This Row],[Memo 01]:[Memo 07]],-1)),"")</f>
        <v>45253</v>
      </c>
      <c r="X2205" s="11">
        <f ca="1">IFERROR(reading[[#This Row],[Previous]]+OFFSET(reading[[#Headers],[Memo 01]],-1,MATCH(0,reading[[#This Row],[Memo 01]:[Memo 07]],-1)-1),"")</f>
        <v>55253</v>
      </c>
      <c r="Y2205" s="10" t="str">
        <f ca="1">IF(reading[[#This Row],[Next]]&lt;&gt;"",IF(reading[[#This Row],[Next]]&gt;TODAY(),"OK",""),"")</f>
        <v>OK</v>
      </c>
      <c r="Z2205" s="13">
        <v>3</v>
      </c>
      <c r="AA2205" s="13">
        <v>3</v>
      </c>
      <c r="AB2205" s="13">
        <v>3</v>
      </c>
      <c r="AC2205" s="13">
        <v>3</v>
      </c>
      <c r="AD2205" s="13">
        <v>2</v>
      </c>
      <c r="AE2205" s="13">
        <v>2</v>
      </c>
      <c r="AF2205" s="13">
        <v>2</v>
      </c>
      <c r="AG2205" s="16">
        <f>IFERROR(SUMIF(reading[[#This Row],[1st]:[7th]],"&gt;0")/COUNTIF(reading[[#This Row],[1st]:[7th]],"&gt;0"),"")</f>
        <v>2.5714285714285716</v>
      </c>
    </row>
    <row r="2206" spans="1:33" hidden="1" x14ac:dyDescent="0.2">
      <c r="A2206" s="4">
        <f>IF(B2206=1,3,IF(D2206=1,2,IF(F2206=1,1,0)))</f>
        <v>0</v>
      </c>
      <c r="B2206" s="4" t="str">
        <f>IF(C2206=$L2206,1,IF(C2206="","",0))</f>
        <v/>
      </c>
      <c r="C2206" s="41"/>
      <c r="D2206" s="4" t="str">
        <f>IF(E2206=$L2206,1,IF(E2206="","",0))</f>
        <v/>
      </c>
      <c r="E2206" s="18"/>
      <c r="F2206" s="4" t="str">
        <f>IF(G2206=$L2206,1,IF(G2206="","",0))</f>
        <v/>
      </c>
      <c r="G2206" s="18"/>
      <c r="H2206" s="6">
        <v>106</v>
      </c>
      <c r="I2206" s="15" t="s">
        <v>3120</v>
      </c>
      <c r="J2206" s="6" t="s">
        <v>3255</v>
      </c>
      <c r="K2206" s="6"/>
      <c r="L2206" s="6" t="s">
        <v>243</v>
      </c>
      <c r="M2206" s="6" t="s">
        <v>6215</v>
      </c>
      <c r="N2206" s="7">
        <f ca="1">RAND()</f>
        <v>0.98879795413138505</v>
      </c>
      <c r="O2206" s="8">
        <v>45199</v>
      </c>
      <c r="P2206" s="8">
        <v>45200</v>
      </c>
      <c r="Q2206" s="8">
        <v>45202</v>
      </c>
      <c r="R2206" s="8">
        <v>45206</v>
      </c>
      <c r="S2206" s="8">
        <v>45213</v>
      </c>
      <c r="T2206" s="8">
        <v>45226</v>
      </c>
      <c r="U2206" s="8">
        <v>45250</v>
      </c>
      <c r="V2206" s="10">
        <f>COUNTA(O2206:U2206)</f>
        <v>7</v>
      </c>
      <c r="W2206" s="11">
        <f>_xlfn.IFNA(INDEX(reading[[#This Row],[Memo 01]:[Memo 07]],MATCH(0,reading[[#This Row],[Memo 01]:[Memo 07]],-1)),"")</f>
        <v>45250</v>
      </c>
      <c r="X2206" s="11">
        <f ca="1">IFERROR(reading[[#This Row],[Previous]]+OFFSET(reading[[#Headers],[Memo 01]],-1,MATCH(0,reading[[#This Row],[Memo 01]:[Memo 07]],-1)-1),"")</f>
        <v>55250</v>
      </c>
      <c r="Y2206" s="10" t="str">
        <f ca="1">IF(reading[[#This Row],[Next]]&lt;&gt;"",IF(reading[[#This Row],[Next]]&gt;TODAY(),"OK",""),"")</f>
        <v>OK</v>
      </c>
      <c r="Z2206" s="13">
        <v>3</v>
      </c>
      <c r="AA2206" s="13">
        <v>2</v>
      </c>
      <c r="AB2206" s="13">
        <v>3</v>
      </c>
      <c r="AC2206" s="13">
        <v>3</v>
      </c>
      <c r="AD2206" s="13">
        <v>3</v>
      </c>
      <c r="AE2206" s="13">
        <v>1</v>
      </c>
      <c r="AF2206" s="13">
        <v>1</v>
      </c>
      <c r="AG2206" s="16">
        <f>IFERROR(SUMIF(reading[[#This Row],[1st]:[7th]],"&gt;0")/COUNTIF(reading[[#This Row],[1st]:[7th]],"&gt;0"),"")</f>
        <v>2.2857142857142856</v>
      </c>
    </row>
    <row r="2207" spans="1:33" x14ac:dyDescent="0.2">
      <c r="A2207" s="4">
        <f>IF(B2207=1,3,IF(D2207=1,2,IF(F2207=1,1,0)))</f>
        <v>0</v>
      </c>
      <c r="B2207" s="4" t="str">
        <f>IF(C2207=$L2207,1,IF(C2207="","",0))</f>
        <v/>
      </c>
      <c r="C2207" s="39"/>
      <c r="D2207" s="4" t="str">
        <f>IF(E2207=$L2207,1,IF(E2207="","",0))</f>
        <v/>
      </c>
      <c r="E2207" s="14"/>
      <c r="F2207" s="4" t="str">
        <f>IF(G2207=$L2207,1,IF(G2207="","",0))</f>
        <v/>
      </c>
      <c r="G2207" s="14"/>
      <c r="H2207" s="6">
        <v>915</v>
      </c>
      <c r="I2207" s="15" t="s">
        <v>3120</v>
      </c>
      <c r="J2207" s="6" t="s">
        <v>4047</v>
      </c>
      <c r="K2207" s="6"/>
      <c r="L2207" s="6" t="s">
        <v>1027</v>
      </c>
      <c r="M2207" s="6" t="s">
        <v>7024</v>
      </c>
      <c r="N2207" s="7">
        <f ca="1">RAND()</f>
        <v>0.67339712391968709</v>
      </c>
      <c r="O2207" s="8">
        <v>45204</v>
      </c>
      <c r="P2207" s="8">
        <v>45205</v>
      </c>
      <c r="Q2207" s="8">
        <v>45207</v>
      </c>
      <c r="R2207" s="8">
        <v>45211</v>
      </c>
      <c r="S2207" s="8">
        <v>45218</v>
      </c>
      <c r="T2207" s="8">
        <v>45230</v>
      </c>
      <c r="U2207" s="8"/>
      <c r="V2207" s="10">
        <f>COUNTA(O2207:U2207)</f>
        <v>6</v>
      </c>
      <c r="W2207" s="11">
        <f>_xlfn.IFNA(INDEX(reading[[#This Row],[Memo 01]:[Memo 07]],MATCH(0,reading[[#This Row],[Memo 01]:[Memo 07]],-1)),"")</f>
        <v>45230</v>
      </c>
      <c r="X2207" s="11">
        <f ca="1">IFERROR(reading[[#This Row],[Previous]]+OFFSET(reading[[#Headers],[Memo 01]],-1,MATCH(0,reading[[#This Row],[Memo 01]:[Memo 07]],-1)-1),"")</f>
        <v>45250</v>
      </c>
      <c r="Y2207" s="10" t="str">
        <f ca="1">IF(reading[[#This Row],[Next]]&lt;&gt;"",IF(reading[[#This Row],[Next]]&gt;TODAY(),"OK",""),"")</f>
        <v/>
      </c>
      <c r="Z2207" s="13">
        <v>3</v>
      </c>
      <c r="AA2207" s="13">
        <v>3</v>
      </c>
      <c r="AB2207" s="13">
        <v>3</v>
      </c>
      <c r="AC2207" s="13">
        <v>3</v>
      </c>
      <c r="AD2207" s="13">
        <v>3</v>
      </c>
      <c r="AE2207" s="13">
        <v>3</v>
      </c>
      <c r="AF2207" s="13"/>
      <c r="AG2207" s="16">
        <f>IFERROR(SUMIF(reading[[#This Row],[1st]:[7th]],"&gt;0")/COUNTIF(reading[[#This Row],[1st]:[7th]],"&gt;0"),"")</f>
        <v>3</v>
      </c>
    </row>
    <row r="2208" spans="1:33" x14ac:dyDescent="0.2">
      <c r="A2208" s="4">
        <f>IF(B2208=1,3,IF(D2208=1,2,IF(F2208=1,1,0)))</f>
        <v>0</v>
      </c>
      <c r="B2208" s="4" t="str">
        <f>IF(C2208=$L2208,1,IF(C2208="","",0))</f>
        <v/>
      </c>
      <c r="C2208" s="38"/>
      <c r="D2208" s="4" t="str">
        <f>IF(E2208=$L2208,1,IF(E2208="","",0))</f>
        <v/>
      </c>
      <c r="E2208" s="18"/>
      <c r="F2208" s="4" t="str">
        <f>IF(G2208=$L2208,1,IF(G2208="","",0))</f>
        <v/>
      </c>
      <c r="G2208" s="14"/>
      <c r="H2208" s="6">
        <v>821</v>
      </c>
      <c r="I2208" s="15" t="s">
        <v>3120</v>
      </c>
      <c r="J2208" s="6" t="s">
        <v>3954</v>
      </c>
      <c r="K2208" s="6"/>
      <c r="L2208" s="6" t="s">
        <v>937</v>
      </c>
      <c r="M2208" s="6" t="s">
        <v>6930</v>
      </c>
      <c r="N2208" s="7">
        <f ca="1">RAND()</f>
        <v>5.7874835030765182E-2</v>
      </c>
      <c r="O2208" s="8">
        <v>45203</v>
      </c>
      <c r="P2208" s="8">
        <v>45204</v>
      </c>
      <c r="Q2208" s="8">
        <v>45206</v>
      </c>
      <c r="R2208" s="8">
        <v>45210</v>
      </c>
      <c r="S2208" s="8">
        <v>45217</v>
      </c>
      <c r="T2208" s="8">
        <v>45229</v>
      </c>
      <c r="U2208" s="8"/>
      <c r="V2208" s="10">
        <f>COUNTA(O2208:U2208)</f>
        <v>6</v>
      </c>
      <c r="W2208" s="11">
        <f>_xlfn.IFNA(INDEX(reading[[#This Row],[Memo 01]:[Memo 07]],MATCH(0,reading[[#This Row],[Memo 01]:[Memo 07]],-1)),"")</f>
        <v>45229</v>
      </c>
      <c r="X2208" s="11">
        <f ca="1">IFERROR(reading[[#This Row],[Previous]]+OFFSET(reading[[#Headers],[Memo 01]],-1,MATCH(0,reading[[#This Row],[Memo 01]:[Memo 07]],-1)-1),"")</f>
        <v>45249</v>
      </c>
      <c r="Y2208" s="10" t="str">
        <f ca="1">IF(reading[[#This Row],[Next]]&lt;&gt;"",IF(reading[[#This Row],[Next]]&gt;TODAY(),"OK",""),"")</f>
        <v/>
      </c>
      <c r="Z2208" s="13">
        <v>3</v>
      </c>
      <c r="AA2208" s="13">
        <v>3</v>
      </c>
      <c r="AB2208" s="13">
        <v>3</v>
      </c>
      <c r="AC2208" s="13">
        <v>3</v>
      </c>
      <c r="AD2208" s="13">
        <v>3</v>
      </c>
      <c r="AE2208" s="13">
        <v>2</v>
      </c>
      <c r="AF2208" s="13"/>
      <c r="AG2208" s="16">
        <f>IFERROR(SUMIF(reading[[#This Row],[1st]:[7th]],"&gt;0")/COUNTIF(reading[[#This Row],[1st]:[7th]],"&gt;0"),"")</f>
        <v>2.8333333333333335</v>
      </c>
    </row>
    <row r="2209" spans="1:33" x14ac:dyDescent="0.2">
      <c r="A2209" s="4">
        <f>IF(B2209=1,3,IF(D2209=1,2,IF(F2209=1,1,0)))</f>
        <v>0</v>
      </c>
      <c r="B2209" s="4" t="str">
        <f>IF(C2209=$L2209,1,IF(C2209="","",0))</f>
        <v/>
      </c>
      <c r="C2209" s="18"/>
      <c r="D2209" s="4" t="str">
        <f>IF(E2209=$L2209,1,IF(E2209="","",0))</f>
        <v/>
      </c>
      <c r="E2209" s="14"/>
      <c r="F2209" s="4" t="str">
        <f>IF(G2209=$L2209,1,IF(G2209="","",0))</f>
        <v/>
      </c>
      <c r="G2209" s="14"/>
      <c r="H2209" s="6">
        <v>89</v>
      </c>
      <c r="I2209" s="15" t="s">
        <v>3120</v>
      </c>
      <c r="J2209" s="6" t="s">
        <v>3239</v>
      </c>
      <c r="K2209" s="6" t="s">
        <v>3139</v>
      </c>
      <c r="L2209" s="6" t="s">
        <v>227</v>
      </c>
      <c r="M2209" s="6" t="s">
        <v>6198</v>
      </c>
      <c r="N2209" s="7">
        <f ca="1">RAND()</f>
        <v>0.19367884726393447</v>
      </c>
      <c r="O2209" s="8">
        <v>45198</v>
      </c>
      <c r="P2209" s="8">
        <v>45199</v>
      </c>
      <c r="Q2209" s="8">
        <v>45201</v>
      </c>
      <c r="R2209" s="8">
        <v>45205</v>
      </c>
      <c r="S2209" s="8">
        <v>45213</v>
      </c>
      <c r="T2209" s="8">
        <v>45225</v>
      </c>
      <c r="U2209" s="8"/>
      <c r="V2209" s="10">
        <f>COUNTA(O2209:U2209)</f>
        <v>6</v>
      </c>
      <c r="W2209" s="11">
        <f>_xlfn.IFNA(INDEX(reading[[#This Row],[Memo 01]:[Memo 07]],MATCH(0,reading[[#This Row],[Memo 01]:[Memo 07]],-1)),"")</f>
        <v>45225</v>
      </c>
      <c r="X2209" s="11">
        <f ca="1">IFERROR(reading[[#This Row],[Previous]]+OFFSET(reading[[#Headers],[Memo 01]],-1,MATCH(0,reading[[#This Row],[Memo 01]:[Memo 07]],-1)-1),"")</f>
        <v>45245</v>
      </c>
      <c r="Y2209" s="10" t="str">
        <f ca="1">IF(reading[[#This Row],[Next]]&lt;&gt;"",IF(reading[[#This Row],[Next]]&gt;TODAY(),"OK",""),"")</f>
        <v/>
      </c>
      <c r="Z2209" s="13">
        <v>3</v>
      </c>
      <c r="AA2209" s="13">
        <v>3</v>
      </c>
      <c r="AB2209" s="13">
        <v>3</v>
      </c>
      <c r="AC2209" s="13">
        <v>3</v>
      </c>
      <c r="AD2209" s="13">
        <v>2</v>
      </c>
      <c r="AE2209" s="13">
        <v>3</v>
      </c>
      <c r="AF2209" s="13"/>
      <c r="AG2209" s="16">
        <f>IFERROR(SUMIF(reading[[#This Row],[1st]:[7th]],"&gt;0")/COUNTIF(reading[[#This Row],[1st]:[7th]],"&gt;0"),"")</f>
        <v>2.8333333333333335</v>
      </c>
    </row>
    <row r="2210" spans="1:33" x14ac:dyDescent="0.2">
      <c r="A2210" s="4">
        <f>IF(B2210=1,3,IF(D2210=1,2,IF(F2210=1,1,0)))</f>
        <v>0</v>
      </c>
      <c r="B2210" s="4" t="str">
        <f>IF(C2210=$L2210,1,IF(C2210="","",0))</f>
        <v/>
      </c>
      <c r="C2210" s="42"/>
      <c r="D2210" s="4" t="str">
        <f>IF(E2210=$L2210,1,IF(E2210="","",0))</f>
        <v/>
      </c>
      <c r="E2210" s="14"/>
      <c r="F2210" s="4" t="str">
        <f>IF(G2210=$L2210,1,IF(G2210="","",0))</f>
        <v/>
      </c>
      <c r="G2210" s="14"/>
      <c r="H2210" s="6">
        <v>2688</v>
      </c>
      <c r="I2210" s="15" t="s">
        <v>3120</v>
      </c>
      <c r="J2210" s="6" t="s">
        <v>5739</v>
      </c>
      <c r="K2210" s="6"/>
      <c r="L2210" s="6" t="s">
        <v>2727</v>
      </c>
      <c r="M2210" s="6" t="s">
        <v>8793</v>
      </c>
      <c r="N2210" s="7">
        <f ca="1">RAND()</f>
        <v>0.21091588878664402</v>
      </c>
      <c r="O2210" s="8">
        <v>45221</v>
      </c>
      <c r="P2210" s="8">
        <v>45222</v>
      </c>
      <c r="Q2210" s="8">
        <v>45224</v>
      </c>
      <c r="R2210" s="8">
        <v>45228</v>
      </c>
      <c r="S2210" s="8">
        <v>45235</v>
      </c>
      <c r="T2210" s="8">
        <v>45783</v>
      </c>
      <c r="U2210" s="8"/>
      <c r="V2210" s="10">
        <f>COUNTA(O2210:U2210)</f>
        <v>6</v>
      </c>
      <c r="W2210" s="11">
        <f>_xlfn.IFNA(INDEX(reading[[#This Row],[Memo 01]:[Memo 07]],MATCH(0,reading[[#This Row],[Memo 01]:[Memo 07]],-1)),"")</f>
        <v>45783</v>
      </c>
      <c r="X2210" s="11">
        <f ca="1">IFERROR(reading[[#This Row],[Previous]]+OFFSET(reading[[#Headers],[Memo 01]],-1,MATCH(0,reading[[#This Row],[Memo 01]:[Memo 07]],-1)-1),"")</f>
        <v>45803</v>
      </c>
      <c r="Y2210" s="10" t="str">
        <f ca="1">IF(reading[[#This Row],[Next]]&lt;&gt;"",IF(reading[[#This Row],[Next]]&gt;TODAY(),"OK",""),"")</f>
        <v/>
      </c>
      <c r="Z2210" s="13">
        <v>3</v>
      </c>
      <c r="AA2210" s="13">
        <v>3</v>
      </c>
      <c r="AB2210" s="13">
        <v>3</v>
      </c>
      <c r="AC2210" s="13">
        <v>3</v>
      </c>
      <c r="AD2210" s="13">
        <v>3</v>
      </c>
      <c r="AE2210" s="13">
        <v>3</v>
      </c>
      <c r="AF2210" s="13"/>
      <c r="AG2210" s="16">
        <f>IFERROR(SUMIF(reading[[#This Row],[1st]:[7th]],"&gt;0")/COUNTIF(reading[[#This Row],[1st]:[7th]],"&gt;0"),"")</f>
        <v>3</v>
      </c>
    </row>
    <row r="2211" spans="1:33" hidden="1" x14ac:dyDescent="0.2">
      <c r="A2211" s="4">
        <f>IF(B2211=1,3,IF(D2211=1,2,IF(F2211=1,1,0)))</f>
        <v>0</v>
      </c>
      <c r="B2211" s="4">
        <f>IF(C2211=$L2211,1,IF(C2211="","",0))</f>
        <v>0</v>
      </c>
      <c r="C2211" s="42" t="s">
        <v>9200</v>
      </c>
      <c r="D2211" s="4" t="str">
        <f>IF(E2211=$L2211,1,IF(E2211="","",0))</f>
        <v/>
      </c>
      <c r="E2211" s="18"/>
      <c r="F2211" s="4" t="str">
        <f>IF(G2211=$L2211,1,IF(G2211="","",0))</f>
        <v/>
      </c>
      <c r="G2211" s="18"/>
      <c r="H2211" s="6">
        <v>2050</v>
      </c>
      <c r="I2211" s="15" t="s">
        <v>3120</v>
      </c>
      <c r="J2211" s="6" t="s">
        <v>5146</v>
      </c>
      <c r="K2211" s="15" t="s">
        <v>3139</v>
      </c>
      <c r="L2211" s="6" t="s">
        <v>2125</v>
      </c>
      <c r="M2211" s="6" t="s">
        <v>8156</v>
      </c>
      <c r="N2211" s="7">
        <f ca="1">RAND()</f>
        <v>0.91877092517329251</v>
      </c>
      <c r="O2211" s="8">
        <v>45214</v>
      </c>
      <c r="P2211" s="8">
        <v>45215</v>
      </c>
      <c r="Q2211" s="8">
        <v>45217</v>
      </c>
      <c r="R2211" s="8">
        <v>45221</v>
      </c>
      <c r="S2211" s="8">
        <v>45228</v>
      </c>
      <c r="T2211" s="8">
        <v>45250</v>
      </c>
      <c r="U2211" s="8"/>
      <c r="V2211" s="10">
        <f>COUNTA(O2211:U2211)</f>
        <v>6</v>
      </c>
      <c r="W2211" s="11">
        <f>_xlfn.IFNA(INDEX(reading[[#This Row],[Memo 01]:[Memo 07]],MATCH(0,reading[[#This Row],[Memo 01]:[Memo 07]],-1)),"")</f>
        <v>45250</v>
      </c>
      <c r="X2211" s="11">
        <f ca="1">IFERROR(reading[[#This Row],[Previous]]+OFFSET(reading[[#Headers],[Memo 01]],-1,MATCH(0,reading[[#This Row],[Memo 01]:[Memo 07]],-1)-1),"")</f>
        <v>45270</v>
      </c>
      <c r="Y2211" s="10" t="str">
        <f ca="1">IF(reading[[#This Row],[Next]]&lt;&gt;"",IF(reading[[#This Row],[Next]]&gt;TODAY(),"OK",""),"")</f>
        <v/>
      </c>
      <c r="Z2211" s="13">
        <v>3</v>
      </c>
      <c r="AA2211" s="13">
        <v>3</v>
      </c>
      <c r="AB2211" s="13">
        <v>3</v>
      </c>
      <c r="AC2211" s="13">
        <v>1</v>
      </c>
      <c r="AD2211" s="13">
        <v>1</v>
      </c>
      <c r="AE2211" s="13">
        <v>2</v>
      </c>
      <c r="AF2211" s="13"/>
      <c r="AG2211" s="16">
        <f>IFERROR(SUMIF(reading[[#This Row],[1st]:[7th]],"&gt;0")/COUNTIF(reading[[#This Row],[1st]:[7th]],"&gt;0"),"")</f>
        <v>2.1666666666666665</v>
      </c>
    </row>
    <row r="2212" spans="1:33" hidden="1" x14ac:dyDescent="0.2">
      <c r="A2212" s="4">
        <f>IF(B2212=1,3,IF(D2212=1,2,IF(F2212=1,1,0)))</f>
        <v>0</v>
      </c>
      <c r="B2212" s="4" t="str">
        <f>IF(C2212=$L2212,1,IF(C2212="","",0))</f>
        <v/>
      </c>
      <c r="C2212" s="42"/>
      <c r="D2212" s="4" t="str">
        <f>IF(E2212=$L2212,1,IF(E2212="","",0))</f>
        <v/>
      </c>
      <c r="E2212" s="23"/>
      <c r="F2212" s="4" t="str">
        <f>IF(G2212=$L2212,1,IF(G2212="","",0))</f>
        <v/>
      </c>
      <c r="G2212" s="14"/>
      <c r="H2212" s="6">
        <v>2819</v>
      </c>
      <c r="I2212" s="15" t="s">
        <v>3120</v>
      </c>
      <c r="J2212" s="6" t="s">
        <v>5862</v>
      </c>
      <c r="K2212" s="6"/>
      <c r="L2212" s="6" t="s">
        <v>2855</v>
      </c>
      <c r="M2212" s="6" t="s">
        <v>8923</v>
      </c>
      <c r="N2212" s="7">
        <f ca="1">RAND()</f>
        <v>0.34730570228248159</v>
      </c>
      <c r="O2212" s="8">
        <v>45222</v>
      </c>
      <c r="P2212" s="8">
        <v>45223</v>
      </c>
      <c r="Q2212" s="8">
        <v>45225</v>
      </c>
      <c r="R2212" s="8">
        <v>45229</v>
      </c>
      <c r="S2212" s="8">
        <v>45236</v>
      </c>
      <c r="T2212" s="8">
        <v>45825</v>
      </c>
      <c r="U2212" s="8"/>
      <c r="V2212" s="10">
        <f>COUNTA(O2212:U2212)</f>
        <v>6</v>
      </c>
      <c r="W2212" s="11">
        <f>_xlfn.IFNA(INDEX(reading[[#This Row],[Memo 01]:[Memo 07]],MATCH(0,reading[[#This Row],[Memo 01]:[Memo 07]],-1)),"")</f>
        <v>45825</v>
      </c>
      <c r="X2212" s="11">
        <f ca="1">IFERROR(reading[[#This Row],[Previous]]+OFFSET(reading[[#Headers],[Memo 01]],-1,MATCH(0,reading[[#This Row],[Memo 01]:[Memo 07]],-1)-1),"")</f>
        <v>45845</v>
      </c>
      <c r="Y2212" s="10" t="str">
        <f ca="1">IF(reading[[#This Row],[Next]]&lt;&gt;"",IF(reading[[#This Row],[Next]]&gt;TODAY(),"OK",""),"")</f>
        <v>OK</v>
      </c>
      <c r="Z2212" s="13">
        <v>3</v>
      </c>
      <c r="AA2212" s="13">
        <v>3</v>
      </c>
      <c r="AB2212" s="13">
        <v>3</v>
      </c>
      <c r="AC2212" s="13">
        <v>3</v>
      </c>
      <c r="AD2212" s="13">
        <v>3</v>
      </c>
      <c r="AE2212" s="13">
        <v>2</v>
      </c>
      <c r="AF2212" s="13"/>
      <c r="AG2212" s="16">
        <f>IFERROR(SUMIF(reading[[#This Row],[1st]:[7th]],"&gt;0")/COUNTIF(reading[[#This Row],[1st]:[7th]],"&gt;0"),"")</f>
        <v>2.8333333333333335</v>
      </c>
    </row>
    <row r="2213" spans="1:33" x14ac:dyDescent="0.2">
      <c r="A2213" s="4">
        <f>IF(B2213=1,3,IF(D2213=1,2,IF(F2213=1,1,0)))</f>
        <v>0</v>
      </c>
      <c r="B2213" s="4" t="str">
        <f>IF(C2213=$L2213,1,IF(C2213="","",0))</f>
        <v/>
      </c>
      <c r="C2213" s="42"/>
      <c r="D2213" s="4" t="str">
        <f>IF(E2213=$L2213,1,IF(E2213="","",0))</f>
        <v/>
      </c>
      <c r="E2213" s="14"/>
      <c r="F2213" s="4" t="str">
        <f>IF(G2213=$L2213,1,IF(G2213="","",0))</f>
        <v/>
      </c>
      <c r="G2213" s="14"/>
      <c r="H2213" s="6">
        <v>2263</v>
      </c>
      <c r="I2213" s="15" t="s">
        <v>3120</v>
      </c>
      <c r="J2213" s="6" t="s">
        <v>5345</v>
      </c>
      <c r="K2213" s="15" t="s">
        <v>3138</v>
      </c>
      <c r="L2213" s="6" t="s">
        <v>2323</v>
      </c>
      <c r="M2213" s="6" t="s">
        <v>8368</v>
      </c>
      <c r="N2213" s="7">
        <f ca="1">RAND()</f>
        <v>0.59439149943386504</v>
      </c>
      <c r="O2213" s="8">
        <v>45215</v>
      </c>
      <c r="P2213" s="8">
        <v>45216</v>
      </c>
      <c r="Q2213" s="8">
        <v>45218</v>
      </c>
      <c r="R2213" s="8">
        <v>45222</v>
      </c>
      <c r="S2213" s="8">
        <v>45229</v>
      </c>
      <c r="T2213" s="8">
        <v>45801</v>
      </c>
      <c r="U2213" s="8"/>
      <c r="V2213" s="10">
        <f>COUNTA(O2213:U2213)</f>
        <v>6</v>
      </c>
      <c r="W2213" s="11">
        <f>_xlfn.IFNA(INDEX(reading[[#This Row],[Memo 01]:[Memo 07]],MATCH(0,reading[[#This Row],[Memo 01]:[Memo 07]],-1)),"")</f>
        <v>45801</v>
      </c>
      <c r="X2213" s="11">
        <f ca="1">IFERROR(reading[[#This Row],[Previous]]+OFFSET(reading[[#Headers],[Memo 01]],-1,MATCH(0,reading[[#This Row],[Memo 01]:[Memo 07]],-1)-1),"")</f>
        <v>45821</v>
      </c>
      <c r="Y2213" s="10" t="str">
        <f ca="1">IF(reading[[#This Row],[Next]]&lt;&gt;"",IF(reading[[#This Row],[Next]]&gt;TODAY(),"OK",""),"")</f>
        <v/>
      </c>
      <c r="Z2213" s="13">
        <v>3</v>
      </c>
      <c r="AA2213" s="13">
        <v>3</v>
      </c>
      <c r="AB2213" s="13">
        <v>3</v>
      </c>
      <c r="AC2213" s="13">
        <v>3</v>
      </c>
      <c r="AD2213" s="13">
        <v>3</v>
      </c>
      <c r="AE2213" s="13">
        <v>3</v>
      </c>
      <c r="AF2213" s="13"/>
      <c r="AG2213" s="16">
        <f>IFERROR(SUMIF(reading[[#This Row],[1st]:[7th]],"&gt;0")/COUNTIF(reading[[#This Row],[1st]:[7th]],"&gt;0"),"")</f>
        <v>3</v>
      </c>
    </row>
    <row r="2214" spans="1:33" hidden="1" x14ac:dyDescent="0.2">
      <c r="A2214" s="4">
        <f>IF(B2214=1,3,IF(D2214=1,2,IF(F2214=1,1,0)))</f>
        <v>0</v>
      </c>
      <c r="B2214" s="4">
        <f>IF(C2214=$L2214,1,IF(C2214="","",0))</f>
        <v>0</v>
      </c>
      <c r="C2214" s="42" t="s">
        <v>9200</v>
      </c>
      <c r="D2214" s="4" t="str">
        <f>IF(E2214=$L2214,1,IF(E2214="","",0))</f>
        <v/>
      </c>
      <c r="E2214" s="18"/>
      <c r="F2214" s="4" t="str">
        <f>IF(G2214=$L2214,1,IF(G2214="","",0))</f>
        <v/>
      </c>
      <c r="G2214" s="14"/>
      <c r="H2214" s="6">
        <v>3039</v>
      </c>
      <c r="I2214" s="15" t="s">
        <v>3120</v>
      </c>
      <c r="J2214" s="6" t="s">
        <v>6061</v>
      </c>
      <c r="K2214" s="6"/>
      <c r="L2214" s="6" t="s">
        <v>3065</v>
      </c>
      <c r="M2214" s="6" t="s">
        <v>9142</v>
      </c>
      <c r="N2214" s="7">
        <f ca="1">RAND()</f>
        <v>2.0451000165112698E-2</v>
      </c>
      <c r="O2214" s="8">
        <v>45224</v>
      </c>
      <c r="P2214" s="8">
        <v>45225</v>
      </c>
      <c r="Q2214" s="8">
        <v>45227</v>
      </c>
      <c r="R2214" s="8">
        <v>45231</v>
      </c>
      <c r="S2214" s="8">
        <v>45251</v>
      </c>
      <c r="T2214" s="8"/>
      <c r="U2214" s="8"/>
      <c r="V2214" s="10">
        <f>COUNTA(O2214:U2214)</f>
        <v>5</v>
      </c>
      <c r="W2214" s="11">
        <f>_xlfn.IFNA(INDEX(reading[[#This Row],[Memo 01]:[Memo 07]],MATCH(0,reading[[#This Row],[Memo 01]:[Memo 07]],-1)),"")</f>
        <v>45251</v>
      </c>
      <c r="X2214" s="11">
        <f ca="1">IFERROR(reading[[#This Row],[Previous]]+OFFSET(reading[[#Headers],[Memo 01]],-1,MATCH(0,reading[[#This Row],[Memo 01]:[Memo 07]],-1)-1),"")</f>
        <v>45263</v>
      </c>
      <c r="Y2214" s="10" t="str">
        <f ca="1">IF(reading[[#This Row],[Next]]&lt;&gt;"",IF(reading[[#This Row],[Next]]&gt;TODAY(),"OK",""),"")</f>
        <v/>
      </c>
      <c r="Z2214" s="13">
        <v>3</v>
      </c>
      <c r="AA2214" s="13">
        <v>2</v>
      </c>
      <c r="AB2214" s="13">
        <v>3</v>
      </c>
      <c r="AC2214" s="13">
        <v>3</v>
      </c>
      <c r="AD2214" s="13">
        <v>3</v>
      </c>
      <c r="AE2214" s="13"/>
      <c r="AF2214" s="13"/>
      <c r="AG2214" s="16">
        <f>IFERROR(SUMIF(reading[[#This Row],[1st]:[7th]],"&gt;0")/COUNTIF(reading[[#This Row],[1st]:[7th]],"&gt;0"),"")</f>
        <v>2.8</v>
      </c>
    </row>
    <row r="2215" spans="1:33" hidden="1" x14ac:dyDescent="0.2">
      <c r="A2215" s="4">
        <f>IF(B2215=1,3,IF(D2215=1,2,IF(F2215=1,1,0)))</f>
        <v>0</v>
      </c>
      <c r="B2215" s="4" t="str">
        <f>IF(C2215=$L2215,1,IF(C2215="","",0))</f>
        <v/>
      </c>
      <c r="C2215" s="41"/>
      <c r="D2215" s="4" t="str">
        <f>IF(E2215=$L2215,1,IF(E2215="","",0))</f>
        <v/>
      </c>
      <c r="E2215" s="23"/>
      <c r="F2215" s="4" t="str">
        <f>IF(G2215=$L2215,1,IF(G2215="","",0))</f>
        <v/>
      </c>
      <c r="G2215" s="14"/>
      <c r="H2215" s="6">
        <v>460</v>
      </c>
      <c r="I2215" s="15" t="s">
        <v>3120</v>
      </c>
      <c r="J2215" s="6" t="s">
        <v>3606</v>
      </c>
      <c r="K2215" s="6"/>
      <c r="L2215" s="6" t="s">
        <v>589</v>
      </c>
      <c r="M2215" s="6" t="s">
        <v>6569</v>
      </c>
      <c r="N2215" s="7">
        <f ca="1">RAND()</f>
        <v>0.61812625190300752</v>
      </c>
      <c r="O2215" s="8">
        <v>45202</v>
      </c>
      <c r="P2215" s="8">
        <v>45203</v>
      </c>
      <c r="Q2215" s="8">
        <v>45205</v>
      </c>
      <c r="R2215" s="8">
        <v>45209</v>
      </c>
      <c r="S2215" s="8">
        <v>45216</v>
      </c>
      <c r="T2215" s="8">
        <v>45228</v>
      </c>
      <c r="U2215" s="8">
        <v>45250</v>
      </c>
      <c r="V2215" s="10">
        <f>COUNTA(O2215:U2215)</f>
        <v>7</v>
      </c>
      <c r="W2215" s="11">
        <f>_xlfn.IFNA(INDEX(reading[[#This Row],[Memo 01]:[Memo 07]],MATCH(0,reading[[#This Row],[Memo 01]:[Memo 07]],-1)),"")</f>
        <v>45250</v>
      </c>
      <c r="X2215" s="11">
        <f ca="1">IFERROR(reading[[#This Row],[Previous]]+OFFSET(reading[[#Headers],[Memo 01]],-1,MATCH(0,reading[[#This Row],[Memo 01]:[Memo 07]],-1)-1),"")</f>
        <v>55250</v>
      </c>
      <c r="Y2215" s="10" t="str">
        <f ca="1">IF(reading[[#This Row],[Next]]&lt;&gt;"",IF(reading[[#This Row],[Next]]&gt;TODAY(),"OK",""),"")</f>
        <v>OK</v>
      </c>
      <c r="Z2215" s="13">
        <v>3</v>
      </c>
      <c r="AA2215" s="13">
        <v>2</v>
      </c>
      <c r="AB2215" s="13">
        <v>3</v>
      </c>
      <c r="AC2215" s="13">
        <v>2</v>
      </c>
      <c r="AD2215" s="13">
        <v>2</v>
      </c>
      <c r="AE2215" s="13">
        <v>3</v>
      </c>
      <c r="AF2215" s="13">
        <v>1</v>
      </c>
      <c r="AG2215" s="16">
        <f>IFERROR(SUMIF(reading[[#This Row],[1st]:[7th]],"&gt;0")/COUNTIF(reading[[#This Row],[1st]:[7th]],"&gt;0"),"")</f>
        <v>2.2857142857142856</v>
      </c>
    </row>
    <row r="2216" spans="1:33" hidden="1" x14ac:dyDescent="0.2">
      <c r="A2216" s="4">
        <f>IF(B2216=1,3,IF(D2216=1,2,IF(F2216=1,1,0)))</f>
        <v>0</v>
      </c>
      <c r="B2216" s="4" t="str">
        <f>IF(C2216=$L2216,1,IF(C2216="","",0))</f>
        <v/>
      </c>
      <c r="C2216" s="42"/>
      <c r="D2216" s="4" t="str">
        <f>IF(E2216=$L2216,1,IF(E2216="","",0))</f>
        <v/>
      </c>
      <c r="E2216" s="43"/>
      <c r="F2216" s="4" t="str">
        <f>IF(G2216=$L2216,1,IF(G2216="","",0))</f>
        <v/>
      </c>
      <c r="G2216" s="23"/>
      <c r="H2216" s="6">
        <v>1962</v>
      </c>
      <c r="I2216" s="15" t="s">
        <v>3120</v>
      </c>
      <c r="J2216" s="6" t="s">
        <v>5061</v>
      </c>
      <c r="K2216" s="15" t="s">
        <v>3138</v>
      </c>
      <c r="L2216" s="6" t="s">
        <v>2037</v>
      </c>
      <c r="M2216" s="6" t="s">
        <v>8068</v>
      </c>
      <c r="N2216" s="7">
        <f ca="1">RAND()</f>
        <v>0.22141185966318144</v>
      </c>
      <c r="O2216" s="8">
        <v>45213</v>
      </c>
      <c r="P2216" s="8">
        <v>45214</v>
      </c>
      <c r="Q2216" s="8">
        <v>45216</v>
      </c>
      <c r="R2216" s="8">
        <v>45220</v>
      </c>
      <c r="S2216" s="8">
        <v>45227</v>
      </c>
      <c r="T2216" s="8">
        <v>45251</v>
      </c>
      <c r="U2216" s="8">
        <v>45817</v>
      </c>
      <c r="V2216" s="10">
        <f>COUNTA(O2216:U2216)</f>
        <v>7</v>
      </c>
      <c r="W2216" s="11">
        <f>_xlfn.IFNA(INDEX(reading[[#This Row],[Memo 01]:[Memo 07]],MATCH(0,reading[[#This Row],[Memo 01]:[Memo 07]],-1)),"")</f>
        <v>45817</v>
      </c>
      <c r="X2216" s="11">
        <f ca="1">IFERROR(reading[[#This Row],[Previous]]+OFFSET(reading[[#Headers],[Memo 01]],-1,MATCH(0,reading[[#This Row],[Memo 01]:[Memo 07]],-1)-1),"")</f>
        <v>55817</v>
      </c>
      <c r="Y2216" s="10" t="str">
        <f ca="1">IF(reading[[#This Row],[Next]]&lt;&gt;"",IF(reading[[#This Row],[Next]]&gt;TODAY(),"OK",""),"")</f>
        <v>OK</v>
      </c>
      <c r="Z2216" s="13">
        <v>3</v>
      </c>
      <c r="AA2216" s="13">
        <v>2</v>
      </c>
      <c r="AB2216" s="13">
        <v>2</v>
      </c>
      <c r="AC2216" s="13">
        <v>3</v>
      </c>
      <c r="AD2216" s="13">
        <v>3</v>
      </c>
      <c r="AE2216" s="13">
        <v>3</v>
      </c>
      <c r="AF2216" s="13">
        <v>1</v>
      </c>
      <c r="AG2216" s="16">
        <f>IFERROR(SUMIF(reading[[#This Row],[1st]:[7th]],"&gt;0")/COUNTIF(reading[[#This Row],[1st]:[7th]],"&gt;0"),"")</f>
        <v>2.4285714285714284</v>
      </c>
    </row>
    <row r="2217" spans="1:33" x14ac:dyDescent="0.2">
      <c r="A2217" s="4">
        <f>IF(B2217=1,3,IF(D2217=1,2,IF(F2217=1,1,0)))</f>
        <v>0</v>
      </c>
      <c r="B2217" s="4" t="str">
        <f>IF(C2217=$L2217,1,IF(C2217="","",0))</f>
        <v/>
      </c>
      <c r="C2217" s="41"/>
      <c r="D2217" s="4" t="str">
        <f>IF(E2217=$L2217,1,IF(E2217="","",0))</f>
        <v/>
      </c>
      <c r="E2217" s="18"/>
      <c r="F2217" s="4" t="str">
        <f>IF(G2217=$L2217,1,IF(G2217="","",0))</f>
        <v/>
      </c>
      <c r="G2217" s="14"/>
      <c r="H2217" s="6">
        <v>2342</v>
      </c>
      <c r="I2217" s="15" t="s">
        <v>3120</v>
      </c>
      <c r="J2217" s="6" t="s">
        <v>5419</v>
      </c>
      <c r="K2217" s="15" t="s">
        <v>3138</v>
      </c>
      <c r="L2217" s="6" t="s">
        <v>2395</v>
      </c>
      <c r="M2217" s="6" t="s">
        <v>8447</v>
      </c>
      <c r="N2217" s="7">
        <f ca="1">RAND()</f>
        <v>0.74286764879779055</v>
      </c>
      <c r="O2217" s="8">
        <v>45216</v>
      </c>
      <c r="P2217" s="8">
        <v>45217</v>
      </c>
      <c r="Q2217" s="8">
        <v>45219</v>
      </c>
      <c r="R2217" s="8">
        <v>45223</v>
      </c>
      <c r="S2217" s="8">
        <v>45230</v>
      </c>
      <c r="T2217" s="8">
        <v>45250</v>
      </c>
      <c r="U2217" s="8"/>
      <c r="V2217" s="10">
        <f>COUNTA(O2217:U2217)</f>
        <v>6</v>
      </c>
      <c r="W2217" s="11">
        <f>_xlfn.IFNA(INDEX(reading[[#This Row],[Memo 01]:[Memo 07]],MATCH(0,reading[[#This Row],[Memo 01]:[Memo 07]],-1)),"")</f>
        <v>45250</v>
      </c>
      <c r="X2217" s="11">
        <f ca="1">IFERROR(reading[[#This Row],[Previous]]+OFFSET(reading[[#Headers],[Memo 01]],-1,MATCH(0,reading[[#This Row],[Memo 01]:[Memo 07]],-1)-1),"")</f>
        <v>45270</v>
      </c>
      <c r="Y2217" s="10" t="str">
        <f ca="1">IF(reading[[#This Row],[Next]]&lt;&gt;"",IF(reading[[#This Row],[Next]]&gt;TODAY(),"OK",""),"")</f>
        <v/>
      </c>
      <c r="Z2217" s="13">
        <v>3</v>
      </c>
      <c r="AA2217" s="13">
        <v>2</v>
      </c>
      <c r="AB2217" s="13">
        <v>3</v>
      </c>
      <c r="AC2217" s="13">
        <v>2</v>
      </c>
      <c r="AD2217" s="13">
        <v>2</v>
      </c>
      <c r="AE2217" s="13">
        <v>2</v>
      </c>
      <c r="AF2217" s="13"/>
      <c r="AG2217" s="16">
        <f>IFERROR(SUMIF(reading[[#This Row],[1st]:[7th]],"&gt;0")/COUNTIF(reading[[#This Row],[1st]:[7th]],"&gt;0"),"")</f>
        <v>2.3333333333333335</v>
      </c>
    </row>
    <row r="2218" spans="1:33" x14ac:dyDescent="0.2">
      <c r="A2218" s="4">
        <f>IF(B2218=1,3,IF(D2218=1,2,IF(F2218=1,1,0)))</f>
        <v>0</v>
      </c>
      <c r="B2218" s="4" t="str">
        <f>IF(C2218=$L2218,1,IF(C2218="","",0))</f>
        <v/>
      </c>
      <c r="C2218" s="36"/>
      <c r="D2218" s="4" t="str">
        <f>IF(E2218=$L2218,1,IF(E2218="","",0))</f>
        <v/>
      </c>
      <c r="E2218" s="14"/>
      <c r="F2218" s="4" t="str">
        <f>IF(G2218=$L2218,1,IF(G2218="","",0))</f>
        <v/>
      </c>
      <c r="G2218" s="14"/>
      <c r="H2218" s="6">
        <v>355</v>
      </c>
      <c r="I2218" s="15" t="s">
        <v>3120</v>
      </c>
      <c r="J2218" s="6" t="s">
        <v>3502</v>
      </c>
      <c r="K2218" s="6"/>
      <c r="L2218" s="6" t="s">
        <v>489</v>
      </c>
      <c r="M2218" s="6" t="s">
        <v>6464</v>
      </c>
      <c r="N2218" s="7">
        <f ca="1">RAND()</f>
        <v>0.50646345844248997</v>
      </c>
      <c r="O2218" s="8">
        <v>45200</v>
      </c>
      <c r="P2218" s="8">
        <v>45201</v>
      </c>
      <c r="Q2218" s="8">
        <v>45203</v>
      </c>
      <c r="R2218" s="8">
        <v>45207</v>
      </c>
      <c r="S2218" s="8">
        <v>45214</v>
      </c>
      <c r="T2218" s="8">
        <v>45226</v>
      </c>
      <c r="U2218" s="8"/>
      <c r="V2218" s="10">
        <f>COUNTA(O2218:U2218)</f>
        <v>6</v>
      </c>
      <c r="W2218" s="11">
        <f>_xlfn.IFNA(INDEX(reading[[#This Row],[Memo 01]:[Memo 07]],MATCH(0,reading[[#This Row],[Memo 01]:[Memo 07]],-1)),"")</f>
        <v>45226</v>
      </c>
      <c r="X2218" s="11">
        <f ca="1">IFERROR(reading[[#This Row],[Previous]]+OFFSET(reading[[#Headers],[Memo 01]],-1,MATCH(0,reading[[#This Row],[Memo 01]:[Memo 07]],-1)-1),"")</f>
        <v>45246</v>
      </c>
      <c r="Y2218" s="10" t="str">
        <f ca="1">IF(reading[[#This Row],[Next]]&lt;&gt;"",IF(reading[[#This Row],[Next]]&gt;TODAY(),"OK",""),"")</f>
        <v/>
      </c>
      <c r="Z2218" s="13">
        <v>3</v>
      </c>
      <c r="AA2218" s="13">
        <v>3</v>
      </c>
      <c r="AB2218" s="13">
        <v>3</v>
      </c>
      <c r="AC2218" s="13">
        <v>3</v>
      </c>
      <c r="AD2218" s="13">
        <v>3</v>
      </c>
      <c r="AE2218" s="13">
        <v>3</v>
      </c>
      <c r="AF2218" s="13"/>
      <c r="AG2218" s="16">
        <f>IFERROR(SUMIF(reading[[#This Row],[1st]:[7th]],"&gt;0")/COUNTIF(reading[[#This Row],[1st]:[7th]],"&gt;0"),"")</f>
        <v>3</v>
      </c>
    </row>
    <row r="2219" spans="1:33" x14ac:dyDescent="0.2">
      <c r="A2219" s="4">
        <f>IF(B2219=1,3,IF(D2219=1,2,IF(F2219=1,1,0)))</f>
        <v>0</v>
      </c>
      <c r="B2219" s="4" t="str">
        <f>IF(C2219=$L2219,1,IF(C2219="","",0))</f>
        <v/>
      </c>
      <c r="C2219" s="38"/>
      <c r="D2219" s="4" t="str">
        <f>IF(E2219=$L2219,1,IF(E2219="","",0))</f>
        <v/>
      </c>
      <c r="E2219" s="14"/>
      <c r="F2219" s="4" t="str">
        <f>IF(G2219=$L2219,1,IF(G2219="","",0))</f>
        <v/>
      </c>
      <c r="G2219" s="14"/>
      <c r="H2219" s="6">
        <v>2141</v>
      </c>
      <c r="I2219" s="15" t="s">
        <v>3120</v>
      </c>
      <c r="J2219" s="6" t="s">
        <v>5229</v>
      </c>
      <c r="K2219" s="15" t="s">
        <v>3138</v>
      </c>
      <c r="L2219" s="6" t="s">
        <v>2208</v>
      </c>
      <c r="M2219" s="6" t="s">
        <v>8247</v>
      </c>
      <c r="N2219" s="7">
        <f ca="1">RAND()</f>
        <v>0.52754997237172718</v>
      </c>
      <c r="O2219" s="8">
        <v>45214</v>
      </c>
      <c r="P2219" s="8">
        <v>45215</v>
      </c>
      <c r="Q2219" s="8">
        <v>45217</v>
      </c>
      <c r="R2219" s="8">
        <v>45221</v>
      </c>
      <c r="S2219" s="8">
        <v>45228</v>
      </c>
      <c r="T2219" s="8"/>
      <c r="U2219" s="8"/>
      <c r="V2219" s="10">
        <f>COUNTA(O2219:U2219)</f>
        <v>5</v>
      </c>
      <c r="W2219" s="11">
        <f>_xlfn.IFNA(INDEX(reading[[#This Row],[Memo 01]:[Memo 07]],MATCH(0,reading[[#This Row],[Memo 01]:[Memo 07]],-1)),"")</f>
        <v>45228</v>
      </c>
      <c r="X2219" s="11">
        <f ca="1">IFERROR(reading[[#This Row],[Previous]]+OFFSET(reading[[#Headers],[Memo 01]],-1,MATCH(0,reading[[#This Row],[Memo 01]:[Memo 07]],-1)-1),"")</f>
        <v>45240</v>
      </c>
      <c r="Y2219" s="10" t="str">
        <f ca="1">IF(reading[[#This Row],[Next]]&lt;&gt;"",IF(reading[[#This Row],[Next]]&gt;TODAY(),"OK",""),"")</f>
        <v/>
      </c>
      <c r="Z2219" s="13">
        <v>3</v>
      </c>
      <c r="AA2219" s="13">
        <v>3</v>
      </c>
      <c r="AB2219" s="13">
        <v>3</v>
      </c>
      <c r="AC2219" s="13">
        <v>3</v>
      </c>
      <c r="AD2219" s="13">
        <v>3</v>
      </c>
      <c r="AE2219" s="13"/>
      <c r="AF2219" s="13"/>
      <c r="AG2219" s="16">
        <f>IFERROR(SUMIF(reading[[#This Row],[1st]:[7th]],"&gt;0")/COUNTIF(reading[[#This Row],[1st]:[7th]],"&gt;0"),"")</f>
        <v>3</v>
      </c>
    </row>
    <row r="2220" spans="1:33" x14ac:dyDescent="0.2">
      <c r="A2220" s="4">
        <f>IF(B2220=1,3,IF(D2220=1,2,IF(F2220=1,1,0)))</f>
        <v>0</v>
      </c>
      <c r="B2220" s="4" t="str">
        <f>IF(C2220=$L2220,1,IF(C2220="","",0))</f>
        <v/>
      </c>
      <c r="C2220" s="39"/>
      <c r="D2220" s="4" t="str">
        <f>IF(E2220=$L2220,1,IF(E2220="","",0))</f>
        <v/>
      </c>
      <c r="E2220" s="14"/>
      <c r="F2220" s="4" t="str">
        <f>IF(G2220=$L2220,1,IF(G2220="","",0))</f>
        <v/>
      </c>
      <c r="G2220" s="14"/>
      <c r="H2220" s="6">
        <v>1614</v>
      </c>
      <c r="I2220" s="15" t="s">
        <v>3120</v>
      </c>
      <c r="J2220" s="6" t="s">
        <v>4726</v>
      </c>
      <c r="K2220" s="6"/>
      <c r="L2220" s="6" t="s">
        <v>1696</v>
      </c>
      <c r="M2220" s="6" t="s">
        <v>7720</v>
      </c>
      <c r="N2220" s="7">
        <f ca="1">RAND()</f>
        <v>0.42906783316567665</v>
      </c>
      <c r="O2220" s="8">
        <v>45210</v>
      </c>
      <c r="P2220" s="8">
        <v>45212</v>
      </c>
      <c r="Q2220" s="8">
        <v>45214</v>
      </c>
      <c r="R2220" s="8">
        <v>45218</v>
      </c>
      <c r="S2220" s="8">
        <v>45225</v>
      </c>
      <c r="T2220" s="8">
        <v>45237</v>
      </c>
      <c r="U2220" s="8"/>
      <c r="V2220" s="10">
        <f>COUNTA(O2220:U2220)</f>
        <v>6</v>
      </c>
      <c r="W2220" s="11">
        <f>_xlfn.IFNA(INDEX(reading[[#This Row],[Memo 01]:[Memo 07]],MATCH(0,reading[[#This Row],[Memo 01]:[Memo 07]],-1)),"")</f>
        <v>45237</v>
      </c>
      <c r="X2220" s="11">
        <f ca="1">IFERROR(reading[[#This Row],[Previous]]+OFFSET(reading[[#Headers],[Memo 01]],-1,MATCH(0,reading[[#This Row],[Memo 01]:[Memo 07]],-1)-1),"")</f>
        <v>45257</v>
      </c>
      <c r="Y2220" s="10" t="str">
        <f ca="1">IF(reading[[#This Row],[Next]]&lt;&gt;"",IF(reading[[#This Row],[Next]]&gt;TODAY(),"OK",""),"")</f>
        <v/>
      </c>
      <c r="Z2220" s="13">
        <v>3</v>
      </c>
      <c r="AA2220" s="13">
        <v>2</v>
      </c>
      <c r="AB2220" s="13">
        <v>3</v>
      </c>
      <c r="AC2220" s="13">
        <v>3</v>
      </c>
      <c r="AD2220" s="13">
        <v>3</v>
      </c>
      <c r="AE2220" s="13">
        <v>3</v>
      </c>
      <c r="AF2220" s="13"/>
      <c r="AG2220" s="16">
        <f>IFERROR(SUMIF(reading[[#This Row],[1st]:[7th]],"&gt;0")/COUNTIF(reading[[#This Row],[1st]:[7th]],"&gt;0"),"")</f>
        <v>2.8333333333333335</v>
      </c>
    </row>
    <row r="2221" spans="1:33" hidden="1" x14ac:dyDescent="0.2">
      <c r="A2221" s="4">
        <f>IF(B2221=1,3,IF(D2221=1,2,IF(F2221=1,1,0)))</f>
        <v>0</v>
      </c>
      <c r="B2221" s="4" t="str">
        <f>IF(C2221=$L2221,1,IF(C2221="","",0))</f>
        <v/>
      </c>
      <c r="C2221" s="42"/>
      <c r="D2221" s="4" t="str">
        <f>IF(E2221=$L2221,1,IF(E2221="","",0))</f>
        <v/>
      </c>
      <c r="E2221" s="43"/>
      <c r="F2221" s="4" t="str">
        <f>IF(G2221=$L2221,1,IF(G2221="","",0))</f>
        <v/>
      </c>
      <c r="G2221" s="14"/>
      <c r="H2221" s="6">
        <v>2667</v>
      </c>
      <c r="I2221" s="15" t="s">
        <v>3120</v>
      </c>
      <c r="J2221" s="6" t="s">
        <v>5719</v>
      </c>
      <c r="K2221" s="6"/>
      <c r="L2221" s="6" t="s">
        <v>2706</v>
      </c>
      <c r="M2221" s="6" t="s">
        <v>8772</v>
      </c>
      <c r="N2221" s="7">
        <f ca="1">RAND()</f>
        <v>8.8542901251065786E-2</v>
      </c>
      <c r="O2221" s="8">
        <v>45220</v>
      </c>
      <c r="P2221" s="8">
        <v>45221</v>
      </c>
      <c r="Q2221" s="8">
        <v>45223</v>
      </c>
      <c r="R2221" s="8">
        <v>45227</v>
      </c>
      <c r="S2221" s="8">
        <v>45235</v>
      </c>
      <c r="T2221" s="8">
        <v>45249</v>
      </c>
      <c r="U2221" s="8">
        <v>45825</v>
      </c>
      <c r="V2221" s="10">
        <f>COUNTA(O2221:U2221)</f>
        <v>7</v>
      </c>
      <c r="W2221" s="11">
        <f>_xlfn.IFNA(INDEX(reading[[#This Row],[Memo 01]:[Memo 07]],MATCH(0,reading[[#This Row],[Memo 01]:[Memo 07]],-1)),"")</f>
        <v>45825</v>
      </c>
      <c r="X2221" s="11">
        <f ca="1">IFERROR(reading[[#This Row],[Previous]]+OFFSET(reading[[#Headers],[Memo 01]],-1,MATCH(0,reading[[#This Row],[Memo 01]:[Memo 07]],-1)-1),"")</f>
        <v>55825</v>
      </c>
      <c r="Y2221" s="10" t="str">
        <f ca="1">IF(reading[[#This Row],[Next]]&lt;&gt;"",IF(reading[[#This Row],[Next]]&gt;TODAY(),"OK",""),"")</f>
        <v>OK</v>
      </c>
      <c r="Z2221" s="13">
        <v>3</v>
      </c>
      <c r="AA2221" s="13">
        <v>3</v>
      </c>
      <c r="AB2221" s="13">
        <v>2</v>
      </c>
      <c r="AC2221" s="13">
        <v>2</v>
      </c>
      <c r="AD2221" s="13">
        <v>2</v>
      </c>
      <c r="AE2221" s="13">
        <v>2</v>
      </c>
      <c r="AF2221" s="13">
        <v>2</v>
      </c>
      <c r="AG2221" s="16">
        <f>IFERROR(SUMIF(reading[[#This Row],[1st]:[7th]],"&gt;0")/COUNTIF(reading[[#This Row],[1st]:[7th]],"&gt;0"),"")</f>
        <v>2.2857142857142856</v>
      </c>
    </row>
    <row r="2222" spans="1:33" x14ac:dyDescent="0.2">
      <c r="A2222" s="4">
        <f>IF(B2222=1,3,IF(D2222=1,2,IF(F2222=1,1,0)))</f>
        <v>0</v>
      </c>
      <c r="B2222" s="4" t="str">
        <f>IF(C2222=$L2222,1,IF(C2222="","",0))</f>
        <v/>
      </c>
      <c r="C2222" s="39"/>
      <c r="D2222" s="4" t="str">
        <f>IF(E2222=$L2222,1,IF(E2222="","",0))</f>
        <v/>
      </c>
      <c r="E2222" s="18"/>
      <c r="F2222" s="4" t="str">
        <f>IF(G2222=$L2222,1,IF(G2222="","",0))</f>
        <v/>
      </c>
      <c r="G2222" s="14"/>
      <c r="H2222" s="6">
        <v>2873</v>
      </c>
      <c r="I2222" s="15" t="s">
        <v>3120</v>
      </c>
      <c r="J2222" s="6" t="s">
        <v>5910</v>
      </c>
      <c r="K2222" s="15" t="s">
        <v>3138</v>
      </c>
      <c r="L2222" s="6" t="s">
        <v>2904</v>
      </c>
      <c r="M2222" s="6" t="s">
        <v>8977</v>
      </c>
      <c r="N2222" s="7">
        <f ca="1">RAND()</f>
        <v>0.30009470176230091</v>
      </c>
      <c r="O2222" s="8">
        <v>45222</v>
      </c>
      <c r="P2222" s="8">
        <v>45223</v>
      </c>
      <c r="Q2222" s="8">
        <v>45225</v>
      </c>
      <c r="R2222" s="8">
        <v>45229</v>
      </c>
      <c r="S2222" s="8">
        <v>45236</v>
      </c>
      <c r="T2222" s="8"/>
      <c r="U2222" s="8"/>
      <c r="V2222" s="10">
        <f>COUNTA(O2222:U2222)</f>
        <v>5</v>
      </c>
      <c r="W2222" s="11">
        <f>_xlfn.IFNA(INDEX(reading[[#This Row],[Memo 01]:[Memo 07]],MATCH(0,reading[[#This Row],[Memo 01]:[Memo 07]],-1)),"")</f>
        <v>45236</v>
      </c>
      <c r="X2222" s="11">
        <f ca="1">IFERROR(reading[[#This Row],[Previous]]+OFFSET(reading[[#Headers],[Memo 01]],-1,MATCH(0,reading[[#This Row],[Memo 01]:[Memo 07]],-1)-1),"")</f>
        <v>45248</v>
      </c>
      <c r="Y2222" s="10" t="str">
        <f ca="1">IF(reading[[#This Row],[Next]]&lt;&gt;"",IF(reading[[#This Row],[Next]]&gt;TODAY(),"OK",""),"")</f>
        <v/>
      </c>
      <c r="Z2222" s="13">
        <v>3</v>
      </c>
      <c r="AA2222" s="13">
        <v>3</v>
      </c>
      <c r="AB2222" s="13">
        <v>2</v>
      </c>
      <c r="AC2222" s="13">
        <v>3</v>
      </c>
      <c r="AD2222" s="13">
        <v>3</v>
      </c>
      <c r="AE2222" s="13"/>
      <c r="AF2222" s="13"/>
      <c r="AG2222" s="16">
        <f>IFERROR(SUMIF(reading[[#This Row],[1st]:[7th]],"&gt;0")/COUNTIF(reading[[#This Row],[1st]:[7th]],"&gt;0"),"")</f>
        <v>2.8</v>
      </c>
    </row>
    <row r="2223" spans="1:33" x14ac:dyDescent="0.2">
      <c r="A2223" s="4">
        <f>IF(B2223=1,3,IF(D2223=1,2,IF(F2223=1,1,0)))</f>
        <v>0</v>
      </c>
      <c r="B2223" s="4" t="str">
        <f>IF(C2223=$L2223,1,IF(C2223="","",0))</f>
        <v/>
      </c>
      <c r="C2223" s="39"/>
      <c r="D2223" s="4" t="str">
        <f>IF(E2223=$L2223,1,IF(E2223="","",0))</f>
        <v/>
      </c>
      <c r="E2223" s="18"/>
      <c r="F2223" s="4" t="str">
        <f>IF(G2223=$L2223,1,IF(G2223="","",0))</f>
        <v/>
      </c>
      <c r="G2223" s="14"/>
      <c r="H2223" s="6">
        <v>1459</v>
      </c>
      <c r="I2223" s="15" t="s">
        <v>3120</v>
      </c>
      <c r="J2223" s="6" t="s">
        <v>4573</v>
      </c>
      <c r="K2223" s="6"/>
      <c r="L2223" s="6" t="s">
        <v>136</v>
      </c>
      <c r="M2223" s="6" t="s">
        <v>7566</v>
      </c>
      <c r="N2223" s="7">
        <f ca="1">RAND()</f>
        <v>0.26062457413582163</v>
      </c>
      <c r="O2223" s="8">
        <v>45208</v>
      </c>
      <c r="P2223" s="8">
        <v>45209</v>
      </c>
      <c r="Q2223" s="8">
        <v>45211</v>
      </c>
      <c r="R2223" s="8">
        <v>45215</v>
      </c>
      <c r="S2223" s="8">
        <v>45222</v>
      </c>
      <c r="T2223" s="8">
        <v>45234</v>
      </c>
      <c r="U2223" s="8"/>
      <c r="V2223" s="10">
        <f>COUNTA(O2223:U2223)</f>
        <v>6</v>
      </c>
      <c r="W2223" s="11">
        <f>_xlfn.IFNA(INDEX(reading[[#This Row],[Memo 01]:[Memo 07]],MATCH(0,reading[[#This Row],[Memo 01]:[Memo 07]],-1)),"")</f>
        <v>45234</v>
      </c>
      <c r="X2223" s="11">
        <f ca="1">IFERROR(reading[[#This Row],[Previous]]+OFFSET(reading[[#Headers],[Memo 01]],-1,MATCH(0,reading[[#This Row],[Memo 01]:[Memo 07]],-1)-1),"")</f>
        <v>45254</v>
      </c>
      <c r="Y2223" s="10" t="str">
        <f ca="1">IF(reading[[#This Row],[Next]]&lt;&gt;"",IF(reading[[#This Row],[Next]]&gt;TODAY(),"OK",""),"")</f>
        <v/>
      </c>
      <c r="Z2223" s="13">
        <v>3</v>
      </c>
      <c r="AA2223" s="13">
        <v>3</v>
      </c>
      <c r="AB2223" s="13">
        <v>3</v>
      </c>
      <c r="AC2223" s="13">
        <v>2</v>
      </c>
      <c r="AD2223" s="13">
        <v>2</v>
      </c>
      <c r="AE2223" s="13">
        <v>3</v>
      </c>
      <c r="AF2223" s="13"/>
      <c r="AG2223" s="16">
        <f>IFERROR(SUMIF(reading[[#This Row],[1st]:[7th]],"&gt;0")/COUNTIF(reading[[#This Row],[1st]:[7th]],"&gt;0"),"")</f>
        <v>2.6666666666666665</v>
      </c>
    </row>
    <row r="2224" spans="1:33" hidden="1" x14ac:dyDescent="0.2">
      <c r="A2224" s="4">
        <f>IF(B2224=1,3,IF(D2224=1,2,IF(F2224=1,1,0)))</f>
        <v>0</v>
      </c>
      <c r="B2224" s="4">
        <f>IF(C2224=$L2224,1,IF(C2224="","",0))</f>
        <v>0</v>
      </c>
      <c r="C2224" s="43" t="s">
        <v>9200</v>
      </c>
      <c r="D2224" s="4" t="str">
        <f>IF(E2224=$L2224,1,IF(E2224="","",0))</f>
        <v/>
      </c>
      <c r="E2224" s="18"/>
      <c r="F2224" s="4" t="str">
        <f>IF(G2224=$L2224,1,IF(G2224="","",0))</f>
        <v/>
      </c>
      <c r="G2224" s="14"/>
      <c r="H2224" s="6">
        <v>211</v>
      </c>
      <c r="I2224" s="15" t="s">
        <v>3120</v>
      </c>
      <c r="J2224" s="6" t="s">
        <v>3360</v>
      </c>
      <c r="K2224" s="6"/>
      <c r="L2224" s="6" t="s">
        <v>347</v>
      </c>
      <c r="M2224" s="6" t="s">
        <v>6320</v>
      </c>
      <c r="N2224" s="7">
        <f ca="1">RAND()</f>
        <v>0.65646314610185907</v>
      </c>
      <c r="O2224" s="8">
        <v>45199</v>
      </c>
      <c r="P2224" s="8">
        <v>45200</v>
      </c>
      <c r="Q2224" s="8">
        <v>45202</v>
      </c>
      <c r="R2224" s="8">
        <v>45206</v>
      </c>
      <c r="S2224" s="8">
        <v>45213</v>
      </c>
      <c r="T2224" s="8">
        <v>45225</v>
      </c>
      <c r="U2224" s="8"/>
      <c r="V2224" s="10">
        <f>COUNTA(O2224:U2224)</f>
        <v>6</v>
      </c>
      <c r="W2224" s="11">
        <f>_xlfn.IFNA(INDEX(reading[[#This Row],[Memo 01]:[Memo 07]],MATCH(0,reading[[#This Row],[Memo 01]:[Memo 07]],-1)),"")</f>
        <v>45225</v>
      </c>
      <c r="X2224" s="11">
        <f ca="1">IFERROR(reading[[#This Row],[Previous]]+OFFSET(reading[[#Headers],[Memo 01]],-1,MATCH(0,reading[[#This Row],[Memo 01]:[Memo 07]],-1)-1),"")</f>
        <v>45245</v>
      </c>
      <c r="Y2224" s="10" t="str">
        <f ca="1">IF(reading[[#This Row],[Next]]&lt;&gt;"",IF(reading[[#This Row],[Next]]&gt;TODAY(),"OK",""),"")</f>
        <v/>
      </c>
      <c r="Z2224" s="13">
        <v>3</v>
      </c>
      <c r="AA2224" s="13">
        <v>3</v>
      </c>
      <c r="AB2224" s="13">
        <v>2</v>
      </c>
      <c r="AC2224" s="13">
        <v>3</v>
      </c>
      <c r="AD2224" s="13">
        <v>3</v>
      </c>
      <c r="AE2224" s="13">
        <v>3</v>
      </c>
      <c r="AF2224" s="13"/>
      <c r="AG2224" s="16">
        <f>IFERROR(SUMIF(reading[[#This Row],[1st]:[7th]],"&gt;0")/COUNTIF(reading[[#This Row],[1st]:[7th]],"&gt;0"),"")</f>
        <v>2.8333333333333335</v>
      </c>
    </row>
    <row r="2225" spans="1:33" hidden="1" x14ac:dyDescent="0.2">
      <c r="A2225" s="4">
        <f>IF(B2225=1,3,IF(D2225=1,2,IF(F2225=1,1,0)))</f>
        <v>0</v>
      </c>
      <c r="B2225" s="4">
        <f>IF(C2225=$L2225,1,IF(C2225="","",0))</f>
        <v>0</v>
      </c>
      <c r="C2225" s="42" t="s">
        <v>9296</v>
      </c>
      <c r="D2225" s="4" t="str">
        <f>IF(E2225=$L2225,1,IF(E2225="","",0))</f>
        <v/>
      </c>
      <c r="E2225" s="14"/>
      <c r="F2225" s="4" t="str">
        <f>IF(G2225=$L2225,1,IF(G2225="","",0))</f>
        <v/>
      </c>
      <c r="G2225" s="14"/>
      <c r="H2225" s="6">
        <v>505</v>
      </c>
      <c r="I2225" s="15" t="s">
        <v>3120</v>
      </c>
      <c r="J2225" s="6" t="s">
        <v>3650</v>
      </c>
      <c r="K2225" s="6"/>
      <c r="L2225" s="6" t="s">
        <v>633</v>
      </c>
      <c r="M2225" s="6" t="s">
        <v>6614</v>
      </c>
      <c r="N2225" s="7">
        <f ca="1">RAND()</f>
        <v>0.86413360747604628</v>
      </c>
      <c r="O2225" s="8">
        <v>45203</v>
      </c>
      <c r="P2225" s="8">
        <v>45204</v>
      </c>
      <c r="Q2225" s="8">
        <v>45206</v>
      </c>
      <c r="R2225" s="8">
        <v>45210</v>
      </c>
      <c r="S2225" s="8">
        <v>45217</v>
      </c>
      <c r="T2225" s="8">
        <v>45229</v>
      </c>
      <c r="U2225" s="8"/>
      <c r="V2225" s="10">
        <f>COUNTA(O2225:U2225)</f>
        <v>6</v>
      </c>
      <c r="W2225" s="11">
        <f>_xlfn.IFNA(INDEX(reading[[#This Row],[Memo 01]:[Memo 07]],MATCH(0,reading[[#This Row],[Memo 01]:[Memo 07]],-1)),"")</f>
        <v>45229</v>
      </c>
      <c r="X2225" s="11">
        <f ca="1">IFERROR(reading[[#This Row],[Previous]]+OFFSET(reading[[#Headers],[Memo 01]],-1,MATCH(0,reading[[#This Row],[Memo 01]:[Memo 07]],-1)-1),"")</f>
        <v>45249</v>
      </c>
      <c r="Y2225" s="10" t="str">
        <f ca="1">IF(reading[[#This Row],[Next]]&lt;&gt;"",IF(reading[[#This Row],[Next]]&gt;TODAY(),"OK",""),"")</f>
        <v/>
      </c>
      <c r="Z2225" s="13">
        <v>3</v>
      </c>
      <c r="AA2225" s="13">
        <v>3</v>
      </c>
      <c r="AB2225" s="13">
        <v>3</v>
      </c>
      <c r="AC2225" s="13">
        <v>3</v>
      </c>
      <c r="AD2225" s="13">
        <v>3</v>
      </c>
      <c r="AE2225" s="13">
        <v>3</v>
      </c>
      <c r="AF2225" s="13"/>
      <c r="AG2225" s="16">
        <f>IFERROR(SUMIF(reading[[#This Row],[1st]:[7th]],"&gt;0")/COUNTIF(reading[[#This Row],[1st]:[7th]],"&gt;0"),"")</f>
        <v>3</v>
      </c>
    </row>
    <row r="2226" spans="1:33" hidden="1" x14ac:dyDescent="0.2">
      <c r="A2226" s="4">
        <f>IF(B2226=1,3,IF(D2226=1,2,IF(F2226=1,1,0)))</f>
        <v>3</v>
      </c>
      <c r="B2226" s="4">
        <f>IF(C2226=$L2226,1,IF(C2226="","",0))</f>
        <v>1</v>
      </c>
      <c r="C2226" s="34" t="s">
        <v>2292</v>
      </c>
      <c r="D2226" s="4" t="str">
        <f>IF(E2226=$L2226,1,IF(E2226="","",0))</f>
        <v/>
      </c>
      <c r="E2226" s="14"/>
      <c r="F2226" s="4" t="str">
        <f>IF(G2226=$L2226,1,IF(G2226="","",0))</f>
        <v/>
      </c>
      <c r="G2226" s="14"/>
      <c r="H2226" s="6">
        <v>2230</v>
      </c>
      <c r="I2226" s="15" t="s">
        <v>3120</v>
      </c>
      <c r="J2226" s="6" t="s">
        <v>5315</v>
      </c>
      <c r="K2226" s="6"/>
      <c r="L2226" s="6" t="s">
        <v>2292</v>
      </c>
      <c r="M2226" s="6" t="s">
        <v>8336</v>
      </c>
      <c r="N2226" s="7">
        <f ca="1">RAND()</f>
        <v>0.10659642717016959</v>
      </c>
      <c r="O2226" s="8">
        <v>45215</v>
      </c>
      <c r="P2226" s="8">
        <v>45215</v>
      </c>
      <c r="Q2226" s="8">
        <v>45215</v>
      </c>
      <c r="R2226" s="8">
        <v>45215</v>
      </c>
      <c r="S2226" s="8">
        <v>45215</v>
      </c>
      <c r="T2226" s="8">
        <v>45215</v>
      </c>
      <c r="U2226" s="8">
        <v>45215</v>
      </c>
      <c r="V2226" s="10">
        <f>COUNTA(O2226:U2226)</f>
        <v>7</v>
      </c>
      <c r="W2226" s="11">
        <f>_xlfn.IFNA(INDEX(reading[[#This Row],[Memo 01]:[Memo 07]],MATCH(0,reading[[#This Row],[Memo 01]:[Memo 07]],-1)),"")</f>
        <v>45215</v>
      </c>
      <c r="X2226" s="11">
        <f ca="1">IFERROR(reading[[#This Row],[Previous]]+OFFSET(reading[[#Headers],[Memo 01]],-1,MATCH(0,reading[[#This Row],[Memo 01]:[Memo 07]],-1)-1),"")</f>
        <v>55215</v>
      </c>
      <c r="Y2226" s="10" t="str">
        <f ca="1">IF(reading[[#This Row],[Next]]&lt;&gt;"",IF(reading[[#This Row],[Next]]&gt;TODAY(),"OK",""),"")</f>
        <v>OK</v>
      </c>
      <c r="Z2226" s="13">
        <v>3</v>
      </c>
      <c r="AA2226" s="13"/>
      <c r="AB2226" s="13"/>
      <c r="AC2226" s="13"/>
      <c r="AD2226" s="13"/>
      <c r="AE2226" s="13"/>
      <c r="AF2226" s="13"/>
      <c r="AG2226" s="16">
        <f>IFERROR(SUMIF(reading[[#This Row],[1st]:[7th]],"&gt;0")/COUNTIF(reading[[#This Row],[1st]:[7th]],"&gt;0"),"")</f>
        <v>3</v>
      </c>
    </row>
    <row r="2227" spans="1:33" x14ac:dyDescent="0.2">
      <c r="A2227" s="4">
        <f>IF(B2227=1,3,IF(D2227=1,2,IF(F2227=1,1,0)))</f>
        <v>0</v>
      </c>
      <c r="B2227" s="4" t="str">
        <f>IF(C2227=$L2227,1,IF(C2227="","",0))</f>
        <v/>
      </c>
      <c r="C2227" s="36"/>
      <c r="D2227" s="4" t="str">
        <f>IF(E2227=$L2227,1,IF(E2227="","",0))</f>
        <v/>
      </c>
      <c r="E2227" s="18"/>
      <c r="F2227" s="4" t="str">
        <f>IF(G2227=$L2227,1,IF(G2227="","",0))</f>
        <v/>
      </c>
      <c r="G2227" s="14"/>
      <c r="H2227" s="6">
        <v>1900</v>
      </c>
      <c r="I2227" s="15" t="s">
        <v>3120</v>
      </c>
      <c r="J2227" s="6" t="s">
        <v>5001</v>
      </c>
      <c r="K2227" s="6"/>
      <c r="L2227" s="6" t="s">
        <v>1976</v>
      </c>
      <c r="M2227" s="6" t="s">
        <v>8006</v>
      </c>
      <c r="N2227" s="7">
        <f ca="1">RAND()</f>
        <v>0.40746805726631485</v>
      </c>
      <c r="O2227" s="8">
        <v>45212</v>
      </c>
      <c r="P2227" s="8">
        <v>45213</v>
      </c>
      <c r="Q2227" s="8">
        <v>45215</v>
      </c>
      <c r="R2227" s="8">
        <v>45219</v>
      </c>
      <c r="S2227" s="8">
        <v>45226</v>
      </c>
      <c r="T2227" s="8"/>
      <c r="U2227" s="8"/>
      <c r="V2227" s="10">
        <f>COUNTA(O2227:U2227)</f>
        <v>5</v>
      </c>
      <c r="W2227" s="11">
        <f>_xlfn.IFNA(INDEX(reading[[#This Row],[Memo 01]:[Memo 07]],MATCH(0,reading[[#This Row],[Memo 01]:[Memo 07]],-1)),"")</f>
        <v>45226</v>
      </c>
      <c r="X2227" s="11">
        <f ca="1">IFERROR(reading[[#This Row],[Previous]]+OFFSET(reading[[#Headers],[Memo 01]],-1,MATCH(0,reading[[#This Row],[Memo 01]:[Memo 07]],-1)-1),"")</f>
        <v>45238</v>
      </c>
      <c r="Y2227" s="10" t="str">
        <f ca="1">IF(reading[[#This Row],[Next]]&lt;&gt;"",IF(reading[[#This Row],[Next]]&gt;TODAY(),"OK",""),"")</f>
        <v/>
      </c>
      <c r="Z2227" s="13">
        <v>3</v>
      </c>
      <c r="AA2227" s="13">
        <v>3</v>
      </c>
      <c r="AB2227" s="13">
        <v>3</v>
      </c>
      <c r="AC2227" s="13">
        <v>3</v>
      </c>
      <c r="AD2227" s="13">
        <v>2</v>
      </c>
      <c r="AE2227" s="13"/>
      <c r="AF2227" s="13"/>
      <c r="AG2227" s="16">
        <f>IFERROR(SUMIF(reading[[#This Row],[1st]:[7th]],"&gt;0")/COUNTIF(reading[[#This Row],[1st]:[7th]],"&gt;0"),"")</f>
        <v>2.8</v>
      </c>
    </row>
    <row r="2228" spans="1:33" hidden="1" x14ac:dyDescent="0.2">
      <c r="A2228" s="4">
        <f>IF(B2228=1,3,IF(D2228=1,2,IF(F2228=1,1,0)))</f>
        <v>0</v>
      </c>
      <c r="B2228" s="4" t="str">
        <f>IF(C2228=$L2228,1,IF(C2228="","",0))</f>
        <v/>
      </c>
      <c r="C2228" s="42"/>
      <c r="D2228" s="4" t="str">
        <f>IF(E2228=$L2228,1,IF(E2228="","",0))</f>
        <v/>
      </c>
      <c r="E2228" s="43"/>
      <c r="F2228" s="4" t="str">
        <f>IF(G2228=$L2228,1,IF(G2228="","",0))</f>
        <v/>
      </c>
      <c r="G2228" s="23"/>
      <c r="H2228" s="6">
        <v>2498</v>
      </c>
      <c r="I2228" s="15" t="s">
        <v>3120</v>
      </c>
      <c r="J2228" s="6" t="s">
        <v>5564</v>
      </c>
      <c r="K2228" s="6"/>
      <c r="L2228" s="6" t="s">
        <v>2544</v>
      </c>
      <c r="M2228" s="6" t="s">
        <v>8603</v>
      </c>
      <c r="N2228" s="7">
        <f ca="1">RAND()</f>
        <v>0.69570477690918864</v>
      </c>
      <c r="O2228" s="8">
        <v>45218</v>
      </c>
      <c r="P2228" s="8">
        <v>45219</v>
      </c>
      <c r="Q2228" s="8">
        <v>45221</v>
      </c>
      <c r="R2228" s="8">
        <v>45225</v>
      </c>
      <c r="S2228" s="8">
        <v>45232</v>
      </c>
      <c r="T2228" s="8">
        <v>45252</v>
      </c>
      <c r="U2228" s="8">
        <v>45817</v>
      </c>
      <c r="V2228" s="10">
        <f>COUNTA(O2228:U2228)</f>
        <v>7</v>
      </c>
      <c r="W2228" s="11">
        <f>_xlfn.IFNA(INDEX(reading[[#This Row],[Memo 01]:[Memo 07]],MATCH(0,reading[[#This Row],[Memo 01]:[Memo 07]],-1)),"")</f>
        <v>45817</v>
      </c>
      <c r="X2228" s="11">
        <f ca="1">IFERROR(reading[[#This Row],[Previous]]+OFFSET(reading[[#Headers],[Memo 01]],-1,MATCH(0,reading[[#This Row],[Memo 01]:[Memo 07]],-1)-1),"")</f>
        <v>55817</v>
      </c>
      <c r="Y2228" s="10" t="str">
        <f ca="1">IF(reading[[#This Row],[Next]]&lt;&gt;"",IF(reading[[#This Row],[Next]]&gt;TODAY(),"OK",""),"")</f>
        <v>OK</v>
      </c>
      <c r="Z2228" s="13">
        <v>3</v>
      </c>
      <c r="AA2228" s="13">
        <v>3</v>
      </c>
      <c r="AB2228" s="13">
        <v>2</v>
      </c>
      <c r="AC2228" s="13">
        <v>2</v>
      </c>
      <c r="AD2228" s="13">
        <v>3</v>
      </c>
      <c r="AE2228" s="13">
        <v>2</v>
      </c>
      <c r="AF2228" s="13">
        <v>1</v>
      </c>
      <c r="AG2228" s="16">
        <f>IFERROR(SUMIF(reading[[#This Row],[1st]:[7th]],"&gt;0")/COUNTIF(reading[[#This Row],[1st]:[7th]],"&gt;0"),"")</f>
        <v>2.2857142857142856</v>
      </c>
    </row>
    <row r="2229" spans="1:33" x14ac:dyDescent="0.2">
      <c r="A2229" s="4">
        <f>IF(B2229=1,3,IF(D2229=1,2,IF(F2229=1,1,0)))</f>
        <v>0</v>
      </c>
      <c r="B2229" s="4" t="str">
        <f>IF(C2229=$L2229,1,IF(C2229="","",0))</f>
        <v/>
      </c>
      <c r="C2229" s="36"/>
      <c r="D2229" s="4" t="str">
        <f>IF(E2229=$L2229,1,IF(E2229="","",0))</f>
        <v/>
      </c>
      <c r="E2229" s="14"/>
      <c r="F2229" s="4" t="str">
        <f>IF(G2229=$L2229,1,IF(G2229="","",0))</f>
        <v/>
      </c>
      <c r="G2229" s="14"/>
      <c r="H2229" s="6">
        <v>144</v>
      </c>
      <c r="I2229" s="15" t="s">
        <v>3120</v>
      </c>
      <c r="J2229" s="6" t="s">
        <v>3293</v>
      </c>
      <c r="K2229" s="6"/>
      <c r="L2229" s="6" t="s">
        <v>281</v>
      </c>
      <c r="M2229" s="6" t="s">
        <v>6253</v>
      </c>
      <c r="N2229" s="7">
        <f ca="1">RAND()</f>
        <v>0.48441039254128848</v>
      </c>
      <c r="O2229" s="8">
        <v>45199</v>
      </c>
      <c r="P2229" s="8">
        <v>45200</v>
      </c>
      <c r="Q2229" s="8">
        <v>45202</v>
      </c>
      <c r="R2229" s="8">
        <v>45206</v>
      </c>
      <c r="S2229" s="8">
        <v>45213</v>
      </c>
      <c r="T2229" s="8">
        <v>45225</v>
      </c>
      <c r="U2229" s="8"/>
      <c r="V2229" s="10">
        <f>COUNTA(O2229:U2229)</f>
        <v>6</v>
      </c>
      <c r="W2229" s="11">
        <f>_xlfn.IFNA(INDEX(reading[[#This Row],[Memo 01]:[Memo 07]],MATCH(0,reading[[#This Row],[Memo 01]:[Memo 07]],-1)),"")</f>
        <v>45225</v>
      </c>
      <c r="X2229" s="11">
        <f ca="1">IFERROR(reading[[#This Row],[Previous]]+OFFSET(reading[[#Headers],[Memo 01]],-1,MATCH(0,reading[[#This Row],[Memo 01]:[Memo 07]],-1)-1),"")</f>
        <v>45245</v>
      </c>
      <c r="Y2229" s="10" t="str">
        <f ca="1">IF(reading[[#This Row],[Next]]&lt;&gt;"",IF(reading[[#This Row],[Next]]&gt;TODAY(),"OK",""),"")</f>
        <v/>
      </c>
      <c r="Z2229" s="13">
        <v>3</v>
      </c>
      <c r="AA2229" s="13">
        <v>3</v>
      </c>
      <c r="AB2229" s="13">
        <v>3</v>
      </c>
      <c r="AC2229" s="13">
        <v>3</v>
      </c>
      <c r="AD2229" s="13">
        <v>3</v>
      </c>
      <c r="AE2229" s="13">
        <v>3</v>
      </c>
      <c r="AF2229" s="13"/>
      <c r="AG2229" s="16">
        <f>IFERROR(SUMIF(reading[[#This Row],[1st]:[7th]],"&gt;0")/COUNTIF(reading[[#This Row],[1st]:[7th]],"&gt;0"),"")</f>
        <v>3</v>
      </c>
    </row>
    <row r="2230" spans="1:33" hidden="1" x14ac:dyDescent="0.2">
      <c r="A2230" s="4">
        <f>IF(B2230=1,3,IF(D2230=1,2,IF(F2230=1,1,0)))</f>
        <v>0</v>
      </c>
      <c r="B2230" s="4" t="str">
        <f>IF(C2230=$L2230,1,IF(C2230="","",0))</f>
        <v/>
      </c>
      <c r="C2230" s="42"/>
      <c r="D2230" s="4" t="str">
        <f>IF(E2230=$L2230,1,IF(E2230="","",0))</f>
        <v/>
      </c>
      <c r="E2230" s="23"/>
      <c r="F2230" s="4" t="str">
        <f>IF(G2230=$L2230,1,IF(G2230="","",0))</f>
        <v/>
      </c>
      <c r="G2230" s="14"/>
      <c r="H2230" s="6">
        <v>1448</v>
      </c>
      <c r="I2230" s="15" t="s">
        <v>3120</v>
      </c>
      <c r="J2230" s="6" t="s">
        <v>4562</v>
      </c>
      <c r="K2230" s="6"/>
      <c r="L2230" s="6" t="s">
        <v>1537</v>
      </c>
      <c r="M2230" s="6" t="s">
        <v>7555</v>
      </c>
      <c r="N2230" s="7">
        <f ca="1">RAND()</f>
        <v>0.39864784312940882</v>
      </c>
      <c r="O2230" s="8">
        <v>45208</v>
      </c>
      <c r="P2230" s="8">
        <v>45209</v>
      </c>
      <c r="Q2230" s="8">
        <v>45211</v>
      </c>
      <c r="R2230" s="8">
        <v>45215</v>
      </c>
      <c r="S2230" s="8">
        <v>45222</v>
      </c>
      <c r="T2230" s="8">
        <v>45235</v>
      </c>
      <c r="U2230" s="8">
        <v>45825</v>
      </c>
      <c r="V2230" s="10">
        <f>COUNTA(O2230:U2230)</f>
        <v>7</v>
      </c>
      <c r="W2230" s="11">
        <f>_xlfn.IFNA(INDEX(reading[[#This Row],[Memo 01]:[Memo 07]],MATCH(0,reading[[#This Row],[Memo 01]:[Memo 07]],-1)),"")</f>
        <v>45825</v>
      </c>
      <c r="X2230" s="11">
        <f ca="1">IFERROR(reading[[#This Row],[Previous]]+OFFSET(reading[[#Headers],[Memo 01]],-1,MATCH(0,reading[[#This Row],[Memo 01]:[Memo 07]],-1)-1),"")</f>
        <v>55825</v>
      </c>
      <c r="Y2230" s="10" t="str">
        <f ca="1">IF(reading[[#This Row],[Next]]&lt;&gt;"",IF(reading[[#This Row],[Next]]&gt;TODAY(),"OK",""),"")</f>
        <v>OK</v>
      </c>
      <c r="Z2230" s="13">
        <v>3</v>
      </c>
      <c r="AA2230" s="13">
        <v>3</v>
      </c>
      <c r="AB2230" s="13">
        <v>3</v>
      </c>
      <c r="AC2230" s="13">
        <v>3</v>
      </c>
      <c r="AD2230" s="13">
        <v>3</v>
      </c>
      <c r="AE2230" s="13">
        <v>2</v>
      </c>
      <c r="AF2230" s="13">
        <v>2</v>
      </c>
      <c r="AG2230" s="16">
        <f>IFERROR(SUMIF(reading[[#This Row],[1st]:[7th]],"&gt;0")/COUNTIF(reading[[#This Row],[1st]:[7th]],"&gt;0"),"")</f>
        <v>2.7142857142857144</v>
      </c>
    </row>
    <row r="2231" spans="1:33" hidden="1" x14ac:dyDescent="0.2">
      <c r="A2231" s="4">
        <f>IF(B2231=1,3,IF(D2231=1,2,IF(F2231=1,1,0)))</f>
        <v>0</v>
      </c>
      <c r="B2231" s="4">
        <f>IF(C2231=$L2231,1,IF(C2231="","",0))</f>
        <v>0</v>
      </c>
      <c r="C2231" s="42" t="s">
        <v>9286</v>
      </c>
      <c r="D2231" s="4" t="str">
        <f>IF(E2231=$L2231,1,IF(E2231="","",0))</f>
        <v/>
      </c>
      <c r="E2231" s="14"/>
      <c r="F2231" s="4" t="str">
        <f>IF(G2231=$L2231,1,IF(G2231="","",0))</f>
        <v/>
      </c>
      <c r="G2231" s="14"/>
      <c r="H2231" s="6">
        <v>974</v>
      </c>
      <c r="I2231" s="15" t="s">
        <v>3120</v>
      </c>
      <c r="J2231" s="6" t="s">
        <v>4103</v>
      </c>
      <c r="K2231" s="6"/>
      <c r="L2231" s="6" t="s">
        <v>1084</v>
      </c>
      <c r="M2231" s="6" t="s">
        <v>7082</v>
      </c>
      <c r="N2231" s="7">
        <f ca="1">RAND()</f>
        <v>4.7380649272654729E-4</v>
      </c>
      <c r="O2231" s="8">
        <v>45204</v>
      </c>
      <c r="P2231" s="8">
        <v>45205</v>
      </c>
      <c r="Q2231" s="8">
        <v>45207</v>
      </c>
      <c r="R2231" s="8">
        <v>45211</v>
      </c>
      <c r="S2231" s="8">
        <v>45218</v>
      </c>
      <c r="T2231" s="8">
        <v>45230</v>
      </c>
      <c r="U2231" s="8"/>
      <c r="V2231" s="10">
        <f>COUNTA(O2231:U2231)</f>
        <v>6</v>
      </c>
      <c r="W2231" s="11">
        <f>_xlfn.IFNA(INDEX(reading[[#This Row],[Memo 01]:[Memo 07]],MATCH(0,reading[[#This Row],[Memo 01]:[Memo 07]],-1)),"")</f>
        <v>45230</v>
      </c>
      <c r="X2231" s="11">
        <f ca="1">IFERROR(reading[[#This Row],[Previous]]+OFFSET(reading[[#Headers],[Memo 01]],-1,MATCH(0,reading[[#This Row],[Memo 01]:[Memo 07]],-1)-1),"")</f>
        <v>45250</v>
      </c>
      <c r="Y2231" s="10" t="str">
        <f ca="1">IF(reading[[#This Row],[Next]]&lt;&gt;"",IF(reading[[#This Row],[Next]]&gt;TODAY(),"OK",""),"")</f>
        <v/>
      </c>
      <c r="Z2231" s="13">
        <v>3</v>
      </c>
      <c r="AA2231" s="13">
        <v>3</v>
      </c>
      <c r="AB2231" s="13">
        <v>3</v>
      </c>
      <c r="AC2231" s="13">
        <v>3</v>
      </c>
      <c r="AD2231" s="13">
        <v>3</v>
      </c>
      <c r="AE2231" s="13">
        <v>3</v>
      </c>
      <c r="AF2231" s="13"/>
      <c r="AG2231" s="16">
        <f>IFERROR(SUMIF(reading[[#This Row],[1st]:[7th]],"&gt;0")/COUNTIF(reading[[#This Row],[1st]:[7th]],"&gt;0"),"")</f>
        <v>3</v>
      </c>
    </row>
    <row r="2232" spans="1:33" x14ac:dyDescent="0.2">
      <c r="A2232" s="4">
        <f>IF(B2232=1,3,IF(D2232=1,2,IF(F2232=1,1,0)))</f>
        <v>0</v>
      </c>
      <c r="B2232" s="4" t="str">
        <f>IF(C2232=$L2232,1,IF(C2232="","",0))</f>
        <v/>
      </c>
      <c r="C2232" s="36"/>
      <c r="D2232" s="4" t="str">
        <f>IF(E2232=$L2232,1,IF(E2232="","",0))</f>
        <v/>
      </c>
      <c r="E2232" s="14"/>
      <c r="F2232" s="4" t="str">
        <f>IF(G2232=$L2232,1,IF(G2232="","",0))</f>
        <v/>
      </c>
      <c r="G2232" s="14"/>
      <c r="H2232" s="6">
        <v>327</v>
      </c>
      <c r="I2232" s="15" t="s">
        <v>3120</v>
      </c>
      <c r="J2232" s="6" t="s">
        <v>3474</v>
      </c>
      <c r="K2232" s="6"/>
      <c r="L2232" s="6" t="s">
        <v>462</v>
      </c>
      <c r="M2232" s="6" t="s">
        <v>6436</v>
      </c>
      <c r="N2232" s="7">
        <f ca="1">RAND()</f>
        <v>0.23419650605880449</v>
      </c>
      <c r="O2232" s="8">
        <v>45200</v>
      </c>
      <c r="P2232" s="8">
        <v>45201</v>
      </c>
      <c r="Q2232" s="8">
        <v>45203</v>
      </c>
      <c r="R2232" s="8">
        <v>45207</v>
      </c>
      <c r="S2232" s="8">
        <v>45214</v>
      </c>
      <c r="T2232" s="8">
        <v>45226</v>
      </c>
      <c r="U2232" s="8"/>
      <c r="V2232" s="10">
        <f>COUNTA(O2232:U2232)</f>
        <v>6</v>
      </c>
      <c r="W2232" s="11">
        <f>_xlfn.IFNA(INDEX(reading[[#This Row],[Memo 01]:[Memo 07]],MATCH(0,reading[[#This Row],[Memo 01]:[Memo 07]],-1)),"")</f>
        <v>45226</v>
      </c>
      <c r="X2232" s="11">
        <f ca="1">IFERROR(reading[[#This Row],[Previous]]+OFFSET(reading[[#Headers],[Memo 01]],-1,MATCH(0,reading[[#This Row],[Memo 01]:[Memo 07]],-1)-1),"")</f>
        <v>45246</v>
      </c>
      <c r="Y2232" s="10" t="str">
        <f ca="1">IF(reading[[#This Row],[Next]]&lt;&gt;"",IF(reading[[#This Row],[Next]]&gt;TODAY(),"OK",""),"")</f>
        <v/>
      </c>
      <c r="Z2232" s="13">
        <v>3</v>
      </c>
      <c r="AA2232" s="13">
        <v>3</v>
      </c>
      <c r="AB2232" s="13">
        <v>3</v>
      </c>
      <c r="AC2232" s="13">
        <v>3</v>
      </c>
      <c r="AD2232" s="13">
        <v>3</v>
      </c>
      <c r="AE2232" s="13">
        <v>3</v>
      </c>
      <c r="AF2232" s="13"/>
      <c r="AG2232" s="16">
        <f>IFERROR(SUMIF(reading[[#This Row],[1st]:[7th]],"&gt;0")/COUNTIF(reading[[#This Row],[1st]:[7th]],"&gt;0"),"")</f>
        <v>3</v>
      </c>
    </row>
    <row r="2233" spans="1:33" hidden="1" x14ac:dyDescent="0.2">
      <c r="A2233" s="4">
        <f>IF(B2233=1,3,IF(D2233=1,2,IF(F2233=1,1,0)))</f>
        <v>3</v>
      </c>
      <c r="B2233" s="4">
        <f>IF(C2233=$L2233,1,IF(C2233="","",0))</f>
        <v>1</v>
      </c>
      <c r="C2233" s="34" t="s">
        <v>2299</v>
      </c>
      <c r="D2233" s="4" t="str">
        <f>IF(E2233=$L2233,1,IF(E2233="","",0))</f>
        <v/>
      </c>
      <c r="E2233" s="14"/>
      <c r="F2233" s="4" t="str">
        <f>IF(G2233=$L2233,1,IF(G2233="","",0))</f>
        <v/>
      </c>
      <c r="G2233" s="14"/>
      <c r="H2233" s="6">
        <v>2237</v>
      </c>
      <c r="I2233" s="15" t="s">
        <v>3120</v>
      </c>
      <c r="J2233" s="6" t="s">
        <v>5321</v>
      </c>
      <c r="K2233" s="6"/>
      <c r="L2233" s="6" t="s">
        <v>2299</v>
      </c>
      <c r="M2233" s="6" t="s">
        <v>8342</v>
      </c>
      <c r="N2233" s="7">
        <f ca="1">RAND()</f>
        <v>0.39645916157668959</v>
      </c>
      <c r="O2233" s="8">
        <v>45215</v>
      </c>
      <c r="P2233" s="8">
        <v>45215</v>
      </c>
      <c r="Q2233" s="8">
        <v>45215</v>
      </c>
      <c r="R2233" s="8">
        <v>45215</v>
      </c>
      <c r="S2233" s="8">
        <v>45215</v>
      </c>
      <c r="T2233" s="8">
        <v>45215</v>
      </c>
      <c r="U2233" s="8">
        <v>45215</v>
      </c>
      <c r="V2233" s="10">
        <f>COUNTA(O2233:U2233)</f>
        <v>7</v>
      </c>
      <c r="W2233" s="11">
        <f>_xlfn.IFNA(INDEX(reading[[#This Row],[Memo 01]:[Memo 07]],MATCH(0,reading[[#This Row],[Memo 01]:[Memo 07]],-1)),"")</f>
        <v>45215</v>
      </c>
      <c r="X2233" s="11">
        <f ca="1">IFERROR(reading[[#This Row],[Previous]]+OFFSET(reading[[#Headers],[Memo 01]],-1,MATCH(0,reading[[#This Row],[Memo 01]:[Memo 07]],-1)-1),"")</f>
        <v>55215</v>
      </c>
      <c r="Y2233" s="10" t="str">
        <f ca="1">IF(reading[[#This Row],[Next]]&lt;&gt;"",IF(reading[[#This Row],[Next]]&gt;TODAY(),"OK",""),"")</f>
        <v>OK</v>
      </c>
      <c r="Z2233" s="13">
        <v>3</v>
      </c>
      <c r="AA2233" s="13"/>
      <c r="AB2233" s="13"/>
      <c r="AC2233" s="13"/>
      <c r="AD2233" s="13"/>
      <c r="AE2233" s="13"/>
      <c r="AF2233" s="13"/>
      <c r="AG2233" s="16">
        <f>IFERROR(SUMIF(reading[[#This Row],[1st]:[7th]],"&gt;0")/COUNTIF(reading[[#This Row],[1st]:[7th]],"&gt;0"),"")</f>
        <v>3</v>
      </c>
    </row>
    <row r="2234" spans="1:33" x14ac:dyDescent="0.2">
      <c r="A2234" s="4">
        <f>IF(B2234=1,3,IF(D2234=1,2,IF(F2234=1,1,0)))</f>
        <v>0</v>
      </c>
      <c r="B2234" s="4" t="str">
        <f>IF(C2234=$L2234,1,IF(C2234="","",0))</f>
        <v/>
      </c>
      <c r="C2234" s="41"/>
      <c r="D2234" s="4" t="str">
        <f>IF(E2234=$L2234,1,IF(E2234="","",0))</f>
        <v/>
      </c>
      <c r="E2234" s="18"/>
      <c r="F2234" s="4" t="str">
        <f>IF(G2234=$L2234,1,IF(G2234="","",0))</f>
        <v/>
      </c>
      <c r="G2234" s="18"/>
      <c r="H2234" s="6">
        <v>1626</v>
      </c>
      <c r="I2234" s="15" t="s">
        <v>3120</v>
      </c>
      <c r="J2234" s="6" t="s">
        <v>4738</v>
      </c>
      <c r="K2234" s="6"/>
      <c r="L2234" s="6" t="s">
        <v>1708</v>
      </c>
      <c r="M2234" s="6" t="s">
        <v>7732</v>
      </c>
      <c r="N2234" s="7">
        <f ca="1">RAND()</f>
        <v>0.76481439024785214</v>
      </c>
      <c r="O2234" s="8">
        <v>45210</v>
      </c>
      <c r="P2234" s="8">
        <v>45212</v>
      </c>
      <c r="Q2234" s="8">
        <v>45214</v>
      </c>
      <c r="R2234" s="8">
        <v>45218</v>
      </c>
      <c r="S2234" s="8">
        <v>45226</v>
      </c>
      <c r="T2234" s="8">
        <v>45248</v>
      </c>
      <c r="U2234" s="8"/>
      <c r="V2234" s="10">
        <f>COUNTA(O2234:U2234)</f>
        <v>6</v>
      </c>
      <c r="W2234" s="11">
        <f>_xlfn.IFNA(INDEX(reading[[#This Row],[Memo 01]:[Memo 07]],MATCH(0,reading[[#This Row],[Memo 01]:[Memo 07]],-1)),"")</f>
        <v>45248</v>
      </c>
      <c r="X2234" s="11">
        <f ca="1">IFERROR(reading[[#This Row],[Previous]]+OFFSET(reading[[#Headers],[Memo 01]],-1,MATCH(0,reading[[#This Row],[Memo 01]:[Memo 07]],-1)-1),"")</f>
        <v>45268</v>
      </c>
      <c r="Y2234" s="10" t="str">
        <f ca="1">IF(reading[[#This Row],[Next]]&lt;&gt;"",IF(reading[[#This Row],[Next]]&gt;TODAY(),"OK",""),"")</f>
        <v/>
      </c>
      <c r="Z2234" s="13">
        <v>3</v>
      </c>
      <c r="AA2234" s="13">
        <v>2</v>
      </c>
      <c r="AB2234" s="13">
        <v>3</v>
      </c>
      <c r="AC2234" s="13">
        <v>3</v>
      </c>
      <c r="AD2234" s="13">
        <v>1</v>
      </c>
      <c r="AE2234" s="13">
        <v>3</v>
      </c>
      <c r="AF2234" s="13"/>
      <c r="AG2234" s="16">
        <f>IFERROR(SUMIF(reading[[#This Row],[1st]:[7th]],"&gt;0")/COUNTIF(reading[[#This Row],[1st]:[7th]],"&gt;0"),"")</f>
        <v>2.5</v>
      </c>
    </row>
    <row r="2235" spans="1:33" x14ac:dyDescent="0.2">
      <c r="A2235" s="4">
        <f>IF(B2235=1,3,IF(D2235=1,2,IF(F2235=1,1,0)))</f>
        <v>0</v>
      </c>
      <c r="B2235" s="4" t="str">
        <f>IF(C2235=$L2235,1,IF(C2235="","",0))</f>
        <v/>
      </c>
      <c r="C2235" s="36"/>
      <c r="D2235" s="4" t="str">
        <f>IF(E2235=$L2235,1,IF(E2235="","",0))</f>
        <v/>
      </c>
      <c r="E2235" s="14"/>
      <c r="F2235" s="4" t="str">
        <f>IF(G2235=$L2235,1,IF(G2235="","",0))</f>
        <v/>
      </c>
      <c r="G2235" s="14"/>
      <c r="H2235" s="6">
        <v>194</v>
      </c>
      <c r="I2235" s="15" t="s">
        <v>3120</v>
      </c>
      <c r="J2235" s="6" t="s">
        <v>3343</v>
      </c>
      <c r="K2235" s="6"/>
      <c r="L2235" s="6" t="s">
        <v>330</v>
      </c>
      <c r="M2235" s="6" t="s">
        <v>6303</v>
      </c>
      <c r="N2235" s="7">
        <f ca="1">RAND()</f>
        <v>0.47436995333829612</v>
      </c>
      <c r="O2235" s="8">
        <v>45199</v>
      </c>
      <c r="P2235" s="8">
        <v>45200</v>
      </c>
      <c r="Q2235" s="8">
        <v>45202</v>
      </c>
      <c r="R2235" s="8">
        <v>45206</v>
      </c>
      <c r="S2235" s="8">
        <v>45213</v>
      </c>
      <c r="T2235" s="8">
        <v>45225</v>
      </c>
      <c r="U2235" s="8"/>
      <c r="V2235" s="10">
        <f>COUNTA(O2235:U2235)</f>
        <v>6</v>
      </c>
      <c r="W2235" s="11">
        <f>_xlfn.IFNA(INDEX(reading[[#This Row],[Memo 01]:[Memo 07]],MATCH(0,reading[[#This Row],[Memo 01]:[Memo 07]],-1)),"")</f>
        <v>45225</v>
      </c>
      <c r="X2235" s="11">
        <f ca="1">IFERROR(reading[[#This Row],[Previous]]+OFFSET(reading[[#Headers],[Memo 01]],-1,MATCH(0,reading[[#This Row],[Memo 01]:[Memo 07]],-1)-1),"")</f>
        <v>45245</v>
      </c>
      <c r="Y2235" s="10" t="str">
        <f ca="1">IF(reading[[#This Row],[Next]]&lt;&gt;"",IF(reading[[#This Row],[Next]]&gt;TODAY(),"OK",""),"")</f>
        <v/>
      </c>
      <c r="Z2235" s="13">
        <v>3</v>
      </c>
      <c r="AA2235" s="13">
        <v>3</v>
      </c>
      <c r="AB2235" s="13">
        <v>3</v>
      </c>
      <c r="AC2235" s="13">
        <v>3</v>
      </c>
      <c r="AD2235" s="13">
        <v>3</v>
      </c>
      <c r="AE2235" s="13">
        <v>3</v>
      </c>
      <c r="AF2235" s="13"/>
      <c r="AG2235" s="16">
        <f>IFERROR(SUMIF(reading[[#This Row],[1st]:[7th]],"&gt;0")/COUNTIF(reading[[#This Row],[1st]:[7th]],"&gt;0"),"")</f>
        <v>3</v>
      </c>
    </row>
    <row r="2236" spans="1:33" x14ac:dyDescent="0.2">
      <c r="A2236" s="4">
        <f>IF(B2236=1,3,IF(D2236=1,2,IF(F2236=1,1,0)))</f>
        <v>0</v>
      </c>
      <c r="B2236" s="4" t="str">
        <f>IF(C2236=$L2236,1,IF(C2236="","",0))</f>
        <v/>
      </c>
      <c r="C2236" s="41"/>
      <c r="D2236" s="4" t="str">
        <f>IF(E2236=$L2236,1,IF(E2236="","",0))</f>
        <v/>
      </c>
      <c r="E2236" s="18"/>
      <c r="F2236" s="4" t="str">
        <f>IF(G2236=$L2236,1,IF(G2236="","",0))</f>
        <v/>
      </c>
      <c r="G2236" s="18"/>
      <c r="H2236" s="6">
        <v>2428</v>
      </c>
      <c r="I2236" s="15" t="s">
        <v>3120</v>
      </c>
      <c r="J2236" s="6" t="s">
        <v>5498</v>
      </c>
      <c r="K2236" s="6"/>
      <c r="L2236" s="6" t="s">
        <v>2478</v>
      </c>
      <c r="M2236" s="6" t="s">
        <v>8533</v>
      </c>
      <c r="N2236" s="7">
        <f ca="1">RAND()</f>
        <v>0.63379031323345891</v>
      </c>
      <c r="O2236" s="8">
        <v>45217</v>
      </c>
      <c r="P2236" s="8">
        <v>45218</v>
      </c>
      <c r="Q2236" s="8">
        <v>45220</v>
      </c>
      <c r="R2236" s="8">
        <v>45224</v>
      </c>
      <c r="S2236" s="8">
        <v>45231</v>
      </c>
      <c r="T2236" s="8">
        <v>45253</v>
      </c>
      <c r="U2236" s="8"/>
      <c r="V2236" s="10">
        <f>COUNTA(O2236:U2236)</f>
        <v>6</v>
      </c>
      <c r="W2236" s="11">
        <f>_xlfn.IFNA(INDEX(reading[[#This Row],[Memo 01]:[Memo 07]],MATCH(0,reading[[#This Row],[Memo 01]:[Memo 07]],-1)),"")</f>
        <v>45253</v>
      </c>
      <c r="X2236" s="11">
        <f ca="1">IFERROR(reading[[#This Row],[Previous]]+OFFSET(reading[[#Headers],[Memo 01]],-1,MATCH(0,reading[[#This Row],[Memo 01]:[Memo 07]],-1)-1),"")</f>
        <v>45273</v>
      </c>
      <c r="Y2236" s="10" t="str">
        <f ca="1">IF(reading[[#This Row],[Next]]&lt;&gt;"",IF(reading[[#This Row],[Next]]&gt;TODAY(),"OK",""),"")</f>
        <v/>
      </c>
      <c r="Z2236" s="13">
        <v>3</v>
      </c>
      <c r="AA2236" s="13">
        <v>3</v>
      </c>
      <c r="AB2236" s="13">
        <v>1</v>
      </c>
      <c r="AC2236" s="13">
        <v>3</v>
      </c>
      <c r="AD2236" s="13">
        <v>3</v>
      </c>
      <c r="AE2236" s="13">
        <v>1</v>
      </c>
      <c r="AF2236" s="13"/>
      <c r="AG2236" s="16">
        <f>IFERROR(SUMIF(reading[[#This Row],[1st]:[7th]],"&gt;0")/COUNTIF(reading[[#This Row],[1st]:[7th]],"&gt;0"),"")</f>
        <v>2.3333333333333335</v>
      </c>
    </row>
    <row r="2237" spans="1:33" x14ac:dyDescent="0.2">
      <c r="A2237" s="4">
        <f>IF(B2237=1,3,IF(D2237=1,2,IF(F2237=1,1,0)))</f>
        <v>0</v>
      </c>
      <c r="B2237" s="4" t="str">
        <f>IF(C2237=$L2237,1,IF(C2237="","",0))</f>
        <v/>
      </c>
      <c r="C2237" s="39"/>
      <c r="D2237" s="4" t="str">
        <f>IF(E2237=$L2237,1,IF(E2237="","",0))</f>
        <v/>
      </c>
      <c r="E2237" s="14"/>
      <c r="F2237" s="4" t="str">
        <f>IF(G2237=$L2237,1,IF(G2237="","",0))</f>
        <v/>
      </c>
      <c r="G2237" s="14"/>
      <c r="H2237" s="6">
        <v>1400</v>
      </c>
      <c r="I2237" s="15" t="s">
        <v>3120</v>
      </c>
      <c r="J2237" s="6" t="s">
        <v>4514</v>
      </c>
      <c r="K2237" s="15" t="s">
        <v>3139</v>
      </c>
      <c r="L2237" s="6" t="s">
        <v>38</v>
      </c>
      <c r="M2237" s="6" t="s">
        <v>7507</v>
      </c>
      <c r="N2237" s="7">
        <f ca="1">RAND()</f>
        <v>0.67509151009885193</v>
      </c>
      <c r="O2237" s="8">
        <v>45207</v>
      </c>
      <c r="P2237" s="8">
        <v>45208</v>
      </c>
      <c r="Q2237" s="8">
        <v>45210</v>
      </c>
      <c r="R2237" s="8">
        <v>45214</v>
      </c>
      <c r="S2237" s="8">
        <v>45221</v>
      </c>
      <c r="T2237" s="8">
        <v>45233</v>
      </c>
      <c r="U2237" s="8"/>
      <c r="V2237" s="10">
        <f>COUNTA(O2237:U2237)</f>
        <v>6</v>
      </c>
      <c r="W2237" s="11">
        <f>_xlfn.IFNA(INDEX(reading[[#This Row],[Memo 01]:[Memo 07]],MATCH(0,reading[[#This Row],[Memo 01]:[Memo 07]],-1)),"")</f>
        <v>45233</v>
      </c>
      <c r="X2237" s="11">
        <f ca="1">IFERROR(reading[[#This Row],[Previous]]+OFFSET(reading[[#Headers],[Memo 01]],-1,MATCH(0,reading[[#This Row],[Memo 01]:[Memo 07]],-1)-1),"")</f>
        <v>45253</v>
      </c>
      <c r="Y2237" s="10" t="str">
        <f ca="1">IF(reading[[#This Row],[Next]]&lt;&gt;"",IF(reading[[#This Row],[Next]]&gt;TODAY(),"OK",""),"")</f>
        <v/>
      </c>
      <c r="Z2237" s="13">
        <v>3</v>
      </c>
      <c r="AA2237" s="13">
        <v>3</v>
      </c>
      <c r="AB2237" s="13">
        <v>3</v>
      </c>
      <c r="AC2237" s="13">
        <v>3</v>
      </c>
      <c r="AD2237" s="13">
        <v>3</v>
      </c>
      <c r="AE2237" s="13">
        <v>3</v>
      </c>
      <c r="AF2237" s="13"/>
      <c r="AG2237" s="16">
        <f>IFERROR(SUMIF(reading[[#This Row],[1st]:[7th]],"&gt;0")/COUNTIF(reading[[#This Row],[1st]:[7th]],"&gt;0"),"")</f>
        <v>3</v>
      </c>
    </row>
    <row r="2238" spans="1:33" x14ac:dyDescent="0.2">
      <c r="A2238" s="4">
        <f>IF(B2238=1,3,IF(D2238=1,2,IF(F2238=1,1,0)))</f>
        <v>0</v>
      </c>
      <c r="B2238" s="4" t="str">
        <f>IF(C2238=$L2238,1,IF(C2238="","",0))</f>
        <v/>
      </c>
      <c r="C2238" s="42"/>
      <c r="D2238" s="4" t="str">
        <f>IF(E2238=$L2238,1,IF(E2238="","",0))</f>
        <v/>
      </c>
      <c r="E2238" s="14"/>
      <c r="F2238" s="4" t="str">
        <f>IF(G2238=$L2238,1,IF(G2238="","",0))</f>
        <v/>
      </c>
      <c r="G2238" s="14"/>
      <c r="H2238" s="6">
        <v>2177</v>
      </c>
      <c r="I2238" s="15" t="s">
        <v>3120</v>
      </c>
      <c r="J2238" s="6" t="s">
        <v>5265</v>
      </c>
      <c r="K2238" s="6"/>
      <c r="L2238" s="6" t="s">
        <v>2242</v>
      </c>
      <c r="M2238" s="6" t="s">
        <v>8283</v>
      </c>
      <c r="N2238" s="7">
        <f ca="1">RAND()</f>
        <v>0.63169405290362812</v>
      </c>
      <c r="O2238" s="8">
        <v>45214</v>
      </c>
      <c r="P2238" s="8">
        <v>45215</v>
      </c>
      <c r="Q2238" s="8">
        <v>45217</v>
      </c>
      <c r="R2238" s="8">
        <v>45221</v>
      </c>
      <c r="S2238" s="8">
        <v>45228</v>
      </c>
      <c r="T2238" s="8">
        <v>45801</v>
      </c>
      <c r="U2238" s="8"/>
      <c r="V2238" s="10">
        <f>COUNTA(O2238:U2238)</f>
        <v>6</v>
      </c>
      <c r="W2238" s="11">
        <f>_xlfn.IFNA(INDEX(reading[[#This Row],[Memo 01]:[Memo 07]],MATCH(0,reading[[#This Row],[Memo 01]:[Memo 07]],-1)),"")</f>
        <v>45801</v>
      </c>
      <c r="X2238" s="11">
        <f ca="1">IFERROR(reading[[#This Row],[Previous]]+OFFSET(reading[[#Headers],[Memo 01]],-1,MATCH(0,reading[[#This Row],[Memo 01]:[Memo 07]],-1)-1),"")</f>
        <v>45821</v>
      </c>
      <c r="Y2238" s="10" t="str">
        <f ca="1">IF(reading[[#This Row],[Next]]&lt;&gt;"",IF(reading[[#This Row],[Next]]&gt;TODAY(),"OK",""),"")</f>
        <v/>
      </c>
      <c r="Z2238" s="13">
        <v>3</v>
      </c>
      <c r="AA2238" s="13">
        <v>3</v>
      </c>
      <c r="AB2238" s="13">
        <v>3</v>
      </c>
      <c r="AC2238" s="13">
        <v>3</v>
      </c>
      <c r="AD2238" s="13">
        <v>3</v>
      </c>
      <c r="AE2238" s="13">
        <v>3</v>
      </c>
      <c r="AF2238" s="13"/>
      <c r="AG2238" s="16">
        <f>IFERROR(SUMIF(reading[[#This Row],[1st]:[7th]],"&gt;0")/COUNTIF(reading[[#This Row],[1st]:[7th]],"&gt;0"),"")</f>
        <v>3</v>
      </c>
    </row>
    <row r="2239" spans="1:33" x14ac:dyDescent="0.2">
      <c r="A2239" s="4">
        <f>IF(B2239=1,3,IF(D2239=1,2,IF(F2239=1,1,0)))</f>
        <v>0</v>
      </c>
      <c r="B2239" s="4" t="str">
        <f>IF(C2239=$L2239,1,IF(C2239="","",0))</f>
        <v/>
      </c>
      <c r="C2239" s="36"/>
      <c r="D2239" s="4" t="str">
        <f>IF(E2239=$L2239,1,IF(E2239="","",0))</f>
        <v/>
      </c>
      <c r="E2239" s="18"/>
      <c r="F2239" s="4" t="str">
        <f>IF(G2239=$L2239,1,IF(G2239="","",0))</f>
        <v/>
      </c>
      <c r="G2239" s="14"/>
      <c r="H2239" s="6">
        <v>1921</v>
      </c>
      <c r="I2239" s="15" t="s">
        <v>3120</v>
      </c>
      <c r="J2239" s="6" t="s">
        <v>5021</v>
      </c>
      <c r="K2239" s="6"/>
      <c r="L2239" s="6" t="s">
        <v>1997</v>
      </c>
      <c r="M2239" s="6" t="s">
        <v>8027</v>
      </c>
      <c r="N2239" s="7">
        <f ca="1">RAND()</f>
        <v>8.1870288562213789E-2</v>
      </c>
      <c r="O2239" s="8">
        <v>45212</v>
      </c>
      <c r="P2239" s="8">
        <v>45213</v>
      </c>
      <c r="Q2239" s="8">
        <v>45215</v>
      </c>
      <c r="R2239" s="8">
        <v>45219</v>
      </c>
      <c r="S2239" s="8">
        <v>45226</v>
      </c>
      <c r="T2239" s="8"/>
      <c r="U2239" s="8"/>
      <c r="V2239" s="10">
        <f>COUNTA(O2239:U2239)</f>
        <v>5</v>
      </c>
      <c r="W2239" s="11">
        <f>_xlfn.IFNA(INDEX(reading[[#This Row],[Memo 01]:[Memo 07]],MATCH(0,reading[[#This Row],[Memo 01]:[Memo 07]],-1)),"")</f>
        <v>45226</v>
      </c>
      <c r="X2239" s="11">
        <f ca="1">IFERROR(reading[[#This Row],[Previous]]+OFFSET(reading[[#Headers],[Memo 01]],-1,MATCH(0,reading[[#This Row],[Memo 01]:[Memo 07]],-1)-1),"")</f>
        <v>45238</v>
      </c>
      <c r="Y2239" s="10" t="str">
        <f ca="1">IF(reading[[#This Row],[Next]]&lt;&gt;"",IF(reading[[#This Row],[Next]]&gt;TODAY(),"OK",""),"")</f>
        <v/>
      </c>
      <c r="Z2239" s="13">
        <v>3</v>
      </c>
      <c r="AA2239" s="13">
        <v>3</v>
      </c>
      <c r="AB2239" s="13">
        <v>2</v>
      </c>
      <c r="AC2239" s="13">
        <v>3</v>
      </c>
      <c r="AD2239" s="13">
        <v>3</v>
      </c>
      <c r="AE2239" s="13"/>
      <c r="AF2239" s="13"/>
      <c r="AG2239" s="16">
        <f>IFERROR(SUMIF(reading[[#This Row],[1st]:[7th]],"&gt;0")/COUNTIF(reading[[#This Row],[1st]:[7th]],"&gt;0"),"")</f>
        <v>2.8</v>
      </c>
    </row>
    <row r="2240" spans="1:33" x14ac:dyDescent="0.2">
      <c r="A2240" s="4">
        <f>IF(B2240=1,3,IF(D2240=1,2,IF(F2240=1,1,0)))</f>
        <v>0</v>
      </c>
      <c r="B2240" s="4" t="str">
        <f>IF(C2240=$L2240,1,IF(C2240="","",0))</f>
        <v/>
      </c>
      <c r="C2240" s="38"/>
      <c r="D2240" s="4" t="str">
        <f>IF(E2240=$L2240,1,IF(E2240="","",0))</f>
        <v/>
      </c>
      <c r="E2240" s="14"/>
      <c r="F2240" s="4" t="str">
        <f>IF(G2240=$L2240,1,IF(G2240="","",0))</f>
        <v/>
      </c>
      <c r="G2240" s="14"/>
      <c r="H2240" s="6">
        <v>521</v>
      </c>
      <c r="I2240" s="15" t="s">
        <v>3120</v>
      </c>
      <c r="J2240" s="6" t="s">
        <v>3666</v>
      </c>
      <c r="K2240" s="6"/>
      <c r="L2240" s="6" t="s">
        <v>649</v>
      </c>
      <c r="M2240" s="6" t="s">
        <v>6630</v>
      </c>
      <c r="N2240" s="7">
        <f ca="1">RAND()</f>
        <v>0.45308236035965965</v>
      </c>
      <c r="O2240" s="8">
        <v>45202</v>
      </c>
      <c r="P2240" s="8">
        <v>45203</v>
      </c>
      <c r="Q2240" s="8">
        <v>45205</v>
      </c>
      <c r="R2240" s="8">
        <v>45209</v>
      </c>
      <c r="S2240" s="8">
        <v>45216</v>
      </c>
      <c r="T2240" s="8">
        <v>45228</v>
      </c>
      <c r="U2240" s="8"/>
      <c r="V2240" s="10">
        <f>COUNTA(O2240:U2240)</f>
        <v>6</v>
      </c>
      <c r="W2240" s="11">
        <f>_xlfn.IFNA(INDEX(reading[[#This Row],[Memo 01]:[Memo 07]],MATCH(0,reading[[#This Row],[Memo 01]:[Memo 07]],-1)),"")</f>
        <v>45228</v>
      </c>
      <c r="X2240" s="11">
        <f ca="1">IFERROR(reading[[#This Row],[Previous]]+OFFSET(reading[[#Headers],[Memo 01]],-1,MATCH(0,reading[[#This Row],[Memo 01]:[Memo 07]],-1)-1),"")</f>
        <v>45248</v>
      </c>
      <c r="Y2240" s="10" t="str">
        <f ca="1">IF(reading[[#This Row],[Next]]&lt;&gt;"",IF(reading[[#This Row],[Next]]&gt;TODAY(),"OK",""),"")</f>
        <v/>
      </c>
      <c r="Z2240" s="13">
        <v>3</v>
      </c>
      <c r="AA2240" s="13">
        <v>3</v>
      </c>
      <c r="AB2240" s="13">
        <v>3</v>
      </c>
      <c r="AC2240" s="13">
        <v>3</v>
      </c>
      <c r="AD2240" s="13">
        <v>3</v>
      </c>
      <c r="AE2240" s="13">
        <v>3</v>
      </c>
      <c r="AF2240" s="13"/>
      <c r="AG2240" s="16">
        <f>IFERROR(SUMIF(reading[[#This Row],[1st]:[7th]],"&gt;0")/COUNTIF(reading[[#This Row],[1st]:[7th]],"&gt;0"),"")</f>
        <v>3</v>
      </c>
    </row>
    <row r="2241" spans="1:33" x14ac:dyDescent="0.2">
      <c r="A2241" s="4">
        <f>IF(B2241=1,3,IF(D2241=1,2,IF(F2241=1,1,0)))</f>
        <v>0</v>
      </c>
      <c r="B2241" s="4" t="str">
        <f>IF(C2241=$L2241,1,IF(C2241="","",0))</f>
        <v/>
      </c>
      <c r="C2241" s="42"/>
      <c r="D2241" s="4" t="str">
        <f>IF(E2241=$L2241,1,IF(E2241="","",0))</f>
        <v/>
      </c>
      <c r="E2241" s="18"/>
      <c r="F2241" s="4" t="str">
        <f>IF(G2241=$L2241,1,IF(G2241="","",0))</f>
        <v/>
      </c>
      <c r="G2241" s="18"/>
      <c r="H2241" s="6">
        <v>2497</v>
      </c>
      <c r="I2241" s="15" t="s">
        <v>3120</v>
      </c>
      <c r="J2241" s="6" t="s">
        <v>3721</v>
      </c>
      <c r="K2241" s="15" t="s">
        <v>3138</v>
      </c>
      <c r="L2241" s="6" t="s">
        <v>2543</v>
      </c>
      <c r="M2241" s="6" t="s">
        <v>8602</v>
      </c>
      <c r="N2241" s="7">
        <f ca="1">RAND()</f>
        <v>0.89311346702149175</v>
      </c>
      <c r="O2241" s="8">
        <v>45218</v>
      </c>
      <c r="P2241" s="8">
        <v>45219</v>
      </c>
      <c r="Q2241" s="8">
        <v>45221</v>
      </c>
      <c r="R2241" s="8">
        <v>45225</v>
      </c>
      <c r="S2241" s="8">
        <v>45232</v>
      </c>
      <c r="T2241" s="8">
        <v>45249</v>
      </c>
      <c r="U2241" s="8"/>
      <c r="V2241" s="10">
        <f>COUNTA(O2241:U2241)</f>
        <v>6</v>
      </c>
      <c r="W2241" s="11">
        <f>_xlfn.IFNA(INDEX(reading[[#This Row],[Memo 01]:[Memo 07]],MATCH(0,reading[[#This Row],[Memo 01]:[Memo 07]],-1)),"")</f>
        <v>45249</v>
      </c>
      <c r="X2241" s="11">
        <f ca="1">IFERROR(reading[[#This Row],[Previous]]+OFFSET(reading[[#Headers],[Memo 01]],-1,MATCH(0,reading[[#This Row],[Memo 01]:[Memo 07]],-1)-1),"")</f>
        <v>45269</v>
      </c>
      <c r="Y2241" s="10" t="str">
        <f ca="1">IF(reading[[#This Row],[Next]]&lt;&gt;"",IF(reading[[#This Row],[Next]]&gt;TODAY(),"OK",""),"")</f>
        <v/>
      </c>
      <c r="Z2241" s="13">
        <v>3</v>
      </c>
      <c r="AA2241" s="13">
        <v>3</v>
      </c>
      <c r="AB2241" s="13">
        <v>1</v>
      </c>
      <c r="AC2241" s="13">
        <v>2</v>
      </c>
      <c r="AD2241" s="13">
        <v>2</v>
      </c>
      <c r="AE2241" s="13">
        <v>2</v>
      </c>
      <c r="AF2241" s="13"/>
      <c r="AG2241" s="16">
        <f>IFERROR(SUMIF(reading[[#This Row],[1st]:[7th]],"&gt;0")/COUNTIF(reading[[#This Row],[1st]:[7th]],"&gt;0"),"")</f>
        <v>2.1666666666666665</v>
      </c>
    </row>
    <row r="2242" spans="1:33" hidden="1" x14ac:dyDescent="0.2">
      <c r="A2242" s="4">
        <f>IF(B2242=1,3,IF(D2242=1,2,IF(F2242=1,1,0)))</f>
        <v>0</v>
      </c>
      <c r="B2242" s="4" t="str">
        <f>IF(C2242=$L2242,1,IF(C2242="","",0))</f>
        <v/>
      </c>
      <c r="C2242" s="42"/>
      <c r="D2242" s="4" t="str">
        <f>IF(E2242=$L2242,1,IF(E2242="","",0))</f>
        <v/>
      </c>
      <c r="E2242" s="14"/>
      <c r="F2242" s="4" t="str">
        <f>IF(G2242=$L2242,1,IF(G2242="","",0))</f>
        <v/>
      </c>
      <c r="G2242" s="14"/>
      <c r="H2242" s="6">
        <v>514</v>
      </c>
      <c r="I2242" s="15" t="s">
        <v>3120</v>
      </c>
      <c r="J2242" s="6" t="s">
        <v>3659</v>
      </c>
      <c r="K2242" s="6"/>
      <c r="L2242" s="6" t="s">
        <v>642</v>
      </c>
      <c r="M2242" s="6" t="s">
        <v>6623</v>
      </c>
      <c r="N2242" s="7">
        <f ca="1">RAND()</f>
        <v>0.47871136292814287</v>
      </c>
      <c r="O2242" s="8">
        <v>45202</v>
      </c>
      <c r="P2242" s="8">
        <v>45203</v>
      </c>
      <c r="Q2242" s="8">
        <v>45205</v>
      </c>
      <c r="R2242" s="8">
        <v>45209</v>
      </c>
      <c r="S2242" s="8">
        <v>45216</v>
      </c>
      <c r="T2242" s="8">
        <v>45228</v>
      </c>
      <c r="U2242" s="8">
        <v>45253</v>
      </c>
      <c r="V2242" s="10">
        <f>COUNTA(O2242:U2242)</f>
        <v>7</v>
      </c>
      <c r="W2242" s="11">
        <f>_xlfn.IFNA(INDEX(reading[[#This Row],[Memo 01]:[Memo 07]],MATCH(0,reading[[#This Row],[Memo 01]:[Memo 07]],-1)),"")</f>
        <v>45253</v>
      </c>
      <c r="X2242" s="11">
        <f ca="1">IFERROR(reading[[#This Row],[Previous]]+OFFSET(reading[[#Headers],[Memo 01]],-1,MATCH(0,reading[[#This Row],[Memo 01]:[Memo 07]],-1)-1),"")</f>
        <v>55253</v>
      </c>
      <c r="Y2242" s="10" t="str">
        <f ca="1">IF(reading[[#This Row],[Next]]&lt;&gt;"",IF(reading[[#This Row],[Next]]&gt;TODAY(),"OK",""),"")</f>
        <v>OK</v>
      </c>
      <c r="Z2242" s="13">
        <v>2</v>
      </c>
      <c r="AA2242" s="13">
        <v>2</v>
      </c>
      <c r="AB2242" s="13">
        <v>3</v>
      </c>
      <c r="AC2242" s="13">
        <v>3</v>
      </c>
      <c r="AD2242" s="13">
        <v>3</v>
      </c>
      <c r="AE2242" s="13">
        <v>3</v>
      </c>
      <c r="AF2242" s="13">
        <v>2</v>
      </c>
      <c r="AG2242" s="16">
        <f>IFERROR(SUMIF(reading[[#This Row],[1st]:[7th]],"&gt;0")/COUNTIF(reading[[#This Row],[1st]:[7th]],"&gt;0"),"")</f>
        <v>2.5714285714285716</v>
      </c>
    </row>
    <row r="2243" spans="1:33" x14ac:dyDescent="0.2">
      <c r="A2243" s="4">
        <f>IF(B2243=1,3,IF(D2243=1,2,IF(F2243=1,1,0)))</f>
        <v>0</v>
      </c>
      <c r="B2243" s="4" t="str">
        <f>IF(C2243=$L2243,1,IF(C2243="","",0))</f>
        <v/>
      </c>
      <c r="C2243" s="39"/>
      <c r="D2243" s="4" t="str">
        <f>IF(E2243=$L2243,1,IF(E2243="","",0))</f>
        <v/>
      </c>
      <c r="E2243" s="14"/>
      <c r="F2243" s="4" t="str">
        <f>IF(G2243=$L2243,1,IF(G2243="","",0))</f>
        <v/>
      </c>
      <c r="G2243" s="14"/>
      <c r="H2243" s="6">
        <v>2705</v>
      </c>
      <c r="I2243" s="15" t="s">
        <v>3120</v>
      </c>
      <c r="J2243" s="6" t="s">
        <v>5755</v>
      </c>
      <c r="K2243" s="6"/>
      <c r="L2243" s="6" t="s">
        <v>2744</v>
      </c>
      <c r="M2243" s="6" t="s">
        <v>8810</v>
      </c>
      <c r="N2243" s="7">
        <f ca="1">RAND()</f>
        <v>0.43207541997613386</v>
      </c>
      <c r="O2243" s="8">
        <v>45222</v>
      </c>
      <c r="P2243" s="8">
        <v>45223</v>
      </c>
      <c r="Q2243" s="8">
        <v>45225</v>
      </c>
      <c r="R2243" s="8">
        <v>45229</v>
      </c>
      <c r="S2243" s="8">
        <v>45236</v>
      </c>
      <c r="T2243" s="8"/>
      <c r="U2243" s="8"/>
      <c r="V2243" s="10">
        <f>COUNTA(O2243:U2243)</f>
        <v>5</v>
      </c>
      <c r="W2243" s="11">
        <f>_xlfn.IFNA(INDEX(reading[[#This Row],[Memo 01]:[Memo 07]],MATCH(0,reading[[#This Row],[Memo 01]:[Memo 07]],-1)),"")</f>
        <v>45236</v>
      </c>
      <c r="X2243" s="11">
        <f ca="1">IFERROR(reading[[#This Row],[Previous]]+OFFSET(reading[[#Headers],[Memo 01]],-1,MATCH(0,reading[[#This Row],[Memo 01]:[Memo 07]],-1)-1),"")</f>
        <v>45248</v>
      </c>
      <c r="Y2243" s="10" t="str">
        <f ca="1">IF(reading[[#This Row],[Next]]&lt;&gt;"",IF(reading[[#This Row],[Next]]&gt;TODAY(),"OK",""),"")</f>
        <v/>
      </c>
      <c r="Z2243" s="13">
        <v>3</v>
      </c>
      <c r="AA2243" s="13">
        <v>3</v>
      </c>
      <c r="AB2243" s="13">
        <v>3</v>
      </c>
      <c r="AC2243" s="13">
        <v>3</v>
      </c>
      <c r="AD2243" s="13">
        <v>3</v>
      </c>
      <c r="AE2243" s="13"/>
      <c r="AF2243" s="13"/>
      <c r="AG2243" s="16">
        <f>IFERROR(SUMIF(reading[[#This Row],[1st]:[7th]],"&gt;0")/COUNTIF(reading[[#This Row],[1st]:[7th]],"&gt;0"),"")</f>
        <v>3</v>
      </c>
    </row>
    <row r="2244" spans="1:33" x14ac:dyDescent="0.2">
      <c r="A2244" s="4">
        <f>IF(B2244=1,3,IF(D2244=1,2,IF(F2244=1,1,0)))</f>
        <v>0</v>
      </c>
      <c r="B2244" s="4" t="str">
        <f>IF(C2244=$L2244,1,IF(C2244="","",0))</f>
        <v/>
      </c>
      <c r="C2244" s="39"/>
      <c r="D2244" s="4" t="str">
        <f>IF(E2244=$L2244,1,IF(E2244="","",0))</f>
        <v/>
      </c>
      <c r="E2244" s="18"/>
      <c r="F2244" s="4" t="str">
        <f>IF(G2244=$L2244,1,IF(G2244="","",0))</f>
        <v/>
      </c>
      <c r="G2244" s="14"/>
      <c r="H2244" s="6">
        <v>2745</v>
      </c>
      <c r="I2244" s="15" t="s">
        <v>3120</v>
      </c>
      <c r="J2244" s="6" t="s">
        <v>3278</v>
      </c>
      <c r="K2244" s="15" t="s">
        <v>3153</v>
      </c>
      <c r="L2244" s="6" t="s">
        <v>2783</v>
      </c>
      <c r="M2244" s="6" t="s">
        <v>8849</v>
      </c>
      <c r="N2244" s="7">
        <f ca="1">RAND()</f>
        <v>0.72487848453042814</v>
      </c>
      <c r="O2244" s="8">
        <v>45221</v>
      </c>
      <c r="P2244" s="8">
        <v>45222</v>
      </c>
      <c r="Q2244" s="8">
        <v>45224</v>
      </c>
      <c r="R2244" s="8">
        <v>45228</v>
      </c>
      <c r="S2244" s="8">
        <v>45235</v>
      </c>
      <c r="T2244" s="8"/>
      <c r="U2244" s="8"/>
      <c r="V2244" s="10">
        <f>COUNTA(O2244:U2244)</f>
        <v>5</v>
      </c>
      <c r="W2244" s="11">
        <f>_xlfn.IFNA(INDEX(reading[[#This Row],[Memo 01]:[Memo 07]],MATCH(0,reading[[#This Row],[Memo 01]:[Memo 07]],-1)),"")</f>
        <v>45235</v>
      </c>
      <c r="X2244" s="11">
        <f ca="1">IFERROR(reading[[#This Row],[Previous]]+OFFSET(reading[[#Headers],[Memo 01]],-1,MATCH(0,reading[[#This Row],[Memo 01]:[Memo 07]],-1)-1),"")</f>
        <v>45247</v>
      </c>
      <c r="Y2244" s="10" t="str">
        <f ca="1">IF(reading[[#This Row],[Next]]&lt;&gt;"",IF(reading[[#This Row],[Next]]&gt;TODAY(),"OK",""),"")</f>
        <v/>
      </c>
      <c r="Z2244" s="13">
        <v>3</v>
      </c>
      <c r="AA2244" s="13">
        <v>2</v>
      </c>
      <c r="AB2244" s="13">
        <v>3</v>
      </c>
      <c r="AC2244" s="13">
        <v>3</v>
      </c>
      <c r="AD2244" s="13">
        <v>3</v>
      </c>
      <c r="AE2244" s="13"/>
      <c r="AF2244" s="13"/>
      <c r="AG2244" s="16">
        <f>IFERROR(SUMIF(reading[[#This Row],[1st]:[7th]],"&gt;0")/COUNTIF(reading[[#This Row],[1st]:[7th]],"&gt;0"),"")</f>
        <v>2.8</v>
      </c>
    </row>
    <row r="2245" spans="1:33" x14ac:dyDescent="0.2">
      <c r="A2245" s="4">
        <f>IF(B2245=1,3,IF(D2245=1,2,IF(F2245=1,1,0)))</f>
        <v>0</v>
      </c>
      <c r="B2245" s="4" t="str">
        <f>IF(C2245=$L2245,1,IF(C2245="","",0))</f>
        <v/>
      </c>
      <c r="C2245" s="39"/>
      <c r="D2245" s="4" t="str">
        <f>IF(E2245=$L2245,1,IF(E2245="","",0))</f>
        <v/>
      </c>
      <c r="E2245" s="14"/>
      <c r="F2245" s="4" t="str">
        <f>IF(G2245=$L2245,1,IF(G2245="","",0))</f>
        <v/>
      </c>
      <c r="G2245" s="14"/>
      <c r="H2245" s="6">
        <v>1194</v>
      </c>
      <c r="I2245" s="15" t="s">
        <v>3120</v>
      </c>
      <c r="J2245" s="6" t="s">
        <v>4313</v>
      </c>
      <c r="K2245" s="6"/>
      <c r="L2245" s="6" t="s">
        <v>1296</v>
      </c>
      <c r="M2245" s="6" t="s">
        <v>7301</v>
      </c>
      <c r="N2245" s="7">
        <f ca="1">RAND()</f>
        <v>0.54999542137030066</v>
      </c>
      <c r="O2245" s="8">
        <v>45206</v>
      </c>
      <c r="P2245" s="8">
        <v>45207</v>
      </c>
      <c r="Q2245" s="8">
        <v>45209</v>
      </c>
      <c r="R2245" s="8">
        <v>45213</v>
      </c>
      <c r="S2245" s="8">
        <v>45220</v>
      </c>
      <c r="T2245" s="8">
        <v>45232</v>
      </c>
      <c r="U2245" s="8"/>
      <c r="V2245" s="10">
        <f>COUNTA(O2245:U2245)</f>
        <v>6</v>
      </c>
      <c r="W2245" s="11">
        <f>_xlfn.IFNA(INDEX(reading[[#This Row],[Memo 01]:[Memo 07]],MATCH(0,reading[[#This Row],[Memo 01]:[Memo 07]],-1)),"")</f>
        <v>45232</v>
      </c>
      <c r="X2245" s="11">
        <f ca="1">IFERROR(reading[[#This Row],[Previous]]+OFFSET(reading[[#Headers],[Memo 01]],-1,MATCH(0,reading[[#This Row],[Memo 01]:[Memo 07]],-1)-1),"")</f>
        <v>45252</v>
      </c>
      <c r="Y2245" s="10" t="str">
        <f ca="1">IF(reading[[#This Row],[Next]]&lt;&gt;"",IF(reading[[#This Row],[Next]]&gt;TODAY(),"OK",""),"")</f>
        <v/>
      </c>
      <c r="Z2245" s="13">
        <v>3</v>
      </c>
      <c r="AA2245" s="13">
        <v>3</v>
      </c>
      <c r="AB2245" s="13">
        <v>3</v>
      </c>
      <c r="AC2245" s="13">
        <v>3</v>
      </c>
      <c r="AD2245" s="13">
        <v>3</v>
      </c>
      <c r="AE2245" s="13">
        <v>3</v>
      </c>
      <c r="AF2245" s="13"/>
      <c r="AG2245" s="16">
        <f>IFERROR(SUMIF(reading[[#This Row],[1st]:[7th]],"&gt;0")/COUNTIF(reading[[#This Row],[1st]:[7th]],"&gt;0"),"")</f>
        <v>3</v>
      </c>
    </row>
    <row r="2246" spans="1:33" x14ac:dyDescent="0.2">
      <c r="A2246" s="4">
        <f>IF(B2246=1,3,IF(D2246=1,2,IF(F2246=1,1,0)))</f>
        <v>0</v>
      </c>
      <c r="B2246" s="4" t="str">
        <f>IF(C2246=$L2246,1,IF(C2246="","",0))</f>
        <v/>
      </c>
      <c r="C2246" s="42"/>
      <c r="D2246" s="4" t="str">
        <f>IF(E2246=$L2246,1,IF(E2246="","",0))</f>
        <v/>
      </c>
      <c r="E2246" s="14"/>
      <c r="F2246" s="4" t="str">
        <f>IF(G2246=$L2246,1,IF(G2246="","",0))</f>
        <v/>
      </c>
      <c r="G2246" s="14"/>
      <c r="H2246" s="6">
        <v>1997</v>
      </c>
      <c r="I2246" s="15" t="s">
        <v>3120</v>
      </c>
      <c r="J2246" s="6" t="s">
        <v>5095</v>
      </c>
      <c r="K2246" s="6"/>
      <c r="L2246" s="6" t="s">
        <v>2072</v>
      </c>
      <c r="M2246" s="6" t="s">
        <v>8103</v>
      </c>
      <c r="N2246" s="7">
        <f ca="1">RAND()</f>
        <v>0.32160816467889952</v>
      </c>
      <c r="O2246" s="8">
        <v>45213</v>
      </c>
      <c r="P2246" s="8">
        <v>45214</v>
      </c>
      <c r="Q2246" s="8">
        <v>45216</v>
      </c>
      <c r="R2246" s="8">
        <v>45220</v>
      </c>
      <c r="S2246" s="8">
        <v>45227</v>
      </c>
      <c r="T2246" s="8">
        <v>45792</v>
      </c>
      <c r="U2246" s="8"/>
      <c r="V2246" s="10">
        <f>COUNTA(O2246:U2246)</f>
        <v>6</v>
      </c>
      <c r="W2246" s="11">
        <f>_xlfn.IFNA(INDEX(reading[[#This Row],[Memo 01]:[Memo 07]],MATCH(0,reading[[#This Row],[Memo 01]:[Memo 07]],-1)),"")</f>
        <v>45792</v>
      </c>
      <c r="X2246" s="11">
        <f ca="1">IFERROR(reading[[#This Row],[Previous]]+OFFSET(reading[[#Headers],[Memo 01]],-1,MATCH(0,reading[[#This Row],[Memo 01]:[Memo 07]],-1)-1),"")</f>
        <v>45812</v>
      </c>
      <c r="Y2246" s="10" t="str">
        <f ca="1">IF(reading[[#This Row],[Next]]&lt;&gt;"",IF(reading[[#This Row],[Next]]&gt;TODAY(),"OK",""),"")</f>
        <v/>
      </c>
      <c r="Z2246" s="13">
        <v>3</v>
      </c>
      <c r="AA2246" s="13">
        <v>3</v>
      </c>
      <c r="AB2246" s="13">
        <v>3</v>
      </c>
      <c r="AC2246" s="13">
        <v>3</v>
      </c>
      <c r="AD2246" s="13">
        <v>3</v>
      </c>
      <c r="AE2246" s="13">
        <v>3</v>
      </c>
      <c r="AF2246" s="13"/>
      <c r="AG2246" s="16">
        <f>IFERROR(SUMIF(reading[[#This Row],[1st]:[7th]],"&gt;0")/COUNTIF(reading[[#This Row],[1st]:[7th]],"&gt;0"),"")</f>
        <v>3</v>
      </c>
    </row>
    <row r="2247" spans="1:33" x14ac:dyDescent="0.2">
      <c r="A2247" s="4">
        <f>IF(B2247=1,3,IF(D2247=1,2,IF(F2247=1,1,0)))</f>
        <v>0</v>
      </c>
      <c r="B2247" s="4" t="str">
        <f>IF(C2247=$L2247,1,IF(C2247="","",0))</f>
        <v/>
      </c>
      <c r="C2247" s="38"/>
      <c r="D2247" s="4" t="str">
        <f>IF(E2247=$L2247,1,IF(E2247="","",0))</f>
        <v/>
      </c>
      <c r="E2247" s="14"/>
      <c r="F2247" s="4" t="str">
        <f>IF(G2247=$L2247,1,IF(G2247="","",0))</f>
        <v/>
      </c>
      <c r="G2247" s="14"/>
      <c r="H2247" s="6">
        <v>612</v>
      </c>
      <c r="I2247" s="15" t="s">
        <v>3120</v>
      </c>
      <c r="J2247" s="6" t="s">
        <v>3754</v>
      </c>
      <c r="K2247" s="6"/>
      <c r="L2247" s="6" t="s">
        <v>84</v>
      </c>
      <c r="M2247" s="6" t="s">
        <v>6721</v>
      </c>
      <c r="N2247" s="7">
        <f ca="1">RAND()</f>
        <v>0.8333030767260724</v>
      </c>
      <c r="O2247" s="8">
        <v>45202</v>
      </c>
      <c r="P2247" s="8">
        <v>45203</v>
      </c>
      <c r="Q2247" s="8">
        <v>45205</v>
      </c>
      <c r="R2247" s="8">
        <v>45209</v>
      </c>
      <c r="S2247" s="8">
        <v>45216</v>
      </c>
      <c r="T2247" s="8">
        <v>45228</v>
      </c>
      <c r="U2247" s="8"/>
      <c r="V2247" s="10">
        <f>COUNTA(O2247:U2247)</f>
        <v>6</v>
      </c>
      <c r="W2247" s="11">
        <f>_xlfn.IFNA(INDEX(reading[[#This Row],[Memo 01]:[Memo 07]],MATCH(0,reading[[#This Row],[Memo 01]:[Memo 07]],-1)),"")</f>
        <v>45228</v>
      </c>
      <c r="X2247" s="11">
        <f ca="1">IFERROR(reading[[#This Row],[Previous]]+OFFSET(reading[[#Headers],[Memo 01]],-1,MATCH(0,reading[[#This Row],[Memo 01]:[Memo 07]],-1)-1),"")</f>
        <v>45248</v>
      </c>
      <c r="Y2247" s="10" t="str">
        <f ca="1">IF(reading[[#This Row],[Next]]&lt;&gt;"",IF(reading[[#This Row],[Next]]&gt;TODAY(),"OK",""),"")</f>
        <v/>
      </c>
      <c r="Z2247" s="13">
        <v>3</v>
      </c>
      <c r="AA2247" s="13">
        <v>3</v>
      </c>
      <c r="AB2247" s="13">
        <v>3</v>
      </c>
      <c r="AC2247" s="13">
        <v>3</v>
      </c>
      <c r="AD2247" s="13">
        <v>3</v>
      </c>
      <c r="AE2247" s="13">
        <v>3</v>
      </c>
      <c r="AF2247" s="13"/>
      <c r="AG2247" s="16">
        <f>IFERROR(SUMIF(reading[[#This Row],[1st]:[7th]],"&gt;0")/COUNTIF(reading[[#This Row],[1st]:[7th]],"&gt;0"),"")</f>
        <v>3</v>
      </c>
    </row>
    <row r="2248" spans="1:33" hidden="1" x14ac:dyDescent="0.2">
      <c r="A2248" s="4">
        <f>IF(B2248=1,3,IF(D2248=1,2,IF(F2248=1,1,0)))</f>
        <v>0</v>
      </c>
      <c r="B2248" s="4" t="str">
        <f>IF(C2248=$L2248,1,IF(C2248="","",0))</f>
        <v/>
      </c>
      <c r="C2248" s="42"/>
      <c r="D2248" s="4" t="str">
        <f>IF(E2248=$L2248,1,IF(E2248="","",0))</f>
        <v/>
      </c>
      <c r="E2248" s="43"/>
      <c r="F2248" s="4" t="str">
        <f>IF(G2248=$L2248,1,IF(G2248="","",0))</f>
        <v/>
      </c>
      <c r="G2248" s="23"/>
      <c r="H2248" s="6">
        <v>2293</v>
      </c>
      <c r="I2248" s="15" t="s">
        <v>3120</v>
      </c>
      <c r="J2248" s="6" t="s">
        <v>4510</v>
      </c>
      <c r="K2248" s="6"/>
      <c r="L2248" s="6" t="s">
        <v>2351</v>
      </c>
      <c r="M2248" s="6" t="s">
        <v>8398</v>
      </c>
      <c r="N2248" s="7">
        <f ca="1">RAND()</f>
        <v>0.48264228903339623</v>
      </c>
      <c r="O2248" s="8">
        <v>45216</v>
      </c>
      <c r="P2248" s="8">
        <v>45217</v>
      </c>
      <c r="Q2248" s="8">
        <v>45219</v>
      </c>
      <c r="R2248" s="8">
        <v>45223</v>
      </c>
      <c r="S2248" s="8">
        <v>45230</v>
      </c>
      <c r="T2248" s="8">
        <v>45817</v>
      </c>
      <c r="U2248" s="8"/>
      <c r="V2248" s="10">
        <f>COUNTA(O2248:U2248)</f>
        <v>6</v>
      </c>
      <c r="W2248" s="11">
        <f>_xlfn.IFNA(INDEX(reading[[#This Row],[Memo 01]:[Memo 07]],MATCH(0,reading[[#This Row],[Memo 01]:[Memo 07]],-1)),"")</f>
        <v>45817</v>
      </c>
      <c r="X2248" s="11">
        <f ca="1">IFERROR(reading[[#This Row],[Previous]]+OFFSET(reading[[#Headers],[Memo 01]],-1,MATCH(0,reading[[#This Row],[Memo 01]:[Memo 07]],-1)-1),"")</f>
        <v>45837</v>
      </c>
      <c r="Y2248" s="10" t="str">
        <f ca="1">IF(reading[[#This Row],[Next]]&lt;&gt;"",IF(reading[[#This Row],[Next]]&gt;TODAY(),"OK",""),"")</f>
        <v>OK</v>
      </c>
      <c r="Z2248" s="13">
        <v>3</v>
      </c>
      <c r="AA2248" s="13">
        <v>3</v>
      </c>
      <c r="AB2248" s="13">
        <v>3</v>
      </c>
      <c r="AC2248" s="13">
        <v>3</v>
      </c>
      <c r="AD2248" s="13">
        <v>2</v>
      </c>
      <c r="AE2248" s="13">
        <v>1</v>
      </c>
      <c r="AF2248" s="13"/>
      <c r="AG2248" s="16">
        <f>IFERROR(SUMIF(reading[[#This Row],[1st]:[7th]],"&gt;0")/COUNTIF(reading[[#This Row],[1st]:[7th]],"&gt;0"),"")</f>
        <v>2.5</v>
      </c>
    </row>
    <row r="2249" spans="1:33" hidden="1" x14ac:dyDescent="0.2">
      <c r="A2249" s="4">
        <f>IF(B2249=1,3,IF(D2249=1,2,IF(F2249=1,1,0)))</f>
        <v>2</v>
      </c>
      <c r="B2249" s="4">
        <f>IF(C2249=$L2249,1,IF(C2249="","",0))</f>
        <v>0</v>
      </c>
      <c r="C2249" s="34" t="s">
        <v>3121</v>
      </c>
      <c r="D2249" s="4">
        <f>IF(E2249=$L2249,1,IF(E2249="","",0))</f>
        <v>1</v>
      </c>
      <c r="E2249" s="18" t="s">
        <v>2315</v>
      </c>
      <c r="F2249" s="4" t="str">
        <f>IF(G2249=$L2249,1,IF(G2249="","",0))</f>
        <v/>
      </c>
      <c r="G2249" s="14"/>
      <c r="H2249" s="6">
        <v>2253</v>
      </c>
      <c r="I2249" s="15" t="s">
        <v>3120</v>
      </c>
      <c r="J2249" s="6" t="s">
        <v>3629</v>
      </c>
      <c r="K2249" s="6"/>
      <c r="L2249" s="6" t="s">
        <v>2315</v>
      </c>
      <c r="M2249" s="6" t="s">
        <v>8358</v>
      </c>
      <c r="N2249" s="7">
        <f ca="1">RAND()</f>
        <v>0.87558662315185254</v>
      </c>
      <c r="O2249" s="8">
        <v>45215</v>
      </c>
      <c r="P2249" s="8">
        <v>45215</v>
      </c>
      <c r="Q2249" s="8">
        <v>45215</v>
      </c>
      <c r="R2249" s="8">
        <v>45215</v>
      </c>
      <c r="S2249" s="8">
        <v>45215</v>
      </c>
      <c r="T2249" s="8">
        <v>45215</v>
      </c>
      <c r="U2249" s="8">
        <v>45215</v>
      </c>
      <c r="V2249" s="10">
        <f>COUNTA(O2249:U2249)</f>
        <v>7</v>
      </c>
      <c r="W2249" s="11">
        <f>_xlfn.IFNA(INDEX(reading[[#This Row],[Memo 01]:[Memo 07]],MATCH(0,reading[[#This Row],[Memo 01]:[Memo 07]],-1)),"")</f>
        <v>45215</v>
      </c>
      <c r="X2249" s="11">
        <f ca="1">IFERROR(reading[[#This Row],[Previous]]+OFFSET(reading[[#Headers],[Memo 01]],-1,MATCH(0,reading[[#This Row],[Memo 01]:[Memo 07]],-1)-1),"")</f>
        <v>55215</v>
      </c>
      <c r="Y2249" s="10" t="str">
        <f ca="1">IF(reading[[#This Row],[Next]]&lt;&gt;"",IF(reading[[#This Row],[Next]]&gt;TODAY(),"OK",""),"")</f>
        <v>OK</v>
      </c>
      <c r="Z2249" s="13">
        <v>3</v>
      </c>
      <c r="AA2249" s="13"/>
      <c r="AB2249" s="13"/>
      <c r="AC2249" s="13"/>
      <c r="AD2249" s="13"/>
      <c r="AE2249" s="13"/>
      <c r="AF2249" s="13"/>
      <c r="AG2249" s="16">
        <f>IFERROR(SUMIF(reading[[#This Row],[1st]:[7th]],"&gt;0")/COUNTIF(reading[[#This Row],[1st]:[7th]],"&gt;0"),"")</f>
        <v>3</v>
      </c>
    </row>
    <row r="2250" spans="1:33" x14ac:dyDescent="0.2">
      <c r="A2250" s="4">
        <f>IF(B2250=1,3,IF(D2250=1,2,IF(F2250=1,1,0)))</f>
        <v>0</v>
      </c>
      <c r="B2250" s="4" t="str">
        <f>IF(C2250=$L2250,1,IF(C2250="","",0))</f>
        <v/>
      </c>
      <c r="C2250" s="39"/>
      <c r="D2250" s="4" t="str">
        <f>IF(E2250=$L2250,1,IF(E2250="","",0))</f>
        <v/>
      </c>
      <c r="E2250" s="14"/>
      <c r="F2250" s="4" t="str">
        <f>IF(G2250=$L2250,1,IF(G2250="","",0))</f>
        <v/>
      </c>
      <c r="G2250" s="14"/>
      <c r="H2250" s="6">
        <v>2459</v>
      </c>
      <c r="I2250" s="15" t="s">
        <v>3120</v>
      </c>
      <c r="J2250" s="6" t="s">
        <v>5528</v>
      </c>
      <c r="K2250" s="6"/>
      <c r="L2250" s="6" t="s">
        <v>2507</v>
      </c>
      <c r="M2250" s="6" t="s">
        <v>8564</v>
      </c>
      <c r="N2250" s="7">
        <f ca="1">RAND()</f>
        <v>0.151227980099221</v>
      </c>
      <c r="O2250" s="8">
        <v>45218</v>
      </c>
      <c r="P2250" s="8">
        <v>45219</v>
      </c>
      <c r="Q2250" s="8">
        <v>45221</v>
      </c>
      <c r="R2250" s="8">
        <v>45225</v>
      </c>
      <c r="S2250" s="8">
        <v>45232</v>
      </c>
      <c r="T2250" s="8"/>
      <c r="U2250" s="8"/>
      <c r="V2250" s="10">
        <f>COUNTA(O2250:U2250)</f>
        <v>5</v>
      </c>
      <c r="W2250" s="11">
        <f>_xlfn.IFNA(INDEX(reading[[#This Row],[Memo 01]:[Memo 07]],MATCH(0,reading[[#This Row],[Memo 01]:[Memo 07]],-1)),"")</f>
        <v>45232</v>
      </c>
      <c r="X2250" s="11">
        <f ca="1">IFERROR(reading[[#This Row],[Previous]]+OFFSET(reading[[#Headers],[Memo 01]],-1,MATCH(0,reading[[#This Row],[Memo 01]:[Memo 07]],-1)-1),"")</f>
        <v>45244</v>
      </c>
      <c r="Y2250" s="10" t="str">
        <f ca="1">IF(reading[[#This Row],[Next]]&lt;&gt;"",IF(reading[[#This Row],[Next]]&gt;TODAY(),"OK",""),"")</f>
        <v/>
      </c>
      <c r="Z2250" s="13">
        <v>3</v>
      </c>
      <c r="AA2250" s="13">
        <v>3</v>
      </c>
      <c r="AB2250" s="13">
        <v>3</v>
      </c>
      <c r="AC2250" s="13">
        <v>3</v>
      </c>
      <c r="AD2250" s="13">
        <v>3</v>
      </c>
      <c r="AE2250" s="13"/>
      <c r="AF2250" s="13"/>
      <c r="AG2250" s="16">
        <f>IFERROR(SUMIF(reading[[#This Row],[1st]:[7th]],"&gt;0")/COUNTIF(reading[[#This Row],[1st]:[7th]],"&gt;0"),"")</f>
        <v>3</v>
      </c>
    </row>
    <row r="2251" spans="1:33" hidden="1" x14ac:dyDescent="0.2">
      <c r="A2251" s="4">
        <f>IF(B2251=1,3,IF(D2251=1,2,IF(F2251=1,1,0)))</f>
        <v>0</v>
      </c>
      <c r="B2251" s="4" t="str">
        <f>IF(C2251=$L2251,1,IF(C2251="","",0))</f>
        <v/>
      </c>
      <c r="C2251" s="42"/>
      <c r="D2251" s="4" t="str">
        <f>IF(E2251=$L2251,1,IF(E2251="","",0))</f>
        <v/>
      </c>
      <c r="E2251" s="23"/>
      <c r="F2251" s="4" t="str">
        <f>IF(G2251=$L2251,1,IF(G2251="","",0))</f>
        <v/>
      </c>
      <c r="G2251" s="23"/>
      <c r="H2251" s="6">
        <v>2456</v>
      </c>
      <c r="I2251" s="15" t="s">
        <v>3120</v>
      </c>
      <c r="J2251" s="6" t="s">
        <v>5526</v>
      </c>
      <c r="K2251" s="6"/>
      <c r="L2251" s="6" t="s">
        <v>2504</v>
      </c>
      <c r="M2251" s="6" t="s">
        <v>8561</v>
      </c>
      <c r="N2251" s="7">
        <f ca="1">RAND()</f>
        <v>3.3630181840785367E-2</v>
      </c>
      <c r="O2251" s="8">
        <v>45218</v>
      </c>
      <c r="P2251" s="8">
        <v>45219</v>
      </c>
      <c r="Q2251" s="8">
        <v>45221</v>
      </c>
      <c r="R2251" s="8">
        <v>45225</v>
      </c>
      <c r="S2251" s="8">
        <v>45232</v>
      </c>
      <c r="T2251" s="8">
        <v>45817</v>
      </c>
      <c r="U2251" s="8"/>
      <c r="V2251" s="10">
        <f>COUNTA(O2251:U2251)</f>
        <v>6</v>
      </c>
      <c r="W2251" s="11">
        <f>_xlfn.IFNA(INDEX(reading[[#This Row],[Memo 01]:[Memo 07]],MATCH(0,reading[[#This Row],[Memo 01]:[Memo 07]],-1)),"")</f>
        <v>45817</v>
      </c>
      <c r="X2251" s="11">
        <f ca="1">IFERROR(reading[[#This Row],[Previous]]+OFFSET(reading[[#Headers],[Memo 01]],-1,MATCH(0,reading[[#This Row],[Memo 01]:[Memo 07]],-1)-1),"")</f>
        <v>45837</v>
      </c>
      <c r="Y2251" s="10" t="str">
        <f ca="1">IF(reading[[#This Row],[Next]]&lt;&gt;"",IF(reading[[#This Row],[Next]]&gt;TODAY(),"OK",""),"")</f>
        <v>OK</v>
      </c>
      <c r="Z2251" s="13">
        <v>3</v>
      </c>
      <c r="AA2251" s="13">
        <v>3</v>
      </c>
      <c r="AB2251" s="13">
        <v>3</v>
      </c>
      <c r="AC2251" s="13">
        <v>3</v>
      </c>
      <c r="AD2251" s="13">
        <v>3</v>
      </c>
      <c r="AE2251" s="13">
        <v>1</v>
      </c>
      <c r="AF2251" s="13"/>
      <c r="AG2251" s="16">
        <f>IFERROR(SUMIF(reading[[#This Row],[1st]:[7th]],"&gt;0")/COUNTIF(reading[[#This Row],[1st]:[7th]],"&gt;0"),"")</f>
        <v>2.6666666666666665</v>
      </c>
    </row>
    <row r="2252" spans="1:33" x14ac:dyDescent="0.2">
      <c r="A2252" s="4">
        <f>IF(B2252=1,3,IF(D2252=1,2,IF(F2252=1,1,0)))</f>
        <v>0</v>
      </c>
      <c r="B2252" s="4" t="str">
        <f>IF(C2252=$L2252,1,IF(C2252="","",0))</f>
        <v/>
      </c>
      <c r="C2252" s="38"/>
      <c r="D2252" s="4" t="str">
        <f>IF(E2252=$L2252,1,IF(E2252="","",0))</f>
        <v/>
      </c>
      <c r="E2252" s="14"/>
      <c r="F2252" s="4" t="str">
        <f>IF(G2252=$L2252,1,IF(G2252="","",0))</f>
        <v/>
      </c>
      <c r="G2252" s="14"/>
      <c r="H2252" s="6">
        <v>2297</v>
      </c>
      <c r="I2252" s="15" t="s">
        <v>3120</v>
      </c>
      <c r="J2252" s="6" t="s">
        <v>5377</v>
      </c>
      <c r="K2252" s="6"/>
      <c r="L2252" s="6" t="s">
        <v>2355</v>
      </c>
      <c r="M2252" s="6" t="s">
        <v>8402</v>
      </c>
      <c r="N2252" s="7">
        <f ca="1">RAND()</f>
        <v>0.57380322517717042</v>
      </c>
      <c r="O2252" s="8">
        <v>45215</v>
      </c>
      <c r="P2252" s="8">
        <v>45216</v>
      </c>
      <c r="Q2252" s="8">
        <v>45218</v>
      </c>
      <c r="R2252" s="8">
        <v>45222</v>
      </c>
      <c r="S2252" s="8">
        <v>45229</v>
      </c>
      <c r="T2252" s="8"/>
      <c r="U2252" s="8"/>
      <c r="V2252" s="10">
        <f>COUNTA(O2252:U2252)</f>
        <v>5</v>
      </c>
      <c r="W2252" s="11">
        <f>_xlfn.IFNA(INDEX(reading[[#This Row],[Memo 01]:[Memo 07]],MATCH(0,reading[[#This Row],[Memo 01]:[Memo 07]],-1)),"")</f>
        <v>45229</v>
      </c>
      <c r="X2252" s="11">
        <f ca="1">IFERROR(reading[[#This Row],[Previous]]+OFFSET(reading[[#Headers],[Memo 01]],-1,MATCH(0,reading[[#This Row],[Memo 01]:[Memo 07]],-1)-1),"")</f>
        <v>45241</v>
      </c>
      <c r="Y2252" s="10" t="str">
        <f ca="1">IF(reading[[#This Row],[Next]]&lt;&gt;"",IF(reading[[#This Row],[Next]]&gt;TODAY(),"OK",""),"")</f>
        <v/>
      </c>
      <c r="Z2252" s="13">
        <v>3</v>
      </c>
      <c r="AA2252" s="13">
        <v>3</v>
      </c>
      <c r="AB2252" s="13">
        <v>3</v>
      </c>
      <c r="AC2252" s="13">
        <v>3</v>
      </c>
      <c r="AD2252" s="13">
        <v>3</v>
      </c>
      <c r="AE2252" s="13"/>
      <c r="AF2252" s="13"/>
      <c r="AG2252" s="16">
        <f>IFERROR(SUMIF(reading[[#This Row],[1st]:[7th]],"&gt;0")/COUNTIF(reading[[#This Row],[1st]:[7th]],"&gt;0"),"")</f>
        <v>3</v>
      </c>
    </row>
    <row r="2253" spans="1:33" hidden="1" x14ac:dyDescent="0.2">
      <c r="A2253" s="4">
        <f>IF(B2253=1,3,IF(D2253=1,2,IF(F2253=1,1,0)))</f>
        <v>0</v>
      </c>
      <c r="B2253" s="4" t="str">
        <f>IF(C2253=$L2253,1,IF(C2253="","",0))</f>
        <v/>
      </c>
      <c r="C2253" s="42"/>
      <c r="D2253" s="4" t="str">
        <f>IF(E2253=$L2253,1,IF(E2253="","",0))</f>
        <v/>
      </c>
      <c r="E2253" s="43"/>
      <c r="F2253" s="4" t="str">
        <f>IF(G2253=$L2253,1,IF(G2253="","",0))</f>
        <v/>
      </c>
      <c r="G2253" s="23"/>
      <c r="H2253" s="6">
        <v>2400</v>
      </c>
      <c r="I2253" s="15" t="s">
        <v>3120</v>
      </c>
      <c r="J2253" s="6" t="s">
        <v>5472</v>
      </c>
      <c r="K2253" s="6"/>
      <c r="L2253" s="6" t="s">
        <v>2451</v>
      </c>
      <c r="M2253" s="6" t="s">
        <v>8505</v>
      </c>
      <c r="N2253" s="7">
        <f ca="1">RAND()</f>
        <v>0.10628730550778021</v>
      </c>
      <c r="O2253" s="8">
        <v>45217</v>
      </c>
      <c r="P2253" s="8">
        <v>45218</v>
      </c>
      <c r="Q2253" s="8">
        <v>45220</v>
      </c>
      <c r="R2253" s="8">
        <v>45224</v>
      </c>
      <c r="S2253" s="8">
        <v>45231</v>
      </c>
      <c r="T2253" s="8">
        <v>45250</v>
      </c>
      <c r="U2253" s="8">
        <v>45825</v>
      </c>
      <c r="V2253" s="10">
        <f>COUNTA(O2253:U2253)</f>
        <v>7</v>
      </c>
      <c r="W2253" s="11">
        <f>_xlfn.IFNA(INDEX(reading[[#This Row],[Memo 01]:[Memo 07]],MATCH(0,reading[[#This Row],[Memo 01]:[Memo 07]],-1)),"")</f>
        <v>45825</v>
      </c>
      <c r="X2253" s="11">
        <f ca="1">IFERROR(reading[[#This Row],[Previous]]+OFFSET(reading[[#Headers],[Memo 01]],-1,MATCH(0,reading[[#This Row],[Memo 01]:[Memo 07]],-1)-1),"")</f>
        <v>55825</v>
      </c>
      <c r="Y2253" s="10" t="str">
        <f ca="1">IF(reading[[#This Row],[Next]]&lt;&gt;"",IF(reading[[#This Row],[Next]]&gt;TODAY(),"OK",""),"")</f>
        <v>OK</v>
      </c>
      <c r="Z2253" s="13">
        <v>3</v>
      </c>
      <c r="AA2253" s="13">
        <v>3</v>
      </c>
      <c r="AB2253" s="13">
        <v>2</v>
      </c>
      <c r="AC2253" s="13">
        <v>2</v>
      </c>
      <c r="AD2253" s="13">
        <v>2</v>
      </c>
      <c r="AE2253" s="13">
        <v>2</v>
      </c>
      <c r="AF2253" s="13">
        <v>1</v>
      </c>
      <c r="AG2253" s="16">
        <f>IFERROR(SUMIF(reading[[#This Row],[1st]:[7th]],"&gt;0")/COUNTIF(reading[[#This Row],[1st]:[7th]],"&gt;0"),"")</f>
        <v>2.1428571428571428</v>
      </c>
    </row>
    <row r="2254" spans="1:33" x14ac:dyDescent="0.2">
      <c r="A2254" s="4">
        <f>IF(B2254=1,3,IF(D2254=1,2,IF(F2254=1,1,0)))</f>
        <v>0</v>
      </c>
      <c r="B2254" s="4" t="str">
        <f>IF(C2254=$L2254,1,IF(C2254="","",0))</f>
        <v/>
      </c>
      <c r="C2254" s="39"/>
      <c r="D2254" s="4" t="str">
        <f>IF(E2254=$L2254,1,IF(E2254="","",0))</f>
        <v/>
      </c>
      <c r="E2254" s="14"/>
      <c r="F2254" s="4" t="str">
        <f>IF(G2254=$L2254,1,IF(G2254="","",0))</f>
        <v/>
      </c>
      <c r="G2254" s="14"/>
      <c r="H2254" s="6">
        <v>1518</v>
      </c>
      <c r="I2254" s="15" t="s">
        <v>3120</v>
      </c>
      <c r="J2254" s="6" t="s">
        <v>4631</v>
      </c>
      <c r="K2254" s="6"/>
      <c r="L2254" s="6" t="s">
        <v>1603</v>
      </c>
      <c r="M2254" s="6" t="s">
        <v>7625</v>
      </c>
      <c r="N2254" s="7">
        <f ca="1">RAND()</f>
        <v>0.33990724942378125</v>
      </c>
      <c r="O2254" s="8">
        <v>45209</v>
      </c>
      <c r="P2254" s="8">
        <v>45210</v>
      </c>
      <c r="Q2254" s="8">
        <v>45212</v>
      </c>
      <c r="R2254" s="8">
        <v>45216</v>
      </c>
      <c r="S2254" s="8">
        <v>45223</v>
      </c>
      <c r="T2254" s="8">
        <v>45235</v>
      </c>
      <c r="U2254" s="8"/>
      <c r="V2254" s="10">
        <f>COUNTA(O2254:U2254)</f>
        <v>6</v>
      </c>
      <c r="W2254" s="11">
        <f>_xlfn.IFNA(INDEX(reading[[#This Row],[Memo 01]:[Memo 07]],MATCH(0,reading[[#This Row],[Memo 01]:[Memo 07]],-1)),"")</f>
        <v>45235</v>
      </c>
      <c r="X2254" s="11">
        <f ca="1">IFERROR(reading[[#This Row],[Previous]]+OFFSET(reading[[#Headers],[Memo 01]],-1,MATCH(0,reading[[#This Row],[Memo 01]:[Memo 07]],-1)-1),"")</f>
        <v>45255</v>
      </c>
      <c r="Y2254" s="10" t="str">
        <f ca="1">IF(reading[[#This Row],[Next]]&lt;&gt;"",IF(reading[[#This Row],[Next]]&gt;TODAY(),"OK",""),"")</f>
        <v/>
      </c>
      <c r="Z2254" s="13">
        <v>3</v>
      </c>
      <c r="AA2254" s="13">
        <v>3</v>
      </c>
      <c r="AB2254" s="13">
        <v>3</v>
      </c>
      <c r="AC2254" s="13">
        <v>3</v>
      </c>
      <c r="AD2254" s="13">
        <v>3</v>
      </c>
      <c r="AE2254" s="13">
        <v>3</v>
      </c>
      <c r="AF2254" s="13"/>
      <c r="AG2254" s="16">
        <f>IFERROR(SUMIF(reading[[#This Row],[1st]:[7th]],"&gt;0")/COUNTIF(reading[[#This Row],[1st]:[7th]],"&gt;0"),"")</f>
        <v>3</v>
      </c>
    </row>
    <row r="2255" spans="1:33" x14ac:dyDescent="0.2">
      <c r="A2255" s="4">
        <f>IF(B2255=1,3,IF(D2255=1,2,IF(F2255=1,1,0)))</f>
        <v>0</v>
      </c>
      <c r="B2255" s="4" t="str">
        <f>IF(C2255=$L2255,1,IF(C2255="","",0))</f>
        <v/>
      </c>
      <c r="C2255" s="42"/>
      <c r="D2255" s="4" t="str">
        <f>IF(E2255=$L2255,1,IF(E2255="","",0))</f>
        <v/>
      </c>
      <c r="E2255" s="14"/>
      <c r="F2255" s="4" t="str">
        <f>IF(G2255=$L2255,1,IF(G2255="","",0))</f>
        <v/>
      </c>
      <c r="G2255" s="14"/>
      <c r="H2255" s="6">
        <v>2930</v>
      </c>
      <c r="I2255" s="15" t="s">
        <v>3120</v>
      </c>
      <c r="J2255" s="6" t="s">
        <v>5965</v>
      </c>
      <c r="K2255" s="6"/>
      <c r="L2255" s="6" t="s">
        <v>2960</v>
      </c>
      <c r="M2255" s="6" t="s">
        <v>9034</v>
      </c>
      <c r="N2255" s="7">
        <f ca="1">RAND()</f>
        <v>0.93488091655009509</v>
      </c>
      <c r="O2255" s="8">
        <v>45223</v>
      </c>
      <c r="P2255" s="8">
        <v>45224</v>
      </c>
      <c r="Q2255" s="8">
        <v>45226</v>
      </c>
      <c r="R2255" s="8">
        <v>45230</v>
      </c>
      <c r="S2255" s="8">
        <v>45237</v>
      </c>
      <c r="T2255" s="8">
        <v>45792</v>
      </c>
      <c r="U2255" s="8"/>
      <c r="V2255" s="10">
        <f>COUNTA(O2255:U2255)</f>
        <v>6</v>
      </c>
      <c r="W2255" s="11">
        <f>_xlfn.IFNA(INDEX(reading[[#This Row],[Memo 01]:[Memo 07]],MATCH(0,reading[[#This Row],[Memo 01]:[Memo 07]],-1)),"")</f>
        <v>45792</v>
      </c>
      <c r="X2255" s="11">
        <f ca="1">IFERROR(reading[[#This Row],[Previous]]+OFFSET(reading[[#Headers],[Memo 01]],-1,MATCH(0,reading[[#This Row],[Memo 01]:[Memo 07]],-1)-1),"")</f>
        <v>45812</v>
      </c>
      <c r="Y2255" s="10" t="str">
        <f ca="1">IF(reading[[#This Row],[Next]]&lt;&gt;"",IF(reading[[#This Row],[Next]]&gt;TODAY(),"OK",""),"")</f>
        <v/>
      </c>
      <c r="Z2255" s="13">
        <v>3</v>
      </c>
      <c r="AA2255" s="13">
        <v>3</v>
      </c>
      <c r="AB2255" s="13">
        <v>3</v>
      </c>
      <c r="AC2255" s="13">
        <v>3</v>
      </c>
      <c r="AD2255" s="13">
        <v>3</v>
      </c>
      <c r="AE2255" s="13">
        <v>3</v>
      </c>
      <c r="AF2255" s="13"/>
      <c r="AG2255" s="16">
        <f>IFERROR(SUMIF(reading[[#This Row],[1st]:[7th]],"&gt;0")/COUNTIF(reading[[#This Row],[1st]:[7th]],"&gt;0"),"")</f>
        <v>3</v>
      </c>
    </row>
    <row r="2256" spans="1:33" x14ac:dyDescent="0.2">
      <c r="A2256" s="4">
        <f>IF(B2256=1,3,IF(D2256=1,2,IF(F2256=1,1,0)))</f>
        <v>0</v>
      </c>
      <c r="B2256" s="4" t="str">
        <f>IF(C2256=$L2256,1,IF(C2256="","",0))</f>
        <v/>
      </c>
      <c r="C2256" s="39"/>
      <c r="D2256" s="4" t="str">
        <f>IF(E2256=$L2256,1,IF(E2256="","",0))</f>
        <v/>
      </c>
      <c r="E2256" s="14"/>
      <c r="F2256" s="4" t="str">
        <f>IF(G2256=$L2256,1,IF(G2256="","",0))</f>
        <v/>
      </c>
      <c r="G2256" s="14"/>
      <c r="H2256" s="6">
        <v>1800</v>
      </c>
      <c r="I2256" s="15" t="s">
        <v>3120</v>
      </c>
      <c r="J2256" s="6" t="s">
        <v>4907</v>
      </c>
      <c r="K2256" s="6"/>
      <c r="L2256" s="6" t="s">
        <v>1879</v>
      </c>
      <c r="M2256" s="6" t="s">
        <v>7906</v>
      </c>
      <c r="N2256" s="7">
        <f ca="1">RAND()</f>
        <v>0.89059900197634279</v>
      </c>
      <c r="O2256" s="8">
        <v>45211</v>
      </c>
      <c r="P2256" s="8">
        <v>45212</v>
      </c>
      <c r="Q2256" s="8">
        <v>45214</v>
      </c>
      <c r="R2256" s="8">
        <v>45218</v>
      </c>
      <c r="S2256" s="8">
        <v>45225</v>
      </c>
      <c r="T2256" s="8">
        <v>45237</v>
      </c>
      <c r="U2256" s="8"/>
      <c r="V2256" s="10">
        <f>COUNTA(O2256:U2256)</f>
        <v>6</v>
      </c>
      <c r="W2256" s="11">
        <f>_xlfn.IFNA(INDEX(reading[[#This Row],[Memo 01]:[Memo 07]],MATCH(0,reading[[#This Row],[Memo 01]:[Memo 07]],-1)),"")</f>
        <v>45237</v>
      </c>
      <c r="X2256" s="11">
        <f ca="1">IFERROR(reading[[#This Row],[Previous]]+OFFSET(reading[[#Headers],[Memo 01]],-1,MATCH(0,reading[[#This Row],[Memo 01]:[Memo 07]],-1)-1),"")</f>
        <v>45257</v>
      </c>
      <c r="Y2256" s="10" t="str">
        <f ca="1">IF(reading[[#This Row],[Next]]&lt;&gt;"",IF(reading[[#This Row],[Next]]&gt;TODAY(),"OK",""),"")</f>
        <v/>
      </c>
      <c r="Z2256" s="13">
        <v>3</v>
      </c>
      <c r="AA2256" s="13">
        <v>3</v>
      </c>
      <c r="AB2256" s="13">
        <v>3</v>
      </c>
      <c r="AC2256" s="13">
        <v>3</v>
      </c>
      <c r="AD2256" s="13">
        <v>3</v>
      </c>
      <c r="AE2256" s="13">
        <v>3</v>
      </c>
      <c r="AF2256" s="13"/>
      <c r="AG2256" s="16">
        <f>IFERROR(SUMIF(reading[[#This Row],[1st]:[7th]],"&gt;0")/COUNTIF(reading[[#This Row],[1st]:[7th]],"&gt;0"),"")</f>
        <v>3</v>
      </c>
    </row>
    <row r="2257" spans="1:33" x14ac:dyDescent="0.2">
      <c r="A2257" s="4">
        <f>IF(B2257=1,3,IF(D2257=1,2,IF(F2257=1,1,0)))</f>
        <v>0</v>
      </c>
      <c r="B2257" s="4" t="str">
        <f>IF(C2257=$L2257,1,IF(C2257="","",0))</f>
        <v/>
      </c>
      <c r="C2257" s="18"/>
      <c r="D2257" s="4" t="str">
        <f>IF(E2257=$L2257,1,IF(E2257="","",0))</f>
        <v/>
      </c>
      <c r="E2257" s="18"/>
      <c r="F2257" s="4" t="str">
        <f>IF(G2257=$L2257,1,IF(G2257="","",0))</f>
        <v/>
      </c>
      <c r="G2257" s="14"/>
      <c r="H2257" s="6">
        <v>223</v>
      </c>
      <c r="I2257" s="15" t="s">
        <v>3120</v>
      </c>
      <c r="J2257" s="6" t="s">
        <v>3372</v>
      </c>
      <c r="K2257" s="6"/>
      <c r="L2257" s="6" t="s">
        <v>358</v>
      </c>
      <c r="M2257" s="6" t="s">
        <v>6332</v>
      </c>
      <c r="N2257" s="7">
        <f ca="1">RAND()</f>
        <v>0.70567523440762336</v>
      </c>
      <c r="O2257" s="8">
        <v>45199</v>
      </c>
      <c r="P2257" s="8">
        <v>45200</v>
      </c>
      <c r="Q2257" s="8">
        <v>45202</v>
      </c>
      <c r="R2257" s="8">
        <v>45206</v>
      </c>
      <c r="S2257" s="8">
        <v>45213</v>
      </c>
      <c r="T2257" s="8">
        <v>45225</v>
      </c>
      <c r="U2257" s="8"/>
      <c r="V2257" s="10">
        <f>COUNTA(O2257:U2257)</f>
        <v>6</v>
      </c>
      <c r="W2257" s="11">
        <f>_xlfn.IFNA(INDEX(reading[[#This Row],[Memo 01]:[Memo 07]],MATCH(0,reading[[#This Row],[Memo 01]:[Memo 07]],-1)),"")</f>
        <v>45225</v>
      </c>
      <c r="X2257" s="11">
        <f ca="1">IFERROR(reading[[#This Row],[Previous]]+OFFSET(reading[[#Headers],[Memo 01]],-1,MATCH(0,reading[[#This Row],[Memo 01]:[Memo 07]],-1)-1),"")</f>
        <v>45245</v>
      </c>
      <c r="Y2257" s="10" t="str">
        <f ca="1">IF(reading[[#This Row],[Next]]&lt;&gt;"",IF(reading[[#This Row],[Next]]&gt;TODAY(),"OK",""),"")</f>
        <v/>
      </c>
      <c r="Z2257" s="13">
        <v>3</v>
      </c>
      <c r="AA2257" s="13">
        <v>2</v>
      </c>
      <c r="AB2257" s="13">
        <v>3</v>
      </c>
      <c r="AC2257" s="13">
        <v>3</v>
      </c>
      <c r="AD2257" s="13">
        <v>3</v>
      </c>
      <c r="AE2257" s="13">
        <v>3</v>
      </c>
      <c r="AF2257" s="13"/>
      <c r="AG2257" s="16">
        <f>IFERROR(SUMIF(reading[[#This Row],[1st]:[7th]],"&gt;0")/COUNTIF(reading[[#This Row],[1st]:[7th]],"&gt;0"),"")</f>
        <v>2.8333333333333335</v>
      </c>
    </row>
    <row r="2258" spans="1:33" x14ac:dyDescent="0.2">
      <c r="A2258" s="4">
        <f>IF(B2258=1,3,IF(D2258=1,2,IF(F2258=1,1,0)))</f>
        <v>0</v>
      </c>
      <c r="B2258" s="4" t="str">
        <f>IF(C2258=$L2258,1,IF(C2258="","",0))</f>
        <v/>
      </c>
      <c r="C2258" s="42"/>
      <c r="D2258" s="4" t="str">
        <f>IF(E2258=$L2258,1,IF(E2258="","",0))</f>
        <v/>
      </c>
      <c r="E2258" s="18"/>
      <c r="F2258" s="4" t="str">
        <f>IF(G2258=$L2258,1,IF(G2258="","",0))</f>
        <v/>
      </c>
      <c r="G2258" s="14"/>
      <c r="H2258" s="6">
        <v>2666</v>
      </c>
      <c r="I2258" s="15" t="s">
        <v>3120</v>
      </c>
      <c r="J2258" s="6" t="s">
        <v>4465</v>
      </c>
      <c r="K2258" s="15" t="s">
        <v>3139</v>
      </c>
      <c r="L2258" s="6" t="s">
        <v>2705</v>
      </c>
      <c r="M2258" s="6" t="s">
        <v>8771</v>
      </c>
      <c r="N2258" s="7">
        <f ca="1">RAND()</f>
        <v>0.38775778840375008</v>
      </c>
      <c r="O2258" s="8">
        <v>45220</v>
      </c>
      <c r="P2258" s="8">
        <v>45221</v>
      </c>
      <c r="Q2258" s="8">
        <v>45223</v>
      </c>
      <c r="R2258" s="8">
        <v>45227</v>
      </c>
      <c r="S2258" s="8">
        <v>45234</v>
      </c>
      <c r="T2258" s="8">
        <v>45792</v>
      </c>
      <c r="U2258" s="8"/>
      <c r="V2258" s="10">
        <f>COUNTA(O2258:U2258)</f>
        <v>6</v>
      </c>
      <c r="W2258" s="11">
        <f>_xlfn.IFNA(INDEX(reading[[#This Row],[Memo 01]:[Memo 07]],MATCH(0,reading[[#This Row],[Memo 01]:[Memo 07]],-1)),"")</f>
        <v>45792</v>
      </c>
      <c r="X2258" s="11">
        <f ca="1">IFERROR(reading[[#This Row],[Previous]]+OFFSET(reading[[#Headers],[Memo 01]],-1,MATCH(0,reading[[#This Row],[Memo 01]:[Memo 07]],-1)-1),"")</f>
        <v>45812</v>
      </c>
      <c r="Y2258" s="10" t="str">
        <f ca="1">IF(reading[[#This Row],[Next]]&lt;&gt;"",IF(reading[[#This Row],[Next]]&gt;TODAY(),"OK",""),"")</f>
        <v/>
      </c>
      <c r="Z2258" s="13">
        <v>3</v>
      </c>
      <c r="AA2258" s="13">
        <v>3</v>
      </c>
      <c r="AB2258" s="13">
        <v>3</v>
      </c>
      <c r="AC2258" s="13">
        <v>2</v>
      </c>
      <c r="AD2258" s="13">
        <v>3</v>
      </c>
      <c r="AE2258" s="13">
        <v>3</v>
      </c>
      <c r="AF2258" s="13"/>
      <c r="AG2258" s="16">
        <f>IFERROR(SUMIF(reading[[#This Row],[1st]:[7th]],"&gt;0")/COUNTIF(reading[[#This Row],[1st]:[7th]],"&gt;0"),"")</f>
        <v>2.8333333333333335</v>
      </c>
    </row>
    <row r="2259" spans="1:33" hidden="1" x14ac:dyDescent="0.2">
      <c r="A2259" s="4">
        <f>IF(B2259=1,3,IF(D2259=1,2,IF(F2259=1,1,0)))</f>
        <v>0</v>
      </c>
      <c r="B2259" s="4">
        <f>IF(C2259=$L2259,1,IF(C2259="","",0))</f>
        <v>0</v>
      </c>
      <c r="C2259" s="42" t="s">
        <v>9200</v>
      </c>
      <c r="D2259" s="4" t="str">
        <f>IF(E2259=$L2259,1,IF(E2259="","",0))</f>
        <v/>
      </c>
      <c r="E2259" s="18"/>
      <c r="F2259" s="4" t="str">
        <f>IF(G2259=$L2259,1,IF(G2259="","",0))</f>
        <v/>
      </c>
      <c r="G2259" s="14"/>
      <c r="H2259" s="6">
        <v>2902</v>
      </c>
      <c r="I2259" s="15" t="s">
        <v>3120</v>
      </c>
      <c r="J2259" s="6" t="s">
        <v>5938</v>
      </c>
      <c r="K2259" s="6"/>
      <c r="L2259" s="6" t="s">
        <v>2932</v>
      </c>
      <c r="M2259" s="6" t="s">
        <v>9006</v>
      </c>
      <c r="N2259" s="7">
        <f ca="1">RAND()</f>
        <v>0.60237907286134507</v>
      </c>
      <c r="O2259" s="8">
        <v>45223</v>
      </c>
      <c r="P2259" s="8">
        <v>45224</v>
      </c>
      <c r="Q2259" s="8">
        <v>45226</v>
      </c>
      <c r="R2259" s="8">
        <v>45230</v>
      </c>
      <c r="S2259" s="8">
        <v>45237</v>
      </c>
      <c r="T2259" s="8"/>
      <c r="U2259" s="8"/>
      <c r="V2259" s="10">
        <f>COUNTA(O2259:U2259)</f>
        <v>5</v>
      </c>
      <c r="W2259" s="11">
        <f>_xlfn.IFNA(INDEX(reading[[#This Row],[Memo 01]:[Memo 07]],MATCH(0,reading[[#This Row],[Memo 01]:[Memo 07]],-1)),"")</f>
        <v>45237</v>
      </c>
      <c r="X2259" s="11">
        <f ca="1">IFERROR(reading[[#This Row],[Previous]]+OFFSET(reading[[#Headers],[Memo 01]],-1,MATCH(0,reading[[#This Row],[Memo 01]:[Memo 07]],-1)-1),"")</f>
        <v>45249</v>
      </c>
      <c r="Y2259" s="10" t="str">
        <f ca="1">IF(reading[[#This Row],[Next]]&lt;&gt;"",IF(reading[[#This Row],[Next]]&gt;TODAY(),"OK",""),"")</f>
        <v/>
      </c>
      <c r="Z2259" s="13">
        <v>3</v>
      </c>
      <c r="AA2259" s="13">
        <v>2</v>
      </c>
      <c r="AB2259" s="13">
        <v>3</v>
      </c>
      <c r="AC2259" s="13">
        <v>3</v>
      </c>
      <c r="AD2259" s="13">
        <v>3</v>
      </c>
      <c r="AE2259" s="13"/>
      <c r="AF2259" s="13"/>
      <c r="AG2259" s="16">
        <f>IFERROR(SUMIF(reading[[#This Row],[1st]:[7th]],"&gt;0")/COUNTIF(reading[[#This Row],[1st]:[7th]],"&gt;0"),"")</f>
        <v>2.8</v>
      </c>
    </row>
    <row r="2260" spans="1:33" hidden="1" x14ac:dyDescent="0.2">
      <c r="A2260" s="4">
        <f>IF(B2260=1,3,IF(D2260=1,2,IF(F2260=1,1,0)))</f>
        <v>3</v>
      </c>
      <c r="B2260" s="4">
        <f>IF(C2260=$L2260,1,IF(C2260="","",0))</f>
        <v>1</v>
      </c>
      <c r="C2260" s="34" t="s">
        <v>2324</v>
      </c>
      <c r="D2260" s="4" t="str">
        <f>IF(E2260=$L2260,1,IF(E2260="","",0))</f>
        <v/>
      </c>
      <c r="E2260" s="14"/>
      <c r="F2260" s="4" t="str">
        <f>IF(G2260=$L2260,1,IF(G2260="","",0))</f>
        <v/>
      </c>
      <c r="G2260" s="14"/>
      <c r="H2260" s="6">
        <v>2264</v>
      </c>
      <c r="I2260" s="15" t="s">
        <v>3120</v>
      </c>
      <c r="J2260" s="6" t="s">
        <v>5346</v>
      </c>
      <c r="K2260" s="6"/>
      <c r="L2260" s="6" t="s">
        <v>2324</v>
      </c>
      <c r="M2260" s="6" t="s">
        <v>8369</v>
      </c>
      <c r="N2260" s="7">
        <f ca="1">RAND()</f>
        <v>0.48009350475158619</v>
      </c>
      <c r="O2260" s="8">
        <v>45215</v>
      </c>
      <c r="P2260" s="8">
        <v>45215</v>
      </c>
      <c r="Q2260" s="8">
        <v>45215</v>
      </c>
      <c r="R2260" s="8">
        <v>45215</v>
      </c>
      <c r="S2260" s="8">
        <v>45215</v>
      </c>
      <c r="T2260" s="8">
        <v>45215</v>
      </c>
      <c r="U2260" s="8">
        <v>45215</v>
      </c>
      <c r="V2260" s="10">
        <f>COUNTA(O2260:U2260)</f>
        <v>7</v>
      </c>
      <c r="W2260" s="11">
        <f>_xlfn.IFNA(INDEX(reading[[#This Row],[Memo 01]:[Memo 07]],MATCH(0,reading[[#This Row],[Memo 01]:[Memo 07]],-1)),"")</f>
        <v>45215</v>
      </c>
      <c r="X2260" s="11">
        <f ca="1">IFERROR(reading[[#This Row],[Previous]]+OFFSET(reading[[#Headers],[Memo 01]],-1,MATCH(0,reading[[#This Row],[Memo 01]:[Memo 07]],-1)-1),"")</f>
        <v>55215</v>
      </c>
      <c r="Y2260" s="10" t="str">
        <f ca="1">IF(reading[[#This Row],[Next]]&lt;&gt;"",IF(reading[[#This Row],[Next]]&gt;TODAY(),"OK",""),"")</f>
        <v>OK</v>
      </c>
      <c r="Z2260" s="13">
        <v>3</v>
      </c>
      <c r="AA2260" s="13"/>
      <c r="AB2260" s="13"/>
      <c r="AC2260" s="13"/>
      <c r="AD2260" s="13"/>
      <c r="AE2260" s="13"/>
      <c r="AF2260" s="13"/>
      <c r="AG2260" s="16">
        <f>IFERROR(SUMIF(reading[[#This Row],[1st]:[7th]],"&gt;0")/COUNTIF(reading[[#This Row],[1st]:[7th]],"&gt;0"),"")</f>
        <v>3</v>
      </c>
    </row>
    <row r="2261" spans="1:33" hidden="1" x14ac:dyDescent="0.2">
      <c r="A2261" s="4">
        <f>IF(B2261=1,3,IF(D2261=1,2,IF(F2261=1,1,0)))</f>
        <v>0</v>
      </c>
      <c r="B2261" s="4" t="str">
        <f>IF(C2261=$L2261,1,IF(C2261="","",0))</f>
        <v/>
      </c>
      <c r="C2261" s="42"/>
      <c r="D2261" s="4" t="str">
        <f>IF(E2261=$L2261,1,IF(E2261="","",0))</f>
        <v/>
      </c>
      <c r="E2261" s="23"/>
      <c r="F2261" s="4" t="str">
        <f>IF(G2261=$L2261,1,IF(G2261="","",0))</f>
        <v/>
      </c>
      <c r="G2261" s="14"/>
      <c r="H2261" s="6">
        <v>2881</v>
      </c>
      <c r="I2261" s="15" t="s">
        <v>3120</v>
      </c>
      <c r="J2261" s="6" t="s">
        <v>5918</v>
      </c>
      <c r="K2261" s="6"/>
      <c r="L2261" s="6" t="s">
        <v>2912</v>
      </c>
      <c r="M2261" s="6" t="s">
        <v>8985</v>
      </c>
      <c r="N2261" s="7">
        <f ca="1">RAND()</f>
        <v>0.89250300578432418</v>
      </c>
      <c r="O2261" s="8">
        <v>45222</v>
      </c>
      <c r="P2261" s="8">
        <v>45223</v>
      </c>
      <c r="Q2261" s="8">
        <v>45225</v>
      </c>
      <c r="R2261" s="8">
        <v>45229</v>
      </c>
      <c r="S2261" s="8">
        <v>45236</v>
      </c>
      <c r="T2261" s="8">
        <v>45825</v>
      </c>
      <c r="U2261" s="8"/>
      <c r="V2261" s="10">
        <f>COUNTA(O2261:U2261)</f>
        <v>6</v>
      </c>
      <c r="W2261" s="11">
        <f>_xlfn.IFNA(INDEX(reading[[#This Row],[Memo 01]:[Memo 07]],MATCH(0,reading[[#This Row],[Memo 01]:[Memo 07]],-1)),"")</f>
        <v>45825</v>
      </c>
      <c r="X2261" s="11">
        <f ca="1">IFERROR(reading[[#This Row],[Previous]]+OFFSET(reading[[#Headers],[Memo 01]],-1,MATCH(0,reading[[#This Row],[Memo 01]:[Memo 07]],-1)-1),"")</f>
        <v>45845</v>
      </c>
      <c r="Y2261" s="10" t="str">
        <f ca="1">IF(reading[[#This Row],[Next]]&lt;&gt;"",IF(reading[[#This Row],[Next]]&gt;TODAY(),"OK",""),"")</f>
        <v>OK</v>
      </c>
      <c r="Z2261" s="13">
        <v>3</v>
      </c>
      <c r="AA2261" s="13">
        <v>3</v>
      </c>
      <c r="AB2261" s="13">
        <v>3</v>
      </c>
      <c r="AC2261" s="13">
        <v>3</v>
      </c>
      <c r="AD2261" s="13">
        <v>3</v>
      </c>
      <c r="AE2261" s="13">
        <v>2</v>
      </c>
      <c r="AF2261" s="13"/>
      <c r="AG2261" s="16">
        <f>IFERROR(SUMIF(reading[[#This Row],[1st]:[7th]],"&gt;0")/COUNTIF(reading[[#This Row],[1st]:[7th]],"&gt;0"),"")</f>
        <v>2.8333333333333335</v>
      </c>
    </row>
    <row r="2262" spans="1:33" x14ac:dyDescent="0.2">
      <c r="A2262" s="4">
        <f>IF(B2262=1,3,IF(D2262=1,2,IF(F2262=1,1,0)))</f>
        <v>0</v>
      </c>
      <c r="B2262" s="4" t="str">
        <f>IF(C2262=$L2262,1,IF(C2262="","",0))</f>
        <v/>
      </c>
      <c r="C2262" s="36"/>
      <c r="D2262" s="4" t="str">
        <f>IF(E2262=$L2262,1,IF(E2262="","",0))</f>
        <v/>
      </c>
      <c r="E2262" s="18"/>
      <c r="F2262" s="4" t="str">
        <f>IF(G2262=$L2262,1,IF(G2262="","",0))</f>
        <v/>
      </c>
      <c r="G2262" s="18"/>
      <c r="H2262" s="6">
        <v>1231</v>
      </c>
      <c r="I2262" s="15" t="s">
        <v>3120</v>
      </c>
      <c r="J2262" s="6" t="s">
        <v>4348</v>
      </c>
      <c r="K2262" s="6"/>
      <c r="L2262" s="6" t="s">
        <v>1331</v>
      </c>
      <c r="M2262" s="6" t="s">
        <v>7338</v>
      </c>
      <c r="N2262" s="7">
        <f ca="1">RAND()</f>
        <v>0.13793182263562831</v>
      </c>
      <c r="O2262" s="8">
        <v>45206</v>
      </c>
      <c r="P2262" s="8">
        <v>45207</v>
      </c>
      <c r="Q2262" s="8">
        <v>45209</v>
      </c>
      <c r="R2262" s="8">
        <v>45220</v>
      </c>
      <c r="S2262" s="8">
        <v>45227</v>
      </c>
      <c r="T2262" s="8"/>
      <c r="U2262" s="8"/>
      <c r="V2262" s="10">
        <f>COUNTA(O2262:U2262)</f>
        <v>5</v>
      </c>
      <c r="W2262" s="11">
        <f>_xlfn.IFNA(INDEX(reading[[#This Row],[Memo 01]:[Memo 07]],MATCH(0,reading[[#This Row],[Memo 01]:[Memo 07]],-1)),"")</f>
        <v>45227</v>
      </c>
      <c r="X2262" s="11">
        <f ca="1">IFERROR(reading[[#This Row],[Previous]]+OFFSET(reading[[#Headers],[Memo 01]],-1,MATCH(0,reading[[#This Row],[Memo 01]:[Memo 07]],-1)-1),"")</f>
        <v>45239</v>
      </c>
      <c r="Y2262" s="10" t="str">
        <f ca="1">IF(reading[[#This Row],[Next]]&lt;&gt;"",IF(reading[[#This Row],[Next]]&gt;TODAY(),"OK",""),"")</f>
        <v/>
      </c>
      <c r="Z2262" s="13">
        <v>3</v>
      </c>
      <c r="AA2262" s="13">
        <v>3</v>
      </c>
      <c r="AB2262" s="13">
        <v>3</v>
      </c>
      <c r="AC2262" s="13">
        <v>3</v>
      </c>
      <c r="AD2262" s="13">
        <v>3</v>
      </c>
      <c r="AE2262" s="13"/>
      <c r="AF2262" s="13"/>
      <c r="AG2262" s="16">
        <f>IFERROR(SUMIF(reading[[#This Row],[1st]:[7th]],"&gt;0")/COUNTIF(reading[[#This Row],[1st]:[7th]],"&gt;0"),"")</f>
        <v>3</v>
      </c>
    </row>
    <row r="2263" spans="1:33" hidden="1" x14ac:dyDescent="0.2">
      <c r="A2263" s="4">
        <f>IF(B2263=1,3,IF(D2263=1,2,IF(F2263=1,1,0)))</f>
        <v>0</v>
      </c>
      <c r="B2263" s="4" t="str">
        <f>IF(C2263=$L2263,1,IF(C2263="","",0))</f>
        <v/>
      </c>
      <c r="C2263" s="42"/>
      <c r="D2263" s="4" t="str">
        <f>IF(E2263=$L2263,1,IF(E2263="","",0))</f>
        <v/>
      </c>
      <c r="E2263" s="23"/>
      <c r="F2263" s="4" t="str">
        <f>IF(G2263=$L2263,1,IF(G2263="","",0))</f>
        <v/>
      </c>
      <c r="G2263" s="14"/>
      <c r="H2263" s="6">
        <v>2848</v>
      </c>
      <c r="I2263" s="15" t="s">
        <v>3120</v>
      </c>
      <c r="J2263" s="6" t="s">
        <v>5888</v>
      </c>
      <c r="K2263" s="6"/>
      <c r="L2263" s="6" t="s">
        <v>2883</v>
      </c>
      <c r="M2263" s="6" t="s">
        <v>8952</v>
      </c>
      <c r="N2263" s="7">
        <f ca="1">RAND()</f>
        <v>0.49041108037885983</v>
      </c>
      <c r="O2263" s="8">
        <v>45222</v>
      </c>
      <c r="P2263" s="8">
        <v>45223</v>
      </c>
      <c r="Q2263" s="8">
        <v>45225</v>
      </c>
      <c r="R2263" s="8">
        <v>45229</v>
      </c>
      <c r="S2263" s="8">
        <v>45236</v>
      </c>
      <c r="T2263" s="8">
        <v>45825</v>
      </c>
      <c r="U2263" s="8"/>
      <c r="V2263" s="10">
        <f>COUNTA(O2263:U2263)</f>
        <v>6</v>
      </c>
      <c r="W2263" s="11">
        <f>_xlfn.IFNA(INDEX(reading[[#This Row],[Memo 01]:[Memo 07]],MATCH(0,reading[[#This Row],[Memo 01]:[Memo 07]],-1)),"")</f>
        <v>45825</v>
      </c>
      <c r="X2263" s="11">
        <f ca="1">IFERROR(reading[[#This Row],[Previous]]+OFFSET(reading[[#Headers],[Memo 01]],-1,MATCH(0,reading[[#This Row],[Memo 01]:[Memo 07]],-1)-1),"")</f>
        <v>45845</v>
      </c>
      <c r="Y2263" s="10" t="str">
        <f ca="1">IF(reading[[#This Row],[Next]]&lt;&gt;"",IF(reading[[#This Row],[Next]]&gt;TODAY(),"OK",""),"")</f>
        <v>OK</v>
      </c>
      <c r="Z2263" s="13">
        <v>3</v>
      </c>
      <c r="AA2263" s="13">
        <v>3</v>
      </c>
      <c r="AB2263" s="13">
        <v>3</v>
      </c>
      <c r="AC2263" s="13">
        <v>3</v>
      </c>
      <c r="AD2263" s="13">
        <v>3</v>
      </c>
      <c r="AE2263" s="13">
        <v>2</v>
      </c>
      <c r="AF2263" s="13"/>
      <c r="AG2263" s="16">
        <f>IFERROR(SUMIF(reading[[#This Row],[1st]:[7th]],"&gt;0")/COUNTIF(reading[[#This Row],[1st]:[7th]],"&gt;0"),"")</f>
        <v>2.8333333333333335</v>
      </c>
    </row>
    <row r="2264" spans="1:33" hidden="1" x14ac:dyDescent="0.2">
      <c r="A2264" s="4">
        <f>IF(B2264=1,3,IF(D2264=1,2,IF(F2264=1,1,0)))</f>
        <v>0</v>
      </c>
      <c r="B2264" s="4">
        <f>IF(C2264=$L2264,1,IF(C2264="","",0))</f>
        <v>0</v>
      </c>
      <c r="C2264" s="42" t="s">
        <v>9290</v>
      </c>
      <c r="D2264" s="4" t="str">
        <f>IF(E2264=$L2264,1,IF(E2264="","",0))</f>
        <v/>
      </c>
      <c r="E2264" s="18"/>
      <c r="F2264" s="4" t="str">
        <f>IF(G2264=$L2264,1,IF(G2264="","",0))</f>
        <v/>
      </c>
      <c r="G2264" s="14"/>
      <c r="H2264" s="6">
        <v>1610</v>
      </c>
      <c r="I2264" s="15" t="s">
        <v>3120</v>
      </c>
      <c r="J2264" s="6" t="s">
        <v>4722</v>
      </c>
      <c r="K2264" s="6"/>
      <c r="L2264" s="6" t="s">
        <v>1692</v>
      </c>
      <c r="M2264" s="6" t="s">
        <v>7716</v>
      </c>
      <c r="N2264" s="7">
        <f ca="1">RAND()</f>
        <v>3.1365328074133725E-2</v>
      </c>
      <c r="O2264" s="8">
        <v>45210</v>
      </c>
      <c r="P2264" s="8">
        <v>45211</v>
      </c>
      <c r="Q2264" s="8">
        <v>45213</v>
      </c>
      <c r="R2264" s="8">
        <v>45217</v>
      </c>
      <c r="S2264" s="8">
        <v>45224</v>
      </c>
      <c r="T2264" s="8">
        <v>45236</v>
      </c>
      <c r="U2264" s="8"/>
      <c r="V2264" s="10">
        <f>COUNTA(O2264:U2264)</f>
        <v>6</v>
      </c>
      <c r="W2264" s="11">
        <f>_xlfn.IFNA(INDEX(reading[[#This Row],[Memo 01]:[Memo 07]],MATCH(0,reading[[#This Row],[Memo 01]:[Memo 07]],-1)),"")</f>
        <v>45236</v>
      </c>
      <c r="X2264" s="11">
        <f ca="1">IFERROR(reading[[#This Row],[Previous]]+OFFSET(reading[[#Headers],[Memo 01]],-1,MATCH(0,reading[[#This Row],[Memo 01]:[Memo 07]],-1)-1),"")</f>
        <v>45256</v>
      </c>
      <c r="Y2264" s="10" t="str">
        <f ca="1">IF(reading[[#This Row],[Next]]&lt;&gt;"",IF(reading[[#This Row],[Next]]&gt;TODAY(),"OK",""),"")</f>
        <v/>
      </c>
      <c r="Z2264" s="13">
        <v>3</v>
      </c>
      <c r="AA2264" s="13">
        <v>3</v>
      </c>
      <c r="AB2264" s="13">
        <v>3</v>
      </c>
      <c r="AC2264" s="13">
        <v>3</v>
      </c>
      <c r="AD2264" s="13">
        <v>2</v>
      </c>
      <c r="AE2264" s="13">
        <v>3</v>
      </c>
      <c r="AF2264" s="13"/>
      <c r="AG2264" s="16">
        <f>IFERROR(SUMIF(reading[[#This Row],[1st]:[7th]],"&gt;0")/COUNTIF(reading[[#This Row],[1st]:[7th]],"&gt;0"),"")</f>
        <v>2.8333333333333335</v>
      </c>
    </row>
    <row r="2265" spans="1:33" x14ac:dyDescent="0.2">
      <c r="A2265" s="4">
        <f>IF(B2265=1,3,IF(D2265=1,2,IF(F2265=1,1,0)))</f>
        <v>0</v>
      </c>
      <c r="B2265" s="4" t="str">
        <f>IF(C2265=$L2265,1,IF(C2265="","",0))</f>
        <v/>
      </c>
      <c r="C2265" s="39"/>
      <c r="D2265" s="4" t="str">
        <f>IF(E2265=$L2265,1,IF(E2265="","",0))</f>
        <v/>
      </c>
      <c r="E2265" s="14"/>
      <c r="F2265" s="4" t="str">
        <f>IF(G2265=$L2265,1,IF(G2265="","",0))</f>
        <v/>
      </c>
      <c r="G2265" s="14"/>
      <c r="H2265" s="6">
        <v>2607</v>
      </c>
      <c r="I2265" s="15" t="s">
        <v>3120</v>
      </c>
      <c r="J2265" s="6" t="s">
        <v>5663</v>
      </c>
      <c r="K2265" s="6"/>
      <c r="L2265" s="6" t="s">
        <v>2650</v>
      </c>
      <c r="M2265" s="6" t="s">
        <v>8712</v>
      </c>
      <c r="N2265" s="7">
        <f ca="1">RAND()</f>
        <v>0.96770719330067922</v>
      </c>
      <c r="O2265" s="8">
        <v>45220</v>
      </c>
      <c r="P2265" s="8">
        <v>45221</v>
      </c>
      <c r="Q2265" s="8">
        <v>45223</v>
      </c>
      <c r="R2265" s="8">
        <v>45227</v>
      </c>
      <c r="S2265" s="8">
        <v>45234</v>
      </c>
      <c r="T2265" s="8"/>
      <c r="U2265" s="8"/>
      <c r="V2265" s="10">
        <f>COUNTA(O2265:U2265)</f>
        <v>5</v>
      </c>
      <c r="W2265" s="11">
        <f>_xlfn.IFNA(INDEX(reading[[#This Row],[Memo 01]:[Memo 07]],MATCH(0,reading[[#This Row],[Memo 01]:[Memo 07]],-1)),"")</f>
        <v>45234</v>
      </c>
      <c r="X2265" s="11">
        <f ca="1">IFERROR(reading[[#This Row],[Previous]]+OFFSET(reading[[#Headers],[Memo 01]],-1,MATCH(0,reading[[#This Row],[Memo 01]:[Memo 07]],-1)-1),"")</f>
        <v>45246</v>
      </c>
      <c r="Y2265" s="10" t="str">
        <f ca="1">IF(reading[[#This Row],[Next]]&lt;&gt;"",IF(reading[[#This Row],[Next]]&gt;TODAY(),"OK",""),"")</f>
        <v/>
      </c>
      <c r="Z2265" s="13">
        <v>3</v>
      </c>
      <c r="AA2265" s="13">
        <v>3</v>
      </c>
      <c r="AB2265" s="13">
        <v>3</v>
      </c>
      <c r="AC2265" s="13">
        <v>3</v>
      </c>
      <c r="AD2265" s="13">
        <v>3</v>
      </c>
      <c r="AE2265" s="13"/>
      <c r="AF2265" s="13"/>
      <c r="AG2265" s="16">
        <f>IFERROR(SUMIF(reading[[#This Row],[1st]:[7th]],"&gt;0")/COUNTIF(reading[[#This Row],[1st]:[7th]],"&gt;0"),"")</f>
        <v>3</v>
      </c>
    </row>
    <row r="2266" spans="1:33" hidden="1" x14ac:dyDescent="0.2">
      <c r="A2266" s="4">
        <f>IF(B2266=1,3,IF(D2266=1,2,IF(F2266=1,1,0)))</f>
        <v>3</v>
      </c>
      <c r="B2266" s="4">
        <f>IF(C2266=$L2266,1,IF(C2266="","",0))</f>
        <v>1</v>
      </c>
      <c r="C2266" s="34" t="s">
        <v>2330</v>
      </c>
      <c r="D2266" s="4" t="str">
        <f>IF(E2266=$L2266,1,IF(E2266="","",0))</f>
        <v/>
      </c>
      <c r="E2266" s="14"/>
      <c r="F2266" s="4" t="str">
        <f>IF(G2266=$L2266,1,IF(G2266="","",0))</f>
        <v/>
      </c>
      <c r="G2266" s="14"/>
      <c r="H2266" s="6">
        <v>2270</v>
      </c>
      <c r="I2266" s="15" t="s">
        <v>3120</v>
      </c>
      <c r="J2266" s="6" t="s">
        <v>5352</v>
      </c>
      <c r="K2266" s="6"/>
      <c r="L2266" s="6" t="s">
        <v>2330</v>
      </c>
      <c r="M2266" s="6" t="s">
        <v>8375</v>
      </c>
      <c r="N2266" s="7">
        <f ca="1">RAND()</f>
        <v>0.51196377324662379</v>
      </c>
      <c r="O2266" s="8">
        <v>45216</v>
      </c>
      <c r="P2266" s="8">
        <v>45216</v>
      </c>
      <c r="Q2266" s="8">
        <v>45216</v>
      </c>
      <c r="R2266" s="8">
        <v>45216</v>
      </c>
      <c r="S2266" s="8">
        <v>45216</v>
      </c>
      <c r="T2266" s="8">
        <v>45216</v>
      </c>
      <c r="U2266" s="8">
        <v>45216</v>
      </c>
      <c r="V2266" s="10">
        <f>COUNTA(O2266:U2266)</f>
        <v>7</v>
      </c>
      <c r="W2266" s="11">
        <f>_xlfn.IFNA(INDEX(reading[[#This Row],[Memo 01]:[Memo 07]],MATCH(0,reading[[#This Row],[Memo 01]:[Memo 07]],-1)),"")</f>
        <v>45216</v>
      </c>
      <c r="X2266" s="11">
        <f ca="1">IFERROR(reading[[#This Row],[Previous]]+OFFSET(reading[[#Headers],[Memo 01]],-1,MATCH(0,reading[[#This Row],[Memo 01]:[Memo 07]],-1)-1),"")</f>
        <v>55216</v>
      </c>
      <c r="Y2266" s="10" t="str">
        <f ca="1">IF(reading[[#This Row],[Next]]&lt;&gt;"",IF(reading[[#This Row],[Next]]&gt;TODAY(),"OK",""),"")</f>
        <v>OK</v>
      </c>
      <c r="Z2266" s="13">
        <v>3</v>
      </c>
      <c r="AA2266" s="13"/>
      <c r="AB2266" s="13"/>
      <c r="AC2266" s="13"/>
      <c r="AD2266" s="13"/>
      <c r="AE2266" s="13"/>
      <c r="AF2266" s="13"/>
      <c r="AG2266" s="16">
        <f>IFERROR(SUMIF(reading[[#This Row],[1st]:[7th]],"&gt;0")/COUNTIF(reading[[#This Row],[1st]:[7th]],"&gt;0"),"")</f>
        <v>3</v>
      </c>
    </row>
    <row r="2267" spans="1:33" x14ac:dyDescent="0.2">
      <c r="A2267" s="4">
        <f>IF(B2267=1,3,IF(D2267=1,2,IF(F2267=1,1,0)))</f>
        <v>0</v>
      </c>
      <c r="B2267" s="4" t="str">
        <f>IF(C2267=$L2267,1,IF(C2267="","",0))</f>
        <v/>
      </c>
      <c r="C2267" s="38"/>
      <c r="D2267" s="4" t="str">
        <f>IF(E2267=$L2267,1,IF(E2267="","",0))</f>
        <v/>
      </c>
      <c r="E2267" s="18"/>
      <c r="F2267" s="4" t="str">
        <f>IF(G2267=$L2267,1,IF(G2267="","",0))</f>
        <v/>
      </c>
      <c r="G2267" s="14"/>
      <c r="H2267" s="6">
        <v>769</v>
      </c>
      <c r="I2267" s="15" t="s">
        <v>3120</v>
      </c>
      <c r="J2267" s="6" t="s">
        <v>3904</v>
      </c>
      <c r="K2267" s="6"/>
      <c r="L2267" s="6" t="s">
        <v>888</v>
      </c>
      <c r="M2267" s="6" t="s">
        <v>6878</v>
      </c>
      <c r="N2267" s="7">
        <f ca="1">RAND()</f>
        <v>0.67137767448325536</v>
      </c>
      <c r="O2267" s="8">
        <v>45203</v>
      </c>
      <c r="P2267" s="8">
        <v>45204</v>
      </c>
      <c r="Q2267" s="8">
        <v>45206</v>
      </c>
      <c r="R2267" s="8">
        <v>45210</v>
      </c>
      <c r="S2267" s="8">
        <v>45217</v>
      </c>
      <c r="T2267" s="8">
        <v>45229</v>
      </c>
      <c r="U2267" s="8"/>
      <c r="V2267" s="10">
        <f>COUNTA(O2267:U2267)</f>
        <v>6</v>
      </c>
      <c r="W2267" s="11">
        <f>_xlfn.IFNA(INDEX(reading[[#This Row],[Memo 01]:[Memo 07]],MATCH(0,reading[[#This Row],[Memo 01]:[Memo 07]],-1)),"")</f>
        <v>45229</v>
      </c>
      <c r="X2267" s="11">
        <f ca="1">IFERROR(reading[[#This Row],[Previous]]+OFFSET(reading[[#Headers],[Memo 01]],-1,MATCH(0,reading[[#This Row],[Memo 01]:[Memo 07]],-1)-1),"")</f>
        <v>45249</v>
      </c>
      <c r="Y2267" s="10" t="str">
        <f ca="1">IF(reading[[#This Row],[Next]]&lt;&gt;"",IF(reading[[#This Row],[Next]]&gt;TODAY(),"OK",""),"")</f>
        <v/>
      </c>
      <c r="Z2267" s="13">
        <v>3</v>
      </c>
      <c r="AA2267" s="13">
        <v>3</v>
      </c>
      <c r="AB2267" s="13">
        <v>3</v>
      </c>
      <c r="AC2267" s="13">
        <v>3</v>
      </c>
      <c r="AD2267" s="13">
        <v>2</v>
      </c>
      <c r="AE2267" s="13">
        <v>3</v>
      </c>
      <c r="AF2267" s="13"/>
      <c r="AG2267" s="16">
        <f>IFERROR(SUMIF(reading[[#This Row],[1st]:[7th]],"&gt;0")/COUNTIF(reading[[#This Row],[1st]:[7th]],"&gt;0"),"")</f>
        <v>2.8333333333333335</v>
      </c>
    </row>
    <row r="2268" spans="1:33" x14ac:dyDescent="0.2">
      <c r="A2268" s="4">
        <f>IF(B2268=1,3,IF(D2268=1,2,IF(F2268=1,1,0)))</f>
        <v>0</v>
      </c>
      <c r="B2268" s="4" t="str">
        <f>IF(C2268=$L2268,1,IF(C2268="","",0))</f>
        <v/>
      </c>
      <c r="C2268" s="39"/>
      <c r="D2268" s="4" t="str">
        <f>IF(E2268=$L2268,1,IF(E2268="","",0))</f>
        <v/>
      </c>
      <c r="E2268" s="14"/>
      <c r="F2268" s="4" t="str">
        <f>IF(G2268=$L2268,1,IF(G2268="","",0))</f>
        <v/>
      </c>
      <c r="G2268" s="14"/>
      <c r="H2268" s="6">
        <v>2593</v>
      </c>
      <c r="I2268" s="15" t="s">
        <v>3120</v>
      </c>
      <c r="J2268" s="6" t="s">
        <v>5650</v>
      </c>
      <c r="K2268" s="6"/>
      <c r="L2268" s="6" t="s">
        <v>2636</v>
      </c>
      <c r="M2268" s="6" t="s">
        <v>8698</v>
      </c>
      <c r="N2268" s="7">
        <f ca="1">RAND()</f>
        <v>0.10100820796816368</v>
      </c>
      <c r="O2268" s="8">
        <v>45219</v>
      </c>
      <c r="P2268" s="8">
        <v>45220</v>
      </c>
      <c r="Q2268" s="8">
        <v>45222</v>
      </c>
      <c r="R2268" s="8">
        <v>45226</v>
      </c>
      <c r="S2268" s="8">
        <v>45233</v>
      </c>
      <c r="T2268" s="8"/>
      <c r="U2268" s="8"/>
      <c r="V2268" s="10">
        <f>COUNTA(O2268:U2268)</f>
        <v>5</v>
      </c>
      <c r="W2268" s="11">
        <f>_xlfn.IFNA(INDEX(reading[[#This Row],[Memo 01]:[Memo 07]],MATCH(0,reading[[#This Row],[Memo 01]:[Memo 07]],-1)),"")</f>
        <v>45233</v>
      </c>
      <c r="X2268" s="11">
        <f ca="1">IFERROR(reading[[#This Row],[Previous]]+OFFSET(reading[[#Headers],[Memo 01]],-1,MATCH(0,reading[[#This Row],[Memo 01]:[Memo 07]],-1)-1),"")</f>
        <v>45245</v>
      </c>
      <c r="Y2268" s="10" t="str">
        <f ca="1">IF(reading[[#This Row],[Next]]&lt;&gt;"",IF(reading[[#This Row],[Next]]&gt;TODAY(),"OK",""),"")</f>
        <v/>
      </c>
      <c r="Z2268" s="13">
        <v>3</v>
      </c>
      <c r="AA2268" s="13">
        <v>3</v>
      </c>
      <c r="AB2268" s="13">
        <v>3</v>
      </c>
      <c r="AC2268" s="13">
        <v>3</v>
      </c>
      <c r="AD2268" s="13">
        <v>3</v>
      </c>
      <c r="AE2268" s="13"/>
      <c r="AF2268" s="13"/>
      <c r="AG2268" s="16">
        <f>IFERROR(SUMIF(reading[[#This Row],[1st]:[7th]],"&gt;0")/COUNTIF(reading[[#This Row],[1st]:[7th]],"&gt;0"),"")</f>
        <v>3</v>
      </c>
    </row>
    <row r="2269" spans="1:33" x14ac:dyDescent="0.2">
      <c r="A2269" s="4">
        <f>IF(B2269=1,3,IF(D2269=1,2,IF(F2269=1,1,0)))</f>
        <v>0</v>
      </c>
      <c r="B2269" s="4" t="str">
        <f>IF(C2269=$L2269,1,IF(C2269="","",0))</f>
        <v/>
      </c>
      <c r="C2269" s="39"/>
      <c r="D2269" s="4" t="str">
        <f>IF(E2269=$L2269,1,IF(E2269="","",0))</f>
        <v/>
      </c>
      <c r="E2269" s="14"/>
      <c r="F2269" s="4" t="str">
        <f>IF(G2269=$L2269,1,IF(G2269="","",0))</f>
        <v/>
      </c>
      <c r="G2269" s="14"/>
      <c r="H2269" s="6">
        <v>1582</v>
      </c>
      <c r="I2269" s="15" t="s">
        <v>3120</v>
      </c>
      <c r="J2269" s="6" t="s">
        <v>4694</v>
      </c>
      <c r="K2269" s="6"/>
      <c r="L2269" s="6" t="s">
        <v>1665</v>
      </c>
      <c r="M2269" s="6" t="s">
        <v>7688</v>
      </c>
      <c r="N2269" s="7">
        <f ca="1">RAND()</f>
        <v>0.62211199628559155</v>
      </c>
      <c r="O2269" s="8">
        <v>45209</v>
      </c>
      <c r="P2269" s="8">
        <v>45210</v>
      </c>
      <c r="Q2269" s="8">
        <v>45213</v>
      </c>
      <c r="R2269" s="8">
        <v>45217</v>
      </c>
      <c r="S2269" s="8">
        <v>45224</v>
      </c>
      <c r="T2269" s="8">
        <v>45236</v>
      </c>
      <c r="U2269" s="8"/>
      <c r="V2269" s="10">
        <f>COUNTA(O2269:U2269)</f>
        <v>6</v>
      </c>
      <c r="W2269" s="11">
        <f>_xlfn.IFNA(INDEX(reading[[#This Row],[Memo 01]:[Memo 07]],MATCH(0,reading[[#This Row],[Memo 01]:[Memo 07]],-1)),"")</f>
        <v>45236</v>
      </c>
      <c r="X2269" s="11">
        <f ca="1">IFERROR(reading[[#This Row],[Previous]]+OFFSET(reading[[#Headers],[Memo 01]],-1,MATCH(0,reading[[#This Row],[Memo 01]:[Memo 07]],-1)-1),"")</f>
        <v>45256</v>
      </c>
      <c r="Y2269" s="10" t="str">
        <f ca="1">IF(reading[[#This Row],[Next]]&lt;&gt;"",IF(reading[[#This Row],[Next]]&gt;TODAY(),"OK",""),"")</f>
        <v/>
      </c>
      <c r="Z2269" s="13">
        <v>3</v>
      </c>
      <c r="AA2269" s="13">
        <v>3</v>
      </c>
      <c r="AB2269" s="13">
        <v>2</v>
      </c>
      <c r="AC2269" s="13">
        <v>3</v>
      </c>
      <c r="AD2269" s="13">
        <v>3</v>
      </c>
      <c r="AE2269" s="13">
        <v>3</v>
      </c>
      <c r="AF2269" s="13"/>
      <c r="AG2269" s="16">
        <f>IFERROR(SUMIF(reading[[#This Row],[1st]:[7th]],"&gt;0")/COUNTIF(reading[[#This Row],[1st]:[7th]],"&gt;0"),"")</f>
        <v>2.8333333333333335</v>
      </c>
    </row>
    <row r="2270" spans="1:33" x14ac:dyDescent="0.2">
      <c r="A2270" s="4">
        <f>IF(B2270=1,3,IF(D2270=1,2,IF(F2270=1,1,0)))</f>
        <v>0</v>
      </c>
      <c r="B2270" s="4" t="str">
        <f>IF(C2270=$L2270,1,IF(C2270="","",0))</f>
        <v/>
      </c>
      <c r="C2270" s="39"/>
      <c r="D2270" s="4" t="str">
        <f>IF(E2270=$L2270,1,IF(E2270="","",0))</f>
        <v/>
      </c>
      <c r="E2270" s="18"/>
      <c r="F2270" s="4" t="str">
        <f>IF(G2270=$L2270,1,IF(G2270="","",0))</f>
        <v/>
      </c>
      <c r="G2270" s="14"/>
      <c r="H2270" s="6">
        <v>1734</v>
      </c>
      <c r="I2270" s="15" t="s">
        <v>3120</v>
      </c>
      <c r="J2270" s="6" t="s">
        <v>4842</v>
      </c>
      <c r="K2270" s="6"/>
      <c r="L2270" s="6" t="s">
        <v>1814</v>
      </c>
      <c r="M2270" s="6" t="s">
        <v>7840</v>
      </c>
      <c r="N2270" s="7">
        <f ca="1">RAND()</f>
        <v>0.477728878864361</v>
      </c>
      <c r="O2270" s="8">
        <v>45211</v>
      </c>
      <c r="P2270" s="8">
        <v>45212</v>
      </c>
      <c r="Q2270" s="8">
        <v>45214</v>
      </c>
      <c r="R2270" s="8">
        <v>45218</v>
      </c>
      <c r="S2270" s="8">
        <v>45225</v>
      </c>
      <c r="T2270" s="8">
        <v>45237</v>
      </c>
      <c r="U2270" s="8"/>
      <c r="V2270" s="10">
        <f>COUNTA(O2270:U2270)</f>
        <v>6</v>
      </c>
      <c r="W2270" s="11">
        <f>_xlfn.IFNA(INDEX(reading[[#This Row],[Memo 01]:[Memo 07]],MATCH(0,reading[[#This Row],[Memo 01]:[Memo 07]],-1)),"")</f>
        <v>45237</v>
      </c>
      <c r="X2270" s="11">
        <f ca="1">IFERROR(reading[[#This Row],[Previous]]+OFFSET(reading[[#Headers],[Memo 01]],-1,MATCH(0,reading[[#This Row],[Memo 01]:[Memo 07]],-1)-1),"")</f>
        <v>45257</v>
      </c>
      <c r="Y2270" s="10" t="str">
        <f ca="1">IF(reading[[#This Row],[Next]]&lt;&gt;"",IF(reading[[#This Row],[Next]]&gt;TODAY(),"OK",""),"")</f>
        <v/>
      </c>
      <c r="Z2270" s="13">
        <v>3</v>
      </c>
      <c r="AA2270" s="13">
        <v>3</v>
      </c>
      <c r="AB2270" s="13">
        <v>3</v>
      </c>
      <c r="AC2270" s="13">
        <v>3</v>
      </c>
      <c r="AD2270" s="13">
        <v>2</v>
      </c>
      <c r="AE2270" s="13">
        <v>3</v>
      </c>
      <c r="AF2270" s="13"/>
      <c r="AG2270" s="16">
        <f>IFERROR(SUMIF(reading[[#This Row],[1st]:[7th]],"&gt;0")/COUNTIF(reading[[#This Row],[1st]:[7th]],"&gt;0"),"")</f>
        <v>2.8333333333333335</v>
      </c>
    </row>
    <row r="2271" spans="1:33" hidden="1" x14ac:dyDescent="0.2">
      <c r="A2271" s="4">
        <f>IF(B2271=1,3,IF(D2271=1,2,IF(F2271=1,1,0)))</f>
        <v>0</v>
      </c>
      <c r="B2271" s="4">
        <f>IF(C2271=$L2271,1,IF(C2271="","",0))</f>
        <v>0</v>
      </c>
      <c r="C2271" s="42" t="s">
        <v>9200</v>
      </c>
      <c r="D2271" s="4" t="str">
        <f>IF(E2271=$L2271,1,IF(E2271="","",0))</f>
        <v/>
      </c>
      <c r="E2271" s="14"/>
      <c r="F2271" s="4" t="str">
        <f>IF(G2271=$L2271,1,IF(G2271="","",0))</f>
        <v/>
      </c>
      <c r="G2271" s="14"/>
      <c r="H2271" s="6">
        <v>1815</v>
      </c>
      <c r="I2271" s="15" t="s">
        <v>3120</v>
      </c>
      <c r="J2271" s="6" t="s">
        <v>4920</v>
      </c>
      <c r="K2271" s="6"/>
      <c r="L2271" s="6" t="s">
        <v>1893</v>
      </c>
      <c r="M2271" s="6" t="s">
        <v>7921</v>
      </c>
      <c r="N2271" s="7">
        <f ca="1">RAND()</f>
        <v>0.99844705229137243</v>
      </c>
      <c r="O2271" s="8">
        <v>45212</v>
      </c>
      <c r="P2271" s="8">
        <v>45213</v>
      </c>
      <c r="Q2271" s="8">
        <v>45215</v>
      </c>
      <c r="R2271" s="8">
        <v>45219</v>
      </c>
      <c r="S2271" s="8">
        <v>45226</v>
      </c>
      <c r="T2271" s="8"/>
      <c r="U2271" s="8"/>
      <c r="V2271" s="10">
        <f>COUNTA(O2271:U2271)</f>
        <v>5</v>
      </c>
      <c r="W2271" s="11">
        <f>_xlfn.IFNA(INDEX(reading[[#This Row],[Memo 01]:[Memo 07]],MATCH(0,reading[[#This Row],[Memo 01]:[Memo 07]],-1)),"")</f>
        <v>45226</v>
      </c>
      <c r="X2271" s="11">
        <f ca="1">IFERROR(reading[[#This Row],[Previous]]+OFFSET(reading[[#Headers],[Memo 01]],-1,MATCH(0,reading[[#This Row],[Memo 01]:[Memo 07]],-1)-1),"")</f>
        <v>45238</v>
      </c>
      <c r="Y2271" s="10" t="str">
        <f ca="1">IF(reading[[#This Row],[Next]]&lt;&gt;"",IF(reading[[#This Row],[Next]]&gt;TODAY(),"OK",""),"")</f>
        <v/>
      </c>
      <c r="Z2271" s="13">
        <v>3</v>
      </c>
      <c r="AA2271" s="13">
        <v>3</v>
      </c>
      <c r="AB2271" s="13">
        <v>3</v>
      </c>
      <c r="AC2271" s="13">
        <v>3</v>
      </c>
      <c r="AD2271" s="13">
        <v>3</v>
      </c>
      <c r="AE2271" s="13"/>
      <c r="AF2271" s="13"/>
      <c r="AG2271" s="16">
        <f>IFERROR(SUMIF(reading[[#This Row],[1st]:[7th]],"&gt;0")/COUNTIF(reading[[#This Row],[1st]:[7th]],"&gt;0"),"")</f>
        <v>3</v>
      </c>
    </row>
    <row r="2272" spans="1:33" x14ac:dyDescent="0.2">
      <c r="A2272" s="4">
        <f>IF(B2272=1,3,IF(D2272=1,2,IF(F2272=1,1,0)))</f>
        <v>0</v>
      </c>
      <c r="B2272" s="4" t="str">
        <f>IF(C2272=$L2272,1,IF(C2272="","",0))</f>
        <v/>
      </c>
      <c r="C2272" s="39"/>
      <c r="D2272" s="4" t="str">
        <f>IF(E2272=$L2272,1,IF(E2272="","",0))</f>
        <v/>
      </c>
      <c r="E2272" s="14"/>
      <c r="F2272" s="4" t="str">
        <f>IF(G2272=$L2272,1,IF(G2272="","",0))</f>
        <v/>
      </c>
      <c r="G2272" s="14"/>
      <c r="H2272" s="6">
        <v>1701</v>
      </c>
      <c r="I2272" s="15" t="s">
        <v>3120</v>
      </c>
      <c r="J2272" s="6" t="s">
        <v>4811</v>
      </c>
      <c r="K2272" s="6"/>
      <c r="L2272" s="6" t="s">
        <v>1781</v>
      </c>
      <c r="M2272" s="6" t="s">
        <v>7807</v>
      </c>
      <c r="N2272" s="7">
        <f ca="1">RAND()</f>
        <v>0.48215563498262126</v>
      </c>
      <c r="O2272" s="8">
        <v>45211</v>
      </c>
      <c r="P2272" s="8">
        <v>45212</v>
      </c>
      <c r="Q2272" s="8">
        <v>45214</v>
      </c>
      <c r="R2272" s="8">
        <v>45218</v>
      </c>
      <c r="S2272" s="8">
        <v>45225</v>
      </c>
      <c r="T2272" s="8">
        <v>45237</v>
      </c>
      <c r="U2272" s="8"/>
      <c r="V2272" s="10">
        <f>COUNTA(O2272:U2272)</f>
        <v>6</v>
      </c>
      <c r="W2272" s="11">
        <f>_xlfn.IFNA(INDEX(reading[[#This Row],[Memo 01]:[Memo 07]],MATCH(0,reading[[#This Row],[Memo 01]:[Memo 07]],-1)),"")</f>
        <v>45237</v>
      </c>
      <c r="X2272" s="11">
        <f ca="1">IFERROR(reading[[#This Row],[Previous]]+OFFSET(reading[[#Headers],[Memo 01]],-1,MATCH(0,reading[[#This Row],[Memo 01]:[Memo 07]],-1)-1),"")</f>
        <v>45257</v>
      </c>
      <c r="Y2272" s="10" t="str">
        <f ca="1">IF(reading[[#This Row],[Next]]&lt;&gt;"",IF(reading[[#This Row],[Next]]&gt;TODAY(),"OK",""),"")</f>
        <v/>
      </c>
      <c r="Z2272" s="13">
        <v>3</v>
      </c>
      <c r="AA2272" s="13">
        <v>3</v>
      </c>
      <c r="AB2272" s="13">
        <v>3</v>
      </c>
      <c r="AC2272" s="13">
        <v>3</v>
      </c>
      <c r="AD2272" s="13">
        <v>3</v>
      </c>
      <c r="AE2272" s="13">
        <v>3</v>
      </c>
      <c r="AF2272" s="13"/>
      <c r="AG2272" s="16">
        <f>IFERROR(SUMIF(reading[[#This Row],[1st]:[7th]],"&gt;0")/COUNTIF(reading[[#This Row],[1st]:[7th]],"&gt;0"),"")</f>
        <v>3</v>
      </c>
    </row>
    <row r="2273" spans="1:33" hidden="1" x14ac:dyDescent="0.2">
      <c r="A2273" s="4">
        <f>IF(B2273=1,3,IF(D2273=1,2,IF(F2273=1,1,0)))</f>
        <v>0</v>
      </c>
      <c r="B2273" s="4" t="str">
        <f>IF(C2273=$L2273,1,IF(C2273="","",0))</f>
        <v/>
      </c>
      <c r="C2273" s="42"/>
      <c r="D2273" s="4" t="str">
        <f>IF(E2273=$L2273,1,IF(E2273="","",0))</f>
        <v/>
      </c>
      <c r="E2273" s="23"/>
      <c r="F2273" s="4" t="str">
        <f>IF(G2273=$L2273,1,IF(G2273="","",0))</f>
        <v/>
      </c>
      <c r="G2273" s="23"/>
      <c r="H2273" s="6">
        <v>2895</v>
      </c>
      <c r="I2273" s="15" t="s">
        <v>3120</v>
      </c>
      <c r="J2273" s="6" t="s">
        <v>5931</v>
      </c>
      <c r="K2273" s="6"/>
      <c r="L2273" s="6" t="s">
        <v>2926</v>
      </c>
      <c r="M2273" s="6" t="s">
        <v>8999</v>
      </c>
      <c r="N2273" s="7">
        <f ca="1">RAND()</f>
        <v>0.68372425676447113</v>
      </c>
      <c r="O2273" s="8">
        <v>45223</v>
      </c>
      <c r="P2273" s="8">
        <v>45224</v>
      </c>
      <c r="Q2273" s="8">
        <v>45226</v>
      </c>
      <c r="R2273" s="8">
        <v>45230</v>
      </c>
      <c r="S2273" s="8">
        <v>45237</v>
      </c>
      <c r="T2273" s="8">
        <v>45817</v>
      </c>
      <c r="U2273" s="8"/>
      <c r="V2273" s="10">
        <f>COUNTA(O2273:U2273)</f>
        <v>6</v>
      </c>
      <c r="W2273" s="11">
        <f>_xlfn.IFNA(INDEX(reading[[#This Row],[Memo 01]:[Memo 07]],MATCH(0,reading[[#This Row],[Memo 01]:[Memo 07]],-1)),"")</f>
        <v>45817</v>
      </c>
      <c r="X2273" s="11">
        <f ca="1">IFERROR(reading[[#This Row],[Previous]]+OFFSET(reading[[#Headers],[Memo 01]],-1,MATCH(0,reading[[#This Row],[Memo 01]:[Memo 07]],-1)-1),"")</f>
        <v>45837</v>
      </c>
      <c r="Y2273" s="10" t="str">
        <f ca="1">IF(reading[[#This Row],[Next]]&lt;&gt;"",IF(reading[[#This Row],[Next]]&gt;TODAY(),"OK",""),"")</f>
        <v>OK</v>
      </c>
      <c r="Z2273" s="13">
        <v>3</v>
      </c>
      <c r="AA2273" s="13">
        <v>3</v>
      </c>
      <c r="AB2273" s="13">
        <v>3</v>
      </c>
      <c r="AC2273" s="13">
        <v>3</v>
      </c>
      <c r="AD2273" s="13">
        <v>3</v>
      </c>
      <c r="AE2273" s="13">
        <v>1</v>
      </c>
      <c r="AF2273" s="13"/>
      <c r="AG2273" s="16">
        <f>IFERROR(SUMIF(reading[[#This Row],[1st]:[7th]],"&gt;0")/COUNTIF(reading[[#This Row],[1st]:[7th]],"&gt;0"),"")</f>
        <v>2.6666666666666665</v>
      </c>
    </row>
    <row r="2274" spans="1:33" x14ac:dyDescent="0.2">
      <c r="A2274" s="4">
        <f>IF(B2274=1,3,IF(D2274=1,2,IF(F2274=1,1,0)))</f>
        <v>0</v>
      </c>
      <c r="B2274" s="4" t="str">
        <f>IF(C2274=$L2274,1,IF(C2274="","",0))</f>
        <v/>
      </c>
      <c r="C2274" s="38"/>
      <c r="D2274" s="4" t="str">
        <f>IF(E2274=$L2274,1,IF(E2274="","",0))</f>
        <v/>
      </c>
      <c r="E2274" s="14"/>
      <c r="F2274" s="4" t="str">
        <f>IF(G2274=$L2274,1,IF(G2274="","",0))</f>
        <v/>
      </c>
      <c r="G2274" s="14"/>
      <c r="H2274" s="6">
        <v>498</v>
      </c>
      <c r="I2274" s="15" t="s">
        <v>3120</v>
      </c>
      <c r="J2274" s="6" t="s">
        <v>3644</v>
      </c>
      <c r="K2274" s="6"/>
      <c r="L2274" s="6" t="s">
        <v>626</v>
      </c>
      <c r="M2274" s="6" t="s">
        <v>6607</v>
      </c>
      <c r="N2274" s="7">
        <f ca="1">RAND()</f>
        <v>0.99901049839645661</v>
      </c>
      <c r="O2274" s="8">
        <v>45202</v>
      </c>
      <c r="P2274" s="8">
        <v>45203</v>
      </c>
      <c r="Q2274" s="8">
        <v>45205</v>
      </c>
      <c r="R2274" s="8">
        <v>45209</v>
      </c>
      <c r="S2274" s="8">
        <v>45216</v>
      </c>
      <c r="T2274" s="8">
        <v>45228</v>
      </c>
      <c r="U2274" s="8"/>
      <c r="V2274" s="10">
        <f>COUNTA(O2274:U2274)</f>
        <v>6</v>
      </c>
      <c r="W2274" s="11">
        <f>_xlfn.IFNA(INDEX(reading[[#This Row],[Memo 01]:[Memo 07]],MATCH(0,reading[[#This Row],[Memo 01]:[Memo 07]],-1)),"")</f>
        <v>45228</v>
      </c>
      <c r="X2274" s="11">
        <f ca="1">IFERROR(reading[[#This Row],[Previous]]+OFFSET(reading[[#Headers],[Memo 01]],-1,MATCH(0,reading[[#This Row],[Memo 01]:[Memo 07]],-1)-1),"")</f>
        <v>45248</v>
      </c>
      <c r="Y2274" s="10" t="str">
        <f ca="1">IF(reading[[#This Row],[Next]]&lt;&gt;"",IF(reading[[#This Row],[Next]]&gt;TODAY(),"OK",""),"")</f>
        <v/>
      </c>
      <c r="Z2274" s="13">
        <v>3</v>
      </c>
      <c r="AA2274" s="13">
        <v>3</v>
      </c>
      <c r="AB2274" s="13">
        <v>3</v>
      </c>
      <c r="AC2274" s="13">
        <v>3</v>
      </c>
      <c r="AD2274" s="13">
        <v>3</v>
      </c>
      <c r="AE2274" s="13">
        <v>3</v>
      </c>
      <c r="AF2274" s="13"/>
      <c r="AG2274" s="16">
        <f>IFERROR(SUMIF(reading[[#This Row],[1st]:[7th]],"&gt;0")/COUNTIF(reading[[#This Row],[1st]:[7th]],"&gt;0"),"")</f>
        <v>3</v>
      </c>
    </row>
    <row r="2275" spans="1:33" hidden="1" x14ac:dyDescent="0.2">
      <c r="A2275" s="4">
        <f>IF(B2275=1,3,IF(D2275=1,2,IF(F2275=1,1,0)))</f>
        <v>0</v>
      </c>
      <c r="B2275" s="4">
        <f>IF(C2275=$L2275,1,IF(C2275="","",0))</f>
        <v>0</v>
      </c>
      <c r="C2275" s="42" t="s">
        <v>9297</v>
      </c>
      <c r="D2275" s="4" t="str">
        <f>IF(E2275=$L2275,1,IF(E2275="","",0))</f>
        <v/>
      </c>
      <c r="E2275" s="14"/>
      <c r="F2275" s="4" t="str">
        <f>IF(G2275=$L2275,1,IF(G2275="","",0))</f>
        <v/>
      </c>
      <c r="G2275" s="14"/>
      <c r="H2275" s="6">
        <v>1645</v>
      </c>
      <c r="I2275" s="15" t="s">
        <v>3120</v>
      </c>
      <c r="J2275" s="6" t="s">
        <v>4757</v>
      </c>
      <c r="K2275" s="6"/>
      <c r="L2275" s="6" t="s">
        <v>45</v>
      </c>
      <c r="M2275" s="6" t="s">
        <v>7751</v>
      </c>
      <c r="N2275" s="7">
        <f ca="1">RAND()</f>
        <v>0.52128680765310575</v>
      </c>
      <c r="O2275" s="8">
        <v>45210</v>
      </c>
      <c r="P2275" s="8">
        <v>45211</v>
      </c>
      <c r="Q2275" s="8">
        <v>45213</v>
      </c>
      <c r="R2275" s="8">
        <v>45217</v>
      </c>
      <c r="S2275" s="8">
        <v>45224</v>
      </c>
      <c r="T2275" s="8">
        <v>45236</v>
      </c>
      <c r="U2275" s="8"/>
      <c r="V2275" s="10">
        <f>COUNTA(O2275:U2275)</f>
        <v>6</v>
      </c>
      <c r="W2275" s="11">
        <f>_xlfn.IFNA(INDEX(reading[[#This Row],[Memo 01]:[Memo 07]],MATCH(0,reading[[#This Row],[Memo 01]:[Memo 07]],-1)),"")</f>
        <v>45236</v>
      </c>
      <c r="X2275" s="11">
        <f ca="1">IFERROR(reading[[#This Row],[Previous]]+OFFSET(reading[[#Headers],[Memo 01]],-1,MATCH(0,reading[[#This Row],[Memo 01]:[Memo 07]],-1)-1),"")</f>
        <v>45256</v>
      </c>
      <c r="Y2275" s="10" t="str">
        <f ca="1">IF(reading[[#This Row],[Next]]&lt;&gt;"",IF(reading[[#This Row],[Next]]&gt;TODAY(),"OK",""),"")</f>
        <v/>
      </c>
      <c r="Z2275" s="13">
        <v>3</v>
      </c>
      <c r="AA2275" s="13">
        <v>3</v>
      </c>
      <c r="AB2275" s="13">
        <v>3</v>
      </c>
      <c r="AC2275" s="13">
        <v>3</v>
      </c>
      <c r="AD2275" s="13">
        <v>3</v>
      </c>
      <c r="AE2275" s="13">
        <v>3</v>
      </c>
      <c r="AF2275" s="13"/>
      <c r="AG2275" s="16">
        <f>IFERROR(SUMIF(reading[[#This Row],[1st]:[7th]],"&gt;0")/COUNTIF(reading[[#This Row],[1st]:[7th]],"&gt;0"),"")</f>
        <v>3</v>
      </c>
    </row>
    <row r="2276" spans="1:33" x14ac:dyDescent="0.2">
      <c r="A2276" s="4">
        <f>IF(B2276=1,3,IF(D2276=1,2,IF(F2276=1,1,0)))</f>
        <v>0</v>
      </c>
      <c r="B2276" s="4" t="str">
        <f>IF(C2276=$L2276,1,IF(C2276="","",0))</f>
        <v/>
      </c>
      <c r="C2276" s="39"/>
      <c r="D2276" s="4" t="str">
        <f>IF(E2276=$L2276,1,IF(E2276="","",0))</f>
        <v/>
      </c>
      <c r="E2276" s="14"/>
      <c r="F2276" s="4" t="str">
        <f>IF(G2276=$L2276,1,IF(G2276="","",0))</f>
        <v/>
      </c>
      <c r="G2276" s="14"/>
      <c r="H2276" s="6">
        <v>2530</v>
      </c>
      <c r="I2276" s="15" t="s">
        <v>3120</v>
      </c>
      <c r="J2276" s="6" t="s">
        <v>5592</v>
      </c>
      <c r="K2276" s="6"/>
      <c r="L2276" s="6" t="s">
        <v>2576</v>
      </c>
      <c r="M2276" s="6" t="s">
        <v>8635</v>
      </c>
      <c r="N2276" s="7">
        <f ca="1">RAND()</f>
        <v>0.40592339704055524</v>
      </c>
      <c r="O2276" s="8">
        <v>45219</v>
      </c>
      <c r="P2276" s="8">
        <v>45220</v>
      </c>
      <c r="Q2276" s="8">
        <v>45222</v>
      </c>
      <c r="R2276" s="8">
        <v>45226</v>
      </c>
      <c r="S2276" s="8">
        <v>45233</v>
      </c>
      <c r="T2276" s="8"/>
      <c r="U2276" s="8"/>
      <c r="V2276" s="10">
        <f>COUNTA(O2276:U2276)</f>
        <v>5</v>
      </c>
      <c r="W2276" s="11">
        <f>_xlfn.IFNA(INDEX(reading[[#This Row],[Memo 01]:[Memo 07]],MATCH(0,reading[[#This Row],[Memo 01]:[Memo 07]],-1)),"")</f>
        <v>45233</v>
      </c>
      <c r="X2276" s="11">
        <f ca="1">IFERROR(reading[[#This Row],[Previous]]+OFFSET(reading[[#Headers],[Memo 01]],-1,MATCH(0,reading[[#This Row],[Memo 01]:[Memo 07]],-1)-1),"")</f>
        <v>45245</v>
      </c>
      <c r="Y2276" s="10" t="str">
        <f ca="1">IF(reading[[#This Row],[Next]]&lt;&gt;"",IF(reading[[#This Row],[Next]]&gt;TODAY(),"OK",""),"")</f>
        <v/>
      </c>
      <c r="Z2276" s="13">
        <v>3</v>
      </c>
      <c r="AA2276" s="13">
        <v>3</v>
      </c>
      <c r="AB2276" s="13">
        <v>3</v>
      </c>
      <c r="AC2276" s="13">
        <v>3</v>
      </c>
      <c r="AD2276" s="13">
        <v>3</v>
      </c>
      <c r="AE2276" s="13"/>
      <c r="AF2276" s="13"/>
      <c r="AG2276" s="16">
        <f>IFERROR(SUMIF(reading[[#This Row],[1st]:[7th]],"&gt;0")/COUNTIF(reading[[#This Row],[1st]:[7th]],"&gt;0"),"")</f>
        <v>3</v>
      </c>
    </row>
    <row r="2277" spans="1:33" hidden="1" x14ac:dyDescent="0.2">
      <c r="A2277" s="4">
        <f>IF(B2277=1,3,IF(D2277=1,2,IF(F2277=1,1,0)))</f>
        <v>0</v>
      </c>
      <c r="B2277" s="4">
        <f>IF(C2277=$L2277,1,IF(C2277="","",0))</f>
        <v>0</v>
      </c>
      <c r="C2277" s="42" t="s">
        <v>9200</v>
      </c>
      <c r="D2277" s="4" t="str">
        <f>IF(E2277=$L2277,1,IF(E2277="","",0))</f>
        <v/>
      </c>
      <c r="E2277" s="14"/>
      <c r="F2277" s="4" t="str">
        <f>IF(G2277=$L2277,1,IF(G2277="","",0))</f>
        <v/>
      </c>
      <c r="G2277" s="14"/>
      <c r="H2277" s="6">
        <v>2547</v>
      </c>
      <c r="I2277" s="15" t="s">
        <v>3120</v>
      </c>
      <c r="J2277" s="6" t="s">
        <v>5608</v>
      </c>
      <c r="K2277" s="15" t="s">
        <v>3153</v>
      </c>
      <c r="L2277" s="6" t="s">
        <v>2592</v>
      </c>
      <c r="M2277" s="6" t="s">
        <v>8652</v>
      </c>
      <c r="N2277" s="7">
        <f ca="1">RAND()</f>
        <v>0.31882369937706134</v>
      </c>
      <c r="O2277" s="8">
        <v>45219</v>
      </c>
      <c r="P2277" s="8">
        <v>45220</v>
      </c>
      <c r="Q2277" s="8">
        <v>45222</v>
      </c>
      <c r="R2277" s="8">
        <v>45226</v>
      </c>
      <c r="S2277" s="8">
        <v>45233</v>
      </c>
      <c r="T2277" s="8"/>
      <c r="U2277" s="8"/>
      <c r="V2277" s="10">
        <f>COUNTA(O2277:U2277)</f>
        <v>5</v>
      </c>
      <c r="W2277" s="11">
        <f>_xlfn.IFNA(INDEX(reading[[#This Row],[Memo 01]:[Memo 07]],MATCH(0,reading[[#This Row],[Memo 01]:[Memo 07]],-1)),"")</f>
        <v>45233</v>
      </c>
      <c r="X2277" s="11">
        <f ca="1">IFERROR(reading[[#This Row],[Previous]]+OFFSET(reading[[#Headers],[Memo 01]],-1,MATCH(0,reading[[#This Row],[Memo 01]:[Memo 07]],-1)-1),"")</f>
        <v>45245</v>
      </c>
      <c r="Y2277" s="10" t="str">
        <f ca="1">IF(reading[[#This Row],[Next]]&lt;&gt;"",IF(reading[[#This Row],[Next]]&gt;TODAY(),"OK",""),"")</f>
        <v/>
      </c>
      <c r="Z2277" s="13">
        <v>3</v>
      </c>
      <c r="AA2277" s="13">
        <v>3</v>
      </c>
      <c r="AB2277" s="13">
        <v>3</v>
      </c>
      <c r="AC2277" s="13">
        <v>3</v>
      </c>
      <c r="AD2277" s="13">
        <v>3</v>
      </c>
      <c r="AE2277" s="13"/>
      <c r="AF2277" s="13"/>
      <c r="AG2277" s="16">
        <f>IFERROR(SUMIF(reading[[#This Row],[1st]:[7th]],"&gt;0")/COUNTIF(reading[[#This Row],[1st]:[7th]],"&gt;0"),"")</f>
        <v>3</v>
      </c>
    </row>
    <row r="2278" spans="1:33" hidden="1" x14ac:dyDescent="0.2">
      <c r="A2278" s="4">
        <f>IF(B2278=1,3,IF(D2278=1,2,IF(F2278=1,1,0)))</f>
        <v>0</v>
      </c>
      <c r="B2278" s="4" t="str">
        <f>IF(C2278=$L2278,1,IF(C2278="","",0))</f>
        <v/>
      </c>
      <c r="C2278" s="42"/>
      <c r="D2278" s="4" t="str">
        <f>IF(E2278=$L2278,1,IF(E2278="","",0))</f>
        <v/>
      </c>
      <c r="E2278" s="23"/>
      <c r="F2278" s="4" t="str">
        <f>IF(G2278=$L2278,1,IF(G2278="","",0))</f>
        <v/>
      </c>
      <c r="G2278" s="14"/>
      <c r="H2278" s="6">
        <v>1555</v>
      </c>
      <c r="I2278" s="15" t="s">
        <v>3120</v>
      </c>
      <c r="J2278" s="6" t="s">
        <v>4668</v>
      </c>
      <c r="K2278" s="6"/>
      <c r="L2278" s="6" t="s">
        <v>1640</v>
      </c>
      <c r="M2278" s="6" t="s">
        <v>7661</v>
      </c>
      <c r="N2278" s="7">
        <f ca="1">RAND()</f>
        <v>0.2663761756308386</v>
      </c>
      <c r="O2278" s="8">
        <v>45209</v>
      </c>
      <c r="P2278" s="8">
        <v>45213</v>
      </c>
      <c r="Q2278" s="8">
        <v>45215</v>
      </c>
      <c r="R2278" s="8">
        <v>45219</v>
      </c>
      <c r="S2278" s="8">
        <v>45226</v>
      </c>
      <c r="T2278" s="8">
        <v>45816</v>
      </c>
      <c r="U2278" s="8"/>
      <c r="V2278" s="10">
        <f>COUNTA(O2278:U2278)</f>
        <v>6</v>
      </c>
      <c r="W2278" s="11">
        <f>_xlfn.IFNA(INDEX(reading[[#This Row],[Memo 01]:[Memo 07]],MATCH(0,reading[[#This Row],[Memo 01]:[Memo 07]],-1)),"")</f>
        <v>45816</v>
      </c>
      <c r="X2278" s="11">
        <f ca="1">IFERROR(reading[[#This Row],[Previous]]+OFFSET(reading[[#Headers],[Memo 01]],-1,MATCH(0,reading[[#This Row],[Memo 01]:[Memo 07]],-1)-1),"")</f>
        <v>45836</v>
      </c>
      <c r="Y2278" s="10" t="str">
        <f ca="1">IF(reading[[#This Row],[Next]]&lt;&gt;"",IF(reading[[#This Row],[Next]]&gt;TODAY(),"OK",""),"")</f>
        <v>OK</v>
      </c>
      <c r="Z2278" s="13">
        <v>3</v>
      </c>
      <c r="AA2278" s="13">
        <v>3</v>
      </c>
      <c r="AB2278" s="13">
        <v>3</v>
      </c>
      <c r="AC2278" s="13">
        <v>3</v>
      </c>
      <c r="AD2278" s="13">
        <v>3</v>
      </c>
      <c r="AE2278" s="13">
        <v>2</v>
      </c>
      <c r="AF2278" s="13"/>
      <c r="AG2278" s="16">
        <f>IFERROR(SUMIF(reading[[#This Row],[1st]:[7th]],"&gt;0")/COUNTIF(reading[[#This Row],[1st]:[7th]],"&gt;0"),"")</f>
        <v>2.8333333333333335</v>
      </c>
    </row>
    <row r="2279" spans="1:33" x14ac:dyDescent="0.2">
      <c r="A2279" s="4">
        <f>IF(B2279=1,3,IF(D2279=1,2,IF(F2279=1,1,0)))</f>
        <v>0</v>
      </c>
      <c r="B2279" s="4" t="str">
        <f>IF(C2279=$L2279,1,IF(C2279="","",0))</f>
        <v/>
      </c>
      <c r="C2279" s="39"/>
      <c r="D2279" s="4" t="str">
        <f>IF(E2279=$L2279,1,IF(E2279="","",0))</f>
        <v/>
      </c>
      <c r="E2279" s="14"/>
      <c r="F2279" s="4" t="str">
        <f>IF(G2279=$L2279,1,IF(G2279="","",0))</f>
        <v/>
      </c>
      <c r="G2279" s="14"/>
      <c r="H2279" s="6">
        <v>1152</v>
      </c>
      <c r="I2279" s="15" t="s">
        <v>3120</v>
      </c>
      <c r="J2279" s="6" t="s">
        <v>4273</v>
      </c>
      <c r="K2279" s="6"/>
      <c r="L2279" s="6" t="s">
        <v>1254</v>
      </c>
      <c r="M2279" s="6" t="s">
        <v>7260</v>
      </c>
      <c r="N2279" s="7">
        <f ca="1">RAND()</f>
        <v>3.572208918905162E-2</v>
      </c>
      <c r="O2279" s="8">
        <v>45205</v>
      </c>
      <c r="P2279" s="8">
        <v>45206</v>
      </c>
      <c r="Q2279" s="8">
        <v>45208</v>
      </c>
      <c r="R2279" s="8">
        <v>45212</v>
      </c>
      <c r="S2279" s="8">
        <v>45219</v>
      </c>
      <c r="T2279" s="8">
        <v>45231</v>
      </c>
      <c r="U2279" s="8"/>
      <c r="V2279" s="10">
        <f>COUNTA(O2279:U2279)</f>
        <v>6</v>
      </c>
      <c r="W2279" s="11">
        <f>_xlfn.IFNA(INDEX(reading[[#This Row],[Memo 01]:[Memo 07]],MATCH(0,reading[[#This Row],[Memo 01]:[Memo 07]],-1)),"")</f>
        <v>45231</v>
      </c>
      <c r="X2279" s="11">
        <f ca="1">IFERROR(reading[[#This Row],[Previous]]+OFFSET(reading[[#Headers],[Memo 01]],-1,MATCH(0,reading[[#This Row],[Memo 01]:[Memo 07]],-1)-1),"")</f>
        <v>45251</v>
      </c>
      <c r="Y2279" s="10" t="str">
        <f ca="1">IF(reading[[#This Row],[Next]]&lt;&gt;"",IF(reading[[#This Row],[Next]]&gt;TODAY(),"OK",""),"")</f>
        <v/>
      </c>
      <c r="Z2279" s="13">
        <v>3</v>
      </c>
      <c r="AA2279" s="13">
        <v>3</v>
      </c>
      <c r="AB2279" s="13">
        <v>3</v>
      </c>
      <c r="AC2279" s="13">
        <v>3</v>
      </c>
      <c r="AD2279" s="13">
        <v>3</v>
      </c>
      <c r="AE2279" s="13">
        <v>3</v>
      </c>
      <c r="AF2279" s="13"/>
      <c r="AG2279" s="16">
        <f>IFERROR(SUMIF(reading[[#This Row],[1st]:[7th]],"&gt;0")/COUNTIF(reading[[#This Row],[1st]:[7th]],"&gt;0"),"")</f>
        <v>3</v>
      </c>
    </row>
    <row r="2280" spans="1:33" hidden="1" x14ac:dyDescent="0.2">
      <c r="A2280" s="4">
        <f>IF(B2280=1,3,IF(D2280=1,2,IF(F2280=1,1,0)))</f>
        <v>0</v>
      </c>
      <c r="B2280" s="4" t="str">
        <f>IF(C2280=$L2280,1,IF(C2280="","",0))</f>
        <v/>
      </c>
      <c r="C2280" s="42"/>
      <c r="D2280" s="4" t="str">
        <f>IF(E2280=$L2280,1,IF(E2280="","",0))</f>
        <v/>
      </c>
      <c r="E2280" s="43"/>
      <c r="F2280" s="4" t="str">
        <f>IF(G2280=$L2280,1,IF(G2280="","",0))</f>
        <v/>
      </c>
      <c r="G2280" s="14"/>
      <c r="H2280" s="6">
        <v>965</v>
      </c>
      <c r="I2280" s="15" t="s">
        <v>3120</v>
      </c>
      <c r="J2280" s="6" t="s">
        <v>4094</v>
      </c>
      <c r="K2280" s="6"/>
      <c r="L2280" s="6" t="s">
        <v>1075</v>
      </c>
      <c r="M2280" s="6" t="s">
        <v>7073</v>
      </c>
      <c r="N2280" s="7">
        <f ca="1">RAND()</f>
        <v>0.45904911336976095</v>
      </c>
      <c r="O2280" s="8">
        <v>45204</v>
      </c>
      <c r="P2280" s="8">
        <v>45205</v>
      </c>
      <c r="Q2280" s="8">
        <v>45207</v>
      </c>
      <c r="R2280" s="8">
        <v>45211</v>
      </c>
      <c r="S2280" s="8">
        <v>45218</v>
      </c>
      <c r="T2280" s="8">
        <v>45230</v>
      </c>
      <c r="U2280" s="8">
        <v>45816</v>
      </c>
      <c r="V2280" s="10">
        <f>COUNTA(O2280:U2280)</f>
        <v>7</v>
      </c>
      <c r="W2280" s="11">
        <f>_xlfn.IFNA(INDEX(reading[[#This Row],[Memo 01]:[Memo 07]],MATCH(0,reading[[#This Row],[Memo 01]:[Memo 07]],-1)),"")</f>
        <v>45816</v>
      </c>
      <c r="X2280" s="11">
        <f ca="1">IFERROR(reading[[#This Row],[Previous]]+OFFSET(reading[[#Headers],[Memo 01]],-1,MATCH(0,reading[[#This Row],[Memo 01]:[Memo 07]],-1)-1),"")</f>
        <v>55816</v>
      </c>
      <c r="Y2280" s="10" t="str">
        <f ca="1">IF(reading[[#This Row],[Next]]&lt;&gt;"",IF(reading[[#This Row],[Next]]&gt;TODAY(),"OK",""),"")</f>
        <v>OK</v>
      </c>
      <c r="Z2280" s="13">
        <v>3</v>
      </c>
      <c r="AA2280" s="13">
        <v>3</v>
      </c>
      <c r="AB2280" s="13">
        <v>2</v>
      </c>
      <c r="AC2280" s="13">
        <v>3</v>
      </c>
      <c r="AD2280" s="13">
        <v>2</v>
      </c>
      <c r="AE2280" s="13">
        <v>3</v>
      </c>
      <c r="AF2280" s="13">
        <v>2</v>
      </c>
      <c r="AG2280" s="16">
        <f>IFERROR(SUMIF(reading[[#This Row],[1st]:[7th]],"&gt;0")/COUNTIF(reading[[#This Row],[1st]:[7th]],"&gt;0"),"")</f>
        <v>2.5714285714285716</v>
      </c>
    </row>
    <row r="2281" spans="1:33" x14ac:dyDescent="0.2">
      <c r="A2281" s="4">
        <f>IF(B2281=1,3,IF(D2281=1,2,IF(F2281=1,1,0)))</f>
        <v>0</v>
      </c>
      <c r="B2281" s="4" t="str">
        <f>IF(C2281=$L2281,1,IF(C2281="","",0))</f>
        <v/>
      </c>
      <c r="C2281" s="38"/>
      <c r="D2281" s="4" t="str">
        <f>IF(E2281=$L2281,1,IF(E2281="","",0))</f>
        <v/>
      </c>
      <c r="E2281" s="14"/>
      <c r="F2281" s="4" t="str">
        <f>IF(G2281=$L2281,1,IF(G2281="","",0))</f>
        <v/>
      </c>
      <c r="G2281" s="14"/>
      <c r="H2281" s="6">
        <v>2228</v>
      </c>
      <c r="I2281" s="15" t="s">
        <v>3120</v>
      </c>
      <c r="J2281" s="6" t="s">
        <v>5313</v>
      </c>
      <c r="K2281" s="6"/>
      <c r="L2281" s="6" t="s">
        <v>57</v>
      </c>
      <c r="M2281" s="6" t="s">
        <v>8334</v>
      </c>
      <c r="N2281" s="7">
        <f ca="1">RAND()</f>
        <v>0.99332602041551676</v>
      </c>
      <c r="O2281" s="8">
        <v>45215</v>
      </c>
      <c r="P2281" s="8">
        <v>45216</v>
      </c>
      <c r="Q2281" s="8">
        <v>45218</v>
      </c>
      <c r="R2281" s="8">
        <v>45222</v>
      </c>
      <c r="S2281" s="8">
        <v>45229</v>
      </c>
      <c r="T2281" s="8"/>
      <c r="U2281" s="8"/>
      <c r="V2281" s="10">
        <f>COUNTA(O2281:U2281)</f>
        <v>5</v>
      </c>
      <c r="W2281" s="11">
        <f>_xlfn.IFNA(INDEX(reading[[#This Row],[Memo 01]:[Memo 07]],MATCH(0,reading[[#This Row],[Memo 01]:[Memo 07]],-1)),"")</f>
        <v>45229</v>
      </c>
      <c r="X2281" s="11">
        <f ca="1">IFERROR(reading[[#This Row],[Previous]]+OFFSET(reading[[#Headers],[Memo 01]],-1,MATCH(0,reading[[#This Row],[Memo 01]:[Memo 07]],-1)-1),"")</f>
        <v>45241</v>
      </c>
      <c r="Y2281" s="10" t="str">
        <f ca="1">IF(reading[[#This Row],[Next]]&lt;&gt;"",IF(reading[[#This Row],[Next]]&gt;TODAY(),"OK",""),"")</f>
        <v/>
      </c>
      <c r="Z2281" s="13">
        <v>3</v>
      </c>
      <c r="AA2281" s="13">
        <v>3</v>
      </c>
      <c r="AB2281" s="13">
        <v>3</v>
      </c>
      <c r="AC2281" s="13">
        <v>3</v>
      </c>
      <c r="AD2281" s="13">
        <v>3</v>
      </c>
      <c r="AE2281" s="13"/>
      <c r="AF2281" s="13"/>
      <c r="AG2281" s="16">
        <f>IFERROR(SUMIF(reading[[#This Row],[1st]:[7th]],"&gt;0")/COUNTIF(reading[[#This Row],[1st]:[7th]],"&gt;0"),"")</f>
        <v>3</v>
      </c>
    </row>
    <row r="2282" spans="1:33" x14ac:dyDescent="0.2">
      <c r="A2282" s="4">
        <f>IF(B2282=1,3,IF(D2282=1,2,IF(F2282=1,1,0)))</f>
        <v>0</v>
      </c>
      <c r="B2282" s="4" t="str">
        <f>IF(C2282=$L2282,1,IF(C2282="","",0))</f>
        <v/>
      </c>
      <c r="C2282" s="39"/>
      <c r="D2282" s="4" t="str">
        <f>IF(E2282=$L2282,1,IF(E2282="","",0))</f>
        <v/>
      </c>
      <c r="E2282" s="14"/>
      <c r="F2282" s="4" t="str">
        <f>IF(G2282=$L2282,1,IF(G2282="","",0))</f>
        <v/>
      </c>
      <c r="G2282" s="14"/>
      <c r="H2282" s="6">
        <v>1346</v>
      </c>
      <c r="I2282" s="15" t="s">
        <v>3120</v>
      </c>
      <c r="J2282" s="6" t="s">
        <v>4460</v>
      </c>
      <c r="K2282" s="6"/>
      <c r="L2282" s="6" t="s">
        <v>1441</v>
      </c>
      <c r="M2282" s="6" t="s">
        <v>7453</v>
      </c>
      <c r="N2282" s="7">
        <f ca="1">RAND()</f>
        <v>9.0942638854482727E-2</v>
      </c>
      <c r="O2282" s="8">
        <v>45207</v>
      </c>
      <c r="P2282" s="8">
        <v>45208</v>
      </c>
      <c r="Q2282" s="8">
        <v>45210</v>
      </c>
      <c r="R2282" s="8">
        <v>45214</v>
      </c>
      <c r="S2282" s="8">
        <v>45221</v>
      </c>
      <c r="T2282" s="8">
        <v>45233</v>
      </c>
      <c r="U2282" s="8"/>
      <c r="V2282" s="10">
        <f>COUNTA(O2282:U2282)</f>
        <v>6</v>
      </c>
      <c r="W2282" s="11">
        <f>_xlfn.IFNA(INDEX(reading[[#This Row],[Memo 01]:[Memo 07]],MATCH(0,reading[[#This Row],[Memo 01]:[Memo 07]],-1)),"")</f>
        <v>45233</v>
      </c>
      <c r="X2282" s="11">
        <f ca="1">IFERROR(reading[[#This Row],[Previous]]+OFFSET(reading[[#Headers],[Memo 01]],-1,MATCH(0,reading[[#This Row],[Memo 01]:[Memo 07]],-1)-1),"")</f>
        <v>45253</v>
      </c>
      <c r="Y2282" s="10" t="str">
        <f ca="1">IF(reading[[#This Row],[Next]]&lt;&gt;"",IF(reading[[#This Row],[Next]]&gt;TODAY(),"OK",""),"")</f>
        <v/>
      </c>
      <c r="Z2282" s="13">
        <v>3</v>
      </c>
      <c r="AA2282" s="13">
        <v>3</v>
      </c>
      <c r="AB2282" s="13">
        <v>3</v>
      </c>
      <c r="AC2282" s="13">
        <v>3</v>
      </c>
      <c r="AD2282" s="13">
        <v>3</v>
      </c>
      <c r="AE2282" s="13">
        <v>3</v>
      </c>
      <c r="AF2282" s="13"/>
      <c r="AG2282" s="16">
        <f>IFERROR(SUMIF(reading[[#This Row],[1st]:[7th]],"&gt;0")/COUNTIF(reading[[#This Row],[1st]:[7th]],"&gt;0"),"")</f>
        <v>3</v>
      </c>
    </row>
    <row r="2283" spans="1:33" hidden="1" x14ac:dyDescent="0.2">
      <c r="A2283" s="4">
        <f>IF(B2283=1,3,IF(D2283=1,2,IF(F2283=1,1,0)))</f>
        <v>0</v>
      </c>
      <c r="B2283" s="4" t="str">
        <f>IF(C2283=$L2283,1,IF(C2283="","",0))</f>
        <v/>
      </c>
      <c r="C2283" s="42"/>
      <c r="D2283" s="4" t="str">
        <f>IF(E2283=$L2283,1,IF(E2283="","",0))</f>
        <v/>
      </c>
      <c r="E2283" s="43"/>
      <c r="F2283" s="4" t="str">
        <f>IF(G2283=$L2283,1,IF(G2283="","",0))</f>
        <v/>
      </c>
      <c r="G2283" s="23"/>
      <c r="H2283" s="6">
        <v>2908</v>
      </c>
      <c r="I2283" s="15" t="s">
        <v>3120</v>
      </c>
      <c r="J2283" s="6" t="s">
        <v>5944</v>
      </c>
      <c r="K2283" s="6"/>
      <c r="L2283" s="6" t="s">
        <v>2938</v>
      </c>
      <c r="M2283" s="6" t="s">
        <v>9012</v>
      </c>
      <c r="N2283" s="7">
        <f ca="1">RAND()</f>
        <v>0.16998615627128866</v>
      </c>
      <c r="O2283" s="8">
        <v>45223</v>
      </c>
      <c r="P2283" s="8">
        <v>45224</v>
      </c>
      <c r="Q2283" s="8">
        <v>45226</v>
      </c>
      <c r="R2283" s="8">
        <v>45230</v>
      </c>
      <c r="S2283" s="8">
        <v>45250</v>
      </c>
      <c r="T2283" s="8">
        <v>45817</v>
      </c>
      <c r="U2283" s="8"/>
      <c r="V2283" s="10">
        <f>COUNTA(O2283:U2283)</f>
        <v>6</v>
      </c>
      <c r="W2283" s="11">
        <f>_xlfn.IFNA(INDEX(reading[[#This Row],[Memo 01]:[Memo 07]],MATCH(0,reading[[#This Row],[Memo 01]:[Memo 07]],-1)),"")</f>
        <v>45817</v>
      </c>
      <c r="X2283" s="11">
        <f ca="1">IFERROR(reading[[#This Row],[Previous]]+OFFSET(reading[[#Headers],[Memo 01]],-1,MATCH(0,reading[[#This Row],[Memo 01]:[Memo 07]],-1)-1),"")</f>
        <v>45837</v>
      </c>
      <c r="Y2283" s="10" t="str">
        <f ca="1">IF(reading[[#This Row],[Next]]&lt;&gt;"",IF(reading[[#This Row],[Next]]&gt;TODAY(),"OK",""),"")</f>
        <v>OK</v>
      </c>
      <c r="Z2283" s="13">
        <v>3</v>
      </c>
      <c r="AA2283" s="13">
        <v>3</v>
      </c>
      <c r="AB2283" s="13">
        <v>3</v>
      </c>
      <c r="AC2283" s="13">
        <v>3</v>
      </c>
      <c r="AD2283" s="13">
        <v>1</v>
      </c>
      <c r="AE2283" s="13">
        <v>1</v>
      </c>
      <c r="AF2283" s="13"/>
      <c r="AG2283" s="16">
        <f>IFERROR(SUMIF(reading[[#This Row],[1st]:[7th]],"&gt;0")/COUNTIF(reading[[#This Row],[1st]:[7th]],"&gt;0"),"")</f>
        <v>2.3333333333333335</v>
      </c>
    </row>
    <row r="2284" spans="1:33" x14ac:dyDescent="0.2">
      <c r="A2284" s="4">
        <f>IF(B2284=1,3,IF(D2284=1,2,IF(F2284=1,1,0)))</f>
        <v>0</v>
      </c>
      <c r="B2284" s="4" t="str">
        <f>IF(C2284=$L2284,1,IF(C2284="","",0))</f>
        <v/>
      </c>
      <c r="C2284" s="41"/>
      <c r="D2284" s="4" t="str">
        <f>IF(E2284=$L2284,1,IF(E2284="","",0))</f>
        <v/>
      </c>
      <c r="E2284" s="14"/>
      <c r="F2284" s="4" t="str">
        <f>IF(G2284=$L2284,1,IF(G2284="","",0))</f>
        <v/>
      </c>
      <c r="G2284" s="14"/>
      <c r="H2284" s="6">
        <v>3044</v>
      </c>
      <c r="I2284" s="15" t="s">
        <v>3120</v>
      </c>
      <c r="J2284" s="6" t="s">
        <v>5310</v>
      </c>
      <c r="K2284" s="6" t="s">
        <v>3139</v>
      </c>
      <c r="L2284" s="6" t="s">
        <v>3070</v>
      </c>
      <c r="M2284" s="6" t="s">
        <v>9147</v>
      </c>
      <c r="N2284" s="7">
        <f ca="1">RAND()</f>
        <v>0.10891588778029493</v>
      </c>
      <c r="O2284" s="8">
        <v>45229</v>
      </c>
      <c r="P2284" s="8">
        <v>45230</v>
      </c>
      <c r="Q2284" s="8">
        <v>45232</v>
      </c>
      <c r="R2284" s="8">
        <v>45236</v>
      </c>
      <c r="S2284" s="8">
        <v>45251</v>
      </c>
      <c r="T2284" s="8"/>
      <c r="U2284" s="8"/>
      <c r="V2284" s="10">
        <f>COUNTA(O2284:U2284)</f>
        <v>5</v>
      </c>
      <c r="W2284" s="11">
        <f>_xlfn.IFNA(INDEX(reading[[#This Row],[Memo 01]:[Memo 07]],MATCH(0,reading[[#This Row],[Memo 01]:[Memo 07]],-1)),"")</f>
        <v>45251</v>
      </c>
      <c r="X2284" s="11">
        <f ca="1">IFERROR(reading[[#This Row],[Previous]]+OFFSET(reading[[#Headers],[Memo 01]],-1,MATCH(0,reading[[#This Row],[Memo 01]:[Memo 07]],-1)-1),"")</f>
        <v>45263</v>
      </c>
      <c r="Y2284" s="10" t="str">
        <f ca="1">IF(reading[[#This Row],[Next]]&lt;&gt;"",IF(reading[[#This Row],[Next]]&gt;TODAY(),"OK",""),"")</f>
        <v/>
      </c>
      <c r="Z2284" s="13">
        <v>3</v>
      </c>
      <c r="AA2284" s="13">
        <v>3</v>
      </c>
      <c r="AB2284" s="13">
        <v>3</v>
      </c>
      <c r="AC2284" s="13">
        <v>2</v>
      </c>
      <c r="AD2284" s="13">
        <v>1</v>
      </c>
      <c r="AE2284" s="13"/>
      <c r="AF2284" s="13"/>
      <c r="AG2284" s="16">
        <f>IFERROR(SUMIF(reading[[#This Row],[1st]:[7th]],"&gt;0")/COUNTIF(reading[[#This Row],[1st]:[7th]],"&gt;0"),"")</f>
        <v>2.4</v>
      </c>
    </row>
    <row r="2285" spans="1:33" hidden="1" x14ac:dyDescent="0.2">
      <c r="A2285" s="4">
        <f>IF(B2285=1,3,IF(D2285=1,2,IF(F2285=1,1,0)))</f>
        <v>3</v>
      </c>
      <c r="B2285" s="4">
        <f>IF(C2285=$L2285,1,IF(C2285="","",0))</f>
        <v>1</v>
      </c>
      <c r="C2285" s="34" t="s">
        <v>2348</v>
      </c>
      <c r="D2285" s="4" t="str">
        <f>IF(E2285=$L2285,1,IF(E2285="","",0))</f>
        <v/>
      </c>
      <c r="E2285" s="14"/>
      <c r="F2285" s="4" t="str">
        <f>IF(G2285=$L2285,1,IF(G2285="","",0))</f>
        <v/>
      </c>
      <c r="G2285" s="14"/>
      <c r="H2285" s="6">
        <v>2289</v>
      </c>
      <c r="I2285" s="15" t="s">
        <v>3120</v>
      </c>
      <c r="J2285" s="6" t="s">
        <v>5370</v>
      </c>
      <c r="K2285" s="6"/>
      <c r="L2285" s="6" t="s">
        <v>2348</v>
      </c>
      <c r="M2285" s="6" t="s">
        <v>8394</v>
      </c>
      <c r="N2285" s="7">
        <f ca="1">RAND()</f>
        <v>0.43839588683962127</v>
      </c>
      <c r="O2285" s="8">
        <v>45215</v>
      </c>
      <c r="P2285" s="8">
        <v>45215</v>
      </c>
      <c r="Q2285" s="8">
        <v>45215</v>
      </c>
      <c r="R2285" s="8">
        <v>45215</v>
      </c>
      <c r="S2285" s="8">
        <v>45215</v>
      </c>
      <c r="T2285" s="8">
        <v>45215</v>
      </c>
      <c r="U2285" s="8">
        <v>45215</v>
      </c>
      <c r="V2285" s="10">
        <f>COUNTA(O2285:U2285)</f>
        <v>7</v>
      </c>
      <c r="W2285" s="11">
        <f>_xlfn.IFNA(INDEX(reading[[#This Row],[Memo 01]:[Memo 07]],MATCH(0,reading[[#This Row],[Memo 01]:[Memo 07]],-1)),"")</f>
        <v>45215</v>
      </c>
      <c r="X2285" s="11">
        <f ca="1">IFERROR(reading[[#This Row],[Previous]]+OFFSET(reading[[#Headers],[Memo 01]],-1,MATCH(0,reading[[#This Row],[Memo 01]:[Memo 07]],-1)-1),"")</f>
        <v>55215</v>
      </c>
      <c r="Y2285" s="10" t="str">
        <f ca="1">IF(reading[[#This Row],[Next]]&lt;&gt;"",IF(reading[[#This Row],[Next]]&gt;TODAY(),"OK",""),"")</f>
        <v>OK</v>
      </c>
      <c r="Z2285" s="13">
        <v>3</v>
      </c>
      <c r="AA2285" s="13"/>
      <c r="AB2285" s="13"/>
      <c r="AC2285" s="13"/>
      <c r="AD2285" s="13"/>
      <c r="AE2285" s="13"/>
      <c r="AF2285" s="13"/>
      <c r="AG2285" s="16">
        <f>IFERROR(SUMIF(reading[[#This Row],[1st]:[7th]],"&gt;0")/COUNTIF(reading[[#This Row],[1st]:[7th]],"&gt;0"),"")</f>
        <v>3</v>
      </c>
    </row>
    <row r="2286" spans="1:33" hidden="1" x14ac:dyDescent="0.2">
      <c r="A2286" s="4">
        <f>IF(B2286=1,3,IF(D2286=1,2,IF(F2286=1,1,0)))</f>
        <v>0</v>
      </c>
      <c r="B2286" s="4" t="str">
        <f>IF(C2286=$L2286,1,IF(C2286="","",0))</f>
        <v/>
      </c>
      <c r="C2286" s="42"/>
      <c r="D2286" s="4" t="str">
        <f>IF(E2286=$L2286,1,IF(E2286="","",0))</f>
        <v/>
      </c>
      <c r="E2286" s="43"/>
      <c r="F2286" s="4" t="str">
        <f>IF(G2286=$L2286,1,IF(G2286="","",0))</f>
        <v/>
      </c>
      <c r="G2286" s="23"/>
      <c r="H2286" s="6">
        <v>2689</v>
      </c>
      <c r="I2286" s="15" t="s">
        <v>3120</v>
      </c>
      <c r="J2286" s="6" t="s">
        <v>5740</v>
      </c>
      <c r="K2286" s="6"/>
      <c r="L2286" s="6" t="s">
        <v>2728</v>
      </c>
      <c r="M2286" s="6" t="s">
        <v>8794</v>
      </c>
      <c r="N2286" s="7">
        <f ca="1">RAND()</f>
        <v>0.396465857582875</v>
      </c>
      <c r="O2286" s="8">
        <v>45221</v>
      </c>
      <c r="P2286" s="8">
        <v>45222</v>
      </c>
      <c r="Q2286" s="8">
        <v>45224</v>
      </c>
      <c r="R2286" s="8">
        <v>45228</v>
      </c>
      <c r="S2286" s="8">
        <v>45235</v>
      </c>
      <c r="T2286" s="8">
        <v>45816</v>
      </c>
      <c r="U2286" s="8"/>
      <c r="V2286" s="10">
        <f>COUNTA(O2286:U2286)</f>
        <v>6</v>
      </c>
      <c r="W2286" s="11">
        <f>_xlfn.IFNA(INDEX(reading[[#This Row],[Memo 01]:[Memo 07]],MATCH(0,reading[[#This Row],[Memo 01]:[Memo 07]],-1)),"")</f>
        <v>45816</v>
      </c>
      <c r="X2286" s="11">
        <f ca="1">IFERROR(reading[[#This Row],[Previous]]+OFFSET(reading[[#Headers],[Memo 01]],-1,MATCH(0,reading[[#This Row],[Memo 01]:[Memo 07]],-1)-1),"")</f>
        <v>45836</v>
      </c>
      <c r="Y2286" s="10" t="str">
        <f ca="1">IF(reading[[#This Row],[Next]]&lt;&gt;"",IF(reading[[#This Row],[Next]]&gt;TODAY(),"OK",""),"")</f>
        <v>OK</v>
      </c>
      <c r="Z2286" s="13">
        <v>3</v>
      </c>
      <c r="AA2286" s="13">
        <v>2</v>
      </c>
      <c r="AB2286" s="13">
        <v>3</v>
      </c>
      <c r="AC2286" s="13">
        <v>3</v>
      </c>
      <c r="AD2286" s="13">
        <v>3</v>
      </c>
      <c r="AE2286" s="13">
        <v>1</v>
      </c>
      <c r="AF2286" s="13"/>
      <c r="AG2286" s="16">
        <f>IFERROR(SUMIF(reading[[#This Row],[1st]:[7th]],"&gt;0")/COUNTIF(reading[[#This Row],[1st]:[7th]],"&gt;0"),"")</f>
        <v>2.5</v>
      </c>
    </row>
    <row r="2287" spans="1:33" hidden="1" x14ac:dyDescent="0.2">
      <c r="A2287" s="4">
        <f>IF(B2287=1,3,IF(D2287=1,2,IF(F2287=1,1,0)))</f>
        <v>0</v>
      </c>
      <c r="B2287" s="4" t="str">
        <f>IF(C2287=$L2287,1,IF(C2287="","",0))</f>
        <v/>
      </c>
      <c r="C2287" s="42"/>
      <c r="D2287" s="4" t="str">
        <f>IF(E2287=$L2287,1,IF(E2287="","",0))</f>
        <v/>
      </c>
      <c r="E2287" s="23"/>
      <c r="F2287" s="4" t="str">
        <f>IF(G2287=$L2287,1,IF(G2287="","",0))</f>
        <v/>
      </c>
      <c r="G2287" s="23"/>
      <c r="H2287" s="6">
        <v>2971</v>
      </c>
      <c r="I2287" s="15" t="s">
        <v>3120</v>
      </c>
      <c r="J2287" s="6" t="s">
        <v>6001</v>
      </c>
      <c r="K2287" s="6"/>
      <c r="L2287" s="6" t="s">
        <v>3000</v>
      </c>
      <c r="M2287" s="6" t="s">
        <v>9075</v>
      </c>
      <c r="N2287" s="7">
        <f ca="1">RAND()</f>
        <v>0.86972193226617489</v>
      </c>
      <c r="O2287" s="8">
        <v>45223</v>
      </c>
      <c r="P2287" s="8">
        <v>45224</v>
      </c>
      <c r="Q2287" s="8">
        <v>45226</v>
      </c>
      <c r="R2287" s="8">
        <v>45230</v>
      </c>
      <c r="S2287" s="8">
        <v>45237</v>
      </c>
      <c r="T2287" s="8">
        <v>45817</v>
      </c>
      <c r="U2287" s="8"/>
      <c r="V2287" s="10">
        <f>COUNTA(O2287:U2287)</f>
        <v>6</v>
      </c>
      <c r="W2287" s="11">
        <f>_xlfn.IFNA(INDEX(reading[[#This Row],[Memo 01]:[Memo 07]],MATCH(0,reading[[#This Row],[Memo 01]:[Memo 07]],-1)),"")</f>
        <v>45817</v>
      </c>
      <c r="X2287" s="11">
        <f ca="1">IFERROR(reading[[#This Row],[Previous]]+OFFSET(reading[[#Headers],[Memo 01]],-1,MATCH(0,reading[[#This Row],[Memo 01]:[Memo 07]],-1)-1),"")</f>
        <v>45837</v>
      </c>
      <c r="Y2287" s="10" t="str">
        <f ca="1">IF(reading[[#This Row],[Next]]&lt;&gt;"",IF(reading[[#This Row],[Next]]&gt;TODAY(),"OK",""),"")</f>
        <v>OK</v>
      </c>
      <c r="Z2287" s="13">
        <v>3</v>
      </c>
      <c r="AA2287" s="13">
        <v>3</v>
      </c>
      <c r="AB2287" s="13">
        <v>3</v>
      </c>
      <c r="AC2287" s="13">
        <v>3</v>
      </c>
      <c r="AD2287" s="13">
        <v>3</v>
      </c>
      <c r="AE2287" s="13">
        <v>1</v>
      </c>
      <c r="AF2287" s="13"/>
      <c r="AG2287" s="16">
        <f>IFERROR(SUMIF(reading[[#This Row],[1st]:[7th]],"&gt;0")/COUNTIF(reading[[#This Row],[1st]:[7th]],"&gt;0"),"")</f>
        <v>2.6666666666666665</v>
      </c>
    </row>
    <row r="2288" spans="1:33" x14ac:dyDescent="0.2">
      <c r="A2288" s="4">
        <f>IF(B2288=1,3,IF(D2288=1,2,IF(F2288=1,1,0)))</f>
        <v>0</v>
      </c>
      <c r="B2288" s="4" t="str">
        <f>IF(C2288=$L2288,1,IF(C2288="","",0))</f>
        <v/>
      </c>
      <c r="C2288" s="42"/>
      <c r="D2288" s="4" t="str">
        <f>IF(E2288=$L2288,1,IF(E2288="","",0))</f>
        <v/>
      </c>
      <c r="E2288" s="14"/>
      <c r="F2288" s="4" t="str">
        <f>IF(G2288=$L2288,1,IF(G2288="","",0))</f>
        <v/>
      </c>
      <c r="G2288" s="14"/>
      <c r="H2288" s="6">
        <v>2108</v>
      </c>
      <c r="I2288" s="15" t="s">
        <v>3120</v>
      </c>
      <c r="J2288" s="6" t="s">
        <v>5197</v>
      </c>
      <c r="K2288" s="6"/>
      <c r="L2288" s="6" t="s">
        <v>2176</v>
      </c>
      <c r="M2288" s="6" t="s">
        <v>8214</v>
      </c>
      <c r="N2288" s="7">
        <f ca="1">RAND()</f>
        <v>0.14115044061033177</v>
      </c>
      <c r="O2288" s="8">
        <v>45214</v>
      </c>
      <c r="P2288" s="8">
        <v>45215</v>
      </c>
      <c r="Q2288" s="8">
        <v>45217</v>
      </c>
      <c r="R2288" s="8">
        <v>45221</v>
      </c>
      <c r="S2288" s="8">
        <v>45228</v>
      </c>
      <c r="T2288" s="8">
        <v>45792</v>
      </c>
      <c r="U2288" s="8"/>
      <c r="V2288" s="10">
        <f>COUNTA(O2288:U2288)</f>
        <v>6</v>
      </c>
      <c r="W2288" s="11">
        <f>_xlfn.IFNA(INDEX(reading[[#This Row],[Memo 01]:[Memo 07]],MATCH(0,reading[[#This Row],[Memo 01]:[Memo 07]],-1)),"")</f>
        <v>45792</v>
      </c>
      <c r="X2288" s="11">
        <f ca="1">IFERROR(reading[[#This Row],[Previous]]+OFFSET(reading[[#Headers],[Memo 01]],-1,MATCH(0,reading[[#This Row],[Memo 01]:[Memo 07]],-1)-1),"")</f>
        <v>45812</v>
      </c>
      <c r="Y2288" s="10" t="str">
        <f ca="1">IF(reading[[#This Row],[Next]]&lt;&gt;"",IF(reading[[#This Row],[Next]]&gt;TODAY(),"OK",""),"")</f>
        <v/>
      </c>
      <c r="Z2288" s="13">
        <v>3</v>
      </c>
      <c r="AA2288" s="13">
        <v>3</v>
      </c>
      <c r="AB2288" s="13">
        <v>3</v>
      </c>
      <c r="AC2288" s="13">
        <v>3</v>
      </c>
      <c r="AD2288" s="13">
        <v>3</v>
      </c>
      <c r="AE2288" s="13">
        <v>3</v>
      </c>
      <c r="AF2288" s="13"/>
      <c r="AG2288" s="16">
        <f>IFERROR(SUMIF(reading[[#This Row],[1st]:[7th]],"&gt;0")/COUNTIF(reading[[#This Row],[1st]:[7th]],"&gt;0"),"")</f>
        <v>3</v>
      </c>
    </row>
    <row r="2289" spans="1:33" x14ac:dyDescent="0.2">
      <c r="A2289" s="4">
        <f>IF(B2289=1,3,IF(D2289=1,2,IF(F2289=1,1,0)))</f>
        <v>0</v>
      </c>
      <c r="B2289" s="4" t="str">
        <f>IF(C2289=$L2289,1,IF(C2289="","",0))</f>
        <v/>
      </c>
      <c r="C2289" s="39"/>
      <c r="D2289" s="4" t="str">
        <f>IF(E2289=$L2289,1,IF(E2289="","",0))</f>
        <v/>
      </c>
      <c r="E2289" s="14"/>
      <c r="F2289" s="4" t="str">
        <f>IF(G2289=$L2289,1,IF(G2289="","",0))</f>
        <v/>
      </c>
      <c r="G2289" s="14"/>
      <c r="H2289" s="6">
        <v>2345</v>
      </c>
      <c r="I2289" s="15" t="s">
        <v>3120</v>
      </c>
      <c r="J2289" s="6" t="s">
        <v>5422</v>
      </c>
      <c r="K2289" s="6"/>
      <c r="L2289" s="6" t="s">
        <v>2398</v>
      </c>
      <c r="M2289" s="6" t="s">
        <v>8450</v>
      </c>
      <c r="N2289" s="7">
        <f ca="1">RAND()</f>
        <v>0.52176623384598519</v>
      </c>
      <c r="O2289" s="8">
        <v>45216</v>
      </c>
      <c r="P2289" s="8">
        <v>45217</v>
      </c>
      <c r="Q2289" s="8">
        <v>45219</v>
      </c>
      <c r="R2289" s="8">
        <v>45223</v>
      </c>
      <c r="S2289" s="8">
        <v>45230</v>
      </c>
      <c r="T2289" s="8"/>
      <c r="U2289" s="8"/>
      <c r="V2289" s="10">
        <f>COUNTA(O2289:U2289)</f>
        <v>5</v>
      </c>
      <c r="W2289" s="11">
        <f>_xlfn.IFNA(INDEX(reading[[#This Row],[Memo 01]:[Memo 07]],MATCH(0,reading[[#This Row],[Memo 01]:[Memo 07]],-1)),"")</f>
        <v>45230</v>
      </c>
      <c r="X2289" s="11">
        <f ca="1">IFERROR(reading[[#This Row],[Previous]]+OFFSET(reading[[#Headers],[Memo 01]],-1,MATCH(0,reading[[#This Row],[Memo 01]:[Memo 07]],-1)-1),"")</f>
        <v>45242</v>
      </c>
      <c r="Y2289" s="10" t="str">
        <f ca="1">IF(reading[[#This Row],[Next]]&lt;&gt;"",IF(reading[[#This Row],[Next]]&gt;TODAY(),"OK",""),"")</f>
        <v/>
      </c>
      <c r="Z2289" s="13">
        <v>3</v>
      </c>
      <c r="AA2289" s="13">
        <v>3</v>
      </c>
      <c r="AB2289" s="13">
        <v>3</v>
      </c>
      <c r="AC2289" s="13">
        <v>3</v>
      </c>
      <c r="AD2289" s="13">
        <v>3</v>
      </c>
      <c r="AE2289" s="13"/>
      <c r="AF2289" s="13"/>
      <c r="AG2289" s="16">
        <f>IFERROR(SUMIF(reading[[#This Row],[1st]:[7th]],"&gt;0")/COUNTIF(reading[[#This Row],[1st]:[7th]],"&gt;0"),"")</f>
        <v>3</v>
      </c>
    </row>
    <row r="2290" spans="1:33" x14ac:dyDescent="0.2">
      <c r="A2290" s="4">
        <f>IF(B2290=1,3,IF(D2290=1,2,IF(F2290=1,1,0)))</f>
        <v>0</v>
      </c>
      <c r="B2290" s="4" t="str">
        <f>IF(C2290=$L2290,1,IF(C2290="","",0))</f>
        <v/>
      </c>
      <c r="C2290" s="39"/>
      <c r="D2290" s="4" t="str">
        <f>IF(E2290=$L2290,1,IF(E2290="","",0))</f>
        <v/>
      </c>
      <c r="E2290" s="18"/>
      <c r="F2290" s="4" t="str">
        <f>IF(G2290=$L2290,1,IF(G2290="","",0))</f>
        <v/>
      </c>
      <c r="G2290" s="14"/>
      <c r="H2290" s="6">
        <v>800</v>
      </c>
      <c r="I2290" s="15" t="s">
        <v>3120</v>
      </c>
      <c r="J2290" s="6" t="s">
        <v>3934</v>
      </c>
      <c r="K2290" s="6"/>
      <c r="L2290" s="6" t="s">
        <v>917</v>
      </c>
      <c r="M2290" s="6" t="s">
        <v>6909</v>
      </c>
      <c r="N2290" s="7">
        <f ca="1">RAND()</f>
        <v>0.7444094333806528</v>
      </c>
      <c r="O2290" s="8">
        <v>45204</v>
      </c>
      <c r="P2290" s="8">
        <v>45205</v>
      </c>
      <c r="Q2290" s="8">
        <v>45207</v>
      </c>
      <c r="R2290" s="8">
        <v>45211</v>
      </c>
      <c r="S2290" s="8">
        <v>45218</v>
      </c>
      <c r="T2290" s="8">
        <v>45230</v>
      </c>
      <c r="U2290" s="8"/>
      <c r="V2290" s="10">
        <f>COUNTA(O2290:U2290)</f>
        <v>6</v>
      </c>
      <c r="W2290" s="11">
        <f>_xlfn.IFNA(INDEX(reading[[#This Row],[Memo 01]:[Memo 07]],MATCH(0,reading[[#This Row],[Memo 01]:[Memo 07]],-1)),"")</f>
        <v>45230</v>
      </c>
      <c r="X2290" s="11">
        <f ca="1">IFERROR(reading[[#This Row],[Previous]]+OFFSET(reading[[#Headers],[Memo 01]],-1,MATCH(0,reading[[#This Row],[Memo 01]:[Memo 07]],-1)-1),"")</f>
        <v>45250</v>
      </c>
      <c r="Y2290" s="10" t="str">
        <f ca="1">IF(reading[[#This Row],[Next]]&lt;&gt;"",IF(reading[[#This Row],[Next]]&gt;TODAY(),"OK",""),"")</f>
        <v/>
      </c>
      <c r="Z2290" s="13">
        <v>3</v>
      </c>
      <c r="AA2290" s="13">
        <v>3</v>
      </c>
      <c r="AB2290" s="13">
        <v>3</v>
      </c>
      <c r="AC2290" s="13">
        <v>3</v>
      </c>
      <c r="AD2290" s="13">
        <v>2</v>
      </c>
      <c r="AE2290" s="13">
        <v>3</v>
      </c>
      <c r="AF2290" s="13"/>
      <c r="AG2290" s="16">
        <f>IFERROR(SUMIF(reading[[#This Row],[1st]:[7th]],"&gt;0")/COUNTIF(reading[[#This Row],[1st]:[7th]],"&gt;0"),"")</f>
        <v>2.8333333333333335</v>
      </c>
    </row>
    <row r="2291" spans="1:33" x14ac:dyDescent="0.2">
      <c r="A2291" s="4">
        <f>IF(B2291=1,3,IF(D2291=1,2,IF(F2291=1,1,0)))</f>
        <v>0</v>
      </c>
      <c r="B2291" s="4" t="str">
        <f>IF(C2291=$L2291,1,IF(C2291="","",0))</f>
        <v/>
      </c>
      <c r="C2291" s="38"/>
      <c r="D2291" s="4" t="str">
        <f>IF(E2291=$L2291,1,IF(E2291="","",0))</f>
        <v/>
      </c>
      <c r="E2291" s="18"/>
      <c r="F2291" s="4" t="str">
        <f>IF(G2291=$L2291,1,IF(G2291="","",0))</f>
        <v/>
      </c>
      <c r="G2291" s="14"/>
      <c r="H2291" s="6">
        <v>2064</v>
      </c>
      <c r="I2291" s="15" t="s">
        <v>3120</v>
      </c>
      <c r="J2291" s="6" t="s">
        <v>5159</v>
      </c>
      <c r="K2291" s="6" t="s">
        <v>3139</v>
      </c>
      <c r="L2291" s="6" t="s">
        <v>2137</v>
      </c>
      <c r="M2291" s="6" t="s">
        <v>8170</v>
      </c>
      <c r="N2291" s="7">
        <f ca="1">RAND()</f>
        <v>0.68330754992436937</v>
      </c>
      <c r="O2291" s="8">
        <v>45214</v>
      </c>
      <c r="P2291" s="8">
        <v>45215</v>
      </c>
      <c r="Q2291" s="8">
        <v>45217</v>
      </c>
      <c r="R2291" s="8">
        <v>45221</v>
      </c>
      <c r="S2291" s="8">
        <v>45228</v>
      </c>
      <c r="T2291" s="8"/>
      <c r="U2291" s="8"/>
      <c r="V2291" s="10">
        <f>COUNTA(O2291:U2291)</f>
        <v>5</v>
      </c>
      <c r="W2291" s="11">
        <f>_xlfn.IFNA(INDEX(reading[[#This Row],[Memo 01]:[Memo 07]],MATCH(0,reading[[#This Row],[Memo 01]:[Memo 07]],-1)),"")</f>
        <v>45228</v>
      </c>
      <c r="X2291" s="11">
        <f ca="1">IFERROR(reading[[#This Row],[Previous]]+OFFSET(reading[[#Headers],[Memo 01]],-1,MATCH(0,reading[[#This Row],[Memo 01]:[Memo 07]],-1)-1),"")</f>
        <v>45240</v>
      </c>
      <c r="Y2291" s="10" t="str">
        <f ca="1">IF(reading[[#This Row],[Next]]&lt;&gt;"",IF(reading[[#This Row],[Next]]&gt;TODAY(),"OK",""),"")</f>
        <v/>
      </c>
      <c r="Z2291" s="13">
        <v>3</v>
      </c>
      <c r="AA2291" s="13">
        <v>3</v>
      </c>
      <c r="AB2291" s="13">
        <v>3</v>
      </c>
      <c r="AC2291" s="13">
        <v>2</v>
      </c>
      <c r="AD2291" s="13">
        <v>3</v>
      </c>
      <c r="AE2291" s="13"/>
      <c r="AF2291" s="13"/>
      <c r="AG2291" s="16">
        <f>IFERROR(SUMIF(reading[[#This Row],[1st]:[7th]],"&gt;0")/COUNTIF(reading[[#This Row],[1st]:[7th]],"&gt;0"),"")</f>
        <v>2.8</v>
      </c>
    </row>
    <row r="2292" spans="1:33" x14ac:dyDescent="0.2">
      <c r="A2292" s="4">
        <f>IF(B2292=1,3,IF(D2292=1,2,IF(F2292=1,1,0)))</f>
        <v>0</v>
      </c>
      <c r="B2292" s="4" t="str">
        <f>IF(C2292=$L2292,1,IF(C2292="","",0))</f>
        <v/>
      </c>
      <c r="C2292" s="38"/>
      <c r="D2292" s="4" t="str">
        <f>IF(E2292=$L2292,1,IF(E2292="","",0))</f>
        <v/>
      </c>
      <c r="E2292" s="14"/>
      <c r="F2292" s="4" t="str">
        <f>IF(G2292=$L2292,1,IF(G2292="","",0))</f>
        <v/>
      </c>
      <c r="G2292" s="14"/>
      <c r="H2292" s="6">
        <v>442</v>
      </c>
      <c r="I2292" s="15" t="s">
        <v>3120</v>
      </c>
      <c r="J2292" s="6" t="s">
        <v>3588</v>
      </c>
      <c r="K2292" s="6"/>
      <c r="L2292" s="6" t="s">
        <v>571</v>
      </c>
      <c r="M2292" s="6" t="s">
        <v>6551</v>
      </c>
      <c r="N2292" s="7">
        <f ca="1">RAND()</f>
        <v>0.24852739131508672</v>
      </c>
      <c r="O2292" s="8">
        <v>45202</v>
      </c>
      <c r="P2292" s="8">
        <v>45203</v>
      </c>
      <c r="Q2292" s="8">
        <v>45205</v>
      </c>
      <c r="R2292" s="8">
        <v>45209</v>
      </c>
      <c r="S2292" s="8">
        <v>45216</v>
      </c>
      <c r="T2292" s="8">
        <v>45228</v>
      </c>
      <c r="U2292" s="8"/>
      <c r="V2292" s="10">
        <f>COUNTA(O2292:U2292)</f>
        <v>6</v>
      </c>
      <c r="W2292" s="11">
        <f>_xlfn.IFNA(INDEX(reading[[#This Row],[Memo 01]:[Memo 07]],MATCH(0,reading[[#This Row],[Memo 01]:[Memo 07]],-1)),"")</f>
        <v>45228</v>
      </c>
      <c r="X2292" s="11">
        <f ca="1">IFERROR(reading[[#This Row],[Previous]]+OFFSET(reading[[#Headers],[Memo 01]],-1,MATCH(0,reading[[#This Row],[Memo 01]:[Memo 07]],-1)-1),"")</f>
        <v>45248</v>
      </c>
      <c r="Y2292" s="10" t="str">
        <f ca="1">IF(reading[[#This Row],[Next]]&lt;&gt;"",IF(reading[[#This Row],[Next]]&gt;TODAY(),"OK",""),"")</f>
        <v/>
      </c>
      <c r="Z2292" s="13">
        <v>3</v>
      </c>
      <c r="AA2292" s="13">
        <v>3</v>
      </c>
      <c r="AB2292" s="13">
        <v>3</v>
      </c>
      <c r="AC2292" s="13">
        <v>3</v>
      </c>
      <c r="AD2292" s="13">
        <v>3</v>
      </c>
      <c r="AE2292" s="13">
        <v>3</v>
      </c>
      <c r="AF2292" s="13"/>
      <c r="AG2292" s="16">
        <f>IFERROR(SUMIF(reading[[#This Row],[1st]:[7th]],"&gt;0")/COUNTIF(reading[[#This Row],[1st]:[7th]],"&gt;0"),"")</f>
        <v>3</v>
      </c>
    </row>
    <row r="2293" spans="1:33" x14ac:dyDescent="0.2">
      <c r="A2293" s="4">
        <f>IF(B2293=1,3,IF(D2293=1,2,IF(F2293=1,1,0)))</f>
        <v>0</v>
      </c>
      <c r="B2293" s="4" t="str">
        <f>IF(C2293=$L2293,1,IF(C2293="","",0))</f>
        <v/>
      </c>
      <c r="C2293" s="36"/>
      <c r="D2293" s="4" t="str">
        <f>IF(E2293=$L2293,1,IF(E2293="","",0))</f>
        <v/>
      </c>
      <c r="E2293" s="14"/>
      <c r="F2293" s="4" t="str">
        <f>IF(G2293=$L2293,1,IF(G2293="","",0))</f>
        <v/>
      </c>
      <c r="G2293" s="14"/>
      <c r="H2293" s="6">
        <v>1841</v>
      </c>
      <c r="I2293" s="15" t="s">
        <v>3120</v>
      </c>
      <c r="J2293" s="6" t="s">
        <v>4945</v>
      </c>
      <c r="K2293" s="6"/>
      <c r="L2293" s="6" t="s">
        <v>1919</v>
      </c>
      <c r="M2293" s="6" t="s">
        <v>7947</v>
      </c>
      <c r="N2293" s="7">
        <f ca="1">RAND()</f>
        <v>0.2089962191484126</v>
      </c>
      <c r="O2293" s="8">
        <v>45212</v>
      </c>
      <c r="P2293" s="8">
        <v>45213</v>
      </c>
      <c r="Q2293" s="8">
        <v>45215</v>
      </c>
      <c r="R2293" s="8">
        <v>45219</v>
      </c>
      <c r="S2293" s="8">
        <v>45226</v>
      </c>
      <c r="T2293" s="8"/>
      <c r="U2293" s="8"/>
      <c r="V2293" s="10">
        <f>COUNTA(O2293:U2293)</f>
        <v>5</v>
      </c>
      <c r="W2293" s="11">
        <f>_xlfn.IFNA(INDEX(reading[[#This Row],[Memo 01]:[Memo 07]],MATCH(0,reading[[#This Row],[Memo 01]:[Memo 07]],-1)),"")</f>
        <v>45226</v>
      </c>
      <c r="X2293" s="11">
        <f ca="1">IFERROR(reading[[#This Row],[Previous]]+OFFSET(reading[[#Headers],[Memo 01]],-1,MATCH(0,reading[[#This Row],[Memo 01]:[Memo 07]],-1)-1),"")</f>
        <v>45238</v>
      </c>
      <c r="Y2293" s="10" t="str">
        <f ca="1">IF(reading[[#This Row],[Next]]&lt;&gt;"",IF(reading[[#This Row],[Next]]&gt;TODAY(),"OK",""),"")</f>
        <v/>
      </c>
      <c r="Z2293" s="13">
        <v>3</v>
      </c>
      <c r="AA2293" s="13">
        <v>3</v>
      </c>
      <c r="AB2293" s="13">
        <v>3</v>
      </c>
      <c r="AC2293" s="13">
        <v>3</v>
      </c>
      <c r="AD2293" s="13">
        <v>3</v>
      </c>
      <c r="AE2293" s="13"/>
      <c r="AF2293" s="13"/>
      <c r="AG2293" s="16">
        <f>IFERROR(SUMIF(reading[[#This Row],[1st]:[7th]],"&gt;0")/COUNTIF(reading[[#This Row],[1st]:[7th]],"&gt;0"),"")</f>
        <v>3</v>
      </c>
    </row>
    <row r="2294" spans="1:33" x14ac:dyDescent="0.2">
      <c r="A2294" s="4">
        <f>IF(B2294=1,3,IF(D2294=1,2,IF(F2294=1,1,0)))</f>
        <v>0</v>
      </c>
      <c r="B2294" s="4" t="str">
        <f>IF(C2294=$L2294,1,IF(C2294="","",0))</f>
        <v/>
      </c>
      <c r="C2294" s="39"/>
      <c r="D2294" s="4" t="str">
        <f>IF(E2294=$L2294,1,IF(E2294="","",0))</f>
        <v/>
      </c>
      <c r="E2294" s="14"/>
      <c r="F2294" s="4" t="str">
        <f>IF(G2294=$L2294,1,IF(G2294="","",0))</f>
        <v/>
      </c>
      <c r="G2294" s="14"/>
      <c r="H2294" s="6">
        <v>2314</v>
      </c>
      <c r="I2294" s="15" t="s">
        <v>3120</v>
      </c>
      <c r="J2294" s="6" t="s">
        <v>5392</v>
      </c>
      <c r="K2294" s="6"/>
      <c r="L2294" s="6" t="s">
        <v>2371</v>
      </c>
      <c r="M2294" s="6" t="s">
        <v>8419</v>
      </c>
      <c r="N2294" s="7">
        <f ca="1">RAND()</f>
        <v>0.42588596296296632</v>
      </c>
      <c r="O2294" s="8">
        <v>45216</v>
      </c>
      <c r="P2294" s="8">
        <v>45217</v>
      </c>
      <c r="Q2294" s="8">
        <v>45219</v>
      </c>
      <c r="R2294" s="8">
        <v>45223</v>
      </c>
      <c r="S2294" s="8">
        <v>45230</v>
      </c>
      <c r="T2294" s="8"/>
      <c r="U2294" s="8"/>
      <c r="V2294" s="10">
        <f>COUNTA(O2294:U2294)</f>
        <v>5</v>
      </c>
      <c r="W2294" s="11">
        <f>_xlfn.IFNA(INDEX(reading[[#This Row],[Memo 01]:[Memo 07]],MATCH(0,reading[[#This Row],[Memo 01]:[Memo 07]],-1)),"")</f>
        <v>45230</v>
      </c>
      <c r="X2294" s="11">
        <f ca="1">IFERROR(reading[[#This Row],[Previous]]+OFFSET(reading[[#Headers],[Memo 01]],-1,MATCH(0,reading[[#This Row],[Memo 01]:[Memo 07]],-1)-1),"")</f>
        <v>45242</v>
      </c>
      <c r="Y2294" s="10" t="str">
        <f ca="1">IF(reading[[#This Row],[Next]]&lt;&gt;"",IF(reading[[#This Row],[Next]]&gt;TODAY(),"OK",""),"")</f>
        <v/>
      </c>
      <c r="Z2294" s="13">
        <v>3</v>
      </c>
      <c r="AA2294" s="13">
        <v>3</v>
      </c>
      <c r="AB2294" s="13">
        <v>3</v>
      </c>
      <c r="AC2294" s="13">
        <v>3</v>
      </c>
      <c r="AD2294" s="13">
        <v>3</v>
      </c>
      <c r="AE2294" s="13"/>
      <c r="AF2294" s="13"/>
      <c r="AG2294" s="16">
        <f>IFERROR(SUMIF(reading[[#This Row],[1st]:[7th]],"&gt;0")/COUNTIF(reading[[#This Row],[1st]:[7th]],"&gt;0"),"")</f>
        <v>3</v>
      </c>
    </row>
    <row r="2295" spans="1:33" x14ac:dyDescent="0.2">
      <c r="A2295" s="4">
        <f>IF(B2295=1,3,IF(D2295=1,2,IF(F2295=1,1,0)))</f>
        <v>0</v>
      </c>
      <c r="B2295" s="4" t="str">
        <f>IF(C2295=$L2295,1,IF(C2295="","",0))</f>
        <v/>
      </c>
      <c r="C2295" s="39"/>
      <c r="D2295" s="4" t="str">
        <f>IF(E2295=$L2295,1,IF(E2295="","",0))</f>
        <v/>
      </c>
      <c r="E2295" s="18"/>
      <c r="F2295" s="4" t="str">
        <f>IF(G2295=$L2295,1,IF(G2295="","",0))</f>
        <v/>
      </c>
      <c r="G2295" s="14"/>
      <c r="H2295" s="6">
        <v>1026</v>
      </c>
      <c r="I2295" s="15" t="s">
        <v>3120</v>
      </c>
      <c r="J2295" s="6" t="s">
        <v>4154</v>
      </c>
      <c r="K2295" s="6"/>
      <c r="L2295" s="6" t="s">
        <v>1135</v>
      </c>
      <c r="M2295" s="6" t="s">
        <v>7134</v>
      </c>
      <c r="N2295" s="7">
        <f ca="1">RAND()</f>
        <v>0.21584530727185702</v>
      </c>
      <c r="O2295" s="8">
        <v>45205</v>
      </c>
      <c r="P2295" s="8">
        <v>45206</v>
      </c>
      <c r="Q2295" s="8">
        <v>45208</v>
      </c>
      <c r="R2295" s="8">
        <v>45212</v>
      </c>
      <c r="S2295" s="8">
        <v>45219</v>
      </c>
      <c r="T2295" s="8">
        <v>45231</v>
      </c>
      <c r="U2295" s="8"/>
      <c r="V2295" s="10">
        <f>COUNTA(O2295:U2295)</f>
        <v>6</v>
      </c>
      <c r="W2295" s="11">
        <f>_xlfn.IFNA(INDEX(reading[[#This Row],[Memo 01]:[Memo 07]],MATCH(0,reading[[#This Row],[Memo 01]:[Memo 07]],-1)),"")</f>
        <v>45231</v>
      </c>
      <c r="X2295" s="11">
        <f ca="1">IFERROR(reading[[#This Row],[Previous]]+OFFSET(reading[[#Headers],[Memo 01]],-1,MATCH(0,reading[[#This Row],[Memo 01]:[Memo 07]],-1)-1),"")</f>
        <v>45251</v>
      </c>
      <c r="Y2295" s="10" t="str">
        <f ca="1">IF(reading[[#This Row],[Next]]&lt;&gt;"",IF(reading[[#This Row],[Next]]&gt;TODAY(),"OK",""),"")</f>
        <v/>
      </c>
      <c r="Z2295" s="13">
        <v>3</v>
      </c>
      <c r="AA2295" s="13">
        <v>3</v>
      </c>
      <c r="AB2295" s="13">
        <v>3</v>
      </c>
      <c r="AC2295" s="13">
        <v>3</v>
      </c>
      <c r="AD2295" s="13">
        <v>2</v>
      </c>
      <c r="AE2295" s="13">
        <v>3</v>
      </c>
      <c r="AF2295" s="13"/>
      <c r="AG2295" s="16">
        <f>IFERROR(SUMIF(reading[[#This Row],[1st]:[7th]],"&gt;0")/COUNTIF(reading[[#This Row],[1st]:[7th]],"&gt;0"),"")</f>
        <v>2.8333333333333335</v>
      </c>
    </row>
    <row r="2296" spans="1:33" x14ac:dyDescent="0.2">
      <c r="A2296" s="4">
        <f>IF(B2296=1,3,IF(D2296=1,2,IF(F2296=1,1,0)))</f>
        <v>0</v>
      </c>
      <c r="B2296" s="4" t="str">
        <f>IF(C2296=$L2296,1,IF(C2296="","",0))</f>
        <v/>
      </c>
      <c r="C2296" s="42"/>
      <c r="D2296" s="4" t="str">
        <f>IF(E2296=$L2296,1,IF(E2296="","",0))</f>
        <v/>
      </c>
      <c r="E2296" s="14"/>
      <c r="F2296" s="4" t="str">
        <f>IF(G2296=$L2296,1,IF(G2296="","",0))</f>
        <v/>
      </c>
      <c r="G2296" s="14"/>
      <c r="H2296" s="6">
        <v>2094</v>
      </c>
      <c r="I2296" s="15" t="s">
        <v>3120</v>
      </c>
      <c r="J2296" s="6" t="s">
        <v>5185</v>
      </c>
      <c r="K2296" s="6"/>
      <c r="L2296" s="6" t="s">
        <v>58</v>
      </c>
      <c r="M2296" s="6" t="s">
        <v>8200</v>
      </c>
      <c r="N2296" s="7">
        <f ca="1">RAND()</f>
        <v>0.73325658229766211</v>
      </c>
      <c r="O2296" s="8">
        <v>45214</v>
      </c>
      <c r="P2296" s="8">
        <v>45215</v>
      </c>
      <c r="Q2296" s="8">
        <v>45217</v>
      </c>
      <c r="R2296" s="8">
        <v>45221</v>
      </c>
      <c r="S2296" s="8">
        <v>45228</v>
      </c>
      <c r="T2296" s="8">
        <v>45801</v>
      </c>
      <c r="U2296" s="8"/>
      <c r="V2296" s="10">
        <f>COUNTA(O2296:U2296)</f>
        <v>6</v>
      </c>
      <c r="W2296" s="11">
        <f>_xlfn.IFNA(INDEX(reading[[#This Row],[Memo 01]:[Memo 07]],MATCH(0,reading[[#This Row],[Memo 01]:[Memo 07]],-1)),"")</f>
        <v>45801</v>
      </c>
      <c r="X2296" s="11">
        <f ca="1">IFERROR(reading[[#This Row],[Previous]]+OFFSET(reading[[#Headers],[Memo 01]],-1,MATCH(0,reading[[#This Row],[Memo 01]:[Memo 07]],-1)-1),"")</f>
        <v>45821</v>
      </c>
      <c r="Y2296" s="10" t="str">
        <f ca="1">IF(reading[[#This Row],[Next]]&lt;&gt;"",IF(reading[[#This Row],[Next]]&gt;TODAY(),"OK",""),"")</f>
        <v/>
      </c>
      <c r="Z2296" s="13">
        <v>3</v>
      </c>
      <c r="AA2296" s="13">
        <v>3</v>
      </c>
      <c r="AB2296" s="13">
        <v>3</v>
      </c>
      <c r="AC2296" s="13">
        <v>3</v>
      </c>
      <c r="AD2296" s="13">
        <v>3</v>
      </c>
      <c r="AE2296" s="13">
        <v>3</v>
      </c>
      <c r="AF2296" s="13"/>
      <c r="AG2296" s="16">
        <f>IFERROR(SUMIF(reading[[#This Row],[1st]:[7th]],"&gt;0")/COUNTIF(reading[[#This Row],[1st]:[7th]],"&gt;0"),"")</f>
        <v>3</v>
      </c>
    </row>
    <row r="2297" spans="1:33" x14ac:dyDescent="0.2">
      <c r="A2297" s="4">
        <f>IF(B2297=1,3,IF(D2297=1,2,IF(F2297=1,1,0)))</f>
        <v>0</v>
      </c>
      <c r="B2297" s="4" t="str">
        <f>IF(C2297=$L2297,1,IF(C2297="","",0))</f>
        <v/>
      </c>
      <c r="C2297" s="36"/>
      <c r="D2297" s="4" t="str">
        <f>IF(E2297=$L2297,1,IF(E2297="","",0))</f>
        <v/>
      </c>
      <c r="E2297" s="14"/>
      <c r="F2297" s="4" t="str">
        <f>IF(G2297=$L2297,1,IF(G2297="","",0))</f>
        <v/>
      </c>
      <c r="G2297" s="14"/>
      <c r="H2297" s="6">
        <v>1839</v>
      </c>
      <c r="I2297" s="15" t="s">
        <v>3120</v>
      </c>
      <c r="J2297" s="6" t="s">
        <v>3374</v>
      </c>
      <c r="K2297" s="6"/>
      <c r="L2297" s="6" t="s">
        <v>1917</v>
      </c>
      <c r="M2297" s="6" t="s">
        <v>7945</v>
      </c>
      <c r="N2297" s="7">
        <f ca="1">RAND()</f>
        <v>0.49853932590255756</v>
      </c>
      <c r="O2297" s="8">
        <v>45212</v>
      </c>
      <c r="P2297" s="8">
        <v>45213</v>
      </c>
      <c r="Q2297" s="8">
        <v>45215</v>
      </c>
      <c r="R2297" s="8">
        <v>45219</v>
      </c>
      <c r="S2297" s="8">
        <v>45226</v>
      </c>
      <c r="T2297" s="8"/>
      <c r="U2297" s="8"/>
      <c r="V2297" s="10">
        <f>COUNTA(O2297:U2297)</f>
        <v>5</v>
      </c>
      <c r="W2297" s="11">
        <f>_xlfn.IFNA(INDEX(reading[[#This Row],[Memo 01]:[Memo 07]],MATCH(0,reading[[#This Row],[Memo 01]:[Memo 07]],-1)),"")</f>
        <v>45226</v>
      </c>
      <c r="X2297" s="11">
        <f ca="1">IFERROR(reading[[#This Row],[Previous]]+OFFSET(reading[[#Headers],[Memo 01]],-1,MATCH(0,reading[[#This Row],[Memo 01]:[Memo 07]],-1)-1),"")</f>
        <v>45238</v>
      </c>
      <c r="Y2297" s="10" t="str">
        <f ca="1">IF(reading[[#This Row],[Next]]&lt;&gt;"",IF(reading[[#This Row],[Next]]&gt;TODAY(),"OK",""),"")</f>
        <v/>
      </c>
      <c r="Z2297" s="13">
        <v>3</v>
      </c>
      <c r="AA2297" s="13">
        <v>3</v>
      </c>
      <c r="AB2297" s="13">
        <v>3</v>
      </c>
      <c r="AC2297" s="13">
        <v>3</v>
      </c>
      <c r="AD2297" s="13">
        <v>3</v>
      </c>
      <c r="AE2297" s="13"/>
      <c r="AF2297" s="13"/>
      <c r="AG2297" s="16">
        <f>IFERROR(SUMIF(reading[[#This Row],[1st]:[7th]],"&gt;0")/COUNTIF(reading[[#This Row],[1st]:[7th]],"&gt;0"),"")</f>
        <v>3</v>
      </c>
    </row>
    <row r="2298" spans="1:33" x14ac:dyDescent="0.2">
      <c r="A2298" s="4">
        <f>IF(B2298=1,3,IF(D2298=1,2,IF(F2298=1,1,0)))</f>
        <v>0</v>
      </c>
      <c r="B2298" s="4" t="str">
        <f>IF(C2298=$L2298,1,IF(C2298="","",0))</f>
        <v/>
      </c>
      <c r="C2298" s="18"/>
      <c r="D2298" s="4" t="str">
        <f>IF(E2298=$L2298,1,IF(E2298="","",0))</f>
        <v/>
      </c>
      <c r="E2298" s="14"/>
      <c r="F2298" s="4" t="str">
        <f>IF(G2298=$L2298,1,IF(G2298="","",0))</f>
        <v/>
      </c>
      <c r="G2298" s="14"/>
      <c r="H2298" s="6">
        <v>254</v>
      </c>
      <c r="I2298" s="15" t="s">
        <v>3120</v>
      </c>
      <c r="J2298" s="6" t="s">
        <v>3403</v>
      </c>
      <c r="K2298" s="6"/>
      <c r="L2298" s="6" t="s">
        <v>389</v>
      </c>
      <c r="M2298" s="6" t="s">
        <v>6363</v>
      </c>
      <c r="N2298" s="7">
        <f ca="1">RAND()</f>
        <v>0.44314128420471555</v>
      </c>
      <c r="O2298" s="8">
        <v>45199</v>
      </c>
      <c r="P2298" s="8">
        <v>45200</v>
      </c>
      <c r="Q2298" s="8">
        <v>45202</v>
      </c>
      <c r="R2298" s="8">
        <v>45206</v>
      </c>
      <c r="S2298" s="8">
        <v>45213</v>
      </c>
      <c r="T2298" s="8">
        <v>45225</v>
      </c>
      <c r="U2298" s="8"/>
      <c r="V2298" s="10">
        <f>COUNTA(O2298:U2298)</f>
        <v>6</v>
      </c>
      <c r="W2298" s="11">
        <f>_xlfn.IFNA(INDEX(reading[[#This Row],[Memo 01]:[Memo 07]],MATCH(0,reading[[#This Row],[Memo 01]:[Memo 07]],-1)),"")</f>
        <v>45225</v>
      </c>
      <c r="X2298" s="11">
        <f ca="1">IFERROR(reading[[#This Row],[Previous]]+OFFSET(reading[[#Headers],[Memo 01]],-1,MATCH(0,reading[[#This Row],[Memo 01]:[Memo 07]],-1)-1),"")</f>
        <v>45245</v>
      </c>
      <c r="Y2298" s="10" t="str">
        <f ca="1">IF(reading[[#This Row],[Next]]&lt;&gt;"",IF(reading[[#This Row],[Next]]&gt;TODAY(),"OK",""),"")</f>
        <v/>
      </c>
      <c r="Z2298" s="13">
        <v>3</v>
      </c>
      <c r="AA2298" s="13">
        <v>3</v>
      </c>
      <c r="AB2298" s="13">
        <v>3</v>
      </c>
      <c r="AC2298" s="13">
        <v>3</v>
      </c>
      <c r="AD2298" s="13">
        <v>3</v>
      </c>
      <c r="AE2298" s="13">
        <v>3</v>
      </c>
      <c r="AF2298" s="13"/>
      <c r="AG2298" s="16">
        <f>IFERROR(SUMIF(reading[[#This Row],[1st]:[7th]],"&gt;0")/COUNTIF(reading[[#This Row],[1st]:[7th]],"&gt;0"),"")</f>
        <v>3</v>
      </c>
    </row>
    <row r="2299" spans="1:33" hidden="1" x14ac:dyDescent="0.2">
      <c r="A2299" s="4">
        <f>IF(B2299=1,3,IF(D2299=1,2,IF(F2299=1,1,0)))</f>
        <v>0</v>
      </c>
      <c r="B2299" s="4" t="str">
        <f>IF(C2299=$L2299,1,IF(C2299="","",0))</f>
        <v/>
      </c>
      <c r="C2299" s="42"/>
      <c r="D2299" s="4" t="str">
        <f>IF(E2299=$L2299,1,IF(E2299="","",0))</f>
        <v/>
      </c>
      <c r="E2299" s="43"/>
      <c r="F2299" s="4" t="str">
        <f>IF(G2299=$L2299,1,IF(G2299="","",0))</f>
        <v/>
      </c>
      <c r="G2299" s="14"/>
      <c r="H2299" s="6">
        <v>2633</v>
      </c>
      <c r="I2299" s="15" t="s">
        <v>3120</v>
      </c>
      <c r="J2299" s="6" t="s">
        <v>3807</v>
      </c>
      <c r="K2299" s="6"/>
      <c r="L2299" s="6" t="s">
        <v>2674</v>
      </c>
      <c r="M2299" s="6" t="s">
        <v>8738</v>
      </c>
      <c r="N2299" s="7">
        <f ca="1">RAND()</f>
        <v>0.34052041082755502</v>
      </c>
      <c r="O2299" s="8">
        <v>45220</v>
      </c>
      <c r="P2299" s="8">
        <v>45221</v>
      </c>
      <c r="Q2299" s="8">
        <v>45223</v>
      </c>
      <c r="R2299" s="8">
        <v>45236</v>
      </c>
      <c r="S2299" s="8">
        <v>45252</v>
      </c>
      <c r="T2299" s="8">
        <v>45825</v>
      </c>
      <c r="U2299" s="8"/>
      <c r="V2299" s="10">
        <f>COUNTA(O2299:U2299)</f>
        <v>6</v>
      </c>
      <c r="W2299" s="11">
        <f>_xlfn.IFNA(INDEX(reading[[#This Row],[Memo 01]:[Memo 07]],MATCH(0,reading[[#This Row],[Memo 01]:[Memo 07]],-1)),"")</f>
        <v>45825</v>
      </c>
      <c r="X2299" s="11">
        <f ca="1">IFERROR(reading[[#This Row],[Previous]]+OFFSET(reading[[#Headers],[Memo 01]],-1,MATCH(0,reading[[#This Row],[Memo 01]:[Memo 07]],-1)-1),"")</f>
        <v>45845</v>
      </c>
      <c r="Y2299" s="10" t="str">
        <f ca="1">IF(reading[[#This Row],[Next]]&lt;&gt;"",IF(reading[[#This Row],[Next]]&gt;TODAY(),"OK",""),"")</f>
        <v>OK</v>
      </c>
      <c r="Z2299" s="13">
        <v>3</v>
      </c>
      <c r="AA2299" s="13">
        <v>3</v>
      </c>
      <c r="AB2299" s="13">
        <v>3</v>
      </c>
      <c r="AC2299" s="13">
        <v>3</v>
      </c>
      <c r="AD2299" s="13">
        <v>2</v>
      </c>
      <c r="AE2299" s="13">
        <v>2</v>
      </c>
      <c r="AF2299" s="13"/>
      <c r="AG2299" s="16">
        <f>IFERROR(SUMIF(reading[[#This Row],[1st]:[7th]],"&gt;0")/COUNTIF(reading[[#This Row],[1st]:[7th]],"&gt;0"),"")</f>
        <v>2.6666666666666665</v>
      </c>
    </row>
    <row r="2300" spans="1:33" x14ac:dyDescent="0.2">
      <c r="A2300" s="4">
        <f>IF(B2300=1,3,IF(D2300=1,2,IF(F2300=1,1,0)))</f>
        <v>0</v>
      </c>
      <c r="B2300" s="4" t="str">
        <f>IF(C2300=$L2300,1,IF(C2300="","",0))</f>
        <v/>
      </c>
      <c r="C2300" s="39"/>
      <c r="D2300" s="4" t="str">
        <f>IF(E2300=$L2300,1,IF(E2300="","",0))</f>
        <v/>
      </c>
      <c r="E2300" s="14"/>
      <c r="F2300" s="4" t="str">
        <f>IF(G2300=$L2300,1,IF(G2300="","",0))</f>
        <v/>
      </c>
      <c r="G2300" s="14"/>
      <c r="H2300" s="6">
        <v>1219</v>
      </c>
      <c r="I2300" s="15" t="s">
        <v>3120</v>
      </c>
      <c r="J2300" s="6" t="s">
        <v>4336</v>
      </c>
      <c r="K2300" s="6"/>
      <c r="L2300" s="6" t="s">
        <v>1320</v>
      </c>
      <c r="M2300" s="6" t="s">
        <v>7326</v>
      </c>
      <c r="N2300" s="7">
        <f ca="1">RAND()</f>
        <v>0.36128895215773182</v>
      </c>
      <c r="O2300" s="8">
        <v>45206</v>
      </c>
      <c r="P2300" s="8">
        <v>45207</v>
      </c>
      <c r="Q2300" s="8">
        <v>45209</v>
      </c>
      <c r="R2300" s="8">
        <v>45213</v>
      </c>
      <c r="S2300" s="8">
        <v>45220</v>
      </c>
      <c r="T2300" s="8">
        <v>45232</v>
      </c>
      <c r="U2300" s="8"/>
      <c r="V2300" s="10">
        <f>COUNTA(O2300:U2300)</f>
        <v>6</v>
      </c>
      <c r="W2300" s="11">
        <f>_xlfn.IFNA(INDEX(reading[[#This Row],[Memo 01]:[Memo 07]],MATCH(0,reading[[#This Row],[Memo 01]:[Memo 07]],-1)),"")</f>
        <v>45232</v>
      </c>
      <c r="X2300" s="11">
        <f ca="1">IFERROR(reading[[#This Row],[Previous]]+OFFSET(reading[[#Headers],[Memo 01]],-1,MATCH(0,reading[[#This Row],[Memo 01]:[Memo 07]],-1)-1),"")</f>
        <v>45252</v>
      </c>
      <c r="Y2300" s="10" t="str">
        <f ca="1">IF(reading[[#This Row],[Next]]&lt;&gt;"",IF(reading[[#This Row],[Next]]&gt;TODAY(),"OK",""),"")</f>
        <v/>
      </c>
      <c r="Z2300" s="13">
        <v>3</v>
      </c>
      <c r="AA2300" s="13">
        <v>3</v>
      </c>
      <c r="AB2300" s="13">
        <v>3</v>
      </c>
      <c r="AC2300" s="13">
        <v>3</v>
      </c>
      <c r="AD2300" s="13">
        <v>3</v>
      </c>
      <c r="AE2300" s="13">
        <v>3</v>
      </c>
      <c r="AF2300" s="13"/>
      <c r="AG2300" s="16">
        <f>IFERROR(SUMIF(reading[[#This Row],[1st]:[7th]],"&gt;0")/COUNTIF(reading[[#This Row],[1st]:[7th]],"&gt;0"),"")</f>
        <v>3</v>
      </c>
    </row>
    <row r="2301" spans="1:33" hidden="1" x14ac:dyDescent="0.2">
      <c r="A2301" s="4">
        <f>IF(B2301=1,3,IF(D2301=1,2,IF(F2301=1,1,0)))</f>
        <v>0</v>
      </c>
      <c r="B2301" s="4" t="str">
        <f>IF(C2301=$L2301,1,IF(C2301="","",0))</f>
        <v/>
      </c>
      <c r="C2301" s="42"/>
      <c r="D2301" s="4" t="str">
        <f>IF(E2301=$L2301,1,IF(E2301="","",0))</f>
        <v/>
      </c>
      <c r="E2301" s="43"/>
      <c r="F2301" s="4" t="str">
        <f>IF(G2301=$L2301,1,IF(G2301="","",0))</f>
        <v/>
      </c>
      <c r="G2301" s="14"/>
      <c r="H2301" s="6">
        <v>901</v>
      </c>
      <c r="I2301" s="15" t="s">
        <v>3120</v>
      </c>
      <c r="J2301" s="6" t="s">
        <v>4033</v>
      </c>
      <c r="K2301" s="6"/>
      <c r="L2301" s="6" t="s">
        <v>1014</v>
      </c>
      <c r="M2301" s="6" t="s">
        <v>7010</v>
      </c>
      <c r="N2301" s="7">
        <f ca="1">RAND()</f>
        <v>0.33540154553239709</v>
      </c>
      <c r="O2301" s="8">
        <v>45205</v>
      </c>
      <c r="P2301" s="8">
        <v>45206</v>
      </c>
      <c r="Q2301" s="8">
        <v>45208</v>
      </c>
      <c r="R2301" s="8">
        <v>45212</v>
      </c>
      <c r="S2301" s="8">
        <v>45219</v>
      </c>
      <c r="T2301" s="8">
        <v>45231</v>
      </c>
      <c r="U2301" s="8">
        <v>45816</v>
      </c>
      <c r="V2301" s="10">
        <f>COUNTA(O2301:U2301)</f>
        <v>7</v>
      </c>
      <c r="W2301" s="11">
        <f>_xlfn.IFNA(INDEX(reading[[#This Row],[Memo 01]:[Memo 07]],MATCH(0,reading[[#This Row],[Memo 01]:[Memo 07]],-1)),"")</f>
        <v>45816</v>
      </c>
      <c r="X2301" s="11">
        <f ca="1">IFERROR(reading[[#This Row],[Previous]]+OFFSET(reading[[#Headers],[Memo 01]],-1,MATCH(0,reading[[#This Row],[Memo 01]:[Memo 07]],-1)-1),"")</f>
        <v>55816</v>
      </c>
      <c r="Y2301" s="10" t="str">
        <f ca="1">IF(reading[[#This Row],[Next]]&lt;&gt;"",IF(reading[[#This Row],[Next]]&gt;TODAY(),"OK",""),"")</f>
        <v>OK</v>
      </c>
      <c r="Z2301" s="13">
        <v>3</v>
      </c>
      <c r="AA2301" s="13">
        <v>2</v>
      </c>
      <c r="AB2301" s="13">
        <v>3</v>
      </c>
      <c r="AC2301" s="13">
        <v>3</v>
      </c>
      <c r="AD2301" s="13">
        <v>3</v>
      </c>
      <c r="AE2301" s="13">
        <v>3</v>
      </c>
      <c r="AF2301" s="13">
        <v>2</v>
      </c>
      <c r="AG2301" s="16">
        <f>IFERROR(SUMIF(reading[[#This Row],[1st]:[7th]],"&gt;0")/COUNTIF(reading[[#This Row],[1st]:[7th]],"&gt;0"),"")</f>
        <v>2.7142857142857144</v>
      </c>
    </row>
    <row r="2302" spans="1:33" hidden="1" x14ac:dyDescent="0.2">
      <c r="A2302" s="4">
        <f>IF(B2302=1,3,IF(D2302=1,2,IF(F2302=1,1,0)))</f>
        <v>3</v>
      </c>
      <c r="B2302" s="4">
        <f>IF(C2302=$L2302,1,IF(C2302="","",0))</f>
        <v>1</v>
      </c>
      <c r="C2302" s="34" t="s">
        <v>139</v>
      </c>
      <c r="D2302" s="4" t="str">
        <f>IF(E2302=$L2302,1,IF(E2302="","",0))</f>
        <v/>
      </c>
      <c r="E2302" s="14"/>
      <c r="F2302" s="4" t="str">
        <f>IF(G2302=$L2302,1,IF(G2302="","",0))</f>
        <v/>
      </c>
      <c r="G2302" s="14"/>
      <c r="H2302" s="6">
        <v>2306</v>
      </c>
      <c r="I2302" s="15" t="s">
        <v>3120</v>
      </c>
      <c r="J2302" s="6" t="s">
        <v>5384</v>
      </c>
      <c r="K2302" s="6"/>
      <c r="L2302" s="6" t="s">
        <v>139</v>
      </c>
      <c r="M2302" s="6" t="s">
        <v>8411</v>
      </c>
      <c r="N2302" s="7">
        <f ca="1">RAND()</f>
        <v>0.58419701698245652</v>
      </c>
      <c r="O2302" s="8">
        <v>45216</v>
      </c>
      <c r="P2302" s="8">
        <v>45216</v>
      </c>
      <c r="Q2302" s="8">
        <v>45216</v>
      </c>
      <c r="R2302" s="8">
        <v>45216</v>
      </c>
      <c r="S2302" s="8">
        <v>45216</v>
      </c>
      <c r="T2302" s="8">
        <v>45216</v>
      </c>
      <c r="U2302" s="8">
        <v>45216</v>
      </c>
      <c r="V2302" s="10">
        <f>COUNTA(O2302:U2302)</f>
        <v>7</v>
      </c>
      <c r="W2302" s="11">
        <f>_xlfn.IFNA(INDEX(reading[[#This Row],[Memo 01]:[Memo 07]],MATCH(0,reading[[#This Row],[Memo 01]:[Memo 07]],-1)),"")</f>
        <v>45216</v>
      </c>
      <c r="X2302" s="11">
        <f ca="1">IFERROR(reading[[#This Row],[Previous]]+OFFSET(reading[[#Headers],[Memo 01]],-1,MATCH(0,reading[[#This Row],[Memo 01]:[Memo 07]],-1)-1),"")</f>
        <v>55216</v>
      </c>
      <c r="Y2302" s="10" t="str">
        <f ca="1">IF(reading[[#This Row],[Next]]&lt;&gt;"",IF(reading[[#This Row],[Next]]&gt;TODAY(),"OK",""),"")</f>
        <v>OK</v>
      </c>
      <c r="Z2302" s="13">
        <v>3</v>
      </c>
      <c r="AA2302" s="13"/>
      <c r="AB2302" s="13"/>
      <c r="AC2302" s="13"/>
      <c r="AD2302" s="13"/>
      <c r="AE2302" s="13"/>
      <c r="AF2302" s="13"/>
      <c r="AG2302" s="16">
        <f>IFERROR(SUMIF(reading[[#This Row],[1st]:[7th]],"&gt;0")/COUNTIF(reading[[#This Row],[1st]:[7th]],"&gt;0"),"")</f>
        <v>3</v>
      </c>
    </row>
    <row r="2303" spans="1:33" x14ac:dyDescent="0.2">
      <c r="A2303" s="4">
        <f>IF(B2303=1,3,IF(D2303=1,2,IF(F2303=1,1,0)))</f>
        <v>0</v>
      </c>
      <c r="B2303" s="4" t="str">
        <f>IF(C2303=$L2303,1,IF(C2303="","",0))</f>
        <v/>
      </c>
      <c r="C2303" s="36"/>
      <c r="D2303" s="4" t="str">
        <f>IF(E2303=$L2303,1,IF(E2303="","",0))</f>
        <v/>
      </c>
      <c r="E2303" s="14"/>
      <c r="F2303" s="4" t="str">
        <f>IF(G2303=$L2303,1,IF(G2303="","",0))</f>
        <v/>
      </c>
      <c r="G2303" s="14"/>
      <c r="H2303" s="6">
        <v>108</v>
      </c>
      <c r="I2303" s="15" t="s">
        <v>3120</v>
      </c>
      <c r="J2303" s="6" t="s">
        <v>3257</v>
      </c>
      <c r="K2303" s="6"/>
      <c r="L2303" s="6" t="s">
        <v>245</v>
      </c>
      <c r="M2303" s="6" t="s">
        <v>6217</v>
      </c>
      <c r="N2303" s="7">
        <f ca="1">RAND()</f>
        <v>0.39605912344380345</v>
      </c>
      <c r="O2303" s="8">
        <v>45199</v>
      </c>
      <c r="P2303" s="8">
        <v>45200</v>
      </c>
      <c r="Q2303" s="8">
        <v>45202</v>
      </c>
      <c r="R2303" s="8">
        <v>45206</v>
      </c>
      <c r="S2303" s="8">
        <v>45213</v>
      </c>
      <c r="T2303" s="8">
        <v>45225</v>
      </c>
      <c r="U2303" s="8"/>
      <c r="V2303" s="10">
        <f>COUNTA(O2303:U2303)</f>
        <v>6</v>
      </c>
      <c r="W2303" s="11">
        <f>_xlfn.IFNA(INDEX(reading[[#This Row],[Memo 01]:[Memo 07]],MATCH(0,reading[[#This Row],[Memo 01]:[Memo 07]],-1)),"")</f>
        <v>45225</v>
      </c>
      <c r="X2303" s="11">
        <f ca="1">IFERROR(reading[[#This Row],[Previous]]+OFFSET(reading[[#Headers],[Memo 01]],-1,MATCH(0,reading[[#This Row],[Memo 01]:[Memo 07]],-1)-1),"")</f>
        <v>45245</v>
      </c>
      <c r="Y2303" s="10" t="str">
        <f ca="1">IF(reading[[#This Row],[Next]]&lt;&gt;"",IF(reading[[#This Row],[Next]]&gt;TODAY(),"OK",""),"")</f>
        <v/>
      </c>
      <c r="Z2303" s="13">
        <v>3</v>
      </c>
      <c r="AA2303" s="13">
        <v>3</v>
      </c>
      <c r="AB2303" s="13">
        <v>3</v>
      </c>
      <c r="AC2303" s="13">
        <v>3</v>
      </c>
      <c r="AD2303" s="13">
        <v>3</v>
      </c>
      <c r="AE2303" s="13">
        <v>3</v>
      </c>
      <c r="AF2303" s="13"/>
      <c r="AG2303" s="16">
        <f>IFERROR(SUMIF(reading[[#This Row],[1st]:[7th]],"&gt;0")/COUNTIF(reading[[#This Row],[1st]:[7th]],"&gt;0"),"")</f>
        <v>3</v>
      </c>
    </row>
    <row r="2304" spans="1:33" hidden="1" x14ac:dyDescent="0.2">
      <c r="A2304" s="4">
        <f>IF(B2304=1,3,IF(D2304=1,2,IF(F2304=1,1,0)))</f>
        <v>0</v>
      </c>
      <c r="B2304" s="4" t="str">
        <f>IF(C2304=$L2304,1,IF(C2304="","",0))</f>
        <v/>
      </c>
      <c r="C2304" s="42"/>
      <c r="D2304" s="4" t="str">
        <f>IF(E2304=$L2304,1,IF(E2304="","",0))</f>
        <v/>
      </c>
      <c r="E2304" s="23"/>
      <c r="F2304" s="4" t="str">
        <f>IF(G2304=$L2304,1,IF(G2304="","",0))</f>
        <v/>
      </c>
      <c r="G2304" s="23"/>
      <c r="H2304" s="6">
        <v>1192</v>
      </c>
      <c r="I2304" s="15" t="s">
        <v>3120</v>
      </c>
      <c r="J2304" s="6" t="s">
        <v>4311</v>
      </c>
      <c r="K2304" s="15" t="s">
        <v>3138</v>
      </c>
      <c r="L2304" s="6" t="s">
        <v>1294</v>
      </c>
      <c r="M2304" s="6" t="s">
        <v>7299</v>
      </c>
      <c r="N2304" s="7">
        <f ca="1">RAND()</f>
        <v>0.49345444128602178</v>
      </c>
      <c r="O2304" s="8">
        <v>45206</v>
      </c>
      <c r="P2304" s="8">
        <v>45207</v>
      </c>
      <c r="Q2304" s="8">
        <v>45209</v>
      </c>
      <c r="R2304" s="8">
        <v>45213</v>
      </c>
      <c r="S2304" s="8">
        <v>45220</v>
      </c>
      <c r="T2304" s="8">
        <v>45232</v>
      </c>
      <c r="U2304" s="8">
        <v>45817</v>
      </c>
      <c r="V2304" s="10">
        <f>COUNTA(O2304:U2304)</f>
        <v>7</v>
      </c>
      <c r="W2304" s="11">
        <f>_xlfn.IFNA(INDEX(reading[[#This Row],[Memo 01]:[Memo 07]],MATCH(0,reading[[#This Row],[Memo 01]:[Memo 07]],-1)),"")</f>
        <v>45817</v>
      </c>
      <c r="X2304" s="11">
        <f ca="1">IFERROR(reading[[#This Row],[Previous]]+OFFSET(reading[[#Headers],[Memo 01]],-1,MATCH(0,reading[[#This Row],[Memo 01]:[Memo 07]],-1)-1),"")</f>
        <v>55817</v>
      </c>
      <c r="Y2304" s="10" t="str">
        <f ca="1">IF(reading[[#This Row],[Next]]&lt;&gt;"",IF(reading[[#This Row],[Next]]&gt;TODAY(),"OK",""),"")</f>
        <v>OK</v>
      </c>
      <c r="Z2304" s="13">
        <v>3</v>
      </c>
      <c r="AA2304" s="13">
        <v>3</v>
      </c>
      <c r="AB2304" s="13">
        <v>3</v>
      </c>
      <c r="AC2304" s="13">
        <v>3</v>
      </c>
      <c r="AD2304" s="13">
        <v>3</v>
      </c>
      <c r="AE2304" s="13">
        <v>2</v>
      </c>
      <c r="AF2304" s="13">
        <v>1</v>
      </c>
      <c r="AG2304" s="16">
        <f>IFERROR(SUMIF(reading[[#This Row],[1st]:[7th]],"&gt;0")/COUNTIF(reading[[#This Row],[1st]:[7th]],"&gt;0"),"")</f>
        <v>2.5714285714285716</v>
      </c>
    </row>
    <row r="2305" spans="1:33" x14ac:dyDescent="0.2">
      <c r="A2305" s="4">
        <f>IF(B2305=1,3,IF(D2305=1,2,IF(F2305=1,1,0)))</f>
        <v>0</v>
      </c>
      <c r="B2305" s="4" t="str">
        <f>IF(C2305=$L2305,1,IF(C2305="","",0))</f>
        <v/>
      </c>
      <c r="C2305" s="42"/>
      <c r="D2305" s="4" t="str">
        <f>IF(E2305=$L2305,1,IF(E2305="","",0))</f>
        <v/>
      </c>
      <c r="E2305" s="18"/>
      <c r="F2305" s="4" t="str">
        <f>IF(G2305=$L2305,1,IF(G2305="","",0))</f>
        <v/>
      </c>
      <c r="G2305" s="14"/>
      <c r="H2305" s="6">
        <v>261</v>
      </c>
      <c r="I2305" s="15" t="s">
        <v>3120</v>
      </c>
      <c r="J2305" s="6" t="s">
        <v>3410</v>
      </c>
      <c r="K2305" s="15" t="s">
        <v>3138</v>
      </c>
      <c r="L2305" s="6" t="s">
        <v>396</v>
      </c>
      <c r="M2305" s="6" t="s">
        <v>6370</v>
      </c>
      <c r="N2305" s="7">
        <f ca="1">RAND()</f>
        <v>0.34998868475308043</v>
      </c>
      <c r="O2305" s="8">
        <v>45200</v>
      </c>
      <c r="P2305" s="8">
        <v>45201</v>
      </c>
      <c r="Q2305" s="8">
        <v>45203</v>
      </c>
      <c r="R2305" s="8">
        <v>45207</v>
      </c>
      <c r="S2305" s="8">
        <v>45214</v>
      </c>
      <c r="T2305" s="8">
        <v>45226</v>
      </c>
      <c r="U2305" s="8"/>
      <c r="V2305" s="10">
        <f>COUNTA(O2305:U2305)</f>
        <v>6</v>
      </c>
      <c r="W2305" s="11">
        <f>_xlfn.IFNA(INDEX(reading[[#This Row],[Memo 01]:[Memo 07]],MATCH(0,reading[[#This Row],[Memo 01]:[Memo 07]],-1)),"")</f>
        <v>45226</v>
      </c>
      <c r="X2305" s="11">
        <f ca="1">IFERROR(reading[[#This Row],[Previous]]+OFFSET(reading[[#Headers],[Memo 01]],-1,MATCH(0,reading[[#This Row],[Memo 01]:[Memo 07]],-1)-1),"")</f>
        <v>45246</v>
      </c>
      <c r="Y2305" s="10" t="str">
        <f ca="1">IF(reading[[#This Row],[Next]]&lt;&gt;"",IF(reading[[#This Row],[Next]]&gt;TODAY(),"OK",""),"")</f>
        <v/>
      </c>
      <c r="Z2305" s="13">
        <v>3</v>
      </c>
      <c r="AA2305" s="13">
        <v>3</v>
      </c>
      <c r="AB2305" s="13">
        <v>2</v>
      </c>
      <c r="AC2305" s="13">
        <v>3</v>
      </c>
      <c r="AD2305" s="13">
        <v>3</v>
      </c>
      <c r="AE2305" s="13">
        <v>2</v>
      </c>
      <c r="AF2305" s="13"/>
      <c r="AG2305" s="16">
        <f>IFERROR(SUMIF(reading[[#This Row],[1st]:[7th]],"&gt;0")/COUNTIF(reading[[#This Row],[1st]:[7th]],"&gt;0"),"")</f>
        <v>2.6666666666666665</v>
      </c>
    </row>
    <row r="2306" spans="1:33" x14ac:dyDescent="0.2">
      <c r="A2306" s="4">
        <f>IF(B2306=1,3,IF(D2306=1,2,IF(F2306=1,1,0)))</f>
        <v>0</v>
      </c>
      <c r="B2306" s="4" t="str">
        <f>IF(C2306=$L2306,1,IF(C2306="","",0))</f>
        <v/>
      </c>
      <c r="C2306" s="39"/>
      <c r="D2306" s="4" t="str">
        <f>IF(E2306=$L2306,1,IF(E2306="","",0))</f>
        <v/>
      </c>
      <c r="E2306" s="14"/>
      <c r="F2306" s="4" t="str">
        <f>IF(G2306=$L2306,1,IF(G2306="","",0))</f>
        <v/>
      </c>
      <c r="G2306" s="14"/>
      <c r="H2306" s="6">
        <v>2649</v>
      </c>
      <c r="I2306" s="15" t="s">
        <v>3120</v>
      </c>
      <c r="J2306" s="6" t="s">
        <v>5702</v>
      </c>
      <c r="K2306" s="6"/>
      <c r="L2306" s="6" t="s">
        <v>2689</v>
      </c>
      <c r="M2306" s="6" t="s">
        <v>8754</v>
      </c>
      <c r="N2306" s="7">
        <f ca="1">RAND()</f>
        <v>0.40912786981137494</v>
      </c>
      <c r="O2306" s="8">
        <v>45220</v>
      </c>
      <c r="P2306" s="8">
        <v>45221</v>
      </c>
      <c r="Q2306" s="8">
        <v>45223</v>
      </c>
      <c r="R2306" s="8">
        <v>45227</v>
      </c>
      <c r="S2306" s="8">
        <v>45234</v>
      </c>
      <c r="T2306" s="8"/>
      <c r="U2306" s="8"/>
      <c r="V2306" s="10">
        <f>COUNTA(O2306:U2306)</f>
        <v>5</v>
      </c>
      <c r="W2306" s="11">
        <f>_xlfn.IFNA(INDEX(reading[[#This Row],[Memo 01]:[Memo 07]],MATCH(0,reading[[#This Row],[Memo 01]:[Memo 07]],-1)),"")</f>
        <v>45234</v>
      </c>
      <c r="X2306" s="11">
        <f ca="1">IFERROR(reading[[#This Row],[Previous]]+OFFSET(reading[[#Headers],[Memo 01]],-1,MATCH(0,reading[[#This Row],[Memo 01]:[Memo 07]],-1)-1),"")</f>
        <v>45246</v>
      </c>
      <c r="Y2306" s="10" t="str">
        <f ca="1">IF(reading[[#This Row],[Next]]&lt;&gt;"",IF(reading[[#This Row],[Next]]&gt;TODAY(),"OK",""),"")</f>
        <v/>
      </c>
      <c r="Z2306" s="13">
        <v>3</v>
      </c>
      <c r="AA2306" s="13">
        <v>3</v>
      </c>
      <c r="AB2306" s="13">
        <v>3</v>
      </c>
      <c r="AC2306" s="13">
        <v>3</v>
      </c>
      <c r="AD2306" s="13">
        <v>3</v>
      </c>
      <c r="AE2306" s="13"/>
      <c r="AF2306" s="13"/>
      <c r="AG2306" s="16">
        <f>IFERROR(SUMIF(reading[[#This Row],[1st]:[7th]],"&gt;0")/COUNTIF(reading[[#This Row],[1st]:[7th]],"&gt;0"),"")</f>
        <v>3</v>
      </c>
    </row>
    <row r="2307" spans="1:33" x14ac:dyDescent="0.2">
      <c r="A2307" s="4">
        <f>IF(B2307=1,3,IF(D2307=1,2,IF(F2307=1,1,0)))</f>
        <v>0</v>
      </c>
      <c r="B2307" s="4" t="str">
        <f>IF(C2307=$L2307,1,IF(C2307="","",0))</f>
        <v/>
      </c>
      <c r="C2307" s="42"/>
      <c r="D2307" s="4" t="str">
        <f>IF(E2307=$L2307,1,IF(E2307="","",0))</f>
        <v/>
      </c>
      <c r="E2307" s="14"/>
      <c r="F2307" s="4" t="str">
        <f>IF(G2307=$L2307,1,IF(G2307="","",0))</f>
        <v/>
      </c>
      <c r="G2307" s="14"/>
      <c r="H2307" s="6">
        <v>2674</v>
      </c>
      <c r="I2307" s="15" t="s">
        <v>3120</v>
      </c>
      <c r="J2307" s="6" t="s">
        <v>5726</v>
      </c>
      <c r="K2307" s="15" t="s">
        <v>3139</v>
      </c>
      <c r="L2307" s="6" t="s">
        <v>2713</v>
      </c>
      <c r="M2307" s="6" t="s">
        <v>8779</v>
      </c>
      <c r="N2307" s="7">
        <f ca="1">RAND()</f>
        <v>0.5654500520734177</v>
      </c>
      <c r="O2307" s="8">
        <v>45220</v>
      </c>
      <c r="P2307" s="8">
        <v>45221</v>
      </c>
      <c r="Q2307" s="8">
        <v>45223</v>
      </c>
      <c r="R2307" s="8">
        <v>45227</v>
      </c>
      <c r="S2307" s="8">
        <v>45234</v>
      </c>
      <c r="T2307" s="8">
        <v>45801</v>
      </c>
      <c r="U2307" s="8"/>
      <c r="V2307" s="10">
        <f>COUNTA(O2307:U2307)</f>
        <v>6</v>
      </c>
      <c r="W2307" s="11">
        <f>_xlfn.IFNA(INDEX(reading[[#This Row],[Memo 01]:[Memo 07]],MATCH(0,reading[[#This Row],[Memo 01]:[Memo 07]],-1)),"")</f>
        <v>45801</v>
      </c>
      <c r="X2307" s="11">
        <f ca="1">IFERROR(reading[[#This Row],[Previous]]+OFFSET(reading[[#Headers],[Memo 01]],-1,MATCH(0,reading[[#This Row],[Memo 01]:[Memo 07]],-1)-1),"")</f>
        <v>45821</v>
      </c>
      <c r="Y2307" s="10" t="str">
        <f ca="1">IF(reading[[#This Row],[Next]]&lt;&gt;"",IF(reading[[#This Row],[Next]]&gt;TODAY(),"OK",""),"")</f>
        <v/>
      </c>
      <c r="Z2307" s="13">
        <v>3</v>
      </c>
      <c r="AA2307" s="13">
        <v>3</v>
      </c>
      <c r="AB2307" s="13">
        <v>3</v>
      </c>
      <c r="AC2307" s="13">
        <v>3</v>
      </c>
      <c r="AD2307" s="13">
        <v>3</v>
      </c>
      <c r="AE2307" s="13">
        <v>3</v>
      </c>
      <c r="AF2307" s="13"/>
      <c r="AG2307" s="16">
        <f>IFERROR(SUMIF(reading[[#This Row],[1st]:[7th]],"&gt;0")/COUNTIF(reading[[#This Row],[1st]:[7th]],"&gt;0"),"")</f>
        <v>3</v>
      </c>
    </row>
    <row r="2308" spans="1:33" x14ac:dyDescent="0.2">
      <c r="A2308" s="4">
        <f>IF(B2308=1,3,IF(D2308=1,2,IF(F2308=1,1,0)))</f>
        <v>0</v>
      </c>
      <c r="B2308" s="4" t="str">
        <f>IF(C2308=$L2308,1,IF(C2308="","",0))</f>
        <v/>
      </c>
      <c r="C2308" s="38"/>
      <c r="D2308" s="4" t="str">
        <f>IF(E2308=$L2308,1,IF(E2308="","",0))</f>
        <v/>
      </c>
      <c r="E2308" s="14"/>
      <c r="F2308" s="4" t="str">
        <f>IF(G2308=$L2308,1,IF(G2308="","",0))</f>
        <v/>
      </c>
      <c r="G2308" s="14"/>
      <c r="H2308" s="6">
        <v>550</v>
      </c>
      <c r="I2308" s="15" t="s">
        <v>3120</v>
      </c>
      <c r="J2308" s="6" t="s">
        <v>3695</v>
      </c>
      <c r="K2308" s="6"/>
      <c r="L2308" s="6" t="s">
        <v>677</v>
      </c>
      <c r="M2308" s="6" t="s">
        <v>6659</v>
      </c>
      <c r="N2308" s="7">
        <f ca="1">RAND()</f>
        <v>0.19379760325790374</v>
      </c>
      <c r="O2308" s="8">
        <v>45202</v>
      </c>
      <c r="P2308" s="8">
        <v>45203</v>
      </c>
      <c r="Q2308" s="8">
        <v>45205</v>
      </c>
      <c r="R2308" s="8">
        <v>45209</v>
      </c>
      <c r="S2308" s="8">
        <v>45216</v>
      </c>
      <c r="T2308" s="8">
        <v>45228</v>
      </c>
      <c r="U2308" s="8"/>
      <c r="V2308" s="10">
        <f>COUNTA(O2308:U2308)</f>
        <v>6</v>
      </c>
      <c r="W2308" s="11">
        <f>_xlfn.IFNA(INDEX(reading[[#This Row],[Memo 01]:[Memo 07]],MATCH(0,reading[[#This Row],[Memo 01]:[Memo 07]],-1)),"")</f>
        <v>45228</v>
      </c>
      <c r="X2308" s="11">
        <f ca="1">IFERROR(reading[[#This Row],[Previous]]+OFFSET(reading[[#Headers],[Memo 01]],-1,MATCH(0,reading[[#This Row],[Memo 01]:[Memo 07]],-1)-1),"")</f>
        <v>45248</v>
      </c>
      <c r="Y2308" s="10" t="str">
        <f ca="1">IF(reading[[#This Row],[Next]]&lt;&gt;"",IF(reading[[#This Row],[Next]]&gt;TODAY(),"OK",""),"")</f>
        <v/>
      </c>
      <c r="Z2308" s="13">
        <v>3</v>
      </c>
      <c r="AA2308" s="13">
        <v>3</v>
      </c>
      <c r="AB2308" s="13">
        <v>3</v>
      </c>
      <c r="AC2308" s="13">
        <v>3</v>
      </c>
      <c r="AD2308" s="13">
        <v>3</v>
      </c>
      <c r="AE2308" s="13">
        <v>3</v>
      </c>
      <c r="AF2308" s="13"/>
      <c r="AG2308" s="16">
        <f>IFERROR(SUMIF(reading[[#This Row],[1st]:[7th]],"&gt;0")/COUNTIF(reading[[#This Row],[1st]:[7th]],"&gt;0"),"")</f>
        <v>3</v>
      </c>
    </row>
    <row r="2309" spans="1:33" x14ac:dyDescent="0.2">
      <c r="A2309" s="4">
        <f>IF(B2309=1,3,IF(D2309=1,2,IF(F2309=1,1,0)))</f>
        <v>0</v>
      </c>
      <c r="B2309" s="4" t="str">
        <f>IF(C2309=$L2309,1,IF(C2309="","",0))</f>
        <v/>
      </c>
      <c r="C2309" s="39"/>
      <c r="D2309" s="4" t="str">
        <f>IF(E2309=$L2309,1,IF(E2309="","",0))</f>
        <v/>
      </c>
      <c r="E2309" s="14"/>
      <c r="F2309" s="4" t="str">
        <f>IF(G2309=$L2309,1,IF(G2309="","",0))</f>
        <v/>
      </c>
      <c r="G2309" s="14"/>
      <c r="H2309" s="6">
        <v>1500</v>
      </c>
      <c r="I2309" s="15" t="s">
        <v>3120</v>
      </c>
      <c r="J2309" s="6" t="s">
        <v>4614</v>
      </c>
      <c r="K2309" s="6"/>
      <c r="L2309" s="6" t="s">
        <v>1586</v>
      </c>
      <c r="M2309" s="6" t="s">
        <v>7607</v>
      </c>
      <c r="N2309" s="7">
        <f ca="1">RAND()</f>
        <v>8.502645222269678E-2</v>
      </c>
      <c r="O2309" s="8">
        <v>45208</v>
      </c>
      <c r="P2309" s="8">
        <v>45209</v>
      </c>
      <c r="Q2309" s="8">
        <v>45211</v>
      </c>
      <c r="R2309" s="8">
        <v>45215</v>
      </c>
      <c r="S2309" s="8">
        <v>45222</v>
      </c>
      <c r="T2309" s="8">
        <v>45234</v>
      </c>
      <c r="U2309" s="8"/>
      <c r="V2309" s="10">
        <f>COUNTA(O2309:U2309)</f>
        <v>6</v>
      </c>
      <c r="W2309" s="11">
        <f>_xlfn.IFNA(INDEX(reading[[#This Row],[Memo 01]:[Memo 07]],MATCH(0,reading[[#This Row],[Memo 01]:[Memo 07]],-1)),"")</f>
        <v>45234</v>
      </c>
      <c r="X2309" s="11">
        <f ca="1">IFERROR(reading[[#This Row],[Previous]]+OFFSET(reading[[#Headers],[Memo 01]],-1,MATCH(0,reading[[#This Row],[Memo 01]:[Memo 07]],-1)-1),"")</f>
        <v>45254</v>
      </c>
      <c r="Y2309" s="10" t="str">
        <f ca="1">IF(reading[[#This Row],[Next]]&lt;&gt;"",IF(reading[[#This Row],[Next]]&gt;TODAY(),"OK",""),"")</f>
        <v/>
      </c>
      <c r="Z2309" s="13">
        <v>3</v>
      </c>
      <c r="AA2309" s="13">
        <v>3</v>
      </c>
      <c r="AB2309" s="13">
        <v>3</v>
      </c>
      <c r="AC2309" s="13">
        <v>3</v>
      </c>
      <c r="AD2309" s="13">
        <v>3</v>
      </c>
      <c r="AE2309" s="13">
        <v>3</v>
      </c>
      <c r="AF2309" s="13"/>
      <c r="AG2309" s="16">
        <f>IFERROR(SUMIF(reading[[#This Row],[1st]:[7th]],"&gt;0")/COUNTIF(reading[[#This Row],[1st]:[7th]],"&gt;0"),"")</f>
        <v>3</v>
      </c>
    </row>
    <row r="2310" spans="1:33" hidden="1" x14ac:dyDescent="0.2">
      <c r="A2310" s="4">
        <f>IF(B2310=1,3,IF(D2310=1,2,IF(F2310=1,1,0)))</f>
        <v>0</v>
      </c>
      <c r="B2310" s="4">
        <f>IF(C2310=$L2310,1,IF(C2310="","",0))</f>
        <v>0</v>
      </c>
      <c r="C2310" s="42" t="s">
        <v>9200</v>
      </c>
      <c r="D2310" s="4" t="str">
        <f>IF(E2310=$L2310,1,IF(E2310="","",0))</f>
        <v/>
      </c>
      <c r="E2310" s="18"/>
      <c r="F2310" s="4" t="str">
        <f>IF(G2310=$L2310,1,IF(G2310="","",0))</f>
        <v/>
      </c>
      <c r="G2310" s="14"/>
      <c r="H2310" s="6">
        <v>1282</v>
      </c>
      <c r="I2310" s="15" t="s">
        <v>3120</v>
      </c>
      <c r="J2310" s="6" t="s">
        <v>4399</v>
      </c>
      <c r="K2310" s="6"/>
      <c r="L2310" s="6" t="s">
        <v>1380</v>
      </c>
      <c r="M2310" s="6" t="s">
        <v>7389</v>
      </c>
      <c r="N2310" s="7">
        <f ca="1">RAND()</f>
        <v>5.7848894039175036E-2</v>
      </c>
      <c r="O2310" s="8">
        <v>45207</v>
      </c>
      <c r="P2310" s="8">
        <v>45208</v>
      </c>
      <c r="Q2310" s="8">
        <v>45210</v>
      </c>
      <c r="R2310" s="8">
        <v>45214</v>
      </c>
      <c r="S2310" s="8">
        <v>45221</v>
      </c>
      <c r="T2310" s="8">
        <v>45233</v>
      </c>
      <c r="U2310" s="8"/>
      <c r="V2310" s="10">
        <f>COUNTA(O2310:U2310)</f>
        <v>6</v>
      </c>
      <c r="W2310" s="11">
        <f>_xlfn.IFNA(INDEX(reading[[#This Row],[Memo 01]:[Memo 07]],MATCH(0,reading[[#This Row],[Memo 01]:[Memo 07]],-1)),"")</f>
        <v>45233</v>
      </c>
      <c r="X2310" s="11">
        <f ca="1">IFERROR(reading[[#This Row],[Previous]]+OFFSET(reading[[#Headers],[Memo 01]],-1,MATCH(0,reading[[#This Row],[Memo 01]:[Memo 07]],-1)-1),"")</f>
        <v>45253</v>
      </c>
      <c r="Y2310" s="10" t="str">
        <f ca="1">IF(reading[[#This Row],[Next]]&lt;&gt;"",IF(reading[[#This Row],[Next]]&gt;TODAY(),"OK",""),"")</f>
        <v/>
      </c>
      <c r="Z2310" s="13">
        <v>3</v>
      </c>
      <c r="AA2310" s="13">
        <v>2</v>
      </c>
      <c r="AB2310" s="13">
        <v>3</v>
      </c>
      <c r="AC2310" s="13">
        <v>3</v>
      </c>
      <c r="AD2310" s="13">
        <v>2</v>
      </c>
      <c r="AE2310" s="13">
        <v>2</v>
      </c>
      <c r="AF2310" s="13"/>
      <c r="AG2310" s="16">
        <f>IFERROR(SUMIF(reading[[#This Row],[1st]:[7th]],"&gt;0")/COUNTIF(reading[[#This Row],[1st]:[7th]],"&gt;0"),"")</f>
        <v>2.5</v>
      </c>
    </row>
    <row r="2311" spans="1:33" x14ac:dyDescent="0.2">
      <c r="A2311" s="4">
        <f>IF(B2311=1,3,IF(D2311=1,2,IF(F2311=1,1,0)))</f>
        <v>0</v>
      </c>
      <c r="B2311" s="4" t="str">
        <f>IF(C2311=$L2311,1,IF(C2311="","",0))</f>
        <v/>
      </c>
      <c r="C2311" s="39"/>
      <c r="D2311" s="4" t="str">
        <f>IF(E2311=$L2311,1,IF(E2311="","",0))</f>
        <v/>
      </c>
      <c r="E2311" s="14"/>
      <c r="F2311" s="4" t="str">
        <f>IF(G2311=$L2311,1,IF(G2311="","",0))</f>
        <v/>
      </c>
      <c r="G2311" s="14"/>
      <c r="H2311" s="6">
        <v>1522</v>
      </c>
      <c r="I2311" s="15" t="s">
        <v>3120</v>
      </c>
      <c r="J2311" s="6" t="s">
        <v>4635</v>
      </c>
      <c r="K2311" s="6"/>
      <c r="L2311" s="6" t="s">
        <v>1607</v>
      </c>
      <c r="M2311" s="6" t="s">
        <v>7629</v>
      </c>
      <c r="N2311" s="7">
        <f ca="1">RAND()</f>
        <v>0.67105086088827659</v>
      </c>
      <c r="O2311" s="8">
        <v>45209</v>
      </c>
      <c r="P2311" s="8">
        <v>45210</v>
      </c>
      <c r="Q2311" s="8">
        <v>45213</v>
      </c>
      <c r="R2311" s="8">
        <v>45217</v>
      </c>
      <c r="S2311" s="8">
        <v>45224</v>
      </c>
      <c r="T2311" s="8">
        <v>45236</v>
      </c>
      <c r="U2311" s="8"/>
      <c r="V2311" s="10">
        <f>COUNTA(O2311:U2311)</f>
        <v>6</v>
      </c>
      <c r="W2311" s="11">
        <f>_xlfn.IFNA(INDEX(reading[[#This Row],[Memo 01]:[Memo 07]],MATCH(0,reading[[#This Row],[Memo 01]:[Memo 07]],-1)),"")</f>
        <v>45236</v>
      </c>
      <c r="X2311" s="11">
        <f ca="1">IFERROR(reading[[#This Row],[Previous]]+OFFSET(reading[[#Headers],[Memo 01]],-1,MATCH(0,reading[[#This Row],[Memo 01]:[Memo 07]],-1)-1),"")</f>
        <v>45256</v>
      </c>
      <c r="Y2311" s="10" t="str">
        <f ca="1">IF(reading[[#This Row],[Next]]&lt;&gt;"",IF(reading[[#This Row],[Next]]&gt;TODAY(),"OK",""),"")</f>
        <v/>
      </c>
      <c r="Z2311" s="13">
        <v>3</v>
      </c>
      <c r="AA2311" s="13">
        <v>3</v>
      </c>
      <c r="AB2311" s="13">
        <v>2</v>
      </c>
      <c r="AC2311" s="13">
        <v>3</v>
      </c>
      <c r="AD2311" s="13">
        <v>3</v>
      </c>
      <c r="AE2311" s="13">
        <v>3</v>
      </c>
      <c r="AF2311" s="13"/>
      <c r="AG2311" s="16">
        <f>IFERROR(SUMIF(reading[[#This Row],[1st]:[7th]],"&gt;0")/COUNTIF(reading[[#This Row],[1st]:[7th]],"&gt;0"),"")</f>
        <v>2.8333333333333335</v>
      </c>
    </row>
    <row r="2312" spans="1:33" hidden="1" x14ac:dyDescent="0.2">
      <c r="A2312" s="4">
        <f>IF(B2312=1,3,IF(D2312=1,2,IF(F2312=1,1,0)))</f>
        <v>0</v>
      </c>
      <c r="B2312" s="4">
        <f>IF(C2312=$L2312,1,IF(C2312="","",0))</f>
        <v>0</v>
      </c>
      <c r="C2312" s="43" t="s">
        <v>9200</v>
      </c>
      <c r="D2312" s="4" t="str">
        <f>IF(E2312=$L2312,1,IF(E2312="","",0))</f>
        <v/>
      </c>
      <c r="E2312" s="18"/>
      <c r="F2312" s="4" t="str">
        <f>IF(G2312=$L2312,1,IF(G2312="","",0))</f>
        <v/>
      </c>
      <c r="G2312" s="14"/>
      <c r="H2312" s="6">
        <v>8</v>
      </c>
      <c r="I2312" s="15" t="s">
        <v>3120</v>
      </c>
      <c r="J2312" s="6" t="s">
        <v>3163</v>
      </c>
      <c r="K2312" s="6"/>
      <c r="L2312" s="6" t="s">
        <v>153</v>
      </c>
      <c r="M2312" s="6" t="s">
        <v>6122</v>
      </c>
      <c r="N2312" s="7">
        <f ca="1">RAND()</f>
        <v>0.74550355578965066</v>
      </c>
      <c r="O2312" s="8">
        <v>45198</v>
      </c>
      <c r="P2312" s="8">
        <v>45199</v>
      </c>
      <c r="Q2312" s="8">
        <v>45201</v>
      </c>
      <c r="R2312" s="8">
        <v>45205</v>
      </c>
      <c r="S2312" s="8">
        <v>45212</v>
      </c>
      <c r="T2312" s="8">
        <v>45224</v>
      </c>
      <c r="U2312" s="8"/>
      <c r="V2312" s="10">
        <f>COUNTA(O2312:U2312)</f>
        <v>6</v>
      </c>
      <c r="W2312" s="11">
        <f>_xlfn.IFNA(INDEX(reading[[#This Row],[Memo 01]:[Memo 07]],MATCH(0,reading[[#This Row],[Memo 01]:[Memo 07]],-1)),"")</f>
        <v>45224</v>
      </c>
      <c r="X2312" s="11">
        <f ca="1">IFERROR(reading[[#This Row],[Previous]]+OFFSET(reading[[#Headers],[Memo 01]],-1,MATCH(0,reading[[#This Row],[Memo 01]:[Memo 07]],-1)-1),"")</f>
        <v>45244</v>
      </c>
      <c r="Y2312" s="10" t="str">
        <f ca="1">IF(reading[[#This Row],[Next]]&lt;&gt;"",IF(reading[[#This Row],[Next]]&gt;TODAY(),"OK",""),"")</f>
        <v/>
      </c>
      <c r="Z2312" s="13">
        <v>3</v>
      </c>
      <c r="AA2312" s="13">
        <v>3</v>
      </c>
      <c r="AB2312" s="13">
        <v>3</v>
      </c>
      <c r="AC2312" s="13">
        <v>3</v>
      </c>
      <c r="AD2312" s="13">
        <v>3</v>
      </c>
      <c r="AE2312" s="13">
        <v>2</v>
      </c>
      <c r="AF2312" s="13"/>
      <c r="AG2312" s="16">
        <f>IFERROR(SUMIF(reading[[#This Row],[1st]:[7th]],"&gt;0")/COUNTIF(reading[[#This Row],[1st]:[7th]],"&gt;0"),"")</f>
        <v>2.8333333333333335</v>
      </c>
    </row>
    <row r="2313" spans="1:33" hidden="1" x14ac:dyDescent="0.2">
      <c r="A2313" s="4">
        <f>IF(B2313=1,3,IF(D2313=1,2,IF(F2313=1,1,0)))</f>
        <v>0</v>
      </c>
      <c r="B2313" s="4" t="str">
        <f>IF(C2313=$L2313,1,IF(C2313="","",0))</f>
        <v/>
      </c>
      <c r="C2313" s="42"/>
      <c r="D2313" s="4" t="str">
        <f>IF(E2313=$L2313,1,IF(E2313="","",0))</f>
        <v/>
      </c>
      <c r="E2313" s="23"/>
      <c r="F2313" s="4" t="str">
        <f>IF(G2313=$L2313,1,IF(G2313="","",0))</f>
        <v/>
      </c>
      <c r="G2313" s="14"/>
      <c r="H2313" s="6">
        <v>3048</v>
      </c>
      <c r="I2313" s="15" t="s">
        <v>3120</v>
      </c>
      <c r="J2313" s="6" t="s">
        <v>6069</v>
      </c>
      <c r="K2313" s="6"/>
      <c r="L2313" s="6" t="s">
        <v>3074</v>
      </c>
      <c r="M2313" s="6" t="s">
        <v>9151</v>
      </c>
      <c r="N2313" s="7">
        <f ca="1">RAND()</f>
        <v>0.9427846144737867</v>
      </c>
      <c r="O2313" s="8">
        <v>45224</v>
      </c>
      <c r="P2313" s="8">
        <v>45225</v>
      </c>
      <c r="Q2313" s="8">
        <v>45227</v>
      </c>
      <c r="R2313" s="8">
        <v>45231</v>
      </c>
      <c r="S2313" s="8">
        <v>45251</v>
      </c>
      <c r="T2313" s="8">
        <v>45816</v>
      </c>
      <c r="U2313" s="8"/>
      <c r="V2313" s="10">
        <f>COUNTA(O2313:U2313)</f>
        <v>6</v>
      </c>
      <c r="W2313" s="11">
        <f>_xlfn.IFNA(INDEX(reading[[#This Row],[Memo 01]:[Memo 07]],MATCH(0,reading[[#This Row],[Memo 01]:[Memo 07]],-1)),"")</f>
        <v>45816</v>
      </c>
      <c r="X2313" s="11">
        <f ca="1">IFERROR(reading[[#This Row],[Previous]]+OFFSET(reading[[#Headers],[Memo 01]],-1,MATCH(0,reading[[#This Row],[Memo 01]:[Memo 07]],-1)-1),"")</f>
        <v>45836</v>
      </c>
      <c r="Y2313" s="10" t="str">
        <f ca="1">IF(reading[[#This Row],[Next]]&lt;&gt;"",IF(reading[[#This Row],[Next]]&gt;TODAY(),"OK",""),"")</f>
        <v>OK</v>
      </c>
      <c r="Z2313" s="13">
        <v>3</v>
      </c>
      <c r="AA2313" s="13">
        <v>3</v>
      </c>
      <c r="AB2313" s="13">
        <v>3</v>
      </c>
      <c r="AC2313" s="13">
        <v>3</v>
      </c>
      <c r="AD2313" s="13">
        <v>3</v>
      </c>
      <c r="AE2313" s="13">
        <v>2</v>
      </c>
      <c r="AF2313" s="13"/>
      <c r="AG2313" s="16">
        <f>IFERROR(SUMIF(reading[[#This Row],[1st]:[7th]],"&gt;0")/COUNTIF(reading[[#This Row],[1st]:[7th]],"&gt;0"),"")</f>
        <v>2.8333333333333335</v>
      </c>
    </row>
    <row r="2314" spans="1:33" x14ac:dyDescent="0.2">
      <c r="A2314" s="4">
        <f>IF(B2314=1,3,IF(D2314=1,2,IF(F2314=1,1,0)))</f>
        <v>0</v>
      </c>
      <c r="B2314" s="4" t="str">
        <f>IF(C2314=$L2314,1,IF(C2314="","",0))</f>
        <v/>
      </c>
      <c r="C2314" s="38"/>
      <c r="D2314" s="4" t="str">
        <f>IF(E2314=$L2314,1,IF(E2314="","",0))</f>
        <v/>
      </c>
      <c r="E2314" s="14"/>
      <c r="F2314" s="4" t="str">
        <f>IF(G2314=$L2314,1,IF(G2314="","",0))</f>
        <v/>
      </c>
      <c r="G2314" s="14"/>
      <c r="H2314" s="6">
        <v>812</v>
      </c>
      <c r="I2314" s="15" t="s">
        <v>3120</v>
      </c>
      <c r="J2314" s="6" t="s">
        <v>3946</v>
      </c>
      <c r="K2314" s="6"/>
      <c r="L2314" s="6" t="s">
        <v>929</v>
      </c>
      <c r="M2314" s="6" t="s">
        <v>6921</v>
      </c>
      <c r="N2314" s="7">
        <f ca="1">RAND()</f>
        <v>0.87334463824968078</v>
      </c>
      <c r="O2314" s="8">
        <v>45203</v>
      </c>
      <c r="P2314" s="8">
        <v>45204</v>
      </c>
      <c r="Q2314" s="8">
        <v>45206</v>
      </c>
      <c r="R2314" s="8">
        <v>45210</v>
      </c>
      <c r="S2314" s="8">
        <v>45217</v>
      </c>
      <c r="T2314" s="8">
        <v>45229</v>
      </c>
      <c r="U2314" s="8"/>
      <c r="V2314" s="10">
        <f>COUNTA(O2314:U2314)</f>
        <v>6</v>
      </c>
      <c r="W2314" s="11">
        <f>_xlfn.IFNA(INDEX(reading[[#This Row],[Memo 01]:[Memo 07]],MATCH(0,reading[[#This Row],[Memo 01]:[Memo 07]],-1)),"")</f>
        <v>45229</v>
      </c>
      <c r="X2314" s="11">
        <f ca="1">IFERROR(reading[[#This Row],[Previous]]+OFFSET(reading[[#Headers],[Memo 01]],-1,MATCH(0,reading[[#This Row],[Memo 01]:[Memo 07]],-1)-1),"")</f>
        <v>45249</v>
      </c>
      <c r="Y2314" s="10" t="str">
        <f ca="1">IF(reading[[#This Row],[Next]]&lt;&gt;"",IF(reading[[#This Row],[Next]]&gt;TODAY(),"OK",""),"")</f>
        <v/>
      </c>
      <c r="Z2314" s="13">
        <v>3</v>
      </c>
      <c r="AA2314" s="13">
        <v>3</v>
      </c>
      <c r="AB2314" s="13">
        <v>3</v>
      </c>
      <c r="AC2314" s="13">
        <v>3</v>
      </c>
      <c r="AD2314" s="13">
        <v>3</v>
      </c>
      <c r="AE2314" s="13">
        <v>3</v>
      </c>
      <c r="AF2314" s="13"/>
      <c r="AG2314" s="16">
        <f>IFERROR(SUMIF(reading[[#This Row],[1st]:[7th]],"&gt;0")/COUNTIF(reading[[#This Row],[1st]:[7th]],"&gt;0"),"")</f>
        <v>3</v>
      </c>
    </row>
    <row r="2315" spans="1:33" x14ac:dyDescent="0.2">
      <c r="A2315" s="4">
        <f>IF(B2315=1,3,IF(D2315=1,2,IF(F2315=1,1,0)))</f>
        <v>0</v>
      </c>
      <c r="B2315" s="4" t="str">
        <f>IF(C2315=$L2315,1,IF(C2315="","",0))</f>
        <v/>
      </c>
      <c r="C2315" s="41"/>
      <c r="D2315" s="4" t="str">
        <f>IF(E2315=$L2315,1,IF(E2315="","",0))</f>
        <v/>
      </c>
      <c r="E2315" s="18"/>
      <c r="F2315" s="4" t="str">
        <f>IF(G2315=$L2315,1,IF(G2315="","",0))</f>
        <v/>
      </c>
      <c r="G2315" s="18"/>
      <c r="H2315" s="6">
        <v>2581</v>
      </c>
      <c r="I2315" s="15" t="s">
        <v>3120</v>
      </c>
      <c r="J2315" s="6" t="s">
        <v>5641</v>
      </c>
      <c r="K2315" s="6"/>
      <c r="L2315" s="6" t="s">
        <v>2625</v>
      </c>
      <c r="M2315" s="6" t="s">
        <v>8686</v>
      </c>
      <c r="N2315" s="7">
        <f ca="1">RAND()</f>
        <v>8.3630242511807173E-2</v>
      </c>
      <c r="O2315" s="8">
        <v>45220</v>
      </c>
      <c r="P2315" s="8">
        <v>45221</v>
      </c>
      <c r="Q2315" s="8">
        <v>45223</v>
      </c>
      <c r="R2315" s="8">
        <v>45227</v>
      </c>
      <c r="S2315" s="8">
        <v>45234</v>
      </c>
      <c r="T2315" s="8">
        <v>45250</v>
      </c>
      <c r="U2315" s="8"/>
      <c r="V2315" s="10">
        <f>COUNTA(O2315:U2315)</f>
        <v>6</v>
      </c>
      <c r="W2315" s="11">
        <f>_xlfn.IFNA(INDEX(reading[[#This Row],[Memo 01]:[Memo 07]],MATCH(0,reading[[#This Row],[Memo 01]:[Memo 07]],-1)),"")</f>
        <v>45250</v>
      </c>
      <c r="X2315" s="11">
        <f ca="1">IFERROR(reading[[#This Row],[Previous]]+OFFSET(reading[[#Headers],[Memo 01]],-1,MATCH(0,reading[[#This Row],[Memo 01]:[Memo 07]],-1)-1),"")</f>
        <v>45270</v>
      </c>
      <c r="Y2315" s="10" t="str">
        <f ca="1">IF(reading[[#This Row],[Next]]&lt;&gt;"",IF(reading[[#This Row],[Next]]&gt;TODAY(),"OK",""),"")</f>
        <v/>
      </c>
      <c r="Z2315" s="13">
        <v>3</v>
      </c>
      <c r="AA2315" s="13">
        <v>3</v>
      </c>
      <c r="AB2315" s="13">
        <v>1</v>
      </c>
      <c r="AC2315" s="13">
        <v>2</v>
      </c>
      <c r="AD2315" s="13">
        <v>3</v>
      </c>
      <c r="AE2315" s="13">
        <v>1</v>
      </c>
      <c r="AF2315" s="13"/>
      <c r="AG2315" s="16">
        <f>IFERROR(SUMIF(reading[[#This Row],[1st]:[7th]],"&gt;0")/COUNTIF(reading[[#This Row],[1st]:[7th]],"&gt;0"),"")</f>
        <v>2.1666666666666665</v>
      </c>
    </row>
    <row r="2316" spans="1:33" x14ac:dyDescent="0.2">
      <c r="A2316" s="4">
        <f>IF(B2316=1,3,IF(D2316=1,2,IF(F2316=1,1,0)))</f>
        <v>0</v>
      </c>
      <c r="B2316" s="4" t="str">
        <f>IF(C2316=$L2316,1,IF(C2316="","",0))</f>
        <v/>
      </c>
      <c r="C2316" s="42"/>
      <c r="D2316" s="4" t="str">
        <f>IF(E2316=$L2316,1,IF(E2316="","",0))</f>
        <v/>
      </c>
      <c r="E2316" s="18"/>
      <c r="F2316" s="4" t="str">
        <f>IF(G2316=$L2316,1,IF(G2316="","",0))</f>
        <v/>
      </c>
      <c r="G2316" s="18"/>
      <c r="H2316" s="6">
        <v>1965</v>
      </c>
      <c r="I2316" s="15" t="s">
        <v>3120</v>
      </c>
      <c r="J2316" s="6" t="s">
        <v>5064</v>
      </c>
      <c r="K2316" s="15" t="s">
        <v>3139</v>
      </c>
      <c r="L2316" s="6" t="s">
        <v>2040</v>
      </c>
      <c r="M2316" s="6" t="s">
        <v>8071</v>
      </c>
      <c r="N2316" s="7">
        <f ca="1">RAND()</f>
        <v>0.62840006966114781</v>
      </c>
      <c r="O2316" s="8">
        <v>45213</v>
      </c>
      <c r="P2316" s="8">
        <v>45214</v>
      </c>
      <c r="Q2316" s="8">
        <v>45216</v>
      </c>
      <c r="R2316" s="8">
        <v>45220</v>
      </c>
      <c r="S2316" s="8">
        <v>45227</v>
      </c>
      <c r="T2316" s="8">
        <v>45249</v>
      </c>
      <c r="U2316" s="8"/>
      <c r="V2316" s="10">
        <f>COUNTA(O2316:U2316)</f>
        <v>6</v>
      </c>
      <c r="W2316" s="11">
        <f>_xlfn.IFNA(INDEX(reading[[#This Row],[Memo 01]:[Memo 07]],MATCH(0,reading[[#This Row],[Memo 01]:[Memo 07]],-1)),"")</f>
        <v>45249</v>
      </c>
      <c r="X2316" s="11">
        <f ca="1">IFERROR(reading[[#This Row],[Previous]]+OFFSET(reading[[#Headers],[Memo 01]],-1,MATCH(0,reading[[#This Row],[Memo 01]:[Memo 07]],-1)-1),"")</f>
        <v>45269</v>
      </c>
      <c r="Y2316" s="10" t="str">
        <f ca="1">IF(reading[[#This Row],[Next]]&lt;&gt;"",IF(reading[[#This Row],[Next]]&gt;TODAY(),"OK",""),"")</f>
        <v/>
      </c>
      <c r="Z2316" s="13">
        <v>3</v>
      </c>
      <c r="AA2316" s="13">
        <v>1</v>
      </c>
      <c r="AB2316" s="13">
        <v>1</v>
      </c>
      <c r="AC2316" s="13">
        <v>1</v>
      </c>
      <c r="AD2316" s="13">
        <v>2</v>
      </c>
      <c r="AE2316" s="13">
        <v>2</v>
      </c>
      <c r="AF2316" s="13"/>
      <c r="AG2316" s="16">
        <f>IFERROR(SUMIF(reading[[#This Row],[1st]:[7th]],"&gt;0")/COUNTIF(reading[[#This Row],[1st]:[7th]],"&gt;0"),"")</f>
        <v>1.6666666666666667</v>
      </c>
    </row>
    <row r="2317" spans="1:33" hidden="1" x14ac:dyDescent="0.2">
      <c r="A2317" s="4">
        <f>IF(B2317=1,3,IF(D2317=1,2,IF(F2317=1,1,0)))</f>
        <v>0</v>
      </c>
      <c r="B2317" s="4" t="str">
        <f>IF(C2317=$L2317,1,IF(C2317="","",0))</f>
        <v/>
      </c>
      <c r="C2317" s="42"/>
      <c r="D2317" s="4" t="str">
        <f>IF(E2317=$L2317,1,IF(E2317="","",0))</f>
        <v/>
      </c>
      <c r="E2317" s="23"/>
      <c r="F2317" s="4" t="str">
        <f>IF(G2317=$L2317,1,IF(G2317="","",0))</f>
        <v/>
      </c>
      <c r="G2317" s="23"/>
      <c r="H2317" s="6">
        <v>2118</v>
      </c>
      <c r="I2317" s="15" t="s">
        <v>3120</v>
      </c>
      <c r="J2317" s="6" t="s">
        <v>5206</v>
      </c>
      <c r="K2317" s="6"/>
      <c r="L2317" s="6" t="s">
        <v>2186</v>
      </c>
      <c r="M2317" s="6" t="s">
        <v>8224</v>
      </c>
      <c r="N2317" s="7">
        <f ca="1">RAND()</f>
        <v>0.31681843990073644</v>
      </c>
      <c r="O2317" s="8">
        <v>45214</v>
      </c>
      <c r="P2317" s="8">
        <v>45215</v>
      </c>
      <c r="Q2317" s="8">
        <v>45217</v>
      </c>
      <c r="R2317" s="8">
        <v>45221</v>
      </c>
      <c r="S2317" s="8">
        <v>45228</v>
      </c>
      <c r="T2317" s="8">
        <v>45817</v>
      </c>
      <c r="U2317" s="8"/>
      <c r="V2317" s="10">
        <f>COUNTA(O2317:U2317)</f>
        <v>6</v>
      </c>
      <c r="W2317" s="11">
        <f>_xlfn.IFNA(INDEX(reading[[#This Row],[Memo 01]:[Memo 07]],MATCH(0,reading[[#This Row],[Memo 01]:[Memo 07]],-1)),"")</f>
        <v>45817</v>
      </c>
      <c r="X2317" s="11">
        <f ca="1">IFERROR(reading[[#This Row],[Previous]]+OFFSET(reading[[#Headers],[Memo 01]],-1,MATCH(0,reading[[#This Row],[Memo 01]:[Memo 07]],-1)-1),"")</f>
        <v>45837</v>
      </c>
      <c r="Y2317" s="10" t="str">
        <f ca="1">IF(reading[[#This Row],[Next]]&lt;&gt;"",IF(reading[[#This Row],[Next]]&gt;TODAY(),"OK",""),"")</f>
        <v>OK</v>
      </c>
      <c r="Z2317" s="13">
        <v>3</v>
      </c>
      <c r="AA2317" s="13">
        <v>3</v>
      </c>
      <c r="AB2317" s="13">
        <v>3</v>
      </c>
      <c r="AC2317" s="13">
        <v>3</v>
      </c>
      <c r="AD2317" s="13">
        <v>3</v>
      </c>
      <c r="AE2317" s="13">
        <v>1</v>
      </c>
      <c r="AF2317" s="13"/>
      <c r="AG2317" s="16">
        <f>IFERROR(SUMIF(reading[[#This Row],[1st]:[7th]],"&gt;0")/COUNTIF(reading[[#This Row],[1st]:[7th]],"&gt;0"),"")</f>
        <v>2.6666666666666665</v>
      </c>
    </row>
    <row r="2318" spans="1:33" x14ac:dyDescent="0.2">
      <c r="A2318" s="4">
        <f>IF(B2318=1,3,IF(D2318=1,2,IF(F2318=1,1,0)))</f>
        <v>0</v>
      </c>
      <c r="B2318" s="4" t="str">
        <f>IF(C2318=$L2318,1,IF(C2318="","",0))</f>
        <v/>
      </c>
      <c r="C2318" s="39"/>
      <c r="D2318" s="4" t="str">
        <f>IF(E2318=$L2318,1,IF(E2318="","",0))</f>
        <v/>
      </c>
      <c r="E2318" s="14"/>
      <c r="F2318" s="4" t="str">
        <f>IF(G2318=$L2318,1,IF(G2318="","",0))</f>
        <v/>
      </c>
      <c r="G2318" s="14"/>
      <c r="H2318" s="6">
        <v>886</v>
      </c>
      <c r="I2318" s="15" t="s">
        <v>3120</v>
      </c>
      <c r="J2318" s="6" t="s">
        <v>4018</v>
      </c>
      <c r="K2318" s="6"/>
      <c r="L2318" s="6" t="s">
        <v>1000</v>
      </c>
      <c r="M2318" s="6" t="s">
        <v>6995</v>
      </c>
      <c r="N2318" s="7">
        <f ca="1">RAND()</f>
        <v>0.77452370264039627</v>
      </c>
      <c r="O2318" s="8">
        <v>45204</v>
      </c>
      <c r="P2318" s="8">
        <v>45205</v>
      </c>
      <c r="Q2318" s="8">
        <v>45207</v>
      </c>
      <c r="R2318" s="8">
        <v>45211</v>
      </c>
      <c r="S2318" s="8">
        <v>45218</v>
      </c>
      <c r="T2318" s="8">
        <v>45230</v>
      </c>
      <c r="U2318" s="8"/>
      <c r="V2318" s="10">
        <f>COUNTA(O2318:U2318)</f>
        <v>6</v>
      </c>
      <c r="W2318" s="11">
        <f>_xlfn.IFNA(INDEX(reading[[#This Row],[Memo 01]:[Memo 07]],MATCH(0,reading[[#This Row],[Memo 01]:[Memo 07]],-1)),"")</f>
        <v>45230</v>
      </c>
      <c r="X2318" s="11">
        <f ca="1">IFERROR(reading[[#This Row],[Previous]]+OFFSET(reading[[#Headers],[Memo 01]],-1,MATCH(0,reading[[#This Row],[Memo 01]:[Memo 07]],-1)-1),"")</f>
        <v>45250</v>
      </c>
      <c r="Y2318" s="10" t="str">
        <f ca="1">IF(reading[[#This Row],[Next]]&lt;&gt;"",IF(reading[[#This Row],[Next]]&gt;TODAY(),"OK",""),"")</f>
        <v/>
      </c>
      <c r="Z2318" s="13">
        <v>3</v>
      </c>
      <c r="AA2318" s="13">
        <v>3</v>
      </c>
      <c r="AB2318" s="13">
        <v>3</v>
      </c>
      <c r="AC2318" s="13">
        <v>3</v>
      </c>
      <c r="AD2318" s="13">
        <v>3</v>
      </c>
      <c r="AE2318" s="13">
        <v>3</v>
      </c>
      <c r="AF2318" s="13"/>
      <c r="AG2318" s="16">
        <f>IFERROR(SUMIF(reading[[#This Row],[1st]:[7th]],"&gt;0")/COUNTIF(reading[[#This Row],[1st]:[7th]],"&gt;0"),"")</f>
        <v>3</v>
      </c>
    </row>
    <row r="2319" spans="1:33" x14ac:dyDescent="0.2">
      <c r="A2319" s="4">
        <f>IF(B2319=1,3,IF(D2319=1,2,IF(F2319=1,1,0)))</f>
        <v>0</v>
      </c>
      <c r="B2319" s="4" t="str">
        <f>IF(C2319=$L2319,1,IF(C2319="","",0))</f>
        <v/>
      </c>
      <c r="C2319" s="39"/>
      <c r="D2319" s="4" t="str">
        <f>IF(E2319=$L2319,1,IF(E2319="","",0))</f>
        <v/>
      </c>
      <c r="E2319" s="14"/>
      <c r="F2319" s="4" t="str">
        <f>IF(G2319=$L2319,1,IF(G2319="","",0))</f>
        <v/>
      </c>
      <c r="G2319" s="14"/>
      <c r="H2319" s="6">
        <v>2484</v>
      </c>
      <c r="I2319" s="15" t="s">
        <v>3120</v>
      </c>
      <c r="J2319" s="6" t="s">
        <v>5552</v>
      </c>
      <c r="K2319" s="6"/>
      <c r="L2319" s="6" t="s">
        <v>2530</v>
      </c>
      <c r="M2319" s="6" t="s">
        <v>8589</v>
      </c>
      <c r="N2319" s="7">
        <f ca="1">RAND()</f>
        <v>0.71736743518951851</v>
      </c>
      <c r="O2319" s="8">
        <v>45218</v>
      </c>
      <c r="P2319" s="8">
        <v>45219</v>
      </c>
      <c r="Q2319" s="8">
        <v>45221</v>
      </c>
      <c r="R2319" s="8">
        <v>45225</v>
      </c>
      <c r="S2319" s="8">
        <v>45232</v>
      </c>
      <c r="T2319" s="8"/>
      <c r="U2319" s="8"/>
      <c r="V2319" s="10">
        <f>COUNTA(O2319:U2319)</f>
        <v>5</v>
      </c>
      <c r="W2319" s="11">
        <f>_xlfn.IFNA(INDEX(reading[[#This Row],[Memo 01]:[Memo 07]],MATCH(0,reading[[#This Row],[Memo 01]:[Memo 07]],-1)),"")</f>
        <v>45232</v>
      </c>
      <c r="X2319" s="11">
        <f ca="1">IFERROR(reading[[#This Row],[Previous]]+OFFSET(reading[[#Headers],[Memo 01]],-1,MATCH(0,reading[[#This Row],[Memo 01]:[Memo 07]],-1)-1),"")</f>
        <v>45244</v>
      </c>
      <c r="Y2319" s="10" t="str">
        <f ca="1">IF(reading[[#This Row],[Next]]&lt;&gt;"",IF(reading[[#This Row],[Next]]&gt;TODAY(),"OK",""),"")</f>
        <v/>
      </c>
      <c r="Z2319" s="13">
        <v>3</v>
      </c>
      <c r="AA2319" s="13">
        <v>3</v>
      </c>
      <c r="AB2319" s="13">
        <v>3</v>
      </c>
      <c r="AC2319" s="13">
        <v>3</v>
      </c>
      <c r="AD2319" s="13">
        <v>3</v>
      </c>
      <c r="AE2319" s="13"/>
      <c r="AF2319" s="13"/>
      <c r="AG2319" s="16">
        <f>IFERROR(SUMIF(reading[[#This Row],[1st]:[7th]],"&gt;0")/COUNTIF(reading[[#This Row],[1st]:[7th]],"&gt;0"),"")</f>
        <v>3</v>
      </c>
    </row>
    <row r="2320" spans="1:33" x14ac:dyDescent="0.2">
      <c r="A2320" s="4">
        <f>IF(B2320=1,3,IF(D2320=1,2,IF(F2320=1,1,0)))</f>
        <v>0</v>
      </c>
      <c r="B2320" s="4" t="str">
        <f>IF(C2320=$L2320,1,IF(C2320="","",0))</f>
        <v/>
      </c>
      <c r="C2320" s="39"/>
      <c r="D2320" s="4" t="str">
        <f>IF(E2320=$L2320,1,IF(E2320="","",0))</f>
        <v/>
      </c>
      <c r="E2320" s="14"/>
      <c r="F2320" s="4" t="str">
        <f>IF(G2320=$L2320,1,IF(G2320="","",0))</f>
        <v/>
      </c>
      <c r="G2320" s="14"/>
      <c r="H2320" s="6">
        <v>2346</v>
      </c>
      <c r="I2320" s="15" t="s">
        <v>3120</v>
      </c>
      <c r="J2320" s="6" t="s">
        <v>5423</v>
      </c>
      <c r="K2320" s="6"/>
      <c r="L2320" s="6" t="s">
        <v>2399</v>
      </c>
      <c r="M2320" s="6" t="s">
        <v>8451</v>
      </c>
      <c r="N2320" s="7">
        <f ca="1">RAND()</f>
        <v>0.39968229813928247</v>
      </c>
      <c r="O2320" s="8">
        <v>45216</v>
      </c>
      <c r="P2320" s="8">
        <v>45217</v>
      </c>
      <c r="Q2320" s="8">
        <v>45219</v>
      </c>
      <c r="R2320" s="8">
        <v>45223</v>
      </c>
      <c r="S2320" s="8">
        <v>45230</v>
      </c>
      <c r="T2320" s="8"/>
      <c r="U2320" s="8"/>
      <c r="V2320" s="10">
        <f>COUNTA(O2320:U2320)</f>
        <v>5</v>
      </c>
      <c r="W2320" s="11">
        <f>_xlfn.IFNA(INDEX(reading[[#This Row],[Memo 01]:[Memo 07]],MATCH(0,reading[[#This Row],[Memo 01]:[Memo 07]],-1)),"")</f>
        <v>45230</v>
      </c>
      <c r="X2320" s="11">
        <f ca="1">IFERROR(reading[[#This Row],[Previous]]+OFFSET(reading[[#Headers],[Memo 01]],-1,MATCH(0,reading[[#This Row],[Memo 01]:[Memo 07]],-1)-1),"")</f>
        <v>45242</v>
      </c>
      <c r="Y2320" s="10" t="str">
        <f ca="1">IF(reading[[#This Row],[Next]]&lt;&gt;"",IF(reading[[#This Row],[Next]]&gt;TODAY(),"OK",""),"")</f>
        <v/>
      </c>
      <c r="Z2320" s="13">
        <v>3</v>
      </c>
      <c r="AA2320" s="13">
        <v>3</v>
      </c>
      <c r="AB2320" s="13">
        <v>3</v>
      </c>
      <c r="AC2320" s="13">
        <v>3</v>
      </c>
      <c r="AD2320" s="13">
        <v>3</v>
      </c>
      <c r="AE2320" s="13"/>
      <c r="AF2320" s="13"/>
      <c r="AG2320" s="16">
        <f>IFERROR(SUMIF(reading[[#This Row],[1st]:[7th]],"&gt;0")/COUNTIF(reading[[#This Row],[1st]:[7th]],"&gt;0"),"")</f>
        <v>3</v>
      </c>
    </row>
    <row r="2321" spans="1:33" hidden="1" x14ac:dyDescent="0.2">
      <c r="A2321" s="4">
        <f>IF(B2321=1,3,IF(D2321=1,2,IF(F2321=1,1,0)))</f>
        <v>0</v>
      </c>
      <c r="B2321" s="4" t="str">
        <f>IF(C2321=$L2321,1,IF(C2321="","",0))</f>
        <v/>
      </c>
      <c r="C2321" s="42"/>
      <c r="D2321" s="4" t="str">
        <f>IF(E2321=$L2321,1,IF(E2321="","",0))</f>
        <v/>
      </c>
      <c r="E2321" s="43"/>
      <c r="F2321" s="4" t="str">
        <f>IF(G2321=$L2321,1,IF(G2321="","",0))</f>
        <v/>
      </c>
      <c r="G2321" s="23"/>
      <c r="H2321" s="6">
        <v>2914</v>
      </c>
      <c r="I2321" s="15" t="s">
        <v>3120</v>
      </c>
      <c r="J2321" s="6" t="s">
        <v>5950</v>
      </c>
      <c r="K2321" s="15" t="s">
        <v>3138</v>
      </c>
      <c r="L2321" s="6" t="s">
        <v>2944</v>
      </c>
      <c r="M2321" s="6" t="s">
        <v>9018</v>
      </c>
      <c r="N2321" s="7">
        <f ca="1">RAND()</f>
        <v>0.95974203013145443</v>
      </c>
      <c r="O2321" s="8">
        <v>45223</v>
      </c>
      <c r="P2321" s="8">
        <v>45224</v>
      </c>
      <c r="Q2321" s="8">
        <v>45226</v>
      </c>
      <c r="R2321" s="8">
        <v>45230</v>
      </c>
      <c r="S2321" s="8">
        <v>45237</v>
      </c>
      <c r="T2321" s="8">
        <v>45817</v>
      </c>
      <c r="U2321" s="8"/>
      <c r="V2321" s="10">
        <f>COUNTA(O2321:U2321)</f>
        <v>6</v>
      </c>
      <c r="W2321" s="11">
        <f>_xlfn.IFNA(INDEX(reading[[#This Row],[Memo 01]:[Memo 07]],MATCH(0,reading[[#This Row],[Memo 01]:[Memo 07]],-1)),"")</f>
        <v>45817</v>
      </c>
      <c r="X2321" s="11">
        <f ca="1">IFERROR(reading[[#This Row],[Previous]]+OFFSET(reading[[#Headers],[Memo 01]],-1,MATCH(0,reading[[#This Row],[Memo 01]:[Memo 07]],-1)-1),"")</f>
        <v>45837</v>
      </c>
      <c r="Y2321" s="10" t="str">
        <f ca="1">IF(reading[[#This Row],[Next]]&lt;&gt;"",IF(reading[[#This Row],[Next]]&gt;TODAY(),"OK",""),"")</f>
        <v>OK</v>
      </c>
      <c r="Z2321" s="13">
        <v>3</v>
      </c>
      <c r="AA2321" s="13">
        <v>2</v>
      </c>
      <c r="AB2321" s="13">
        <v>3</v>
      </c>
      <c r="AC2321" s="13">
        <v>3</v>
      </c>
      <c r="AD2321" s="13">
        <v>3</v>
      </c>
      <c r="AE2321" s="13">
        <v>1</v>
      </c>
      <c r="AF2321" s="13"/>
      <c r="AG2321" s="16">
        <f>IFERROR(SUMIF(reading[[#This Row],[1st]:[7th]],"&gt;0")/COUNTIF(reading[[#This Row],[1st]:[7th]],"&gt;0"),"")</f>
        <v>2.5</v>
      </c>
    </row>
    <row r="2322" spans="1:33" hidden="1" x14ac:dyDescent="0.2">
      <c r="A2322" s="4">
        <f>IF(B2322=1,3,IF(D2322=1,2,IF(F2322=1,1,0)))</f>
        <v>0</v>
      </c>
      <c r="B2322" s="4" t="str">
        <f>IF(C2322=$L2322,1,IF(C2322="","",0))</f>
        <v/>
      </c>
      <c r="C2322" s="42"/>
      <c r="D2322" s="4" t="str">
        <f>IF(E2322=$L2322,1,IF(E2322="","",0))</f>
        <v/>
      </c>
      <c r="E2322" s="23"/>
      <c r="F2322" s="4" t="str">
        <f>IF(G2322=$L2322,1,IF(G2322="","",0))</f>
        <v/>
      </c>
      <c r="G2322" s="14"/>
      <c r="H2322" s="6">
        <v>1243</v>
      </c>
      <c r="I2322" s="15" t="s">
        <v>3120</v>
      </c>
      <c r="J2322" s="6" t="s">
        <v>4360</v>
      </c>
      <c r="K2322" s="6"/>
      <c r="L2322" s="6" t="s">
        <v>1343</v>
      </c>
      <c r="M2322" s="6" t="s">
        <v>7350</v>
      </c>
      <c r="N2322" s="7">
        <f ca="1">RAND()</f>
        <v>0.15457501757015679</v>
      </c>
      <c r="O2322" s="8">
        <v>45206</v>
      </c>
      <c r="P2322" s="8">
        <v>45207</v>
      </c>
      <c r="Q2322" s="8">
        <v>45209</v>
      </c>
      <c r="R2322" s="8">
        <v>45213</v>
      </c>
      <c r="S2322" s="8">
        <v>45220</v>
      </c>
      <c r="T2322" s="8">
        <v>45232</v>
      </c>
      <c r="U2322" s="8">
        <v>45253</v>
      </c>
      <c r="V2322" s="10">
        <f>COUNTA(O2322:U2322)</f>
        <v>7</v>
      </c>
      <c r="W2322" s="11">
        <f>_xlfn.IFNA(INDEX(reading[[#This Row],[Memo 01]:[Memo 07]],MATCH(0,reading[[#This Row],[Memo 01]:[Memo 07]],-1)),"")</f>
        <v>45253</v>
      </c>
      <c r="X2322" s="11">
        <f ca="1">IFERROR(reading[[#This Row],[Previous]]+OFFSET(reading[[#Headers],[Memo 01]],-1,MATCH(0,reading[[#This Row],[Memo 01]:[Memo 07]],-1)-1),"")</f>
        <v>55253</v>
      </c>
      <c r="Y2322" s="10" t="str">
        <f ca="1">IF(reading[[#This Row],[Next]]&lt;&gt;"",IF(reading[[#This Row],[Next]]&gt;TODAY(),"OK",""),"")</f>
        <v>OK</v>
      </c>
      <c r="Z2322" s="13">
        <v>3</v>
      </c>
      <c r="AA2322" s="13">
        <v>3</v>
      </c>
      <c r="AB2322" s="13">
        <v>2</v>
      </c>
      <c r="AC2322" s="13">
        <v>3</v>
      </c>
      <c r="AD2322" s="13">
        <v>2</v>
      </c>
      <c r="AE2322" s="13">
        <v>3</v>
      </c>
      <c r="AF2322" s="13">
        <v>2</v>
      </c>
      <c r="AG2322" s="16">
        <f>IFERROR(SUMIF(reading[[#This Row],[1st]:[7th]],"&gt;0")/COUNTIF(reading[[#This Row],[1st]:[7th]],"&gt;0"),"")</f>
        <v>2.5714285714285716</v>
      </c>
    </row>
    <row r="2323" spans="1:33" x14ac:dyDescent="0.2">
      <c r="A2323" s="4">
        <f>IF(B2323=1,3,IF(D2323=1,2,IF(F2323=1,1,0)))</f>
        <v>0</v>
      </c>
      <c r="B2323" s="4" t="str">
        <f>IF(C2323=$L2323,1,IF(C2323="","",0))</f>
        <v/>
      </c>
      <c r="C2323" s="39"/>
      <c r="D2323" s="4" t="str">
        <f>IF(E2323=$L2323,1,IF(E2323="","",0))</f>
        <v/>
      </c>
      <c r="E2323" s="14"/>
      <c r="F2323" s="4" t="str">
        <f>IF(G2323=$L2323,1,IF(G2323="","",0))</f>
        <v/>
      </c>
      <c r="G2323" s="14"/>
      <c r="H2323" s="6">
        <v>2266</v>
      </c>
      <c r="I2323" s="15" t="s">
        <v>3120</v>
      </c>
      <c r="J2323" s="6" t="s">
        <v>5348</v>
      </c>
      <c r="K2323" s="6"/>
      <c r="L2323" s="6" t="s">
        <v>2326</v>
      </c>
      <c r="M2323" s="6" t="s">
        <v>8371</v>
      </c>
      <c r="N2323" s="7">
        <f ca="1">RAND()</f>
        <v>8.6580976676466137E-2</v>
      </c>
      <c r="O2323" s="8">
        <v>45216</v>
      </c>
      <c r="P2323" s="8">
        <v>45217</v>
      </c>
      <c r="Q2323" s="8">
        <v>45219</v>
      </c>
      <c r="R2323" s="8">
        <v>45223</v>
      </c>
      <c r="S2323" s="8">
        <v>45230</v>
      </c>
      <c r="T2323" s="8"/>
      <c r="U2323" s="8"/>
      <c r="V2323" s="10">
        <f>COUNTA(O2323:U2323)</f>
        <v>5</v>
      </c>
      <c r="W2323" s="11">
        <f>_xlfn.IFNA(INDEX(reading[[#This Row],[Memo 01]:[Memo 07]],MATCH(0,reading[[#This Row],[Memo 01]:[Memo 07]],-1)),"")</f>
        <v>45230</v>
      </c>
      <c r="X2323" s="11">
        <f ca="1">IFERROR(reading[[#This Row],[Previous]]+OFFSET(reading[[#Headers],[Memo 01]],-1,MATCH(0,reading[[#This Row],[Memo 01]:[Memo 07]],-1)-1),"")</f>
        <v>45242</v>
      </c>
      <c r="Y2323" s="10" t="str">
        <f ca="1">IF(reading[[#This Row],[Next]]&lt;&gt;"",IF(reading[[#This Row],[Next]]&gt;TODAY(),"OK",""),"")</f>
        <v/>
      </c>
      <c r="Z2323" s="13">
        <v>3</v>
      </c>
      <c r="AA2323" s="13">
        <v>3</v>
      </c>
      <c r="AB2323" s="13">
        <v>3</v>
      </c>
      <c r="AC2323" s="13">
        <v>3</v>
      </c>
      <c r="AD2323" s="13">
        <v>3</v>
      </c>
      <c r="AE2323" s="13"/>
      <c r="AF2323" s="13"/>
      <c r="AG2323" s="16">
        <f>IFERROR(SUMIF(reading[[#This Row],[1st]:[7th]],"&gt;0")/COUNTIF(reading[[#This Row],[1st]:[7th]],"&gt;0"),"")</f>
        <v>3</v>
      </c>
    </row>
    <row r="2324" spans="1:33" x14ac:dyDescent="0.2">
      <c r="A2324" s="4">
        <f>IF(B2324=1,3,IF(D2324=1,2,IF(F2324=1,1,0)))</f>
        <v>0</v>
      </c>
      <c r="B2324" s="4" t="str">
        <f>IF(C2324=$L2324,1,IF(C2324="","",0))</f>
        <v/>
      </c>
      <c r="C2324" s="18"/>
      <c r="D2324" s="4" t="str">
        <f>IF(E2324=$L2324,1,IF(E2324="","",0))</f>
        <v/>
      </c>
      <c r="E2324" s="18"/>
      <c r="F2324" s="4" t="str">
        <f>IF(G2324=$L2324,1,IF(G2324="","",0))</f>
        <v/>
      </c>
      <c r="G2324" s="14"/>
      <c r="H2324" s="6">
        <v>43</v>
      </c>
      <c r="I2324" s="15" t="s">
        <v>3120</v>
      </c>
      <c r="J2324" s="6" t="s">
        <v>3198</v>
      </c>
      <c r="K2324" s="6"/>
      <c r="L2324" s="6" t="s">
        <v>186</v>
      </c>
      <c r="M2324" s="6" t="s">
        <v>6157</v>
      </c>
      <c r="N2324" s="7">
        <f ca="1">RAND()</f>
        <v>0.57162084625130294</v>
      </c>
      <c r="O2324" s="8">
        <v>45198</v>
      </c>
      <c r="P2324" s="8">
        <v>45199</v>
      </c>
      <c r="Q2324" s="8">
        <v>45202</v>
      </c>
      <c r="R2324" s="8">
        <v>45206</v>
      </c>
      <c r="S2324" s="8">
        <v>45213</v>
      </c>
      <c r="T2324" s="8">
        <v>45225</v>
      </c>
      <c r="U2324" s="8"/>
      <c r="V2324" s="10">
        <f>COUNTA(O2324:U2324)</f>
        <v>6</v>
      </c>
      <c r="W2324" s="11">
        <f>_xlfn.IFNA(INDEX(reading[[#This Row],[Memo 01]:[Memo 07]],MATCH(0,reading[[#This Row],[Memo 01]:[Memo 07]],-1)),"")</f>
        <v>45225</v>
      </c>
      <c r="X2324" s="11">
        <f ca="1">IFERROR(reading[[#This Row],[Previous]]+OFFSET(reading[[#Headers],[Memo 01]],-1,MATCH(0,reading[[#This Row],[Memo 01]:[Memo 07]],-1)-1),"")</f>
        <v>45245</v>
      </c>
      <c r="Y2324" s="10" t="str">
        <f ca="1">IF(reading[[#This Row],[Next]]&lt;&gt;"",IF(reading[[#This Row],[Next]]&gt;TODAY(),"OK",""),"")</f>
        <v/>
      </c>
      <c r="Z2324" s="13">
        <v>3</v>
      </c>
      <c r="AA2324" s="13">
        <v>3</v>
      </c>
      <c r="AB2324" s="13">
        <v>2</v>
      </c>
      <c r="AC2324" s="13">
        <v>3</v>
      </c>
      <c r="AD2324" s="13">
        <v>3</v>
      </c>
      <c r="AE2324" s="13">
        <v>3</v>
      </c>
      <c r="AF2324" s="13"/>
      <c r="AG2324" s="16">
        <f>IFERROR(SUMIF(reading[[#This Row],[1st]:[7th]],"&gt;0")/COUNTIF(reading[[#This Row],[1st]:[7th]],"&gt;0"),"")</f>
        <v>2.8333333333333335</v>
      </c>
    </row>
    <row r="2325" spans="1:33" x14ac:dyDescent="0.2">
      <c r="A2325" s="4">
        <f>IF(B2325=1,3,IF(D2325=1,2,IF(F2325=1,1,0)))</f>
        <v>0</v>
      </c>
      <c r="B2325" s="4" t="str">
        <f>IF(C2325=$L2325,1,IF(C2325="","",0))</f>
        <v/>
      </c>
      <c r="C2325" s="39"/>
      <c r="D2325" s="4" t="str">
        <f>IF(E2325=$L2325,1,IF(E2325="","",0))</f>
        <v/>
      </c>
      <c r="E2325" s="18"/>
      <c r="F2325" s="4" t="str">
        <f>IF(G2325=$L2325,1,IF(G2325="","",0))</f>
        <v/>
      </c>
      <c r="G2325" s="14"/>
      <c r="H2325" s="6">
        <v>2952</v>
      </c>
      <c r="I2325" s="15" t="s">
        <v>3120</v>
      </c>
      <c r="J2325" s="6" t="s">
        <v>5984</v>
      </c>
      <c r="K2325" s="6"/>
      <c r="L2325" s="6" t="s">
        <v>2982</v>
      </c>
      <c r="M2325" s="6" t="s">
        <v>9056</v>
      </c>
      <c r="N2325" s="7">
        <f ca="1">RAND()</f>
        <v>9.3356945621054899E-2</v>
      </c>
      <c r="O2325" s="8">
        <v>45223</v>
      </c>
      <c r="P2325" s="8">
        <v>45224</v>
      </c>
      <c r="Q2325" s="8">
        <v>45226</v>
      </c>
      <c r="R2325" s="8">
        <v>45230</v>
      </c>
      <c r="S2325" s="8">
        <v>45237</v>
      </c>
      <c r="T2325" s="8"/>
      <c r="U2325" s="8"/>
      <c r="V2325" s="10">
        <f>COUNTA(O2325:U2325)</f>
        <v>5</v>
      </c>
      <c r="W2325" s="11">
        <f>_xlfn.IFNA(INDEX(reading[[#This Row],[Memo 01]:[Memo 07]],MATCH(0,reading[[#This Row],[Memo 01]:[Memo 07]],-1)),"")</f>
        <v>45237</v>
      </c>
      <c r="X2325" s="11">
        <f ca="1">IFERROR(reading[[#This Row],[Previous]]+OFFSET(reading[[#Headers],[Memo 01]],-1,MATCH(0,reading[[#This Row],[Memo 01]:[Memo 07]],-1)-1),"")</f>
        <v>45249</v>
      </c>
      <c r="Y2325" s="10" t="str">
        <f ca="1">IF(reading[[#This Row],[Next]]&lt;&gt;"",IF(reading[[#This Row],[Next]]&gt;TODAY(),"OK",""),"")</f>
        <v/>
      </c>
      <c r="Z2325" s="13">
        <v>3</v>
      </c>
      <c r="AA2325" s="13">
        <v>2</v>
      </c>
      <c r="AB2325" s="13">
        <v>3</v>
      </c>
      <c r="AC2325" s="13">
        <v>3</v>
      </c>
      <c r="AD2325" s="13">
        <v>3</v>
      </c>
      <c r="AE2325" s="13"/>
      <c r="AF2325" s="13"/>
      <c r="AG2325" s="16">
        <f>IFERROR(SUMIF(reading[[#This Row],[1st]:[7th]],"&gt;0")/COUNTIF(reading[[#This Row],[1st]:[7th]],"&gt;0"),"")</f>
        <v>2.8</v>
      </c>
    </row>
    <row r="2326" spans="1:33" x14ac:dyDescent="0.2">
      <c r="A2326" s="4">
        <f>IF(B2326=1,3,IF(D2326=1,2,IF(F2326=1,1,0)))</f>
        <v>0</v>
      </c>
      <c r="B2326" s="4" t="str">
        <f>IF(C2326=$L2326,1,IF(C2326="","",0))</f>
        <v/>
      </c>
      <c r="C2326" s="41"/>
      <c r="D2326" s="4" t="str">
        <f>IF(E2326=$L2326,1,IF(E2326="","",0))</f>
        <v/>
      </c>
      <c r="E2326" s="14"/>
      <c r="F2326" s="4" t="str">
        <f>IF(G2326=$L2326,1,IF(G2326="","",0))</f>
        <v/>
      </c>
      <c r="G2326" s="14"/>
      <c r="H2326" s="6">
        <v>3073</v>
      </c>
      <c r="I2326" s="15" t="s">
        <v>3120</v>
      </c>
      <c r="J2326" s="6" t="s">
        <v>3433</v>
      </c>
      <c r="K2326" s="6"/>
      <c r="L2326" s="6" t="s">
        <v>3098</v>
      </c>
      <c r="M2326" s="6" t="s">
        <v>9176</v>
      </c>
      <c r="N2326" s="7">
        <f ca="1">RAND()</f>
        <v>0.52658246793045305</v>
      </c>
      <c r="O2326" s="8">
        <v>45224</v>
      </c>
      <c r="P2326" s="8">
        <v>45225</v>
      </c>
      <c r="Q2326" s="8">
        <v>45227</v>
      </c>
      <c r="R2326" s="8">
        <v>45231</v>
      </c>
      <c r="S2326" s="8">
        <v>45251</v>
      </c>
      <c r="T2326" s="8"/>
      <c r="U2326" s="8"/>
      <c r="V2326" s="10">
        <f>COUNTA(O2326:U2326)</f>
        <v>5</v>
      </c>
      <c r="W2326" s="11">
        <f>_xlfn.IFNA(INDEX(reading[[#This Row],[Memo 01]:[Memo 07]],MATCH(0,reading[[#This Row],[Memo 01]:[Memo 07]],-1)),"")</f>
        <v>45251</v>
      </c>
      <c r="X2326" s="11">
        <f ca="1">IFERROR(reading[[#This Row],[Previous]]+OFFSET(reading[[#Headers],[Memo 01]],-1,MATCH(0,reading[[#This Row],[Memo 01]:[Memo 07]],-1)-1),"")</f>
        <v>45263</v>
      </c>
      <c r="Y2326" s="10" t="str">
        <f ca="1">IF(reading[[#This Row],[Next]]&lt;&gt;"",IF(reading[[#This Row],[Next]]&gt;TODAY(),"OK",""),"")</f>
        <v/>
      </c>
      <c r="Z2326" s="13">
        <v>3</v>
      </c>
      <c r="AA2326" s="13">
        <v>3</v>
      </c>
      <c r="AB2326" s="13">
        <v>3</v>
      </c>
      <c r="AC2326" s="13">
        <v>3</v>
      </c>
      <c r="AD2326" s="13">
        <v>3</v>
      </c>
      <c r="AE2326" s="13"/>
      <c r="AF2326" s="13"/>
      <c r="AG2326" s="16">
        <f>IFERROR(SUMIF(reading[[#This Row],[1st]:[7th]],"&gt;0")/COUNTIF(reading[[#This Row],[1st]:[7th]],"&gt;0"),"")</f>
        <v>3</v>
      </c>
    </row>
    <row r="2327" spans="1:33" x14ac:dyDescent="0.2">
      <c r="A2327" s="4">
        <f>IF(B2327=1,3,IF(D2327=1,2,IF(F2327=1,1,0)))</f>
        <v>0</v>
      </c>
      <c r="B2327" s="4" t="str">
        <f>IF(C2327=$L2327,1,IF(C2327="","",0))</f>
        <v/>
      </c>
      <c r="C2327" s="39"/>
      <c r="D2327" s="4" t="str">
        <f>IF(E2327=$L2327,1,IF(E2327="","",0))</f>
        <v/>
      </c>
      <c r="E2327" s="14"/>
      <c r="F2327" s="4" t="str">
        <f>IF(G2327=$L2327,1,IF(G2327="","",0))</f>
        <v/>
      </c>
      <c r="G2327" s="14"/>
      <c r="H2327" s="6">
        <v>1613</v>
      </c>
      <c r="I2327" s="15" t="s">
        <v>3120</v>
      </c>
      <c r="J2327" s="6" t="s">
        <v>4725</v>
      </c>
      <c r="K2327" s="6"/>
      <c r="L2327" s="6" t="s">
        <v>1695</v>
      </c>
      <c r="M2327" s="6" t="s">
        <v>7719</v>
      </c>
      <c r="N2327" s="7">
        <f ca="1">RAND()</f>
        <v>0.51596306294470229</v>
      </c>
      <c r="O2327" s="8">
        <v>45210</v>
      </c>
      <c r="P2327" s="8">
        <v>45211</v>
      </c>
      <c r="Q2327" s="8">
        <v>45213</v>
      </c>
      <c r="R2327" s="8">
        <v>45217</v>
      </c>
      <c r="S2327" s="8">
        <v>45224</v>
      </c>
      <c r="T2327" s="8">
        <v>45236</v>
      </c>
      <c r="U2327" s="8"/>
      <c r="V2327" s="10">
        <f>COUNTA(O2327:U2327)</f>
        <v>6</v>
      </c>
      <c r="W2327" s="11">
        <f>_xlfn.IFNA(INDEX(reading[[#This Row],[Memo 01]:[Memo 07]],MATCH(0,reading[[#This Row],[Memo 01]:[Memo 07]],-1)),"")</f>
        <v>45236</v>
      </c>
      <c r="X2327" s="11">
        <f ca="1">IFERROR(reading[[#This Row],[Previous]]+OFFSET(reading[[#Headers],[Memo 01]],-1,MATCH(0,reading[[#This Row],[Memo 01]:[Memo 07]],-1)-1),"")</f>
        <v>45256</v>
      </c>
      <c r="Y2327" s="10" t="str">
        <f ca="1">IF(reading[[#This Row],[Next]]&lt;&gt;"",IF(reading[[#This Row],[Next]]&gt;TODAY(),"OK",""),"")</f>
        <v/>
      </c>
      <c r="Z2327" s="13">
        <v>3</v>
      </c>
      <c r="AA2327" s="13">
        <v>3</v>
      </c>
      <c r="AB2327" s="13">
        <v>3</v>
      </c>
      <c r="AC2327" s="13">
        <v>3</v>
      </c>
      <c r="AD2327" s="13">
        <v>3</v>
      </c>
      <c r="AE2327" s="13">
        <v>3</v>
      </c>
      <c r="AF2327" s="13"/>
      <c r="AG2327" s="16">
        <f>IFERROR(SUMIF(reading[[#This Row],[1st]:[7th]],"&gt;0")/COUNTIF(reading[[#This Row],[1st]:[7th]],"&gt;0"),"")</f>
        <v>3</v>
      </c>
    </row>
    <row r="2328" spans="1:33" x14ac:dyDescent="0.2">
      <c r="A2328" s="4">
        <f>IF(B2328=1,3,IF(D2328=1,2,IF(F2328=1,1,0)))</f>
        <v>0</v>
      </c>
      <c r="B2328" s="4" t="str">
        <f>IF(C2328=$L2328,1,IF(C2328="","",0))</f>
        <v/>
      </c>
      <c r="C2328" s="39"/>
      <c r="D2328" s="4" t="str">
        <f>IF(E2328=$L2328,1,IF(E2328="","",0))</f>
        <v/>
      </c>
      <c r="E2328" s="14"/>
      <c r="F2328" s="4" t="str">
        <f>IF(G2328=$L2328,1,IF(G2328="","",0))</f>
        <v/>
      </c>
      <c r="G2328" s="14"/>
      <c r="H2328" s="6">
        <v>1127</v>
      </c>
      <c r="I2328" s="15" t="s">
        <v>3120</v>
      </c>
      <c r="J2328" s="6" t="s">
        <v>4249</v>
      </c>
      <c r="K2328" s="6"/>
      <c r="L2328" s="6" t="s">
        <v>1231</v>
      </c>
      <c r="M2328" s="6" t="s">
        <v>7235</v>
      </c>
      <c r="N2328" s="7">
        <f ca="1">RAND()</f>
        <v>0.73689031160823393</v>
      </c>
      <c r="O2328" s="8">
        <v>45205</v>
      </c>
      <c r="P2328" s="8">
        <v>45206</v>
      </c>
      <c r="Q2328" s="8">
        <v>45208</v>
      </c>
      <c r="R2328" s="8">
        <v>45212</v>
      </c>
      <c r="S2328" s="8">
        <v>45219</v>
      </c>
      <c r="T2328" s="8">
        <v>45231</v>
      </c>
      <c r="U2328" s="8"/>
      <c r="V2328" s="10">
        <f>COUNTA(O2328:U2328)</f>
        <v>6</v>
      </c>
      <c r="W2328" s="11">
        <f>_xlfn.IFNA(INDEX(reading[[#This Row],[Memo 01]:[Memo 07]],MATCH(0,reading[[#This Row],[Memo 01]:[Memo 07]],-1)),"")</f>
        <v>45231</v>
      </c>
      <c r="X2328" s="11">
        <f ca="1">IFERROR(reading[[#This Row],[Previous]]+OFFSET(reading[[#Headers],[Memo 01]],-1,MATCH(0,reading[[#This Row],[Memo 01]:[Memo 07]],-1)-1),"")</f>
        <v>45251</v>
      </c>
      <c r="Y2328" s="10" t="str">
        <f ca="1">IF(reading[[#This Row],[Next]]&lt;&gt;"",IF(reading[[#This Row],[Next]]&gt;TODAY(),"OK",""),"")</f>
        <v/>
      </c>
      <c r="Z2328" s="13">
        <v>3</v>
      </c>
      <c r="AA2328" s="13">
        <v>3</v>
      </c>
      <c r="AB2328" s="13">
        <v>3</v>
      </c>
      <c r="AC2328" s="13">
        <v>3</v>
      </c>
      <c r="AD2328" s="13">
        <v>3</v>
      </c>
      <c r="AE2328" s="13">
        <v>3</v>
      </c>
      <c r="AF2328" s="13"/>
      <c r="AG2328" s="16">
        <f>IFERROR(SUMIF(reading[[#This Row],[1st]:[7th]],"&gt;0")/COUNTIF(reading[[#This Row],[1st]:[7th]],"&gt;0"),"")</f>
        <v>3</v>
      </c>
    </row>
    <row r="2329" spans="1:33" x14ac:dyDescent="0.2">
      <c r="A2329" s="4">
        <f>IF(B2329=1,3,IF(D2329=1,2,IF(F2329=1,1,0)))</f>
        <v>0</v>
      </c>
      <c r="B2329" s="4" t="str">
        <f>IF(C2329=$L2329,1,IF(C2329="","",0))</f>
        <v/>
      </c>
      <c r="C2329" s="36"/>
      <c r="D2329" s="4" t="str">
        <f>IF(E2329=$L2329,1,IF(E2329="","",0))</f>
        <v/>
      </c>
      <c r="E2329" s="14"/>
      <c r="F2329" s="4" t="str">
        <f>IF(G2329=$L2329,1,IF(G2329="","",0))</f>
        <v/>
      </c>
      <c r="G2329" s="14"/>
      <c r="H2329" s="6">
        <v>1981</v>
      </c>
      <c r="I2329" s="15" t="s">
        <v>3120</v>
      </c>
      <c r="J2329" s="6" t="s">
        <v>5080</v>
      </c>
      <c r="K2329" s="6"/>
      <c r="L2329" s="6" t="s">
        <v>2056</v>
      </c>
      <c r="M2329" s="6" t="s">
        <v>8087</v>
      </c>
      <c r="N2329" s="7">
        <f ca="1">RAND()</f>
        <v>0.55415523552185464</v>
      </c>
      <c r="O2329" s="8">
        <v>45213</v>
      </c>
      <c r="P2329" s="8">
        <v>45214</v>
      </c>
      <c r="Q2329" s="8">
        <v>45216</v>
      </c>
      <c r="R2329" s="8">
        <v>45220</v>
      </c>
      <c r="S2329" s="8">
        <v>45227</v>
      </c>
      <c r="T2329" s="8"/>
      <c r="U2329" s="8"/>
      <c r="V2329" s="10">
        <f>COUNTA(O2329:U2329)</f>
        <v>5</v>
      </c>
      <c r="W2329" s="11">
        <f>_xlfn.IFNA(INDEX(reading[[#This Row],[Memo 01]:[Memo 07]],MATCH(0,reading[[#This Row],[Memo 01]:[Memo 07]],-1)),"")</f>
        <v>45227</v>
      </c>
      <c r="X2329" s="11">
        <f ca="1">IFERROR(reading[[#This Row],[Previous]]+OFFSET(reading[[#Headers],[Memo 01]],-1,MATCH(0,reading[[#This Row],[Memo 01]:[Memo 07]],-1)-1),"")</f>
        <v>45239</v>
      </c>
      <c r="Y2329" s="10" t="str">
        <f ca="1">IF(reading[[#This Row],[Next]]&lt;&gt;"",IF(reading[[#This Row],[Next]]&gt;TODAY(),"OK",""),"")</f>
        <v/>
      </c>
      <c r="Z2329" s="13">
        <v>3</v>
      </c>
      <c r="AA2329" s="13">
        <v>3</v>
      </c>
      <c r="AB2329" s="13">
        <v>3</v>
      </c>
      <c r="AC2329" s="13">
        <v>3</v>
      </c>
      <c r="AD2329" s="13">
        <v>3</v>
      </c>
      <c r="AE2329" s="13"/>
      <c r="AF2329" s="13"/>
      <c r="AG2329" s="16">
        <f>IFERROR(SUMIF(reading[[#This Row],[1st]:[7th]],"&gt;0")/COUNTIF(reading[[#This Row],[1st]:[7th]],"&gt;0"),"")</f>
        <v>3</v>
      </c>
    </row>
    <row r="2330" spans="1:33" hidden="1" x14ac:dyDescent="0.2">
      <c r="A2330" s="4">
        <f>IF(B2330=1,3,IF(D2330=1,2,IF(F2330=1,1,0)))</f>
        <v>0</v>
      </c>
      <c r="B2330" s="4">
        <f>IF(C2330=$L2330,1,IF(C2330="","",0))</f>
        <v>0</v>
      </c>
      <c r="C2330" s="42" t="s">
        <v>9246</v>
      </c>
      <c r="D2330" s="4">
        <f>IF(E2330=$L2330,1,IF(E2330="","",0))</f>
        <v>0</v>
      </c>
      <c r="E2330" s="43" t="s">
        <v>9240</v>
      </c>
      <c r="F2330" s="4" t="str">
        <f>IF(G2330=$L2330,1,IF(G2330="","",0))</f>
        <v/>
      </c>
      <c r="G2330" s="14"/>
      <c r="H2330" s="6">
        <v>2563</v>
      </c>
      <c r="I2330" s="15" t="s">
        <v>3120</v>
      </c>
      <c r="J2330" s="6" t="s">
        <v>5623</v>
      </c>
      <c r="K2330" s="6"/>
      <c r="L2330" s="6" t="s">
        <v>2608</v>
      </c>
      <c r="M2330" s="6" t="s">
        <v>8668</v>
      </c>
      <c r="N2330" s="7">
        <f ca="1">RAND()</f>
        <v>6.2916640379005129E-2</v>
      </c>
      <c r="O2330" s="8">
        <v>45220</v>
      </c>
      <c r="P2330" s="8">
        <v>45221</v>
      </c>
      <c r="Q2330" s="8">
        <v>45223</v>
      </c>
      <c r="R2330" s="8">
        <v>45227</v>
      </c>
      <c r="S2330" s="8">
        <v>45234</v>
      </c>
      <c r="T2330" s="8"/>
      <c r="U2330" s="8"/>
      <c r="V2330" s="10">
        <f>COUNTA(O2330:U2330)</f>
        <v>5</v>
      </c>
      <c r="W2330" s="11">
        <f>_xlfn.IFNA(INDEX(reading[[#This Row],[Memo 01]:[Memo 07]],MATCH(0,reading[[#This Row],[Memo 01]:[Memo 07]],-1)),"")</f>
        <v>45234</v>
      </c>
      <c r="X2330" s="11">
        <f ca="1">IFERROR(reading[[#This Row],[Previous]]+OFFSET(reading[[#Headers],[Memo 01]],-1,MATCH(0,reading[[#This Row],[Memo 01]:[Memo 07]],-1)-1),"")</f>
        <v>45246</v>
      </c>
      <c r="Y2330" s="10" t="str">
        <f ca="1">IF(reading[[#This Row],[Next]]&lt;&gt;"",IF(reading[[#This Row],[Next]]&gt;TODAY(),"OK",""),"")</f>
        <v/>
      </c>
      <c r="Z2330" s="13">
        <v>3</v>
      </c>
      <c r="AA2330" s="13">
        <v>2</v>
      </c>
      <c r="AB2330" s="13">
        <v>3</v>
      </c>
      <c r="AC2330" s="13">
        <v>3</v>
      </c>
      <c r="AD2330" s="13">
        <v>3</v>
      </c>
      <c r="AE2330" s="13"/>
      <c r="AF2330" s="13"/>
      <c r="AG2330" s="16">
        <f>IFERROR(SUMIF(reading[[#This Row],[1st]:[7th]],"&gt;0")/COUNTIF(reading[[#This Row],[1st]:[7th]],"&gt;0"),"")</f>
        <v>2.8</v>
      </c>
    </row>
    <row r="2331" spans="1:33" hidden="1" x14ac:dyDescent="0.2">
      <c r="A2331" s="4">
        <f>IF(B2331=1,3,IF(D2331=1,2,IF(F2331=1,1,0)))</f>
        <v>0</v>
      </c>
      <c r="B2331" s="4" t="str">
        <f>IF(C2331=$L2331,1,IF(C2331="","",0))</f>
        <v/>
      </c>
      <c r="C2331" s="42"/>
      <c r="D2331" s="4" t="str">
        <f>IF(E2331=$L2331,1,IF(E2331="","",0))</f>
        <v/>
      </c>
      <c r="E2331" s="23"/>
      <c r="F2331" s="4" t="str">
        <f>IF(G2331=$L2331,1,IF(G2331="","",0))</f>
        <v/>
      </c>
      <c r="G2331" s="14"/>
      <c r="H2331" s="6">
        <v>2195</v>
      </c>
      <c r="I2331" s="15" t="s">
        <v>3120</v>
      </c>
      <c r="J2331" s="6" t="s">
        <v>5281</v>
      </c>
      <c r="K2331" s="6"/>
      <c r="L2331" s="6" t="s">
        <v>2258</v>
      </c>
      <c r="M2331" s="6" t="s">
        <v>8301</v>
      </c>
      <c r="N2331" s="7">
        <f ca="1">RAND()</f>
        <v>0.21303814547231659</v>
      </c>
      <c r="O2331" s="8">
        <v>45215</v>
      </c>
      <c r="P2331" s="8">
        <v>45216</v>
      </c>
      <c r="Q2331" s="8">
        <v>45218</v>
      </c>
      <c r="R2331" s="8">
        <v>45222</v>
      </c>
      <c r="S2331" s="8">
        <v>45229</v>
      </c>
      <c r="T2331" s="8">
        <v>45825</v>
      </c>
      <c r="U2331" s="8"/>
      <c r="V2331" s="10">
        <f>COUNTA(O2331:U2331)</f>
        <v>6</v>
      </c>
      <c r="W2331" s="11">
        <f>_xlfn.IFNA(INDEX(reading[[#This Row],[Memo 01]:[Memo 07]],MATCH(0,reading[[#This Row],[Memo 01]:[Memo 07]],-1)),"")</f>
        <v>45825</v>
      </c>
      <c r="X2331" s="11">
        <f ca="1">IFERROR(reading[[#This Row],[Previous]]+OFFSET(reading[[#Headers],[Memo 01]],-1,MATCH(0,reading[[#This Row],[Memo 01]:[Memo 07]],-1)-1),"")</f>
        <v>45845</v>
      </c>
      <c r="Y2331" s="10" t="str">
        <f ca="1">IF(reading[[#This Row],[Next]]&lt;&gt;"",IF(reading[[#This Row],[Next]]&gt;TODAY(),"OK",""),"")</f>
        <v>OK</v>
      </c>
      <c r="Z2331" s="13">
        <v>3</v>
      </c>
      <c r="AA2331" s="13">
        <v>3</v>
      </c>
      <c r="AB2331" s="13">
        <v>3</v>
      </c>
      <c r="AC2331" s="13">
        <v>3</v>
      </c>
      <c r="AD2331" s="13">
        <v>3</v>
      </c>
      <c r="AE2331" s="13">
        <v>2</v>
      </c>
      <c r="AF2331" s="13"/>
      <c r="AG2331" s="16">
        <f>IFERROR(SUMIF(reading[[#This Row],[1st]:[7th]],"&gt;0")/COUNTIF(reading[[#This Row],[1st]:[7th]],"&gt;0"),"")</f>
        <v>2.8333333333333335</v>
      </c>
    </row>
    <row r="2332" spans="1:33" hidden="1" x14ac:dyDescent="0.2">
      <c r="A2332" s="4">
        <f>IF(B2332=1,3,IF(D2332=1,2,IF(F2332=1,1,0)))</f>
        <v>0</v>
      </c>
      <c r="B2332" s="4" t="str">
        <f>IF(C2332=$L2332,1,IF(C2332="","",0))</f>
        <v/>
      </c>
      <c r="C2332" s="42"/>
      <c r="D2332" s="4" t="str">
        <f>IF(E2332=$L2332,1,IF(E2332="","",0))</f>
        <v/>
      </c>
      <c r="E2332" s="43"/>
      <c r="F2332" s="4" t="str">
        <f>IF(G2332=$L2332,1,IF(G2332="","",0))</f>
        <v/>
      </c>
      <c r="G2332" s="14"/>
      <c r="H2332" s="6">
        <v>2552</v>
      </c>
      <c r="I2332" s="15" t="s">
        <v>3120</v>
      </c>
      <c r="J2332" s="6" t="s">
        <v>5613</v>
      </c>
      <c r="K2332" s="15" t="s">
        <v>3138</v>
      </c>
      <c r="L2332" s="6" t="s">
        <v>2597</v>
      </c>
      <c r="M2332" s="6" t="s">
        <v>8657</v>
      </c>
      <c r="N2332" s="7">
        <f ca="1">RAND()</f>
        <v>0.27806414094200216</v>
      </c>
      <c r="O2332" s="8">
        <v>45220</v>
      </c>
      <c r="P2332" s="8">
        <v>45221</v>
      </c>
      <c r="Q2332" s="8">
        <v>45223</v>
      </c>
      <c r="R2332" s="8">
        <v>45227</v>
      </c>
      <c r="S2332" s="8">
        <v>45235</v>
      </c>
      <c r="T2332" s="8">
        <v>45248</v>
      </c>
      <c r="U2332" s="8">
        <v>45816</v>
      </c>
      <c r="V2332" s="10">
        <f>COUNTA(O2332:U2332)</f>
        <v>7</v>
      </c>
      <c r="W2332" s="11">
        <f>_xlfn.IFNA(INDEX(reading[[#This Row],[Memo 01]:[Memo 07]],MATCH(0,reading[[#This Row],[Memo 01]:[Memo 07]],-1)),"")</f>
        <v>45816</v>
      </c>
      <c r="X2332" s="11">
        <f ca="1">IFERROR(reading[[#This Row],[Previous]]+OFFSET(reading[[#Headers],[Memo 01]],-1,MATCH(0,reading[[#This Row],[Memo 01]:[Memo 07]],-1)-1),"")</f>
        <v>55816</v>
      </c>
      <c r="Y2332" s="10" t="str">
        <f ca="1">IF(reading[[#This Row],[Next]]&lt;&gt;"",IF(reading[[#This Row],[Next]]&gt;TODAY(),"OK",""),"")</f>
        <v>OK</v>
      </c>
      <c r="Z2332" s="13">
        <v>3</v>
      </c>
      <c r="AA2332" s="13">
        <v>2</v>
      </c>
      <c r="AB2332" s="13">
        <v>3</v>
      </c>
      <c r="AC2332" s="13">
        <v>2</v>
      </c>
      <c r="AD2332" s="13">
        <v>2</v>
      </c>
      <c r="AE2332" s="13">
        <v>3</v>
      </c>
      <c r="AF2332" s="13">
        <v>2</v>
      </c>
      <c r="AG2332" s="16">
        <f>IFERROR(SUMIF(reading[[#This Row],[1st]:[7th]],"&gt;0")/COUNTIF(reading[[#This Row],[1st]:[7th]],"&gt;0"),"")</f>
        <v>2.4285714285714284</v>
      </c>
    </row>
    <row r="2333" spans="1:33" x14ac:dyDescent="0.2">
      <c r="A2333" s="4">
        <f>IF(B2333=1,3,IF(D2333=1,2,IF(F2333=1,1,0)))</f>
        <v>0</v>
      </c>
      <c r="B2333" s="4" t="str">
        <f>IF(C2333=$L2333,1,IF(C2333="","",0))</f>
        <v/>
      </c>
      <c r="C2333" s="41"/>
      <c r="D2333" s="4" t="str">
        <f>IF(E2333=$L2333,1,IF(E2333="","",0))</f>
        <v/>
      </c>
      <c r="E2333" s="18"/>
      <c r="F2333" s="4" t="str">
        <f>IF(G2333=$L2333,1,IF(G2333="","",0))</f>
        <v/>
      </c>
      <c r="G2333" s="18"/>
      <c r="H2333" s="6">
        <v>3066</v>
      </c>
      <c r="I2333" s="15" t="s">
        <v>3120</v>
      </c>
      <c r="J2333" s="6" t="s">
        <v>6087</v>
      </c>
      <c r="K2333" s="6"/>
      <c r="L2333" s="6" t="s">
        <v>3091</v>
      </c>
      <c r="M2333" s="6" t="s">
        <v>9169</v>
      </c>
      <c r="N2333" s="7">
        <f ca="1">RAND()</f>
        <v>1.0288178525718839E-2</v>
      </c>
      <c r="O2333" s="8">
        <v>45228</v>
      </c>
      <c r="P2333" s="8">
        <v>45229</v>
      </c>
      <c r="Q2333" s="8">
        <v>45231</v>
      </c>
      <c r="R2333" s="8">
        <v>45235</v>
      </c>
      <c r="S2333" s="8">
        <v>45249</v>
      </c>
      <c r="T2333" s="8"/>
      <c r="U2333" s="8"/>
      <c r="V2333" s="10">
        <f>COUNTA(O2333:U2333)</f>
        <v>5</v>
      </c>
      <c r="W2333" s="11">
        <f>_xlfn.IFNA(INDEX(reading[[#This Row],[Memo 01]:[Memo 07]],MATCH(0,reading[[#This Row],[Memo 01]:[Memo 07]],-1)),"")</f>
        <v>45249</v>
      </c>
      <c r="X2333" s="11">
        <f ca="1">IFERROR(reading[[#This Row],[Previous]]+OFFSET(reading[[#Headers],[Memo 01]],-1,MATCH(0,reading[[#This Row],[Memo 01]:[Memo 07]],-1)-1),"")</f>
        <v>45261</v>
      </c>
      <c r="Y2333" s="10" t="str">
        <f ca="1">IF(reading[[#This Row],[Next]]&lt;&gt;"",IF(reading[[#This Row],[Next]]&gt;TODAY(),"OK",""),"")</f>
        <v/>
      </c>
      <c r="Z2333" s="13">
        <v>3</v>
      </c>
      <c r="AA2333" s="13">
        <v>1</v>
      </c>
      <c r="AB2333" s="13">
        <v>2</v>
      </c>
      <c r="AC2333" s="13">
        <v>3</v>
      </c>
      <c r="AD2333" s="13">
        <v>2</v>
      </c>
      <c r="AE2333" s="13"/>
      <c r="AF2333" s="13"/>
      <c r="AG2333" s="16">
        <f>IFERROR(SUMIF(reading[[#This Row],[1st]:[7th]],"&gt;0")/COUNTIF(reading[[#This Row],[1st]:[7th]],"&gt;0"),"")</f>
        <v>2.2000000000000002</v>
      </c>
    </row>
    <row r="2334" spans="1:33" hidden="1" x14ac:dyDescent="0.2">
      <c r="A2334" s="4">
        <f>IF(B2334=1,3,IF(D2334=1,2,IF(F2334=1,1,0)))</f>
        <v>0</v>
      </c>
      <c r="B2334" s="4" t="str">
        <f>IF(C2334=$L2334,1,IF(C2334="","",0))</f>
        <v/>
      </c>
      <c r="C2334" s="42"/>
      <c r="D2334" s="4" t="str">
        <f>IF(E2334=$L2334,1,IF(E2334="","",0))</f>
        <v/>
      </c>
      <c r="E2334" s="23"/>
      <c r="F2334" s="4" t="str">
        <f>IF(G2334=$L2334,1,IF(G2334="","",0))</f>
        <v/>
      </c>
      <c r="G2334" s="23"/>
      <c r="H2334" s="6">
        <v>2698</v>
      </c>
      <c r="I2334" s="15" t="s">
        <v>3120</v>
      </c>
      <c r="J2334" s="6" t="s">
        <v>5748</v>
      </c>
      <c r="K2334" s="6"/>
      <c r="L2334" s="6" t="s">
        <v>2737</v>
      </c>
      <c r="M2334" s="6" t="s">
        <v>8803</v>
      </c>
      <c r="N2334" s="7">
        <f ca="1">RAND()</f>
        <v>0.83136361276588755</v>
      </c>
      <c r="O2334" s="8">
        <v>45221</v>
      </c>
      <c r="P2334" s="8">
        <v>45222</v>
      </c>
      <c r="Q2334" s="8">
        <v>45224</v>
      </c>
      <c r="R2334" s="8">
        <v>45228</v>
      </c>
      <c r="S2334" s="8">
        <v>45235</v>
      </c>
      <c r="T2334" s="8">
        <v>45816</v>
      </c>
      <c r="U2334" s="8"/>
      <c r="V2334" s="10">
        <f>COUNTA(O2334:U2334)</f>
        <v>6</v>
      </c>
      <c r="W2334" s="11">
        <f>_xlfn.IFNA(INDEX(reading[[#This Row],[Memo 01]:[Memo 07]],MATCH(0,reading[[#This Row],[Memo 01]:[Memo 07]],-1)),"")</f>
        <v>45816</v>
      </c>
      <c r="X2334" s="11">
        <f ca="1">IFERROR(reading[[#This Row],[Previous]]+OFFSET(reading[[#Headers],[Memo 01]],-1,MATCH(0,reading[[#This Row],[Memo 01]:[Memo 07]],-1)-1),"")</f>
        <v>45836</v>
      </c>
      <c r="Y2334" s="10" t="str">
        <f ca="1">IF(reading[[#This Row],[Next]]&lt;&gt;"",IF(reading[[#This Row],[Next]]&gt;TODAY(),"OK",""),"")</f>
        <v>OK</v>
      </c>
      <c r="Z2334" s="13">
        <v>3</v>
      </c>
      <c r="AA2334" s="13">
        <v>3</v>
      </c>
      <c r="AB2334" s="13">
        <v>3</v>
      </c>
      <c r="AC2334" s="13">
        <v>3</v>
      </c>
      <c r="AD2334" s="13">
        <v>3</v>
      </c>
      <c r="AE2334" s="13">
        <v>2</v>
      </c>
      <c r="AF2334" s="13"/>
      <c r="AG2334" s="16">
        <f>IFERROR(SUMIF(reading[[#This Row],[1st]:[7th]],"&gt;0")/COUNTIF(reading[[#This Row],[1st]:[7th]],"&gt;0"),"")</f>
        <v>2.8333333333333335</v>
      </c>
    </row>
    <row r="2335" spans="1:33" x14ac:dyDescent="0.2">
      <c r="A2335" s="4">
        <f>IF(B2335=1,3,IF(D2335=1,2,IF(F2335=1,1,0)))</f>
        <v>0</v>
      </c>
      <c r="B2335" s="4" t="str">
        <f>IF(C2335=$L2335,1,IF(C2335="","",0))</f>
        <v/>
      </c>
      <c r="C2335" s="42"/>
      <c r="D2335" s="4" t="str">
        <f>IF(E2335=$L2335,1,IF(E2335="","",0))</f>
        <v/>
      </c>
      <c r="E2335" s="18"/>
      <c r="F2335" s="4" t="str">
        <f>IF(G2335=$L2335,1,IF(G2335="","",0))</f>
        <v/>
      </c>
      <c r="G2335" s="14"/>
      <c r="H2335" s="6">
        <v>1833</v>
      </c>
      <c r="I2335" s="15" t="s">
        <v>3120</v>
      </c>
      <c r="J2335" s="6" t="s">
        <v>4938</v>
      </c>
      <c r="K2335" s="6"/>
      <c r="L2335" s="6" t="s">
        <v>1911</v>
      </c>
      <c r="M2335" s="6" t="s">
        <v>7939</v>
      </c>
      <c r="N2335" s="7">
        <f ca="1">RAND()</f>
        <v>0.33020158592059823</v>
      </c>
      <c r="O2335" s="8">
        <v>45212</v>
      </c>
      <c r="P2335" s="8">
        <v>45213</v>
      </c>
      <c r="Q2335" s="8">
        <v>45215</v>
      </c>
      <c r="R2335" s="8">
        <v>45219</v>
      </c>
      <c r="S2335" s="8">
        <v>45226</v>
      </c>
      <c r="T2335" s="8">
        <v>45783</v>
      </c>
      <c r="U2335" s="8"/>
      <c r="V2335" s="10">
        <f>COUNTA(O2335:U2335)</f>
        <v>6</v>
      </c>
      <c r="W2335" s="11">
        <f>_xlfn.IFNA(INDEX(reading[[#This Row],[Memo 01]:[Memo 07]],MATCH(0,reading[[#This Row],[Memo 01]:[Memo 07]],-1)),"")</f>
        <v>45783</v>
      </c>
      <c r="X2335" s="11">
        <f ca="1">IFERROR(reading[[#This Row],[Previous]]+OFFSET(reading[[#Headers],[Memo 01]],-1,MATCH(0,reading[[#This Row],[Memo 01]:[Memo 07]],-1)-1),"")</f>
        <v>45803</v>
      </c>
      <c r="Y2335" s="10" t="str">
        <f ca="1">IF(reading[[#This Row],[Next]]&lt;&gt;"",IF(reading[[#This Row],[Next]]&gt;TODAY(),"OK",""),"")</f>
        <v/>
      </c>
      <c r="Z2335" s="13">
        <v>3</v>
      </c>
      <c r="AA2335" s="13">
        <v>3</v>
      </c>
      <c r="AB2335" s="13">
        <v>3</v>
      </c>
      <c r="AC2335" s="13">
        <v>3</v>
      </c>
      <c r="AD2335" s="13">
        <v>2</v>
      </c>
      <c r="AE2335" s="13">
        <v>3</v>
      </c>
      <c r="AF2335" s="13"/>
      <c r="AG2335" s="16">
        <f>IFERROR(SUMIF(reading[[#This Row],[1st]:[7th]],"&gt;0")/COUNTIF(reading[[#This Row],[1st]:[7th]],"&gt;0"),"")</f>
        <v>2.8333333333333335</v>
      </c>
    </row>
    <row r="2336" spans="1:33" x14ac:dyDescent="0.2">
      <c r="A2336" s="4">
        <f>IF(B2336=1,3,IF(D2336=1,2,IF(F2336=1,1,0)))</f>
        <v>0</v>
      </c>
      <c r="B2336" s="4" t="str">
        <f>IF(C2336=$L2336,1,IF(C2336="","",0))</f>
        <v/>
      </c>
      <c r="C2336" s="36"/>
      <c r="D2336" s="4" t="str">
        <f>IF(E2336=$L2336,1,IF(E2336="","",0))</f>
        <v/>
      </c>
      <c r="E2336" s="18"/>
      <c r="F2336" s="4" t="str">
        <f>IF(G2336=$L2336,1,IF(G2336="","",0))</f>
        <v/>
      </c>
      <c r="G2336" s="14"/>
      <c r="H2336" s="6">
        <v>287</v>
      </c>
      <c r="I2336" s="15" t="s">
        <v>3120</v>
      </c>
      <c r="J2336" s="6" t="s">
        <v>3435</v>
      </c>
      <c r="K2336" s="6"/>
      <c r="L2336" s="6" t="s">
        <v>422</v>
      </c>
      <c r="M2336" s="6" t="s">
        <v>6396</v>
      </c>
      <c r="N2336" s="7">
        <f ca="1">RAND()</f>
        <v>0.60618237193989666</v>
      </c>
      <c r="O2336" s="8">
        <v>45200</v>
      </c>
      <c r="P2336" s="8">
        <v>45201</v>
      </c>
      <c r="Q2336" s="8">
        <v>45203</v>
      </c>
      <c r="R2336" s="8">
        <v>45207</v>
      </c>
      <c r="S2336" s="8">
        <v>45214</v>
      </c>
      <c r="T2336" s="8">
        <v>45226</v>
      </c>
      <c r="U2336" s="8"/>
      <c r="V2336" s="10">
        <f>COUNTA(O2336:U2336)</f>
        <v>6</v>
      </c>
      <c r="W2336" s="11">
        <f>_xlfn.IFNA(INDEX(reading[[#This Row],[Memo 01]:[Memo 07]],MATCH(0,reading[[#This Row],[Memo 01]:[Memo 07]],-1)),"")</f>
        <v>45226</v>
      </c>
      <c r="X2336" s="11">
        <f ca="1">IFERROR(reading[[#This Row],[Previous]]+OFFSET(reading[[#Headers],[Memo 01]],-1,MATCH(0,reading[[#This Row],[Memo 01]:[Memo 07]],-1)-1),"")</f>
        <v>45246</v>
      </c>
      <c r="Y2336" s="10" t="str">
        <f ca="1">IF(reading[[#This Row],[Next]]&lt;&gt;"",IF(reading[[#This Row],[Next]]&gt;TODAY(),"OK",""),"")</f>
        <v/>
      </c>
      <c r="Z2336" s="13">
        <v>3</v>
      </c>
      <c r="AA2336" s="13">
        <v>3</v>
      </c>
      <c r="AB2336" s="13">
        <v>3</v>
      </c>
      <c r="AC2336" s="13">
        <v>3</v>
      </c>
      <c r="AD2336" s="13">
        <v>3</v>
      </c>
      <c r="AE2336" s="13">
        <v>2</v>
      </c>
      <c r="AF2336" s="13"/>
      <c r="AG2336" s="16">
        <f>IFERROR(SUMIF(reading[[#This Row],[1st]:[7th]],"&gt;0")/COUNTIF(reading[[#This Row],[1st]:[7th]],"&gt;0"),"")</f>
        <v>2.8333333333333335</v>
      </c>
    </row>
    <row r="2337" spans="1:33" x14ac:dyDescent="0.2">
      <c r="A2337" s="4">
        <f>IF(B2337=1,3,IF(D2337=1,2,IF(F2337=1,1,0)))</f>
        <v>0</v>
      </c>
      <c r="B2337" s="4" t="str">
        <f>IF(C2337=$L2337,1,IF(C2337="","",0))</f>
        <v/>
      </c>
      <c r="C2337" s="39"/>
      <c r="D2337" s="4" t="str">
        <f>IF(E2337=$L2337,1,IF(E2337="","",0))</f>
        <v/>
      </c>
      <c r="E2337" s="14"/>
      <c r="F2337" s="4" t="str">
        <f>IF(G2337=$L2337,1,IF(G2337="","",0))</f>
        <v/>
      </c>
      <c r="G2337" s="14"/>
      <c r="H2337" s="6">
        <v>2304</v>
      </c>
      <c r="I2337" s="15" t="s">
        <v>3120</v>
      </c>
      <c r="J2337" s="6" t="s">
        <v>5382</v>
      </c>
      <c r="K2337" s="6"/>
      <c r="L2337" s="6" t="s">
        <v>2362</v>
      </c>
      <c r="M2337" s="6" t="s">
        <v>8409</v>
      </c>
      <c r="N2337" s="7">
        <f ca="1">RAND()</f>
        <v>0.43973644611705254</v>
      </c>
      <c r="O2337" s="8">
        <v>45216</v>
      </c>
      <c r="P2337" s="8">
        <v>45217</v>
      </c>
      <c r="Q2337" s="8">
        <v>45219</v>
      </c>
      <c r="R2337" s="8">
        <v>45223</v>
      </c>
      <c r="S2337" s="8">
        <v>45230</v>
      </c>
      <c r="T2337" s="8"/>
      <c r="U2337" s="8"/>
      <c r="V2337" s="10">
        <f>COUNTA(O2337:U2337)</f>
        <v>5</v>
      </c>
      <c r="W2337" s="11">
        <f>_xlfn.IFNA(INDEX(reading[[#This Row],[Memo 01]:[Memo 07]],MATCH(0,reading[[#This Row],[Memo 01]:[Memo 07]],-1)),"")</f>
        <v>45230</v>
      </c>
      <c r="X2337" s="11">
        <f ca="1">IFERROR(reading[[#This Row],[Previous]]+OFFSET(reading[[#Headers],[Memo 01]],-1,MATCH(0,reading[[#This Row],[Memo 01]:[Memo 07]],-1)-1),"")</f>
        <v>45242</v>
      </c>
      <c r="Y2337" s="10" t="str">
        <f ca="1">IF(reading[[#This Row],[Next]]&lt;&gt;"",IF(reading[[#This Row],[Next]]&gt;TODAY(),"OK",""),"")</f>
        <v/>
      </c>
      <c r="Z2337" s="13">
        <v>3</v>
      </c>
      <c r="AA2337" s="13">
        <v>3</v>
      </c>
      <c r="AB2337" s="13">
        <v>3</v>
      </c>
      <c r="AC2337" s="13">
        <v>3</v>
      </c>
      <c r="AD2337" s="13">
        <v>3</v>
      </c>
      <c r="AE2337" s="13"/>
      <c r="AF2337" s="13"/>
      <c r="AG2337" s="16">
        <f>IFERROR(SUMIF(reading[[#This Row],[1st]:[7th]],"&gt;0")/COUNTIF(reading[[#This Row],[1st]:[7th]],"&gt;0"),"")</f>
        <v>3</v>
      </c>
    </row>
    <row r="2338" spans="1:33" hidden="1" x14ac:dyDescent="0.2">
      <c r="A2338" s="4">
        <f>IF(B2338=1,3,IF(D2338=1,2,IF(F2338=1,1,0)))</f>
        <v>0</v>
      </c>
      <c r="B2338" s="4" t="str">
        <f>IF(C2338=$L2338,1,IF(C2338="","",0))</f>
        <v/>
      </c>
      <c r="C2338" s="42"/>
      <c r="D2338" s="4" t="str">
        <f>IF(E2338=$L2338,1,IF(E2338="","",0))</f>
        <v/>
      </c>
      <c r="E2338" s="23"/>
      <c r="F2338" s="4" t="str">
        <f>IF(G2338=$L2338,1,IF(G2338="","",0))</f>
        <v/>
      </c>
      <c r="G2338" s="23"/>
      <c r="H2338" s="6">
        <v>2239</v>
      </c>
      <c r="I2338" s="15" t="s">
        <v>3120</v>
      </c>
      <c r="J2338" s="6" t="s">
        <v>5323</v>
      </c>
      <c r="K2338" s="6"/>
      <c r="L2338" s="6" t="s">
        <v>2301</v>
      </c>
      <c r="M2338" s="6" t="s">
        <v>8344</v>
      </c>
      <c r="N2338" s="7">
        <f ca="1">RAND()</f>
        <v>0.71045890657091315</v>
      </c>
      <c r="O2338" s="8">
        <v>45215</v>
      </c>
      <c r="P2338" s="8">
        <v>45216</v>
      </c>
      <c r="Q2338" s="8">
        <v>45218</v>
      </c>
      <c r="R2338" s="8">
        <v>45222</v>
      </c>
      <c r="S2338" s="8">
        <v>45229</v>
      </c>
      <c r="T2338" s="8">
        <v>45816</v>
      </c>
      <c r="U2338" s="8"/>
      <c r="V2338" s="10">
        <f>COUNTA(O2338:U2338)</f>
        <v>6</v>
      </c>
      <c r="W2338" s="11">
        <f>_xlfn.IFNA(INDEX(reading[[#This Row],[Memo 01]:[Memo 07]],MATCH(0,reading[[#This Row],[Memo 01]:[Memo 07]],-1)),"")</f>
        <v>45816</v>
      </c>
      <c r="X2338" s="11">
        <f ca="1">IFERROR(reading[[#This Row],[Previous]]+OFFSET(reading[[#Headers],[Memo 01]],-1,MATCH(0,reading[[#This Row],[Memo 01]:[Memo 07]],-1)-1),"")</f>
        <v>45836</v>
      </c>
      <c r="Y2338" s="10" t="str">
        <f ca="1">IF(reading[[#This Row],[Next]]&lt;&gt;"",IF(reading[[#This Row],[Next]]&gt;TODAY(),"OK",""),"")</f>
        <v>OK</v>
      </c>
      <c r="Z2338" s="13">
        <v>3</v>
      </c>
      <c r="AA2338" s="13">
        <v>3</v>
      </c>
      <c r="AB2338" s="13">
        <v>3</v>
      </c>
      <c r="AC2338" s="13">
        <v>3</v>
      </c>
      <c r="AD2338" s="13">
        <v>3</v>
      </c>
      <c r="AE2338" s="13">
        <v>1</v>
      </c>
      <c r="AF2338" s="13"/>
      <c r="AG2338" s="16">
        <f>IFERROR(SUMIF(reading[[#This Row],[1st]:[7th]],"&gt;0")/COUNTIF(reading[[#This Row],[1st]:[7th]],"&gt;0"),"")</f>
        <v>2.6666666666666665</v>
      </c>
    </row>
    <row r="2339" spans="1:33" x14ac:dyDescent="0.2">
      <c r="A2339" s="4">
        <f>IF(B2339=1,3,IF(D2339=1,2,IF(F2339=1,1,0)))</f>
        <v>0</v>
      </c>
      <c r="B2339" s="4" t="str">
        <f>IF(C2339=$L2339,1,IF(C2339="","",0))</f>
        <v/>
      </c>
      <c r="C2339" s="39"/>
      <c r="D2339" s="4" t="str">
        <f>IF(E2339=$L2339,1,IF(E2339="","",0))</f>
        <v/>
      </c>
      <c r="E2339" s="18"/>
      <c r="F2339" s="4" t="str">
        <f>IF(G2339=$L2339,1,IF(G2339="","",0))</f>
        <v/>
      </c>
      <c r="G2339" s="14"/>
      <c r="H2339" s="6">
        <v>2939</v>
      </c>
      <c r="I2339" s="15" t="s">
        <v>3120</v>
      </c>
      <c r="J2339" s="6" t="s">
        <v>9199</v>
      </c>
      <c r="K2339" s="6"/>
      <c r="L2339" s="6" t="s">
        <v>2969</v>
      </c>
      <c r="M2339" s="6" t="s">
        <v>9043</v>
      </c>
      <c r="N2339" s="7">
        <f ca="1">RAND()</f>
        <v>0.22244086248266659</v>
      </c>
      <c r="O2339" s="8">
        <v>45223</v>
      </c>
      <c r="P2339" s="8">
        <v>45224</v>
      </c>
      <c r="Q2339" s="8">
        <v>45226</v>
      </c>
      <c r="R2339" s="8">
        <v>45230</v>
      </c>
      <c r="S2339" s="8">
        <v>45250</v>
      </c>
      <c r="T2339" s="8"/>
      <c r="U2339" s="8"/>
      <c r="V2339" s="10">
        <f>COUNTA(O2339:U2339)</f>
        <v>5</v>
      </c>
      <c r="W2339" s="11">
        <f>_xlfn.IFNA(INDEX(reading[[#This Row],[Memo 01]:[Memo 07]],MATCH(0,reading[[#This Row],[Memo 01]:[Memo 07]],-1)),"")</f>
        <v>45250</v>
      </c>
      <c r="X2339" s="11">
        <f ca="1">IFERROR(reading[[#This Row],[Previous]]+OFFSET(reading[[#Headers],[Memo 01]],-1,MATCH(0,reading[[#This Row],[Memo 01]:[Memo 07]],-1)-1),"")</f>
        <v>45262</v>
      </c>
      <c r="Y2339" s="10" t="str">
        <f ca="1">IF(reading[[#This Row],[Next]]&lt;&gt;"",IF(reading[[#This Row],[Next]]&gt;TODAY(),"OK",""),"")</f>
        <v/>
      </c>
      <c r="Z2339" s="13">
        <v>3</v>
      </c>
      <c r="AA2339" s="13">
        <v>3</v>
      </c>
      <c r="AB2339" s="13">
        <v>3</v>
      </c>
      <c r="AC2339" s="13">
        <v>3</v>
      </c>
      <c r="AD2339" s="13">
        <v>1</v>
      </c>
      <c r="AE2339" s="13"/>
      <c r="AF2339" s="13"/>
      <c r="AG2339" s="16">
        <f>IFERROR(SUMIF(reading[[#This Row],[1st]:[7th]],"&gt;0")/COUNTIF(reading[[#This Row],[1st]:[7th]],"&gt;0"),"")</f>
        <v>2.6</v>
      </c>
    </row>
    <row r="2340" spans="1:33" hidden="1" x14ac:dyDescent="0.2">
      <c r="A2340" s="4">
        <f>IF(B2340=1,3,IF(D2340=1,2,IF(F2340=1,1,0)))</f>
        <v>0</v>
      </c>
      <c r="B2340" s="4" t="str">
        <f>IF(C2340=$L2340,1,IF(C2340="","",0))</f>
        <v/>
      </c>
      <c r="C2340" s="42"/>
      <c r="D2340" s="4" t="str">
        <f>IF(E2340=$L2340,1,IF(E2340="","",0))</f>
        <v/>
      </c>
      <c r="E2340" s="18"/>
      <c r="F2340" s="4" t="str">
        <f>IF(G2340=$L2340,1,IF(G2340="","",0))</f>
        <v/>
      </c>
      <c r="G2340" s="14"/>
      <c r="H2340" s="6">
        <v>1158</v>
      </c>
      <c r="I2340" s="15" t="s">
        <v>3120</v>
      </c>
      <c r="J2340" s="6" t="s">
        <v>4278</v>
      </c>
      <c r="K2340" s="6"/>
      <c r="L2340" s="6" t="s">
        <v>1260</v>
      </c>
      <c r="M2340" s="6" t="s">
        <v>7266</v>
      </c>
      <c r="N2340" s="7">
        <f ca="1">RAND()</f>
        <v>0.38778488498330455</v>
      </c>
      <c r="O2340" s="8">
        <v>45206</v>
      </c>
      <c r="P2340" s="8">
        <v>45207</v>
      </c>
      <c r="Q2340" s="8">
        <v>45209</v>
      </c>
      <c r="R2340" s="8">
        <v>45213</v>
      </c>
      <c r="S2340" s="8">
        <v>45220</v>
      </c>
      <c r="T2340" s="8">
        <v>45232</v>
      </c>
      <c r="U2340" s="8">
        <v>45253</v>
      </c>
      <c r="V2340" s="10">
        <f>COUNTA(O2340:U2340)</f>
        <v>7</v>
      </c>
      <c r="W2340" s="11">
        <f>_xlfn.IFNA(INDEX(reading[[#This Row],[Memo 01]:[Memo 07]],MATCH(0,reading[[#This Row],[Memo 01]:[Memo 07]],-1)),"")</f>
        <v>45253</v>
      </c>
      <c r="X2340" s="11">
        <f ca="1">IFERROR(reading[[#This Row],[Previous]]+OFFSET(reading[[#Headers],[Memo 01]],-1,MATCH(0,reading[[#This Row],[Memo 01]:[Memo 07]],-1)-1),"")</f>
        <v>55253</v>
      </c>
      <c r="Y2340" s="10" t="str">
        <f ca="1">IF(reading[[#This Row],[Next]]&lt;&gt;"",IF(reading[[#This Row],[Next]]&gt;TODAY(),"OK",""),"")</f>
        <v>OK</v>
      </c>
      <c r="Z2340" s="13">
        <v>3</v>
      </c>
      <c r="AA2340" s="13">
        <v>2</v>
      </c>
      <c r="AB2340" s="13">
        <v>2</v>
      </c>
      <c r="AC2340" s="13">
        <v>2</v>
      </c>
      <c r="AD2340" s="13">
        <v>2</v>
      </c>
      <c r="AE2340" s="13">
        <v>3</v>
      </c>
      <c r="AF2340" s="13">
        <v>2</v>
      </c>
      <c r="AG2340" s="16">
        <f>IFERROR(SUMIF(reading[[#This Row],[1st]:[7th]],"&gt;0")/COUNTIF(reading[[#This Row],[1st]:[7th]],"&gt;0"),"")</f>
        <v>2.2857142857142856</v>
      </c>
    </row>
    <row r="2341" spans="1:33" hidden="1" x14ac:dyDescent="0.2">
      <c r="A2341" s="4">
        <f>IF(B2341=1,3,IF(D2341=1,2,IF(F2341=1,1,0)))</f>
        <v>0</v>
      </c>
      <c r="B2341" s="4" t="str">
        <f>IF(C2341=$L2341,1,IF(C2341="","",0))</f>
        <v/>
      </c>
      <c r="C2341" s="42"/>
      <c r="D2341" s="4" t="str">
        <f>IF(E2341=$L2341,1,IF(E2341="","",0))</f>
        <v/>
      </c>
      <c r="E2341" s="23"/>
      <c r="F2341" s="4" t="str">
        <f>IF(G2341=$L2341,1,IF(G2341="","",0))</f>
        <v/>
      </c>
      <c r="G2341" s="23"/>
      <c r="H2341" s="6">
        <v>2629</v>
      </c>
      <c r="I2341" s="15" t="s">
        <v>3120</v>
      </c>
      <c r="J2341" s="6" t="s">
        <v>5684</v>
      </c>
      <c r="K2341" s="6"/>
      <c r="L2341" s="6" t="s">
        <v>2670</v>
      </c>
      <c r="M2341" s="6" t="s">
        <v>8734</v>
      </c>
      <c r="N2341" s="7">
        <f ca="1">RAND()</f>
        <v>0.96827768979169648</v>
      </c>
      <c r="O2341" s="8">
        <v>45220</v>
      </c>
      <c r="P2341" s="8">
        <v>45221</v>
      </c>
      <c r="Q2341" s="8">
        <v>45223</v>
      </c>
      <c r="R2341" s="8">
        <v>45227</v>
      </c>
      <c r="S2341" s="8">
        <v>45234</v>
      </c>
      <c r="T2341" s="8">
        <v>45816</v>
      </c>
      <c r="U2341" s="8"/>
      <c r="V2341" s="10">
        <f>COUNTA(O2341:U2341)</f>
        <v>6</v>
      </c>
      <c r="W2341" s="11">
        <f>_xlfn.IFNA(INDEX(reading[[#This Row],[Memo 01]:[Memo 07]],MATCH(0,reading[[#This Row],[Memo 01]:[Memo 07]],-1)),"")</f>
        <v>45816</v>
      </c>
      <c r="X2341" s="11">
        <f ca="1">IFERROR(reading[[#This Row],[Previous]]+OFFSET(reading[[#Headers],[Memo 01]],-1,MATCH(0,reading[[#This Row],[Memo 01]:[Memo 07]],-1)-1),"")</f>
        <v>45836</v>
      </c>
      <c r="Y2341" s="10" t="str">
        <f ca="1">IF(reading[[#This Row],[Next]]&lt;&gt;"",IF(reading[[#This Row],[Next]]&gt;TODAY(),"OK",""),"")</f>
        <v>OK</v>
      </c>
      <c r="Z2341" s="13">
        <v>3</v>
      </c>
      <c r="AA2341" s="13">
        <v>3</v>
      </c>
      <c r="AB2341" s="13">
        <v>3</v>
      </c>
      <c r="AC2341" s="13">
        <v>3</v>
      </c>
      <c r="AD2341" s="13">
        <v>3</v>
      </c>
      <c r="AE2341" s="13">
        <v>1</v>
      </c>
      <c r="AF2341" s="13"/>
      <c r="AG2341" s="16">
        <f>IFERROR(SUMIF(reading[[#This Row],[1st]:[7th]],"&gt;0")/COUNTIF(reading[[#This Row],[1st]:[7th]],"&gt;0"),"")</f>
        <v>2.6666666666666665</v>
      </c>
    </row>
    <row r="2342" spans="1:33" x14ac:dyDescent="0.2">
      <c r="A2342" s="4">
        <f>IF(B2342=1,3,IF(D2342=1,2,IF(F2342=1,1,0)))</f>
        <v>0</v>
      </c>
      <c r="B2342" s="4" t="str">
        <f>IF(C2342=$L2342,1,IF(C2342="","",0))</f>
        <v/>
      </c>
      <c r="C2342" s="39"/>
      <c r="D2342" s="4" t="str">
        <f>IF(E2342=$L2342,1,IF(E2342="","",0))</f>
        <v/>
      </c>
      <c r="E2342" s="14"/>
      <c r="F2342" s="4" t="str">
        <f>IF(G2342=$L2342,1,IF(G2342="","",0))</f>
        <v/>
      </c>
      <c r="G2342" s="14"/>
      <c r="H2342" s="6">
        <v>1721</v>
      </c>
      <c r="I2342" s="15" t="s">
        <v>3120</v>
      </c>
      <c r="J2342" s="6" t="s">
        <v>4829</v>
      </c>
      <c r="K2342" s="6"/>
      <c r="L2342" s="6" t="s">
        <v>1801</v>
      </c>
      <c r="M2342" s="6" t="s">
        <v>7827</v>
      </c>
      <c r="N2342" s="7">
        <f ca="1">RAND()</f>
        <v>0.95438143467137215</v>
      </c>
      <c r="O2342" s="8">
        <v>45211</v>
      </c>
      <c r="P2342" s="8">
        <v>45212</v>
      </c>
      <c r="Q2342" s="8">
        <v>45214</v>
      </c>
      <c r="R2342" s="8">
        <v>45218</v>
      </c>
      <c r="S2342" s="8">
        <v>45225</v>
      </c>
      <c r="T2342" s="8">
        <v>45237</v>
      </c>
      <c r="U2342" s="8"/>
      <c r="V2342" s="10">
        <f>COUNTA(O2342:U2342)</f>
        <v>6</v>
      </c>
      <c r="W2342" s="11">
        <f>_xlfn.IFNA(INDEX(reading[[#This Row],[Memo 01]:[Memo 07]],MATCH(0,reading[[#This Row],[Memo 01]:[Memo 07]],-1)),"")</f>
        <v>45237</v>
      </c>
      <c r="X2342" s="11">
        <f ca="1">IFERROR(reading[[#This Row],[Previous]]+OFFSET(reading[[#Headers],[Memo 01]],-1,MATCH(0,reading[[#This Row],[Memo 01]:[Memo 07]],-1)-1),"")</f>
        <v>45257</v>
      </c>
      <c r="Y2342" s="10" t="str">
        <f ca="1">IF(reading[[#This Row],[Next]]&lt;&gt;"",IF(reading[[#This Row],[Next]]&gt;TODAY(),"OK",""),"")</f>
        <v/>
      </c>
      <c r="Z2342" s="13">
        <v>3</v>
      </c>
      <c r="AA2342" s="13">
        <v>3</v>
      </c>
      <c r="AB2342" s="13">
        <v>3</v>
      </c>
      <c r="AC2342" s="13">
        <v>3</v>
      </c>
      <c r="AD2342" s="13">
        <v>3</v>
      </c>
      <c r="AE2342" s="13">
        <v>3</v>
      </c>
      <c r="AF2342" s="13"/>
      <c r="AG2342" s="16">
        <f>IFERROR(SUMIF(reading[[#This Row],[1st]:[7th]],"&gt;0")/COUNTIF(reading[[#This Row],[1st]:[7th]],"&gt;0"),"")</f>
        <v>3</v>
      </c>
    </row>
    <row r="2343" spans="1:33" x14ac:dyDescent="0.2">
      <c r="A2343" s="4">
        <f>IF(B2343=1,3,IF(D2343=1,2,IF(F2343=1,1,0)))</f>
        <v>0</v>
      </c>
      <c r="B2343" s="4" t="str">
        <f>IF(C2343=$L2343,1,IF(C2343="","",0))</f>
        <v/>
      </c>
      <c r="C2343" s="42"/>
      <c r="D2343" s="4" t="str">
        <f>IF(E2343=$L2343,1,IF(E2343="","",0))</f>
        <v/>
      </c>
      <c r="E2343" s="14"/>
      <c r="F2343" s="4" t="str">
        <f>IF(G2343=$L2343,1,IF(G2343="","",0))</f>
        <v/>
      </c>
      <c r="G2343" s="14"/>
      <c r="H2343" s="6">
        <v>1890</v>
      </c>
      <c r="I2343" s="15" t="s">
        <v>3120</v>
      </c>
      <c r="J2343" s="6" t="s">
        <v>4992</v>
      </c>
      <c r="K2343" s="6"/>
      <c r="L2343" s="6" t="s">
        <v>56</v>
      </c>
      <c r="M2343" s="6" t="s">
        <v>7996</v>
      </c>
      <c r="N2343" s="7">
        <f ca="1">RAND()</f>
        <v>0.27081162897546229</v>
      </c>
      <c r="O2343" s="8">
        <v>45212</v>
      </c>
      <c r="P2343" s="8">
        <v>45213</v>
      </c>
      <c r="Q2343" s="8">
        <v>45215</v>
      </c>
      <c r="R2343" s="8">
        <v>45219</v>
      </c>
      <c r="S2343" s="8">
        <v>45226</v>
      </c>
      <c r="T2343" s="8">
        <v>45792</v>
      </c>
      <c r="U2343" s="8"/>
      <c r="V2343" s="10">
        <f>COUNTA(O2343:U2343)</f>
        <v>6</v>
      </c>
      <c r="W2343" s="11">
        <f>_xlfn.IFNA(INDEX(reading[[#This Row],[Memo 01]:[Memo 07]],MATCH(0,reading[[#This Row],[Memo 01]:[Memo 07]],-1)),"")</f>
        <v>45792</v>
      </c>
      <c r="X2343" s="11">
        <f ca="1">IFERROR(reading[[#This Row],[Previous]]+OFFSET(reading[[#Headers],[Memo 01]],-1,MATCH(0,reading[[#This Row],[Memo 01]:[Memo 07]],-1)-1),"")</f>
        <v>45812</v>
      </c>
      <c r="Y2343" s="10" t="str">
        <f ca="1">IF(reading[[#This Row],[Next]]&lt;&gt;"",IF(reading[[#This Row],[Next]]&gt;TODAY(),"OK",""),"")</f>
        <v/>
      </c>
      <c r="Z2343" s="13">
        <v>3</v>
      </c>
      <c r="AA2343" s="13">
        <v>3</v>
      </c>
      <c r="AB2343" s="13">
        <v>3</v>
      </c>
      <c r="AC2343" s="13">
        <v>3</v>
      </c>
      <c r="AD2343" s="13">
        <v>3</v>
      </c>
      <c r="AE2343" s="13">
        <v>3</v>
      </c>
      <c r="AF2343" s="13"/>
      <c r="AG2343" s="16">
        <f>IFERROR(SUMIF(reading[[#This Row],[1st]:[7th]],"&gt;0")/COUNTIF(reading[[#This Row],[1st]:[7th]],"&gt;0"),"")</f>
        <v>3</v>
      </c>
    </row>
    <row r="2344" spans="1:33" x14ac:dyDescent="0.2">
      <c r="A2344" s="4">
        <f>IF(B2344=1,3,IF(D2344=1,2,IF(F2344=1,1,0)))</f>
        <v>0</v>
      </c>
      <c r="B2344" s="4" t="str">
        <f>IF(C2344=$L2344,1,IF(C2344="","",0))</f>
        <v/>
      </c>
      <c r="C2344" s="39"/>
      <c r="D2344" s="4" t="str">
        <f>IF(E2344=$L2344,1,IF(E2344="","",0))</f>
        <v/>
      </c>
      <c r="E2344" s="14"/>
      <c r="F2344" s="4" t="str">
        <f>IF(G2344=$L2344,1,IF(G2344="","",0))</f>
        <v/>
      </c>
      <c r="G2344" s="14"/>
      <c r="H2344" s="6">
        <v>2332</v>
      </c>
      <c r="I2344" s="15" t="s">
        <v>3120</v>
      </c>
      <c r="J2344" s="6" t="s">
        <v>5409</v>
      </c>
      <c r="K2344" s="6"/>
      <c r="L2344" s="6" t="s">
        <v>2386</v>
      </c>
      <c r="M2344" s="6" t="s">
        <v>8437</v>
      </c>
      <c r="N2344" s="7">
        <f ca="1">RAND()</f>
        <v>0.34726315380708583</v>
      </c>
      <c r="O2344" s="8">
        <v>45216</v>
      </c>
      <c r="P2344" s="8">
        <v>45217</v>
      </c>
      <c r="Q2344" s="8">
        <v>45219</v>
      </c>
      <c r="R2344" s="8">
        <v>45223</v>
      </c>
      <c r="S2344" s="8">
        <v>45230</v>
      </c>
      <c r="T2344" s="8"/>
      <c r="U2344" s="8"/>
      <c r="V2344" s="10">
        <f>COUNTA(O2344:U2344)</f>
        <v>5</v>
      </c>
      <c r="W2344" s="11">
        <f>_xlfn.IFNA(INDEX(reading[[#This Row],[Memo 01]:[Memo 07]],MATCH(0,reading[[#This Row],[Memo 01]:[Memo 07]],-1)),"")</f>
        <v>45230</v>
      </c>
      <c r="X2344" s="11">
        <f ca="1">IFERROR(reading[[#This Row],[Previous]]+OFFSET(reading[[#Headers],[Memo 01]],-1,MATCH(0,reading[[#This Row],[Memo 01]:[Memo 07]],-1)-1),"")</f>
        <v>45242</v>
      </c>
      <c r="Y2344" s="10" t="str">
        <f ca="1">IF(reading[[#This Row],[Next]]&lt;&gt;"",IF(reading[[#This Row],[Next]]&gt;TODAY(),"OK",""),"")</f>
        <v/>
      </c>
      <c r="Z2344" s="13">
        <v>3</v>
      </c>
      <c r="AA2344" s="13">
        <v>3</v>
      </c>
      <c r="AB2344" s="13">
        <v>3</v>
      </c>
      <c r="AC2344" s="13">
        <v>3</v>
      </c>
      <c r="AD2344" s="13">
        <v>3</v>
      </c>
      <c r="AE2344" s="13"/>
      <c r="AF2344" s="13"/>
      <c r="AG2344" s="16">
        <f>IFERROR(SUMIF(reading[[#This Row],[1st]:[7th]],"&gt;0")/COUNTIF(reading[[#This Row],[1st]:[7th]],"&gt;0"),"")</f>
        <v>3</v>
      </c>
    </row>
    <row r="2345" spans="1:33" x14ac:dyDescent="0.2">
      <c r="A2345" s="4">
        <f>IF(B2345=1,3,IF(D2345=1,2,IF(F2345=1,1,0)))</f>
        <v>0</v>
      </c>
      <c r="B2345" s="4" t="str">
        <f>IF(C2345=$L2345,1,IF(C2345="","",0))</f>
        <v/>
      </c>
      <c r="C2345" s="42"/>
      <c r="D2345" s="4" t="str">
        <f>IF(E2345=$L2345,1,IF(E2345="","",0))</f>
        <v/>
      </c>
      <c r="E2345" s="14"/>
      <c r="F2345" s="4" t="str">
        <f>IF(G2345=$L2345,1,IF(G2345="","",0))</f>
        <v/>
      </c>
      <c r="G2345" s="14"/>
      <c r="H2345" s="6">
        <v>2624</v>
      </c>
      <c r="I2345" s="15" t="s">
        <v>3120</v>
      </c>
      <c r="J2345" s="6" t="s">
        <v>5679</v>
      </c>
      <c r="K2345" s="6"/>
      <c r="L2345" s="6" t="s">
        <v>2666</v>
      </c>
      <c r="M2345" s="6" t="s">
        <v>8729</v>
      </c>
      <c r="N2345" s="7">
        <f ca="1">RAND()</f>
        <v>0.14683855693997305</v>
      </c>
      <c r="O2345" s="8">
        <v>45220</v>
      </c>
      <c r="P2345" s="8">
        <v>45221</v>
      </c>
      <c r="Q2345" s="8">
        <v>45223</v>
      </c>
      <c r="R2345" s="8">
        <v>45227</v>
      </c>
      <c r="S2345" s="8">
        <v>45234</v>
      </c>
      <c r="T2345" s="8">
        <v>45792</v>
      </c>
      <c r="U2345" s="8"/>
      <c r="V2345" s="10">
        <f>COUNTA(O2345:U2345)</f>
        <v>6</v>
      </c>
      <c r="W2345" s="11">
        <f>_xlfn.IFNA(INDEX(reading[[#This Row],[Memo 01]:[Memo 07]],MATCH(0,reading[[#This Row],[Memo 01]:[Memo 07]],-1)),"")</f>
        <v>45792</v>
      </c>
      <c r="X2345" s="11">
        <f ca="1">IFERROR(reading[[#This Row],[Previous]]+OFFSET(reading[[#Headers],[Memo 01]],-1,MATCH(0,reading[[#This Row],[Memo 01]:[Memo 07]],-1)-1),"")</f>
        <v>45812</v>
      </c>
      <c r="Y2345" s="10" t="str">
        <f ca="1">IF(reading[[#This Row],[Next]]&lt;&gt;"",IF(reading[[#This Row],[Next]]&gt;TODAY(),"OK",""),"")</f>
        <v/>
      </c>
      <c r="Z2345" s="13">
        <v>3</v>
      </c>
      <c r="AA2345" s="13">
        <v>3</v>
      </c>
      <c r="AB2345" s="13">
        <v>3</v>
      </c>
      <c r="AC2345" s="13">
        <v>3</v>
      </c>
      <c r="AD2345" s="13">
        <v>3</v>
      </c>
      <c r="AE2345" s="13">
        <v>3</v>
      </c>
      <c r="AF2345" s="13"/>
      <c r="AG2345" s="16">
        <f>IFERROR(SUMIF(reading[[#This Row],[1st]:[7th]],"&gt;0")/COUNTIF(reading[[#This Row],[1st]:[7th]],"&gt;0"),"")</f>
        <v>3</v>
      </c>
    </row>
    <row r="2346" spans="1:33" x14ac:dyDescent="0.2">
      <c r="A2346" s="4">
        <f>IF(B2346=1,3,IF(D2346=1,2,IF(F2346=1,1,0)))</f>
        <v>0</v>
      </c>
      <c r="B2346" s="4" t="str">
        <f>IF(C2346=$L2346,1,IF(C2346="","",0))</f>
        <v/>
      </c>
      <c r="C2346" s="39"/>
      <c r="D2346" s="4" t="str">
        <f>IF(E2346=$L2346,1,IF(E2346="","",0))</f>
        <v/>
      </c>
      <c r="E2346" s="14"/>
      <c r="F2346" s="4" t="str">
        <f>IF(G2346=$L2346,1,IF(G2346="","",0))</f>
        <v/>
      </c>
      <c r="G2346" s="14"/>
      <c r="H2346" s="6">
        <v>1485</v>
      </c>
      <c r="I2346" s="15" t="s">
        <v>3120</v>
      </c>
      <c r="J2346" s="6" t="s">
        <v>4599</v>
      </c>
      <c r="K2346" s="6"/>
      <c r="L2346" s="6" t="s">
        <v>1571</v>
      </c>
      <c r="M2346" s="6" t="s">
        <v>7592</v>
      </c>
      <c r="N2346" s="7">
        <f ca="1">RAND()</f>
        <v>0.98327069972317171</v>
      </c>
      <c r="O2346" s="8">
        <v>45208</v>
      </c>
      <c r="P2346" s="8">
        <v>45209</v>
      </c>
      <c r="Q2346" s="8">
        <v>45211</v>
      </c>
      <c r="R2346" s="8">
        <v>45215</v>
      </c>
      <c r="S2346" s="8">
        <v>45222</v>
      </c>
      <c r="T2346" s="8">
        <v>45234</v>
      </c>
      <c r="U2346" s="8"/>
      <c r="V2346" s="10">
        <f>COUNTA(O2346:U2346)</f>
        <v>6</v>
      </c>
      <c r="W2346" s="11">
        <f>_xlfn.IFNA(INDEX(reading[[#This Row],[Memo 01]:[Memo 07]],MATCH(0,reading[[#This Row],[Memo 01]:[Memo 07]],-1)),"")</f>
        <v>45234</v>
      </c>
      <c r="X2346" s="11">
        <f ca="1">IFERROR(reading[[#This Row],[Previous]]+OFFSET(reading[[#Headers],[Memo 01]],-1,MATCH(0,reading[[#This Row],[Memo 01]:[Memo 07]],-1)-1),"")</f>
        <v>45254</v>
      </c>
      <c r="Y2346" s="10" t="str">
        <f ca="1">IF(reading[[#This Row],[Next]]&lt;&gt;"",IF(reading[[#This Row],[Next]]&gt;TODAY(),"OK",""),"")</f>
        <v/>
      </c>
      <c r="Z2346" s="13">
        <v>3</v>
      </c>
      <c r="AA2346" s="13">
        <v>3</v>
      </c>
      <c r="AB2346" s="13">
        <v>3</v>
      </c>
      <c r="AC2346" s="13">
        <v>3</v>
      </c>
      <c r="AD2346" s="13">
        <v>3</v>
      </c>
      <c r="AE2346" s="13">
        <v>3</v>
      </c>
      <c r="AF2346" s="13"/>
      <c r="AG2346" s="16">
        <f>IFERROR(SUMIF(reading[[#This Row],[1st]:[7th]],"&gt;0")/COUNTIF(reading[[#This Row],[1st]:[7th]],"&gt;0"),"")</f>
        <v>3</v>
      </c>
    </row>
    <row r="2347" spans="1:33" x14ac:dyDescent="0.2">
      <c r="A2347" s="4">
        <f>IF(B2347=1,3,IF(D2347=1,2,IF(F2347=1,1,0)))</f>
        <v>0</v>
      </c>
      <c r="B2347" s="4" t="str">
        <f>IF(C2347=$L2347,1,IF(C2347="","",0))</f>
        <v/>
      </c>
      <c r="C2347" s="42"/>
      <c r="D2347" s="4" t="str">
        <f>IF(E2347=$L2347,1,IF(E2347="","",0))</f>
        <v/>
      </c>
      <c r="E2347" s="14"/>
      <c r="F2347" s="4" t="str">
        <f>IF(G2347=$L2347,1,IF(G2347="","",0))</f>
        <v/>
      </c>
      <c r="G2347" s="14"/>
      <c r="H2347" s="6">
        <v>2435</v>
      </c>
      <c r="I2347" s="15" t="s">
        <v>3120</v>
      </c>
      <c r="J2347" s="6" t="s">
        <v>5505</v>
      </c>
      <c r="K2347" s="6"/>
      <c r="L2347" s="6" t="s">
        <v>2485</v>
      </c>
      <c r="M2347" s="6" t="s">
        <v>8540</v>
      </c>
      <c r="N2347" s="7">
        <f ca="1">RAND()</f>
        <v>0.58241339345319643</v>
      </c>
      <c r="O2347" s="8">
        <v>45217</v>
      </c>
      <c r="P2347" s="8">
        <v>45218</v>
      </c>
      <c r="Q2347" s="8">
        <v>45220</v>
      </c>
      <c r="R2347" s="8">
        <v>45224</v>
      </c>
      <c r="S2347" s="8">
        <v>45231</v>
      </c>
      <c r="T2347" s="8">
        <v>45792</v>
      </c>
      <c r="U2347" s="8"/>
      <c r="V2347" s="10">
        <f>COUNTA(O2347:U2347)</f>
        <v>6</v>
      </c>
      <c r="W2347" s="11">
        <f>_xlfn.IFNA(INDEX(reading[[#This Row],[Memo 01]:[Memo 07]],MATCH(0,reading[[#This Row],[Memo 01]:[Memo 07]],-1)),"")</f>
        <v>45792</v>
      </c>
      <c r="X2347" s="11">
        <f ca="1">IFERROR(reading[[#This Row],[Previous]]+OFFSET(reading[[#Headers],[Memo 01]],-1,MATCH(0,reading[[#This Row],[Memo 01]:[Memo 07]],-1)-1),"")</f>
        <v>45812</v>
      </c>
      <c r="Y2347" s="10" t="str">
        <f ca="1">IF(reading[[#This Row],[Next]]&lt;&gt;"",IF(reading[[#This Row],[Next]]&gt;TODAY(),"OK",""),"")</f>
        <v/>
      </c>
      <c r="Z2347" s="13">
        <v>3</v>
      </c>
      <c r="AA2347" s="13">
        <v>3</v>
      </c>
      <c r="AB2347" s="13">
        <v>3</v>
      </c>
      <c r="AC2347" s="13">
        <v>3</v>
      </c>
      <c r="AD2347" s="13">
        <v>3</v>
      </c>
      <c r="AE2347" s="13">
        <v>3</v>
      </c>
      <c r="AF2347" s="13"/>
      <c r="AG2347" s="16">
        <f>IFERROR(SUMIF(reading[[#This Row],[1st]:[7th]],"&gt;0")/COUNTIF(reading[[#This Row],[1st]:[7th]],"&gt;0"),"")</f>
        <v>3</v>
      </c>
    </row>
    <row r="2348" spans="1:33" hidden="1" x14ac:dyDescent="0.2">
      <c r="A2348" s="4">
        <f>IF(B2348=1,3,IF(D2348=1,2,IF(F2348=1,1,0)))</f>
        <v>3</v>
      </c>
      <c r="B2348" s="4">
        <f>IF(C2348=$L2348,1,IF(C2348="","",0))</f>
        <v>1</v>
      </c>
      <c r="C2348" s="34" t="s">
        <v>2405</v>
      </c>
      <c r="D2348" s="4" t="str">
        <f>IF(E2348=$L2348,1,IF(E2348="","",0))</f>
        <v/>
      </c>
      <c r="E2348" s="14"/>
      <c r="F2348" s="4" t="str">
        <f>IF(G2348=$L2348,1,IF(G2348="","",0))</f>
        <v/>
      </c>
      <c r="G2348" s="14"/>
      <c r="H2348" s="6">
        <v>2352</v>
      </c>
      <c r="I2348" s="15" t="s">
        <v>3120</v>
      </c>
      <c r="J2348" s="6" t="s">
        <v>5429</v>
      </c>
      <c r="K2348" s="6"/>
      <c r="L2348" s="6" t="s">
        <v>2405</v>
      </c>
      <c r="M2348" s="6" t="s">
        <v>8457</v>
      </c>
      <c r="N2348" s="7">
        <f ca="1">RAND()</f>
        <v>0.9149450172681326</v>
      </c>
      <c r="O2348" s="8">
        <v>45216</v>
      </c>
      <c r="P2348" s="8">
        <v>45216</v>
      </c>
      <c r="Q2348" s="8">
        <v>45216</v>
      </c>
      <c r="R2348" s="8">
        <v>45216</v>
      </c>
      <c r="S2348" s="8">
        <v>45216</v>
      </c>
      <c r="T2348" s="8">
        <v>45216</v>
      </c>
      <c r="U2348" s="8">
        <v>45216</v>
      </c>
      <c r="V2348" s="10">
        <f>COUNTA(O2348:U2348)</f>
        <v>7</v>
      </c>
      <c r="W2348" s="11">
        <f>_xlfn.IFNA(INDEX(reading[[#This Row],[Memo 01]:[Memo 07]],MATCH(0,reading[[#This Row],[Memo 01]:[Memo 07]],-1)),"")</f>
        <v>45216</v>
      </c>
      <c r="X2348" s="11">
        <f ca="1">IFERROR(reading[[#This Row],[Previous]]+OFFSET(reading[[#Headers],[Memo 01]],-1,MATCH(0,reading[[#This Row],[Memo 01]:[Memo 07]],-1)-1),"")</f>
        <v>55216</v>
      </c>
      <c r="Y2348" s="10" t="str">
        <f ca="1">IF(reading[[#This Row],[Next]]&lt;&gt;"",IF(reading[[#This Row],[Next]]&gt;TODAY(),"OK",""),"")</f>
        <v>OK</v>
      </c>
      <c r="Z2348" s="13">
        <v>3</v>
      </c>
      <c r="AA2348" s="13"/>
      <c r="AB2348" s="13"/>
      <c r="AC2348" s="13"/>
      <c r="AD2348" s="13"/>
      <c r="AE2348" s="13"/>
      <c r="AF2348" s="13"/>
      <c r="AG2348" s="16">
        <f>IFERROR(SUMIF(reading[[#This Row],[1st]:[7th]],"&gt;0")/COUNTIF(reading[[#This Row],[1st]:[7th]],"&gt;0"),"")</f>
        <v>3</v>
      </c>
    </row>
    <row r="2349" spans="1:33" x14ac:dyDescent="0.2">
      <c r="A2349" s="4">
        <f>IF(B2349=1,3,IF(D2349=1,2,IF(F2349=1,1,0)))</f>
        <v>0</v>
      </c>
      <c r="B2349" s="4" t="str">
        <f>IF(C2349=$L2349,1,IF(C2349="","",0))</f>
        <v/>
      </c>
      <c r="C2349" s="39"/>
      <c r="D2349" s="4" t="str">
        <f>IF(E2349=$L2349,1,IF(E2349="","",0))</f>
        <v/>
      </c>
      <c r="E2349" s="14"/>
      <c r="F2349" s="4" t="str">
        <f>IF(G2349=$L2349,1,IF(G2349="","",0))</f>
        <v/>
      </c>
      <c r="G2349" s="14"/>
      <c r="H2349" s="6">
        <v>944</v>
      </c>
      <c r="I2349" s="15" t="s">
        <v>3120</v>
      </c>
      <c r="J2349" s="6" t="s">
        <v>4074</v>
      </c>
      <c r="K2349" s="6" t="s">
        <v>3139</v>
      </c>
      <c r="L2349" s="6" t="s">
        <v>1054</v>
      </c>
      <c r="M2349" s="6" t="s">
        <v>7052</v>
      </c>
      <c r="N2349" s="7">
        <f ca="1">RAND()</f>
        <v>0.53817257317583778</v>
      </c>
      <c r="O2349" s="8">
        <v>45204</v>
      </c>
      <c r="P2349" s="8">
        <v>45205</v>
      </c>
      <c r="Q2349" s="8">
        <v>45207</v>
      </c>
      <c r="R2349" s="8">
        <v>45212</v>
      </c>
      <c r="S2349" s="8">
        <v>45219</v>
      </c>
      <c r="T2349" s="8">
        <v>45231</v>
      </c>
      <c r="U2349" s="8"/>
      <c r="V2349" s="10">
        <f>COUNTA(O2349:U2349)</f>
        <v>6</v>
      </c>
      <c r="W2349" s="11">
        <f>_xlfn.IFNA(INDEX(reading[[#This Row],[Memo 01]:[Memo 07]],MATCH(0,reading[[#This Row],[Memo 01]:[Memo 07]],-1)),"")</f>
        <v>45231</v>
      </c>
      <c r="X2349" s="11">
        <f ca="1">IFERROR(reading[[#This Row],[Previous]]+OFFSET(reading[[#Headers],[Memo 01]],-1,MATCH(0,reading[[#This Row],[Memo 01]:[Memo 07]],-1)-1),"")</f>
        <v>45251</v>
      </c>
      <c r="Y2349" s="10" t="str">
        <f ca="1">IF(reading[[#This Row],[Next]]&lt;&gt;"",IF(reading[[#This Row],[Next]]&gt;TODAY(),"OK",""),"")</f>
        <v/>
      </c>
      <c r="Z2349" s="13">
        <v>3</v>
      </c>
      <c r="AA2349" s="13">
        <v>3</v>
      </c>
      <c r="AB2349" s="13">
        <v>3</v>
      </c>
      <c r="AC2349" s="13">
        <v>2</v>
      </c>
      <c r="AD2349" s="13">
        <v>3</v>
      </c>
      <c r="AE2349" s="13">
        <v>3</v>
      </c>
      <c r="AF2349" s="13"/>
      <c r="AG2349" s="16">
        <f>IFERROR(SUMIF(reading[[#This Row],[1st]:[7th]],"&gt;0")/COUNTIF(reading[[#This Row],[1st]:[7th]],"&gt;0"),"")</f>
        <v>2.8333333333333335</v>
      </c>
    </row>
    <row r="2350" spans="1:33" hidden="1" x14ac:dyDescent="0.2">
      <c r="A2350" s="4">
        <f>IF(B2350=1,3,IF(D2350=1,2,IF(F2350=1,1,0)))</f>
        <v>0</v>
      </c>
      <c r="B2350" s="4" t="str">
        <f>IF(C2350=$L2350,1,IF(C2350="","",0))</f>
        <v/>
      </c>
      <c r="C2350" s="42"/>
      <c r="D2350" s="4" t="str">
        <f>IF(E2350=$L2350,1,IF(E2350="","",0))</f>
        <v/>
      </c>
      <c r="E2350" s="23"/>
      <c r="F2350" s="4" t="str">
        <f>IF(G2350=$L2350,1,IF(G2350="","",0))</f>
        <v/>
      </c>
      <c r="G2350" s="14"/>
      <c r="H2350" s="6">
        <v>2262</v>
      </c>
      <c r="I2350" s="15" t="s">
        <v>3120</v>
      </c>
      <c r="J2350" s="6" t="s">
        <v>5344</v>
      </c>
      <c r="K2350" s="6"/>
      <c r="L2350" s="6" t="s">
        <v>2322</v>
      </c>
      <c r="M2350" s="6" t="s">
        <v>8367</v>
      </c>
      <c r="N2350" s="7">
        <f ca="1">RAND()</f>
        <v>0.56856168239041138</v>
      </c>
      <c r="O2350" s="8">
        <v>45215</v>
      </c>
      <c r="P2350" s="8">
        <v>45216</v>
      </c>
      <c r="Q2350" s="8">
        <v>45218</v>
      </c>
      <c r="R2350" s="8">
        <v>45222</v>
      </c>
      <c r="S2350" s="8">
        <v>45229</v>
      </c>
      <c r="T2350" s="8">
        <v>45825</v>
      </c>
      <c r="U2350" s="8"/>
      <c r="V2350" s="10">
        <f>COUNTA(O2350:U2350)</f>
        <v>6</v>
      </c>
      <c r="W2350" s="11">
        <f>_xlfn.IFNA(INDEX(reading[[#This Row],[Memo 01]:[Memo 07]],MATCH(0,reading[[#This Row],[Memo 01]:[Memo 07]],-1)),"")</f>
        <v>45825</v>
      </c>
      <c r="X2350" s="11">
        <f ca="1">IFERROR(reading[[#This Row],[Previous]]+OFFSET(reading[[#Headers],[Memo 01]],-1,MATCH(0,reading[[#This Row],[Memo 01]:[Memo 07]],-1)-1),"")</f>
        <v>45845</v>
      </c>
      <c r="Y2350" s="10" t="str">
        <f ca="1">IF(reading[[#This Row],[Next]]&lt;&gt;"",IF(reading[[#This Row],[Next]]&gt;TODAY(),"OK",""),"")</f>
        <v>OK</v>
      </c>
      <c r="Z2350" s="13">
        <v>3</v>
      </c>
      <c r="AA2350" s="13">
        <v>3</v>
      </c>
      <c r="AB2350" s="13">
        <v>3</v>
      </c>
      <c r="AC2350" s="13">
        <v>3</v>
      </c>
      <c r="AD2350" s="13">
        <v>3</v>
      </c>
      <c r="AE2350" s="13">
        <v>2</v>
      </c>
      <c r="AF2350" s="13"/>
      <c r="AG2350" s="16">
        <f>IFERROR(SUMIF(reading[[#This Row],[1st]:[7th]],"&gt;0")/COUNTIF(reading[[#This Row],[1st]:[7th]],"&gt;0"),"")</f>
        <v>2.8333333333333335</v>
      </c>
    </row>
    <row r="2351" spans="1:33" x14ac:dyDescent="0.2">
      <c r="A2351" s="4">
        <f>IF(B2351=1,3,IF(D2351=1,2,IF(F2351=1,1,0)))</f>
        <v>0</v>
      </c>
      <c r="B2351" s="4" t="str">
        <f>IF(C2351=$L2351,1,IF(C2351="","",0))</f>
        <v/>
      </c>
      <c r="C2351" s="41"/>
      <c r="D2351" s="4" t="str">
        <f>IF(E2351=$L2351,1,IF(E2351="","",0))</f>
        <v/>
      </c>
      <c r="E2351" s="18"/>
      <c r="F2351" s="4" t="str">
        <f>IF(G2351=$L2351,1,IF(G2351="","",0))</f>
        <v/>
      </c>
      <c r="G2351" s="14"/>
      <c r="H2351" s="6">
        <v>3094</v>
      </c>
      <c r="I2351" s="15" t="s">
        <v>3120</v>
      </c>
      <c r="J2351" s="6" t="s">
        <v>6113</v>
      </c>
      <c r="K2351" s="6"/>
      <c r="L2351" s="6" t="s">
        <v>3118</v>
      </c>
      <c r="M2351" s="6" t="s">
        <v>9197</v>
      </c>
      <c r="N2351" s="7">
        <f ca="1">RAND()</f>
        <v>8.6257276802135463E-2</v>
      </c>
      <c r="O2351" s="8">
        <v>45224</v>
      </c>
      <c r="P2351" s="8">
        <v>45225</v>
      </c>
      <c r="Q2351" s="8">
        <v>45227</v>
      </c>
      <c r="R2351" s="8">
        <v>45231</v>
      </c>
      <c r="S2351" s="8">
        <v>45249</v>
      </c>
      <c r="T2351" s="8"/>
      <c r="U2351" s="8"/>
      <c r="V2351" s="10">
        <f>COUNTA(O2351:U2351)</f>
        <v>5</v>
      </c>
      <c r="W2351" s="11">
        <f>_xlfn.IFNA(INDEX(reading[[#This Row],[Memo 01]:[Memo 07]],MATCH(0,reading[[#This Row],[Memo 01]:[Memo 07]],-1)),"")</f>
        <v>45249</v>
      </c>
      <c r="X2351" s="11">
        <f ca="1">IFERROR(reading[[#This Row],[Previous]]+OFFSET(reading[[#Headers],[Memo 01]],-1,MATCH(0,reading[[#This Row],[Memo 01]:[Memo 07]],-1)-1),"")</f>
        <v>45261</v>
      </c>
      <c r="Y2351" s="10" t="str">
        <f ca="1">IF(reading[[#This Row],[Next]]&lt;&gt;"",IF(reading[[#This Row],[Next]]&gt;TODAY(),"OK",""),"")</f>
        <v/>
      </c>
      <c r="Z2351" s="13">
        <v>3</v>
      </c>
      <c r="AA2351" s="13">
        <v>3</v>
      </c>
      <c r="AB2351" s="13">
        <v>2</v>
      </c>
      <c r="AC2351" s="13">
        <v>3</v>
      </c>
      <c r="AD2351" s="13">
        <v>3</v>
      </c>
      <c r="AE2351" s="13"/>
      <c r="AF2351" s="13"/>
      <c r="AG2351" s="16">
        <f>IFERROR(SUMIF(reading[[#This Row],[1st]:[7th]],"&gt;0")/COUNTIF(reading[[#This Row],[1st]:[7th]],"&gt;0"),"")</f>
        <v>2.8</v>
      </c>
    </row>
    <row r="2352" spans="1:33" hidden="1" x14ac:dyDescent="0.2">
      <c r="A2352" s="4">
        <f>IF(B2352=1,3,IF(D2352=1,2,IF(F2352=1,1,0)))</f>
        <v>0</v>
      </c>
      <c r="B2352" s="4" t="str">
        <f>IF(C2352=$L2352,1,IF(C2352="","",0))</f>
        <v/>
      </c>
      <c r="C2352" s="42"/>
      <c r="D2352" s="4" t="str">
        <f>IF(E2352=$L2352,1,IF(E2352="","",0))</f>
        <v/>
      </c>
      <c r="E2352" s="23"/>
      <c r="F2352" s="4" t="str">
        <f>IF(G2352=$L2352,1,IF(G2352="","",0))</f>
        <v/>
      </c>
      <c r="G2352" s="23"/>
      <c r="H2352" s="6">
        <v>1060</v>
      </c>
      <c r="I2352" s="15" t="s">
        <v>3120</v>
      </c>
      <c r="J2352" s="6" t="s">
        <v>4187</v>
      </c>
      <c r="K2352" s="6"/>
      <c r="L2352" s="6" t="s">
        <v>1168</v>
      </c>
      <c r="M2352" s="6" t="s">
        <v>7168</v>
      </c>
      <c r="N2352" s="7">
        <f ca="1">RAND()</f>
        <v>0.58242420651197957</v>
      </c>
      <c r="O2352" s="8">
        <v>45205</v>
      </c>
      <c r="P2352" s="8">
        <v>45206</v>
      </c>
      <c r="Q2352" s="8">
        <v>45213</v>
      </c>
      <c r="R2352" s="8">
        <v>45217</v>
      </c>
      <c r="S2352" s="8">
        <v>45224</v>
      </c>
      <c r="T2352" s="8">
        <v>45236</v>
      </c>
      <c r="U2352" s="8">
        <v>45817</v>
      </c>
      <c r="V2352" s="10">
        <f>COUNTA(O2352:U2352)</f>
        <v>7</v>
      </c>
      <c r="W2352" s="11">
        <f>_xlfn.IFNA(INDEX(reading[[#This Row],[Memo 01]:[Memo 07]],MATCH(0,reading[[#This Row],[Memo 01]:[Memo 07]],-1)),"")</f>
        <v>45817</v>
      </c>
      <c r="X2352" s="11">
        <f ca="1">IFERROR(reading[[#This Row],[Previous]]+OFFSET(reading[[#Headers],[Memo 01]],-1,MATCH(0,reading[[#This Row],[Memo 01]:[Memo 07]],-1)-1),"")</f>
        <v>55817</v>
      </c>
      <c r="Y2352" s="10" t="str">
        <f ca="1">IF(reading[[#This Row],[Next]]&lt;&gt;"",IF(reading[[#This Row],[Next]]&gt;TODAY(),"OK",""),"")</f>
        <v>OK</v>
      </c>
      <c r="Z2352" s="13">
        <v>3</v>
      </c>
      <c r="AA2352" s="13">
        <v>2</v>
      </c>
      <c r="AB2352" s="13">
        <v>3</v>
      </c>
      <c r="AC2352" s="13">
        <v>2</v>
      </c>
      <c r="AD2352" s="13">
        <v>2</v>
      </c>
      <c r="AE2352" s="13">
        <v>3</v>
      </c>
      <c r="AF2352" s="13">
        <v>1</v>
      </c>
      <c r="AG2352" s="16">
        <f>IFERROR(SUMIF(reading[[#This Row],[1st]:[7th]],"&gt;0")/COUNTIF(reading[[#This Row],[1st]:[7th]],"&gt;0"),"")</f>
        <v>2.2857142857142856</v>
      </c>
    </row>
    <row r="2353" spans="1:33" x14ac:dyDescent="0.2">
      <c r="A2353" s="4">
        <f>IF(B2353=1,3,IF(D2353=1,2,IF(F2353=1,1,0)))</f>
        <v>0</v>
      </c>
      <c r="B2353" s="4" t="str">
        <f>IF(C2353=$L2353,1,IF(C2353="","",0))</f>
        <v/>
      </c>
      <c r="C2353" s="38"/>
      <c r="D2353" s="4" t="str">
        <f>IF(E2353=$L2353,1,IF(E2353="","",0))</f>
        <v/>
      </c>
      <c r="E2353" s="14"/>
      <c r="F2353" s="4" t="str">
        <f>IF(G2353=$L2353,1,IF(G2353="","",0))</f>
        <v/>
      </c>
      <c r="G2353" s="14"/>
      <c r="H2353" s="6">
        <v>694</v>
      </c>
      <c r="I2353" s="15" t="s">
        <v>3120</v>
      </c>
      <c r="J2353" s="6" t="s">
        <v>3833</v>
      </c>
      <c r="K2353" s="6"/>
      <c r="L2353" s="6" t="s">
        <v>817</v>
      </c>
      <c r="M2353" s="6" t="s">
        <v>6803</v>
      </c>
      <c r="N2353" s="7">
        <f ca="1">RAND()</f>
        <v>0.78536112048078066</v>
      </c>
      <c r="O2353" s="8">
        <v>45203</v>
      </c>
      <c r="P2353" s="8">
        <v>45204</v>
      </c>
      <c r="Q2353" s="8">
        <v>45206</v>
      </c>
      <c r="R2353" s="8">
        <v>45210</v>
      </c>
      <c r="S2353" s="8">
        <v>45217</v>
      </c>
      <c r="T2353" s="8">
        <v>45229</v>
      </c>
      <c r="U2353" s="8"/>
      <c r="V2353" s="10">
        <f>COUNTA(O2353:U2353)</f>
        <v>6</v>
      </c>
      <c r="W2353" s="11">
        <f>_xlfn.IFNA(INDEX(reading[[#This Row],[Memo 01]:[Memo 07]],MATCH(0,reading[[#This Row],[Memo 01]:[Memo 07]],-1)),"")</f>
        <v>45229</v>
      </c>
      <c r="X2353" s="11">
        <f ca="1">IFERROR(reading[[#This Row],[Previous]]+OFFSET(reading[[#Headers],[Memo 01]],-1,MATCH(0,reading[[#This Row],[Memo 01]:[Memo 07]],-1)-1),"")</f>
        <v>45249</v>
      </c>
      <c r="Y2353" s="10" t="str">
        <f ca="1">IF(reading[[#This Row],[Next]]&lt;&gt;"",IF(reading[[#This Row],[Next]]&gt;TODAY(),"OK",""),"")</f>
        <v/>
      </c>
      <c r="Z2353" s="13">
        <v>3</v>
      </c>
      <c r="AA2353" s="13">
        <v>3</v>
      </c>
      <c r="AB2353" s="13">
        <v>3</v>
      </c>
      <c r="AC2353" s="13">
        <v>3</v>
      </c>
      <c r="AD2353" s="13">
        <v>3</v>
      </c>
      <c r="AE2353" s="13">
        <v>3</v>
      </c>
      <c r="AF2353" s="13"/>
      <c r="AG2353" s="16">
        <f>IFERROR(SUMIF(reading[[#This Row],[1st]:[7th]],"&gt;0")/COUNTIF(reading[[#This Row],[1st]:[7th]],"&gt;0"),"")</f>
        <v>3</v>
      </c>
    </row>
    <row r="2354" spans="1:33" x14ac:dyDescent="0.2">
      <c r="A2354" s="4">
        <f>IF(B2354=1,3,IF(D2354=1,2,IF(F2354=1,1,0)))</f>
        <v>0</v>
      </c>
      <c r="B2354" s="4" t="str">
        <f>IF(C2354=$L2354,1,IF(C2354="","",0))</f>
        <v/>
      </c>
      <c r="C2354" s="42"/>
      <c r="D2354" s="4" t="str">
        <f>IF(E2354=$L2354,1,IF(E2354="","",0))</f>
        <v/>
      </c>
      <c r="E2354" s="14"/>
      <c r="F2354" s="4" t="str">
        <f>IF(G2354=$L2354,1,IF(G2354="","",0))</f>
        <v/>
      </c>
      <c r="G2354" s="14"/>
      <c r="H2354" s="6">
        <v>2296</v>
      </c>
      <c r="I2354" s="15" t="s">
        <v>3120</v>
      </c>
      <c r="J2354" s="6" t="s">
        <v>5376</v>
      </c>
      <c r="K2354" s="15" t="s">
        <v>3138</v>
      </c>
      <c r="L2354" s="6" t="s">
        <v>2354</v>
      </c>
      <c r="M2354" s="6" t="s">
        <v>8401</v>
      </c>
      <c r="N2354" s="7">
        <f ca="1">RAND()</f>
        <v>0.72726137595422913</v>
      </c>
      <c r="O2354" s="8">
        <v>45215</v>
      </c>
      <c r="P2354" s="8">
        <v>45216</v>
      </c>
      <c r="Q2354" s="8">
        <v>45218</v>
      </c>
      <c r="R2354" s="8">
        <v>45222</v>
      </c>
      <c r="S2354" s="8">
        <v>45229</v>
      </c>
      <c r="T2354" s="8">
        <v>45792</v>
      </c>
      <c r="U2354" s="8"/>
      <c r="V2354" s="10">
        <f>COUNTA(O2354:U2354)</f>
        <v>6</v>
      </c>
      <c r="W2354" s="11">
        <f>_xlfn.IFNA(INDEX(reading[[#This Row],[Memo 01]:[Memo 07]],MATCH(0,reading[[#This Row],[Memo 01]:[Memo 07]],-1)),"")</f>
        <v>45792</v>
      </c>
      <c r="X2354" s="11">
        <f ca="1">IFERROR(reading[[#This Row],[Previous]]+OFFSET(reading[[#Headers],[Memo 01]],-1,MATCH(0,reading[[#This Row],[Memo 01]:[Memo 07]],-1)-1),"")</f>
        <v>45812</v>
      </c>
      <c r="Y2354" s="10" t="str">
        <f ca="1">IF(reading[[#This Row],[Next]]&lt;&gt;"",IF(reading[[#This Row],[Next]]&gt;TODAY(),"OK",""),"")</f>
        <v/>
      </c>
      <c r="Z2354" s="13">
        <v>3</v>
      </c>
      <c r="AA2354" s="13">
        <v>3</v>
      </c>
      <c r="AB2354" s="13">
        <v>3</v>
      </c>
      <c r="AC2354" s="13">
        <v>3</v>
      </c>
      <c r="AD2354" s="13">
        <v>3</v>
      </c>
      <c r="AE2354" s="13">
        <v>3</v>
      </c>
      <c r="AF2354" s="13"/>
      <c r="AG2354" s="16">
        <f>IFERROR(SUMIF(reading[[#This Row],[1st]:[7th]],"&gt;0")/COUNTIF(reading[[#This Row],[1st]:[7th]],"&gt;0"),"")</f>
        <v>3</v>
      </c>
    </row>
    <row r="2355" spans="1:33" x14ac:dyDescent="0.2">
      <c r="A2355" s="4">
        <f>IF(B2355=1,3,IF(D2355=1,2,IF(F2355=1,1,0)))</f>
        <v>0</v>
      </c>
      <c r="B2355" s="4" t="str">
        <f>IF(C2355=$L2355,1,IF(C2355="","",0))</f>
        <v/>
      </c>
      <c r="C2355" s="39"/>
      <c r="D2355" s="4" t="str">
        <f>IF(E2355=$L2355,1,IF(E2355="","",0))</f>
        <v/>
      </c>
      <c r="E2355" s="14"/>
      <c r="F2355" s="4" t="str">
        <f>IF(G2355=$L2355,1,IF(G2355="","",0))</f>
        <v/>
      </c>
      <c r="G2355" s="14"/>
      <c r="H2355" s="6">
        <v>1122</v>
      </c>
      <c r="I2355" s="15" t="s">
        <v>3120</v>
      </c>
      <c r="J2355" s="6" t="s">
        <v>4244</v>
      </c>
      <c r="K2355" s="6"/>
      <c r="L2355" s="6" t="s">
        <v>1227</v>
      </c>
      <c r="M2355" s="6" t="s">
        <v>7230</v>
      </c>
      <c r="N2355" s="7">
        <f ca="1">RAND()</f>
        <v>0.30971286061187286</v>
      </c>
      <c r="O2355" s="8">
        <v>45205</v>
      </c>
      <c r="P2355" s="8">
        <v>45206</v>
      </c>
      <c r="Q2355" s="8">
        <v>45208</v>
      </c>
      <c r="R2355" s="8">
        <v>45212</v>
      </c>
      <c r="S2355" s="8">
        <v>45219</v>
      </c>
      <c r="T2355" s="8">
        <v>45231</v>
      </c>
      <c r="U2355" s="8"/>
      <c r="V2355" s="10">
        <f>COUNTA(O2355:U2355)</f>
        <v>6</v>
      </c>
      <c r="W2355" s="11">
        <f>_xlfn.IFNA(INDEX(reading[[#This Row],[Memo 01]:[Memo 07]],MATCH(0,reading[[#This Row],[Memo 01]:[Memo 07]],-1)),"")</f>
        <v>45231</v>
      </c>
      <c r="X2355" s="11">
        <f ca="1">IFERROR(reading[[#This Row],[Previous]]+OFFSET(reading[[#Headers],[Memo 01]],-1,MATCH(0,reading[[#This Row],[Memo 01]:[Memo 07]],-1)-1),"")</f>
        <v>45251</v>
      </c>
      <c r="Y2355" s="10" t="str">
        <f ca="1">IF(reading[[#This Row],[Next]]&lt;&gt;"",IF(reading[[#This Row],[Next]]&gt;TODAY(),"OK",""),"")</f>
        <v/>
      </c>
      <c r="Z2355" s="13">
        <v>3</v>
      </c>
      <c r="AA2355" s="13">
        <v>3</v>
      </c>
      <c r="AB2355" s="13">
        <v>3</v>
      </c>
      <c r="AC2355" s="13">
        <v>3</v>
      </c>
      <c r="AD2355" s="13">
        <v>3</v>
      </c>
      <c r="AE2355" s="13">
        <v>3</v>
      </c>
      <c r="AF2355" s="13"/>
      <c r="AG2355" s="16">
        <f>IFERROR(SUMIF(reading[[#This Row],[1st]:[7th]],"&gt;0")/COUNTIF(reading[[#This Row],[1st]:[7th]],"&gt;0"),"")</f>
        <v>3</v>
      </c>
    </row>
    <row r="2356" spans="1:33" x14ac:dyDescent="0.2">
      <c r="A2356" s="4">
        <f>IF(B2356=1,3,IF(D2356=1,2,IF(F2356=1,1,0)))</f>
        <v>0</v>
      </c>
      <c r="B2356" s="4" t="str">
        <f>IF(C2356=$L2356,1,IF(C2356="","",0))</f>
        <v/>
      </c>
      <c r="C2356" s="38"/>
      <c r="D2356" s="4" t="str">
        <f>IF(E2356=$L2356,1,IF(E2356="","",0))</f>
        <v/>
      </c>
      <c r="E2356" s="14"/>
      <c r="F2356" s="4" t="str">
        <f>IF(G2356=$L2356,1,IF(G2356="","",0))</f>
        <v/>
      </c>
      <c r="G2356" s="14"/>
      <c r="H2356" s="6">
        <v>609</v>
      </c>
      <c r="I2356" s="15" t="s">
        <v>3120</v>
      </c>
      <c r="J2356" s="6" t="s">
        <v>3751</v>
      </c>
      <c r="K2356" s="6"/>
      <c r="L2356" s="6" t="s">
        <v>733</v>
      </c>
      <c r="M2356" s="6" t="s">
        <v>6718</v>
      </c>
      <c r="N2356" s="7">
        <f ca="1">RAND()</f>
        <v>0.10955972778407019</v>
      </c>
      <c r="O2356" s="8">
        <v>45202</v>
      </c>
      <c r="P2356" s="8">
        <v>45203</v>
      </c>
      <c r="Q2356" s="8">
        <v>45205</v>
      </c>
      <c r="R2356" s="8">
        <v>45209</v>
      </c>
      <c r="S2356" s="8">
        <v>45216</v>
      </c>
      <c r="T2356" s="8">
        <v>45228</v>
      </c>
      <c r="U2356" s="8"/>
      <c r="V2356" s="10">
        <f>COUNTA(O2356:U2356)</f>
        <v>6</v>
      </c>
      <c r="W2356" s="11">
        <f>_xlfn.IFNA(INDEX(reading[[#This Row],[Memo 01]:[Memo 07]],MATCH(0,reading[[#This Row],[Memo 01]:[Memo 07]],-1)),"")</f>
        <v>45228</v>
      </c>
      <c r="X2356" s="11">
        <f ca="1">IFERROR(reading[[#This Row],[Previous]]+OFFSET(reading[[#Headers],[Memo 01]],-1,MATCH(0,reading[[#This Row],[Memo 01]:[Memo 07]],-1)-1),"")</f>
        <v>45248</v>
      </c>
      <c r="Y2356" s="10" t="str">
        <f ca="1">IF(reading[[#This Row],[Next]]&lt;&gt;"",IF(reading[[#This Row],[Next]]&gt;TODAY(),"OK",""),"")</f>
        <v/>
      </c>
      <c r="Z2356" s="13">
        <v>3</v>
      </c>
      <c r="AA2356" s="13">
        <v>3</v>
      </c>
      <c r="AB2356" s="13">
        <v>3</v>
      </c>
      <c r="AC2356" s="13">
        <v>3</v>
      </c>
      <c r="AD2356" s="13">
        <v>3</v>
      </c>
      <c r="AE2356" s="13">
        <v>3</v>
      </c>
      <c r="AF2356" s="13"/>
      <c r="AG2356" s="16">
        <f>IFERROR(SUMIF(reading[[#This Row],[1st]:[7th]],"&gt;0")/COUNTIF(reading[[#This Row],[1st]:[7th]],"&gt;0"),"")</f>
        <v>3</v>
      </c>
    </row>
    <row r="2357" spans="1:33" x14ac:dyDescent="0.2">
      <c r="A2357" s="4">
        <f>IF(B2357=1,3,IF(D2357=1,2,IF(F2357=1,1,0)))</f>
        <v>0</v>
      </c>
      <c r="B2357" s="4" t="str">
        <f>IF(C2357=$L2357,1,IF(C2357="","",0))</f>
        <v/>
      </c>
      <c r="C2357" s="38"/>
      <c r="D2357" s="4" t="str">
        <f>IF(E2357=$L2357,1,IF(E2357="","",0))</f>
        <v/>
      </c>
      <c r="E2357" s="14"/>
      <c r="F2357" s="4" t="str">
        <f>IF(G2357=$L2357,1,IF(G2357="","",0))</f>
        <v/>
      </c>
      <c r="G2357" s="14"/>
      <c r="H2357" s="6">
        <v>449</v>
      </c>
      <c r="I2357" s="15" t="s">
        <v>3120</v>
      </c>
      <c r="J2357" s="6" t="s">
        <v>3595</v>
      </c>
      <c r="K2357" s="24" t="s">
        <v>3142</v>
      </c>
      <c r="L2357" s="6" t="s">
        <v>578</v>
      </c>
      <c r="M2357" s="6" t="s">
        <v>6558</v>
      </c>
      <c r="N2357" s="7">
        <f ca="1">RAND()</f>
        <v>0.40853236518802061</v>
      </c>
      <c r="O2357" s="8">
        <v>45202</v>
      </c>
      <c r="P2357" s="8">
        <v>45203</v>
      </c>
      <c r="Q2357" s="8">
        <v>45205</v>
      </c>
      <c r="R2357" s="8">
        <v>45209</v>
      </c>
      <c r="S2357" s="8">
        <v>45216</v>
      </c>
      <c r="T2357" s="8">
        <v>45228</v>
      </c>
      <c r="U2357" s="8"/>
      <c r="V2357" s="10">
        <f>COUNTA(O2357:U2357)</f>
        <v>6</v>
      </c>
      <c r="W2357" s="11">
        <f>_xlfn.IFNA(INDEX(reading[[#This Row],[Memo 01]:[Memo 07]],MATCH(0,reading[[#This Row],[Memo 01]:[Memo 07]],-1)),"")</f>
        <v>45228</v>
      </c>
      <c r="X2357" s="11">
        <f ca="1">IFERROR(reading[[#This Row],[Previous]]+OFFSET(reading[[#Headers],[Memo 01]],-1,MATCH(0,reading[[#This Row],[Memo 01]:[Memo 07]],-1)-1),"")</f>
        <v>45248</v>
      </c>
      <c r="Y2357" s="10" t="str">
        <f ca="1">IF(reading[[#This Row],[Next]]&lt;&gt;"",IF(reading[[#This Row],[Next]]&gt;TODAY(),"OK",""),"")</f>
        <v/>
      </c>
      <c r="Z2357" s="13">
        <v>3</v>
      </c>
      <c r="AA2357" s="13">
        <v>3</v>
      </c>
      <c r="AB2357" s="13">
        <v>3</v>
      </c>
      <c r="AC2357" s="13">
        <v>3</v>
      </c>
      <c r="AD2357" s="13">
        <v>3</v>
      </c>
      <c r="AE2357" s="13">
        <v>3</v>
      </c>
      <c r="AF2357" s="13"/>
      <c r="AG2357" s="16">
        <f>IFERROR(SUMIF(reading[[#This Row],[1st]:[7th]],"&gt;0")/COUNTIF(reading[[#This Row],[1st]:[7th]],"&gt;0"),"")</f>
        <v>3</v>
      </c>
    </row>
    <row r="2358" spans="1:33" x14ac:dyDescent="0.2">
      <c r="A2358" s="4">
        <f>IF(B2358=1,3,IF(D2358=1,2,IF(F2358=1,1,0)))</f>
        <v>0</v>
      </c>
      <c r="B2358" s="4" t="str">
        <f>IF(C2358=$L2358,1,IF(C2358="","",0))</f>
        <v/>
      </c>
      <c r="C2358" s="39"/>
      <c r="D2358" s="4" t="str">
        <f>IF(E2358=$L2358,1,IF(E2358="","",0))</f>
        <v/>
      </c>
      <c r="E2358" s="18"/>
      <c r="F2358" s="4" t="str">
        <f>IF(G2358=$L2358,1,IF(G2358="","",0))</f>
        <v/>
      </c>
      <c r="G2358" s="14"/>
      <c r="H2358" s="6">
        <v>1017</v>
      </c>
      <c r="I2358" s="15" t="s">
        <v>3120</v>
      </c>
      <c r="J2358" s="6" t="s">
        <v>4145</v>
      </c>
      <c r="K2358" s="6"/>
      <c r="L2358" s="6" t="s">
        <v>1127</v>
      </c>
      <c r="M2358" s="6" t="s">
        <v>7125</v>
      </c>
      <c r="N2358" s="7">
        <f ca="1">RAND()</f>
        <v>0.23360556640271202</v>
      </c>
      <c r="O2358" s="8">
        <v>45205</v>
      </c>
      <c r="P2358" s="8">
        <v>45206</v>
      </c>
      <c r="Q2358" s="8">
        <v>45208</v>
      </c>
      <c r="R2358" s="8">
        <v>45212</v>
      </c>
      <c r="S2358" s="8">
        <v>45219</v>
      </c>
      <c r="T2358" s="8">
        <v>45231</v>
      </c>
      <c r="U2358" s="8"/>
      <c r="V2358" s="10">
        <f>COUNTA(O2358:U2358)</f>
        <v>6</v>
      </c>
      <c r="W2358" s="11">
        <f>_xlfn.IFNA(INDEX(reading[[#This Row],[Memo 01]:[Memo 07]],MATCH(0,reading[[#This Row],[Memo 01]:[Memo 07]],-1)),"")</f>
        <v>45231</v>
      </c>
      <c r="X2358" s="11">
        <f ca="1">IFERROR(reading[[#This Row],[Previous]]+OFFSET(reading[[#Headers],[Memo 01]],-1,MATCH(0,reading[[#This Row],[Memo 01]:[Memo 07]],-1)-1),"")</f>
        <v>45251</v>
      </c>
      <c r="Y2358" s="10" t="str">
        <f ca="1">IF(reading[[#This Row],[Next]]&lt;&gt;"",IF(reading[[#This Row],[Next]]&gt;TODAY(),"OK",""),"")</f>
        <v/>
      </c>
      <c r="Z2358" s="13">
        <v>3</v>
      </c>
      <c r="AA2358" s="13">
        <v>3</v>
      </c>
      <c r="AB2358" s="13">
        <v>3</v>
      </c>
      <c r="AC2358" s="13">
        <v>3</v>
      </c>
      <c r="AD2358" s="13">
        <v>2</v>
      </c>
      <c r="AE2358" s="13">
        <v>3</v>
      </c>
      <c r="AF2358" s="13"/>
      <c r="AG2358" s="16">
        <f>IFERROR(SUMIF(reading[[#This Row],[1st]:[7th]],"&gt;0")/COUNTIF(reading[[#This Row],[1st]:[7th]],"&gt;0"),"")</f>
        <v>2.8333333333333335</v>
      </c>
    </row>
    <row r="2359" spans="1:33" x14ac:dyDescent="0.2">
      <c r="A2359" s="4">
        <f>IF(B2359=1,3,IF(D2359=1,2,IF(F2359=1,1,0)))</f>
        <v>0</v>
      </c>
      <c r="B2359" s="4" t="str">
        <f>IF(C2359=$L2359,1,IF(C2359="","",0))</f>
        <v/>
      </c>
      <c r="C2359" s="39"/>
      <c r="D2359" s="4" t="str">
        <f>IF(E2359=$L2359,1,IF(E2359="","",0))</f>
        <v/>
      </c>
      <c r="E2359" s="14"/>
      <c r="F2359" s="4" t="str">
        <f>IF(G2359=$L2359,1,IF(G2359="","",0))</f>
        <v/>
      </c>
      <c r="G2359" s="14"/>
      <c r="H2359" s="6">
        <v>2918</v>
      </c>
      <c r="I2359" s="15" t="s">
        <v>3120</v>
      </c>
      <c r="J2359" s="6" t="s">
        <v>5953</v>
      </c>
      <c r="K2359" s="15" t="s">
        <v>3138</v>
      </c>
      <c r="L2359" s="6" t="s">
        <v>2948</v>
      </c>
      <c r="M2359" s="6" t="s">
        <v>9022</v>
      </c>
      <c r="N2359" s="7">
        <f ca="1">RAND()</f>
        <v>0.18556776643135342</v>
      </c>
      <c r="O2359" s="8">
        <v>45223</v>
      </c>
      <c r="P2359" s="8">
        <v>45224</v>
      </c>
      <c r="Q2359" s="8">
        <v>45226</v>
      </c>
      <c r="R2359" s="8">
        <v>45230</v>
      </c>
      <c r="S2359" s="8">
        <v>45237</v>
      </c>
      <c r="T2359" s="8"/>
      <c r="U2359" s="8"/>
      <c r="V2359" s="10">
        <f>COUNTA(O2359:U2359)</f>
        <v>5</v>
      </c>
      <c r="W2359" s="11">
        <f>_xlfn.IFNA(INDEX(reading[[#This Row],[Memo 01]:[Memo 07]],MATCH(0,reading[[#This Row],[Memo 01]:[Memo 07]],-1)),"")</f>
        <v>45237</v>
      </c>
      <c r="X2359" s="11">
        <f ca="1">IFERROR(reading[[#This Row],[Previous]]+OFFSET(reading[[#Headers],[Memo 01]],-1,MATCH(0,reading[[#This Row],[Memo 01]:[Memo 07]],-1)-1),"")</f>
        <v>45249</v>
      </c>
      <c r="Y2359" s="10" t="str">
        <f ca="1">IF(reading[[#This Row],[Next]]&lt;&gt;"",IF(reading[[#This Row],[Next]]&gt;TODAY(),"OK",""),"")</f>
        <v/>
      </c>
      <c r="Z2359" s="13">
        <v>3</v>
      </c>
      <c r="AA2359" s="13">
        <v>3</v>
      </c>
      <c r="AB2359" s="13">
        <v>3</v>
      </c>
      <c r="AC2359" s="13">
        <v>3</v>
      </c>
      <c r="AD2359" s="13">
        <v>3</v>
      </c>
      <c r="AE2359" s="13"/>
      <c r="AF2359" s="13"/>
      <c r="AG2359" s="16">
        <f>IFERROR(SUMIF(reading[[#This Row],[1st]:[7th]],"&gt;0")/COUNTIF(reading[[#This Row],[1st]:[7th]],"&gt;0"),"")</f>
        <v>3</v>
      </c>
    </row>
    <row r="2360" spans="1:33" x14ac:dyDescent="0.2">
      <c r="A2360" s="4">
        <f>IF(B2360=1,3,IF(D2360=1,2,IF(F2360=1,1,0)))</f>
        <v>0</v>
      </c>
      <c r="B2360" s="4" t="str">
        <f>IF(C2360=$L2360,1,IF(C2360="","",0))</f>
        <v/>
      </c>
      <c r="C2360" s="39"/>
      <c r="D2360" s="4" t="str">
        <f>IF(E2360=$L2360,1,IF(E2360="","",0))</f>
        <v/>
      </c>
      <c r="E2360" s="14"/>
      <c r="F2360" s="4" t="str">
        <f>IF(G2360=$L2360,1,IF(G2360="","",0))</f>
        <v/>
      </c>
      <c r="G2360" s="14"/>
      <c r="H2360" s="6">
        <v>872</v>
      </c>
      <c r="I2360" s="15" t="s">
        <v>3120</v>
      </c>
      <c r="J2360" s="6" t="s">
        <v>4004</v>
      </c>
      <c r="K2360" s="15" t="s">
        <v>3140</v>
      </c>
      <c r="L2360" s="6" t="s">
        <v>987</v>
      </c>
      <c r="M2360" s="6" t="s">
        <v>6981</v>
      </c>
      <c r="N2360" s="7">
        <f ca="1">RAND()</f>
        <v>0.33247465170326329</v>
      </c>
      <c r="O2360" s="8">
        <v>45204</v>
      </c>
      <c r="P2360" s="8">
        <v>45205</v>
      </c>
      <c r="Q2360" s="8">
        <v>45207</v>
      </c>
      <c r="R2360" s="8">
        <v>45211</v>
      </c>
      <c r="S2360" s="8">
        <v>45218</v>
      </c>
      <c r="T2360" s="8">
        <v>45230</v>
      </c>
      <c r="U2360" s="8"/>
      <c r="V2360" s="10">
        <f>COUNTA(O2360:U2360)</f>
        <v>6</v>
      </c>
      <c r="W2360" s="11">
        <f>_xlfn.IFNA(INDEX(reading[[#This Row],[Memo 01]:[Memo 07]],MATCH(0,reading[[#This Row],[Memo 01]:[Memo 07]],-1)),"")</f>
        <v>45230</v>
      </c>
      <c r="X2360" s="11">
        <f ca="1">IFERROR(reading[[#This Row],[Previous]]+OFFSET(reading[[#Headers],[Memo 01]],-1,MATCH(0,reading[[#This Row],[Memo 01]:[Memo 07]],-1)-1),"")</f>
        <v>45250</v>
      </c>
      <c r="Y2360" s="10" t="str">
        <f ca="1">IF(reading[[#This Row],[Next]]&lt;&gt;"",IF(reading[[#This Row],[Next]]&gt;TODAY(),"OK",""),"")</f>
        <v/>
      </c>
      <c r="Z2360" s="13">
        <v>3</v>
      </c>
      <c r="AA2360" s="13">
        <v>3</v>
      </c>
      <c r="AB2360" s="13">
        <v>3</v>
      </c>
      <c r="AC2360" s="13">
        <v>3</v>
      </c>
      <c r="AD2360" s="13">
        <v>3</v>
      </c>
      <c r="AE2360" s="13">
        <v>3</v>
      </c>
      <c r="AF2360" s="13"/>
      <c r="AG2360" s="16">
        <f>IFERROR(SUMIF(reading[[#This Row],[1st]:[7th]],"&gt;0")/COUNTIF(reading[[#This Row],[1st]:[7th]],"&gt;0"),"")</f>
        <v>3</v>
      </c>
    </row>
    <row r="2361" spans="1:33" hidden="1" x14ac:dyDescent="0.2">
      <c r="A2361" s="4">
        <f>IF(B2361=1,3,IF(D2361=1,2,IF(F2361=1,1,0)))</f>
        <v>0</v>
      </c>
      <c r="B2361" s="4" t="str">
        <f>IF(C2361=$L2361,1,IF(C2361="","",0))</f>
        <v/>
      </c>
      <c r="C2361" s="42"/>
      <c r="D2361" s="4" t="str">
        <f>IF(E2361=$L2361,1,IF(E2361="","",0))</f>
        <v/>
      </c>
      <c r="E2361" s="23"/>
      <c r="F2361" s="4" t="str">
        <f>IF(G2361=$L2361,1,IF(G2361="","",0))</f>
        <v/>
      </c>
      <c r="G2361" s="23"/>
      <c r="H2361" s="6">
        <v>2424</v>
      </c>
      <c r="I2361" s="15" t="s">
        <v>3120</v>
      </c>
      <c r="J2361" s="6" t="s">
        <v>5476</v>
      </c>
      <c r="K2361" s="15" t="s">
        <v>3138</v>
      </c>
      <c r="L2361" s="6" t="s">
        <v>2474</v>
      </c>
      <c r="M2361" s="6" t="s">
        <v>8529</v>
      </c>
      <c r="N2361" s="7">
        <f ca="1">RAND()</f>
        <v>0.14876397179212875</v>
      </c>
      <c r="O2361" s="8">
        <v>45218</v>
      </c>
      <c r="P2361" s="8">
        <v>45219</v>
      </c>
      <c r="Q2361" s="8">
        <v>45221</v>
      </c>
      <c r="R2361" s="8">
        <v>45225</v>
      </c>
      <c r="S2361" s="8">
        <v>45232</v>
      </c>
      <c r="T2361" s="8">
        <v>45825</v>
      </c>
      <c r="U2361" s="8"/>
      <c r="V2361" s="10">
        <f>COUNTA(O2361:U2361)</f>
        <v>6</v>
      </c>
      <c r="W2361" s="11">
        <f>_xlfn.IFNA(INDEX(reading[[#This Row],[Memo 01]:[Memo 07]],MATCH(0,reading[[#This Row],[Memo 01]:[Memo 07]],-1)),"")</f>
        <v>45825</v>
      </c>
      <c r="X2361" s="11">
        <f ca="1">IFERROR(reading[[#This Row],[Previous]]+OFFSET(reading[[#Headers],[Memo 01]],-1,MATCH(0,reading[[#This Row],[Memo 01]:[Memo 07]],-1)-1),"")</f>
        <v>45845</v>
      </c>
      <c r="Y2361" s="10" t="str">
        <f ca="1">IF(reading[[#This Row],[Next]]&lt;&gt;"",IF(reading[[#This Row],[Next]]&gt;TODAY(),"OK",""),"")</f>
        <v>OK</v>
      </c>
      <c r="Z2361" s="13">
        <v>3</v>
      </c>
      <c r="AA2361" s="13">
        <v>3</v>
      </c>
      <c r="AB2361" s="13">
        <v>3</v>
      </c>
      <c r="AC2361" s="13">
        <v>3</v>
      </c>
      <c r="AD2361" s="13">
        <v>3</v>
      </c>
      <c r="AE2361" s="13">
        <v>1</v>
      </c>
      <c r="AF2361" s="13"/>
      <c r="AG2361" s="16">
        <f>IFERROR(SUMIF(reading[[#This Row],[1st]:[7th]],"&gt;0")/COUNTIF(reading[[#This Row],[1st]:[7th]],"&gt;0"),"")</f>
        <v>2.6666666666666665</v>
      </c>
    </row>
    <row r="2362" spans="1:33" x14ac:dyDescent="0.2">
      <c r="A2362" s="4">
        <f>IF(B2362=1,3,IF(D2362=1,2,IF(F2362=1,1,0)))</f>
        <v>0</v>
      </c>
      <c r="B2362" s="4" t="str">
        <f>IF(C2362=$L2362,1,IF(C2362="","",0))</f>
        <v/>
      </c>
      <c r="C2362" s="36"/>
      <c r="D2362" s="4" t="str">
        <f>IF(E2362=$L2362,1,IF(E2362="","",0))</f>
        <v/>
      </c>
      <c r="E2362" s="18"/>
      <c r="F2362" s="4" t="str">
        <f>IF(G2362=$L2362,1,IF(G2362="","",0))</f>
        <v/>
      </c>
      <c r="G2362" s="14"/>
      <c r="H2362" s="6">
        <v>1771</v>
      </c>
      <c r="I2362" s="15" t="s">
        <v>3120</v>
      </c>
      <c r="J2362" s="6" t="s">
        <v>4878</v>
      </c>
      <c r="K2362" s="6"/>
      <c r="L2362" s="6" t="s">
        <v>1851</v>
      </c>
      <c r="M2362" s="6" t="s">
        <v>7877</v>
      </c>
      <c r="N2362" s="7">
        <f ca="1">RAND()</f>
        <v>0.88035298817837704</v>
      </c>
      <c r="O2362" s="8">
        <v>45212</v>
      </c>
      <c r="P2362" s="8">
        <v>45213</v>
      </c>
      <c r="Q2362" s="8">
        <v>45215</v>
      </c>
      <c r="R2362" s="8">
        <v>45219</v>
      </c>
      <c r="S2362" s="8">
        <v>45226</v>
      </c>
      <c r="T2362" s="8"/>
      <c r="U2362" s="8"/>
      <c r="V2362" s="10">
        <f>COUNTA(O2362:U2362)</f>
        <v>5</v>
      </c>
      <c r="W2362" s="11">
        <f>_xlfn.IFNA(INDEX(reading[[#This Row],[Memo 01]:[Memo 07]],MATCH(0,reading[[#This Row],[Memo 01]:[Memo 07]],-1)),"")</f>
        <v>45226</v>
      </c>
      <c r="X2362" s="11">
        <f ca="1">IFERROR(reading[[#This Row],[Previous]]+OFFSET(reading[[#Headers],[Memo 01]],-1,MATCH(0,reading[[#This Row],[Memo 01]:[Memo 07]],-1)-1),"")</f>
        <v>45238</v>
      </c>
      <c r="Y2362" s="10" t="str">
        <f ca="1">IF(reading[[#This Row],[Next]]&lt;&gt;"",IF(reading[[#This Row],[Next]]&gt;TODAY(),"OK",""),"")</f>
        <v/>
      </c>
      <c r="Z2362" s="13">
        <v>3</v>
      </c>
      <c r="AA2362" s="13">
        <v>2</v>
      </c>
      <c r="AB2362" s="13">
        <v>3</v>
      </c>
      <c r="AC2362" s="13">
        <v>3</v>
      </c>
      <c r="AD2362" s="13">
        <v>3</v>
      </c>
      <c r="AE2362" s="13"/>
      <c r="AF2362" s="13"/>
      <c r="AG2362" s="16">
        <f>IFERROR(SUMIF(reading[[#This Row],[1st]:[7th]],"&gt;0")/COUNTIF(reading[[#This Row],[1st]:[7th]],"&gt;0"),"")</f>
        <v>2.8</v>
      </c>
    </row>
    <row r="2363" spans="1:33" hidden="1" x14ac:dyDescent="0.2">
      <c r="A2363" s="4">
        <f>IF(B2363=1,3,IF(D2363=1,2,IF(F2363=1,1,0)))</f>
        <v>0</v>
      </c>
      <c r="B2363" s="4">
        <f>IF(C2363=$L2363,1,IF(C2363="","",0))</f>
        <v>0</v>
      </c>
      <c r="C2363" s="42" t="s">
        <v>9200</v>
      </c>
      <c r="D2363" s="4" t="str">
        <f>IF(E2363=$L2363,1,IF(E2363="","",0))</f>
        <v/>
      </c>
      <c r="E2363" s="14"/>
      <c r="F2363" s="4" t="str">
        <f>IF(G2363=$L2363,1,IF(G2363="","",0))</f>
        <v/>
      </c>
      <c r="G2363" s="14"/>
      <c r="H2363" s="6">
        <v>2769</v>
      </c>
      <c r="I2363" s="15" t="s">
        <v>3120</v>
      </c>
      <c r="J2363" s="6" t="s">
        <v>5813</v>
      </c>
      <c r="K2363" s="6"/>
      <c r="L2363" s="6" t="s">
        <v>2807</v>
      </c>
      <c r="M2363" s="6" t="s">
        <v>8873</v>
      </c>
      <c r="N2363" s="7">
        <f ca="1">RAND()</f>
        <v>0.75971847471902532</v>
      </c>
      <c r="O2363" s="8">
        <v>45222</v>
      </c>
      <c r="P2363" s="8">
        <v>45223</v>
      </c>
      <c r="Q2363" s="8">
        <v>45225</v>
      </c>
      <c r="R2363" s="8">
        <v>45229</v>
      </c>
      <c r="S2363" s="8">
        <v>45236</v>
      </c>
      <c r="T2363" s="8"/>
      <c r="U2363" s="8"/>
      <c r="V2363" s="10">
        <f>COUNTA(O2363:U2363)</f>
        <v>5</v>
      </c>
      <c r="W2363" s="11">
        <f>_xlfn.IFNA(INDEX(reading[[#This Row],[Memo 01]:[Memo 07]],MATCH(0,reading[[#This Row],[Memo 01]:[Memo 07]],-1)),"")</f>
        <v>45236</v>
      </c>
      <c r="X2363" s="11">
        <f ca="1">IFERROR(reading[[#This Row],[Previous]]+OFFSET(reading[[#Headers],[Memo 01]],-1,MATCH(0,reading[[#This Row],[Memo 01]:[Memo 07]],-1)-1),"")</f>
        <v>45248</v>
      </c>
      <c r="Y2363" s="10" t="str">
        <f ca="1">IF(reading[[#This Row],[Next]]&lt;&gt;"",IF(reading[[#This Row],[Next]]&gt;TODAY(),"OK",""),"")</f>
        <v/>
      </c>
      <c r="Z2363" s="13">
        <v>3</v>
      </c>
      <c r="AA2363" s="13">
        <v>3</v>
      </c>
      <c r="AB2363" s="13">
        <v>3</v>
      </c>
      <c r="AC2363" s="13">
        <v>3</v>
      </c>
      <c r="AD2363" s="13">
        <v>3</v>
      </c>
      <c r="AE2363" s="13"/>
      <c r="AF2363" s="13"/>
      <c r="AG2363" s="16">
        <f>IFERROR(SUMIF(reading[[#This Row],[1st]:[7th]],"&gt;0")/COUNTIF(reading[[#This Row],[1st]:[7th]],"&gt;0"),"")</f>
        <v>3</v>
      </c>
    </row>
    <row r="2364" spans="1:33" x14ac:dyDescent="0.2">
      <c r="A2364" s="4">
        <f>IF(B2364=1,3,IF(D2364=1,2,IF(F2364=1,1,0)))</f>
        <v>0</v>
      </c>
      <c r="B2364" s="4" t="str">
        <f>IF(C2364=$L2364,1,IF(C2364="","",0))</f>
        <v/>
      </c>
      <c r="C2364" s="39"/>
      <c r="D2364" s="4" t="str">
        <f>IF(E2364=$L2364,1,IF(E2364="","",0))</f>
        <v/>
      </c>
      <c r="E2364" s="14"/>
      <c r="F2364" s="4" t="str">
        <f>IF(G2364=$L2364,1,IF(G2364="","",0))</f>
        <v/>
      </c>
      <c r="G2364" s="14"/>
      <c r="H2364" s="6">
        <v>2226</v>
      </c>
      <c r="I2364" s="15" t="s">
        <v>3120</v>
      </c>
      <c r="J2364" s="6" t="s">
        <v>5311</v>
      </c>
      <c r="K2364" s="6"/>
      <c r="L2364" s="6" t="s">
        <v>2289</v>
      </c>
      <c r="M2364" s="6" t="s">
        <v>8332</v>
      </c>
      <c r="N2364" s="7">
        <f ca="1">RAND()</f>
        <v>0.99921159964849238</v>
      </c>
      <c r="O2364" s="8">
        <v>45216</v>
      </c>
      <c r="P2364" s="8">
        <v>45217</v>
      </c>
      <c r="Q2364" s="8">
        <v>45219</v>
      </c>
      <c r="R2364" s="8">
        <v>45223</v>
      </c>
      <c r="S2364" s="8">
        <v>45230</v>
      </c>
      <c r="T2364" s="8"/>
      <c r="U2364" s="8"/>
      <c r="V2364" s="10">
        <f>COUNTA(O2364:U2364)</f>
        <v>5</v>
      </c>
      <c r="W2364" s="11">
        <f>_xlfn.IFNA(INDEX(reading[[#This Row],[Memo 01]:[Memo 07]],MATCH(0,reading[[#This Row],[Memo 01]:[Memo 07]],-1)),"")</f>
        <v>45230</v>
      </c>
      <c r="X2364" s="11">
        <f ca="1">IFERROR(reading[[#This Row],[Previous]]+OFFSET(reading[[#Headers],[Memo 01]],-1,MATCH(0,reading[[#This Row],[Memo 01]:[Memo 07]],-1)-1),"")</f>
        <v>45242</v>
      </c>
      <c r="Y2364" s="10" t="str">
        <f ca="1">IF(reading[[#This Row],[Next]]&lt;&gt;"",IF(reading[[#This Row],[Next]]&gt;TODAY(),"OK",""),"")</f>
        <v/>
      </c>
      <c r="Z2364" s="13">
        <v>3</v>
      </c>
      <c r="AA2364" s="13">
        <v>3</v>
      </c>
      <c r="AB2364" s="13">
        <v>3</v>
      </c>
      <c r="AC2364" s="13">
        <v>3</v>
      </c>
      <c r="AD2364" s="13">
        <v>3</v>
      </c>
      <c r="AE2364" s="13"/>
      <c r="AF2364" s="13"/>
      <c r="AG2364" s="16">
        <f>IFERROR(SUMIF(reading[[#This Row],[1st]:[7th]],"&gt;0")/COUNTIF(reading[[#This Row],[1st]:[7th]],"&gt;0"),"")</f>
        <v>3</v>
      </c>
    </row>
    <row r="2365" spans="1:33" hidden="1" x14ac:dyDescent="0.2">
      <c r="A2365" s="4">
        <f>IF(B2365=1,3,IF(D2365=1,2,IF(F2365=1,1,0)))</f>
        <v>0</v>
      </c>
      <c r="B2365" s="4" t="str">
        <f>IF(C2365=$L2365,1,IF(C2365="","",0))</f>
        <v/>
      </c>
      <c r="C2365" s="41"/>
      <c r="D2365" s="4" t="str">
        <f>IF(E2365=$L2365,1,IF(E2365="","",0))</f>
        <v/>
      </c>
      <c r="E2365" s="18"/>
      <c r="F2365" s="4" t="str">
        <f>IF(G2365=$L2365,1,IF(G2365="","",0))</f>
        <v/>
      </c>
      <c r="G2365" s="18"/>
      <c r="H2365" s="6">
        <v>293</v>
      </c>
      <c r="I2365" s="15" t="s">
        <v>3120</v>
      </c>
      <c r="J2365" s="6" t="s">
        <v>3441</v>
      </c>
      <c r="K2365" s="15" t="s">
        <v>3138</v>
      </c>
      <c r="L2365" s="6" t="s">
        <v>428</v>
      </c>
      <c r="M2365" s="6" t="s">
        <v>6402</v>
      </c>
      <c r="N2365" s="7">
        <f ca="1">RAND()</f>
        <v>0.85709659780965897</v>
      </c>
      <c r="O2365" s="8">
        <v>45200</v>
      </c>
      <c r="P2365" s="8">
        <v>45202</v>
      </c>
      <c r="Q2365" s="8">
        <v>45204</v>
      </c>
      <c r="R2365" s="8">
        <v>45208</v>
      </c>
      <c r="S2365" s="8">
        <v>45215</v>
      </c>
      <c r="T2365" s="8">
        <v>45227</v>
      </c>
      <c r="U2365" s="8">
        <v>45249</v>
      </c>
      <c r="V2365" s="10">
        <f>COUNTA(O2365:U2365)</f>
        <v>7</v>
      </c>
      <c r="W2365" s="11">
        <f>_xlfn.IFNA(INDEX(reading[[#This Row],[Memo 01]:[Memo 07]],MATCH(0,reading[[#This Row],[Memo 01]:[Memo 07]],-1)),"")</f>
        <v>45249</v>
      </c>
      <c r="X2365" s="11">
        <f ca="1">IFERROR(reading[[#This Row],[Previous]]+OFFSET(reading[[#Headers],[Memo 01]],-1,MATCH(0,reading[[#This Row],[Memo 01]:[Memo 07]],-1)-1),"")</f>
        <v>55249</v>
      </c>
      <c r="Y2365" s="10" t="str">
        <f ca="1">IF(reading[[#This Row],[Next]]&lt;&gt;"",IF(reading[[#This Row],[Next]]&gt;TODAY(),"OK",""),"")</f>
        <v>OK</v>
      </c>
      <c r="Z2365" s="13">
        <v>3</v>
      </c>
      <c r="AA2365" s="13">
        <v>1</v>
      </c>
      <c r="AB2365" s="13">
        <v>3</v>
      </c>
      <c r="AC2365" s="13">
        <v>2</v>
      </c>
      <c r="AD2365" s="13">
        <v>3</v>
      </c>
      <c r="AE2365" s="13">
        <v>3</v>
      </c>
      <c r="AF2365" s="13">
        <v>2</v>
      </c>
      <c r="AG2365" s="16">
        <f>IFERROR(SUMIF(reading[[#This Row],[1st]:[7th]],"&gt;0")/COUNTIF(reading[[#This Row],[1st]:[7th]],"&gt;0"),"")</f>
        <v>2.4285714285714284</v>
      </c>
    </row>
    <row r="2366" spans="1:33" x14ac:dyDescent="0.2">
      <c r="A2366" s="4">
        <f>IF(B2366=1,3,IF(D2366=1,2,IF(F2366=1,1,0)))</f>
        <v>0</v>
      </c>
      <c r="B2366" s="4" t="str">
        <f>IF(C2366=$L2366,1,IF(C2366="","",0))</f>
        <v/>
      </c>
      <c r="C2366" s="39"/>
      <c r="D2366" s="4" t="str">
        <f>IF(E2366=$L2366,1,IF(E2366="","",0))</f>
        <v/>
      </c>
      <c r="E2366" s="14"/>
      <c r="F2366" s="4" t="str">
        <f>IF(G2366=$L2366,1,IF(G2366="","",0))</f>
        <v/>
      </c>
      <c r="G2366" s="14"/>
      <c r="H2366" s="6">
        <v>2569</v>
      </c>
      <c r="I2366" s="15" t="s">
        <v>3120</v>
      </c>
      <c r="J2366" s="6" t="s">
        <v>5629</v>
      </c>
      <c r="K2366" s="6"/>
      <c r="L2366" s="6" t="s">
        <v>2613</v>
      </c>
      <c r="M2366" s="6" t="s">
        <v>8674</v>
      </c>
      <c r="N2366" s="7">
        <f ca="1">RAND()</f>
        <v>0.86933502847713728</v>
      </c>
      <c r="O2366" s="8">
        <v>45220</v>
      </c>
      <c r="P2366" s="8">
        <v>45221</v>
      </c>
      <c r="Q2366" s="8">
        <v>45223</v>
      </c>
      <c r="R2366" s="8">
        <v>45227</v>
      </c>
      <c r="S2366" s="8">
        <v>45234</v>
      </c>
      <c r="T2366" s="8"/>
      <c r="U2366" s="8"/>
      <c r="V2366" s="10">
        <f>COUNTA(O2366:U2366)</f>
        <v>5</v>
      </c>
      <c r="W2366" s="11">
        <f>_xlfn.IFNA(INDEX(reading[[#This Row],[Memo 01]:[Memo 07]],MATCH(0,reading[[#This Row],[Memo 01]:[Memo 07]],-1)),"")</f>
        <v>45234</v>
      </c>
      <c r="X2366" s="11">
        <f ca="1">IFERROR(reading[[#This Row],[Previous]]+OFFSET(reading[[#Headers],[Memo 01]],-1,MATCH(0,reading[[#This Row],[Memo 01]:[Memo 07]],-1)-1),"")</f>
        <v>45246</v>
      </c>
      <c r="Y2366" s="10" t="str">
        <f ca="1">IF(reading[[#This Row],[Next]]&lt;&gt;"",IF(reading[[#This Row],[Next]]&gt;TODAY(),"OK",""),"")</f>
        <v/>
      </c>
      <c r="Z2366" s="13">
        <v>3</v>
      </c>
      <c r="AA2366" s="13">
        <v>3</v>
      </c>
      <c r="AB2366" s="13">
        <v>3</v>
      </c>
      <c r="AC2366" s="13">
        <v>3</v>
      </c>
      <c r="AD2366" s="13">
        <v>3</v>
      </c>
      <c r="AE2366" s="13"/>
      <c r="AF2366" s="13"/>
      <c r="AG2366" s="16">
        <f>IFERROR(SUMIF(reading[[#This Row],[1st]:[7th]],"&gt;0")/COUNTIF(reading[[#This Row],[1st]:[7th]],"&gt;0"),"")</f>
        <v>3</v>
      </c>
    </row>
    <row r="2367" spans="1:33" hidden="1" x14ac:dyDescent="0.2">
      <c r="A2367" s="4">
        <f>IF(B2367=1,3,IF(D2367=1,2,IF(F2367=1,1,0)))</f>
        <v>3</v>
      </c>
      <c r="B2367" s="4">
        <f>IF(C2367=$L2367,1,IF(C2367="","",0))</f>
        <v>1</v>
      </c>
      <c r="C2367" s="34" t="s">
        <v>2423</v>
      </c>
      <c r="D2367" s="4" t="str">
        <f>IF(E2367=$L2367,1,IF(E2367="","",0))</f>
        <v/>
      </c>
      <c r="E2367" s="14"/>
      <c r="F2367" s="4" t="str">
        <f>IF(G2367=$L2367,1,IF(G2367="","",0))</f>
        <v/>
      </c>
      <c r="G2367" s="14"/>
      <c r="H2367" s="6">
        <v>2371</v>
      </c>
      <c r="I2367" s="15" t="s">
        <v>3120</v>
      </c>
      <c r="J2367" s="6" t="s">
        <v>5445</v>
      </c>
      <c r="K2367" s="6"/>
      <c r="L2367" s="6" t="s">
        <v>2423</v>
      </c>
      <c r="M2367" s="6" t="s">
        <v>8476</v>
      </c>
      <c r="N2367" s="7">
        <f ca="1">RAND()</f>
        <v>0.23218346494121866</v>
      </c>
      <c r="O2367" s="8">
        <v>45216</v>
      </c>
      <c r="P2367" s="8">
        <v>45216</v>
      </c>
      <c r="Q2367" s="8">
        <v>45216</v>
      </c>
      <c r="R2367" s="8">
        <v>45216</v>
      </c>
      <c r="S2367" s="8">
        <v>45216</v>
      </c>
      <c r="T2367" s="8">
        <v>45216</v>
      </c>
      <c r="U2367" s="8">
        <v>45216</v>
      </c>
      <c r="V2367" s="10">
        <f>COUNTA(O2367:U2367)</f>
        <v>7</v>
      </c>
      <c r="W2367" s="11">
        <f>_xlfn.IFNA(INDEX(reading[[#This Row],[Memo 01]:[Memo 07]],MATCH(0,reading[[#This Row],[Memo 01]:[Memo 07]],-1)),"")</f>
        <v>45216</v>
      </c>
      <c r="X2367" s="11">
        <f ca="1">IFERROR(reading[[#This Row],[Previous]]+OFFSET(reading[[#Headers],[Memo 01]],-1,MATCH(0,reading[[#This Row],[Memo 01]:[Memo 07]],-1)-1),"")</f>
        <v>55216</v>
      </c>
      <c r="Y2367" s="10" t="str">
        <f ca="1">IF(reading[[#This Row],[Next]]&lt;&gt;"",IF(reading[[#This Row],[Next]]&gt;TODAY(),"OK",""),"")</f>
        <v>OK</v>
      </c>
      <c r="Z2367" s="13">
        <v>3</v>
      </c>
      <c r="AA2367" s="13"/>
      <c r="AB2367" s="13"/>
      <c r="AC2367" s="13"/>
      <c r="AD2367" s="13"/>
      <c r="AE2367" s="13"/>
      <c r="AF2367" s="13"/>
      <c r="AG2367" s="16">
        <f>IFERROR(SUMIF(reading[[#This Row],[1st]:[7th]],"&gt;0")/COUNTIF(reading[[#This Row],[1st]:[7th]],"&gt;0"),"")</f>
        <v>3</v>
      </c>
    </row>
    <row r="2368" spans="1:33" x14ac:dyDescent="0.2">
      <c r="A2368" s="4">
        <f>IF(B2368=1,3,IF(D2368=1,2,IF(F2368=1,1,0)))</f>
        <v>0</v>
      </c>
      <c r="B2368" s="4" t="str">
        <f>IF(C2368=$L2368,1,IF(C2368="","",0))</f>
        <v/>
      </c>
      <c r="C2368" s="42"/>
      <c r="D2368" s="4" t="str">
        <f>IF(E2368=$L2368,1,IF(E2368="","",0))</f>
        <v/>
      </c>
      <c r="E2368" s="14"/>
      <c r="F2368" s="4" t="str">
        <f>IF(G2368=$L2368,1,IF(G2368="","",0))</f>
        <v/>
      </c>
      <c r="G2368" s="14"/>
      <c r="H2368" s="6">
        <v>2995</v>
      </c>
      <c r="I2368" s="15" t="s">
        <v>3120</v>
      </c>
      <c r="J2368" s="6" t="s">
        <v>6019</v>
      </c>
      <c r="K2368" s="6"/>
      <c r="L2368" s="6" t="s">
        <v>3024</v>
      </c>
      <c r="M2368" s="6" t="s">
        <v>9098</v>
      </c>
      <c r="N2368" s="7">
        <f ca="1">RAND()</f>
        <v>0.65346331284837766</v>
      </c>
      <c r="O2368" s="8">
        <v>45223</v>
      </c>
      <c r="P2368" s="8">
        <v>45224</v>
      </c>
      <c r="Q2368" s="8">
        <v>45226</v>
      </c>
      <c r="R2368" s="8">
        <v>45230</v>
      </c>
      <c r="S2368" s="8">
        <v>45237</v>
      </c>
      <c r="T2368" s="8">
        <v>45783</v>
      </c>
      <c r="U2368" s="8"/>
      <c r="V2368" s="10">
        <f>COUNTA(O2368:U2368)</f>
        <v>6</v>
      </c>
      <c r="W2368" s="11">
        <f>_xlfn.IFNA(INDEX(reading[[#This Row],[Memo 01]:[Memo 07]],MATCH(0,reading[[#This Row],[Memo 01]:[Memo 07]],-1)),"")</f>
        <v>45783</v>
      </c>
      <c r="X2368" s="11">
        <f ca="1">IFERROR(reading[[#This Row],[Previous]]+OFFSET(reading[[#Headers],[Memo 01]],-1,MATCH(0,reading[[#This Row],[Memo 01]:[Memo 07]],-1)-1),"")</f>
        <v>45803</v>
      </c>
      <c r="Y2368" s="10" t="str">
        <f ca="1">IF(reading[[#This Row],[Next]]&lt;&gt;"",IF(reading[[#This Row],[Next]]&gt;TODAY(),"OK",""),"")</f>
        <v/>
      </c>
      <c r="Z2368" s="13">
        <v>3</v>
      </c>
      <c r="AA2368" s="13">
        <v>3</v>
      </c>
      <c r="AB2368" s="13">
        <v>3</v>
      </c>
      <c r="AC2368" s="13">
        <v>3</v>
      </c>
      <c r="AD2368" s="13">
        <v>3</v>
      </c>
      <c r="AE2368" s="13">
        <v>3</v>
      </c>
      <c r="AF2368" s="13"/>
      <c r="AG2368" s="16">
        <f>IFERROR(SUMIF(reading[[#This Row],[1st]:[7th]],"&gt;0")/COUNTIF(reading[[#This Row],[1st]:[7th]],"&gt;0"),"")</f>
        <v>3</v>
      </c>
    </row>
    <row r="2369" spans="1:33" x14ac:dyDescent="0.2">
      <c r="A2369" s="4">
        <f>IF(B2369=1,3,IF(D2369=1,2,IF(F2369=1,1,0)))</f>
        <v>0</v>
      </c>
      <c r="B2369" s="4" t="str">
        <f>IF(C2369=$L2369,1,IF(C2369="","",0))</f>
        <v/>
      </c>
      <c r="C2369" s="39"/>
      <c r="D2369" s="4" t="str">
        <f>IF(E2369=$L2369,1,IF(E2369="","",0))</f>
        <v/>
      </c>
      <c r="E2369" s="14"/>
      <c r="F2369" s="4" t="str">
        <f>IF(G2369=$L2369,1,IF(G2369="","",0))</f>
        <v/>
      </c>
      <c r="G2369" s="14"/>
      <c r="H2369" s="6">
        <v>2948</v>
      </c>
      <c r="I2369" s="15" t="s">
        <v>3120</v>
      </c>
      <c r="J2369" s="6" t="s">
        <v>5223</v>
      </c>
      <c r="K2369" s="15" t="s">
        <v>3138</v>
      </c>
      <c r="L2369" s="6" t="s">
        <v>2978</v>
      </c>
      <c r="M2369" s="6" t="s">
        <v>9052</v>
      </c>
      <c r="N2369" s="7">
        <f ca="1">RAND()</f>
        <v>0.19915391752034162</v>
      </c>
      <c r="O2369" s="8">
        <v>45223</v>
      </c>
      <c r="P2369" s="8">
        <v>45224</v>
      </c>
      <c r="Q2369" s="8">
        <v>45226</v>
      </c>
      <c r="R2369" s="8">
        <v>45230</v>
      </c>
      <c r="S2369" s="8">
        <v>45237</v>
      </c>
      <c r="T2369" s="8"/>
      <c r="U2369" s="8"/>
      <c r="V2369" s="10">
        <f>COUNTA(O2369:U2369)</f>
        <v>5</v>
      </c>
      <c r="W2369" s="11">
        <f>_xlfn.IFNA(INDEX(reading[[#This Row],[Memo 01]:[Memo 07]],MATCH(0,reading[[#This Row],[Memo 01]:[Memo 07]],-1)),"")</f>
        <v>45237</v>
      </c>
      <c r="X2369" s="11">
        <f ca="1">IFERROR(reading[[#This Row],[Previous]]+OFFSET(reading[[#Headers],[Memo 01]],-1,MATCH(0,reading[[#This Row],[Memo 01]:[Memo 07]],-1)-1),"")</f>
        <v>45249</v>
      </c>
      <c r="Y2369" s="10" t="str">
        <f ca="1">IF(reading[[#This Row],[Next]]&lt;&gt;"",IF(reading[[#This Row],[Next]]&gt;TODAY(),"OK",""),"")</f>
        <v/>
      </c>
      <c r="Z2369" s="13">
        <v>3</v>
      </c>
      <c r="AA2369" s="13">
        <v>3</v>
      </c>
      <c r="AB2369" s="13">
        <v>3</v>
      </c>
      <c r="AC2369" s="13">
        <v>3</v>
      </c>
      <c r="AD2369" s="13">
        <v>3</v>
      </c>
      <c r="AE2369" s="13"/>
      <c r="AF2369" s="13"/>
      <c r="AG2369" s="16">
        <f>IFERROR(SUMIF(reading[[#This Row],[1st]:[7th]],"&gt;0")/COUNTIF(reading[[#This Row],[1st]:[7th]],"&gt;0"),"")</f>
        <v>3</v>
      </c>
    </row>
    <row r="2370" spans="1:33" hidden="1" x14ac:dyDescent="0.2">
      <c r="A2370" s="4">
        <f>IF(B2370=1,3,IF(D2370=1,2,IF(F2370=1,1,0)))</f>
        <v>0</v>
      </c>
      <c r="B2370" s="4">
        <f>IF(C2370=$L2370,1,IF(C2370="","",0))</f>
        <v>0</v>
      </c>
      <c r="C2370" s="42" t="s">
        <v>9200</v>
      </c>
      <c r="D2370" s="4" t="str">
        <f>IF(E2370=$L2370,1,IF(E2370="","",0))</f>
        <v/>
      </c>
      <c r="E2370" s="18"/>
      <c r="F2370" s="4" t="str">
        <f>IF(G2370=$L2370,1,IF(G2370="","",0))</f>
        <v/>
      </c>
      <c r="G2370" s="14"/>
      <c r="H2370" s="6">
        <v>181</v>
      </c>
      <c r="I2370" s="15" t="s">
        <v>3120</v>
      </c>
      <c r="J2370" s="6" t="s">
        <v>3330</v>
      </c>
      <c r="K2370" s="6"/>
      <c r="L2370" s="6" t="s">
        <v>318</v>
      </c>
      <c r="M2370" s="6" t="s">
        <v>6290</v>
      </c>
      <c r="N2370" s="7">
        <f ca="1">RAND()</f>
        <v>0.18393465665834419</v>
      </c>
      <c r="O2370" s="8">
        <v>45199</v>
      </c>
      <c r="P2370" s="8">
        <v>45200</v>
      </c>
      <c r="Q2370" s="8">
        <v>45202</v>
      </c>
      <c r="R2370" s="8">
        <v>45206</v>
      </c>
      <c r="S2370" s="8">
        <v>45213</v>
      </c>
      <c r="T2370" s="8">
        <v>45225</v>
      </c>
      <c r="U2370" s="8"/>
      <c r="V2370" s="10">
        <f>COUNTA(O2370:U2370)</f>
        <v>6</v>
      </c>
      <c r="W2370" s="11">
        <f>_xlfn.IFNA(INDEX(reading[[#This Row],[Memo 01]:[Memo 07]],MATCH(0,reading[[#This Row],[Memo 01]:[Memo 07]],-1)),"")</f>
        <v>45225</v>
      </c>
      <c r="X2370" s="11">
        <f ca="1">IFERROR(reading[[#This Row],[Previous]]+OFFSET(reading[[#Headers],[Memo 01]],-1,MATCH(0,reading[[#This Row],[Memo 01]:[Memo 07]],-1)-1),"")</f>
        <v>45245</v>
      </c>
      <c r="Y2370" s="10" t="str">
        <f ca="1">IF(reading[[#This Row],[Next]]&lt;&gt;"",IF(reading[[#This Row],[Next]]&gt;TODAY(),"OK",""),"")</f>
        <v/>
      </c>
      <c r="Z2370" s="13">
        <v>3</v>
      </c>
      <c r="AA2370" s="13">
        <v>2</v>
      </c>
      <c r="AB2370" s="13">
        <v>3</v>
      </c>
      <c r="AC2370" s="13">
        <v>3</v>
      </c>
      <c r="AD2370" s="13">
        <v>3</v>
      </c>
      <c r="AE2370" s="13">
        <v>2</v>
      </c>
      <c r="AF2370" s="13"/>
      <c r="AG2370" s="16">
        <f>IFERROR(SUMIF(reading[[#This Row],[1st]:[7th]],"&gt;0")/COUNTIF(reading[[#This Row],[1st]:[7th]],"&gt;0"),"")</f>
        <v>2.6666666666666665</v>
      </c>
    </row>
    <row r="2371" spans="1:33" hidden="1" x14ac:dyDescent="0.2">
      <c r="A2371" s="4">
        <f>IF(B2371=1,3,IF(D2371=1,2,IF(F2371=1,1,0)))</f>
        <v>0</v>
      </c>
      <c r="B2371" s="4" t="str">
        <f>IF(C2371=$L2371,1,IF(C2371="","",0))</f>
        <v/>
      </c>
      <c r="C2371" s="42"/>
      <c r="D2371" s="4" t="str">
        <f>IF(E2371=$L2371,1,IF(E2371="","",0))</f>
        <v/>
      </c>
      <c r="E2371" s="23"/>
      <c r="F2371" s="4" t="str">
        <f>IF(G2371=$L2371,1,IF(G2371="","",0))</f>
        <v/>
      </c>
      <c r="G2371" s="14"/>
      <c r="H2371" s="6">
        <v>2751</v>
      </c>
      <c r="I2371" s="15" t="s">
        <v>3120</v>
      </c>
      <c r="J2371" s="6" t="s">
        <v>5797</v>
      </c>
      <c r="K2371" s="6"/>
      <c r="L2371" s="6" t="s">
        <v>2789</v>
      </c>
      <c r="M2371" s="6" t="s">
        <v>8855</v>
      </c>
      <c r="N2371" s="7">
        <f ca="1">RAND()</f>
        <v>0.76845965041004893</v>
      </c>
      <c r="O2371" s="8">
        <v>45221</v>
      </c>
      <c r="P2371" s="8">
        <v>45222</v>
      </c>
      <c r="Q2371" s="8">
        <v>45224</v>
      </c>
      <c r="R2371" s="8">
        <v>45228</v>
      </c>
      <c r="S2371" s="8">
        <v>45235</v>
      </c>
      <c r="T2371" s="8">
        <v>45816</v>
      </c>
      <c r="U2371" s="8"/>
      <c r="V2371" s="10">
        <f>COUNTA(O2371:U2371)</f>
        <v>6</v>
      </c>
      <c r="W2371" s="11">
        <f>_xlfn.IFNA(INDEX(reading[[#This Row],[Memo 01]:[Memo 07]],MATCH(0,reading[[#This Row],[Memo 01]:[Memo 07]],-1)),"")</f>
        <v>45816</v>
      </c>
      <c r="X2371" s="11">
        <f ca="1">IFERROR(reading[[#This Row],[Previous]]+OFFSET(reading[[#Headers],[Memo 01]],-1,MATCH(0,reading[[#This Row],[Memo 01]:[Memo 07]],-1)-1),"")</f>
        <v>45836</v>
      </c>
      <c r="Y2371" s="10" t="str">
        <f ca="1">IF(reading[[#This Row],[Next]]&lt;&gt;"",IF(reading[[#This Row],[Next]]&gt;TODAY(),"OK",""),"")</f>
        <v>OK</v>
      </c>
      <c r="Z2371" s="13">
        <v>3</v>
      </c>
      <c r="AA2371" s="13">
        <v>3</v>
      </c>
      <c r="AB2371" s="13">
        <v>3</v>
      </c>
      <c r="AC2371" s="13">
        <v>2</v>
      </c>
      <c r="AD2371" s="13">
        <v>3</v>
      </c>
      <c r="AE2371" s="13">
        <v>2</v>
      </c>
      <c r="AF2371" s="13"/>
      <c r="AG2371" s="16">
        <f>IFERROR(SUMIF(reading[[#This Row],[1st]:[7th]],"&gt;0")/COUNTIF(reading[[#This Row],[1st]:[7th]],"&gt;0"),"")</f>
        <v>2.6666666666666665</v>
      </c>
    </row>
    <row r="2372" spans="1:33" hidden="1" x14ac:dyDescent="0.2">
      <c r="A2372" s="4">
        <f>IF(B2372=1,3,IF(D2372=1,2,IF(F2372=1,1,0)))</f>
        <v>0</v>
      </c>
      <c r="B2372" s="4">
        <f>IF(C2372=$L2372,1,IF(C2372="","",0))</f>
        <v>0</v>
      </c>
      <c r="C2372" s="42" t="s">
        <v>9200</v>
      </c>
      <c r="D2372" s="4" t="str">
        <f>IF(E2372=$L2372,1,IF(E2372="","",0))</f>
        <v/>
      </c>
      <c r="E2372" s="14"/>
      <c r="F2372" s="4" t="str">
        <f>IF(G2372=$L2372,1,IF(G2372="","",0))</f>
        <v/>
      </c>
      <c r="G2372" s="14"/>
      <c r="H2372" s="6">
        <v>905</v>
      </c>
      <c r="I2372" s="15" t="s">
        <v>3120</v>
      </c>
      <c r="J2372" s="6" t="s">
        <v>4037</v>
      </c>
      <c r="K2372" s="15" t="s">
        <v>3138</v>
      </c>
      <c r="L2372" s="6" t="s">
        <v>94</v>
      </c>
      <c r="M2372" s="6" t="s">
        <v>7014</v>
      </c>
      <c r="N2372" s="7">
        <f ca="1">RAND()</f>
        <v>0.82100449229311445</v>
      </c>
      <c r="O2372" s="8">
        <v>45204</v>
      </c>
      <c r="P2372" s="8">
        <v>45205</v>
      </c>
      <c r="Q2372" s="8">
        <v>45207</v>
      </c>
      <c r="R2372" s="8">
        <v>45211</v>
      </c>
      <c r="S2372" s="8">
        <v>45218</v>
      </c>
      <c r="T2372" s="8">
        <v>45230</v>
      </c>
      <c r="U2372" s="8"/>
      <c r="V2372" s="10">
        <f>COUNTA(O2372:U2372)</f>
        <v>6</v>
      </c>
      <c r="W2372" s="11">
        <f>_xlfn.IFNA(INDEX(reading[[#This Row],[Memo 01]:[Memo 07]],MATCH(0,reading[[#This Row],[Memo 01]:[Memo 07]],-1)),"")</f>
        <v>45230</v>
      </c>
      <c r="X2372" s="11">
        <f ca="1">IFERROR(reading[[#This Row],[Previous]]+OFFSET(reading[[#Headers],[Memo 01]],-1,MATCH(0,reading[[#This Row],[Memo 01]:[Memo 07]],-1)-1),"")</f>
        <v>45250</v>
      </c>
      <c r="Y2372" s="10" t="str">
        <f ca="1">IF(reading[[#This Row],[Next]]&lt;&gt;"",IF(reading[[#This Row],[Next]]&gt;TODAY(),"OK",""),"")</f>
        <v/>
      </c>
      <c r="Z2372" s="13">
        <v>3</v>
      </c>
      <c r="AA2372" s="13">
        <v>3</v>
      </c>
      <c r="AB2372" s="13">
        <v>3</v>
      </c>
      <c r="AC2372" s="13">
        <v>3</v>
      </c>
      <c r="AD2372" s="13">
        <v>3</v>
      </c>
      <c r="AE2372" s="13">
        <v>3</v>
      </c>
      <c r="AF2372" s="13"/>
      <c r="AG2372" s="16">
        <f>IFERROR(SUMIF(reading[[#This Row],[1st]:[7th]],"&gt;0")/COUNTIF(reading[[#This Row],[1st]:[7th]],"&gt;0"),"")</f>
        <v>3</v>
      </c>
    </row>
    <row r="2373" spans="1:33" x14ac:dyDescent="0.2">
      <c r="A2373" s="4">
        <f>IF(B2373=1,3,IF(D2373=1,2,IF(F2373=1,1,0)))</f>
        <v>0</v>
      </c>
      <c r="B2373" s="4" t="str">
        <f>IF(C2373=$L2373,1,IF(C2373="","",0))</f>
        <v/>
      </c>
      <c r="C2373" s="41"/>
      <c r="D2373" s="4" t="str">
        <f>IF(E2373=$L2373,1,IF(E2373="","",0))</f>
        <v/>
      </c>
      <c r="E2373" s="18"/>
      <c r="F2373" s="4" t="str">
        <f>IF(G2373=$L2373,1,IF(G2373="","",0))</f>
        <v/>
      </c>
      <c r="G2373" s="18"/>
      <c r="H2373" s="6">
        <v>1976</v>
      </c>
      <c r="I2373" s="15" t="s">
        <v>3120</v>
      </c>
      <c r="J2373" s="6" t="s">
        <v>5075</v>
      </c>
      <c r="K2373" s="6"/>
      <c r="L2373" s="6" t="s">
        <v>2051</v>
      </c>
      <c r="M2373" s="6" t="s">
        <v>8082</v>
      </c>
      <c r="N2373" s="7">
        <f ca="1">RAND()</f>
        <v>0.94838029150921632</v>
      </c>
      <c r="O2373" s="8">
        <v>45213</v>
      </c>
      <c r="P2373" s="8">
        <v>45214</v>
      </c>
      <c r="Q2373" s="8">
        <v>45216</v>
      </c>
      <c r="R2373" s="8">
        <v>45220</v>
      </c>
      <c r="S2373" s="8">
        <v>45227</v>
      </c>
      <c r="T2373" s="8">
        <v>45248</v>
      </c>
      <c r="U2373" s="8"/>
      <c r="V2373" s="10">
        <f>COUNTA(O2373:U2373)</f>
        <v>6</v>
      </c>
      <c r="W2373" s="11">
        <f>_xlfn.IFNA(INDEX(reading[[#This Row],[Memo 01]:[Memo 07]],MATCH(0,reading[[#This Row],[Memo 01]:[Memo 07]],-1)),"")</f>
        <v>45248</v>
      </c>
      <c r="X2373" s="11">
        <f ca="1">IFERROR(reading[[#This Row],[Previous]]+OFFSET(reading[[#Headers],[Memo 01]],-1,MATCH(0,reading[[#This Row],[Memo 01]:[Memo 07]],-1)-1),"")</f>
        <v>45268</v>
      </c>
      <c r="Y2373" s="10" t="str">
        <f ca="1">IF(reading[[#This Row],[Next]]&lt;&gt;"",IF(reading[[#This Row],[Next]]&gt;TODAY(),"OK",""),"")</f>
        <v/>
      </c>
      <c r="Z2373" s="13">
        <v>3</v>
      </c>
      <c r="AA2373" s="13">
        <v>3</v>
      </c>
      <c r="AB2373" s="13">
        <v>2</v>
      </c>
      <c r="AC2373" s="13">
        <v>1</v>
      </c>
      <c r="AD2373" s="13">
        <v>3</v>
      </c>
      <c r="AE2373" s="13">
        <v>3</v>
      </c>
      <c r="AF2373" s="13"/>
      <c r="AG2373" s="16">
        <f>IFERROR(SUMIF(reading[[#This Row],[1st]:[7th]],"&gt;0")/COUNTIF(reading[[#This Row],[1st]:[7th]],"&gt;0"),"")</f>
        <v>2.5</v>
      </c>
    </row>
    <row r="2374" spans="1:33" x14ac:dyDescent="0.2">
      <c r="A2374" s="4">
        <f>IF(B2374=1,3,IF(D2374=1,2,IF(F2374=1,1,0)))</f>
        <v>0</v>
      </c>
      <c r="B2374" s="4" t="str">
        <f>IF(C2374=$L2374,1,IF(C2374="","",0))</f>
        <v/>
      </c>
      <c r="C2374" s="41"/>
      <c r="D2374" s="4" t="str">
        <f>IF(E2374=$L2374,1,IF(E2374="","",0))</f>
        <v/>
      </c>
      <c r="E2374" s="18"/>
      <c r="F2374" s="4" t="str">
        <f>IF(G2374=$L2374,1,IF(G2374="","",0))</f>
        <v/>
      </c>
      <c r="G2374" s="14"/>
      <c r="H2374" s="6">
        <v>2984</v>
      </c>
      <c r="I2374" s="15" t="s">
        <v>3120</v>
      </c>
      <c r="J2374" s="6" t="s">
        <v>6011</v>
      </c>
      <c r="K2374" s="6"/>
      <c r="L2374" s="6" t="s">
        <v>3013</v>
      </c>
      <c r="M2374" s="6" t="s">
        <v>9088</v>
      </c>
      <c r="N2374" s="7">
        <f ca="1">RAND()</f>
        <v>0.28565873990028456</v>
      </c>
      <c r="O2374" s="8">
        <v>45224</v>
      </c>
      <c r="P2374" s="8">
        <v>45225</v>
      </c>
      <c r="Q2374" s="8">
        <v>45227</v>
      </c>
      <c r="R2374" s="8">
        <v>45231</v>
      </c>
      <c r="S2374" s="8">
        <v>45252</v>
      </c>
      <c r="T2374" s="8"/>
      <c r="U2374" s="8"/>
      <c r="V2374" s="10">
        <f>COUNTA(O2374:U2374)</f>
        <v>5</v>
      </c>
      <c r="W2374" s="11">
        <f>_xlfn.IFNA(INDEX(reading[[#This Row],[Memo 01]:[Memo 07]],MATCH(0,reading[[#This Row],[Memo 01]:[Memo 07]],-1)),"")</f>
        <v>45252</v>
      </c>
      <c r="X2374" s="11">
        <f ca="1">IFERROR(reading[[#This Row],[Previous]]+OFFSET(reading[[#Headers],[Memo 01]],-1,MATCH(0,reading[[#This Row],[Memo 01]:[Memo 07]],-1)-1),"")</f>
        <v>45264</v>
      </c>
      <c r="Y2374" s="10" t="str">
        <f ca="1">IF(reading[[#This Row],[Next]]&lt;&gt;"",IF(reading[[#This Row],[Next]]&gt;TODAY(),"OK",""),"")</f>
        <v/>
      </c>
      <c r="Z2374" s="13">
        <v>3</v>
      </c>
      <c r="AA2374" s="13">
        <v>3</v>
      </c>
      <c r="AB2374" s="13">
        <v>3</v>
      </c>
      <c r="AC2374" s="13">
        <v>3</v>
      </c>
      <c r="AD2374" s="13">
        <v>2</v>
      </c>
      <c r="AE2374" s="13"/>
      <c r="AF2374" s="13"/>
      <c r="AG2374" s="16">
        <f>IFERROR(SUMIF(reading[[#This Row],[1st]:[7th]],"&gt;0")/COUNTIF(reading[[#This Row],[1st]:[7th]],"&gt;0"),"")</f>
        <v>2.8</v>
      </c>
    </row>
    <row r="2375" spans="1:33" x14ac:dyDescent="0.2">
      <c r="A2375" s="4">
        <f>IF(B2375=1,3,IF(D2375=1,2,IF(F2375=1,1,0)))</f>
        <v>0</v>
      </c>
      <c r="B2375" s="4" t="str">
        <f>IF(C2375=$L2375,1,IF(C2375="","",0))</f>
        <v/>
      </c>
      <c r="C2375" s="40"/>
      <c r="D2375" s="4" t="str">
        <f>IF(E2375=$L2375,1,IF(E2375="","",0))</f>
        <v/>
      </c>
      <c r="E2375" s="18"/>
      <c r="F2375" s="4" t="str">
        <f>IF(G2375=$L2375,1,IF(G2375="","",0))</f>
        <v/>
      </c>
      <c r="G2375" s="18"/>
      <c r="H2375" s="6">
        <v>2808</v>
      </c>
      <c r="I2375" s="15" t="s">
        <v>3120</v>
      </c>
      <c r="J2375" s="6" t="s">
        <v>5851</v>
      </c>
      <c r="K2375" s="6"/>
      <c r="L2375" s="6" t="s">
        <v>2844</v>
      </c>
      <c r="M2375" s="6" t="s">
        <v>8912</v>
      </c>
      <c r="N2375" s="7">
        <f ca="1">RAND()</f>
        <v>0.65450905944030635</v>
      </c>
      <c r="O2375" s="8">
        <v>45222</v>
      </c>
      <c r="P2375" s="8">
        <v>45223</v>
      </c>
      <c r="Q2375" s="8">
        <v>45225</v>
      </c>
      <c r="R2375" s="8">
        <v>45229</v>
      </c>
      <c r="S2375" s="8">
        <v>45236</v>
      </c>
      <c r="T2375" s="8">
        <v>45248</v>
      </c>
      <c r="U2375" s="8"/>
      <c r="V2375" s="10">
        <f>COUNTA(O2375:U2375)</f>
        <v>6</v>
      </c>
      <c r="W2375" s="11">
        <f>_xlfn.IFNA(INDEX(reading[[#This Row],[Memo 01]:[Memo 07]],MATCH(0,reading[[#This Row],[Memo 01]:[Memo 07]],-1)),"")</f>
        <v>45248</v>
      </c>
      <c r="X2375" s="11">
        <f ca="1">IFERROR(reading[[#This Row],[Previous]]+OFFSET(reading[[#Headers],[Memo 01]],-1,MATCH(0,reading[[#This Row],[Memo 01]:[Memo 07]],-1)-1),"")</f>
        <v>45268</v>
      </c>
      <c r="Y2375" s="10" t="str">
        <f ca="1">IF(reading[[#This Row],[Next]]&lt;&gt;"",IF(reading[[#This Row],[Next]]&gt;TODAY(),"OK",""),"")</f>
        <v/>
      </c>
      <c r="Z2375" s="13">
        <v>3</v>
      </c>
      <c r="AA2375" s="13">
        <v>1</v>
      </c>
      <c r="AB2375" s="13">
        <v>3</v>
      </c>
      <c r="AC2375" s="13">
        <v>1</v>
      </c>
      <c r="AD2375" s="13">
        <v>3</v>
      </c>
      <c r="AE2375" s="13">
        <v>3</v>
      </c>
      <c r="AF2375" s="13"/>
      <c r="AG2375" s="16">
        <f>IFERROR(SUMIF(reading[[#This Row],[1st]:[7th]],"&gt;0")/COUNTIF(reading[[#This Row],[1st]:[7th]],"&gt;0"),"")</f>
        <v>2.3333333333333335</v>
      </c>
    </row>
    <row r="2376" spans="1:33" hidden="1" x14ac:dyDescent="0.2">
      <c r="A2376" s="4">
        <f>IF(B2376=1,3,IF(D2376=1,2,IF(F2376=1,1,0)))</f>
        <v>0</v>
      </c>
      <c r="B2376" s="4" t="str">
        <f>IF(C2376=$L2376,1,IF(C2376="","",0))</f>
        <v/>
      </c>
      <c r="C2376" s="42"/>
      <c r="D2376" s="4" t="str">
        <f>IF(E2376=$L2376,1,IF(E2376="","",0))</f>
        <v/>
      </c>
      <c r="E2376" s="43"/>
      <c r="F2376" s="4" t="str">
        <f>IF(G2376=$L2376,1,IF(G2376="","",0))</f>
        <v/>
      </c>
      <c r="G2376" s="18"/>
      <c r="H2376" s="6">
        <v>345</v>
      </c>
      <c r="I2376" s="15" t="s">
        <v>3120</v>
      </c>
      <c r="J2376" s="6" t="s">
        <v>3492</v>
      </c>
      <c r="K2376" s="6"/>
      <c r="L2376" s="6" t="s">
        <v>480</v>
      </c>
      <c r="M2376" s="6" t="s">
        <v>6454</v>
      </c>
      <c r="N2376" s="7">
        <f ca="1">RAND()</f>
        <v>0.24771621912518693</v>
      </c>
      <c r="O2376" s="8">
        <v>45201</v>
      </c>
      <c r="P2376" s="8">
        <v>45202</v>
      </c>
      <c r="Q2376" s="8">
        <v>45204</v>
      </c>
      <c r="R2376" s="8">
        <v>45216</v>
      </c>
      <c r="S2376" s="8">
        <v>45223</v>
      </c>
      <c r="T2376" s="8">
        <v>45235</v>
      </c>
      <c r="U2376" s="8">
        <v>45816</v>
      </c>
      <c r="V2376" s="10">
        <f>COUNTA(O2376:U2376)</f>
        <v>7</v>
      </c>
      <c r="W2376" s="11">
        <f>_xlfn.IFNA(INDEX(reading[[#This Row],[Memo 01]:[Memo 07]],MATCH(0,reading[[#This Row],[Memo 01]:[Memo 07]],-1)),"")</f>
        <v>45816</v>
      </c>
      <c r="X2376" s="11">
        <f ca="1">IFERROR(reading[[#This Row],[Previous]]+OFFSET(reading[[#Headers],[Memo 01]],-1,MATCH(0,reading[[#This Row],[Memo 01]:[Memo 07]],-1)-1),"")</f>
        <v>55816</v>
      </c>
      <c r="Y2376" s="10" t="str">
        <f ca="1">IF(reading[[#This Row],[Next]]&lt;&gt;"",IF(reading[[#This Row],[Next]]&gt;TODAY(),"OK",""),"")</f>
        <v>OK</v>
      </c>
      <c r="Z2376" s="13">
        <v>3</v>
      </c>
      <c r="AA2376" s="13">
        <v>3</v>
      </c>
      <c r="AB2376" s="13">
        <v>3</v>
      </c>
      <c r="AC2376" s="13">
        <v>3</v>
      </c>
      <c r="AD2376" s="13">
        <v>1</v>
      </c>
      <c r="AE2376" s="13">
        <v>3</v>
      </c>
      <c r="AF2376" s="13">
        <v>2</v>
      </c>
      <c r="AG2376" s="16">
        <f>IFERROR(SUMIF(reading[[#This Row],[1st]:[7th]],"&gt;0")/COUNTIF(reading[[#This Row],[1st]:[7th]],"&gt;0"),"")</f>
        <v>2.5714285714285716</v>
      </c>
    </row>
    <row r="2377" spans="1:33" x14ac:dyDescent="0.2">
      <c r="A2377" s="4">
        <f>IF(B2377=1,3,IF(D2377=1,2,IF(F2377=1,1,0)))</f>
        <v>0</v>
      </c>
      <c r="B2377" s="4" t="str">
        <f>IF(C2377=$L2377,1,IF(C2377="","",0))</f>
        <v/>
      </c>
      <c r="C2377" s="39"/>
      <c r="D2377" s="4" t="str">
        <f>IF(E2377=$L2377,1,IF(E2377="","",0))</f>
        <v/>
      </c>
      <c r="E2377" s="18"/>
      <c r="F2377" s="4" t="str">
        <f>IF(G2377=$L2377,1,IF(G2377="","",0))</f>
        <v/>
      </c>
      <c r="G2377" s="14"/>
      <c r="H2377" s="6">
        <v>2946</v>
      </c>
      <c r="I2377" s="15" t="s">
        <v>3120</v>
      </c>
      <c r="J2377" s="6" t="s">
        <v>5979</v>
      </c>
      <c r="K2377" s="6"/>
      <c r="L2377" s="6" t="s">
        <v>2976</v>
      </c>
      <c r="M2377" s="6" t="s">
        <v>9050</v>
      </c>
      <c r="N2377" s="7">
        <f ca="1">RAND()</f>
        <v>0.69314694643276975</v>
      </c>
      <c r="O2377" s="8">
        <v>45223</v>
      </c>
      <c r="P2377" s="8">
        <v>45224</v>
      </c>
      <c r="Q2377" s="8">
        <v>45226</v>
      </c>
      <c r="R2377" s="8">
        <v>45230</v>
      </c>
      <c r="S2377" s="8">
        <v>45237</v>
      </c>
      <c r="T2377" s="8"/>
      <c r="U2377" s="8"/>
      <c r="V2377" s="10">
        <f>COUNTA(O2377:U2377)</f>
        <v>5</v>
      </c>
      <c r="W2377" s="11">
        <f>_xlfn.IFNA(INDEX(reading[[#This Row],[Memo 01]:[Memo 07]],MATCH(0,reading[[#This Row],[Memo 01]:[Memo 07]],-1)),"")</f>
        <v>45237</v>
      </c>
      <c r="X2377" s="11">
        <f ca="1">IFERROR(reading[[#This Row],[Previous]]+OFFSET(reading[[#Headers],[Memo 01]],-1,MATCH(0,reading[[#This Row],[Memo 01]:[Memo 07]],-1)-1),"")</f>
        <v>45249</v>
      </c>
      <c r="Y2377" s="10" t="str">
        <f ca="1">IF(reading[[#This Row],[Next]]&lt;&gt;"",IF(reading[[#This Row],[Next]]&gt;TODAY(),"OK",""),"")</f>
        <v/>
      </c>
      <c r="Z2377" s="13">
        <v>3</v>
      </c>
      <c r="AA2377" s="13">
        <v>3</v>
      </c>
      <c r="AB2377" s="13">
        <v>3</v>
      </c>
      <c r="AC2377" s="13">
        <v>2</v>
      </c>
      <c r="AD2377" s="13">
        <v>3</v>
      </c>
      <c r="AE2377" s="13"/>
      <c r="AF2377" s="13"/>
      <c r="AG2377" s="16">
        <f>IFERROR(SUMIF(reading[[#This Row],[1st]:[7th]],"&gt;0")/COUNTIF(reading[[#This Row],[1st]:[7th]],"&gt;0"),"")</f>
        <v>2.8</v>
      </c>
    </row>
    <row r="2378" spans="1:33" x14ac:dyDescent="0.2">
      <c r="A2378" s="4">
        <f>IF(B2378=1,3,IF(D2378=1,2,IF(F2378=1,1,0)))</f>
        <v>0</v>
      </c>
      <c r="B2378" s="4" t="str">
        <f>IF(C2378=$L2378,1,IF(C2378="","",0))</f>
        <v/>
      </c>
      <c r="C2378" s="38"/>
      <c r="D2378" s="4" t="str">
        <f>IF(E2378=$L2378,1,IF(E2378="","",0))</f>
        <v/>
      </c>
      <c r="E2378" s="18"/>
      <c r="F2378" s="4" t="str">
        <f>IF(G2378=$L2378,1,IF(G2378="","",0))</f>
        <v/>
      </c>
      <c r="G2378" s="14"/>
      <c r="H2378" s="6">
        <v>650</v>
      </c>
      <c r="I2378" s="15" t="s">
        <v>3120</v>
      </c>
      <c r="J2378" s="6" t="s">
        <v>3790</v>
      </c>
      <c r="K2378" s="6"/>
      <c r="L2378" s="6" t="s">
        <v>773</v>
      </c>
      <c r="M2378" s="6" t="s">
        <v>6759</v>
      </c>
      <c r="N2378" s="7">
        <f ca="1">RAND()</f>
        <v>5.1876104380333965E-2</v>
      </c>
      <c r="O2378" s="8">
        <v>45202</v>
      </c>
      <c r="P2378" s="8">
        <v>45203</v>
      </c>
      <c r="Q2378" s="8">
        <v>45205</v>
      </c>
      <c r="R2378" s="8">
        <v>45209</v>
      </c>
      <c r="S2378" s="8">
        <v>45216</v>
      </c>
      <c r="T2378" s="8">
        <v>45228</v>
      </c>
      <c r="U2378" s="8"/>
      <c r="V2378" s="10">
        <f>COUNTA(O2378:U2378)</f>
        <v>6</v>
      </c>
      <c r="W2378" s="11">
        <f>_xlfn.IFNA(INDEX(reading[[#This Row],[Memo 01]:[Memo 07]],MATCH(0,reading[[#This Row],[Memo 01]:[Memo 07]],-1)),"")</f>
        <v>45228</v>
      </c>
      <c r="X2378" s="11">
        <f ca="1">IFERROR(reading[[#This Row],[Previous]]+OFFSET(reading[[#Headers],[Memo 01]],-1,MATCH(0,reading[[#This Row],[Memo 01]:[Memo 07]],-1)-1),"")</f>
        <v>45248</v>
      </c>
      <c r="Y2378" s="10" t="str">
        <f ca="1">IF(reading[[#This Row],[Next]]&lt;&gt;"",IF(reading[[#This Row],[Next]]&gt;TODAY(),"OK",""),"")</f>
        <v/>
      </c>
      <c r="Z2378" s="13">
        <v>3</v>
      </c>
      <c r="AA2378" s="13">
        <v>3</v>
      </c>
      <c r="AB2378" s="13">
        <v>3</v>
      </c>
      <c r="AC2378" s="13">
        <v>3</v>
      </c>
      <c r="AD2378" s="13">
        <v>2</v>
      </c>
      <c r="AE2378" s="13">
        <v>3</v>
      </c>
      <c r="AF2378" s="13"/>
      <c r="AG2378" s="16">
        <f>IFERROR(SUMIF(reading[[#This Row],[1st]:[7th]],"&gt;0")/COUNTIF(reading[[#This Row],[1st]:[7th]],"&gt;0"),"")</f>
        <v>2.8333333333333335</v>
      </c>
    </row>
    <row r="2379" spans="1:33" x14ac:dyDescent="0.2">
      <c r="A2379" s="4">
        <f>IF(B2379=1,3,IF(D2379=1,2,IF(F2379=1,1,0)))</f>
        <v>0</v>
      </c>
      <c r="B2379" s="4" t="str">
        <f>IF(C2379=$L2379,1,IF(C2379="","",0))</f>
        <v/>
      </c>
      <c r="C2379" s="38"/>
      <c r="D2379" s="4" t="str">
        <f>IF(E2379=$L2379,1,IF(E2379="","",0))</f>
        <v/>
      </c>
      <c r="E2379" s="14"/>
      <c r="F2379" s="4" t="str">
        <f>IF(G2379=$L2379,1,IF(G2379="","",0))</f>
        <v/>
      </c>
      <c r="G2379" s="14"/>
      <c r="H2379" s="6">
        <v>2188</v>
      </c>
      <c r="I2379" s="15" t="s">
        <v>3120</v>
      </c>
      <c r="J2379" s="6" t="s">
        <v>3364</v>
      </c>
      <c r="K2379" s="6"/>
      <c r="L2379" s="6" t="s">
        <v>2253</v>
      </c>
      <c r="M2379" s="6" t="s">
        <v>8294</v>
      </c>
      <c r="N2379" s="7">
        <f ca="1">RAND()</f>
        <v>0.78245364863883482</v>
      </c>
      <c r="O2379" s="8">
        <v>45214</v>
      </c>
      <c r="P2379" s="8">
        <v>45215</v>
      </c>
      <c r="Q2379" s="8">
        <v>45217</v>
      </c>
      <c r="R2379" s="8">
        <v>45221</v>
      </c>
      <c r="S2379" s="8">
        <v>45228</v>
      </c>
      <c r="T2379" s="8"/>
      <c r="U2379" s="8"/>
      <c r="V2379" s="10">
        <f>COUNTA(O2379:U2379)</f>
        <v>5</v>
      </c>
      <c r="W2379" s="11">
        <f>_xlfn.IFNA(INDEX(reading[[#This Row],[Memo 01]:[Memo 07]],MATCH(0,reading[[#This Row],[Memo 01]:[Memo 07]],-1)),"")</f>
        <v>45228</v>
      </c>
      <c r="X2379" s="11">
        <f ca="1">IFERROR(reading[[#This Row],[Previous]]+OFFSET(reading[[#Headers],[Memo 01]],-1,MATCH(0,reading[[#This Row],[Memo 01]:[Memo 07]],-1)-1),"")</f>
        <v>45240</v>
      </c>
      <c r="Y2379" s="10" t="str">
        <f ca="1">IF(reading[[#This Row],[Next]]&lt;&gt;"",IF(reading[[#This Row],[Next]]&gt;TODAY(),"OK",""),"")</f>
        <v/>
      </c>
      <c r="Z2379" s="13">
        <v>3</v>
      </c>
      <c r="AA2379" s="13">
        <v>3</v>
      </c>
      <c r="AB2379" s="13">
        <v>3</v>
      </c>
      <c r="AC2379" s="13">
        <v>3</v>
      </c>
      <c r="AD2379" s="13">
        <v>3</v>
      </c>
      <c r="AE2379" s="13"/>
      <c r="AF2379" s="13"/>
      <c r="AG2379" s="16">
        <f>IFERROR(SUMIF(reading[[#This Row],[1st]:[7th]],"&gt;0")/COUNTIF(reading[[#This Row],[1st]:[7th]],"&gt;0"),"")</f>
        <v>3</v>
      </c>
    </row>
    <row r="2380" spans="1:33" x14ac:dyDescent="0.2">
      <c r="A2380" s="4">
        <f>IF(B2380=1,3,IF(D2380=1,2,IF(F2380=1,1,0)))</f>
        <v>0</v>
      </c>
      <c r="B2380" s="4" t="str">
        <f>IF(C2380=$L2380,1,IF(C2380="","",0))</f>
        <v/>
      </c>
      <c r="C2380" s="18"/>
      <c r="D2380" s="4" t="str">
        <f>IF(E2380=$L2380,1,IF(E2380="","",0))</f>
        <v/>
      </c>
      <c r="E2380" s="23"/>
      <c r="F2380" s="4" t="str">
        <f>IF(G2380=$L2380,1,IF(G2380="","",0))</f>
        <v/>
      </c>
      <c r="G2380" s="14"/>
      <c r="H2380" s="6">
        <v>268</v>
      </c>
      <c r="I2380" s="15" t="s">
        <v>3120</v>
      </c>
      <c r="J2380" s="6" t="s">
        <v>3417</v>
      </c>
      <c r="K2380" s="6"/>
      <c r="L2380" s="6" t="s">
        <v>403</v>
      </c>
      <c r="M2380" s="6" t="s">
        <v>6377</v>
      </c>
      <c r="N2380" s="7">
        <f ca="1">RAND()</f>
        <v>0.60630130874720978</v>
      </c>
      <c r="O2380" s="8">
        <v>45199</v>
      </c>
      <c r="P2380" s="8">
        <v>45200</v>
      </c>
      <c r="Q2380" s="8">
        <v>45202</v>
      </c>
      <c r="R2380" s="8">
        <v>45206</v>
      </c>
      <c r="S2380" s="8">
        <v>45213</v>
      </c>
      <c r="T2380" s="8">
        <v>45225</v>
      </c>
      <c r="U2380" s="8"/>
      <c r="V2380" s="10">
        <f>COUNTA(O2380:U2380)</f>
        <v>6</v>
      </c>
      <c r="W2380" s="11">
        <f>_xlfn.IFNA(INDEX(reading[[#This Row],[Memo 01]:[Memo 07]],MATCH(0,reading[[#This Row],[Memo 01]:[Memo 07]],-1)),"")</f>
        <v>45225</v>
      </c>
      <c r="X2380" s="11">
        <f ca="1">IFERROR(reading[[#This Row],[Previous]]+OFFSET(reading[[#Headers],[Memo 01]],-1,MATCH(0,reading[[#This Row],[Memo 01]:[Memo 07]],-1)-1),"")</f>
        <v>45245</v>
      </c>
      <c r="Y2380" s="10" t="str">
        <f ca="1">IF(reading[[#This Row],[Next]]&lt;&gt;"",IF(reading[[#This Row],[Next]]&gt;TODAY(),"OK",""),"")</f>
        <v/>
      </c>
      <c r="Z2380" s="13">
        <v>3</v>
      </c>
      <c r="AA2380" s="13">
        <v>3</v>
      </c>
      <c r="AB2380" s="13">
        <v>3</v>
      </c>
      <c r="AC2380" s="13">
        <v>2</v>
      </c>
      <c r="AD2380" s="13">
        <v>3</v>
      </c>
      <c r="AE2380" s="13">
        <v>3</v>
      </c>
      <c r="AF2380" s="13"/>
      <c r="AG2380" s="16">
        <f>IFERROR(SUMIF(reading[[#This Row],[1st]:[7th]],"&gt;0")/COUNTIF(reading[[#This Row],[1st]:[7th]],"&gt;0"),"")</f>
        <v>2.8333333333333335</v>
      </c>
    </row>
    <row r="2381" spans="1:33" hidden="1" x14ac:dyDescent="0.2">
      <c r="A2381" s="4">
        <f>IF(B2381=1,3,IF(D2381=1,2,IF(F2381=1,1,0)))</f>
        <v>0</v>
      </c>
      <c r="B2381" s="4" t="str">
        <f>IF(C2381=$L2381,1,IF(C2381="","",0))</f>
        <v/>
      </c>
      <c r="C2381" s="41"/>
      <c r="D2381" s="4" t="str">
        <f>IF(E2381=$L2381,1,IF(E2381="","",0))</f>
        <v/>
      </c>
      <c r="E2381" s="18"/>
      <c r="F2381" s="4" t="str">
        <f>IF(G2381=$L2381,1,IF(G2381="","",0))</f>
        <v/>
      </c>
      <c r="G2381" s="18"/>
      <c r="H2381" s="6">
        <v>168</v>
      </c>
      <c r="I2381" s="15" t="s">
        <v>3120</v>
      </c>
      <c r="J2381" s="6" t="s">
        <v>3317</v>
      </c>
      <c r="K2381" s="6"/>
      <c r="L2381" s="6" t="s">
        <v>305</v>
      </c>
      <c r="M2381" s="6" t="s">
        <v>6277</v>
      </c>
      <c r="N2381" s="7">
        <f ca="1">RAND()</f>
        <v>0.55388363269408936</v>
      </c>
      <c r="O2381" s="8">
        <v>45199</v>
      </c>
      <c r="P2381" s="8">
        <v>45200</v>
      </c>
      <c r="Q2381" s="8">
        <v>45202</v>
      </c>
      <c r="R2381" s="8">
        <v>45206</v>
      </c>
      <c r="S2381" s="8">
        <v>45213</v>
      </c>
      <c r="T2381" s="8">
        <v>45226</v>
      </c>
      <c r="U2381" s="8">
        <v>45249</v>
      </c>
      <c r="V2381" s="10">
        <f>COUNTA(O2381:U2381)</f>
        <v>7</v>
      </c>
      <c r="W2381" s="11">
        <f>_xlfn.IFNA(INDEX(reading[[#This Row],[Memo 01]:[Memo 07]],MATCH(0,reading[[#This Row],[Memo 01]:[Memo 07]],-1)),"")</f>
        <v>45249</v>
      </c>
      <c r="X2381" s="11">
        <f ca="1">IFERROR(reading[[#This Row],[Previous]]+OFFSET(reading[[#Headers],[Memo 01]],-1,MATCH(0,reading[[#This Row],[Memo 01]:[Memo 07]],-1)-1),"")</f>
        <v>55249</v>
      </c>
      <c r="Y2381" s="10" t="str">
        <f ca="1">IF(reading[[#This Row],[Next]]&lt;&gt;"",IF(reading[[#This Row],[Next]]&gt;TODAY(),"OK",""),"")</f>
        <v>OK</v>
      </c>
      <c r="Z2381" s="13">
        <v>3</v>
      </c>
      <c r="AA2381" s="13">
        <v>2</v>
      </c>
      <c r="AB2381" s="13">
        <v>3</v>
      </c>
      <c r="AC2381" s="13">
        <v>3</v>
      </c>
      <c r="AD2381" s="13">
        <v>3</v>
      </c>
      <c r="AE2381" s="13">
        <v>1</v>
      </c>
      <c r="AF2381" s="13">
        <v>2</v>
      </c>
      <c r="AG2381" s="16">
        <f>IFERROR(SUMIF(reading[[#This Row],[1st]:[7th]],"&gt;0")/COUNTIF(reading[[#This Row],[1st]:[7th]],"&gt;0"),"")</f>
        <v>2.4285714285714284</v>
      </c>
    </row>
    <row r="2382" spans="1:33" hidden="1" x14ac:dyDescent="0.2">
      <c r="A2382" s="4">
        <f>IF(B2382=1,3,IF(D2382=1,2,IF(F2382=1,1,0)))</f>
        <v>0</v>
      </c>
      <c r="B2382" s="4">
        <f>IF(C2382=$L2382,1,IF(C2382="","",0))</f>
        <v>0</v>
      </c>
      <c r="C2382" s="42" t="s">
        <v>9281</v>
      </c>
      <c r="D2382" s="4" t="str">
        <f>IF(E2382=$L2382,1,IF(E2382="","",0))</f>
        <v/>
      </c>
      <c r="E2382" s="18"/>
      <c r="F2382" s="4" t="str">
        <f>IF(G2382=$L2382,1,IF(G2382="","",0))</f>
        <v/>
      </c>
      <c r="G2382" s="18"/>
      <c r="H2382" s="6">
        <v>2350</v>
      </c>
      <c r="I2382" s="15" t="s">
        <v>3120</v>
      </c>
      <c r="J2382" s="6" t="s">
        <v>5427</v>
      </c>
      <c r="K2382" s="6"/>
      <c r="L2382" s="6" t="s">
        <v>2403</v>
      </c>
      <c r="M2382" s="6" t="s">
        <v>8455</v>
      </c>
      <c r="N2382" s="7">
        <f ca="1">RAND()</f>
        <v>0.13973529172092414</v>
      </c>
      <c r="O2382" s="8">
        <v>45217</v>
      </c>
      <c r="P2382" s="8">
        <v>45218</v>
      </c>
      <c r="Q2382" s="8">
        <v>45220</v>
      </c>
      <c r="R2382" s="8">
        <v>45224</v>
      </c>
      <c r="S2382" s="8">
        <v>45231</v>
      </c>
      <c r="T2382" s="8">
        <v>45249</v>
      </c>
      <c r="U2382" s="8"/>
      <c r="V2382" s="10">
        <f>COUNTA(O2382:U2382)</f>
        <v>6</v>
      </c>
      <c r="W2382" s="11">
        <f>_xlfn.IFNA(INDEX(reading[[#This Row],[Memo 01]:[Memo 07]],MATCH(0,reading[[#This Row],[Memo 01]:[Memo 07]],-1)),"")</f>
        <v>45249</v>
      </c>
      <c r="X2382" s="11">
        <f ca="1">IFERROR(reading[[#This Row],[Previous]]+OFFSET(reading[[#Headers],[Memo 01]],-1,MATCH(0,reading[[#This Row],[Memo 01]:[Memo 07]],-1)-1),"")</f>
        <v>45269</v>
      </c>
      <c r="Y2382" s="10" t="str">
        <f ca="1">IF(reading[[#This Row],[Next]]&lt;&gt;"",IF(reading[[#This Row],[Next]]&gt;TODAY(),"OK",""),"")</f>
        <v/>
      </c>
      <c r="Z2382" s="13">
        <v>3</v>
      </c>
      <c r="AA2382" s="13">
        <v>2</v>
      </c>
      <c r="AB2382" s="13">
        <v>1</v>
      </c>
      <c r="AC2382" s="13">
        <v>2</v>
      </c>
      <c r="AD2382" s="13">
        <v>2</v>
      </c>
      <c r="AE2382" s="13">
        <v>2</v>
      </c>
      <c r="AF2382" s="13"/>
      <c r="AG2382" s="16">
        <f>IFERROR(SUMIF(reading[[#This Row],[1st]:[7th]],"&gt;0")/COUNTIF(reading[[#This Row],[1st]:[7th]],"&gt;0"),"")</f>
        <v>2</v>
      </c>
    </row>
    <row r="2383" spans="1:33" hidden="1" x14ac:dyDescent="0.2">
      <c r="A2383" s="4">
        <f>IF(B2383=1,3,IF(D2383=1,2,IF(F2383=1,1,0)))</f>
        <v>0</v>
      </c>
      <c r="B2383" s="4">
        <f>IF(C2383=$L2383,1,IF(C2383="","",0))</f>
        <v>0</v>
      </c>
      <c r="C2383" s="42" t="s">
        <v>9200</v>
      </c>
      <c r="D2383" s="4">
        <f>IF(E2383=$L2383,1,IF(E2383="","",0))</f>
        <v>0</v>
      </c>
      <c r="E2383" s="43" t="s">
        <v>9200</v>
      </c>
      <c r="F2383" s="4" t="str">
        <f>IF(G2383=$L2383,1,IF(G2383="","",0))</f>
        <v/>
      </c>
      <c r="G2383" s="14"/>
      <c r="H2383" s="6">
        <v>2012</v>
      </c>
      <c r="I2383" s="15" t="s">
        <v>3120</v>
      </c>
      <c r="J2383" s="6" t="s">
        <v>5110</v>
      </c>
      <c r="K2383" s="6"/>
      <c r="L2383" s="6" t="s">
        <v>2087</v>
      </c>
      <c r="M2383" s="6" t="s">
        <v>8118</v>
      </c>
      <c r="N2383" s="7">
        <f ca="1">RAND()</f>
        <v>0.92541587474108711</v>
      </c>
      <c r="O2383" s="8">
        <v>45214</v>
      </c>
      <c r="P2383" s="8">
        <v>45215</v>
      </c>
      <c r="Q2383" s="8">
        <v>45217</v>
      </c>
      <c r="R2383" s="8">
        <v>45221</v>
      </c>
      <c r="S2383" s="8">
        <v>45228</v>
      </c>
      <c r="T2383" s="8"/>
      <c r="U2383" s="8"/>
      <c r="V2383" s="10">
        <f>COUNTA(O2383:U2383)</f>
        <v>5</v>
      </c>
      <c r="W2383" s="11">
        <f>_xlfn.IFNA(INDEX(reading[[#This Row],[Memo 01]:[Memo 07]],MATCH(0,reading[[#This Row],[Memo 01]:[Memo 07]],-1)),"")</f>
        <v>45228</v>
      </c>
      <c r="X2383" s="11">
        <f ca="1">IFERROR(reading[[#This Row],[Previous]]+OFFSET(reading[[#Headers],[Memo 01]],-1,MATCH(0,reading[[#This Row],[Memo 01]:[Memo 07]],-1)-1),"")</f>
        <v>45240</v>
      </c>
      <c r="Y2383" s="10" t="str">
        <f ca="1">IF(reading[[#This Row],[Next]]&lt;&gt;"",IF(reading[[#This Row],[Next]]&gt;TODAY(),"OK",""),"")</f>
        <v/>
      </c>
      <c r="Z2383" s="13">
        <v>3</v>
      </c>
      <c r="AA2383" s="13">
        <v>3</v>
      </c>
      <c r="AB2383" s="13">
        <v>3</v>
      </c>
      <c r="AC2383" s="13">
        <v>2</v>
      </c>
      <c r="AD2383" s="13">
        <v>3</v>
      </c>
      <c r="AE2383" s="13"/>
      <c r="AF2383" s="13"/>
      <c r="AG2383" s="16">
        <f>IFERROR(SUMIF(reading[[#This Row],[1st]:[7th]],"&gt;0")/COUNTIF(reading[[#This Row],[1st]:[7th]],"&gt;0"),"")</f>
        <v>2.8</v>
      </c>
    </row>
    <row r="2384" spans="1:33" x14ac:dyDescent="0.2">
      <c r="A2384" s="4">
        <f>IF(B2384=1,3,IF(D2384=1,2,IF(F2384=1,1,0)))</f>
        <v>0</v>
      </c>
      <c r="B2384" s="4" t="str">
        <f>IF(C2384=$L2384,1,IF(C2384="","",0))</f>
        <v/>
      </c>
      <c r="C2384" s="39"/>
      <c r="D2384" s="4" t="str">
        <f>IF(E2384=$L2384,1,IF(E2384="","",0))</f>
        <v/>
      </c>
      <c r="E2384" s="14"/>
      <c r="F2384" s="4" t="str">
        <f>IF(G2384=$L2384,1,IF(G2384="","",0))</f>
        <v/>
      </c>
      <c r="G2384" s="14"/>
      <c r="H2384" s="6">
        <v>2622</v>
      </c>
      <c r="I2384" s="15" t="s">
        <v>3120</v>
      </c>
      <c r="J2384" s="6" t="s">
        <v>5677</v>
      </c>
      <c r="K2384" s="6"/>
      <c r="L2384" s="6" t="s">
        <v>2664</v>
      </c>
      <c r="M2384" s="6" t="s">
        <v>8727</v>
      </c>
      <c r="N2384" s="7">
        <f ca="1">RAND()</f>
        <v>0.28052867233726198</v>
      </c>
      <c r="O2384" s="8">
        <v>45220</v>
      </c>
      <c r="P2384" s="8">
        <v>45221</v>
      </c>
      <c r="Q2384" s="8">
        <v>45223</v>
      </c>
      <c r="R2384" s="8">
        <v>45227</v>
      </c>
      <c r="S2384" s="8">
        <v>45234</v>
      </c>
      <c r="T2384" s="8"/>
      <c r="U2384" s="8"/>
      <c r="V2384" s="10">
        <f>COUNTA(O2384:U2384)</f>
        <v>5</v>
      </c>
      <c r="W2384" s="11">
        <f>_xlfn.IFNA(INDEX(reading[[#This Row],[Memo 01]:[Memo 07]],MATCH(0,reading[[#This Row],[Memo 01]:[Memo 07]],-1)),"")</f>
        <v>45234</v>
      </c>
      <c r="X2384" s="11">
        <f ca="1">IFERROR(reading[[#This Row],[Previous]]+OFFSET(reading[[#Headers],[Memo 01]],-1,MATCH(0,reading[[#This Row],[Memo 01]:[Memo 07]],-1)-1),"")</f>
        <v>45246</v>
      </c>
      <c r="Y2384" s="10" t="str">
        <f ca="1">IF(reading[[#This Row],[Next]]&lt;&gt;"",IF(reading[[#This Row],[Next]]&gt;TODAY(),"OK",""),"")</f>
        <v/>
      </c>
      <c r="Z2384" s="13">
        <v>3</v>
      </c>
      <c r="AA2384" s="13">
        <v>3</v>
      </c>
      <c r="AB2384" s="13">
        <v>3</v>
      </c>
      <c r="AC2384" s="13">
        <v>3</v>
      </c>
      <c r="AD2384" s="13">
        <v>3</v>
      </c>
      <c r="AE2384" s="13"/>
      <c r="AF2384" s="13"/>
      <c r="AG2384" s="16">
        <f>IFERROR(SUMIF(reading[[#This Row],[1st]:[7th]],"&gt;0")/COUNTIF(reading[[#This Row],[1st]:[7th]],"&gt;0"),"")</f>
        <v>3</v>
      </c>
    </row>
    <row r="2385" spans="1:33" x14ac:dyDescent="0.2">
      <c r="A2385" s="4">
        <f>IF(B2385=1,3,IF(D2385=1,2,IF(F2385=1,1,0)))</f>
        <v>0</v>
      </c>
      <c r="B2385" s="4" t="str">
        <f>IF(C2385=$L2385,1,IF(C2385="","",0))</f>
        <v/>
      </c>
      <c r="C2385" s="38"/>
      <c r="D2385" s="4" t="str">
        <f>IF(E2385=$L2385,1,IF(E2385="","",0))</f>
        <v/>
      </c>
      <c r="E2385" s="14"/>
      <c r="F2385" s="4" t="str">
        <f>IF(G2385=$L2385,1,IF(G2385="","",0))</f>
        <v/>
      </c>
      <c r="G2385" s="14"/>
      <c r="H2385" s="6">
        <v>2081</v>
      </c>
      <c r="I2385" s="15" t="s">
        <v>3120</v>
      </c>
      <c r="J2385" s="6" t="s">
        <v>4663</v>
      </c>
      <c r="K2385" s="6"/>
      <c r="L2385" s="6" t="s">
        <v>2152</v>
      </c>
      <c r="M2385" s="6" t="s">
        <v>8187</v>
      </c>
      <c r="N2385" s="7">
        <f ca="1">RAND()</f>
        <v>0.31945605659993082</v>
      </c>
      <c r="O2385" s="8">
        <v>45214</v>
      </c>
      <c r="P2385" s="8">
        <v>45215</v>
      </c>
      <c r="Q2385" s="8">
        <v>45217</v>
      </c>
      <c r="R2385" s="8">
        <v>45221</v>
      </c>
      <c r="S2385" s="8">
        <v>45228</v>
      </c>
      <c r="T2385" s="8"/>
      <c r="U2385" s="8"/>
      <c r="V2385" s="10">
        <f>COUNTA(O2385:U2385)</f>
        <v>5</v>
      </c>
      <c r="W2385" s="11">
        <f>_xlfn.IFNA(INDEX(reading[[#This Row],[Memo 01]:[Memo 07]],MATCH(0,reading[[#This Row],[Memo 01]:[Memo 07]],-1)),"")</f>
        <v>45228</v>
      </c>
      <c r="X2385" s="11">
        <f ca="1">IFERROR(reading[[#This Row],[Previous]]+OFFSET(reading[[#Headers],[Memo 01]],-1,MATCH(0,reading[[#This Row],[Memo 01]:[Memo 07]],-1)-1),"")</f>
        <v>45240</v>
      </c>
      <c r="Y2385" s="10" t="str">
        <f ca="1">IF(reading[[#This Row],[Next]]&lt;&gt;"",IF(reading[[#This Row],[Next]]&gt;TODAY(),"OK",""),"")</f>
        <v/>
      </c>
      <c r="Z2385" s="13">
        <v>3</v>
      </c>
      <c r="AA2385" s="13">
        <v>3</v>
      </c>
      <c r="AB2385" s="13">
        <v>3</v>
      </c>
      <c r="AC2385" s="13">
        <v>3</v>
      </c>
      <c r="AD2385" s="13">
        <v>3</v>
      </c>
      <c r="AE2385" s="13"/>
      <c r="AF2385" s="13"/>
      <c r="AG2385" s="16">
        <f>IFERROR(SUMIF(reading[[#This Row],[1st]:[7th]],"&gt;0")/COUNTIF(reading[[#This Row],[1st]:[7th]],"&gt;0"),"")</f>
        <v>3</v>
      </c>
    </row>
    <row r="2386" spans="1:33" hidden="1" x14ac:dyDescent="0.2">
      <c r="A2386" s="4">
        <f>IF(B2386=1,3,IF(D2386=1,2,IF(F2386=1,1,0)))</f>
        <v>0</v>
      </c>
      <c r="B2386" s="4">
        <f>IF(C2386=$L2386,1,IF(C2386="","",0))</f>
        <v>0</v>
      </c>
      <c r="C2386" s="42" t="s">
        <v>9200</v>
      </c>
      <c r="D2386" s="4">
        <f>IF(E2386=$L2386,1,IF(E2386="","",0))</f>
        <v>0</v>
      </c>
      <c r="E2386" s="43" t="s">
        <v>9200</v>
      </c>
      <c r="F2386" s="4" t="str">
        <f>IF(G2386=$L2386,1,IF(G2386="","",0))</f>
        <v/>
      </c>
      <c r="G2386" s="14"/>
      <c r="H2386" s="6">
        <v>1939</v>
      </c>
      <c r="I2386" s="15" t="s">
        <v>3120</v>
      </c>
      <c r="J2386" s="6" t="s">
        <v>5038</v>
      </c>
      <c r="K2386" s="6"/>
      <c r="L2386" s="6" t="s">
        <v>2015</v>
      </c>
      <c r="M2386" s="6" t="s">
        <v>8045</v>
      </c>
      <c r="N2386" s="7">
        <f ca="1">RAND()</f>
        <v>0.61438239610549461</v>
      </c>
      <c r="O2386" s="8">
        <v>45213</v>
      </c>
      <c r="P2386" s="8">
        <v>45214</v>
      </c>
      <c r="Q2386" s="8">
        <v>45216</v>
      </c>
      <c r="R2386" s="8">
        <v>45220</v>
      </c>
      <c r="S2386" s="8">
        <v>45227</v>
      </c>
      <c r="T2386" s="8">
        <v>45250</v>
      </c>
      <c r="U2386" s="8"/>
      <c r="V2386" s="10">
        <f>COUNTA(O2386:U2386)</f>
        <v>6</v>
      </c>
      <c r="W2386" s="11">
        <f>_xlfn.IFNA(INDEX(reading[[#This Row],[Memo 01]:[Memo 07]],MATCH(0,reading[[#This Row],[Memo 01]:[Memo 07]],-1)),"")</f>
        <v>45250</v>
      </c>
      <c r="X2386" s="11">
        <f ca="1">IFERROR(reading[[#This Row],[Previous]]+OFFSET(reading[[#Headers],[Memo 01]],-1,MATCH(0,reading[[#This Row],[Memo 01]:[Memo 07]],-1)-1),"")</f>
        <v>45270</v>
      </c>
      <c r="Y2386" s="10" t="str">
        <f ca="1">IF(reading[[#This Row],[Next]]&lt;&gt;"",IF(reading[[#This Row],[Next]]&gt;TODAY(),"OK",""),"")</f>
        <v/>
      </c>
      <c r="Z2386" s="13">
        <v>3</v>
      </c>
      <c r="AA2386" s="13">
        <v>2</v>
      </c>
      <c r="AB2386" s="13">
        <v>3</v>
      </c>
      <c r="AC2386" s="13">
        <v>2</v>
      </c>
      <c r="AD2386" s="13">
        <v>1</v>
      </c>
      <c r="AE2386" s="13">
        <v>1</v>
      </c>
      <c r="AF2386" s="13"/>
      <c r="AG2386" s="16">
        <f>IFERROR(SUMIF(reading[[#This Row],[1st]:[7th]],"&gt;0")/COUNTIF(reading[[#This Row],[1st]:[7th]],"&gt;0"),"")</f>
        <v>2</v>
      </c>
    </row>
    <row r="2387" spans="1:33" x14ac:dyDescent="0.2">
      <c r="A2387" s="4">
        <f>IF(B2387=1,3,IF(D2387=1,2,IF(F2387=1,1,0)))</f>
        <v>0</v>
      </c>
      <c r="B2387" s="4" t="str">
        <f>IF(C2387=$L2387,1,IF(C2387="","",0))</f>
        <v/>
      </c>
      <c r="C2387" s="39"/>
      <c r="D2387" s="4" t="str">
        <f>IF(E2387=$L2387,1,IF(E2387="","",0))</f>
        <v/>
      </c>
      <c r="E2387" s="14"/>
      <c r="F2387" s="4" t="str">
        <f>IF(G2387=$L2387,1,IF(G2387="","",0))</f>
        <v/>
      </c>
      <c r="G2387" s="14"/>
      <c r="H2387" s="6">
        <v>1304</v>
      </c>
      <c r="I2387" s="15" t="s">
        <v>3120</v>
      </c>
      <c r="J2387" s="6" t="s">
        <v>4421</v>
      </c>
      <c r="K2387" s="6"/>
      <c r="L2387" s="6" t="s">
        <v>1401</v>
      </c>
      <c r="M2387" s="6" t="s">
        <v>7411</v>
      </c>
      <c r="N2387" s="7">
        <f ca="1">RAND()</f>
        <v>0.13649574809453002</v>
      </c>
      <c r="O2387" s="8">
        <v>45207</v>
      </c>
      <c r="P2387" s="8">
        <v>45208</v>
      </c>
      <c r="Q2387" s="8">
        <v>45210</v>
      </c>
      <c r="R2387" s="8">
        <v>45214</v>
      </c>
      <c r="S2387" s="8">
        <v>45221</v>
      </c>
      <c r="T2387" s="8">
        <v>45233</v>
      </c>
      <c r="U2387" s="8"/>
      <c r="V2387" s="10">
        <f>COUNTA(O2387:U2387)</f>
        <v>6</v>
      </c>
      <c r="W2387" s="11">
        <f>_xlfn.IFNA(INDEX(reading[[#This Row],[Memo 01]:[Memo 07]],MATCH(0,reading[[#This Row],[Memo 01]:[Memo 07]],-1)),"")</f>
        <v>45233</v>
      </c>
      <c r="X2387" s="11">
        <f ca="1">IFERROR(reading[[#This Row],[Previous]]+OFFSET(reading[[#Headers],[Memo 01]],-1,MATCH(0,reading[[#This Row],[Memo 01]:[Memo 07]],-1)-1),"")</f>
        <v>45253</v>
      </c>
      <c r="Y2387" s="10" t="str">
        <f ca="1">IF(reading[[#This Row],[Next]]&lt;&gt;"",IF(reading[[#This Row],[Next]]&gt;TODAY(),"OK",""),"")</f>
        <v/>
      </c>
      <c r="Z2387" s="13">
        <v>3</v>
      </c>
      <c r="AA2387" s="13">
        <v>2</v>
      </c>
      <c r="AB2387" s="13">
        <v>3</v>
      </c>
      <c r="AC2387" s="13">
        <v>3</v>
      </c>
      <c r="AD2387" s="13">
        <v>3</v>
      </c>
      <c r="AE2387" s="13">
        <v>3</v>
      </c>
      <c r="AF2387" s="13"/>
      <c r="AG2387" s="16">
        <f>IFERROR(SUMIF(reading[[#This Row],[1st]:[7th]],"&gt;0")/COUNTIF(reading[[#This Row],[1st]:[7th]],"&gt;0"),"")</f>
        <v>2.8333333333333335</v>
      </c>
    </row>
    <row r="2388" spans="1:33" x14ac:dyDescent="0.2">
      <c r="A2388" s="4">
        <f>IF(B2388=1,3,IF(D2388=1,2,IF(F2388=1,1,0)))</f>
        <v>0</v>
      </c>
      <c r="B2388" s="4" t="str">
        <f>IF(C2388=$L2388,1,IF(C2388="","",0))</f>
        <v/>
      </c>
      <c r="C2388" s="42"/>
      <c r="D2388" s="4" t="str">
        <f>IF(E2388=$L2388,1,IF(E2388="","",0))</f>
        <v/>
      </c>
      <c r="E2388" s="14"/>
      <c r="F2388" s="4" t="str">
        <f>IF(G2388=$L2388,1,IF(G2388="","",0))</f>
        <v/>
      </c>
      <c r="G2388" s="14"/>
      <c r="H2388" s="6">
        <v>1853</v>
      </c>
      <c r="I2388" s="15" t="s">
        <v>3120</v>
      </c>
      <c r="J2388" s="6" t="s">
        <v>4955</v>
      </c>
      <c r="K2388" s="6"/>
      <c r="L2388" s="6" t="s">
        <v>1931</v>
      </c>
      <c r="M2388" s="6" t="s">
        <v>7959</v>
      </c>
      <c r="N2388" s="7">
        <f ca="1">RAND()</f>
        <v>0.87432683109826059</v>
      </c>
      <c r="O2388" s="8">
        <v>45212</v>
      </c>
      <c r="P2388" s="8">
        <v>45213</v>
      </c>
      <c r="Q2388" s="8">
        <v>45215</v>
      </c>
      <c r="R2388" s="8">
        <v>45219</v>
      </c>
      <c r="S2388" s="8">
        <v>45226</v>
      </c>
      <c r="T2388" s="8">
        <v>45783</v>
      </c>
      <c r="U2388" s="8"/>
      <c r="V2388" s="10">
        <f>COUNTA(O2388:U2388)</f>
        <v>6</v>
      </c>
      <c r="W2388" s="11">
        <f>_xlfn.IFNA(INDEX(reading[[#This Row],[Memo 01]:[Memo 07]],MATCH(0,reading[[#This Row],[Memo 01]:[Memo 07]],-1)),"")</f>
        <v>45783</v>
      </c>
      <c r="X2388" s="11">
        <f ca="1">IFERROR(reading[[#This Row],[Previous]]+OFFSET(reading[[#Headers],[Memo 01]],-1,MATCH(0,reading[[#This Row],[Memo 01]:[Memo 07]],-1)-1),"")</f>
        <v>45803</v>
      </c>
      <c r="Y2388" s="10" t="str">
        <f ca="1">IF(reading[[#This Row],[Next]]&lt;&gt;"",IF(reading[[#This Row],[Next]]&gt;TODAY(),"OK",""),"")</f>
        <v/>
      </c>
      <c r="Z2388" s="13">
        <v>3</v>
      </c>
      <c r="AA2388" s="13">
        <v>3</v>
      </c>
      <c r="AB2388" s="13">
        <v>3</v>
      </c>
      <c r="AC2388" s="13">
        <v>3</v>
      </c>
      <c r="AD2388" s="13">
        <v>3</v>
      </c>
      <c r="AE2388" s="13">
        <v>3</v>
      </c>
      <c r="AF2388" s="13"/>
      <c r="AG2388" s="16">
        <f>IFERROR(SUMIF(reading[[#This Row],[1st]:[7th]],"&gt;0")/COUNTIF(reading[[#This Row],[1st]:[7th]],"&gt;0"),"")</f>
        <v>3</v>
      </c>
    </row>
    <row r="2389" spans="1:33" x14ac:dyDescent="0.2">
      <c r="A2389" s="4">
        <f>IF(B2389=1,3,IF(D2389=1,2,IF(F2389=1,1,0)))</f>
        <v>0</v>
      </c>
      <c r="B2389" s="4" t="str">
        <f>IF(C2389=$L2389,1,IF(C2389="","",0))</f>
        <v/>
      </c>
      <c r="C2389" s="39"/>
      <c r="D2389" s="4" t="str">
        <f>IF(E2389=$L2389,1,IF(E2389="","",0))</f>
        <v/>
      </c>
      <c r="E2389" s="14"/>
      <c r="F2389" s="4" t="str">
        <f>IF(G2389=$L2389,1,IF(G2389="","",0))</f>
        <v/>
      </c>
      <c r="G2389" s="14"/>
      <c r="H2389" s="6">
        <v>2561</v>
      </c>
      <c r="I2389" s="15" t="s">
        <v>3120</v>
      </c>
      <c r="J2389" s="6" t="s">
        <v>5622</v>
      </c>
      <c r="K2389" s="6"/>
      <c r="L2389" s="6" t="s">
        <v>2606</v>
      </c>
      <c r="M2389" s="6" t="s">
        <v>8666</v>
      </c>
      <c r="N2389" s="7">
        <f ca="1">RAND()</f>
        <v>0.46373143455313148</v>
      </c>
      <c r="O2389" s="8">
        <v>45219</v>
      </c>
      <c r="P2389" s="8">
        <v>45220</v>
      </c>
      <c r="Q2389" s="8">
        <v>45222</v>
      </c>
      <c r="R2389" s="8">
        <v>45226</v>
      </c>
      <c r="S2389" s="8">
        <v>45233</v>
      </c>
      <c r="T2389" s="8"/>
      <c r="U2389" s="8"/>
      <c r="V2389" s="10">
        <f>COUNTA(O2389:U2389)</f>
        <v>5</v>
      </c>
      <c r="W2389" s="11">
        <f>_xlfn.IFNA(INDEX(reading[[#This Row],[Memo 01]:[Memo 07]],MATCH(0,reading[[#This Row],[Memo 01]:[Memo 07]],-1)),"")</f>
        <v>45233</v>
      </c>
      <c r="X2389" s="11">
        <f ca="1">IFERROR(reading[[#This Row],[Previous]]+OFFSET(reading[[#Headers],[Memo 01]],-1,MATCH(0,reading[[#This Row],[Memo 01]:[Memo 07]],-1)-1),"")</f>
        <v>45245</v>
      </c>
      <c r="Y2389" s="10" t="str">
        <f ca="1">IF(reading[[#This Row],[Next]]&lt;&gt;"",IF(reading[[#This Row],[Next]]&gt;TODAY(),"OK",""),"")</f>
        <v/>
      </c>
      <c r="Z2389" s="13">
        <v>3</v>
      </c>
      <c r="AA2389" s="13">
        <v>3</v>
      </c>
      <c r="AB2389" s="13">
        <v>3</v>
      </c>
      <c r="AC2389" s="13">
        <v>3</v>
      </c>
      <c r="AD2389" s="13">
        <v>3</v>
      </c>
      <c r="AE2389" s="13"/>
      <c r="AF2389" s="13"/>
      <c r="AG2389" s="16">
        <f>IFERROR(SUMIF(reading[[#This Row],[1st]:[7th]],"&gt;0")/COUNTIF(reading[[#This Row],[1st]:[7th]],"&gt;0"),"")</f>
        <v>3</v>
      </c>
    </row>
    <row r="2390" spans="1:33" hidden="1" x14ac:dyDescent="0.2">
      <c r="A2390" s="4">
        <f>IF(B2390=1,3,IF(D2390=1,2,IF(F2390=1,1,0)))</f>
        <v>0</v>
      </c>
      <c r="B2390" s="4" t="str">
        <f>IF(C2390=$L2390,1,IF(C2390="","",0))</f>
        <v/>
      </c>
      <c r="C2390" s="18"/>
      <c r="D2390" s="4" t="str">
        <f>IF(E2390=$L2390,1,IF(E2390="","",0))</f>
        <v/>
      </c>
      <c r="E2390" s="14"/>
      <c r="F2390" s="4" t="str">
        <f>IF(G2390=$L2390,1,IF(G2390="","",0))</f>
        <v/>
      </c>
      <c r="G2390" s="14"/>
      <c r="H2390" s="6">
        <v>95</v>
      </c>
      <c r="I2390" s="15" t="s">
        <v>3120</v>
      </c>
      <c r="J2390" s="6" t="s">
        <v>3245</v>
      </c>
      <c r="K2390" s="6"/>
      <c r="L2390" s="6" t="s">
        <v>232</v>
      </c>
      <c r="M2390" s="6" t="s">
        <v>6204</v>
      </c>
      <c r="N2390" s="7">
        <f ca="1">RAND()</f>
        <v>0.25881662364012825</v>
      </c>
      <c r="O2390" s="8">
        <v>45198</v>
      </c>
      <c r="P2390" s="8">
        <v>45199</v>
      </c>
      <c r="Q2390" s="8">
        <v>45201</v>
      </c>
      <c r="R2390" s="8">
        <v>45205</v>
      </c>
      <c r="S2390" s="8">
        <v>45213</v>
      </c>
      <c r="T2390" s="8">
        <v>45225</v>
      </c>
      <c r="U2390" s="8">
        <v>45253</v>
      </c>
      <c r="V2390" s="10">
        <f>COUNTA(O2390:U2390)</f>
        <v>7</v>
      </c>
      <c r="W2390" s="11">
        <f>_xlfn.IFNA(INDEX(reading[[#This Row],[Memo 01]:[Memo 07]],MATCH(0,reading[[#This Row],[Memo 01]:[Memo 07]],-1)),"")</f>
        <v>45253</v>
      </c>
      <c r="X2390" s="11">
        <f ca="1">IFERROR(reading[[#This Row],[Previous]]+OFFSET(reading[[#Headers],[Memo 01]],-1,MATCH(0,reading[[#This Row],[Memo 01]:[Memo 07]],-1)-1),"")</f>
        <v>55253</v>
      </c>
      <c r="Y2390" s="10" t="str">
        <f ca="1">IF(reading[[#This Row],[Next]]&lt;&gt;"",IF(reading[[#This Row],[Next]]&gt;TODAY(),"OK",""),"")</f>
        <v>OK</v>
      </c>
      <c r="Z2390" s="13">
        <v>3</v>
      </c>
      <c r="AA2390" s="13">
        <v>3</v>
      </c>
      <c r="AB2390" s="13">
        <v>3</v>
      </c>
      <c r="AC2390" s="13">
        <v>2</v>
      </c>
      <c r="AD2390" s="13">
        <v>2</v>
      </c>
      <c r="AE2390" s="13">
        <v>3</v>
      </c>
      <c r="AF2390" s="13">
        <v>2</v>
      </c>
      <c r="AG2390" s="16">
        <f>IFERROR(SUMIF(reading[[#This Row],[1st]:[7th]],"&gt;0")/COUNTIF(reading[[#This Row],[1st]:[7th]],"&gt;0"),"")</f>
        <v>2.5714285714285716</v>
      </c>
    </row>
    <row r="2391" spans="1:33" x14ac:dyDescent="0.2">
      <c r="A2391" s="4">
        <f>IF(B2391=1,3,IF(D2391=1,2,IF(F2391=1,1,0)))</f>
        <v>0</v>
      </c>
      <c r="B2391" s="4" t="str">
        <f>IF(C2391=$L2391,1,IF(C2391="","",0))</f>
        <v/>
      </c>
      <c r="C2391" s="41"/>
      <c r="D2391" s="4" t="str">
        <f>IF(E2391=$L2391,1,IF(E2391="","",0))</f>
        <v/>
      </c>
      <c r="E2391" s="18"/>
      <c r="F2391" s="4" t="str">
        <f>IF(G2391=$L2391,1,IF(G2391="","",0))</f>
        <v/>
      </c>
      <c r="G2391" s="18"/>
      <c r="H2391" s="6">
        <v>2488</v>
      </c>
      <c r="I2391" s="15" t="s">
        <v>3120</v>
      </c>
      <c r="J2391" s="6" t="s">
        <v>4173</v>
      </c>
      <c r="K2391" s="6"/>
      <c r="L2391" s="6" t="s">
        <v>2534</v>
      </c>
      <c r="M2391" s="6" t="s">
        <v>8593</v>
      </c>
      <c r="N2391" s="7">
        <f ca="1">RAND()</f>
        <v>0.2790568325072057</v>
      </c>
      <c r="O2391" s="8">
        <v>45218</v>
      </c>
      <c r="P2391" s="8">
        <v>45219</v>
      </c>
      <c r="Q2391" s="8">
        <v>45221</v>
      </c>
      <c r="R2391" s="8">
        <v>45226</v>
      </c>
      <c r="S2391" s="8">
        <v>45233</v>
      </c>
      <c r="T2391" s="8">
        <v>45252</v>
      </c>
      <c r="U2391" s="8"/>
      <c r="V2391" s="10">
        <f>COUNTA(O2391:U2391)</f>
        <v>6</v>
      </c>
      <c r="W2391" s="11">
        <f>_xlfn.IFNA(INDEX(reading[[#This Row],[Memo 01]:[Memo 07]],MATCH(0,reading[[#This Row],[Memo 01]:[Memo 07]],-1)),"")</f>
        <v>45252</v>
      </c>
      <c r="X2391" s="11">
        <f ca="1">IFERROR(reading[[#This Row],[Previous]]+OFFSET(reading[[#Headers],[Memo 01]],-1,MATCH(0,reading[[#This Row],[Memo 01]:[Memo 07]],-1)-1),"")</f>
        <v>45272</v>
      </c>
      <c r="Y2391" s="10" t="str">
        <f ca="1">IF(reading[[#This Row],[Next]]&lt;&gt;"",IF(reading[[#This Row],[Next]]&gt;TODAY(),"OK",""),"")</f>
        <v/>
      </c>
      <c r="Z2391" s="13">
        <v>3</v>
      </c>
      <c r="AA2391" s="13">
        <v>3</v>
      </c>
      <c r="AB2391" s="13">
        <v>3</v>
      </c>
      <c r="AC2391" s="13">
        <v>1</v>
      </c>
      <c r="AD2391" s="13">
        <v>3</v>
      </c>
      <c r="AE2391" s="13">
        <v>2</v>
      </c>
      <c r="AF2391" s="13"/>
      <c r="AG2391" s="16">
        <f>IFERROR(SUMIF(reading[[#This Row],[1st]:[7th]],"&gt;0")/COUNTIF(reading[[#This Row],[1st]:[7th]],"&gt;0"),"")</f>
        <v>2.5</v>
      </c>
    </row>
    <row r="2392" spans="1:33" x14ac:dyDescent="0.2">
      <c r="A2392" s="4">
        <f>IF(B2392=1,3,IF(D2392=1,2,IF(F2392=1,1,0)))</f>
        <v>0</v>
      </c>
      <c r="B2392" s="4" t="str">
        <f>IF(C2392=$L2392,1,IF(C2392="","",0))</f>
        <v/>
      </c>
      <c r="C2392" s="39"/>
      <c r="D2392" s="4" t="str">
        <f>IF(E2392=$L2392,1,IF(E2392="","",0))</f>
        <v/>
      </c>
      <c r="E2392" s="18"/>
      <c r="F2392" s="4" t="str">
        <f>IF(G2392=$L2392,1,IF(G2392="","",0))</f>
        <v/>
      </c>
      <c r="G2392" s="14"/>
      <c r="H2392" s="6">
        <v>2410</v>
      </c>
      <c r="I2392" s="15" t="s">
        <v>3120</v>
      </c>
      <c r="J2392" s="6" t="s">
        <v>5481</v>
      </c>
      <c r="K2392" s="6"/>
      <c r="L2392" s="6" t="s">
        <v>2460</v>
      </c>
      <c r="M2392" s="6" t="s">
        <v>8515</v>
      </c>
      <c r="N2392" s="7">
        <f ca="1">RAND()</f>
        <v>0.35065679643918346</v>
      </c>
      <c r="O2392" s="8">
        <v>45217</v>
      </c>
      <c r="P2392" s="8">
        <v>45218</v>
      </c>
      <c r="Q2392" s="8">
        <v>45220</v>
      </c>
      <c r="R2392" s="8">
        <v>45224</v>
      </c>
      <c r="S2392" s="8">
        <v>45231</v>
      </c>
      <c r="T2392" s="8"/>
      <c r="U2392" s="8"/>
      <c r="V2392" s="10">
        <f>COUNTA(O2392:U2392)</f>
        <v>5</v>
      </c>
      <c r="W2392" s="11">
        <f>_xlfn.IFNA(INDEX(reading[[#This Row],[Memo 01]:[Memo 07]],MATCH(0,reading[[#This Row],[Memo 01]:[Memo 07]],-1)),"")</f>
        <v>45231</v>
      </c>
      <c r="X2392" s="11">
        <f ca="1">IFERROR(reading[[#This Row],[Previous]]+OFFSET(reading[[#Headers],[Memo 01]],-1,MATCH(0,reading[[#This Row],[Memo 01]:[Memo 07]],-1)-1),"")</f>
        <v>45243</v>
      </c>
      <c r="Y2392" s="10" t="str">
        <f ca="1">IF(reading[[#This Row],[Next]]&lt;&gt;"",IF(reading[[#This Row],[Next]]&gt;TODAY(),"OK",""),"")</f>
        <v/>
      </c>
      <c r="Z2392" s="13">
        <v>3</v>
      </c>
      <c r="AA2392" s="13">
        <v>2</v>
      </c>
      <c r="AB2392" s="13">
        <v>3</v>
      </c>
      <c r="AC2392" s="13">
        <v>3</v>
      </c>
      <c r="AD2392" s="13">
        <v>3</v>
      </c>
      <c r="AE2392" s="13"/>
      <c r="AF2392" s="13"/>
      <c r="AG2392" s="16">
        <f>IFERROR(SUMIF(reading[[#This Row],[1st]:[7th]],"&gt;0")/COUNTIF(reading[[#This Row],[1st]:[7th]],"&gt;0"),"")</f>
        <v>2.8</v>
      </c>
    </row>
    <row r="2393" spans="1:33" x14ac:dyDescent="0.2">
      <c r="A2393" s="4">
        <f>IF(B2393=1,3,IF(D2393=1,2,IF(F2393=1,1,0)))</f>
        <v>0</v>
      </c>
      <c r="B2393" s="4" t="str">
        <f>IF(C2393=$L2393,1,IF(C2393="","",0))</f>
        <v/>
      </c>
      <c r="C2393" s="38"/>
      <c r="D2393" s="4" t="str">
        <f>IF(E2393=$L2393,1,IF(E2393="","",0))</f>
        <v/>
      </c>
      <c r="E2393" s="14"/>
      <c r="F2393" s="4" t="str">
        <f>IF(G2393=$L2393,1,IF(G2393="","",0))</f>
        <v/>
      </c>
      <c r="G2393" s="14"/>
      <c r="H2393" s="6">
        <v>580</v>
      </c>
      <c r="I2393" s="15" t="s">
        <v>3120</v>
      </c>
      <c r="J2393" s="6" t="s">
        <v>3723</v>
      </c>
      <c r="K2393" s="6"/>
      <c r="L2393" s="6" t="s">
        <v>706</v>
      </c>
      <c r="M2393" s="6" t="s">
        <v>6689</v>
      </c>
      <c r="N2393" s="7">
        <f ca="1">RAND()</f>
        <v>0.63839840759878896</v>
      </c>
      <c r="O2393" s="8">
        <v>45202</v>
      </c>
      <c r="P2393" s="8">
        <v>45203</v>
      </c>
      <c r="Q2393" s="8">
        <v>45205</v>
      </c>
      <c r="R2393" s="8">
        <v>45209</v>
      </c>
      <c r="S2393" s="8">
        <v>45216</v>
      </c>
      <c r="T2393" s="8">
        <v>45228</v>
      </c>
      <c r="U2393" s="8"/>
      <c r="V2393" s="10">
        <f>COUNTA(O2393:U2393)</f>
        <v>6</v>
      </c>
      <c r="W2393" s="11">
        <f>_xlfn.IFNA(INDEX(reading[[#This Row],[Memo 01]:[Memo 07]],MATCH(0,reading[[#This Row],[Memo 01]:[Memo 07]],-1)),"")</f>
        <v>45228</v>
      </c>
      <c r="X2393" s="11">
        <f ca="1">IFERROR(reading[[#This Row],[Previous]]+OFFSET(reading[[#Headers],[Memo 01]],-1,MATCH(0,reading[[#This Row],[Memo 01]:[Memo 07]],-1)-1),"")</f>
        <v>45248</v>
      </c>
      <c r="Y2393" s="10" t="str">
        <f ca="1">IF(reading[[#This Row],[Next]]&lt;&gt;"",IF(reading[[#This Row],[Next]]&gt;TODAY(),"OK",""),"")</f>
        <v/>
      </c>
      <c r="Z2393" s="13">
        <v>3</v>
      </c>
      <c r="AA2393" s="13">
        <v>3</v>
      </c>
      <c r="AB2393" s="13">
        <v>3</v>
      </c>
      <c r="AC2393" s="13">
        <v>3</v>
      </c>
      <c r="AD2393" s="13">
        <v>3</v>
      </c>
      <c r="AE2393" s="13">
        <v>3</v>
      </c>
      <c r="AF2393" s="13"/>
      <c r="AG2393" s="16">
        <f>IFERROR(SUMIF(reading[[#This Row],[1st]:[7th]],"&gt;0")/COUNTIF(reading[[#This Row],[1st]:[7th]],"&gt;0"),"")</f>
        <v>3</v>
      </c>
    </row>
    <row r="2394" spans="1:33" hidden="1" x14ac:dyDescent="0.2">
      <c r="A2394" s="4">
        <f>IF(B2394=1,3,IF(D2394=1,2,IF(F2394=1,1,0)))</f>
        <v>0</v>
      </c>
      <c r="B2394" s="4" t="str">
        <f>IF(C2394=$L2394,1,IF(C2394="","",0))</f>
        <v/>
      </c>
      <c r="C2394" s="41"/>
      <c r="D2394" s="4" t="str">
        <f>IF(E2394=$L2394,1,IF(E2394="","",0))</f>
        <v/>
      </c>
      <c r="E2394" s="18"/>
      <c r="F2394" s="4" t="str">
        <f>IF(G2394=$L2394,1,IF(G2394="","",0))</f>
        <v/>
      </c>
      <c r="G2394" s="14"/>
      <c r="H2394" s="6">
        <v>950</v>
      </c>
      <c r="I2394" s="15" t="s">
        <v>3120</v>
      </c>
      <c r="J2394" s="6" t="s">
        <v>4079</v>
      </c>
      <c r="K2394" s="6"/>
      <c r="L2394" s="6" t="s">
        <v>1060</v>
      </c>
      <c r="M2394" s="6" t="s">
        <v>7058</v>
      </c>
      <c r="N2394" s="7">
        <f ca="1">RAND()</f>
        <v>0.18869248931509675</v>
      </c>
      <c r="O2394" s="8">
        <v>45204</v>
      </c>
      <c r="P2394" s="8">
        <v>45205</v>
      </c>
      <c r="Q2394" s="8">
        <v>45207</v>
      </c>
      <c r="R2394" s="8">
        <v>45212</v>
      </c>
      <c r="S2394" s="8">
        <v>45219</v>
      </c>
      <c r="T2394" s="8">
        <v>45231</v>
      </c>
      <c r="U2394" s="8">
        <v>45252</v>
      </c>
      <c r="V2394" s="10">
        <f>COUNTA(O2394:U2394)</f>
        <v>7</v>
      </c>
      <c r="W2394" s="11">
        <f>_xlfn.IFNA(INDEX(reading[[#This Row],[Memo 01]:[Memo 07]],MATCH(0,reading[[#This Row],[Memo 01]:[Memo 07]],-1)),"")</f>
        <v>45252</v>
      </c>
      <c r="X2394" s="11">
        <f ca="1">IFERROR(reading[[#This Row],[Previous]]+OFFSET(reading[[#Headers],[Memo 01]],-1,MATCH(0,reading[[#This Row],[Memo 01]:[Memo 07]],-1)-1),"")</f>
        <v>55252</v>
      </c>
      <c r="Y2394" s="10" t="str">
        <f ca="1">IF(reading[[#This Row],[Next]]&lt;&gt;"",IF(reading[[#This Row],[Next]]&gt;TODAY(),"OK",""),"")</f>
        <v>OK</v>
      </c>
      <c r="Z2394" s="13">
        <v>3</v>
      </c>
      <c r="AA2394" s="13">
        <v>2</v>
      </c>
      <c r="AB2394" s="13">
        <v>3</v>
      </c>
      <c r="AC2394" s="13">
        <v>2</v>
      </c>
      <c r="AD2394" s="13">
        <v>2</v>
      </c>
      <c r="AE2394" s="13">
        <v>3</v>
      </c>
      <c r="AF2394" s="13">
        <v>2</v>
      </c>
      <c r="AG2394" s="16">
        <f>IFERROR(SUMIF(reading[[#This Row],[1st]:[7th]],"&gt;0")/COUNTIF(reading[[#This Row],[1st]:[7th]],"&gt;0"),"")</f>
        <v>2.4285714285714284</v>
      </c>
    </row>
    <row r="2395" spans="1:33" x14ac:dyDescent="0.2">
      <c r="A2395" s="4">
        <f>IF(B2395=1,3,IF(D2395=1,2,IF(F2395=1,1,0)))</f>
        <v>0</v>
      </c>
      <c r="B2395" s="4" t="str">
        <f>IF(C2395=$L2395,1,IF(C2395="","",0))</f>
        <v/>
      </c>
      <c r="C2395" s="39"/>
      <c r="D2395" s="4" t="str">
        <f>IF(E2395=$L2395,1,IF(E2395="","",0))</f>
        <v/>
      </c>
      <c r="E2395" s="14"/>
      <c r="F2395" s="4" t="str">
        <f>IF(G2395=$L2395,1,IF(G2395="","",0))</f>
        <v/>
      </c>
      <c r="G2395" s="14"/>
      <c r="H2395" s="6">
        <v>1355</v>
      </c>
      <c r="I2395" s="15" t="s">
        <v>3120</v>
      </c>
      <c r="J2395" s="6" t="s">
        <v>4469</v>
      </c>
      <c r="K2395" s="6"/>
      <c r="L2395" s="6" t="s">
        <v>1449</v>
      </c>
      <c r="M2395" s="6" t="s">
        <v>7462</v>
      </c>
      <c r="N2395" s="7">
        <f ca="1">RAND()</f>
        <v>0.99649804297905953</v>
      </c>
      <c r="O2395" s="8">
        <v>45207</v>
      </c>
      <c r="P2395" s="8">
        <v>45208</v>
      </c>
      <c r="Q2395" s="8">
        <v>45210</v>
      </c>
      <c r="R2395" s="8">
        <v>45214</v>
      </c>
      <c r="S2395" s="8">
        <v>45221</v>
      </c>
      <c r="T2395" s="8">
        <v>45233</v>
      </c>
      <c r="U2395" s="8"/>
      <c r="V2395" s="10">
        <f>COUNTA(O2395:U2395)</f>
        <v>6</v>
      </c>
      <c r="W2395" s="11">
        <f>_xlfn.IFNA(INDEX(reading[[#This Row],[Memo 01]:[Memo 07]],MATCH(0,reading[[#This Row],[Memo 01]:[Memo 07]],-1)),"")</f>
        <v>45233</v>
      </c>
      <c r="X2395" s="11">
        <f ca="1">IFERROR(reading[[#This Row],[Previous]]+OFFSET(reading[[#Headers],[Memo 01]],-1,MATCH(0,reading[[#This Row],[Memo 01]:[Memo 07]],-1)-1),"")</f>
        <v>45253</v>
      </c>
      <c r="Y2395" s="10" t="str">
        <f ca="1">IF(reading[[#This Row],[Next]]&lt;&gt;"",IF(reading[[#This Row],[Next]]&gt;TODAY(),"OK",""),"")</f>
        <v/>
      </c>
      <c r="Z2395" s="13">
        <v>3</v>
      </c>
      <c r="AA2395" s="13">
        <v>3</v>
      </c>
      <c r="AB2395" s="13">
        <v>3</v>
      </c>
      <c r="AC2395" s="13">
        <v>3</v>
      </c>
      <c r="AD2395" s="13">
        <v>3</v>
      </c>
      <c r="AE2395" s="13">
        <v>3</v>
      </c>
      <c r="AF2395" s="13"/>
      <c r="AG2395" s="16">
        <f>IFERROR(SUMIF(reading[[#This Row],[1st]:[7th]],"&gt;0")/COUNTIF(reading[[#This Row],[1st]:[7th]],"&gt;0"),"")</f>
        <v>3</v>
      </c>
    </row>
    <row r="2396" spans="1:33" hidden="1" x14ac:dyDescent="0.2">
      <c r="A2396" s="4">
        <f>IF(B2396=1,3,IF(D2396=1,2,IF(F2396=1,1,0)))</f>
        <v>0</v>
      </c>
      <c r="B2396" s="4" t="str">
        <f>IF(C2396=$L2396,1,IF(C2396="","",0))</f>
        <v/>
      </c>
      <c r="C2396" s="42"/>
      <c r="D2396" s="4" t="str">
        <f>IF(E2396=$L2396,1,IF(E2396="","",0))</f>
        <v/>
      </c>
      <c r="E2396" s="43"/>
      <c r="F2396" s="4" t="str">
        <f>IF(G2396=$L2396,1,IF(G2396="","",0))</f>
        <v/>
      </c>
      <c r="G2396" s="18"/>
      <c r="H2396" s="6">
        <v>2026</v>
      </c>
      <c r="I2396" s="15" t="s">
        <v>3120</v>
      </c>
      <c r="J2396" s="6" t="s">
        <v>5123</v>
      </c>
      <c r="K2396" s="6"/>
      <c r="L2396" s="6" t="s">
        <v>2101</v>
      </c>
      <c r="M2396" s="6" t="s">
        <v>8132</v>
      </c>
      <c r="N2396" s="7">
        <f ca="1">RAND()</f>
        <v>0.2302589939302403</v>
      </c>
      <c r="O2396" s="8">
        <v>45213</v>
      </c>
      <c r="P2396" s="8">
        <v>45214</v>
      </c>
      <c r="Q2396" s="8">
        <v>45220</v>
      </c>
      <c r="R2396" s="8">
        <v>45224</v>
      </c>
      <c r="S2396" s="8">
        <v>45231</v>
      </c>
      <c r="T2396" s="8">
        <v>45825</v>
      </c>
      <c r="U2396" s="8"/>
      <c r="V2396" s="10">
        <f>COUNTA(O2396:U2396)</f>
        <v>6</v>
      </c>
      <c r="W2396" s="11">
        <f>_xlfn.IFNA(INDEX(reading[[#This Row],[Memo 01]:[Memo 07]],MATCH(0,reading[[#This Row],[Memo 01]:[Memo 07]],-1)),"")</f>
        <v>45825</v>
      </c>
      <c r="X2396" s="11">
        <f ca="1">IFERROR(reading[[#This Row],[Previous]]+OFFSET(reading[[#Headers],[Memo 01]],-1,MATCH(0,reading[[#This Row],[Memo 01]:[Memo 07]],-1)-1),"")</f>
        <v>45845</v>
      </c>
      <c r="Y2396" s="10" t="str">
        <f ca="1">IF(reading[[#This Row],[Next]]&lt;&gt;"",IF(reading[[#This Row],[Next]]&gt;TODAY(),"OK",""),"")</f>
        <v>OK</v>
      </c>
      <c r="Z2396" s="13">
        <v>3</v>
      </c>
      <c r="AA2396" s="13">
        <v>3</v>
      </c>
      <c r="AB2396" s="13">
        <v>3</v>
      </c>
      <c r="AC2396" s="13">
        <v>2</v>
      </c>
      <c r="AD2396" s="13">
        <v>3</v>
      </c>
      <c r="AE2396" s="13">
        <v>2</v>
      </c>
      <c r="AF2396" s="13"/>
      <c r="AG2396" s="16">
        <f>IFERROR(SUMIF(reading[[#This Row],[1st]:[7th]],"&gt;0")/COUNTIF(reading[[#This Row],[1st]:[7th]],"&gt;0"),"")</f>
        <v>2.6666666666666665</v>
      </c>
    </row>
    <row r="2397" spans="1:33" hidden="1" x14ac:dyDescent="0.2">
      <c r="A2397" s="4">
        <f>IF(B2397=1,3,IF(D2397=1,2,IF(F2397=1,1,0)))</f>
        <v>0</v>
      </c>
      <c r="B2397" s="4" t="str">
        <f>IF(C2397=$L2397,1,IF(C2397="","",0))</f>
        <v/>
      </c>
      <c r="C2397" s="42"/>
      <c r="D2397" s="4" t="str">
        <f>IF(E2397=$L2397,1,IF(E2397="","",0))</f>
        <v/>
      </c>
      <c r="E2397" s="23"/>
      <c r="F2397" s="4" t="str">
        <f>IF(G2397=$L2397,1,IF(G2397="","",0))</f>
        <v/>
      </c>
      <c r="G2397" s="23"/>
      <c r="H2397" s="6">
        <v>1928</v>
      </c>
      <c r="I2397" s="15" t="s">
        <v>3120</v>
      </c>
      <c r="J2397" s="6" t="s">
        <v>5027</v>
      </c>
      <c r="K2397" s="6"/>
      <c r="L2397" s="6" t="s">
        <v>2004</v>
      </c>
      <c r="M2397" s="6" t="s">
        <v>8034</v>
      </c>
      <c r="N2397" s="7">
        <f ca="1">RAND()</f>
        <v>0.30776520042171429</v>
      </c>
      <c r="O2397" s="8">
        <v>45213</v>
      </c>
      <c r="P2397" s="8">
        <v>45214</v>
      </c>
      <c r="Q2397" s="8">
        <v>45216</v>
      </c>
      <c r="R2397" s="8">
        <v>45220</v>
      </c>
      <c r="S2397" s="8">
        <v>45227</v>
      </c>
      <c r="T2397" s="8">
        <v>45817</v>
      </c>
      <c r="U2397" s="8"/>
      <c r="V2397" s="10">
        <f>COUNTA(O2397:U2397)</f>
        <v>6</v>
      </c>
      <c r="W2397" s="11">
        <f>_xlfn.IFNA(INDEX(reading[[#This Row],[Memo 01]:[Memo 07]],MATCH(0,reading[[#This Row],[Memo 01]:[Memo 07]],-1)),"")</f>
        <v>45817</v>
      </c>
      <c r="X2397" s="11">
        <f ca="1">IFERROR(reading[[#This Row],[Previous]]+OFFSET(reading[[#Headers],[Memo 01]],-1,MATCH(0,reading[[#This Row],[Memo 01]:[Memo 07]],-1)-1),"")</f>
        <v>45837</v>
      </c>
      <c r="Y2397" s="10" t="str">
        <f ca="1">IF(reading[[#This Row],[Next]]&lt;&gt;"",IF(reading[[#This Row],[Next]]&gt;TODAY(),"OK",""),"")</f>
        <v>OK</v>
      </c>
      <c r="Z2397" s="13">
        <v>3</v>
      </c>
      <c r="AA2397" s="13">
        <v>3</v>
      </c>
      <c r="AB2397" s="13">
        <v>3</v>
      </c>
      <c r="AC2397" s="13">
        <v>3</v>
      </c>
      <c r="AD2397" s="13">
        <v>3</v>
      </c>
      <c r="AE2397" s="13">
        <v>1</v>
      </c>
      <c r="AF2397" s="13"/>
      <c r="AG2397" s="16">
        <f>IFERROR(SUMIF(reading[[#This Row],[1st]:[7th]],"&gt;0")/COUNTIF(reading[[#This Row],[1st]:[7th]],"&gt;0"),"")</f>
        <v>2.6666666666666665</v>
      </c>
    </row>
    <row r="2398" spans="1:33" x14ac:dyDescent="0.2">
      <c r="A2398" s="4">
        <f>IF(B2398=1,3,IF(D2398=1,2,IF(F2398=1,1,0)))</f>
        <v>0</v>
      </c>
      <c r="B2398" s="4" t="str">
        <f>IF(C2398=$L2398,1,IF(C2398="","",0))</f>
        <v/>
      </c>
      <c r="C2398" s="42"/>
      <c r="D2398" s="4" t="str">
        <f>IF(E2398=$L2398,1,IF(E2398="","",0))</f>
        <v/>
      </c>
      <c r="E2398" s="14"/>
      <c r="F2398" s="4" t="str">
        <f>IF(G2398=$L2398,1,IF(G2398="","",0))</f>
        <v/>
      </c>
      <c r="G2398" s="14"/>
      <c r="H2398" s="6">
        <v>2302</v>
      </c>
      <c r="I2398" s="15" t="s">
        <v>3120</v>
      </c>
      <c r="J2398" s="6" t="s">
        <v>5380</v>
      </c>
      <c r="K2398" s="6"/>
      <c r="L2398" s="6" t="s">
        <v>2360</v>
      </c>
      <c r="M2398" s="6" t="s">
        <v>8407</v>
      </c>
      <c r="N2398" s="7">
        <f ca="1">RAND()</f>
        <v>0.13929617933497307</v>
      </c>
      <c r="O2398" s="8">
        <v>45216</v>
      </c>
      <c r="P2398" s="8">
        <v>45217</v>
      </c>
      <c r="Q2398" s="8">
        <v>45219</v>
      </c>
      <c r="R2398" s="8">
        <v>45223</v>
      </c>
      <c r="S2398" s="8">
        <v>45230</v>
      </c>
      <c r="T2398" s="8">
        <v>45792</v>
      </c>
      <c r="U2398" s="8"/>
      <c r="V2398" s="10">
        <f>COUNTA(O2398:U2398)</f>
        <v>6</v>
      </c>
      <c r="W2398" s="11">
        <f>_xlfn.IFNA(INDEX(reading[[#This Row],[Memo 01]:[Memo 07]],MATCH(0,reading[[#This Row],[Memo 01]:[Memo 07]],-1)),"")</f>
        <v>45792</v>
      </c>
      <c r="X2398" s="11">
        <f ca="1">IFERROR(reading[[#This Row],[Previous]]+OFFSET(reading[[#Headers],[Memo 01]],-1,MATCH(0,reading[[#This Row],[Memo 01]:[Memo 07]],-1)-1),"")</f>
        <v>45812</v>
      </c>
      <c r="Y2398" s="10" t="str">
        <f ca="1">IF(reading[[#This Row],[Next]]&lt;&gt;"",IF(reading[[#This Row],[Next]]&gt;TODAY(),"OK",""),"")</f>
        <v/>
      </c>
      <c r="Z2398" s="13">
        <v>3</v>
      </c>
      <c r="AA2398" s="13">
        <v>3</v>
      </c>
      <c r="AB2398" s="13">
        <v>3</v>
      </c>
      <c r="AC2398" s="13">
        <v>3</v>
      </c>
      <c r="AD2398" s="13">
        <v>3</v>
      </c>
      <c r="AE2398" s="13">
        <v>3</v>
      </c>
      <c r="AF2398" s="13"/>
      <c r="AG2398" s="16">
        <f>IFERROR(SUMIF(reading[[#This Row],[1st]:[7th]],"&gt;0")/COUNTIF(reading[[#This Row],[1st]:[7th]],"&gt;0"),"")</f>
        <v>3</v>
      </c>
    </row>
    <row r="2399" spans="1:33" x14ac:dyDescent="0.2">
      <c r="A2399" s="4">
        <f>IF(B2399=1,3,IF(D2399=1,2,IF(F2399=1,1,0)))</f>
        <v>0</v>
      </c>
      <c r="B2399" s="4" t="str">
        <f>IF(C2399=$L2399,1,IF(C2399="","",0))</f>
        <v/>
      </c>
      <c r="C2399" s="36"/>
      <c r="D2399" s="4" t="str">
        <f>IF(E2399=$L2399,1,IF(E2399="","",0))</f>
        <v/>
      </c>
      <c r="E2399" s="14"/>
      <c r="F2399" s="4" t="str">
        <f>IF(G2399=$L2399,1,IF(G2399="","",0))</f>
        <v/>
      </c>
      <c r="G2399" s="14"/>
      <c r="H2399" s="6">
        <v>1819</v>
      </c>
      <c r="I2399" s="15" t="s">
        <v>3120</v>
      </c>
      <c r="J2399" s="6" t="s">
        <v>4924</v>
      </c>
      <c r="K2399" s="15" t="s">
        <v>3139</v>
      </c>
      <c r="L2399" s="6" t="s">
        <v>1897</v>
      </c>
      <c r="M2399" s="6" t="s">
        <v>7925</v>
      </c>
      <c r="N2399" s="7">
        <f ca="1">RAND()</f>
        <v>0.41355554735637334</v>
      </c>
      <c r="O2399" s="8">
        <v>45212</v>
      </c>
      <c r="P2399" s="8">
        <v>45213</v>
      </c>
      <c r="Q2399" s="8">
        <v>45215</v>
      </c>
      <c r="R2399" s="8">
        <v>45219</v>
      </c>
      <c r="S2399" s="8">
        <v>45226</v>
      </c>
      <c r="T2399" s="8"/>
      <c r="U2399" s="8"/>
      <c r="V2399" s="10">
        <f>COUNTA(O2399:U2399)</f>
        <v>5</v>
      </c>
      <c r="W2399" s="11">
        <f>_xlfn.IFNA(INDEX(reading[[#This Row],[Memo 01]:[Memo 07]],MATCH(0,reading[[#This Row],[Memo 01]:[Memo 07]],-1)),"")</f>
        <v>45226</v>
      </c>
      <c r="X2399" s="11">
        <f ca="1">IFERROR(reading[[#This Row],[Previous]]+OFFSET(reading[[#Headers],[Memo 01]],-1,MATCH(0,reading[[#This Row],[Memo 01]:[Memo 07]],-1)-1),"")</f>
        <v>45238</v>
      </c>
      <c r="Y2399" s="10" t="str">
        <f ca="1">IF(reading[[#This Row],[Next]]&lt;&gt;"",IF(reading[[#This Row],[Next]]&gt;TODAY(),"OK",""),"")</f>
        <v/>
      </c>
      <c r="Z2399" s="13">
        <v>3</v>
      </c>
      <c r="AA2399" s="13">
        <v>3</v>
      </c>
      <c r="AB2399" s="13">
        <v>3</v>
      </c>
      <c r="AC2399" s="13">
        <v>3</v>
      </c>
      <c r="AD2399" s="13">
        <v>3</v>
      </c>
      <c r="AE2399" s="13"/>
      <c r="AF2399" s="13"/>
      <c r="AG2399" s="16">
        <f>IFERROR(SUMIF(reading[[#This Row],[1st]:[7th]],"&gt;0")/COUNTIF(reading[[#This Row],[1st]:[7th]],"&gt;0"),"")</f>
        <v>3</v>
      </c>
    </row>
    <row r="2400" spans="1:33" x14ac:dyDescent="0.2">
      <c r="A2400" s="4">
        <f>IF(B2400=1,3,IF(D2400=1,2,IF(F2400=1,1,0)))</f>
        <v>0</v>
      </c>
      <c r="B2400" s="4" t="str">
        <f>IF(C2400=$L2400,1,IF(C2400="","",0))</f>
        <v/>
      </c>
      <c r="C2400" s="36"/>
      <c r="D2400" s="4" t="str">
        <f>IF(E2400=$L2400,1,IF(E2400="","",0))</f>
        <v/>
      </c>
      <c r="E2400" s="18"/>
      <c r="F2400" s="4" t="str">
        <f>IF(G2400=$L2400,1,IF(G2400="","",0))</f>
        <v/>
      </c>
      <c r="G2400" s="14"/>
      <c r="H2400" s="6">
        <v>114</v>
      </c>
      <c r="I2400" s="15" t="s">
        <v>3120</v>
      </c>
      <c r="J2400" s="6" t="s">
        <v>3263</v>
      </c>
      <c r="K2400" s="6"/>
      <c r="L2400" s="6" t="s">
        <v>251</v>
      </c>
      <c r="M2400" s="6" t="s">
        <v>6223</v>
      </c>
      <c r="N2400" s="7">
        <f ca="1">RAND()</f>
        <v>0.72447779203281126</v>
      </c>
      <c r="O2400" s="8">
        <v>45199</v>
      </c>
      <c r="P2400" s="8">
        <v>45200</v>
      </c>
      <c r="Q2400" s="8">
        <v>45202</v>
      </c>
      <c r="R2400" s="8">
        <v>45206</v>
      </c>
      <c r="S2400" s="8">
        <v>45213</v>
      </c>
      <c r="T2400" s="8">
        <v>45225</v>
      </c>
      <c r="U2400" s="8"/>
      <c r="V2400" s="10">
        <f>COUNTA(O2400:U2400)</f>
        <v>6</v>
      </c>
      <c r="W2400" s="11">
        <f>_xlfn.IFNA(INDEX(reading[[#This Row],[Memo 01]:[Memo 07]],MATCH(0,reading[[#This Row],[Memo 01]:[Memo 07]],-1)),"")</f>
        <v>45225</v>
      </c>
      <c r="X2400" s="11">
        <f ca="1">IFERROR(reading[[#This Row],[Previous]]+OFFSET(reading[[#Headers],[Memo 01]],-1,MATCH(0,reading[[#This Row],[Memo 01]:[Memo 07]],-1)-1),"")</f>
        <v>45245</v>
      </c>
      <c r="Y2400" s="10" t="str">
        <f ca="1">IF(reading[[#This Row],[Next]]&lt;&gt;"",IF(reading[[#This Row],[Next]]&gt;TODAY(),"OK",""),"")</f>
        <v/>
      </c>
      <c r="Z2400" s="13">
        <v>3</v>
      </c>
      <c r="AA2400" s="13">
        <v>2</v>
      </c>
      <c r="AB2400" s="13">
        <v>3</v>
      </c>
      <c r="AC2400" s="13">
        <v>3</v>
      </c>
      <c r="AD2400" s="13">
        <v>3</v>
      </c>
      <c r="AE2400" s="13">
        <v>3</v>
      </c>
      <c r="AF2400" s="13"/>
      <c r="AG2400" s="16">
        <f>IFERROR(SUMIF(reading[[#This Row],[1st]:[7th]],"&gt;0")/COUNTIF(reading[[#This Row],[1st]:[7th]],"&gt;0"),"")</f>
        <v>2.8333333333333335</v>
      </c>
    </row>
    <row r="2401" spans="1:33" x14ac:dyDescent="0.2">
      <c r="A2401" s="4">
        <f>IF(B2401=1,3,IF(D2401=1,2,IF(F2401=1,1,0)))</f>
        <v>0</v>
      </c>
      <c r="B2401" s="4" t="str">
        <f>IF(C2401=$L2401,1,IF(C2401="","",0))</f>
        <v/>
      </c>
      <c r="C2401" s="42"/>
      <c r="D2401" s="4" t="str">
        <f>IF(E2401=$L2401,1,IF(E2401="","",0))</f>
        <v/>
      </c>
      <c r="E2401" s="18"/>
      <c r="F2401" s="4" t="str">
        <f>IF(G2401=$L2401,1,IF(G2401="","",0))</f>
        <v/>
      </c>
      <c r="G2401" s="14"/>
      <c r="H2401" s="6">
        <v>784</v>
      </c>
      <c r="I2401" s="15" t="s">
        <v>3120</v>
      </c>
      <c r="J2401" s="6" t="s">
        <v>3918</v>
      </c>
      <c r="K2401" s="15" t="s">
        <v>3139</v>
      </c>
      <c r="L2401" s="6" t="s">
        <v>903</v>
      </c>
      <c r="M2401" s="6" t="s">
        <v>6893</v>
      </c>
      <c r="N2401" s="7">
        <f ca="1">RAND()</f>
        <v>0.78738953451773053</v>
      </c>
      <c r="O2401" s="8">
        <v>45203</v>
      </c>
      <c r="P2401" s="8">
        <v>45204</v>
      </c>
      <c r="Q2401" s="8">
        <v>45206</v>
      </c>
      <c r="R2401" s="8">
        <v>45210</v>
      </c>
      <c r="S2401" s="8">
        <v>45217</v>
      </c>
      <c r="T2401" s="8">
        <v>45229</v>
      </c>
      <c r="U2401" s="8"/>
      <c r="V2401" s="10">
        <f>COUNTA(O2401:U2401)</f>
        <v>6</v>
      </c>
      <c r="W2401" s="11">
        <f>_xlfn.IFNA(INDEX(reading[[#This Row],[Memo 01]:[Memo 07]],MATCH(0,reading[[#This Row],[Memo 01]:[Memo 07]],-1)),"")</f>
        <v>45229</v>
      </c>
      <c r="X2401" s="11">
        <f ca="1">IFERROR(reading[[#This Row],[Previous]]+OFFSET(reading[[#Headers],[Memo 01]],-1,MATCH(0,reading[[#This Row],[Memo 01]:[Memo 07]],-1)-1),"")</f>
        <v>45249</v>
      </c>
      <c r="Y2401" s="10" t="str">
        <f ca="1">IF(reading[[#This Row],[Next]]&lt;&gt;"",IF(reading[[#This Row],[Next]]&gt;TODAY(),"OK",""),"")</f>
        <v/>
      </c>
      <c r="Z2401" s="13">
        <v>3</v>
      </c>
      <c r="AA2401" s="13">
        <v>2</v>
      </c>
      <c r="AB2401" s="13">
        <v>3</v>
      </c>
      <c r="AC2401" s="13">
        <v>2</v>
      </c>
      <c r="AD2401" s="13">
        <v>3</v>
      </c>
      <c r="AE2401" s="13">
        <v>3</v>
      </c>
      <c r="AF2401" s="13"/>
      <c r="AG2401" s="16">
        <f>IFERROR(SUMIF(reading[[#This Row],[1st]:[7th]],"&gt;0")/COUNTIF(reading[[#This Row],[1st]:[7th]],"&gt;0"),"")</f>
        <v>2.6666666666666665</v>
      </c>
    </row>
    <row r="2402" spans="1:33" x14ac:dyDescent="0.2">
      <c r="A2402" s="4">
        <f>IF(B2402=1,3,IF(D2402=1,2,IF(F2402=1,1,0)))</f>
        <v>0</v>
      </c>
      <c r="B2402" s="4" t="str">
        <f>IF(C2402=$L2402,1,IF(C2402="","",0))</f>
        <v/>
      </c>
      <c r="C2402" s="36"/>
      <c r="D2402" s="4" t="str">
        <f>IF(E2402=$L2402,1,IF(E2402="","",0))</f>
        <v/>
      </c>
      <c r="E2402" s="14"/>
      <c r="F2402" s="4" t="str">
        <f>IF(G2402=$L2402,1,IF(G2402="","",0))</f>
        <v/>
      </c>
      <c r="G2402" s="14"/>
      <c r="H2402" s="6">
        <v>1859</v>
      </c>
      <c r="I2402" s="15" t="s">
        <v>3120</v>
      </c>
      <c r="J2402" s="6" t="s">
        <v>4961</v>
      </c>
      <c r="K2402" s="6"/>
      <c r="L2402" s="6" t="s">
        <v>1937</v>
      </c>
      <c r="M2402" s="6" t="s">
        <v>7965</v>
      </c>
      <c r="N2402" s="7">
        <f ca="1">RAND()</f>
        <v>0.31374577623833722</v>
      </c>
      <c r="O2402" s="8">
        <v>45212</v>
      </c>
      <c r="P2402" s="8">
        <v>45213</v>
      </c>
      <c r="Q2402" s="8">
        <v>45215</v>
      </c>
      <c r="R2402" s="8">
        <v>45219</v>
      </c>
      <c r="S2402" s="8">
        <v>45226</v>
      </c>
      <c r="T2402" s="8"/>
      <c r="U2402" s="8"/>
      <c r="V2402" s="10">
        <f>COUNTA(O2402:U2402)</f>
        <v>5</v>
      </c>
      <c r="W2402" s="11">
        <f>_xlfn.IFNA(INDEX(reading[[#This Row],[Memo 01]:[Memo 07]],MATCH(0,reading[[#This Row],[Memo 01]:[Memo 07]],-1)),"")</f>
        <v>45226</v>
      </c>
      <c r="X2402" s="11">
        <f ca="1">IFERROR(reading[[#This Row],[Previous]]+OFFSET(reading[[#Headers],[Memo 01]],-1,MATCH(0,reading[[#This Row],[Memo 01]:[Memo 07]],-1)-1),"")</f>
        <v>45238</v>
      </c>
      <c r="Y2402" s="10" t="str">
        <f ca="1">IF(reading[[#This Row],[Next]]&lt;&gt;"",IF(reading[[#This Row],[Next]]&gt;TODAY(),"OK",""),"")</f>
        <v/>
      </c>
      <c r="Z2402" s="13">
        <v>3</v>
      </c>
      <c r="AA2402" s="13">
        <v>3</v>
      </c>
      <c r="AB2402" s="13">
        <v>3</v>
      </c>
      <c r="AC2402" s="13">
        <v>3</v>
      </c>
      <c r="AD2402" s="13">
        <v>3</v>
      </c>
      <c r="AE2402" s="13"/>
      <c r="AF2402" s="13"/>
      <c r="AG2402" s="16">
        <f>IFERROR(SUMIF(reading[[#This Row],[1st]:[7th]],"&gt;0")/COUNTIF(reading[[#This Row],[1st]:[7th]],"&gt;0"),"")</f>
        <v>3</v>
      </c>
    </row>
    <row r="2403" spans="1:33" hidden="1" x14ac:dyDescent="0.2">
      <c r="A2403" s="4">
        <f>IF(B2403=1,3,IF(D2403=1,2,IF(F2403=1,1,0)))</f>
        <v>0</v>
      </c>
      <c r="B2403" s="4" t="str">
        <f>IF(C2403=$L2403,1,IF(C2403="","",0))</f>
        <v/>
      </c>
      <c r="C2403" s="42"/>
      <c r="D2403" s="4" t="str">
        <f>IF(E2403=$L2403,1,IF(E2403="","",0))</f>
        <v/>
      </c>
      <c r="E2403" s="43"/>
      <c r="F2403" s="4" t="str">
        <f>IF(G2403=$L2403,1,IF(G2403="","",0))</f>
        <v/>
      </c>
      <c r="G2403" s="23"/>
      <c r="H2403" s="6">
        <v>1221</v>
      </c>
      <c r="I2403" s="15" t="s">
        <v>3120</v>
      </c>
      <c r="J2403" s="6" t="s">
        <v>4338</v>
      </c>
      <c r="K2403" s="24" t="s">
        <v>3137</v>
      </c>
      <c r="L2403" s="6" t="s">
        <v>1322</v>
      </c>
      <c r="M2403" s="6" t="s">
        <v>7328</v>
      </c>
      <c r="N2403" s="7">
        <f ca="1">RAND()</f>
        <v>0.51222976171466172</v>
      </c>
      <c r="O2403" s="8">
        <v>45206</v>
      </c>
      <c r="P2403" s="8">
        <v>45207</v>
      </c>
      <c r="Q2403" s="8">
        <v>45209</v>
      </c>
      <c r="R2403" s="8">
        <v>45213</v>
      </c>
      <c r="S2403" s="8">
        <v>45220</v>
      </c>
      <c r="T2403" s="8">
        <v>45232</v>
      </c>
      <c r="U2403" s="8">
        <v>45816</v>
      </c>
      <c r="V2403" s="10">
        <f>COUNTA(O2403:U2403)</f>
        <v>7</v>
      </c>
      <c r="W2403" s="11">
        <f>_xlfn.IFNA(INDEX(reading[[#This Row],[Memo 01]:[Memo 07]],MATCH(0,reading[[#This Row],[Memo 01]:[Memo 07]],-1)),"")</f>
        <v>45816</v>
      </c>
      <c r="X2403" s="11">
        <f ca="1">IFERROR(reading[[#This Row],[Previous]]+OFFSET(reading[[#Headers],[Memo 01]],-1,MATCH(0,reading[[#This Row],[Memo 01]:[Memo 07]],-1)-1),"")</f>
        <v>55816</v>
      </c>
      <c r="Y2403" s="10" t="str">
        <f ca="1">IF(reading[[#This Row],[Next]]&lt;&gt;"",IF(reading[[#This Row],[Next]]&gt;TODAY(),"OK",""),"")</f>
        <v>OK</v>
      </c>
      <c r="Z2403" s="13">
        <v>3</v>
      </c>
      <c r="AA2403" s="13">
        <v>2</v>
      </c>
      <c r="AB2403" s="13">
        <v>3</v>
      </c>
      <c r="AC2403" s="13">
        <v>3</v>
      </c>
      <c r="AD2403" s="13">
        <v>3</v>
      </c>
      <c r="AE2403" s="13">
        <v>3</v>
      </c>
      <c r="AF2403" s="13">
        <v>1</v>
      </c>
      <c r="AG2403" s="16">
        <f>IFERROR(SUMIF(reading[[#This Row],[1st]:[7th]],"&gt;0")/COUNTIF(reading[[#This Row],[1st]:[7th]],"&gt;0"),"")</f>
        <v>2.5714285714285716</v>
      </c>
    </row>
    <row r="2404" spans="1:33" x14ac:dyDescent="0.2">
      <c r="A2404" s="4">
        <f>IF(B2404=1,3,IF(D2404=1,2,IF(F2404=1,1,0)))</f>
        <v>0</v>
      </c>
      <c r="B2404" s="4" t="str">
        <f>IF(C2404=$L2404,1,IF(C2404="","",0))</f>
        <v/>
      </c>
      <c r="C2404" s="38"/>
      <c r="D2404" s="4" t="str">
        <f>IF(E2404=$L2404,1,IF(E2404="","",0))</f>
        <v/>
      </c>
      <c r="E2404" s="14"/>
      <c r="F2404" s="4" t="str">
        <f>IF(G2404=$L2404,1,IF(G2404="","",0))</f>
        <v/>
      </c>
      <c r="G2404" s="14"/>
      <c r="H2404" s="6">
        <v>727</v>
      </c>
      <c r="I2404" s="15" t="s">
        <v>3120</v>
      </c>
      <c r="J2404" s="6" t="s">
        <v>3865</v>
      </c>
      <c r="K2404" s="6"/>
      <c r="L2404" s="6" t="s">
        <v>848</v>
      </c>
      <c r="M2404" s="6" t="s">
        <v>6836</v>
      </c>
      <c r="N2404" s="7">
        <f ca="1">RAND()</f>
        <v>0.19117797983008011</v>
      </c>
      <c r="O2404" s="8">
        <v>45203</v>
      </c>
      <c r="P2404" s="8">
        <v>45204</v>
      </c>
      <c r="Q2404" s="8">
        <v>45206</v>
      </c>
      <c r="R2404" s="8">
        <v>45210</v>
      </c>
      <c r="S2404" s="8">
        <v>45217</v>
      </c>
      <c r="T2404" s="8">
        <v>45229</v>
      </c>
      <c r="U2404" s="8"/>
      <c r="V2404" s="10">
        <f>COUNTA(O2404:U2404)</f>
        <v>6</v>
      </c>
      <c r="W2404" s="11">
        <f>_xlfn.IFNA(INDEX(reading[[#This Row],[Memo 01]:[Memo 07]],MATCH(0,reading[[#This Row],[Memo 01]:[Memo 07]],-1)),"")</f>
        <v>45229</v>
      </c>
      <c r="X2404" s="11">
        <f ca="1">IFERROR(reading[[#This Row],[Previous]]+OFFSET(reading[[#Headers],[Memo 01]],-1,MATCH(0,reading[[#This Row],[Memo 01]:[Memo 07]],-1)-1),"")</f>
        <v>45249</v>
      </c>
      <c r="Y2404" s="10" t="str">
        <f ca="1">IF(reading[[#This Row],[Next]]&lt;&gt;"",IF(reading[[#This Row],[Next]]&gt;TODAY(),"OK",""),"")</f>
        <v/>
      </c>
      <c r="Z2404" s="13">
        <v>3</v>
      </c>
      <c r="AA2404" s="13">
        <v>3</v>
      </c>
      <c r="AB2404" s="13">
        <v>3</v>
      </c>
      <c r="AC2404" s="13">
        <v>3</v>
      </c>
      <c r="AD2404" s="13">
        <v>3</v>
      </c>
      <c r="AE2404" s="13">
        <v>3</v>
      </c>
      <c r="AF2404" s="13"/>
      <c r="AG2404" s="16">
        <f>IFERROR(SUMIF(reading[[#This Row],[1st]:[7th]],"&gt;0")/COUNTIF(reading[[#This Row],[1st]:[7th]],"&gt;0"),"")</f>
        <v>3</v>
      </c>
    </row>
    <row r="2405" spans="1:33" hidden="1" x14ac:dyDescent="0.2">
      <c r="A2405" s="4">
        <f>IF(B2405=1,3,IF(D2405=1,2,IF(F2405=1,1,0)))</f>
        <v>0</v>
      </c>
      <c r="B2405" s="4" t="str">
        <f>IF(C2405=$L2405,1,IF(C2405="","",0))</f>
        <v/>
      </c>
      <c r="C2405" s="41"/>
      <c r="D2405" s="4" t="str">
        <f>IF(E2405=$L2405,1,IF(E2405="","",0))</f>
        <v/>
      </c>
      <c r="E2405" s="18"/>
      <c r="F2405" s="4" t="str">
        <f>IF(G2405=$L2405,1,IF(G2405="","",0))</f>
        <v/>
      </c>
      <c r="G2405" s="14"/>
      <c r="H2405" s="6">
        <v>933</v>
      </c>
      <c r="I2405" s="15" t="s">
        <v>3120</v>
      </c>
      <c r="J2405" s="6" t="s">
        <v>4064</v>
      </c>
      <c r="K2405" s="6"/>
      <c r="L2405" s="6" t="s">
        <v>1044</v>
      </c>
      <c r="M2405" s="6" t="s">
        <v>7041</v>
      </c>
      <c r="N2405" s="7">
        <f ca="1">RAND()</f>
        <v>0.59013258198046536</v>
      </c>
      <c r="O2405" s="8">
        <v>45204</v>
      </c>
      <c r="P2405" s="8">
        <v>45205</v>
      </c>
      <c r="Q2405" s="8">
        <v>45207</v>
      </c>
      <c r="R2405" s="8">
        <v>45212</v>
      </c>
      <c r="S2405" s="8">
        <v>45219</v>
      </c>
      <c r="T2405" s="8">
        <v>45231</v>
      </c>
      <c r="U2405" s="8">
        <v>45252</v>
      </c>
      <c r="V2405" s="10">
        <f>COUNTA(O2405:U2405)</f>
        <v>7</v>
      </c>
      <c r="W2405" s="11">
        <f>_xlfn.IFNA(INDEX(reading[[#This Row],[Memo 01]:[Memo 07]],MATCH(0,reading[[#This Row],[Memo 01]:[Memo 07]],-1)),"")</f>
        <v>45252</v>
      </c>
      <c r="X2405" s="11">
        <f ca="1">IFERROR(reading[[#This Row],[Previous]]+OFFSET(reading[[#Headers],[Memo 01]],-1,MATCH(0,reading[[#This Row],[Memo 01]:[Memo 07]],-1)-1),"")</f>
        <v>55252</v>
      </c>
      <c r="Y2405" s="10" t="str">
        <f ca="1">IF(reading[[#This Row],[Next]]&lt;&gt;"",IF(reading[[#This Row],[Next]]&gt;TODAY(),"OK",""),"")</f>
        <v>OK</v>
      </c>
      <c r="Z2405" s="13">
        <v>3</v>
      </c>
      <c r="AA2405" s="13">
        <v>2</v>
      </c>
      <c r="AB2405" s="13">
        <v>3</v>
      </c>
      <c r="AC2405" s="13">
        <v>2</v>
      </c>
      <c r="AD2405" s="13">
        <v>2</v>
      </c>
      <c r="AE2405" s="13">
        <v>3</v>
      </c>
      <c r="AF2405" s="13">
        <v>2</v>
      </c>
      <c r="AG2405" s="16">
        <f>IFERROR(SUMIF(reading[[#This Row],[1st]:[7th]],"&gt;0")/COUNTIF(reading[[#This Row],[1st]:[7th]],"&gt;0"),"")</f>
        <v>2.4285714285714284</v>
      </c>
    </row>
    <row r="2406" spans="1:33" x14ac:dyDescent="0.2">
      <c r="A2406" s="4">
        <f>IF(B2406=1,3,IF(D2406=1,2,IF(F2406=1,1,0)))</f>
        <v>0</v>
      </c>
      <c r="B2406" s="4" t="str">
        <f>IF(C2406=$L2406,1,IF(C2406="","",0))</f>
        <v/>
      </c>
      <c r="C2406" s="39"/>
      <c r="D2406" s="4" t="str">
        <f>IF(E2406=$L2406,1,IF(E2406="","",0))</f>
        <v/>
      </c>
      <c r="E2406" s="14"/>
      <c r="F2406" s="4" t="str">
        <f>IF(G2406=$L2406,1,IF(G2406="","",0))</f>
        <v/>
      </c>
      <c r="G2406" s="14"/>
      <c r="H2406" s="6">
        <v>1349</v>
      </c>
      <c r="I2406" s="15" t="s">
        <v>3120</v>
      </c>
      <c r="J2406" s="6" t="s">
        <v>4463</v>
      </c>
      <c r="K2406" s="6"/>
      <c r="L2406" s="6" t="s">
        <v>1444</v>
      </c>
      <c r="M2406" s="6" t="s">
        <v>7456</v>
      </c>
      <c r="N2406" s="7">
        <f ca="1">RAND()</f>
        <v>0.95096596937687095</v>
      </c>
      <c r="O2406" s="8">
        <v>45207</v>
      </c>
      <c r="P2406" s="8">
        <v>45208</v>
      </c>
      <c r="Q2406" s="8">
        <v>45210</v>
      </c>
      <c r="R2406" s="8">
        <v>45214</v>
      </c>
      <c r="S2406" s="8">
        <v>45221</v>
      </c>
      <c r="T2406" s="8">
        <v>45233</v>
      </c>
      <c r="U2406" s="8"/>
      <c r="V2406" s="10">
        <f>COUNTA(O2406:U2406)</f>
        <v>6</v>
      </c>
      <c r="W2406" s="11">
        <f>_xlfn.IFNA(INDEX(reading[[#This Row],[Memo 01]:[Memo 07]],MATCH(0,reading[[#This Row],[Memo 01]:[Memo 07]],-1)),"")</f>
        <v>45233</v>
      </c>
      <c r="X2406" s="11">
        <f ca="1">IFERROR(reading[[#This Row],[Previous]]+OFFSET(reading[[#Headers],[Memo 01]],-1,MATCH(0,reading[[#This Row],[Memo 01]:[Memo 07]],-1)-1),"")</f>
        <v>45253</v>
      </c>
      <c r="Y2406" s="10" t="str">
        <f ca="1">IF(reading[[#This Row],[Next]]&lt;&gt;"",IF(reading[[#This Row],[Next]]&gt;TODAY(),"OK",""),"")</f>
        <v/>
      </c>
      <c r="Z2406" s="13">
        <v>3</v>
      </c>
      <c r="AA2406" s="13">
        <v>3</v>
      </c>
      <c r="AB2406" s="13">
        <v>3</v>
      </c>
      <c r="AC2406" s="13">
        <v>3</v>
      </c>
      <c r="AD2406" s="13">
        <v>3</v>
      </c>
      <c r="AE2406" s="13">
        <v>3</v>
      </c>
      <c r="AF2406" s="13"/>
      <c r="AG2406" s="16">
        <f>IFERROR(SUMIF(reading[[#This Row],[1st]:[7th]],"&gt;0")/COUNTIF(reading[[#This Row],[1st]:[7th]],"&gt;0"),"")</f>
        <v>3</v>
      </c>
    </row>
    <row r="2407" spans="1:33" hidden="1" x14ac:dyDescent="0.2">
      <c r="A2407" s="4">
        <f>IF(B2407=1,3,IF(D2407=1,2,IF(F2407=1,1,0)))</f>
        <v>0</v>
      </c>
      <c r="B2407" s="4">
        <f>IF(C2407=$L2407,1,IF(C2407="","",0))</f>
        <v>0</v>
      </c>
      <c r="C2407" s="42" t="s">
        <v>9200</v>
      </c>
      <c r="D2407" s="4" t="str">
        <f>IF(E2407=$L2407,1,IF(E2407="","",0))</f>
        <v/>
      </c>
      <c r="E2407" s="14"/>
      <c r="F2407" s="4" t="str">
        <f>IF(G2407=$L2407,1,IF(G2407="","",0))</f>
        <v/>
      </c>
      <c r="G2407" s="14"/>
      <c r="H2407" s="6">
        <v>2863</v>
      </c>
      <c r="I2407" s="15" t="s">
        <v>3120</v>
      </c>
      <c r="J2407" s="6" t="s">
        <v>5902</v>
      </c>
      <c r="K2407" s="6"/>
      <c r="L2407" s="6" t="s">
        <v>2895</v>
      </c>
      <c r="M2407" s="6" t="s">
        <v>8967</v>
      </c>
      <c r="N2407" s="7">
        <f ca="1">RAND()</f>
        <v>0.46676023757298091</v>
      </c>
      <c r="O2407" s="8">
        <v>45223</v>
      </c>
      <c r="P2407" s="8">
        <v>45224</v>
      </c>
      <c r="Q2407" s="8">
        <v>45226</v>
      </c>
      <c r="R2407" s="8">
        <v>45230</v>
      </c>
      <c r="S2407" s="8">
        <v>45237</v>
      </c>
      <c r="T2407" s="8"/>
      <c r="U2407" s="8"/>
      <c r="V2407" s="10">
        <f>COUNTA(O2407:U2407)</f>
        <v>5</v>
      </c>
      <c r="W2407" s="11">
        <f>_xlfn.IFNA(INDEX(reading[[#This Row],[Memo 01]:[Memo 07]],MATCH(0,reading[[#This Row],[Memo 01]:[Memo 07]],-1)),"")</f>
        <v>45237</v>
      </c>
      <c r="X2407" s="11">
        <f ca="1">IFERROR(reading[[#This Row],[Previous]]+OFFSET(reading[[#Headers],[Memo 01]],-1,MATCH(0,reading[[#This Row],[Memo 01]:[Memo 07]],-1)-1),"")</f>
        <v>45249</v>
      </c>
      <c r="Y2407" s="10" t="str">
        <f ca="1">IF(reading[[#This Row],[Next]]&lt;&gt;"",IF(reading[[#This Row],[Next]]&gt;TODAY(),"OK",""),"")</f>
        <v/>
      </c>
      <c r="Z2407" s="13">
        <v>3</v>
      </c>
      <c r="AA2407" s="13">
        <v>3</v>
      </c>
      <c r="AB2407" s="13">
        <v>3</v>
      </c>
      <c r="AC2407" s="13">
        <v>3</v>
      </c>
      <c r="AD2407" s="13">
        <v>3</v>
      </c>
      <c r="AE2407" s="13"/>
      <c r="AF2407" s="13"/>
      <c r="AG2407" s="16">
        <f>IFERROR(SUMIF(reading[[#This Row],[1st]:[7th]],"&gt;0")/COUNTIF(reading[[#This Row],[1st]:[7th]],"&gt;0"),"")</f>
        <v>3</v>
      </c>
    </row>
    <row r="2408" spans="1:33" hidden="1" x14ac:dyDescent="0.2">
      <c r="A2408" s="4">
        <f>IF(B2408=1,3,IF(D2408=1,2,IF(F2408=1,1,0)))</f>
        <v>0</v>
      </c>
      <c r="B2408" s="4" t="str">
        <f>IF(C2408=$L2408,1,IF(C2408="","",0))</f>
        <v/>
      </c>
      <c r="C2408" s="42"/>
      <c r="D2408" s="4" t="str">
        <f>IF(E2408=$L2408,1,IF(E2408="","",0))</f>
        <v/>
      </c>
      <c r="E2408" s="43"/>
      <c r="F2408" s="4" t="str">
        <f>IF(G2408=$L2408,1,IF(G2408="","",0))</f>
        <v/>
      </c>
      <c r="G2408" s="18"/>
      <c r="H2408" s="6">
        <v>1290</v>
      </c>
      <c r="I2408" s="15" t="s">
        <v>3120</v>
      </c>
      <c r="J2408" s="6" t="s">
        <v>4407</v>
      </c>
      <c r="K2408" s="6"/>
      <c r="L2408" s="6" t="s">
        <v>1388</v>
      </c>
      <c r="M2408" s="6" t="s">
        <v>7397</v>
      </c>
      <c r="N2408" s="7">
        <f ca="1">RAND()</f>
        <v>0.22270665282037838</v>
      </c>
      <c r="O2408" s="8">
        <v>45209</v>
      </c>
      <c r="P2408" s="8">
        <v>45210</v>
      </c>
      <c r="Q2408" s="8">
        <v>45213</v>
      </c>
      <c r="R2408" s="8">
        <v>45217</v>
      </c>
      <c r="S2408" s="8">
        <v>45224</v>
      </c>
      <c r="T2408" s="8">
        <v>45236</v>
      </c>
      <c r="U2408" s="8">
        <v>45825</v>
      </c>
      <c r="V2408" s="10">
        <f>COUNTA(O2408:U2408)</f>
        <v>7</v>
      </c>
      <c r="W2408" s="11">
        <f>_xlfn.IFNA(INDEX(reading[[#This Row],[Memo 01]:[Memo 07]],MATCH(0,reading[[#This Row],[Memo 01]:[Memo 07]],-1)),"")</f>
        <v>45825</v>
      </c>
      <c r="X2408" s="11">
        <f ca="1">IFERROR(reading[[#This Row],[Previous]]+OFFSET(reading[[#Headers],[Memo 01]],-1,MATCH(0,reading[[#This Row],[Memo 01]:[Memo 07]],-1)-1),"")</f>
        <v>55825</v>
      </c>
      <c r="Y2408" s="10" t="str">
        <f ca="1">IF(reading[[#This Row],[Next]]&lt;&gt;"",IF(reading[[#This Row],[Next]]&gt;TODAY(),"OK",""),"")</f>
        <v>OK</v>
      </c>
      <c r="Z2408" s="13">
        <v>3</v>
      </c>
      <c r="AA2408" s="13">
        <v>3</v>
      </c>
      <c r="AB2408" s="13">
        <v>2</v>
      </c>
      <c r="AC2408" s="13">
        <v>2</v>
      </c>
      <c r="AD2408" s="13">
        <v>1</v>
      </c>
      <c r="AE2408" s="13">
        <v>3</v>
      </c>
      <c r="AF2408" s="13">
        <v>2</v>
      </c>
      <c r="AG2408" s="16">
        <f>IFERROR(SUMIF(reading[[#This Row],[1st]:[7th]],"&gt;0")/COUNTIF(reading[[#This Row],[1st]:[7th]],"&gt;0"),"")</f>
        <v>2.2857142857142856</v>
      </c>
    </row>
    <row r="2409" spans="1:33" x14ac:dyDescent="0.2">
      <c r="A2409" s="4">
        <f>IF(B2409=1,3,IF(D2409=1,2,IF(F2409=1,1,0)))</f>
        <v>0</v>
      </c>
      <c r="B2409" s="4" t="str">
        <f>IF(C2409=$L2409,1,IF(C2409="","",0))</f>
        <v/>
      </c>
      <c r="C2409" s="39"/>
      <c r="D2409" s="4" t="str">
        <f>IF(E2409=$L2409,1,IF(E2409="","",0))</f>
        <v/>
      </c>
      <c r="E2409" s="18"/>
      <c r="F2409" s="4" t="str">
        <f>IF(G2409=$L2409,1,IF(G2409="","",0))</f>
        <v/>
      </c>
      <c r="G2409" s="14"/>
      <c r="H2409" s="6">
        <v>1719</v>
      </c>
      <c r="I2409" s="15" t="s">
        <v>3120</v>
      </c>
      <c r="J2409" s="6" t="s">
        <v>4827</v>
      </c>
      <c r="K2409" s="6"/>
      <c r="L2409" s="6" t="s">
        <v>1799</v>
      </c>
      <c r="M2409" s="6" t="s">
        <v>7825</v>
      </c>
      <c r="N2409" s="7">
        <f ca="1">RAND()</f>
        <v>0.30758852168152073</v>
      </c>
      <c r="O2409" s="8">
        <v>45211</v>
      </c>
      <c r="P2409" s="8">
        <v>45212</v>
      </c>
      <c r="Q2409" s="8">
        <v>45214</v>
      </c>
      <c r="R2409" s="8">
        <v>45218</v>
      </c>
      <c r="S2409" s="8">
        <v>45225</v>
      </c>
      <c r="T2409" s="8">
        <v>45237</v>
      </c>
      <c r="U2409" s="8"/>
      <c r="V2409" s="10">
        <f>COUNTA(O2409:U2409)</f>
        <v>6</v>
      </c>
      <c r="W2409" s="11">
        <f>_xlfn.IFNA(INDEX(reading[[#This Row],[Memo 01]:[Memo 07]],MATCH(0,reading[[#This Row],[Memo 01]:[Memo 07]],-1)),"")</f>
        <v>45237</v>
      </c>
      <c r="X2409" s="11">
        <f ca="1">IFERROR(reading[[#This Row],[Previous]]+OFFSET(reading[[#Headers],[Memo 01]],-1,MATCH(0,reading[[#This Row],[Memo 01]:[Memo 07]],-1)-1),"")</f>
        <v>45257</v>
      </c>
      <c r="Y2409" s="10" t="str">
        <f ca="1">IF(reading[[#This Row],[Next]]&lt;&gt;"",IF(reading[[#This Row],[Next]]&gt;TODAY(),"OK",""),"")</f>
        <v/>
      </c>
      <c r="Z2409" s="13">
        <v>3</v>
      </c>
      <c r="AA2409" s="13">
        <v>3</v>
      </c>
      <c r="AB2409" s="13">
        <v>3</v>
      </c>
      <c r="AC2409" s="13">
        <v>3</v>
      </c>
      <c r="AD2409" s="13">
        <v>2</v>
      </c>
      <c r="AE2409" s="13">
        <v>3</v>
      </c>
      <c r="AF2409" s="13"/>
      <c r="AG2409" s="16">
        <f>IFERROR(SUMIF(reading[[#This Row],[1st]:[7th]],"&gt;0")/COUNTIF(reading[[#This Row],[1st]:[7th]],"&gt;0"),"")</f>
        <v>2.8333333333333335</v>
      </c>
    </row>
    <row r="2410" spans="1:33" x14ac:dyDescent="0.2">
      <c r="A2410" s="4">
        <f>IF(B2410=1,3,IF(D2410=1,2,IF(F2410=1,1,0)))</f>
        <v>0</v>
      </c>
      <c r="B2410" s="4" t="str">
        <f>IF(C2410=$L2410,1,IF(C2410="","",0))</f>
        <v/>
      </c>
      <c r="C2410" s="39"/>
      <c r="D2410" s="4" t="str">
        <f>IF(E2410=$L2410,1,IF(E2410="","",0))</f>
        <v/>
      </c>
      <c r="E2410" s="14"/>
      <c r="F2410" s="4" t="str">
        <f>IF(G2410=$L2410,1,IF(G2410="","",0))</f>
        <v/>
      </c>
      <c r="G2410" s="14"/>
      <c r="H2410" s="6">
        <v>929</v>
      </c>
      <c r="I2410" s="15" t="s">
        <v>3120</v>
      </c>
      <c r="J2410" s="6" t="s">
        <v>4060</v>
      </c>
      <c r="K2410" s="6"/>
      <c r="L2410" s="6" t="s">
        <v>1040</v>
      </c>
      <c r="M2410" s="6" t="s">
        <v>7037</v>
      </c>
      <c r="N2410" s="7">
        <f ca="1">RAND()</f>
        <v>0.14190981028274507</v>
      </c>
      <c r="O2410" s="8">
        <v>45204</v>
      </c>
      <c r="P2410" s="8">
        <v>45205</v>
      </c>
      <c r="Q2410" s="8">
        <v>45207</v>
      </c>
      <c r="R2410" s="8">
        <v>45211</v>
      </c>
      <c r="S2410" s="8">
        <v>45218</v>
      </c>
      <c r="T2410" s="8">
        <v>45230</v>
      </c>
      <c r="U2410" s="8"/>
      <c r="V2410" s="10">
        <f>COUNTA(O2410:U2410)</f>
        <v>6</v>
      </c>
      <c r="W2410" s="11">
        <f>_xlfn.IFNA(INDEX(reading[[#This Row],[Memo 01]:[Memo 07]],MATCH(0,reading[[#This Row],[Memo 01]:[Memo 07]],-1)),"")</f>
        <v>45230</v>
      </c>
      <c r="X2410" s="11">
        <f ca="1">IFERROR(reading[[#This Row],[Previous]]+OFFSET(reading[[#Headers],[Memo 01]],-1,MATCH(0,reading[[#This Row],[Memo 01]:[Memo 07]],-1)-1),"")</f>
        <v>45250</v>
      </c>
      <c r="Y2410" s="10" t="str">
        <f ca="1">IF(reading[[#This Row],[Next]]&lt;&gt;"",IF(reading[[#This Row],[Next]]&gt;TODAY(),"OK",""),"")</f>
        <v/>
      </c>
      <c r="Z2410" s="13">
        <v>3</v>
      </c>
      <c r="AA2410" s="13">
        <v>3</v>
      </c>
      <c r="AB2410" s="13">
        <v>3</v>
      </c>
      <c r="AC2410" s="13">
        <v>3</v>
      </c>
      <c r="AD2410" s="13">
        <v>3</v>
      </c>
      <c r="AE2410" s="13">
        <v>3</v>
      </c>
      <c r="AF2410" s="13"/>
      <c r="AG2410" s="16">
        <f>IFERROR(SUMIF(reading[[#This Row],[1st]:[7th]],"&gt;0")/COUNTIF(reading[[#This Row],[1st]:[7th]],"&gt;0"),"")</f>
        <v>3</v>
      </c>
    </row>
    <row r="2411" spans="1:33" x14ac:dyDescent="0.2">
      <c r="A2411" s="4">
        <f>IF(B2411=1,3,IF(D2411=1,2,IF(F2411=1,1,0)))</f>
        <v>0</v>
      </c>
      <c r="B2411" s="4" t="str">
        <f>IF(C2411=$L2411,1,IF(C2411="","",0))</f>
        <v/>
      </c>
      <c r="C2411" s="39"/>
      <c r="D2411" s="4" t="str">
        <f>IF(E2411=$L2411,1,IF(E2411="","",0))</f>
        <v/>
      </c>
      <c r="E2411" s="14"/>
      <c r="F2411" s="4" t="str">
        <f>IF(G2411=$L2411,1,IF(G2411="","",0))</f>
        <v/>
      </c>
      <c r="G2411" s="14"/>
      <c r="H2411" s="6">
        <v>1758</v>
      </c>
      <c r="I2411" s="15" t="s">
        <v>3120</v>
      </c>
      <c r="J2411" s="6" t="s">
        <v>4866</v>
      </c>
      <c r="K2411" s="6"/>
      <c r="L2411" s="6" t="s">
        <v>1838</v>
      </c>
      <c r="M2411" s="6" t="s">
        <v>7864</v>
      </c>
      <c r="N2411" s="7">
        <f ca="1">RAND()</f>
        <v>0.66547329104936837</v>
      </c>
      <c r="O2411" s="8">
        <v>45211</v>
      </c>
      <c r="P2411" s="8">
        <v>45212</v>
      </c>
      <c r="Q2411" s="8">
        <v>45214</v>
      </c>
      <c r="R2411" s="8">
        <v>45218</v>
      </c>
      <c r="S2411" s="8">
        <v>45225</v>
      </c>
      <c r="T2411" s="8">
        <v>45237</v>
      </c>
      <c r="U2411" s="8"/>
      <c r="V2411" s="10">
        <f>COUNTA(O2411:U2411)</f>
        <v>6</v>
      </c>
      <c r="W2411" s="11">
        <f>_xlfn.IFNA(INDEX(reading[[#This Row],[Memo 01]:[Memo 07]],MATCH(0,reading[[#This Row],[Memo 01]:[Memo 07]],-1)),"")</f>
        <v>45237</v>
      </c>
      <c r="X2411" s="11">
        <f ca="1">IFERROR(reading[[#This Row],[Previous]]+OFFSET(reading[[#Headers],[Memo 01]],-1,MATCH(0,reading[[#This Row],[Memo 01]:[Memo 07]],-1)-1),"")</f>
        <v>45257</v>
      </c>
      <c r="Y2411" s="10" t="str">
        <f ca="1">IF(reading[[#This Row],[Next]]&lt;&gt;"",IF(reading[[#This Row],[Next]]&gt;TODAY(),"OK",""),"")</f>
        <v/>
      </c>
      <c r="Z2411" s="13">
        <v>3</v>
      </c>
      <c r="AA2411" s="13">
        <v>3</v>
      </c>
      <c r="AB2411" s="13">
        <v>3</v>
      </c>
      <c r="AC2411" s="13">
        <v>3</v>
      </c>
      <c r="AD2411" s="13">
        <v>3</v>
      </c>
      <c r="AE2411" s="13">
        <v>3</v>
      </c>
      <c r="AF2411" s="13"/>
      <c r="AG2411" s="16">
        <f>IFERROR(SUMIF(reading[[#This Row],[1st]:[7th]],"&gt;0")/COUNTIF(reading[[#This Row],[1st]:[7th]],"&gt;0"),"")</f>
        <v>3</v>
      </c>
    </row>
    <row r="2412" spans="1:33" hidden="1" x14ac:dyDescent="0.2">
      <c r="A2412" s="4">
        <f>IF(B2412=1,3,IF(D2412=1,2,IF(F2412=1,1,0)))</f>
        <v>0</v>
      </c>
      <c r="B2412" s="4" t="str">
        <f>IF(C2412=$L2412,1,IF(C2412="","",0))</f>
        <v/>
      </c>
      <c r="C2412" s="42"/>
      <c r="D2412" s="4" t="str">
        <f>IF(E2412=$L2412,1,IF(E2412="","",0))</f>
        <v/>
      </c>
      <c r="E2412" s="23"/>
      <c r="F2412" s="4" t="str">
        <f>IF(G2412=$L2412,1,IF(G2412="","",0))</f>
        <v/>
      </c>
      <c r="G2412" s="14"/>
      <c r="H2412" s="6">
        <v>2023</v>
      </c>
      <c r="I2412" s="15" t="s">
        <v>3120</v>
      </c>
      <c r="J2412" s="6" t="s">
        <v>5120</v>
      </c>
      <c r="K2412" s="6"/>
      <c r="L2412" s="6" t="s">
        <v>2098</v>
      </c>
      <c r="M2412" s="6" t="s">
        <v>8129</v>
      </c>
      <c r="N2412" s="7">
        <f ca="1">RAND()</f>
        <v>0.86571053138645249</v>
      </c>
      <c r="O2412" s="8">
        <v>45213</v>
      </c>
      <c r="P2412" s="8">
        <v>45214</v>
      </c>
      <c r="Q2412" s="8">
        <v>45216</v>
      </c>
      <c r="R2412" s="8">
        <v>45220</v>
      </c>
      <c r="S2412" s="8">
        <v>45227</v>
      </c>
      <c r="T2412" s="8">
        <v>45816</v>
      </c>
      <c r="U2412" s="8"/>
      <c r="V2412" s="10">
        <f>COUNTA(O2412:U2412)</f>
        <v>6</v>
      </c>
      <c r="W2412" s="11">
        <f>_xlfn.IFNA(INDEX(reading[[#This Row],[Memo 01]:[Memo 07]],MATCH(0,reading[[#This Row],[Memo 01]:[Memo 07]],-1)),"")</f>
        <v>45816</v>
      </c>
      <c r="X2412" s="11">
        <f ca="1">IFERROR(reading[[#This Row],[Previous]]+OFFSET(reading[[#Headers],[Memo 01]],-1,MATCH(0,reading[[#This Row],[Memo 01]:[Memo 07]],-1)-1),"")</f>
        <v>45836</v>
      </c>
      <c r="Y2412" s="10" t="str">
        <f ca="1">IF(reading[[#This Row],[Next]]&lt;&gt;"",IF(reading[[#This Row],[Next]]&gt;TODAY(),"OK",""),"")</f>
        <v>OK</v>
      </c>
      <c r="Z2412" s="13">
        <v>3</v>
      </c>
      <c r="AA2412" s="13">
        <v>3</v>
      </c>
      <c r="AB2412" s="13">
        <v>3</v>
      </c>
      <c r="AC2412" s="13">
        <v>3</v>
      </c>
      <c r="AD2412" s="13">
        <v>3</v>
      </c>
      <c r="AE2412" s="13">
        <v>2</v>
      </c>
      <c r="AF2412" s="13"/>
      <c r="AG2412" s="16">
        <f>IFERROR(SUMIF(reading[[#This Row],[1st]:[7th]],"&gt;0")/COUNTIF(reading[[#This Row],[1st]:[7th]],"&gt;0"),"")</f>
        <v>2.8333333333333335</v>
      </c>
    </row>
    <row r="2413" spans="1:33" hidden="1" x14ac:dyDescent="0.2">
      <c r="A2413" s="4">
        <f>IF(B2413=1,3,IF(D2413=1,2,IF(F2413=1,1,0)))</f>
        <v>0</v>
      </c>
      <c r="B2413" s="4" t="str">
        <f>IF(C2413=$L2413,1,IF(C2413="","",0))</f>
        <v/>
      </c>
      <c r="C2413" s="42"/>
      <c r="D2413" s="4" t="str">
        <f>IF(E2413=$L2413,1,IF(E2413="","",0))</f>
        <v/>
      </c>
      <c r="E2413" s="43"/>
      <c r="F2413" s="4" t="str">
        <f>IF(G2413=$L2413,1,IF(G2413="","",0))</f>
        <v/>
      </c>
      <c r="G2413" s="23"/>
      <c r="H2413" s="6">
        <v>2037</v>
      </c>
      <c r="I2413" s="15" t="s">
        <v>3120</v>
      </c>
      <c r="J2413" s="6" t="s">
        <v>5133</v>
      </c>
      <c r="K2413" s="6"/>
      <c r="L2413" s="6" t="s">
        <v>2112</v>
      </c>
      <c r="M2413" s="6" t="s">
        <v>8143</v>
      </c>
      <c r="N2413" s="7">
        <f ca="1">RAND()</f>
        <v>0.75750953427658452</v>
      </c>
      <c r="O2413" s="8">
        <v>45214</v>
      </c>
      <c r="P2413" s="8">
        <v>45215</v>
      </c>
      <c r="Q2413" s="8">
        <v>45217</v>
      </c>
      <c r="R2413" s="8">
        <v>45221</v>
      </c>
      <c r="S2413" s="8">
        <v>45228</v>
      </c>
      <c r="T2413" s="8">
        <v>45816</v>
      </c>
      <c r="U2413" s="8"/>
      <c r="V2413" s="10">
        <f>COUNTA(O2413:U2413)</f>
        <v>6</v>
      </c>
      <c r="W2413" s="11">
        <f>_xlfn.IFNA(INDEX(reading[[#This Row],[Memo 01]:[Memo 07]],MATCH(0,reading[[#This Row],[Memo 01]:[Memo 07]],-1)),"")</f>
        <v>45816</v>
      </c>
      <c r="X2413" s="11">
        <f ca="1">IFERROR(reading[[#This Row],[Previous]]+OFFSET(reading[[#Headers],[Memo 01]],-1,MATCH(0,reading[[#This Row],[Memo 01]:[Memo 07]],-1)-1),"")</f>
        <v>45836</v>
      </c>
      <c r="Y2413" s="10" t="str">
        <f ca="1">IF(reading[[#This Row],[Next]]&lt;&gt;"",IF(reading[[#This Row],[Next]]&gt;TODAY(),"OK",""),"")</f>
        <v>OK</v>
      </c>
      <c r="Z2413" s="13">
        <v>3</v>
      </c>
      <c r="AA2413" s="13">
        <v>2</v>
      </c>
      <c r="AB2413" s="13">
        <v>3</v>
      </c>
      <c r="AC2413" s="13">
        <v>3</v>
      </c>
      <c r="AD2413" s="13">
        <v>3</v>
      </c>
      <c r="AE2413" s="13">
        <v>1</v>
      </c>
      <c r="AF2413" s="13"/>
      <c r="AG2413" s="16">
        <f>IFERROR(SUMIF(reading[[#This Row],[1st]:[7th]],"&gt;0")/COUNTIF(reading[[#This Row],[1st]:[7th]],"&gt;0"),"")</f>
        <v>2.5</v>
      </c>
    </row>
    <row r="2414" spans="1:33" x14ac:dyDescent="0.2">
      <c r="A2414" s="4">
        <f>IF(B2414=1,3,IF(D2414=1,2,IF(F2414=1,1,0)))</f>
        <v>0</v>
      </c>
      <c r="B2414" s="4" t="str">
        <f>IF(C2414=$L2414,1,IF(C2414="","",0))</f>
        <v/>
      </c>
      <c r="C2414" s="42"/>
      <c r="D2414" s="4" t="str">
        <f>IF(E2414=$L2414,1,IF(E2414="","",0))</f>
        <v/>
      </c>
      <c r="E2414" s="14"/>
      <c r="F2414" s="4" t="str">
        <f>IF(G2414=$L2414,1,IF(G2414="","",0))</f>
        <v/>
      </c>
      <c r="G2414" s="14"/>
      <c r="H2414" s="6">
        <v>2036</v>
      </c>
      <c r="I2414" s="15" t="s">
        <v>3120</v>
      </c>
      <c r="J2414" s="6" t="s">
        <v>5132</v>
      </c>
      <c r="K2414" s="15" t="s">
        <v>3138</v>
      </c>
      <c r="L2414" s="6" t="s">
        <v>2111</v>
      </c>
      <c r="M2414" s="6" t="s">
        <v>8142</v>
      </c>
      <c r="N2414" s="7">
        <f ca="1">RAND()</f>
        <v>0.30496160229824898</v>
      </c>
      <c r="O2414" s="8">
        <v>45213</v>
      </c>
      <c r="P2414" s="8">
        <v>45214</v>
      </c>
      <c r="Q2414" s="8">
        <v>45216</v>
      </c>
      <c r="R2414" s="8">
        <v>45220</v>
      </c>
      <c r="S2414" s="8">
        <v>45227</v>
      </c>
      <c r="T2414" s="8">
        <v>45792</v>
      </c>
      <c r="U2414" s="8"/>
      <c r="V2414" s="10">
        <f>COUNTA(O2414:U2414)</f>
        <v>6</v>
      </c>
      <c r="W2414" s="11">
        <f>_xlfn.IFNA(INDEX(reading[[#This Row],[Memo 01]:[Memo 07]],MATCH(0,reading[[#This Row],[Memo 01]:[Memo 07]],-1)),"")</f>
        <v>45792</v>
      </c>
      <c r="X2414" s="11">
        <f ca="1">IFERROR(reading[[#This Row],[Previous]]+OFFSET(reading[[#Headers],[Memo 01]],-1,MATCH(0,reading[[#This Row],[Memo 01]:[Memo 07]],-1)-1),"")</f>
        <v>45812</v>
      </c>
      <c r="Y2414" s="10" t="str">
        <f ca="1">IF(reading[[#This Row],[Next]]&lt;&gt;"",IF(reading[[#This Row],[Next]]&gt;TODAY(),"OK",""),"")</f>
        <v/>
      </c>
      <c r="Z2414" s="13">
        <v>3</v>
      </c>
      <c r="AA2414" s="13">
        <v>3</v>
      </c>
      <c r="AB2414" s="13">
        <v>3</v>
      </c>
      <c r="AC2414" s="13">
        <v>3</v>
      </c>
      <c r="AD2414" s="13">
        <v>3</v>
      </c>
      <c r="AE2414" s="13">
        <v>3</v>
      </c>
      <c r="AF2414" s="13"/>
      <c r="AG2414" s="16">
        <f>IFERROR(SUMIF(reading[[#This Row],[1st]:[7th]],"&gt;0")/COUNTIF(reading[[#This Row],[1st]:[7th]],"&gt;0"),"")</f>
        <v>3</v>
      </c>
    </row>
    <row r="2415" spans="1:33" x14ac:dyDescent="0.2">
      <c r="A2415" s="4">
        <f>IF(B2415=1,3,IF(D2415=1,2,IF(F2415=1,1,0)))</f>
        <v>0</v>
      </c>
      <c r="B2415" s="4" t="str">
        <f>IF(C2415=$L2415,1,IF(C2415="","",0))</f>
        <v/>
      </c>
      <c r="C2415" s="41"/>
      <c r="D2415" s="4" t="str">
        <f>IF(E2415=$L2415,1,IF(E2415="","",0))</f>
        <v/>
      </c>
      <c r="E2415" s="18"/>
      <c r="F2415" s="4" t="str">
        <f>IF(G2415=$L2415,1,IF(G2415="","",0))</f>
        <v/>
      </c>
      <c r="G2415" s="18"/>
      <c r="H2415" s="6">
        <v>2242</v>
      </c>
      <c r="I2415" s="15" t="s">
        <v>3120</v>
      </c>
      <c r="J2415" s="6" t="s">
        <v>5326</v>
      </c>
      <c r="K2415" s="6"/>
      <c r="L2415" s="6" t="s">
        <v>2304</v>
      </c>
      <c r="M2415" s="6" t="s">
        <v>8347</v>
      </c>
      <c r="N2415" s="7">
        <f ca="1">RAND()</f>
        <v>0.67166857545950254</v>
      </c>
      <c r="O2415" s="8">
        <v>45218</v>
      </c>
      <c r="P2415" s="8">
        <v>45219</v>
      </c>
      <c r="Q2415" s="8">
        <v>45221</v>
      </c>
      <c r="R2415" s="8">
        <v>45225</v>
      </c>
      <c r="S2415" s="8">
        <v>45232</v>
      </c>
      <c r="T2415" s="8">
        <v>45248</v>
      </c>
      <c r="U2415" s="8"/>
      <c r="V2415" s="10">
        <f>COUNTA(O2415:U2415)</f>
        <v>6</v>
      </c>
      <c r="W2415" s="11">
        <f>_xlfn.IFNA(INDEX(reading[[#This Row],[Memo 01]:[Memo 07]],MATCH(0,reading[[#This Row],[Memo 01]:[Memo 07]],-1)),"")</f>
        <v>45248</v>
      </c>
      <c r="X2415" s="11">
        <f ca="1">IFERROR(reading[[#This Row],[Previous]]+OFFSET(reading[[#Headers],[Memo 01]],-1,MATCH(0,reading[[#This Row],[Memo 01]:[Memo 07]],-1)-1),"")</f>
        <v>45268</v>
      </c>
      <c r="Y2415" s="10" t="str">
        <f ca="1">IF(reading[[#This Row],[Next]]&lt;&gt;"",IF(reading[[#This Row],[Next]]&gt;TODAY(),"OK",""),"")</f>
        <v/>
      </c>
      <c r="Z2415" s="13">
        <v>3</v>
      </c>
      <c r="AA2415" s="13">
        <v>2</v>
      </c>
      <c r="AB2415" s="13">
        <v>3</v>
      </c>
      <c r="AC2415" s="13">
        <v>3</v>
      </c>
      <c r="AD2415" s="13">
        <v>1</v>
      </c>
      <c r="AE2415" s="13">
        <v>3</v>
      </c>
      <c r="AF2415" s="13"/>
      <c r="AG2415" s="16">
        <f>IFERROR(SUMIF(reading[[#This Row],[1st]:[7th]],"&gt;0")/COUNTIF(reading[[#This Row],[1st]:[7th]],"&gt;0"),"")</f>
        <v>2.5</v>
      </c>
    </row>
    <row r="2416" spans="1:33" hidden="1" x14ac:dyDescent="0.2">
      <c r="A2416" s="4">
        <f>IF(B2416=1,3,IF(D2416=1,2,IF(F2416=1,1,0)))</f>
        <v>0</v>
      </c>
      <c r="B2416" s="4" t="str">
        <f>IF(C2416=$L2416,1,IF(C2416="","",0))</f>
        <v/>
      </c>
      <c r="C2416" s="42"/>
      <c r="D2416" s="4" t="str">
        <f>IF(E2416=$L2416,1,IF(E2416="","",0))</f>
        <v/>
      </c>
      <c r="E2416" s="43"/>
      <c r="F2416" s="4" t="str">
        <f>IF(G2416=$L2416,1,IF(G2416="","",0))</f>
        <v/>
      </c>
      <c r="G2416" s="23"/>
      <c r="H2416" s="6">
        <v>2677</v>
      </c>
      <c r="I2416" s="15" t="s">
        <v>3120</v>
      </c>
      <c r="J2416" s="6" t="s">
        <v>5729</v>
      </c>
      <c r="K2416" s="6"/>
      <c r="L2416" s="6" t="s">
        <v>2716</v>
      </c>
      <c r="M2416" s="6" t="s">
        <v>8782</v>
      </c>
      <c r="N2416" s="7">
        <f ca="1">RAND()</f>
        <v>0.72334987252479754</v>
      </c>
      <c r="O2416" s="8">
        <v>45220</v>
      </c>
      <c r="P2416" s="8">
        <v>45221</v>
      </c>
      <c r="Q2416" s="8">
        <v>45223</v>
      </c>
      <c r="R2416" s="8">
        <v>45227</v>
      </c>
      <c r="S2416" s="8">
        <v>45234</v>
      </c>
      <c r="T2416" s="8">
        <v>45816</v>
      </c>
      <c r="U2416" s="8"/>
      <c r="V2416" s="10">
        <f>COUNTA(O2416:U2416)</f>
        <v>6</v>
      </c>
      <c r="W2416" s="11">
        <f>_xlfn.IFNA(INDEX(reading[[#This Row],[Memo 01]:[Memo 07]],MATCH(0,reading[[#This Row],[Memo 01]:[Memo 07]],-1)),"")</f>
        <v>45816</v>
      </c>
      <c r="X2416" s="11">
        <f ca="1">IFERROR(reading[[#This Row],[Previous]]+OFFSET(reading[[#Headers],[Memo 01]],-1,MATCH(0,reading[[#This Row],[Memo 01]:[Memo 07]],-1)-1),"")</f>
        <v>45836</v>
      </c>
      <c r="Y2416" s="10" t="str">
        <f ca="1">IF(reading[[#This Row],[Next]]&lt;&gt;"",IF(reading[[#This Row],[Next]]&gt;TODAY(),"OK",""),"")</f>
        <v>OK</v>
      </c>
      <c r="Z2416" s="13">
        <v>3</v>
      </c>
      <c r="AA2416" s="13">
        <v>3</v>
      </c>
      <c r="AB2416" s="13">
        <v>2</v>
      </c>
      <c r="AC2416" s="13">
        <v>3</v>
      </c>
      <c r="AD2416" s="13">
        <v>3</v>
      </c>
      <c r="AE2416" s="13">
        <v>1</v>
      </c>
      <c r="AF2416" s="13"/>
      <c r="AG2416" s="16">
        <f>IFERROR(SUMIF(reading[[#This Row],[1st]:[7th]],"&gt;0")/COUNTIF(reading[[#This Row],[1st]:[7th]],"&gt;0"),"")</f>
        <v>2.5</v>
      </c>
    </row>
    <row r="2417" spans="1:33" x14ac:dyDescent="0.2">
      <c r="A2417" s="4">
        <f>IF(B2417=1,3,IF(D2417=1,2,IF(F2417=1,1,0)))</f>
        <v>0</v>
      </c>
      <c r="B2417" s="4" t="str">
        <f>IF(C2417=$L2417,1,IF(C2417="","",0))</f>
        <v/>
      </c>
      <c r="C2417" s="39"/>
      <c r="D2417" s="4" t="str">
        <f>IF(E2417=$L2417,1,IF(E2417="","",0))</f>
        <v/>
      </c>
      <c r="E2417" s="18"/>
      <c r="F2417" s="4" t="str">
        <f>IF(G2417=$L2417,1,IF(G2417="","",0))</f>
        <v/>
      </c>
      <c r="G2417" s="14"/>
      <c r="H2417" s="6">
        <v>1561</v>
      </c>
      <c r="I2417" s="15" t="s">
        <v>3120</v>
      </c>
      <c r="J2417" s="6" t="s">
        <v>4674</v>
      </c>
      <c r="K2417" s="6"/>
      <c r="L2417" s="6" t="s">
        <v>1646</v>
      </c>
      <c r="M2417" s="6" t="s">
        <v>7667</v>
      </c>
      <c r="N2417" s="7">
        <f ca="1">RAND()</f>
        <v>0.5493154823181573</v>
      </c>
      <c r="O2417" s="8">
        <v>45209</v>
      </c>
      <c r="P2417" s="8">
        <v>45210</v>
      </c>
      <c r="Q2417" s="8">
        <v>45213</v>
      </c>
      <c r="R2417" s="8">
        <v>45217</v>
      </c>
      <c r="S2417" s="8">
        <v>45224</v>
      </c>
      <c r="T2417" s="8">
        <v>45236</v>
      </c>
      <c r="U2417" s="8"/>
      <c r="V2417" s="10">
        <f>COUNTA(O2417:U2417)</f>
        <v>6</v>
      </c>
      <c r="W2417" s="11">
        <f>_xlfn.IFNA(INDEX(reading[[#This Row],[Memo 01]:[Memo 07]],MATCH(0,reading[[#This Row],[Memo 01]:[Memo 07]],-1)),"")</f>
        <v>45236</v>
      </c>
      <c r="X2417" s="11">
        <f ca="1">IFERROR(reading[[#This Row],[Previous]]+OFFSET(reading[[#Headers],[Memo 01]],-1,MATCH(0,reading[[#This Row],[Memo 01]:[Memo 07]],-1)-1),"")</f>
        <v>45256</v>
      </c>
      <c r="Y2417" s="10" t="str">
        <f ca="1">IF(reading[[#This Row],[Next]]&lt;&gt;"",IF(reading[[#This Row],[Next]]&gt;TODAY(),"OK",""),"")</f>
        <v/>
      </c>
      <c r="Z2417" s="13">
        <v>3</v>
      </c>
      <c r="AA2417" s="13">
        <v>3</v>
      </c>
      <c r="AB2417" s="13">
        <v>1</v>
      </c>
      <c r="AC2417" s="13">
        <v>3</v>
      </c>
      <c r="AD2417" s="13">
        <v>3</v>
      </c>
      <c r="AE2417" s="13">
        <v>3</v>
      </c>
      <c r="AF2417" s="13"/>
      <c r="AG2417" s="16">
        <f>IFERROR(SUMIF(reading[[#This Row],[1st]:[7th]],"&gt;0")/COUNTIF(reading[[#This Row],[1st]:[7th]],"&gt;0"),"")</f>
        <v>2.6666666666666665</v>
      </c>
    </row>
    <row r="2418" spans="1:33" x14ac:dyDescent="0.2">
      <c r="A2418" s="4">
        <f>IF(B2418=1,3,IF(D2418=1,2,IF(F2418=1,1,0)))</f>
        <v>0</v>
      </c>
      <c r="B2418" s="4" t="str">
        <f>IF(C2418=$L2418,1,IF(C2418="","",0))</f>
        <v/>
      </c>
      <c r="C2418" s="41"/>
      <c r="D2418" s="4" t="str">
        <f>IF(E2418=$L2418,1,IF(E2418="","",0))</f>
        <v/>
      </c>
      <c r="E2418" s="18"/>
      <c r="F2418" s="4" t="str">
        <f>IF(G2418=$L2418,1,IF(G2418="","",0))</f>
        <v/>
      </c>
      <c r="G2418" s="18"/>
      <c r="H2418" s="6">
        <v>1765</v>
      </c>
      <c r="I2418" s="15" t="s">
        <v>3120</v>
      </c>
      <c r="J2418" s="6" t="s">
        <v>4872</v>
      </c>
      <c r="K2418" s="6"/>
      <c r="L2418" s="6" t="s">
        <v>1845</v>
      </c>
      <c r="M2418" s="6" t="s">
        <v>7871</v>
      </c>
      <c r="N2418" s="7">
        <f ca="1">RAND()</f>
        <v>0.74116762511875589</v>
      </c>
      <c r="O2418" s="8">
        <v>45212</v>
      </c>
      <c r="P2418" s="8">
        <v>45216</v>
      </c>
      <c r="Q2418" s="8">
        <v>45218</v>
      </c>
      <c r="R2418" s="8">
        <v>45222</v>
      </c>
      <c r="S2418" s="8">
        <v>45229</v>
      </c>
      <c r="T2418" s="8">
        <v>45251</v>
      </c>
      <c r="U2418" s="8"/>
      <c r="V2418" s="10">
        <f>COUNTA(O2418:U2418)</f>
        <v>6</v>
      </c>
      <c r="W2418" s="11">
        <f>_xlfn.IFNA(INDEX(reading[[#This Row],[Memo 01]:[Memo 07]],MATCH(0,reading[[#This Row],[Memo 01]:[Memo 07]],-1)),"")</f>
        <v>45251</v>
      </c>
      <c r="X2418" s="11">
        <f ca="1">IFERROR(reading[[#This Row],[Previous]]+OFFSET(reading[[#Headers],[Memo 01]],-1,MATCH(0,reading[[#This Row],[Memo 01]:[Memo 07]],-1)-1),"")</f>
        <v>45271</v>
      </c>
      <c r="Y2418" s="10" t="str">
        <f ca="1">IF(reading[[#This Row],[Next]]&lt;&gt;"",IF(reading[[#This Row],[Next]]&gt;TODAY(),"OK",""),"")</f>
        <v/>
      </c>
      <c r="Z2418" s="13">
        <v>3</v>
      </c>
      <c r="AA2418" s="13">
        <v>3</v>
      </c>
      <c r="AB2418" s="13">
        <v>2</v>
      </c>
      <c r="AC2418" s="13">
        <v>2</v>
      </c>
      <c r="AD2418" s="13">
        <v>3</v>
      </c>
      <c r="AE2418" s="13">
        <v>3</v>
      </c>
      <c r="AF2418" s="13"/>
      <c r="AG2418" s="16">
        <f>IFERROR(SUMIF(reading[[#This Row],[1st]:[7th]],"&gt;0")/COUNTIF(reading[[#This Row],[1st]:[7th]],"&gt;0"),"")</f>
        <v>2.6666666666666665</v>
      </c>
    </row>
    <row r="2419" spans="1:33" x14ac:dyDescent="0.2">
      <c r="A2419" s="4">
        <f>IF(B2419=1,3,IF(D2419=1,2,IF(F2419=1,1,0)))</f>
        <v>0</v>
      </c>
      <c r="B2419" s="4" t="str">
        <f>IF(C2419=$L2419,1,IF(C2419="","",0))</f>
        <v/>
      </c>
      <c r="C2419" s="18"/>
      <c r="D2419" s="4" t="str">
        <f>IF(E2419=$L2419,1,IF(E2419="","",0))</f>
        <v/>
      </c>
      <c r="E2419" s="18"/>
      <c r="F2419" s="4" t="str">
        <f>IF(G2419=$L2419,1,IF(G2419="","",0))</f>
        <v/>
      </c>
      <c r="G2419" s="14"/>
      <c r="H2419" s="6">
        <v>193</v>
      </c>
      <c r="I2419" s="15" t="s">
        <v>3120</v>
      </c>
      <c r="J2419" s="6" t="s">
        <v>3342</v>
      </c>
      <c r="K2419" s="6"/>
      <c r="L2419" s="6" t="s">
        <v>329</v>
      </c>
      <c r="M2419" s="6" t="s">
        <v>6302</v>
      </c>
      <c r="N2419" s="7">
        <f ca="1">RAND()</f>
        <v>0.82192769706442403</v>
      </c>
      <c r="O2419" s="8">
        <v>45199</v>
      </c>
      <c r="P2419" s="8">
        <v>45200</v>
      </c>
      <c r="Q2419" s="8">
        <v>45202</v>
      </c>
      <c r="R2419" s="8">
        <v>45206</v>
      </c>
      <c r="S2419" s="8">
        <v>45213</v>
      </c>
      <c r="T2419" s="8">
        <v>45225</v>
      </c>
      <c r="U2419" s="8"/>
      <c r="V2419" s="10">
        <f>COUNTA(O2419:U2419)</f>
        <v>6</v>
      </c>
      <c r="W2419" s="11">
        <f>_xlfn.IFNA(INDEX(reading[[#This Row],[Memo 01]:[Memo 07]],MATCH(0,reading[[#This Row],[Memo 01]:[Memo 07]],-1)),"")</f>
        <v>45225</v>
      </c>
      <c r="X2419" s="11">
        <f ca="1">IFERROR(reading[[#This Row],[Previous]]+OFFSET(reading[[#Headers],[Memo 01]],-1,MATCH(0,reading[[#This Row],[Memo 01]:[Memo 07]],-1)-1),"")</f>
        <v>45245</v>
      </c>
      <c r="Y2419" s="10" t="str">
        <f ca="1">IF(reading[[#This Row],[Next]]&lt;&gt;"",IF(reading[[#This Row],[Next]]&gt;TODAY(),"OK",""),"")</f>
        <v/>
      </c>
      <c r="Z2419" s="13">
        <v>3</v>
      </c>
      <c r="AA2419" s="13">
        <v>3</v>
      </c>
      <c r="AB2419" s="13">
        <v>2</v>
      </c>
      <c r="AC2419" s="13">
        <v>3</v>
      </c>
      <c r="AD2419" s="13">
        <v>3</v>
      </c>
      <c r="AE2419" s="13">
        <v>3</v>
      </c>
      <c r="AF2419" s="13"/>
      <c r="AG2419" s="16">
        <f>IFERROR(SUMIF(reading[[#This Row],[1st]:[7th]],"&gt;0")/COUNTIF(reading[[#This Row],[1st]:[7th]],"&gt;0"),"")</f>
        <v>2.8333333333333335</v>
      </c>
    </row>
    <row r="2420" spans="1:33" hidden="1" x14ac:dyDescent="0.2">
      <c r="A2420" s="4">
        <f>IF(B2420=1,3,IF(D2420=1,2,IF(F2420=1,1,0)))</f>
        <v>0</v>
      </c>
      <c r="B2420" s="4">
        <f>IF(C2420=$L2420,1,IF(C2420="","",0))</f>
        <v>0</v>
      </c>
      <c r="C2420" s="42" t="s">
        <v>9291</v>
      </c>
      <c r="D2420" s="4" t="str">
        <f>IF(E2420=$L2420,1,IF(E2420="","",0))</f>
        <v/>
      </c>
      <c r="E2420" s="14"/>
      <c r="F2420" s="4" t="str">
        <f>IF(G2420=$L2420,1,IF(G2420="","",0))</f>
        <v/>
      </c>
      <c r="G2420" s="14"/>
      <c r="H2420" s="6">
        <v>1647</v>
      </c>
      <c r="I2420" s="15" t="s">
        <v>3120</v>
      </c>
      <c r="J2420" s="6" t="s">
        <v>4759</v>
      </c>
      <c r="K2420" s="6"/>
      <c r="L2420" s="6" t="s">
        <v>1728</v>
      </c>
      <c r="M2420" s="6" t="s">
        <v>7753</v>
      </c>
      <c r="N2420" s="7">
        <f ca="1">RAND()</f>
        <v>0.89929981061303066</v>
      </c>
      <c r="O2420" s="8">
        <v>45210</v>
      </c>
      <c r="P2420" s="8">
        <v>45211</v>
      </c>
      <c r="Q2420" s="8">
        <v>45213</v>
      </c>
      <c r="R2420" s="8">
        <v>45217</v>
      </c>
      <c r="S2420" s="8">
        <v>45224</v>
      </c>
      <c r="T2420" s="8">
        <v>45236</v>
      </c>
      <c r="U2420" s="8"/>
      <c r="V2420" s="10">
        <f>COUNTA(O2420:U2420)</f>
        <v>6</v>
      </c>
      <c r="W2420" s="11">
        <f>_xlfn.IFNA(INDEX(reading[[#This Row],[Memo 01]:[Memo 07]],MATCH(0,reading[[#This Row],[Memo 01]:[Memo 07]],-1)),"")</f>
        <v>45236</v>
      </c>
      <c r="X2420" s="11">
        <f ca="1">IFERROR(reading[[#This Row],[Previous]]+OFFSET(reading[[#Headers],[Memo 01]],-1,MATCH(0,reading[[#This Row],[Memo 01]:[Memo 07]],-1)-1),"")</f>
        <v>45256</v>
      </c>
      <c r="Y2420" s="10" t="str">
        <f ca="1">IF(reading[[#This Row],[Next]]&lt;&gt;"",IF(reading[[#This Row],[Next]]&gt;TODAY(),"OK",""),"")</f>
        <v/>
      </c>
      <c r="Z2420" s="13">
        <v>3</v>
      </c>
      <c r="AA2420" s="13">
        <v>3</v>
      </c>
      <c r="AB2420" s="13">
        <v>3</v>
      </c>
      <c r="AC2420" s="13">
        <v>3</v>
      </c>
      <c r="AD2420" s="13">
        <v>3</v>
      </c>
      <c r="AE2420" s="13">
        <v>3</v>
      </c>
      <c r="AF2420" s="13"/>
      <c r="AG2420" s="16">
        <f>IFERROR(SUMIF(reading[[#This Row],[1st]:[7th]],"&gt;0")/COUNTIF(reading[[#This Row],[1st]:[7th]],"&gt;0"),"")</f>
        <v>3</v>
      </c>
    </row>
    <row r="2421" spans="1:33" hidden="1" x14ac:dyDescent="0.2">
      <c r="A2421" s="4">
        <f>IF(B2421=1,3,IF(D2421=1,2,IF(F2421=1,1,0)))</f>
        <v>0</v>
      </c>
      <c r="B2421" s="4">
        <f>IF(C2421=$L2421,1,IF(C2421="","",0))</f>
        <v>0</v>
      </c>
      <c r="C2421" s="42" t="s">
        <v>9200</v>
      </c>
      <c r="D2421" s="4" t="str">
        <f>IF(E2421=$L2421,1,IF(E2421="","",0))</f>
        <v/>
      </c>
      <c r="E2421" s="18"/>
      <c r="F2421" s="4" t="str">
        <f>IF(G2421=$L2421,1,IF(G2421="","",0))</f>
        <v/>
      </c>
      <c r="G2421" s="14"/>
      <c r="H2421" s="6">
        <v>982</v>
      </c>
      <c r="I2421" s="15" t="s">
        <v>3120</v>
      </c>
      <c r="J2421" s="6" t="s">
        <v>4111</v>
      </c>
      <c r="K2421" s="6"/>
      <c r="L2421" s="6" t="s">
        <v>1092</v>
      </c>
      <c r="M2421" s="6" t="s">
        <v>7090</v>
      </c>
      <c r="N2421" s="7">
        <f ca="1">RAND()</f>
        <v>0.40125874499047109</v>
      </c>
      <c r="O2421" s="8">
        <v>45204</v>
      </c>
      <c r="P2421" s="8">
        <v>45205</v>
      </c>
      <c r="Q2421" s="8">
        <v>45207</v>
      </c>
      <c r="R2421" s="8">
        <v>45211</v>
      </c>
      <c r="S2421" s="8">
        <v>45218</v>
      </c>
      <c r="T2421" s="8">
        <v>45230</v>
      </c>
      <c r="U2421" s="8"/>
      <c r="V2421" s="10">
        <f>COUNTA(O2421:U2421)</f>
        <v>6</v>
      </c>
      <c r="W2421" s="11">
        <f>_xlfn.IFNA(INDEX(reading[[#This Row],[Memo 01]:[Memo 07]],MATCH(0,reading[[#This Row],[Memo 01]:[Memo 07]],-1)),"")</f>
        <v>45230</v>
      </c>
      <c r="X2421" s="11">
        <f ca="1">IFERROR(reading[[#This Row],[Previous]]+OFFSET(reading[[#Headers],[Memo 01]],-1,MATCH(0,reading[[#This Row],[Memo 01]:[Memo 07]],-1)-1),"")</f>
        <v>45250</v>
      </c>
      <c r="Y2421" s="10" t="str">
        <f ca="1">IF(reading[[#This Row],[Next]]&lt;&gt;"",IF(reading[[#This Row],[Next]]&gt;TODAY(),"OK",""),"")</f>
        <v/>
      </c>
      <c r="Z2421" s="13">
        <v>3</v>
      </c>
      <c r="AA2421" s="13">
        <v>3</v>
      </c>
      <c r="AB2421" s="13">
        <v>3</v>
      </c>
      <c r="AC2421" s="13">
        <v>3</v>
      </c>
      <c r="AD2421" s="13">
        <v>2</v>
      </c>
      <c r="AE2421" s="13">
        <v>3</v>
      </c>
      <c r="AF2421" s="13"/>
      <c r="AG2421" s="16">
        <f>IFERROR(SUMIF(reading[[#This Row],[1st]:[7th]],"&gt;0")/COUNTIF(reading[[#This Row],[1st]:[7th]],"&gt;0"),"")</f>
        <v>2.8333333333333335</v>
      </c>
    </row>
    <row r="2422" spans="1:33" x14ac:dyDescent="0.2">
      <c r="A2422" s="4">
        <f>IF(B2422=1,3,IF(D2422=1,2,IF(F2422=1,1,0)))</f>
        <v>0</v>
      </c>
      <c r="B2422" s="4" t="str">
        <f>IF(C2422=$L2422,1,IF(C2422="","",0))</f>
        <v/>
      </c>
      <c r="C2422" s="39"/>
      <c r="D2422" s="4" t="str">
        <f>IF(E2422=$L2422,1,IF(E2422="","",0))</f>
        <v/>
      </c>
      <c r="E2422" s="18"/>
      <c r="F2422" s="4" t="str">
        <f>IF(G2422=$L2422,1,IF(G2422="","",0))</f>
        <v/>
      </c>
      <c r="G2422" s="14"/>
      <c r="H2422" s="6">
        <v>981</v>
      </c>
      <c r="I2422" s="15" t="s">
        <v>3120</v>
      </c>
      <c r="J2422" s="6" t="s">
        <v>4110</v>
      </c>
      <c r="K2422" s="6"/>
      <c r="L2422" s="6" t="s">
        <v>1091</v>
      </c>
      <c r="M2422" s="6" t="s">
        <v>7089</v>
      </c>
      <c r="N2422" s="7">
        <f ca="1">RAND()</f>
        <v>0.28137154443234025</v>
      </c>
      <c r="O2422" s="8">
        <v>45204</v>
      </c>
      <c r="P2422" s="8">
        <v>45205</v>
      </c>
      <c r="Q2422" s="8">
        <v>45207</v>
      </c>
      <c r="R2422" s="8">
        <v>45211</v>
      </c>
      <c r="S2422" s="8">
        <v>45218</v>
      </c>
      <c r="T2422" s="8">
        <v>45230</v>
      </c>
      <c r="U2422" s="8"/>
      <c r="V2422" s="10">
        <f>COUNTA(O2422:U2422)</f>
        <v>6</v>
      </c>
      <c r="W2422" s="11">
        <f>_xlfn.IFNA(INDEX(reading[[#This Row],[Memo 01]:[Memo 07]],MATCH(0,reading[[#This Row],[Memo 01]:[Memo 07]],-1)),"")</f>
        <v>45230</v>
      </c>
      <c r="X2422" s="11">
        <f ca="1">IFERROR(reading[[#This Row],[Previous]]+OFFSET(reading[[#Headers],[Memo 01]],-1,MATCH(0,reading[[#This Row],[Memo 01]:[Memo 07]],-1)-1),"")</f>
        <v>45250</v>
      </c>
      <c r="Y2422" s="10" t="str">
        <f ca="1">IF(reading[[#This Row],[Next]]&lt;&gt;"",IF(reading[[#This Row],[Next]]&gt;TODAY(),"OK",""),"")</f>
        <v/>
      </c>
      <c r="Z2422" s="13">
        <v>3</v>
      </c>
      <c r="AA2422" s="13">
        <v>3</v>
      </c>
      <c r="AB2422" s="13">
        <v>3</v>
      </c>
      <c r="AC2422" s="13">
        <v>3</v>
      </c>
      <c r="AD2422" s="13">
        <v>2</v>
      </c>
      <c r="AE2422" s="13">
        <v>3</v>
      </c>
      <c r="AF2422" s="13"/>
      <c r="AG2422" s="16">
        <f>IFERROR(SUMIF(reading[[#This Row],[1st]:[7th]],"&gt;0")/COUNTIF(reading[[#This Row],[1st]:[7th]],"&gt;0"),"")</f>
        <v>2.8333333333333335</v>
      </c>
    </row>
    <row r="2423" spans="1:33" x14ac:dyDescent="0.2">
      <c r="A2423" s="4">
        <f>IF(B2423=1,3,IF(D2423=1,2,IF(F2423=1,1,0)))</f>
        <v>0</v>
      </c>
      <c r="B2423" s="4" t="str">
        <f>IF(C2423=$L2423,1,IF(C2423="","",0))</f>
        <v/>
      </c>
      <c r="C2423" s="38"/>
      <c r="D2423" s="4" t="str">
        <f>IF(E2423=$L2423,1,IF(E2423="","",0))</f>
        <v/>
      </c>
      <c r="E2423" s="14"/>
      <c r="F2423" s="4" t="str">
        <f>IF(G2423=$L2423,1,IF(G2423="","",0))</f>
        <v/>
      </c>
      <c r="G2423" s="14"/>
      <c r="H2423" s="6">
        <v>2057</v>
      </c>
      <c r="I2423" s="15" t="s">
        <v>3120</v>
      </c>
      <c r="J2423" s="6" t="s">
        <v>5152</v>
      </c>
      <c r="K2423" s="6"/>
      <c r="L2423" s="6" t="s">
        <v>2132</v>
      </c>
      <c r="M2423" s="6" t="s">
        <v>8163</v>
      </c>
      <c r="N2423" s="7">
        <f ca="1">RAND()</f>
        <v>0.72642288182478765</v>
      </c>
      <c r="O2423" s="8">
        <v>45214</v>
      </c>
      <c r="P2423" s="8">
        <v>45215</v>
      </c>
      <c r="Q2423" s="8">
        <v>45217</v>
      </c>
      <c r="R2423" s="8">
        <v>45221</v>
      </c>
      <c r="S2423" s="8">
        <v>45228</v>
      </c>
      <c r="T2423" s="8"/>
      <c r="U2423" s="8"/>
      <c r="V2423" s="10">
        <f>COUNTA(O2423:U2423)</f>
        <v>5</v>
      </c>
      <c r="W2423" s="11">
        <f>_xlfn.IFNA(INDEX(reading[[#This Row],[Memo 01]:[Memo 07]],MATCH(0,reading[[#This Row],[Memo 01]:[Memo 07]],-1)),"")</f>
        <v>45228</v>
      </c>
      <c r="X2423" s="11">
        <f ca="1">IFERROR(reading[[#This Row],[Previous]]+OFFSET(reading[[#Headers],[Memo 01]],-1,MATCH(0,reading[[#This Row],[Memo 01]:[Memo 07]],-1)-1),"")</f>
        <v>45240</v>
      </c>
      <c r="Y2423" s="10" t="str">
        <f ca="1">IF(reading[[#This Row],[Next]]&lt;&gt;"",IF(reading[[#This Row],[Next]]&gt;TODAY(),"OK",""),"")</f>
        <v/>
      </c>
      <c r="Z2423" s="13">
        <v>3</v>
      </c>
      <c r="AA2423" s="13">
        <v>3</v>
      </c>
      <c r="AB2423" s="13">
        <v>3</v>
      </c>
      <c r="AC2423" s="13">
        <v>3</v>
      </c>
      <c r="AD2423" s="13">
        <v>3</v>
      </c>
      <c r="AE2423" s="13"/>
      <c r="AF2423" s="13"/>
      <c r="AG2423" s="16">
        <f>IFERROR(SUMIF(reading[[#This Row],[1st]:[7th]],"&gt;0")/COUNTIF(reading[[#This Row],[1st]:[7th]],"&gt;0"),"")</f>
        <v>3</v>
      </c>
    </row>
    <row r="2424" spans="1:33" x14ac:dyDescent="0.2">
      <c r="A2424" s="4">
        <f>IF(B2424=1,3,IF(D2424=1,2,IF(F2424=1,1,0)))</f>
        <v>0</v>
      </c>
      <c r="B2424" s="4" t="str">
        <f>IF(C2424=$L2424,1,IF(C2424="","",0))</f>
        <v/>
      </c>
      <c r="C2424" s="39"/>
      <c r="D2424" s="4" t="str">
        <f>IF(E2424=$L2424,1,IF(E2424="","",0))</f>
        <v/>
      </c>
      <c r="E2424" s="18"/>
      <c r="F2424" s="4" t="str">
        <f>IF(G2424=$L2424,1,IF(G2424="","",0))</f>
        <v/>
      </c>
      <c r="G2424" s="14"/>
      <c r="H2424" s="6">
        <v>1296</v>
      </c>
      <c r="I2424" s="15" t="s">
        <v>3120</v>
      </c>
      <c r="J2424" s="6" t="s">
        <v>4413</v>
      </c>
      <c r="K2424" s="6"/>
      <c r="L2424" s="6" t="s">
        <v>1393</v>
      </c>
      <c r="M2424" s="6" t="s">
        <v>7403</v>
      </c>
      <c r="N2424" s="7">
        <f ca="1">RAND()</f>
        <v>0.20035999498863166</v>
      </c>
      <c r="O2424" s="8">
        <v>45207</v>
      </c>
      <c r="P2424" s="8">
        <v>45208</v>
      </c>
      <c r="Q2424" s="8">
        <v>45210</v>
      </c>
      <c r="R2424" s="8">
        <v>45214</v>
      </c>
      <c r="S2424" s="8">
        <v>45221</v>
      </c>
      <c r="T2424" s="8">
        <v>45233</v>
      </c>
      <c r="U2424" s="8"/>
      <c r="V2424" s="10">
        <f>COUNTA(O2424:U2424)</f>
        <v>6</v>
      </c>
      <c r="W2424" s="11">
        <f>_xlfn.IFNA(INDEX(reading[[#This Row],[Memo 01]:[Memo 07]],MATCH(0,reading[[#This Row],[Memo 01]:[Memo 07]],-1)),"")</f>
        <v>45233</v>
      </c>
      <c r="X2424" s="11">
        <f ca="1">IFERROR(reading[[#This Row],[Previous]]+OFFSET(reading[[#Headers],[Memo 01]],-1,MATCH(0,reading[[#This Row],[Memo 01]:[Memo 07]],-1)-1),"")</f>
        <v>45253</v>
      </c>
      <c r="Y2424" s="10" t="str">
        <f ca="1">IF(reading[[#This Row],[Next]]&lt;&gt;"",IF(reading[[#This Row],[Next]]&gt;TODAY(),"OK",""),"")</f>
        <v/>
      </c>
      <c r="Z2424" s="13">
        <v>3</v>
      </c>
      <c r="AA2424" s="13">
        <v>3</v>
      </c>
      <c r="AB2424" s="13">
        <v>3</v>
      </c>
      <c r="AC2424" s="13">
        <v>3</v>
      </c>
      <c r="AD2424" s="13">
        <v>2</v>
      </c>
      <c r="AE2424" s="13">
        <v>3</v>
      </c>
      <c r="AF2424" s="13"/>
      <c r="AG2424" s="16">
        <f>IFERROR(SUMIF(reading[[#This Row],[1st]:[7th]],"&gt;0")/COUNTIF(reading[[#This Row],[1st]:[7th]],"&gt;0"),"")</f>
        <v>2.8333333333333335</v>
      </c>
    </row>
    <row r="2425" spans="1:33" x14ac:dyDescent="0.2">
      <c r="A2425" s="4">
        <f>IF(B2425=1,3,IF(D2425=1,2,IF(F2425=1,1,0)))</f>
        <v>0</v>
      </c>
      <c r="B2425" s="4" t="str">
        <f>IF(C2425=$L2425,1,IF(C2425="","",0))</f>
        <v/>
      </c>
      <c r="C2425" s="42"/>
      <c r="D2425" s="4" t="str">
        <f>IF(E2425=$L2425,1,IF(E2425="","",0))</f>
        <v/>
      </c>
      <c r="E2425" s="14"/>
      <c r="F2425" s="4" t="str">
        <f>IF(G2425=$L2425,1,IF(G2425="","",0))</f>
        <v/>
      </c>
      <c r="G2425" s="14"/>
      <c r="H2425" s="6">
        <v>1855</v>
      </c>
      <c r="I2425" s="15" t="s">
        <v>3120</v>
      </c>
      <c r="J2425" s="6" t="s">
        <v>4957</v>
      </c>
      <c r="K2425" s="6"/>
      <c r="L2425" s="6" t="s">
        <v>1933</v>
      </c>
      <c r="M2425" s="6" t="s">
        <v>7961</v>
      </c>
      <c r="N2425" s="7">
        <f ca="1">RAND()</f>
        <v>0.71496557284671292</v>
      </c>
      <c r="O2425" s="8">
        <v>45213</v>
      </c>
      <c r="P2425" s="8">
        <v>45214</v>
      </c>
      <c r="Q2425" s="8">
        <v>45216</v>
      </c>
      <c r="R2425" s="8">
        <v>45220</v>
      </c>
      <c r="S2425" s="8">
        <v>45227</v>
      </c>
      <c r="T2425" s="8">
        <v>45801</v>
      </c>
      <c r="U2425" s="8"/>
      <c r="V2425" s="10">
        <f>COUNTA(O2425:U2425)</f>
        <v>6</v>
      </c>
      <c r="W2425" s="11">
        <f>_xlfn.IFNA(INDEX(reading[[#This Row],[Memo 01]:[Memo 07]],MATCH(0,reading[[#This Row],[Memo 01]:[Memo 07]],-1)),"")</f>
        <v>45801</v>
      </c>
      <c r="X2425" s="11">
        <f ca="1">IFERROR(reading[[#This Row],[Previous]]+OFFSET(reading[[#Headers],[Memo 01]],-1,MATCH(0,reading[[#This Row],[Memo 01]:[Memo 07]],-1)-1),"")</f>
        <v>45821</v>
      </c>
      <c r="Y2425" s="10" t="str">
        <f ca="1">IF(reading[[#This Row],[Next]]&lt;&gt;"",IF(reading[[#This Row],[Next]]&gt;TODAY(),"OK",""),"")</f>
        <v/>
      </c>
      <c r="Z2425" s="13">
        <v>3</v>
      </c>
      <c r="AA2425" s="13">
        <v>3</v>
      </c>
      <c r="AB2425" s="13">
        <v>3</v>
      </c>
      <c r="AC2425" s="13">
        <v>3</v>
      </c>
      <c r="AD2425" s="13">
        <v>3</v>
      </c>
      <c r="AE2425" s="13">
        <v>3</v>
      </c>
      <c r="AF2425" s="13"/>
      <c r="AG2425" s="16">
        <f>IFERROR(SUMIF(reading[[#This Row],[1st]:[7th]],"&gt;0")/COUNTIF(reading[[#This Row],[1st]:[7th]],"&gt;0"),"")</f>
        <v>3</v>
      </c>
    </row>
    <row r="2426" spans="1:33" hidden="1" x14ac:dyDescent="0.2">
      <c r="A2426" s="4">
        <f>IF(B2426=1,3,IF(D2426=1,2,IF(F2426=1,1,0)))</f>
        <v>0</v>
      </c>
      <c r="B2426" s="4" t="str">
        <f>IF(C2426=$L2426,1,IF(C2426="","",0))</f>
        <v/>
      </c>
      <c r="C2426" s="42"/>
      <c r="D2426" s="4" t="str">
        <f>IF(E2426=$L2426,1,IF(E2426="","",0))</f>
        <v/>
      </c>
      <c r="E2426" s="43"/>
      <c r="F2426" s="4" t="str">
        <f>IF(G2426=$L2426,1,IF(G2426="","",0))</f>
        <v/>
      </c>
      <c r="G2426" s="14"/>
      <c r="H2426" s="6">
        <v>859</v>
      </c>
      <c r="I2426" s="15" t="s">
        <v>3120</v>
      </c>
      <c r="J2426" s="6" t="s">
        <v>3991</v>
      </c>
      <c r="K2426" s="6"/>
      <c r="L2426" s="6" t="s">
        <v>975</v>
      </c>
      <c r="M2426" s="6" t="s">
        <v>6968</v>
      </c>
      <c r="N2426" s="7">
        <f ca="1">RAND()</f>
        <v>0.79878124479128632</v>
      </c>
      <c r="O2426" s="8">
        <v>45204</v>
      </c>
      <c r="P2426" s="8">
        <v>45205</v>
      </c>
      <c r="Q2426" s="8">
        <v>45207</v>
      </c>
      <c r="R2426" s="8">
        <v>45212</v>
      </c>
      <c r="S2426" s="8">
        <v>45219</v>
      </c>
      <c r="T2426" s="8">
        <v>45231</v>
      </c>
      <c r="U2426" s="8">
        <v>45816</v>
      </c>
      <c r="V2426" s="10">
        <f>COUNTA(O2426:U2426)</f>
        <v>7</v>
      </c>
      <c r="W2426" s="11">
        <f>_xlfn.IFNA(INDEX(reading[[#This Row],[Memo 01]:[Memo 07]],MATCH(0,reading[[#This Row],[Memo 01]:[Memo 07]],-1)),"")</f>
        <v>45816</v>
      </c>
      <c r="X2426" s="11">
        <f ca="1">IFERROR(reading[[#This Row],[Previous]]+OFFSET(reading[[#Headers],[Memo 01]],-1,MATCH(0,reading[[#This Row],[Memo 01]:[Memo 07]],-1)-1),"")</f>
        <v>55816</v>
      </c>
      <c r="Y2426" s="10" t="str">
        <f ca="1">IF(reading[[#This Row],[Next]]&lt;&gt;"",IF(reading[[#This Row],[Next]]&gt;TODAY(),"OK",""),"")</f>
        <v>OK</v>
      </c>
      <c r="Z2426" s="13">
        <v>3</v>
      </c>
      <c r="AA2426" s="13">
        <v>3</v>
      </c>
      <c r="AB2426" s="13">
        <v>3</v>
      </c>
      <c r="AC2426" s="13">
        <v>2</v>
      </c>
      <c r="AD2426" s="13">
        <v>2</v>
      </c>
      <c r="AE2426" s="13">
        <v>3</v>
      </c>
      <c r="AF2426" s="13">
        <v>2</v>
      </c>
      <c r="AG2426" s="16">
        <f>IFERROR(SUMIF(reading[[#This Row],[1st]:[7th]],"&gt;0")/COUNTIF(reading[[#This Row],[1st]:[7th]],"&gt;0"),"")</f>
        <v>2.5714285714285716</v>
      </c>
    </row>
    <row r="2427" spans="1:33" x14ac:dyDescent="0.2">
      <c r="A2427" s="4">
        <f>IF(B2427=1,3,IF(D2427=1,2,IF(F2427=1,1,0)))</f>
        <v>0</v>
      </c>
      <c r="B2427" s="4" t="str">
        <f>IF(C2427=$L2427,1,IF(C2427="","",0))</f>
        <v/>
      </c>
      <c r="C2427" s="18"/>
      <c r="D2427" s="4" t="str">
        <f>IF(E2427=$L2427,1,IF(E2427="","",0))</f>
        <v/>
      </c>
      <c r="E2427" s="14"/>
      <c r="F2427" s="4" t="str">
        <f>IF(G2427=$L2427,1,IF(G2427="","",0))</f>
        <v/>
      </c>
      <c r="G2427" s="14"/>
      <c r="H2427" s="6">
        <v>44</v>
      </c>
      <c r="I2427" s="15" t="s">
        <v>3120</v>
      </c>
      <c r="J2427" s="6" t="s">
        <v>3199</v>
      </c>
      <c r="K2427" s="6"/>
      <c r="L2427" s="6" t="s">
        <v>187</v>
      </c>
      <c r="M2427" s="6" t="s">
        <v>6158</v>
      </c>
      <c r="N2427" s="7">
        <f ca="1">RAND()</f>
        <v>0.56447423540130237</v>
      </c>
      <c r="O2427" s="8">
        <v>45198</v>
      </c>
      <c r="P2427" s="8">
        <v>45199</v>
      </c>
      <c r="Q2427" s="8">
        <v>45201</v>
      </c>
      <c r="R2427" s="8">
        <v>45205</v>
      </c>
      <c r="S2427" s="8">
        <v>45212</v>
      </c>
      <c r="T2427" s="8">
        <v>45224</v>
      </c>
      <c r="U2427" s="8"/>
      <c r="V2427" s="10">
        <f>COUNTA(O2427:U2427)</f>
        <v>6</v>
      </c>
      <c r="W2427" s="11">
        <f>_xlfn.IFNA(INDEX(reading[[#This Row],[Memo 01]:[Memo 07]],MATCH(0,reading[[#This Row],[Memo 01]:[Memo 07]],-1)),"")</f>
        <v>45224</v>
      </c>
      <c r="X2427" s="11">
        <f ca="1">IFERROR(reading[[#This Row],[Previous]]+OFFSET(reading[[#Headers],[Memo 01]],-1,MATCH(0,reading[[#This Row],[Memo 01]:[Memo 07]],-1)-1),"")</f>
        <v>45244</v>
      </c>
      <c r="Y2427" s="10" t="str">
        <f ca="1">IF(reading[[#This Row],[Next]]&lt;&gt;"",IF(reading[[#This Row],[Next]]&gt;TODAY(),"OK",""),"")</f>
        <v/>
      </c>
      <c r="Z2427" s="13">
        <v>3</v>
      </c>
      <c r="AA2427" s="13">
        <v>3</v>
      </c>
      <c r="AB2427" s="13">
        <v>3</v>
      </c>
      <c r="AC2427" s="13">
        <v>3</v>
      </c>
      <c r="AD2427" s="13">
        <v>3</v>
      </c>
      <c r="AE2427" s="13">
        <v>3</v>
      </c>
      <c r="AF2427" s="13"/>
      <c r="AG2427" s="16">
        <f>IFERROR(SUMIF(reading[[#This Row],[1st]:[7th]],"&gt;0")/COUNTIF(reading[[#This Row],[1st]:[7th]],"&gt;0"),"")</f>
        <v>3</v>
      </c>
    </row>
    <row r="2428" spans="1:33" x14ac:dyDescent="0.2">
      <c r="A2428" s="4">
        <f>IF(B2428=1,3,IF(D2428=1,2,IF(F2428=1,1,0)))</f>
        <v>0</v>
      </c>
      <c r="B2428" s="4" t="str">
        <f>IF(C2428=$L2428,1,IF(C2428="","",0))</f>
        <v/>
      </c>
      <c r="C2428" s="36"/>
      <c r="D2428" s="4" t="str">
        <f>IF(E2428=$L2428,1,IF(E2428="","",0))</f>
        <v/>
      </c>
      <c r="E2428" s="14"/>
      <c r="F2428" s="4" t="str">
        <f>IF(G2428=$L2428,1,IF(G2428="","",0))</f>
        <v/>
      </c>
      <c r="G2428" s="14"/>
      <c r="H2428" s="6">
        <v>1871</v>
      </c>
      <c r="I2428" s="15" t="s">
        <v>3120</v>
      </c>
      <c r="J2428" s="6" t="s">
        <v>4973</v>
      </c>
      <c r="K2428" s="15" t="s">
        <v>3138</v>
      </c>
      <c r="L2428" s="6" t="s">
        <v>1949</v>
      </c>
      <c r="M2428" s="6" t="s">
        <v>7977</v>
      </c>
      <c r="N2428" s="7">
        <f ca="1">RAND()</f>
        <v>0.78780533499305183</v>
      </c>
      <c r="O2428" s="8">
        <v>45213</v>
      </c>
      <c r="P2428" s="8">
        <v>45214</v>
      </c>
      <c r="Q2428" s="8">
        <v>45216</v>
      </c>
      <c r="R2428" s="8">
        <v>45220</v>
      </c>
      <c r="S2428" s="8">
        <v>45227</v>
      </c>
      <c r="T2428" s="8"/>
      <c r="U2428" s="8"/>
      <c r="V2428" s="10">
        <f>COUNTA(O2428:U2428)</f>
        <v>5</v>
      </c>
      <c r="W2428" s="11">
        <f>_xlfn.IFNA(INDEX(reading[[#This Row],[Memo 01]:[Memo 07]],MATCH(0,reading[[#This Row],[Memo 01]:[Memo 07]],-1)),"")</f>
        <v>45227</v>
      </c>
      <c r="X2428" s="11">
        <f ca="1">IFERROR(reading[[#This Row],[Previous]]+OFFSET(reading[[#Headers],[Memo 01]],-1,MATCH(0,reading[[#This Row],[Memo 01]:[Memo 07]],-1)-1),"")</f>
        <v>45239</v>
      </c>
      <c r="Y2428" s="10" t="str">
        <f ca="1">IF(reading[[#This Row],[Next]]&lt;&gt;"",IF(reading[[#This Row],[Next]]&gt;TODAY(),"OK",""),"")</f>
        <v/>
      </c>
      <c r="Z2428" s="13">
        <v>3</v>
      </c>
      <c r="AA2428" s="13">
        <v>3</v>
      </c>
      <c r="AB2428" s="13">
        <v>3</v>
      </c>
      <c r="AC2428" s="13">
        <v>3</v>
      </c>
      <c r="AD2428" s="13">
        <v>3</v>
      </c>
      <c r="AE2428" s="13"/>
      <c r="AF2428" s="13"/>
      <c r="AG2428" s="16">
        <f>IFERROR(SUMIF(reading[[#This Row],[1st]:[7th]],"&gt;0")/COUNTIF(reading[[#This Row],[1st]:[7th]],"&gt;0"),"")</f>
        <v>3</v>
      </c>
    </row>
    <row r="2429" spans="1:33" hidden="1" x14ac:dyDescent="0.2">
      <c r="A2429" s="4">
        <f>IF(B2429=1,3,IF(D2429=1,2,IF(F2429=1,1,0)))</f>
        <v>0</v>
      </c>
      <c r="B2429" s="4">
        <f>IF(C2429=$L2429,1,IF(C2429="","",0))</f>
        <v>0</v>
      </c>
      <c r="C2429" s="42" t="s">
        <v>9222</v>
      </c>
      <c r="D2429" s="4" t="str">
        <f>IF(E2429=$L2429,1,IF(E2429="","",0))</f>
        <v/>
      </c>
      <c r="E2429" s="18"/>
      <c r="F2429" s="4" t="str">
        <f>IF(G2429=$L2429,1,IF(G2429="","",0))</f>
        <v/>
      </c>
      <c r="G2429" s="14"/>
      <c r="H2429" s="6">
        <v>172</v>
      </c>
      <c r="I2429" s="15" t="s">
        <v>3120</v>
      </c>
      <c r="J2429" s="6" t="s">
        <v>3321</v>
      </c>
      <c r="K2429" s="6"/>
      <c r="L2429" s="6" t="s">
        <v>309</v>
      </c>
      <c r="M2429" s="6" t="s">
        <v>6281</v>
      </c>
      <c r="N2429" s="7">
        <f ca="1">RAND()</f>
        <v>0.87751723964464545</v>
      </c>
      <c r="O2429" s="8">
        <v>45199</v>
      </c>
      <c r="P2429" s="8">
        <v>45200</v>
      </c>
      <c r="Q2429" s="8">
        <v>45202</v>
      </c>
      <c r="R2429" s="8">
        <v>45206</v>
      </c>
      <c r="S2429" s="8">
        <v>45213</v>
      </c>
      <c r="T2429" s="8">
        <v>45225</v>
      </c>
      <c r="U2429" s="8"/>
      <c r="V2429" s="10">
        <f>COUNTA(O2429:U2429)</f>
        <v>6</v>
      </c>
      <c r="W2429" s="11">
        <f>_xlfn.IFNA(INDEX(reading[[#This Row],[Memo 01]:[Memo 07]],MATCH(0,reading[[#This Row],[Memo 01]:[Memo 07]],-1)),"")</f>
        <v>45225</v>
      </c>
      <c r="X2429" s="11">
        <f ca="1">IFERROR(reading[[#This Row],[Previous]]+OFFSET(reading[[#Headers],[Memo 01]],-1,MATCH(0,reading[[#This Row],[Memo 01]:[Memo 07]],-1)-1),"")</f>
        <v>45245</v>
      </c>
      <c r="Y2429" s="10" t="str">
        <f ca="1">IF(reading[[#This Row],[Next]]&lt;&gt;"",IF(reading[[#This Row],[Next]]&gt;TODAY(),"OK",""),"")</f>
        <v/>
      </c>
      <c r="Z2429" s="13">
        <v>3</v>
      </c>
      <c r="AA2429" s="13">
        <v>2</v>
      </c>
      <c r="AB2429" s="13">
        <v>3</v>
      </c>
      <c r="AC2429" s="13">
        <v>3</v>
      </c>
      <c r="AD2429" s="13">
        <v>3</v>
      </c>
      <c r="AE2429" s="13">
        <v>3</v>
      </c>
      <c r="AF2429" s="13"/>
      <c r="AG2429" s="16">
        <f>IFERROR(SUMIF(reading[[#This Row],[1st]:[7th]],"&gt;0")/COUNTIF(reading[[#This Row],[1st]:[7th]],"&gt;0"),"")</f>
        <v>2.8333333333333335</v>
      </c>
    </row>
    <row r="2430" spans="1:33" hidden="1" x14ac:dyDescent="0.2">
      <c r="A2430" s="4">
        <f>IF(B2430=1,3,IF(D2430=1,2,IF(F2430=1,1,0)))</f>
        <v>0</v>
      </c>
      <c r="B2430" s="4" t="str">
        <f>IF(C2430=$L2430,1,IF(C2430="","",0))</f>
        <v/>
      </c>
      <c r="C2430" s="42"/>
      <c r="D2430" s="4" t="str">
        <f>IF(E2430=$L2430,1,IF(E2430="","",0))</f>
        <v/>
      </c>
      <c r="E2430" s="23"/>
      <c r="F2430" s="4" t="str">
        <f>IF(G2430=$L2430,1,IF(G2430="","",0))</f>
        <v/>
      </c>
      <c r="G2430" s="23"/>
      <c r="H2430" s="6">
        <v>2510</v>
      </c>
      <c r="I2430" s="15" t="s">
        <v>3120</v>
      </c>
      <c r="J2430" s="6" t="s">
        <v>5574</v>
      </c>
      <c r="K2430" s="6"/>
      <c r="L2430" s="6" t="s">
        <v>2556</v>
      </c>
      <c r="M2430" s="6" t="s">
        <v>8615</v>
      </c>
      <c r="N2430" s="7">
        <f ca="1">RAND()</f>
        <v>0.9577644546585371</v>
      </c>
      <c r="O2430" s="8">
        <v>45219</v>
      </c>
      <c r="P2430" s="8">
        <v>45220</v>
      </c>
      <c r="Q2430" s="8">
        <v>45222</v>
      </c>
      <c r="R2430" s="8">
        <v>45226</v>
      </c>
      <c r="S2430" s="8">
        <v>45233</v>
      </c>
      <c r="T2430" s="8">
        <v>45817</v>
      </c>
      <c r="U2430" s="8"/>
      <c r="V2430" s="10">
        <f>COUNTA(O2430:U2430)</f>
        <v>6</v>
      </c>
      <c r="W2430" s="11">
        <f>_xlfn.IFNA(INDEX(reading[[#This Row],[Memo 01]:[Memo 07]],MATCH(0,reading[[#This Row],[Memo 01]:[Memo 07]],-1)),"")</f>
        <v>45817</v>
      </c>
      <c r="X2430" s="11">
        <f ca="1">IFERROR(reading[[#This Row],[Previous]]+OFFSET(reading[[#Headers],[Memo 01]],-1,MATCH(0,reading[[#This Row],[Memo 01]:[Memo 07]],-1)-1),"")</f>
        <v>45837</v>
      </c>
      <c r="Y2430" s="10" t="str">
        <f ca="1">IF(reading[[#This Row],[Next]]&lt;&gt;"",IF(reading[[#This Row],[Next]]&gt;TODAY(),"OK",""),"")</f>
        <v>OK</v>
      </c>
      <c r="Z2430" s="13">
        <v>3</v>
      </c>
      <c r="AA2430" s="13">
        <v>3</v>
      </c>
      <c r="AB2430" s="13">
        <v>3</v>
      </c>
      <c r="AC2430" s="13">
        <v>3</v>
      </c>
      <c r="AD2430" s="13">
        <v>3</v>
      </c>
      <c r="AE2430" s="13">
        <v>1</v>
      </c>
      <c r="AF2430" s="13"/>
      <c r="AG2430" s="16">
        <f>IFERROR(SUMIF(reading[[#This Row],[1st]:[7th]],"&gt;0")/COUNTIF(reading[[#This Row],[1st]:[7th]],"&gt;0"),"")</f>
        <v>2.6666666666666665</v>
      </c>
    </row>
    <row r="2431" spans="1:33" x14ac:dyDescent="0.2">
      <c r="A2431" s="4">
        <f>IF(B2431=1,3,IF(D2431=1,2,IF(F2431=1,1,0)))</f>
        <v>0</v>
      </c>
      <c r="B2431" s="4" t="str">
        <f>IF(C2431=$L2431,1,IF(C2431="","",0))</f>
        <v/>
      </c>
      <c r="C2431" s="40"/>
      <c r="D2431" s="4" t="str">
        <f>IF(E2431=$L2431,1,IF(E2431="","",0))</f>
        <v/>
      </c>
      <c r="E2431" s="18"/>
      <c r="F2431" s="4" t="str">
        <f>IF(G2431=$L2431,1,IF(G2431="","",0))</f>
        <v/>
      </c>
      <c r="G2431" s="18"/>
      <c r="H2431" s="6">
        <v>2376</v>
      </c>
      <c r="I2431" s="15" t="s">
        <v>3120</v>
      </c>
      <c r="J2431" s="6" t="s">
        <v>5449</v>
      </c>
      <c r="K2431" s="6"/>
      <c r="L2431" s="6" t="s">
        <v>2428</v>
      </c>
      <c r="M2431" s="6" t="s">
        <v>8481</v>
      </c>
      <c r="N2431" s="7">
        <f ca="1">RAND()</f>
        <v>0.83328104810467529</v>
      </c>
      <c r="O2431" s="8">
        <v>45217</v>
      </c>
      <c r="P2431" s="8">
        <v>45218</v>
      </c>
      <c r="Q2431" s="8">
        <v>45220</v>
      </c>
      <c r="R2431" s="8">
        <v>45224</v>
      </c>
      <c r="S2431" s="8">
        <v>45231</v>
      </c>
      <c r="T2431" s="8">
        <v>45249</v>
      </c>
      <c r="U2431" s="8"/>
      <c r="V2431" s="10">
        <f>COUNTA(O2431:U2431)</f>
        <v>6</v>
      </c>
      <c r="W2431" s="11">
        <f>_xlfn.IFNA(INDEX(reading[[#This Row],[Memo 01]:[Memo 07]],MATCH(0,reading[[#This Row],[Memo 01]:[Memo 07]],-1)),"")</f>
        <v>45249</v>
      </c>
      <c r="X2431" s="11">
        <f ca="1">IFERROR(reading[[#This Row],[Previous]]+OFFSET(reading[[#Headers],[Memo 01]],-1,MATCH(0,reading[[#This Row],[Memo 01]:[Memo 07]],-1)-1),"")</f>
        <v>45269</v>
      </c>
      <c r="Y2431" s="10" t="str">
        <f ca="1">IF(reading[[#This Row],[Next]]&lt;&gt;"",IF(reading[[#This Row],[Next]]&gt;TODAY(),"OK",""),"")</f>
        <v/>
      </c>
      <c r="Z2431" s="13">
        <v>3</v>
      </c>
      <c r="AA2431" s="13">
        <v>1</v>
      </c>
      <c r="AB2431" s="13">
        <v>2</v>
      </c>
      <c r="AC2431" s="13">
        <v>2</v>
      </c>
      <c r="AD2431" s="13">
        <v>2</v>
      </c>
      <c r="AE2431" s="13">
        <v>2</v>
      </c>
      <c r="AF2431" s="13"/>
      <c r="AG2431" s="16">
        <f>IFERROR(SUMIF(reading[[#This Row],[1st]:[7th]],"&gt;0")/COUNTIF(reading[[#This Row],[1st]:[7th]],"&gt;0"),"")</f>
        <v>2</v>
      </c>
    </row>
    <row r="2432" spans="1:33" x14ac:dyDescent="0.2">
      <c r="A2432" s="4">
        <f>IF(B2432=1,3,IF(D2432=1,2,IF(F2432=1,1,0)))</f>
        <v>0</v>
      </c>
      <c r="B2432" s="4" t="str">
        <f>IF(C2432=$L2432,1,IF(C2432="","",0))</f>
        <v/>
      </c>
      <c r="C2432" s="36"/>
      <c r="D2432" s="4" t="str">
        <f>IF(E2432=$L2432,1,IF(E2432="","",0))</f>
        <v/>
      </c>
      <c r="E2432" s="18"/>
      <c r="F2432" s="4" t="str">
        <f>IF(G2432=$L2432,1,IF(G2432="","",0))</f>
        <v/>
      </c>
      <c r="G2432" s="14"/>
      <c r="H2432" s="6">
        <v>1918</v>
      </c>
      <c r="I2432" s="15" t="s">
        <v>3120</v>
      </c>
      <c r="J2432" s="6" t="s">
        <v>5019</v>
      </c>
      <c r="K2432" s="6"/>
      <c r="L2432" s="6" t="s">
        <v>1994</v>
      </c>
      <c r="M2432" s="6" t="s">
        <v>8024</v>
      </c>
      <c r="N2432" s="7">
        <f ca="1">RAND()</f>
        <v>5.7433937910271737E-3</v>
      </c>
      <c r="O2432" s="8">
        <v>45213</v>
      </c>
      <c r="P2432" s="8">
        <v>45214</v>
      </c>
      <c r="Q2432" s="8">
        <v>45216</v>
      </c>
      <c r="R2432" s="8">
        <v>45220</v>
      </c>
      <c r="S2432" s="8">
        <v>45227</v>
      </c>
      <c r="T2432" s="8"/>
      <c r="U2432" s="8"/>
      <c r="V2432" s="10">
        <f>COUNTA(O2432:U2432)</f>
        <v>5</v>
      </c>
      <c r="W2432" s="11">
        <f>_xlfn.IFNA(INDEX(reading[[#This Row],[Memo 01]:[Memo 07]],MATCH(0,reading[[#This Row],[Memo 01]:[Memo 07]],-1)),"")</f>
        <v>45227</v>
      </c>
      <c r="X2432" s="11">
        <f ca="1">IFERROR(reading[[#This Row],[Previous]]+OFFSET(reading[[#Headers],[Memo 01]],-1,MATCH(0,reading[[#This Row],[Memo 01]:[Memo 07]],-1)-1),"")</f>
        <v>45239</v>
      </c>
      <c r="Y2432" s="10" t="str">
        <f ca="1">IF(reading[[#This Row],[Next]]&lt;&gt;"",IF(reading[[#This Row],[Next]]&gt;TODAY(),"OK",""),"")</f>
        <v/>
      </c>
      <c r="Z2432" s="13">
        <v>3</v>
      </c>
      <c r="AA2432" s="13">
        <v>3</v>
      </c>
      <c r="AB2432" s="13">
        <v>3</v>
      </c>
      <c r="AC2432" s="13">
        <v>2</v>
      </c>
      <c r="AD2432" s="13">
        <v>3</v>
      </c>
      <c r="AE2432" s="13"/>
      <c r="AF2432" s="13"/>
      <c r="AG2432" s="16">
        <f>IFERROR(SUMIF(reading[[#This Row],[1st]:[7th]],"&gt;0")/COUNTIF(reading[[#This Row],[1st]:[7th]],"&gt;0"),"")</f>
        <v>2.8</v>
      </c>
    </row>
    <row r="2433" spans="1:33" x14ac:dyDescent="0.2">
      <c r="A2433" s="4">
        <f>IF(B2433=1,3,IF(D2433=1,2,IF(F2433=1,1,0)))</f>
        <v>0</v>
      </c>
      <c r="B2433" s="4" t="str">
        <f>IF(C2433=$L2433,1,IF(C2433="","",0))</f>
        <v/>
      </c>
      <c r="C2433" s="39"/>
      <c r="D2433" s="4" t="str">
        <f>IF(E2433=$L2433,1,IF(E2433="","",0))</f>
        <v/>
      </c>
      <c r="E2433" s="14"/>
      <c r="F2433" s="4" t="str">
        <f>IF(G2433=$L2433,1,IF(G2433="","",0))</f>
        <v/>
      </c>
      <c r="G2433" s="14"/>
      <c r="H2433" s="6">
        <v>1636</v>
      </c>
      <c r="I2433" s="15" t="s">
        <v>3120</v>
      </c>
      <c r="J2433" s="6" t="s">
        <v>4748</v>
      </c>
      <c r="K2433" s="6"/>
      <c r="L2433" s="6" t="s">
        <v>1718</v>
      </c>
      <c r="M2433" s="6" t="s">
        <v>7742</v>
      </c>
      <c r="N2433" s="7">
        <f ca="1">RAND()</f>
        <v>0.2310221102435378</v>
      </c>
      <c r="O2433" s="8">
        <v>45210</v>
      </c>
      <c r="P2433" s="8">
        <v>45211</v>
      </c>
      <c r="Q2433" s="8">
        <v>45213</v>
      </c>
      <c r="R2433" s="8">
        <v>45217</v>
      </c>
      <c r="S2433" s="8">
        <v>45224</v>
      </c>
      <c r="T2433" s="8">
        <v>45236</v>
      </c>
      <c r="U2433" s="8"/>
      <c r="V2433" s="10">
        <f>COUNTA(O2433:U2433)</f>
        <v>6</v>
      </c>
      <c r="W2433" s="11">
        <f>_xlfn.IFNA(INDEX(reading[[#This Row],[Memo 01]:[Memo 07]],MATCH(0,reading[[#This Row],[Memo 01]:[Memo 07]],-1)),"")</f>
        <v>45236</v>
      </c>
      <c r="X2433" s="11">
        <f ca="1">IFERROR(reading[[#This Row],[Previous]]+OFFSET(reading[[#Headers],[Memo 01]],-1,MATCH(0,reading[[#This Row],[Memo 01]:[Memo 07]],-1)-1),"")</f>
        <v>45256</v>
      </c>
      <c r="Y2433" s="10" t="str">
        <f ca="1">IF(reading[[#This Row],[Next]]&lt;&gt;"",IF(reading[[#This Row],[Next]]&gt;TODAY(),"OK",""),"")</f>
        <v/>
      </c>
      <c r="Z2433" s="13">
        <v>3</v>
      </c>
      <c r="AA2433" s="13">
        <v>3</v>
      </c>
      <c r="AB2433" s="13">
        <v>3</v>
      </c>
      <c r="AC2433" s="13">
        <v>3</v>
      </c>
      <c r="AD2433" s="13">
        <v>3</v>
      </c>
      <c r="AE2433" s="13">
        <v>3</v>
      </c>
      <c r="AF2433" s="13"/>
      <c r="AG2433" s="16">
        <f>IFERROR(SUMIF(reading[[#This Row],[1st]:[7th]],"&gt;0")/COUNTIF(reading[[#This Row],[1st]:[7th]],"&gt;0"),"")</f>
        <v>3</v>
      </c>
    </row>
    <row r="2434" spans="1:33" x14ac:dyDescent="0.2">
      <c r="A2434" s="4">
        <f>IF(B2434=1,3,IF(D2434=1,2,IF(F2434=1,1,0)))</f>
        <v>0</v>
      </c>
      <c r="B2434" s="4" t="str">
        <f>IF(C2434=$L2434,1,IF(C2434="","",0))</f>
        <v/>
      </c>
      <c r="C2434" s="39"/>
      <c r="D2434" s="4" t="str">
        <f>IF(E2434=$L2434,1,IF(E2434="","",0))</f>
        <v/>
      </c>
      <c r="E2434" s="14"/>
      <c r="F2434" s="4" t="str">
        <f>IF(G2434=$L2434,1,IF(G2434="","",0))</f>
        <v/>
      </c>
      <c r="G2434" s="14"/>
      <c r="H2434" s="6">
        <v>1704</v>
      </c>
      <c r="I2434" s="15" t="s">
        <v>3120</v>
      </c>
      <c r="J2434" s="6" t="s">
        <v>4814</v>
      </c>
      <c r="K2434" s="6"/>
      <c r="L2434" s="6" t="s">
        <v>1784</v>
      </c>
      <c r="M2434" s="6" t="s">
        <v>7810</v>
      </c>
      <c r="N2434" s="7">
        <f ca="1">RAND()</f>
        <v>8.2972655689658059E-2</v>
      </c>
      <c r="O2434" s="8">
        <v>45211</v>
      </c>
      <c r="P2434" s="8">
        <v>45212</v>
      </c>
      <c r="Q2434" s="8">
        <v>45214</v>
      </c>
      <c r="R2434" s="8">
        <v>45218</v>
      </c>
      <c r="S2434" s="8">
        <v>45225</v>
      </c>
      <c r="T2434" s="8">
        <v>45237</v>
      </c>
      <c r="U2434" s="8"/>
      <c r="V2434" s="10">
        <f>COUNTA(O2434:U2434)</f>
        <v>6</v>
      </c>
      <c r="W2434" s="11">
        <f>_xlfn.IFNA(INDEX(reading[[#This Row],[Memo 01]:[Memo 07]],MATCH(0,reading[[#This Row],[Memo 01]:[Memo 07]],-1)),"")</f>
        <v>45237</v>
      </c>
      <c r="X2434" s="11">
        <f ca="1">IFERROR(reading[[#This Row],[Previous]]+OFFSET(reading[[#Headers],[Memo 01]],-1,MATCH(0,reading[[#This Row],[Memo 01]:[Memo 07]],-1)-1),"")</f>
        <v>45257</v>
      </c>
      <c r="Y2434" s="10" t="str">
        <f ca="1">IF(reading[[#This Row],[Next]]&lt;&gt;"",IF(reading[[#This Row],[Next]]&gt;TODAY(),"OK",""),"")</f>
        <v/>
      </c>
      <c r="Z2434" s="13">
        <v>3</v>
      </c>
      <c r="AA2434" s="13">
        <v>3</v>
      </c>
      <c r="AB2434" s="13">
        <v>3</v>
      </c>
      <c r="AC2434" s="13">
        <v>3</v>
      </c>
      <c r="AD2434" s="13">
        <v>3</v>
      </c>
      <c r="AE2434" s="13">
        <v>3</v>
      </c>
      <c r="AF2434" s="13"/>
      <c r="AG2434" s="16">
        <f>IFERROR(SUMIF(reading[[#This Row],[1st]:[7th]],"&gt;0")/COUNTIF(reading[[#This Row],[1st]:[7th]],"&gt;0"),"")</f>
        <v>3</v>
      </c>
    </row>
    <row r="2435" spans="1:33" hidden="1" x14ac:dyDescent="0.2">
      <c r="A2435" s="4">
        <f>IF(B2435=1,3,IF(D2435=1,2,IF(F2435=1,1,0)))</f>
        <v>0</v>
      </c>
      <c r="B2435" s="4">
        <f>IF(C2435=$L2435,1,IF(C2435="","",0))</f>
        <v>0</v>
      </c>
      <c r="C2435" s="42" t="s">
        <v>9200</v>
      </c>
      <c r="D2435" s="4" t="str">
        <f>IF(E2435=$L2435,1,IF(E2435="","",0))</f>
        <v/>
      </c>
      <c r="E2435" s="14"/>
      <c r="F2435" s="4" t="str">
        <f>IF(G2435=$L2435,1,IF(G2435="","",0))</f>
        <v/>
      </c>
      <c r="G2435" s="14"/>
      <c r="H2435" s="6">
        <v>1664</v>
      </c>
      <c r="I2435" s="15" t="s">
        <v>3120</v>
      </c>
      <c r="J2435" s="6" t="s">
        <v>4775</v>
      </c>
      <c r="K2435" s="6"/>
      <c r="L2435" s="6" t="s">
        <v>1745</v>
      </c>
      <c r="M2435" s="6" t="s">
        <v>7770</v>
      </c>
      <c r="N2435" s="7">
        <f ca="1">RAND()</f>
        <v>0.27330556578495768</v>
      </c>
      <c r="O2435" s="8">
        <v>45211</v>
      </c>
      <c r="P2435" s="8">
        <v>45213</v>
      </c>
      <c r="Q2435" s="8">
        <v>45215</v>
      </c>
      <c r="R2435" s="8">
        <v>45219</v>
      </c>
      <c r="S2435" s="8">
        <v>45226</v>
      </c>
      <c r="T2435" s="8"/>
      <c r="U2435" s="8"/>
      <c r="V2435" s="10">
        <f>COUNTA(O2435:U2435)</f>
        <v>5</v>
      </c>
      <c r="W2435" s="11">
        <f>_xlfn.IFNA(INDEX(reading[[#This Row],[Memo 01]:[Memo 07]],MATCH(0,reading[[#This Row],[Memo 01]:[Memo 07]],-1)),"")</f>
        <v>45226</v>
      </c>
      <c r="X2435" s="11">
        <f ca="1">IFERROR(reading[[#This Row],[Previous]]+OFFSET(reading[[#Headers],[Memo 01]],-1,MATCH(0,reading[[#This Row],[Memo 01]:[Memo 07]],-1)-1),"")</f>
        <v>45238</v>
      </c>
      <c r="Y2435" s="10" t="str">
        <f ca="1">IF(reading[[#This Row],[Next]]&lt;&gt;"",IF(reading[[#This Row],[Next]]&gt;TODAY(),"OK",""),"")</f>
        <v/>
      </c>
      <c r="Z2435" s="13">
        <v>3</v>
      </c>
      <c r="AA2435" s="13">
        <v>2</v>
      </c>
      <c r="AB2435" s="13">
        <v>3</v>
      </c>
      <c r="AC2435" s="13">
        <v>3</v>
      </c>
      <c r="AD2435" s="13">
        <v>3</v>
      </c>
      <c r="AE2435" s="13"/>
      <c r="AF2435" s="13"/>
      <c r="AG2435" s="16">
        <f>IFERROR(SUMIF(reading[[#This Row],[1st]:[7th]],"&gt;0")/COUNTIF(reading[[#This Row],[1st]:[7th]],"&gt;0"),"")</f>
        <v>2.8</v>
      </c>
    </row>
    <row r="2436" spans="1:33" x14ac:dyDescent="0.2">
      <c r="A2436" s="4">
        <f>IF(B2436=1,3,IF(D2436=1,2,IF(F2436=1,1,0)))</f>
        <v>0</v>
      </c>
      <c r="B2436" s="4" t="str">
        <f>IF(C2436=$L2436,1,IF(C2436="","",0))</f>
        <v/>
      </c>
      <c r="C2436" s="42"/>
      <c r="D2436" s="4" t="str">
        <f>IF(E2436=$L2436,1,IF(E2436="","",0))</f>
        <v/>
      </c>
      <c r="E2436" s="14"/>
      <c r="F2436" s="4" t="str">
        <f>IF(G2436=$L2436,1,IF(G2436="","",0))</f>
        <v/>
      </c>
      <c r="G2436" s="14"/>
      <c r="H2436" s="6">
        <v>2654</v>
      </c>
      <c r="I2436" s="15" t="s">
        <v>3120</v>
      </c>
      <c r="J2436" s="6" t="s">
        <v>5707</v>
      </c>
      <c r="K2436" s="6"/>
      <c r="L2436" s="6" t="s">
        <v>2693</v>
      </c>
      <c r="M2436" s="6" t="s">
        <v>8759</v>
      </c>
      <c r="N2436" s="7">
        <f ca="1">RAND()</f>
        <v>0.14387560891909434</v>
      </c>
      <c r="O2436" s="8">
        <v>45220</v>
      </c>
      <c r="P2436" s="8">
        <v>45221</v>
      </c>
      <c r="Q2436" s="8">
        <v>45223</v>
      </c>
      <c r="R2436" s="8">
        <v>45227</v>
      </c>
      <c r="S2436" s="8">
        <v>45234</v>
      </c>
      <c r="T2436" s="8"/>
      <c r="U2436" s="8"/>
      <c r="V2436" s="10">
        <f>COUNTA(O2436:U2436)</f>
        <v>5</v>
      </c>
      <c r="W2436" s="11">
        <f>_xlfn.IFNA(INDEX(reading[[#This Row],[Memo 01]:[Memo 07]],MATCH(0,reading[[#This Row],[Memo 01]:[Memo 07]],-1)),"")</f>
        <v>45234</v>
      </c>
      <c r="X2436" s="11">
        <f ca="1">IFERROR(reading[[#This Row],[Previous]]+OFFSET(reading[[#Headers],[Memo 01]],-1,MATCH(0,reading[[#This Row],[Memo 01]:[Memo 07]],-1)-1),"")</f>
        <v>45246</v>
      </c>
      <c r="Y2436" s="10" t="str">
        <f ca="1">IF(reading[[#This Row],[Next]]&lt;&gt;"",IF(reading[[#This Row],[Next]]&gt;TODAY(),"OK",""),"")</f>
        <v/>
      </c>
      <c r="Z2436" s="13">
        <v>3</v>
      </c>
      <c r="AA2436" s="13">
        <v>3</v>
      </c>
      <c r="AB2436" s="13">
        <v>3</v>
      </c>
      <c r="AC2436" s="13">
        <v>3</v>
      </c>
      <c r="AD2436" s="13">
        <v>3</v>
      </c>
      <c r="AE2436" s="13"/>
      <c r="AF2436" s="13"/>
      <c r="AG2436" s="16">
        <f>IFERROR(SUMIF(reading[[#This Row],[1st]:[7th]],"&gt;0")/COUNTIF(reading[[#This Row],[1st]:[7th]],"&gt;0"),"")</f>
        <v>3</v>
      </c>
    </row>
    <row r="2437" spans="1:33" hidden="1" x14ac:dyDescent="0.2">
      <c r="A2437" s="4">
        <f>IF(B2437=1,3,IF(D2437=1,2,IF(F2437=1,1,0)))</f>
        <v>0</v>
      </c>
      <c r="B2437" s="4">
        <f>IF(C2437=$L2437,1,IF(C2437="","",0))</f>
        <v>0</v>
      </c>
      <c r="C2437" s="42" t="s">
        <v>9200</v>
      </c>
      <c r="D2437" s="4" t="str">
        <f>IF(E2437=$L2437,1,IF(E2437="","",0))</f>
        <v/>
      </c>
      <c r="E2437" s="14"/>
      <c r="F2437" s="4" t="str">
        <f>IF(G2437=$L2437,1,IF(G2437="","",0))</f>
        <v/>
      </c>
      <c r="G2437" s="14"/>
      <c r="H2437" s="6">
        <v>351</v>
      </c>
      <c r="I2437" s="15" t="s">
        <v>3120</v>
      </c>
      <c r="J2437" s="6" t="s">
        <v>3498</v>
      </c>
      <c r="K2437" s="6"/>
      <c r="L2437" s="6" t="s">
        <v>485</v>
      </c>
      <c r="M2437" s="6" t="s">
        <v>6460</v>
      </c>
      <c r="N2437" s="7">
        <f ca="1">RAND()</f>
        <v>0.97606381400434372</v>
      </c>
      <c r="O2437" s="8">
        <v>45200</v>
      </c>
      <c r="P2437" s="8">
        <v>45201</v>
      </c>
      <c r="Q2437" s="8">
        <v>45203</v>
      </c>
      <c r="R2437" s="8">
        <v>45207</v>
      </c>
      <c r="S2437" s="8">
        <v>45214</v>
      </c>
      <c r="T2437" s="8">
        <v>45226</v>
      </c>
      <c r="U2437" s="8"/>
      <c r="V2437" s="10">
        <f>COUNTA(O2437:U2437)</f>
        <v>6</v>
      </c>
      <c r="W2437" s="11">
        <f>_xlfn.IFNA(INDEX(reading[[#This Row],[Memo 01]:[Memo 07]],MATCH(0,reading[[#This Row],[Memo 01]:[Memo 07]],-1)),"")</f>
        <v>45226</v>
      </c>
      <c r="X2437" s="11">
        <f ca="1">IFERROR(reading[[#This Row],[Previous]]+OFFSET(reading[[#Headers],[Memo 01]],-1,MATCH(0,reading[[#This Row],[Memo 01]:[Memo 07]],-1)-1),"")</f>
        <v>45246</v>
      </c>
      <c r="Y2437" s="10" t="str">
        <f ca="1">IF(reading[[#This Row],[Next]]&lt;&gt;"",IF(reading[[#This Row],[Next]]&gt;TODAY(),"OK",""),"")</f>
        <v/>
      </c>
      <c r="Z2437" s="13">
        <v>3</v>
      </c>
      <c r="AA2437" s="13">
        <v>3</v>
      </c>
      <c r="AB2437" s="13">
        <v>3</v>
      </c>
      <c r="AC2437" s="13">
        <v>3</v>
      </c>
      <c r="AD2437" s="13">
        <v>3</v>
      </c>
      <c r="AE2437" s="13">
        <v>3</v>
      </c>
      <c r="AF2437" s="13"/>
      <c r="AG2437" s="16">
        <f>IFERROR(SUMIF(reading[[#This Row],[1st]:[7th]],"&gt;0")/COUNTIF(reading[[#This Row],[1st]:[7th]],"&gt;0"),"")</f>
        <v>3</v>
      </c>
    </row>
    <row r="2438" spans="1:33" hidden="1" x14ac:dyDescent="0.2">
      <c r="A2438" s="4">
        <f>IF(B2438=1,3,IF(D2438=1,2,IF(F2438=1,1,0)))</f>
        <v>0</v>
      </c>
      <c r="B2438" s="4">
        <f>IF(C2438=$L2438,1,IF(C2438="","",0))</f>
        <v>0</v>
      </c>
      <c r="C2438" s="42" t="s">
        <v>9299</v>
      </c>
      <c r="D2438" s="4" t="str">
        <f>IF(E2438=$L2438,1,IF(E2438="","",0))</f>
        <v/>
      </c>
      <c r="E2438" s="18"/>
      <c r="F2438" s="4" t="str">
        <f>IF(G2438=$L2438,1,IF(G2438="","",0))</f>
        <v/>
      </c>
      <c r="G2438" s="14"/>
      <c r="H2438" s="6">
        <v>2723</v>
      </c>
      <c r="I2438" s="15" t="s">
        <v>3120</v>
      </c>
      <c r="J2438" s="6" t="s">
        <v>5773</v>
      </c>
      <c r="K2438" s="15" t="s">
        <v>3138</v>
      </c>
      <c r="L2438" s="6" t="s">
        <v>2761</v>
      </c>
      <c r="M2438" s="6" t="s">
        <v>8828</v>
      </c>
      <c r="N2438" s="7">
        <f ca="1">RAND()</f>
        <v>0.88951740950134728</v>
      </c>
      <c r="O2438" s="8">
        <v>45221</v>
      </c>
      <c r="P2438" s="8">
        <v>45222</v>
      </c>
      <c r="Q2438" s="8">
        <v>45224</v>
      </c>
      <c r="R2438" s="8">
        <v>45228</v>
      </c>
      <c r="S2438" s="8">
        <v>45235</v>
      </c>
      <c r="T2438" s="8"/>
      <c r="U2438" s="8"/>
      <c r="V2438" s="10">
        <f>COUNTA(O2438:U2438)</f>
        <v>5</v>
      </c>
      <c r="W2438" s="11">
        <f>_xlfn.IFNA(INDEX(reading[[#This Row],[Memo 01]:[Memo 07]],MATCH(0,reading[[#This Row],[Memo 01]:[Memo 07]],-1)),"")</f>
        <v>45235</v>
      </c>
      <c r="X2438" s="11">
        <f ca="1">IFERROR(reading[[#This Row],[Previous]]+OFFSET(reading[[#Headers],[Memo 01]],-1,MATCH(0,reading[[#This Row],[Memo 01]:[Memo 07]],-1)-1),"")</f>
        <v>45247</v>
      </c>
      <c r="Y2438" s="10" t="str">
        <f ca="1">IF(reading[[#This Row],[Next]]&lt;&gt;"",IF(reading[[#This Row],[Next]]&gt;TODAY(),"OK",""),"")</f>
        <v/>
      </c>
      <c r="Z2438" s="13">
        <v>3</v>
      </c>
      <c r="AA2438" s="13">
        <v>2</v>
      </c>
      <c r="AB2438" s="13">
        <v>3</v>
      </c>
      <c r="AC2438" s="13">
        <v>3</v>
      </c>
      <c r="AD2438" s="13">
        <v>3</v>
      </c>
      <c r="AE2438" s="13"/>
      <c r="AF2438" s="13"/>
      <c r="AG2438" s="16">
        <f>IFERROR(SUMIF(reading[[#This Row],[1st]:[7th]],"&gt;0")/COUNTIF(reading[[#This Row],[1st]:[7th]],"&gt;0"),"")</f>
        <v>2.8</v>
      </c>
    </row>
    <row r="2439" spans="1:33" x14ac:dyDescent="0.2">
      <c r="A2439" s="4">
        <f>IF(B2439=1,3,IF(D2439=1,2,IF(F2439=1,1,0)))</f>
        <v>0</v>
      </c>
      <c r="B2439" s="4" t="str">
        <f>IF(C2439=$L2439,1,IF(C2439="","",0))</f>
        <v/>
      </c>
      <c r="C2439" s="38"/>
      <c r="D2439" s="4" t="str">
        <f>IF(E2439=$L2439,1,IF(E2439="","",0))</f>
        <v/>
      </c>
      <c r="E2439" s="18"/>
      <c r="F2439" s="4" t="str">
        <f>IF(G2439=$L2439,1,IF(G2439="","",0))</f>
        <v/>
      </c>
      <c r="G2439" s="14"/>
      <c r="H2439" s="6">
        <v>2233</v>
      </c>
      <c r="I2439" s="15" t="s">
        <v>3120</v>
      </c>
      <c r="J2439" s="6" t="s">
        <v>5318</v>
      </c>
      <c r="K2439" s="6"/>
      <c r="L2439" s="6" t="s">
        <v>2295</v>
      </c>
      <c r="M2439" s="6" t="s">
        <v>8338</v>
      </c>
      <c r="N2439" s="7">
        <f ca="1">RAND()</f>
        <v>0.98878399286541829</v>
      </c>
      <c r="O2439" s="8">
        <v>45215</v>
      </c>
      <c r="P2439" s="8">
        <v>45216</v>
      </c>
      <c r="Q2439" s="8">
        <v>45218</v>
      </c>
      <c r="R2439" s="8">
        <v>45222</v>
      </c>
      <c r="S2439" s="8">
        <v>45229</v>
      </c>
      <c r="T2439" s="8"/>
      <c r="U2439" s="8"/>
      <c r="V2439" s="10">
        <f>COUNTA(O2439:U2439)</f>
        <v>5</v>
      </c>
      <c r="W2439" s="11">
        <f>_xlfn.IFNA(INDEX(reading[[#This Row],[Memo 01]:[Memo 07]],MATCH(0,reading[[#This Row],[Memo 01]:[Memo 07]],-1)),"")</f>
        <v>45229</v>
      </c>
      <c r="X2439" s="11">
        <f ca="1">IFERROR(reading[[#This Row],[Previous]]+OFFSET(reading[[#Headers],[Memo 01]],-1,MATCH(0,reading[[#This Row],[Memo 01]:[Memo 07]],-1)-1),"")</f>
        <v>45241</v>
      </c>
      <c r="Y2439" s="10" t="str">
        <f ca="1">IF(reading[[#This Row],[Next]]&lt;&gt;"",IF(reading[[#This Row],[Next]]&gt;TODAY(),"OK",""),"")</f>
        <v/>
      </c>
      <c r="Z2439" s="13">
        <v>3</v>
      </c>
      <c r="AA2439" s="13">
        <v>3</v>
      </c>
      <c r="AB2439" s="13">
        <v>3</v>
      </c>
      <c r="AC2439" s="13">
        <v>2</v>
      </c>
      <c r="AD2439" s="13">
        <v>3</v>
      </c>
      <c r="AE2439" s="13"/>
      <c r="AF2439" s="13"/>
      <c r="AG2439" s="16">
        <f>IFERROR(SUMIF(reading[[#This Row],[1st]:[7th]],"&gt;0")/COUNTIF(reading[[#This Row],[1st]:[7th]],"&gt;0"),"")</f>
        <v>2.8</v>
      </c>
    </row>
    <row r="2440" spans="1:33" hidden="1" x14ac:dyDescent="0.2">
      <c r="A2440" s="4">
        <f>IF(B2440=1,3,IF(D2440=1,2,IF(F2440=1,1,0)))</f>
        <v>0</v>
      </c>
      <c r="B2440" s="4" t="str">
        <f>IF(C2440=$L2440,1,IF(C2440="","",0))</f>
        <v/>
      </c>
      <c r="C2440" s="42"/>
      <c r="D2440" s="4" t="str">
        <f>IF(E2440=$L2440,1,IF(E2440="","",0))</f>
        <v/>
      </c>
      <c r="E2440" s="23"/>
      <c r="F2440" s="4" t="str">
        <f>IF(G2440=$L2440,1,IF(G2440="","",0))</f>
        <v/>
      </c>
      <c r="G2440" s="14"/>
      <c r="H2440" s="6">
        <v>3082</v>
      </c>
      <c r="I2440" s="15" t="s">
        <v>3120</v>
      </c>
      <c r="J2440" s="6" t="s">
        <v>6101</v>
      </c>
      <c r="K2440" s="6"/>
      <c r="L2440" s="6" t="s">
        <v>3106</v>
      </c>
      <c r="M2440" s="6" t="s">
        <v>9185</v>
      </c>
      <c r="N2440" s="7">
        <f ca="1">RAND()</f>
        <v>0.81742812455818348</v>
      </c>
      <c r="O2440" s="8">
        <v>45224</v>
      </c>
      <c r="P2440" s="8">
        <v>45225</v>
      </c>
      <c r="Q2440" s="8">
        <v>45227</v>
      </c>
      <c r="R2440" s="8">
        <v>45231</v>
      </c>
      <c r="S2440" s="8">
        <v>45251</v>
      </c>
      <c r="T2440" s="8">
        <v>45816</v>
      </c>
      <c r="U2440" s="8"/>
      <c r="V2440" s="10">
        <f>COUNTA(O2440:U2440)</f>
        <v>6</v>
      </c>
      <c r="W2440" s="11">
        <f>_xlfn.IFNA(INDEX(reading[[#This Row],[Memo 01]:[Memo 07]],MATCH(0,reading[[#This Row],[Memo 01]:[Memo 07]],-1)),"")</f>
        <v>45816</v>
      </c>
      <c r="X2440" s="11">
        <f ca="1">IFERROR(reading[[#This Row],[Previous]]+OFFSET(reading[[#Headers],[Memo 01]],-1,MATCH(0,reading[[#This Row],[Memo 01]:[Memo 07]],-1)-1),"")</f>
        <v>45836</v>
      </c>
      <c r="Y2440" s="10" t="str">
        <f ca="1">IF(reading[[#This Row],[Next]]&lt;&gt;"",IF(reading[[#This Row],[Next]]&gt;TODAY(),"OK",""),"")</f>
        <v>OK</v>
      </c>
      <c r="Z2440" s="13">
        <v>3</v>
      </c>
      <c r="AA2440" s="13">
        <v>3</v>
      </c>
      <c r="AB2440" s="13">
        <v>3</v>
      </c>
      <c r="AC2440" s="13">
        <v>3</v>
      </c>
      <c r="AD2440" s="13">
        <v>3</v>
      </c>
      <c r="AE2440" s="13">
        <v>2</v>
      </c>
      <c r="AF2440" s="13"/>
      <c r="AG2440" s="16">
        <f>IFERROR(SUMIF(reading[[#This Row],[1st]:[7th]],"&gt;0")/COUNTIF(reading[[#This Row],[1st]:[7th]],"&gt;0"),"")</f>
        <v>2.8333333333333335</v>
      </c>
    </row>
    <row r="2441" spans="1:33" x14ac:dyDescent="0.2">
      <c r="A2441" s="4">
        <f>IF(B2441=1,3,IF(D2441=1,2,IF(F2441=1,1,0)))</f>
        <v>0</v>
      </c>
      <c r="B2441" s="4" t="str">
        <f>IF(C2441=$L2441,1,IF(C2441="","",0))</f>
        <v/>
      </c>
      <c r="C2441" s="39"/>
      <c r="D2441" s="4" t="str">
        <f>IF(E2441=$L2441,1,IF(E2441="","",0))</f>
        <v/>
      </c>
      <c r="E2441" s="14"/>
      <c r="F2441" s="4" t="str">
        <f>IF(G2441=$L2441,1,IF(G2441="","",0))</f>
        <v/>
      </c>
      <c r="G2441" s="14"/>
      <c r="H2441" s="6">
        <v>2859</v>
      </c>
      <c r="I2441" s="15" t="s">
        <v>3120</v>
      </c>
      <c r="J2441" s="6" t="s">
        <v>5898</v>
      </c>
      <c r="K2441" s="6"/>
      <c r="L2441" s="6" t="s">
        <v>2891</v>
      </c>
      <c r="M2441" s="6" t="s">
        <v>8963</v>
      </c>
      <c r="N2441" s="7">
        <f ca="1">RAND()</f>
        <v>0.43508358539472436</v>
      </c>
      <c r="O2441" s="8">
        <v>45222</v>
      </c>
      <c r="P2441" s="8">
        <v>45223</v>
      </c>
      <c r="Q2441" s="8">
        <v>45225</v>
      </c>
      <c r="R2441" s="8">
        <v>45229</v>
      </c>
      <c r="S2441" s="8">
        <v>45236</v>
      </c>
      <c r="T2441" s="8"/>
      <c r="U2441" s="8"/>
      <c r="V2441" s="10">
        <f>COUNTA(O2441:U2441)</f>
        <v>5</v>
      </c>
      <c r="W2441" s="11">
        <f>_xlfn.IFNA(INDEX(reading[[#This Row],[Memo 01]:[Memo 07]],MATCH(0,reading[[#This Row],[Memo 01]:[Memo 07]],-1)),"")</f>
        <v>45236</v>
      </c>
      <c r="X2441" s="11">
        <f ca="1">IFERROR(reading[[#This Row],[Previous]]+OFFSET(reading[[#Headers],[Memo 01]],-1,MATCH(0,reading[[#This Row],[Memo 01]:[Memo 07]],-1)-1),"")</f>
        <v>45248</v>
      </c>
      <c r="Y2441" s="10" t="str">
        <f ca="1">IF(reading[[#This Row],[Next]]&lt;&gt;"",IF(reading[[#This Row],[Next]]&gt;TODAY(),"OK",""),"")</f>
        <v/>
      </c>
      <c r="Z2441" s="13">
        <v>3</v>
      </c>
      <c r="AA2441" s="13">
        <v>3</v>
      </c>
      <c r="AB2441" s="13">
        <v>3</v>
      </c>
      <c r="AC2441" s="13">
        <v>3</v>
      </c>
      <c r="AD2441" s="13">
        <v>3</v>
      </c>
      <c r="AE2441" s="13"/>
      <c r="AF2441" s="13"/>
      <c r="AG2441" s="16">
        <f>IFERROR(SUMIF(reading[[#This Row],[1st]:[7th]],"&gt;0")/COUNTIF(reading[[#This Row],[1st]:[7th]],"&gt;0"),"")</f>
        <v>3</v>
      </c>
    </row>
    <row r="2442" spans="1:33" x14ac:dyDescent="0.2">
      <c r="A2442" s="4">
        <f>IF(B2442=1,3,IF(D2442=1,2,IF(F2442=1,1,0)))</f>
        <v>0</v>
      </c>
      <c r="B2442" s="4" t="str">
        <f>IF(C2442=$L2442,1,IF(C2442="","",0))</f>
        <v/>
      </c>
      <c r="C2442" s="39"/>
      <c r="D2442" s="4" t="str">
        <f>IF(E2442=$L2442,1,IF(E2442="","",0))</f>
        <v/>
      </c>
      <c r="E2442" s="23"/>
      <c r="F2442" s="4" t="str">
        <f>IF(G2442=$L2442,1,IF(G2442="","",0))</f>
        <v/>
      </c>
      <c r="G2442" s="18"/>
      <c r="H2442" s="6">
        <v>1413</v>
      </c>
      <c r="I2442" s="15" t="s">
        <v>3120</v>
      </c>
      <c r="J2442" s="6" t="s">
        <v>4527</v>
      </c>
      <c r="K2442" s="6"/>
      <c r="L2442" s="6" t="s">
        <v>1504</v>
      </c>
      <c r="M2442" s="6" t="s">
        <v>7520</v>
      </c>
      <c r="N2442" s="7">
        <f ca="1">RAND()</f>
        <v>2.0955103171785172E-2</v>
      </c>
      <c r="O2442" s="8">
        <v>45208</v>
      </c>
      <c r="P2442" s="8">
        <v>45209</v>
      </c>
      <c r="Q2442" s="8">
        <v>45211</v>
      </c>
      <c r="R2442" s="8">
        <v>45215</v>
      </c>
      <c r="S2442" s="8">
        <v>45222</v>
      </c>
      <c r="T2442" s="8">
        <v>45234</v>
      </c>
      <c r="U2442" s="8"/>
      <c r="V2442" s="10">
        <f>COUNTA(O2442:U2442)</f>
        <v>6</v>
      </c>
      <c r="W2442" s="11">
        <f>_xlfn.IFNA(INDEX(reading[[#This Row],[Memo 01]:[Memo 07]],MATCH(0,reading[[#This Row],[Memo 01]:[Memo 07]],-1)),"")</f>
        <v>45234</v>
      </c>
      <c r="X2442" s="11">
        <f ca="1">IFERROR(reading[[#This Row],[Previous]]+OFFSET(reading[[#Headers],[Memo 01]],-1,MATCH(0,reading[[#This Row],[Memo 01]:[Memo 07]],-1)-1),"")</f>
        <v>45254</v>
      </c>
      <c r="Y2442" s="10" t="str">
        <f ca="1">IF(reading[[#This Row],[Next]]&lt;&gt;"",IF(reading[[#This Row],[Next]]&gt;TODAY(),"OK",""),"")</f>
        <v/>
      </c>
      <c r="Z2442" s="13">
        <v>3</v>
      </c>
      <c r="AA2442" s="13">
        <v>2</v>
      </c>
      <c r="AB2442" s="13">
        <v>3</v>
      </c>
      <c r="AC2442" s="13">
        <v>2</v>
      </c>
      <c r="AD2442" s="13">
        <v>1</v>
      </c>
      <c r="AE2442" s="13">
        <v>3</v>
      </c>
      <c r="AF2442" s="13"/>
      <c r="AG2442" s="16">
        <f>IFERROR(SUMIF(reading[[#This Row],[1st]:[7th]],"&gt;0")/COUNTIF(reading[[#This Row],[1st]:[7th]],"&gt;0"),"")</f>
        <v>2.3333333333333335</v>
      </c>
    </row>
    <row r="2443" spans="1:33" x14ac:dyDescent="0.2">
      <c r="A2443" s="4">
        <f>IF(B2443=1,3,IF(D2443=1,2,IF(F2443=1,1,0)))</f>
        <v>0</v>
      </c>
      <c r="B2443" s="4" t="str">
        <f>IF(C2443=$L2443,1,IF(C2443="","",0))</f>
        <v/>
      </c>
      <c r="C2443" s="42"/>
      <c r="D2443" s="4" t="str">
        <f>IF(E2443=$L2443,1,IF(E2443="","",0))</f>
        <v/>
      </c>
      <c r="E2443" s="14"/>
      <c r="F2443" s="4" t="str">
        <f>IF(G2443=$L2443,1,IF(G2443="","",0))</f>
        <v/>
      </c>
      <c r="G2443" s="14"/>
      <c r="H2443" s="6">
        <v>3018</v>
      </c>
      <c r="I2443" s="15" t="s">
        <v>3120</v>
      </c>
      <c r="J2443" s="6" t="s">
        <v>6041</v>
      </c>
      <c r="K2443" s="6"/>
      <c r="L2443" s="6" t="s">
        <v>3047</v>
      </c>
      <c r="M2443" s="6" t="s">
        <v>9121</v>
      </c>
      <c r="N2443" s="7">
        <f ca="1">RAND()</f>
        <v>0.98135921691504469</v>
      </c>
      <c r="O2443" s="8">
        <v>45224</v>
      </c>
      <c r="P2443" s="8">
        <v>45225</v>
      </c>
      <c r="Q2443" s="8">
        <v>45227</v>
      </c>
      <c r="R2443" s="8">
        <v>45231</v>
      </c>
      <c r="S2443" s="8">
        <v>45251</v>
      </c>
      <c r="T2443" s="8">
        <v>45801</v>
      </c>
      <c r="U2443" s="8"/>
      <c r="V2443" s="10">
        <f>COUNTA(O2443:U2443)</f>
        <v>6</v>
      </c>
      <c r="W2443" s="11">
        <f>_xlfn.IFNA(INDEX(reading[[#This Row],[Memo 01]:[Memo 07]],MATCH(0,reading[[#This Row],[Memo 01]:[Memo 07]],-1)),"")</f>
        <v>45801</v>
      </c>
      <c r="X2443" s="11">
        <f ca="1">IFERROR(reading[[#This Row],[Previous]]+OFFSET(reading[[#Headers],[Memo 01]],-1,MATCH(0,reading[[#This Row],[Memo 01]:[Memo 07]],-1)-1),"")</f>
        <v>45821</v>
      </c>
      <c r="Y2443" s="10" t="str">
        <f ca="1">IF(reading[[#This Row],[Next]]&lt;&gt;"",IF(reading[[#This Row],[Next]]&gt;TODAY(),"OK",""),"")</f>
        <v/>
      </c>
      <c r="Z2443" s="13">
        <v>3</v>
      </c>
      <c r="AA2443" s="13">
        <v>3</v>
      </c>
      <c r="AB2443" s="13">
        <v>3</v>
      </c>
      <c r="AC2443" s="13">
        <v>3</v>
      </c>
      <c r="AD2443" s="13">
        <v>3</v>
      </c>
      <c r="AE2443" s="13">
        <v>3</v>
      </c>
      <c r="AF2443" s="13"/>
      <c r="AG2443" s="16">
        <f>IFERROR(SUMIF(reading[[#This Row],[1st]:[7th]],"&gt;0")/COUNTIF(reading[[#This Row],[1st]:[7th]],"&gt;0"),"")</f>
        <v>3</v>
      </c>
    </row>
    <row r="2444" spans="1:33" x14ac:dyDescent="0.2">
      <c r="A2444" s="4">
        <f>IF(B2444=1,3,IF(D2444=1,2,IF(F2444=1,1,0)))</f>
        <v>0</v>
      </c>
      <c r="B2444" s="4" t="str">
        <f>IF(C2444=$L2444,1,IF(C2444="","",0))</f>
        <v/>
      </c>
      <c r="C2444" s="39"/>
      <c r="D2444" s="4" t="str">
        <f>IF(E2444=$L2444,1,IF(E2444="","",0))</f>
        <v/>
      </c>
      <c r="E2444" s="18"/>
      <c r="F2444" s="4" t="str">
        <f>IF(G2444=$L2444,1,IF(G2444="","",0))</f>
        <v/>
      </c>
      <c r="G2444" s="14"/>
      <c r="H2444" s="6">
        <v>1341</v>
      </c>
      <c r="I2444" s="15" t="s">
        <v>3120</v>
      </c>
      <c r="J2444" s="6" t="s">
        <v>4455</v>
      </c>
      <c r="K2444" s="6"/>
      <c r="L2444" s="6" t="s">
        <v>1437</v>
      </c>
      <c r="M2444" s="6" t="s">
        <v>7448</v>
      </c>
      <c r="N2444" s="7">
        <f ca="1">RAND()</f>
        <v>0.97502860154138959</v>
      </c>
      <c r="O2444" s="8">
        <v>45207</v>
      </c>
      <c r="P2444" s="8">
        <v>45208</v>
      </c>
      <c r="Q2444" s="8">
        <v>45210</v>
      </c>
      <c r="R2444" s="8">
        <v>45214</v>
      </c>
      <c r="S2444" s="8">
        <v>45221</v>
      </c>
      <c r="T2444" s="8">
        <v>45233</v>
      </c>
      <c r="U2444" s="8"/>
      <c r="V2444" s="10">
        <f>COUNTA(O2444:U2444)</f>
        <v>6</v>
      </c>
      <c r="W2444" s="11">
        <f>_xlfn.IFNA(INDEX(reading[[#This Row],[Memo 01]:[Memo 07]],MATCH(0,reading[[#This Row],[Memo 01]:[Memo 07]],-1)),"")</f>
        <v>45233</v>
      </c>
      <c r="X2444" s="11">
        <f ca="1">IFERROR(reading[[#This Row],[Previous]]+OFFSET(reading[[#Headers],[Memo 01]],-1,MATCH(0,reading[[#This Row],[Memo 01]:[Memo 07]],-1)-1),"")</f>
        <v>45253</v>
      </c>
      <c r="Y2444" s="10" t="str">
        <f ca="1">IF(reading[[#This Row],[Next]]&lt;&gt;"",IF(reading[[#This Row],[Next]]&gt;TODAY(),"OK",""),"")</f>
        <v/>
      </c>
      <c r="Z2444" s="13">
        <v>3</v>
      </c>
      <c r="AA2444" s="13">
        <v>3</v>
      </c>
      <c r="AB2444" s="13">
        <v>3</v>
      </c>
      <c r="AC2444" s="13">
        <v>3</v>
      </c>
      <c r="AD2444" s="13">
        <v>2</v>
      </c>
      <c r="AE2444" s="13">
        <v>3</v>
      </c>
      <c r="AF2444" s="13"/>
      <c r="AG2444" s="16">
        <f>IFERROR(SUMIF(reading[[#This Row],[1st]:[7th]],"&gt;0")/COUNTIF(reading[[#This Row],[1st]:[7th]],"&gt;0"),"")</f>
        <v>2.8333333333333335</v>
      </c>
    </row>
    <row r="2445" spans="1:33" hidden="1" x14ac:dyDescent="0.2">
      <c r="A2445" s="4">
        <f>IF(B2445=1,3,IF(D2445=1,2,IF(F2445=1,1,0)))</f>
        <v>0</v>
      </c>
      <c r="B2445" s="4">
        <f>IF(C2445=$L2445,1,IF(C2445="","",0))</f>
        <v>0</v>
      </c>
      <c r="C2445" s="42" t="s">
        <v>9200</v>
      </c>
      <c r="D2445" s="4" t="str">
        <f>IF(E2445=$L2445,1,IF(E2445="","",0))</f>
        <v/>
      </c>
      <c r="E2445" s="14"/>
      <c r="F2445" s="4" t="str">
        <f>IF(G2445=$L2445,1,IF(G2445="","",0))</f>
        <v/>
      </c>
      <c r="G2445" s="14"/>
      <c r="H2445" s="6">
        <v>2281</v>
      </c>
      <c r="I2445" s="15" t="s">
        <v>3120</v>
      </c>
      <c r="J2445" s="6" t="s">
        <v>5362</v>
      </c>
      <c r="K2445" s="6"/>
      <c r="L2445" s="6" t="s">
        <v>2341</v>
      </c>
      <c r="M2445" s="6" t="s">
        <v>8386</v>
      </c>
      <c r="N2445" s="7">
        <f ca="1">RAND()</f>
        <v>0.27689680302665853</v>
      </c>
      <c r="O2445" s="8">
        <v>45216</v>
      </c>
      <c r="P2445" s="8">
        <v>45217</v>
      </c>
      <c r="Q2445" s="8">
        <v>45219</v>
      </c>
      <c r="R2445" s="8">
        <v>45223</v>
      </c>
      <c r="S2445" s="8">
        <v>45230</v>
      </c>
      <c r="T2445" s="8"/>
      <c r="U2445" s="8"/>
      <c r="V2445" s="10">
        <f>COUNTA(O2445:U2445)</f>
        <v>5</v>
      </c>
      <c r="W2445" s="11">
        <f>_xlfn.IFNA(INDEX(reading[[#This Row],[Memo 01]:[Memo 07]],MATCH(0,reading[[#This Row],[Memo 01]:[Memo 07]],-1)),"")</f>
        <v>45230</v>
      </c>
      <c r="X2445" s="11">
        <f ca="1">IFERROR(reading[[#This Row],[Previous]]+OFFSET(reading[[#Headers],[Memo 01]],-1,MATCH(0,reading[[#This Row],[Memo 01]:[Memo 07]],-1)-1),"")</f>
        <v>45242</v>
      </c>
      <c r="Y2445" s="10" t="str">
        <f ca="1">IF(reading[[#This Row],[Next]]&lt;&gt;"",IF(reading[[#This Row],[Next]]&gt;TODAY(),"OK",""),"")</f>
        <v/>
      </c>
      <c r="Z2445" s="13">
        <v>3</v>
      </c>
      <c r="AA2445" s="13">
        <v>3</v>
      </c>
      <c r="AB2445" s="13">
        <v>3</v>
      </c>
      <c r="AC2445" s="13">
        <v>3</v>
      </c>
      <c r="AD2445" s="13">
        <v>3</v>
      </c>
      <c r="AE2445" s="13"/>
      <c r="AF2445" s="13"/>
      <c r="AG2445" s="16">
        <f>IFERROR(SUMIF(reading[[#This Row],[1st]:[7th]],"&gt;0")/COUNTIF(reading[[#This Row],[1st]:[7th]],"&gt;0"),"")</f>
        <v>3</v>
      </c>
    </row>
    <row r="2446" spans="1:33" x14ac:dyDescent="0.2">
      <c r="A2446" s="4">
        <f>IF(B2446=1,3,IF(D2446=1,2,IF(F2446=1,1,0)))</f>
        <v>0</v>
      </c>
      <c r="B2446" s="4" t="str">
        <f>IF(C2446=$L2446,1,IF(C2446="","",0))</f>
        <v/>
      </c>
      <c r="C2446" s="39"/>
      <c r="D2446" s="4" t="str">
        <f>IF(E2446=$L2446,1,IF(E2446="","",0))</f>
        <v/>
      </c>
      <c r="E2446" s="14"/>
      <c r="F2446" s="4" t="str">
        <f>IF(G2446=$L2446,1,IF(G2446="","",0))</f>
        <v/>
      </c>
      <c r="G2446" s="14"/>
      <c r="H2446" s="6">
        <v>2890</v>
      </c>
      <c r="I2446" s="15" t="s">
        <v>3120</v>
      </c>
      <c r="J2446" s="6" t="s">
        <v>5926</v>
      </c>
      <c r="K2446" s="6"/>
      <c r="L2446" s="6" t="s">
        <v>2921</v>
      </c>
      <c r="M2446" s="6" t="s">
        <v>8994</v>
      </c>
      <c r="N2446" s="7">
        <f ca="1">RAND()</f>
        <v>0.25185640154982647</v>
      </c>
      <c r="O2446" s="8">
        <v>45222</v>
      </c>
      <c r="P2446" s="8">
        <v>45223</v>
      </c>
      <c r="Q2446" s="8">
        <v>45225</v>
      </c>
      <c r="R2446" s="8">
        <v>45229</v>
      </c>
      <c r="S2446" s="8">
        <v>45236</v>
      </c>
      <c r="T2446" s="8"/>
      <c r="U2446" s="8"/>
      <c r="V2446" s="10">
        <f>COUNTA(O2446:U2446)</f>
        <v>5</v>
      </c>
      <c r="W2446" s="11">
        <f>_xlfn.IFNA(INDEX(reading[[#This Row],[Memo 01]:[Memo 07]],MATCH(0,reading[[#This Row],[Memo 01]:[Memo 07]],-1)),"")</f>
        <v>45236</v>
      </c>
      <c r="X2446" s="11">
        <f ca="1">IFERROR(reading[[#This Row],[Previous]]+OFFSET(reading[[#Headers],[Memo 01]],-1,MATCH(0,reading[[#This Row],[Memo 01]:[Memo 07]],-1)-1),"")</f>
        <v>45248</v>
      </c>
      <c r="Y2446" s="10" t="str">
        <f ca="1">IF(reading[[#This Row],[Next]]&lt;&gt;"",IF(reading[[#This Row],[Next]]&gt;TODAY(),"OK",""),"")</f>
        <v/>
      </c>
      <c r="Z2446" s="13">
        <v>3</v>
      </c>
      <c r="AA2446" s="13">
        <v>3</v>
      </c>
      <c r="AB2446" s="13">
        <v>3</v>
      </c>
      <c r="AC2446" s="13">
        <v>3</v>
      </c>
      <c r="AD2446" s="13">
        <v>3</v>
      </c>
      <c r="AE2446" s="13"/>
      <c r="AF2446" s="13"/>
      <c r="AG2446" s="16">
        <f>IFERROR(SUMIF(reading[[#This Row],[1st]:[7th]],"&gt;0")/COUNTIF(reading[[#This Row],[1st]:[7th]],"&gt;0"),"")</f>
        <v>3</v>
      </c>
    </row>
    <row r="2447" spans="1:33" hidden="1" x14ac:dyDescent="0.2">
      <c r="A2447" s="4">
        <f>IF(B2447=1,3,IF(D2447=1,2,IF(F2447=1,1,0)))</f>
        <v>0</v>
      </c>
      <c r="B2447" s="4" t="str">
        <f>IF(C2447=$L2447,1,IF(C2447="","",0))</f>
        <v/>
      </c>
      <c r="C2447" s="42"/>
      <c r="D2447" s="4" t="str">
        <f>IF(E2447=$L2447,1,IF(E2447="","",0))</f>
        <v/>
      </c>
      <c r="E2447" s="23"/>
      <c r="F2447" s="4" t="str">
        <f>IF(G2447=$L2447,1,IF(G2447="","",0))</f>
        <v/>
      </c>
      <c r="G2447" s="14"/>
      <c r="H2447" s="6">
        <v>2669</v>
      </c>
      <c r="I2447" s="15" t="s">
        <v>3120</v>
      </c>
      <c r="J2447" s="6" t="s">
        <v>5721</v>
      </c>
      <c r="K2447" s="6"/>
      <c r="L2447" s="6" t="s">
        <v>2708</v>
      </c>
      <c r="M2447" s="6" t="s">
        <v>8774</v>
      </c>
      <c r="N2447" s="7">
        <f ca="1">RAND()</f>
        <v>0.61595478724481567</v>
      </c>
      <c r="O2447" s="8">
        <v>45220</v>
      </c>
      <c r="P2447" s="8">
        <v>45221</v>
      </c>
      <c r="Q2447" s="8">
        <v>45223</v>
      </c>
      <c r="R2447" s="8">
        <v>45227</v>
      </c>
      <c r="S2447" s="8">
        <v>45234</v>
      </c>
      <c r="T2447" s="8">
        <v>45783</v>
      </c>
      <c r="U2447" s="8">
        <v>45825</v>
      </c>
      <c r="V2447" s="10">
        <f>COUNTA(O2447:U2447)</f>
        <v>7</v>
      </c>
      <c r="W2447" s="11">
        <f>_xlfn.IFNA(INDEX(reading[[#This Row],[Memo 01]:[Memo 07]],MATCH(0,reading[[#This Row],[Memo 01]:[Memo 07]],-1)),"")</f>
        <v>45825</v>
      </c>
      <c r="X2447" s="11">
        <f ca="1">IFERROR(reading[[#This Row],[Previous]]+OFFSET(reading[[#Headers],[Memo 01]],-1,MATCH(0,reading[[#This Row],[Memo 01]:[Memo 07]],-1)-1),"")</f>
        <v>55825</v>
      </c>
      <c r="Y2447" s="10" t="str">
        <f ca="1">IF(reading[[#This Row],[Next]]&lt;&gt;"",IF(reading[[#This Row],[Next]]&gt;TODAY(),"OK",""),"")</f>
        <v>OK</v>
      </c>
      <c r="Z2447" s="13">
        <v>3</v>
      </c>
      <c r="AA2447" s="13">
        <v>3</v>
      </c>
      <c r="AB2447" s="13">
        <v>3</v>
      </c>
      <c r="AC2447" s="13">
        <v>3</v>
      </c>
      <c r="AD2447" s="13">
        <v>3</v>
      </c>
      <c r="AE2447" s="13">
        <v>3</v>
      </c>
      <c r="AF2447" s="13">
        <v>2</v>
      </c>
      <c r="AG2447" s="16">
        <f>IFERROR(SUMIF(reading[[#This Row],[1st]:[7th]],"&gt;0")/COUNTIF(reading[[#This Row],[1st]:[7th]],"&gt;0"),"")</f>
        <v>2.8571428571428572</v>
      </c>
    </row>
    <row r="2448" spans="1:33" x14ac:dyDescent="0.2">
      <c r="A2448" s="4">
        <f>IF(B2448=1,3,IF(D2448=1,2,IF(F2448=1,1,0)))</f>
        <v>0</v>
      </c>
      <c r="B2448" s="4" t="str">
        <f>IF(C2448=$L2448,1,IF(C2448="","",0))</f>
        <v/>
      </c>
      <c r="C2448" s="36"/>
      <c r="D2448" s="4" t="str">
        <f>IF(E2448=$L2448,1,IF(E2448="","",0))</f>
        <v/>
      </c>
      <c r="E2448" s="14"/>
      <c r="F2448" s="4" t="str">
        <f>IF(G2448=$L2448,1,IF(G2448="","",0))</f>
        <v/>
      </c>
      <c r="G2448" s="14"/>
      <c r="H2448" s="6">
        <v>419</v>
      </c>
      <c r="I2448" s="15" t="s">
        <v>3120</v>
      </c>
      <c r="J2448" s="6" t="s">
        <v>3565</v>
      </c>
      <c r="K2448" s="6"/>
      <c r="L2448" s="6" t="s">
        <v>549</v>
      </c>
      <c r="M2448" s="6" t="s">
        <v>6528</v>
      </c>
      <c r="N2448" s="7">
        <f ca="1">RAND()</f>
        <v>0.81134016221843552</v>
      </c>
      <c r="O2448" s="8">
        <v>45201</v>
      </c>
      <c r="P2448" s="8">
        <v>45202</v>
      </c>
      <c r="Q2448" s="8">
        <v>45204</v>
      </c>
      <c r="R2448" s="8">
        <v>45208</v>
      </c>
      <c r="S2448" s="8">
        <v>45215</v>
      </c>
      <c r="T2448" s="8">
        <v>45227</v>
      </c>
      <c r="U2448" s="8"/>
      <c r="V2448" s="10">
        <f>COUNTA(O2448:U2448)</f>
        <v>6</v>
      </c>
      <c r="W2448" s="11">
        <f>_xlfn.IFNA(INDEX(reading[[#This Row],[Memo 01]:[Memo 07]],MATCH(0,reading[[#This Row],[Memo 01]:[Memo 07]],-1)),"")</f>
        <v>45227</v>
      </c>
      <c r="X2448" s="11">
        <f ca="1">IFERROR(reading[[#This Row],[Previous]]+OFFSET(reading[[#Headers],[Memo 01]],-1,MATCH(0,reading[[#This Row],[Memo 01]:[Memo 07]],-1)-1),"")</f>
        <v>45247</v>
      </c>
      <c r="Y2448" s="10" t="str">
        <f ca="1">IF(reading[[#This Row],[Next]]&lt;&gt;"",IF(reading[[#This Row],[Next]]&gt;TODAY(),"OK",""),"")</f>
        <v/>
      </c>
      <c r="Z2448" s="13">
        <v>3</v>
      </c>
      <c r="AA2448" s="13">
        <v>3</v>
      </c>
      <c r="AB2448" s="13">
        <v>3</v>
      </c>
      <c r="AC2448" s="13">
        <v>3</v>
      </c>
      <c r="AD2448" s="13">
        <v>3</v>
      </c>
      <c r="AE2448" s="13">
        <v>3</v>
      </c>
      <c r="AF2448" s="13"/>
      <c r="AG2448" s="16">
        <f>IFERROR(SUMIF(reading[[#This Row],[1st]:[7th]],"&gt;0")/COUNTIF(reading[[#This Row],[1st]:[7th]],"&gt;0"),"")</f>
        <v>3</v>
      </c>
    </row>
    <row r="2449" spans="1:33" x14ac:dyDescent="0.2">
      <c r="A2449" s="4">
        <f>IF(B2449=1,3,IF(D2449=1,2,IF(F2449=1,1,0)))</f>
        <v>0</v>
      </c>
      <c r="B2449" s="4" t="str">
        <f>IF(C2449=$L2449,1,IF(C2449="","",0))</f>
        <v/>
      </c>
      <c r="C2449" s="41"/>
      <c r="D2449" s="4" t="str">
        <f>IF(E2449=$L2449,1,IF(E2449="","",0))</f>
        <v/>
      </c>
      <c r="E2449" s="18"/>
      <c r="F2449" s="4" t="str">
        <f>IF(G2449=$L2449,1,IF(G2449="","",0))</f>
        <v/>
      </c>
      <c r="G2449" s="18"/>
      <c r="H2449" s="6">
        <v>1730</v>
      </c>
      <c r="I2449" s="15" t="s">
        <v>3120</v>
      </c>
      <c r="J2449" s="6" t="s">
        <v>4838</v>
      </c>
      <c r="K2449" s="6"/>
      <c r="L2449" s="6" t="s">
        <v>1810</v>
      </c>
      <c r="M2449" s="6" t="s">
        <v>7836</v>
      </c>
      <c r="N2449" s="7">
        <f ca="1">RAND()</f>
        <v>0.49266260483252122</v>
      </c>
      <c r="O2449" s="8">
        <v>45211</v>
      </c>
      <c r="P2449" s="8">
        <v>45216</v>
      </c>
      <c r="Q2449" s="8">
        <v>45218</v>
      </c>
      <c r="R2449" s="8">
        <v>45222</v>
      </c>
      <c r="S2449" s="8">
        <v>45229</v>
      </c>
      <c r="T2449" s="8">
        <v>45249</v>
      </c>
      <c r="U2449" s="8"/>
      <c r="V2449" s="10">
        <f>COUNTA(O2449:U2449)</f>
        <v>6</v>
      </c>
      <c r="W2449" s="11">
        <f>_xlfn.IFNA(INDEX(reading[[#This Row],[Memo 01]:[Memo 07]],MATCH(0,reading[[#This Row],[Memo 01]:[Memo 07]],-1)),"")</f>
        <v>45249</v>
      </c>
      <c r="X2449" s="11">
        <f ca="1">IFERROR(reading[[#This Row],[Previous]]+OFFSET(reading[[#Headers],[Memo 01]],-1,MATCH(0,reading[[#This Row],[Memo 01]:[Memo 07]],-1)-1),"")</f>
        <v>45269</v>
      </c>
      <c r="Y2449" s="10" t="str">
        <f ca="1">IF(reading[[#This Row],[Next]]&lt;&gt;"",IF(reading[[#This Row],[Next]]&gt;TODAY(),"OK",""),"")</f>
        <v/>
      </c>
      <c r="Z2449" s="13">
        <v>3</v>
      </c>
      <c r="AA2449" s="13">
        <v>2</v>
      </c>
      <c r="AB2449" s="13">
        <v>3</v>
      </c>
      <c r="AC2449" s="13">
        <v>3</v>
      </c>
      <c r="AD2449" s="13">
        <v>1</v>
      </c>
      <c r="AE2449" s="13">
        <v>2</v>
      </c>
      <c r="AF2449" s="13"/>
      <c r="AG2449" s="16">
        <f>IFERROR(SUMIF(reading[[#This Row],[1st]:[7th]],"&gt;0")/COUNTIF(reading[[#This Row],[1st]:[7th]],"&gt;0"),"")</f>
        <v>2.3333333333333335</v>
      </c>
    </row>
    <row r="2450" spans="1:33" hidden="1" x14ac:dyDescent="0.2">
      <c r="A2450" s="4">
        <f>IF(B2450=1,3,IF(D2450=1,2,IF(F2450=1,1,0)))</f>
        <v>3</v>
      </c>
      <c r="B2450" s="4">
        <f>IF(C2450=$L2450,1,IF(C2450="","",0))</f>
        <v>1</v>
      </c>
      <c r="C2450" s="36" t="s">
        <v>2502</v>
      </c>
      <c r="D2450" s="4" t="str">
        <f>IF(E2450=$L2450,1,IF(E2450="","",0))</f>
        <v/>
      </c>
      <c r="E2450" s="14"/>
      <c r="F2450" s="4" t="str">
        <f>IF(G2450=$L2450,1,IF(G2450="","",0))</f>
        <v/>
      </c>
      <c r="G2450" s="14"/>
      <c r="H2450" s="6">
        <v>2454</v>
      </c>
      <c r="I2450" s="15" t="s">
        <v>3120</v>
      </c>
      <c r="J2450" s="6" t="s">
        <v>5524</v>
      </c>
      <c r="K2450" s="6"/>
      <c r="L2450" s="6" t="s">
        <v>2502</v>
      </c>
      <c r="M2450" s="6" t="s">
        <v>8559</v>
      </c>
      <c r="N2450" s="7">
        <f ca="1">RAND()</f>
        <v>0.84269619120379224</v>
      </c>
      <c r="O2450" s="8">
        <v>45218</v>
      </c>
      <c r="P2450" s="8">
        <v>45218</v>
      </c>
      <c r="Q2450" s="8">
        <v>45218</v>
      </c>
      <c r="R2450" s="8">
        <v>45218</v>
      </c>
      <c r="S2450" s="8">
        <v>45218</v>
      </c>
      <c r="T2450" s="8">
        <v>45218</v>
      </c>
      <c r="U2450" s="8">
        <v>45218</v>
      </c>
      <c r="V2450" s="10">
        <f>COUNTA(O2450:U2450)</f>
        <v>7</v>
      </c>
      <c r="W2450" s="11">
        <f>_xlfn.IFNA(INDEX(reading[[#This Row],[Memo 01]:[Memo 07]],MATCH(0,reading[[#This Row],[Memo 01]:[Memo 07]],-1)),"")</f>
        <v>45218</v>
      </c>
      <c r="X2450" s="11">
        <f ca="1">IFERROR(reading[[#This Row],[Previous]]+OFFSET(reading[[#Headers],[Memo 01]],-1,MATCH(0,reading[[#This Row],[Memo 01]:[Memo 07]],-1)-1),"")</f>
        <v>55218</v>
      </c>
      <c r="Y2450" s="10" t="str">
        <f ca="1">IF(reading[[#This Row],[Next]]&lt;&gt;"",IF(reading[[#This Row],[Next]]&gt;TODAY(),"OK",""),"")</f>
        <v>OK</v>
      </c>
      <c r="Z2450" s="13">
        <v>3</v>
      </c>
      <c r="AA2450" s="13"/>
      <c r="AB2450" s="13"/>
      <c r="AC2450" s="13"/>
      <c r="AD2450" s="13"/>
      <c r="AE2450" s="13"/>
      <c r="AF2450" s="13"/>
      <c r="AG2450" s="16">
        <f>IFERROR(SUMIF(reading[[#This Row],[1st]:[7th]],"&gt;0")/COUNTIF(reading[[#This Row],[1st]:[7th]],"&gt;0"),"")</f>
        <v>3</v>
      </c>
    </row>
    <row r="2451" spans="1:33" hidden="1" x14ac:dyDescent="0.2">
      <c r="A2451" s="4">
        <f>IF(B2451=1,3,IF(D2451=1,2,IF(F2451=1,1,0)))</f>
        <v>0</v>
      </c>
      <c r="B2451" s="4">
        <f>IF(C2451=$L2451,1,IF(C2451="","",0))</f>
        <v>0</v>
      </c>
      <c r="C2451" s="42" t="s">
        <v>9200</v>
      </c>
      <c r="D2451" s="4" t="str">
        <f>IF(E2451=$L2451,1,IF(E2451="","",0))</f>
        <v/>
      </c>
      <c r="E2451" s="14"/>
      <c r="F2451" s="4" t="str">
        <f>IF(G2451=$L2451,1,IF(G2451="","",0))</f>
        <v/>
      </c>
      <c r="G2451" s="14"/>
      <c r="H2451" s="6">
        <v>2528</v>
      </c>
      <c r="I2451" s="15" t="s">
        <v>3120</v>
      </c>
      <c r="J2451" s="6" t="s">
        <v>5590</v>
      </c>
      <c r="K2451" s="6"/>
      <c r="L2451" s="6" t="s">
        <v>2574</v>
      </c>
      <c r="M2451" s="6" t="s">
        <v>8633</v>
      </c>
      <c r="N2451" s="7">
        <f ca="1">RAND()</f>
        <v>0.24868893162755379</v>
      </c>
      <c r="O2451" s="8">
        <v>45219</v>
      </c>
      <c r="P2451" s="8">
        <v>45220</v>
      </c>
      <c r="Q2451" s="8">
        <v>45222</v>
      </c>
      <c r="R2451" s="8">
        <v>45226</v>
      </c>
      <c r="S2451" s="8">
        <v>45233</v>
      </c>
      <c r="T2451" s="8"/>
      <c r="U2451" s="8"/>
      <c r="V2451" s="10">
        <f>COUNTA(O2451:U2451)</f>
        <v>5</v>
      </c>
      <c r="W2451" s="11">
        <f>_xlfn.IFNA(INDEX(reading[[#This Row],[Memo 01]:[Memo 07]],MATCH(0,reading[[#This Row],[Memo 01]:[Memo 07]],-1)),"")</f>
        <v>45233</v>
      </c>
      <c r="X2451" s="11">
        <f ca="1">IFERROR(reading[[#This Row],[Previous]]+OFFSET(reading[[#Headers],[Memo 01]],-1,MATCH(0,reading[[#This Row],[Memo 01]:[Memo 07]],-1)-1),"")</f>
        <v>45245</v>
      </c>
      <c r="Y2451" s="10" t="str">
        <f ca="1">IF(reading[[#This Row],[Next]]&lt;&gt;"",IF(reading[[#This Row],[Next]]&gt;TODAY(),"OK",""),"")</f>
        <v/>
      </c>
      <c r="Z2451" s="13">
        <v>3</v>
      </c>
      <c r="AA2451" s="13">
        <v>3</v>
      </c>
      <c r="AB2451" s="13">
        <v>3</v>
      </c>
      <c r="AC2451" s="13">
        <v>3</v>
      </c>
      <c r="AD2451" s="13">
        <v>3</v>
      </c>
      <c r="AE2451" s="13"/>
      <c r="AF2451" s="13"/>
      <c r="AG2451" s="16">
        <f>IFERROR(SUMIF(reading[[#This Row],[1st]:[7th]],"&gt;0")/COUNTIF(reading[[#This Row],[1st]:[7th]],"&gt;0"),"")</f>
        <v>3</v>
      </c>
    </row>
    <row r="2452" spans="1:33" x14ac:dyDescent="0.2">
      <c r="A2452" s="4">
        <f>IF(B2452=1,3,IF(D2452=1,2,IF(F2452=1,1,0)))</f>
        <v>0</v>
      </c>
      <c r="B2452" s="4" t="str">
        <f>IF(C2452=$L2452,1,IF(C2452="","",0))</f>
        <v/>
      </c>
      <c r="C2452" s="39"/>
      <c r="D2452" s="4" t="str">
        <f>IF(E2452=$L2452,1,IF(E2452="","",0))</f>
        <v/>
      </c>
      <c r="E2452" s="18"/>
      <c r="F2452" s="4" t="str">
        <f>IF(G2452=$L2452,1,IF(G2452="","",0))</f>
        <v/>
      </c>
      <c r="G2452" s="14"/>
      <c r="H2452" s="6">
        <v>962</v>
      </c>
      <c r="I2452" s="15" t="s">
        <v>3120</v>
      </c>
      <c r="J2452" s="6" t="s">
        <v>4091</v>
      </c>
      <c r="K2452" s="6"/>
      <c r="L2452" s="6" t="s">
        <v>1072</v>
      </c>
      <c r="M2452" s="6" t="s">
        <v>7070</v>
      </c>
      <c r="N2452" s="7">
        <f ca="1">RAND()</f>
        <v>0.70549781433940506</v>
      </c>
      <c r="O2452" s="8">
        <v>45204</v>
      </c>
      <c r="P2452" s="8">
        <v>45205</v>
      </c>
      <c r="Q2452" s="8">
        <v>45207</v>
      </c>
      <c r="R2452" s="8">
        <v>45211</v>
      </c>
      <c r="S2452" s="8">
        <v>45218</v>
      </c>
      <c r="T2452" s="8">
        <v>45230</v>
      </c>
      <c r="U2452" s="8"/>
      <c r="V2452" s="10">
        <f>COUNTA(O2452:U2452)</f>
        <v>6</v>
      </c>
      <c r="W2452" s="11">
        <f>_xlfn.IFNA(INDEX(reading[[#This Row],[Memo 01]:[Memo 07]],MATCH(0,reading[[#This Row],[Memo 01]:[Memo 07]],-1)),"")</f>
        <v>45230</v>
      </c>
      <c r="X2452" s="11">
        <f ca="1">IFERROR(reading[[#This Row],[Previous]]+OFFSET(reading[[#Headers],[Memo 01]],-1,MATCH(0,reading[[#This Row],[Memo 01]:[Memo 07]],-1)-1),"")</f>
        <v>45250</v>
      </c>
      <c r="Y2452" s="10" t="str">
        <f ca="1">IF(reading[[#This Row],[Next]]&lt;&gt;"",IF(reading[[#This Row],[Next]]&gt;TODAY(),"OK",""),"")</f>
        <v/>
      </c>
      <c r="Z2452" s="13">
        <v>3</v>
      </c>
      <c r="AA2452" s="13">
        <v>3</v>
      </c>
      <c r="AB2452" s="13">
        <v>2</v>
      </c>
      <c r="AC2452" s="13">
        <v>3</v>
      </c>
      <c r="AD2452" s="13">
        <v>3</v>
      </c>
      <c r="AE2452" s="13">
        <v>3</v>
      </c>
      <c r="AF2452" s="13"/>
      <c r="AG2452" s="16">
        <f>IFERROR(SUMIF(reading[[#This Row],[1st]:[7th]],"&gt;0")/COUNTIF(reading[[#This Row],[1st]:[7th]],"&gt;0"),"")</f>
        <v>2.8333333333333335</v>
      </c>
    </row>
    <row r="2453" spans="1:33" x14ac:dyDescent="0.2">
      <c r="A2453" s="4">
        <f>IF(B2453=1,3,IF(D2453=1,2,IF(F2453=1,1,0)))</f>
        <v>0</v>
      </c>
      <c r="B2453" s="4" t="str">
        <f>IF(C2453=$L2453,1,IF(C2453="","",0))</f>
        <v/>
      </c>
      <c r="C2453" s="42"/>
      <c r="D2453" s="4" t="str">
        <f>IF(E2453=$L2453,1,IF(E2453="","",0))</f>
        <v/>
      </c>
      <c r="E2453" s="14"/>
      <c r="F2453" s="4" t="str">
        <f>IF(G2453=$L2453,1,IF(G2453="","",0))</f>
        <v/>
      </c>
      <c r="G2453" s="14"/>
      <c r="H2453" s="6">
        <v>3060</v>
      </c>
      <c r="I2453" s="15" t="s">
        <v>3120</v>
      </c>
      <c r="J2453" s="6" t="s">
        <v>6081</v>
      </c>
      <c r="K2453" s="6"/>
      <c r="L2453" s="6" t="s">
        <v>142</v>
      </c>
      <c r="M2453" s="6" t="s">
        <v>9163</v>
      </c>
      <c r="N2453" s="7">
        <f ca="1">RAND()</f>
        <v>0.36327743274588842</v>
      </c>
      <c r="O2453" s="8">
        <v>45224</v>
      </c>
      <c r="P2453" s="8">
        <v>45225</v>
      </c>
      <c r="Q2453" s="8">
        <v>45227</v>
      </c>
      <c r="R2453" s="8">
        <v>45231</v>
      </c>
      <c r="S2453" s="8">
        <v>45250</v>
      </c>
      <c r="T2453" s="8">
        <v>45783</v>
      </c>
      <c r="U2453" s="8"/>
      <c r="V2453" s="10">
        <f>COUNTA(O2453:U2453)</f>
        <v>6</v>
      </c>
      <c r="W2453" s="11">
        <f>_xlfn.IFNA(INDEX(reading[[#This Row],[Memo 01]:[Memo 07]],MATCH(0,reading[[#This Row],[Memo 01]:[Memo 07]],-1)),"")</f>
        <v>45783</v>
      </c>
      <c r="X2453" s="11">
        <f ca="1">IFERROR(reading[[#This Row],[Previous]]+OFFSET(reading[[#Headers],[Memo 01]],-1,MATCH(0,reading[[#This Row],[Memo 01]:[Memo 07]],-1)-1),"")</f>
        <v>45803</v>
      </c>
      <c r="Y2453" s="10" t="str">
        <f ca="1">IF(reading[[#This Row],[Next]]&lt;&gt;"",IF(reading[[#This Row],[Next]]&gt;TODAY(),"OK",""),"")</f>
        <v/>
      </c>
      <c r="Z2453" s="13">
        <v>3</v>
      </c>
      <c r="AA2453" s="13">
        <v>3</v>
      </c>
      <c r="AB2453" s="13">
        <v>3</v>
      </c>
      <c r="AC2453" s="13">
        <v>3</v>
      </c>
      <c r="AD2453" s="13">
        <v>1</v>
      </c>
      <c r="AE2453" s="13">
        <v>3</v>
      </c>
      <c r="AF2453" s="13"/>
      <c r="AG2453" s="16">
        <f>IFERROR(SUMIF(reading[[#This Row],[1st]:[7th]],"&gt;0")/COUNTIF(reading[[#This Row],[1st]:[7th]],"&gt;0"),"")</f>
        <v>2.6666666666666665</v>
      </c>
    </row>
    <row r="2454" spans="1:33" hidden="1" x14ac:dyDescent="0.2">
      <c r="A2454" s="4">
        <f>IF(B2454=1,3,IF(D2454=1,2,IF(F2454=1,1,0)))</f>
        <v>0</v>
      </c>
      <c r="B2454" s="4" t="str">
        <f>IF(C2454=$L2454,1,IF(C2454="","",0))</f>
        <v/>
      </c>
      <c r="C2454" s="42"/>
      <c r="D2454" s="4" t="str">
        <f>IF(E2454=$L2454,1,IF(E2454="","",0))</f>
        <v/>
      </c>
      <c r="E2454" s="43"/>
      <c r="F2454" s="4" t="str">
        <f>IF(G2454=$L2454,1,IF(G2454="","",0))</f>
        <v/>
      </c>
      <c r="G2454" s="14"/>
      <c r="H2454" s="6">
        <v>378</v>
      </c>
      <c r="I2454" s="15" t="s">
        <v>3120</v>
      </c>
      <c r="J2454" s="6" t="s">
        <v>3525</v>
      </c>
      <c r="K2454" s="6"/>
      <c r="L2454" s="6" t="s">
        <v>511</v>
      </c>
      <c r="M2454" s="6" t="s">
        <v>6487</v>
      </c>
      <c r="N2454" s="7">
        <f ca="1">RAND()</f>
        <v>0.30676249384679766</v>
      </c>
      <c r="O2454" s="8">
        <v>45201</v>
      </c>
      <c r="P2454" s="8">
        <v>45202</v>
      </c>
      <c r="Q2454" s="8">
        <v>45204</v>
      </c>
      <c r="R2454" s="8">
        <v>45208</v>
      </c>
      <c r="S2454" s="8">
        <v>45215</v>
      </c>
      <c r="T2454" s="8">
        <v>45227</v>
      </c>
      <c r="U2454" s="8">
        <v>45816</v>
      </c>
      <c r="V2454" s="10">
        <f>COUNTA(O2454:U2454)</f>
        <v>7</v>
      </c>
      <c r="W2454" s="11">
        <f>_xlfn.IFNA(INDEX(reading[[#This Row],[Memo 01]:[Memo 07]],MATCH(0,reading[[#This Row],[Memo 01]:[Memo 07]],-1)),"")</f>
        <v>45816</v>
      </c>
      <c r="X2454" s="11">
        <f ca="1">IFERROR(reading[[#This Row],[Previous]]+OFFSET(reading[[#Headers],[Memo 01]],-1,MATCH(0,reading[[#This Row],[Memo 01]:[Memo 07]],-1)-1),"")</f>
        <v>55816</v>
      </c>
      <c r="Y2454" s="10" t="str">
        <f ca="1">IF(reading[[#This Row],[Next]]&lt;&gt;"",IF(reading[[#This Row],[Next]]&gt;TODAY(),"OK",""),"")</f>
        <v>OK</v>
      </c>
      <c r="Z2454" s="13">
        <v>3</v>
      </c>
      <c r="AA2454" s="13">
        <v>3</v>
      </c>
      <c r="AB2454" s="13">
        <v>3</v>
      </c>
      <c r="AC2454" s="13">
        <v>3</v>
      </c>
      <c r="AD2454" s="13">
        <v>3</v>
      </c>
      <c r="AE2454" s="13">
        <v>2</v>
      </c>
      <c r="AF2454" s="13">
        <v>2</v>
      </c>
      <c r="AG2454" s="16">
        <f>IFERROR(SUMIF(reading[[#This Row],[1st]:[7th]],"&gt;0")/COUNTIF(reading[[#This Row],[1st]:[7th]],"&gt;0"),"")</f>
        <v>2.7142857142857144</v>
      </c>
    </row>
    <row r="2455" spans="1:33" hidden="1" x14ac:dyDescent="0.2">
      <c r="A2455" s="4">
        <f>IF(B2455=1,3,IF(D2455=1,2,IF(F2455=1,1,0)))</f>
        <v>0</v>
      </c>
      <c r="B2455" s="4" t="str">
        <f>IF(C2455=$L2455,1,IF(C2455="","",0))</f>
        <v/>
      </c>
      <c r="C2455" s="42"/>
      <c r="D2455" s="4" t="str">
        <f>IF(E2455=$L2455,1,IF(E2455="","",0))</f>
        <v/>
      </c>
      <c r="E2455" s="23"/>
      <c r="F2455" s="4" t="str">
        <f>IF(G2455=$L2455,1,IF(G2455="","",0))</f>
        <v/>
      </c>
      <c r="G2455" s="23"/>
      <c r="H2455" s="6">
        <v>2441</v>
      </c>
      <c r="I2455" s="15" t="s">
        <v>3120</v>
      </c>
      <c r="J2455" s="6" t="s">
        <v>5511</v>
      </c>
      <c r="K2455" s="6"/>
      <c r="L2455" s="6" t="s">
        <v>2491</v>
      </c>
      <c r="M2455" s="6" t="s">
        <v>8546</v>
      </c>
      <c r="N2455" s="7">
        <f ca="1">RAND()</f>
        <v>0.43472679332123676</v>
      </c>
      <c r="O2455" s="8">
        <v>45218</v>
      </c>
      <c r="P2455" s="8">
        <v>45219</v>
      </c>
      <c r="Q2455" s="8">
        <v>45221</v>
      </c>
      <c r="R2455" s="8">
        <v>45225</v>
      </c>
      <c r="S2455" s="8">
        <v>45232</v>
      </c>
      <c r="T2455" s="8">
        <v>45817</v>
      </c>
      <c r="U2455" s="8"/>
      <c r="V2455" s="10">
        <f>COUNTA(O2455:U2455)</f>
        <v>6</v>
      </c>
      <c r="W2455" s="11">
        <f>_xlfn.IFNA(INDEX(reading[[#This Row],[Memo 01]:[Memo 07]],MATCH(0,reading[[#This Row],[Memo 01]:[Memo 07]],-1)),"")</f>
        <v>45817</v>
      </c>
      <c r="X2455" s="11">
        <f ca="1">IFERROR(reading[[#This Row],[Previous]]+OFFSET(reading[[#Headers],[Memo 01]],-1,MATCH(0,reading[[#This Row],[Memo 01]:[Memo 07]],-1)-1),"")</f>
        <v>45837</v>
      </c>
      <c r="Y2455" s="10" t="str">
        <f ca="1">IF(reading[[#This Row],[Next]]&lt;&gt;"",IF(reading[[#This Row],[Next]]&gt;TODAY(),"OK",""),"")</f>
        <v>OK</v>
      </c>
      <c r="Z2455" s="13">
        <v>3</v>
      </c>
      <c r="AA2455" s="13">
        <v>3</v>
      </c>
      <c r="AB2455" s="13">
        <v>3</v>
      </c>
      <c r="AC2455" s="13">
        <v>3</v>
      </c>
      <c r="AD2455" s="13">
        <v>2</v>
      </c>
      <c r="AE2455" s="13">
        <v>1</v>
      </c>
      <c r="AF2455" s="13"/>
      <c r="AG2455" s="16">
        <f>IFERROR(SUMIF(reading[[#This Row],[1st]:[7th]],"&gt;0")/COUNTIF(reading[[#This Row],[1st]:[7th]],"&gt;0"),"")</f>
        <v>2.5</v>
      </c>
    </row>
    <row r="2456" spans="1:33" x14ac:dyDescent="0.2">
      <c r="A2456" s="4">
        <f>IF(B2456=1,3,IF(D2456=1,2,IF(F2456=1,1,0)))</f>
        <v>0</v>
      </c>
      <c r="B2456" s="4" t="str">
        <f>IF(C2456=$L2456,1,IF(C2456="","",0))</f>
        <v/>
      </c>
      <c r="C2456" s="38"/>
      <c r="D2456" s="4" t="str">
        <f>IF(E2456=$L2456,1,IF(E2456="","",0))</f>
        <v/>
      </c>
      <c r="E2456" s="14"/>
      <c r="F2456" s="4" t="str">
        <f>IF(G2456=$L2456,1,IF(G2456="","",0))</f>
        <v/>
      </c>
      <c r="G2456" s="14"/>
      <c r="H2456" s="6">
        <v>2144</v>
      </c>
      <c r="I2456" s="15" t="s">
        <v>3120</v>
      </c>
      <c r="J2456" s="6" t="s">
        <v>5232</v>
      </c>
      <c r="K2456" s="6"/>
      <c r="L2456" s="6" t="s">
        <v>2211</v>
      </c>
      <c r="M2456" s="6" t="s">
        <v>8250</v>
      </c>
      <c r="N2456" s="7">
        <f ca="1">RAND()</f>
        <v>0.48883957297918601</v>
      </c>
      <c r="O2456" s="8">
        <v>45214</v>
      </c>
      <c r="P2456" s="8">
        <v>45215</v>
      </c>
      <c r="Q2456" s="8">
        <v>45217</v>
      </c>
      <c r="R2456" s="8">
        <v>45221</v>
      </c>
      <c r="S2456" s="8">
        <v>45228</v>
      </c>
      <c r="T2456" s="8"/>
      <c r="U2456" s="8"/>
      <c r="V2456" s="10">
        <f>COUNTA(O2456:U2456)</f>
        <v>5</v>
      </c>
      <c r="W2456" s="11">
        <f>_xlfn.IFNA(INDEX(reading[[#This Row],[Memo 01]:[Memo 07]],MATCH(0,reading[[#This Row],[Memo 01]:[Memo 07]],-1)),"")</f>
        <v>45228</v>
      </c>
      <c r="X2456" s="11">
        <f ca="1">IFERROR(reading[[#This Row],[Previous]]+OFFSET(reading[[#Headers],[Memo 01]],-1,MATCH(0,reading[[#This Row],[Memo 01]:[Memo 07]],-1)-1),"")</f>
        <v>45240</v>
      </c>
      <c r="Y2456" s="10" t="str">
        <f ca="1">IF(reading[[#This Row],[Next]]&lt;&gt;"",IF(reading[[#This Row],[Next]]&gt;TODAY(),"OK",""),"")</f>
        <v/>
      </c>
      <c r="Z2456" s="13">
        <v>3</v>
      </c>
      <c r="AA2456" s="13">
        <v>3</v>
      </c>
      <c r="AB2456" s="13">
        <v>3</v>
      </c>
      <c r="AC2456" s="13">
        <v>3</v>
      </c>
      <c r="AD2456" s="13">
        <v>3</v>
      </c>
      <c r="AE2456" s="13"/>
      <c r="AF2456" s="13"/>
      <c r="AG2456" s="16">
        <f>IFERROR(SUMIF(reading[[#This Row],[1st]:[7th]],"&gt;0")/COUNTIF(reading[[#This Row],[1st]:[7th]],"&gt;0"),"")</f>
        <v>3</v>
      </c>
    </row>
    <row r="2457" spans="1:33" hidden="1" x14ac:dyDescent="0.2">
      <c r="A2457" s="4">
        <f>IF(B2457=1,3,IF(D2457=1,2,IF(F2457=1,1,0)))</f>
        <v>0</v>
      </c>
      <c r="B2457" s="4">
        <f>IF(C2457=$L2457,1,IF(C2457="","",0))</f>
        <v>0</v>
      </c>
      <c r="C2457" s="42" t="s">
        <v>9200</v>
      </c>
      <c r="D2457" s="4">
        <f>IF(E2457=$L2457,1,IF(E2457="","",0))</f>
        <v>0</v>
      </c>
      <c r="E2457" s="43" t="s">
        <v>9200</v>
      </c>
      <c r="F2457" s="4" t="str">
        <f>IF(G2457=$L2457,1,IF(G2457="","",0))</f>
        <v/>
      </c>
      <c r="G2457" s="18"/>
      <c r="H2457" s="6">
        <v>2016</v>
      </c>
      <c r="I2457" s="15" t="s">
        <v>3120</v>
      </c>
      <c r="J2457" s="6" t="s">
        <v>5113</v>
      </c>
      <c r="K2457" s="6"/>
      <c r="L2457" s="6" t="s">
        <v>2091</v>
      </c>
      <c r="M2457" s="6" t="s">
        <v>8122</v>
      </c>
      <c r="N2457" s="7">
        <f ca="1">RAND()</f>
        <v>0.77355541571719832</v>
      </c>
      <c r="O2457" s="8">
        <v>45213</v>
      </c>
      <c r="P2457" s="8">
        <v>45214</v>
      </c>
      <c r="Q2457" s="8">
        <v>45216</v>
      </c>
      <c r="R2457" s="8">
        <v>45228</v>
      </c>
      <c r="S2457" s="8">
        <v>45235</v>
      </c>
      <c r="T2457" s="8"/>
      <c r="U2457" s="8"/>
      <c r="V2457" s="10">
        <f>COUNTA(O2457:U2457)</f>
        <v>5</v>
      </c>
      <c r="W2457" s="11">
        <f>_xlfn.IFNA(INDEX(reading[[#This Row],[Memo 01]:[Memo 07]],MATCH(0,reading[[#This Row],[Memo 01]:[Memo 07]],-1)),"")</f>
        <v>45235</v>
      </c>
      <c r="X2457" s="11">
        <f ca="1">IFERROR(reading[[#This Row],[Previous]]+OFFSET(reading[[#Headers],[Memo 01]],-1,MATCH(0,reading[[#This Row],[Memo 01]:[Memo 07]],-1)-1),"")</f>
        <v>45247</v>
      </c>
      <c r="Y2457" s="10" t="str">
        <f ca="1">IF(reading[[#This Row],[Next]]&lt;&gt;"",IF(reading[[#This Row],[Next]]&gt;TODAY(),"OK",""),"")</f>
        <v/>
      </c>
      <c r="Z2457" s="13">
        <v>3</v>
      </c>
      <c r="AA2457" s="13">
        <v>3</v>
      </c>
      <c r="AB2457" s="13">
        <v>3</v>
      </c>
      <c r="AC2457" s="13">
        <v>3</v>
      </c>
      <c r="AD2457" s="13">
        <v>3</v>
      </c>
      <c r="AE2457" s="13"/>
      <c r="AF2457" s="13"/>
      <c r="AG2457" s="16">
        <f>IFERROR(SUMIF(reading[[#This Row],[1st]:[7th]],"&gt;0")/COUNTIF(reading[[#This Row],[1st]:[7th]],"&gt;0"),"")</f>
        <v>3</v>
      </c>
    </row>
    <row r="2458" spans="1:33" x14ac:dyDescent="0.2">
      <c r="A2458" s="4">
        <f>IF(B2458=1,3,IF(D2458=1,2,IF(F2458=1,1,0)))</f>
        <v>0</v>
      </c>
      <c r="B2458" s="4" t="str">
        <f>IF(C2458=$L2458,1,IF(C2458="","",0))</f>
        <v/>
      </c>
      <c r="C2458" s="39"/>
      <c r="D2458" s="4" t="str">
        <f>IF(E2458=$L2458,1,IF(E2458="","",0))</f>
        <v/>
      </c>
      <c r="E2458" s="14"/>
      <c r="F2458" s="4" t="str">
        <f>IF(G2458=$L2458,1,IF(G2458="","",0))</f>
        <v/>
      </c>
      <c r="G2458" s="14"/>
      <c r="H2458" s="6">
        <v>1121</v>
      </c>
      <c r="I2458" s="15" t="s">
        <v>3120</v>
      </c>
      <c r="J2458" s="6" t="s">
        <v>4243</v>
      </c>
      <c r="K2458" s="6"/>
      <c r="L2458" s="6" t="s">
        <v>1226</v>
      </c>
      <c r="M2458" s="6" t="s">
        <v>7229</v>
      </c>
      <c r="N2458" s="7">
        <f ca="1">RAND()</f>
        <v>8.2599660386426188E-2</v>
      </c>
      <c r="O2458" s="8">
        <v>45205</v>
      </c>
      <c r="P2458" s="8">
        <v>45206</v>
      </c>
      <c r="Q2458" s="8">
        <v>45208</v>
      </c>
      <c r="R2458" s="8">
        <v>45212</v>
      </c>
      <c r="S2458" s="8">
        <v>45219</v>
      </c>
      <c r="T2458" s="8">
        <v>45231</v>
      </c>
      <c r="U2458" s="8"/>
      <c r="V2458" s="10">
        <f>COUNTA(O2458:U2458)</f>
        <v>6</v>
      </c>
      <c r="W2458" s="11">
        <f>_xlfn.IFNA(INDEX(reading[[#This Row],[Memo 01]:[Memo 07]],MATCH(0,reading[[#This Row],[Memo 01]:[Memo 07]],-1)),"")</f>
        <v>45231</v>
      </c>
      <c r="X2458" s="11">
        <f ca="1">IFERROR(reading[[#This Row],[Previous]]+OFFSET(reading[[#Headers],[Memo 01]],-1,MATCH(0,reading[[#This Row],[Memo 01]:[Memo 07]],-1)-1),"")</f>
        <v>45251</v>
      </c>
      <c r="Y2458" s="10" t="str">
        <f ca="1">IF(reading[[#This Row],[Next]]&lt;&gt;"",IF(reading[[#This Row],[Next]]&gt;TODAY(),"OK",""),"")</f>
        <v/>
      </c>
      <c r="Z2458" s="13">
        <v>3</v>
      </c>
      <c r="AA2458" s="13">
        <v>3</v>
      </c>
      <c r="AB2458" s="13">
        <v>3</v>
      </c>
      <c r="AC2458" s="13">
        <v>3</v>
      </c>
      <c r="AD2458" s="13">
        <v>3</v>
      </c>
      <c r="AE2458" s="13">
        <v>3</v>
      </c>
      <c r="AF2458" s="13"/>
      <c r="AG2458" s="16">
        <f>IFERROR(SUMIF(reading[[#This Row],[1st]:[7th]],"&gt;0")/COUNTIF(reading[[#This Row],[1st]:[7th]],"&gt;0"),"")</f>
        <v>3</v>
      </c>
    </row>
    <row r="2459" spans="1:33" x14ac:dyDescent="0.2">
      <c r="A2459" s="4">
        <f>IF(B2459=1,3,IF(D2459=1,2,IF(F2459=1,1,0)))</f>
        <v>0</v>
      </c>
      <c r="B2459" s="4" t="str">
        <f>IF(C2459=$L2459,1,IF(C2459="","",0))</f>
        <v/>
      </c>
      <c r="C2459" s="36"/>
      <c r="D2459" s="4" t="str">
        <f>IF(E2459=$L2459,1,IF(E2459="","",0))</f>
        <v/>
      </c>
      <c r="E2459" s="14"/>
      <c r="F2459" s="4" t="str">
        <f>IF(G2459=$L2459,1,IF(G2459="","",0))</f>
        <v/>
      </c>
      <c r="G2459" s="14"/>
      <c r="H2459" s="6">
        <v>1870</v>
      </c>
      <c r="I2459" s="15" t="s">
        <v>3120</v>
      </c>
      <c r="J2459" s="6" t="s">
        <v>4972</v>
      </c>
      <c r="K2459" s="15" t="s">
        <v>3138</v>
      </c>
      <c r="L2459" s="6" t="s">
        <v>1948</v>
      </c>
      <c r="M2459" s="6" t="s">
        <v>7976</v>
      </c>
      <c r="N2459" s="7">
        <f ca="1">RAND()</f>
        <v>0.18923058930181691</v>
      </c>
      <c r="O2459" s="8">
        <v>45212</v>
      </c>
      <c r="P2459" s="8">
        <v>45213</v>
      </c>
      <c r="Q2459" s="8">
        <v>45215</v>
      </c>
      <c r="R2459" s="8">
        <v>45219</v>
      </c>
      <c r="S2459" s="8">
        <v>45226</v>
      </c>
      <c r="T2459" s="8"/>
      <c r="U2459" s="8"/>
      <c r="V2459" s="10">
        <f>COUNTA(O2459:U2459)</f>
        <v>5</v>
      </c>
      <c r="W2459" s="11">
        <f>_xlfn.IFNA(INDEX(reading[[#This Row],[Memo 01]:[Memo 07]],MATCH(0,reading[[#This Row],[Memo 01]:[Memo 07]],-1)),"")</f>
        <v>45226</v>
      </c>
      <c r="X2459" s="11">
        <f ca="1">IFERROR(reading[[#This Row],[Previous]]+OFFSET(reading[[#Headers],[Memo 01]],-1,MATCH(0,reading[[#This Row],[Memo 01]:[Memo 07]],-1)-1),"")</f>
        <v>45238</v>
      </c>
      <c r="Y2459" s="10" t="str">
        <f ca="1">IF(reading[[#This Row],[Next]]&lt;&gt;"",IF(reading[[#This Row],[Next]]&gt;TODAY(),"OK",""),"")</f>
        <v/>
      </c>
      <c r="Z2459" s="13">
        <v>3</v>
      </c>
      <c r="AA2459" s="13">
        <v>3</v>
      </c>
      <c r="AB2459" s="13">
        <v>3</v>
      </c>
      <c r="AC2459" s="13">
        <v>3</v>
      </c>
      <c r="AD2459" s="13">
        <v>3</v>
      </c>
      <c r="AE2459" s="13"/>
      <c r="AF2459" s="13"/>
      <c r="AG2459" s="16">
        <f>IFERROR(SUMIF(reading[[#This Row],[1st]:[7th]],"&gt;0")/COUNTIF(reading[[#This Row],[1st]:[7th]],"&gt;0"),"")</f>
        <v>3</v>
      </c>
    </row>
    <row r="2460" spans="1:33" x14ac:dyDescent="0.2">
      <c r="A2460" s="4">
        <f>IF(B2460=1,3,IF(D2460=1,2,IF(F2460=1,1,0)))</f>
        <v>0</v>
      </c>
      <c r="B2460" s="4" t="str">
        <f>IF(C2460=$L2460,1,IF(C2460="","",0))</f>
        <v/>
      </c>
      <c r="C2460" s="39"/>
      <c r="D2460" s="4" t="str">
        <f>IF(E2460=$L2460,1,IF(E2460="","",0))</f>
        <v/>
      </c>
      <c r="E2460" s="14"/>
      <c r="F2460" s="4" t="str">
        <f>IF(G2460=$L2460,1,IF(G2460="","",0))</f>
        <v/>
      </c>
      <c r="G2460" s="14"/>
      <c r="H2460" s="6">
        <v>2208</v>
      </c>
      <c r="I2460" s="15" t="s">
        <v>3120</v>
      </c>
      <c r="J2460" s="6" t="s">
        <v>5294</v>
      </c>
      <c r="K2460" s="6"/>
      <c r="L2460" s="6" t="s">
        <v>2271</v>
      </c>
      <c r="M2460" s="6" t="s">
        <v>8314</v>
      </c>
      <c r="N2460" s="7">
        <f ca="1">RAND()</f>
        <v>0.68776270041033027</v>
      </c>
      <c r="O2460" s="8">
        <v>45216</v>
      </c>
      <c r="P2460" s="8">
        <v>45217</v>
      </c>
      <c r="Q2460" s="8">
        <v>45219</v>
      </c>
      <c r="R2460" s="8">
        <v>45223</v>
      </c>
      <c r="S2460" s="8">
        <v>45230</v>
      </c>
      <c r="T2460" s="8"/>
      <c r="U2460" s="8"/>
      <c r="V2460" s="10">
        <f>COUNTA(O2460:U2460)</f>
        <v>5</v>
      </c>
      <c r="W2460" s="11">
        <f>_xlfn.IFNA(INDEX(reading[[#This Row],[Memo 01]:[Memo 07]],MATCH(0,reading[[#This Row],[Memo 01]:[Memo 07]],-1)),"")</f>
        <v>45230</v>
      </c>
      <c r="X2460" s="11">
        <f ca="1">IFERROR(reading[[#This Row],[Previous]]+OFFSET(reading[[#Headers],[Memo 01]],-1,MATCH(0,reading[[#This Row],[Memo 01]:[Memo 07]],-1)-1),"")</f>
        <v>45242</v>
      </c>
      <c r="Y2460" s="10" t="str">
        <f ca="1">IF(reading[[#This Row],[Next]]&lt;&gt;"",IF(reading[[#This Row],[Next]]&gt;TODAY(),"OK",""),"")</f>
        <v/>
      </c>
      <c r="Z2460" s="13">
        <v>3</v>
      </c>
      <c r="AA2460" s="13">
        <v>3</v>
      </c>
      <c r="AB2460" s="13">
        <v>3</v>
      </c>
      <c r="AC2460" s="13">
        <v>3</v>
      </c>
      <c r="AD2460" s="13">
        <v>3</v>
      </c>
      <c r="AE2460" s="13"/>
      <c r="AF2460" s="13"/>
      <c r="AG2460" s="16">
        <f>IFERROR(SUMIF(reading[[#This Row],[1st]:[7th]],"&gt;0")/COUNTIF(reading[[#This Row],[1st]:[7th]],"&gt;0"),"")</f>
        <v>3</v>
      </c>
    </row>
    <row r="2461" spans="1:33" hidden="1" x14ac:dyDescent="0.2">
      <c r="A2461" s="4">
        <f>IF(B2461=1,3,IF(D2461=1,2,IF(F2461=1,1,0)))</f>
        <v>0</v>
      </c>
      <c r="B2461" s="4">
        <f>IF(C2461=$L2461,1,IF(C2461="","",0))</f>
        <v>0</v>
      </c>
      <c r="C2461" s="42" t="s">
        <v>9200</v>
      </c>
      <c r="D2461" s="4" t="str">
        <f>IF(E2461=$L2461,1,IF(E2461="","",0))</f>
        <v/>
      </c>
      <c r="E2461" s="14"/>
      <c r="F2461" s="4" t="str">
        <f>IF(G2461=$L2461,1,IF(G2461="","",0))</f>
        <v/>
      </c>
      <c r="G2461" s="14"/>
      <c r="H2461" s="6">
        <v>1209</v>
      </c>
      <c r="I2461" s="15" t="s">
        <v>3120</v>
      </c>
      <c r="J2461" s="6" t="s">
        <v>4328</v>
      </c>
      <c r="K2461" s="6"/>
      <c r="L2461" s="6" t="s">
        <v>1311</v>
      </c>
      <c r="M2461" s="6" t="s">
        <v>7316</v>
      </c>
      <c r="N2461" s="7">
        <f ca="1">RAND()</f>
        <v>0.61119537239430266</v>
      </c>
      <c r="O2461" s="8">
        <v>45206</v>
      </c>
      <c r="P2461" s="8">
        <v>45207</v>
      </c>
      <c r="Q2461" s="8">
        <v>45209</v>
      </c>
      <c r="R2461" s="8">
        <v>45213</v>
      </c>
      <c r="S2461" s="8">
        <v>45220</v>
      </c>
      <c r="T2461" s="8">
        <v>45232</v>
      </c>
      <c r="U2461" s="8"/>
      <c r="V2461" s="10">
        <f>COUNTA(O2461:U2461)</f>
        <v>6</v>
      </c>
      <c r="W2461" s="11">
        <f>_xlfn.IFNA(INDEX(reading[[#This Row],[Memo 01]:[Memo 07]],MATCH(0,reading[[#This Row],[Memo 01]:[Memo 07]],-1)),"")</f>
        <v>45232</v>
      </c>
      <c r="X2461" s="11">
        <f ca="1">IFERROR(reading[[#This Row],[Previous]]+OFFSET(reading[[#Headers],[Memo 01]],-1,MATCH(0,reading[[#This Row],[Memo 01]:[Memo 07]],-1)-1),"")</f>
        <v>45252</v>
      </c>
      <c r="Y2461" s="10" t="str">
        <f ca="1">IF(reading[[#This Row],[Next]]&lt;&gt;"",IF(reading[[#This Row],[Next]]&gt;TODAY(),"OK",""),"")</f>
        <v/>
      </c>
      <c r="Z2461" s="13">
        <v>3</v>
      </c>
      <c r="AA2461" s="13">
        <v>3</v>
      </c>
      <c r="AB2461" s="13">
        <v>3</v>
      </c>
      <c r="AC2461" s="13">
        <v>3</v>
      </c>
      <c r="AD2461" s="13">
        <v>3</v>
      </c>
      <c r="AE2461" s="13">
        <v>2</v>
      </c>
      <c r="AF2461" s="13"/>
      <c r="AG2461" s="16">
        <f>IFERROR(SUMIF(reading[[#This Row],[1st]:[7th]],"&gt;0")/COUNTIF(reading[[#This Row],[1st]:[7th]],"&gt;0"),"")</f>
        <v>2.8333333333333335</v>
      </c>
    </row>
    <row r="2462" spans="1:33" x14ac:dyDescent="0.2">
      <c r="A2462" s="4">
        <f>IF(B2462=1,3,IF(D2462=1,2,IF(F2462=1,1,0)))</f>
        <v>0</v>
      </c>
      <c r="B2462" s="4" t="str">
        <f>IF(C2462=$L2462,1,IF(C2462="","",0))</f>
        <v/>
      </c>
      <c r="C2462" s="18"/>
      <c r="D2462" s="4" t="str">
        <f>IF(E2462=$L2462,1,IF(E2462="","",0))</f>
        <v/>
      </c>
      <c r="E2462" s="14"/>
      <c r="F2462" s="4" t="str">
        <f>IF(G2462=$L2462,1,IF(G2462="","",0))</f>
        <v/>
      </c>
      <c r="G2462" s="14"/>
      <c r="H2462" s="6">
        <v>77</v>
      </c>
      <c r="I2462" s="15" t="s">
        <v>3120</v>
      </c>
      <c r="J2462" s="6" t="s">
        <v>3227</v>
      </c>
      <c r="K2462" s="6"/>
      <c r="L2462" s="6" t="s">
        <v>215</v>
      </c>
      <c r="M2462" s="6" t="s">
        <v>6186</v>
      </c>
      <c r="N2462" s="7">
        <f ca="1">RAND()</f>
        <v>0.32210222477235939</v>
      </c>
      <c r="O2462" s="8">
        <v>45198</v>
      </c>
      <c r="P2462" s="8">
        <v>45199</v>
      </c>
      <c r="Q2462" s="8">
        <v>45201</v>
      </c>
      <c r="R2462" s="8">
        <v>45205</v>
      </c>
      <c r="S2462" s="8">
        <v>45212</v>
      </c>
      <c r="T2462" s="8">
        <v>45224</v>
      </c>
      <c r="U2462" s="8"/>
      <c r="V2462" s="10">
        <f>COUNTA(O2462:U2462)</f>
        <v>6</v>
      </c>
      <c r="W2462" s="11">
        <f>_xlfn.IFNA(INDEX(reading[[#This Row],[Memo 01]:[Memo 07]],MATCH(0,reading[[#This Row],[Memo 01]:[Memo 07]],-1)),"")</f>
        <v>45224</v>
      </c>
      <c r="X2462" s="11">
        <f ca="1">IFERROR(reading[[#This Row],[Previous]]+OFFSET(reading[[#Headers],[Memo 01]],-1,MATCH(0,reading[[#This Row],[Memo 01]:[Memo 07]],-1)-1),"")</f>
        <v>45244</v>
      </c>
      <c r="Y2462" s="10" t="str">
        <f ca="1">IF(reading[[#This Row],[Next]]&lt;&gt;"",IF(reading[[#This Row],[Next]]&gt;TODAY(),"OK",""),"")</f>
        <v/>
      </c>
      <c r="Z2462" s="13">
        <v>3</v>
      </c>
      <c r="AA2462" s="13">
        <v>3</v>
      </c>
      <c r="AB2462" s="13">
        <v>3</v>
      </c>
      <c r="AC2462" s="13">
        <v>3</v>
      </c>
      <c r="AD2462" s="13">
        <v>3</v>
      </c>
      <c r="AE2462" s="13">
        <v>3</v>
      </c>
      <c r="AF2462" s="13"/>
      <c r="AG2462" s="16">
        <f>IFERROR(SUMIF(reading[[#This Row],[1st]:[7th]],"&gt;0")/COUNTIF(reading[[#This Row],[1st]:[7th]],"&gt;0"),"")</f>
        <v>3</v>
      </c>
    </row>
    <row r="2463" spans="1:33" x14ac:dyDescent="0.2">
      <c r="A2463" s="4">
        <f>IF(B2463=1,3,IF(D2463=1,2,IF(F2463=1,1,0)))</f>
        <v>0</v>
      </c>
      <c r="B2463" s="4" t="str">
        <f>IF(C2463=$L2463,1,IF(C2463="","",0))</f>
        <v/>
      </c>
      <c r="C2463" s="36"/>
      <c r="D2463" s="4" t="str">
        <f>IF(E2463=$L2463,1,IF(E2463="","",0))</f>
        <v/>
      </c>
      <c r="E2463" s="14"/>
      <c r="F2463" s="4" t="str">
        <f>IF(G2463=$L2463,1,IF(G2463="","",0))</f>
        <v/>
      </c>
      <c r="G2463" s="14"/>
      <c r="H2463" s="6">
        <v>1964</v>
      </c>
      <c r="I2463" s="15" t="s">
        <v>3120</v>
      </c>
      <c r="J2463" s="6" t="s">
        <v>5063</v>
      </c>
      <c r="K2463" s="6"/>
      <c r="L2463" s="6" t="s">
        <v>2039</v>
      </c>
      <c r="M2463" s="6" t="s">
        <v>8070</v>
      </c>
      <c r="N2463" s="7">
        <f ca="1">RAND()</f>
        <v>0.92223877530229514</v>
      </c>
      <c r="O2463" s="8">
        <v>45213</v>
      </c>
      <c r="P2463" s="8">
        <v>45214</v>
      </c>
      <c r="Q2463" s="8">
        <v>45216</v>
      </c>
      <c r="R2463" s="8">
        <v>45220</v>
      </c>
      <c r="S2463" s="8">
        <v>45227</v>
      </c>
      <c r="T2463" s="8"/>
      <c r="U2463" s="8"/>
      <c r="V2463" s="10">
        <f>COUNTA(O2463:U2463)</f>
        <v>5</v>
      </c>
      <c r="W2463" s="11">
        <f>_xlfn.IFNA(INDEX(reading[[#This Row],[Memo 01]:[Memo 07]],MATCH(0,reading[[#This Row],[Memo 01]:[Memo 07]],-1)),"")</f>
        <v>45227</v>
      </c>
      <c r="X2463" s="11">
        <f ca="1">IFERROR(reading[[#This Row],[Previous]]+OFFSET(reading[[#Headers],[Memo 01]],-1,MATCH(0,reading[[#This Row],[Memo 01]:[Memo 07]],-1)-1),"")</f>
        <v>45239</v>
      </c>
      <c r="Y2463" s="10" t="str">
        <f ca="1">IF(reading[[#This Row],[Next]]&lt;&gt;"",IF(reading[[#This Row],[Next]]&gt;TODAY(),"OK",""),"")</f>
        <v/>
      </c>
      <c r="Z2463" s="13">
        <v>3</v>
      </c>
      <c r="AA2463" s="13">
        <v>3</v>
      </c>
      <c r="AB2463" s="13">
        <v>3</v>
      </c>
      <c r="AC2463" s="13">
        <v>3</v>
      </c>
      <c r="AD2463" s="13">
        <v>3</v>
      </c>
      <c r="AE2463" s="13"/>
      <c r="AF2463" s="13"/>
      <c r="AG2463" s="16">
        <f>IFERROR(SUMIF(reading[[#This Row],[1st]:[7th]],"&gt;0")/COUNTIF(reading[[#This Row],[1st]:[7th]],"&gt;0"),"")</f>
        <v>3</v>
      </c>
    </row>
    <row r="2464" spans="1:33" hidden="1" x14ac:dyDescent="0.2">
      <c r="A2464" s="4">
        <f>IF(B2464=1,3,IF(D2464=1,2,IF(F2464=1,1,0)))</f>
        <v>3</v>
      </c>
      <c r="B2464" s="4">
        <f>IF(C2464=$L2464,1,IF(C2464="","",0))</f>
        <v>1</v>
      </c>
      <c r="C2464" s="36" t="s">
        <v>2516</v>
      </c>
      <c r="D2464" s="4" t="str">
        <f>IF(E2464=$L2464,1,IF(E2464="","",0))</f>
        <v/>
      </c>
      <c r="E2464" s="14"/>
      <c r="F2464" s="4" t="str">
        <f>IF(G2464=$L2464,1,IF(G2464="","",0))</f>
        <v/>
      </c>
      <c r="G2464" s="14"/>
      <c r="H2464" s="6">
        <v>2468</v>
      </c>
      <c r="I2464" s="15" t="s">
        <v>3120</v>
      </c>
      <c r="J2464" s="6" t="s">
        <v>3937</v>
      </c>
      <c r="K2464" s="6"/>
      <c r="L2464" s="6" t="s">
        <v>2516</v>
      </c>
      <c r="M2464" s="6" t="s">
        <v>8573</v>
      </c>
      <c r="N2464" s="7">
        <f ca="1">RAND()</f>
        <v>0.54759928524404533</v>
      </c>
      <c r="O2464" s="8">
        <v>45218</v>
      </c>
      <c r="P2464" s="8">
        <v>45218</v>
      </c>
      <c r="Q2464" s="8">
        <v>45218</v>
      </c>
      <c r="R2464" s="8">
        <v>45218</v>
      </c>
      <c r="S2464" s="8">
        <v>45218</v>
      </c>
      <c r="T2464" s="8">
        <v>45218</v>
      </c>
      <c r="U2464" s="8">
        <v>45218</v>
      </c>
      <c r="V2464" s="10">
        <f>COUNTA(O2464:U2464)</f>
        <v>7</v>
      </c>
      <c r="W2464" s="11">
        <f>_xlfn.IFNA(INDEX(reading[[#This Row],[Memo 01]:[Memo 07]],MATCH(0,reading[[#This Row],[Memo 01]:[Memo 07]],-1)),"")</f>
        <v>45218</v>
      </c>
      <c r="X2464" s="11">
        <f ca="1">IFERROR(reading[[#This Row],[Previous]]+OFFSET(reading[[#Headers],[Memo 01]],-1,MATCH(0,reading[[#This Row],[Memo 01]:[Memo 07]],-1)-1),"")</f>
        <v>55218</v>
      </c>
      <c r="Y2464" s="10" t="str">
        <f ca="1">IF(reading[[#This Row],[Next]]&lt;&gt;"",IF(reading[[#This Row],[Next]]&gt;TODAY(),"OK",""),"")</f>
        <v>OK</v>
      </c>
      <c r="Z2464" s="13">
        <v>3</v>
      </c>
      <c r="AA2464" s="13"/>
      <c r="AB2464" s="13"/>
      <c r="AC2464" s="13"/>
      <c r="AD2464" s="13"/>
      <c r="AE2464" s="13"/>
      <c r="AF2464" s="13"/>
      <c r="AG2464" s="16">
        <f>IFERROR(SUMIF(reading[[#This Row],[1st]:[7th]],"&gt;0")/COUNTIF(reading[[#This Row],[1st]:[7th]],"&gt;0"),"")</f>
        <v>3</v>
      </c>
    </row>
    <row r="2465" spans="1:33" hidden="1" x14ac:dyDescent="0.2">
      <c r="A2465" s="4">
        <f>IF(B2465=1,3,IF(D2465=1,2,IF(F2465=1,1,0)))</f>
        <v>0</v>
      </c>
      <c r="B2465" s="4" t="str">
        <f>IF(C2465=$L2465,1,IF(C2465="","",0))</f>
        <v/>
      </c>
      <c r="C2465" s="42"/>
      <c r="D2465" s="4" t="str">
        <f>IF(E2465=$L2465,1,IF(E2465="","",0))</f>
        <v/>
      </c>
      <c r="E2465" s="23"/>
      <c r="F2465" s="4" t="str">
        <f>IF(G2465=$L2465,1,IF(G2465="","",0))</f>
        <v/>
      </c>
      <c r="G2465" s="23"/>
      <c r="H2465" s="6">
        <v>1407</v>
      </c>
      <c r="I2465" s="15" t="s">
        <v>3120</v>
      </c>
      <c r="J2465" s="6" t="s">
        <v>4521</v>
      </c>
      <c r="K2465" s="6"/>
      <c r="L2465" s="6" t="s">
        <v>1498</v>
      </c>
      <c r="M2465" s="6" t="s">
        <v>7514</v>
      </c>
      <c r="N2465" s="7">
        <f ca="1">RAND()</f>
        <v>0.55534503305175653</v>
      </c>
      <c r="O2465" s="8">
        <v>45208</v>
      </c>
      <c r="P2465" s="8">
        <v>45209</v>
      </c>
      <c r="Q2465" s="8">
        <v>45211</v>
      </c>
      <c r="R2465" s="8">
        <v>45215</v>
      </c>
      <c r="S2465" s="8">
        <v>45222</v>
      </c>
      <c r="T2465" s="8">
        <v>45234</v>
      </c>
      <c r="U2465" s="8">
        <v>45816</v>
      </c>
      <c r="V2465" s="10">
        <f>COUNTA(O2465:U2465)</f>
        <v>7</v>
      </c>
      <c r="W2465" s="11">
        <f>_xlfn.IFNA(INDEX(reading[[#This Row],[Memo 01]:[Memo 07]],MATCH(0,reading[[#This Row],[Memo 01]:[Memo 07]],-1)),"")</f>
        <v>45816</v>
      </c>
      <c r="X2465" s="11">
        <f ca="1">IFERROR(reading[[#This Row],[Previous]]+OFFSET(reading[[#Headers],[Memo 01]],-1,MATCH(0,reading[[#This Row],[Memo 01]:[Memo 07]],-1)-1),"")</f>
        <v>55816</v>
      </c>
      <c r="Y2465" s="10" t="str">
        <f ca="1">IF(reading[[#This Row],[Next]]&lt;&gt;"",IF(reading[[#This Row],[Next]]&gt;TODAY(),"OK",""),"")</f>
        <v>OK</v>
      </c>
      <c r="Z2465" s="13">
        <v>3</v>
      </c>
      <c r="AA2465" s="13">
        <v>3</v>
      </c>
      <c r="AB2465" s="13">
        <v>3</v>
      </c>
      <c r="AC2465" s="13">
        <v>3</v>
      </c>
      <c r="AD2465" s="13">
        <v>3</v>
      </c>
      <c r="AE2465" s="13">
        <v>3</v>
      </c>
      <c r="AF2465" s="13">
        <v>1</v>
      </c>
      <c r="AG2465" s="16">
        <f>IFERROR(SUMIF(reading[[#This Row],[1st]:[7th]],"&gt;0")/COUNTIF(reading[[#This Row],[1st]:[7th]],"&gt;0"),"")</f>
        <v>2.7142857142857144</v>
      </c>
    </row>
    <row r="2466" spans="1:33" x14ac:dyDescent="0.2">
      <c r="A2466" s="4">
        <f>IF(B2466=1,3,IF(D2466=1,2,IF(F2466=1,1,0)))</f>
        <v>0</v>
      </c>
      <c r="B2466" s="4" t="str">
        <f>IF(C2466=$L2466,1,IF(C2466="","",0))</f>
        <v/>
      </c>
      <c r="C2466" s="42"/>
      <c r="D2466" s="4" t="str">
        <f>IF(E2466=$L2466,1,IF(E2466="","",0))</f>
        <v/>
      </c>
      <c r="E2466" s="14"/>
      <c r="F2466" s="4" t="str">
        <f>IF(G2466=$L2466,1,IF(G2466="","",0))</f>
        <v/>
      </c>
      <c r="G2466" s="14"/>
      <c r="H2466" s="6">
        <v>2741</v>
      </c>
      <c r="I2466" s="15" t="s">
        <v>3120</v>
      </c>
      <c r="J2466" s="6" t="s">
        <v>5789</v>
      </c>
      <c r="K2466" s="15" t="s">
        <v>3138</v>
      </c>
      <c r="L2466" s="6" t="s">
        <v>2779</v>
      </c>
      <c r="M2466" s="6" t="s">
        <v>8846</v>
      </c>
      <c r="N2466" s="7">
        <f ca="1">RAND()</f>
        <v>0.47209580459541678</v>
      </c>
      <c r="O2466" s="8">
        <v>45221</v>
      </c>
      <c r="P2466" s="8">
        <v>45222</v>
      </c>
      <c r="Q2466" s="8">
        <v>45224</v>
      </c>
      <c r="R2466" s="8">
        <v>45228</v>
      </c>
      <c r="S2466" s="8">
        <v>45235</v>
      </c>
      <c r="T2466" s="8">
        <v>45792</v>
      </c>
      <c r="U2466" s="8"/>
      <c r="V2466" s="10">
        <f>COUNTA(O2466:U2466)</f>
        <v>6</v>
      </c>
      <c r="W2466" s="11">
        <f>_xlfn.IFNA(INDEX(reading[[#This Row],[Memo 01]:[Memo 07]],MATCH(0,reading[[#This Row],[Memo 01]:[Memo 07]],-1)),"")</f>
        <v>45792</v>
      </c>
      <c r="X2466" s="11">
        <f ca="1">IFERROR(reading[[#This Row],[Previous]]+OFFSET(reading[[#Headers],[Memo 01]],-1,MATCH(0,reading[[#This Row],[Memo 01]:[Memo 07]],-1)-1),"")</f>
        <v>45812</v>
      </c>
      <c r="Y2466" s="10" t="str">
        <f ca="1">IF(reading[[#This Row],[Next]]&lt;&gt;"",IF(reading[[#This Row],[Next]]&gt;TODAY(),"OK",""),"")</f>
        <v/>
      </c>
      <c r="Z2466" s="13">
        <v>3</v>
      </c>
      <c r="AA2466" s="13">
        <v>3</v>
      </c>
      <c r="AB2466" s="13">
        <v>3</v>
      </c>
      <c r="AC2466" s="13">
        <v>3</v>
      </c>
      <c r="AD2466" s="13">
        <v>3</v>
      </c>
      <c r="AE2466" s="13">
        <v>3</v>
      </c>
      <c r="AF2466" s="13"/>
      <c r="AG2466" s="16">
        <f>IFERROR(SUMIF(reading[[#This Row],[1st]:[7th]],"&gt;0")/COUNTIF(reading[[#This Row],[1st]:[7th]],"&gt;0"),"")</f>
        <v>3</v>
      </c>
    </row>
    <row r="2467" spans="1:33" x14ac:dyDescent="0.2">
      <c r="A2467" s="4">
        <f>IF(B2467=1,3,IF(D2467=1,2,IF(F2467=1,1,0)))</f>
        <v>0</v>
      </c>
      <c r="B2467" s="4" t="str">
        <f>IF(C2467=$L2467,1,IF(C2467="","",0))</f>
        <v/>
      </c>
      <c r="C2467" s="38"/>
      <c r="D2467" s="4" t="str">
        <f>IF(E2467=$L2467,1,IF(E2467="","",0))</f>
        <v/>
      </c>
      <c r="E2467" s="14"/>
      <c r="F2467" s="4" t="str">
        <f>IF(G2467=$L2467,1,IF(G2467="","",0))</f>
        <v/>
      </c>
      <c r="G2467" s="14"/>
      <c r="H2467" s="6">
        <v>659</v>
      </c>
      <c r="I2467" s="15" t="s">
        <v>3120</v>
      </c>
      <c r="J2467" s="6" t="s">
        <v>3799</v>
      </c>
      <c r="K2467" s="6"/>
      <c r="L2467" s="6" t="s">
        <v>782</v>
      </c>
      <c r="M2467" s="6" t="s">
        <v>6768</v>
      </c>
      <c r="N2467" s="7">
        <f ca="1">RAND()</f>
        <v>0.86507586781850199</v>
      </c>
      <c r="O2467" s="8">
        <v>45202</v>
      </c>
      <c r="P2467" s="8">
        <v>45203</v>
      </c>
      <c r="Q2467" s="8">
        <v>45205</v>
      </c>
      <c r="R2467" s="8">
        <v>45209</v>
      </c>
      <c r="S2467" s="8">
        <v>45216</v>
      </c>
      <c r="T2467" s="8">
        <v>45228</v>
      </c>
      <c r="U2467" s="8"/>
      <c r="V2467" s="10">
        <f>COUNTA(O2467:U2467)</f>
        <v>6</v>
      </c>
      <c r="W2467" s="11">
        <f>_xlfn.IFNA(INDEX(reading[[#This Row],[Memo 01]:[Memo 07]],MATCH(0,reading[[#This Row],[Memo 01]:[Memo 07]],-1)),"")</f>
        <v>45228</v>
      </c>
      <c r="X2467" s="11">
        <f ca="1">IFERROR(reading[[#This Row],[Previous]]+OFFSET(reading[[#Headers],[Memo 01]],-1,MATCH(0,reading[[#This Row],[Memo 01]:[Memo 07]],-1)-1),"")</f>
        <v>45248</v>
      </c>
      <c r="Y2467" s="10" t="str">
        <f ca="1">IF(reading[[#This Row],[Next]]&lt;&gt;"",IF(reading[[#This Row],[Next]]&gt;TODAY(),"OK",""),"")</f>
        <v/>
      </c>
      <c r="Z2467" s="13">
        <v>3</v>
      </c>
      <c r="AA2467" s="13">
        <v>3</v>
      </c>
      <c r="AB2467" s="13">
        <v>2</v>
      </c>
      <c r="AC2467" s="13">
        <v>3</v>
      </c>
      <c r="AD2467" s="13">
        <v>3</v>
      </c>
      <c r="AE2467" s="13">
        <v>3</v>
      </c>
      <c r="AF2467" s="13"/>
      <c r="AG2467" s="16">
        <f>IFERROR(SUMIF(reading[[#This Row],[1st]:[7th]],"&gt;0")/COUNTIF(reading[[#This Row],[1st]:[7th]],"&gt;0"),"")</f>
        <v>2.8333333333333335</v>
      </c>
    </row>
    <row r="2468" spans="1:33" x14ac:dyDescent="0.2">
      <c r="A2468" s="4">
        <f>IF(B2468=1,3,IF(D2468=1,2,IF(F2468=1,1,0)))</f>
        <v>0</v>
      </c>
      <c r="B2468" s="4" t="str">
        <f>IF(C2468=$L2468,1,IF(C2468="","",0))</f>
        <v/>
      </c>
      <c r="C2468" s="39"/>
      <c r="D2468" s="4" t="str">
        <f>IF(E2468=$L2468,1,IF(E2468="","",0))</f>
        <v/>
      </c>
      <c r="E2468" s="18"/>
      <c r="F2468" s="4" t="str">
        <f>IF(G2468=$L2468,1,IF(G2468="","",0))</f>
        <v/>
      </c>
      <c r="G2468" s="18"/>
      <c r="H2468" s="6">
        <v>2690</v>
      </c>
      <c r="I2468" s="15" t="s">
        <v>3120</v>
      </c>
      <c r="J2468" s="6" t="s">
        <v>5741</v>
      </c>
      <c r="K2468" s="6"/>
      <c r="L2468" s="6" t="s">
        <v>2729</v>
      </c>
      <c r="M2468" s="6" t="s">
        <v>8795</v>
      </c>
      <c r="N2468" s="7">
        <f ca="1">RAND()</f>
        <v>4.392282188311436E-2</v>
      </c>
      <c r="O2468" s="8">
        <v>45222</v>
      </c>
      <c r="P2468" s="8">
        <v>45223</v>
      </c>
      <c r="Q2468" s="8">
        <v>45225</v>
      </c>
      <c r="R2468" s="8">
        <v>45229</v>
      </c>
      <c r="S2468" s="8">
        <v>45236</v>
      </c>
      <c r="T2468" s="8"/>
      <c r="U2468" s="8"/>
      <c r="V2468" s="10">
        <f>COUNTA(O2468:U2468)</f>
        <v>5</v>
      </c>
      <c r="W2468" s="11">
        <f>_xlfn.IFNA(INDEX(reading[[#This Row],[Memo 01]:[Memo 07]],MATCH(0,reading[[#This Row],[Memo 01]:[Memo 07]],-1)),"")</f>
        <v>45236</v>
      </c>
      <c r="X2468" s="11">
        <f ca="1">IFERROR(reading[[#This Row],[Previous]]+OFFSET(reading[[#Headers],[Memo 01]],-1,MATCH(0,reading[[#This Row],[Memo 01]:[Memo 07]],-1)-1),"")</f>
        <v>45248</v>
      </c>
      <c r="Y2468" s="10" t="str">
        <f ca="1">IF(reading[[#This Row],[Next]]&lt;&gt;"",IF(reading[[#This Row],[Next]]&gt;TODAY(),"OK",""),"")</f>
        <v/>
      </c>
      <c r="Z2468" s="13">
        <v>3</v>
      </c>
      <c r="AA2468" s="13">
        <v>3</v>
      </c>
      <c r="AB2468" s="13">
        <v>3</v>
      </c>
      <c r="AC2468" s="13">
        <v>3</v>
      </c>
      <c r="AD2468" s="13">
        <v>3</v>
      </c>
      <c r="AE2468" s="13"/>
      <c r="AF2468" s="13"/>
      <c r="AG2468" s="16">
        <f>IFERROR(SUMIF(reading[[#This Row],[1st]:[7th]],"&gt;0")/COUNTIF(reading[[#This Row],[1st]:[7th]],"&gt;0"),"")</f>
        <v>3</v>
      </c>
    </row>
    <row r="2469" spans="1:33" hidden="1" x14ac:dyDescent="0.2">
      <c r="A2469" s="4">
        <f>IF(B2469=1,3,IF(D2469=1,2,IF(F2469=1,1,0)))</f>
        <v>0</v>
      </c>
      <c r="B2469" s="4" t="str">
        <f>IF(C2469=$L2469,1,IF(C2469="","",0))</f>
        <v/>
      </c>
      <c r="C2469" s="42"/>
      <c r="D2469" s="4" t="str">
        <f>IF(E2469=$L2469,1,IF(E2469="","",0))</f>
        <v/>
      </c>
      <c r="E2469" s="43"/>
      <c r="F2469" s="4" t="str">
        <f>IF(G2469=$L2469,1,IF(G2469="","",0))</f>
        <v/>
      </c>
      <c r="G2469" s="23"/>
      <c r="H2469" s="6">
        <v>1749</v>
      </c>
      <c r="I2469" s="15" t="s">
        <v>3120</v>
      </c>
      <c r="J2469" s="6" t="s">
        <v>4857</v>
      </c>
      <c r="K2469" s="6" t="s">
        <v>3138</v>
      </c>
      <c r="L2469" s="6" t="s">
        <v>1829</v>
      </c>
      <c r="M2469" s="6" t="s">
        <v>7855</v>
      </c>
      <c r="N2469" s="7">
        <f ca="1">RAND()</f>
        <v>0.61833184353034176</v>
      </c>
      <c r="O2469" s="8">
        <v>45211</v>
      </c>
      <c r="P2469" s="8">
        <v>45212</v>
      </c>
      <c r="Q2469" s="8">
        <v>45214</v>
      </c>
      <c r="R2469" s="8">
        <v>45218</v>
      </c>
      <c r="S2469" s="8">
        <v>45225</v>
      </c>
      <c r="T2469" s="8">
        <v>45248</v>
      </c>
      <c r="U2469" s="8">
        <v>45816</v>
      </c>
      <c r="V2469" s="10">
        <f>COUNTA(O2469:U2469)</f>
        <v>7</v>
      </c>
      <c r="W2469" s="11">
        <f>_xlfn.IFNA(INDEX(reading[[#This Row],[Memo 01]:[Memo 07]],MATCH(0,reading[[#This Row],[Memo 01]:[Memo 07]],-1)),"")</f>
        <v>45816</v>
      </c>
      <c r="X2469" s="11">
        <f ca="1">IFERROR(reading[[#This Row],[Previous]]+OFFSET(reading[[#Headers],[Memo 01]],-1,MATCH(0,reading[[#This Row],[Memo 01]:[Memo 07]],-1)-1),"")</f>
        <v>55816</v>
      </c>
      <c r="Y2469" s="10" t="str">
        <f ca="1">IF(reading[[#This Row],[Next]]&lt;&gt;"",IF(reading[[#This Row],[Next]]&gt;TODAY(),"OK",""),"")</f>
        <v>OK</v>
      </c>
      <c r="Z2469" s="13">
        <v>3</v>
      </c>
      <c r="AA2469" s="13">
        <v>3</v>
      </c>
      <c r="AB2469" s="13">
        <v>3</v>
      </c>
      <c r="AC2469" s="13">
        <v>3</v>
      </c>
      <c r="AD2469" s="13">
        <v>3</v>
      </c>
      <c r="AE2469" s="13">
        <v>2</v>
      </c>
      <c r="AF2469" s="13">
        <v>1</v>
      </c>
      <c r="AG2469" s="16">
        <f>IFERROR(SUMIF(reading[[#This Row],[1st]:[7th]],"&gt;0")/COUNTIF(reading[[#This Row],[1st]:[7th]],"&gt;0"),"")</f>
        <v>2.5714285714285716</v>
      </c>
    </row>
    <row r="2470" spans="1:33" x14ac:dyDescent="0.2">
      <c r="A2470" s="4">
        <f>IF(B2470=1,3,IF(D2470=1,2,IF(F2470=1,1,0)))</f>
        <v>0</v>
      </c>
      <c r="B2470" s="4" t="str">
        <f>IF(C2470=$L2470,1,IF(C2470="","",0))</f>
        <v/>
      </c>
      <c r="C2470" s="36"/>
      <c r="D2470" s="4" t="str">
        <f>IF(E2470=$L2470,1,IF(E2470="","",0))</f>
        <v/>
      </c>
      <c r="E2470" s="14"/>
      <c r="F2470" s="4" t="str">
        <f>IF(G2470=$L2470,1,IF(G2470="","",0))</f>
        <v/>
      </c>
      <c r="G2470" s="14"/>
      <c r="H2470" s="6">
        <v>422</v>
      </c>
      <c r="I2470" s="15" t="s">
        <v>3120</v>
      </c>
      <c r="J2470" s="6" t="s">
        <v>3568</v>
      </c>
      <c r="K2470" s="6"/>
      <c r="L2470" s="6" t="s">
        <v>552</v>
      </c>
      <c r="M2470" s="6" t="s">
        <v>6531</v>
      </c>
      <c r="N2470" s="7">
        <f ca="1">RAND()</f>
        <v>0.57403738635180324</v>
      </c>
      <c r="O2470" s="8">
        <v>45201</v>
      </c>
      <c r="P2470" s="8">
        <v>45202</v>
      </c>
      <c r="Q2470" s="8">
        <v>45204</v>
      </c>
      <c r="R2470" s="8">
        <v>45208</v>
      </c>
      <c r="S2470" s="8">
        <v>45215</v>
      </c>
      <c r="T2470" s="8">
        <v>45227</v>
      </c>
      <c r="U2470" s="8"/>
      <c r="V2470" s="10">
        <f>COUNTA(O2470:U2470)</f>
        <v>6</v>
      </c>
      <c r="W2470" s="11">
        <f>_xlfn.IFNA(INDEX(reading[[#This Row],[Memo 01]:[Memo 07]],MATCH(0,reading[[#This Row],[Memo 01]:[Memo 07]],-1)),"")</f>
        <v>45227</v>
      </c>
      <c r="X2470" s="11">
        <f ca="1">IFERROR(reading[[#This Row],[Previous]]+OFFSET(reading[[#Headers],[Memo 01]],-1,MATCH(0,reading[[#This Row],[Memo 01]:[Memo 07]],-1)-1),"")</f>
        <v>45247</v>
      </c>
      <c r="Y2470" s="10" t="str">
        <f ca="1">IF(reading[[#This Row],[Next]]&lt;&gt;"",IF(reading[[#This Row],[Next]]&gt;TODAY(),"OK",""),"")</f>
        <v/>
      </c>
      <c r="Z2470" s="13">
        <v>3</v>
      </c>
      <c r="AA2470" s="13">
        <v>3</v>
      </c>
      <c r="AB2470" s="13">
        <v>3</v>
      </c>
      <c r="AC2470" s="13">
        <v>3</v>
      </c>
      <c r="AD2470" s="13">
        <v>3</v>
      </c>
      <c r="AE2470" s="13">
        <v>3</v>
      </c>
      <c r="AF2470" s="13"/>
      <c r="AG2470" s="16">
        <f>IFERROR(SUMIF(reading[[#This Row],[1st]:[7th]],"&gt;0")/COUNTIF(reading[[#This Row],[1st]:[7th]],"&gt;0"),"")</f>
        <v>3</v>
      </c>
    </row>
    <row r="2471" spans="1:33" x14ac:dyDescent="0.2">
      <c r="A2471" s="4">
        <f>IF(B2471=1,3,IF(D2471=1,2,IF(F2471=1,1,0)))</f>
        <v>0</v>
      </c>
      <c r="B2471" s="4" t="str">
        <f>IF(C2471=$L2471,1,IF(C2471="","",0))</f>
        <v/>
      </c>
      <c r="C2471" s="41"/>
      <c r="D2471" s="4" t="str">
        <f>IF(E2471=$L2471,1,IF(E2471="","",0))</f>
        <v/>
      </c>
      <c r="E2471" s="18"/>
      <c r="F2471" s="4" t="str">
        <f>IF(G2471=$L2471,1,IF(G2471="","",0))</f>
        <v/>
      </c>
      <c r="G2471" s="14"/>
      <c r="H2471" s="6">
        <v>2730</v>
      </c>
      <c r="I2471" s="15" t="s">
        <v>3120</v>
      </c>
      <c r="J2471" s="6" t="s">
        <v>3476</v>
      </c>
      <c r="K2471" s="6"/>
      <c r="L2471" s="6" t="s">
        <v>2768</v>
      </c>
      <c r="M2471" s="6" t="s">
        <v>8835</v>
      </c>
      <c r="N2471" s="7">
        <f ca="1">RAND()</f>
        <v>0.96667196193162286</v>
      </c>
      <c r="O2471" s="8">
        <v>45221</v>
      </c>
      <c r="P2471" s="8">
        <v>45222</v>
      </c>
      <c r="Q2471" s="8">
        <v>45224</v>
      </c>
      <c r="R2471" s="8">
        <v>45228</v>
      </c>
      <c r="S2471" s="8">
        <v>45235</v>
      </c>
      <c r="T2471" s="8">
        <v>45252</v>
      </c>
      <c r="U2471" s="8"/>
      <c r="V2471" s="10">
        <f>COUNTA(O2471:U2471)</f>
        <v>6</v>
      </c>
      <c r="W2471" s="11">
        <f>_xlfn.IFNA(INDEX(reading[[#This Row],[Memo 01]:[Memo 07]],MATCH(0,reading[[#This Row],[Memo 01]:[Memo 07]],-1)),"")</f>
        <v>45252</v>
      </c>
      <c r="X2471" s="11">
        <f ca="1">IFERROR(reading[[#This Row],[Previous]]+OFFSET(reading[[#Headers],[Memo 01]],-1,MATCH(0,reading[[#This Row],[Memo 01]:[Memo 07]],-1)-1),"")</f>
        <v>45272</v>
      </c>
      <c r="Y2471" s="10" t="str">
        <f ca="1">IF(reading[[#This Row],[Next]]&lt;&gt;"",IF(reading[[#This Row],[Next]]&gt;TODAY(),"OK",""),"")</f>
        <v/>
      </c>
      <c r="Z2471" s="13">
        <v>3</v>
      </c>
      <c r="AA2471" s="13">
        <v>2</v>
      </c>
      <c r="AB2471" s="13">
        <v>2</v>
      </c>
      <c r="AC2471" s="13">
        <v>3</v>
      </c>
      <c r="AD2471" s="13">
        <v>3</v>
      </c>
      <c r="AE2471" s="13">
        <v>2</v>
      </c>
      <c r="AF2471" s="13"/>
      <c r="AG2471" s="16">
        <f>IFERROR(SUMIF(reading[[#This Row],[1st]:[7th]],"&gt;0")/COUNTIF(reading[[#This Row],[1st]:[7th]],"&gt;0"),"")</f>
        <v>2.5</v>
      </c>
    </row>
    <row r="2472" spans="1:33" hidden="1" x14ac:dyDescent="0.2">
      <c r="A2472" s="4">
        <f>IF(B2472=1,3,IF(D2472=1,2,IF(F2472=1,1,0)))</f>
        <v>0</v>
      </c>
      <c r="B2472" s="4">
        <f>IF(C2472=$L2472,1,IF(C2472="","",0))</f>
        <v>0</v>
      </c>
      <c r="C2472" s="42" t="s">
        <v>9200</v>
      </c>
      <c r="D2472" s="4" t="str">
        <f>IF(E2472=$L2472,1,IF(E2472="","",0))</f>
        <v/>
      </c>
      <c r="E2472" s="18"/>
      <c r="F2472" s="4" t="str">
        <f>IF(G2472=$L2472,1,IF(G2472="","",0))</f>
        <v/>
      </c>
      <c r="G2472" s="14"/>
      <c r="H2472" s="6">
        <v>2477</v>
      </c>
      <c r="I2472" s="15" t="s">
        <v>3120</v>
      </c>
      <c r="J2472" s="6" t="s">
        <v>5545</v>
      </c>
      <c r="K2472" s="6"/>
      <c r="L2472" s="6" t="s">
        <v>2525</v>
      </c>
      <c r="M2472" s="6" t="s">
        <v>8582</v>
      </c>
      <c r="N2472" s="7">
        <f ca="1">RAND()</f>
        <v>0.43421868910243544</v>
      </c>
      <c r="O2472" s="8">
        <v>45218</v>
      </c>
      <c r="P2472" s="8">
        <v>45219</v>
      </c>
      <c r="Q2472" s="8">
        <v>45221</v>
      </c>
      <c r="R2472" s="8">
        <v>45225</v>
      </c>
      <c r="S2472" s="8">
        <v>45232</v>
      </c>
      <c r="T2472" s="8"/>
      <c r="U2472" s="8"/>
      <c r="V2472" s="10">
        <f>COUNTA(O2472:U2472)</f>
        <v>5</v>
      </c>
      <c r="W2472" s="11">
        <f>_xlfn.IFNA(INDEX(reading[[#This Row],[Memo 01]:[Memo 07]],MATCH(0,reading[[#This Row],[Memo 01]:[Memo 07]],-1)),"")</f>
        <v>45232</v>
      </c>
      <c r="X2472" s="11">
        <f ca="1">IFERROR(reading[[#This Row],[Previous]]+OFFSET(reading[[#Headers],[Memo 01]],-1,MATCH(0,reading[[#This Row],[Memo 01]:[Memo 07]],-1)-1),"")</f>
        <v>45244</v>
      </c>
      <c r="Y2472" s="10" t="str">
        <f ca="1">IF(reading[[#This Row],[Next]]&lt;&gt;"",IF(reading[[#This Row],[Next]]&gt;TODAY(),"OK",""),"")</f>
        <v/>
      </c>
      <c r="Z2472" s="13">
        <v>3</v>
      </c>
      <c r="AA2472" s="13">
        <v>3</v>
      </c>
      <c r="AB2472" s="13">
        <v>2</v>
      </c>
      <c r="AC2472" s="13">
        <v>3</v>
      </c>
      <c r="AD2472" s="13">
        <v>3</v>
      </c>
      <c r="AE2472" s="13"/>
      <c r="AF2472" s="13"/>
      <c r="AG2472" s="16">
        <f>IFERROR(SUMIF(reading[[#This Row],[1st]:[7th]],"&gt;0")/COUNTIF(reading[[#This Row],[1st]:[7th]],"&gt;0"),"")</f>
        <v>2.8</v>
      </c>
    </row>
    <row r="2473" spans="1:33" x14ac:dyDescent="0.2">
      <c r="A2473" s="4">
        <f>IF(B2473=1,3,IF(D2473=1,2,IF(F2473=1,1,0)))</f>
        <v>0</v>
      </c>
      <c r="B2473" s="4" t="str">
        <f>IF(C2473=$L2473,1,IF(C2473="","",0))</f>
        <v/>
      </c>
      <c r="C2473" s="36"/>
      <c r="D2473" s="4" t="str">
        <f>IF(E2473=$L2473,1,IF(E2473="","",0))</f>
        <v/>
      </c>
      <c r="E2473" s="14"/>
      <c r="F2473" s="4" t="str">
        <f>IF(G2473=$L2473,1,IF(G2473="","",0))</f>
        <v/>
      </c>
      <c r="G2473" s="14"/>
      <c r="H2473" s="6">
        <v>1894</v>
      </c>
      <c r="I2473" s="15" t="s">
        <v>3120</v>
      </c>
      <c r="J2473" s="6" t="s">
        <v>4995</v>
      </c>
      <c r="K2473" s="6"/>
      <c r="L2473" s="6" t="s">
        <v>1970</v>
      </c>
      <c r="M2473" s="6" t="s">
        <v>8000</v>
      </c>
      <c r="N2473" s="7">
        <f ca="1">RAND()</f>
        <v>0.84945479335715801</v>
      </c>
      <c r="O2473" s="8">
        <v>45212</v>
      </c>
      <c r="P2473" s="8">
        <v>45213</v>
      </c>
      <c r="Q2473" s="8">
        <v>45215</v>
      </c>
      <c r="R2473" s="8">
        <v>45219</v>
      </c>
      <c r="S2473" s="8">
        <v>45226</v>
      </c>
      <c r="T2473" s="8"/>
      <c r="U2473" s="8"/>
      <c r="V2473" s="10">
        <f>COUNTA(O2473:U2473)</f>
        <v>5</v>
      </c>
      <c r="W2473" s="11">
        <f>_xlfn.IFNA(INDEX(reading[[#This Row],[Memo 01]:[Memo 07]],MATCH(0,reading[[#This Row],[Memo 01]:[Memo 07]],-1)),"")</f>
        <v>45226</v>
      </c>
      <c r="X2473" s="11">
        <f ca="1">IFERROR(reading[[#This Row],[Previous]]+OFFSET(reading[[#Headers],[Memo 01]],-1,MATCH(0,reading[[#This Row],[Memo 01]:[Memo 07]],-1)-1),"")</f>
        <v>45238</v>
      </c>
      <c r="Y2473" s="10" t="str">
        <f ca="1">IF(reading[[#This Row],[Next]]&lt;&gt;"",IF(reading[[#This Row],[Next]]&gt;TODAY(),"OK",""),"")</f>
        <v/>
      </c>
      <c r="Z2473" s="13">
        <v>3</v>
      </c>
      <c r="AA2473" s="13">
        <v>3</v>
      </c>
      <c r="AB2473" s="13">
        <v>3</v>
      </c>
      <c r="AC2473" s="13">
        <v>3</v>
      </c>
      <c r="AD2473" s="13">
        <v>3</v>
      </c>
      <c r="AE2473" s="13"/>
      <c r="AF2473" s="13"/>
      <c r="AG2473" s="16">
        <f>IFERROR(SUMIF(reading[[#This Row],[1st]:[7th]],"&gt;0")/COUNTIF(reading[[#This Row],[1st]:[7th]],"&gt;0"),"")</f>
        <v>3</v>
      </c>
    </row>
    <row r="2474" spans="1:33" x14ac:dyDescent="0.2">
      <c r="A2474" s="4">
        <f>IF(B2474=1,3,IF(D2474=1,2,IF(F2474=1,1,0)))</f>
        <v>0</v>
      </c>
      <c r="B2474" s="4" t="str">
        <f>IF(C2474=$L2474,1,IF(C2474="","",0))</f>
        <v/>
      </c>
      <c r="C2474" s="38"/>
      <c r="D2474" s="4" t="str">
        <f>IF(E2474=$L2474,1,IF(E2474="","",0))</f>
        <v/>
      </c>
      <c r="E2474" s="18"/>
      <c r="F2474" s="4" t="str">
        <f>IF(G2474=$L2474,1,IF(G2474="","",0))</f>
        <v/>
      </c>
      <c r="G2474" s="14"/>
      <c r="H2474" s="6">
        <v>699</v>
      </c>
      <c r="I2474" s="15" t="s">
        <v>3120</v>
      </c>
      <c r="J2474" s="6" t="s">
        <v>3838</v>
      </c>
      <c r="K2474" s="6"/>
      <c r="L2474" s="6" t="s">
        <v>822</v>
      </c>
      <c r="M2474" s="6" t="s">
        <v>6808</v>
      </c>
      <c r="N2474" s="7">
        <f ca="1">RAND()</f>
        <v>0.77243987645161549</v>
      </c>
      <c r="O2474" s="8">
        <v>45203</v>
      </c>
      <c r="P2474" s="8">
        <v>45204</v>
      </c>
      <c r="Q2474" s="8">
        <v>45206</v>
      </c>
      <c r="R2474" s="8">
        <v>45210</v>
      </c>
      <c r="S2474" s="8">
        <v>45217</v>
      </c>
      <c r="T2474" s="8">
        <v>45229</v>
      </c>
      <c r="U2474" s="8"/>
      <c r="V2474" s="10">
        <f>COUNTA(O2474:U2474)</f>
        <v>6</v>
      </c>
      <c r="W2474" s="11">
        <f>_xlfn.IFNA(INDEX(reading[[#This Row],[Memo 01]:[Memo 07]],MATCH(0,reading[[#This Row],[Memo 01]:[Memo 07]],-1)),"")</f>
        <v>45229</v>
      </c>
      <c r="X2474" s="11">
        <f ca="1">IFERROR(reading[[#This Row],[Previous]]+OFFSET(reading[[#Headers],[Memo 01]],-1,MATCH(0,reading[[#This Row],[Memo 01]:[Memo 07]],-1)-1),"")</f>
        <v>45249</v>
      </c>
      <c r="Y2474" s="10" t="str">
        <f ca="1">IF(reading[[#This Row],[Next]]&lt;&gt;"",IF(reading[[#This Row],[Next]]&gt;TODAY(),"OK",""),"")</f>
        <v/>
      </c>
      <c r="Z2474" s="13">
        <v>3</v>
      </c>
      <c r="AA2474" s="13">
        <v>2</v>
      </c>
      <c r="AB2474" s="13">
        <v>3</v>
      </c>
      <c r="AC2474" s="13">
        <v>3</v>
      </c>
      <c r="AD2474" s="13">
        <v>3</v>
      </c>
      <c r="AE2474" s="13">
        <v>3</v>
      </c>
      <c r="AF2474" s="13"/>
      <c r="AG2474" s="16">
        <f>IFERROR(SUMIF(reading[[#This Row],[1st]:[7th]],"&gt;0")/COUNTIF(reading[[#This Row],[1st]:[7th]],"&gt;0"),"")</f>
        <v>2.8333333333333335</v>
      </c>
    </row>
    <row r="2475" spans="1:33" hidden="1" x14ac:dyDescent="0.2">
      <c r="A2475" s="4">
        <f>IF(B2475=1,3,IF(D2475=1,2,IF(F2475=1,1,0)))</f>
        <v>0</v>
      </c>
      <c r="B2475" s="4">
        <f>IF(C2475=$L2475,1,IF(C2475="","",0))</f>
        <v>0</v>
      </c>
      <c r="C2475" s="42" t="s">
        <v>9251</v>
      </c>
      <c r="D2475" s="4" t="str">
        <f>IF(E2475=$L2475,1,IF(E2475="","",0))</f>
        <v/>
      </c>
      <c r="E2475" s="14"/>
      <c r="F2475" s="4" t="str">
        <f>IF(G2475=$L2475,1,IF(G2475="","",0))</f>
        <v/>
      </c>
      <c r="G2475" s="14"/>
      <c r="H2475" s="6">
        <v>532</v>
      </c>
      <c r="I2475" s="15" t="s">
        <v>3120</v>
      </c>
      <c r="J2475" s="6" t="s">
        <v>3677</v>
      </c>
      <c r="K2475" s="6"/>
      <c r="L2475" s="6" t="s">
        <v>660</v>
      </c>
      <c r="M2475" s="6" t="s">
        <v>6641</v>
      </c>
      <c r="N2475" s="7">
        <f ca="1">RAND()</f>
        <v>0.95637238620097698</v>
      </c>
      <c r="O2475" s="8">
        <v>45202</v>
      </c>
      <c r="P2475" s="8">
        <v>45203</v>
      </c>
      <c r="Q2475" s="8">
        <v>45205</v>
      </c>
      <c r="R2475" s="8">
        <v>45209</v>
      </c>
      <c r="S2475" s="8">
        <v>45216</v>
      </c>
      <c r="T2475" s="8">
        <v>45228</v>
      </c>
      <c r="U2475" s="8"/>
      <c r="V2475" s="10">
        <f>COUNTA(O2475:U2475)</f>
        <v>6</v>
      </c>
      <c r="W2475" s="11">
        <f>_xlfn.IFNA(INDEX(reading[[#This Row],[Memo 01]:[Memo 07]],MATCH(0,reading[[#This Row],[Memo 01]:[Memo 07]],-1)),"")</f>
        <v>45228</v>
      </c>
      <c r="X2475" s="11">
        <f ca="1">IFERROR(reading[[#This Row],[Previous]]+OFFSET(reading[[#Headers],[Memo 01]],-1,MATCH(0,reading[[#This Row],[Memo 01]:[Memo 07]],-1)-1),"")</f>
        <v>45248</v>
      </c>
      <c r="Y2475" s="10" t="str">
        <f ca="1">IF(reading[[#This Row],[Next]]&lt;&gt;"",IF(reading[[#This Row],[Next]]&gt;TODAY(),"OK",""),"")</f>
        <v/>
      </c>
      <c r="Z2475" s="13">
        <v>3</v>
      </c>
      <c r="AA2475" s="13">
        <v>3</v>
      </c>
      <c r="AB2475" s="13">
        <v>2</v>
      </c>
      <c r="AC2475" s="13">
        <v>3</v>
      </c>
      <c r="AD2475" s="13">
        <v>3</v>
      </c>
      <c r="AE2475" s="13">
        <v>3</v>
      </c>
      <c r="AF2475" s="13"/>
      <c r="AG2475" s="16">
        <f>IFERROR(SUMIF(reading[[#This Row],[1st]:[7th]],"&gt;0")/COUNTIF(reading[[#This Row],[1st]:[7th]],"&gt;0"),"")</f>
        <v>2.8333333333333335</v>
      </c>
    </row>
    <row r="2476" spans="1:33" x14ac:dyDescent="0.2">
      <c r="A2476" s="4">
        <f>IF(B2476=1,3,IF(D2476=1,2,IF(F2476=1,1,0)))</f>
        <v>0</v>
      </c>
      <c r="B2476" s="4" t="str">
        <f>IF(C2476=$L2476,1,IF(C2476="","",0))</f>
        <v/>
      </c>
      <c r="C2476" s="39"/>
      <c r="D2476" s="4" t="str">
        <f>IF(E2476=$L2476,1,IF(E2476="","",0))</f>
        <v/>
      </c>
      <c r="E2476" s="14"/>
      <c r="F2476" s="4" t="str">
        <f>IF(G2476=$L2476,1,IF(G2476="","",0))</f>
        <v/>
      </c>
      <c r="G2476" s="14"/>
      <c r="H2476" s="6">
        <v>2780</v>
      </c>
      <c r="I2476" s="15" t="s">
        <v>3120</v>
      </c>
      <c r="J2476" s="6" t="s">
        <v>5823</v>
      </c>
      <c r="K2476" s="6"/>
      <c r="L2476" s="6" t="s">
        <v>2818</v>
      </c>
      <c r="M2476" s="6" t="s">
        <v>8884</v>
      </c>
      <c r="N2476" s="7">
        <f ca="1">RAND()</f>
        <v>0.40772458372307807</v>
      </c>
      <c r="O2476" s="8">
        <v>45221</v>
      </c>
      <c r="P2476" s="8">
        <v>45222</v>
      </c>
      <c r="Q2476" s="8">
        <v>45224</v>
      </c>
      <c r="R2476" s="8">
        <v>45228</v>
      </c>
      <c r="S2476" s="8">
        <v>45235</v>
      </c>
      <c r="T2476" s="8"/>
      <c r="U2476" s="8"/>
      <c r="V2476" s="10">
        <f>COUNTA(O2476:U2476)</f>
        <v>5</v>
      </c>
      <c r="W2476" s="11">
        <f>_xlfn.IFNA(INDEX(reading[[#This Row],[Memo 01]:[Memo 07]],MATCH(0,reading[[#This Row],[Memo 01]:[Memo 07]],-1)),"")</f>
        <v>45235</v>
      </c>
      <c r="X2476" s="11">
        <f ca="1">IFERROR(reading[[#This Row],[Previous]]+OFFSET(reading[[#Headers],[Memo 01]],-1,MATCH(0,reading[[#This Row],[Memo 01]:[Memo 07]],-1)-1),"")</f>
        <v>45247</v>
      </c>
      <c r="Y2476" s="10" t="str">
        <f ca="1">IF(reading[[#This Row],[Next]]&lt;&gt;"",IF(reading[[#This Row],[Next]]&gt;TODAY(),"OK",""),"")</f>
        <v/>
      </c>
      <c r="Z2476" s="13">
        <v>3</v>
      </c>
      <c r="AA2476" s="13">
        <v>3</v>
      </c>
      <c r="AB2476" s="13">
        <v>3</v>
      </c>
      <c r="AC2476" s="13">
        <v>3</v>
      </c>
      <c r="AD2476" s="13">
        <v>3</v>
      </c>
      <c r="AE2476" s="13"/>
      <c r="AF2476" s="13"/>
      <c r="AG2476" s="16">
        <f>IFERROR(SUMIF(reading[[#This Row],[1st]:[7th]],"&gt;0")/COUNTIF(reading[[#This Row],[1st]:[7th]],"&gt;0"),"")</f>
        <v>3</v>
      </c>
    </row>
    <row r="2477" spans="1:33" x14ac:dyDescent="0.2">
      <c r="A2477" s="4">
        <f>IF(B2477=1,3,IF(D2477=1,2,IF(F2477=1,1,0)))</f>
        <v>0</v>
      </c>
      <c r="B2477" s="4" t="str">
        <f>IF(C2477=$L2477,1,IF(C2477="","",0))</f>
        <v/>
      </c>
      <c r="C2477" s="39"/>
      <c r="D2477" s="4" t="str">
        <f>IF(E2477=$L2477,1,IF(E2477="","",0))</f>
        <v/>
      </c>
      <c r="E2477" s="14"/>
      <c r="F2477" s="4" t="str">
        <f>IF(G2477=$L2477,1,IF(G2477="","",0))</f>
        <v/>
      </c>
      <c r="G2477" s="14"/>
      <c r="H2477" s="6">
        <v>2782</v>
      </c>
      <c r="I2477" s="15" t="s">
        <v>3120</v>
      </c>
      <c r="J2477" s="6" t="s">
        <v>5825</v>
      </c>
      <c r="K2477" s="15" t="s">
        <v>3138</v>
      </c>
      <c r="L2477" s="6" t="s">
        <v>2820</v>
      </c>
      <c r="M2477" s="6" t="s">
        <v>8886</v>
      </c>
      <c r="N2477" s="7">
        <f ca="1">RAND()</f>
        <v>1.1983403743616172E-2</v>
      </c>
      <c r="O2477" s="8">
        <v>45221</v>
      </c>
      <c r="P2477" s="8">
        <v>45222</v>
      </c>
      <c r="Q2477" s="8">
        <v>45224</v>
      </c>
      <c r="R2477" s="8">
        <v>45228</v>
      </c>
      <c r="S2477" s="8">
        <v>45235</v>
      </c>
      <c r="T2477" s="8"/>
      <c r="U2477" s="8"/>
      <c r="V2477" s="10">
        <f>COUNTA(O2477:U2477)</f>
        <v>5</v>
      </c>
      <c r="W2477" s="11">
        <f>_xlfn.IFNA(INDEX(reading[[#This Row],[Memo 01]:[Memo 07]],MATCH(0,reading[[#This Row],[Memo 01]:[Memo 07]],-1)),"")</f>
        <v>45235</v>
      </c>
      <c r="X2477" s="11">
        <f ca="1">IFERROR(reading[[#This Row],[Previous]]+OFFSET(reading[[#Headers],[Memo 01]],-1,MATCH(0,reading[[#This Row],[Memo 01]:[Memo 07]],-1)-1),"")</f>
        <v>45247</v>
      </c>
      <c r="Y2477" s="10" t="str">
        <f ca="1">IF(reading[[#This Row],[Next]]&lt;&gt;"",IF(reading[[#This Row],[Next]]&gt;TODAY(),"OK",""),"")</f>
        <v/>
      </c>
      <c r="Z2477" s="13">
        <v>3</v>
      </c>
      <c r="AA2477" s="13">
        <v>3</v>
      </c>
      <c r="AB2477" s="13">
        <v>3</v>
      </c>
      <c r="AC2477" s="13">
        <v>3</v>
      </c>
      <c r="AD2477" s="13">
        <v>3</v>
      </c>
      <c r="AE2477" s="13"/>
      <c r="AF2477" s="13"/>
      <c r="AG2477" s="16">
        <f>IFERROR(SUMIF(reading[[#This Row],[1st]:[7th]],"&gt;0")/COUNTIF(reading[[#This Row],[1st]:[7th]],"&gt;0"),"")</f>
        <v>3</v>
      </c>
    </row>
    <row r="2478" spans="1:33" x14ac:dyDescent="0.2">
      <c r="A2478" s="4">
        <f>IF(B2478=1,3,IF(D2478=1,2,IF(F2478=1,1,0)))</f>
        <v>0</v>
      </c>
      <c r="B2478" s="4" t="str">
        <f>IF(C2478=$L2478,1,IF(C2478="","",0))</f>
        <v/>
      </c>
      <c r="C2478" s="42"/>
      <c r="D2478" s="4" t="str">
        <f>IF(E2478=$L2478,1,IF(E2478="","",0))</f>
        <v/>
      </c>
      <c r="E2478" s="43"/>
      <c r="F2478" s="4" t="str">
        <f>IF(G2478=$L2478,1,IF(G2478="","",0))</f>
        <v/>
      </c>
      <c r="G2478" s="23"/>
      <c r="H2478" s="6">
        <v>2883</v>
      </c>
      <c r="I2478" s="15" t="s">
        <v>3120</v>
      </c>
      <c r="J2478" s="6" t="s">
        <v>5920</v>
      </c>
      <c r="K2478" s="24" t="s">
        <v>9213</v>
      </c>
      <c r="L2478" s="6" t="s">
        <v>2914</v>
      </c>
      <c r="M2478" s="6" t="s">
        <v>8987</v>
      </c>
      <c r="N2478" s="7">
        <f ca="1">RAND()</f>
        <v>0.22532894061088682</v>
      </c>
      <c r="O2478" s="8">
        <v>45223</v>
      </c>
      <c r="P2478" s="8">
        <v>45224</v>
      </c>
      <c r="Q2478" s="8">
        <v>45226</v>
      </c>
      <c r="R2478" s="8">
        <v>45251</v>
      </c>
      <c r="S2478" s="8">
        <v>45816</v>
      </c>
      <c r="T2478" s="8"/>
      <c r="U2478" s="8"/>
      <c r="V2478" s="10">
        <f>COUNTA(O2478:U2478)</f>
        <v>5</v>
      </c>
      <c r="W2478" s="11">
        <f>_xlfn.IFNA(INDEX(reading[[#This Row],[Memo 01]:[Memo 07]],MATCH(0,reading[[#This Row],[Memo 01]:[Memo 07]],-1)),"")</f>
        <v>45816</v>
      </c>
      <c r="X2478" s="11">
        <f ca="1">IFERROR(reading[[#This Row],[Previous]]+OFFSET(reading[[#Headers],[Memo 01]],-1,MATCH(0,reading[[#This Row],[Memo 01]:[Memo 07]],-1)-1),"")</f>
        <v>45828</v>
      </c>
      <c r="Y2478" s="10" t="str">
        <f ca="1">IF(reading[[#This Row],[Next]]&lt;&gt;"",IF(reading[[#This Row],[Next]]&gt;TODAY(),"OK",""),"")</f>
        <v/>
      </c>
      <c r="Z2478" s="13">
        <v>3</v>
      </c>
      <c r="AA2478" s="13">
        <v>3</v>
      </c>
      <c r="AB2478" s="13">
        <v>3</v>
      </c>
      <c r="AC2478" s="13">
        <v>3</v>
      </c>
      <c r="AD2478" s="13">
        <v>1</v>
      </c>
      <c r="AE2478" s="13"/>
      <c r="AF2478" s="13"/>
      <c r="AG2478" s="16">
        <f>IFERROR(SUMIF(reading[[#This Row],[1st]:[7th]],"&gt;0")/COUNTIF(reading[[#This Row],[1st]:[7th]],"&gt;0"),"")</f>
        <v>2.6</v>
      </c>
    </row>
    <row r="2479" spans="1:33" x14ac:dyDescent="0.2">
      <c r="A2479" s="4">
        <f>IF(B2479=1,3,IF(D2479=1,2,IF(F2479=1,1,0)))</f>
        <v>0</v>
      </c>
      <c r="B2479" s="4" t="str">
        <f>IF(C2479=$L2479,1,IF(C2479="","",0))</f>
        <v/>
      </c>
      <c r="C2479" s="39"/>
      <c r="D2479" s="4" t="str">
        <f>IF(E2479=$L2479,1,IF(E2479="","",0))</f>
        <v/>
      </c>
      <c r="E2479" s="14"/>
      <c r="F2479" s="4" t="str">
        <f>IF(G2479=$L2479,1,IF(G2479="","",0))</f>
        <v/>
      </c>
      <c r="G2479" s="14"/>
      <c r="H2479" s="6">
        <v>1716</v>
      </c>
      <c r="I2479" s="15" t="s">
        <v>3120</v>
      </c>
      <c r="J2479" s="6" t="s">
        <v>4824</v>
      </c>
      <c r="K2479" s="6" t="s">
        <v>3139</v>
      </c>
      <c r="L2479" s="6" t="s">
        <v>1796</v>
      </c>
      <c r="M2479" s="6" t="s">
        <v>7822</v>
      </c>
      <c r="N2479" s="7">
        <f ca="1">RAND()</f>
        <v>0.60024659024609295</v>
      </c>
      <c r="O2479" s="8">
        <v>45211</v>
      </c>
      <c r="P2479" s="8">
        <v>45212</v>
      </c>
      <c r="Q2479" s="8">
        <v>45214</v>
      </c>
      <c r="R2479" s="8">
        <v>45218</v>
      </c>
      <c r="S2479" s="8">
        <v>45225</v>
      </c>
      <c r="T2479" s="8">
        <v>45237</v>
      </c>
      <c r="U2479" s="8"/>
      <c r="V2479" s="10">
        <f>COUNTA(O2479:U2479)</f>
        <v>6</v>
      </c>
      <c r="W2479" s="11">
        <f>_xlfn.IFNA(INDEX(reading[[#This Row],[Memo 01]:[Memo 07]],MATCH(0,reading[[#This Row],[Memo 01]:[Memo 07]],-1)),"")</f>
        <v>45237</v>
      </c>
      <c r="X2479" s="11">
        <f ca="1">IFERROR(reading[[#This Row],[Previous]]+OFFSET(reading[[#Headers],[Memo 01]],-1,MATCH(0,reading[[#This Row],[Memo 01]:[Memo 07]],-1)-1),"")</f>
        <v>45257</v>
      </c>
      <c r="Y2479" s="10" t="str">
        <f ca="1">IF(reading[[#This Row],[Next]]&lt;&gt;"",IF(reading[[#This Row],[Next]]&gt;TODAY(),"OK",""),"")</f>
        <v/>
      </c>
      <c r="Z2479" s="13">
        <v>3</v>
      </c>
      <c r="AA2479" s="13">
        <v>3</v>
      </c>
      <c r="AB2479" s="13">
        <v>3</v>
      </c>
      <c r="AC2479" s="13">
        <v>3</v>
      </c>
      <c r="AD2479" s="13">
        <v>3</v>
      </c>
      <c r="AE2479" s="13">
        <v>3</v>
      </c>
      <c r="AF2479" s="13"/>
      <c r="AG2479" s="16">
        <f>IFERROR(SUMIF(reading[[#This Row],[1st]:[7th]],"&gt;0")/COUNTIF(reading[[#This Row],[1st]:[7th]],"&gt;0"),"")</f>
        <v>3</v>
      </c>
    </row>
    <row r="2480" spans="1:33" hidden="1" x14ac:dyDescent="0.2">
      <c r="A2480" s="4">
        <f>IF(B2480=1,3,IF(D2480=1,2,IF(F2480=1,1,0)))</f>
        <v>0</v>
      </c>
      <c r="B2480" s="4">
        <f>IF(C2480=$L2480,1,IF(C2480="","",0))</f>
        <v>0</v>
      </c>
      <c r="C2480" s="42" t="s">
        <v>9200</v>
      </c>
      <c r="D2480" s="4" t="str">
        <f>IF(E2480=$L2480,1,IF(E2480="","",0))</f>
        <v/>
      </c>
      <c r="E2480" s="18"/>
      <c r="F2480" s="4" t="str">
        <f>IF(G2480=$L2480,1,IF(G2480="","",0))</f>
        <v/>
      </c>
      <c r="G2480" s="14"/>
      <c r="H2480" s="6">
        <v>2785</v>
      </c>
      <c r="I2480" s="15" t="s">
        <v>3120</v>
      </c>
      <c r="J2480" s="6" t="s">
        <v>5828</v>
      </c>
      <c r="K2480" s="6"/>
      <c r="L2480" s="6" t="s">
        <v>2822</v>
      </c>
      <c r="M2480" s="6" t="s">
        <v>8889</v>
      </c>
      <c r="N2480" s="7">
        <f ca="1">RAND()</f>
        <v>1.6900086833997574E-2</v>
      </c>
      <c r="O2480" s="8">
        <v>45222</v>
      </c>
      <c r="P2480" s="8">
        <v>45223</v>
      </c>
      <c r="Q2480" s="8">
        <v>45225</v>
      </c>
      <c r="R2480" s="8">
        <v>45229</v>
      </c>
      <c r="S2480" s="8">
        <v>45236</v>
      </c>
      <c r="T2480" s="8"/>
      <c r="U2480" s="8"/>
      <c r="V2480" s="10">
        <f>COUNTA(O2480:U2480)</f>
        <v>5</v>
      </c>
      <c r="W2480" s="11">
        <f>_xlfn.IFNA(INDEX(reading[[#This Row],[Memo 01]:[Memo 07]],MATCH(0,reading[[#This Row],[Memo 01]:[Memo 07]],-1)),"")</f>
        <v>45236</v>
      </c>
      <c r="X2480" s="11">
        <f ca="1">IFERROR(reading[[#This Row],[Previous]]+OFFSET(reading[[#Headers],[Memo 01]],-1,MATCH(0,reading[[#This Row],[Memo 01]:[Memo 07]],-1)-1),"")</f>
        <v>45248</v>
      </c>
      <c r="Y2480" s="10" t="str">
        <f ca="1">IF(reading[[#This Row],[Next]]&lt;&gt;"",IF(reading[[#This Row],[Next]]&gt;TODAY(),"OK",""),"")</f>
        <v/>
      </c>
      <c r="Z2480" s="13">
        <v>3</v>
      </c>
      <c r="AA2480" s="13">
        <v>2</v>
      </c>
      <c r="AB2480" s="13">
        <v>3</v>
      </c>
      <c r="AC2480" s="13">
        <v>3</v>
      </c>
      <c r="AD2480" s="13">
        <v>3</v>
      </c>
      <c r="AE2480" s="13"/>
      <c r="AF2480" s="13"/>
      <c r="AG2480" s="16">
        <f>IFERROR(SUMIF(reading[[#This Row],[1st]:[7th]],"&gt;0")/COUNTIF(reading[[#This Row],[1st]:[7th]],"&gt;0"),"")</f>
        <v>2.8</v>
      </c>
    </row>
    <row r="2481" spans="1:33" hidden="1" x14ac:dyDescent="0.2">
      <c r="A2481" s="4">
        <f>IF(B2481=1,3,IF(D2481=1,2,IF(F2481=1,1,0)))</f>
        <v>0</v>
      </c>
      <c r="B2481" s="4" t="str">
        <f>IF(C2481=$L2481,1,IF(C2481="","",0))</f>
        <v/>
      </c>
      <c r="C2481" s="42"/>
      <c r="D2481" s="4" t="str">
        <f>IF(E2481=$L2481,1,IF(E2481="","",0))</f>
        <v/>
      </c>
      <c r="E2481" s="43"/>
      <c r="F2481" s="4" t="str">
        <f>IF(G2481=$L2481,1,IF(G2481="","",0))</f>
        <v/>
      </c>
      <c r="G2481" s="14"/>
      <c r="H2481" s="6">
        <v>998</v>
      </c>
      <c r="I2481" s="15" t="s">
        <v>3120</v>
      </c>
      <c r="J2481" s="6" t="s">
        <v>4127</v>
      </c>
      <c r="K2481" s="24" t="s">
        <v>9259</v>
      </c>
      <c r="L2481" s="6" t="s">
        <v>1108</v>
      </c>
      <c r="M2481" s="6" t="s">
        <v>7106</v>
      </c>
      <c r="N2481" s="7">
        <f ca="1">RAND()</f>
        <v>0.41627948545480076</v>
      </c>
      <c r="O2481" s="8">
        <v>45204</v>
      </c>
      <c r="P2481" s="8">
        <v>45205</v>
      </c>
      <c r="Q2481" s="8">
        <v>45207</v>
      </c>
      <c r="R2481" s="8">
        <v>45211</v>
      </c>
      <c r="S2481" s="8">
        <v>45218</v>
      </c>
      <c r="T2481" s="8">
        <v>45230</v>
      </c>
      <c r="U2481" s="8">
        <v>45825</v>
      </c>
      <c r="V2481" s="10">
        <f>COUNTA(O2481:U2481)</f>
        <v>7</v>
      </c>
      <c r="W2481" s="11">
        <f>_xlfn.IFNA(INDEX(reading[[#This Row],[Memo 01]:[Memo 07]],MATCH(0,reading[[#This Row],[Memo 01]:[Memo 07]],-1)),"")</f>
        <v>45825</v>
      </c>
      <c r="X2481" s="11">
        <f ca="1">IFERROR(reading[[#This Row],[Previous]]+OFFSET(reading[[#Headers],[Memo 01]],-1,MATCH(0,reading[[#This Row],[Memo 01]:[Memo 07]],-1)-1),"")</f>
        <v>55825</v>
      </c>
      <c r="Y2481" s="10" t="str">
        <f ca="1">IF(reading[[#This Row],[Next]]&lt;&gt;"",IF(reading[[#This Row],[Next]]&gt;TODAY(),"OK",""),"")</f>
        <v>OK</v>
      </c>
      <c r="Z2481" s="13">
        <v>3</v>
      </c>
      <c r="AA2481" s="13">
        <v>3</v>
      </c>
      <c r="AB2481" s="13">
        <v>3</v>
      </c>
      <c r="AC2481" s="13">
        <v>3</v>
      </c>
      <c r="AD2481" s="13">
        <v>3</v>
      </c>
      <c r="AE2481" s="13">
        <v>2</v>
      </c>
      <c r="AF2481" s="13">
        <v>2</v>
      </c>
      <c r="AG2481" s="16">
        <f>IFERROR(SUMIF(reading[[#This Row],[1st]:[7th]],"&gt;0")/COUNTIF(reading[[#This Row],[1st]:[7th]],"&gt;0"),"")</f>
        <v>2.7142857142857144</v>
      </c>
    </row>
    <row r="2482" spans="1:33" hidden="1" x14ac:dyDescent="0.2">
      <c r="A2482" s="4">
        <f>IF(B2482=1,3,IF(D2482=1,2,IF(F2482=1,1,0)))</f>
        <v>3</v>
      </c>
      <c r="B2482" s="4">
        <f>IF(C2482=$L2482,1,IF(C2482="","",0))</f>
        <v>1</v>
      </c>
      <c r="C2482" s="36" t="s">
        <v>2532</v>
      </c>
      <c r="D2482" s="4" t="str">
        <f>IF(E2482=$L2482,1,IF(E2482="","",0))</f>
        <v/>
      </c>
      <c r="E2482" s="14"/>
      <c r="F2482" s="4" t="str">
        <f>IF(G2482=$L2482,1,IF(G2482="","",0))</f>
        <v/>
      </c>
      <c r="G2482" s="14"/>
      <c r="H2482" s="6">
        <v>2486</v>
      </c>
      <c r="I2482" s="15" t="s">
        <v>3120</v>
      </c>
      <c r="J2482" s="6" t="s">
        <v>5554</v>
      </c>
      <c r="K2482" s="6"/>
      <c r="L2482" s="6" t="s">
        <v>2532</v>
      </c>
      <c r="M2482" s="6" t="s">
        <v>8591</v>
      </c>
      <c r="N2482" s="7">
        <f ca="1">RAND()</f>
        <v>0.9378335133215967</v>
      </c>
      <c r="O2482" s="8">
        <v>45218</v>
      </c>
      <c r="P2482" s="8">
        <v>45219</v>
      </c>
      <c r="Q2482" s="8">
        <v>45219</v>
      </c>
      <c r="R2482" s="8">
        <v>45219</v>
      </c>
      <c r="S2482" s="8">
        <v>45219</v>
      </c>
      <c r="T2482" s="8">
        <v>45219</v>
      </c>
      <c r="U2482" s="8">
        <v>45219</v>
      </c>
      <c r="V2482" s="10">
        <f>COUNTA(O2482:U2482)</f>
        <v>7</v>
      </c>
      <c r="W2482" s="11">
        <f>_xlfn.IFNA(INDEX(reading[[#This Row],[Memo 01]:[Memo 07]],MATCH(0,reading[[#This Row],[Memo 01]:[Memo 07]],-1)),"")</f>
        <v>45219</v>
      </c>
      <c r="X2482" s="11">
        <f ca="1">IFERROR(reading[[#This Row],[Previous]]+OFFSET(reading[[#Headers],[Memo 01]],-1,MATCH(0,reading[[#This Row],[Memo 01]:[Memo 07]],-1)-1),"")</f>
        <v>55219</v>
      </c>
      <c r="Y2482" s="10" t="str">
        <f ca="1">IF(reading[[#This Row],[Next]]&lt;&gt;"",IF(reading[[#This Row],[Next]]&gt;TODAY(),"OK",""),"")</f>
        <v>OK</v>
      </c>
      <c r="Z2482" s="13">
        <v>3</v>
      </c>
      <c r="AA2482" s="13">
        <v>3</v>
      </c>
      <c r="AB2482" s="13"/>
      <c r="AC2482" s="13"/>
      <c r="AD2482" s="13"/>
      <c r="AE2482" s="13"/>
      <c r="AF2482" s="13"/>
      <c r="AG2482" s="16">
        <f>IFERROR(SUMIF(reading[[#This Row],[1st]:[7th]],"&gt;0")/COUNTIF(reading[[#This Row],[1st]:[7th]],"&gt;0"),"")</f>
        <v>3</v>
      </c>
    </row>
    <row r="2483" spans="1:33" x14ac:dyDescent="0.2">
      <c r="A2483" s="4">
        <f>IF(B2483=1,3,IF(D2483=1,2,IF(F2483=1,1,0)))</f>
        <v>0</v>
      </c>
      <c r="B2483" s="4" t="str">
        <f>IF(C2483=$L2483,1,IF(C2483="","",0))</f>
        <v/>
      </c>
      <c r="C2483" s="18"/>
      <c r="D2483" s="4" t="str">
        <f>IF(E2483=$L2483,1,IF(E2483="","",0))</f>
        <v/>
      </c>
      <c r="E2483" s="14"/>
      <c r="F2483" s="4" t="str">
        <f>IF(G2483=$L2483,1,IF(G2483="","",0))</f>
        <v/>
      </c>
      <c r="G2483" s="14"/>
      <c r="H2483" s="6">
        <v>9</v>
      </c>
      <c r="I2483" s="15" t="s">
        <v>3120</v>
      </c>
      <c r="J2483" s="6" t="s">
        <v>3164</v>
      </c>
      <c r="K2483" s="6"/>
      <c r="L2483" s="6" t="s">
        <v>154</v>
      </c>
      <c r="M2483" s="6" t="s">
        <v>6123</v>
      </c>
      <c r="N2483" s="7">
        <f ca="1">RAND()</f>
        <v>0.67152341995159315</v>
      </c>
      <c r="O2483" s="8">
        <v>45198</v>
      </c>
      <c r="P2483" s="8">
        <v>45199</v>
      </c>
      <c r="Q2483" s="8">
        <v>45201</v>
      </c>
      <c r="R2483" s="8">
        <v>45205</v>
      </c>
      <c r="S2483" s="8">
        <v>45212</v>
      </c>
      <c r="T2483" s="8">
        <v>45224</v>
      </c>
      <c r="U2483" s="8"/>
      <c r="V2483" s="10">
        <f>COUNTA(O2483:U2483)</f>
        <v>6</v>
      </c>
      <c r="W2483" s="11">
        <f>_xlfn.IFNA(INDEX(reading[[#This Row],[Memo 01]:[Memo 07]],MATCH(0,reading[[#This Row],[Memo 01]:[Memo 07]],-1)),"")</f>
        <v>45224</v>
      </c>
      <c r="X2483" s="11">
        <f ca="1">IFERROR(reading[[#This Row],[Previous]]+OFFSET(reading[[#Headers],[Memo 01]],-1,MATCH(0,reading[[#This Row],[Memo 01]:[Memo 07]],-1)-1),"")</f>
        <v>45244</v>
      </c>
      <c r="Y2483" s="10" t="str">
        <f ca="1">IF(reading[[#This Row],[Next]]&lt;&gt;"",IF(reading[[#This Row],[Next]]&gt;TODAY(),"OK",""),"")</f>
        <v/>
      </c>
      <c r="Z2483" s="13">
        <v>3</v>
      </c>
      <c r="AA2483" s="13">
        <v>3</v>
      </c>
      <c r="AB2483" s="13">
        <v>3</v>
      </c>
      <c r="AC2483" s="13">
        <v>3</v>
      </c>
      <c r="AD2483" s="13">
        <v>3</v>
      </c>
      <c r="AE2483" s="13">
        <v>3</v>
      </c>
      <c r="AF2483" s="13"/>
      <c r="AG2483" s="16">
        <f>IFERROR(SUMIF(reading[[#This Row],[1st]:[7th]],"&gt;0")/COUNTIF(reading[[#This Row],[1st]:[7th]],"&gt;0"),"")</f>
        <v>3</v>
      </c>
    </row>
    <row r="2484" spans="1:33" x14ac:dyDescent="0.2">
      <c r="A2484" s="4">
        <f>IF(B2484=1,3,IF(D2484=1,2,IF(F2484=1,1,0)))</f>
        <v>0</v>
      </c>
      <c r="B2484" s="4" t="str">
        <f>IF(C2484=$L2484,1,IF(C2484="","",0))</f>
        <v/>
      </c>
      <c r="C2484" s="41"/>
      <c r="D2484" s="4" t="str">
        <f>IF(E2484=$L2484,1,IF(E2484="","",0))</f>
        <v/>
      </c>
      <c r="E2484" s="18"/>
      <c r="F2484" s="4" t="str">
        <f>IF(G2484=$L2484,1,IF(G2484="","",0))</f>
        <v/>
      </c>
      <c r="G2484" s="14"/>
      <c r="H2484" s="6">
        <v>2492</v>
      </c>
      <c r="I2484" s="15" t="s">
        <v>3120</v>
      </c>
      <c r="J2484" s="6" t="s">
        <v>5559</v>
      </c>
      <c r="K2484" s="6"/>
      <c r="L2484" s="6" t="s">
        <v>2538</v>
      </c>
      <c r="M2484" s="6" t="s">
        <v>8597</v>
      </c>
      <c r="N2484" s="7">
        <f ca="1">RAND()</f>
        <v>0.67749891290877529</v>
      </c>
      <c r="O2484" s="8">
        <v>45218</v>
      </c>
      <c r="P2484" s="8">
        <v>45219</v>
      </c>
      <c r="Q2484" s="8">
        <v>45221</v>
      </c>
      <c r="R2484" s="8">
        <v>45225</v>
      </c>
      <c r="S2484" s="8">
        <v>45232</v>
      </c>
      <c r="T2484" s="8">
        <v>45252</v>
      </c>
      <c r="U2484" s="8"/>
      <c r="V2484" s="10">
        <f>COUNTA(O2484:U2484)</f>
        <v>6</v>
      </c>
      <c r="W2484" s="11">
        <f>_xlfn.IFNA(INDEX(reading[[#This Row],[Memo 01]:[Memo 07]],MATCH(0,reading[[#This Row],[Memo 01]:[Memo 07]],-1)),"")</f>
        <v>45252</v>
      </c>
      <c r="X2484" s="11">
        <f ca="1">IFERROR(reading[[#This Row],[Previous]]+OFFSET(reading[[#Headers],[Memo 01]],-1,MATCH(0,reading[[#This Row],[Memo 01]:[Memo 07]],-1)-1),"")</f>
        <v>45272</v>
      </c>
      <c r="Y2484" s="10" t="str">
        <f ca="1">IF(reading[[#This Row],[Next]]&lt;&gt;"",IF(reading[[#This Row],[Next]]&gt;TODAY(),"OK",""),"")</f>
        <v/>
      </c>
      <c r="Z2484" s="13">
        <v>3</v>
      </c>
      <c r="AA2484" s="13">
        <v>3</v>
      </c>
      <c r="AB2484" s="13">
        <v>2</v>
      </c>
      <c r="AC2484" s="13">
        <v>2</v>
      </c>
      <c r="AD2484" s="13">
        <v>3</v>
      </c>
      <c r="AE2484" s="13">
        <v>2</v>
      </c>
      <c r="AF2484" s="13"/>
      <c r="AG2484" s="16">
        <f>IFERROR(SUMIF(reading[[#This Row],[1st]:[7th]],"&gt;0")/COUNTIF(reading[[#This Row],[1st]:[7th]],"&gt;0"),"")</f>
        <v>2.5</v>
      </c>
    </row>
    <row r="2485" spans="1:33" x14ac:dyDescent="0.2">
      <c r="A2485" s="4">
        <f>IF(B2485=1,3,IF(D2485=1,2,IF(F2485=1,1,0)))</f>
        <v>0</v>
      </c>
      <c r="B2485" s="4" t="str">
        <f>IF(C2485=$L2485,1,IF(C2485="","",0))</f>
        <v/>
      </c>
      <c r="C2485" s="42"/>
      <c r="D2485" s="4" t="str">
        <f>IF(E2485=$L2485,1,IF(E2485="","",0))</f>
        <v/>
      </c>
      <c r="E2485" s="14"/>
      <c r="F2485" s="4" t="str">
        <f>IF(G2485=$L2485,1,IF(G2485="","",0))</f>
        <v/>
      </c>
      <c r="G2485" s="14"/>
      <c r="H2485" s="6">
        <v>1902</v>
      </c>
      <c r="I2485" s="15" t="s">
        <v>3120</v>
      </c>
      <c r="J2485" s="6" t="s">
        <v>5003</v>
      </c>
      <c r="K2485" s="6"/>
      <c r="L2485" s="6" t="s">
        <v>1978</v>
      </c>
      <c r="M2485" s="6" t="s">
        <v>8008</v>
      </c>
      <c r="N2485" s="7">
        <f ca="1">RAND()</f>
        <v>0.14915275858192523</v>
      </c>
      <c r="O2485" s="8">
        <v>45212</v>
      </c>
      <c r="P2485" s="8">
        <v>45213</v>
      </c>
      <c r="Q2485" s="8">
        <v>45215</v>
      </c>
      <c r="R2485" s="8">
        <v>45219</v>
      </c>
      <c r="S2485" s="8">
        <v>45226</v>
      </c>
      <c r="T2485" s="8">
        <v>45792</v>
      </c>
      <c r="U2485" s="8"/>
      <c r="V2485" s="10">
        <f>COUNTA(O2485:U2485)</f>
        <v>6</v>
      </c>
      <c r="W2485" s="11">
        <f>_xlfn.IFNA(INDEX(reading[[#This Row],[Memo 01]:[Memo 07]],MATCH(0,reading[[#This Row],[Memo 01]:[Memo 07]],-1)),"")</f>
        <v>45792</v>
      </c>
      <c r="X2485" s="11">
        <f ca="1">IFERROR(reading[[#This Row],[Previous]]+OFFSET(reading[[#Headers],[Memo 01]],-1,MATCH(0,reading[[#This Row],[Memo 01]:[Memo 07]],-1)-1),"")</f>
        <v>45812</v>
      </c>
      <c r="Y2485" s="10" t="str">
        <f ca="1">IF(reading[[#This Row],[Next]]&lt;&gt;"",IF(reading[[#This Row],[Next]]&gt;TODAY(),"OK",""),"")</f>
        <v/>
      </c>
      <c r="Z2485" s="13">
        <v>3</v>
      </c>
      <c r="AA2485" s="13">
        <v>3</v>
      </c>
      <c r="AB2485" s="13">
        <v>3</v>
      </c>
      <c r="AC2485" s="13">
        <v>3</v>
      </c>
      <c r="AD2485" s="13">
        <v>3</v>
      </c>
      <c r="AE2485" s="13">
        <v>3</v>
      </c>
      <c r="AF2485" s="13"/>
      <c r="AG2485" s="16">
        <f>IFERROR(SUMIF(reading[[#This Row],[1st]:[7th]],"&gt;0")/COUNTIF(reading[[#This Row],[1st]:[7th]],"&gt;0"),"")</f>
        <v>3</v>
      </c>
    </row>
    <row r="2486" spans="1:33" x14ac:dyDescent="0.2">
      <c r="A2486" s="4">
        <f>IF(B2486=1,3,IF(D2486=1,2,IF(F2486=1,1,0)))</f>
        <v>0</v>
      </c>
      <c r="B2486" s="4" t="str">
        <f>IF(C2486=$L2486,1,IF(C2486="","",0))</f>
        <v/>
      </c>
      <c r="C2486" s="39"/>
      <c r="D2486" s="4" t="str">
        <f>IF(E2486=$L2486,1,IF(E2486="","",0))</f>
        <v/>
      </c>
      <c r="E2486" s="14"/>
      <c r="F2486" s="4" t="str">
        <f>IF(G2486=$L2486,1,IF(G2486="","",0))</f>
        <v/>
      </c>
      <c r="G2486" s="14"/>
      <c r="H2486" s="6">
        <v>910</v>
      </c>
      <c r="I2486" s="15" t="s">
        <v>3120</v>
      </c>
      <c r="J2486" s="6" t="s">
        <v>4042</v>
      </c>
      <c r="K2486" s="6"/>
      <c r="L2486" s="6" t="s">
        <v>1022</v>
      </c>
      <c r="M2486" s="6" t="s">
        <v>7019</v>
      </c>
      <c r="N2486" s="7">
        <f ca="1">RAND()</f>
        <v>0.3382966850053869</v>
      </c>
      <c r="O2486" s="8">
        <v>45204</v>
      </c>
      <c r="P2486" s="8">
        <v>45205</v>
      </c>
      <c r="Q2486" s="8">
        <v>45207</v>
      </c>
      <c r="R2486" s="8">
        <v>45211</v>
      </c>
      <c r="S2486" s="8">
        <v>45218</v>
      </c>
      <c r="T2486" s="8">
        <v>45230</v>
      </c>
      <c r="U2486" s="8"/>
      <c r="V2486" s="10">
        <f>COUNTA(O2486:U2486)</f>
        <v>6</v>
      </c>
      <c r="W2486" s="11">
        <f>_xlfn.IFNA(INDEX(reading[[#This Row],[Memo 01]:[Memo 07]],MATCH(0,reading[[#This Row],[Memo 01]:[Memo 07]],-1)),"")</f>
        <v>45230</v>
      </c>
      <c r="X2486" s="11">
        <f ca="1">IFERROR(reading[[#This Row],[Previous]]+OFFSET(reading[[#Headers],[Memo 01]],-1,MATCH(0,reading[[#This Row],[Memo 01]:[Memo 07]],-1)-1),"")</f>
        <v>45250</v>
      </c>
      <c r="Y2486" s="10" t="str">
        <f ca="1">IF(reading[[#This Row],[Next]]&lt;&gt;"",IF(reading[[#This Row],[Next]]&gt;TODAY(),"OK",""),"")</f>
        <v/>
      </c>
      <c r="Z2486" s="13">
        <v>3</v>
      </c>
      <c r="AA2486" s="13">
        <v>3</v>
      </c>
      <c r="AB2486" s="13">
        <v>3</v>
      </c>
      <c r="AC2486" s="13">
        <v>3</v>
      </c>
      <c r="AD2486" s="13">
        <v>3</v>
      </c>
      <c r="AE2486" s="13">
        <v>3</v>
      </c>
      <c r="AF2486" s="13"/>
      <c r="AG2486" s="16">
        <f>IFERROR(SUMIF(reading[[#This Row],[1st]:[7th]],"&gt;0")/COUNTIF(reading[[#This Row],[1st]:[7th]],"&gt;0"),"")</f>
        <v>3</v>
      </c>
    </row>
    <row r="2487" spans="1:33" x14ac:dyDescent="0.2">
      <c r="A2487" s="4">
        <f>IF(B2487=1,3,IF(D2487=1,2,IF(F2487=1,1,0)))</f>
        <v>0</v>
      </c>
      <c r="B2487" s="4" t="str">
        <f>IF(C2487=$L2487,1,IF(C2487="","",0))</f>
        <v/>
      </c>
      <c r="C2487" s="36"/>
      <c r="D2487" s="4" t="str">
        <f>IF(E2487=$L2487,1,IF(E2487="","",0))</f>
        <v/>
      </c>
      <c r="E2487" s="14"/>
      <c r="F2487" s="4" t="str">
        <f>IF(G2487=$L2487,1,IF(G2487="","",0))</f>
        <v/>
      </c>
      <c r="G2487" s="14"/>
      <c r="H2487" s="6">
        <v>1857</v>
      </c>
      <c r="I2487" s="15" t="s">
        <v>3120</v>
      </c>
      <c r="J2487" s="6" t="s">
        <v>4959</v>
      </c>
      <c r="K2487" s="6"/>
      <c r="L2487" s="6" t="s">
        <v>1935</v>
      </c>
      <c r="M2487" s="6" t="s">
        <v>7963</v>
      </c>
      <c r="N2487" s="7">
        <f ca="1">RAND()</f>
        <v>0.23361177959555135</v>
      </c>
      <c r="O2487" s="8">
        <v>45212</v>
      </c>
      <c r="P2487" s="8">
        <v>45213</v>
      </c>
      <c r="Q2487" s="8">
        <v>45215</v>
      </c>
      <c r="R2487" s="8">
        <v>45219</v>
      </c>
      <c r="S2487" s="8">
        <v>45226</v>
      </c>
      <c r="T2487" s="8"/>
      <c r="U2487" s="8"/>
      <c r="V2487" s="10">
        <f>COUNTA(O2487:U2487)</f>
        <v>5</v>
      </c>
      <c r="W2487" s="11">
        <f>_xlfn.IFNA(INDEX(reading[[#This Row],[Memo 01]:[Memo 07]],MATCH(0,reading[[#This Row],[Memo 01]:[Memo 07]],-1)),"")</f>
        <v>45226</v>
      </c>
      <c r="X2487" s="11">
        <f ca="1">IFERROR(reading[[#This Row],[Previous]]+OFFSET(reading[[#Headers],[Memo 01]],-1,MATCH(0,reading[[#This Row],[Memo 01]:[Memo 07]],-1)-1),"")</f>
        <v>45238</v>
      </c>
      <c r="Y2487" s="10" t="str">
        <f ca="1">IF(reading[[#This Row],[Next]]&lt;&gt;"",IF(reading[[#This Row],[Next]]&gt;TODAY(),"OK",""),"")</f>
        <v/>
      </c>
      <c r="Z2487" s="13">
        <v>3</v>
      </c>
      <c r="AA2487" s="13">
        <v>3</v>
      </c>
      <c r="AB2487" s="13">
        <v>3</v>
      </c>
      <c r="AC2487" s="13">
        <v>3</v>
      </c>
      <c r="AD2487" s="13">
        <v>3</v>
      </c>
      <c r="AE2487" s="13"/>
      <c r="AF2487" s="13"/>
      <c r="AG2487" s="16">
        <f>IFERROR(SUMIF(reading[[#This Row],[1st]:[7th]],"&gt;0")/COUNTIF(reading[[#This Row],[1st]:[7th]],"&gt;0"),"")</f>
        <v>3</v>
      </c>
    </row>
    <row r="2488" spans="1:33" x14ac:dyDescent="0.2">
      <c r="A2488" s="4">
        <f>IF(B2488=1,3,IF(D2488=1,2,IF(F2488=1,1,0)))</f>
        <v>0</v>
      </c>
      <c r="B2488" s="4" t="str">
        <f>IF(C2488=$L2488,1,IF(C2488="","",0))</f>
        <v/>
      </c>
      <c r="C2488" s="39"/>
      <c r="D2488" s="4" t="str">
        <f>IF(E2488=$L2488,1,IF(E2488="","",0))</f>
        <v/>
      </c>
      <c r="E2488" s="18"/>
      <c r="F2488" s="4" t="str">
        <f>IF(G2488=$L2488,1,IF(G2488="","",0))</f>
        <v/>
      </c>
      <c r="G2488" s="14"/>
      <c r="H2488" s="6">
        <v>1659</v>
      </c>
      <c r="I2488" s="15" t="s">
        <v>3120</v>
      </c>
      <c r="J2488" s="6" t="s">
        <v>4770</v>
      </c>
      <c r="K2488" s="6" t="s">
        <v>3139</v>
      </c>
      <c r="L2488" s="6" t="s">
        <v>1740</v>
      </c>
      <c r="M2488" s="6" t="s">
        <v>7765</v>
      </c>
      <c r="N2488" s="7">
        <f ca="1">RAND()</f>
        <v>0.55328902165277738</v>
      </c>
      <c r="O2488" s="8">
        <v>45210</v>
      </c>
      <c r="P2488" s="8">
        <v>45211</v>
      </c>
      <c r="Q2488" s="8">
        <v>45213</v>
      </c>
      <c r="R2488" s="8">
        <v>45217</v>
      </c>
      <c r="S2488" s="8">
        <v>45224</v>
      </c>
      <c r="T2488" s="8">
        <v>45236</v>
      </c>
      <c r="U2488" s="8"/>
      <c r="V2488" s="10">
        <f>COUNTA(O2488:U2488)</f>
        <v>6</v>
      </c>
      <c r="W2488" s="11">
        <f>_xlfn.IFNA(INDEX(reading[[#This Row],[Memo 01]:[Memo 07]],MATCH(0,reading[[#This Row],[Memo 01]:[Memo 07]],-1)),"")</f>
        <v>45236</v>
      </c>
      <c r="X2488" s="11">
        <f ca="1">IFERROR(reading[[#This Row],[Previous]]+OFFSET(reading[[#Headers],[Memo 01]],-1,MATCH(0,reading[[#This Row],[Memo 01]:[Memo 07]],-1)-1),"")</f>
        <v>45256</v>
      </c>
      <c r="Y2488" s="10" t="str">
        <f ca="1">IF(reading[[#This Row],[Next]]&lt;&gt;"",IF(reading[[#This Row],[Next]]&gt;TODAY(),"OK",""),"")</f>
        <v/>
      </c>
      <c r="Z2488" s="13">
        <v>3</v>
      </c>
      <c r="AA2488" s="13">
        <v>3</v>
      </c>
      <c r="AB2488" s="13">
        <v>3</v>
      </c>
      <c r="AC2488" s="13">
        <v>2</v>
      </c>
      <c r="AD2488" s="13">
        <v>3</v>
      </c>
      <c r="AE2488" s="13">
        <v>2</v>
      </c>
      <c r="AF2488" s="13"/>
      <c r="AG2488" s="16">
        <f>IFERROR(SUMIF(reading[[#This Row],[1st]:[7th]],"&gt;0")/COUNTIF(reading[[#This Row],[1st]:[7th]],"&gt;0"),"")</f>
        <v>2.6666666666666665</v>
      </c>
    </row>
    <row r="2489" spans="1:33" x14ac:dyDescent="0.2">
      <c r="A2489" s="4">
        <f>IF(B2489=1,3,IF(D2489=1,2,IF(F2489=1,1,0)))</f>
        <v>0</v>
      </c>
      <c r="B2489" s="4" t="str">
        <f>IF(C2489=$L2489,1,IF(C2489="","",0))</f>
        <v/>
      </c>
      <c r="C2489" s="39"/>
      <c r="D2489" s="4" t="str">
        <f>IF(E2489=$L2489,1,IF(E2489="","",0))</f>
        <v/>
      </c>
      <c r="E2489" s="14"/>
      <c r="F2489" s="4" t="str">
        <f>IF(G2489=$L2489,1,IF(G2489="","",0))</f>
        <v/>
      </c>
      <c r="G2489" s="14"/>
      <c r="H2489" s="6">
        <v>2544</v>
      </c>
      <c r="I2489" s="15" t="s">
        <v>3120</v>
      </c>
      <c r="J2489" s="6" t="s">
        <v>5605</v>
      </c>
      <c r="K2489" s="15" t="s">
        <v>3138</v>
      </c>
      <c r="L2489" s="6" t="s">
        <v>2589</v>
      </c>
      <c r="M2489" s="6" t="s">
        <v>8649</v>
      </c>
      <c r="N2489" s="7">
        <f ca="1">RAND()</f>
        <v>7.4027405378118694E-2</v>
      </c>
      <c r="O2489" s="8">
        <v>45219</v>
      </c>
      <c r="P2489" s="8">
        <v>45220</v>
      </c>
      <c r="Q2489" s="8">
        <v>45222</v>
      </c>
      <c r="R2489" s="8">
        <v>45226</v>
      </c>
      <c r="S2489" s="8">
        <v>45233</v>
      </c>
      <c r="T2489" s="8"/>
      <c r="U2489" s="8"/>
      <c r="V2489" s="10">
        <f>COUNTA(O2489:U2489)</f>
        <v>5</v>
      </c>
      <c r="W2489" s="11">
        <f>_xlfn.IFNA(INDEX(reading[[#This Row],[Memo 01]:[Memo 07]],MATCH(0,reading[[#This Row],[Memo 01]:[Memo 07]],-1)),"")</f>
        <v>45233</v>
      </c>
      <c r="X2489" s="11">
        <f ca="1">IFERROR(reading[[#This Row],[Previous]]+OFFSET(reading[[#Headers],[Memo 01]],-1,MATCH(0,reading[[#This Row],[Memo 01]:[Memo 07]],-1)-1),"")</f>
        <v>45245</v>
      </c>
      <c r="Y2489" s="10" t="str">
        <f ca="1">IF(reading[[#This Row],[Next]]&lt;&gt;"",IF(reading[[#This Row],[Next]]&gt;TODAY(),"OK",""),"")</f>
        <v/>
      </c>
      <c r="Z2489" s="13">
        <v>3</v>
      </c>
      <c r="AA2489" s="13">
        <v>3</v>
      </c>
      <c r="AB2489" s="13">
        <v>3</v>
      </c>
      <c r="AC2489" s="13">
        <v>3</v>
      </c>
      <c r="AD2489" s="13">
        <v>3</v>
      </c>
      <c r="AE2489" s="13"/>
      <c r="AF2489" s="13"/>
      <c r="AG2489" s="16">
        <f>IFERROR(SUMIF(reading[[#This Row],[1st]:[7th]],"&gt;0")/COUNTIF(reading[[#This Row],[1st]:[7th]],"&gt;0"),"")</f>
        <v>3</v>
      </c>
    </row>
    <row r="2490" spans="1:33" x14ac:dyDescent="0.2">
      <c r="A2490" s="4">
        <f>IF(B2490=1,3,IF(D2490=1,2,IF(F2490=1,1,0)))</f>
        <v>0</v>
      </c>
      <c r="B2490" s="4" t="str">
        <f>IF(C2490=$L2490,1,IF(C2490="","",0))</f>
        <v/>
      </c>
      <c r="C2490" s="36"/>
      <c r="D2490" s="4" t="str">
        <f>IF(E2490=$L2490,1,IF(E2490="","",0))</f>
        <v/>
      </c>
      <c r="E2490" s="18"/>
      <c r="F2490" s="4" t="str">
        <f>IF(G2490=$L2490,1,IF(G2490="","",0))</f>
        <v/>
      </c>
      <c r="G2490" s="14"/>
      <c r="H2490" s="6">
        <v>418</v>
      </c>
      <c r="I2490" s="15" t="s">
        <v>3120</v>
      </c>
      <c r="J2490" s="6" t="s">
        <v>3564</v>
      </c>
      <c r="K2490" s="6"/>
      <c r="L2490" s="6" t="s">
        <v>548</v>
      </c>
      <c r="M2490" s="6" t="s">
        <v>6527</v>
      </c>
      <c r="N2490" s="7">
        <f ca="1">RAND()</f>
        <v>0.46440775912939547</v>
      </c>
      <c r="O2490" s="8">
        <v>45201</v>
      </c>
      <c r="P2490" s="8">
        <v>45202</v>
      </c>
      <c r="Q2490" s="8">
        <v>45204</v>
      </c>
      <c r="R2490" s="8">
        <v>45208</v>
      </c>
      <c r="S2490" s="8">
        <v>45215</v>
      </c>
      <c r="T2490" s="8">
        <v>45227</v>
      </c>
      <c r="U2490" s="8"/>
      <c r="V2490" s="10">
        <f>COUNTA(O2490:U2490)</f>
        <v>6</v>
      </c>
      <c r="W2490" s="11">
        <f>_xlfn.IFNA(INDEX(reading[[#This Row],[Memo 01]:[Memo 07]],MATCH(0,reading[[#This Row],[Memo 01]:[Memo 07]],-1)),"")</f>
        <v>45227</v>
      </c>
      <c r="X2490" s="11">
        <f ca="1">IFERROR(reading[[#This Row],[Previous]]+OFFSET(reading[[#Headers],[Memo 01]],-1,MATCH(0,reading[[#This Row],[Memo 01]:[Memo 07]],-1)-1),"")</f>
        <v>45247</v>
      </c>
      <c r="Y2490" s="10" t="str">
        <f ca="1">IF(reading[[#This Row],[Next]]&lt;&gt;"",IF(reading[[#This Row],[Next]]&gt;TODAY(),"OK",""),"")</f>
        <v/>
      </c>
      <c r="Z2490" s="13">
        <v>3</v>
      </c>
      <c r="AA2490" s="13">
        <v>3</v>
      </c>
      <c r="AB2490" s="13">
        <v>2</v>
      </c>
      <c r="AC2490" s="13">
        <v>3</v>
      </c>
      <c r="AD2490" s="13">
        <v>3</v>
      </c>
      <c r="AE2490" s="13">
        <v>3</v>
      </c>
      <c r="AF2490" s="13"/>
      <c r="AG2490" s="16">
        <f>IFERROR(SUMIF(reading[[#This Row],[1st]:[7th]],"&gt;0")/COUNTIF(reading[[#This Row],[1st]:[7th]],"&gt;0"),"")</f>
        <v>2.8333333333333335</v>
      </c>
    </row>
    <row r="2491" spans="1:33" x14ac:dyDescent="0.2">
      <c r="A2491" s="4">
        <f>IF(B2491=1,3,IF(D2491=1,2,IF(F2491=1,1,0)))</f>
        <v>0</v>
      </c>
      <c r="B2491" s="4" t="str">
        <f>IF(C2491=$L2491,1,IF(C2491="","",0))</f>
        <v/>
      </c>
      <c r="C2491" s="36"/>
      <c r="D2491" s="4" t="str">
        <f>IF(E2491=$L2491,1,IF(E2491="","",0))</f>
        <v/>
      </c>
      <c r="E2491" s="18"/>
      <c r="F2491" s="4" t="str">
        <f>IF(G2491=$L2491,1,IF(G2491="","",0))</f>
        <v/>
      </c>
      <c r="G2491" s="14"/>
      <c r="H2491" s="6">
        <v>307</v>
      </c>
      <c r="I2491" s="15" t="s">
        <v>3120</v>
      </c>
      <c r="J2491" s="6" t="s">
        <v>3455</v>
      </c>
      <c r="K2491" s="6"/>
      <c r="L2491" s="6" t="s">
        <v>442</v>
      </c>
      <c r="M2491" s="6" t="s">
        <v>6416</v>
      </c>
      <c r="N2491" s="7">
        <f ca="1">RAND()</f>
        <v>2.5250770148246171E-2</v>
      </c>
      <c r="O2491" s="8">
        <v>45200</v>
      </c>
      <c r="P2491" s="8">
        <v>45201</v>
      </c>
      <c r="Q2491" s="8">
        <v>45203</v>
      </c>
      <c r="R2491" s="8">
        <v>45207</v>
      </c>
      <c r="S2491" s="8">
        <v>45214</v>
      </c>
      <c r="T2491" s="8">
        <v>45226</v>
      </c>
      <c r="U2491" s="8"/>
      <c r="V2491" s="10">
        <f>COUNTA(O2491:U2491)</f>
        <v>6</v>
      </c>
      <c r="W2491" s="11">
        <f>_xlfn.IFNA(INDEX(reading[[#This Row],[Memo 01]:[Memo 07]],MATCH(0,reading[[#This Row],[Memo 01]:[Memo 07]],-1)),"")</f>
        <v>45226</v>
      </c>
      <c r="X2491" s="11">
        <f ca="1">IFERROR(reading[[#This Row],[Previous]]+OFFSET(reading[[#Headers],[Memo 01]],-1,MATCH(0,reading[[#This Row],[Memo 01]:[Memo 07]],-1)-1),"")</f>
        <v>45246</v>
      </c>
      <c r="Y2491" s="10" t="str">
        <f ca="1">IF(reading[[#This Row],[Next]]&lt;&gt;"",IF(reading[[#This Row],[Next]]&gt;TODAY(),"OK",""),"")</f>
        <v/>
      </c>
      <c r="Z2491" s="13">
        <v>3</v>
      </c>
      <c r="AA2491" s="13">
        <v>3</v>
      </c>
      <c r="AB2491" s="13">
        <v>3</v>
      </c>
      <c r="AC2491" s="13">
        <v>3</v>
      </c>
      <c r="AD2491" s="13">
        <v>3</v>
      </c>
      <c r="AE2491" s="13">
        <v>2</v>
      </c>
      <c r="AF2491" s="13"/>
      <c r="AG2491" s="16">
        <f>IFERROR(SUMIF(reading[[#This Row],[1st]:[7th]],"&gt;0")/COUNTIF(reading[[#This Row],[1st]:[7th]],"&gt;0"),"")</f>
        <v>2.8333333333333335</v>
      </c>
    </row>
    <row r="2492" spans="1:33" hidden="1" x14ac:dyDescent="0.2">
      <c r="A2492" s="4">
        <f>IF(B2492=1,3,IF(D2492=1,2,IF(F2492=1,1,0)))</f>
        <v>0</v>
      </c>
      <c r="B2492" s="4" t="str">
        <f>IF(C2492=$L2492,1,IF(C2492="","",0))</f>
        <v/>
      </c>
      <c r="C2492" s="42"/>
      <c r="D2492" s="4" t="str">
        <f>IF(E2492=$L2492,1,IF(E2492="","",0))</f>
        <v/>
      </c>
      <c r="E2492" s="43"/>
      <c r="F2492" s="4" t="str">
        <f>IF(G2492=$L2492,1,IF(G2492="","",0))</f>
        <v/>
      </c>
      <c r="G2492" s="14"/>
      <c r="H2492" s="6">
        <v>2231</v>
      </c>
      <c r="I2492" s="15" t="s">
        <v>3120</v>
      </c>
      <c r="J2492" s="6" t="s">
        <v>5316</v>
      </c>
      <c r="K2492" s="6"/>
      <c r="L2492" s="6" t="s">
        <v>2293</v>
      </c>
      <c r="M2492" s="24" t="s">
        <v>9255</v>
      </c>
      <c r="N2492" s="7">
        <f ca="1">RAND()</f>
        <v>0.27875296755151668</v>
      </c>
      <c r="O2492" s="8">
        <v>45216</v>
      </c>
      <c r="P2492" s="8">
        <v>45217</v>
      </c>
      <c r="Q2492" s="8">
        <v>45219</v>
      </c>
      <c r="R2492" s="8">
        <v>45231</v>
      </c>
      <c r="S2492" s="8">
        <v>45253</v>
      </c>
      <c r="T2492" s="8">
        <v>45825</v>
      </c>
      <c r="U2492" s="8"/>
      <c r="V2492" s="10">
        <f>COUNTA(O2492:U2492)</f>
        <v>6</v>
      </c>
      <c r="W2492" s="11">
        <f>_xlfn.IFNA(INDEX(reading[[#This Row],[Memo 01]:[Memo 07]],MATCH(0,reading[[#This Row],[Memo 01]:[Memo 07]],-1)),"")</f>
        <v>45825</v>
      </c>
      <c r="X2492" s="11">
        <f ca="1">IFERROR(reading[[#This Row],[Previous]]+OFFSET(reading[[#Headers],[Memo 01]],-1,MATCH(0,reading[[#This Row],[Memo 01]:[Memo 07]],-1)-1),"")</f>
        <v>45845</v>
      </c>
      <c r="Y2492" s="10" t="str">
        <f ca="1">IF(reading[[#This Row],[Next]]&lt;&gt;"",IF(reading[[#This Row],[Next]]&gt;TODAY(),"OK",""),"")</f>
        <v>OK</v>
      </c>
      <c r="Z2492" s="13">
        <v>3</v>
      </c>
      <c r="AA2492" s="13">
        <v>3</v>
      </c>
      <c r="AB2492" s="13">
        <v>3</v>
      </c>
      <c r="AC2492" s="13">
        <v>3</v>
      </c>
      <c r="AD2492" s="13">
        <v>1</v>
      </c>
      <c r="AE2492" s="13">
        <v>2</v>
      </c>
      <c r="AF2492" s="13"/>
      <c r="AG2492" s="16">
        <f>IFERROR(SUMIF(reading[[#This Row],[1st]:[7th]],"&gt;0")/COUNTIF(reading[[#This Row],[1st]:[7th]],"&gt;0"),"")</f>
        <v>2.5</v>
      </c>
    </row>
    <row r="2493" spans="1:33" x14ac:dyDescent="0.2">
      <c r="A2493" s="4">
        <f>IF(B2493=1,3,IF(D2493=1,2,IF(F2493=1,1,0)))</f>
        <v>0</v>
      </c>
      <c r="B2493" s="4" t="str">
        <f>IF(C2493=$L2493,1,IF(C2493="","",0))</f>
        <v/>
      </c>
      <c r="C2493" s="39"/>
      <c r="D2493" s="4" t="str">
        <f>IF(E2493=$L2493,1,IF(E2493="","",0))</f>
        <v/>
      </c>
      <c r="E2493" s="14"/>
      <c r="F2493" s="4" t="str">
        <f>IF(G2493=$L2493,1,IF(G2493="","",0))</f>
        <v/>
      </c>
      <c r="G2493" s="14"/>
      <c r="H2493" s="6">
        <v>2280</v>
      </c>
      <c r="I2493" s="15" t="s">
        <v>3120</v>
      </c>
      <c r="J2493" s="6" t="s">
        <v>5361</v>
      </c>
      <c r="K2493" s="6"/>
      <c r="L2493" s="6" t="s">
        <v>2340</v>
      </c>
      <c r="M2493" s="6" t="s">
        <v>8385</v>
      </c>
      <c r="N2493" s="7">
        <f ca="1">RAND()</f>
        <v>0.24855921221078769</v>
      </c>
      <c r="O2493" s="8">
        <v>45216</v>
      </c>
      <c r="P2493" s="8">
        <v>45217</v>
      </c>
      <c r="Q2493" s="8">
        <v>45219</v>
      </c>
      <c r="R2493" s="8">
        <v>45223</v>
      </c>
      <c r="S2493" s="8">
        <v>45230</v>
      </c>
      <c r="T2493" s="8"/>
      <c r="U2493" s="8"/>
      <c r="V2493" s="10">
        <f>COUNTA(O2493:U2493)</f>
        <v>5</v>
      </c>
      <c r="W2493" s="11">
        <f>_xlfn.IFNA(INDEX(reading[[#This Row],[Memo 01]:[Memo 07]],MATCH(0,reading[[#This Row],[Memo 01]:[Memo 07]],-1)),"")</f>
        <v>45230</v>
      </c>
      <c r="X2493" s="11">
        <f ca="1">IFERROR(reading[[#This Row],[Previous]]+OFFSET(reading[[#Headers],[Memo 01]],-1,MATCH(0,reading[[#This Row],[Memo 01]:[Memo 07]],-1)-1),"")</f>
        <v>45242</v>
      </c>
      <c r="Y2493" s="10" t="str">
        <f ca="1">IF(reading[[#This Row],[Next]]&lt;&gt;"",IF(reading[[#This Row],[Next]]&gt;TODAY(),"OK",""),"")</f>
        <v/>
      </c>
      <c r="Z2493" s="13">
        <v>3</v>
      </c>
      <c r="AA2493" s="13">
        <v>3</v>
      </c>
      <c r="AB2493" s="13">
        <v>3</v>
      </c>
      <c r="AC2493" s="13">
        <v>3</v>
      </c>
      <c r="AD2493" s="13">
        <v>3</v>
      </c>
      <c r="AE2493" s="13"/>
      <c r="AF2493" s="13"/>
      <c r="AG2493" s="16">
        <f>IFERROR(SUMIF(reading[[#This Row],[1st]:[7th]],"&gt;0")/COUNTIF(reading[[#This Row],[1st]:[7th]],"&gt;0"),"")</f>
        <v>3</v>
      </c>
    </row>
    <row r="2494" spans="1:33" hidden="1" x14ac:dyDescent="0.2">
      <c r="A2494" s="4">
        <f>IF(B2494=1,3,IF(D2494=1,2,IF(F2494=1,1,0)))</f>
        <v>0</v>
      </c>
      <c r="B2494" s="4">
        <f>IF(C2494=$L2494,1,IF(C2494="","",0))</f>
        <v>0</v>
      </c>
      <c r="C2494" s="42" t="s">
        <v>9200</v>
      </c>
      <c r="D2494" s="4">
        <f>IF(E2494=$L2494,1,IF(E2494="","",0))</f>
        <v>0</v>
      </c>
      <c r="E2494" s="23" t="s">
        <v>9200</v>
      </c>
      <c r="F2494" s="4" t="str">
        <f>IF(G2494=$L2494,1,IF(G2494="","",0))</f>
        <v/>
      </c>
      <c r="G2494" s="14"/>
      <c r="H2494" s="6">
        <v>2651</v>
      </c>
      <c r="I2494" s="15" t="s">
        <v>3120</v>
      </c>
      <c r="J2494" s="6" t="s">
        <v>5704</v>
      </c>
      <c r="K2494" s="6"/>
      <c r="L2494" s="6" t="s">
        <v>2691</v>
      </c>
      <c r="M2494" s="6" t="s">
        <v>8756</v>
      </c>
      <c r="N2494" s="7">
        <f ca="1">RAND()</f>
        <v>0.16773786636026344</v>
      </c>
      <c r="O2494" s="8">
        <v>45220</v>
      </c>
      <c r="P2494" s="8">
        <v>45221</v>
      </c>
      <c r="Q2494" s="8">
        <v>45223</v>
      </c>
      <c r="R2494" s="8">
        <v>45227</v>
      </c>
      <c r="S2494" s="8">
        <v>45234</v>
      </c>
      <c r="T2494" s="8"/>
      <c r="U2494" s="8"/>
      <c r="V2494" s="10">
        <f>COUNTA(O2494:U2494)</f>
        <v>5</v>
      </c>
      <c r="W2494" s="11">
        <f>_xlfn.IFNA(INDEX(reading[[#This Row],[Memo 01]:[Memo 07]],MATCH(0,reading[[#This Row],[Memo 01]:[Memo 07]],-1)),"")</f>
        <v>45234</v>
      </c>
      <c r="X2494" s="11">
        <f ca="1">IFERROR(reading[[#This Row],[Previous]]+OFFSET(reading[[#Headers],[Memo 01]],-1,MATCH(0,reading[[#This Row],[Memo 01]:[Memo 07]],-1)-1),"")</f>
        <v>45246</v>
      </c>
      <c r="Y2494" s="10" t="str">
        <f ca="1">IF(reading[[#This Row],[Next]]&lt;&gt;"",IF(reading[[#This Row],[Next]]&gt;TODAY(),"OK",""),"")</f>
        <v/>
      </c>
      <c r="Z2494" s="13">
        <v>3</v>
      </c>
      <c r="AA2494" s="13">
        <v>3</v>
      </c>
      <c r="AB2494" s="13">
        <v>3</v>
      </c>
      <c r="AC2494" s="13">
        <v>3</v>
      </c>
      <c r="AD2494" s="13">
        <v>3</v>
      </c>
      <c r="AE2494" s="13"/>
      <c r="AF2494" s="13"/>
      <c r="AG2494" s="16">
        <f>IFERROR(SUMIF(reading[[#This Row],[1st]:[7th]],"&gt;0")/COUNTIF(reading[[#This Row],[1st]:[7th]],"&gt;0"),"")</f>
        <v>3</v>
      </c>
    </row>
    <row r="2495" spans="1:33" x14ac:dyDescent="0.2">
      <c r="A2495" s="4">
        <f>IF(B2495=1,3,IF(D2495=1,2,IF(F2495=1,1,0)))</f>
        <v>0</v>
      </c>
      <c r="B2495" s="4" t="str">
        <f>IF(C2495=$L2495,1,IF(C2495="","",0))</f>
        <v/>
      </c>
      <c r="C2495" s="39"/>
      <c r="D2495" s="4" t="str">
        <f>IF(E2495=$L2495,1,IF(E2495="","",0))</f>
        <v/>
      </c>
      <c r="E2495" s="14"/>
      <c r="F2495" s="4" t="str">
        <f>IF(G2495=$L2495,1,IF(G2495="","",0))</f>
        <v/>
      </c>
      <c r="G2495" s="14"/>
      <c r="H2495" s="6">
        <v>984</v>
      </c>
      <c r="I2495" s="15" t="s">
        <v>3120</v>
      </c>
      <c r="J2495" s="6" t="s">
        <v>4113</v>
      </c>
      <c r="K2495" s="15" t="s">
        <v>3138</v>
      </c>
      <c r="L2495" s="6" t="s">
        <v>1094</v>
      </c>
      <c r="M2495" s="6" t="s">
        <v>7092</v>
      </c>
      <c r="N2495" s="7">
        <f ca="1">RAND()</f>
        <v>0.85751514856091027</v>
      </c>
      <c r="O2495" s="8">
        <v>45204</v>
      </c>
      <c r="P2495" s="8">
        <v>45205</v>
      </c>
      <c r="Q2495" s="8">
        <v>45207</v>
      </c>
      <c r="R2495" s="8">
        <v>45211</v>
      </c>
      <c r="S2495" s="8">
        <v>45218</v>
      </c>
      <c r="T2495" s="8">
        <v>45230</v>
      </c>
      <c r="U2495" s="8"/>
      <c r="V2495" s="10">
        <f>COUNTA(O2495:U2495)</f>
        <v>6</v>
      </c>
      <c r="W2495" s="11">
        <f>_xlfn.IFNA(INDEX(reading[[#This Row],[Memo 01]:[Memo 07]],MATCH(0,reading[[#This Row],[Memo 01]:[Memo 07]],-1)),"")</f>
        <v>45230</v>
      </c>
      <c r="X2495" s="11">
        <f ca="1">IFERROR(reading[[#This Row],[Previous]]+OFFSET(reading[[#Headers],[Memo 01]],-1,MATCH(0,reading[[#This Row],[Memo 01]:[Memo 07]],-1)-1),"")</f>
        <v>45250</v>
      </c>
      <c r="Y2495" s="10" t="str">
        <f ca="1">IF(reading[[#This Row],[Next]]&lt;&gt;"",IF(reading[[#This Row],[Next]]&gt;TODAY(),"OK",""),"")</f>
        <v/>
      </c>
      <c r="Z2495" s="13">
        <v>3</v>
      </c>
      <c r="AA2495" s="13">
        <v>3</v>
      </c>
      <c r="AB2495" s="13">
        <v>3</v>
      </c>
      <c r="AC2495" s="13">
        <v>3</v>
      </c>
      <c r="AD2495" s="13">
        <v>3</v>
      </c>
      <c r="AE2495" s="13">
        <v>3</v>
      </c>
      <c r="AF2495" s="13"/>
      <c r="AG2495" s="16">
        <f>IFERROR(SUMIF(reading[[#This Row],[1st]:[7th]],"&gt;0")/COUNTIF(reading[[#This Row],[1st]:[7th]],"&gt;0"),"")</f>
        <v>3</v>
      </c>
    </row>
    <row r="2496" spans="1:33" hidden="1" x14ac:dyDescent="0.2">
      <c r="A2496" s="4">
        <f>IF(B2496=1,3,IF(D2496=1,2,IF(F2496=1,1,0)))</f>
        <v>0</v>
      </c>
      <c r="B2496" s="4" t="str">
        <f>IF(C2496=$L2496,1,IF(C2496="","",0))</f>
        <v/>
      </c>
      <c r="C2496" s="41"/>
      <c r="D2496" s="4" t="str">
        <f>IF(E2496=$L2496,1,IF(E2496="","",0))</f>
        <v/>
      </c>
      <c r="E2496" s="18"/>
      <c r="F2496" s="4" t="str">
        <f>IF(G2496=$L2496,1,IF(G2496="","",0))</f>
        <v/>
      </c>
      <c r="G2496" s="14"/>
      <c r="H2496" s="6">
        <v>971</v>
      </c>
      <c r="I2496" s="15" t="s">
        <v>3120</v>
      </c>
      <c r="J2496" s="6" t="s">
        <v>4100</v>
      </c>
      <c r="K2496" s="15" t="s">
        <v>3138</v>
      </c>
      <c r="L2496" s="6" t="s">
        <v>1081</v>
      </c>
      <c r="M2496" s="6" t="s">
        <v>7079</v>
      </c>
      <c r="N2496" s="7">
        <f ca="1">RAND()</f>
        <v>0.19269145765780338</v>
      </c>
      <c r="O2496" s="8">
        <v>45204</v>
      </c>
      <c r="P2496" s="8">
        <v>45205</v>
      </c>
      <c r="Q2496" s="8">
        <v>45207</v>
      </c>
      <c r="R2496" s="8">
        <v>45212</v>
      </c>
      <c r="S2496" s="8">
        <v>45219</v>
      </c>
      <c r="T2496" s="8">
        <v>45231</v>
      </c>
      <c r="U2496" s="8">
        <v>45252</v>
      </c>
      <c r="V2496" s="10">
        <f>COUNTA(O2496:U2496)</f>
        <v>7</v>
      </c>
      <c r="W2496" s="11">
        <f>_xlfn.IFNA(INDEX(reading[[#This Row],[Memo 01]:[Memo 07]],MATCH(0,reading[[#This Row],[Memo 01]:[Memo 07]],-1)),"")</f>
        <v>45252</v>
      </c>
      <c r="X2496" s="11">
        <f ca="1">IFERROR(reading[[#This Row],[Previous]]+OFFSET(reading[[#Headers],[Memo 01]],-1,MATCH(0,reading[[#This Row],[Memo 01]:[Memo 07]],-1)-1),"")</f>
        <v>55252</v>
      </c>
      <c r="Y2496" s="10" t="str">
        <f ca="1">IF(reading[[#This Row],[Next]]&lt;&gt;"",IF(reading[[#This Row],[Next]]&gt;TODAY(),"OK",""),"")</f>
        <v>OK</v>
      </c>
      <c r="Z2496" s="13">
        <v>3</v>
      </c>
      <c r="AA2496" s="13">
        <v>2</v>
      </c>
      <c r="AB2496" s="13">
        <v>2</v>
      </c>
      <c r="AC2496" s="13">
        <v>1</v>
      </c>
      <c r="AD2496" s="13">
        <v>3</v>
      </c>
      <c r="AE2496" s="13">
        <v>3</v>
      </c>
      <c r="AF2496" s="13">
        <v>2</v>
      </c>
      <c r="AG2496" s="16">
        <f>IFERROR(SUMIF(reading[[#This Row],[1st]:[7th]],"&gt;0")/COUNTIF(reading[[#This Row],[1st]:[7th]],"&gt;0"),"")</f>
        <v>2.2857142857142856</v>
      </c>
    </row>
    <row r="2497" spans="1:33" x14ac:dyDescent="0.2">
      <c r="A2497" s="4">
        <f>IF(B2497=1,3,IF(D2497=1,2,IF(F2497=1,1,0)))</f>
        <v>0</v>
      </c>
      <c r="B2497" s="4" t="str">
        <f>IF(C2497=$L2497,1,IF(C2497="","",0))</f>
        <v/>
      </c>
      <c r="C2497" s="39"/>
      <c r="D2497" s="4" t="str">
        <f>IF(E2497=$L2497,1,IF(E2497="","",0))</f>
        <v/>
      </c>
      <c r="E2497" s="14"/>
      <c r="F2497" s="4" t="str">
        <f>IF(G2497=$L2497,1,IF(G2497="","",0))</f>
        <v/>
      </c>
      <c r="G2497" s="14"/>
      <c r="H2497" s="6">
        <v>2660</v>
      </c>
      <c r="I2497" s="15" t="s">
        <v>3120</v>
      </c>
      <c r="J2497" s="6" t="s">
        <v>5713</v>
      </c>
      <c r="K2497" s="6"/>
      <c r="L2497" s="6" t="s">
        <v>2699</v>
      </c>
      <c r="M2497" s="6" t="s">
        <v>8765</v>
      </c>
      <c r="N2497" s="7">
        <f ca="1">RAND()</f>
        <v>0.92698838478591328</v>
      </c>
      <c r="O2497" s="8">
        <v>45220</v>
      </c>
      <c r="P2497" s="8">
        <v>45221</v>
      </c>
      <c r="Q2497" s="8">
        <v>45223</v>
      </c>
      <c r="R2497" s="8">
        <v>45227</v>
      </c>
      <c r="S2497" s="8">
        <v>45234</v>
      </c>
      <c r="T2497" s="8"/>
      <c r="U2497" s="8"/>
      <c r="V2497" s="10">
        <f>COUNTA(O2497:U2497)</f>
        <v>5</v>
      </c>
      <c r="W2497" s="11">
        <f>_xlfn.IFNA(INDEX(reading[[#This Row],[Memo 01]:[Memo 07]],MATCH(0,reading[[#This Row],[Memo 01]:[Memo 07]],-1)),"")</f>
        <v>45234</v>
      </c>
      <c r="X2497" s="11">
        <f ca="1">IFERROR(reading[[#This Row],[Previous]]+OFFSET(reading[[#Headers],[Memo 01]],-1,MATCH(0,reading[[#This Row],[Memo 01]:[Memo 07]],-1)-1),"")</f>
        <v>45246</v>
      </c>
      <c r="Y2497" s="10" t="str">
        <f ca="1">IF(reading[[#This Row],[Next]]&lt;&gt;"",IF(reading[[#This Row],[Next]]&gt;TODAY(),"OK",""),"")</f>
        <v/>
      </c>
      <c r="Z2497" s="13">
        <v>3</v>
      </c>
      <c r="AA2497" s="13">
        <v>3</v>
      </c>
      <c r="AB2497" s="13">
        <v>3</v>
      </c>
      <c r="AC2497" s="13">
        <v>3</v>
      </c>
      <c r="AD2497" s="13">
        <v>3</v>
      </c>
      <c r="AE2497" s="13"/>
      <c r="AF2497" s="13"/>
      <c r="AG2497" s="16">
        <f>IFERROR(SUMIF(reading[[#This Row],[1st]:[7th]],"&gt;0")/COUNTIF(reading[[#This Row],[1st]:[7th]],"&gt;0"),"")</f>
        <v>3</v>
      </c>
    </row>
    <row r="2498" spans="1:33" x14ac:dyDescent="0.2">
      <c r="A2498" s="4">
        <f>IF(B2498=1,3,IF(D2498=1,2,IF(F2498=1,1,0)))</f>
        <v>0</v>
      </c>
      <c r="B2498" s="4" t="str">
        <f>IF(C2498=$L2498,1,IF(C2498="","",0))</f>
        <v/>
      </c>
      <c r="C2498" s="42"/>
      <c r="D2498" s="4" t="str">
        <f>IF(E2498=$L2498,1,IF(E2498="","",0))</f>
        <v/>
      </c>
      <c r="E2498" s="14"/>
      <c r="F2498" s="4" t="str">
        <f>IF(G2498=$L2498,1,IF(G2498="","",0))</f>
        <v/>
      </c>
      <c r="G2498" s="14"/>
      <c r="H2498" s="6">
        <v>2566</v>
      </c>
      <c r="I2498" s="15" t="s">
        <v>3120</v>
      </c>
      <c r="J2498" s="6" t="s">
        <v>5626</v>
      </c>
      <c r="K2498" s="6"/>
      <c r="L2498" s="6" t="s">
        <v>85</v>
      </c>
      <c r="M2498" s="6" t="s">
        <v>8671</v>
      </c>
      <c r="N2498" s="7">
        <f ca="1">RAND()</f>
        <v>0.83466479204123833</v>
      </c>
      <c r="O2498" s="8">
        <v>45219</v>
      </c>
      <c r="P2498" s="8">
        <v>45220</v>
      </c>
      <c r="Q2498" s="8">
        <v>45222</v>
      </c>
      <c r="R2498" s="8">
        <v>45226</v>
      </c>
      <c r="S2498" s="8">
        <v>45233</v>
      </c>
      <c r="T2498" s="8">
        <v>45792</v>
      </c>
      <c r="U2498" s="8"/>
      <c r="V2498" s="10">
        <f>COUNTA(O2498:U2498)</f>
        <v>6</v>
      </c>
      <c r="W2498" s="11">
        <f>_xlfn.IFNA(INDEX(reading[[#This Row],[Memo 01]:[Memo 07]],MATCH(0,reading[[#This Row],[Memo 01]:[Memo 07]],-1)),"")</f>
        <v>45792</v>
      </c>
      <c r="X2498" s="11">
        <f ca="1">IFERROR(reading[[#This Row],[Previous]]+OFFSET(reading[[#Headers],[Memo 01]],-1,MATCH(0,reading[[#This Row],[Memo 01]:[Memo 07]],-1)-1),"")</f>
        <v>45812</v>
      </c>
      <c r="Y2498" s="10" t="str">
        <f ca="1">IF(reading[[#This Row],[Next]]&lt;&gt;"",IF(reading[[#This Row],[Next]]&gt;TODAY(),"OK",""),"")</f>
        <v/>
      </c>
      <c r="Z2498" s="13">
        <v>3</v>
      </c>
      <c r="AA2498" s="13">
        <v>3</v>
      </c>
      <c r="AB2498" s="13">
        <v>3</v>
      </c>
      <c r="AC2498" s="13">
        <v>3</v>
      </c>
      <c r="AD2498" s="13">
        <v>2</v>
      </c>
      <c r="AE2498" s="13">
        <v>3</v>
      </c>
      <c r="AF2498" s="13"/>
      <c r="AG2498" s="16">
        <f>IFERROR(SUMIF(reading[[#This Row],[1st]:[7th]],"&gt;0")/COUNTIF(reading[[#This Row],[1st]:[7th]],"&gt;0"),"")</f>
        <v>2.8333333333333335</v>
      </c>
    </row>
    <row r="2499" spans="1:33" hidden="1" x14ac:dyDescent="0.2">
      <c r="A2499" s="4">
        <f>IF(B2499=1,3,IF(D2499=1,2,IF(F2499=1,1,0)))</f>
        <v>3</v>
      </c>
      <c r="B2499" s="4">
        <f>IF(C2499=$L2499,1,IF(C2499="","",0))</f>
        <v>1</v>
      </c>
      <c r="C2499" s="36" t="s">
        <v>2549</v>
      </c>
      <c r="D2499" s="4" t="str">
        <f>IF(E2499=$L2499,1,IF(E2499="","",0))</f>
        <v/>
      </c>
      <c r="E2499" s="14"/>
      <c r="F2499" s="4" t="str">
        <f>IF(G2499=$L2499,1,IF(G2499="","",0))</f>
        <v/>
      </c>
      <c r="G2499" s="14"/>
      <c r="H2499" s="6">
        <v>2503</v>
      </c>
      <c r="I2499" s="15" t="s">
        <v>3120</v>
      </c>
      <c r="J2499" s="6" t="s">
        <v>5569</v>
      </c>
      <c r="K2499" s="6"/>
      <c r="L2499" s="6" t="s">
        <v>2549</v>
      </c>
      <c r="M2499" s="6" t="s">
        <v>8608</v>
      </c>
      <c r="N2499" s="7">
        <f ca="1">RAND()</f>
        <v>0.94450394042310193</v>
      </c>
      <c r="O2499" s="8">
        <v>45219</v>
      </c>
      <c r="P2499" s="8">
        <v>45220</v>
      </c>
      <c r="Q2499" s="8">
        <v>45220</v>
      </c>
      <c r="R2499" s="8">
        <v>45220</v>
      </c>
      <c r="S2499" s="8">
        <v>45220</v>
      </c>
      <c r="T2499" s="8">
        <v>45220</v>
      </c>
      <c r="U2499" s="8">
        <v>45220</v>
      </c>
      <c r="V2499" s="10">
        <f>COUNTA(O2499:U2499)</f>
        <v>7</v>
      </c>
      <c r="W2499" s="11">
        <f>_xlfn.IFNA(INDEX(reading[[#This Row],[Memo 01]:[Memo 07]],MATCH(0,reading[[#This Row],[Memo 01]:[Memo 07]],-1)),"")</f>
        <v>45220</v>
      </c>
      <c r="X2499" s="11">
        <f ca="1">IFERROR(reading[[#This Row],[Previous]]+OFFSET(reading[[#Headers],[Memo 01]],-1,MATCH(0,reading[[#This Row],[Memo 01]:[Memo 07]],-1)-1),"")</f>
        <v>55220</v>
      </c>
      <c r="Y2499" s="10" t="str">
        <f ca="1">IF(reading[[#This Row],[Next]]&lt;&gt;"",IF(reading[[#This Row],[Next]]&gt;TODAY(),"OK",""),"")</f>
        <v>OK</v>
      </c>
      <c r="Z2499" s="13">
        <v>3</v>
      </c>
      <c r="AA2499" s="13">
        <v>3</v>
      </c>
      <c r="AB2499" s="13"/>
      <c r="AC2499" s="13"/>
      <c r="AD2499" s="13"/>
      <c r="AE2499" s="13"/>
      <c r="AF2499" s="13"/>
      <c r="AG2499" s="16">
        <f>IFERROR(SUMIF(reading[[#This Row],[1st]:[7th]],"&gt;0")/COUNTIF(reading[[#This Row],[1st]:[7th]],"&gt;0"),"")</f>
        <v>3</v>
      </c>
    </row>
    <row r="2500" spans="1:33" x14ac:dyDescent="0.2">
      <c r="A2500" s="4">
        <f>IF(B2500=1,3,IF(D2500=1,2,IF(F2500=1,1,0)))</f>
        <v>0</v>
      </c>
      <c r="B2500" s="4" t="str">
        <f>IF(C2500=$L2500,1,IF(C2500="","",0))</f>
        <v/>
      </c>
      <c r="C2500" s="39"/>
      <c r="D2500" s="4" t="str">
        <f>IF(E2500=$L2500,1,IF(E2500="","",0))</f>
        <v/>
      </c>
      <c r="E2500" s="14"/>
      <c r="F2500" s="4" t="str">
        <f>IF(G2500=$L2500,1,IF(G2500="","",0))</f>
        <v/>
      </c>
      <c r="G2500" s="14"/>
      <c r="H2500" s="6">
        <v>1642</v>
      </c>
      <c r="I2500" s="15" t="s">
        <v>3120</v>
      </c>
      <c r="J2500" s="6" t="s">
        <v>4754</v>
      </c>
      <c r="K2500" s="6"/>
      <c r="L2500" s="6" t="s">
        <v>1724</v>
      </c>
      <c r="M2500" s="6" t="s">
        <v>7748</v>
      </c>
      <c r="N2500" s="7">
        <f ca="1">RAND()</f>
        <v>0.87168384414675959</v>
      </c>
      <c r="O2500" s="8">
        <v>45210</v>
      </c>
      <c r="P2500" s="8">
        <v>45211</v>
      </c>
      <c r="Q2500" s="8">
        <v>45213</v>
      </c>
      <c r="R2500" s="8">
        <v>45217</v>
      </c>
      <c r="S2500" s="8">
        <v>45224</v>
      </c>
      <c r="T2500" s="8">
        <v>45236</v>
      </c>
      <c r="U2500" s="8"/>
      <c r="V2500" s="10">
        <f>COUNTA(O2500:U2500)</f>
        <v>6</v>
      </c>
      <c r="W2500" s="11">
        <f>_xlfn.IFNA(INDEX(reading[[#This Row],[Memo 01]:[Memo 07]],MATCH(0,reading[[#This Row],[Memo 01]:[Memo 07]],-1)),"")</f>
        <v>45236</v>
      </c>
      <c r="X2500" s="11">
        <f ca="1">IFERROR(reading[[#This Row],[Previous]]+OFFSET(reading[[#Headers],[Memo 01]],-1,MATCH(0,reading[[#This Row],[Memo 01]:[Memo 07]],-1)-1),"")</f>
        <v>45256</v>
      </c>
      <c r="Y2500" s="10" t="str">
        <f ca="1">IF(reading[[#This Row],[Next]]&lt;&gt;"",IF(reading[[#This Row],[Next]]&gt;TODAY(),"OK",""),"")</f>
        <v/>
      </c>
      <c r="Z2500" s="13">
        <v>3</v>
      </c>
      <c r="AA2500" s="13">
        <v>3</v>
      </c>
      <c r="AB2500" s="13">
        <v>3</v>
      </c>
      <c r="AC2500" s="13">
        <v>3</v>
      </c>
      <c r="AD2500" s="13">
        <v>3</v>
      </c>
      <c r="AE2500" s="13">
        <v>3</v>
      </c>
      <c r="AF2500" s="13"/>
      <c r="AG2500" s="16">
        <f>IFERROR(SUMIF(reading[[#This Row],[1st]:[7th]],"&gt;0")/COUNTIF(reading[[#This Row],[1st]:[7th]],"&gt;0"),"")</f>
        <v>3</v>
      </c>
    </row>
    <row r="2501" spans="1:33" x14ac:dyDescent="0.2">
      <c r="A2501" s="4">
        <f>IF(B2501=1,3,IF(D2501=1,2,IF(F2501=1,1,0)))</f>
        <v>0</v>
      </c>
      <c r="B2501" s="4" t="str">
        <f>IF(C2501=$L2501,1,IF(C2501="","",0))</f>
        <v/>
      </c>
      <c r="C2501" s="41"/>
      <c r="D2501" s="4" t="str">
        <f>IF(E2501=$L2501,1,IF(E2501="","",0))</f>
        <v/>
      </c>
      <c r="E2501" s="18"/>
      <c r="F2501" s="4" t="str">
        <f>IF(G2501=$L2501,1,IF(G2501="","",0))</f>
        <v/>
      </c>
      <c r="G2501" s="18"/>
      <c r="H2501" s="6">
        <v>2405</v>
      </c>
      <c r="I2501" s="15" t="s">
        <v>3120</v>
      </c>
      <c r="J2501" s="6" t="s">
        <v>5476</v>
      </c>
      <c r="K2501" s="6"/>
      <c r="L2501" s="6" t="s">
        <v>2455</v>
      </c>
      <c r="M2501" s="6" t="s">
        <v>8510</v>
      </c>
      <c r="N2501" s="7">
        <f ca="1">RAND()</f>
        <v>0.60881486494500137</v>
      </c>
      <c r="O2501" s="8">
        <v>45218</v>
      </c>
      <c r="P2501" s="8">
        <v>45219</v>
      </c>
      <c r="Q2501" s="8">
        <v>45221</v>
      </c>
      <c r="R2501" s="8">
        <v>45226</v>
      </c>
      <c r="S2501" s="8">
        <v>45233</v>
      </c>
      <c r="T2501" s="8">
        <v>45252</v>
      </c>
      <c r="U2501" s="8"/>
      <c r="V2501" s="10">
        <f>COUNTA(O2501:U2501)</f>
        <v>6</v>
      </c>
      <c r="W2501" s="11">
        <f>_xlfn.IFNA(INDEX(reading[[#This Row],[Memo 01]:[Memo 07]],MATCH(0,reading[[#This Row],[Memo 01]:[Memo 07]],-1)),"")</f>
        <v>45252</v>
      </c>
      <c r="X2501" s="11">
        <f ca="1">IFERROR(reading[[#This Row],[Previous]]+OFFSET(reading[[#Headers],[Memo 01]],-1,MATCH(0,reading[[#This Row],[Memo 01]:[Memo 07]],-1)-1),"")</f>
        <v>45272</v>
      </c>
      <c r="Y2501" s="10" t="str">
        <f ca="1">IF(reading[[#This Row],[Next]]&lt;&gt;"",IF(reading[[#This Row],[Next]]&gt;TODAY(),"OK",""),"")</f>
        <v/>
      </c>
      <c r="Z2501" s="13">
        <v>3</v>
      </c>
      <c r="AA2501" s="13">
        <v>3</v>
      </c>
      <c r="AB2501" s="13">
        <v>3</v>
      </c>
      <c r="AC2501" s="13">
        <v>1</v>
      </c>
      <c r="AD2501" s="13">
        <v>3</v>
      </c>
      <c r="AE2501" s="13">
        <v>2</v>
      </c>
      <c r="AF2501" s="13"/>
      <c r="AG2501" s="16">
        <f>IFERROR(SUMIF(reading[[#This Row],[1st]:[7th]],"&gt;0")/COUNTIF(reading[[#This Row],[1st]:[7th]],"&gt;0"),"")</f>
        <v>2.5</v>
      </c>
    </row>
    <row r="2502" spans="1:33" hidden="1" x14ac:dyDescent="0.2">
      <c r="A2502" s="4">
        <f>IF(B2502=1,3,IF(D2502=1,2,IF(F2502=1,1,0)))</f>
        <v>3</v>
      </c>
      <c r="B2502" s="4">
        <f>IF(C2502=$L2502,1,IF(C2502="","",0))</f>
        <v>1</v>
      </c>
      <c r="C2502" s="36" t="s">
        <v>2552</v>
      </c>
      <c r="D2502" s="4" t="str">
        <f>IF(E2502=$L2502,1,IF(E2502="","",0))</f>
        <v/>
      </c>
      <c r="E2502" s="14"/>
      <c r="F2502" s="4" t="str">
        <f>IF(G2502=$L2502,1,IF(G2502="","",0))</f>
        <v/>
      </c>
      <c r="G2502" s="14"/>
      <c r="H2502" s="6">
        <v>2506</v>
      </c>
      <c r="I2502" s="15" t="s">
        <v>3120</v>
      </c>
      <c r="J2502" s="6" t="s">
        <v>4854</v>
      </c>
      <c r="K2502" s="6"/>
      <c r="L2502" s="6" t="s">
        <v>2552</v>
      </c>
      <c r="M2502" s="6" t="s">
        <v>8611</v>
      </c>
      <c r="N2502" s="7">
        <f ca="1">RAND()</f>
        <v>0.3601933078569195</v>
      </c>
      <c r="O2502" s="8">
        <v>45219</v>
      </c>
      <c r="P2502" s="8">
        <v>45219</v>
      </c>
      <c r="Q2502" s="8">
        <v>45219</v>
      </c>
      <c r="R2502" s="8">
        <v>45219</v>
      </c>
      <c r="S2502" s="8">
        <v>45219</v>
      </c>
      <c r="T2502" s="8">
        <v>45219</v>
      </c>
      <c r="U2502" s="8">
        <v>45219</v>
      </c>
      <c r="V2502" s="10">
        <f>COUNTA(O2502:U2502)</f>
        <v>7</v>
      </c>
      <c r="W2502" s="11">
        <f>_xlfn.IFNA(INDEX(reading[[#This Row],[Memo 01]:[Memo 07]],MATCH(0,reading[[#This Row],[Memo 01]:[Memo 07]],-1)),"")</f>
        <v>45219</v>
      </c>
      <c r="X2502" s="11">
        <f ca="1">IFERROR(reading[[#This Row],[Previous]]+OFFSET(reading[[#Headers],[Memo 01]],-1,MATCH(0,reading[[#This Row],[Memo 01]:[Memo 07]],-1)-1),"")</f>
        <v>55219</v>
      </c>
      <c r="Y2502" s="10" t="str">
        <f ca="1">IF(reading[[#This Row],[Next]]&lt;&gt;"",IF(reading[[#This Row],[Next]]&gt;TODAY(),"OK",""),"")</f>
        <v>OK</v>
      </c>
      <c r="Z2502" s="13">
        <v>3</v>
      </c>
      <c r="AA2502" s="13"/>
      <c r="AB2502" s="13"/>
      <c r="AC2502" s="13"/>
      <c r="AD2502" s="13"/>
      <c r="AE2502" s="13"/>
      <c r="AF2502" s="13"/>
      <c r="AG2502" s="16">
        <f>IFERROR(SUMIF(reading[[#This Row],[1st]:[7th]],"&gt;0")/COUNTIF(reading[[#This Row],[1st]:[7th]],"&gt;0"),"")</f>
        <v>3</v>
      </c>
    </row>
    <row r="2503" spans="1:33" x14ac:dyDescent="0.2">
      <c r="A2503" s="4">
        <f>IF(B2503=1,3,IF(D2503=1,2,IF(F2503=1,1,0)))</f>
        <v>0</v>
      </c>
      <c r="B2503" s="4" t="str">
        <f>IF(C2503=$L2503,1,IF(C2503="","",0))</f>
        <v/>
      </c>
      <c r="C2503" s="39"/>
      <c r="D2503" s="4" t="str">
        <f>IF(E2503=$L2503,1,IF(E2503="","",0))</f>
        <v/>
      </c>
      <c r="E2503" s="14"/>
      <c r="F2503" s="4" t="str">
        <f>IF(G2503=$L2503,1,IF(G2503="","",0))</f>
        <v/>
      </c>
      <c r="G2503" s="14"/>
      <c r="H2503" s="6">
        <v>2574</v>
      </c>
      <c r="I2503" s="15" t="s">
        <v>3120</v>
      </c>
      <c r="J2503" s="6" t="s">
        <v>5634</v>
      </c>
      <c r="K2503" s="6"/>
      <c r="L2503" s="6" t="s">
        <v>2618</v>
      </c>
      <c r="M2503" s="6" t="s">
        <v>8679</v>
      </c>
      <c r="N2503" s="7">
        <f ca="1">RAND()</f>
        <v>0.31275945726653454</v>
      </c>
      <c r="O2503" s="8">
        <v>45220</v>
      </c>
      <c r="P2503" s="8">
        <v>45221</v>
      </c>
      <c r="Q2503" s="8">
        <v>45223</v>
      </c>
      <c r="R2503" s="8">
        <v>45227</v>
      </c>
      <c r="S2503" s="8">
        <v>45234</v>
      </c>
      <c r="T2503" s="8"/>
      <c r="U2503" s="8"/>
      <c r="V2503" s="10">
        <f>COUNTA(O2503:U2503)</f>
        <v>5</v>
      </c>
      <c r="W2503" s="11">
        <f>_xlfn.IFNA(INDEX(reading[[#This Row],[Memo 01]:[Memo 07]],MATCH(0,reading[[#This Row],[Memo 01]:[Memo 07]],-1)),"")</f>
        <v>45234</v>
      </c>
      <c r="X2503" s="11">
        <f ca="1">IFERROR(reading[[#This Row],[Previous]]+OFFSET(reading[[#Headers],[Memo 01]],-1,MATCH(0,reading[[#This Row],[Memo 01]:[Memo 07]],-1)-1),"")</f>
        <v>45246</v>
      </c>
      <c r="Y2503" s="10" t="str">
        <f ca="1">IF(reading[[#This Row],[Next]]&lt;&gt;"",IF(reading[[#This Row],[Next]]&gt;TODAY(),"OK",""),"")</f>
        <v/>
      </c>
      <c r="Z2503" s="13">
        <v>3</v>
      </c>
      <c r="AA2503" s="13">
        <v>3</v>
      </c>
      <c r="AB2503" s="13">
        <v>3</v>
      </c>
      <c r="AC2503" s="13">
        <v>3</v>
      </c>
      <c r="AD2503" s="13">
        <v>3</v>
      </c>
      <c r="AE2503" s="13"/>
      <c r="AF2503" s="13"/>
      <c r="AG2503" s="16">
        <f>IFERROR(SUMIF(reading[[#This Row],[1st]:[7th]],"&gt;0")/COUNTIF(reading[[#This Row],[1st]:[7th]],"&gt;0"),"")</f>
        <v>3</v>
      </c>
    </row>
    <row r="2504" spans="1:33" hidden="1" x14ac:dyDescent="0.2">
      <c r="A2504" s="4">
        <f>IF(B2504=1,3,IF(D2504=1,2,IF(F2504=1,1,0)))</f>
        <v>0</v>
      </c>
      <c r="B2504" s="4" t="str">
        <f>IF(C2504=$L2504,1,IF(C2504="","",0))</f>
        <v/>
      </c>
      <c r="C2504" s="42"/>
      <c r="D2504" s="4" t="str">
        <f>IF(E2504=$L2504,1,IF(E2504="","",0))</f>
        <v/>
      </c>
      <c r="E2504" s="43"/>
      <c r="F2504" s="4" t="str">
        <f>IF(G2504=$L2504,1,IF(G2504="","",0))</f>
        <v/>
      </c>
      <c r="G2504" s="23"/>
      <c r="H2504" s="6">
        <v>2788</v>
      </c>
      <c r="I2504" s="15" t="s">
        <v>3120</v>
      </c>
      <c r="J2504" s="6" t="s">
        <v>5831</v>
      </c>
      <c r="K2504" s="6"/>
      <c r="L2504" s="6" t="s">
        <v>2825</v>
      </c>
      <c r="M2504" s="6" t="s">
        <v>8892</v>
      </c>
      <c r="N2504" s="7">
        <f ca="1">RAND()</f>
        <v>6.0568909870369669E-2</v>
      </c>
      <c r="O2504" s="8">
        <v>45222</v>
      </c>
      <c r="P2504" s="8">
        <v>45223</v>
      </c>
      <c r="Q2504" s="8">
        <v>45225</v>
      </c>
      <c r="R2504" s="8">
        <v>45229</v>
      </c>
      <c r="S2504" s="8">
        <v>45236</v>
      </c>
      <c r="T2504" s="8">
        <v>45251</v>
      </c>
      <c r="U2504" s="8">
        <v>45817</v>
      </c>
      <c r="V2504" s="10">
        <f>COUNTA(O2504:U2504)</f>
        <v>7</v>
      </c>
      <c r="W2504" s="11">
        <f>_xlfn.IFNA(INDEX(reading[[#This Row],[Memo 01]:[Memo 07]],MATCH(0,reading[[#This Row],[Memo 01]:[Memo 07]],-1)),"")</f>
        <v>45817</v>
      </c>
      <c r="X2504" s="11">
        <f ca="1">IFERROR(reading[[#This Row],[Previous]]+OFFSET(reading[[#Headers],[Memo 01]],-1,MATCH(0,reading[[#This Row],[Memo 01]:[Memo 07]],-1)-1),"")</f>
        <v>55817</v>
      </c>
      <c r="Y2504" s="10" t="str">
        <f ca="1">IF(reading[[#This Row],[Next]]&lt;&gt;"",IF(reading[[#This Row],[Next]]&gt;TODAY(),"OK",""),"")</f>
        <v>OK</v>
      </c>
      <c r="Z2504" s="13">
        <v>3</v>
      </c>
      <c r="AA2504" s="13">
        <v>2</v>
      </c>
      <c r="AB2504" s="13">
        <v>3</v>
      </c>
      <c r="AC2504" s="13">
        <v>3</v>
      </c>
      <c r="AD2504" s="13">
        <v>2</v>
      </c>
      <c r="AE2504" s="13">
        <v>3</v>
      </c>
      <c r="AF2504" s="13">
        <v>1</v>
      </c>
      <c r="AG2504" s="16">
        <f>IFERROR(SUMIF(reading[[#This Row],[1st]:[7th]],"&gt;0")/COUNTIF(reading[[#This Row],[1st]:[7th]],"&gt;0"),"")</f>
        <v>2.4285714285714284</v>
      </c>
    </row>
    <row r="2505" spans="1:33" x14ac:dyDescent="0.2">
      <c r="A2505" s="4">
        <f>IF(B2505=1,3,IF(D2505=1,2,IF(F2505=1,1,0)))</f>
        <v>0</v>
      </c>
      <c r="B2505" s="4" t="str">
        <f>IF(C2505=$L2505,1,IF(C2505="","",0))</f>
        <v/>
      </c>
      <c r="C2505" s="41"/>
      <c r="D2505" s="4" t="str">
        <f>IF(E2505=$L2505,1,IF(E2505="","",0))</f>
        <v/>
      </c>
      <c r="E2505" s="18"/>
      <c r="F2505" s="4" t="str">
        <f>IF(G2505=$L2505,1,IF(G2505="","",0))</f>
        <v/>
      </c>
      <c r="G2505" s="14"/>
      <c r="H2505" s="6">
        <v>2884</v>
      </c>
      <c r="I2505" s="15" t="s">
        <v>3120</v>
      </c>
      <c r="J2505" s="6" t="s">
        <v>5921</v>
      </c>
      <c r="K2505" s="6"/>
      <c r="L2505" s="6" t="s">
        <v>2915</v>
      </c>
      <c r="M2505" s="6" t="s">
        <v>8988</v>
      </c>
      <c r="N2505" s="7">
        <f ca="1">RAND()</f>
        <v>0.33081358833990482</v>
      </c>
      <c r="O2505" s="8">
        <v>45222</v>
      </c>
      <c r="P2505" s="8">
        <v>45223</v>
      </c>
      <c r="Q2505" s="8">
        <v>45225</v>
      </c>
      <c r="R2505" s="8">
        <v>45229</v>
      </c>
      <c r="S2505" s="8">
        <v>45236</v>
      </c>
      <c r="T2505" s="8">
        <v>45252</v>
      </c>
      <c r="U2505" s="8"/>
      <c r="V2505" s="10">
        <f>COUNTA(O2505:U2505)</f>
        <v>6</v>
      </c>
      <c r="W2505" s="11">
        <f>_xlfn.IFNA(INDEX(reading[[#This Row],[Memo 01]:[Memo 07]],MATCH(0,reading[[#This Row],[Memo 01]:[Memo 07]],-1)),"")</f>
        <v>45252</v>
      </c>
      <c r="X2505" s="11">
        <f ca="1">IFERROR(reading[[#This Row],[Previous]]+OFFSET(reading[[#Headers],[Memo 01]],-1,MATCH(0,reading[[#This Row],[Memo 01]:[Memo 07]],-1)-1),"")</f>
        <v>45272</v>
      </c>
      <c r="Y2505" s="10" t="str">
        <f ca="1">IF(reading[[#This Row],[Next]]&lt;&gt;"",IF(reading[[#This Row],[Next]]&gt;TODAY(),"OK",""),"")</f>
        <v/>
      </c>
      <c r="Z2505" s="13">
        <v>3</v>
      </c>
      <c r="AA2505" s="13">
        <v>2</v>
      </c>
      <c r="AB2505" s="13">
        <v>3</v>
      </c>
      <c r="AC2505" s="13">
        <v>3</v>
      </c>
      <c r="AD2505" s="13">
        <v>2</v>
      </c>
      <c r="AE2505" s="13">
        <v>2</v>
      </c>
      <c r="AF2505" s="13"/>
      <c r="AG2505" s="16">
        <f>IFERROR(SUMIF(reading[[#This Row],[1st]:[7th]],"&gt;0")/COUNTIF(reading[[#This Row],[1st]:[7th]],"&gt;0"),"")</f>
        <v>2.5</v>
      </c>
    </row>
    <row r="2506" spans="1:33" x14ac:dyDescent="0.2">
      <c r="A2506" s="4">
        <f>IF(B2506=1,3,IF(D2506=1,2,IF(F2506=1,1,0)))</f>
        <v>0</v>
      </c>
      <c r="B2506" s="4" t="str">
        <f>IF(C2506=$L2506,1,IF(C2506="","",0))</f>
        <v/>
      </c>
      <c r="C2506" s="42"/>
      <c r="D2506" s="4" t="str">
        <f>IF(E2506=$L2506,1,IF(E2506="","",0))</f>
        <v/>
      </c>
      <c r="E2506" s="14"/>
      <c r="F2506" s="4" t="str">
        <f>IF(G2506=$L2506,1,IF(G2506="","",0))</f>
        <v/>
      </c>
      <c r="G2506" s="14"/>
      <c r="H2506" s="6">
        <v>2662</v>
      </c>
      <c r="I2506" s="15" t="s">
        <v>3120</v>
      </c>
      <c r="J2506" s="6" t="s">
        <v>5715</v>
      </c>
      <c r="K2506" s="15" t="s">
        <v>3139</v>
      </c>
      <c r="L2506" s="6" t="s">
        <v>2701</v>
      </c>
      <c r="M2506" s="6" t="s">
        <v>8767</v>
      </c>
      <c r="N2506" s="7">
        <f ca="1">RAND()</f>
        <v>0.87181885377845636</v>
      </c>
      <c r="O2506" s="8">
        <v>45220</v>
      </c>
      <c r="P2506" s="8">
        <v>45221</v>
      </c>
      <c r="Q2506" s="8">
        <v>45223</v>
      </c>
      <c r="R2506" s="8">
        <v>45227</v>
      </c>
      <c r="S2506" s="8">
        <v>45234</v>
      </c>
      <c r="T2506" s="8">
        <v>45801</v>
      </c>
      <c r="U2506" s="8"/>
      <c r="V2506" s="10">
        <f>COUNTA(O2506:U2506)</f>
        <v>6</v>
      </c>
      <c r="W2506" s="11">
        <f>_xlfn.IFNA(INDEX(reading[[#This Row],[Memo 01]:[Memo 07]],MATCH(0,reading[[#This Row],[Memo 01]:[Memo 07]],-1)),"")</f>
        <v>45801</v>
      </c>
      <c r="X2506" s="11">
        <f ca="1">IFERROR(reading[[#This Row],[Previous]]+OFFSET(reading[[#Headers],[Memo 01]],-1,MATCH(0,reading[[#This Row],[Memo 01]:[Memo 07]],-1)-1),"")</f>
        <v>45821</v>
      </c>
      <c r="Y2506" s="10" t="str">
        <f ca="1">IF(reading[[#This Row],[Next]]&lt;&gt;"",IF(reading[[#This Row],[Next]]&gt;TODAY(),"OK",""),"")</f>
        <v/>
      </c>
      <c r="Z2506" s="13">
        <v>3</v>
      </c>
      <c r="AA2506" s="13">
        <v>3</v>
      </c>
      <c r="AB2506" s="13">
        <v>3</v>
      </c>
      <c r="AC2506" s="13">
        <v>3</v>
      </c>
      <c r="AD2506" s="13">
        <v>3</v>
      </c>
      <c r="AE2506" s="13">
        <v>3</v>
      </c>
      <c r="AF2506" s="13"/>
      <c r="AG2506" s="16">
        <f>IFERROR(SUMIF(reading[[#This Row],[1st]:[7th]],"&gt;0")/COUNTIF(reading[[#This Row],[1st]:[7th]],"&gt;0"),"")</f>
        <v>3</v>
      </c>
    </row>
    <row r="2507" spans="1:33" hidden="1" x14ac:dyDescent="0.2">
      <c r="A2507" s="4">
        <f>IF(B2507=1,3,IF(D2507=1,2,IF(F2507=1,1,0)))</f>
        <v>3</v>
      </c>
      <c r="B2507" s="4">
        <f>IF(C2507=$L2507,1,IF(C2507="","",0))</f>
        <v>1</v>
      </c>
      <c r="C2507" s="36" t="s">
        <v>2557</v>
      </c>
      <c r="D2507" s="4" t="str">
        <f>IF(E2507=$L2507,1,IF(E2507="","",0))</f>
        <v/>
      </c>
      <c r="E2507" s="14"/>
      <c r="F2507" s="4" t="str">
        <f>IF(G2507=$L2507,1,IF(G2507="","",0))</f>
        <v/>
      </c>
      <c r="G2507" s="14"/>
      <c r="H2507" s="6">
        <v>2511</v>
      </c>
      <c r="I2507" s="15" t="s">
        <v>3120</v>
      </c>
      <c r="J2507" s="6" t="s">
        <v>5575</v>
      </c>
      <c r="K2507" s="6"/>
      <c r="L2507" s="6" t="s">
        <v>2557</v>
      </c>
      <c r="M2507" s="6" t="s">
        <v>8616</v>
      </c>
      <c r="N2507" s="7">
        <f ca="1">RAND()</f>
        <v>0.78863677549971867</v>
      </c>
      <c r="O2507" s="8">
        <v>45219</v>
      </c>
      <c r="P2507" s="8">
        <v>45220</v>
      </c>
      <c r="Q2507" s="8">
        <v>45220</v>
      </c>
      <c r="R2507" s="8">
        <v>45220</v>
      </c>
      <c r="S2507" s="8">
        <v>45220</v>
      </c>
      <c r="T2507" s="8">
        <v>45220</v>
      </c>
      <c r="U2507" s="8">
        <v>45220</v>
      </c>
      <c r="V2507" s="10">
        <f>COUNTA(O2507:U2507)</f>
        <v>7</v>
      </c>
      <c r="W2507" s="11">
        <f>_xlfn.IFNA(INDEX(reading[[#This Row],[Memo 01]:[Memo 07]],MATCH(0,reading[[#This Row],[Memo 01]:[Memo 07]],-1)),"")</f>
        <v>45220</v>
      </c>
      <c r="X2507" s="11">
        <f ca="1">IFERROR(reading[[#This Row],[Previous]]+OFFSET(reading[[#Headers],[Memo 01]],-1,MATCH(0,reading[[#This Row],[Memo 01]:[Memo 07]],-1)-1),"")</f>
        <v>55220</v>
      </c>
      <c r="Y2507" s="10" t="str">
        <f ca="1">IF(reading[[#This Row],[Next]]&lt;&gt;"",IF(reading[[#This Row],[Next]]&gt;TODAY(),"OK",""),"")</f>
        <v>OK</v>
      </c>
      <c r="Z2507" s="13">
        <v>3</v>
      </c>
      <c r="AA2507" s="13">
        <v>3</v>
      </c>
      <c r="AB2507" s="13"/>
      <c r="AC2507" s="13"/>
      <c r="AD2507" s="13"/>
      <c r="AE2507" s="13"/>
      <c r="AF2507" s="13"/>
      <c r="AG2507" s="16">
        <f>IFERROR(SUMIF(reading[[#This Row],[1st]:[7th]],"&gt;0")/COUNTIF(reading[[#This Row],[1st]:[7th]],"&gt;0"),"")</f>
        <v>3</v>
      </c>
    </row>
    <row r="2508" spans="1:33" hidden="1" x14ac:dyDescent="0.2">
      <c r="A2508" s="4">
        <f>IF(B2508=1,3,IF(D2508=1,2,IF(F2508=1,1,0)))</f>
        <v>0</v>
      </c>
      <c r="B2508" s="4" t="str">
        <f>IF(C2508=$L2508,1,IF(C2508="","",0))</f>
        <v/>
      </c>
      <c r="C2508" s="42"/>
      <c r="D2508" s="4" t="str">
        <f>IF(E2508=$L2508,1,IF(E2508="","",0))</f>
        <v/>
      </c>
      <c r="E2508" s="23"/>
      <c r="F2508" s="4" t="str">
        <f>IF(G2508=$L2508,1,IF(G2508="","",0))</f>
        <v/>
      </c>
      <c r="G2508" s="14"/>
      <c r="H2508" s="6">
        <v>2110</v>
      </c>
      <c r="I2508" s="15" t="s">
        <v>3120</v>
      </c>
      <c r="J2508" s="6" t="s">
        <v>5199</v>
      </c>
      <c r="K2508" s="6"/>
      <c r="L2508" s="6" t="s">
        <v>2178</v>
      </c>
      <c r="M2508" s="6" t="s">
        <v>8216</v>
      </c>
      <c r="N2508" s="7">
        <f ca="1">RAND()</f>
        <v>0.54927466548501269</v>
      </c>
      <c r="O2508" s="8">
        <v>45214</v>
      </c>
      <c r="P2508" s="8">
        <v>45215</v>
      </c>
      <c r="Q2508" s="8">
        <v>45217</v>
      </c>
      <c r="R2508" s="8">
        <v>45221</v>
      </c>
      <c r="S2508" s="8">
        <v>45228</v>
      </c>
      <c r="T2508" s="8">
        <v>45816</v>
      </c>
      <c r="U2508" s="8"/>
      <c r="V2508" s="10">
        <f>COUNTA(O2508:U2508)</f>
        <v>6</v>
      </c>
      <c r="W2508" s="11">
        <f>_xlfn.IFNA(INDEX(reading[[#This Row],[Memo 01]:[Memo 07]],MATCH(0,reading[[#This Row],[Memo 01]:[Memo 07]],-1)),"")</f>
        <v>45816</v>
      </c>
      <c r="X2508" s="11">
        <f ca="1">IFERROR(reading[[#This Row],[Previous]]+OFFSET(reading[[#Headers],[Memo 01]],-1,MATCH(0,reading[[#This Row],[Memo 01]:[Memo 07]],-1)-1),"")</f>
        <v>45836</v>
      </c>
      <c r="Y2508" s="10" t="str">
        <f ca="1">IF(reading[[#This Row],[Next]]&lt;&gt;"",IF(reading[[#This Row],[Next]]&gt;TODAY(),"OK",""),"")</f>
        <v>OK</v>
      </c>
      <c r="Z2508" s="13">
        <v>3</v>
      </c>
      <c r="AA2508" s="13">
        <v>3</v>
      </c>
      <c r="AB2508" s="13">
        <v>3</v>
      </c>
      <c r="AC2508" s="13">
        <v>3</v>
      </c>
      <c r="AD2508" s="13">
        <v>3</v>
      </c>
      <c r="AE2508" s="13">
        <v>2</v>
      </c>
      <c r="AF2508" s="13"/>
      <c r="AG2508" s="16">
        <f>IFERROR(SUMIF(reading[[#This Row],[1st]:[7th]],"&gt;0")/COUNTIF(reading[[#This Row],[1st]:[7th]],"&gt;0"),"")</f>
        <v>2.8333333333333335</v>
      </c>
    </row>
    <row r="2509" spans="1:33" x14ac:dyDescent="0.2">
      <c r="A2509" s="4">
        <f>IF(B2509=1,3,IF(D2509=1,2,IF(F2509=1,1,0)))</f>
        <v>0</v>
      </c>
      <c r="B2509" s="4" t="str">
        <f>IF(C2509=$L2509,1,IF(C2509="","",0))</f>
        <v/>
      </c>
      <c r="C2509" s="39"/>
      <c r="D2509" s="4" t="str">
        <f>IF(E2509=$L2509,1,IF(E2509="","",0))</f>
        <v/>
      </c>
      <c r="E2509" s="14"/>
      <c r="F2509" s="4" t="str">
        <f>IF(G2509=$L2509,1,IF(G2509="","",0))</f>
        <v/>
      </c>
      <c r="G2509" s="14"/>
      <c r="H2509" s="6">
        <v>2583</v>
      </c>
      <c r="I2509" s="15" t="s">
        <v>3120</v>
      </c>
      <c r="J2509" s="6" t="s">
        <v>5248</v>
      </c>
      <c r="K2509" s="6"/>
      <c r="L2509" s="6" t="s">
        <v>2627</v>
      </c>
      <c r="M2509" s="6" t="s">
        <v>8688</v>
      </c>
      <c r="N2509" s="7">
        <f ca="1">RAND()</f>
        <v>0.38179160779927102</v>
      </c>
      <c r="O2509" s="8">
        <v>45219</v>
      </c>
      <c r="P2509" s="8">
        <v>45220</v>
      </c>
      <c r="Q2509" s="8">
        <v>45222</v>
      </c>
      <c r="R2509" s="8">
        <v>45226</v>
      </c>
      <c r="S2509" s="8">
        <v>45233</v>
      </c>
      <c r="T2509" s="8"/>
      <c r="U2509" s="8"/>
      <c r="V2509" s="10">
        <f>COUNTA(O2509:U2509)</f>
        <v>5</v>
      </c>
      <c r="W2509" s="11">
        <f>_xlfn.IFNA(INDEX(reading[[#This Row],[Memo 01]:[Memo 07]],MATCH(0,reading[[#This Row],[Memo 01]:[Memo 07]],-1)),"")</f>
        <v>45233</v>
      </c>
      <c r="X2509" s="11">
        <f ca="1">IFERROR(reading[[#This Row],[Previous]]+OFFSET(reading[[#Headers],[Memo 01]],-1,MATCH(0,reading[[#This Row],[Memo 01]:[Memo 07]],-1)-1),"")</f>
        <v>45245</v>
      </c>
      <c r="Y2509" s="10" t="str">
        <f ca="1">IF(reading[[#This Row],[Next]]&lt;&gt;"",IF(reading[[#This Row],[Next]]&gt;TODAY(),"OK",""),"")</f>
        <v/>
      </c>
      <c r="Z2509" s="13">
        <v>3</v>
      </c>
      <c r="AA2509" s="13">
        <v>3</v>
      </c>
      <c r="AB2509" s="13">
        <v>3</v>
      </c>
      <c r="AC2509" s="13">
        <v>3</v>
      </c>
      <c r="AD2509" s="13">
        <v>3</v>
      </c>
      <c r="AE2509" s="13"/>
      <c r="AF2509" s="13"/>
      <c r="AG2509" s="16">
        <f>IFERROR(SUMIF(reading[[#This Row],[1st]:[7th]],"&gt;0")/COUNTIF(reading[[#This Row],[1st]:[7th]],"&gt;0"),"")</f>
        <v>3</v>
      </c>
    </row>
    <row r="2510" spans="1:33" hidden="1" x14ac:dyDescent="0.2">
      <c r="A2510" s="4">
        <f>IF(B2510=1,3,IF(D2510=1,2,IF(F2510=1,1,0)))</f>
        <v>0</v>
      </c>
      <c r="B2510" s="4" t="str">
        <f>IF(C2510=$L2510,1,IF(C2510="","",0))</f>
        <v/>
      </c>
      <c r="C2510" s="41"/>
      <c r="D2510" s="4" t="str">
        <f>IF(E2510=$L2510,1,IF(E2510="","",0))</f>
        <v/>
      </c>
      <c r="E2510" s="18"/>
      <c r="F2510" s="4" t="str">
        <f>IF(G2510=$L2510,1,IF(G2510="","",0))</f>
        <v/>
      </c>
      <c r="G2510" s="18"/>
      <c r="H2510" s="6">
        <v>882</v>
      </c>
      <c r="I2510" s="15" t="s">
        <v>3120</v>
      </c>
      <c r="J2510" s="6" t="s">
        <v>4014</v>
      </c>
      <c r="K2510" s="6"/>
      <c r="L2510" s="6" t="s">
        <v>996</v>
      </c>
      <c r="M2510" s="6" t="s">
        <v>6991</v>
      </c>
      <c r="N2510" s="7">
        <f ca="1">RAND()</f>
        <v>0.27589575314646952</v>
      </c>
      <c r="O2510" s="8">
        <v>45204</v>
      </c>
      <c r="P2510" s="8">
        <v>45205</v>
      </c>
      <c r="Q2510" s="8">
        <v>45207</v>
      </c>
      <c r="R2510" s="8">
        <v>45211</v>
      </c>
      <c r="S2510" s="8">
        <v>45218</v>
      </c>
      <c r="T2510" s="8">
        <v>45230</v>
      </c>
      <c r="U2510" s="8">
        <v>45252</v>
      </c>
      <c r="V2510" s="10">
        <f>COUNTA(O2510:U2510)</f>
        <v>7</v>
      </c>
      <c r="W2510" s="11">
        <f>_xlfn.IFNA(INDEX(reading[[#This Row],[Memo 01]:[Memo 07]],MATCH(0,reading[[#This Row],[Memo 01]:[Memo 07]],-1)),"")</f>
        <v>45252</v>
      </c>
      <c r="X2510" s="11">
        <f ca="1">IFERROR(reading[[#This Row],[Previous]]+OFFSET(reading[[#Headers],[Memo 01]],-1,MATCH(0,reading[[#This Row],[Memo 01]:[Memo 07]],-1)-1),"")</f>
        <v>55252</v>
      </c>
      <c r="Y2510" s="10" t="str">
        <f ca="1">IF(reading[[#This Row],[Next]]&lt;&gt;"",IF(reading[[#This Row],[Next]]&gt;TODAY(),"OK",""),"")</f>
        <v>OK</v>
      </c>
      <c r="Z2510" s="13">
        <v>3</v>
      </c>
      <c r="AA2510" s="13">
        <v>2</v>
      </c>
      <c r="AB2510" s="13">
        <v>2</v>
      </c>
      <c r="AC2510" s="13">
        <v>3</v>
      </c>
      <c r="AD2510" s="13">
        <v>1</v>
      </c>
      <c r="AE2510" s="13">
        <v>2</v>
      </c>
      <c r="AF2510" s="13">
        <v>1</v>
      </c>
      <c r="AG2510" s="16">
        <f>IFERROR(SUMIF(reading[[#This Row],[1st]:[7th]],"&gt;0")/COUNTIF(reading[[#This Row],[1st]:[7th]],"&gt;0"),"")</f>
        <v>2</v>
      </c>
    </row>
    <row r="2511" spans="1:33" hidden="1" x14ac:dyDescent="0.2">
      <c r="A2511" s="4">
        <f>IF(B2511=1,3,IF(D2511=1,2,IF(F2511=1,1,0)))</f>
        <v>0</v>
      </c>
      <c r="B2511" s="4">
        <f>IF(C2511=$L2511,1,IF(C2511="","",0))</f>
        <v>0</v>
      </c>
      <c r="C2511" s="42" t="s">
        <v>9200</v>
      </c>
      <c r="D2511" s="4" t="str">
        <f>IF(E2511=$L2511,1,IF(E2511="","",0))</f>
        <v/>
      </c>
      <c r="E2511" s="18"/>
      <c r="F2511" s="4" t="str">
        <f>IF(G2511=$L2511,1,IF(G2511="","",0))</f>
        <v/>
      </c>
      <c r="G2511" s="14"/>
      <c r="H2511" s="6">
        <v>780</v>
      </c>
      <c r="I2511" s="15" t="s">
        <v>3120</v>
      </c>
      <c r="J2511" s="6" t="s">
        <v>3914</v>
      </c>
      <c r="K2511" s="15" t="s">
        <v>3138</v>
      </c>
      <c r="L2511" s="6" t="s">
        <v>899</v>
      </c>
      <c r="M2511" s="6" t="s">
        <v>6889</v>
      </c>
      <c r="N2511" s="7">
        <f ca="1">RAND()</f>
        <v>0.21744754637239516</v>
      </c>
      <c r="O2511" s="8">
        <v>45204</v>
      </c>
      <c r="P2511" s="8">
        <v>45205</v>
      </c>
      <c r="Q2511" s="8">
        <v>45213</v>
      </c>
      <c r="R2511" s="8">
        <v>45217</v>
      </c>
      <c r="S2511" s="8">
        <v>45224</v>
      </c>
      <c r="T2511" s="8">
        <v>45236</v>
      </c>
      <c r="U2511" s="8"/>
      <c r="V2511" s="10">
        <f>COUNTA(O2511:U2511)</f>
        <v>6</v>
      </c>
      <c r="W2511" s="11">
        <f>_xlfn.IFNA(INDEX(reading[[#This Row],[Memo 01]:[Memo 07]],MATCH(0,reading[[#This Row],[Memo 01]:[Memo 07]],-1)),"")</f>
        <v>45236</v>
      </c>
      <c r="X2511" s="11">
        <f ca="1">IFERROR(reading[[#This Row],[Previous]]+OFFSET(reading[[#Headers],[Memo 01]],-1,MATCH(0,reading[[#This Row],[Memo 01]:[Memo 07]],-1)-1),"")</f>
        <v>45256</v>
      </c>
      <c r="Y2511" s="10" t="str">
        <f ca="1">IF(reading[[#This Row],[Next]]&lt;&gt;"",IF(reading[[#This Row],[Next]]&gt;TODAY(),"OK",""),"")</f>
        <v/>
      </c>
      <c r="Z2511" s="13">
        <v>3</v>
      </c>
      <c r="AA2511" s="13">
        <v>3</v>
      </c>
      <c r="AB2511" s="13">
        <v>2</v>
      </c>
      <c r="AC2511" s="13">
        <v>3</v>
      </c>
      <c r="AD2511" s="13">
        <v>3</v>
      </c>
      <c r="AE2511" s="13">
        <v>3</v>
      </c>
      <c r="AF2511" s="13"/>
      <c r="AG2511" s="16">
        <f>IFERROR(SUMIF(reading[[#This Row],[1st]:[7th]],"&gt;0")/COUNTIF(reading[[#This Row],[1st]:[7th]],"&gt;0"),"")</f>
        <v>2.8333333333333335</v>
      </c>
    </row>
    <row r="2512" spans="1:33" x14ac:dyDescent="0.2">
      <c r="A2512" s="4">
        <f>IF(B2512=1,3,IF(D2512=1,2,IF(F2512=1,1,0)))</f>
        <v>0</v>
      </c>
      <c r="B2512" s="4" t="str">
        <f>IF(C2512=$L2512,1,IF(C2512="","",0))</f>
        <v/>
      </c>
      <c r="C2512" s="39"/>
      <c r="D2512" s="4" t="str">
        <f>IF(E2512=$L2512,1,IF(E2512="","",0))</f>
        <v/>
      </c>
      <c r="E2512" s="14"/>
      <c r="F2512" s="4" t="str">
        <f>IF(G2512=$L2512,1,IF(G2512="","",0))</f>
        <v/>
      </c>
      <c r="G2512" s="14"/>
      <c r="H2512" s="6">
        <v>1687</v>
      </c>
      <c r="I2512" s="15" t="s">
        <v>3120</v>
      </c>
      <c r="J2512" s="6" t="s">
        <v>4797</v>
      </c>
      <c r="K2512" s="6"/>
      <c r="L2512" s="6" t="s">
        <v>1767</v>
      </c>
      <c r="M2512" s="6" t="s">
        <v>7793</v>
      </c>
      <c r="N2512" s="7">
        <f ca="1">RAND()</f>
        <v>0.46829925271923034</v>
      </c>
      <c r="O2512" s="8">
        <v>45210</v>
      </c>
      <c r="P2512" s="8">
        <v>45211</v>
      </c>
      <c r="Q2512" s="8">
        <v>45213</v>
      </c>
      <c r="R2512" s="8">
        <v>45217</v>
      </c>
      <c r="S2512" s="8">
        <v>45224</v>
      </c>
      <c r="T2512" s="8">
        <v>45236</v>
      </c>
      <c r="U2512" s="8"/>
      <c r="V2512" s="10">
        <f>COUNTA(O2512:U2512)</f>
        <v>6</v>
      </c>
      <c r="W2512" s="11">
        <f>_xlfn.IFNA(INDEX(reading[[#This Row],[Memo 01]:[Memo 07]],MATCH(0,reading[[#This Row],[Memo 01]:[Memo 07]],-1)),"")</f>
        <v>45236</v>
      </c>
      <c r="X2512" s="11">
        <f ca="1">IFERROR(reading[[#This Row],[Previous]]+OFFSET(reading[[#Headers],[Memo 01]],-1,MATCH(0,reading[[#This Row],[Memo 01]:[Memo 07]],-1)-1),"")</f>
        <v>45256</v>
      </c>
      <c r="Y2512" s="10" t="str">
        <f ca="1">IF(reading[[#This Row],[Next]]&lt;&gt;"",IF(reading[[#This Row],[Next]]&gt;TODAY(),"OK",""),"")</f>
        <v/>
      </c>
      <c r="Z2512" s="13">
        <v>3</v>
      </c>
      <c r="AA2512" s="13">
        <v>3</v>
      </c>
      <c r="AB2512" s="13">
        <v>3</v>
      </c>
      <c r="AC2512" s="13">
        <v>3</v>
      </c>
      <c r="AD2512" s="13">
        <v>3</v>
      </c>
      <c r="AE2512" s="13">
        <v>3</v>
      </c>
      <c r="AF2512" s="13"/>
      <c r="AG2512" s="16">
        <f>IFERROR(SUMIF(reading[[#This Row],[1st]:[7th]],"&gt;0")/COUNTIF(reading[[#This Row],[1st]:[7th]],"&gt;0"),"")</f>
        <v>3</v>
      </c>
    </row>
    <row r="2513" spans="1:33" hidden="1" x14ac:dyDescent="0.2">
      <c r="A2513" s="4">
        <f>IF(B2513=1,3,IF(D2513=1,2,IF(F2513=1,1,0)))</f>
        <v>3</v>
      </c>
      <c r="B2513" s="4">
        <f>IF(C2513=$L2513,1,IF(C2513="","",0))</f>
        <v>1</v>
      </c>
      <c r="C2513" s="36" t="s">
        <v>2563</v>
      </c>
      <c r="D2513" s="4" t="str">
        <f>IF(E2513=$L2513,1,IF(E2513="","",0))</f>
        <v/>
      </c>
      <c r="E2513" s="14"/>
      <c r="F2513" s="4" t="str">
        <f>IF(G2513=$L2513,1,IF(G2513="","",0))</f>
        <v/>
      </c>
      <c r="G2513" s="14"/>
      <c r="H2513" s="6">
        <v>2517</v>
      </c>
      <c r="I2513" s="15" t="s">
        <v>3120</v>
      </c>
      <c r="J2513" s="6" t="s">
        <v>3531</v>
      </c>
      <c r="K2513" s="6"/>
      <c r="L2513" s="6" t="s">
        <v>2563</v>
      </c>
      <c r="M2513" s="6" t="s">
        <v>8622</v>
      </c>
      <c r="N2513" s="7">
        <f ca="1">RAND()</f>
        <v>0.62872800406758034</v>
      </c>
      <c r="O2513" s="8">
        <v>45219</v>
      </c>
      <c r="P2513" s="8">
        <v>45219</v>
      </c>
      <c r="Q2513" s="8">
        <v>45219</v>
      </c>
      <c r="R2513" s="8">
        <v>45219</v>
      </c>
      <c r="S2513" s="8">
        <v>45219</v>
      </c>
      <c r="T2513" s="8">
        <v>45219</v>
      </c>
      <c r="U2513" s="8">
        <v>45219</v>
      </c>
      <c r="V2513" s="10">
        <f>COUNTA(O2513:U2513)</f>
        <v>7</v>
      </c>
      <c r="W2513" s="11">
        <f>_xlfn.IFNA(INDEX(reading[[#This Row],[Memo 01]:[Memo 07]],MATCH(0,reading[[#This Row],[Memo 01]:[Memo 07]],-1)),"")</f>
        <v>45219</v>
      </c>
      <c r="X2513" s="11">
        <f ca="1">IFERROR(reading[[#This Row],[Previous]]+OFFSET(reading[[#Headers],[Memo 01]],-1,MATCH(0,reading[[#This Row],[Memo 01]:[Memo 07]],-1)-1),"")</f>
        <v>55219</v>
      </c>
      <c r="Y2513" s="10" t="str">
        <f ca="1">IF(reading[[#This Row],[Next]]&lt;&gt;"",IF(reading[[#This Row],[Next]]&gt;TODAY(),"OK",""),"")</f>
        <v>OK</v>
      </c>
      <c r="Z2513" s="13">
        <v>3</v>
      </c>
      <c r="AA2513" s="13"/>
      <c r="AB2513" s="13"/>
      <c r="AC2513" s="13"/>
      <c r="AD2513" s="13"/>
      <c r="AE2513" s="13"/>
      <c r="AF2513" s="13"/>
      <c r="AG2513" s="16">
        <f>IFERROR(SUMIF(reading[[#This Row],[1st]:[7th]],"&gt;0")/COUNTIF(reading[[#This Row],[1st]:[7th]],"&gt;0"),"")</f>
        <v>3</v>
      </c>
    </row>
    <row r="2514" spans="1:33" x14ac:dyDescent="0.2">
      <c r="A2514" s="4">
        <f>IF(B2514=1,3,IF(D2514=1,2,IF(F2514=1,1,0)))</f>
        <v>0</v>
      </c>
      <c r="B2514" s="4" t="str">
        <f>IF(C2514=$L2514,1,IF(C2514="","",0))</f>
        <v/>
      </c>
      <c r="C2514" s="39"/>
      <c r="D2514" s="4" t="str">
        <f>IF(E2514=$L2514,1,IF(E2514="","",0))</f>
        <v/>
      </c>
      <c r="E2514" s="14"/>
      <c r="F2514" s="4" t="str">
        <f>IF(G2514=$L2514,1,IF(G2514="","",0))</f>
        <v/>
      </c>
      <c r="G2514" s="14"/>
      <c r="H2514" s="6">
        <v>2757</v>
      </c>
      <c r="I2514" s="15" t="s">
        <v>3120</v>
      </c>
      <c r="J2514" s="6" t="s">
        <v>5802</v>
      </c>
      <c r="K2514" s="6"/>
      <c r="L2514" s="6" t="s">
        <v>2795</v>
      </c>
      <c r="M2514" s="6" t="s">
        <v>8861</v>
      </c>
      <c r="N2514" s="7">
        <f ca="1">RAND()</f>
        <v>0.51319975749452085</v>
      </c>
      <c r="O2514" s="8">
        <v>45221</v>
      </c>
      <c r="P2514" s="8">
        <v>45222</v>
      </c>
      <c r="Q2514" s="8">
        <v>45224</v>
      </c>
      <c r="R2514" s="8">
        <v>45228</v>
      </c>
      <c r="S2514" s="8">
        <v>45235</v>
      </c>
      <c r="T2514" s="8"/>
      <c r="U2514" s="8"/>
      <c r="V2514" s="10">
        <f>COUNTA(O2514:U2514)</f>
        <v>5</v>
      </c>
      <c r="W2514" s="11">
        <f>_xlfn.IFNA(INDEX(reading[[#This Row],[Memo 01]:[Memo 07]],MATCH(0,reading[[#This Row],[Memo 01]:[Memo 07]],-1)),"")</f>
        <v>45235</v>
      </c>
      <c r="X2514" s="11">
        <f ca="1">IFERROR(reading[[#This Row],[Previous]]+OFFSET(reading[[#Headers],[Memo 01]],-1,MATCH(0,reading[[#This Row],[Memo 01]:[Memo 07]],-1)-1),"")</f>
        <v>45247</v>
      </c>
      <c r="Y2514" s="10" t="str">
        <f ca="1">IF(reading[[#This Row],[Next]]&lt;&gt;"",IF(reading[[#This Row],[Next]]&gt;TODAY(),"OK",""),"")</f>
        <v/>
      </c>
      <c r="Z2514" s="13">
        <v>3</v>
      </c>
      <c r="AA2514" s="13">
        <v>3</v>
      </c>
      <c r="AB2514" s="13">
        <v>3</v>
      </c>
      <c r="AC2514" s="13">
        <v>3</v>
      </c>
      <c r="AD2514" s="13">
        <v>3</v>
      </c>
      <c r="AE2514" s="13"/>
      <c r="AF2514" s="13"/>
      <c r="AG2514" s="16">
        <f>IFERROR(SUMIF(reading[[#This Row],[1st]:[7th]],"&gt;0")/COUNTIF(reading[[#This Row],[1st]:[7th]],"&gt;0"),"")</f>
        <v>3</v>
      </c>
    </row>
    <row r="2515" spans="1:33" hidden="1" x14ac:dyDescent="0.2">
      <c r="A2515" s="4">
        <f>IF(B2515=1,3,IF(D2515=1,2,IF(F2515=1,1,0)))</f>
        <v>0</v>
      </c>
      <c r="B2515" s="4">
        <f>IF(C2515=$L2515,1,IF(C2515="","",0))</f>
        <v>0</v>
      </c>
      <c r="C2515" s="42" t="s">
        <v>9298</v>
      </c>
      <c r="D2515" s="4" t="str">
        <f>IF(E2515=$L2515,1,IF(E2515="","",0))</f>
        <v/>
      </c>
      <c r="E2515" s="14"/>
      <c r="F2515" s="4" t="str">
        <f>IF(G2515=$L2515,1,IF(G2515="","",0))</f>
        <v/>
      </c>
      <c r="G2515" s="14"/>
      <c r="H2515" s="6">
        <v>2540</v>
      </c>
      <c r="I2515" s="15" t="s">
        <v>3120</v>
      </c>
      <c r="J2515" s="6" t="s">
        <v>5223</v>
      </c>
      <c r="K2515" s="15" t="s">
        <v>3138</v>
      </c>
      <c r="L2515" s="6" t="s">
        <v>2585</v>
      </c>
      <c r="M2515" s="6" t="s">
        <v>8645</v>
      </c>
      <c r="N2515" s="7">
        <f ca="1">RAND()</f>
        <v>0.76143920831210865</v>
      </c>
      <c r="O2515" s="8">
        <v>45219</v>
      </c>
      <c r="P2515" s="8">
        <v>45220</v>
      </c>
      <c r="Q2515" s="8">
        <v>45222</v>
      </c>
      <c r="R2515" s="8">
        <v>45226</v>
      </c>
      <c r="S2515" s="8">
        <v>45233</v>
      </c>
      <c r="T2515" s="8"/>
      <c r="U2515" s="8"/>
      <c r="V2515" s="10">
        <f>COUNTA(O2515:U2515)</f>
        <v>5</v>
      </c>
      <c r="W2515" s="11">
        <f>_xlfn.IFNA(INDEX(reading[[#This Row],[Memo 01]:[Memo 07]],MATCH(0,reading[[#This Row],[Memo 01]:[Memo 07]],-1)),"")</f>
        <v>45233</v>
      </c>
      <c r="X2515" s="11">
        <f ca="1">IFERROR(reading[[#This Row],[Previous]]+OFFSET(reading[[#Headers],[Memo 01]],-1,MATCH(0,reading[[#This Row],[Memo 01]:[Memo 07]],-1)-1),"")</f>
        <v>45245</v>
      </c>
      <c r="Y2515" s="10" t="str">
        <f ca="1">IF(reading[[#This Row],[Next]]&lt;&gt;"",IF(reading[[#This Row],[Next]]&gt;TODAY(),"OK",""),"")</f>
        <v/>
      </c>
      <c r="Z2515" s="13">
        <v>3</v>
      </c>
      <c r="AA2515" s="13">
        <v>3</v>
      </c>
      <c r="AB2515" s="13">
        <v>3</v>
      </c>
      <c r="AC2515" s="13">
        <v>3</v>
      </c>
      <c r="AD2515" s="13">
        <v>3</v>
      </c>
      <c r="AE2515" s="13"/>
      <c r="AF2515" s="13"/>
      <c r="AG2515" s="16">
        <f>IFERROR(SUMIF(reading[[#This Row],[1st]:[7th]],"&gt;0")/COUNTIF(reading[[#This Row],[1st]:[7th]],"&gt;0"),"")</f>
        <v>3</v>
      </c>
    </row>
    <row r="2516" spans="1:33" hidden="1" x14ac:dyDescent="0.2">
      <c r="A2516" s="4">
        <f>IF(B2516=1,3,IF(D2516=1,2,IF(F2516=1,1,0)))</f>
        <v>0</v>
      </c>
      <c r="B2516" s="4" t="str">
        <f>IF(C2516=$L2516,1,IF(C2516="","",0))</f>
        <v/>
      </c>
      <c r="C2516" s="42"/>
      <c r="D2516" s="4" t="str">
        <f>IF(E2516=$L2516,1,IF(E2516="","",0))</f>
        <v/>
      </c>
      <c r="E2516" s="23"/>
      <c r="F2516" s="4" t="str">
        <f>IF(G2516=$L2516,1,IF(G2516="","",0))</f>
        <v/>
      </c>
      <c r="G2516" s="23"/>
      <c r="H2516" s="6">
        <v>3043</v>
      </c>
      <c r="I2516" s="15" t="s">
        <v>3120</v>
      </c>
      <c r="J2516" s="6" t="s">
        <v>6065</v>
      </c>
      <c r="K2516" s="15" t="s">
        <v>3138</v>
      </c>
      <c r="L2516" s="6" t="s">
        <v>3069</v>
      </c>
      <c r="M2516" s="6" t="s">
        <v>9146</v>
      </c>
      <c r="N2516" s="7">
        <f ca="1">RAND()</f>
        <v>0.35346625641083007</v>
      </c>
      <c r="O2516" s="8">
        <v>45224</v>
      </c>
      <c r="P2516" s="8">
        <v>45225</v>
      </c>
      <c r="Q2516" s="8">
        <v>45227</v>
      </c>
      <c r="R2516" s="8">
        <v>45231</v>
      </c>
      <c r="S2516" s="8">
        <v>45249</v>
      </c>
      <c r="T2516" s="8">
        <v>45817</v>
      </c>
      <c r="U2516" s="8"/>
      <c r="V2516" s="10">
        <f>COUNTA(O2516:U2516)</f>
        <v>6</v>
      </c>
      <c r="W2516" s="11">
        <f>_xlfn.IFNA(INDEX(reading[[#This Row],[Memo 01]:[Memo 07]],MATCH(0,reading[[#This Row],[Memo 01]:[Memo 07]],-1)),"")</f>
        <v>45817</v>
      </c>
      <c r="X2516" s="11">
        <f ca="1">IFERROR(reading[[#This Row],[Previous]]+OFFSET(reading[[#Headers],[Memo 01]],-1,MATCH(0,reading[[#This Row],[Memo 01]:[Memo 07]],-1)-1),"")</f>
        <v>45837</v>
      </c>
      <c r="Y2516" s="10" t="str">
        <f ca="1">IF(reading[[#This Row],[Next]]&lt;&gt;"",IF(reading[[#This Row],[Next]]&gt;TODAY(),"OK",""),"")</f>
        <v>OK</v>
      </c>
      <c r="Z2516" s="13">
        <v>3</v>
      </c>
      <c r="AA2516" s="13">
        <v>3</v>
      </c>
      <c r="AB2516" s="13">
        <v>3</v>
      </c>
      <c r="AC2516" s="13">
        <v>3</v>
      </c>
      <c r="AD2516" s="13">
        <v>3</v>
      </c>
      <c r="AE2516" s="13">
        <v>1</v>
      </c>
      <c r="AF2516" s="13"/>
      <c r="AG2516" s="16">
        <f>IFERROR(SUMIF(reading[[#This Row],[1st]:[7th]],"&gt;0")/COUNTIF(reading[[#This Row],[1st]:[7th]],"&gt;0"),"")</f>
        <v>2.6666666666666665</v>
      </c>
    </row>
    <row r="2517" spans="1:33" x14ac:dyDescent="0.2">
      <c r="A2517" s="4">
        <f>IF(B2517=1,3,IF(D2517=1,2,IF(F2517=1,1,0)))</f>
        <v>0</v>
      </c>
      <c r="B2517" s="4" t="str">
        <f>IF(C2517=$L2517,1,IF(C2517="","",0))</f>
        <v/>
      </c>
      <c r="C2517" s="42"/>
      <c r="D2517" s="4" t="str">
        <f>IF(E2517=$L2517,1,IF(E2517="","",0))</f>
        <v/>
      </c>
      <c r="E2517" s="14"/>
      <c r="F2517" s="4" t="str">
        <f>IF(G2517=$L2517,1,IF(G2517="","",0))</f>
        <v/>
      </c>
      <c r="G2517" s="14"/>
      <c r="H2517" s="6">
        <v>2261</v>
      </c>
      <c r="I2517" s="15" t="s">
        <v>3120</v>
      </c>
      <c r="J2517" s="6" t="s">
        <v>5343</v>
      </c>
      <c r="K2517" s="6"/>
      <c r="L2517" s="6" t="s">
        <v>2321</v>
      </c>
      <c r="M2517" s="6" t="s">
        <v>8366</v>
      </c>
      <c r="N2517" s="7">
        <f ca="1">RAND()</f>
        <v>0.32835799888558193</v>
      </c>
      <c r="O2517" s="8">
        <v>45215</v>
      </c>
      <c r="P2517" s="8">
        <v>45216</v>
      </c>
      <c r="Q2517" s="8">
        <v>45218</v>
      </c>
      <c r="R2517" s="8">
        <v>45222</v>
      </c>
      <c r="S2517" s="8">
        <v>45229</v>
      </c>
      <c r="T2517" s="8">
        <v>45801</v>
      </c>
      <c r="U2517" s="8"/>
      <c r="V2517" s="10">
        <f>COUNTA(O2517:U2517)</f>
        <v>6</v>
      </c>
      <c r="W2517" s="11">
        <f>_xlfn.IFNA(INDEX(reading[[#This Row],[Memo 01]:[Memo 07]],MATCH(0,reading[[#This Row],[Memo 01]:[Memo 07]],-1)),"")</f>
        <v>45801</v>
      </c>
      <c r="X2517" s="11">
        <f ca="1">IFERROR(reading[[#This Row],[Previous]]+OFFSET(reading[[#Headers],[Memo 01]],-1,MATCH(0,reading[[#This Row],[Memo 01]:[Memo 07]],-1)-1),"")</f>
        <v>45821</v>
      </c>
      <c r="Y2517" s="10" t="str">
        <f ca="1">IF(reading[[#This Row],[Next]]&lt;&gt;"",IF(reading[[#This Row],[Next]]&gt;TODAY(),"OK",""),"")</f>
        <v/>
      </c>
      <c r="Z2517" s="13">
        <v>3</v>
      </c>
      <c r="AA2517" s="13">
        <v>3</v>
      </c>
      <c r="AB2517" s="13">
        <v>3</v>
      </c>
      <c r="AC2517" s="13">
        <v>3</v>
      </c>
      <c r="AD2517" s="13">
        <v>3</v>
      </c>
      <c r="AE2517" s="13">
        <v>3</v>
      </c>
      <c r="AF2517" s="13"/>
      <c r="AG2517" s="16">
        <f>IFERROR(SUMIF(reading[[#This Row],[1st]:[7th]],"&gt;0")/COUNTIF(reading[[#This Row],[1st]:[7th]],"&gt;0"),"")</f>
        <v>3</v>
      </c>
    </row>
    <row r="2518" spans="1:33" x14ac:dyDescent="0.2">
      <c r="A2518" s="4">
        <f>IF(B2518=1,3,IF(D2518=1,2,IF(F2518=1,1,0)))</f>
        <v>0</v>
      </c>
      <c r="B2518" s="4" t="str">
        <f>IF(C2518=$L2518,1,IF(C2518="","",0))</f>
        <v/>
      </c>
      <c r="C2518" s="42"/>
      <c r="D2518" s="4" t="str">
        <f>IF(E2518=$L2518,1,IF(E2518="","",0))</f>
        <v/>
      </c>
      <c r="E2518" s="14"/>
      <c r="F2518" s="4" t="str">
        <f>IF(G2518=$L2518,1,IF(G2518="","",0))</f>
        <v/>
      </c>
      <c r="G2518" s="14"/>
      <c r="H2518" s="6">
        <v>1854</v>
      </c>
      <c r="I2518" s="15" t="s">
        <v>3120</v>
      </c>
      <c r="J2518" s="6" t="s">
        <v>4956</v>
      </c>
      <c r="K2518" s="6"/>
      <c r="L2518" s="6" t="s">
        <v>1932</v>
      </c>
      <c r="M2518" s="6" t="s">
        <v>7960</v>
      </c>
      <c r="N2518" s="7">
        <f ca="1">RAND()</f>
        <v>0.21861418615303052</v>
      </c>
      <c r="O2518" s="8">
        <v>45212</v>
      </c>
      <c r="P2518" s="8">
        <v>45213</v>
      </c>
      <c r="Q2518" s="8">
        <v>45215</v>
      </c>
      <c r="R2518" s="8">
        <v>45219</v>
      </c>
      <c r="S2518" s="8">
        <v>45226</v>
      </c>
      <c r="T2518" s="8">
        <v>45801</v>
      </c>
      <c r="U2518" s="8"/>
      <c r="V2518" s="10">
        <f>COUNTA(O2518:U2518)</f>
        <v>6</v>
      </c>
      <c r="W2518" s="11">
        <f>_xlfn.IFNA(INDEX(reading[[#This Row],[Memo 01]:[Memo 07]],MATCH(0,reading[[#This Row],[Memo 01]:[Memo 07]],-1)),"")</f>
        <v>45801</v>
      </c>
      <c r="X2518" s="11">
        <f ca="1">IFERROR(reading[[#This Row],[Previous]]+OFFSET(reading[[#Headers],[Memo 01]],-1,MATCH(0,reading[[#This Row],[Memo 01]:[Memo 07]],-1)-1),"")</f>
        <v>45821</v>
      </c>
      <c r="Y2518" s="10" t="str">
        <f ca="1">IF(reading[[#This Row],[Next]]&lt;&gt;"",IF(reading[[#This Row],[Next]]&gt;TODAY(),"OK",""),"")</f>
        <v/>
      </c>
      <c r="Z2518" s="13">
        <v>3</v>
      </c>
      <c r="AA2518" s="13">
        <v>3</v>
      </c>
      <c r="AB2518" s="13">
        <v>3</v>
      </c>
      <c r="AC2518" s="13">
        <v>3</v>
      </c>
      <c r="AD2518" s="13">
        <v>3</v>
      </c>
      <c r="AE2518" s="13">
        <v>3</v>
      </c>
      <c r="AF2518" s="13"/>
      <c r="AG2518" s="16">
        <f>IFERROR(SUMIF(reading[[#This Row],[1st]:[7th]],"&gt;0")/COUNTIF(reading[[#This Row],[1st]:[7th]],"&gt;0"),"")</f>
        <v>3</v>
      </c>
    </row>
    <row r="2519" spans="1:33" x14ac:dyDescent="0.2">
      <c r="A2519" s="4">
        <f>IF(B2519=1,3,IF(D2519=1,2,IF(F2519=1,1,0)))</f>
        <v>0</v>
      </c>
      <c r="B2519" s="4" t="str">
        <f>IF(C2519=$L2519,1,IF(C2519="","",0))</f>
        <v/>
      </c>
      <c r="C2519" s="36"/>
      <c r="D2519" s="4" t="str">
        <f>IF(E2519=$L2519,1,IF(E2519="","",0))</f>
        <v/>
      </c>
      <c r="E2519" s="18"/>
      <c r="F2519" s="4" t="str">
        <f>IF(G2519=$L2519,1,IF(G2519="","",0))</f>
        <v/>
      </c>
      <c r="G2519" s="14"/>
      <c r="H2519" s="6">
        <v>158</v>
      </c>
      <c r="I2519" s="15" t="s">
        <v>3120</v>
      </c>
      <c r="J2519" s="6" t="s">
        <v>3307</v>
      </c>
      <c r="K2519" s="6"/>
      <c r="L2519" s="6" t="s">
        <v>295</v>
      </c>
      <c r="M2519" s="6" t="s">
        <v>6267</v>
      </c>
      <c r="N2519" s="7">
        <f ca="1">RAND()</f>
        <v>7.1333684240854067E-2</v>
      </c>
      <c r="O2519" s="8">
        <v>45199</v>
      </c>
      <c r="P2519" s="8">
        <v>45200</v>
      </c>
      <c r="Q2519" s="8">
        <v>45202</v>
      </c>
      <c r="R2519" s="8">
        <v>45206</v>
      </c>
      <c r="S2519" s="8">
        <v>45213</v>
      </c>
      <c r="T2519" s="8">
        <v>45225</v>
      </c>
      <c r="U2519" s="8"/>
      <c r="V2519" s="10">
        <f>COUNTA(O2519:U2519)</f>
        <v>6</v>
      </c>
      <c r="W2519" s="11">
        <f>_xlfn.IFNA(INDEX(reading[[#This Row],[Memo 01]:[Memo 07]],MATCH(0,reading[[#This Row],[Memo 01]:[Memo 07]],-1)),"")</f>
        <v>45225</v>
      </c>
      <c r="X2519" s="11">
        <f ca="1">IFERROR(reading[[#This Row],[Previous]]+OFFSET(reading[[#Headers],[Memo 01]],-1,MATCH(0,reading[[#This Row],[Memo 01]:[Memo 07]],-1)-1),"")</f>
        <v>45245</v>
      </c>
      <c r="Y2519" s="10" t="str">
        <f ca="1">IF(reading[[#This Row],[Next]]&lt;&gt;"",IF(reading[[#This Row],[Next]]&gt;TODAY(),"OK",""),"")</f>
        <v/>
      </c>
      <c r="Z2519" s="13">
        <v>3</v>
      </c>
      <c r="AA2519" s="13">
        <v>2</v>
      </c>
      <c r="AB2519" s="13">
        <v>3</v>
      </c>
      <c r="AC2519" s="13">
        <v>3</v>
      </c>
      <c r="AD2519" s="13">
        <v>3</v>
      </c>
      <c r="AE2519" s="13">
        <v>3</v>
      </c>
      <c r="AF2519" s="13"/>
      <c r="AG2519" s="16">
        <f>IFERROR(SUMIF(reading[[#This Row],[1st]:[7th]],"&gt;0")/COUNTIF(reading[[#This Row],[1st]:[7th]],"&gt;0"),"")</f>
        <v>2.8333333333333335</v>
      </c>
    </row>
    <row r="2520" spans="1:33" hidden="1" x14ac:dyDescent="0.2">
      <c r="A2520" s="4">
        <f>IF(B2520=1,3,IF(D2520=1,2,IF(F2520=1,1,0)))</f>
        <v>0</v>
      </c>
      <c r="B2520" s="4" t="str">
        <f>IF(C2520=$L2520,1,IF(C2520="","",0))</f>
        <v/>
      </c>
      <c r="C2520" s="42"/>
      <c r="D2520" s="4" t="str">
        <f>IF(E2520=$L2520,1,IF(E2520="","",0))</f>
        <v/>
      </c>
      <c r="E2520" s="43"/>
      <c r="F2520" s="4" t="str">
        <f>IF(G2520=$L2520,1,IF(G2520="","",0))</f>
        <v/>
      </c>
      <c r="G2520" s="23"/>
      <c r="H2520" s="6">
        <v>2906</v>
      </c>
      <c r="I2520" s="15" t="s">
        <v>3120</v>
      </c>
      <c r="J2520" s="6" t="s">
        <v>5942</v>
      </c>
      <c r="K2520" s="6"/>
      <c r="L2520" s="6" t="s">
        <v>2936</v>
      </c>
      <c r="M2520" s="6" t="s">
        <v>9010</v>
      </c>
      <c r="N2520" s="7">
        <f ca="1">RAND()</f>
        <v>0.68974309864581096</v>
      </c>
      <c r="O2520" s="8">
        <v>45223</v>
      </c>
      <c r="P2520" s="8">
        <v>45224</v>
      </c>
      <c r="Q2520" s="8">
        <v>45226</v>
      </c>
      <c r="R2520" s="8">
        <v>45230</v>
      </c>
      <c r="S2520" s="8">
        <v>45237</v>
      </c>
      <c r="T2520" s="8">
        <v>45816</v>
      </c>
      <c r="U2520" s="8"/>
      <c r="V2520" s="10">
        <f>COUNTA(O2520:U2520)</f>
        <v>6</v>
      </c>
      <c r="W2520" s="11">
        <f>_xlfn.IFNA(INDEX(reading[[#This Row],[Memo 01]:[Memo 07]],MATCH(0,reading[[#This Row],[Memo 01]:[Memo 07]],-1)),"")</f>
        <v>45816</v>
      </c>
      <c r="X2520" s="11">
        <f ca="1">IFERROR(reading[[#This Row],[Previous]]+OFFSET(reading[[#Headers],[Memo 01]],-1,MATCH(0,reading[[#This Row],[Memo 01]:[Memo 07]],-1)-1),"")</f>
        <v>45836</v>
      </c>
      <c r="Y2520" s="10" t="str">
        <f ca="1">IF(reading[[#This Row],[Next]]&lt;&gt;"",IF(reading[[#This Row],[Next]]&gt;TODAY(),"OK",""),"")</f>
        <v>OK</v>
      </c>
      <c r="Z2520" s="13">
        <v>3</v>
      </c>
      <c r="AA2520" s="13">
        <v>3</v>
      </c>
      <c r="AB2520" s="13">
        <v>3</v>
      </c>
      <c r="AC2520" s="13">
        <v>2</v>
      </c>
      <c r="AD2520" s="13">
        <v>3</v>
      </c>
      <c r="AE2520" s="13">
        <v>1</v>
      </c>
      <c r="AF2520" s="13"/>
      <c r="AG2520" s="16">
        <f>IFERROR(SUMIF(reading[[#This Row],[1st]:[7th]],"&gt;0")/COUNTIF(reading[[#This Row],[1st]:[7th]],"&gt;0"),"")</f>
        <v>2.5</v>
      </c>
    </row>
    <row r="2521" spans="1:33" x14ac:dyDescent="0.2">
      <c r="A2521" s="4">
        <f>IF(B2521=1,3,IF(D2521=1,2,IF(F2521=1,1,0)))</f>
        <v>0</v>
      </c>
      <c r="B2521" s="4" t="str">
        <f>IF(C2521=$L2521,1,IF(C2521="","",0))</f>
        <v/>
      </c>
      <c r="C2521" s="42"/>
      <c r="D2521" s="4" t="str">
        <f>IF(E2521=$L2521,1,IF(E2521="","",0))</f>
        <v/>
      </c>
      <c r="E2521" s="14"/>
      <c r="F2521" s="4" t="str">
        <f>IF(G2521=$L2521,1,IF(G2521="","",0))</f>
        <v/>
      </c>
      <c r="G2521" s="14"/>
      <c r="H2521" s="6">
        <v>2993</v>
      </c>
      <c r="I2521" s="15" t="s">
        <v>3120</v>
      </c>
      <c r="J2521" s="6" t="s">
        <v>6018</v>
      </c>
      <c r="K2521" s="6"/>
      <c r="L2521" s="6" t="s">
        <v>3022</v>
      </c>
      <c r="M2521" s="6" t="s">
        <v>9096</v>
      </c>
      <c r="N2521" s="7">
        <f ca="1">RAND()</f>
        <v>8.8909216932946178E-2</v>
      </c>
      <c r="O2521" s="8">
        <v>45223</v>
      </c>
      <c r="P2521" s="8">
        <v>45224</v>
      </c>
      <c r="Q2521" s="8">
        <v>45226</v>
      </c>
      <c r="R2521" s="8">
        <v>45230</v>
      </c>
      <c r="S2521" s="8">
        <v>45237</v>
      </c>
      <c r="T2521" s="8">
        <v>45801</v>
      </c>
      <c r="U2521" s="8"/>
      <c r="V2521" s="10">
        <f>COUNTA(O2521:U2521)</f>
        <v>6</v>
      </c>
      <c r="W2521" s="11">
        <f>_xlfn.IFNA(INDEX(reading[[#This Row],[Memo 01]:[Memo 07]],MATCH(0,reading[[#This Row],[Memo 01]:[Memo 07]],-1)),"")</f>
        <v>45801</v>
      </c>
      <c r="X2521" s="11">
        <f ca="1">IFERROR(reading[[#This Row],[Previous]]+OFFSET(reading[[#Headers],[Memo 01]],-1,MATCH(0,reading[[#This Row],[Memo 01]:[Memo 07]],-1)-1),"")</f>
        <v>45821</v>
      </c>
      <c r="Y2521" s="10" t="str">
        <f ca="1">IF(reading[[#This Row],[Next]]&lt;&gt;"",IF(reading[[#This Row],[Next]]&gt;TODAY(),"OK",""),"")</f>
        <v/>
      </c>
      <c r="Z2521" s="13">
        <v>3</v>
      </c>
      <c r="AA2521" s="13">
        <v>3</v>
      </c>
      <c r="AB2521" s="13">
        <v>3</v>
      </c>
      <c r="AC2521" s="13">
        <v>3</v>
      </c>
      <c r="AD2521" s="13">
        <v>3</v>
      </c>
      <c r="AE2521" s="13">
        <v>3</v>
      </c>
      <c r="AF2521" s="13"/>
      <c r="AG2521" s="16">
        <f>IFERROR(SUMIF(reading[[#This Row],[1st]:[7th]],"&gt;0")/COUNTIF(reading[[#This Row],[1st]:[7th]],"&gt;0"),"")</f>
        <v>3</v>
      </c>
    </row>
    <row r="2522" spans="1:33" x14ac:dyDescent="0.2">
      <c r="A2522" s="4">
        <f>IF(B2522=1,3,IF(D2522=1,2,IF(F2522=1,1,0)))</f>
        <v>0</v>
      </c>
      <c r="B2522" s="4" t="str">
        <f>IF(C2522=$L2522,1,IF(C2522="","",0))</f>
        <v/>
      </c>
      <c r="C2522" s="39"/>
      <c r="D2522" s="4" t="str">
        <f>IF(E2522=$L2522,1,IF(E2522="","",0))</f>
        <v/>
      </c>
      <c r="E2522" s="14"/>
      <c r="F2522" s="4" t="str">
        <f>IF(G2522=$L2522,1,IF(G2522="","",0))</f>
        <v/>
      </c>
      <c r="G2522" s="14"/>
      <c r="H2522" s="6">
        <v>2706</v>
      </c>
      <c r="I2522" s="15" t="s">
        <v>3120</v>
      </c>
      <c r="J2522" s="6" t="s">
        <v>5756</v>
      </c>
      <c r="K2522" s="6"/>
      <c r="L2522" s="6" t="s">
        <v>2745</v>
      </c>
      <c r="M2522" s="6" t="s">
        <v>8811</v>
      </c>
      <c r="N2522" s="7">
        <f ca="1">RAND()</f>
        <v>0.18959207920049392</v>
      </c>
      <c r="O2522" s="8">
        <v>45221</v>
      </c>
      <c r="P2522" s="8">
        <v>45222</v>
      </c>
      <c r="Q2522" s="8">
        <v>45224</v>
      </c>
      <c r="R2522" s="8">
        <v>45228</v>
      </c>
      <c r="S2522" s="8">
        <v>45235</v>
      </c>
      <c r="T2522" s="8"/>
      <c r="U2522" s="8"/>
      <c r="V2522" s="10">
        <f>COUNTA(O2522:U2522)</f>
        <v>5</v>
      </c>
      <c r="W2522" s="11">
        <f>_xlfn.IFNA(INDEX(reading[[#This Row],[Memo 01]:[Memo 07]],MATCH(0,reading[[#This Row],[Memo 01]:[Memo 07]],-1)),"")</f>
        <v>45235</v>
      </c>
      <c r="X2522" s="11">
        <f ca="1">IFERROR(reading[[#This Row],[Previous]]+OFFSET(reading[[#Headers],[Memo 01]],-1,MATCH(0,reading[[#This Row],[Memo 01]:[Memo 07]],-1)-1),"")</f>
        <v>45247</v>
      </c>
      <c r="Y2522" s="10" t="str">
        <f ca="1">IF(reading[[#This Row],[Next]]&lt;&gt;"",IF(reading[[#This Row],[Next]]&gt;TODAY(),"OK",""),"")</f>
        <v/>
      </c>
      <c r="Z2522" s="13">
        <v>3</v>
      </c>
      <c r="AA2522" s="13">
        <v>3</v>
      </c>
      <c r="AB2522" s="13">
        <v>3</v>
      </c>
      <c r="AC2522" s="13">
        <v>2</v>
      </c>
      <c r="AD2522" s="13">
        <v>3</v>
      </c>
      <c r="AE2522" s="13"/>
      <c r="AF2522" s="13"/>
      <c r="AG2522" s="16">
        <f>IFERROR(SUMIF(reading[[#This Row],[1st]:[7th]],"&gt;0")/COUNTIF(reading[[#This Row],[1st]:[7th]],"&gt;0"),"")</f>
        <v>2.8</v>
      </c>
    </row>
    <row r="2523" spans="1:33" x14ac:dyDescent="0.2">
      <c r="A2523" s="4">
        <f>IF(B2523=1,3,IF(D2523=1,2,IF(F2523=1,1,0)))</f>
        <v>0</v>
      </c>
      <c r="B2523" s="4" t="str">
        <f>IF(C2523=$L2523,1,IF(C2523="","",0))</f>
        <v/>
      </c>
      <c r="C2523" s="39"/>
      <c r="D2523" s="4" t="str">
        <f>IF(E2523=$L2523,1,IF(E2523="","",0))</f>
        <v/>
      </c>
      <c r="E2523" s="14"/>
      <c r="F2523" s="4" t="str">
        <f>IF(G2523=$L2523,1,IF(G2523="","",0))</f>
        <v/>
      </c>
      <c r="G2523" s="14"/>
      <c r="H2523" s="6">
        <v>1437</v>
      </c>
      <c r="I2523" s="15" t="s">
        <v>3120</v>
      </c>
      <c r="J2523" s="6" t="s">
        <v>4551</v>
      </c>
      <c r="K2523" s="6"/>
      <c r="L2523" s="6" t="s">
        <v>1527</v>
      </c>
      <c r="M2523" s="6" t="s">
        <v>7544</v>
      </c>
      <c r="N2523" s="7">
        <f ca="1">RAND()</f>
        <v>0.92499456294451521</v>
      </c>
      <c r="O2523" s="8">
        <v>45208</v>
      </c>
      <c r="P2523" s="8">
        <v>45209</v>
      </c>
      <c r="Q2523" s="8">
        <v>45211</v>
      </c>
      <c r="R2523" s="8">
        <v>45215</v>
      </c>
      <c r="S2523" s="8">
        <v>45222</v>
      </c>
      <c r="T2523" s="8">
        <v>45234</v>
      </c>
      <c r="U2523" s="8"/>
      <c r="V2523" s="10">
        <f>COUNTA(O2523:U2523)</f>
        <v>6</v>
      </c>
      <c r="W2523" s="11">
        <f>_xlfn.IFNA(INDEX(reading[[#This Row],[Memo 01]:[Memo 07]],MATCH(0,reading[[#This Row],[Memo 01]:[Memo 07]],-1)),"")</f>
        <v>45234</v>
      </c>
      <c r="X2523" s="11">
        <f ca="1">IFERROR(reading[[#This Row],[Previous]]+OFFSET(reading[[#Headers],[Memo 01]],-1,MATCH(0,reading[[#This Row],[Memo 01]:[Memo 07]],-1)-1),"")</f>
        <v>45254</v>
      </c>
      <c r="Y2523" s="10" t="str">
        <f ca="1">IF(reading[[#This Row],[Next]]&lt;&gt;"",IF(reading[[#This Row],[Next]]&gt;TODAY(),"OK",""),"")</f>
        <v/>
      </c>
      <c r="Z2523" s="13">
        <v>3</v>
      </c>
      <c r="AA2523" s="13">
        <v>3</v>
      </c>
      <c r="AB2523" s="13">
        <v>3</v>
      </c>
      <c r="AC2523" s="13">
        <v>3</v>
      </c>
      <c r="AD2523" s="13">
        <v>3</v>
      </c>
      <c r="AE2523" s="13">
        <v>3</v>
      </c>
      <c r="AF2523" s="13"/>
      <c r="AG2523" s="16">
        <f>IFERROR(SUMIF(reading[[#This Row],[1st]:[7th]],"&gt;0")/COUNTIF(reading[[#This Row],[1st]:[7th]],"&gt;0"),"")</f>
        <v>3</v>
      </c>
    </row>
    <row r="2524" spans="1:33" x14ac:dyDescent="0.2">
      <c r="A2524" s="4">
        <f>IF(B2524=1,3,IF(D2524=1,2,IF(F2524=1,1,0)))</f>
        <v>0</v>
      </c>
      <c r="B2524" s="4" t="str">
        <f>IF(C2524=$L2524,1,IF(C2524="","",0))</f>
        <v/>
      </c>
      <c r="C2524" s="18"/>
      <c r="D2524" s="4" t="str">
        <f>IF(E2524=$L2524,1,IF(E2524="","",0))</f>
        <v/>
      </c>
      <c r="E2524" s="14"/>
      <c r="F2524" s="4" t="str">
        <f>IF(G2524=$L2524,1,IF(G2524="","",0))</f>
        <v/>
      </c>
      <c r="G2524" s="14"/>
      <c r="H2524" s="6">
        <v>207</v>
      </c>
      <c r="I2524" s="15" t="s">
        <v>3120</v>
      </c>
      <c r="J2524" s="6" t="s">
        <v>3356</v>
      </c>
      <c r="K2524" s="6"/>
      <c r="L2524" s="6" t="s">
        <v>343</v>
      </c>
      <c r="M2524" s="6" t="s">
        <v>6316</v>
      </c>
      <c r="N2524" s="7">
        <f ca="1">RAND()</f>
        <v>0.30291050574227529</v>
      </c>
      <c r="O2524" s="8">
        <v>45199</v>
      </c>
      <c r="P2524" s="8">
        <v>45200</v>
      </c>
      <c r="Q2524" s="8">
        <v>45202</v>
      </c>
      <c r="R2524" s="8">
        <v>45206</v>
      </c>
      <c r="S2524" s="8">
        <v>45213</v>
      </c>
      <c r="T2524" s="8">
        <v>45225</v>
      </c>
      <c r="U2524" s="8"/>
      <c r="V2524" s="10">
        <f>COUNTA(O2524:U2524)</f>
        <v>6</v>
      </c>
      <c r="W2524" s="11">
        <f>_xlfn.IFNA(INDEX(reading[[#This Row],[Memo 01]:[Memo 07]],MATCH(0,reading[[#This Row],[Memo 01]:[Memo 07]],-1)),"")</f>
        <v>45225</v>
      </c>
      <c r="X2524" s="11">
        <f ca="1">IFERROR(reading[[#This Row],[Previous]]+OFFSET(reading[[#Headers],[Memo 01]],-1,MATCH(0,reading[[#This Row],[Memo 01]:[Memo 07]],-1)-1),"")</f>
        <v>45245</v>
      </c>
      <c r="Y2524" s="10" t="str">
        <f ca="1">IF(reading[[#This Row],[Next]]&lt;&gt;"",IF(reading[[#This Row],[Next]]&gt;TODAY(),"OK",""),"")</f>
        <v/>
      </c>
      <c r="Z2524" s="13">
        <v>3</v>
      </c>
      <c r="AA2524" s="13">
        <v>3</v>
      </c>
      <c r="AB2524" s="13">
        <v>3</v>
      </c>
      <c r="AC2524" s="13">
        <v>3</v>
      </c>
      <c r="AD2524" s="13">
        <v>3</v>
      </c>
      <c r="AE2524" s="13">
        <v>3</v>
      </c>
      <c r="AF2524" s="13"/>
      <c r="AG2524" s="16">
        <f>IFERROR(SUMIF(reading[[#This Row],[1st]:[7th]],"&gt;0")/COUNTIF(reading[[#This Row],[1st]:[7th]],"&gt;0"),"")</f>
        <v>3</v>
      </c>
    </row>
    <row r="2525" spans="1:33" hidden="1" x14ac:dyDescent="0.2">
      <c r="A2525" s="4">
        <f>IF(B2525=1,3,IF(D2525=1,2,IF(F2525=1,1,0)))</f>
        <v>0</v>
      </c>
      <c r="B2525" s="4" t="str">
        <f>IF(C2525=$L2525,1,IF(C2525="","",0))</f>
        <v/>
      </c>
      <c r="C2525" s="42"/>
      <c r="D2525" s="4" t="str">
        <f>IF(E2525=$L2525,1,IF(E2525="","",0))</f>
        <v/>
      </c>
      <c r="E2525" s="43"/>
      <c r="F2525" s="4" t="str">
        <f>IF(G2525=$L2525,1,IF(G2525="","",0))</f>
        <v/>
      </c>
      <c r="G2525" s="14"/>
      <c r="H2525" s="6">
        <v>2729</v>
      </c>
      <c r="I2525" s="15" t="s">
        <v>3120</v>
      </c>
      <c r="J2525" s="6" t="s">
        <v>5778</v>
      </c>
      <c r="K2525" s="15" t="s">
        <v>3139</v>
      </c>
      <c r="L2525" s="6" t="s">
        <v>2767</v>
      </c>
      <c r="M2525" s="6" t="s">
        <v>8834</v>
      </c>
      <c r="N2525" s="7">
        <f ca="1">RAND()</f>
        <v>0.79367965380636318</v>
      </c>
      <c r="O2525" s="8">
        <v>45222</v>
      </c>
      <c r="P2525" s="8">
        <v>45223</v>
      </c>
      <c r="Q2525" s="8">
        <v>45225</v>
      </c>
      <c r="R2525" s="8">
        <v>45229</v>
      </c>
      <c r="S2525" s="8">
        <v>45236</v>
      </c>
      <c r="T2525" s="8">
        <v>45816</v>
      </c>
      <c r="U2525" s="8"/>
      <c r="V2525" s="10">
        <f>COUNTA(O2525:U2525)</f>
        <v>6</v>
      </c>
      <c r="W2525" s="11">
        <f>_xlfn.IFNA(INDEX(reading[[#This Row],[Memo 01]:[Memo 07]],MATCH(0,reading[[#This Row],[Memo 01]:[Memo 07]],-1)),"")</f>
        <v>45816</v>
      </c>
      <c r="X2525" s="11">
        <f ca="1">IFERROR(reading[[#This Row],[Previous]]+OFFSET(reading[[#Headers],[Memo 01]],-1,MATCH(0,reading[[#This Row],[Memo 01]:[Memo 07]],-1)-1),"")</f>
        <v>45836</v>
      </c>
      <c r="Y2525" s="10" t="str">
        <f ca="1">IF(reading[[#This Row],[Next]]&lt;&gt;"",IF(reading[[#This Row],[Next]]&gt;TODAY(),"OK",""),"")</f>
        <v>OK</v>
      </c>
      <c r="Z2525" s="13">
        <v>3</v>
      </c>
      <c r="AA2525" s="13">
        <v>3</v>
      </c>
      <c r="AB2525" s="13">
        <v>2</v>
      </c>
      <c r="AC2525" s="13">
        <v>3</v>
      </c>
      <c r="AD2525" s="13">
        <v>3</v>
      </c>
      <c r="AE2525" s="13">
        <v>2</v>
      </c>
      <c r="AF2525" s="13"/>
      <c r="AG2525" s="16">
        <f>IFERROR(SUMIF(reading[[#This Row],[1st]:[7th]],"&gt;0")/COUNTIF(reading[[#This Row],[1st]:[7th]],"&gt;0"),"")</f>
        <v>2.6666666666666665</v>
      </c>
    </row>
    <row r="2526" spans="1:33" x14ac:dyDescent="0.2">
      <c r="A2526" s="4">
        <f>IF(B2526=1,3,IF(D2526=1,2,IF(F2526=1,1,0)))</f>
        <v>0</v>
      </c>
      <c r="B2526" s="4" t="str">
        <f>IF(C2526=$L2526,1,IF(C2526="","",0))</f>
        <v/>
      </c>
      <c r="C2526" s="39"/>
      <c r="D2526" s="4" t="str">
        <f>IF(E2526=$L2526,1,IF(E2526="","",0))</f>
        <v/>
      </c>
      <c r="E2526" s="14"/>
      <c r="F2526" s="4" t="str">
        <f>IF(G2526=$L2526,1,IF(G2526="","",0))</f>
        <v/>
      </c>
      <c r="G2526" s="14"/>
      <c r="H2526" s="6">
        <v>2590</v>
      </c>
      <c r="I2526" s="15" t="s">
        <v>3120</v>
      </c>
      <c r="J2526" s="6" t="s">
        <v>5647</v>
      </c>
      <c r="K2526" s="15" t="s">
        <v>3138</v>
      </c>
      <c r="L2526" s="6" t="s">
        <v>2633</v>
      </c>
      <c r="M2526" s="6" t="s">
        <v>8695</v>
      </c>
      <c r="N2526" s="7">
        <f ca="1">RAND()</f>
        <v>0.93574446465018668</v>
      </c>
      <c r="O2526" s="8">
        <v>45220</v>
      </c>
      <c r="P2526" s="8">
        <v>45221</v>
      </c>
      <c r="Q2526" s="8">
        <v>45223</v>
      </c>
      <c r="R2526" s="8">
        <v>45227</v>
      </c>
      <c r="S2526" s="8">
        <v>45234</v>
      </c>
      <c r="T2526" s="8"/>
      <c r="U2526" s="8"/>
      <c r="V2526" s="10">
        <f>COUNTA(O2526:U2526)</f>
        <v>5</v>
      </c>
      <c r="W2526" s="11">
        <f>_xlfn.IFNA(INDEX(reading[[#This Row],[Memo 01]:[Memo 07]],MATCH(0,reading[[#This Row],[Memo 01]:[Memo 07]],-1)),"")</f>
        <v>45234</v>
      </c>
      <c r="X2526" s="11">
        <f ca="1">IFERROR(reading[[#This Row],[Previous]]+OFFSET(reading[[#Headers],[Memo 01]],-1,MATCH(0,reading[[#This Row],[Memo 01]:[Memo 07]],-1)-1),"")</f>
        <v>45246</v>
      </c>
      <c r="Y2526" s="10" t="str">
        <f ca="1">IF(reading[[#This Row],[Next]]&lt;&gt;"",IF(reading[[#This Row],[Next]]&gt;TODAY(),"OK",""),"")</f>
        <v/>
      </c>
      <c r="Z2526" s="13">
        <v>3</v>
      </c>
      <c r="AA2526" s="13">
        <v>3</v>
      </c>
      <c r="AB2526" s="13">
        <v>3</v>
      </c>
      <c r="AC2526" s="13">
        <v>3</v>
      </c>
      <c r="AD2526" s="13">
        <v>3</v>
      </c>
      <c r="AE2526" s="13"/>
      <c r="AF2526" s="13"/>
      <c r="AG2526" s="16">
        <f>IFERROR(SUMIF(reading[[#This Row],[1st]:[7th]],"&gt;0")/COUNTIF(reading[[#This Row],[1st]:[7th]],"&gt;0"),"")</f>
        <v>3</v>
      </c>
    </row>
    <row r="2527" spans="1:33" hidden="1" x14ac:dyDescent="0.2">
      <c r="A2527" s="4">
        <f>IF(B2527=1,3,IF(D2527=1,2,IF(F2527=1,1,0)))</f>
        <v>0</v>
      </c>
      <c r="B2527" s="4" t="str">
        <f>IF(C2527=$L2527,1,IF(C2527="","",0))</f>
        <v/>
      </c>
      <c r="C2527" s="42"/>
      <c r="D2527" s="4" t="str">
        <f>IF(E2527=$L2527,1,IF(E2527="","",0))</f>
        <v/>
      </c>
      <c r="E2527" s="18"/>
      <c r="F2527" s="4" t="str">
        <f>IF(G2527=$L2527,1,IF(G2527="","",0))</f>
        <v/>
      </c>
      <c r="G2527" s="14"/>
      <c r="H2527" s="6">
        <v>517</v>
      </c>
      <c r="I2527" s="15" t="s">
        <v>3120</v>
      </c>
      <c r="J2527" s="6" t="s">
        <v>3662</v>
      </c>
      <c r="K2527" s="6"/>
      <c r="L2527" s="6" t="s">
        <v>645</v>
      </c>
      <c r="M2527" s="6" t="s">
        <v>6626</v>
      </c>
      <c r="N2527" s="7">
        <f ca="1">RAND()</f>
        <v>0.63280898957610776</v>
      </c>
      <c r="O2527" s="8">
        <v>45202</v>
      </c>
      <c r="P2527" s="8">
        <v>45203</v>
      </c>
      <c r="Q2527" s="8">
        <v>45205</v>
      </c>
      <c r="R2527" s="8">
        <v>45209</v>
      </c>
      <c r="S2527" s="8">
        <v>45216</v>
      </c>
      <c r="T2527" s="8">
        <v>45228</v>
      </c>
      <c r="U2527" s="8">
        <v>45253</v>
      </c>
      <c r="V2527" s="10">
        <f>COUNTA(O2527:U2527)</f>
        <v>7</v>
      </c>
      <c r="W2527" s="11">
        <f>_xlfn.IFNA(INDEX(reading[[#This Row],[Memo 01]:[Memo 07]],MATCH(0,reading[[#This Row],[Memo 01]:[Memo 07]],-1)),"")</f>
        <v>45253</v>
      </c>
      <c r="X2527" s="11">
        <f ca="1">IFERROR(reading[[#This Row],[Previous]]+OFFSET(reading[[#Headers],[Memo 01]],-1,MATCH(0,reading[[#This Row],[Memo 01]:[Memo 07]],-1)-1),"")</f>
        <v>55253</v>
      </c>
      <c r="Y2527" s="10" t="str">
        <f ca="1">IF(reading[[#This Row],[Next]]&lt;&gt;"",IF(reading[[#This Row],[Next]]&gt;TODAY(),"OK",""),"")</f>
        <v>OK</v>
      </c>
      <c r="Z2527" s="13">
        <v>3</v>
      </c>
      <c r="AA2527" s="13">
        <v>2</v>
      </c>
      <c r="AB2527" s="13">
        <v>3</v>
      </c>
      <c r="AC2527" s="13">
        <v>3</v>
      </c>
      <c r="AD2527" s="13">
        <v>2</v>
      </c>
      <c r="AE2527" s="13">
        <v>3</v>
      </c>
      <c r="AF2527" s="13">
        <v>2</v>
      </c>
      <c r="AG2527" s="16">
        <f>IFERROR(SUMIF(reading[[#This Row],[1st]:[7th]],"&gt;0")/COUNTIF(reading[[#This Row],[1st]:[7th]],"&gt;0"),"")</f>
        <v>2.5714285714285716</v>
      </c>
    </row>
    <row r="2528" spans="1:33" x14ac:dyDescent="0.2">
      <c r="A2528" s="4">
        <f>IF(B2528=1,3,IF(D2528=1,2,IF(F2528=1,1,0)))</f>
        <v>0</v>
      </c>
      <c r="B2528" s="4" t="str">
        <f>IF(C2528=$L2528,1,IF(C2528="","",0))</f>
        <v/>
      </c>
      <c r="C2528" s="39"/>
      <c r="D2528" s="4" t="str">
        <f>IF(E2528=$L2528,1,IF(E2528="","",0))</f>
        <v/>
      </c>
      <c r="E2528" s="14"/>
      <c r="F2528" s="4" t="str">
        <f>IF(G2528=$L2528,1,IF(G2528="","",0))</f>
        <v/>
      </c>
      <c r="G2528" s="14"/>
      <c r="H2528" s="6">
        <v>1250</v>
      </c>
      <c r="I2528" s="15" t="s">
        <v>3120</v>
      </c>
      <c r="J2528" s="6" t="s">
        <v>4367</v>
      </c>
      <c r="K2528" s="6"/>
      <c r="L2528" s="6" t="s">
        <v>1350</v>
      </c>
      <c r="M2528" s="6" t="s">
        <v>7357</v>
      </c>
      <c r="N2528" s="7">
        <f ca="1">RAND()</f>
        <v>0.57227401889013663</v>
      </c>
      <c r="O2528" s="8">
        <v>45206</v>
      </c>
      <c r="P2528" s="8">
        <v>45207</v>
      </c>
      <c r="Q2528" s="8">
        <v>45209</v>
      </c>
      <c r="R2528" s="8">
        <v>45213</v>
      </c>
      <c r="S2528" s="8">
        <v>45220</v>
      </c>
      <c r="T2528" s="8">
        <v>45232</v>
      </c>
      <c r="U2528" s="8"/>
      <c r="V2528" s="10">
        <f>COUNTA(O2528:U2528)</f>
        <v>6</v>
      </c>
      <c r="W2528" s="11">
        <f>_xlfn.IFNA(INDEX(reading[[#This Row],[Memo 01]:[Memo 07]],MATCH(0,reading[[#This Row],[Memo 01]:[Memo 07]],-1)),"")</f>
        <v>45232</v>
      </c>
      <c r="X2528" s="11">
        <f ca="1">IFERROR(reading[[#This Row],[Previous]]+OFFSET(reading[[#Headers],[Memo 01]],-1,MATCH(0,reading[[#This Row],[Memo 01]:[Memo 07]],-1)-1),"")</f>
        <v>45252</v>
      </c>
      <c r="Y2528" s="10" t="str">
        <f ca="1">IF(reading[[#This Row],[Next]]&lt;&gt;"",IF(reading[[#This Row],[Next]]&gt;TODAY(),"OK",""),"")</f>
        <v/>
      </c>
      <c r="Z2528" s="13">
        <v>3</v>
      </c>
      <c r="AA2528" s="13">
        <v>3</v>
      </c>
      <c r="AB2528" s="13">
        <v>3</v>
      </c>
      <c r="AC2528" s="13">
        <v>3</v>
      </c>
      <c r="AD2528" s="13">
        <v>3</v>
      </c>
      <c r="AE2528" s="13">
        <v>3</v>
      </c>
      <c r="AF2528" s="13"/>
      <c r="AG2528" s="16">
        <f>IFERROR(SUMIF(reading[[#This Row],[1st]:[7th]],"&gt;0")/COUNTIF(reading[[#This Row],[1st]:[7th]],"&gt;0"),"")</f>
        <v>3</v>
      </c>
    </row>
    <row r="2529" spans="1:33" x14ac:dyDescent="0.2">
      <c r="A2529" s="4">
        <f>IF(B2529=1,3,IF(D2529=1,2,IF(F2529=1,1,0)))</f>
        <v>0</v>
      </c>
      <c r="B2529" s="4" t="str">
        <f>IF(C2529=$L2529,1,IF(C2529="","",0))</f>
        <v/>
      </c>
      <c r="C2529" s="41"/>
      <c r="D2529" s="4" t="str">
        <f>IF(E2529=$L2529,1,IF(E2529="","",0))</f>
        <v/>
      </c>
      <c r="E2529" s="18"/>
      <c r="F2529" s="4" t="str">
        <f>IF(G2529=$L2529,1,IF(G2529="","",0))</f>
        <v/>
      </c>
      <c r="G2529" s="14"/>
      <c r="H2529" s="6">
        <v>1942</v>
      </c>
      <c r="I2529" s="15" t="s">
        <v>3120</v>
      </c>
      <c r="J2529" s="6" t="s">
        <v>5041</v>
      </c>
      <c r="K2529" s="6"/>
      <c r="L2529" s="6" t="s">
        <v>2018</v>
      </c>
      <c r="M2529" s="6" t="s">
        <v>8048</v>
      </c>
      <c r="N2529" s="7">
        <f ca="1">RAND()</f>
        <v>0.12798734311698146</v>
      </c>
      <c r="O2529" s="8">
        <v>45213</v>
      </c>
      <c r="P2529" s="8">
        <v>45214</v>
      </c>
      <c r="Q2529" s="8">
        <v>45216</v>
      </c>
      <c r="R2529" s="8">
        <v>45220</v>
      </c>
      <c r="S2529" s="8">
        <v>45227</v>
      </c>
      <c r="T2529" s="8">
        <v>45252</v>
      </c>
      <c r="U2529" s="8"/>
      <c r="V2529" s="10">
        <f>COUNTA(O2529:U2529)</f>
        <v>6</v>
      </c>
      <c r="W2529" s="11">
        <f>_xlfn.IFNA(INDEX(reading[[#This Row],[Memo 01]:[Memo 07]],MATCH(0,reading[[#This Row],[Memo 01]:[Memo 07]],-1)),"")</f>
        <v>45252</v>
      </c>
      <c r="X2529" s="11">
        <f ca="1">IFERROR(reading[[#This Row],[Previous]]+OFFSET(reading[[#Headers],[Memo 01]],-1,MATCH(0,reading[[#This Row],[Memo 01]:[Memo 07]],-1)-1),"")</f>
        <v>45272</v>
      </c>
      <c r="Y2529" s="10" t="str">
        <f ca="1">IF(reading[[#This Row],[Next]]&lt;&gt;"",IF(reading[[#This Row],[Next]]&gt;TODAY(),"OK",""),"")</f>
        <v/>
      </c>
      <c r="Z2529" s="13">
        <v>3</v>
      </c>
      <c r="AA2529" s="13">
        <v>2</v>
      </c>
      <c r="AB2529" s="13">
        <v>3</v>
      </c>
      <c r="AC2529" s="13">
        <v>2</v>
      </c>
      <c r="AD2529" s="13">
        <v>3</v>
      </c>
      <c r="AE2529" s="13">
        <v>2</v>
      </c>
      <c r="AF2529" s="13"/>
      <c r="AG2529" s="16">
        <f>IFERROR(SUMIF(reading[[#This Row],[1st]:[7th]],"&gt;0")/COUNTIF(reading[[#This Row],[1st]:[7th]],"&gt;0"),"")</f>
        <v>2.5</v>
      </c>
    </row>
    <row r="2530" spans="1:33" hidden="1" x14ac:dyDescent="0.2">
      <c r="A2530" s="4">
        <f>IF(B2530=1,3,IF(D2530=1,2,IF(F2530=1,1,0)))</f>
        <v>3</v>
      </c>
      <c r="B2530" s="4">
        <f>IF(C2530=$L2530,1,IF(C2530="","",0))</f>
        <v>1</v>
      </c>
      <c r="C2530" s="36" t="s">
        <v>2579</v>
      </c>
      <c r="D2530" s="4" t="str">
        <f>IF(E2530=$L2530,1,IF(E2530="","",0))</f>
        <v/>
      </c>
      <c r="E2530" s="14"/>
      <c r="F2530" s="4" t="str">
        <f>IF(G2530=$L2530,1,IF(G2530="","",0))</f>
        <v/>
      </c>
      <c r="G2530" s="14"/>
      <c r="H2530" s="6">
        <v>2534</v>
      </c>
      <c r="I2530" s="15" t="s">
        <v>3120</v>
      </c>
      <c r="J2530" s="6" t="s">
        <v>5596</v>
      </c>
      <c r="K2530" s="6"/>
      <c r="L2530" s="6" t="s">
        <v>2579</v>
      </c>
      <c r="M2530" s="6" t="s">
        <v>8639</v>
      </c>
      <c r="N2530" s="7">
        <f ca="1">RAND()</f>
        <v>0.66512225627473442</v>
      </c>
      <c r="O2530" s="8">
        <v>45219</v>
      </c>
      <c r="P2530" s="8">
        <v>45219</v>
      </c>
      <c r="Q2530" s="8">
        <v>45219</v>
      </c>
      <c r="R2530" s="8">
        <v>45219</v>
      </c>
      <c r="S2530" s="8">
        <v>45219</v>
      </c>
      <c r="T2530" s="8">
        <v>45219</v>
      </c>
      <c r="U2530" s="8">
        <v>45219</v>
      </c>
      <c r="V2530" s="10">
        <f>COUNTA(O2530:U2530)</f>
        <v>7</v>
      </c>
      <c r="W2530" s="11">
        <f>_xlfn.IFNA(INDEX(reading[[#This Row],[Memo 01]:[Memo 07]],MATCH(0,reading[[#This Row],[Memo 01]:[Memo 07]],-1)),"")</f>
        <v>45219</v>
      </c>
      <c r="X2530" s="11">
        <f ca="1">IFERROR(reading[[#This Row],[Previous]]+OFFSET(reading[[#Headers],[Memo 01]],-1,MATCH(0,reading[[#This Row],[Memo 01]:[Memo 07]],-1)-1),"")</f>
        <v>55219</v>
      </c>
      <c r="Y2530" s="10" t="str">
        <f ca="1">IF(reading[[#This Row],[Next]]&lt;&gt;"",IF(reading[[#This Row],[Next]]&gt;TODAY(),"OK",""),"")</f>
        <v>OK</v>
      </c>
      <c r="Z2530" s="13">
        <v>3</v>
      </c>
      <c r="AA2530" s="13"/>
      <c r="AB2530" s="13"/>
      <c r="AC2530" s="13"/>
      <c r="AD2530" s="13"/>
      <c r="AE2530" s="13"/>
      <c r="AF2530" s="13"/>
      <c r="AG2530" s="16">
        <f>IFERROR(SUMIF(reading[[#This Row],[1st]:[7th]],"&gt;0")/COUNTIF(reading[[#This Row],[1st]:[7th]],"&gt;0"),"")</f>
        <v>3</v>
      </c>
    </row>
    <row r="2531" spans="1:33" x14ac:dyDescent="0.2">
      <c r="A2531" s="4">
        <f>IF(B2531=1,3,IF(D2531=1,2,IF(F2531=1,1,0)))</f>
        <v>0</v>
      </c>
      <c r="B2531" s="4" t="str">
        <f>IF(C2531=$L2531,1,IF(C2531="","",0))</f>
        <v/>
      </c>
      <c r="C2531" s="39"/>
      <c r="D2531" s="4" t="str">
        <f>IF(E2531=$L2531,1,IF(E2531="","",0))</f>
        <v/>
      </c>
      <c r="E2531" s="18"/>
      <c r="F2531" s="4" t="str">
        <f>IF(G2531=$L2531,1,IF(G2531="","",0))</f>
        <v/>
      </c>
      <c r="G2531" s="14"/>
      <c r="H2531" s="6">
        <v>1205</v>
      </c>
      <c r="I2531" s="15" t="s">
        <v>3120</v>
      </c>
      <c r="J2531" s="6" t="s">
        <v>4324</v>
      </c>
      <c r="K2531" s="6"/>
      <c r="L2531" s="6" t="s">
        <v>1307</v>
      </c>
      <c r="M2531" s="6" t="s">
        <v>7312</v>
      </c>
      <c r="N2531" s="7">
        <f ca="1">RAND()</f>
        <v>0.30078396710056288</v>
      </c>
      <c r="O2531" s="8">
        <v>45206</v>
      </c>
      <c r="P2531" s="8">
        <v>45207</v>
      </c>
      <c r="Q2531" s="8">
        <v>45209</v>
      </c>
      <c r="R2531" s="8">
        <v>45213</v>
      </c>
      <c r="S2531" s="8">
        <v>45220</v>
      </c>
      <c r="T2531" s="8">
        <v>45232</v>
      </c>
      <c r="U2531" s="8"/>
      <c r="V2531" s="10">
        <f>COUNTA(O2531:U2531)</f>
        <v>6</v>
      </c>
      <c r="W2531" s="11">
        <f>_xlfn.IFNA(INDEX(reading[[#This Row],[Memo 01]:[Memo 07]],MATCH(0,reading[[#This Row],[Memo 01]:[Memo 07]],-1)),"")</f>
        <v>45232</v>
      </c>
      <c r="X2531" s="11">
        <f ca="1">IFERROR(reading[[#This Row],[Previous]]+OFFSET(reading[[#Headers],[Memo 01]],-1,MATCH(0,reading[[#This Row],[Memo 01]:[Memo 07]],-1)-1),"")</f>
        <v>45252</v>
      </c>
      <c r="Y2531" s="10" t="str">
        <f ca="1">IF(reading[[#This Row],[Next]]&lt;&gt;"",IF(reading[[#This Row],[Next]]&gt;TODAY(),"OK",""),"")</f>
        <v/>
      </c>
      <c r="Z2531" s="13">
        <v>3</v>
      </c>
      <c r="AA2531" s="13">
        <v>3</v>
      </c>
      <c r="AB2531" s="13">
        <v>3</v>
      </c>
      <c r="AC2531" s="13">
        <v>3</v>
      </c>
      <c r="AD2531" s="13">
        <v>2</v>
      </c>
      <c r="AE2531" s="13">
        <v>3</v>
      </c>
      <c r="AF2531" s="13"/>
      <c r="AG2531" s="16">
        <f>IFERROR(SUMIF(reading[[#This Row],[1st]:[7th]],"&gt;0")/COUNTIF(reading[[#This Row],[1st]:[7th]],"&gt;0"),"")</f>
        <v>2.8333333333333335</v>
      </c>
    </row>
    <row r="2532" spans="1:33" hidden="1" x14ac:dyDescent="0.2">
      <c r="A2532" s="4">
        <f>IF(B2532=1,3,IF(D2532=1,2,IF(F2532=1,1,0)))</f>
        <v>0</v>
      </c>
      <c r="B2532" s="4" t="str">
        <f>IF(C2532=$L2532,1,IF(C2532="","",0))</f>
        <v/>
      </c>
      <c r="C2532" s="42"/>
      <c r="D2532" s="4" t="str">
        <f>IF(E2532=$L2532,1,IF(E2532="","",0))</f>
        <v/>
      </c>
      <c r="E2532" s="43"/>
      <c r="F2532" s="4" t="str">
        <f>IF(G2532=$L2532,1,IF(G2532="","",0))</f>
        <v/>
      </c>
      <c r="G2532" s="23"/>
      <c r="H2532" s="6">
        <v>2643</v>
      </c>
      <c r="I2532" s="15" t="s">
        <v>3120</v>
      </c>
      <c r="J2532" s="6" t="s">
        <v>5697</v>
      </c>
      <c r="K2532" s="6"/>
      <c r="L2532" s="6" t="s">
        <v>2683</v>
      </c>
      <c r="M2532" s="6" t="s">
        <v>8748</v>
      </c>
      <c r="N2532" s="7">
        <f ca="1">RAND()</f>
        <v>0.78553024343392841</v>
      </c>
      <c r="O2532" s="8">
        <v>45220</v>
      </c>
      <c r="P2532" s="8">
        <v>45221</v>
      </c>
      <c r="Q2532" s="8">
        <v>45223</v>
      </c>
      <c r="R2532" s="8">
        <v>45227</v>
      </c>
      <c r="S2532" s="8">
        <v>45234</v>
      </c>
      <c r="T2532" s="8">
        <v>45251</v>
      </c>
      <c r="U2532" s="8">
        <v>45816</v>
      </c>
      <c r="V2532" s="10">
        <f>COUNTA(O2532:U2532)</f>
        <v>7</v>
      </c>
      <c r="W2532" s="11">
        <f>_xlfn.IFNA(INDEX(reading[[#This Row],[Memo 01]:[Memo 07]],MATCH(0,reading[[#This Row],[Memo 01]:[Memo 07]],-1)),"")</f>
        <v>45816</v>
      </c>
      <c r="X2532" s="11">
        <f ca="1">IFERROR(reading[[#This Row],[Previous]]+OFFSET(reading[[#Headers],[Memo 01]],-1,MATCH(0,reading[[#This Row],[Memo 01]:[Memo 07]],-1)-1),"")</f>
        <v>55816</v>
      </c>
      <c r="Y2532" s="10" t="str">
        <f ca="1">IF(reading[[#This Row],[Next]]&lt;&gt;"",IF(reading[[#This Row],[Next]]&gt;TODAY(),"OK",""),"")</f>
        <v>OK</v>
      </c>
      <c r="Z2532" s="13">
        <v>3</v>
      </c>
      <c r="AA2532" s="13">
        <v>3</v>
      </c>
      <c r="AB2532" s="13">
        <v>2</v>
      </c>
      <c r="AC2532" s="13">
        <v>2</v>
      </c>
      <c r="AD2532" s="13">
        <v>3</v>
      </c>
      <c r="AE2532" s="13">
        <v>3</v>
      </c>
      <c r="AF2532" s="13">
        <v>1</v>
      </c>
      <c r="AG2532" s="16">
        <f>IFERROR(SUMIF(reading[[#This Row],[1st]:[7th]],"&gt;0")/COUNTIF(reading[[#This Row],[1st]:[7th]],"&gt;0"),"")</f>
        <v>2.4285714285714284</v>
      </c>
    </row>
    <row r="2533" spans="1:33" x14ac:dyDescent="0.2">
      <c r="A2533" s="4">
        <f>IF(B2533=1,3,IF(D2533=1,2,IF(F2533=1,1,0)))</f>
        <v>0</v>
      </c>
      <c r="B2533" s="4" t="str">
        <f>IF(C2533=$L2533,1,IF(C2533="","",0))</f>
        <v/>
      </c>
      <c r="C2533" s="39"/>
      <c r="D2533" s="4" t="str">
        <f>IF(E2533=$L2533,1,IF(E2533="","",0))</f>
        <v/>
      </c>
      <c r="E2533" s="14"/>
      <c r="F2533" s="4" t="str">
        <f>IF(G2533=$L2533,1,IF(G2533="","",0))</f>
        <v/>
      </c>
      <c r="G2533" s="14"/>
      <c r="H2533" s="6">
        <v>2319</v>
      </c>
      <c r="I2533" s="15" t="s">
        <v>3120</v>
      </c>
      <c r="J2533" s="6" t="s">
        <v>5397</v>
      </c>
      <c r="K2533" s="6"/>
      <c r="L2533" s="6" t="s">
        <v>52</v>
      </c>
      <c r="M2533" s="6" t="s">
        <v>8424</v>
      </c>
      <c r="N2533" s="7">
        <f ca="1">RAND()</f>
        <v>0.62931956560538216</v>
      </c>
      <c r="O2533" s="8">
        <v>45216</v>
      </c>
      <c r="P2533" s="8">
        <v>45217</v>
      </c>
      <c r="Q2533" s="8">
        <v>45219</v>
      </c>
      <c r="R2533" s="8">
        <v>45223</v>
      </c>
      <c r="S2533" s="8">
        <v>45230</v>
      </c>
      <c r="T2533" s="8"/>
      <c r="U2533" s="8"/>
      <c r="V2533" s="10">
        <f>COUNTA(O2533:U2533)</f>
        <v>5</v>
      </c>
      <c r="W2533" s="11">
        <f>_xlfn.IFNA(INDEX(reading[[#This Row],[Memo 01]:[Memo 07]],MATCH(0,reading[[#This Row],[Memo 01]:[Memo 07]],-1)),"")</f>
        <v>45230</v>
      </c>
      <c r="X2533" s="11">
        <f ca="1">IFERROR(reading[[#This Row],[Previous]]+OFFSET(reading[[#Headers],[Memo 01]],-1,MATCH(0,reading[[#This Row],[Memo 01]:[Memo 07]],-1)-1),"")</f>
        <v>45242</v>
      </c>
      <c r="Y2533" s="10" t="str">
        <f ca="1">IF(reading[[#This Row],[Next]]&lt;&gt;"",IF(reading[[#This Row],[Next]]&gt;TODAY(),"OK",""),"")</f>
        <v/>
      </c>
      <c r="Z2533" s="13">
        <v>3</v>
      </c>
      <c r="AA2533" s="13">
        <v>3</v>
      </c>
      <c r="AB2533" s="13">
        <v>3</v>
      </c>
      <c r="AC2533" s="13">
        <v>3</v>
      </c>
      <c r="AD2533" s="13">
        <v>3</v>
      </c>
      <c r="AE2533" s="13"/>
      <c r="AF2533" s="13"/>
      <c r="AG2533" s="16">
        <f>IFERROR(SUMIF(reading[[#This Row],[1st]:[7th]],"&gt;0")/COUNTIF(reading[[#This Row],[1st]:[7th]],"&gt;0"),"")</f>
        <v>3</v>
      </c>
    </row>
    <row r="2534" spans="1:33" x14ac:dyDescent="0.2">
      <c r="A2534" s="4">
        <f>IF(B2534=1,3,IF(D2534=1,2,IF(F2534=1,1,0)))</f>
        <v>0</v>
      </c>
      <c r="B2534" s="4" t="str">
        <f>IF(C2534=$L2534,1,IF(C2534="","",0))</f>
        <v/>
      </c>
      <c r="C2534" s="39"/>
      <c r="D2534" s="4" t="str">
        <f>IF(E2534=$L2534,1,IF(E2534="","",0))</f>
        <v/>
      </c>
      <c r="E2534" s="14"/>
      <c r="F2534" s="4" t="str">
        <f>IF(G2534=$L2534,1,IF(G2534="","",0))</f>
        <v/>
      </c>
      <c r="G2534" s="14"/>
      <c r="H2534" s="6">
        <v>1378</v>
      </c>
      <c r="I2534" s="15" t="s">
        <v>3120</v>
      </c>
      <c r="J2534" s="6" t="s">
        <v>4492</v>
      </c>
      <c r="K2534" s="6"/>
      <c r="L2534" s="6" t="s">
        <v>1472</v>
      </c>
      <c r="M2534" s="6" t="s">
        <v>7485</v>
      </c>
      <c r="N2534" s="7">
        <f ca="1">RAND()</f>
        <v>0.18062267934820775</v>
      </c>
      <c r="O2534" s="8">
        <v>45207</v>
      </c>
      <c r="P2534" s="8">
        <v>45208</v>
      </c>
      <c r="Q2534" s="8">
        <v>45210</v>
      </c>
      <c r="R2534" s="8">
        <v>45214</v>
      </c>
      <c r="S2534" s="8">
        <v>45221</v>
      </c>
      <c r="T2534" s="8">
        <v>45233</v>
      </c>
      <c r="U2534" s="8"/>
      <c r="V2534" s="10">
        <f>COUNTA(O2534:U2534)</f>
        <v>6</v>
      </c>
      <c r="W2534" s="11">
        <f>_xlfn.IFNA(INDEX(reading[[#This Row],[Memo 01]:[Memo 07]],MATCH(0,reading[[#This Row],[Memo 01]:[Memo 07]],-1)),"")</f>
        <v>45233</v>
      </c>
      <c r="X2534" s="11">
        <f ca="1">IFERROR(reading[[#This Row],[Previous]]+OFFSET(reading[[#Headers],[Memo 01]],-1,MATCH(0,reading[[#This Row],[Memo 01]:[Memo 07]],-1)-1),"")</f>
        <v>45253</v>
      </c>
      <c r="Y2534" s="10" t="str">
        <f ca="1">IF(reading[[#This Row],[Next]]&lt;&gt;"",IF(reading[[#This Row],[Next]]&gt;TODAY(),"OK",""),"")</f>
        <v/>
      </c>
      <c r="Z2534" s="13">
        <v>3</v>
      </c>
      <c r="AA2534" s="13">
        <v>3</v>
      </c>
      <c r="AB2534" s="13">
        <v>3</v>
      </c>
      <c r="AC2534" s="13">
        <v>3</v>
      </c>
      <c r="AD2534" s="13">
        <v>3</v>
      </c>
      <c r="AE2534" s="13">
        <v>3</v>
      </c>
      <c r="AF2534" s="13"/>
      <c r="AG2534" s="16">
        <f>IFERROR(SUMIF(reading[[#This Row],[1st]:[7th]],"&gt;0")/COUNTIF(reading[[#This Row],[1st]:[7th]],"&gt;0"),"")</f>
        <v>3</v>
      </c>
    </row>
    <row r="2535" spans="1:33" hidden="1" x14ac:dyDescent="0.2">
      <c r="A2535" s="4">
        <f>IF(B2535=1,3,IF(D2535=1,2,IF(F2535=1,1,0)))</f>
        <v>0</v>
      </c>
      <c r="B2535" s="4" t="str">
        <f>IF(C2535=$L2535,1,IF(C2535="","",0))</f>
        <v/>
      </c>
      <c r="C2535" s="42"/>
      <c r="D2535" s="4" t="str">
        <f>IF(E2535=$L2535,1,IF(E2535="","",0))</f>
        <v/>
      </c>
      <c r="E2535" s="23"/>
      <c r="F2535" s="4" t="str">
        <f>IF(G2535=$L2535,1,IF(G2535="","",0))</f>
        <v/>
      </c>
      <c r="G2535" s="14"/>
      <c r="H2535" s="6">
        <v>728</v>
      </c>
      <c r="I2535" s="15" t="s">
        <v>3120</v>
      </c>
      <c r="J2535" s="6" t="s">
        <v>3866</v>
      </c>
      <c r="K2535" s="6"/>
      <c r="L2535" s="6" t="s">
        <v>849</v>
      </c>
      <c r="M2535" s="6" t="s">
        <v>6837</v>
      </c>
      <c r="N2535" s="7">
        <f ca="1">RAND()</f>
        <v>0.32038374552369486</v>
      </c>
      <c r="O2535" s="8">
        <v>45203</v>
      </c>
      <c r="P2535" s="8">
        <v>45204</v>
      </c>
      <c r="Q2535" s="8">
        <v>45206</v>
      </c>
      <c r="R2535" s="8">
        <v>45210</v>
      </c>
      <c r="S2535" s="8">
        <v>45217</v>
      </c>
      <c r="T2535" s="8">
        <v>45229</v>
      </c>
      <c r="U2535" s="8">
        <v>45825</v>
      </c>
      <c r="V2535" s="10">
        <f>COUNTA(O2535:U2535)</f>
        <v>7</v>
      </c>
      <c r="W2535" s="11">
        <f>_xlfn.IFNA(INDEX(reading[[#This Row],[Memo 01]:[Memo 07]],MATCH(0,reading[[#This Row],[Memo 01]:[Memo 07]],-1)),"")</f>
        <v>45825</v>
      </c>
      <c r="X2535" s="11">
        <f ca="1">IFERROR(reading[[#This Row],[Previous]]+OFFSET(reading[[#Headers],[Memo 01]],-1,MATCH(0,reading[[#This Row],[Memo 01]:[Memo 07]],-1)-1),"")</f>
        <v>55825</v>
      </c>
      <c r="Y2535" s="10" t="str">
        <f ca="1">IF(reading[[#This Row],[Next]]&lt;&gt;"",IF(reading[[#This Row],[Next]]&gt;TODAY(),"OK",""),"")</f>
        <v>OK</v>
      </c>
      <c r="Z2535" s="13">
        <v>3</v>
      </c>
      <c r="AA2535" s="13">
        <v>3</v>
      </c>
      <c r="AB2535" s="13">
        <v>3</v>
      </c>
      <c r="AC2535" s="13">
        <v>3</v>
      </c>
      <c r="AD2535" s="13">
        <v>3</v>
      </c>
      <c r="AE2535" s="13">
        <v>3</v>
      </c>
      <c r="AF2535" s="13">
        <v>2</v>
      </c>
      <c r="AG2535" s="16">
        <f>IFERROR(SUMIF(reading[[#This Row],[1st]:[7th]],"&gt;0")/COUNTIF(reading[[#This Row],[1st]:[7th]],"&gt;0"),"")</f>
        <v>2.8571428571428572</v>
      </c>
    </row>
    <row r="2536" spans="1:33" x14ac:dyDescent="0.2">
      <c r="A2536" s="4">
        <f>IF(B2536=1,3,IF(D2536=1,2,IF(F2536=1,1,0)))</f>
        <v>0</v>
      </c>
      <c r="B2536" s="4" t="str">
        <f>IF(C2536=$L2536,1,IF(C2536="","",0))</f>
        <v/>
      </c>
      <c r="C2536" s="41"/>
      <c r="D2536" s="4" t="str">
        <f>IF(E2536=$L2536,1,IF(E2536="","",0))</f>
        <v/>
      </c>
      <c r="E2536" s="14"/>
      <c r="F2536" s="4" t="str">
        <f>IF(G2536=$L2536,1,IF(G2536="","",0))</f>
        <v/>
      </c>
      <c r="G2536" s="14"/>
      <c r="H2536" s="6">
        <v>3029</v>
      </c>
      <c r="I2536" s="15" t="s">
        <v>3120</v>
      </c>
      <c r="J2536" s="6" t="s">
        <v>6052</v>
      </c>
      <c r="K2536" s="6"/>
      <c r="L2536" s="6" t="s">
        <v>54</v>
      </c>
      <c r="M2536" s="6" t="s">
        <v>9132</v>
      </c>
      <c r="N2536" s="7">
        <f ca="1">RAND()</f>
        <v>0.49974616433367935</v>
      </c>
      <c r="O2536" s="8">
        <v>45224</v>
      </c>
      <c r="P2536" s="8">
        <v>45225</v>
      </c>
      <c r="Q2536" s="8">
        <v>45227</v>
      </c>
      <c r="R2536" s="8">
        <v>45231</v>
      </c>
      <c r="S2536" s="8">
        <v>45249</v>
      </c>
      <c r="T2536" s="8"/>
      <c r="U2536" s="8"/>
      <c r="V2536" s="10">
        <f>COUNTA(O2536:U2536)</f>
        <v>5</v>
      </c>
      <c r="W2536" s="11">
        <f>_xlfn.IFNA(INDEX(reading[[#This Row],[Memo 01]:[Memo 07]],MATCH(0,reading[[#This Row],[Memo 01]:[Memo 07]],-1)),"")</f>
        <v>45249</v>
      </c>
      <c r="X2536" s="11">
        <f ca="1">IFERROR(reading[[#This Row],[Previous]]+OFFSET(reading[[#Headers],[Memo 01]],-1,MATCH(0,reading[[#This Row],[Memo 01]:[Memo 07]],-1)-1),"")</f>
        <v>45261</v>
      </c>
      <c r="Y2536" s="10" t="str">
        <f ca="1">IF(reading[[#This Row],[Next]]&lt;&gt;"",IF(reading[[#This Row],[Next]]&gt;TODAY(),"OK",""),"")</f>
        <v/>
      </c>
      <c r="Z2536" s="13">
        <v>3</v>
      </c>
      <c r="AA2536" s="13">
        <v>3</v>
      </c>
      <c r="AB2536" s="13">
        <v>3</v>
      </c>
      <c r="AC2536" s="13">
        <v>3</v>
      </c>
      <c r="AD2536" s="13">
        <v>3</v>
      </c>
      <c r="AE2536" s="13"/>
      <c r="AF2536" s="13"/>
      <c r="AG2536" s="16">
        <f>IFERROR(SUMIF(reading[[#This Row],[1st]:[7th]],"&gt;0")/COUNTIF(reading[[#This Row],[1st]:[7th]],"&gt;0"),"")</f>
        <v>3</v>
      </c>
    </row>
    <row r="2537" spans="1:33" x14ac:dyDescent="0.2">
      <c r="A2537" s="4">
        <f>IF(B2537=1,3,IF(D2537=1,2,IF(F2537=1,1,0)))</f>
        <v>0</v>
      </c>
      <c r="B2537" s="4" t="str">
        <f>IF(C2537=$L2537,1,IF(C2537="","",0))</f>
        <v/>
      </c>
      <c r="C2537" s="36"/>
      <c r="D2537" s="4" t="str">
        <f>IF(E2537=$L2537,1,IF(E2537="","",0))</f>
        <v/>
      </c>
      <c r="E2537" s="14"/>
      <c r="F2537" s="4" t="str">
        <f>IF(G2537=$L2537,1,IF(G2537="","",0))</f>
        <v/>
      </c>
      <c r="G2537" s="14"/>
      <c r="H2537" s="6">
        <v>1950</v>
      </c>
      <c r="I2537" s="15" t="s">
        <v>3120</v>
      </c>
      <c r="J2537" s="6" t="s">
        <v>5049</v>
      </c>
      <c r="K2537" s="6"/>
      <c r="L2537" s="6" t="s">
        <v>2025</v>
      </c>
      <c r="M2537" s="6" t="s">
        <v>8056</v>
      </c>
      <c r="N2537" s="7">
        <f ca="1">RAND()</f>
        <v>0.99449199421813106</v>
      </c>
      <c r="O2537" s="8">
        <v>45213</v>
      </c>
      <c r="P2537" s="8">
        <v>45214</v>
      </c>
      <c r="Q2537" s="8">
        <v>45216</v>
      </c>
      <c r="R2537" s="8">
        <v>45220</v>
      </c>
      <c r="S2537" s="8">
        <v>45227</v>
      </c>
      <c r="T2537" s="8"/>
      <c r="U2537" s="8"/>
      <c r="V2537" s="10">
        <f>COUNTA(O2537:U2537)</f>
        <v>5</v>
      </c>
      <c r="W2537" s="11">
        <f>_xlfn.IFNA(INDEX(reading[[#This Row],[Memo 01]:[Memo 07]],MATCH(0,reading[[#This Row],[Memo 01]:[Memo 07]],-1)),"")</f>
        <v>45227</v>
      </c>
      <c r="X2537" s="11">
        <f ca="1">IFERROR(reading[[#This Row],[Previous]]+OFFSET(reading[[#Headers],[Memo 01]],-1,MATCH(0,reading[[#This Row],[Memo 01]:[Memo 07]],-1)-1),"")</f>
        <v>45239</v>
      </c>
      <c r="Y2537" s="10" t="str">
        <f ca="1">IF(reading[[#This Row],[Next]]&lt;&gt;"",IF(reading[[#This Row],[Next]]&gt;TODAY(),"OK",""),"")</f>
        <v/>
      </c>
      <c r="Z2537" s="13">
        <v>3</v>
      </c>
      <c r="AA2537" s="13">
        <v>3</v>
      </c>
      <c r="AB2537" s="13">
        <v>3</v>
      </c>
      <c r="AC2537" s="13">
        <v>3</v>
      </c>
      <c r="AD2537" s="13">
        <v>3</v>
      </c>
      <c r="AE2537" s="13"/>
      <c r="AF2537" s="13"/>
      <c r="AG2537" s="16">
        <f>IFERROR(SUMIF(reading[[#This Row],[1st]:[7th]],"&gt;0")/COUNTIF(reading[[#This Row],[1st]:[7th]],"&gt;0"),"")</f>
        <v>3</v>
      </c>
    </row>
    <row r="2538" spans="1:33" x14ac:dyDescent="0.2">
      <c r="A2538" s="4">
        <f>IF(B2538=1,3,IF(D2538=1,2,IF(F2538=1,1,0)))</f>
        <v>0</v>
      </c>
      <c r="B2538" s="4" t="str">
        <f>IF(C2538=$L2538,1,IF(C2538="","",0))</f>
        <v/>
      </c>
      <c r="C2538" s="39"/>
      <c r="D2538" s="4" t="str">
        <f>IF(E2538=$L2538,1,IF(E2538="","",0))</f>
        <v/>
      </c>
      <c r="E2538" s="14"/>
      <c r="F2538" s="4" t="str">
        <f>IF(G2538=$L2538,1,IF(G2538="","",0))</f>
        <v/>
      </c>
      <c r="G2538" s="14"/>
      <c r="H2538" s="6">
        <v>1535</v>
      </c>
      <c r="I2538" s="15" t="s">
        <v>3120</v>
      </c>
      <c r="J2538" s="6" t="s">
        <v>4648</v>
      </c>
      <c r="K2538" s="6"/>
      <c r="L2538" s="6" t="s">
        <v>1620</v>
      </c>
      <c r="M2538" s="6" t="s">
        <v>7642</v>
      </c>
      <c r="N2538" s="7">
        <f ca="1">RAND()</f>
        <v>4.315724937232035E-2</v>
      </c>
      <c r="O2538" s="8">
        <v>45209</v>
      </c>
      <c r="P2538" s="8">
        <v>45210</v>
      </c>
      <c r="Q2538" s="8">
        <v>45212</v>
      </c>
      <c r="R2538" s="8">
        <v>45216</v>
      </c>
      <c r="S2538" s="8">
        <v>45223</v>
      </c>
      <c r="T2538" s="8">
        <v>45235</v>
      </c>
      <c r="U2538" s="8"/>
      <c r="V2538" s="10">
        <f>COUNTA(O2538:U2538)</f>
        <v>6</v>
      </c>
      <c r="W2538" s="11">
        <f>_xlfn.IFNA(INDEX(reading[[#This Row],[Memo 01]:[Memo 07]],MATCH(0,reading[[#This Row],[Memo 01]:[Memo 07]],-1)),"")</f>
        <v>45235</v>
      </c>
      <c r="X2538" s="11">
        <f ca="1">IFERROR(reading[[#This Row],[Previous]]+OFFSET(reading[[#Headers],[Memo 01]],-1,MATCH(0,reading[[#This Row],[Memo 01]:[Memo 07]],-1)-1),"")</f>
        <v>45255</v>
      </c>
      <c r="Y2538" s="10" t="str">
        <f ca="1">IF(reading[[#This Row],[Next]]&lt;&gt;"",IF(reading[[#This Row],[Next]]&gt;TODAY(),"OK",""),"")</f>
        <v/>
      </c>
      <c r="Z2538" s="13">
        <v>3</v>
      </c>
      <c r="AA2538" s="13">
        <v>3</v>
      </c>
      <c r="AB2538" s="13">
        <v>3</v>
      </c>
      <c r="AC2538" s="13">
        <v>3</v>
      </c>
      <c r="AD2538" s="13">
        <v>3</v>
      </c>
      <c r="AE2538" s="13">
        <v>3</v>
      </c>
      <c r="AF2538" s="13"/>
      <c r="AG2538" s="16">
        <f>IFERROR(SUMIF(reading[[#This Row],[1st]:[7th]],"&gt;0")/COUNTIF(reading[[#This Row],[1st]:[7th]],"&gt;0"),"")</f>
        <v>3</v>
      </c>
    </row>
    <row r="2539" spans="1:33" x14ac:dyDescent="0.2">
      <c r="A2539" s="4">
        <f>IF(B2539=1,3,IF(D2539=1,2,IF(F2539=1,1,0)))</f>
        <v>0</v>
      </c>
      <c r="B2539" s="4" t="str">
        <f>IF(C2539=$L2539,1,IF(C2539="","",0))</f>
        <v/>
      </c>
      <c r="C2539" s="42"/>
      <c r="D2539" s="4" t="str">
        <f>IF(E2539=$L2539,1,IF(E2539="","",0))</f>
        <v/>
      </c>
      <c r="E2539" s="14"/>
      <c r="F2539" s="4" t="str">
        <f>IF(G2539=$L2539,1,IF(G2539="","",0))</f>
        <v/>
      </c>
      <c r="G2539" s="14"/>
      <c r="H2539" s="6">
        <v>1050</v>
      </c>
      <c r="I2539" s="15" t="s">
        <v>3120</v>
      </c>
      <c r="J2539" s="6" t="s">
        <v>4177</v>
      </c>
      <c r="K2539" s="6"/>
      <c r="L2539" s="6" t="s">
        <v>118</v>
      </c>
      <c r="M2539" s="6" t="s">
        <v>7158</v>
      </c>
      <c r="N2539" s="7">
        <f ca="1">RAND()</f>
        <v>0.65986910429647672</v>
      </c>
      <c r="O2539" s="8">
        <v>45205</v>
      </c>
      <c r="P2539" s="8">
        <v>45206</v>
      </c>
      <c r="Q2539" s="8">
        <v>45208</v>
      </c>
      <c r="R2539" s="8">
        <v>45213</v>
      </c>
      <c r="S2539" s="8">
        <v>45220</v>
      </c>
      <c r="T2539" s="8">
        <v>45232</v>
      </c>
      <c r="U2539" s="8"/>
      <c r="V2539" s="10">
        <f>COUNTA(O2539:U2539)</f>
        <v>6</v>
      </c>
      <c r="W2539" s="11">
        <f>_xlfn.IFNA(INDEX(reading[[#This Row],[Memo 01]:[Memo 07]],MATCH(0,reading[[#This Row],[Memo 01]:[Memo 07]],-1)),"")</f>
        <v>45232</v>
      </c>
      <c r="X2539" s="11">
        <f ca="1">IFERROR(reading[[#This Row],[Previous]]+OFFSET(reading[[#Headers],[Memo 01]],-1,MATCH(0,reading[[#This Row],[Memo 01]:[Memo 07]],-1)-1),"")</f>
        <v>45252</v>
      </c>
      <c r="Y2539" s="10" t="str">
        <f ca="1">IF(reading[[#This Row],[Next]]&lt;&gt;"",IF(reading[[#This Row],[Next]]&gt;TODAY(),"OK",""),"")</f>
        <v/>
      </c>
      <c r="Z2539" s="13">
        <v>3</v>
      </c>
      <c r="AA2539" s="13">
        <v>3</v>
      </c>
      <c r="AB2539" s="13">
        <v>3</v>
      </c>
      <c r="AC2539" s="13">
        <v>2</v>
      </c>
      <c r="AD2539" s="13">
        <v>3</v>
      </c>
      <c r="AE2539" s="13">
        <v>2</v>
      </c>
      <c r="AF2539" s="13"/>
      <c r="AG2539" s="16">
        <f>IFERROR(SUMIF(reading[[#This Row],[1st]:[7th]],"&gt;0")/COUNTIF(reading[[#This Row],[1st]:[7th]],"&gt;0"),"")</f>
        <v>2.6666666666666665</v>
      </c>
    </row>
    <row r="2540" spans="1:33" hidden="1" x14ac:dyDescent="0.2">
      <c r="A2540" s="4">
        <f>IF(B2540=1,3,IF(D2540=1,2,IF(F2540=1,1,0)))</f>
        <v>0</v>
      </c>
      <c r="B2540" s="4">
        <f>IF(C2540=$L2540,1,IF(C2540="","",0))</f>
        <v>0</v>
      </c>
      <c r="C2540" s="42" t="s">
        <v>9280</v>
      </c>
      <c r="D2540" s="4" t="str">
        <f>IF(E2540=$L2540,1,IF(E2540="","",0))</f>
        <v/>
      </c>
      <c r="E2540" s="18"/>
      <c r="F2540" s="4" t="str">
        <f>IF(G2540=$L2540,1,IF(G2540="","",0))</f>
        <v/>
      </c>
      <c r="G2540" s="14"/>
      <c r="H2540" s="6">
        <v>1025</v>
      </c>
      <c r="I2540" s="15" t="s">
        <v>3120</v>
      </c>
      <c r="J2540" s="6" t="s">
        <v>4153</v>
      </c>
      <c r="K2540" s="6"/>
      <c r="L2540" s="6" t="s">
        <v>74</v>
      </c>
      <c r="M2540" s="6" t="s">
        <v>7133</v>
      </c>
      <c r="N2540" s="7">
        <f ca="1">RAND()</f>
        <v>0.95632224777283659</v>
      </c>
      <c r="O2540" s="8">
        <v>45205</v>
      </c>
      <c r="P2540" s="8">
        <v>45206</v>
      </c>
      <c r="Q2540" s="8">
        <v>45208</v>
      </c>
      <c r="R2540" s="8">
        <v>45212</v>
      </c>
      <c r="S2540" s="8">
        <v>45219</v>
      </c>
      <c r="T2540" s="8">
        <v>45231</v>
      </c>
      <c r="U2540" s="8"/>
      <c r="V2540" s="10">
        <f>COUNTA(O2540:U2540)</f>
        <v>6</v>
      </c>
      <c r="W2540" s="11">
        <f>_xlfn.IFNA(INDEX(reading[[#This Row],[Memo 01]:[Memo 07]],MATCH(0,reading[[#This Row],[Memo 01]:[Memo 07]],-1)),"")</f>
        <v>45231</v>
      </c>
      <c r="X2540" s="11">
        <f ca="1">IFERROR(reading[[#This Row],[Previous]]+OFFSET(reading[[#Headers],[Memo 01]],-1,MATCH(0,reading[[#This Row],[Memo 01]:[Memo 07]],-1)-1),"")</f>
        <v>45251</v>
      </c>
      <c r="Y2540" s="10" t="str">
        <f ca="1">IF(reading[[#This Row],[Next]]&lt;&gt;"",IF(reading[[#This Row],[Next]]&gt;TODAY(),"OK",""),"")</f>
        <v/>
      </c>
      <c r="Z2540" s="13">
        <v>3</v>
      </c>
      <c r="AA2540" s="13">
        <v>3</v>
      </c>
      <c r="AB2540" s="13">
        <v>3</v>
      </c>
      <c r="AC2540" s="13">
        <v>3</v>
      </c>
      <c r="AD2540" s="13">
        <v>2</v>
      </c>
      <c r="AE2540" s="13">
        <v>3</v>
      </c>
      <c r="AF2540" s="13"/>
      <c r="AG2540" s="16">
        <f>IFERROR(SUMIF(reading[[#This Row],[1st]:[7th]],"&gt;0")/COUNTIF(reading[[#This Row],[1st]:[7th]],"&gt;0"),"")</f>
        <v>2.8333333333333335</v>
      </c>
    </row>
    <row r="2541" spans="1:33" hidden="1" x14ac:dyDescent="0.2">
      <c r="A2541" s="4">
        <f>IF(B2541=1,3,IF(D2541=1,2,IF(F2541=1,1,0)))</f>
        <v>0</v>
      </c>
      <c r="B2541" s="4">
        <f>IF(C2541=$L2541,1,IF(C2541="","",0))</f>
        <v>0</v>
      </c>
      <c r="C2541" s="42" t="s">
        <v>9200</v>
      </c>
      <c r="D2541" s="4" t="str">
        <f>IF(E2541=$L2541,1,IF(E2541="","",0))</f>
        <v/>
      </c>
      <c r="E2541" s="14"/>
      <c r="F2541" s="4" t="str">
        <f>IF(G2541=$L2541,1,IF(G2541="","",0))</f>
        <v/>
      </c>
      <c r="G2541" s="14"/>
      <c r="H2541" s="6">
        <v>2679</v>
      </c>
      <c r="I2541" s="15" t="s">
        <v>3120</v>
      </c>
      <c r="J2541" s="6" t="s">
        <v>5731</v>
      </c>
      <c r="K2541" s="6"/>
      <c r="L2541" s="6" t="s">
        <v>2718</v>
      </c>
      <c r="M2541" s="6" t="s">
        <v>8784</v>
      </c>
      <c r="N2541" s="7">
        <f ca="1">RAND()</f>
        <v>0.31274129571454934</v>
      </c>
      <c r="O2541" s="8">
        <v>45221</v>
      </c>
      <c r="P2541" s="8">
        <v>45222</v>
      </c>
      <c r="Q2541" s="8">
        <v>45224</v>
      </c>
      <c r="R2541" s="8">
        <v>45228</v>
      </c>
      <c r="S2541" s="8">
        <v>45235</v>
      </c>
      <c r="T2541" s="8"/>
      <c r="U2541" s="8"/>
      <c r="V2541" s="10">
        <f>COUNTA(O2541:U2541)</f>
        <v>5</v>
      </c>
      <c r="W2541" s="11">
        <f>_xlfn.IFNA(INDEX(reading[[#This Row],[Memo 01]:[Memo 07]],MATCH(0,reading[[#This Row],[Memo 01]:[Memo 07]],-1)),"")</f>
        <v>45235</v>
      </c>
      <c r="X2541" s="11">
        <f ca="1">IFERROR(reading[[#This Row],[Previous]]+OFFSET(reading[[#Headers],[Memo 01]],-1,MATCH(0,reading[[#This Row],[Memo 01]:[Memo 07]],-1)-1),"")</f>
        <v>45247</v>
      </c>
      <c r="Y2541" s="10" t="str">
        <f ca="1">IF(reading[[#This Row],[Next]]&lt;&gt;"",IF(reading[[#This Row],[Next]]&gt;TODAY(),"OK",""),"")</f>
        <v/>
      </c>
      <c r="Z2541" s="13">
        <v>3</v>
      </c>
      <c r="AA2541" s="13">
        <v>3</v>
      </c>
      <c r="AB2541" s="13">
        <v>3</v>
      </c>
      <c r="AC2541" s="13">
        <v>3</v>
      </c>
      <c r="AD2541" s="13">
        <v>2</v>
      </c>
      <c r="AE2541" s="13"/>
      <c r="AF2541" s="13"/>
      <c r="AG2541" s="16">
        <f>IFERROR(SUMIF(reading[[#This Row],[1st]:[7th]],"&gt;0")/COUNTIF(reading[[#This Row],[1st]:[7th]],"&gt;0"),"")</f>
        <v>2.8</v>
      </c>
    </row>
    <row r="2542" spans="1:33" hidden="1" x14ac:dyDescent="0.2">
      <c r="A2542" s="4">
        <f>IF(B2542=1,3,IF(D2542=1,2,IF(F2542=1,1,0)))</f>
        <v>0</v>
      </c>
      <c r="B2542" s="4" t="str">
        <f>IF(C2542=$L2542,1,IF(C2542="","",0))</f>
        <v/>
      </c>
      <c r="C2542" s="42"/>
      <c r="D2542" s="4" t="str">
        <f>IF(E2542=$L2542,1,IF(E2542="","",0))</f>
        <v/>
      </c>
      <c r="E2542" s="23"/>
      <c r="F2542" s="4" t="str">
        <f>IF(G2542=$L2542,1,IF(G2542="","",0))</f>
        <v/>
      </c>
      <c r="G2542" s="14"/>
      <c r="H2542" s="6">
        <v>2812</v>
      </c>
      <c r="I2542" s="15" t="s">
        <v>3120</v>
      </c>
      <c r="J2542" s="6" t="s">
        <v>5855</v>
      </c>
      <c r="K2542" s="6"/>
      <c r="L2542" s="6" t="s">
        <v>2848</v>
      </c>
      <c r="M2542" s="6" t="s">
        <v>8916</v>
      </c>
      <c r="N2542" s="7">
        <f ca="1">RAND()</f>
        <v>0.74106402551157313</v>
      </c>
      <c r="O2542" s="8">
        <v>45222</v>
      </c>
      <c r="P2542" s="8">
        <v>45223</v>
      </c>
      <c r="Q2542" s="8">
        <v>45225</v>
      </c>
      <c r="R2542" s="8">
        <v>45229</v>
      </c>
      <c r="S2542" s="8">
        <v>45236</v>
      </c>
      <c r="T2542" s="8">
        <v>45816</v>
      </c>
      <c r="U2542" s="8"/>
      <c r="V2542" s="10">
        <f>COUNTA(O2542:U2542)</f>
        <v>6</v>
      </c>
      <c r="W2542" s="11">
        <f>_xlfn.IFNA(INDEX(reading[[#This Row],[Memo 01]:[Memo 07]],MATCH(0,reading[[#This Row],[Memo 01]:[Memo 07]],-1)),"")</f>
        <v>45816</v>
      </c>
      <c r="X2542" s="11">
        <f ca="1">IFERROR(reading[[#This Row],[Previous]]+OFFSET(reading[[#Headers],[Memo 01]],-1,MATCH(0,reading[[#This Row],[Memo 01]:[Memo 07]],-1)-1),"")</f>
        <v>45836</v>
      </c>
      <c r="Y2542" s="10" t="str">
        <f ca="1">IF(reading[[#This Row],[Next]]&lt;&gt;"",IF(reading[[#This Row],[Next]]&gt;TODAY(),"OK",""),"")</f>
        <v>OK</v>
      </c>
      <c r="Z2542" s="13">
        <v>3</v>
      </c>
      <c r="AA2542" s="13">
        <v>3</v>
      </c>
      <c r="AB2542" s="13">
        <v>3</v>
      </c>
      <c r="AC2542" s="13">
        <v>3</v>
      </c>
      <c r="AD2542" s="13">
        <v>3</v>
      </c>
      <c r="AE2542" s="13">
        <v>2</v>
      </c>
      <c r="AF2542" s="13"/>
      <c r="AG2542" s="16">
        <f>IFERROR(SUMIF(reading[[#This Row],[1st]:[7th]],"&gt;0")/COUNTIF(reading[[#This Row],[1st]:[7th]],"&gt;0"),"")</f>
        <v>2.8333333333333335</v>
      </c>
    </row>
    <row r="2543" spans="1:33" hidden="1" x14ac:dyDescent="0.2">
      <c r="A2543" s="4">
        <f>IF(B2543=1,3,IF(D2543=1,2,IF(F2543=1,1,0)))</f>
        <v>0</v>
      </c>
      <c r="B2543" s="4">
        <f>IF(C2543=$L2543,1,IF(C2543="","",0))</f>
        <v>0</v>
      </c>
      <c r="C2543" s="42" t="s">
        <v>9200</v>
      </c>
      <c r="D2543" s="4" t="str">
        <f>IF(E2543=$L2543,1,IF(E2543="","",0))</f>
        <v/>
      </c>
      <c r="E2543" s="18"/>
      <c r="F2543" s="4" t="str">
        <f>IF(G2543=$L2543,1,IF(G2543="","",0))</f>
        <v/>
      </c>
      <c r="G2543" s="14"/>
      <c r="H2543" s="6">
        <v>3041</v>
      </c>
      <c r="I2543" s="15" t="s">
        <v>3120</v>
      </c>
      <c r="J2543" s="6" t="s">
        <v>6063</v>
      </c>
      <c r="K2543" s="6"/>
      <c r="L2543" s="6" t="s">
        <v>3067</v>
      </c>
      <c r="M2543" s="6" t="s">
        <v>9144</v>
      </c>
      <c r="N2543" s="7">
        <f ca="1">RAND()</f>
        <v>0.47544288681372404</v>
      </c>
      <c r="O2543" s="8">
        <v>45224</v>
      </c>
      <c r="P2543" s="8">
        <v>45225</v>
      </c>
      <c r="Q2543" s="8">
        <v>45227</v>
      </c>
      <c r="R2543" s="8">
        <v>45231</v>
      </c>
      <c r="S2543" s="8">
        <v>45252</v>
      </c>
      <c r="T2543" s="8"/>
      <c r="U2543" s="8"/>
      <c r="V2543" s="10">
        <f>COUNTA(O2543:U2543)</f>
        <v>5</v>
      </c>
      <c r="W2543" s="11">
        <f>_xlfn.IFNA(INDEX(reading[[#This Row],[Memo 01]:[Memo 07]],MATCH(0,reading[[#This Row],[Memo 01]:[Memo 07]],-1)),"")</f>
        <v>45252</v>
      </c>
      <c r="X2543" s="11">
        <f ca="1">IFERROR(reading[[#This Row],[Previous]]+OFFSET(reading[[#Headers],[Memo 01]],-1,MATCH(0,reading[[#This Row],[Memo 01]:[Memo 07]],-1)-1),"")</f>
        <v>45264</v>
      </c>
      <c r="Y2543" s="10" t="str">
        <f ca="1">IF(reading[[#This Row],[Next]]&lt;&gt;"",IF(reading[[#This Row],[Next]]&gt;TODAY(),"OK",""),"")</f>
        <v/>
      </c>
      <c r="Z2543" s="13">
        <v>3</v>
      </c>
      <c r="AA2543" s="13">
        <v>3</v>
      </c>
      <c r="AB2543" s="13">
        <v>3</v>
      </c>
      <c r="AC2543" s="13">
        <v>3</v>
      </c>
      <c r="AD2543" s="13">
        <v>2</v>
      </c>
      <c r="AE2543" s="13"/>
      <c r="AF2543" s="13"/>
      <c r="AG2543" s="16">
        <f>IFERROR(SUMIF(reading[[#This Row],[1st]:[7th]],"&gt;0")/COUNTIF(reading[[#This Row],[1st]:[7th]],"&gt;0"),"")</f>
        <v>2.8</v>
      </c>
    </row>
    <row r="2544" spans="1:33" x14ac:dyDescent="0.2">
      <c r="A2544" s="4">
        <f>IF(B2544=1,3,IF(D2544=1,2,IF(F2544=1,1,0)))</f>
        <v>0</v>
      </c>
      <c r="B2544" s="4" t="str">
        <f>IF(C2544=$L2544,1,IF(C2544="","",0))</f>
        <v/>
      </c>
      <c r="C2544" s="42"/>
      <c r="D2544" s="4" t="str">
        <f>IF(E2544=$L2544,1,IF(E2544="","",0))</f>
        <v/>
      </c>
      <c r="E2544" s="14"/>
      <c r="F2544" s="4" t="str">
        <f>IF(G2544=$L2544,1,IF(G2544="","",0))</f>
        <v/>
      </c>
      <c r="G2544" s="14"/>
      <c r="H2544" s="6">
        <v>2135</v>
      </c>
      <c r="I2544" s="15" t="s">
        <v>3120</v>
      </c>
      <c r="J2544" s="6" t="s">
        <v>5223</v>
      </c>
      <c r="K2544" s="6"/>
      <c r="L2544" s="6" t="s">
        <v>2202</v>
      </c>
      <c r="M2544" s="6" t="s">
        <v>8241</v>
      </c>
      <c r="N2544" s="7">
        <f ca="1">RAND()</f>
        <v>9.5497626164225635E-2</v>
      </c>
      <c r="O2544" s="8">
        <v>45214</v>
      </c>
      <c r="P2544" s="8">
        <v>45215</v>
      </c>
      <c r="Q2544" s="8">
        <v>45217</v>
      </c>
      <c r="R2544" s="8">
        <v>45221</v>
      </c>
      <c r="S2544" s="8">
        <v>45228</v>
      </c>
      <c r="T2544" s="8">
        <v>45783</v>
      </c>
      <c r="U2544" s="8"/>
      <c r="V2544" s="10">
        <f>COUNTA(O2544:U2544)</f>
        <v>6</v>
      </c>
      <c r="W2544" s="11">
        <f>_xlfn.IFNA(INDEX(reading[[#This Row],[Memo 01]:[Memo 07]],MATCH(0,reading[[#This Row],[Memo 01]:[Memo 07]],-1)),"")</f>
        <v>45783</v>
      </c>
      <c r="X2544" s="11">
        <f ca="1">IFERROR(reading[[#This Row],[Previous]]+OFFSET(reading[[#Headers],[Memo 01]],-1,MATCH(0,reading[[#This Row],[Memo 01]:[Memo 07]],-1)-1),"")</f>
        <v>45803</v>
      </c>
      <c r="Y2544" s="10" t="str">
        <f ca="1">IF(reading[[#This Row],[Next]]&lt;&gt;"",IF(reading[[#This Row],[Next]]&gt;TODAY(),"OK",""),"")</f>
        <v/>
      </c>
      <c r="Z2544" s="13">
        <v>3</v>
      </c>
      <c r="AA2544" s="13">
        <v>3</v>
      </c>
      <c r="AB2544" s="13">
        <v>3</v>
      </c>
      <c r="AC2544" s="13">
        <v>3</v>
      </c>
      <c r="AD2544" s="13">
        <v>3</v>
      </c>
      <c r="AE2544" s="13">
        <v>3</v>
      </c>
      <c r="AF2544" s="13"/>
      <c r="AG2544" s="16">
        <f>IFERROR(SUMIF(reading[[#This Row],[1st]:[7th]],"&gt;0")/COUNTIF(reading[[#This Row],[1st]:[7th]],"&gt;0"),"")</f>
        <v>3</v>
      </c>
    </row>
    <row r="2545" spans="1:33" x14ac:dyDescent="0.2">
      <c r="A2545" s="4">
        <f>IF(B2545=1,3,IF(D2545=1,2,IF(F2545=1,1,0)))</f>
        <v>0</v>
      </c>
      <c r="B2545" s="4" t="str">
        <f>IF(C2545=$L2545,1,IF(C2545="","",0))</f>
        <v/>
      </c>
      <c r="C2545" s="42"/>
      <c r="D2545" s="4" t="str">
        <f>IF(E2545=$L2545,1,IF(E2545="","",0))</f>
        <v/>
      </c>
      <c r="E2545" s="14"/>
      <c r="F2545" s="4" t="str">
        <f>IF(G2545=$L2545,1,IF(G2545="","",0))</f>
        <v/>
      </c>
      <c r="G2545" s="14"/>
      <c r="H2545" s="6">
        <v>274</v>
      </c>
      <c r="I2545" s="15" t="s">
        <v>3120</v>
      </c>
      <c r="J2545" s="6" t="s">
        <v>3423</v>
      </c>
      <c r="K2545" s="6"/>
      <c r="L2545" s="6" t="s">
        <v>409</v>
      </c>
      <c r="M2545" s="6" t="s">
        <v>6383</v>
      </c>
      <c r="N2545" s="7">
        <f ca="1">RAND()</f>
        <v>0.76074481600227861</v>
      </c>
      <c r="O2545" s="8">
        <v>45200</v>
      </c>
      <c r="P2545" s="8">
        <v>45201</v>
      </c>
      <c r="Q2545" s="8">
        <v>45203</v>
      </c>
      <c r="R2545" s="8">
        <v>45207</v>
      </c>
      <c r="S2545" s="8">
        <v>45214</v>
      </c>
      <c r="T2545" s="8">
        <v>45226</v>
      </c>
      <c r="U2545" s="8"/>
      <c r="V2545" s="10">
        <f>COUNTA(O2545:U2545)</f>
        <v>6</v>
      </c>
      <c r="W2545" s="11">
        <f>_xlfn.IFNA(INDEX(reading[[#This Row],[Memo 01]:[Memo 07]],MATCH(0,reading[[#This Row],[Memo 01]:[Memo 07]],-1)),"")</f>
        <v>45226</v>
      </c>
      <c r="X2545" s="11">
        <f ca="1">IFERROR(reading[[#This Row],[Previous]]+OFFSET(reading[[#Headers],[Memo 01]],-1,MATCH(0,reading[[#This Row],[Memo 01]:[Memo 07]],-1)-1),"")</f>
        <v>45246</v>
      </c>
      <c r="Y2545" s="10" t="str">
        <f ca="1">IF(reading[[#This Row],[Next]]&lt;&gt;"",IF(reading[[#This Row],[Next]]&gt;TODAY(),"OK",""),"")</f>
        <v/>
      </c>
      <c r="Z2545" s="13">
        <v>3</v>
      </c>
      <c r="AA2545" s="13">
        <v>3</v>
      </c>
      <c r="AB2545" s="13">
        <v>3</v>
      </c>
      <c r="AC2545" s="13">
        <v>3</v>
      </c>
      <c r="AD2545" s="13">
        <v>3</v>
      </c>
      <c r="AE2545" s="13">
        <v>3</v>
      </c>
      <c r="AF2545" s="13"/>
      <c r="AG2545" s="16">
        <f>IFERROR(SUMIF(reading[[#This Row],[1st]:[7th]],"&gt;0")/COUNTIF(reading[[#This Row],[1st]:[7th]],"&gt;0"),"")</f>
        <v>3</v>
      </c>
    </row>
    <row r="2546" spans="1:33" x14ac:dyDescent="0.2">
      <c r="A2546" s="4">
        <f>IF(B2546=1,3,IF(D2546=1,2,IF(F2546=1,1,0)))</f>
        <v>0</v>
      </c>
      <c r="B2546" s="4" t="str">
        <f>IF(C2546=$L2546,1,IF(C2546="","",0))</f>
        <v/>
      </c>
      <c r="C2546" s="42"/>
      <c r="D2546" s="4" t="str">
        <f>IF(E2546=$L2546,1,IF(E2546="","",0))</f>
        <v/>
      </c>
      <c r="E2546" s="14"/>
      <c r="F2546" s="4" t="str">
        <f>IF(G2546=$L2546,1,IF(G2546="","",0))</f>
        <v/>
      </c>
      <c r="G2546" s="14"/>
      <c r="H2546" s="6">
        <v>2462</v>
      </c>
      <c r="I2546" s="15" t="s">
        <v>3120</v>
      </c>
      <c r="J2546" s="6" t="s">
        <v>5531</v>
      </c>
      <c r="K2546" s="6"/>
      <c r="L2546" s="6" t="s">
        <v>2510</v>
      </c>
      <c r="M2546" s="6" t="s">
        <v>8567</v>
      </c>
      <c r="N2546" s="7">
        <f ca="1">RAND()</f>
        <v>0.94587691391977102</v>
      </c>
      <c r="O2546" s="8">
        <v>45218</v>
      </c>
      <c r="P2546" s="8">
        <v>45219</v>
      </c>
      <c r="Q2546" s="8">
        <v>45221</v>
      </c>
      <c r="R2546" s="8">
        <v>45225</v>
      </c>
      <c r="S2546" s="8">
        <v>45232</v>
      </c>
      <c r="T2546" s="8">
        <v>45792</v>
      </c>
      <c r="U2546" s="8"/>
      <c r="V2546" s="10">
        <f>COUNTA(O2546:U2546)</f>
        <v>6</v>
      </c>
      <c r="W2546" s="11">
        <f>_xlfn.IFNA(INDEX(reading[[#This Row],[Memo 01]:[Memo 07]],MATCH(0,reading[[#This Row],[Memo 01]:[Memo 07]],-1)),"")</f>
        <v>45792</v>
      </c>
      <c r="X2546" s="11">
        <f ca="1">IFERROR(reading[[#This Row],[Previous]]+OFFSET(reading[[#Headers],[Memo 01]],-1,MATCH(0,reading[[#This Row],[Memo 01]:[Memo 07]],-1)-1),"")</f>
        <v>45812</v>
      </c>
      <c r="Y2546" s="10" t="str">
        <f ca="1">IF(reading[[#This Row],[Next]]&lt;&gt;"",IF(reading[[#This Row],[Next]]&gt;TODAY(),"OK",""),"")</f>
        <v/>
      </c>
      <c r="Z2546" s="13">
        <v>3</v>
      </c>
      <c r="AA2546" s="13">
        <v>3</v>
      </c>
      <c r="AB2546" s="13">
        <v>3</v>
      </c>
      <c r="AC2546" s="13">
        <v>3</v>
      </c>
      <c r="AD2546" s="13">
        <v>3</v>
      </c>
      <c r="AE2546" s="13">
        <v>3</v>
      </c>
      <c r="AF2546" s="13"/>
      <c r="AG2546" s="16">
        <f>IFERROR(SUMIF(reading[[#This Row],[1st]:[7th]],"&gt;0")/COUNTIF(reading[[#This Row],[1st]:[7th]],"&gt;0"),"")</f>
        <v>3</v>
      </c>
    </row>
    <row r="2547" spans="1:33" x14ac:dyDescent="0.2">
      <c r="A2547" s="4">
        <f>IF(B2547=1,3,IF(D2547=1,2,IF(F2547=1,1,0)))</f>
        <v>0</v>
      </c>
      <c r="B2547" s="4" t="str">
        <f>IF(C2547=$L2547,1,IF(C2547="","",0))</f>
        <v/>
      </c>
      <c r="C2547" s="42"/>
      <c r="D2547" s="4" t="str">
        <f>IF(E2547=$L2547,1,IF(E2547="","",0))</f>
        <v/>
      </c>
      <c r="E2547" s="14"/>
      <c r="F2547" s="4" t="str">
        <f>IF(G2547=$L2547,1,IF(G2547="","",0))</f>
        <v/>
      </c>
      <c r="G2547" s="14"/>
      <c r="H2547" s="6">
        <v>1957</v>
      </c>
      <c r="I2547" s="15" t="s">
        <v>3120</v>
      </c>
      <c r="J2547" s="6" t="s">
        <v>5056</v>
      </c>
      <c r="K2547" s="6"/>
      <c r="L2547" s="6" t="s">
        <v>2032</v>
      </c>
      <c r="M2547" s="6" t="s">
        <v>8063</v>
      </c>
      <c r="N2547" s="7">
        <f ca="1">RAND()</f>
        <v>0.47881842088076876</v>
      </c>
      <c r="O2547" s="8">
        <v>45213</v>
      </c>
      <c r="P2547" s="8">
        <v>45214</v>
      </c>
      <c r="Q2547" s="8">
        <v>45216</v>
      </c>
      <c r="R2547" s="8">
        <v>45220</v>
      </c>
      <c r="S2547" s="8">
        <v>45227</v>
      </c>
      <c r="T2547" s="8">
        <v>45792</v>
      </c>
      <c r="U2547" s="8"/>
      <c r="V2547" s="10">
        <f>COUNTA(O2547:U2547)</f>
        <v>6</v>
      </c>
      <c r="W2547" s="11">
        <f>_xlfn.IFNA(INDEX(reading[[#This Row],[Memo 01]:[Memo 07]],MATCH(0,reading[[#This Row],[Memo 01]:[Memo 07]],-1)),"")</f>
        <v>45792</v>
      </c>
      <c r="X2547" s="11">
        <f ca="1">IFERROR(reading[[#This Row],[Previous]]+OFFSET(reading[[#Headers],[Memo 01]],-1,MATCH(0,reading[[#This Row],[Memo 01]:[Memo 07]],-1)-1),"")</f>
        <v>45812</v>
      </c>
      <c r="Y2547" s="10" t="str">
        <f ca="1">IF(reading[[#This Row],[Next]]&lt;&gt;"",IF(reading[[#This Row],[Next]]&gt;TODAY(),"OK",""),"")</f>
        <v/>
      </c>
      <c r="Z2547" s="13">
        <v>3</v>
      </c>
      <c r="AA2547" s="13">
        <v>3</v>
      </c>
      <c r="AB2547" s="13">
        <v>3</v>
      </c>
      <c r="AC2547" s="13">
        <v>3</v>
      </c>
      <c r="AD2547" s="13">
        <v>3</v>
      </c>
      <c r="AE2547" s="13">
        <v>3</v>
      </c>
      <c r="AF2547" s="13"/>
      <c r="AG2547" s="16">
        <f>IFERROR(SUMIF(reading[[#This Row],[1st]:[7th]],"&gt;0")/COUNTIF(reading[[#This Row],[1st]:[7th]],"&gt;0"),"")</f>
        <v>3</v>
      </c>
    </row>
    <row r="2548" spans="1:33" hidden="1" x14ac:dyDescent="0.2">
      <c r="A2548" s="4">
        <f>IF(B2548=1,3,IF(D2548=1,2,IF(F2548=1,1,0)))</f>
        <v>0</v>
      </c>
      <c r="B2548" s="4">
        <f>IF(C2548=$L2548,1,IF(C2548="","",0))</f>
        <v>0</v>
      </c>
      <c r="C2548" s="42" t="s">
        <v>9200</v>
      </c>
      <c r="D2548" s="4" t="str">
        <f>IF(E2548=$L2548,1,IF(E2548="","",0))</f>
        <v/>
      </c>
      <c r="E2548" s="18"/>
      <c r="F2548" s="4" t="str">
        <f>IF(G2548=$L2548,1,IF(G2548="","",0))</f>
        <v/>
      </c>
      <c r="G2548" s="14"/>
      <c r="H2548" s="6">
        <v>1838</v>
      </c>
      <c r="I2548" s="15" t="s">
        <v>3120</v>
      </c>
      <c r="J2548" s="6" t="s">
        <v>4943</v>
      </c>
      <c r="K2548" s="6"/>
      <c r="L2548" s="6" t="s">
        <v>1916</v>
      </c>
      <c r="M2548" s="6" t="s">
        <v>7944</v>
      </c>
      <c r="N2548" s="7">
        <f ca="1">RAND()</f>
        <v>0.79446870982367701</v>
      </c>
      <c r="O2548" s="8">
        <v>45213</v>
      </c>
      <c r="P2548" s="8">
        <v>45214</v>
      </c>
      <c r="Q2548" s="8">
        <v>45216</v>
      </c>
      <c r="R2548" s="8">
        <v>45220</v>
      </c>
      <c r="S2548" s="8">
        <v>45227</v>
      </c>
      <c r="T2548" s="8"/>
      <c r="U2548" s="8"/>
      <c r="V2548" s="10">
        <f>COUNTA(O2548:U2548)</f>
        <v>5</v>
      </c>
      <c r="W2548" s="11">
        <f>_xlfn.IFNA(INDEX(reading[[#This Row],[Memo 01]:[Memo 07]],MATCH(0,reading[[#This Row],[Memo 01]:[Memo 07]],-1)),"")</f>
        <v>45227</v>
      </c>
      <c r="X2548" s="11">
        <f ca="1">IFERROR(reading[[#This Row],[Previous]]+OFFSET(reading[[#Headers],[Memo 01]],-1,MATCH(0,reading[[#This Row],[Memo 01]:[Memo 07]],-1)-1),"")</f>
        <v>45239</v>
      </c>
      <c r="Y2548" s="10" t="str">
        <f ca="1">IF(reading[[#This Row],[Next]]&lt;&gt;"",IF(reading[[#This Row],[Next]]&gt;TODAY(),"OK",""),"")</f>
        <v/>
      </c>
      <c r="Z2548" s="13">
        <v>3</v>
      </c>
      <c r="AA2548" s="13">
        <v>2</v>
      </c>
      <c r="AB2548" s="13">
        <v>3</v>
      </c>
      <c r="AC2548" s="13">
        <v>3</v>
      </c>
      <c r="AD2548" s="13">
        <v>3</v>
      </c>
      <c r="AE2548" s="13"/>
      <c r="AF2548" s="13"/>
      <c r="AG2548" s="16">
        <f>IFERROR(SUMIF(reading[[#This Row],[1st]:[7th]],"&gt;0")/COUNTIF(reading[[#This Row],[1st]:[7th]],"&gt;0"),"")</f>
        <v>2.8</v>
      </c>
    </row>
    <row r="2549" spans="1:33" hidden="1" x14ac:dyDescent="0.2">
      <c r="A2549" s="4">
        <f>IF(B2549=1,3,IF(D2549=1,2,IF(F2549=1,1,0)))</f>
        <v>3</v>
      </c>
      <c r="B2549" s="4">
        <f>IF(C2549=$L2549,1,IF(C2549="","",0))</f>
        <v>1</v>
      </c>
      <c r="C2549" s="36" t="s">
        <v>2598</v>
      </c>
      <c r="D2549" s="4" t="str">
        <f>IF(E2549=$L2549,1,IF(E2549="","",0))</f>
        <v/>
      </c>
      <c r="E2549" s="14"/>
      <c r="F2549" s="4" t="str">
        <f>IF(G2549=$L2549,1,IF(G2549="","",0))</f>
        <v/>
      </c>
      <c r="G2549" s="14"/>
      <c r="H2549" s="6">
        <v>2553</v>
      </c>
      <c r="I2549" s="15" t="s">
        <v>3120</v>
      </c>
      <c r="J2549" s="6" t="s">
        <v>5614</v>
      </c>
      <c r="K2549" s="6"/>
      <c r="L2549" s="6" t="s">
        <v>2598</v>
      </c>
      <c r="M2549" s="6" t="s">
        <v>8658</v>
      </c>
      <c r="N2549" s="7">
        <f ca="1">RAND()</f>
        <v>0.1547776335877088</v>
      </c>
      <c r="O2549" s="8">
        <v>45219</v>
      </c>
      <c r="P2549" s="8">
        <v>45219</v>
      </c>
      <c r="Q2549" s="8">
        <v>45219</v>
      </c>
      <c r="R2549" s="8">
        <v>45219</v>
      </c>
      <c r="S2549" s="8">
        <v>45219</v>
      </c>
      <c r="T2549" s="8">
        <v>45219</v>
      </c>
      <c r="U2549" s="8">
        <v>45219</v>
      </c>
      <c r="V2549" s="10">
        <f>COUNTA(O2549:U2549)</f>
        <v>7</v>
      </c>
      <c r="W2549" s="11">
        <f>_xlfn.IFNA(INDEX(reading[[#This Row],[Memo 01]:[Memo 07]],MATCH(0,reading[[#This Row],[Memo 01]:[Memo 07]],-1)),"")</f>
        <v>45219</v>
      </c>
      <c r="X2549" s="11">
        <f ca="1">IFERROR(reading[[#This Row],[Previous]]+OFFSET(reading[[#Headers],[Memo 01]],-1,MATCH(0,reading[[#This Row],[Memo 01]:[Memo 07]],-1)-1),"")</f>
        <v>55219</v>
      </c>
      <c r="Y2549" s="10" t="str">
        <f ca="1">IF(reading[[#This Row],[Next]]&lt;&gt;"",IF(reading[[#This Row],[Next]]&gt;TODAY(),"OK",""),"")</f>
        <v>OK</v>
      </c>
      <c r="Z2549" s="13">
        <v>3</v>
      </c>
      <c r="AA2549" s="13"/>
      <c r="AB2549" s="13"/>
      <c r="AC2549" s="13"/>
      <c r="AD2549" s="13"/>
      <c r="AE2549" s="13"/>
      <c r="AF2549" s="13"/>
      <c r="AG2549" s="16">
        <f>IFERROR(SUMIF(reading[[#This Row],[1st]:[7th]],"&gt;0")/COUNTIF(reading[[#This Row],[1st]:[7th]],"&gt;0"),"")</f>
        <v>3</v>
      </c>
    </row>
    <row r="2550" spans="1:33" x14ac:dyDescent="0.2">
      <c r="A2550" s="4">
        <f>IF(B2550=1,3,IF(D2550=1,2,IF(F2550=1,1,0)))</f>
        <v>0</v>
      </c>
      <c r="B2550" s="4" t="str">
        <f>IF(C2550=$L2550,1,IF(C2550="","",0))</f>
        <v/>
      </c>
      <c r="C2550" s="39"/>
      <c r="D2550" s="4" t="str">
        <f>IF(E2550=$L2550,1,IF(E2550="","",0))</f>
        <v/>
      </c>
      <c r="E2550" s="14"/>
      <c r="F2550" s="4" t="str">
        <f>IF(G2550=$L2550,1,IF(G2550="","",0))</f>
        <v/>
      </c>
      <c r="G2550" s="14"/>
      <c r="H2550" s="6">
        <v>2457</v>
      </c>
      <c r="I2550" s="15" t="s">
        <v>3120</v>
      </c>
      <c r="J2550" s="6" t="s">
        <v>5527</v>
      </c>
      <c r="K2550" s="6"/>
      <c r="L2550" s="6" t="s">
        <v>2505</v>
      </c>
      <c r="M2550" s="6" t="s">
        <v>8562</v>
      </c>
      <c r="N2550" s="7">
        <f ca="1">RAND()</f>
        <v>0.29156689871039554</v>
      </c>
      <c r="O2550" s="8">
        <v>45218</v>
      </c>
      <c r="P2550" s="8">
        <v>45219</v>
      </c>
      <c r="Q2550" s="8">
        <v>45221</v>
      </c>
      <c r="R2550" s="8">
        <v>45225</v>
      </c>
      <c r="S2550" s="8">
        <v>45232</v>
      </c>
      <c r="T2550" s="8"/>
      <c r="U2550" s="8"/>
      <c r="V2550" s="10">
        <f>COUNTA(O2550:U2550)</f>
        <v>5</v>
      </c>
      <c r="W2550" s="11">
        <f>_xlfn.IFNA(INDEX(reading[[#This Row],[Memo 01]:[Memo 07]],MATCH(0,reading[[#This Row],[Memo 01]:[Memo 07]],-1)),"")</f>
        <v>45232</v>
      </c>
      <c r="X2550" s="11">
        <f ca="1">IFERROR(reading[[#This Row],[Previous]]+OFFSET(reading[[#Headers],[Memo 01]],-1,MATCH(0,reading[[#This Row],[Memo 01]:[Memo 07]],-1)-1),"")</f>
        <v>45244</v>
      </c>
      <c r="Y2550" s="10" t="str">
        <f ca="1">IF(reading[[#This Row],[Next]]&lt;&gt;"",IF(reading[[#This Row],[Next]]&gt;TODAY(),"OK",""),"")</f>
        <v/>
      </c>
      <c r="Z2550" s="13">
        <v>3</v>
      </c>
      <c r="AA2550" s="13">
        <v>3</v>
      </c>
      <c r="AB2550" s="13">
        <v>3</v>
      </c>
      <c r="AC2550" s="13">
        <v>3</v>
      </c>
      <c r="AD2550" s="13">
        <v>3</v>
      </c>
      <c r="AE2550" s="13"/>
      <c r="AF2550" s="13"/>
      <c r="AG2550" s="16">
        <f>IFERROR(SUMIF(reading[[#This Row],[1st]:[7th]],"&gt;0")/COUNTIF(reading[[#This Row],[1st]:[7th]],"&gt;0"),"")</f>
        <v>3</v>
      </c>
    </row>
    <row r="2551" spans="1:33" hidden="1" x14ac:dyDescent="0.2">
      <c r="A2551" s="4">
        <f>IF(B2551=1,3,IF(D2551=1,2,IF(F2551=1,1,0)))</f>
        <v>0</v>
      </c>
      <c r="B2551" s="4">
        <f>IF(C2551=$L2551,1,IF(C2551="","",0))</f>
        <v>0</v>
      </c>
      <c r="C2551" s="42" t="s">
        <v>9283</v>
      </c>
      <c r="D2551" s="4" t="str">
        <f>IF(E2551=$L2551,1,IF(E2551="","",0))</f>
        <v/>
      </c>
      <c r="E2551" s="18"/>
      <c r="F2551" s="4" t="str">
        <f>IF(G2551=$L2551,1,IF(G2551="","",0))</f>
        <v/>
      </c>
      <c r="G2551" s="14"/>
      <c r="H2551" s="6">
        <v>515</v>
      </c>
      <c r="I2551" s="15" t="s">
        <v>3120</v>
      </c>
      <c r="J2551" s="6" t="s">
        <v>3660</v>
      </c>
      <c r="K2551" s="6"/>
      <c r="L2551" s="6" t="s">
        <v>643</v>
      </c>
      <c r="M2551" s="6" t="s">
        <v>6624</v>
      </c>
      <c r="N2551" s="7">
        <f ca="1">RAND()</f>
        <v>0.56163483343658782</v>
      </c>
      <c r="O2551" s="8">
        <v>45202</v>
      </c>
      <c r="P2551" s="8">
        <v>45203</v>
      </c>
      <c r="Q2551" s="8">
        <v>45205</v>
      </c>
      <c r="R2551" s="8">
        <v>45209</v>
      </c>
      <c r="S2551" s="8">
        <v>45216</v>
      </c>
      <c r="T2551" s="8">
        <v>45228</v>
      </c>
      <c r="U2551" s="8"/>
      <c r="V2551" s="10">
        <f>COUNTA(O2551:U2551)</f>
        <v>6</v>
      </c>
      <c r="W2551" s="11">
        <f>_xlfn.IFNA(INDEX(reading[[#This Row],[Memo 01]:[Memo 07]],MATCH(0,reading[[#This Row],[Memo 01]:[Memo 07]],-1)),"")</f>
        <v>45228</v>
      </c>
      <c r="X2551" s="11">
        <f ca="1">IFERROR(reading[[#This Row],[Previous]]+OFFSET(reading[[#Headers],[Memo 01]],-1,MATCH(0,reading[[#This Row],[Memo 01]:[Memo 07]],-1)-1),"")</f>
        <v>45248</v>
      </c>
      <c r="Y2551" s="10" t="str">
        <f ca="1">IF(reading[[#This Row],[Next]]&lt;&gt;"",IF(reading[[#This Row],[Next]]&gt;TODAY(),"OK",""),"")</f>
        <v/>
      </c>
      <c r="Z2551" s="13">
        <v>3</v>
      </c>
      <c r="AA2551" s="13">
        <v>3</v>
      </c>
      <c r="AB2551" s="13">
        <v>3</v>
      </c>
      <c r="AC2551" s="13">
        <v>3</v>
      </c>
      <c r="AD2551" s="13">
        <v>2</v>
      </c>
      <c r="AE2551" s="13">
        <v>3</v>
      </c>
      <c r="AF2551" s="13"/>
      <c r="AG2551" s="16">
        <f>IFERROR(SUMIF(reading[[#This Row],[1st]:[7th]],"&gt;0")/COUNTIF(reading[[#This Row],[1st]:[7th]],"&gt;0"),"")</f>
        <v>2.8333333333333335</v>
      </c>
    </row>
    <row r="2552" spans="1:33" x14ac:dyDescent="0.2">
      <c r="A2552" s="4">
        <f>IF(B2552=1,3,IF(D2552=1,2,IF(F2552=1,1,0)))</f>
        <v>0</v>
      </c>
      <c r="B2552" s="4" t="str">
        <f>IF(C2552=$L2552,1,IF(C2552="","",0))</f>
        <v/>
      </c>
      <c r="C2552" s="39"/>
      <c r="D2552" s="4" t="str">
        <f>IF(E2552=$L2552,1,IF(E2552="","",0))</f>
        <v/>
      </c>
      <c r="E2552" s="14"/>
      <c r="F2552" s="4" t="str">
        <f>IF(G2552=$L2552,1,IF(G2552="","",0))</f>
        <v/>
      </c>
      <c r="G2552" s="14"/>
      <c r="H2552" s="6">
        <v>1616</v>
      </c>
      <c r="I2552" s="15" t="s">
        <v>3120</v>
      </c>
      <c r="J2552" s="6" t="s">
        <v>4728</v>
      </c>
      <c r="K2552" s="6"/>
      <c r="L2552" s="6" t="s">
        <v>1698</v>
      </c>
      <c r="M2552" s="6" t="s">
        <v>7722</v>
      </c>
      <c r="N2552" s="7">
        <f ca="1">RAND()</f>
        <v>0.14462354797028187</v>
      </c>
      <c r="O2552" s="8">
        <v>45210</v>
      </c>
      <c r="P2552" s="8">
        <v>45211</v>
      </c>
      <c r="Q2552" s="8">
        <v>45213</v>
      </c>
      <c r="R2552" s="8">
        <v>45217</v>
      </c>
      <c r="S2552" s="8">
        <v>45224</v>
      </c>
      <c r="T2552" s="8">
        <v>45236</v>
      </c>
      <c r="U2552" s="8"/>
      <c r="V2552" s="10">
        <f>COUNTA(O2552:U2552)</f>
        <v>6</v>
      </c>
      <c r="W2552" s="11">
        <f>_xlfn.IFNA(INDEX(reading[[#This Row],[Memo 01]:[Memo 07]],MATCH(0,reading[[#This Row],[Memo 01]:[Memo 07]],-1)),"")</f>
        <v>45236</v>
      </c>
      <c r="X2552" s="11">
        <f ca="1">IFERROR(reading[[#This Row],[Previous]]+OFFSET(reading[[#Headers],[Memo 01]],-1,MATCH(0,reading[[#This Row],[Memo 01]:[Memo 07]],-1)-1),"")</f>
        <v>45256</v>
      </c>
      <c r="Y2552" s="10" t="str">
        <f ca="1">IF(reading[[#This Row],[Next]]&lt;&gt;"",IF(reading[[#This Row],[Next]]&gt;TODAY(),"OK",""),"")</f>
        <v/>
      </c>
      <c r="Z2552" s="13">
        <v>3</v>
      </c>
      <c r="AA2552" s="13">
        <v>3</v>
      </c>
      <c r="AB2552" s="13">
        <v>3</v>
      </c>
      <c r="AC2552" s="13">
        <v>3</v>
      </c>
      <c r="AD2552" s="13">
        <v>3</v>
      </c>
      <c r="AE2552" s="13">
        <v>3</v>
      </c>
      <c r="AF2552" s="13"/>
      <c r="AG2552" s="16">
        <f>IFERROR(SUMIF(reading[[#This Row],[1st]:[7th]],"&gt;0")/COUNTIF(reading[[#This Row],[1st]:[7th]],"&gt;0"),"")</f>
        <v>3</v>
      </c>
    </row>
    <row r="2553" spans="1:33" x14ac:dyDescent="0.2">
      <c r="A2553" s="4">
        <f>IF(B2553=1,3,IF(D2553=1,2,IF(F2553=1,1,0)))</f>
        <v>0</v>
      </c>
      <c r="B2553" s="4" t="str">
        <f>IF(C2553=$L2553,1,IF(C2553="","",0))</f>
        <v/>
      </c>
      <c r="C2553" s="42"/>
      <c r="D2553" s="4" t="str">
        <f>IF(E2553=$L2553,1,IF(E2553="","",0))</f>
        <v/>
      </c>
      <c r="E2553" s="18"/>
      <c r="F2553" s="4" t="str">
        <f>IF(G2553=$L2553,1,IF(G2553="","",0))</f>
        <v/>
      </c>
      <c r="G2553" s="14"/>
      <c r="H2553" s="6">
        <v>1863</v>
      </c>
      <c r="I2553" s="15" t="s">
        <v>3120</v>
      </c>
      <c r="J2553" s="6" t="s">
        <v>4965</v>
      </c>
      <c r="K2553" s="6"/>
      <c r="L2553" s="6" t="s">
        <v>1941</v>
      </c>
      <c r="M2553" s="6" t="s">
        <v>7969</v>
      </c>
      <c r="N2553" s="7">
        <f ca="1">RAND()</f>
        <v>0.24010587042816089</v>
      </c>
      <c r="O2553" s="8">
        <v>45212</v>
      </c>
      <c r="P2553" s="8">
        <v>45213</v>
      </c>
      <c r="Q2553" s="8">
        <v>45215</v>
      </c>
      <c r="R2553" s="8">
        <v>45219</v>
      </c>
      <c r="S2553" s="8">
        <v>45226</v>
      </c>
      <c r="T2553" s="8">
        <v>45783</v>
      </c>
      <c r="U2553" s="8"/>
      <c r="V2553" s="10">
        <f>COUNTA(O2553:U2553)</f>
        <v>6</v>
      </c>
      <c r="W2553" s="11">
        <f>_xlfn.IFNA(INDEX(reading[[#This Row],[Memo 01]:[Memo 07]],MATCH(0,reading[[#This Row],[Memo 01]:[Memo 07]],-1)),"")</f>
        <v>45783</v>
      </c>
      <c r="X2553" s="11">
        <f ca="1">IFERROR(reading[[#This Row],[Previous]]+OFFSET(reading[[#Headers],[Memo 01]],-1,MATCH(0,reading[[#This Row],[Memo 01]:[Memo 07]],-1)-1),"")</f>
        <v>45803</v>
      </c>
      <c r="Y2553" s="10" t="str">
        <f ca="1">IF(reading[[#This Row],[Next]]&lt;&gt;"",IF(reading[[#This Row],[Next]]&gt;TODAY(),"OK",""),"")</f>
        <v/>
      </c>
      <c r="Z2553" s="13">
        <v>3</v>
      </c>
      <c r="AA2553" s="13">
        <v>3</v>
      </c>
      <c r="AB2553" s="13">
        <v>2</v>
      </c>
      <c r="AC2553" s="13">
        <v>3</v>
      </c>
      <c r="AD2553" s="13">
        <v>3</v>
      </c>
      <c r="AE2553" s="13">
        <v>3</v>
      </c>
      <c r="AF2553" s="13"/>
      <c r="AG2553" s="16">
        <f>IFERROR(SUMIF(reading[[#This Row],[1st]:[7th]],"&gt;0")/COUNTIF(reading[[#This Row],[1st]:[7th]],"&gt;0"),"")</f>
        <v>2.8333333333333335</v>
      </c>
    </row>
    <row r="2554" spans="1:33" x14ac:dyDescent="0.2">
      <c r="A2554" s="4">
        <f>IF(B2554=1,3,IF(D2554=1,2,IF(F2554=1,1,0)))</f>
        <v>0</v>
      </c>
      <c r="B2554" s="4" t="str">
        <f>IF(C2554=$L2554,1,IF(C2554="","",0))</f>
        <v/>
      </c>
      <c r="C2554" s="42"/>
      <c r="D2554" s="4" t="str">
        <f>IF(E2554=$L2554,1,IF(E2554="","",0))</f>
        <v/>
      </c>
      <c r="E2554" s="14"/>
      <c r="F2554" s="4" t="str">
        <f>IF(G2554=$L2554,1,IF(G2554="","",0))</f>
        <v/>
      </c>
      <c r="G2554" s="14"/>
      <c r="H2554" s="6">
        <v>2682</v>
      </c>
      <c r="I2554" s="15" t="s">
        <v>3120</v>
      </c>
      <c r="J2554" s="6" t="s">
        <v>5733</v>
      </c>
      <c r="K2554" s="6"/>
      <c r="L2554" s="6" t="s">
        <v>2721</v>
      </c>
      <c r="M2554" s="6" t="s">
        <v>8787</v>
      </c>
      <c r="N2554" s="7">
        <f ca="1">RAND()</f>
        <v>0.78363845791580122</v>
      </c>
      <c r="O2554" s="8">
        <v>45220</v>
      </c>
      <c r="P2554" s="8">
        <v>45221</v>
      </c>
      <c r="Q2554" s="8">
        <v>45223</v>
      </c>
      <c r="R2554" s="8">
        <v>45227</v>
      </c>
      <c r="S2554" s="8">
        <v>45234</v>
      </c>
      <c r="T2554" s="8">
        <v>45792</v>
      </c>
      <c r="U2554" s="8"/>
      <c r="V2554" s="10">
        <f>COUNTA(O2554:U2554)</f>
        <v>6</v>
      </c>
      <c r="W2554" s="11">
        <f>_xlfn.IFNA(INDEX(reading[[#This Row],[Memo 01]:[Memo 07]],MATCH(0,reading[[#This Row],[Memo 01]:[Memo 07]],-1)),"")</f>
        <v>45792</v>
      </c>
      <c r="X2554" s="11">
        <f ca="1">IFERROR(reading[[#This Row],[Previous]]+OFFSET(reading[[#Headers],[Memo 01]],-1,MATCH(0,reading[[#This Row],[Memo 01]:[Memo 07]],-1)-1),"")</f>
        <v>45812</v>
      </c>
      <c r="Y2554" s="10" t="str">
        <f ca="1">IF(reading[[#This Row],[Next]]&lt;&gt;"",IF(reading[[#This Row],[Next]]&gt;TODAY(),"OK",""),"")</f>
        <v/>
      </c>
      <c r="Z2554" s="13">
        <v>3</v>
      </c>
      <c r="AA2554" s="13">
        <v>3</v>
      </c>
      <c r="AB2554" s="13">
        <v>3</v>
      </c>
      <c r="AC2554" s="13">
        <v>3</v>
      </c>
      <c r="AD2554" s="13">
        <v>3</v>
      </c>
      <c r="AE2554" s="13">
        <v>3</v>
      </c>
      <c r="AF2554" s="13"/>
      <c r="AG2554" s="16">
        <f>IFERROR(SUMIF(reading[[#This Row],[1st]:[7th]],"&gt;0")/COUNTIF(reading[[#This Row],[1st]:[7th]],"&gt;0"),"")</f>
        <v>3</v>
      </c>
    </row>
    <row r="2555" spans="1:33" hidden="1" x14ac:dyDescent="0.2">
      <c r="A2555" s="4">
        <f>IF(B2555=1,3,IF(D2555=1,2,IF(F2555=1,1,0)))</f>
        <v>0</v>
      </c>
      <c r="B2555" s="4" t="str">
        <f>IF(C2555=$L2555,1,IF(C2555="","",0))</f>
        <v/>
      </c>
      <c r="C2555" s="42"/>
      <c r="D2555" s="4" t="str">
        <f>IF(E2555=$L2555,1,IF(E2555="","",0))</f>
        <v/>
      </c>
      <c r="E2555" s="23"/>
      <c r="F2555" s="4" t="str">
        <f>IF(G2555=$L2555,1,IF(G2555="","",0))</f>
        <v/>
      </c>
      <c r="G2555" s="23"/>
      <c r="H2555" s="6">
        <v>2831</v>
      </c>
      <c r="I2555" s="15" t="s">
        <v>3120</v>
      </c>
      <c r="J2555" s="6" t="s">
        <v>5872</v>
      </c>
      <c r="K2555" s="6"/>
      <c r="L2555" s="6" t="s">
        <v>93</v>
      </c>
      <c r="M2555" s="6" t="s">
        <v>8935</v>
      </c>
      <c r="N2555" s="7">
        <f ca="1">RAND()</f>
        <v>0.55287607255695081</v>
      </c>
      <c r="O2555" s="8">
        <v>45222</v>
      </c>
      <c r="P2555" s="8">
        <v>45223</v>
      </c>
      <c r="Q2555" s="8">
        <v>45225</v>
      </c>
      <c r="R2555" s="8">
        <v>45229</v>
      </c>
      <c r="S2555" s="8">
        <v>45236</v>
      </c>
      <c r="T2555" s="8">
        <v>45825</v>
      </c>
      <c r="U2555" s="8"/>
      <c r="V2555" s="10">
        <f>COUNTA(O2555:U2555)</f>
        <v>6</v>
      </c>
      <c r="W2555" s="11">
        <f>_xlfn.IFNA(INDEX(reading[[#This Row],[Memo 01]:[Memo 07]],MATCH(0,reading[[#This Row],[Memo 01]:[Memo 07]],-1)),"")</f>
        <v>45825</v>
      </c>
      <c r="X2555" s="11">
        <f ca="1">IFERROR(reading[[#This Row],[Previous]]+OFFSET(reading[[#Headers],[Memo 01]],-1,MATCH(0,reading[[#This Row],[Memo 01]:[Memo 07]],-1)-1),"")</f>
        <v>45845</v>
      </c>
      <c r="Y2555" s="10" t="str">
        <f ca="1">IF(reading[[#This Row],[Next]]&lt;&gt;"",IF(reading[[#This Row],[Next]]&gt;TODAY(),"OK",""),"")</f>
        <v>OK</v>
      </c>
      <c r="Z2555" s="13">
        <v>3</v>
      </c>
      <c r="AA2555" s="13">
        <v>3</v>
      </c>
      <c r="AB2555" s="13">
        <v>3</v>
      </c>
      <c r="AC2555" s="13">
        <v>3</v>
      </c>
      <c r="AD2555" s="13">
        <v>2</v>
      </c>
      <c r="AE2555" s="13">
        <v>1</v>
      </c>
      <c r="AF2555" s="13"/>
      <c r="AG2555" s="16">
        <f>IFERROR(SUMIF(reading[[#This Row],[1st]:[7th]],"&gt;0")/COUNTIF(reading[[#This Row],[1st]:[7th]],"&gt;0"),"")</f>
        <v>2.5</v>
      </c>
    </row>
    <row r="2556" spans="1:33" x14ac:dyDescent="0.2">
      <c r="A2556" s="4">
        <f>IF(B2556=1,3,IF(D2556=1,2,IF(F2556=1,1,0)))</f>
        <v>0</v>
      </c>
      <c r="B2556" s="4" t="str">
        <f>IF(C2556=$L2556,1,IF(C2556="","",0))</f>
        <v/>
      </c>
      <c r="C2556" s="39"/>
      <c r="D2556" s="4" t="str">
        <f>IF(E2556=$L2556,1,IF(E2556="","",0))</f>
        <v/>
      </c>
      <c r="E2556" s="18"/>
      <c r="F2556" s="4" t="str">
        <f>IF(G2556=$L2556,1,IF(G2556="","",0))</f>
        <v/>
      </c>
      <c r="G2556" s="14"/>
      <c r="H2556" s="6">
        <v>1533</v>
      </c>
      <c r="I2556" s="15" t="s">
        <v>3120</v>
      </c>
      <c r="J2556" s="6" t="s">
        <v>4646</v>
      </c>
      <c r="K2556" s="6"/>
      <c r="L2556" s="6" t="s">
        <v>1618</v>
      </c>
      <c r="M2556" s="6" t="s">
        <v>7640</v>
      </c>
      <c r="N2556" s="7">
        <f ca="1">RAND()</f>
        <v>0.51653496929476861</v>
      </c>
      <c r="O2556" s="8">
        <v>45209</v>
      </c>
      <c r="P2556" s="8">
        <v>45210</v>
      </c>
      <c r="Q2556" s="8">
        <v>45212</v>
      </c>
      <c r="R2556" s="8">
        <v>45216</v>
      </c>
      <c r="S2556" s="8">
        <v>45223</v>
      </c>
      <c r="T2556" s="8">
        <v>45235</v>
      </c>
      <c r="U2556" s="8"/>
      <c r="V2556" s="10">
        <f>COUNTA(O2556:U2556)</f>
        <v>6</v>
      </c>
      <c r="W2556" s="11">
        <f>_xlfn.IFNA(INDEX(reading[[#This Row],[Memo 01]:[Memo 07]],MATCH(0,reading[[#This Row],[Memo 01]:[Memo 07]],-1)),"")</f>
        <v>45235</v>
      </c>
      <c r="X2556" s="11">
        <f ca="1">IFERROR(reading[[#This Row],[Previous]]+OFFSET(reading[[#Headers],[Memo 01]],-1,MATCH(0,reading[[#This Row],[Memo 01]:[Memo 07]],-1)-1),"")</f>
        <v>45255</v>
      </c>
      <c r="Y2556" s="10" t="str">
        <f ca="1">IF(reading[[#This Row],[Next]]&lt;&gt;"",IF(reading[[#This Row],[Next]]&gt;TODAY(),"OK",""),"")</f>
        <v/>
      </c>
      <c r="Z2556" s="13">
        <v>3</v>
      </c>
      <c r="AA2556" s="13">
        <v>3</v>
      </c>
      <c r="AB2556" s="13">
        <v>3</v>
      </c>
      <c r="AC2556" s="13">
        <v>2</v>
      </c>
      <c r="AD2556" s="13">
        <v>2</v>
      </c>
      <c r="AE2556" s="13">
        <v>2</v>
      </c>
      <c r="AF2556" s="13"/>
      <c r="AG2556" s="16">
        <f>IFERROR(SUMIF(reading[[#This Row],[1st]:[7th]],"&gt;0")/COUNTIF(reading[[#This Row],[1st]:[7th]],"&gt;0"),"")</f>
        <v>2.5</v>
      </c>
    </row>
    <row r="2557" spans="1:33" x14ac:dyDescent="0.2">
      <c r="A2557" s="4">
        <f>IF(B2557=1,3,IF(D2557=1,2,IF(F2557=1,1,0)))</f>
        <v>0</v>
      </c>
      <c r="B2557" s="4" t="str">
        <f>IF(C2557=$L2557,1,IF(C2557="","",0))</f>
        <v/>
      </c>
      <c r="C2557" s="42"/>
      <c r="D2557" s="4" t="str">
        <f>IF(E2557=$L2557,1,IF(E2557="","",0))</f>
        <v/>
      </c>
      <c r="E2557" s="14"/>
      <c r="F2557" s="4" t="str">
        <f>IF(G2557=$L2557,1,IF(G2557="","",0))</f>
        <v/>
      </c>
      <c r="G2557" s="14"/>
      <c r="H2557" s="6">
        <v>2541</v>
      </c>
      <c r="I2557" s="15" t="s">
        <v>3120</v>
      </c>
      <c r="J2557" s="6" t="s">
        <v>5602</v>
      </c>
      <c r="K2557" s="6"/>
      <c r="L2557" s="6" t="s">
        <v>2586</v>
      </c>
      <c r="M2557" s="6" t="s">
        <v>8646</v>
      </c>
      <c r="N2557" s="7">
        <f ca="1">RAND()</f>
        <v>0.59521446964087488</v>
      </c>
      <c r="O2557" s="8">
        <v>45220</v>
      </c>
      <c r="P2557" s="8">
        <v>45221</v>
      </c>
      <c r="Q2557" s="8">
        <v>45223</v>
      </c>
      <c r="R2557" s="8">
        <v>45227</v>
      </c>
      <c r="S2557" s="8">
        <v>45234</v>
      </c>
      <c r="T2557" s="8">
        <v>45783</v>
      </c>
      <c r="U2557" s="8"/>
      <c r="V2557" s="10">
        <f>COUNTA(O2557:U2557)</f>
        <v>6</v>
      </c>
      <c r="W2557" s="11">
        <f>_xlfn.IFNA(INDEX(reading[[#This Row],[Memo 01]:[Memo 07]],MATCH(0,reading[[#This Row],[Memo 01]:[Memo 07]],-1)),"")</f>
        <v>45783</v>
      </c>
      <c r="X2557" s="11">
        <f ca="1">IFERROR(reading[[#This Row],[Previous]]+OFFSET(reading[[#Headers],[Memo 01]],-1,MATCH(0,reading[[#This Row],[Memo 01]:[Memo 07]],-1)-1),"")</f>
        <v>45803</v>
      </c>
      <c r="Y2557" s="10" t="str">
        <f ca="1">IF(reading[[#This Row],[Next]]&lt;&gt;"",IF(reading[[#This Row],[Next]]&gt;TODAY(),"OK",""),"")</f>
        <v/>
      </c>
      <c r="Z2557" s="13">
        <v>3</v>
      </c>
      <c r="AA2557" s="13">
        <v>3</v>
      </c>
      <c r="AB2557" s="13">
        <v>3</v>
      </c>
      <c r="AC2557" s="13">
        <v>3</v>
      </c>
      <c r="AD2557" s="13">
        <v>3</v>
      </c>
      <c r="AE2557" s="13">
        <v>3</v>
      </c>
      <c r="AF2557" s="13"/>
      <c r="AG2557" s="16">
        <f>IFERROR(SUMIF(reading[[#This Row],[1st]:[7th]],"&gt;0")/COUNTIF(reading[[#This Row],[1st]:[7th]],"&gt;0"),"")</f>
        <v>3</v>
      </c>
    </row>
    <row r="2558" spans="1:33" hidden="1" x14ac:dyDescent="0.2">
      <c r="A2558" s="4">
        <f>IF(B2558=1,3,IF(D2558=1,2,IF(F2558=1,1,0)))</f>
        <v>0</v>
      </c>
      <c r="B2558" s="4">
        <f>IF(C2558=$L2558,1,IF(C2558="","",0))</f>
        <v>0</v>
      </c>
      <c r="C2558" s="42" t="s">
        <v>9200</v>
      </c>
      <c r="D2558" s="4">
        <f>IF(E2558=$L2558,1,IF(E2558="","",0))</f>
        <v>0</v>
      </c>
      <c r="E2558" s="23" t="s">
        <v>9200</v>
      </c>
      <c r="F2558" s="4" t="str">
        <f>IF(G2558=$L2558,1,IF(G2558="","",0))</f>
        <v/>
      </c>
      <c r="G2558" s="14"/>
      <c r="H2558" s="6">
        <v>2119</v>
      </c>
      <c r="I2558" s="15" t="s">
        <v>3120</v>
      </c>
      <c r="J2558" s="6" t="s">
        <v>5207</v>
      </c>
      <c r="K2558" s="6"/>
      <c r="L2558" s="6" t="s">
        <v>2187</v>
      </c>
      <c r="M2558" s="6" t="s">
        <v>8225</v>
      </c>
      <c r="N2558" s="7">
        <f ca="1">RAND()</f>
        <v>0.35103771367475323</v>
      </c>
      <c r="O2558" s="8">
        <v>45214</v>
      </c>
      <c r="P2558" s="8">
        <v>45215</v>
      </c>
      <c r="Q2558" s="8">
        <v>45217</v>
      </c>
      <c r="R2558" s="8">
        <v>45221</v>
      </c>
      <c r="S2558" s="8">
        <v>45228</v>
      </c>
      <c r="T2558" s="8"/>
      <c r="U2558" s="8"/>
      <c r="V2558" s="10">
        <f>COUNTA(O2558:U2558)</f>
        <v>5</v>
      </c>
      <c r="W2558" s="11">
        <f>_xlfn.IFNA(INDEX(reading[[#This Row],[Memo 01]:[Memo 07]],MATCH(0,reading[[#This Row],[Memo 01]:[Memo 07]],-1)),"")</f>
        <v>45228</v>
      </c>
      <c r="X2558" s="11">
        <f ca="1">IFERROR(reading[[#This Row],[Previous]]+OFFSET(reading[[#Headers],[Memo 01]],-1,MATCH(0,reading[[#This Row],[Memo 01]:[Memo 07]],-1)-1),"")</f>
        <v>45240</v>
      </c>
      <c r="Y2558" s="10" t="str">
        <f ca="1">IF(reading[[#This Row],[Next]]&lt;&gt;"",IF(reading[[#This Row],[Next]]&gt;TODAY(),"OK",""),"")</f>
        <v/>
      </c>
      <c r="Z2558" s="13">
        <v>3</v>
      </c>
      <c r="AA2558" s="13">
        <v>3</v>
      </c>
      <c r="AB2558" s="13">
        <v>3</v>
      </c>
      <c r="AC2558" s="13">
        <v>3</v>
      </c>
      <c r="AD2558" s="13">
        <v>3</v>
      </c>
      <c r="AE2558" s="13"/>
      <c r="AF2558" s="13"/>
      <c r="AG2558" s="16">
        <f>IFERROR(SUMIF(reading[[#This Row],[1st]:[7th]],"&gt;0")/COUNTIF(reading[[#This Row],[1st]:[7th]],"&gt;0"),"")</f>
        <v>3</v>
      </c>
    </row>
    <row r="2559" spans="1:33" x14ac:dyDescent="0.2">
      <c r="A2559" s="4">
        <f>IF(B2559=1,3,IF(D2559=1,2,IF(F2559=1,1,0)))</f>
        <v>0</v>
      </c>
      <c r="B2559" s="4" t="str">
        <f>IF(C2559=$L2559,1,IF(C2559="","",0))</f>
        <v/>
      </c>
      <c r="C2559" s="39"/>
      <c r="D2559" s="4" t="str">
        <f>IF(E2559=$L2559,1,IF(E2559="","",0))</f>
        <v/>
      </c>
      <c r="E2559" s="14"/>
      <c r="F2559" s="4" t="str">
        <f>IF(G2559=$L2559,1,IF(G2559="","",0))</f>
        <v/>
      </c>
      <c r="G2559" s="14"/>
      <c r="H2559" s="6">
        <v>947</v>
      </c>
      <c r="I2559" s="15" t="s">
        <v>3120</v>
      </c>
      <c r="J2559" s="6" t="s">
        <v>3334</v>
      </c>
      <c r="K2559" s="6"/>
      <c r="L2559" s="6" t="s">
        <v>1057</v>
      </c>
      <c r="M2559" s="6" t="s">
        <v>7055</v>
      </c>
      <c r="N2559" s="7">
        <f ca="1">RAND()</f>
        <v>0.60115182236780351</v>
      </c>
      <c r="O2559" s="8">
        <v>45204</v>
      </c>
      <c r="P2559" s="8">
        <v>45205</v>
      </c>
      <c r="Q2559" s="8">
        <v>45207</v>
      </c>
      <c r="R2559" s="8">
        <v>45211</v>
      </c>
      <c r="S2559" s="8">
        <v>45218</v>
      </c>
      <c r="T2559" s="8">
        <v>45230</v>
      </c>
      <c r="U2559" s="8"/>
      <c r="V2559" s="10">
        <f>COUNTA(O2559:U2559)</f>
        <v>6</v>
      </c>
      <c r="W2559" s="11">
        <f>_xlfn.IFNA(INDEX(reading[[#This Row],[Memo 01]:[Memo 07]],MATCH(0,reading[[#This Row],[Memo 01]:[Memo 07]],-1)),"")</f>
        <v>45230</v>
      </c>
      <c r="X2559" s="11">
        <f ca="1">IFERROR(reading[[#This Row],[Previous]]+OFFSET(reading[[#Headers],[Memo 01]],-1,MATCH(0,reading[[#This Row],[Memo 01]:[Memo 07]],-1)-1),"")</f>
        <v>45250</v>
      </c>
      <c r="Y2559" s="10" t="str">
        <f ca="1">IF(reading[[#This Row],[Next]]&lt;&gt;"",IF(reading[[#This Row],[Next]]&gt;TODAY(),"OK",""),"")</f>
        <v/>
      </c>
      <c r="Z2559" s="13">
        <v>3</v>
      </c>
      <c r="AA2559" s="13">
        <v>3</v>
      </c>
      <c r="AB2559" s="13">
        <v>3</v>
      </c>
      <c r="AC2559" s="13">
        <v>3</v>
      </c>
      <c r="AD2559" s="13">
        <v>3</v>
      </c>
      <c r="AE2559" s="13">
        <v>3</v>
      </c>
      <c r="AF2559" s="13"/>
      <c r="AG2559" s="16">
        <f>IFERROR(SUMIF(reading[[#This Row],[1st]:[7th]],"&gt;0")/COUNTIF(reading[[#This Row],[1st]:[7th]],"&gt;0"),"")</f>
        <v>3</v>
      </c>
    </row>
    <row r="2560" spans="1:33" hidden="1" x14ac:dyDescent="0.2">
      <c r="A2560" s="4">
        <f>IF(B2560=1,3,IF(D2560=1,2,IF(F2560=1,1,0)))</f>
        <v>0</v>
      </c>
      <c r="B2560" s="4" t="str">
        <f>IF(C2560=$L2560,1,IF(C2560="","",0))</f>
        <v/>
      </c>
      <c r="C2560" s="42"/>
      <c r="D2560" s="4" t="str">
        <f>IF(E2560=$L2560,1,IF(E2560="","",0))</f>
        <v/>
      </c>
      <c r="E2560" s="43"/>
      <c r="F2560" s="4" t="str">
        <f>IF(G2560=$L2560,1,IF(G2560="","",0))</f>
        <v/>
      </c>
      <c r="G2560" s="14"/>
      <c r="H2560" s="6">
        <v>2615</v>
      </c>
      <c r="I2560" s="15" t="s">
        <v>3120</v>
      </c>
      <c r="J2560" s="6" t="s">
        <v>5670</v>
      </c>
      <c r="K2560" s="6"/>
      <c r="L2560" s="6" t="s">
        <v>2658</v>
      </c>
      <c r="M2560" s="6" t="s">
        <v>8720</v>
      </c>
      <c r="N2560" s="7">
        <f ca="1">RAND()</f>
        <v>0.53466603016165171</v>
      </c>
      <c r="O2560" s="8">
        <v>45220</v>
      </c>
      <c r="P2560" s="8">
        <v>45221</v>
      </c>
      <c r="Q2560" s="8">
        <v>45223</v>
      </c>
      <c r="R2560" s="8">
        <v>45227</v>
      </c>
      <c r="S2560" s="8">
        <v>45235</v>
      </c>
      <c r="T2560" s="8">
        <v>45253</v>
      </c>
      <c r="U2560" s="8">
        <v>45825</v>
      </c>
      <c r="V2560" s="10">
        <f>COUNTA(O2560:U2560)</f>
        <v>7</v>
      </c>
      <c r="W2560" s="11">
        <f>_xlfn.IFNA(INDEX(reading[[#This Row],[Memo 01]:[Memo 07]],MATCH(0,reading[[#This Row],[Memo 01]:[Memo 07]],-1)),"")</f>
        <v>45825</v>
      </c>
      <c r="X2560" s="11">
        <f ca="1">IFERROR(reading[[#This Row],[Previous]]+OFFSET(reading[[#Headers],[Memo 01]],-1,MATCH(0,reading[[#This Row],[Memo 01]:[Memo 07]],-1)-1),"")</f>
        <v>55825</v>
      </c>
      <c r="Y2560" s="10" t="str">
        <f ca="1">IF(reading[[#This Row],[Next]]&lt;&gt;"",IF(reading[[#This Row],[Next]]&gt;TODAY(),"OK",""),"")</f>
        <v>OK</v>
      </c>
      <c r="Z2560" s="13">
        <v>3</v>
      </c>
      <c r="AA2560" s="13">
        <v>3</v>
      </c>
      <c r="AB2560" s="13">
        <v>3</v>
      </c>
      <c r="AC2560" s="13">
        <v>2</v>
      </c>
      <c r="AD2560" s="13">
        <v>2</v>
      </c>
      <c r="AE2560" s="13">
        <v>1</v>
      </c>
      <c r="AF2560" s="13">
        <v>2</v>
      </c>
      <c r="AG2560" s="16">
        <f>IFERROR(SUMIF(reading[[#This Row],[1st]:[7th]],"&gt;0")/COUNTIF(reading[[#This Row],[1st]:[7th]],"&gt;0"),"")</f>
        <v>2.2857142857142856</v>
      </c>
    </row>
    <row r="2561" spans="1:33" x14ac:dyDescent="0.2">
      <c r="A2561" s="4">
        <f>IF(B2561=1,3,IF(D2561=1,2,IF(F2561=1,1,0)))</f>
        <v>0</v>
      </c>
      <c r="B2561" s="4" t="str">
        <f>IF(C2561=$L2561,1,IF(C2561="","",0))</f>
        <v/>
      </c>
      <c r="C2561" s="18"/>
      <c r="D2561" s="4" t="str">
        <f>IF(E2561=$L2561,1,IF(E2561="","",0))</f>
        <v/>
      </c>
      <c r="E2561" s="14"/>
      <c r="F2561" s="4" t="str">
        <f>IF(G2561=$L2561,1,IF(G2561="","",0))</f>
        <v/>
      </c>
      <c r="G2561" s="14"/>
      <c r="H2561" s="6">
        <v>259</v>
      </c>
      <c r="I2561" s="15" t="s">
        <v>3120</v>
      </c>
      <c r="J2561" s="6" t="s">
        <v>3408</v>
      </c>
      <c r="K2561" s="6"/>
      <c r="L2561" s="6" t="s">
        <v>394</v>
      </c>
      <c r="M2561" s="6" t="s">
        <v>6368</v>
      </c>
      <c r="N2561" s="7">
        <f ca="1">RAND()</f>
        <v>0.1218777380687901</v>
      </c>
      <c r="O2561" s="8">
        <v>45199</v>
      </c>
      <c r="P2561" s="8">
        <v>45200</v>
      </c>
      <c r="Q2561" s="8">
        <v>45202</v>
      </c>
      <c r="R2561" s="8">
        <v>45206</v>
      </c>
      <c r="S2561" s="8">
        <v>45213</v>
      </c>
      <c r="T2561" s="8">
        <v>45225</v>
      </c>
      <c r="U2561" s="8"/>
      <c r="V2561" s="10">
        <f>COUNTA(O2561:U2561)</f>
        <v>6</v>
      </c>
      <c r="W2561" s="11">
        <f>_xlfn.IFNA(INDEX(reading[[#This Row],[Memo 01]:[Memo 07]],MATCH(0,reading[[#This Row],[Memo 01]:[Memo 07]],-1)),"")</f>
        <v>45225</v>
      </c>
      <c r="X2561" s="11">
        <f ca="1">IFERROR(reading[[#This Row],[Previous]]+OFFSET(reading[[#Headers],[Memo 01]],-1,MATCH(0,reading[[#This Row],[Memo 01]:[Memo 07]],-1)-1),"")</f>
        <v>45245</v>
      </c>
      <c r="Y2561" s="10" t="str">
        <f ca="1">IF(reading[[#This Row],[Next]]&lt;&gt;"",IF(reading[[#This Row],[Next]]&gt;TODAY(),"OK",""),"")</f>
        <v/>
      </c>
      <c r="Z2561" s="13">
        <v>3</v>
      </c>
      <c r="AA2561" s="13">
        <v>3</v>
      </c>
      <c r="AB2561" s="13">
        <v>3</v>
      </c>
      <c r="AC2561" s="13">
        <v>3</v>
      </c>
      <c r="AD2561" s="13">
        <v>3</v>
      </c>
      <c r="AE2561" s="13">
        <v>3</v>
      </c>
      <c r="AF2561" s="13"/>
      <c r="AG2561" s="16">
        <f>IFERROR(SUMIF(reading[[#This Row],[1st]:[7th]],"&gt;0")/COUNTIF(reading[[#This Row],[1st]:[7th]],"&gt;0"),"")</f>
        <v>3</v>
      </c>
    </row>
    <row r="2562" spans="1:33" x14ac:dyDescent="0.2">
      <c r="A2562" s="4">
        <f>IF(B2562=1,3,IF(D2562=1,2,IF(F2562=1,1,0)))</f>
        <v>0</v>
      </c>
      <c r="B2562" s="4" t="str">
        <f>IF(C2562=$L2562,1,IF(C2562="","",0))</f>
        <v/>
      </c>
      <c r="C2562" s="39"/>
      <c r="D2562" s="4" t="str">
        <f>IF(E2562=$L2562,1,IF(E2562="","",0))</f>
        <v/>
      </c>
      <c r="E2562" s="14"/>
      <c r="F2562" s="4" t="str">
        <f>IF(G2562=$L2562,1,IF(G2562="","",0))</f>
        <v/>
      </c>
      <c r="G2562" s="14"/>
      <c r="H2562" s="6">
        <v>2550</v>
      </c>
      <c r="I2562" s="15" t="s">
        <v>3120</v>
      </c>
      <c r="J2562" s="6" t="s">
        <v>5611</v>
      </c>
      <c r="K2562" s="6"/>
      <c r="L2562" s="6" t="s">
        <v>2595</v>
      </c>
      <c r="M2562" s="6" t="s">
        <v>8655</v>
      </c>
      <c r="N2562" s="7">
        <f ca="1">RAND()</f>
        <v>0.87915196749368485</v>
      </c>
      <c r="O2562" s="8">
        <v>45219</v>
      </c>
      <c r="P2562" s="8">
        <v>45220</v>
      </c>
      <c r="Q2562" s="8">
        <v>45222</v>
      </c>
      <c r="R2562" s="8">
        <v>45226</v>
      </c>
      <c r="S2562" s="8">
        <v>45233</v>
      </c>
      <c r="T2562" s="8"/>
      <c r="U2562" s="8"/>
      <c r="V2562" s="10">
        <f>COUNTA(O2562:U2562)</f>
        <v>5</v>
      </c>
      <c r="W2562" s="11">
        <f>_xlfn.IFNA(INDEX(reading[[#This Row],[Memo 01]:[Memo 07]],MATCH(0,reading[[#This Row],[Memo 01]:[Memo 07]],-1)),"")</f>
        <v>45233</v>
      </c>
      <c r="X2562" s="11">
        <f ca="1">IFERROR(reading[[#This Row],[Previous]]+OFFSET(reading[[#Headers],[Memo 01]],-1,MATCH(0,reading[[#This Row],[Memo 01]:[Memo 07]],-1)-1),"")</f>
        <v>45245</v>
      </c>
      <c r="Y2562" s="10" t="str">
        <f ca="1">IF(reading[[#This Row],[Next]]&lt;&gt;"",IF(reading[[#This Row],[Next]]&gt;TODAY(),"OK",""),"")</f>
        <v/>
      </c>
      <c r="Z2562" s="13">
        <v>3</v>
      </c>
      <c r="AA2562" s="13">
        <v>3</v>
      </c>
      <c r="AB2562" s="13">
        <v>3</v>
      </c>
      <c r="AC2562" s="13">
        <v>3</v>
      </c>
      <c r="AD2562" s="13">
        <v>3</v>
      </c>
      <c r="AE2562" s="13"/>
      <c r="AF2562" s="13"/>
      <c r="AG2562" s="16">
        <f>IFERROR(SUMIF(reading[[#This Row],[1st]:[7th]],"&gt;0")/COUNTIF(reading[[#This Row],[1st]:[7th]],"&gt;0"),"")</f>
        <v>3</v>
      </c>
    </row>
    <row r="2563" spans="1:33" hidden="1" x14ac:dyDescent="0.2">
      <c r="A2563" s="4">
        <f>IF(B2563=1,3,IF(D2563=1,2,IF(F2563=1,1,0)))</f>
        <v>0</v>
      </c>
      <c r="B2563" s="4" t="str">
        <f>IF(C2563=$L2563,1,IF(C2563="","",0))</f>
        <v/>
      </c>
      <c r="C2563" s="42"/>
      <c r="D2563" s="4" t="str">
        <f>IF(E2563=$L2563,1,IF(E2563="","",0))</f>
        <v/>
      </c>
      <c r="E2563" s="23"/>
      <c r="F2563" s="4" t="str">
        <f>IF(G2563=$L2563,1,IF(G2563="","",0))</f>
        <v/>
      </c>
      <c r="G2563" s="14"/>
      <c r="H2563" s="6">
        <v>1038</v>
      </c>
      <c r="I2563" s="15" t="s">
        <v>3120</v>
      </c>
      <c r="J2563" s="6" t="s">
        <v>4165</v>
      </c>
      <c r="K2563" s="6"/>
      <c r="L2563" s="6" t="s">
        <v>1147</v>
      </c>
      <c r="M2563" s="6" t="s">
        <v>7146</v>
      </c>
      <c r="N2563" s="7">
        <f ca="1">RAND()</f>
        <v>0.99786074799892421</v>
      </c>
      <c r="O2563" s="8">
        <v>45205</v>
      </c>
      <c r="P2563" s="8">
        <v>45206</v>
      </c>
      <c r="Q2563" s="8">
        <v>45208</v>
      </c>
      <c r="R2563" s="8">
        <v>45212</v>
      </c>
      <c r="S2563" s="8">
        <v>45219</v>
      </c>
      <c r="T2563" s="8">
        <v>45231</v>
      </c>
      <c r="U2563" s="8">
        <v>45816</v>
      </c>
      <c r="V2563" s="10">
        <f>COUNTA(O2563:U2563)</f>
        <v>7</v>
      </c>
      <c r="W2563" s="11">
        <f>_xlfn.IFNA(INDEX(reading[[#This Row],[Memo 01]:[Memo 07]],MATCH(0,reading[[#This Row],[Memo 01]:[Memo 07]],-1)),"")</f>
        <v>45816</v>
      </c>
      <c r="X2563" s="11">
        <f ca="1">IFERROR(reading[[#This Row],[Previous]]+OFFSET(reading[[#Headers],[Memo 01]],-1,MATCH(0,reading[[#This Row],[Memo 01]:[Memo 07]],-1)-1),"")</f>
        <v>55816</v>
      </c>
      <c r="Y2563" s="10" t="str">
        <f ca="1">IF(reading[[#This Row],[Next]]&lt;&gt;"",IF(reading[[#This Row],[Next]]&gt;TODAY(),"OK",""),"")</f>
        <v>OK</v>
      </c>
      <c r="Z2563" s="13">
        <v>3</v>
      </c>
      <c r="AA2563" s="13">
        <v>3</v>
      </c>
      <c r="AB2563" s="13">
        <v>3</v>
      </c>
      <c r="AC2563" s="13">
        <v>3</v>
      </c>
      <c r="AD2563" s="13">
        <v>3</v>
      </c>
      <c r="AE2563" s="13">
        <v>3</v>
      </c>
      <c r="AF2563" s="13">
        <v>2</v>
      </c>
      <c r="AG2563" s="16">
        <f>IFERROR(SUMIF(reading[[#This Row],[1st]:[7th]],"&gt;0")/COUNTIF(reading[[#This Row],[1st]:[7th]],"&gt;0"),"")</f>
        <v>2.8571428571428572</v>
      </c>
    </row>
    <row r="2564" spans="1:33" hidden="1" x14ac:dyDescent="0.2">
      <c r="A2564" s="4">
        <f>IF(B2564=1,3,IF(D2564=1,2,IF(F2564=1,1,0)))</f>
        <v>0</v>
      </c>
      <c r="B2564" s="4" t="str">
        <f>IF(C2564=$L2564,1,IF(C2564="","",0))</f>
        <v/>
      </c>
      <c r="C2564" s="42"/>
      <c r="D2564" s="4" t="str">
        <f>IF(E2564=$L2564,1,IF(E2564="","",0))</f>
        <v/>
      </c>
      <c r="E2564" s="23"/>
      <c r="F2564" s="4" t="str">
        <f>IF(G2564=$L2564,1,IF(G2564="","",0))</f>
        <v/>
      </c>
      <c r="G2564" s="14"/>
      <c r="H2564" s="6">
        <v>1690</v>
      </c>
      <c r="I2564" s="15" t="s">
        <v>3120</v>
      </c>
      <c r="J2564" s="6" t="s">
        <v>4800</v>
      </c>
      <c r="K2564" s="6"/>
      <c r="L2564" s="6" t="s">
        <v>1770</v>
      </c>
      <c r="M2564" s="6" t="s">
        <v>7796</v>
      </c>
      <c r="N2564" s="7">
        <f ca="1">RAND()</f>
        <v>0.32691645636946187</v>
      </c>
      <c r="O2564" s="8">
        <v>45210</v>
      </c>
      <c r="P2564" s="8">
        <v>45211</v>
      </c>
      <c r="Q2564" s="8">
        <v>45213</v>
      </c>
      <c r="R2564" s="8">
        <v>45217</v>
      </c>
      <c r="S2564" s="8">
        <v>45224</v>
      </c>
      <c r="T2564" s="8">
        <v>45236</v>
      </c>
      <c r="U2564" s="8">
        <v>45825</v>
      </c>
      <c r="V2564" s="10">
        <f>COUNTA(O2564:U2564)</f>
        <v>7</v>
      </c>
      <c r="W2564" s="11">
        <f>_xlfn.IFNA(INDEX(reading[[#This Row],[Memo 01]:[Memo 07]],MATCH(0,reading[[#This Row],[Memo 01]:[Memo 07]],-1)),"")</f>
        <v>45825</v>
      </c>
      <c r="X2564" s="11">
        <f ca="1">IFERROR(reading[[#This Row],[Previous]]+OFFSET(reading[[#Headers],[Memo 01]],-1,MATCH(0,reading[[#This Row],[Memo 01]:[Memo 07]],-1)-1),"")</f>
        <v>55825</v>
      </c>
      <c r="Y2564" s="10" t="str">
        <f ca="1">IF(reading[[#This Row],[Next]]&lt;&gt;"",IF(reading[[#This Row],[Next]]&gt;TODAY(),"OK",""),"")</f>
        <v>OK</v>
      </c>
      <c r="Z2564" s="13">
        <v>3</v>
      </c>
      <c r="AA2564" s="13">
        <v>3</v>
      </c>
      <c r="AB2564" s="13">
        <v>3</v>
      </c>
      <c r="AC2564" s="13">
        <v>3</v>
      </c>
      <c r="AD2564" s="13">
        <v>3</v>
      </c>
      <c r="AE2564" s="13">
        <v>3</v>
      </c>
      <c r="AF2564" s="13">
        <v>2</v>
      </c>
      <c r="AG2564" s="16">
        <f>IFERROR(SUMIF(reading[[#This Row],[1st]:[7th]],"&gt;0")/COUNTIF(reading[[#This Row],[1st]:[7th]],"&gt;0"),"")</f>
        <v>2.8571428571428572</v>
      </c>
    </row>
    <row r="2565" spans="1:33" x14ac:dyDescent="0.2">
      <c r="A2565" s="4">
        <f>IF(B2565=1,3,IF(D2565=1,2,IF(F2565=1,1,0)))</f>
        <v>0</v>
      </c>
      <c r="B2565" s="4" t="str">
        <f>IF(C2565=$L2565,1,IF(C2565="","",0))</f>
        <v/>
      </c>
      <c r="C2565" s="42"/>
      <c r="D2565" s="4" t="str">
        <f>IF(E2565=$L2565,1,IF(E2565="","",0))</f>
        <v/>
      </c>
      <c r="E2565" s="14"/>
      <c r="F2565" s="4" t="str">
        <f>IF(G2565=$L2565,1,IF(G2565="","",0))</f>
        <v/>
      </c>
      <c r="G2565" s="14"/>
      <c r="H2565" s="6">
        <v>1969</v>
      </c>
      <c r="I2565" s="15" t="s">
        <v>3120</v>
      </c>
      <c r="J2565" s="6" t="s">
        <v>5068</v>
      </c>
      <c r="K2565" s="6"/>
      <c r="L2565" s="6" t="s">
        <v>2044</v>
      </c>
      <c r="M2565" s="6" t="s">
        <v>8075</v>
      </c>
      <c r="N2565" s="7">
        <f ca="1">RAND()</f>
        <v>8.6714796671148675E-2</v>
      </c>
      <c r="O2565" s="8">
        <v>45213</v>
      </c>
      <c r="P2565" s="8">
        <v>45214</v>
      </c>
      <c r="Q2565" s="8">
        <v>45216</v>
      </c>
      <c r="R2565" s="8">
        <v>45220</v>
      </c>
      <c r="S2565" s="8">
        <v>45227</v>
      </c>
      <c r="T2565" s="8">
        <v>45801</v>
      </c>
      <c r="U2565" s="8"/>
      <c r="V2565" s="10">
        <f>COUNTA(O2565:U2565)</f>
        <v>6</v>
      </c>
      <c r="W2565" s="11">
        <f>_xlfn.IFNA(INDEX(reading[[#This Row],[Memo 01]:[Memo 07]],MATCH(0,reading[[#This Row],[Memo 01]:[Memo 07]],-1)),"")</f>
        <v>45801</v>
      </c>
      <c r="X2565" s="11">
        <f ca="1">IFERROR(reading[[#This Row],[Previous]]+OFFSET(reading[[#Headers],[Memo 01]],-1,MATCH(0,reading[[#This Row],[Memo 01]:[Memo 07]],-1)-1),"")</f>
        <v>45821</v>
      </c>
      <c r="Y2565" s="10" t="str">
        <f ca="1">IF(reading[[#This Row],[Next]]&lt;&gt;"",IF(reading[[#This Row],[Next]]&gt;TODAY(),"OK",""),"")</f>
        <v/>
      </c>
      <c r="Z2565" s="13">
        <v>3</v>
      </c>
      <c r="AA2565" s="13">
        <v>3</v>
      </c>
      <c r="AB2565" s="13">
        <v>3</v>
      </c>
      <c r="AC2565" s="13">
        <v>3</v>
      </c>
      <c r="AD2565" s="13">
        <v>3</v>
      </c>
      <c r="AE2565" s="13">
        <v>3</v>
      </c>
      <c r="AF2565" s="13"/>
      <c r="AG2565" s="16">
        <f>IFERROR(SUMIF(reading[[#This Row],[1st]:[7th]],"&gt;0")/COUNTIF(reading[[#This Row],[1st]:[7th]],"&gt;0"),"")</f>
        <v>3</v>
      </c>
    </row>
    <row r="2566" spans="1:33" x14ac:dyDescent="0.2">
      <c r="A2566" s="4">
        <f>IF(B2566=1,3,IF(D2566=1,2,IF(F2566=1,1,0)))</f>
        <v>0</v>
      </c>
      <c r="B2566" s="4" t="str">
        <f>IF(C2566=$L2566,1,IF(C2566="","",0))</f>
        <v/>
      </c>
      <c r="C2566" s="41"/>
      <c r="D2566" s="4" t="str">
        <f>IF(E2566=$L2566,1,IF(E2566="","",0))</f>
        <v/>
      </c>
      <c r="E2566" s="14"/>
      <c r="F2566" s="4" t="str">
        <f>IF(G2566=$L2566,1,IF(G2566="","",0))</f>
        <v/>
      </c>
      <c r="G2566" s="14"/>
      <c r="H2566" s="6">
        <v>3031</v>
      </c>
      <c r="I2566" s="15" t="s">
        <v>3120</v>
      </c>
      <c r="J2566" s="6" t="s">
        <v>6054</v>
      </c>
      <c r="K2566" s="6"/>
      <c r="L2566" s="6" t="s">
        <v>3058</v>
      </c>
      <c r="M2566" s="6" t="s">
        <v>9134</v>
      </c>
      <c r="N2566" s="7">
        <f ca="1">RAND()</f>
        <v>0.74834990058158601</v>
      </c>
      <c r="O2566" s="8">
        <v>45226</v>
      </c>
      <c r="P2566" s="8">
        <v>45227</v>
      </c>
      <c r="Q2566" s="8">
        <v>45229</v>
      </c>
      <c r="R2566" s="8">
        <v>45233</v>
      </c>
      <c r="S2566" s="8">
        <v>45251</v>
      </c>
      <c r="T2566" s="8"/>
      <c r="U2566" s="8"/>
      <c r="V2566" s="10">
        <f>COUNTA(O2566:U2566)</f>
        <v>5</v>
      </c>
      <c r="W2566" s="11">
        <f>_xlfn.IFNA(INDEX(reading[[#This Row],[Memo 01]:[Memo 07]],MATCH(0,reading[[#This Row],[Memo 01]:[Memo 07]],-1)),"")</f>
        <v>45251</v>
      </c>
      <c r="X2566" s="11">
        <f ca="1">IFERROR(reading[[#This Row],[Previous]]+OFFSET(reading[[#Headers],[Memo 01]],-1,MATCH(0,reading[[#This Row],[Memo 01]:[Memo 07]],-1)-1),"")</f>
        <v>45263</v>
      </c>
      <c r="Y2566" s="10" t="str">
        <f ca="1">IF(reading[[#This Row],[Next]]&lt;&gt;"",IF(reading[[#This Row],[Next]]&gt;TODAY(),"OK",""),"")</f>
        <v/>
      </c>
      <c r="Z2566" s="13">
        <v>3</v>
      </c>
      <c r="AA2566" s="13">
        <v>3</v>
      </c>
      <c r="AB2566" s="13">
        <v>3</v>
      </c>
      <c r="AC2566" s="13">
        <v>3</v>
      </c>
      <c r="AD2566" s="13">
        <v>3</v>
      </c>
      <c r="AE2566" s="13"/>
      <c r="AF2566" s="13"/>
      <c r="AG2566" s="16">
        <f>IFERROR(SUMIF(reading[[#This Row],[1st]:[7th]],"&gt;0")/COUNTIF(reading[[#This Row],[1st]:[7th]],"&gt;0"),"")</f>
        <v>3</v>
      </c>
    </row>
    <row r="2567" spans="1:33" x14ac:dyDescent="0.2">
      <c r="A2567" s="4">
        <f>IF(B2567=1,3,IF(D2567=1,2,IF(F2567=1,1,0)))</f>
        <v>0</v>
      </c>
      <c r="B2567" s="4" t="str">
        <f>IF(C2567=$L2567,1,IF(C2567="","",0))</f>
        <v/>
      </c>
      <c r="C2567" s="39"/>
      <c r="D2567" s="4" t="str">
        <f>IF(E2567=$L2567,1,IF(E2567="","",0))</f>
        <v/>
      </c>
      <c r="E2567" s="18"/>
      <c r="F2567" s="4" t="str">
        <f>IF(G2567=$L2567,1,IF(G2567="","",0))</f>
        <v/>
      </c>
      <c r="G2567" s="14"/>
      <c r="H2567" s="6">
        <v>2725</v>
      </c>
      <c r="I2567" s="15" t="s">
        <v>3120</v>
      </c>
      <c r="J2567" s="6" t="s">
        <v>5775</v>
      </c>
      <c r="K2567" s="6"/>
      <c r="L2567" s="6" t="s">
        <v>2763</v>
      </c>
      <c r="M2567" s="6" t="s">
        <v>8830</v>
      </c>
      <c r="N2567" s="7">
        <f ca="1">RAND()</f>
        <v>0.79630963527818488</v>
      </c>
      <c r="O2567" s="8">
        <v>45222</v>
      </c>
      <c r="P2567" s="8">
        <v>45223</v>
      </c>
      <c r="Q2567" s="8">
        <v>45225</v>
      </c>
      <c r="R2567" s="8">
        <v>45229</v>
      </c>
      <c r="S2567" s="8">
        <v>45236</v>
      </c>
      <c r="T2567" s="8"/>
      <c r="U2567" s="8"/>
      <c r="V2567" s="10">
        <f>COUNTA(O2567:U2567)</f>
        <v>5</v>
      </c>
      <c r="W2567" s="11">
        <f>_xlfn.IFNA(INDEX(reading[[#This Row],[Memo 01]:[Memo 07]],MATCH(0,reading[[#This Row],[Memo 01]:[Memo 07]],-1)),"")</f>
        <v>45236</v>
      </c>
      <c r="X2567" s="11">
        <f ca="1">IFERROR(reading[[#This Row],[Previous]]+OFFSET(reading[[#Headers],[Memo 01]],-1,MATCH(0,reading[[#This Row],[Memo 01]:[Memo 07]],-1)-1),"")</f>
        <v>45248</v>
      </c>
      <c r="Y2567" s="10" t="str">
        <f ca="1">IF(reading[[#This Row],[Next]]&lt;&gt;"",IF(reading[[#This Row],[Next]]&gt;TODAY(),"OK",""),"")</f>
        <v/>
      </c>
      <c r="Z2567" s="13">
        <v>3</v>
      </c>
      <c r="AA2567" s="13">
        <v>3</v>
      </c>
      <c r="AB2567" s="13">
        <v>2</v>
      </c>
      <c r="AC2567" s="13">
        <v>3</v>
      </c>
      <c r="AD2567" s="13">
        <v>3</v>
      </c>
      <c r="AE2567" s="13"/>
      <c r="AF2567" s="13"/>
      <c r="AG2567" s="16">
        <f>IFERROR(SUMIF(reading[[#This Row],[1st]:[7th]],"&gt;0")/COUNTIF(reading[[#This Row],[1st]:[7th]],"&gt;0"),"")</f>
        <v>2.8</v>
      </c>
    </row>
    <row r="2568" spans="1:33" x14ac:dyDescent="0.2">
      <c r="A2568" s="4">
        <f>IF(B2568=1,3,IF(D2568=1,2,IF(F2568=1,1,0)))</f>
        <v>0</v>
      </c>
      <c r="B2568" s="4" t="str">
        <f>IF(C2568=$L2568,1,IF(C2568="","",0))</f>
        <v/>
      </c>
      <c r="C2568" s="42"/>
      <c r="D2568" s="4" t="str">
        <f>IF(E2568=$L2568,1,IF(E2568="","",0))</f>
        <v/>
      </c>
      <c r="E2568" s="18"/>
      <c r="F2568" s="4" t="str">
        <f>IF(G2568=$L2568,1,IF(G2568="","",0))</f>
        <v/>
      </c>
      <c r="G2568" s="18"/>
      <c r="H2568" s="6">
        <v>1397</v>
      </c>
      <c r="I2568" s="15" t="s">
        <v>3120</v>
      </c>
      <c r="J2568" s="6" t="s">
        <v>4511</v>
      </c>
      <c r="K2568" s="6"/>
      <c r="L2568" s="6" t="s">
        <v>1489</v>
      </c>
      <c r="M2568" s="6" t="s">
        <v>7504</v>
      </c>
      <c r="N2568" s="7">
        <f ca="1">RAND()</f>
        <v>0.83643247442432711</v>
      </c>
      <c r="O2568" s="8">
        <v>45207</v>
      </c>
      <c r="P2568" s="8">
        <v>45208</v>
      </c>
      <c r="Q2568" s="8">
        <v>45210</v>
      </c>
      <c r="R2568" s="8">
        <v>45214</v>
      </c>
      <c r="S2568" s="8">
        <v>45221</v>
      </c>
      <c r="T2568" s="8">
        <v>45233</v>
      </c>
      <c r="U2568" s="8"/>
      <c r="V2568" s="10">
        <f>COUNTA(O2568:U2568)</f>
        <v>6</v>
      </c>
      <c r="W2568" s="11">
        <f>_xlfn.IFNA(INDEX(reading[[#This Row],[Memo 01]:[Memo 07]],MATCH(0,reading[[#This Row],[Memo 01]:[Memo 07]],-1)),"")</f>
        <v>45233</v>
      </c>
      <c r="X2568" s="11">
        <f ca="1">IFERROR(reading[[#This Row],[Previous]]+OFFSET(reading[[#Headers],[Memo 01]],-1,MATCH(0,reading[[#This Row],[Memo 01]:[Memo 07]],-1)-1),"")</f>
        <v>45253</v>
      </c>
      <c r="Y2568" s="10" t="str">
        <f ca="1">IF(reading[[#This Row],[Next]]&lt;&gt;"",IF(reading[[#This Row],[Next]]&gt;TODAY(),"OK",""),"")</f>
        <v/>
      </c>
      <c r="Z2568" s="13">
        <v>3</v>
      </c>
      <c r="AA2568" s="13">
        <v>3</v>
      </c>
      <c r="AB2568" s="13">
        <v>3</v>
      </c>
      <c r="AC2568" s="13">
        <v>1</v>
      </c>
      <c r="AD2568" s="13">
        <v>3</v>
      </c>
      <c r="AE2568" s="13">
        <v>3</v>
      </c>
      <c r="AF2568" s="13"/>
      <c r="AG2568" s="16">
        <f>IFERROR(SUMIF(reading[[#This Row],[1st]:[7th]],"&gt;0")/COUNTIF(reading[[#This Row],[1st]:[7th]],"&gt;0"),"")</f>
        <v>2.6666666666666665</v>
      </c>
    </row>
    <row r="2569" spans="1:33" x14ac:dyDescent="0.2">
      <c r="A2569" s="4">
        <f>IF(B2569=1,3,IF(D2569=1,2,IF(F2569=1,1,0)))</f>
        <v>0</v>
      </c>
      <c r="B2569" s="4" t="str">
        <f>IF(C2569=$L2569,1,IF(C2569="","",0))</f>
        <v/>
      </c>
      <c r="C2569" s="42"/>
      <c r="D2569" s="4" t="str">
        <f>IF(E2569=$L2569,1,IF(E2569="","",0))</f>
        <v/>
      </c>
      <c r="E2569" s="14"/>
      <c r="F2569" s="4" t="str">
        <f>IF(G2569=$L2569,1,IF(G2569="","",0))</f>
        <v/>
      </c>
      <c r="G2569" s="14"/>
      <c r="H2569" s="6">
        <v>2311</v>
      </c>
      <c r="I2569" s="15" t="s">
        <v>3120</v>
      </c>
      <c r="J2569" s="6" t="s">
        <v>5389</v>
      </c>
      <c r="K2569" s="15" t="s">
        <v>3138</v>
      </c>
      <c r="L2569" s="6" t="s">
        <v>2368</v>
      </c>
      <c r="M2569" s="6" t="s">
        <v>8416</v>
      </c>
      <c r="N2569" s="7">
        <f ca="1">RAND()</f>
        <v>0.38835242073589538</v>
      </c>
      <c r="O2569" s="8">
        <v>45216</v>
      </c>
      <c r="P2569" s="8">
        <v>45217</v>
      </c>
      <c r="Q2569" s="8">
        <v>45219</v>
      </c>
      <c r="R2569" s="8">
        <v>45223</v>
      </c>
      <c r="S2569" s="8">
        <v>45230</v>
      </c>
      <c r="T2569" s="8">
        <v>45783</v>
      </c>
      <c r="U2569" s="8"/>
      <c r="V2569" s="10">
        <f>COUNTA(O2569:U2569)</f>
        <v>6</v>
      </c>
      <c r="W2569" s="11">
        <f>_xlfn.IFNA(INDEX(reading[[#This Row],[Memo 01]:[Memo 07]],MATCH(0,reading[[#This Row],[Memo 01]:[Memo 07]],-1)),"")</f>
        <v>45783</v>
      </c>
      <c r="X2569" s="11">
        <f ca="1">IFERROR(reading[[#This Row],[Previous]]+OFFSET(reading[[#Headers],[Memo 01]],-1,MATCH(0,reading[[#This Row],[Memo 01]:[Memo 07]],-1)-1),"")</f>
        <v>45803</v>
      </c>
      <c r="Y2569" s="10" t="str">
        <f ca="1">IF(reading[[#This Row],[Next]]&lt;&gt;"",IF(reading[[#This Row],[Next]]&gt;TODAY(),"OK",""),"")</f>
        <v/>
      </c>
      <c r="Z2569" s="13">
        <v>3</v>
      </c>
      <c r="AA2569" s="13">
        <v>3</v>
      </c>
      <c r="AB2569" s="13">
        <v>3</v>
      </c>
      <c r="AC2569" s="13">
        <v>3</v>
      </c>
      <c r="AD2569" s="13">
        <v>3</v>
      </c>
      <c r="AE2569" s="13">
        <v>3</v>
      </c>
      <c r="AF2569" s="13"/>
      <c r="AG2569" s="16">
        <f>IFERROR(SUMIF(reading[[#This Row],[1st]:[7th]],"&gt;0")/COUNTIF(reading[[#This Row],[1st]:[7th]],"&gt;0"),"")</f>
        <v>3</v>
      </c>
    </row>
    <row r="2570" spans="1:33" hidden="1" x14ac:dyDescent="0.2">
      <c r="A2570" s="4">
        <f>IF(B2570=1,3,IF(D2570=1,2,IF(F2570=1,1,0)))</f>
        <v>0</v>
      </c>
      <c r="B2570" s="4" t="str">
        <f>IF(C2570=$L2570,1,IF(C2570="","",0))</f>
        <v/>
      </c>
      <c r="C2570" s="42"/>
      <c r="D2570" s="4" t="str">
        <f>IF(E2570=$L2570,1,IF(E2570="","",0))</f>
        <v/>
      </c>
      <c r="E2570" s="23"/>
      <c r="F2570" s="4" t="str">
        <f>IF(G2570=$L2570,1,IF(G2570="","",0))</f>
        <v/>
      </c>
      <c r="G2570" s="14"/>
      <c r="H2570" s="6">
        <v>469</v>
      </c>
      <c r="I2570" s="15" t="s">
        <v>3120</v>
      </c>
      <c r="J2570" s="6" t="s">
        <v>3615</v>
      </c>
      <c r="K2570" s="6"/>
      <c r="L2570" s="6" t="s">
        <v>598</v>
      </c>
      <c r="M2570" s="6" t="s">
        <v>6578</v>
      </c>
      <c r="N2570" s="7">
        <f ca="1">RAND()</f>
        <v>0.34134836899447696</v>
      </c>
      <c r="O2570" s="8">
        <v>45202</v>
      </c>
      <c r="P2570" s="8">
        <v>45203</v>
      </c>
      <c r="Q2570" s="8">
        <v>45205</v>
      </c>
      <c r="R2570" s="8">
        <v>45209</v>
      </c>
      <c r="S2570" s="8">
        <v>45216</v>
      </c>
      <c r="T2570" s="8">
        <v>45228</v>
      </c>
      <c r="U2570" s="8">
        <v>45825</v>
      </c>
      <c r="V2570" s="10">
        <f>COUNTA(O2570:U2570)</f>
        <v>7</v>
      </c>
      <c r="W2570" s="11">
        <f>_xlfn.IFNA(INDEX(reading[[#This Row],[Memo 01]:[Memo 07]],MATCH(0,reading[[#This Row],[Memo 01]:[Memo 07]],-1)),"")</f>
        <v>45825</v>
      </c>
      <c r="X2570" s="11">
        <f ca="1">IFERROR(reading[[#This Row],[Previous]]+OFFSET(reading[[#Headers],[Memo 01]],-1,MATCH(0,reading[[#This Row],[Memo 01]:[Memo 07]],-1)-1),"")</f>
        <v>55825</v>
      </c>
      <c r="Y2570" s="10" t="str">
        <f ca="1">IF(reading[[#This Row],[Next]]&lt;&gt;"",IF(reading[[#This Row],[Next]]&gt;TODAY(),"OK",""),"")</f>
        <v>OK</v>
      </c>
      <c r="Z2570" s="13">
        <v>3</v>
      </c>
      <c r="AA2570" s="13">
        <v>3</v>
      </c>
      <c r="AB2570" s="13">
        <v>3</v>
      </c>
      <c r="AC2570" s="13">
        <v>3</v>
      </c>
      <c r="AD2570" s="13">
        <v>3</v>
      </c>
      <c r="AE2570" s="13">
        <v>2</v>
      </c>
      <c r="AF2570" s="13">
        <v>2</v>
      </c>
      <c r="AG2570" s="16">
        <f>IFERROR(SUMIF(reading[[#This Row],[1st]:[7th]],"&gt;0")/COUNTIF(reading[[#This Row],[1st]:[7th]],"&gt;0"),"")</f>
        <v>2.7142857142857144</v>
      </c>
    </row>
    <row r="2571" spans="1:33" hidden="1" x14ac:dyDescent="0.2">
      <c r="A2571" s="4">
        <f>IF(B2571=1,3,IF(D2571=1,2,IF(F2571=1,1,0)))</f>
        <v>3</v>
      </c>
      <c r="B2571" s="4">
        <f>IF(C2571=$L2571,1,IF(C2571="","",0))</f>
        <v>1</v>
      </c>
      <c r="C2571" s="36" t="s">
        <v>2619</v>
      </c>
      <c r="D2571" s="4" t="str">
        <f>IF(E2571=$L2571,1,IF(E2571="","",0))</f>
        <v/>
      </c>
      <c r="E2571" s="14"/>
      <c r="F2571" s="4" t="str">
        <f>IF(G2571=$L2571,1,IF(G2571="","",0))</f>
        <v/>
      </c>
      <c r="G2571" s="14"/>
      <c r="H2571" s="6">
        <v>2575</v>
      </c>
      <c r="I2571" s="15" t="s">
        <v>3120</v>
      </c>
      <c r="J2571" s="6" t="s">
        <v>5635</v>
      </c>
      <c r="K2571" s="6"/>
      <c r="L2571" s="6" t="s">
        <v>2619</v>
      </c>
      <c r="M2571" s="6" t="s">
        <v>8680</v>
      </c>
      <c r="N2571" s="7">
        <f ca="1">RAND()</f>
        <v>0.36477514764593233</v>
      </c>
      <c r="O2571" s="8">
        <v>45219</v>
      </c>
      <c r="P2571" s="8">
        <v>45219</v>
      </c>
      <c r="Q2571" s="8">
        <v>45219</v>
      </c>
      <c r="R2571" s="8">
        <v>45219</v>
      </c>
      <c r="S2571" s="8">
        <v>45219</v>
      </c>
      <c r="T2571" s="8">
        <v>45219</v>
      </c>
      <c r="U2571" s="8">
        <v>45219</v>
      </c>
      <c r="V2571" s="10">
        <f>COUNTA(O2571:U2571)</f>
        <v>7</v>
      </c>
      <c r="W2571" s="11">
        <f>_xlfn.IFNA(INDEX(reading[[#This Row],[Memo 01]:[Memo 07]],MATCH(0,reading[[#This Row],[Memo 01]:[Memo 07]],-1)),"")</f>
        <v>45219</v>
      </c>
      <c r="X2571" s="11">
        <f ca="1">IFERROR(reading[[#This Row],[Previous]]+OFFSET(reading[[#Headers],[Memo 01]],-1,MATCH(0,reading[[#This Row],[Memo 01]:[Memo 07]],-1)-1),"")</f>
        <v>55219</v>
      </c>
      <c r="Y2571" s="10" t="str">
        <f ca="1">IF(reading[[#This Row],[Next]]&lt;&gt;"",IF(reading[[#This Row],[Next]]&gt;TODAY(),"OK",""),"")</f>
        <v>OK</v>
      </c>
      <c r="Z2571" s="13">
        <v>3</v>
      </c>
      <c r="AA2571" s="13"/>
      <c r="AB2571" s="13"/>
      <c r="AC2571" s="13"/>
      <c r="AD2571" s="13"/>
      <c r="AE2571" s="13"/>
      <c r="AF2571" s="13"/>
      <c r="AG2571" s="16">
        <f>IFERROR(SUMIF(reading[[#This Row],[1st]:[7th]],"&gt;0")/COUNTIF(reading[[#This Row],[1st]:[7th]],"&gt;0"),"")</f>
        <v>3</v>
      </c>
    </row>
    <row r="2572" spans="1:33" x14ac:dyDescent="0.2">
      <c r="A2572" s="4">
        <f>IF(B2572=1,3,IF(D2572=1,2,IF(F2572=1,1,0)))</f>
        <v>0</v>
      </c>
      <c r="B2572" s="4" t="str">
        <f>IF(C2572=$L2572,1,IF(C2572="","",0))</f>
        <v/>
      </c>
      <c r="C2572" s="39"/>
      <c r="D2572" s="4" t="str">
        <f>IF(E2572=$L2572,1,IF(E2572="","",0))</f>
        <v/>
      </c>
      <c r="E2572" s="14"/>
      <c r="F2572" s="4" t="str">
        <f>IF(G2572=$L2572,1,IF(G2572="","",0))</f>
        <v/>
      </c>
      <c r="G2572" s="14"/>
      <c r="H2572" s="6">
        <v>1652</v>
      </c>
      <c r="I2572" s="15" t="s">
        <v>3120</v>
      </c>
      <c r="J2572" s="6" t="s">
        <v>4764</v>
      </c>
      <c r="K2572" s="6"/>
      <c r="L2572" s="6" t="s">
        <v>1733</v>
      </c>
      <c r="M2572" s="6" t="s">
        <v>7758</v>
      </c>
      <c r="N2572" s="7">
        <f ca="1">RAND()</f>
        <v>0.60384342689432258</v>
      </c>
      <c r="O2572" s="8">
        <v>45210</v>
      </c>
      <c r="P2572" s="8">
        <v>45211</v>
      </c>
      <c r="Q2572" s="8">
        <v>45213</v>
      </c>
      <c r="R2572" s="8">
        <v>45217</v>
      </c>
      <c r="S2572" s="8">
        <v>45224</v>
      </c>
      <c r="T2572" s="8">
        <v>45236</v>
      </c>
      <c r="U2572" s="8"/>
      <c r="V2572" s="10">
        <f>COUNTA(O2572:U2572)</f>
        <v>6</v>
      </c>
      <c r="W2572" s="11">
        <f>_xlfn.IFNA(INDEX(reading[[#This Row],[Memo 01]:[Memo 07]],MATCH(0,reading[[#This Row],[Memo 01]:[Memo 07]],-1)),"")</f>
        <v>45236</v>
      </c>
      <c r="X2572" s="11">
        <f ca="1">IFERROR(reading[[#This Row],[Previous]]+OFFSET(reading[[#Headers],[Memo 01]],-1,MATCH(0,reading[[#This Row],[Memo 01]:[Memo 07]],-1)-1),"")</f>
        <v>45256</v>
      </c>
      <c r="Y2572" s="10" t="str">
        <f ca="1">IF(reading[[#This Row],[Next]]&lt;&gt;"",IF(reading[[#This Row],[Next]]&gt;TODAY(),"OK",""),"")</f>
        <v/>
      </c>
      <c r="Z2572" s="13">
        <v>3</v>
      </c>
      <c r="AA2572" s="13">
        <v>3</v>
      </c>
      <c r="AB2572" s="13">
        <v>3</v>
      </c>
      <c r="AC2572" s="13">
        <v>3</v>
      </c>
      <c r="AD2572" s="13">
        <v>3</v>
      </c>
      <c r="AE2572" s="13">
        <v>3</v>
      </c>
      <c r="AF2572" s="13"/>
      <c r="AG2572" s="16">
        <f>IFERROR(SUMIF(reading[[#This Row],[1st]:[7th]],"&gt;0")/COUNTIF(reading[[#This Row],[1st]:[7th]],"&gt;0"),"")</f>
        <v>3</v>
      </c>
    </row>
    <row r="2573" spans="1:33" x14ac:dyDescent="0.2">
      <c r="A2573" s="4">
        <f>IF(B2573=1,3,IF(D2573=1,2,IF(F2573=1,1,0)))</f>
        <v>0</v>
      </c>
      <c r="B2573" s="4" t="str">
        <f>IF(C2573=$L2573,1,IF(C2573="","",0))</f>
        <v/>
      </c>
      <c r="C2573" s="41"/>
      <c r="D2573" s="4" t="str">
        <f>IF(E2573=$L2573,1,IF(E2573="","",0))</f>
        <v/>
      </c>
      <c r="E2573" s="18"/>
      <c r="F2573" s="4" t="str">
        <f>IF(G2573=$L2573,1,IF(G2573="","",0))</f>
        <v/>
      </c>
      <c r="G2573" s="14"/>
      <c r="H2573" s="6">
        <v>3077</v>
      </c>
      <c r="I2573" s="15" t="s">
        <v>3120</v>
      </c>
      <c r="J2573" s="6" t="s">
        <v>6097</v>
      </c>
      <c r="K2573" s="6"/>
      <c r="L2573" s="6" t="s">
        <v>3101</v>
      </c>
      <c r="M2573" s="6" t="s">
        <v>9180</v>
      </c>
      <c r="N2573" s="7">
        <f ca="1">RAND()</f>
        <v>0.19906617273580862</v>
      </c>
      <c r="O2573" s="8">
        <v>45224</v>
      </c>
      <c r="P2573" s="8">
        <v>45225</v>
      </c>
      <c r="Q2573" s="8">
        <v>45227</v>
      </c>
      <c r="R2573" s="8">
        <v>45231</v>
      </c>
      <c r="S2573" s="8">
        <v>45249</v>
      </c>
      <c r="T2573" s="8"/>
      <c r="U2573" s="8"/>
      <c r="V2573" s="10">
        <f>COUNTA(O2573:U2573)</f>
        <v>5</v>
      </c>
      <c r="W2573" s="11">
        <f>_xlfn.IFNA(INDEX(reading[[#This Row],[Memo 01]:[Memo 07]],MATCH(0,reading[[#This Row],[Memo 01]:[Memo 07]],-1)),"")</f>
        <v>45249</v>
      </c>
      <c r="X2573" s="11">
        <f ca="1">IFERROR(reading[[#This Row],[Previous]]+OFFSET(reading[[#Headers],[Memo 01]],-1,MATCH(0,reading[[#This Row],[Memo 01]:[Memo 07]],-1)-1),"")</f>
        <v>45261</v>
      </c>
      <c r="Y2573" s="10" t="str">
        <f ca="1">IF(reading[[#This Row],[Next]]&lt;&gt;"",IF(reading[[#This Row],[Next]]&gt;TODAY(),"OK",""),"")</f>
        <v/>
      </c>
      <c r="Z2573" s="13">
        <v>3</v>
      </c>
      <c r="AA2573" s="13">
        <v>2</v>
      </c>
      <c r="AB2573" s="13">
        <v>3</v>
      </c>
      <c r="AC2573" s="13">
        <v>3</v>
      </c>
      <c r="AD2573" s="13">
        <v>3</v>
      </c>
      <c r="AE2573" s="13"/>
      <c r="AF2573" s="13"/>
      <c r="AG2573" s="16">
        <f>IFERROR(SUMIF(reading[[#This Row],[1st]:[7th]],"&gt;0")/COUNTIF(reading[[#This Row],[1st]:[7th]],"&gt;0"),"")</f>
        <v>2.8</v>
      </c>
    </row>
    <row r="2574" spans="1:33" x14ac:dyDescent="0.2">
      <c r="A2574" s="4">
        <f>IF(B2574=1,3,IF(D2574=1,2,IF(F2574=1,1,0)))</f>
        <v>0</v>
      </c>
      <c r="B2574" s="4" t="str">
        <f>IF(C2574=$L2574,1,IF(C2574="","",0))</f>
        <v/>
      </c>
      <c r="C2574" s="36"/>
      <c r="D2574" s="4" t="str">
        <f>IF(E2574=$L2574,1,IF(E2574="","",0))</f>
        <v/>
      </c>
      <c r="E2574" s="14"/>
      <c r="F2574" s="4" t="str">
        <f>IF(G2574=$L2574,1,IF(G2574="","",0))</f>
        <v/>
      </c>
      <c r="G2574" s="14"/>
      <c r="H2574" s="6">
        <v>1952</v>
      </c>
      <c r="I2574" s="15" t="s">
        <v>3120</v>
      </c>
      <c r="J2574" s="6" t="s">
        <v>5051</v>
      </c>
      <c r="K2574" s="6"/>
      <c r="L2574" s="6" t="s">
        <v>2027</v>
      </c>
      <c r="M2574" s="6" t="s">
        <v>8058</v>
      </c>
      <c r="N2574" s="7">
        <f ca="1">RAND()</f>
        <v>0.58822532707579644</v>
      </c>
      <c r="O2574" s="8">
        <v>45213</v>
      </c>
      <c r="P2574" s="8">
        <v>45214</v>
      </c>
      <c r="Q2574" s="8">
        <v>45216</v>
      </c>
      <c r="R2574" s="8">
        <v>45220</v>
      </c>
      <c r="S2574" s="8">
        <v>45227</v>
      </c>
      <c r="T2574" s="8"/>
      <c r="U2574" s="8"/>
      <c r="V2574" s="10">
        <f>COUNTA(O2574:U2574)</f>
        <v>5</v>
      </c>
      <c r="W2574" s="11">
        <f>_xlfn.IFNA(INDEX(reading[[#This Row],[Memo 01]:[Memo 07]],MATCH(0,reading[[#This Row],[Memo 01]:[Memo 07]],-1)),"")</f>
        <v>45227</v>
      </c>
      <c r="X2574" s="11">
        <f ca="1">IFERROR(reading[[#This Row],[Previous]]+OFFSET(reading[[#Headers],[Memo 01]],-1,MATCH(0,reading[[#This Row],[Memo 01]:[Memo 07]],-1)-1),"")</f>
        <v>45239</v>
      </c>
      <c r="Y2574" s="10" t="str">
        <f ca="1">IF(reading[[#This Row],[Next]]&lt;&gt;"",IF(reading[[#This Row],[Next]]&gt;TODAY(),"OK",""),"")</f>
        <v/>
      </c>
      <c r="Z2574" s="13">
        <v>3</v>
      </c>
      <c r="AA2574" s="13">
        <v>3</v>
      </c>
      <c r="AB2574" s="13">
        <v>3</v>
      </c>
      <c r="AC2574" s="13">
        <v>3</v>
      </c>
      <c r="AD2574" s="13">
        <v>3</v>
      </c>
      <c r="AE2574" s="13"/>
      <c r="AF2574" s="13"/>
      <c r="AG2574" s="16">
        <f>IFERROR(SUMIF(reading[[#This Row],[1st]:[7th]],"&gt;0")/COUNTIF(reading[[#This Row],[1st]:[7th]],"&gt;0"),"")</f>
        <v>3</v>
      </c>
    </row>
    <row r="2575" spans="1:33" x14ac:dyDescent="0.2">
      <c r="A2575" s="4">
        <f>IF(B2575=1,3,IF(D2575=1,2,IF(F2575=1,1,0)))</f>
        <v>0</v>
      </c>
      <c r="B2575" s="4" t="str">
        <f>IF(C2575=$L2575,1,IF(C2575="","",0))</f>
        <v/>
      </c>
      <c r="C2575" s="38"/>
      <c r="D2575" s="4" t="str">
        <f>IF(E2575=$L2575,1,IF(E2575="","",0))</f>
        <v/>
      </c>
      <c r="E2575" s="14"/>
      <c r="F2575" s="4" t="str">
        <f>IF(G2575=$L2575,1,IF(G2575="","",0))</f>
        <v/>
      </c>
      <c r="G2575" s="14"/>
      <c r="H2575" s="6">
        <v>708</v>
      </c>
      <c r="I2575" s="15" t="s">
        <v>3120</v>
      </c>
      <c r="J2575" s="6" t="s">
        <v>3401</v>
      </c>
      <c r="K2575" s="6"/>
      <c r="L2575" s="6" t="s">
        <v>830</v>
      </c>
      <c r="M2575" s="6" t="s">
        <v>6817</v>
      </c>
      <c r="N2575" s="7">
        <f ca="1">RAND()</f>
        <v>0.33323479979781956</v>
      </c>
      <c r="O2575" s="8">
        <v>45203</v>
      </c>
      <c r="P2575" s="8">
        <v>45204</v>
      </c>
      <c r="Q2575" s="8">
        <v>45206</v>
      </c>
      <c r="R2575" s="8">
        <v>45210</v>
      </c>
      <c r="S2575" s="8">
        <v>45217</v>
      </c>
      <c r="T2575" s="8">
        <v>45229</v>
      </c>
      <c r="U2575" s="8"/>
      <c r="V2575" s="10">
        <f>COUNTA(O2575:U2575)</f>
        <v>6</v>
      </c>
      <c r="W2575" s="11">
        <f>_xlfn.IFNA(INDEX(reading[[#This Row],[Memo 01]:[Memo 07]],MATCH(0,reading[[#This Row],[Memo 01]:[Memo 07]],-1)),"")</f>
        <v>45229</v>
      </c>
      <c r="X2575" s="11">
        <f ca="1">IFERROR(reading[[#This Row],[Previous]]+OFFSET(reading[[#Headers],[Memo 01]],-1,MATCH(0,reading[[#This Row],[Memo 01]:[Memo 07]],-1)-1),"")</f>
        <v>45249</v>
      </c>
      <c r="Y2575" s="10" t="str">
        <f ca="1">IF(reading[[#This Row],[Next]]&lt;&gt;"",IF(reading[[#This Row],[Next]]&gt;TODAY(),"OK",""),"")</f>
        <v/>
      </c>
      <c r="Z2575" s="13">
        <v>3</v>
      </c>
      <c r="AA2575" s="13">
        <v>3</v>
      </c>
      <c r="AB2575" s="13">
        <v>3</v>
      </c>
      <c r="AC2575" s="13">
        <v>3</v>
      </c>
      <c r="AD2575" s="13">
        <v>3</v>
      </c>
      <c r="AE2575" s="13">
        <v>3</v>
      </c>
      <c r="AF2575" s="13"/>
      <c r="AG2575" s="16">
        <f>IFERROR(SUMIF(reading[[#This Row],[1st]:[7th]],"&gt;0")/COUNTIF(reading[[#This Row],[1st]:[7th]],"&gt;0"),"")</f>
        <v>3</v>
      </c>
    </row>
    <row r="2576" spans="1:33" x14ac:dyDescent="0.2">
      <c r="A2576" s="4">
        <f>IF(B2576=1,3,IF(D2576=1,2,IF(F2576=1,1,0)))</f>
        <v>0</v>
      </c>
      <c r="B2576" s="4" t="str">
        <f>IF(C2576=$L2576,1,IF(C2576="","",0))</f>
        <v/>
      </c>
      <c r="C2576" s="41"/>
      <c r="D2576" s="4" t="str">
        <f>IF(E2576=$L2576,1,IF(E2576="","",0))</f>
        <v/>
      </c>
      <c r="E2576" s="18"/>
      <c r="F2576" s="4" t="str">
        <f>IF(G2576=$L2576,1,IF(G2576="","",0))</f>
        <v/>
      </c>
      <c r="G2576" s="14"/>
      <c r="H2576" s="6">
        <v>3078</v>
      </c>
      <c r="I2576" s="15" t="s">
        <v>3120</v>
      </c>
      <c r="J2576" s="6" t="s">
        <v>6098</v>
      </c>
      <c r="K2576" s="15" t="s">
        <v>3139</v>
      </c>
      <c r="L2576" s="6" t="s">
        <v>3102</v>
      </c>
      <c r="M2576" s="6" t="s">
        <v>9181</v>
      </c>
      <c r="N2576" s="7">
        <f ca="1">RAND()</f>
        <v>0.1085625836544396</v>
      </c>
      <c r="O2576" s="8">
        <v>45224</v>
      </c>
      <c r="P2576" s="8">
        <v>45225</v>
      </c>
      <c r="Q2576" s="8">
        <v>45227</v>
      </c>
      <c r="R2576" s="8">
        <v>45231</v>
      </c>
      <c r="S2576" s="8">
        <v>45252</v>
      </c>
      <c r="T2576" s="8"/>
      <c r="U2576" s="8"/>
      <c r="V2576" s="10">
        <f>COUNTA(O2576:U2576)</f>
        <v>5</v>
      </c>
      <c r="W2576" s="11">
        <f>_xlfn.IFNA(INDEX(reading[[#This Row],[Memo 01]:[Memo 07]],MATCH(0,reading[[#This Row],[Memo 01]:[Memo 07]],-1)),"")</f>
        <v>45252</v>
      </c>
      <c r="X2576" s="11">
        <f ca="1">IFERROR(reading[[#This Row],[Previous]]+OFFSET(reading[[#Headers],[Memo 01]],-1,MATCH(0,reading[[#This Row],[Memo 01]:[Memo 07]],-1)-1),"")</f>
        <v>45264</v>
      </c>
      <c r="Y2576" s="10" t="str">
        <f ca="1">IF(reading[[#This Row],[Next]]&lt;&gt;"",IF(reading[[#This Row],[Next]]&gt;TODAY(),"OK",""),"")</f>
        <v/>
      </c>
      <c r="Z2576" s="13">
        <v>3</v>
      </c>
      <c r="AA2576" s="13">
        <v>3</v>
      </c>
      <c r="AB2576" s="13">
        <v>3</v>
      </c>
      <c r="AC2576" s="13">
        <v>3</v>
      </c>
      <c r="AD2576" s="13">
        <v>2</v>
      </c>
      <c r="AE2576" s="13"/>
      <c r="AF2576" s="13"/>
      <c r="AG2576" s="16">
        <f>IFERROR(SUMIF(reading[[#This Row],[1st]:[7th]],"&gt;0")/COUNTIF(reading[[#This Row],[1st]:[7th]],"&gt;0"),"")</f>
        <v>2.8</v>
      </c>
    </row>
    <row r="2577" spans="1:33" hidden="1" x14ac:dyDescent="0.2">
      <c r="A2577" s="4">
        <f>IF(B2577=1,3,IF(D2577=1,2,IF(F2577=1,1,0)))</f>
        <v>0</v>
      </c>
      <c r="B2577" s="4">
        <f>IF(C2577=$L2577,1,IF(C2577="","",0))</f>
        <v>0</v>
      </c>
      <c r="C2577" s="42" t="s">
        <v>9200</v>
      </c>
      <c r="D2577" s="4" t="str">
        <f>IF(E2577=$L2577,1,IF(E2577="","",0))</f>
        <v/>
      </c>
      <c r="E2577" s="14"/>
      <c r="F2577" s="4" t="str">
        <f>IF(G2577=$L2577,1,IF(G2577="","",0))</f>
        <v/>
      </c>
      <c r="G2577" s="14"/>
      <c r="H2577" s="6">
        <v>2120</v>
      </c>
      <c r="I2577" s="15" t="s">
        <v>3120</v>
      </c>
      <c r="J2577" s="6" t="s">
        <v>5208</v>
      </c>
      <c r="K2577" s="6"/>
      <c r="L2577" s="6" t="s">
        <v>109</v>
      </c>
      <c r="M2577" s="6" t="s">
        <v>8226</v>
      </c>
      <c r="N2577" s="7">
        <f ca="1">RAND()</f>
        <v>0.89112029346288901</v>
      </c>
      <c r="O2577" s="8">
        <v>45214</v>
      </c>
      <c r="P2577" s="8">
        <v>45215</v>
      </c>
      <c r="Q2577" s="8">
        <v>45217</v>
      </c>
      <c r="R2577" s="8">
        <v>45221</v>
      </c>
      <c r="S2577" s="8">
        <v>45228</v>
      </c>
      <c r="T2577" s="8"/>
      <c r="U2577" s="8"/>
      <c r="V2577" s="10">
        <f>COUNTA(O2577:U2577)</f>
        <v>5</v>
      </c>
      <c r="W2577" s="11">
        <f>_xlfn.IFNA(INDEX(reading[[#This Row],[Memo 01]:[Memo 07]],MATCH(0,reading[[#This Row],[Memo 01]:[Memo 07]],-1)),"")</f>
        <v>45228</v>
      </c>
      <c r="X2577" s="11">
        <f ca="1">IFERROR(reading[[#This Row],[Previous]]+OFFSET(reading[[#Headers],[Memo 01]],-1,MATCH(0,reading[[#This Row],[Memo 01]:[Memo 07]],-1)-1),"")</f>
        <v>45240</v>
      </c>
      <c r="Y2577" s="10" t="str">
        <f ca="1">IF(reading[[#This Row],[Next]]&lt;&gt;"",IF(reading[[#This Row],[Next]]&gt;TODAY(),"OK",""),"")</f>
        <v/>
      </c>
      <c r="Z2577" s="13">
        <v>3</v>
      </c>
      <c r="AA2577" s="13">
        <v>3</v>
      </c>
      <c r="AB2577" s="13">
        <v>3</v>
      </c>
      <c r="AC2577" s="13">
        <v>3</v>
      </c>
      <c r="AD2577" s="13">
        <v>3</v>
      </c>
      <c r="AE2577" s="13"/>
      <c r="AF2577" s="13"/>
      <c r="AG2577" s="16">
        <f>IFERROR(SUMIF(reading[[#This Row],[1st]:[7th]],"&gt;0")/COUNTIF(reading[[#This Row],[1st]:[7th]],"&gt;0"),"")</f>
        <v>3</v>
      </c>
    </row>
    <row r="2578" spans="1:33" x14ac:dyDescent="0.2">
      <c r="A2578" s="4">
        <f>IF(B2578=1,3,IF(D2578=1,2,IF(F2578=1,1,0)))</f>
        <v>0</v>
      </c>
      <c r="B2578" s="4" t="str">
        <f>IF(C2578=$L2578,1,IF(C2578="","",0))</f>
        <v/>
      </c>
      <c r="C2578" s="39"/>
      <c r="D2578" s="4" t="str">
        <f>IF(E2578=$L2578,1,IF(E2578="","",0))</f>
        <v/>
      </c>
      <c r="E2578" s="18"/>
      <c r="F2578" s="4" t="str">
        <f>IF(G2578=$L2578,1,IF(G2578="","",0))</f>
        <v/>
      </c>
      <c r="G2578" s="14"/>
      <c r="H2578" s="6">
        <v>1633</v>
      </c>
      <c r="I2578" s="15" t="s">
        <v>3120</v>
      </c>
      <c r="J2578" s="6" t="s">
        <v>4745</v>
      </c>
      <c r="K2578" s="6"/>
      <c r="L2578" s="6" t="s">
        <v>1715</v>
      </c>
      <c r="M2578" s="6" t="s">
        <v>7739</v>
      </c>
      <c r="N2578" s="7">
        <f ca="1">RAND()</f>
        <v>0.41372923274135553</v>
      </c>
      <c r="O2578" s="8">
        <v>45210</v>
      </c>
      <c r="P2578" s="8">
        <v>45211</v>
      </c>
      <c r="Q2578" s="8">
        <v>45213</v>
      </c>
      <c r="R2578" s="8">
        <v>45217</v>
      </c>
      <c r="S2578" s="8">
        <v>45224</v>
      </c>
      <c r="T2578" s="8">
        <v>45236</v>
      </c>
      <c r="U2578" s="8"/>
      <c r="V2578" s="10">
        <f>COUNTA(O2578:U2578)</f>
        <v>6</v>
      </c>
      <c r="W2578" s="11">
        <f>_xlfn.IFNA(INDEX(reading[[#This Row],[Memo 01]:[Memo 07]],MATCH(0,reading[[#This Row],[Memo 01]:[Memo 07]],-1)),"")</f>
        <v>45236</v>
      </c>
      <c r="X2578" s="11">
        <f ca="1">IFERROR(reading[[#This Row],[Previous]]+OFFSET(reading[[#Headers],[Memo 01]],-1,MATCH(0,reading[[#This Row],[Memo 01]:[Memo 07]],-1)-1),"")</f>
        <v>45256</v>
      </c>
      <c r="Y2578" s="10" t="str">
        <f ca="1">IF(reading[[#This Row],[Next]]&lt;&gt;"",IF(reading[[#This Row],[Next]]&gt;TODAY(),"OK",""),"")</f>
        <v/>
      </c>
      <c r="Z2578" s="13">
        <v>3</v>
      </c>
      <c r="AA2578" s="13">
        <v>3</v>
      </c>
      <c r="AB2578" s="13">
        <v>3</v>
      </c>
      <c r="AC2578" s="13">
        <v>2</v>
      </c>
      <c r="AD2578" s="13">
        <v>2</v>
      </c>
      <c r="AE2578" s="13">
        <v>3</v>
      </c>
      <c r="AF2578" s="13"/>
      <c r="AG2578" s="16">
        <f>IFERROR(SUMIF(reading[[#This Row],[1st]:[7th]],"&gt;0")/COUNTIF(reading[[#This Row],[1st]:[7th]],"&gt;0"),"")</f>
        <v>2.6666666666666665</v>
      </c>
    </row>
    <row r="2579" spans="1:33" x14ac:dyDescent="0.2">
      <c r="A2579" s="4">
        <f>IF(B2579=1,3,IF(D2579=1,2,IF(F2579=1,1,0)))</f>
        <v>0</v>
      </c>
      <c r="B2579" s="4" t="str">
        <f>IF(C2579=$L2579,1,IF(C2579="","",0))</f>
        <v/>
      </c>
      <c r="C2579" s="42"/>
      <c r="D2579" s="4" t="str">
        <f>IF(E2579=$L2579,1,IF(E2579="","",0))</f>
        <v/>
      </c>
      <c r="E2579" s="14"/>
      <c r="F2579" s="4" t="str">
        <f>IF(G2579=$L2579,1,IF(G2579="","",0))</f>
        <v/>
      </c>
      <c r="G2579" s="14"/>
      <c r="H2579" s="6">
        <v>2461</v>
      </c>
      <c r="I2579" s="15" t="s">
        <v>3120</v>
      </c>
      <c r="J2579" s="6" t="s">
        <v>5530</v>
      </c>
      <c r="K2579" s="6"/>
      <c r="L2579" s="6" t="s">
        <v>2509</v>
      </c>
      <c r="M2579" s="6" t="s">
        <v>8566</v>
      </c>
      <c r="N2579" s="7">
        <f ca="1">RAND()</f>
        <v>0.39182494954425318</v>
      </c>
      <c r="O2579" s="8">
        <v>45218</v>
      </c>
      <c r="P2579" s="8">
        <v>45219</v>
      </c>
      <c r="Q2579" s="8">
        <v>45221</v>
      </c>
      <c r="R2579" s="8">
        <v>45225</v>
      </c>
      <c r="S2579" s="8">
        <v>45232</v>
      </c>
      <c r="T2579" s="8">
        <v>45801</v>
      </c>
      <c r="U2579" s="8"/>
      <c r="V2579" s="10">
        <f>COUNTA(O2579:U2579)</f>
        <v>6</v>
      </c>
      <c r="W2579" s="11">
        <f>_xlfn.IFNA(INDEX(reading[[#This Row],[Memo 01]:[Memo 07]],MATCH(0,reading[[#This Row],[Memo 01]:[Memo 07]],-1)),"")</f>
        <v>45801</v>
      </c>
      <c r="X2579" s="11">
        <f ca="1">IFERROR(reading[[#This Row],[Previous]]+OFFSET(reading[[#Headers],[Memo 01]],-1,MATCH(0,reading[[#This Row],[Memo 01]:[Memo 07]],-1)-1),"")</f>
        <v>45821</v>
      </c>
      <c r="Y2579" s="10" t="str">
        <f ca="1">IF(reading[[#This Row],[Next]]&lt;&gt;"",IF(reading[[#This Row],[Next]]&gt;TODAY(),"OK",""),"")</f>
        <v/>
      </c>
      <c r="Z2579" s="13">
        <v>3</v>
      </c>
      <c r="AA2579" s="13">
        <v>3</v>
      </c>
      <c r="AB2579" s="13">
        <v>3</v>
      </c>
      <c r="AC2579" s="13">
        <v>3</v>
      </c>
      <c r="AD2579" s="13">
        <v>3</v>
      </c>
      <c r="AE2579" s="13">
        <v>3</v>
      </c>
      <c r="AF2579" s="13"/>
      <c r="AG2579" s="16">
        <f>IFERROR(SUMIF(reading[[#This Row],[1st]:[7th]],"&gt;0")/COUNTIF(reading[[#This Row],[1st]:[7th]],"&gt;0"),"")</f>
        <v>3</v>
      </c>
    </row>
    <row r="2580" spans="1:33" hidden="1" x14ac:dyDescent="0.2">
      <c r="A2580" s="4">
        <f>IF(B2580=1,3,IF(D2580=1,2,IF(F2580=1,1,0)))</f>
        <v>0</v>
      </c>
      <c r="B2580" s="4" t="str">
        <f>IF(C2580=$L2580,1,IF(C2580="","",0))</f>
        <v/>
      </c>
      <c r="C2580" s="18"/>
      <c r="D2580" s="4" t="str">
        <f>IF(E2580=$L2580,1,IF(E2580="","",0))</f>
        <v/>
      </c>
      <c r="E2580" s="18"/>
      <c r="F2580" s="4" t="str">
        <f>IF(G2580=$L2580,1,IF(G2580="","",0))</f>
        <v/>
      </c>
      <c r="G2580" s="14"/>
      <c r="H2580" s="6">
        <v>35</v>
      </c>
      <c r="I2580" s="15" t="s">
        <v>3120</v>
      </c>
      <c r="J2580" s="6" t="s">
        <v>3190</v>
      </c>
      <c r="K2580" s="6"/>
      <c r="L2580" s="6" t="s">
        <v>178</v>
      </c>
      <c r="M2580" s="6" t="s">
        <v>6149</v>
      </c>
      <c r="N2580" s="7">
        <f ca="1">RAND()</f>
        <v>0.65275758756127711</v>
      </c>
      <c r="O2580" s="8">
        <v>45198</v>
      </c>
      <c r="P2580" s="8">
        <v>45199</v>
      </c>
      <c r="Q2580" s="8">
        <v>45201</v>
      </c>
      <c r="R2580" s="8">
        <v>45205</v>
      </c>
      <c r="S2580" s="8">
        <v>45213</v>
      </c>
      <c r="T2580" s="8">
        <v>45225</v>
      </c>
      <c r="U2580" s="8">
        <v>45249</v>
      </c>
      <c r="V2580" s="10">
        <f>COUNTA(O2580:U2580)</f>
        <v>7</v>
      </c>
      <c r="W2580" s="11">
        <f>_xlfn.IFNA(INDEX(reading[[#This Row],[Memo 01]:[Memo 07]],MATCH(0,reading[[#This Row],[Memo 01]:[Memo 07]],-1)),"")</f>
        <v>45249</v>
      </c>
      <c r="X2580" s="11">
        <f ca="1">IFERROR(reading[[#This Row],[Previous]]+OFFSET(reading[[#Headers],[Memo 01]],-1,MATCH(0,reading[[#This Row],[Memo 01]:[Memo 07]],-1)-1),"")</f>
        <v>55249</v>
      </c>
      <c r="Y2580" s="10" t="str">
        <f ca="1">IF(reading[[#This Row],[Next]]&lt;&gt;"",IF(reading[[#This Row],[Next]]&gt;TODAY(),"OK",""),"")</f>
        <v>OK</v>
      </c>
      <c r="Z2580" s="13">
        <v>3</v>
      </c>
      <c r="AA2580" s="13">
        <v>3</v>
      </c>
      <c r="AB2580" s="13">
        <v>3</v>
      </c>
      <c r="AC2580" s="13">
        <v>2</v>
      </c>
      <c r="AD2580" s="13">
        <v>2</v>
      </c>
      <c r="AE2580" s="13">
        <v>2</v>
      </c>
      <c r="AF2580" s="13">
        <v>2</v>
      </c>
      <c r="AG2580" s="16">
        <f>IFERROR(SUMIF(reading[[#This Row],[1st]:[7th]],"&gt;0")/COUNTIF(reading[[#This Row],[1st]:[7th]],"&gt;0"),"")</f>
        <v>2.4285714285714284</v>
      </c>
    </row>
    <row r="2581" spans="1:33" x14ac:dyDescent="0.2">
      <c r="A2581" s="4">
        <f>IF(B2581=1,3,IF(D2581=1,2,IF(F2581=1,1,0)))</f>
        <v>0</v>
      </c>
      <c r="B2581" s="4" t="str">
        <f>IF(C2581=$L2581,1,IF(C2581="","",0))</f>
        <v/>
      </c>
      <c r="C2581" s="39"/>
      <c r="D2581" s="4" t="str">
        <f>IF(E2581=$L2581,1,IF(E2581="","",0))</f>
        <v/>
      </c>
      <c r="E2581" s="18"/>
      <c r="F2581" s="4" t="str">
        <f>IF(G2581=$L2581,1,IF(G2581="","",0))</f>
        <v/>
      </c>
      <c r="G2581" s="14"/>
      <c r="H2581" s="6">
        <v>994</v>
      </c>
      <c r="I2581" s="15" t="s">
        <v>3120</v>
      </c>
      <c r="J2581" s="6" t="s">
        <v>4123</v>
      </c>
      <c r="K2581" s="6"/>
      <c r="L2581" s="6" t="s">
        <v>1104</v>
      </c>
      <c r="M2581" s="6" t="s">
        <v>7102</v>
      </c>
      <c r="N2581" s="7">
        <f ca="1">RAND()</f>
        <v>0.85495210105669883</v>
      </c>
      <c r="O2581" s="8">
        <v>45204</v>
      </c>
      <c r="P2581" s="8">
        <v>45205</v>
      </c>
      <c r="Q2581" s="8">
        <v>45207</v>
      </c>
      <c r="R2581" s="8">
        <v>45211</v>
      </c>
      <c r="S2581" s="8">
        <v>45218</v>
      </c>
      <c r="T2581" s="8">
        <v>45230</v>
      </c>
      <c r="U2581" s="8"/>
      <c r="V2581" s="10">
        <f>COUNTA(O2581:U2581)</f>
        <v>6</v>
      </c>
      <c r="W2581" s="11">
        <f>_xlfn.IFNA(INDEX(reading[[#This Row],[Memo 01]:[Memo 07]],MATCH(0,reading[[#This Row],[Memo 01]:[Memo 07]],-1)),"")</f>
        <v>45230</v>
      </c>
      <c r="X2581" s="11">
        <f ca="1">IFERROR(reading[[#This Row],[Previous]]+OFFSET(reading[[#Headers],[Memo 01]],-1,MATCH(0,reading[[#This Row],[Memo 01]:[Memo 07]],-1)-1),"")</f>
        <v>45250</v>
      </c>
      <c r="Y2581" s="10" t="str">
        <f ca="1">IF(reading[[#This Row],[Next]]&lt;&gt;"",IF(reading[[#This Row],[Next]]&gt;TODAY(),"OK",""),"")</f>
        <v/>
      </c>
      <c r="Z2581" s="13">
        <v>3</v>
      </c>
      <c r="AA2581" s="13">
        <v>3</v>
      </c>
      <c r="AB2581" s="13">
        <v>2</v>
      </c>
      <c r="AC2581" s="13">
        <v>3</v>
      </c>
      <c r="AD2581" s="13">
        <v>3</v>
      </c>
      <c r="AE2581" s="13">
        <v>3</v>
      </c>
      <c r="AF2581" s="13"/>
      <c r="AG2581" s="16">
        <f>IFERROR(SUMIF(reading[[#This Row],[1st]:[7th]],"&gt;0")/COUNTIF(reading[[#This Row],[1st]:[7th]],"&gt;0"),"")</f>
        <v>2.8333333333333335</v>
      </c>
    </row>
    <row r="2582" spans="1:33" hidden="1" x14ac:dyDescent="0.2">
      <c r="A2582" s="4">
        <f>IF(B2582=1,3,IF(D2582=1,2,IF(F2582=1,1,0)))</f>
        <v>3</v>
      </c>
      <c r="B2582" s="4">
        <f>IF(C2582=$L2582,1,IF(C2582="","",0))</f>
        <v>1</v>
      </c>
      <c r="C2582" s="36" t="s">
        <v>79</v>
      </c>
      <c r="D2582" s="4" t="str">
        <f>IF(E2582=$L2582,1,IF(E2582="","",0))</f>
        <v/>
      </c>
      <c r="E2582" s="14"/>
      <c r="F2582" s="4" t="str">
        <f>IF(G2582=$L2582,1,IF(G2582="","",0))</f>
        <v/>
      </c>
      <c r="G2582" s="14"/>
      <c r="H2582" s="6">
        <v>2586</v>
      </c>
      <c r="I2582" s="15" t="s">
        <v>3120</v>
      </c>
      <c r="J2582" s="6" t="s">
        <v>5644</v>
      </c>
      <c r="K2582" s="6"/>
      <c r="L2582" s="6" t="s">
        <v>79</v>
      </c>
      <c r="M2582" s="6" t="s">
        <v>8691</v>
      </c>
      <c r="N2582" s="7">
        <f ca="1">RAND()</f>
        <v>0.6432748775518411</v>
      </c>
      <c r="O2582" s="8">
        <v>45219</v>
      </c>
      <c r="P2582" s="8">
        <v>45219</v>
      </c>
      <c r="Q2582" s="8">
        <v>45219</v>
      </c>
      <c r="R2582" s="8">
        <v>45219</v>
      </c>
      <c r="S2582" s="8">
        <v>45219</v>
      </c>
      <c r="T2582" s="8">
        <v>45219</v>
      </c>
      <c r="U2582" s="8">
        <v>45219</v>
      </c>
      <c r="V2582" s="10">
        <f>COUNTA(O2582:U2582)</f>
        <v>7</v>
      </c>
      <c r="W2582" s="11">
        <f>_xlfn.IFNA(INDEX(reading[[#This Row],[Memo 01]:[Memo 07]],MATCH(0,reading[[#This Row],[Memo 01]:[Memo 07]],-1)),"")</f>
        <v>45219</v>
      </c>
      <c r="X2582" s="11">
        <f ca="1">IFERROR(reading[[#This Row],[Previous]]+OFFSET(reading[[#Headers],[Memo 01]],-1,MATCH(0,reading[[#This Row],[Memo 01]:[Memo 07]],-1)-1),"")</f>
        <v>55219</v>
      </c>
      <c r="Y2582" s="10" t="str">
        <f ca="1">IF(reading[[#This Row],[Next]]&lt;&gt;"",IF(reading[[#This Row],[Next]]&gt;TODAY(),"OK",""),"")</f>
        <v>OK</v>
      </c>
      <c r="Z2582" s="13">
        <v>3</v>
      </c>
      <c r="AA2582" s="13"/>
      <c r="AB2582" s="13"/>
      <c r="AC2582" s="13"/>
      <c r="AD2582" s="13"/>
      <c r="AE2582" s="13"/>
      <c r="AF2582" s="13"/>
      <c r="AG2582" s="16">
        <f>IFERROR(SUMIF(reading[[#This Row],[1st]:[7th]],"&gt;0")/COUNTIF(reading[[#This Row],[1st]:[7th]],"&gt;0"),"")</f>
        <v>3</v>
      </c>
    </row>
    <row r="2583" spans="1:33" x14ac:dyDescent="0.2">
      <c r="A2583" s="4">
        <f>IF(B2583=1,3,IF(D2583=1,2,IF(F2583=1,1,0)))</f>
        <v>0</v>
      </c>
      <c r="B2583" s="4" t="str">
        <f>IF(C2583=$L2583,1,IF(C2583="","",0))</f>
        <v/>
      </c>
      <c r="C2583" s="41"/>
      <c r="D2583" s="4" t="str">
        <f>IF(E2583=$L2583,1,IF(E2583="","",0))</f>
        <v/>
      </c>
      <c r="E2583" s="14"/>
      <c r="F2583" s="4" t="str">
        <f>IF(G2583=$L2583,1,IF(G2583="","",0))</f>
        <v/>
      </c>
      <c r="G2583" s="14"/>
      <c r="H2583" s="6">
        <v>1766</v>
      </c>
      <c r="I2583" s="15" t="s">
        <v>3120</v>
      </c>
      <c r="J2583" s="6" t="s">
        <v>4873</v>
      </c>
      <c r="K2583" s="6"/>
      <c r="L2583" s="6" t="s">
        <v>1846</v>
      </c>
      <c r="M2583" s="6" t="s">
        <v>7872</v>
      </c>
      <c r="N2583" s="7">
        <f ca="1">RAND()</f>
        <v>0.48563999024295079</v>
      </c>
      <c r="O2583" s="8">
        <v>45211</v>
      </c>
      <c r="P2583" s="8">
        <v>45213</v>
      </c>
      <c r="Q2583" s="8">
        <v>45215</v>
      </c>
      <c r="R2583" s="8">
        <v>45219</v>
      </c>
      <c r="S2583" s="8">
        <v>45226</v>
      </c>
      <c r="T2583" s="8">
        <v>45251</v>
      </c>
      <c r="U2583" s="8"/>
      <c r="V2583" s="10">
        <f>COUNTA(O2583:U2583)</f>
        <v>6</v>
      </c>
      <c r="W2583" s="11">
        <f>_xlfn.IFNA(INDEX(reading[[#This Row],[Memo 01]:[Memo 07]],MATCH(0,reading[[#This Row],[Memo 01]:[Memo 07]],-1)),"")</f>
        <v>45251</v>
      </c>
      <c r="X2583" s="11">
        <f ca="1">IFERROR(reading[[#This Row],[Previous]]+OFFSET(reading[[#Headers],[Memo 01]],-1,MATCH(0,reading[[#This Row],[Memo 01]:[Memo 07]],-1)-1),"")</f>
        <v>45271</v>
      </c>
      <c r="Y2583" s="10" t="str">
        <f ca="1">IF(reading[[#This Row],[Next]]&lt;&gt;"",IF(reading[[#This Row],[Next]]&gt;TODAY(),"OK",""),"")</f>
        <v/>
      </c>
      <c r="Z2583" s="13">
        <v>3</v>
      </c>
      <c r="AA2583" s="13">
        <v>1</v>
      </c>
      <c r="AB2583" s="13">
        <v>3</v>
      </c>
      <c r="AC2583" s="13">
        <v>3</v>
      </c>
      <c r="AD2583" s="13">
        <v>3</v>
      </c>
      <c r="AE2583" s="13">
        <v>3</v>
      </c>
      <c r="AF2583" s="13"/>
      <c r="AG2583" s="16">
        <f>IFERROR(SUMIF(reading[[#This Row],[1st]:[7th]],"&gt;0")/COUNTIF(reading[[#This Row],[1st]:[7th]],"&gt;0"),"")</f>
        <v>2.6666666666666665</v>
      </c>
    </row>
    <row r="2584" spans="1:33" hidden="1" x14ac:dyDescent="0.2">
      <c r="A2584" s="4">
        <f>IF(B2584=1,3,IF(D2584=1,2,IF(F2584=1,1,0)))</f>
        <v>0</v>
      </c>
      <c r="B2584" s="4" t="str">
        <f>IF(C2584=$L2584,1,IF(C2584="","",0))</f>
        <v/>
      </c>
      <c r="C2584" s="42"/>
      <c r="D2584" s="4" t="str">
        <f>IF(E2584=$L2584,1,IF(E2584="","",0))</f>
        <v/>
      </c>
      <c r="E2584" s="14"/>
      <c r="F2584" s="4" t="str">
        <f>IF(G2584=$L2584,1,IF(G2584="","",0))</f>
        <v/>
      </c>
      <c r="G2584" s="14"/>
      <c r="H2584" s="6">
        <v>543</v>
      </c>
      <c r="I2584" s="15" t="s">
        <v>3120</v>
      </c>
      <c r="J2584" s="6" t="s">
        <v>3688</v>
      </c>
      <c r="K2584" s="24" t="s">
        <v>3142</v>
      </c>
      <c r="L2584" s="6" t="s">
        <v>671</v>
      </c>
      <c r="M2584" s="6" t="s">
        <v>6652</v>
      </c>
      <c r="N2584" s="7">
        <f ca="1">RAND()</f>
        <v>0.99735697991221439</v>
      </c>
      <c r="O2584" s="8">
        <v>45202</v>
      </c>
      <c r="P2584" s="8">
        <v>45203</v>
      </c>
      <c r="Q2584" s="8">
        <v>45205</v>
      </c>
      <c r="R2584" s="8">
        <v>45209</v>
      </c>
      <c r="S2584" s="8">
        <v>45216</v>
      </c>
      <c r="T2584" s="8">
        <v>45228</v>
      </c>
      <c r="U2584" s="8">
        <v>45253</v>
      </c>
      <c r="V2584" s="10">
        <f>COUNTA(O2584:U2584)</f>
        <v>7</v>
      </c>
      <c r="W2584" s="11">
        <f>_xlfn.IFNA(INDEX(reading[[#This Row],[Memo 01]:[Memo 07]],MATCH(0,reading[[#This Row],[Memo 01]:[Memo 07]],-1)),"")</f>
        <v>45253</v>
      </c>
      <c r="X2584" s="11">
        <f ca="1">IFERROR(reading[[#This Row],[Previous]]+OFFSET(reading[[#Headers],[Memo 01]],-1,MATCH(0,reading[[#This Row],[Memo 01]:[Memo 07]],-1)-1),"")</f>
        <v>55253</v>
      </c>
      <c r="Y2584" s="10" t="str">
        <f ca="1">IF(reading[[#This Row],[Next]]&lt;&gt;"",IF(reading[[#This Row],[Next]]&gt;TODAY(),"OK",""),"")</f>
        <v>OK</v>
      </c>
      <c r="Z2584" s="13">
        <v>3</v>
      </c>
      <c r="AA2584" s="13">
        <v>1</v>
      </c>
      <c r="AB2584" s="13">
        <v>3</v>
      </c>
      <c r="AC2584" s="13">
        <v>3</v>
      </c>
      <c r="AD2584" s="13">
        <v>3</v>
      </c>
      <c r="AE2584" s="13">
        <v>3</v>
      </c>
      <c r="AF2584" s="13">
        <v>2</v>
      </c>
      <c r="AG2584" s="16">
        <f>IFERROR(SUMIF(reading[[#This Row],[1st]:[7th]],"&gt;0")/COUNTIF(reading[[#This Row],[1st]:[7th]],"&gt;0"),"")</f>
        <v>2.5714285714285716</v>
      </c>
    </row>
    <row r="2585" spans="1:33" x14ac:dyDescent="0.2">
      <c r="A2585" s="4">
        <f>IF(B2585=1,3,IF(D2585=1,2,IF(F2585=1,1,0)))</f>
        <v>0</v>
      </c>
      <c r="B2585" s="4" t="str">
        <f>IF(C2585=$L2585,1,IF(C2585="","",0))</f>
        <v/>
      </c>
      <c r="C2585" s="36"/>
      <c r="D2585" s="4" t="str">
        <f>IF(E2585=$L2585,1,IF(E2585="","",0))</f>
        <v/>
      </c>
      <c r="E2585" s="14"/>
      <c r="F2585" s="4" t="str">
        <f>IF(G2585=$L2585,1,IF(G2585="","",0))</f>
        <v/>
      </c>
      <c r="G2585" s="14"/>
      <c r="H2585" s="6">
        <v>408</v>
      </c>
      <c r="I2585" s="15" t="s">
        <v>3120</v>
      </c>
      <c r="J2585" s="6" t="s">
        <v>3554</v>
      </c>
      <c r="K2585" s="6"/>
      <c r="L2585" s="6" t="s">
        <v>539</v>
      </c>
      <c r="M2585" s="6" t="s">
        <v>6517</v>
      </c>
      <c r="N2585" s="7">
        <f ca="1">RAND()</f>
        <v>0.47786815979474673</v>
      </c>
      <c r="O2585" s="8">
        <v>45201</v>
      </c>
      <c r="P2585" s="8">
        <v>45202</v>
      </c>
      <c r="Q2585" s="8">
        <v>45204</v>
      </c>
      <c r="R2585" s="8">
        <v>45208</v>
      </c>
      <c r="S2585" s="8">
        <v>45215</v>
      </c>
      <c r="T2585" s="8">
        <v>45227</v>
      </c>
      <c r="U2585" s="8"/>
      <c r="V2585" s="10">
        <f>COUNTA(O2585:U2585)</f>
        <v>6</v>
      </c>
      <c r="W2585" s="11">
        <f>_xlfn.IFNA(INDEX(reading[[#This Row],[Memo 01]:[Memo 07]],MATCH(0,reading[[#This Row],[Memo 01]:[Memo 07]],-1)),"")</f>
        <v>45227</v>
      </c>
      <c r="X2585" s="11">
        <f ca="1">IFERROR(reading[[#This Row],[Previous]]+OFFSET(reading[[#Headers],[Memo 01]],-1,MATCH(0,reading[[#This Row],[Memo 01]:[Memo 07]],-1)-1),"")</f>
        <v>45247</v>
      </c>
      <c r="Y2585" s="10" t="str">
        <f ca="1">IF(reading[[#This Row],[Next]]&lt;&gt;"",IF(reading[[#This Row],[Next]]&gt;TODAY(),"OK",""),"")</f>
        <v/>
      </c>
      <c r="Z2585" s="13">
        <v>3</v>
      </c>
      <c r="AA2585" s="13">
        <v>3</v>
      </c>
      <c r="AB2585" s="13">
        <v>3</v>
      </c>
      <c r="AC2585" s="13">
        <v>3</v>
      </c>
      <c r="AD2585" s="13">
        <v>3</v>
      </c>
      <c r="AE2585" s="13">
        <v>3</v>
      </c>
      <c r="AF2585" s="13"/>
      <c r="AG2585" s="16">
        <f>IFERROR(SUMIF(reading[[#This Row],[1st]:[7th]],"&gt;0")/COUNTIF(reading[[#This Row],[1st]:[7th]],"&gt;0"),"")</f>
        <v>3</v>
      </c>
    </row>
    <row r="2586" spans="1:33" hidden="1" x14ac:dyDescent="0.2">
      <c r="A2586" s="4">
        <f>IF(B2586=1,3,IF(D2586=1,2,IF(F2586=1,1,0)))</f>
        <v>0</v>
      </c>
      <c r="B2586" s="4">
        <f>IF(C2586=$L2586,1,IF(C2586="","",0))</f>
        <v>0</v>
      </c>
      <c r="C2586" s="42" t="s">
        <v>9217</v>
      </c>
      <c r="D2586" s="4" t="str">
        <f>IF(E2586=$L2586,1,IF(E2586="","",0))</f>
        <v/>
      </c>
      <c r="E2586" s="14"/>
      <c r="F2586" s="4" t="str">
        <f>IF(G2586=$L2586,1,IF(G2586="","",0))</f>
        <v/>
      </c>
      <c r="G2586" s="14"/>
      <c r="H2586" s="6">
        <v>1966</v>
      </c>
      <c r="I2586" s="15" t="s">
        <v>3120</v>
      </c>
      <c r="J2586" s="6" t="s">
        <v>5065</v>
      </c>
      <c r="K2586" s="6"/>
      <c r="L2586" s="6" t="s">
        <v>2041</v>
      </c>
      <c r="M2586" s="6" t="s">
        <v>8072</v>
      </c>
      <c r="N2586" s="7">
        <f ca="1">RAND()</f>
        <v>0.2194722122862891</v>
      </c>
      <c r="O2586" s="8">
        <v>45213</v>
      </c>
      <c r="P2586" s="8">
        <v>45214</v>
      </c>
      <c r="Q2586" s="8">
        <v>45216</v>
      </c>
      <c r="R2586" s="8">
        <v>45220</v>
      </c>
      <c r="S2586" s="8">
        <v>45227</v>
      </c>
      <c r="T2586" s="8"/>
      <c r="U2586" s="8"/>
      <c r="V2586" s="10">
        <f>COUNTA(O2586:U2586)</f>
        <v>5</v>
      </c>
      <c r="W2586" s="11">
        <f>_xlfn.IFNA(INDEX(reading[[#This Row],[Memo 01]:[Memo 07]],MATCH(0,reading[[#This Row],[Memo 01]:[Memo 07]],-1)),"")</f>
        <v>45227</v>
      </c>
      <c r="X2586" s="11">
        <f ca="1">IFERROR(reading[[#This Row],[Previous]]+OFFSET(reading[[#Headers],[Memo 01]],-1,MATCH(0,reading[[#This Row],[Memo 01]:[Memo 07]],-1)-1),"")</f>
        <v>45239</v>
      </c>
      <c r="Y2586" s="10" t="str">
        <f ca="1">IF(reading[[#This Row],[Next]]&lt;&gt;"",IF(reading[[#This Row],[Next]]&gt;TODAY(),"OK",""),"")</f>
        <v/>
      </c>
      <c r="Z2586" s="13">
        <v>3</v>
      </c>
      <c r="AA2586" s="13">
        <v>3</v>
      </c>
      <c r="AB2586" s="13">
        <v>3</v>
      </c>
      <c r="AC2586" s="13">
        <v>3</v>
      </c>
      <c r="AD2586" s="13">
        <v>3</v>
      </c>
      <c r="AE2586" s="13"/>
      <c r="AF2586" s="13"/>
      <c r="AG2586" s="16">
        <f>IFERROR(SUMIF(reading[[#This Row],[1st]:[7th]],"&gt;0")/COUNTIF(reading[[#This Row],[1st]:[7th]],"&gt;0"),"")</f>
        <v>3</v>
      </c>
    </row>
    <row r="2587" spans="1:33" hidden="1" x14ac:dyDescent="0.2">
      <c r="A2587" s="4">
        <f>IF(B2587=1,3,IF(D2587=1,2,IF(F2587=1,1,0)))</f>
        <v>0</v>
      </c>
      <c r="B2587" s="4">
        <f>IF(C2587=$L2587,1,IF(C2587="","",0))</f>
        <v>0</v>
      </c>
      <c r="C2587" s="42" t="s">
        <v>9200</v>
      </c>
      <c r="D2587" s="4" t="str">
        <f>IF(E2587=$L2587,1,IF(E2587="","",0))</f>
        <v/>
      </c>
      <c r="E2587" s="14"/>
      <c r="F2587" s="4" t="str">
        <f>IF(G2587=$L2587,1,IF(G2587="","",0))</f>
        <v/>
      </c>
      <c r="G2587" s="14"/>
      <c r="H2587" s="6">
        <v>720</v>
      </c>
      <c r="I2587" s="15" t="s">
        <v>3120</v>
      </c>
      <c r="J2587" s="6" t="s">
        <v>3858</v>
      </c>
      <c r="K2587" s="6"/>
      <c r="L2587" s="6" t="s">
        <v>841</v>
      </c>
      <c r="M2587" s="6" t="s">
        <v>6829</v>
      </c>
      <c r="N2587" s="7">
        <f ca="1">RAND()</f>
        <v>0.95805695194894214</v>
      </c>
      <c r="O2587" s="8">
        <v>45203</v>
      </c>
      <c r="P2587" s="8">
        <v>45204</v>
      </c>
      <c r="Q2587" s="8">
        <v>45206</v>
      </c>
      <c r="R2587" s="8">
        <v>45210</v>
      </c>
      <c r="S2587" s="8">
        <v>45217</v>
      </c>
      <c r="T2587" s="8">
        <v>45229</v>
      </c>
      <c r="U2587" s="8"/>
      <c r="V2587" s="10">
        <f>COUNTA(O2587:U2587)</f>
        <v>6</v>
      </c>
      <c r="W2587" s="11">
        <f>_xlfn.IFNA(INDEX(reading[[#This Row],[Memo 01]:[Memo 07]],MATCH(0,reading[[#This Row],[Memo 01]:[Memo 07]],-1)),"")</f>
        <v>45229</v>
      </c>
      <c r="X2587" s="11">
        <f ca="1">IFERROR(reading[[#This Row],[Previous]]+OFFSET(reading[[#Headers],[Memo 01]],-1,MATCH(0,reading[[#This Row],[Memo 01]:[Memo 07]],-1)-1),"")</f>
        <v>45249</v>
      </c>
      <c r="Y2587" s="10" t="str">
        <f ca="1">IF(reading[[#This Row],[Next]]&lt;&gt;"",IF(reading[[#This Row],[Next]]&gt;TODAY(),"OK",""),"")</f>
        <v/>
      </c>
      <c r="Z2587" s="13">
        <v>3</v>
      </c>
      <c r="AA2587" s="13">
        <v>3</v>
      </c>
      <c r="AB2587" s="13">
        <v>3</v>
      </c>
      <c r="AC2587" s="13">
        <v>3</v>
      </c>
      <c r="AD2587" s="13">
        <v>3</v>
      </c>
      <c r="AE2587" s="13">
        <v>3</v>
      </c>
      <c r="AF2587" s="13"/>
      <c r="AG2587" s="16">
        <f>IFERROR(SUMIF(reading[[#This Row],[1st]:[7th]],"&gt;0")/COUNTIF(reading[[#This Row],[1st]:[7th]],"&gt;0"),"")</f>
        <v>3</v>
      </c>
    </row>
    <row r="2588" spans="1:33" x14ac:dyDescent="0.2">
      <c r="A2588" s="4">
        <f>IF(B2588=1,3,IF(D2588=1,2,IF(F2588=1,1,0)))</f>
        <v>0</v>
      </c>
      <c r="B2588" s="4" t="str">
        <f>IF(C2588=$L2588,1,IF(C2588="","",0))</f>
        <v/>
      </c>
      <c r="C2588" s="38"/>
      <c r="D2588" s="4" t="str">
        <f>IF(E2588=$L2588,1,IF(E2588="","",0))</f>
        <v/>
      </c>
      <c r="E2588" s="18"/>
      <c r="F2588" s="4" t="str">
        <f>IF(G2588=$L2588,1,IF(G2588="","",0))</f>
        <v/>
      </c>
      <c r="G2588" s="14"/>
      <c r="H2588" s="6">
        <v>592</v>
      </c>
      <c r="I2588" s="15" t="s">
        <v>3120</v>
      </c>
      <c r="J2588" s="6" t="s">
        <v>3735</v>
      </c>
      <c r="K2588" s="6"/>
      <c r="L2588" s="6" t="s">
        <v>718</v>
      </c>
      <c r="M2588" s="6" t="s">
        <v>6701</v>
      </c>
      <c r="N2588" s="7">
        <f ca="1">RAND()</f>
        <v>0.52506017456296405</v>
      </c>
      <c r="O2588" s="8">
        <v>45202</v>
      </c>
      <c r="P2588" s="8">
        <v>45203</v>
      </c>
      <c r="Q2588" s="8">
        <v>45205</v>
      </c>
      <c r="R2588" s="8">
        <v>45209</v>
      </c>
      <c r="S2588" s="8">
        <v>45216</v>
      </c>
      <c r="T2588" s="8">
        <v>45228</v>
      </c>
      <c r="U2588" s="8"/>
      <c r="V2588" s="10">
        <f>COUNTA(O2588:U2588)</f>
        <v>6</v>
      </c>
      <c r="W2588" s="11">
        <f>_xlfn.IFNA(INDEX(reading[[#This Row],[Memo 01]:[Memo 07]],MATCH(0,reading[[#This Row],[Memo 01]:[Memo 07]],-1)),"")</f>
        <v>45228</v>
      </c>
      <c r="X2588" s="11">
        <f ca="1">IFERROR(reading[[#This Row],[Previous]]+OFFSET(reading[[#Headers],[Memo 01]],-1,MATCH(0,reading[[#This Row],[Memo 01]:[Memo 07]],-1)-1),"")</f>
        <v>45248</v>
      </c>
      <c r="Y2588" s="10" t="str">
        <f ca="1">IF(reading[[#This Row],[Next]]&lt;&gt;"",IF(reading[[#This Row],[Next]]&gt;TODAY(),"OK",""),"")</f>
        <v/>
      </c>
      <c r="Z2588" s="13">
        <v>3</v>
      </c>
      <c r="AA2588" s="13">
        <v>3</v>
      </c>
      <c r="AB2588" s="13">
        <v>3</v>
      </c>
      <c r="AC2588" s="13">
        <v>3</v>
      </c>
      <c r="AD2588" s="13">
        <v>2</v>
      </c>
      <c r="AE2588" s="13">
        <v>3</v>
      </c>
      <c r="AF2588" s="13"/>
      <c r="AG2588" s="16">
        <f>IFERROR(SUMIF(reading[[#This Row],[1st]:[7th]],"&gt;0")/COUNTIF(reading[[#This Row],[1st]:[7th]],"&gt;0"),"")</f>
        <v>2.8333333333333335</v>
      </c>
    </row>
    <row r="2589" spans="1:33" x14ac:dyDescent="0.2">
      <c r="A2589" s="4">
        <f>IF(B2589=1,3,IF(D2589=1,2,IF(F2589=1,1,0)))</f>
        <v>0</v>
      </c>
      <c r="B2589" s="4" t="str">
        <f>IF(C2589=$L2589,1,IF(C2589="","",0))</f>
        <v/>
      </c>
      <c r="C2589" s="39"/>
      <c r="D2589" s="4" t="str">
        <f>IF(E2589=$L2589,1,IF(E2589="","",0))</f>
        <v/>
      </c>
      <c r="E2589" s="14"/>
      <c r="F2589" s="4" t="str">
        <f>IF(G2589=$L2589,1,IF(G2589="","",0))</f>
        <v/>
      </c>
      <c r="G2589" s="14"/>
      <c r="H2589" s="6">
        <v>1612</v>
      </c>
      <c r="I2589" s="15" t="s">
        <v>3120</v>
      </c>
      <c r="J2589" s="6" t="s">
        <v>4724</v>
      </c>
      <c r="K2589" s="6"/>
      <c r="L2589" s="6" t="s">
        <v>1694</v>
      </c>
      <c r="M2589" s="6" t="s">
        <v>7718</v>
      </c>
      <c r="N2589" s="7">
        <f ca="1">RAND()</f>
        <v>0.62937263607809468</v>
      </c>
      <c r="O2589" s="8">
        <v>45210</v>
      </c>
      <c r="P2589" s="8">
        <v>45211</v>
      </c>
      <c r="Q2589" s="8">
        <v>45213</v>
      </c>
      <c r="R2589" s="8">
        <v>45217</v>
      </c>
      <c r="S2589" s="8">
        <v>45224</v>
      </c>
      <c r="T2589" s="8">
        <v>45236</v>
      </c>
      <c r="U2589" s="8"/>
      <c r="V2589" s="10">
        <f>COUNTA(O2589:U2589)</f>
        <v>6</v>
      </c>
      <c r="W2589" s="11">
        <f>_xlfn.IFNA(INDEX(reading[[#This Row],[Memo 01]:[Memo 07]],MATCH(0,reading[[#This Row],[Memo 01]:[Memo 07]],-1)),"")</f>
        <v>45236</v>
      </c>
      <c r="X2589" s="11">
        <f ca="1">IFERROR(reading[[#This Row],[Previous]]+OFFSET(reading[[#Headers],[Memo 01]],-1,MATCH(0,reading[[#This Row],[Memo 01]:[Memo 07]],-1)-1),"")</f>
        <v>45256</v>
      </c>
      <c r="Y2589" s="10" t="str">
        <f ca="1">IF(reading[[#This Row],[Next]]&lt;&gt;"",IF(reading[[#This Row],[Next]]&gt;TODAY(),"OK",""),"")</f>
        <v/>
      </c>
      <c r="Z2589" s="13">
        <v>3</v>
      </c>
      <c r="AA2589" s="13">
        <v>3</v>
      </c>
      <c r="AB2589" s="13">
        <v>3</v>
      </c>
      <c r="AC2589" s="13">
        <v>3</v>
      </c>
      <c r="AD2589" s="13">
        <v>3</v>
      </c>
      <c r="AE2589" s="13">
        <v>3</v>
      </c>
      <c r="AF2589" s="13"/>
      <c r="AG2589" s="16">
        <f>IFERROR(SUMIF(reading[[#This Row],[1st]:[7th]],"&gt;0")/COUNTIF(reading[[#This Row],[1st]:[7th]],"&gt;0"),"")</f>
        <v>3</v>
      </c>
    </row>
    <row r="2590" spans="1:33" hidden="1" x14ac:dyDescent="0.2">
      <c r="A2590" s="4">
        <f>IF(B2590=1,3,IF(D2590=1,2,IF(F2590=1,1,0)))</f>
        <v>3</v>
      </c>
      <c r="B2590" s="4">
        <f>IF(C2590=$L2590,1,IF(C2590="","",0))</f>
        <v>1</v>
      </c>
      <c r="C2590" s="36" t="s">
        <v>2637</v>
      </c>
      <c r="D2590" s="4" t="str">
        <f>IF(E2590=$L2590,1,IF(E2590="","",0))</f>
        <v/>
      </c>
      <c r="E2590" s="14"/>
      <c r="F2590" s="4" t="str">
        <f>IF(G2590=$L2590,1,IF(G2590="","",0))</f>
        <v/>
      </c>
      <c r="G2590" s="14"/>
      <c r="H2590" s="6">
        <v>2594</v>
      </c>
      <c r="I2590" s="15" t="s">
        <v>3120</v>
      </c>
      <c r="J2590" s="6" t="s">
        <v>5651</v>
      </c>
      <c r="K2590" s="6"/>
      <c r="L2590" s="6" t="s">
        <v>2637</v>
      </c>
      <c r="M2590" s="6" t="s">
        <v>8699</v>
      </c>
      <c r="N2590" s="7">
        <f ca="1">RAND()</f>
        <v>0.63845960595189466</v>
      </c>
      <c r="O2590" s="8">
        <v>45219</v>
      </c>
      <c r="P2590" s="8">
        <v>45219</v>
      </c>
      <c r="Q2590" s="8">
        <v>45219</v>
      </c>
      <c r="R2590" s="8">
        <v>45219</v>
      </c>
      <c r="S2590" s="8">
        <v>45219</v>
      </c>
      <c r="T2590" s="8">
        <v>45219</v>
      </c>
      <c r="U2590" s="8">
        <v>45219</v>
      </c>
      <c r="V2590" s="10">
        <f>COUNTA(O2590:U2590)</f>
        <v>7</v>
      </c>
      <c r="W2590" s="11">
        <f>_xlfn.IFNA(INDEX(reading[[#This Row],[Memo 01]:[Memo 07]],MATCH(0,reading[[#This Row],[Memo 01]:[Memo 07]],-1)),"")</f>
        <v>45219</v>
      </c>
      <c r="X2590" s="11">
        <f ca="1">IFERROR(reading[[#This Row],[Previous]]+OFFSET(reading[[#Headers],[Memo 01]],-1,MATCH(0,reading[[#This Row],[Memo 01]:[Memo 07]],-1)-1),"")</f>
        <v>55219</v>
      </c>
      <c r="Y2590" s="10" t="str">
        <f ca="1">IF(reading[[#This Row],[Next]]&lt;&gt;"",IF(reading[[#This Row],[Next]]&gt;TODAY(),"OK",""),"")</f>
        <v>OK</v>
      </c>
      <c r="Z2590" s="13">
        <v>3</v>
      </c>
      <c r="AA2590" s="13"/>
      <c r="AB2590" s="13"/>
      <c r="AC2590" s="13"/>
      <c r="AD2590" s="13"/>
      <c r="AE2590" s="13"/>
      <c r="AF2590" s="13"/>
      <c r="AG2590" s="16">
        <f>IFERROR(SUMIF(reading[[#This Row],[1st]:[7th]],"&gt;0")/COUNTIF(reading[[#This Row],[1st]:[7th]],"&gt;0"),"")</f>
        <v>3</v>
      </c>
    </row>
    <row r="2591" spans="1:33" x14ac:dyDescent="0.2">
      <c r="A2591" s="4">
        <f>IF(B2591=1,3,IF(D2591=1,2,IF(F2591=1,1,0)))</f>
        <v>0</v>
      </c>
      <c r="B2591" s="4" t="str">
        <f>IF(C2591=$L2591,1,IF(C2591="","",0))</f>
        <v/>
      </c>
      <c r="C2591" s="36"/>
      <c r="D2591" s="4" t="str">
        <f>IF(E2591=$L2591,1,IF(E2591="","",0))</f>
        <v/>
      </c>
      <c r="E2591" s="18"/>
      <c r="F2591" s="4" t="str">
        <f>IF(G2591=$L2591,1,IF(G2591="","",0))</f>
        <v/>
      </c>
      <c r="G2591" s="14"/>
      <c r="H2591" s="6">
        <v>336</v>
      </c>
      <c r="I2591" s="15" t="s">
        <v>3120</v>
      </c>
      <c r="J2591" s="6" t="s">
        <v>3483</v>
      </c>
      <c r="K2591" s="6"/>
      <c r="L2591" s="6" t="s">
        <v>471</v>
      </c>
      <c r="M2591" s="6" t="s">
        <v>6445</v>
      </c>
      <c r="N2591" s="7">
        <f ca="1">RAND()</f>
        <v>5.4954244655070261E-2</v>
      </c>
      <c r="O2591" s="8">
        <v>45200</v>
      </c>
      <c r="P2591" s="8">
        <v>45201</v>
      </c>
      <c r="Q2591" s="8">
        <v>45203</v>
      </c>
      <c r="R2591" s="8">
        <v>45207</v>
      </c>
      <c r="S2591" s="8">
        <v>45214</v>
      </c>
      <c r="T2591" s="8">
        <v>45226</v>
      </c>
      <c r="U2591" s="8"/>
      <c r="V2591" s="10">
        <f>COUNTA(O2591:U2591)</f>
        <v>6</v>
      </c>
      <c r="W2591" s="11">
        <f>_xlfn.IFNA(INDEX(reading[[#This Row],[Memo 01]:[Memo 07]],MATCH(0,reading[[#This Row],[Memo 01]:[Memo 07]],-1)),"")</f>
        <v>45226</v>
      </c>
      <c r="X2591" s="11">
        <f ca="1">IFERROR(reading[[#This Row],[Previous]]+OFFSET(reading[[#Headers],[Memo 01]],-1,MATCH(0,reading[[#This Row],[Memo 01]:[Memo 07]],-1)-1),"")</f>
        <v>45246</v>
      </c>
      <c r="Y2591" s="10" t="str">
        <f ca="1">IF(reading[[#This Row],[Next]]&lt;&gt;"",IF(reading[[#This Row],[Next]]&gt;TODAY(),"OK",""),"")</f>
        <v/>
      </c>
      <c r="Z2591" s="13">
        <v>3</v>
      </c>
      <c r="AA2591" s="13">
        <v>3</v>
      </c>
      <c r="AB2591" s="13">
        <v>3</v>
      </c>
      <c r="AC2591" s="13">
        <v>3</v>
      </c>
      <c r="AD2591" s="13">
        <v>2</v>
      </c>
      <c r="AE2591" s="13">
        <v>3</v>
      </c>
      <c r="AF2591" s="13"/>
      <c r="AG2591" s="16">
        <f>IFERROR(SUMIF(reading[[#This Row],[1st]:[7th]],"&gt;0")/COUNTIF(reading[[#This Row],[1st]:[7th]],"&gt;0"),"")</f>
        <v>2.8333333333333335</v>
      </c>
    </row>
    <row r="2592" spans="1:33" hidden="1" x14ac:dyDescent="0.2">
      <c r="A2592" s="4">
        <f>IF(B2592=1,3,IF(D2592=1,2,IF(F2592=1,1,0)))</f>
        <v>3</v>
      </c>
      <c r="B2592" s="4">
        <f>IF(C2592=$L2592,1,IF(C2592="","",0))</f>
        <v>1</v>
      </c>
      <c r="C2592" s="36" t="s">
        <v>2639</v>
      </c>
      <c r="D2592" s="4" t="str">
        <f>IF(E2592=$L2592,1,IF(E2592="","",0))</f>
        <v/>
      </c>
      <c r="E2592" s="14"/>
      <c r="F2592" s="4" t="str">
        <f>IF(G2592=$L2592,1,IF(G2592="","",0))</f>
        <v/>
      </c>
      <c r="G2592" s="14"/>
      <c r="H2592" s="6">
        <v>2596</v>
      </c>
      <c r="I2592" s="15" t="s">
        <v>3120</v>
      </c>
      <c r="J2592" s="6" t="s">
        <v>5653</v>
      </c>
      <c r="K2592" s="6"/>
      <c r="L2592" s="6" t="s">
        <v>2639</v>
      </c>
      <c r="M2592" s="6" t="s">
        <v>8701</v>
      </c>
      <c r="N2592" s="7">
        <f ca="1">RAND()</f>
        <v>5.8113128869816011E-2</v>
      </c>
      <c r="O2592" s="8">
        <v>45219</v>
      </c>
      <c r="P2592" s="8">
        <v>45219</v>
      </c>
      <c r="Q2592" s="8">
        <v>45219</v>
      </c>
      <c r="R2592" s="8">
        <v>45219</v>
      </c>
      <c r="S2592" s="8">
        <v>45219</v>
      </c>
      <c r="T2592" s="8">
        <v>45219</v>
      </c>
      <c r="U2592" s="8">
        <v>45219</v>
      </c>
      <c r="V2592" s="10">
        <f>COUNTA(O2592:U2592)</f>
        <v>7</v>
      </c>
      <c r="W2592" s="11">
        <f>_xlfn.IFNA(INDEX(reading[[#This Row],[Memo 01]:[Memo 07]],MATCH(0,reading[[#This Row],[Memo 01]:[Memo 07]],-1)),"")</f>
        <v>45219</v>
      </c>
      <c r="X2592" s="11">
        <f ca="1">IFERROR(reading[[#This Row],[Previous]]+OFFSET(reading[[#Headers],[Memo 01]],-1,MATCH(0,reading[[#This Row],[Memo 01]:[Memo 07]],-1)-1),"")</f>
        <v>55219</v>
      </c>
      <c r="Y2592" s="10" t="str">
        <f ca="1">IF(reading[[#This Row],[Next]]&lt;&gt;"",IF(reading[[#This Row],[Next]]&gt;TODAY(),"OK",""),"")</f>
        <v>OK</v>
      </c>
      <c r="Z2592" s="13">
        <v>3</v>
      </c>
      <c r="AA2592" s="13"/>
      <c r="AB2592" s="13"/>
      <c r="AC2592" s="13"/>
      <c r="AD2592" s="13"/>
      <c r="AE2592" s="13"/>
      <c r="AF2592" s="13"/>
      <c r="AG2592" s="16">
        <f>IFERROR(SUMIF(reading[[#This Row],[1st]:[7th]],"&gt;0")/COUNTIF(reading[[#This Row],[1st]:[7th]],"&gt;0"),"")</f>
        <v>3</v>
      </c>
    </row>
    <row r="2593" spans="1:33" x14ac:dyDescent="0.2">
      <c r="A2593" s="4">
        <f>IF(B2593=1,3,IF(D2593=1,2,IF(F2593=1,1,0)))</f>
        <v>0</v>
      </c>
      <c r="B2593" s="4" t="str">
        <f>IF(C2593=$L2593,1,IF(C2593="","",0))</f>
        <v/>
      </c>
      <c r="C2593" s="39"/>
      <c r="D2593" s="4" t="str">
        <f>IF(E2593=$L2593,1,IF(E2593="","",0))</f>
        <v/>
      </c>
      <c r="E2593" s="14"/>
      <c r="F2593" s="4" t="str">
        <f>IF(G2593=$L2593,1,IF(G2593="","",0))</f>
        <v/>
      </c>
      <c r="G2593" s="14"/>
      <c r="H2593" s="6">
        <v>1743</v>
      </c>
      <c r="I2593" s="15" t="s">
        <v>3120</v>
      </c>
      <c r="J2593" s="6" t="s">
        <v>4851</v>
      </c>
      <c r="K2593" s="6"/>
      <c r="L2593" s="6" t="s">
        <v>1823</v>
      </c>
      <c r="M2593" s="6" t="s">
        <v>7849</v>
      </c>
      <c r="N2593" s="7">
        <f ca="1">RAND()</f>
        <v>9.9402031674230562E-2</v>
      </c>
      <c r="O2593" s="8">
        <v>45211</v>
      </c>
      <c r="P2593" s="8">
        <v>45212</v>
      </c>
      <c r="Q2593" s="8">
        <v>45214</v>
      </c>
      <c r="R2593" s="8">
        <v>45218</v>
      </c>
      <c r="S2593" s="8">
        <v>45225</v>
      </c>
      <c r="T2593" s="8">
        <v>45237</v>
      </c>
      <c r="U2593" s="8"/>
      <c r="V2593" s="10">
        <f>COUNTA(O2593:U2593)</f>
        <v>6</v>
      </c>
      <c r="W2593" s="11">
        <f>_xlfn.IFNA(INDEX(reading[[#This Row],[Memo 01]:[Memo 07]],MATCH(0,reading[[#This Row],[Memo 01]:[Memo 07]],-1)),"")</f>
        <v>45237</v>
      </c>
      <c r="X2593" s="11">
        <f ca="1">IFERROR(reading[[#This Row],[Previous]]+OFFSET(reading[[#Headers],[Memo 01]],-1,MATCH(0,reading[[#This Row],[Memo 01]:[Memo 07]],-1)-1),"")</f>
        <v>45257</v>
      </c>
      <c r="Y2593" s="10" t="str">
        <f ca="1">IF(reading[[#This Row],[Next]]&lt;&gt;"",IF(reading[[#This Row],[Next]]&gt;TODAY(),"OK",""),"")</f>
        <v/>
      </c>
      <c r="Z2593" s="13">
        <v>3</v>
      </c>
      <c r="AA2593" s="13">
        <v>3</v>
      </c>
      <c r="AB2593" s="13">
        <v>3</v>
      </c>
      <c r="AC2593" s="13">
        <v>3</v>
      </c>
      <c r="AD2593" s="13">
        <v>3</v>
      </c>
      <c r="AE2593" s="13">
        <v>3</v>
      </c>
      <c r="AF2593" s="13"/>
      <c r="AG2593" s="16">
        <f>IFERROR(SUMIF(reading[[#This Row],[1st]:[7th]],"&gt;0")/COUNTIF(reading[[#This Row],[1st]:[7th]],"&gt;0"),"")</f>
        <v>3</v>
      </c>
    </row>
    <row r="2594" spans="1:33" x14ac:dyDescent="0.2">
      <c r="A2594" s="4">
        <f>IF(B2594=1,3,IF(D2594=1,2,IF(F2594=1,1,0)))</f>
        <v>0</v>
      </c>
      <c r="B2594" s="4" t="str">
        <f>IF(C2594=$L2594,1,IF(C2594="","",0))</f>
        <v/>
      </c>
      <c r="C2594" s="42"/>
      <c r="D2594" s="4" t="str">
        <f>IF(E2594=$L2594,1,IF(E2594="","",0))</f>
        <v/>
      </c>
      <c r="E2594" s="14"/>
      <c r="F2594" s="4" t="str">
        <f>IF(G2594=$L2594,1,IF(G2594="","",0))</f>
        <v/>
      </c>
      <c r="G2594" s="14"/>
      <c r="H2594" s="6">
        <v>2002</v>
      </c>
      <c r="I2594" s="15" t="s">
        <v>3120</v>
      </c>
      <c r="J2594" s="6" t="s">
        <v>5100</v>
      </c>
      <c r="K2594" s="15" t="s">
        <v>3138</v>
      </c>
      <c r="L2594" s="6" t="s">
        <v>2077</v>
      </c>
      <c r="M2594" s="6" t="s">
        <v>8108</v>
      </c>
      <c r="N2594" s="7">
        <f ca="1">RAND()</f>
        <v>0.83642469521382634</v>
      </c>
      <c r="O2594" s="8">
        <v>45213</v>
      </c>
      <c r="P2594" s="8">
        <v>45214</v>
      </c>
      <c r="Q2594" s="8">
        <v>45216</v>
      </c>
      <c r="R2594" s="8">
        <v>45220</v>
      </c>
      <c r="S2594" s="8">
        <v>45227</v>
      </c>
      <c r="T2594" s="8">
        <v>45801</v>
      </c>
      <c r="U2594" s="8"/>
      <c r="V2594" s="10">
        <f>COUNTA(O2594:U2594)</f>
        <v>6</v>
      </c>
      <c r="W2594" s="11">
        <f>_xlfn.IFNA(INDEX(reading[[#This Row],[Memo 01]:[Memo 07]],MATCH(0,reading[[#This Row],[Memo 01]:[Memo 07]],-1)),"")</f>
        <v>45801</v>
      </c>
      <c r="X2594" s="11">
        <f ca="1">IFERROR(reading[[#This Row],[Previous]]+OFFSET(reading[[#Headers],[Memo 01]],-1,MATCH(0,reading[[#This Row],[Memo 01]:[Memo 07]],-1)-1),"")</f>
        <v>45821</v>
      </c>
      <c r="Y2594" s="10" t="str">
        <f ca="1">IF(reading[[#This Row],[Next]]&lt;&gt;"",IF(reading[[#This Row],[Next]]&gt;TODAY(),"OK",""),"")</f>
        <v/>
      </c>
      <c r="Z2594" s="13">
        <v>3</v>
      </c>
      <c r="AA2594" s="13">
        <v>3</v>
      </c>
      <c r="AB2594" s="13">
        <v>3</v>
      </c>
      <c r="AC2594" s="13">
        <v>3</v>
      </c>
      <c r="AD2594" s="13">
        <v>3</v>
      </c>
      <c r="AE2594" s="13">
        <v>3</v>
      </c>
      <c r="AF2594" s="13"/>
      <c r="AG2594" s="16">
        <f>IFERROR(SUMIF(reading[[#This Row],[1st]:[7th]],"&gt;0")/COUNTIF(reading[[#This Row],[1st]:[7th]],"&gt;0"),"")</f>
        <v>3</v>
      </c>
    </row>
    <row r="2595" spans="1:33" x14ac:dyDescent="0.2">
      <c r="A2595" s="4">
        <f>IF(B2595=1,3,IF(D2595=1,2,IF(F2595=1,1,0)))</f>
        <v>0</v>
      </c>
      <c r="B2595" s="4" t="str">
        <f>IF(C2595=$L2595,1,IF(C2595="","",0))</f>
        <v/>
      </c>
      <c r="C2595" s="39"/>
      <c r="D2595" s="4" t="str">
        <f>IF(E2595=$L2595,1,IF(E2595="","",0))</f>
        <v/>
      </c>
      <c r="E2595" s="18"/>
      <c r="F2595" s="4" t="str">
        <f>IF(G2595=$L2595,1,IF(G2595="","",0))</f>
        <v/>
      </c>
      <c r="G2595" s="14"/>
      <c r="H2595" s="6">
        <v>966</v>
      </c>
      <c r="I2595" s="15" t="s">
        <v>3120</v>
      </c>
      <c r="J2595" s="6" t="s">
        <v>4095</v>
      </c>
      <c r="K2595" s="6"/>
      <c r="L2595" s="6" t="s">
        <v>1076</v>
      </c>
      <c r="M2595" s="6" t="s">
        <v>7074</v>
      </c>
      <c r="N2595" s="7">
        <f ca="1">RAND()</f>
        <v>0.68749056397604913</v>
      </c>
      <c r="O2595" s="8">
        <v>45204</v>
      </c>
      <c r="P2595" s="8">
        <v>45205</v>
      </c>
      <c r="Q2595" s="8">
        <v>45207</v>
      </c>
      <c r="R2595" s="8">
        <v>45211</v>
      </c>
      <c r="S2595" s="8">
        <v>45218</v>
      </c>
      <c r="T2595" s="8">
        <v>45230</v>
      </c>
      <c r="U2595" s="8"/>
      <c r="V2595" s="10">
        <f>COUNTA(O2595:U2595)</f>
        <v>6</v>
      </c>
      <c r="W2595" s="11">
        <f>_xlfn.IFNA(INDEX(reading[[#This Row],[Memo 01]:[Memo 07]],MATCH(0,reading[[#This Row],[Memo 01]:[Memo 07]],-1)),"")</f>
        <v>45230</v>
      </c>
      <c r="X2595" s="11">
        <f ca="1">IFERROR(reading[[#This Row],[Previous]]+OFFSET(reading[[#Headers],[Memo 01]],-1,MATCH(0,reading[[#This Row],[Memo 01]:[Memo 07]],-1)-1),"")</f>
        <v>45250</v>
      </c>
      <c r="Y2595" s="10" t="str">
        <f ca="1">IF(reading[[#This Row],[Next]]&lt;&gt;"",IF(reading[[#This Row],[Next]]&gt;TODAY(),"OK",""),"")</f>
        <v/>
      </c>
      <c r="Z2595" s="13">
        <v>3</v>
      </c>
      <c r="AA2595" s="13">
        <v>3</v>
      </c>
      <c r="AB2595" s="13">
        <v>3</v>
      </c>
      <c r="AC2595" s="13">
        <v>3</v>
      </c>
      <c r="AD2595" s="13">
        <v>2</v>
      </c>
      <c r="AE2595" s="13">
        <v>3</v>
      </c>
      <c r="AF2595" s="13"/>
      <c r="AG2595" s="16">
        <f>IFERROR(SUMIF(reading[[#This Row],[1st]:[7th]],"&gt;0")/COUNTIF(reading[[#This Row],[1st]:[7th]],"&gt;0"),"")</f>
        <v>2.8333333333333335</v>
      </c>
    </row>
    <row r="2596" spans="1:33" x14ac:dyDescent="0.2">
      <c r="A2596" s="4">
        <f>IF(B2596=1,3,IF(D2596=1,2,IF(F2596=1,1,0)))</f>
        <v>0</v>
      </c>
      <c r="B2596" s="4" t="str">
        <f>IF(C2596=$L2596,1,IF(C2596="","",0))</f>
        <v/>
      </c>
      <c r="C2596" s="39"/>
      <c r="D2596" s="4" t="str">
        <f>IF(E2596=$L2596,1,IF(E2596="","",0))</f>
        <v/>
      </c>
      <c r="E2596" s="14"/>
      <c r="F2596" s="4" t="str">
        <f>IF(G2596=$L2596,1,IF(G2596="","",0))</f>
        <v/>
      </c>
      <c r="G2596" s="14"/>
      <c r="H2596" s="6">
        <v>2696</v>
      </c>
      <c r="I2596" s="15" t="s">
        <v>3120</v>
      </c>
      <c r="J2596" s="6" t="s">
        <v>5746</v>
      </c>
      <c r="K2596" s="6"/>
      <c r="L2596" s="6" t="s">
        <v>2735</v>
      </c>
      <c r="M2596" s="6" t="s">
        <v>8801</v>
      </c>
      <c r="N2596" s="7">
        <f ca="1">RAND()</f>
        <v>0.32908549936725928</v>
      </c>
      <c r="O2596" s="8">
        <v>45220</v>
      </c>
      <c r="P2596" s="8">
        <v>45221</v>
      </c>
      <c r="Q2596" s="8">
        <v>45223</v>
      </c>
      <c r="R2596" s="8">
        <v>45227</v>
      </c>
      <c r="S2596" s="8">
        <v>45234</v>
      </c>
      <c r="T2596" s="8"/>
      <c r="U2596" s="8"/>
      <c r="V2596" s="10">
        <f>COUNTA(O2596:U2596)</f>
        <v>5</v>
      </c>
      <c r="W2596" s="11">
        <f>_xlfn.IFNA(INDEX(reading[[#This Row],[Memo 01]:[Memo 07]],MATCH(0,reading[[#This Row],[Memo 01]:[Memo 07]],-1)),"")</f>
        <v>45234</v>
      </c>
      <c r="X2596" s="11">
        <f ca="1">IFERROR(reading[[#This Row],[Previous]]+OFFSET(reading[[#Headers],[Memo 01]],-1,MATCH(0,reading[[#This Row],[Memo 01]:[Memo 07]],-1)-1),"")</f>
        <v>45246</v>
      </c>
      <c r="Y2596" s="10" t="str">
        <f ca="1">IF(reading[[#This Row],[Next]]&lt;&gt;"",IF(reading[[#This Row],[Next]]&gt;TODAY(),"OK",""),"")</f>
        <v/>
      </c>
      <c r="Z2596" s="13">
        <v>3</v>
      </c>
      <c r="AA2596" s="13">
        <v>3</v>
      </c>
      <c r="AB2596" s="13">
        <v>3</v>
      </c>
      <c r="AC2596" s="13">
        <v>3</v>
      </c>
      <c r="AD2596" s="13">
        <v>3</v>
      </c>
      <c r="AE2596" s="13"/>
      <c r="AF2596" s="13"/>
      <c r="AG2596" s="16">
        <f>IFERROR(SUMIF(reading[[#This Row],[1st]:[7th]],"&gt;0")/COUNTIF(reading[[#This Row],[1st]:[7th]],"&gt;0"),"")</f>
        <v>3</v>
      </c>
    </row>
    <row r="2597" spans="1:33" x14ac:dyDescent="0.2">
      <c r="A2597" s="4">
        <f>IF(B2597=1,3,IF(D2597=1,2,IF(F2597=1,1,0)))</f>
        <v>0</v>
      </c>
      <c r="B2597" s="4" t="str">
        <f>IF(C2597=$L2597,1,IF(C2597="","",0))</f>
        <v/>
      </c>
      <c r="C2597" s="39"/>
      <c r="D2597" s="4" t="str">
        <f>IF(E2597=$L2597,1,IF(E2597="","",0))</f>
        <v/>
      </c>
      <c r="E2597" s="14"/>
      <c r="F2597" s="4" t="str">
        <f>IF(G2597=$L2597,1,IF(G2597="","",0))</f>
        <v/>
      </c>
      <c r="G2597" s="14"/>
      <c r="H2597" s="6">
        <v>1366</v>
      </c>
      <c r="I2597" s="15" t="s">
        <v>3120</v>
      </c>
      <c r="J2597" s="6" t="s">
        <v>4480</v>
      </c>
      <c r="K2597" s="6"/>
      <c r="L2597" s="6" t="s">
        <v>1460</v>
      </c>
      <c r="M2597" s="6" t="s">
        <v>7473</v>
      </c>
      <c r="N2597" s="7">
        <f ca="1">RAND()</f>
        <v>0.93776826471289021</v>
      </c>
      <c r="O2597" s="8">
        <v>45207</v>
      </c>
      <c r="P2597" s="8">
        <v>45208</v>
      </c>
      <c r="Q2597" s="8">
        <v>45210</v>
      </c>
      <c r="R2597" s="8">
        <v>45214</v>
      </c>
      <c r="S2597" s="8">
        <v>45221</v>
      </c>
      <c r="T2597" s="8">
        <v>45233</v>
      </c>
      <c r="U2597" s="8"/>
      <c r="V2597" s="10">
        <f>COUNTA(O2597:U2597)</f>
        <v>6</v>
      </c>
      <c r="W2597" s="11">
        <f>_xlfn.IFNA(INDEX(reading[[#This Row],[Memo 01]:[Memo 07]],MATCH(0,reading[[#This Row],[Memo 01]:[Memo 07]],-1)),"")</f>
        <v>45233</v>
      </c>
      <c r="X2597" s="11">
        <f ca="1">IFERROR(reading[[#This Row],[Previous]]+OFFSET(reading[[#Headers],[Memo 01]],-1,MATCH(0,reading[[#This Row],[Memo 01]:[Memo 07]],-1)-1),"")</f>
        <v>45253</v>
      </c>
      <c r="Y2597" s="10" t="str">
        <f ca="1">IF(reading[[#This Row],[Next]]&lt;&gt;"",IF(reading[[#This Row],[Next]]&gt;TODAY(),"OK",""),"")</f>
        <v/>
      </c>
      <c r="Z2597" s="13">
        <v>3</v>
      </c>
      <c r="AA2597" s="13">
        <v>3</v>
      </c>
      <c r="AB2597" s="13">
        <v>3</v>
      </c>
      <c r="AC2597" s="13">
        <v>3</v>
      </c>
      <c r="AD2597" s="13">
        <v>3</v>
      </c>
      <c r="AE2597" s="13">
        <v>3</v>
      </c>
      <c r="AF2597" s="13"/>
      <c r="AG2597" s="16">
        <f>IFERROR(SUMIF(reading[[#This Row],[1st]:[7th]],"&gt;0")/COUNTIF(reading[[#This Row],[1st]:[7th]],"&gt;0"),"")</f>
        <v>3</v>
      </c>
    </row>
    <row r="2598" spans="1:33" hidden="1" x14ac:dyDescent="0.2">
      <c r="A2598" s="4">
        <f>IF(B2598=1,3,IF(D2598=1,2,IF(F2598=1,1,0)))</f>
        <v>0</v>
      </c>
      <c r="B2598" s="4" t="str">
        <f>IF(C2598=$L2598,1,IF(C2598="","",0))</f>
        <v/>
      </c>
      <c r="C2598" s="42"/>
      <c r="D2598" s="4" t="str">
        <f>IF(E2598=$L2598,1,IF(E2598="","",0))</f>
        <v/>
      </c>
      <c r="E2598" s="23"/>
      <c r="F2598" s="4" t="str">
        <f>IF(G2598=$L2598,1,IF(G2598="","",0))</f>
        <v/>
      </c>
      <c r="G2598" s="14"/>
      <c r="H2598" s="6">
        <v>2085</v>
      </c>
      <c r="I2598" s="15" t="s">
        <v>3120</v>
      </c>
      <c r="J2598" s="24" t="s">
        <v>9256</v>
      </c>
      <c r="K2598" s="24" t="s">
        <v>3136</v>
      </c>
      <c r="L2598" s="6" t="s">
        <v>2156</v>
      </c>
      <c r="M2598" s="6" t="s">
        <v>8191</v>
      </c>
      <c r="N2598" s="7">
        <f ca="1">RAND()</f>
        <v>0.32147046376307331</v>
      </c>
      <c r="O2598" s="8">
        <v>45214</v>
      </c>
      <c r="P2598" s="8">
        <v>45215</v>
      </c>
      <c r="Q2598" s="8">
        <v>45217</v>
      </c>
      <c r="R2598" s="8">
        <v>45221</v>
      </c>
      <c r="S2598" s="8">
        <v>45228</v>
      </c>
      <c r="T2598" s="8">
        <v>45825</v>
      </c>
      <c r="U2598" s="8"/>
      <c r="V2598" s="10">
        <f>COUNTA(O2598:U2598)</f>
        <v>6</v>
      </c>
      <c r="W2598" s="11">
        <f>_xlfn.IFNA(INDEX(reading[[#This Row],[Memo 01]:[Memo 07]],MATCH(0,reading[[#This Row],[Memo 01]:[Memo 07]],-1)),"")</f>
        <v>45825</v>
      </c>
      <c r="X2598" s="11">
        <f ca="1">IFERROR(reading[[#This Row],[Previous]]+OFFSET(reading[[#Headers],[Memo 01]],-1,MATCH(0,reading[[#This Row],[Memo 01]:[Memo 07]],-1)-1),"")</f>
        <v>45845</v>
      </c>
      <c r="Y2598" s="10" t="str">
        <f ca="1">IF(reading[[#This Row],[Next]]&lt;&gt;"",IF(reading[[#This Row],[Next]]&gt;TODAY(),"OK",""),"")</f>
        <v>OK</v>
      </c>
      <c r="Z2598" s="13">
        <v>3</v>
      </c>
      <c r="AA2598" s="13">
        <v>3</v>
      </c>
      <c r="AB2598" s="13">
        <v>3</v>
      </c>
      <c r="AC2598" s="13">
        <v>3</v>
      </c>
      <c r="AD2598" s="13">
        <v>3</v>
      </c>
      <c r="AE2598" s="13">
        <v>2</v>
      </c>
      <c r="AF2598" s="13"/>
      <c r="AG2598" s="16">
        <f>IFERROR(SUMIF(reading[[#This Row],[1st]:[7th]],"&gt;0")/COUNTIF(reading[[#This Row],[1st]:[7th]],"&gt;0"),"")</f>
        <v>2.8333333333333335</v>
      </c>
    </row>
    <row r="2599" spans="1:33" x14ac:dyDescent="0.2">
      <c r="A2599" s="4">
        <f>IF(B2599=1,3,IF(D2599=1,2,IF(F2599=1,1,0)))</f>
        <v>0</v>
      </c>
      <c r="B2599" s="4" t="str">
        <f>IF(C2599=$L2599,1,IF(C2599="","",0))</f>
        <v/>
      </c>
      <c r="C2599" s="38"/>
      <c r="D2599" s="4" t="str">
        <f>IF(E2599=$L2599,1,IF(E2599="","",0))</f>
        <v/>
      </c>
      <c r="E2599" s="14"/>
      <c r="F2599" s="4" t="str">
        <f>IF(G2599=$L2599,1,IF(G2599="","",0))</f>
        <v/>
      </c>
      <c r="G2599" s="14"/>
      <c r="H2599" s="6">
        <v>2146</v>
      </c>
      <c r="I2599" s="15" t="s">
        <v>3120</v>
      </c>
      <c r="J2599" s="6" t="s">
        <v>5234</v>
      </c>
      <c r="K2599" s="6"/>
      <c r="L2599" s="6" t="s">
        <v>2213</v>
      </c>
      <c r="M2599" s="6" t="s">
        <v>8252</v>
      </c>
      <c r="N2599" s="7">
        <f ca="1">RAND()</f>
        <v>0.52238454573382331</v>
      </c>
      <c r="O2599" s="8">
        <v>45214</v>
      </c>
      <c r="P2599" s="8">
        <v>45215</v>
      </c>
      <c r="Q2599" s="8">
        <v>45217</v>
      </c>
      <c r="R2599" s="8">
        <v>45221</v>
      </c>
      <c r="S2599" s="8">
        <v>45228</v>
      </c>
      <c r="T2599" s="8"/>
      <c r="U2599" s="8"/>
      <c r="V2599" s="10">
        <f>COUNTA(O2599:U2599)</f>
        <v>5</v>
      </c>
      <c r="W2599" s="11">
        <f>_xlfn.IFNA(INDEX(reading[[#This Row],[Memo 01]:[Memo 07]],MATCH(0,reading[[#This Row],[Memo 01]:[Memo 07]],-1)),"")</f>
        <v>45228</v>
      </c>
      <c r="X2599" s="11">
        <f ca="1">IFERROR(reading[[#This Row],[Previous]]+OFFSET(reading[[#Headers],[Memo 01]],-1,MATCH(0,reading[[#This Row],[Memo 01]:[Memo 07]],-1)-1),"")</f>
        <v>45240</v>
      </c>
      <c r="Y2599" s="10" t="str">
        <f ca="1">IF(reading[[#This Row],[Next]]&lt;&gt;"",IF(reading[[#This Row],[Next]]&gt;TODAY(),"OK",""),"")</f>
        <v/>
      </c>
      <c r="Z2599" s="13">
        <v>3</v>
      </c>
      <c r="AA2599" s="13">
        <v>3</v>
      </c>
      <c r="AB2599" s="13">
        <v>3</v>
      </c>
      <c r="AC2599" s="13">
        <v>3</v>
      </c>
      <c r="AD2599" s="13">
        <v>2</v>
      </c>
      <c r="AE2599" s="13"/>
      <c r="AF2599" s="13"/>
      <c r="AG2599" s="16">
        <f>IFERROR(SUMIF(reading[[#This Row],[1st]:[7th]],"&gt;0")/COUNTIF(reading[[#This Row],[1st]:[7th]],"&gt;0"),"")</f>
        <v>2.8</v>
      </c>
    </row>
    <row r="2600" spans="1:33" hidden="1" x14ac:dyDescent="0.2">
      <c r="A2600" s="4">
        <f>IF(B2600=1,3,IF(D2600=1,2,IF(F2600=1,1,0)))</f>
        <v>3</v>
      </c>
      <c r="B2600" s="4">
        <f>IF(C2600=$L2600,1,IF(C2600="","",0))</f>
        <v>1</v>
      </c>
      <c r="C2600" s="36" t="s">
        <v>2647</v>
      </c>
      <c r="D2600" s="4" t="str">
        <f>IF(E2600=$L2600,1,IF(E2600="","",0))</f>
        <v/>
      </c>
      <c r="E2600" s="14"/>
      <c r="F2600" s="4" t="str">
        <f>IF(G2600=$L2600,1,IF(G2600="","",0))</f>
        <v/>
      </c>
      <c r="G2600" s="14"/>
      <c r="H2600" s="6">
        <v>2604</v>
      </c>
      <c r="I2600" s="15" t="s">
        <v>3120</v>
      </c>
      <c r="J2600" s="6" t="s">
        <v>5660</v>
      </c>
      <c r="K2600" s="6"/>
      <c r="L2600" s="6" t="s">
        <v>2647</v>
      </c>
      <c r="M2600" s="6" t="s">
        <v>8709</v>
      </c>
      <c r="N2600" s="7">
        <f ca="1">RAND()</f>
        <v>6.8502418609533877E-2</v>
      </c>
      <c r="O2600" s="8">
        <v>45220</v>
      </c>
      <c r="P2600" s="8">
        <v>45220</v>
      </c>
      <c r="Q2600" s="8">
        <v>45220</v>
      </c>
      <c r="R2600" s="8">
        <v>45220</v>
      </c>
      <c r="S2600" s="8">
        <v>45220</v>
      </c>
      <c r="T2600" s="8">
        <v>45220</v>
      </c>
      <c r="U2600" s="8">
        <v>45220</v>
      </c>
      <c r="V2600" s="10">
        <f>COUNTA(O2600:U2600)</f>
        <v>7</v>
      </c>
      <c r="W2600" s="11">
        <f>_xlfn.IFNA(INDEX(reading[[#This Row],[Memo 01]:[Memo 07]],MATCH(0,reading[[#This Row],[Memo 01]:[Memo 07]],-1)),"")</f>
        <v>45220</v>
      </c>
      <c r="X2600" s="11">
        <f ca="1">IFERROR(reading[[#This Row],[Previous]]+OFFSET(reading[[#Headers],[Memo 01]],-1,MATCH(0,reading[[#This Row],[Memo 01]:[Memo 07]],-1)-1),"")</f>
        <v>55220</v>
      </c>
      <c r="Y2600" s="10" t="str">
        <f ca="1">IF(reading[[#This Row],[Next]]&lt;&gt;"",IF(reading[[#This Row],[Next]]&gt;TODAY(),"OK",""),"")</f>
        <v>OK</v>
      </c>
      <c r="Z2600" s="13">
        <v>3</v>
      </c>
      <c r="AA2600" s="13"/>
      <c r="AB2600" s="13"/>
      <c r="AC2600" s="13"/>
      <c r="AD2600" s="13"/>
      <c r="AE2600" s="13"/>
      <c r="AF2600" s="13"/>
      <c r="AG2600" s="16">
        <f>IFERROR(SUMIF(reading[[#This Row],[1st]:[7th]],"&gt;0")/COUNTIF(reading[[#This Row],[1st]:[7th]],"&gt;0"),"")</f>
        <v>3</v>
      </c>
    </row>
    <row r="2601" spans="1:33" x14ac:dyDescent="0.2">
      <c r="A2601" s="4">
        <f>IF(B2601=1,3,IF(D2601=1,2,IF(F2601=1,1,0)))</f>
        <v>0</v>
      </c>
      <c r="B2601" s="4" t="str">
        <f>IF(C2601=$L2601,1,IF(C2601="","",0))</f>
        <v/>
      </c>
      <c r="C2601" s="36"/>
      <c r="D2601" s="4" t="str">
        <f>IF(E2601=$L2601,1,IF(E2601="","",0))</f>
        <v/>
      </c>
      <c r="E2601" s="14"/>
      <c r="F2601" s="4" t="str">
        <f>IF(G2601=$L2601,1,IF(G2601="","",0))</f>
        <v/>
      </c>
      <c r="G2601" s="14"/>
      <c r="H2601" s="6">
        <v>305</v>
      </c>
      <c r="I2601" s="15" t="s">
        <v>3120</v>
      </c>
      <c r="J2601" s="6" t="s">
        <v>3453</v>
      </c>
      <c r="K2601" s="6"/>
      <c r="L2601" s="6" t="s">
        <v>440</v>
      </c>
      <c r="M2601" s="6" t="s">
        <v>6414</v>
      </c>
      <c r="N2601" s="7">
        <f ca="1">RAND()</f>
        <v>0.33491561024769168</v>
      </c>
      <c r="O2601" s="8">
        <v>45200</v>
      </c>
      <c r="P2601" s="8">
        <v>45201</v>
      </c>
      <c r="Q2601" s="8">
        <v>45203</v>
      </c>
      <c r="R2601" s="8">
        <v>45207</v>
      </c>
      <c r="S2601" s="8">
        <v>45214</v>
      </c>
      <c r="T2601" s="8">
        <v>45226</v>
      </c>
      <c r="U2601" s="8"/>
      <c r="V2601" s="10">
        <f>COUNTA(O2601:U2601)</f>
        <v>6</v>
      </c>
      <c r="W2601" s="11">
        <f>_xlfn.IFNA(INDEX(reading[[#This Row],[Memo 01]:[Memo 07]],MATCH(0,reading[[#This Row],[Memo 01]:[Memo 07]],-1)),"")</f>
        <v>45226</v>
      </c>
      <c r="X2601" s="11">
        <f ca="1">IFERROR(reading[[#This Row],[Previous]]+OFFSET(reading[[#Headers],[Memo 01]],-1,MATCH(0,reading[[#This Row],[Memo 01]:[Memo 07]],-1)-1),"")</f>
        <v>45246</v>
      </c>
      <c r="Y2601" s="10" t="str">
        <f ca="1">IF(reading[[#This Row],[Next]]&lt;&gt;"",IF(reading[[#This Row],[Next]]&gt;TODAY(),"OK",""),"")</f>
        <v/>
      </c>
      <c r="Z2601" s="13">
        <v>3</v>
      </c>
      <c r="AA2601" s="13">
        <v>3</v>
      </c>
      <c r="AB2601" s="13">
        <v>3</v>
      </c>
      <c r="AC2601" s="13">
        <v>3</v>
      </c>
      <c r="AD2601" s="13">
        <v>3</v>
      </c>
      <c r="AE2601" s="13">
        <v>3</v>
      </c>
      <c r="AF2601" s="13"/>
      <c r="AG2601" s="16">
        <f>IFERROR(SUMIF(reading[[#This Row],[1st]:[7th]],"&gt;0")/COUNTIF(reading[[#This Row],[1st]:[7th]],"&gt;0"),"")</f>
        <v>3</v>
      </c>
    </row>
    <row r="2602" spans="1:33" x14ac:dyDescent="0.2">
      <c r="A2602" s="4">
        <f>IF(B2602=1,3,IF(D2602=1,2,IF(F2602=1,1,0)))</f>
        <v>0</v>
      </c>
      <c r="B2602" s="4" t="str">
        <f>IF(C2602=$L2602,1,IF(C2602="","",0))</f>
        <v/>
      </c>
      <c r="C2602" s="38"/>
      <c r="D2602" s="4" t="str">
        <f>IF(E2602=$L2602,1,IF(E2602="","",0))</f>
        <v/>
      </c>
      <c r="E2602" s="14"/>
      <c r="F2602" s="4" t="str">
        <f>IF(G2602=$L2602,1,IF(G2602="","",0))</f>
        <v/>
      </c>
      <c r="G2602" s="14"/>
      <c r="H2602" s="6">
        <v>463</v>
      </c>
      <c r="I2602" s="15" t="s">
        <v>3120</v>
      </c>
      <c r="J2602" s="6" t="s">
        <v>3609</v>
      </c>
      <c r="K2602" s="6"/>
      <c r="L2602" s="6" t="s">
        <v>592</v>
      </c>
      <c r="M2602" s="6" t="s">
        <v>6572</v>
      </c>
      <c r="N2602" s="7">
        <f ca="1">RAND()</f>
        <v>0.34185516270684391</v>
      </c>
      <c r="O2602" s="8">
        <v>45202</v>
      </c>
      <c r="P2602" s="8">
        <v>45203</v>
      </c>
      <c r="Q2602" s="8">
        <v>45205</v>
      </c>
      <c r="R2602" s="8">
        <v>45209</v>
      </c>
      <c r="S2602" s="8">
        <v>45216</v>
      </c>
      <c r="T2602" s="8">
        <v>45228</v>
      </c>
      <c r="U2602" s="8"/>
      <c r="V2602" s="10">
        <f>COUNTA(O2602:U2602)</f>
        <v>6</v>
      </c>
      <c r="W2602" s="11">
        <f>_xlfn.IFNA(INDEX(reading[[#This Row],[Memo 01]:[Memo 07]],MATCH(0,reading[[#This Row],[Memo 01]:[Memo 07]],-1)),"")</f>
        <v>45228</v>
      </c>
      <c r="X2602" s="11">
        <f ca="1">IFERROR(reading[[#This Row],[Previous]]+OFFSET(reading[[#Headers],[Memo 01]],-1,MATCH(0,reading[[#This Row],[Memo 01]:[Memo 07]],-1)-1),"")</f>
        <v>45248</v>
      </c>
      <c r="Y2602" s="10" t="str">
        <f ca="1">IF(reading[[#This Row],[Next]]&lt;&gt;"",IF(reading[[#This Row],[Next]]&gt;TODAY(),"OK",""),"")</f>
        <v/>
      </c>
      <c r="Z2602" s="13">
        <v>3</v>
      </c>
      <c r="AA2602" s="13">
        <v>3</v>
      </c>
      <c r="AB2602" s="13">
        <v>3</v>
      </c>
      <c r="AC2602" s="13">
        <v>3</v>
      </c>
      <c r="AD2602" s="13">
        <v>3</v>
      </c>
      <c r="AE2602" s="13">
        <v>3</v>
      </c>
      <c r="AF2602" s="13"/>
      <c r="AG2602" s="16">
        <f>IFERROR(SUMIF(reading[[#This Row],[1st]:[7th]],"&gt;0")/COUNTIF(reading[[#This Row],[1st]:[7th]],"&gt;0"),"")</f>
        <v>3</v>
      </c>
    </row>
    <row r="2603" spans="1:33" x14ac:dyDescent="0.2">
      <c r="A2603" s="4">
        <f>IF(B2603=1,3,IF(D2603=1,2,IF(F2603=1,1,0)))</f>
        <v>0</v>
      </c>
      <c r="B2603" s="4" t="str">
        <f>IF(C2603=$L2603,1,IF(C2603="","",0))</f>
        <v/>
      </c>
      <c r="C2603" s="42"/>
      <c r="D2603" s="4" t="str">
        <f>IF(E2603=$L2603,1,IF(E2603="","",0))</f>
        <v/>
      </c>
      <c r="E2603" s="14"/>
      <c r="F2603" s="4" t="str">
        <f>IF(G2603=$L2603,1,IF(G2603="","",0))</f>
        <v/>
      </c>
      <c r="G2603" s="14"/>
      <c r="H2603" s="6">
        <v>2931</v>
      </c>
      <c r="I2603" s="15" t="s">
        <v>3120</v>
      </c>
      <c r="J2603" s="6" t="s">
        <v>5966</v>
      </c>
      <c r="K2603" s="6"/>
      <c r="L2603" s="6" t="s">
        <v>2961</v>
      </c>
      <c r="M2603" s="6" t="s">
        <v>9035</v>
      </c>
      <c r="N2603" s="7">
        <f ca="1">RAND()</f>
        <v>0.70783836260862709</v>
      </c>
      <c r="O2603" s="8">
        <v>45223</v>
      </c>
      <c r="P2603" s="8">
        <v>45224</v>
      </c>
      <c r="Q2603" s="8">
        <v>45226</v>
      </c>
      <c r="R2603" s="8">
        <v>45230</v>
      </c>
      <c r="S2603" s="8">
        <v>45237</v>
      </c>
      <c r="T2603" s="8">
        <v>45801</v>
      </c>
      <c r="U2603" s="8"/>
      <c r="V2603" s="10">
        <f>COUNTA(O2603:U2603)</f>
        <v>6</v>
      </c>
      <c r="W2603" s="11">
        <f>_xlfn.IFNA(INDEX(reading[[#This Row],[Memo 01]:[Memo 07]],MATCH(0,reading[[#This Row],[Memo 01]:[Memo 07]],-1)),"")</f>
        <v>45801</v>
      </c>
      <c r="X2603" s="11">
        <f ca="1">IFERROR(reading[[#This Row],[Previous]]+OFFSET(reading[[#Headers],[Memo 01]],-1,MATCH(0,reading[[#This Row],[Memo 01]:[Memo 07]],-1)-1),"")</f>
        <v>45821</v>
      </c>
      <c r="Y2603" s="10" t="str">
        <f ca="1">IF(reading[[#This Row],[Next]]&lt;&gt;"",IF(reading[[#This Row],[Next]]&gt;TODAY(),"OK",""),"")</f>
        <v/>
      </c>
      <c r="Z2603" s="13">
        <v>3</v>
      </c>
      <c r="AA2603" s="13">
        <v>3</v>
      </c>
      <c r="AB2603" s="13">
        <v>3</v>
      </c>
      <c r="AC2603" s="13">
        <v>3</v>
      </c>
      <c r="AD2603" s="13">
        <v>3</v>
      </c>
      <c r="AE2603" s="13">
        <v>3</v>
      </c>
      <c r="AF2603" s="13"/>
      <c r="AG2603" s="16">
        <f>IFERROR(SUMIF(reading[[#This Row],[1st]:[7th]],"&gt;0")/COUNTIF(reading[[#This Row],[1st]:[7th]],"&gt;0"),"")</f>
        <v>3</v>
      </c>
    </row>
    <row r="2604" spans="1:33" hidden="1" x14ac:dyDescent="0.2">
      <c r="A2604" s="4">
        <f>IF(B2604=1,3,IF(D2604=1,2,IF(F2604=1,1,0)))</f>
        <v>0</v>
      </c>
      <c r="B2604" s="4" t="str">
        <f>IF(C2604=$L2604,1,IF(C2604="","",0))</f>
        <v/>
      </c>
      <c r="C2604" s="42"/>
      <c r="D2604" s="4" t="str">
        <f>IF(E2604=$L2604,1,IF(E2604="","",0))</f>
        <v/>
      </c>
      <c r="E2604" s="43"/>
      <c r="F2604" s="4" t="str">
        <f>IF(G2604=$L2604,1,IF(G2604="","",0))</f>
        <v/>
      </c>
      <c r="G2604" s="23"/>
      <c r="H2604" s="6">
        <v>2996</v>
      </c>
      <c r="I2604" s="15" t="s">
        <v>3120</v>
      </c>
      <c r="J2604" s="6" t="s">
        <v>6020</v>
      </c>
      <c r="K2604" s="6"/>
      <c r="L2604" s="6" t="s">
        <v>3025</v>
      </c>
      <c r="M2604" s="6" t="s">
        <v>9099</v>
      </c>
      <c r="N2604" s="7">
        <f ca="1">RAND()</f>
        <v>0.94099871194104756</v>
      </c>
      <c r="O2604" s="8">
        <v>45223</v>
      </c>
      <c r="P2604" s="8">
        <v>45224</v>
      </c>
      <c r="Q2604" s="8">
        <v>45226</v>
      </c>
      <c r="R2604" s="8">
        <v>45230</v>
      </c>
      <c r="S2604" s="8">
        <v>45237</v>
      </c>
      <c r="T2604" s="8">
        <v>45817</v>
      </c>
      <c r="U2604" s="8"/>
      <c r="V2604" s="10">
        <f>COUNTA(O2604:U2604)</f>
        <v>6</v>
      </c>
      <c r="W2604" s="11">
        <f>_xlfn.IFNA(INDEX(reading[[#This Row],[Memo 01]:[Memo 07]],MATCH(0,reading[[#This Row],[Memo 01]:[Memo 07]],-1)),"")</f>
        <v>45817</v>
      </c>
      <c r="X2604" s="11">
        <f ca="1">IFERROR(reading[[#This Row],[Previous]]+OFFSET(reading[[#Headers],[Memo 01]],-1,MATCH(0,reading[[#This Row],[Memo 01]:[Memo 07]],-1)-1),"")</f>
        <v>45837</v>
      </c>
      <c r="Y2604" s="10" t="str">
        <f ca="1">IF(reading[[#This Row],[Next]]&lt;&gt;"",IF(reading[[#This Row],[Next]]&gt;TODAY(),"OK",""),"")</f>
        <v>OK</v>
      </c>
      <c r="Z2604" s="13">
        <v>3</v>
      </c>
      <c r="AA2604" s="13">
        <v>3</v>
      </c>
      <c r="AB2604" s="13">
        <v>3</v>
      </c>
      <c r="AC2604" s="13">
        <v>2</v>
      </c>
      <c r="AD2604" s="13">
        <v>3</v>
      </c>
      <c r="AE2604" s="13">
        <v>1</v>
      </c>
      <c r="AF2604" s="13"/>
      <c r="AG2604" s="16">
        <f>IFERROR(SUMIF(reading[[#This Row],[1st]:[7th]],"&gt;0")/COUNTIF(reading[[#This Row],[1st]:[7th]],"&gt;0"),"")</f>
        <v>2.5</v>
      </c>
    </row>
    <row r="2605" spans="1:33" hidden="1" x14ac:dyDescent="0.2">
      <c r="A2605" s="4">
        <f>IF(B2605=1,3,IF(D2605=1,2,IF(F2605=1,1,0)))</f>
        <v>3</v>
      </c>
      <c r="B2605" s="4">
        <f>IF(C2605=$L2605,1,IF(C2605="","",0))</f>
        <v>1</v>
      </c>
      <c r="C2605" s="36" t="s">
        <v>2652</v>
      </c>
      <c r="D2605" s="4" t="str">
        <f>IF(E2605=$L2605,1,IF(E2605="","",0))</f>
        <v/>
      </c>
      <c r="E2605" s="14"/>
      <c r="F2605" s="4" t="str">
        <f>IF(G2605=$L2605,1,IF(G2605="","",0))</f>
        <v/>
      </c>
      <c r="G2605" s="14"/>
      <c r="H2605" s="6">
        <v>2609</v>
      </c>
      <c r="I2605" s="15" t="s">
        <v>3120</v>
      </c>
      <c r="J2605" s="6" t="s">
        <v>5665</v>
      </c>
      <c r="K2605" s="6"/>
      <c r="L2605" s="6" t="s">
        <v>2652</v>
      </c>
      <c r="M2605" s="6" t="s">
        <v>8714</v>
      </c>
      <c r="N2605" s="7">
        <f ca="1">RAND()</f>
        <v>0.30920376341901679</v>
      </c>
      <c r="O2605" s="8">
        <v>45220</v>
      </c>
      <c r="P2605" s="8">
        <v>45220</v>
      </c>
      <c r="Q2605" s="8">
        <v>45220</v>
      </c>
      <c r="R2605" s="8">
        <v>45220</v>
      </c>
      <c r="S2605" s="8">
        <v>45220</v>
      </c>
      <c r="T2605" s="8">
        <v>45220</v>
      </c>
      <c r="U2605" s="8">
        <v>45220</v>
      </c>
      <c r="V2605" s="10">
        <f>COUNTA(O2605:U2605)</f>
        <v>7</v>
      </c>
      <c r="W2605" s="11">
        <f>_xlfn.IFNA(INDEX(reading[[#This Row],[Memo 01]:[Memo 07]],MATCH(0,reading[[#This Row],[Memo 01]:[Memo 07]],-1)),"")</f>
        <v>45220</v>
      </c>
      <c r="X2605" s="11">
        <f ca="1">IFERROR(reading[[#This Row],[Previous]]+OFFSET(reading[[#Headers],[Memo 01]],-1,MATCH(0,reading[[#This Row],[Memo 01]:[Memo 07]],-1)-1),"")</f>
        <v>55220</v>
      </c>
      <c r="Y2605" s="10" t="str">
        <f ca="1">IF(reading[[#This Row],[Next]]&lt;&gt;"",IF(reading[[#This Row],[Next]]&gt;TODAY(),"OK",""),"")</f>
        <v>OK</v>
      </c>
      <c r="Z2605" s="13">
        <v>3</v>
      </c>
      <c r="AA2605" s="13"/>
      <c r="AB2605" s="13"/>
      <c r="AC2605" s="13"/>
      <c r="AD2605" s="13"/>
      <c r="AE2605" s="13"/>
      <c r="AF2605" s="13"/>
      <c r="AG2605" s="16">
        <f>IFERROR(SUMIF(reading[[#This Row],[1st]:[7th]],"&gt;0")/COUNTIF(reading[[#This Row],[1st]:[7th]],"&gt;0"),"")</f>
        <v>3</v>
      </c>
    </row>
    <row r="2606" spans="1:33" hidden="1" x14ac:dyDescent="0.2">
      <c r="A2606" s="4">
        <f>IF(B2606=1,3,IF(D2606=1,2,IF(F2606=1,1,0)))</f>
        <v>0</v>
      </c>
      <c r="B2606" s="4" t="str">
        <f>IF(C2606=$L2606,1,IF(C2606="","",0))</f>
        <v/>
      </c>
      <c r="C2606" s="42"/>
      <c r="D2606" s="4" t="str">
        <f>IF(E2606=$L2606,1,IF(E2606="","",0))</f>
        <v/>
      </c>
      <c r="E2606" s="23"/>
      <c r="F2606" s="4" t="str">
        <f>IF(G2606=$L2606,1,IF(G2606="","",0))</f>
        <v/>
      </c>
      <c r="G2606" s="14"/>
      <c r="H2606" s="6">
        <v>2137</v>
      </c>
      <c r="I2606" s="15" t="s">
        <v>3120</v>
      </c>
      <c r="J2606" s="6" t="s">
        <v>5225</v>
      </c>
      <c r="K2606" s="6"/>
      <c r="L2606" s="6" t="s">
        <v>2204</v>
      </c>
      <c r="M2606" s="6" t="s">
        <v>8243</v>
      </c>
      <c r="N2606" s="7">
        <f ca="1">RAND()</f>
        <v>2.5409640551653734E-2</v>
      </c>
      <c r="O2606" s="8">
        <v>45214</v>
      </c>
      <c r="P2606" s="8">
        <v>45215</v>
      </c>
      <c r="Q2606" s="8">
        <v>45217</v>
      </c>
      <c r="R2606" s="8">
        <v>45221</v>
      </c>
      <c r="S2606" s="8">
        <v>45228</v>
      </c>
      <c r="T2606" s="8">
        <v>45825</v>
      </c>
      <c r="U2606" s="8"/>
      <c r="V2606" s="10">
        <f>COUNTA(O2606:U2606)</f>
        <v>6</v>
      </c>
      <c r="W2606" s="11">
        <f>_xlfn.IFNA(INDEX(reading[[#This Row],[Memo 01]:[Memo 07]],MATCH(0,reading[[#This Row],[Memo 01]:[Memo 07]],-1)),"")</f>
        <v>45825</v>
      </c>
      <c r="X2606" s="11">
        <f ca="1">IFERROR(reading[[#This Row],[Previous]]+OFFSET(reading[[#Headers],[Memo 01]],-1,MATCH(0,reading[[#This Row],[Memo 01]:[Memo 07]],-1)-1),"")</f>
        <v>45845</v>
      </c>
      <c r="Y2606" s="10" t="str">
        <f ca="1">IF(reading[[#This Row],[Next]]&lt;&gt;"",IF(reading[[#This Row],[Next]]&gt;TODAY(),"OK",""),"")</f>
        <v>OK</v>
      </c>
      <c r="Z2606" s="13">
        <v>3</v>
      </c>
      <c r="AA2606" s="13">
        <v>3</v>
      </c>
      <c r="AB2606" s="13">
        <v>3</v>
      </c>
      <c r="AC2606" s="13">
        <v>3</v>
      </c>
      <c r="AD2606" s="13">
        <v>3</v>
      </c>
      <c r="AE2606" s="13">
        <v>2</v>
      </c>
      <c r="AF2606" s="13"/>
      <c r="AG2606" s="16">
        <f>IFERROR(SUMIF(reading[[#This Row],[1st]:[7th]],"&gt;0")/COUNTIF(reading[[#This Row],[1st]:[7th]],"&gt;0"),"")</f>
        <v>2.8333333333333335</v>
      </c>
    </row>
    <row r="2607" spans="1:33" x14ac:dyDescent="0.2">
      <c r="A2607" s="4">
        <f>IF(B2607=1,3,IF(D2607=1,2,IF(F2607=1,1,0)))</f>
        <v>0</v>
      </c>
      <c r="B2607" s="4" t="str">
        <f>IF(C2607=$L2607,1,IF(C2607="","",0))</f>
        <v/>
      </c>
      <c r="C2607" s="18"/>
      <c r="D2607" s="4" t="str">
        <f>IF(E2607=$L2607,1,IF(E2607="","",0))</f>
        <v/>
      </c>
      <c r="E2607" s="14"/>
      <c r="F2607" s="4" t="str">
        <f>IF(G2607=$L2607,1,IF(G2607="","",0))</f>
        <v/>
      </c>
      <c r="G2607" s="14"/>
      <c r="H2607" s="6">
        <v>256</v>
      </c>
      <c r="I2607" s="15" t="s">
        <v>3120</v>
      </c>
      <c r="J2607" s="6" t="s">
        <v>3405</v>
      </c>
      <c r="K2607" s="6"/>
      <c r="L2607" s="6" t="s">
        <v>391</v>
      </c>
      <c r="M2607" s="6" t="s">
        <v>6365</v>
      </c>
      <c r="N2607" s="7">
        <f ca="1">RAND()</f>
        <v>0.61254182461405682</v>
      </c>
      <c r="O2607" s="8">
        <v>45199</v>
      </c>
      <c r="P2607" s="8">
        <v>45200</v>
      </c>
      <c r="Q2607" s="8">
        <v>45202</v>
      </c>
      <c r="R2607" s="8">
        <v>45206</v>
      </c>
      <c r="S2607" s="8">
        <v>45213</v>
      </c>
      <c r="T2607" s="8">
        <v>45225</v>
      </c>
      <c r="U2607" s="8"/>
      <c r="V2607" s="10">
        <f>COUNTA(O2607:U2607)</f>
        <v>6</v>
      </c>
      <c r="W2607" s="11">
        <f>_xlfn.IFNA(INDEX(reading[[#This Row],[Memo 01]:[Memo 07]],MATCH(0,reading[[#This Row],[Memo 01]:[Memo 07]],-1)),"")</f>
        <v>45225</v>
      </c>
      <c r="X2607" s="11">
        <f ca="1">IFERROR(reading[[#This Row],[Previous]]+OFFSET(reading[[#Headers],[Memo 01]],-1,MATCH(0,reading[[#This Row],[Memo 01]:[Memo 07]],-1)-1),"")</f>
        <v>45245</v>
      </c>
      <c r="Y2607" s="10" t="str">
        <f ca="1">IF(reading[[#This Row],[Next]]&lt;&gt;"",IF(reading[[#This Row],[Next]]&gt;TODAY(),"OK",""),"")</f>
        <v/>
      </c>
      <c r="Z2607" s="13">
        <v>3</v>
      </c>
      <c r="AA2607" s="13">
        <v>3</v>
      </c>
      <c r="AB2607" s="13">
        <v>3</v>
      </c>
      <c r="AC2607" s="13">
        <v>3</v>
      </c>
      <c r="AD2607" s="13">
        <v>3</v>
      </c>
      <c r="AE2607" s="13">
        <v>3</v>
      </c>
      <c r="AF2607" s="13"/>
      <c r="AG2607" s="16">
        <f>IFERROR(SUMIF(reading[[#This Row],[1st]:[7th]],"&gt;0")/COUNTIF(reading[[#This Row],[1st]:[7th]],"&gt;0"),"")</f>
        <v>3</v>
      </c>
    </row>
    <row r="2608" spans="1:33" hidden="1" x14ac:dyDescent="0.2">
      <c r="A2608" s="4">
        <f>IF(B2608=1,3,IF(D2608=1,2,IF(F2608=1,1,0)))</f>
        <v>3</v>
      </c>
      <c r="B2608" s="4">
        <f>IF(C2608=$L2608,1,IF(C2608="","",0))</f>
        <v>1</v>
      </c>
      <c r="C2608" s="36" t="s">
        <v>2655</v>
      </c>
      <c r="D2608" s="4" t="str">
        <f>IF(E2608=$L2608,1,IF(E2608="","",0))</f>
        <v/>
      </c>
      <c r="E2608" s="14"/>
      <c r="F2608" s="4" t="str">
        <f>IF(G2608=$L2608,1,IF(G2608="","",0))</f>
        <v/>
      </c>
      <c r="G2608" s="14"/>
      <c r="H2608" s="6">
        <v>2612</v>
      </c>
      <c r="I2608" s="15" t="s">
        <v>3120</v>
      </c>
      <c r="J2608" s="6" t="s">
        <v>5667</v>
      </c>
      <c r="K2608" s="6"/>
      <c r="L2608" s="6" t="s">
        <v>2655</v>
      </c>
      <c r="M2608" s="6" t="s">
        <v>8717</v>
      </c>
      <c r="N2608" s="7">
        <f ca="1">RAND()</f>
        <v>2.2353105048135147E-2</v>
      </c>
      <c r="O2608" s="8">
        <v>45220</v>
      </c>
      <c r="P2608" s="8">
        <v>45220</v>
      </c>
      <c r="Q2608" s="8">
        <v>45220</v>
      </c>
      <c r="R2608" s="8">
        <v>45220</v>
      </c>
      <c r="S2608" s="8">
        <v>45220</v>
      </c>
      <c r="T2608" s="8">
        <v>45220</v>
      </c>
      <c r="U2608" s="8">
        <v>45220</v>
      </c>
      <c r="V2608" s="10">
        <f>COUNTA(O2608:U2608)</f>
        <v>7</v>
      </c>
      <c r="W2608" s="11">
        <f>_xlfn.IFNA(INDEX(reading[[#This Row],[Memo 01]:[Memo 07]],MATCH(0,reading[[#This Row],[Memo 01]:[Memo 07]],-1)),"")</f>
        <v>45220</v>
      </c>
      <c r="X2608" s="11">
        <f ca="1">IFERROR(reading[[#This Row],[Previous]]+OFFSET(reading[[#Headers],[Memo 01]],-1,MATCH(0,reading[[#This Row],[Memo 01]:[Memo 07]],-1)-1),"")</f>
        <v>55220</v>
      </c>
      <c r="Y2608" s="10" t="str">
        <f ca="1">IF(reading[[#This Row],[Next]]&lt;&gt;"",IF(reading[[#This Row],[Next]]&gt;TODAY(),"OK",""),"")</f>
        <v>OK</v>
      </c>
      <c r="Z2608" s="13">
        <v>3</v>
      </c>
      <c r="AA2608" s="13"/>
      <c r="AB2608" s="13"/>
      <c r="AC2608" s="13"/>
      <c r="AD2608" s="13"/>
      <c r="AE2608" s="13"/>
      <c r="AF2608" s="13"/>
      <c r="AG2608" s="16">
        <f>IFERROR(SUMIF(reading[[#This Row],[1st]:[7th]],"&gt;0")/COUNTIF(reading[[#This Row],[1st]:[7th]],"&gt;0"),"")</f>
        <v>3</v>
      </c>
    </row>
    <row r="2609" spans="1:33" x14ac:dyDescent="0.2">
      <c r="A2609" s="4">
        <f>IF(B2609=1,3,IF(D2609=1,2,IF(F2609=1,1,0)))</f>
        <v>0</v>
      </c>
      <c r="B2609" s="4" t="str">
        <f>IF(C2609=$L2609,1,IF(C2609="","",0))</f>
        <v/>
      </c>
      <c r="C2609" s="39"/>
      <c r="D2609" s="4" t="str">
        <f>IF(E2609=$L2609,1,IF(E2609="","",0))</f>
        <v/>
      </c>
      <c r="E2609" s="14"/>
      <c r="F2609" s="4" t="str">
        <f>IF(G2609=$L2609,1,IF(G2609="","",0))</f>
        <v/>
      </c>
      <c r="G2609" s="14"/>
      <c r="H2609" s="6">
        <v>2954</v>
      </c>
      <c r="I2609" s="15" t="s">
        <v>3120</v>
      </c>
      <c r="J2609" s="6" t="s">
        <v>5986</v>
      </c>
      <c r="K2609" s="6"/>
      <c r="L2609" s="6" t="s">
        <v>2984</v>
      </c>
      <c r="M2609" s="6" t="s">
        <v>9058</v>
      </c>
      <c r="N2609" s="7">
        <f ca="1">RAND()</f>
        <v>0.95609395304282618</v>
      </c>
      <c r="O2609" s="8">
        <v>45223</v>
      </c>
      <c r="P2609" s="8">
        <v>45224</v>
      </c>
      <c r="Q2609" s="8">
        <v>45226</v>
      </c>
      <c r="R2609" s="8">
        <v>45230</v>
      </c>
      <c r="S2609" s="8">
        <v>45237</v>
      </c>
      <c r="T2609" s="8"/>
      <c r="U2609" s="8"/>
      <c r="V2609" s="10">
        <f>COUNTA(O2609:U2609)</f>
        <v>5</v>
      </c>
      <c r="W2609" s="11">
        <f>_xlfn.IFNA(INDEX(reading[[#This Row],[Memo 01]:[Memo 07]],MATCH(0,reading[[#This Row],[Memo 01]:[Memo 07]],-1)),"")</f>
        <v>45237</v>
      </c>
      <c r="X2609" s="11">
        <f ca="1">IFERROR(reading[[#This Row],[Previous]]+OFFSET(reading[[#Headers],[Memo 01]],-1,MATCH(0,reading[[#This Row],[Memo 01]:[Memo 07]],-1)-1),"")</f>
        <v>45249</v>
      </c>
      <c r="Y2609" s="10" t="str">
        <f ca="1">IF(reading[[#This Row],[Next]]&lt;&gt;"",IF(reading[[#This Row],[Next]]&gt;TODAY(),"OK",""),"")</f>
        <v/>
      </c>
      <c r="Z2609" s="13">
        <v>3</v>
      </c>
      <c r="AA2609" s="13">
        <v>3</v>
      </c>
      <c r="AB2609" s="13">
        <v>3</v>
      </c>
      <c r="AC2609" s="13">
        <v>3</v>
      </c>
      <c r="AD2609" s="13">
        <v>3</v>
      </c>
      <c r="AE2609" s="13"/>
      <c r="AF2609" s="13"/>
      <c r="AG2609" s="16">
        <f>IFERROR(SUMIF(reading[[#This Row],[1st]:[7th]],"&gt;0")/COUNTIF(reading[[#This Row],[1st]:[7th]],"&gt;0"),"")</f>
        <v>3</v>
      </c>
    </row>
    <row r="2610" spans="1:33" hidden="1" x14ac:dyDescent="0.2">
      <c r="A2610" s="4">
        <f>IF(B2610=1,3,IF(D2610=1,2,IF(F2610=1,1,0)))</f>
        <v>0</v>
      </c>
      <c r="B2610" s="4" t="str">
        <f>IF(C2610=$L2610,1,IF(C2610="","",0))</f>
        <v/>
      </c>
      <c r="C2610" s="42"/>
      <c r="D2610" s="4" t="str">
        <f>IF(E2610=$L2610,1,IF(E2610="","",0))</f>
        <v/>
      </c>
      <c r="E2610" s="43"/>
      <c r="F2610" s="4" t="str">
        <f>IF(G2610=$L2610,1,IF(G2610="","",0))</f>
        <v/>
      </c>
      <c r="G2610" s="14"/>
      <c r="H2610" s="6">
        <v>1937</v>
      </c>
      <c r="I2610" s="15" t="s">
        <v>3120</v>
      </c>
      <c r="J2610" s="6" t="s">
        <v>5036</v>
      </c>
      <c r="K2610" s="6"/>
      <c r="L2610" s="6" t="s">
        <v>2013</v>
      </c>
      <c r="M2610" s="6" t="s">
        <v>8043</v>
      </c>
      <c r="N2610" s="7">
        <f ca="1">RAND()</f>
        <v>0.37908845022705751</v>
      </c>
      <c r="O2610" s="8">
        <v>45213</v>
      </c>
      <c r="P2610" s="8">
        <v>45214</v>
      </c>
      <c r="Q2610" s="8">
        <v>45216</v>
      </c>
      <c r="R2610" s="8">
        <v>45220</v>
      </c>
      <c r="S2610" s="8">
        <v>45227</v>
      </c>
      <c r="T2610" s="8">
        <v>45816</v>
      </c>
      <c r="U2610" s="8"/>
      <c r="V2610" s="10">
        <f>COUNTA(O2610:U2610)</f>
        <v>6</v>
      </c>
      <c r="W2610" s="11">
        <f>_xlfn.IFNA(INDEX(reading[[#This Row],[Memo 01]:[Memo 07]],MATCH(0,reading[[#This Row],[Memo 01]:[Memo 07]],-1)),"")</f>
        <v>45816</v>
      </c>
      <c r="X2610" s="11">
        <f ca="1">IFERROR(reading[[#This Row],[Previous]]+OFFSET(reading[[#Headers],[Memo 01]],-1,MATCH(0,reading[[#This Row],[Memo 01]:[Memo 07]],-1)-1),"")</f>
        <v>45836</v>
      </c>
      <c r="Y2610" s="10" t="str">
        <f ca="1">IF(reading[[#This Row],[Next]]&lt;&gt;"",IF(reading[[#This Row],[Next]]&gt;TODAY(),"OK",""),"")</f>
        <v>OK</v>
      </c>
      <c r="Z2610" s="13">
        <v>3</v>
      </c>
      <c r="AA2610" s="13">
        <v>3</v>
      </c>
      <c r="AB2610" s="13">
        <v>3</v>
      </c>
      <c r="AC2610" s="13">
        <v>3</v>
      </c>
      <c r="AD2610" s="13">
        <v>2</v>
      </c>
      <c r="AE2610" s="13">
        <v>2</v>
      </c>
      <c r="AF2610" s="13"/>
      <c r="AG2610" s="16">
        <f>IFERROR(SUMIF(reading[[#This Row],[1st]:[7th]],"&gt;0")/COUNTIF(reading[[#This Row],[1st]:[7th]],"&gt;0"),"")</f>
        <v>2.6666666666666665</v>
      </c>
    </row>
    <row r="2611" spans="1:33" x14ac:dyDescent="0.2">
      <c r="A2611" s="4">
        <f>IF(B2611=1,3,IF(D2611=1,2,IF(F2611=1,1,0)))</f>
        <v>0</v>
      </c>
      <c r="B2611" s="4" t="str">
        <f>IF(C2611=$L2611,1,IF(C2611="","",0))</f>
        <v/>
      </c>
      <c r="C2611" s="42"/>
      <c r="D2611" s="4" t="str">
        <f>IF(E2611=$L2611,1,IF(E2611="","",0))</f>
        <v/>
      </c>
      <c r="E2611" s="14"/>
      <c r="F2611" s="4" t="str">
        <f>IF(G2611=$L2611,1,IF(G2611="","",0))</f>
        <v/>
      </c>
      <c r="G2611" s="14"/>
      <c r="H2611" s="6">
        <v>2710</v>
      </c>
      <c r="I2611" s="15" t="s">
        <v>3120</v>
      </c>
      <c r="J2611" s="6" t="s">
        <v>5760</v>
      </c>
      <c r="K2611" s="6"/>
      <c r="L2611" s="6" t="s">
        <v>2749</v>
      </c>
      <c r="M2611" s="6" t="s">
        <v>8815</v>
      </c>
      <c r="N2611" s="7">
        <f ca="1">RAND()</f>
        <v>0.49676190850162782</v>
      </c>
      <c r="O2611" s="8">
        <v>45221</v>
      </c>
      <c r="P2611" s="8">
        <v>45222</v>
      </c>
      <c r="Q2611" s="8">
        <v>45224</v>
      </c>
      <c r="R2611" s="8">
        <v>45228</v>
      </c>
      <c r="S2611" s="8">
        <v>45235</v>
      </c>
      <c r="T2611" s="8">
        <v>45783</v>
      </c>
      <c r="U2611" s="8"/>
      <c r="V2611" s="10">
        <f>COUNTA(O2611:U2611)</f>
        <v>6</v>
      </c>
      <c r="W2611" s="11">
        <f>_xlfn.IFNA(INDEX(reading[[#This Row],[Memo 01]:[Memo 07]],MATCH(0,reading[[#This Row],[Memo 01]:[Memo 07]],-1)),"")</f>
        <v>45783</v>
      </c>
      <c r="X2611" s="11">
        <f ca="1">IFERROR(reading[[#This Row],[Previous]]+OFFSET(reading[[#Headers],[Memo 01]],-1,MATCH(0,reading[[#This Row],[Memo 01]:[Memo 07]],-1)-1),"")</f>
        <v>45803</v>
      </c>
      <c r="Y2611" s="10" t="str">
        <f ca="1">IF(reading[[#This Row],[Next]]&lt;&gt;"",IF(reading[[#This Row],[Next]]&gt;TODAY(),"OK",""),"")</f>
        <v/>
      </c>
      <c r="Z2611" s="13">
        <v>3</v>
      </c>
      <c r="AA2611" s="13">
        <v>3</v>
      </c>
      <c r="AB2611" s="13">
        <v>3</v>
      </c>
      <c r="AC2611" s="13">
        <v>3</v>
      </c>
      <c r="AD2611" s="13">
        <v>3</v>
      </c>
      <c r="AE2611" s="13">
        <v>3</v>
      </c>
      <c r="AF2611" s="13"/>
      <c r="AG2611" s="16">
        <f>IFERROR(SUMIF(reading[[#This Row],[1st]:[7th]],"&gt;0")/COUNTIF(reading[[#This Row],[1st]:[7th]],"&gt;0"),"")</f>
        <v>3</v>
      </c>
    </row>
    <row r="2612" spans="1:33" x14ac:dyDescent="0.2">
      <c r="A2612" s="4">
        <f>IF(B2612=1,3,IF(D2612=1,2,IF(F2612=1,1,0)))</f>
        <v>0</v>
      </c>
      <c r="B2612" s="4" t="str">
        <f>IF(C2612=$L2612,1,IF(C2612="","",0))</f>
        <v/>
      </c>
      <c r="C2612" s="39"/>
      <c r="D2612" s="4" t="str">
        <f>IF(E2612=$L2612,1,IF(E2612="","",0))</f>
        <v/>
      </c>
      <c r="E2612" s="14"/>
      <c r="F2612" s="4" t="str">
        <f>IF(G2612=$L2612,1,IF(G2612="","",0))</f>
        <v/>
      </c>
      <c r="G2612" s="14"/>
      <c r="H2612" s="6">
        <v>2839</v>
      </c>
      <c r="I2612" s="15" t="s">
        <v>3120</v>
      </c>
      <c r="J2612" s="6" t="s">
        <v>5880</v>
      </c>
      <c r="K2612" s="6"/>
      <c r="L2612" s="6" t="s">
        <v>2874</v>
      </c>
      <c r="M2612" s="6" t="s">
        <v>8943</v>
      </c>
      <c r="N2612" s="7">
        <f ca="1">RAND()</f>
        <v>0.61987755711888493</v>
      </c>
      <c r="O2612" s="8">
        <v>45222</v>
      </c>
      <c r="P2612" s="8">
        <v>45223</v>
      </c>
      <c r="Q2612" s="8">
        <v>45225</v>
      </c>
      <c r="R2612" s="8">
        <v>45229</v>
      </c>
      <c r="S2612" s="8">
        <v>45236</v>
      </c>
      <c r="T2612" s="8"/>
      <c r="U2612" s="8"/>
      <c r="V2612" s="10">
        <f>COUNTA(O2612:U2612)</f>
        <v>5</v>
      </c>
      <c r="W2612" s="11">
        <f>_xlfn.IFNA(INDEX(reading[[#This Row],[Memo 01]:[Memo 07]],MATCH(0,reading[[#This Row],[Memo 01]:[Memo 07]],-1)),"")</f>
        <v>45236</v>
      </c>
      <c r="X2612" s="11">
        <f ca="1">IFERROR(reading[[#This Row],[Previous]]+OFFSET(reading[[#Headers],[Memo 01]],-1,MATCH(0,reading[[#This Row],[Memo 01]:[Memo 07]],-1)-1),"")</f>
        <v>45248</v>
      </c>
      <c r="Y2612" s="10" t="str">
        <f ca="1">IF(reading[[#This Row],[Next]]&lt;&gt;"",IF(reading[[#This Row],[Next]]&gt;TODAY(),"OK",""),"")</f>
        <v/>
      </c>
      <c r="Z2612" s="13">
        <v>3</v>
      </c>
      <c r="AA2612" s="13">
        <v>3</v>
      </c>
      <c r="AB2612" s="13">
        <v>3</v>
      </c>
      <c r="AC2612" s="13">
        <v>3</v>
      </c>
      <c r="AD2612" s="13">
        <v>3</v>
      </c>
      <c r="AE2612" s="13"/>
      <c r="AF2612" s="13"/>
      <c r="AG2612" s="16">
        <f>IFERROR(SUMIF(reading[[#This Row],[1st]:[7th]],"&gt;0")/COUNTIF(reading[[#This Row],[1st]:[7th]],"&gt;0"),"")</f>
        <v>3</v>
      </c>
    </row>
    <row r="2613" spans="1:33" x14ac:dyDescent="0.2">
      <c r="A2613" s="4">
        <f>IF(B2613=1,3,IF(D2613=1,2,IF(F2613=1,1,0)))</f>
        <v>0</v>
      </c>
      <c r="B2613" s="4" t="str">
        <f>IF(C2613=$L2613,1,IF(C2613="","",0))</f>
        <v/>
      </c>
      <c r="C2613" s="38"/>
      <c r="D2613" s="4" t="str">
        <f>IF(E2613=$L2613,1,IF(E2613="","",0))</f>
        <v/>
      </c>
      <c r="E2613" s="14"/>
      <c r="F2613" s="4" t="str">
        <f>IF(G2613=$L2613,1,IF(G2613="","",0))</f>
        <v/>
      </c>
      <c r="G2613" s="14"/>
      <c r="H2613" s="6">
        <v>2124</v>
      </c>
      <c r="I2613" s="15" t="s">
        <v>3120</v>
      </c>
      <c r="J2613" s="6" t="s">
        <v>5212</v>
      </c>
      <c r="K2613" s="6"/>
      <c r="L2613" s="6" t="s">
        <v>2191</v>
      </c>
      <c r="M2613" s="6" t="s">
        <v>8230</v>
      </c>
      <c r="N2613" s="7">
        <f ca="1">RAND()</f>
        <v>6.4210579862609807E-2</v>
      </c>
      <c r="O2613" s="8">
        <v>45214</v>
      </c>
      <c r="P2613" s="8">
        <v>45215</v>
      </c>
      <c r="Q2613" s="8">
        <v>45217</v>
      </c>
      <c r="R2613" s="8">
        <v>45221</v>
      </c>
      <c r="S2613" s="8">
        <v>45228</v>
      </c>
      <c r="T2613" s="8"/>
      <c r="U2613" s="8"/>
      <c r="V2613" s="10">
        <f>COUNTA(O2613:U2613)</f>
        <v>5</v>
      </c>
      <c r="W2613" s="11">
        <f>_xlfn.IFNA(INDEX(reading[[#This Row],[Memo 01]:[Memo 07]],MATCH(0,reading[[#This Row],[Memo 01]:[Memo 07]],-1)),"")</f>
        <v>45228</v>
      </c>
      <c r="X2613" s="11">
        <f ca="1">IFERROR(reading[[#This Row],[Previous]]+OFFSET(reading[[#Headers],[Memo 01]],-1,MATCH(0,reading[[#This Row],[Memo 01]:[Memo 07]],-1)-1),"")</f>
        <v>45240</v>
      </c>
      <c r="Y2613" s="10" t="str">
        <f ca="1">IF(reading[[#This Row],[Next]]&lt;&gt;"",IF(reading[[#This Row],[Next]]&gt;TODAY(),"OK",""),"")</f>
        <v/>
      </c>
      <c r="Z2613" s="13">
        <v>3</v>
      </c>
      <c r="AA2613" s="13">
        <v>3</v>
      </c>
      <c r="AB2613" s="13">
        <v>3</v>
      </c>
      <c r="AC2613" s="13">
        <v>3</v>
      </c>
      <c r="AD2613" s="13">
        <v>3</v>
      </c>
      <c r="AE2613" s="13"/>
      <c r="AF2613" s="13"/>
      <c r="AG2613" s="16">
        <f>IFERROR(SUMIF(reading[[#This Row],[1st]:[7th]],"&gt;0")/COUNTIF(reading[[#This Row],[1st]:[7th]],"&gt;0"),"")</f>
        <v>3</v>
      </c>
    </row>
    <row r="2614" spans="1:33" x14ac:dyDescent="0.2">
      <c r="A2614" s="4">
        <f>IF(B2614=1,3,IF(D2614=1,2,IF(F2614=1,1,0)))</f>
        <v>0</v>
      </c>
      <c r="B2614" s="4" t="str">
        <f>IF(C2614=$L2614,1,IF(C2614="","",0))</f>
        <v/>
      </c>
      <c r="C2614" s="41"/>
      <c r="D2614" s="4" t="str">
        <f>IF(E2614=$L2614,1,IF(E2614="","",0))</f>
        <v/>
      </c>
      <c r="E2614" s="18"/>
      <c r="F2614" s="4" t="str">
        <f>IF(G2614=$L2614,1,IF(G2614="","",0))</f>
        <v/>
      </c>
      <c r="G2614" s="14"/>
      <c r="H2614" s="6">
        <v>3084</v>
      </c>
      <c r="I2614" s="15" t="s">
        <v>3120</v>
      </c>
      <c r="J2614" s="6" t="s">
        <v>6103</v>
      </c>
      <c r="K2614" s="6"/>
      <c r="L2614" s="6" t="s">
        <v>3108</v>
      </c>
      <c r="M2614" s="6" t="s">
        <v>9187</v>
      </c>
      <c r="N2614" s="7">
        <f ca="1">RAND()</f>
        <v>0.15319438847683375</v>
      </c>
      <c r="O2614" s="8">
        <v>45226</v>
      </c>
      <c r="P2614" s="8">
        <v>45227</v>
      </c>
      <c r="Q2614" s="8">
        <v>45229</v>
      </c>
      <c r="R2614" s="8">
        <v>45233</v>
      </c>
      <c r="S2614" s="8">
        <v>45249</v>
      </c>
      <c r="T2614" s="8"/>
      <c r="U2614" s="8"/>
      <c r="V2614" s="10">
        <f>COUNTA(O2614:U2614)</f>
        <v>5</v>
      </c>
      <c r="W2614" s="11">
        <f>_xlfn.IFNA(INDEX(reading[[#This Row],[Memo 01]:[Memo 07]],MATCH(0,reading[[#This Row],[Memo 01]:[Memo 07]],-1)),"")</f>
        <v>45249</v>
      </c>
      <c r="X2614" s="11">
        <f ca="1">IFERROR(reading[[#This Row],[Previous]]+OFFSET(reading[[#Headers],[Memo 01]],-1,MATCH(0,reading[[#This Row],[Memo 01]:[Memo 07]],-1)-1),"")</f>
        <v>45261</v>
      </c>
      <c r="Y2614" s="10" t="str">
        <f ca="1">IF(reading[[#This Row],[Next]]&lt;&gt;"",IF(reading[[#This Row],[Next]]&gt;TODAY(),"OK",""),"")</f>
        <v/>
      </c>
      <c r="Z2614" s="13">
        <v>3</v>
      </c>
      <c r="AA2614" s="13">
        <v>3</v>
      </c>
      <c r="AB2614" s="13">
        <v>2</v>
      </c>
      <c r="AC2614" s="13">
        <v>2</v>
      </c>
      <c r="AD2614" s="13">
        <v>2</v>
      </c>
      <c r="AE2614" s="13"/>
      <c r="AF2614" s="13"/>
      <c r="AG2614" s="16">
        <f>IFERROR(SUMIF(reading[[#This Row],[1st]:[7th]],"&gt;0")/COUNTIF(reading[[#This Row],[1st]:[7th]],"&gt;0"),"")</f>
        <v>2.4</v>
      </c>
    </row>
    <row r="2615" spans="1:33" x14ac:dyDescent="0.2">
      <c r="A2615" s="4">
        <f>IF(B2615=1,3,IF(D2615=1,2,IF(F2615=1,1,0)))</f>
        <v>0</v>
      </c>
      <c r="B2615" s="4" t="str">
        <f>IF(C2615=$L2615,1,IF(C2615="","",0))</f>
        <v/>
      </c>
      <c r="C2615" s="38"/>
      <c r="D2615" s="4" t="str">
        <f>IF(E2615=$L2615,1,IF(E2615="","",0))</f>
        <v/>
      </c>
      <c r="E2615" s="18"/>
      <c r="F2615" s="4" t="str">
        <f>IF(G2615=$L2615,1,IF(G2615="","",0))</f>
        <v/>
      </c>
      <c r="G2615" s="14"/>
      <c r="H2615" s="6">
        <v>2069</v>
      </c>
      <c r="I2615" s="15" t="s">
        <v>3120</v>
      </c>
      <c r="J2615" s="6" t="s">
        <v>3873</v>
      </c>
      <c r="K2615" s="6"/>
      <c r="L2615" s="6" t="s">
        <v>2140</v>
      </c>
      <c r="M2615" s="6" t="s">
        <v>8175</v>
      </c>
      <c r="N2615" s="7">
        <f ca="1">RAND()</f>
        <v>0.37183471507198784</v>
      </c>
      <c r="O2615" s="8">
        <v>45214</v>
      </c>
      <c r="P2615" s="8">
        <v>45215</v>
      </c>
      <c r="Q2615" s="8">
        <v>45217</v>
      </c>
      <c r="R2615" s="8">
        <v>45221</v>
      </c>
      <c r="S2615" s="8">
        <v>45228</v>
      </c>
      <c r="T2615" s="8"/>
      <c r="U2615" s="8"/>
      <c r="V2615" s="10">
        <f>COUNTA(O2615:U2615)</f>
        <v>5</v>
      </c>
      <c r="W2615" s="11">
        <f>_xlfn.IFNA(INDEX(reading[[#This Row],[Memo 01]:[Memo 07]],MATCH(0,reading[[#This Row],[Memo 01]:[Memo 07]],-1)),"")</f>
        <v>45228</v>
      </c>
      <c r="X2615" s="11">
        <f ca="1">IFERROR(reading[[#This Row],[Previous]]+OFFSET(reading[[#Headers],[Memo 01]],-1,MATCH(0,reading[[#This Row],[Memo 01]:[Memo 07]],-1)-1),"")</f>
        <v>45240</v>
      </c>
      <c r="Y2615" s="10" t="str">
        <f ca="1">IF(reading[[#This Row],[Next]]&lt;&gt;"",IF(reading[[#This Row],[Next]]&gt;TODAY(),"OK",""),"")</f>
        <v/>
      </c>
      <c r="Z2615" s="13">
        <v>3</v>
      </c>
      <c r="AA2615" s="13">
        <v>2</v>
      </c>
      <c r="AB2615" s="13">
        <v>3</v>
      </c>
      <c r="AC2615" s="13">
        <v>3</v>
      </c>
      <c r="AD2615" s="13">
        <v>3</v>
      </c>
      <c r="AE2615" s="13"/>
      <c r="AF2615" s="13"/>
      <c r="AG2615" s="16">
        <f>IFERROR(SUMIF(reading[[#This Row],[1st]:[7th]],"&gt;0")/COUNTIF(reading[[#This Row],[1st]:[7th]],"&gt;0"),"")</f>
        <v>2.8</v>
      </c>
    </row>
    <row r="2616" spans="1:33" x14ac:dyDescent="0.2">
      <c r="A2616" s="4">
        <f>IF(B2616=1,3,IF(D2616=1,2,IF(F2616=1,1,0)))</f>
        <v>0</v>
      </c>
      <c r="B2616" s="4" t="str">
        <f>IF(C2616=$L2616,1,IF(C2616="","",0))</f>
        <v/>
      </c>
      <c r="C2616" s="39"/>
      <c r="D2616" s="4" t="str">
        <f>IF(E2616=$L2616,1,IF(E2616="","",0))</f>
        <v/>
      </c>
      <c r="E2616" s="14"/>
      <c r="F2616" s="4" t="str">
        <f>IF(G2616=$L2616,1,IF(G2616="","",0))</f>
        <v/>
      </c>
      <c r="G2616" s="14"/>
      <c r="H2616" s="6">
        <v>1401</v>
      </c>
      <c r="I2616" s="15" t="s">
        <v>3120</v>
      </c>
      <c r="J2616" s="6" t="s">
        <v>4515</v>
      </c>
      <c r="K2616" s="6"/>
      <c r="L2616" s="6" t="s">
        <v>1492</v>
      </c>
      <c r="M2616" s="6" t="s">
        <v>7508</v>
      </c>
      <c r="N2616" s="7">
        <f ca="1">RAND()</f>
        <v>3.1433272810953983E-2</v>
      </c>
      <c r="O2616" s="8">
        <v>45208</v>
      </c>
      <c r="P2616" s="8">
        <v>45209</v>
      </c>
      <c r="Q2616" s="8">
        <v>45212</v>
      </c>
      <c r="R2616" s="8">
        <v>45216</v>
      </c>
      <c r="S2616" s="8">
        <v>45223</v>
      </c>
      <c r="T2616" s="8">
        <v>45235</v>
      </c>
      <c r="U2616" s="8"/>
      <c r="V2616" s="10">
        <f>COUNTA(O2616:U2616)</f>
        <v>6</v>
      </c>
      <c r="W2616" s="11">
        <f>_xlfn.IFNA(INDEX(reading[[#This Row],[Memo 01]:[Memo 07]],MATCH(0,reading[[#This Row],[Memo 01]:[Memo 07]],-1)),"")</f>
        <v>45235</v>
      </c>
      <c r="X2616" s="11">
        <f ca="1">IFERROR(reading[[#This Row],[Previous]]+OFFSET(reading[[#Headers],[Memo 01]],-1,MATCH(0,reading[[#This Row],[Memo 01]:[Memo 07]],-1)-1),"")</f>
        <v>45255</v>
      </c>
      <c r="Y2616" s="10" t="str">
        <f ca="1">IF(reading[[#This Row],[Next]]&lt;&gt;"",IF(reading[[#This Row],[Next]]&gt;TODAY(),"OK",""),"")</f>
        <v/>
      </c>
      <c r="Z2616" s="13">
        <v>3</v>
      </c>
      <c r="AA2616" s="13">
        <v>3</v>
      </c>
      <c r="AB2616" s="13">
        <v>2</v>
      </c>
      <c r="AC2616" s="13">
        <v>3</v>
      </c>
      <c r="AD2616" s="13">
        <v>3</v>
      </c>
      <c r="AE2616" s="13">
        <v>3</v>
      </c>
      <c r="AF2616" s="13"/>
      <c r="AG2616" s="16">
        <f>IFERROR(SUMIF(reading[[#This Row],[1st]:[7th]],"&gt;0")/COUNTIF(reading[[#This Row],[1st]:[7th]],"&gt;0"),"")</f>
        <v>2.8333333333333335</v>
      </c>
    </row>
    <row r="2617" spans="1:33" x14ac:dyDescent="0.2">
      <c r="A2617" s="4">
        <f>IF(B2617=1,3,IF(D2617=1,2,IF(F2617=1,1,0)))</f>
        <v>0</v>
      </c>
      <c r="B2617" s="4" t="str">
        <f>IF(C2617=$L2617,1,IF(C2617="","",0))</f>
        <v/>
      </c>
      <c r="C2617" s="36"/>
      <c r="D2617" s="4" t="str">
        <f>IF(E2617=$L2617,1,IF(E2617="","",0))</f>
        <v/>
      </c>
      <c r="E2617" s="18"/>
      <c r="F2617" s="4" t="str">
        <f>IF(G2617=$L2617,1,IF(G2617="","",0))</f>
        <v/>
      </c>
      <c r="G2617" s="14"/>
      <c r="H2617" s="6">
        <v>308</v>
      </c>
      <c r="I2617" s="15" t="s">
        <v>3120</v>
      </c>
      <c r="J2617" s="6" t="s">
        <v>3456</v>
      </c>
      <c r="K2617" s="6"/>
      <c r="L2617" s="6" t="s">
        <v>443</v>
      </c>
      <c r="M2617" s="6" t="s">
        <v>6417</v>
      </c>
      <c r="N2617" s="7">
        <f ca="1">RAND()</f>
        <v>0.96008134433748682</v>
      </c>
      <c r="O2617" s="8">
        <v>45200</v>
      </c>
      <c r="P2617" s="8">
        <v>45201</v>
      </c>
      <c r="Q2617" s="8">
        <v>45203</v>
      </c>
      <c r="R2617" s="8">
        <v>45207</v>
      </c>
      <c r="S2617" s="8">
        <v>45214</v>
      </c>
      <c r="T2617" s="8">
        <v>45226</v>
      </c>
      <c r="U2617" s="8"/>
      <c r="V2617" s="10">
        <f>COUNTA(O2617:U2617)</f>
        <v>6</v>
      </c>
      <c r="W2617" s="11">
        <f>_xlfn.IFNA(INDEX(reading[[#This Row],[Memo 01]:[Memo 07]],MATCH(0,reading[[#This Row],[Memo 01]:[Memo 07]],-1)),"")</f>
        <v>45226</v>
      </c>
      <c r="X2617" s="11">
        <f ca="1">IFERROR(reading[[#This Row],[Previous]]+OFFSET(reading[[#Headers],[Memo 01]],-1,MATCH(0,reading[[#This Row],[Memo 01]:[Memo 07]],-1)-1),"")</f>
        <v>45246</v>
      </c>
      <c r="Y2617" s="10" t="str">
        <f ca="1">IF(reading[[#This Row],[Next]]&lt;&gt;"",IF(reading[[#This Row],[Next]]&gt;TODAY(),"OK",""),"")</f>
        <v/>
      </c>
      <c r="Z2617" s="13">
        <v>3</v>
      </c>
      <c r="AA2617" s="13">
        <v>3</v>
      </c>
      <c r="AB2617" s="13">
        <v>3</v>
      </c>
      <c r="AC2617" s="13">
        <v>3</v>
      </c>
      <c r="AD2617" s="13">
        <v>3</v>
      </c>
      <c r="AE2617" s="13">
        <v>2</v>
      </c>
      <c r="AF2617" s="13"/>
      <c r="AG2617" s="16">
        <f>IFERROR(SUMIF(reading[[#This Row],[1st]:[7th]],"&gt;0")/COUNTIF(reading[[#This Row],[1st]:[7th]],"&gt;0"),"")</f>
        <v>2.8333333333333335</v>
      </c>
    </row>
    <row r="2618" spans="1:33" x14ac:dyDescent="0.2">
      <c r="A2618" s="4">
        <f>IF(B2618=1,3,IF(D2618=1,2,IF(F2618=1,1,0)))</f>
        <v>0</v>
      </c>
      <c r="B2618" s="4" t="str">
        <f>IF(C2618=$L2618,1,IF(C2618="","",0))</f>
        <v/>
      </c>
      <c r="C2618" s="38"/>
      <c r="D2618" s="4" t="str">
        <f>IF(E2618=$L2618,1,IF(E2618="","",0))</f>
        <v/>
      </c>
      <c r="E2618" s="14"/>
      <c r="F2618" s="4" t="str">
        <f>IF(G2618=$L2618,1,IF(G2618="","",0))</f>
        <v/>
      </c>
      <c r="G2618" s="14"/>
      <c r="H2618" s="6">
        <v>2176</v>
      </c>
      <c r="I2618" s="15" t="s">
        <v>3120</v>
      </c>
      <c r="J2618" s="6" t="s">
        <v>5264</v>
      </c>
      <c r="K2618" s="15" t="s">
        <v>3138</v>
      </c>
      <c r="L2618" s="6" t="s">
        <v>135</v>
      </c>
      <c r="M2618" s="6" t="s">
        <v>8282</v>
      </c>
      <c r="N2618" s="7">
        <f ca="1">RAND()</f>
        <v>0.91887677970857928</v>
      </c>
      <c r="O2618" s="8">
        <v>45214</v>
      </c>
      <c r="P2618" s="8">
        <v>45215</v>
      </c>
      <c r="Q2618" s="8">
        <v>45217</v>
      </c>
      <c r="R2618" s="8">
        <v>45221</v>
      </c>
      <c r="S2618" s="8">
        <v>45228</v>
      </c>
      <c r="T2618" s="8"/>
      <c r="U2618" s="8"/>
      <c r="V2618" s="10">
        <f>COUNTA(O2618:U2618)</f>
        <v>5</v>
      </c>
      <c r="W2618" s="11">
        <f>_xlfn.IFNA(INDEX(reading[[#This Row],[Memo 01]:[Memo 07]],MATCH(0,reading[[#This Row],[Memo 01]:[Memo 07]],-1)),"")</f>
        <v>45228</v>
      </c>
      <c r="X2618" s="11">
        <f ca="1">IFERROR(reading[[#This Row],[Previous]]+OFFSET(reading[[#Headers],[Memo 01]],-1,MATCH(0,reading[[#This Row],[Memo 01]:[Memo 07]],-1)-1),"")</f>
        <v>45240</v>
      </c>
      <c r="Y2618" s="10" t="str">
        <f ca="1">IF(reading[[#This Row],[Next]]&lt;&gt;"",IF(reading[[#This Row],[Next]]&gt;TODAY(),"OK",""),"")</f>
        <v/>
      </c>
      <c r="Z2618" s="13">
        <v>3</v>
      </c>
      <c r="AA2618" s="13">
        <v>3</v>
      </c>
      <c r="AB2618" s="13">
        <v>3</v>
      </c>
      <c r="AC2618" s="13">
        <v>3</v>
      </c>
      <c r="AD2618" s="13">
        <v>3</v>
      </c>
      <c r="AE2618" s="13"/>
      <c r="AF2618" s="13"/>
      <c r="AG2618" s="16">
        <f>IFERROR(SUMIF(reading[[#This Row],[1st]:[7th]],"&gt;0")/COUNTIF(reading[[#This Row],[1st]:[7th]],"&gt;0"),"")</f>
        <v>3</v>
      </c>
    </row>
    <row r="2619" spans="1:33" x14ac:dyDescent="0.2">
      <c r="A2619" s="4">
        <f>IF(B2619=1,3,IF(D2619=1,2,IF(F2619=1,1,0)))</f>
        <v>0</v>
      </c>
      <c r="B2619" s="4" t="str">
        <f>IF(C2619=$L2619,1,IF(C2619="","",0))</f>
        <v/>
      </c>
      <c r="C2619" s="42"/>
      <c r="D2619" s="4" t="str">
        <f>IF(E2619=$L2619,1,IF(E2619="","",0))</f>
        <v/>
      </c>
      <c r="E2619" s="14"/>
      <c r="F2619" s="4" t="str">
        <f>IF(G2619=$L2619,1,IF(G2619="","",0))</f>
        <v/>
      </c>
      <c r="G2619" s="14"/>
      <c r="H2619" s="6">
        <v>1826</v>
      </c>
      <c r="I2619" s="15" t="s">
        <v>3120</v>
      </c>
      <c r="J2619" s="6" t="s">
        <v>4931</v>
      </c>
      <c r="K2619" s="6"/>
      <c r="L2619" s="6" t="s">
        <v>1904</v>
      </c>
      <c r="M2619" s="6" t="s">
        <v>7932</v>
      </c>
      <c r="N2619" s="7">
        <f ca="1">RAND()</f>
        <v>0.84199217474691823</v>
      </c>
      <c r="O2619" s="8">
        <v>45212</v>
      </c>
      <c r="P2619" s="8">
        <v>45213</v>
      </c>
      <c r="Q2619" s="8">
        <v>45215</v>
      </c>
      <c r="R2619" s="8">
        <v>45219</v>
      </c>
      <c r="S2619" s="8">
        <v>45226</v>
      </c>
      <c r="T2619" s="8">
        <v>45801</v>
      </c>
      <c r="U2619" s="8"/>
      <c r="V2619" s="10">
        <f>COUNTA(O2619:U2619)</f>
        <v>6</v>
      </c>
      <c r="W2619" s="11">
        <f>_xlfn.IFNA(INDEX(reading[[#This Row],[Memo 01]:[Memo 07]],MATCH(0,reading[[#This Row],[Memo 01]:[Memo 07]],-1)),"")</f>
        <v>45801</v>
      </c>
      <c r="X2619" s="11">
        <f ca="1">IFERROR(reading[[#This Row],[Previous]]+OFFSET(reading[[#Headers],[Memo 01]],-1,MATCH(0,reading[[#This Row],[Memo 01]:[Memo 07]],-1)-1),"")</f>
        <v>45821</v>
      </c>
      <c r="Y2619" s="10" t="str">
        <f ca="1">IF(reading[[#This Row],[Next]]&lt;&gt;"",IF(reading[[#This Row],[Next]]&gt;TODAY(),"OK",""),"")</f>
        <v/>
      </c>
      <c r="Z2619" s="13">
        <v>3</v>
      </c>
      <c r="AA2619" s="13">
        <v>3</v>
      </c>
      <c r="AB2619" s="13">
        <v>3</v>
      </c>
      <c r="AC2619" s="13">
        <v>3</v>
      </c>
      <c r="AD2619" s="13">
        <v>3</v>
      </c>
      <c r="AE2619" s="13">
        <v>3</v>
      </c>
      <c r="AF2619" s="13"/>
      <c r="AG2619" s="16">
        <f>IFERROR(SUMIF(reading[[#This Row],[1st]:[7th]],"&gt;0")/COUNTIF(reading[[#This Row],[1st]:[7th]],"&gt;0"),"")</f>
        <v>3</v>
      </c>
    </row>
    <row r="2620" spans="1:33" x14ac:dyDescent="0.2">
      <c r="A2620" s="4">
        <f>IF(B2620=1,3,IF(D2620=1,2,IF(F2620=1,1,0)))</f>
        <v>0</v>
      </c>
      <c r="B2620" s="4" t="str">
        <f>IF(C2620=$L2620,1,IF(C2620="","",0))</f>
        <v/>
      </c>
      <c r="C2620" s="39"/>
      <c r="D2620" s="4" t="str">
        <f>IF(E2620=$L2620,1,IF(E2620="","",0))</f>
        <v/>
      </c>
      <c r="E2620" s="18"/>
      <c r="F2620" s="4" t="str">
        <f>IF(G2620=$L2620,1,IF(G2620="","",0))</f>
        <v/>
      </c>
      <c r="G2620" s="14"/>
      <c r="H2620" s="6">
        <v>1536</v>
      </c>
      <c r="I2620" s="15" t="s">
        <v>3120</v>
      </c>
      <c r="J2620" s="6" t="s">
        <v>4649</v>
      </c>
      <c r="K2620" s="15" t="s">
        <v>3138</v>
      </c>
      <c r="L2620" s="6" t="s">
        <v>1621</v>
      </c>
      <c r="M2620" s="6" t="s">
        <v>7643</v>
      </c>
      <c r="N2620" s="7">
        <f ca="1">RAND()</f>
        <v>0.11161077802907859</v>
      </c>
      <c r="O2620" s="8">
        <v>45209</v>
      </c>
      <c r="P2620" s="8">
        <v>45210</v>
      </c>
      <c r="Q2620" s="8">
        <v>45212</v>
      </c>
      <c r="R2620" s="8">
        <v>45216</v>
      </c>
      <c r="S2620" s="8">
        <v>45223</v>
      </c>
      <c r="T2620" s="8">
        <v>45235</v>
      </c>
      <c r="U2620" s="8"/>
      <c r="V2620" s="10">
        <f>COUNTA(O2620:U2620)</f>
        <v>6</v>
      </c>
      <c r="W2620" s="11">
        <f>_xlfn.IFNA(INDEX(reading[[#This Row],[Memo 01]:[Memo 07]],MATCH(0,reading[[#This Row],[Memo 01]:[Memo 07]],-1)),"")</f>
        <v>45235</v>
      </c>
      <c r="X2620" s="11">
        <f ca="1">IFERROR(reading[[#This Row],[Previous]]+OFFSET(reading[[#Headers],[Memo 01]],-1,MATCH(0,reading[[#This Row],[Memo 01]:[Memo 07]],-1)-1),"")</f>
        <v>45255</v>
      </c>
      <c r="Y2620" s="10" t="str">
        <f ca="1">IF(reading[[#This Row],[Next]]&lt;&gt;"",IF(reading[[#This Row],[Next]]&gt;TODAY(),"OK",""),"")</f>
        <v/>
      </c>
      <c r="Z2620" s="13">
        <v>3</v>
      </c>
      <c r="AA2620" s="13">
        <v>3</v>
      </c>
      <c r="AB2620" s="13">
        <v>3</v>
      </c>
      <c r="AC2620" s="13">
        <v>2</v>
      </c>
      <c r="AD2620" s="13">
        <v>3</v>
      </c>
      <c r="AE2620" s="13">
        <v>3</v>
      </c>
      <c r="AF2620" s="13"/>
      <c r="AG2620" s="16">
        <f>IFERROR(SUMIF(reading[[#This Row],[1st]:[7th]],"&gt;0")/COUNTIF(reading[[#This Row],[1st]:[7th]],"&gt;0"),"")</f>
        <v>2.8333333333333335</v>
      </c>
    </row>
    <row r="2621" spans="1:33" hidden="1" x14ac:dyDescent="0.2">
      <c r="A2621" s="4">
        <f>IF(B2621=1,3,IF(D2621=1,2,IF(F2621=1,1,0)))</f>
        <v>0</v>
      </c>
      <c r="B2621" s="4" t="str">
        <f>IF(C2621=$L2621,1,IF(C2621="","",0))</f>
        <v/>
      </c>
      <c r="C2621" s="42"/>
      <c r="D2621" s="4" t="str">
        <f>IF(E2621=$L2621,1,IF(E2621="","",0))</f>
        <v/>
      </c>
      <c r="E2621" s="43"/>
      <c r="F2621" s="4" t="str">
        <f>IF(G2621=$L2621,1,IF(G2621="","",0))</f>
        <v/>
      </c>
      <c r="G2621" s="14"/>
      <c r="H2621" s="6">
        <v>2010</v>
      </c>
      <c r="I2621" s="15" t="s">
        <v>3120</v>
      </c>
      <c r="J2621" s="6" t="s">
        <v>5108</v>
      </c>
      <c r="K2621" s="15" t="s">
        <v>3153</v>
      </c>
      <c r="L2621" s="6" t="s">
        <v>2085</v>
      </c>
      <c r="M2621" s="6" t="s">
        <v>8116</v>
      </c>
      <c r="N2621" s="7">
        <f ca="1">RAND()</f>
        <v>0.69115123991531846</v>
      </c>
      <c r="O2621" s="8">
        <v>45213</v>
      </c>
      <c r="P2621" s="8">
        <v>45214</v>
      </c>
      <c r="Q2621" s="8">
        <v>45216</v>
      </c>
      <c r="R2621" s="8">
        <v>45220</v>
      </c>
      <c r="S2621" s="8">
        <v>45227</v>
      </c>
      <c r="T2621" s="8">
        <v>45825</v>
      </c>
      <c r="U2621" s="8"/>
      <c r="V2621" s="10">
        <f>COUNTA(O2621:U2621)</f>
        <v>6</v>
      </c>
      <c r="W2621" s="11">
        <f>_xlfn.IFNA(INDEX(reading[[#This Row],[Memo 01]:[Memo 07]],MATCH(0,reading[[#This Row],[Memo 01]:[Memo 07]],-1)),"")</f>
        <v>45825</v>
      </c>
      <c r="X2621" s="11">
        <f ca="1">IFERROR(reading[[#This Row],[Previous]]+OFFSET(reading[[#Headers],[Memo 01]],-1,MATCH(0,reading[[#This Row],[Memo 01]:[Memo 07]],-1)-1),"")</f>
        <v>45845</v>
      </c>
      <c r="Y2621" s="10" t="str">
        <f ca="1">IF(reading[[#This Row],[Next]]&lt;&gt;"",IF(reading[[#This Row],[Next]]&gt;TODAY(),"OK",""),"")</f>
        <v>OK</v>
      </c>
      <c r="Z2621" s="13">
        <v>3</v>
      </c>
      <c r="AA2621" s="13">
        <v>3</v>
      </c>
      <c r="AB2621" s="13">
        <v>2</v>
      </c>
      <c r="AC2621" s="13">
        <v>3</v>
      </c>
      <c r="AD2621" s="13">
        <v>3</v>
      </c>
      <c r="AE2621" s="13">
        <v>2</v>
      </c>
      <c r="AF2621" s="13"/>
      <c r="AG2621" s="16">
        <f>IFERROR(SUMIF(reading[[#This Row],[1st]:[7th]],"&gt;0")/COUNTIF(reading[[#This Row],[1st]:[7th]],"&gt;0"),"")</f>
        <v>2.6666666666666665</v>
      </c>
    </row>
    <row r="2622" spans="1:33" x14ac:dyDescent="0.2">
      <c r="A2622" s="4">
        <f>IF(B2622=1,3,IF(D2622=1,2,IF(F2622=1,1,0)))</f>
        <v>0</v>
      </c>
      <c r="B2622" s="4" t="str">
        <f>IF(C2622=$L2622,1,IF(C2622="","",0))</f>
        <v/>
      </c>
      <c r="C2622" s="42"/>
      <c r="D2622" s="4" t="str">
        <f>IF(E2622=$L2622,1,IF(E2622="","",0))</f>
        <v/>
      </c>
      <c r="E2622" s="14"/>
      <c r="F2622" s="4" t="str">
        <f>IF(G2622=$L2622,1,IF(G2622="","",0))</f>
        <v/>
      </c>
      <c r="G2622" s="14"/>
      <c r="H2622" s="6">
        <v>2055</v>
      </c>
      <c r="I2622" s="15" t="s">
        <v>3120</v>
      </c>
      <c r="J2622" s="6" t="s">
        <v>5150</v>
      </c>
      <c r="K2622" s="15" t="s">
        <v>3139</v>
      </c>
      <c r="L2622" s="6" t="s">
        <v>2130</v>
      </c>
      <c r="M2622" s="6" t="s">
        <v>8161</v>
      </c>
      <c r="N2622" s="7">
        <f ca="1">RAND()</f>
        <v>0.21843998115659902</v>
      </c>
      <c r="O2622" s="8">
        <v>45214</v>
      </c>
      <c r="P2622" s="8">
        <v>45215</v>
      </c>
      <c r="Q2622" s="8">
        <v>45217</v>
      </c>
      <c r="R2622" s="8">
        <v>45221</v>
      </c>
      <c r="S2622" s="8">
        <v>45228</v>
      </c>
      <c r="T2622" s="8">
        <v>45801</v>
      </c>
      <c r="U2622" s="8"/>
      <c r="V2622" s="10">
        <f>COUNTA(O2622:U2622)</f>
        <v>6</v>
      </c>
      <c r="W2622" s="11">
        <f>_xlfn.IFNA(INDEX(reading[[#This Row],[Memo 01]:[Memo 07]],MATCH(0,reading[[#This Row],[Memo 01]:[Memo 07]],-1)),"")</f>
        <v>45801</v>
      </c>
      <c r="X2622" s="11">
        <f ca="1">IFERROR(reading[[#This Row],[Previous]]+OFFSET(reading[[#Headers],[Memo 01]],-1,MATCH(0,reading[[#This Row],[Memo 01]:[Memo 07]],-1)-1),"")</f>
        <v>45821</v>
      </c>
      <c r="Y2622" s="10" t="str">
        <f ca="1">IF(reading[[#This Row],[Next]]&lt;&gt;"",IF(reading[[#This Row],[Next]]&gt;TODAY(),"OK",""),"")</f>
        <v/>
      </c>
      <c r="Z2622" s="13">
        <v>3</v>
      </c>
      <c r="AA2622" s="13">
        <v>3</v>
      </c>
      <c r="AB2622" s="13">
        <v>3</v>
      </c>
      <c r="AC2622" s="13">
        <v>3</v>
      </c>
      <c r="AD2622" s="13">
        <v>3</v>
      </c>
      <c r="AE2622" s="13">
        <v>3</v>
      </c>
      <c r="AF2622" s="13"/>
      <c r="AG2622" s="16">
        <f>IFERROR(SUMIF(reading[[#This Row],[1st]:[7th]],"&gt;0")/COUNTIF(reading[[#This Row],[1st]:[7th]],"&gt;0"),"")</f>
        <v>3</v>
      </c>
    </row>
    <row r="2623" spans="1:33" hidden="1" x14ac:dyDescent="0.2">
      <c r="A2623" s="4">
        <f>IF(B2623=1,3,IF(D2623=1,2,IF(F2623=1,1,0)))</f>
        <v>0</v>
      </c>
      <c r="B2623" s="4" t="str">
        <f>IF(C2623=$L2623,1,IF(C2623="","",0))</f>
        <v/>
      </c>
      <c r="C2623" s="42"/>
      <c r="D2623" s="4" t="str">
        <f>IF(E2623=$L2623,1,IF(E2623="","",0))</f>
        <v/>
      </c>
      <c r="E2623" s="23"/>
      <c r="F2623" s="4" t="str">
        <f>IF(G2623=$L2623,1,IF(G2623="","",0))</f>
        <v/>
      </c>
      <c r="G2623" s="23"/>
      <c r="H2623" s="6">
        <v>2861</v>
      </c>
      <c r="I2623" s="15" t="s">
        <v>3120</v>
      </c>
      <c r="J2623" s="6" t="s">
        <v>5900</v>
      </c>
      <c r="K2623" s="6"/>
      <c r="L2623" s="6" t="s">
        <v>2893</v>
      </c>
      <c r="M2623" s="6" t="s">
        <v>8965</v>
      </c>
      <c r="N2623" s="7">
        <f ca="1">RAND()</f>
        <v>0.43708089797866512</v>
      </c>
      <c r="O2623" s="8">
        <v>45222</v>
      </c>
      <c r="P2623" s="8">
        <v>45223</v>
      </c>
      <c r="Q2623" s="8">
        <v>45225</v>
      </c>
      <c r="R2623" s="8">
        <v>45229</v>
      </c>
      <c r="S2623" s="8">
        <v>45236</v>
      </c>
      <c r="T2623" s="8">
        <v>45816</v>
      </c>
      <c r="U2623" s="8"/>
      <c r="V2623" s="10">
        <f>COUNTA(O2623:U2623)</f>
        <v>6</v>
      </c>
      <c r="W2623" s="11">
        <f>_xlfn.IFNA(INDEX(reading[[#This Row],[Memo 01]:[Memo 07]],MATCH(0,reading[[#This Row],[Memo 01]:[Memo 07]],-1)),"")</f>
        <v>45816</v>
      </c>
      <c r="X2623" s="11">
        <f ca="1">IFERROR(reading[[#This Row],[Previous]]+OFFSET(reading[[#Headers],[Memo 01]],-1,MATCH(0,reading[[#This Row],[Memo 01]:[Memo 07]],-1)-1),"")</f>
        <v>45836</v>
      </c>
      <c r="Y2623" s="10" t="str">
        <f ca="1">IF(reading[[#This Row],[Next]]&lt;&gt;"",IF(reading[[#This Row],[Next]]&gt;TODAY(),"OK",""),"")</f>
        <v>OK</v>
      </c>
      <c r="Z2623" s="13">
        <v>3</v>
      </c>
      <c r="AA2623" s="13">
        <v>3</v>
      </c>
      <c r="AB2623" s="13">
        <v>3</v>
      </c>
      <c r="AC2623" s="13">
        <v>3</v>
      </c>
      <c r="AD2623" s="13">
        <v>3</v>
      </c>
      <c r="AE2623" s="13">
        <v>1</v>
      </c>
      <c r="AF2623" s="13"/>
      <c r="AG2623" s="16">
        <f>IFERROR(SUMIF(reading[[#This Row],[1st]:[7th]],"&gt;0")/COUNTIF(reading[[#This Row],[1st]:[7th]],"&gt;0"),"")</f>
        <v>2.6666666666666665</v>
      </c>
    </row>
    <row r="2624" spans="1:33" hidden="1" x14ac:dyDescent="0.2">
      <c r="A2624" s="4">
        <f>IF(B2624=1,3,IF(D2624=1,2,IF(F2624=1,1,0)))</f>
        <v>0</v>
      </c>
      <c r="B2624" s="4">
        <f>IF(C2624=$L2624,1,IF(C2624="","",0))</f>
        <v>0</v>
      </c>
      <c r="C2624" s="42" t="s">
        <v>9200</v>
      </c>
      <c r="D2624" s="4" t="str">
        <f>IF(E2624=$L2624,1,IF(E2624="","",0))</f>
        <v/>
      </c>
      <c r="E2624" s="14"/>
      <c r="F2624" s="4" t="str">
        <f>IF(G2624=$L2624,1,IF(G2624="","",0))</f>
        <v/>
      </c>
      <c r="G2624" s="14"/>
      <c r="H2624" s="6">
        <v>1772</v>
      </c>
      <c r="I2624" s="15" t="s">
        <v>3120</v>
      </c>
      <c r="J2624" s="6" t="s">
        <v>4879</v>
      </c>
      <c r="K2624" s="6"/>
      <c r="L2624" s="6" t="s">
        <v>1852</v>
      </c>
      <c r="M2624" s="6" t="s">
        <v>7878</v>
      </c>
      <c r="N2624" s="7">
        <f ca="1">RAND()</f>
        <v>0.19600748095006726</v>
      </c>
      <c r="O2624" s="8">
        <v>45211</v>
      </c>
      <c r="P2624" s="8">
        <v>45212</v>
      </c>
      <c r="Q2624" s="8">
        <v>45214</v>
      </c>
      <c r="R2624" s="8">
        <v>45218</v>
      </c>
      <c r="S2624" s="8">
        <v>45225</v>
      </c>
      <c r="T2624" s="8">
        <v>45237</v>
      </c>
      <c r="U2624" s="8"/>
      <c r="V2624" s="10">
        <f>COUNTA(O2624:U2624)</f>
        <v>6</v>
      </c>
      <c r="W2624" s="11">
        <f>_xlfn.IFNA(INDEX(reading[[#This Row],[Memo 01]:[Memo 07]],MATCH(0,reading[[#This Row],[Memo 01]:[Memo 07]],-1)),"")</f>
        <v>45237</v>
      </c>
      <c r="X2624" s="11">
        <f ca="1">IFERROR(reading[[#This Row],[Previous]]+OFFSET(reading[[#Headers],[Memo 01]],-1,MATCH(0,reading[[#This Row],[Memo 01]:[Memo 07]],-1)-1),"")</f>
        <v>45257</v>
      </c>
      <c r="Y2624" s="10" t="str">
        <f ca="1">IF(reading[[#This Row],[Next]]&lt;&gt;"",IF(reading[[#This Row],[Next]]&gt;TODAY(),"OK",""),"")</f>
        <v/>
      </c>
      <c r="Z2624" s="13">
        <v>3</v>
      </c>
      <c r="AA2624" s="13">
        <v>3</v>
      </c>
      <c r="AB2624" s="13">
        <v>3</v>
      </c>
      <c r="AC2624" s="13">
        <v>3</v>
      </c>
      <c r="AD2624" s="13">
        <v>3</v>
      </c>
      <c r="AE2624" s="13">
        <v>3</v>
      </c>
      <c r="AF2624" s="13"/>
      <c r="AG2624" s="16">
        <f>IFERROR(SUMIF(reading[[#This Row],[1st]:[7th]],"&gt;0")/COUNTIF(reading[[#This Row],[1st]:[7th]],"&gt;0"),"")</f>
        <v>3</v>
      </c>
    </row>
    <row r="2625" spans="1:33" x14ac:dyDescent="0.2">
      <c r="A2625" s="4">
        <f>IF(B2625=1,3,IF(D2625=1,2,IF(F2625=1,1,0)))</f>
        <v>0</v>
      </c>
      <c r="B2625" s="4" t="str">
        <f>IF(C2625=$L2625,1,IF(C2625="","",0))</f>
        <v/>
      </c>
      <c r="C2625" s="18"/>
      <c r="D2625" s="4" t="str">
        <f>IF(E2625=$L2625,1,IF(E2625="","",0))</f>
        <v/>
      </c>
      <c r="E2625" s="14"/>
      <c r="F2625" s="4" t="str">
        <f>IF(G2625=$L2625,1,IF(G2625="","",0))</f>
        <v/>
      </c>
      <c r="G2625" s="14"/>
      <c r="H2625" s="6">
        <v>6</v>
      </c>
      <c r="I2625" s="15" t="s">
        <v>3120</v>
      </c>
      <c r="J2625" s="6" t="s">
        <v>3161</v>
      </c>
      <c r="K2625" s="6"/>
      <c r="L2625" s="6" t="s">
        <v>151</v>
      </c>
      <c r="M2625" s="6" t="s">
        <v>6120</v>
      </c>
      <c r="N2625" s="7">
        <f ca="1">RAND()</f>
        <v>0.95408848024543935</v>
      </c>
      <c r="O2625" s="8">
        <v>45198</v>
      </c>
      <c r="P2625" s="8">
        <v>45199</v>
      </c>
      <c r="Q2625" s="8">
        <v>45201</v>
      </c>
      <c r="R2625" s="8">
        <v>45205</v>
      </c>
      <c r="S2625" s="8">
        <v>45213</v>
      </c>
      <c r="T2625" s="8">
        <v>45225</v>
      </c>
      <c r="U2625" s="8"/>
      <c r="V2625" s="10">
        <f>COUNTA(O2625:U2625)</f>
        <v>6</v>
      </c>
      <c r="W2625" s="11">
        <f>_xlfn.IFNA(INDEX(reading[[#This Row],[Memo 01]:[Memo 07]],MATCH(0,reading[[#This Row],[Memo 01]:[Memo 07]],-1)),"")</f>
        <v>45225</v>
      </c>
      <c r="X2625" s="11">
        <f ca="1">IFERROR(reading[[#This Row],[Previous]]+OFFSET(reading[[#Headers],[Memo 01]],-1,MATCH(0,reading[[#This Row],[Memo 01]:[Memo 07]],-1)-1),"")</f>
        <v>45245</v>
      </c>
      <c r="Y2625" s="10" t="str">
        <f ca="1">IF(reading[[#This Row],[Next]]&lt;&gt;"",IF(reading[[#This Row],[Next]]&gt;TODAY(),"OK",""),"")</f>
        <v/>
      </c>
      <c r="Z2625" s="13">
        <v>3</v>
      </c>
      <c r="AA2625" s="13">
        <v>3</v>
      </c>
      <c r="AB2625" s="13">
        <v>3</v>
      </c>
      <c r="AC2625" s="13">
        <v>3</v>
      </c>
      <c r="AD2625" s="13">
        <v>2</v>
      </c>
      <c r="AE2625" s="13">
        <v>3</v>
      </c>
      <c r="AF2625" s="13"/>
      <c r="AG2625" s="16">
        <f>IFERROR(SUMIF(reading[[#This Row],[1st]:[7th]],"&gt;0")/COUNTIF(reading[[#This Row],[1st]:[7th]],"&gt;0"),"")</f>
        <v>2.8333333333333335</v>
      </c>
    </row>
    <row r="2626" spans="1:33" x14ac:dyDescent="0.2">
      <c r="A2626" s="4">
        <f>IF(B2626=1,3,IF(D2626=1,2,IF(F2626=1,1,0)))</f>
        <v>0</v>
      </c>
      <c r="B2626" s="4" t="str">
        <f>IF(C2626=$L2626,1,IF(C2626="","",0))</f>
        <v/>
      </c>
      <c r="C2626" s="39"/>
      <c r="D2626" s="4" t="str">
        <f>IF(E2626=$L2626,1,IF(E2626="","",0))</f>
        <v/>
      </c>
      <c r="E2626" s="14"/>
      <c r="F2626" s="4" t="str">
        <f>IF(G2626=$L2626,1,IF(G2626="","",0))</f>
        <v/>
      </c>
      <c r="G2626" s="14"/>
      <c r="H2626" s="6">
        <v>1311</v>
      </c>
      <c r="I2626" s="15" t="s">
        <v>3120</v>
      </c>
      <c r="J2626" s="6" t="s">
        <v>4428</v>
      </c>
      <c r="K2626" s="6"/>
      <c r="L2626" s="6" t="s">
        <v>1408</v>
      </c>
      <c r="M2626" s="6" t="s">
        <v>7418</v>
      </c>
      <c r="N2626" s="7">
        <f ca="1">RAND()</f>
        <v>1.6337004057034754E-2</v>
      </c>
      <c r="O2626" s="8">
        <v>45207</v>
      </c>
      <c r="P2626" s="8">
        <v>45208</v>
      </c>
      <c r="Q2626" s="8">
        <v>45210</v>
      </c>
      <c r="R2626" s="8">
        <v>45214</v>
      </c>
      <c r="S2626" s="8">
        <v>45221</v>
      </c>
      <c r="T2626" s="8">
        <v>45233</v>
      </c>
      <c r="U2626" s="8"/>
      <c r="V2626" s="10">
        <f>COUNTA(O2626:U2626)</f>
        <v>6</v>
      </c>
      <c r="W2626" s="11">
        <f>_xlfn.IFNA(INDEX(reading[[#This Row],[Memo 01]:[Memo 07]],MATCH(0,reading[[#This Row],[Memo 01]:[Memo 07]],-1)),"")</f>
        <v>45233</v>
      </c>
      <c r="X2626" s="11">
        <f ca="1">IFERROR(reading[[#This Row],[Previous]]+OFFSET(reading[[#Headers],[Memo 01]],-1,MATCH(0,reading[[#This Row],[Memo 01]:[Memo 07]],-1)-1),"")</f>
        <v>45253</v>
      </c>
      <c r="Y2626" s="10" t="str">
        <f ca="1">IF(reading[[#This Row],[Next]]&lt;&gt;"",IF(reading[[#This Row],[Next]]&gt;TODAY(),"OK",""),"")</f>
        <v/>
      </c>
      <c r="Z2626" s="13">
        <v>3</v>
      </c>
      <c r="AA2626" s="13">
        <v>3</v>
      </c>
      <c r="AB2626" s="13">
        <v>3</v>
      </c>
      <c r="AC2626" s="13">
        <v>3</v>
      </c>
      <c r="AD2626" s="13">
        <v>3</v>
      </c>
      <c r="AE2626" s="13">
        <v>3</v>
      </c>
      <c r="AF2626" s="13"/>
      <c r="AG2626" s="16">
        <f>IFERROR(SUMIF(reading[[#This Row],[1st]:[7th]],"&gt;0")/COUNTIF(reading[[#This Row],[1st]:[7th]],"&gt;0"),"")</f>
        <v>3</v>
      </c>
    </row>
    <row r="2627" spans="1:33" x14ac:dyDescent="0.2">
      <c r="A2627" s="4">
        <f>IF(B2627=1,3,IF(D2627=1,2,IF(F2627=1,1,0)))</f>
        <v>0</v>
      </c>
      <c r="B2627" s="4" t="str">
        <f>IF(C2627=$L2627,1,IF(C2627="","",0))</f>
        <v/>
      </c>
      <c r="C2627" s="39"/>
      <c r="D2627" s="4" t="str">
        <f>IF(E2627=$L2627,1,IF(E2627="","",0))</f>
        <v/>
      </c>
      <c r="E2627" s="14"/>
      <c r="F2627" s="4" t="str">
        <f>IF(G2627=$L2627,1,IF(G2627="","",0))</f>
        <v/>
      </c>
      <c r="G2627" s="14"/>
      <c r="H2627" s="6">
        <v>862</v>
      </c>
      <c r="I2627" s="15" t="s">
        <v>3120</v>
      </c>
      <c r="J2627" s="6" t="s">
        <v>3994</v>
      </c>
      <c r="K2627" s="6"/>
      <c r="L2627" s="6" t="s">
        <v>978</v>
      </c>
      <c r="M2627" s="6" t="s">
        <v>6971</v>
      </c>
      <c r="N2627" s="7">
        <f ca="1">RAND()</f>
        <v>0.44525810430741464</v>
      </c>
      <c r="O2627" s="8">
        <v>45204</v>
      </c>
      <c r="P2627" s="8">
        <v>45205</v>
      </c>
      <c r="Q2627" s="8">
        <v>45207</v>
      </c>
      <c r="R2627" s="8">
        <v>45211</v>
      </c>
      <c r="S2627" s="8">
        <v>45218</v>
      </c>
      <c r="T2627" s="8">
        <v>45230</v>
      </c>
      <c r="U2627" s="8"/>
      <c r="V2627" s="10">
        <f>COUNTA(O2627:U2627)</f>
        <v>6</v>
      </c>
      <c r="W2627" s="11">
        <f>_xlfn.IFNA(INDEX(reading[[#This Row],[Memo 01]:[Memo 07]],MATCH(0,reading[[#This Row],[Memo 01]:[Memo 07]],-1)),"")</f>
        <v>45230</v>
      </c>
      <c r="X2627" s="11">
        <f ca="1">IFERROR(reading[[#This Row],[Previous]]+OFFSET(reading[[#Headers],[Memo 01]],-1,MATCH(0,reading[[#This Row],[Memo 01]:[Memo 07]],-1)-1),"")</f>
        <v>45250</v>
      </c>
      <c r="Y2627" s="10" t="str">
        <f ca="1">IF(reading[[#This Row],[Next]]&lt;&gt;"",IF(reading[[#This Row],[Next]]&gt;TODAY(),"OK",""),"")</f>
        <v/>
      </c>
      <c r="Z2627" s="13">
        <v>3</v>
      </c>
      <c r="AA2627" s="13">
        <v>3</v>
      </c>
      <c r="AB2627" s="13">
        <v>3</v>
      </c>
      <c r="AC2627" s="13">
        <v>3</v>
      </c>
      <c r="AD2627" s="13">
        <v>3</v>
      </c>
      <c r="AE2627" s="13">
        <v>3</v>
      </c>
      <c r="AF2627" s="13"/>
      <c r="AG2627" s="16">
        <f>IFERROR(SUMIF(reading[[#This Row],[1st]:[7th]],"&gt;0")/COUNTIF(reading[[#This Row],[1st]:[7th]],"&gt;0"),"")</f>
        <v>3</v>
      </c>
    </row>
    <row r="2628" spans="1:33" x14ac:dyDescent="0.2">
      <c r="A2628" s="4">
        <f>IF(B2628=1,3,IF(D2628=1,2,IF(F2628=1,1,0)))</f>
        <v>0</v>
      </c>
      <c r="B2628" s="4" t="str">
        <f>IF(C2628=$L2628,1,IF(C2628="","",0))</f>
        <v/>
      </c>
      <c r="C2628" s="40"/>
      <c r="D2628" s="4" t="str">
        <f>IF(E2628=$L2628,1,IF(E2628="","",0))</f>
        <v/>
      </c>
      <c r="E2628" s="18"/>
      <c r="F2628" s="4" t="str">
        <f>IF(G2628=$L2628,1,IF(G2628="","",0))</f>
        <v/>
      </c>
      <c r="G2628" s="18"/>
      <c r="H2628" s="6">
        <v>2025</v>
      </c>
      <c r="I2628" s="15" t="s">
        <v>3120</v>
      </c>
      <c r="J2628" s="6" t="s">
        <v>5122</v>
      </c>
      <c r="K2628" s="6"/>
      <c r="L2628" s="6" t="s">
        <v>2100</v>
      </c>
      <c r="M2628" s="6" t="s">
        <v>8131</v>
      </c>
      <c r="N2628" s="7">
        <f ca="1">RAND()</f>
        <v>0.97836685336450269</v>
      </c>
      <c r="O2628" s="8">
        <v>45213</v>
      </c>
      <c r="P2628" s="8">
        <v>45214</v>
      </c>
      <c r="Q2628" s="8">
        <v>45216</v>
      </c>
      <c r="R2628" s="8">
        <v>45220</v>
      </c>
      <c r="S2628" s="8">
        <v>45227</v>
      </c>
      <c r="T2628" s="8">
        <v>45250</v>
      </c>
      <c r="U2628" s="8"/>
      <c r="V2628" s="10">
        <f>COUNTA(O2628:U2628)</f>
        <v>6</v>
      </c>
      <c r="W2628" s="11">
        <f>_xlfn.IFNA(INDEX(reading[[#This Row],[Memo 01]:[Memo 07]],MATCH(0,reading[[#This Row],[Memo 01]:[Memo 07]],-1)),"")</f>
        <v>45250</v>
      </c>
      <c r="X2628" s="11">
        <f ca="1">IFERROR(reading[[#This Row],[Previous]]+OFFSET(reading[[#Headers],[Memo 01]],-1,MATCH(0,reading[[#This Row],[Memo 01]:[Memo 07]],-1)-1),"")</f>
        <v>45270</v>
      </c>
      <c r="Y2628" s="10" t="str">
        <f ca="1">IF(reading[[#This Row],[Next]]&lt;&gt;"",IF(reading[[#This Row],[Next]]&gt;TODAY(),"OK",""),"")</f>
        <v/>
      </c>
      <c r="Z2628" s="13">
        <v>3</v>
      </c>
      <c r="AA2628" s="13">
        <v>1</v>
      </c>
      <c r="AB2628" s="13">
        <v>3</v>
      </c>
      <c r="AC2628" s="13">
        <v>1</v>
      </c>
      <c r="AD2628" s="13">
        <v>3</v>
      </c>
      <c r="AE2628" s="13">
        <v>1</v>
      </c>
      <c r="AF2628" s="13"/>
      <c r="AG2628" s="16">
        <f>IFERROR(SUMIF(reading[[#This Row],[1st]:[7th]],"&gt;0")/COUNTIF(reading[[#This Row],[1st]:[7th]],"&gt;0"),"")</f>
        <v>2</v>
      </c>
    </row>
    <row r="2629" spans="1:33" x14ac:dyDescent="0.2">
      <c r="A2629" s="4">
        <f>IF(B2629=1,3,IF(D2629=1,2,IF(F2629=1,1,0)))</f>
        <v>0</v>
      </c>
      <c r="B2629" s="4" t="str">
        <f>IF(C2629=$L2629,1,IF(C2629="","",0))</f>
        <v/>
      </c>
      <c r="C2629" s="39"/>
      <c r="D2629" s="4" t="str">
        <f>IF(E2629=$L2629,1,IF(E2629="","",0))</f>
        <v/>
      </c>
      <c r="E2629" s="18"/>
      <c r="F2629" s="4" t="str">
        <f>IF(G2629=$L2629,1,IF(G2629="","",0))</f>
        <v/>
      </c>
      <c r="G2629" s="18"/>
      <c r="H2629" s="6">
        <v>2804</v>
      </c>
      <c r="I2629" s="15" t="s">
        <v>3120</v>
      </c>
      <c r="J2629" s="6" t="s">
        <v>5847</v>
      </c>
      <c r="K2629" s="6"/>
      <c r="L2629" s="6" t="s">
        <v>2840</v>
      </c>
      <c r="M2629" s="6" t="s">
        <v>8908</v>
      </c>
      <c r="N2629" s="7">
        <f ca="1">RAND()</f>
        <v>9.5834851953864653E-2</v>
      </c>
      <c r="O2629" s="8">
        <v>45223</v>
      </c>
      <c r="P2629" s="8">
        <v>45224</v>
      </c>
      <c r="Q2629" s="8">
        <v>45226</v>
      </c>
      <c r="R2629" s="8">
        <v>45230</v>
      </c>
      <c r="S2629" s="8">
        <v>45237</v>
      </c>
      <c r="T2629" s="8"/>
      <c r="U2629" s="8"/>
      <c r="V2629" s="10">
        <f>COUNTA(O2629:U2629)</f>
        <v>5</v>
      </c>
      <c r="W2629" s="11">
        <f>_xlfn.IFNA(INDEX(reading[[#This Row],[Memo 01]:[Memo 07]],MATCH(0,reading[[#This Row],[Memo 01]:[Memo 07]],-1)),"")</f>
        <v>45237</v>
      </c>
      <c r="X2629" s="11">
        <f ca="1">IFERROR(reading[[#This Row],[Previous]]+OFFSET(reading[[#Headers],[Memo 01]],-1,MATCH(0,reading[[#This Row],[Memo 01]:[Memo 07]],-1)-1),"")</f>
        <v>45249</v>
      </c>
      <c r="Y2629" s="10" t="str">
        <f ca="1">IF(reading[[#This Row],[Next]]&lt;&gt;"",IF(reading[[#This Row],[Next]]&gt;TODAY(),"OK",""),"")</f>
        <v/>
      </c>
      <c r="Z2629" s="13">
        <v>3</v>
      </c>
      <c r="AA2629" s="13">
        <v>3</v>
      </c>
      <c r="AB2629" s="13">
        <v>2</v>
      </c>
      <c r="AC2629" s="13">
        <v>3</v>
      </c>
      <c r="AD2629" s="13">
        <v>3</v>
      </c>
      <c r="AE2629" s="13"/>
      <c r="AF2629" s="13"/>
      <c r="AG2629" s="16">
        <f>IFERROR(SUMIF(reading[[#This Row],[1st]:[7th]],"&gt;0")/COUNTIF(reading[[#This Row],[1st]:[7th]],"&gt;0"),"")</f>
        <v>2.8</v>
      </c>
    </row>
    <row r="2630" spans="1:33" x14ac:dyDescent="0.2">
      <c r="A2630" s="4">
        <f>IF(B2630=1,3,IF(D2630=1,2,IF(F2630=1,1,0)))</f>
        <v>0</v>
      </c>
      <c r="B2630" s="4" t="str">
        <f>IF(C2630=$L2630,1,IF(C2630="","",0))</f>
        <v/>
      </c>
      <c r="C2630" s="41"/>
      <c r="D2630" s="4" t="str">
        <f>IF(E2630=$L2630,1,IF(E2630="","",0))</f>
        <v/>
      </c>
      <c r="E2630" s="18"/>
      <c r="F2630" s="4" t="str">
        <f>IF(G2630=$L2630,1,IF(G2630="","",0))</f>
        <v/>
      </c>
      <c r="G2630" s="14"/>
      <c r="H2630" s="6">
        <v>1927</v>
      </c>
      <c r="I2630" s="15" t="s">
        <v>3120</v>
      </c>
      <c r="J2630" s="6" t="s">
        <v>5026</v>
      </c>
      <c r="K2630" s="6"/>
      <c r="L2630" s="6" t="s">
        <v>2003</v>
      </c>
      <c r="M2630" s="6" t="s">
        <v>8033</v>
      </c>
      <c r="N2630" s="7">
        <f ca="1">RAND()</f>
        <v>0.61439822132551614</v>
      </c>
      <c r="O2630" s="8">
        <v>45212</v>
      </c>
      <c r="P2630" s="8">
        <v>45213</v>
      </c>
      <c r="Q2630" s="8">
        <v>45215</v>
      </c>
      <c r="R2630" s="8">
        <v>45219</v>
      </c>
      <c r="S2630" s="8">
        <v>45226</v>
      </c>
      <c r="T2630" s="8">
        <v>45248</v>
      </c>
      <c r="U2630" s="8"/>
      <c r="V2630" s="10">
        <f>COUNTA(O2630:U2630)</f>
        <v>6</v>
      </c>
      <c r="W2630" s="11">
        <f>_xlfn.IFNA(INDEX(reading[[#This Row],[Memo 01]:[Memo 07]],MATCH(0,reading[[#This Row],[Memo 01]:[Memo 07]],-1)),"")</f>
        <v>45248</v>
      </c>
      <c r="X2630" s="11">
        <f ca="1">IFERROR(reading[[#This Row],[Previous]]+OFFSET(reading[[#Headers],[Memo 01]],-1,MATCH(0,reading[[#This Row],[Memo 01]:[Memo 07]],-1)-1),"")</f>
        <v>45268</v>
      </c>
      <c r="Y2630" s="10" t="str">
        <f ca="1">IF(reading[[#This Row],[Next]]&lt;&gt;"",IF(reading[[#This Row],[Next]]&gt;TODAY(),"OK",""),"")</f>
        <v/>
      </c>
      <c r="Z2630" s="13">
        <v>2</v>
      </c>
      <c r="AA2630" s="13">
        <v>2</v>
      </c>
      <c r="AB2630" s="13">
        <v>3</v>
      </c>
      <c r="AC2630" s="13">
        <v>3</v>
      </c>
      <c r="AD2630" s="13">
        <v>2</v>
      </c>
      <c r="AE2630" s="13">
        <v>3</v>
      </c>
      <c r="AF2630" s="13"/>
      <c r="AG2630" s="16">
        <f>IFERROR(SUMIF(reading[[#This Row],[1st]:[7th]],"&gt;0")/COUNTIF(reading[[#This Row],[1st]:[7th]],"&gt;0"),"")</f>
        <v>2.5</v>
      </c>
    </row>
    <row r="2631" spans="1:33" x14ac:dyDescent="0.2">
      <c r="A2631" s="4">
        <f>IF(B2631=1,3,IF(D2631=1,2,IF(F2631=1,1,0)))</f>
        <v>0</v>
      </c>
      <c r="B2631" s="4" t="str">
        <f>IF(C2631=$L2631,1,IF(C2631="","",0))</f>
        <v/>
      </c>
      <c r="C2631" s="36"/>
      <c r="D2631" s="4" t="str">
        <f>IF(E2631=$L2631,1,IF(E2631="","",0))</f>
        <v/>
      </c>
      <c r="E2631" s="14"/>
      <c r="F2631" s="4" t="str">
        <f>IF(G2631=$L2631,1,IF(G2631="","",0))</f>
        <v/>
      </c>
      <c r="G2631" s="14"/>
      <c r="H2631" s="6">
        <v>1851</v>
      </c>
      <c r="I2631" s="15" t="s">
        <v>3120</v>
      </c>
      <c r="J2631" s="6" t="s">
        <v>4954</v>
      </c>
      <c r="K2631" s="6"/>
      <c r="L2631" s="6" t="s">
        <v>1929</v>
      </c>
      <c r="M2631" s="6" t="s">
        <v>7957</v>
      </c>
      <c r="N2631" s="7">
        <f ca="1">RAND()</f>
        <v>0.65137264500159042</v>
      </c>
      <c r="O2631" s="8">
        <v>45212</v>
      </c>
      <c r="P2631" s="8">
        <v>45213</v>
      </c>
      <c r="Q2631" s="8">
        <v>45215</v>
      </c>
      <c r="R2631" s="8">
        <v>45219</v>
      </c>
      <c r="S2631" s="8">
        <v>45226</v>
      </c>
      <c r="T2631" s="8"/>
      <c r="U2631" s="8"/>
      <c r="V2631" s="10">
        <f>COUNTA(O2631:U2631)</f>
        <v>5</v>
      </c>
      <c r="W2631" s="11">
        <f>_xlfn.IFNA(INDEX(reading[[#This Row],[Memo 01]:[Memo 07]],MATCH(0,reading[[#This Row],[Memo 01]:[Memo 07]],-1)),"")</f>
        <v>45226</v>
      </c>
      <c r="X2631" s="11">
        <f ca="1">IFERROR(reading[[#This Row],[Previous]]+OFFSET(reading[[#Headers],[Memo 01]],-1,MATCH(0,reading[[#This Row],[Memo 01]:[Memo 07]],-1)-1),"")</f>
        <v>45238</v>
      </c>
      <c r="Y2631" s="10" t="str">
        <f ca="1">IF(reading[[#This Row],[Next]]&lt;&gt;"",IF(reading[[#This Row],[Next]]&gt;TODAY(),"OK",""),"")</f>
        <v/>
      </c>
      <c r="Z2631" s="13">
        <v>3</v>
      </c>
      <c r="AA2631" s="13">
        <v>3</v>
      </c>
      <c r="AB2631" s="13">
        <v>3</v>
      </c>
      <c r="AC2631" s="13">
        <v>3</v>
      </c>
      <c r="AD2631" s="13">
        <v>3</v>
      </c>
      <c r="AE2631" s="13"/>
      <c r="AF2631" s="13"/>
      <c r="AG2631" s="16">
        <f>IFERROR(SUMIF(reading[[#This Row],[1st]:[7th]],"&gt;0")/COUNTIF(reading[[#This Row],[1st]:[7th]],"&gt;0"),"")</f>
        <v>3</v>
      </c>
    </row>
    <row r="2632" spans="1:33" x14ac:dyDescent="0.2">
      <c r="A2632" s="4">
        <f>IF(B2632=1,3,IF(D2632=1,2,IF(F2632=1,1,0)))</f>
        <v>0</v>
      </c>
      <c r="B2632" s="4" t="str">
        <f>IF(C2632=$L2632,1,IF(C2632="","",0))</f>
        <v/>
      </c>
      <c r="C2632" s="42"/>
      <c r="D2632" s="4" t="str">
        <f>IF(E2632=$L2632,1,IF(E2632="","",0))</f>
        <v/>
      </c>
      <c r="E2632" s="14"/>
      <c r="F2632" s="4" t="str">
        <f>IF(G2632=$L2632,1,IF(G2632="","",0))</f>
        <v/>
      </c>
      <c r="G2632" s="14"/>
      <c r="H2632" s="6">
        <v>2555</v>
      </c>
      <c r="I2632" s="15" t="s">
        <v>3120</v>
      </c>
      <c r="J2632" s="6" t="s">
        <v>5616</v>
      </c>
      <c r="K2632" s="15" t="s">
        <v>3138</v>
      </c>
      <c r="L2632" s="6" t="s">
        <v>2600</v>
      </c>
      <c r="M2632" s="6" t="s">
        <v>8660</v>
      </c>
      <c r="N2632" s="7">
        <f ca="1">RAND()</f>
        <v>0.15466397345013982</v>
      </c>
      <c r="O2632" s="8">
        <v>45220</v>
      </c>
      <c r="P2632" s="8">
        <v>45221</v>
      </c>
      <c r="Q2632" s="8">
        <v>45223</v>
      </c>
      <c r="R2632" s="8">
        <v>45227</v>
      </c>
      <c r="S2632" s="8">
        <v>45234</v>
      </c>
      <c r="T2632" s="8">
        <v>45792</v>
      </c>
      <c r="U2632" s="8"/>
      <c r="V2632" s="10">
        <f>COUNTA(O2632:U2632)</f>
        <v>6</v>
      </c>
      <c r="W2632" s="11">
        <f>_xlfn.IFNA(INDEX(reading[[#This Row],[Memo 01]:[Memo 07]],MATCH(0,reading[[#This Row],[Memo 01]:[Memo 07]],-1)),"")</f>
        <v>45792</v>
      </c>
      <c r="X2632" s="11">
        <f ca="1">IFERROR(reading[[#This Row],[Previous]]+OFFSET(reading[[#Headers],[Memo 01]],-1,MATCH(0,reading[[#This Row],[Memo 01]:[Memo 07]],-1)-1),"")</f>
        <v>45812</v>
      </c>
      <c r="Y2632" s="10" t="str">
        <f ca="1">IF(reading[[#This Row],[Next]]&lt;&gt;"",IF(reading[[#This Row],[Next]]&gt;TODAY(),"OK",""),"")</f>
        <v/>
      </c>
      <c r="Z2632" s="13">
        <v>3</v>
      </c>
      <c r="AA2632" s="13">
        <v>3</v>
      </c>
      <c r="AB2632" s="13">
        <v>3</v>
      </c>
      <c r="AC2632" s="13">
        <v>3</v>
      </c>
      <c r="AD2632" s="13">
        <v>3</v>
      </c>
      <c r="AE2632" s="13">
        <v>3</v>
      </c>
      <c r="AF2632" s="13"/>
      <c r="AG2632" s="16">
        <f>IFERROR(SUMIF(reading[[#This Row],[1st]:[7th]],"&gt;0")/COUNTIF(reading[[#This Row],[1st]:[7th]],"&gt;0"),"")</f>
        <v>3</v>
      </c>
    </row>
    <row r="2633" spans="1:33" hidden="1" x14ac:dyDescent="0.2">
      <c r="A2633" s="4">
        <f>IF(B2633=1,3,IF(D2633=1,2,IF(F2633=1,1,0)))</f>
        <v>0</v>
      </c>
      <c r="B2633" s="4" t="str">
        <f>IF(C2633=$L2633,1,IF(C2633="","",0))</f>
        <v/>
      </c>
      <c r="C2633" s="42"/>
      <c r="D2633" s="4" t="str">
        <f>IF(E2633=$L2633,1,IF(E2633="","",0))</f>
        <v/>
      </c>
      <c r="E2633" s="23"/>
      <c r="F2633" s="4" t="str">
        <f>IF(G2633=$L2633,1,IF(G2633="","",0))</f>
        <v/>
      </c>
      <c r="G2633" s="14"/>
      <c r="H2633" s="6">
        <v>1189</v>
      </c>
      <c r="I2633" s="15" t="s">
        <v>3120</v>
      </c>
      <c r="J2633" s="6" t="s">
        <v>4308</v>
      </c>
      <c r="K2633" s="6"/>
      <c r="L2633" s="6" t="s">
        <v>1291</v>
      </c>
      <c r="M2633" s="6" t="s">
        <v>7296</v>
      </c>
      <c r="N2633" s="7">
        <f ca="1">RAND()</f>
        <v>0.25519940552773079</v>
      </c>
      <c r="O2633" s="8">
        <v>45206</v>
      </c>
      <c r="P2633" s="8">
        <v>45207</v>
      </c>
      <c r="Q2633" s="8">
        <v>45209</v>
      </c>
      <c r="R2633" s="8">
        <v>45213</v>
      </c>
      <c r="S2633" s="8">
        <v>45220</v>
      </c>
      <c r="T2633" s="8">
        <v>45232</v>
      </c>
      <c r="U2633" s="8">
        <v>45825</v>
      </c>
      <c r="V2633" s="10">
        <f>COUNTA(O2633:U2633)</f>
        <v>7</v>
      </c>
      <c r="W2633" s="11">
        <f>_xlfn.IFNA(INDEX(reading[[#This Row],[Memo 01]:[Memo 07]],MATCH(0,reading[[#This Row],[Memo 01]:[Memo 07]],-1)),"")</f>
        <v>45825</v>
      </c>
      <c r="X2633" s="11">
        <f ca="1">IFERROR(reading[[#This Row],[Previous]]+OFFSET(reading[[#Headers],[Memo 01]],-1,MATCH(0,reading[[#This Row],[Memo 01]:[Memo 07]],-1)-1),"")</f>
        <v>55825</v>
      </c>
      <c r="Y2633" s="10" t="str">
        <f ca="1">IF(reading[[#This Row],[Next]]&lt;&gt;"",IF(reading[[#This Row],[Next]]&gt;TODAY(),"OK",""),"")</f>
        <v>OK</v>
      </c>
      <c r="Z2633" s="13">
        <v>3</v>
      </c>
      <c r="AA2633" s="13">
        <v>3</v>
      </c>
      <c r="AB2633" s="13">
        <v>3</v>
      </c>
      <c r="AC2633" s="13">
        <v>3</v>
      </c>
      <c r="AD2633" s="13">
        <v>3</v>
      </c>
      <c r="AE2633" s="13">
        <v>2</v>
      </c>
      <c r="AF2633" s="13">
        <v>2</v>
      </c>
      <c r="AG2633" s="16">
        <f>IFERROR(SUMIF(reading[[#This Row],[1st]:[7th]],"&gt;0")/COUNTIF(reading[[#This Row],[1st]:[7th]],"&gt;0"),"")</f>
        <v>2.7142857142857144</v>
      </c>
    </row>
    <row r="2634" spans="1:33" hidden="1" x14ac:dyDescent="0.2">
      <c r="A2634" s="4">
        <f>IF(B2634=1,3,IF(D2634=1,2,IF(F2634=1,1,0)))</f>
        <v>3</v>
      </c>
      <c r="B2634" s="4">
        <f>IF(C2634=$L2634,1,IF(C2634="","",0))</f>
        <v>1</v>
      </c>
      <c r="C2634" s="36" t="s">
        <v>2679</v>
      </c>
      <c r="D2634" s="4" t="str">
        <f>IF(E2634=$L2634,1,IF(E2634="","",0))</f>
        <v/>
      </c>
      <c r="E2634" s="14"/>
      <c r="F2634" s="4" t="str">
        <f>IF(G2634=$L2634,1,IF(G2634="","",0))</f>
        <v/>
      </c>
      <c r="G2634" s="14"/>
      <c r="H2634" s="6">
        <v>2638</v>
      </c>
      <c r="I2634" s="15" t="s">
        <v>3120</v>
      </c>
      <c r="J2634" s="6" t="s">
        <v>5692</v>
      </c>
      <c r="K2634" s="6"/>
      <c r="L2634" s="6" t="s">
        <v>2679</v>
      </c>
      <c r="M2634" s="6" t="s">
        <v>8743</v>
      </c>
      <c r="N2634" s="7">
        <f ca="1">RAND()</f>
        <v>0.47719880073272147</v>
      </c>
      <c r="O2634" s="8">
        <v>45220</v>
      </c>
      <c r="P2634" s="8">
        <v>45220</v>
      </c>
      <c r="Q2634" s="8">
        <v>45220</v>
      </c>
      <c r="R2634" s="8">
        <v>45220</v>
      </c>
      <c r="S2634" s="8">
        <v>45220</v>
      </c>
      <c r="T2634" s="8">
        <v>45220</v>
      </c>
      <c r="U2634" s="8">
        <v>45220</v>
      </c>
      <c r="V2634" s="10">
        <f>COUNTA(O2634:U2634)</f>
        <v>7</v>
      </c>
      <c r="W2634" s="11">
        <f>_xlfn.IFNA(INDEX(reading[[#This Row],[Memo 01]:[Memo 07]],MATCH(0,reading[[#This Row],[Memo 01]:[Memo 07]],-1)),"")</f>
        <v>45220</v>
      </c>
      <c r="X2634" s="11">
        <f ca="1">IFERROR(reading[[#This Row],[Previous]]+OFFSET(reading[[#Headers],[Memo 01]],-1,MATCH(0,reading[[#This Row],[Memo 01]:[Memo 07]],-1)-1),"")</f>
        <v>55220</v>
      </c>
      <c r="Y2634" s="10" t="str">
        <f ca="1">IF(reading[[#This Row],[Next]]&lt;&gt;"",IF(reading[[#This Row],[Next]]&gt;TODAY(),"OK",""),"")</f>
        <v>OK</v>
      </c>
      <c r="Z2634" s="13">
        <v>3</v>
      </c>
      <c r="AA2634" s="13"/>
      <c r="AB2634" s="13"/>
      <c r="AC2634" s="13"/>
      <c r="AD2634" s="13"/>
      <c r="AE2634" s="13"/>
      <c r="AF2634" s="13"/>
      <c r="AG2634" s="16">
        <f>IFERROR(SUMIF(reading[[#This Row],[1st]:[7th]],"&gt;0")/COUNTIF(reading[[#This Row],[1st]:[7th]],"&gt;0"),"")</f>
        <v>3</v>
      </c>
    </row>
    <row r="2635" spans="1:33" hidden="1" x14ac:dyDescent="0.2">
      <c r="A2635" s="4">
        <f>IF(B2635=1,3,IF(D2635=1,2,IF(F2635=1,1,0)))</f>
        <v>0</v>
      </c>
      <c r="B2635" s="4" t="str">
        <f>IF(C2635=$L2635,1,IF(C2635="","",0))</f>
        <v/>
      </c>
      <c r="C2635" s="42"/>
      <c r="D2635" s="4" t="str">
        <f>IF(E2635=$L2635,1,IF(E2635="","",0))</f>
        <v/>
      </c>
      <c r="E2635" s="43"/>
      <c r="F2635" s="4" t="str">
        <f>IF(G2635=$L2635,1,IF(G2635="","",0))</f>
        <v/>
      </c>
      <c r="G2635" s="14"/>
      <c r="H2635" s="6">
        <v>1836</v>
      </c>
      <c r="I2635" s="15" t="s">
        <v>3120</v>
      </c>
      <c r="J2635" s="6" t="s">
        <v>4941</v>
      </c>
      <c r="K2635" s="6"/>
      <c r="L2635" s="6" t="s">
        <v>1914</v>
      </c>
      <c r="M2635" s="6" t="s">
        <v>7942</v>
      </c>
      <c r="N2635" s="7">
        <f ca="1">RAND()</f>
        <v>0.49827596569245991</v>
      </c>
      <c r="O2635" s="8">
        <v>45213</v>
      </c>
      <c r="P2635" s="8">
        <v>45214</v>
      </c>
      <c r="Q2635" s="8">
        <v>45216</v>
      </c>
      <c r="R2635" s="8">
        <v>45220</v>
      </c>
      <c r="S2635" s="8">
        <v>45227</v>
      </c>
      <c r="T2635" s="8">
        <v>45816</v>
      </c>
      <c r="U2635" s="8"/>
      <c r="V2635" s="10">
        <f>COUNTA(O2635:U2635)</f>
        <v>6</v>
      </c>
      <c r="W2635" s="11">
        <f>_xlfn.IFNA(INDEX(reading[[#This Row],[Memo 01]:[Memo 07]],MATCH(0,reading[[#This Row],[Memo 01]:[Memo 07]],-1)),"")</f>
        <v>45816</v>
      </c>
      <c r="X2635" s="11">
        <f ca="1">IFERROR(reading[[#This Row],[Previous]]+OFFSET(reading[[#Headers],[Memo 01]],-1,MATCH(0,reading[[#This Row],[Memo 01]:[Memo 07]],-1)-1),"")</f>
        <v>45836</v>
      </c>
      <c r="Y2635" s="10" t="str">
        <f ca="1">IF(reading[[#This Row],[Next]]&lt;&gt;"",IF(reading[[#This Row],[Next]]&gt;TODAY(),"OK",""),"")</f>
        <v>OK</v>
      </c>
      <c r="Z2635" s="13">
        <v>3</v>
      </c>
      <c r="AA2635" s="13">
        <v>2</v>
      </c>
      <c r="AB2635" s="13">
        <v>3</v>
      </c>
      <c r="AC2635" s="13">
        <v>3</v>
      </c>
      <c r="AD2635" s="13">
        <v>3</v>
      </c>
      <c r="AE2635" s="13">
        <v>2</v>
      </c>
      <c r="AF2635" s="13"/>
      <c r="AG2635" s="16">
        <f>IFERROR(SUMIF(reading[[#This Row],[1st]:[7th]],"&gt;0")/COUNTIF(reading[[#This Row],[1st]:[7th]],"&gt;0"),"")</f>
        <v>2.6666666666666665</v>
      </c>
    </row>
    <row r="2636" spans="1:33" x14ac:dyDescent="0.2">
      <c r="A2636" s="4">
        <f>IF(B2636=1,3,IF(D2636=1,2,IF(F2636=1,1,0)))</f>
        <v>0</v>
      </c>
      <c r="B2636" s="4" t="str">
        <f>IF(C2636=$L2636,1,IF(C2636="","",0))</f>
        <v/>
      </c>
      <c r="C2636" s="39"/>
      <c r="D2636" s="4" t="str">
        <f>IF(E2636=$L2636,1,IF(E2636="","",0))</f>
        <v/>
      </c>
      <c r="E2636" s="14"/>
      <c r="F2636" s="4" t="str">
        <f>IF(G2636=$L2636,1,IF(G2636="","",0))</f>
        <v/>
      </c>
      <c r="G2636" s="14"/>
      <c r="H2636" s="6">
        <v>1408</v>
      </c>
      <c r="I2636" s="15" t="s">
        <v>3120</v>
      </c>
      <c r="J2636" s="6" t="s">
        <v>4522</v>
      </c>
      <c r="K2636" s="6"/>
      <c r="L2636" s="6" t="s">
        <v>1499</v>
      </c>
      <c r="M2636" s="6" t="s">
        <v>7515</v>
      </c>
      <c r="N2636" s="7">
        <f ca="1">RAND()</f>
        <v>0.70892354481906417</v>
      </c>
      <c r="O2636" s="8">
        <v>45208</v>
      </c>
      <c r="P2636" s="8">
        <v>45209</v>
      </c>
      <c r="Q2636" s="8">
        <v>45211</v>
      </c>
      <c r="R2636" s="8">
        <v>45215</v>
      </c>
      <c r="S2636" s="8">
        <v>45222</v>
      </c>
      <c r="T2636" s="8">
        <v>45234</v>
      </c>
      <c r="U2636" s="8"/>
      <c r="V2636" s="10">
        <f>COUNTA(O2636:U2636)</f>
        <v>6</v>
      </c>
      <c r="W2636" s="11">
        <f>_xlfn.IFNA(INDEX(reading[[#This Row],[Memo 01]:[Memo 07]],MATCH(0,reading[[#This Row],[Memo 01]:[Memo 07]],-1)),"")</f>
        <v>45234</v>
      </c>
      <c r="X2636" s="11">
        <f ca="1">IFERROR(reading[[#This Row],[Previous]]+OFFSET(reading[[#Headers],[Memo 01]],-1,MATCH(0,reading[[#This Row],[Memo 01]:[Memo 07]],-1)-1),"")</f>
        <v>45254</v>
      </c>
      <c r="Y2636" s="10" t="str">
        <f ca="1">IF(reading[[#This Row],[Next]]&lt;&gt;"",IF(reading[[#This Row],[Next]]&gt;TODAY(),"OK",""),"")</f>
        <v/>
      </c>
      <c r="Z2636" s="13">
        <v>3</v>
      </c>
      <c r="AA2636" s="13">
        <v>3</v>
      </c>
      <c r="AB2636" s="13">
        <v>3</v>
      </c>
      <c r="AC2636" s="13">
        <v>3</v>
      </c>
      <c r="AD2636" s="13">
        <v>3</v>
      </c>
      <c r="AE2636" s="13">
        <v>3</v>
      </c>
      <c r="AF2636" s="13"/>
      <c r="AG2636" s="16">
        <f>IFERROR(SUMIF(reading[[#This Row],[1st]:[7th]],"&gt;0")/COUNTIF(reading[[#This Row],[1st]:[7th]],"&gt;0"),"")</f>
        <v>3</v>
      </c>
    </row>
    <row r="2637" spans="1:33" x14ac:dyDescent="0.2">
      <c r="A2637" s="4">
        <f>IF(B2637=1,3,IF(D2637=1,2,IF(F2637=1,1,0)))</f>
        <v>0</v>
      </c>
      <c r="B2637" s="4" t="str">
        <f>IF(C2637=$L2637,1,IF(C2637="","",0))</f>
        <v/>
      </c>
      <c r="C2637" s="36"/>
      <c r="D2637" s="4" t="str">
        <f>IF(E2637=$L2637,1,IF(E2637="","",0))</f>
        <v/>
      </c>
      <c r="E2637" s="18"/>
      <c r="F2637" s="4" t="str">
        <f>IF(G2637=$L2637,1,IF(G2637="","",0))</f>
        <v/>
      </c>
      <c r="G2637" s="14"/>
      <c r="H2637" s="6">
        <v>191</v>
      </c>
      <c r="I2637" s="15" t="s">
        <v>3120</v>
      </c>
      <c r="J2637" s="6" t="s">
        <v>3340</v>
      </c>
      <c r="K2637" s="6"/>
      <c r="L2637" s="6" t="s">
        <v>327</v>
      </c>
      <c r="M2637" s="6" t="s">
        <v>6300</v>
      </c>
      <c r="N2637" s="7">
        <f ca="1">RAND()</f>
        <v>0.44611687850308379</v>
      </c>
      <c r="O2637" s="8">
        <v>45199</v>
      </c>
      <c r="P2637" s="8">
        <v>45200</v>
      </c>
      <c r="Q2637" s="8">
        <v>45202</v>
      </c>
      <c r="R2637" s="8">
        <v>45206</v>
      </c>
      <c r="S2637" s="8">
        <v>45213</v>
      </c>
      <c r="T2637" s="8">
        <v>45225</v>
      </c>
      <c r="U2637" s="8"/>
      <c r="V2637" s="10">
        <f>COUNTA(O2637:U2637)</f>
        <v>6</v>
      </c>
      <c r="W2637" s="11">
        <f>_xlfn.IFNA(INDEX(reading[[#This Row],[Memo 01]:[Memo 07]],MATCH(0,reading[[#This Row],[Memo 01]:[Memo 07]],-1)),"")</f>
        <v>45225</v>
      </c>
      <c r="X2637" s="11">
        <f ca="1">IFERROR(reading[[#This Row],[Previous]]+OFFSET(reading[[#Headers],[Memo 01]],-1,MATCH(0,reading[[#This Row],[Memo 01]:[Memo 07]],-1)-1),"")</f>
        <v>45245</v>
      </c>
      <c r="Y2637" s="10" t="str">
        <f ca="1">IF(reading[[#This Row],[Next]]&lt;&gt;"",IF(reading[[#This Row],[Next]]&gt;TODAY(),"OK",""),"")</f>
        <v/>
      </c>
      <c r="Z2637" s="13">
        <v>3</v>
      </c>
      <c r="AA2637" s="13">
        <v>3</v>
      </c>
      <c r="AB2637" s="13">
        <v>3</v>
      </c>
      <c r="AC2637" s="13">
        <v>3</v>
      </c>
      <c r="AD2637" s="13">
        <v>3</v>
      </c>
      <c r="AE2637" s="13">
        <v>2</v>
      </c>
      <c r="AF2637" s="13"/>
      <c r="AG2637" s="16">
        <f>IFERROR(SUMIF(reading[[#This Row],[1st]:[7th]],"&gt;0")/COUNTIF(reading[[#This Row],[1st]:[7th]],"&gt;0"),"")</f>
        <v>2.8333333333333335</v>
      </c>
    </row>
    <row r="2638" spans="1:33" x14ac:dyDescent="0.2">
      <c r="A2638" s="4">
        <f>IF(B2638=1,3,IF(D2638=1,2,IF(F2638=1,1,0)))</f>
        <v>0</v>
      </c>
      <c r="B2638" s="4" t="str">
        <f>IF(C2638=$L2638,1,IF(C2638="","",0))</f>
        <v/>
      </c>
      <c r="C2638" s="39"/>
      <c r="D2638" s="4" t="str">
        <f>IF(E2638=$L2638,1,IF(E2638="","",0))</f>
        <v/>
      </c>
      <c r="E2638" s="14"/>
      <c r="F2638" s="4" t="str">
        <f>IF(G2638=$L2638,1,IF(G2638="","",0))</f>
        <v/>
      </c>
      <c r="G2638" s="14"/>
      <c r="H2638" s="6">
        <v>1057</v>
      </c>
      <c r="I2638" s="15" t="s">
        <v>3120</v>
      </c>
      <c r="J2638" s="6" t="s">
        <v>4184</v>
      </c>
      <c r="K2638" s="15" t="s">
        <v>3138</v>
      </c>
      <c r="L2638" s="6" t="s">
        <v>1165</v>
      </c>
      <c r="M2638" s="6" t="s">
        <v>7165</v>
      </c>
      <c r="N2638" s="7">
        <f ca="1">RAND()</f>
        <v>0.83419642892714685</v>
      </c>
      <c r="O2638" s="8">
        <v>45205</v>
      </c>
      <c r="P2638" s="8">
        <v>45206</v>
      </c>
      <c r="Q2638" s="8">
        <v>45208</v>
      </c>
      <c r="R2638" s="8">
        <v>45212</v>
      </c>
      <c r="S2638" s="8">
        <v>45219</v>
      </c>
      <c r="T2638" s="8">
        <v>45231</v>
      </c>
      <c r="U2638" s="8"/>
      <c r="V2638" s="10">
        <f>COUNTA(O2638:U2638)</f>
        <v>6</v>
      </c>
      <c r="W2638" s="11">
        <f>_xlfn.IFNA(INDEX(reading[[#This Row],[Memo 01]:[Memo 07]],MATCH(0,reading[[#This Row],[Memo 01]:[Memo 07]],-1)),"")</f>
        <v>45231</v>
      </c>
      <c r="X2638" s="11">
        <f ca="1">IFERROR(reading[[#This Row],[Previous]]+OFFSET(reading[[#Headers],[Memo 01]],-1,MATCH(0,reading[[#This Row],[Memo 01]:[Memo 07]],-1)-1),"")</f>
        <v>45251</v>
      </c>
      <c r="Y2638" s="10" t="str">
        <f ca="1">IF(reading[[#This Row],[Next]]&lt;&gt;"",IF(reading[[#This Row],[Next]]&gt;TODAY(),"OK",""),"")</f>
        <v/>
      </c>
      <c r="Z2638" s="13">
        <v>3</v>
      </c>
      <c r="AA2638" s="13">
        <v>3</v>
      </c>
      <c r="AB2638" s="13">
        <v>3</v>
      </c>
      <c r="AC2638" s="13">
        <v>3</v>
      </c>
      <c r="AD2638" s="13">
        <v>3</v>
      </c>
      <c r="AE2638" s="13">
        <v>3</v>
      </c>
      <c r="AF2638" s="13"/>
      <c r="AG2638" s="16">
        <f>IFERROR(SUMIF(reading[[#This Row],[1st]:[7th]],"&gt;0")/COUNTIF(reading[[#This Row],[1st]:[7th]],"&gt;0"),"")</f>
        <v>3</v>
      </c>
    </row>
    <row r="2639" spans="1:33" x14ac:dyDescent="0.2">
      <c r="A2639" s="4">
        <f>IF(B2639=1,3,IF(D2639=1,2,IF(F2639=1,1,0)))</f>
        <v>0</v>
      </c>
      <c r="B2639" s="4" t="str">
        <f>IF(C2639=$L2639,1,IF(C2639="","",0))</f>
        <v/>
      </c>
      <c r="C2639" s="39"/>
      <c r="D2639" s="4" t="str">
        <f>IF(E2639=$L2639,1,IF(E2639="","",0))</f>
        <v/>
      </c>
      <c r="E2639" s="14"/>
      <c r="F2639" s="4" t="str">
        <f>IF(G2639=$L2639,1,IF(G2639="","",0))</f>
        <v/>
      </c>
      <c r="G2639" s="14"/>
      <c r="H2639" s="6">
        <v>2493</v>
      </c>
      <c r="I2639" s="15" t="s">
        <v>3120</v>
      </c>
      <c r="J2639" s="6" t="s">
        <v>5560</v>
      </c>
      <c r="K2639" s="6"/>
      <c r="L2639" s="6" t="s">
        <v>2539</v>
      </c>
      <c r="M2639" s="6" t="s">
        <v>8598</v>
      </c>
      <c r="N2639" s="7">
        <f ca="1">RAND()</f>
        <v>0.97714824471580541</v>
      </c>
      <c r="O2639" s="8">
        <v>45218</v>
      </c>
      <c r="P2639" s="8">
        <v>45219</v>
      </c>
      <c r="Q2639" s="8">
        <v>45221</v>
      </c>
      <c r="R2639" s="8">
        <v>45225</v>
      </c>
      <c r="S2639" s="8">
        <v>45232</v>
      </c>
      <c r="T2639" s="8"/>
      <c r="U2639" s="8"/>
      <c r="V2639" s="10">
        <f>COUNTA(O2639:U2639)</f>
        <v>5</v>
      </c>
      <c r="W2639" s="11">
        <f>_xlfn.IFNA(INDEX(reading[[#This Row],[Memo 01]:[Memo 07]],MATCH(0,reading[[#This Row],[Memo 01]:[Memo 07]],-1)),"")</f>
        <v>45232</v>
      </c>
      <c r="X2639" s="11">
        <f ca="1">IFERROR(reading[[#This Row],[Previous]]+OFFSET(reading[[#Headers],[Memo 01]],-1,MATCH(0,reading[[#This Row],[Memo 01]:[Memo 07]],-1)-1),"")</f>
        <v>45244</v>
      </c>
      <c r="Y2639" s="10" t="str">
        <f ca="1">IF(reading[[#This Row],[Next]]&lt;&gt;"",IF(reading[[#This Row],[Next]]&gt;TODAY(),"OK",""),"")</f>
        <v/>
      </c>
      <c r="Z2639" s="13">
        <v>3</v>
      </c>
      <c r="AA2639" s="13">
        <v>3</v>
      </c>
      <c r="AB2639" s="13">
        <v>3</v>
      </c>
      <c r="AC2639" s="13">
        <v>3</v>
      </c>
      <c r="AD2639" s="13">
        <v>3</v>
      </c>
      <c r="AE2639" s="13"/>
      <c r="AF2639" s="13"/>
      <c r="AG2639" s="16">
        <f>IFERROR(SUMIF(reading[[#This Row],[1st]:[7th]],"&gt;0")/COUNTIF(reading[[#This Row],[1st]:[7th]],"&gt;0"),"")</f>
        <v>3</v>
      </c>
    </row>
    <row r="2640" spans="1:33" x14ac:dyDescent="0.2">
      <c r="A2640" s="4">
        <f>IF(B2640=1,3,IF(D2640=1,2,IF(F2640=1,1,0)))</f>
        <v>0</v>
      </c>
      <c r="B2640" s="4" t="str">
        <f>IF(C2640=$L2640,1,IF(C2640="","",0))</f>
        <v/>
      </c>
      <c r="C2640" s="41"/>
      <c r="D2640" s="4" t="str">
        <f>IF(E2640=$L2640,1,IF(E2640="","",0))</f>
        <v/>
      </c>
      <c r="E2640" s="18"/>
      <c r="F2640" s="4" t="str">
        <f>IF(G2640=$L2640,1,IF(G2640="","",0))</f>
        <v/>
      </c>
      <c r="G2640" s="14"/>
      <c r="H2640" s="6">
        <v>2382</v>
      </c>
      <c r="I2640" s="15" t="s">
        <v>3120</v>
      </c>
      <c r="J2640" s="6" t="s">
        <v>5455</v>
      </c>
      <c r="K2640" s="6"/>
      <c r="L2640" s="6" t="s">
        <v>2433</v>
      </c>
      <c r="M2640" s="6" t="s">
        <v>8487</v>
      </c>
      <c r="N2640" s="7">
        <f ca="1">RAND()</f>
        <v>0.69468953754552754</v>
      </c>
      <c r="O2640" s="8">
        <v>45217</v>
      </c>
      <c r="P2640" s="8">
        <v>45218</v>
      </c>
      <c r="Q2640" s="8">
        <v>45220</v>
      </c>
      <c r="R2640" s="8">
        <v>45224</v>
      </c>
      <c r="S2640" s="8">
        <v>45231</v>
      </c>
      <c r="T2640" s="8">
        <v>45251</v>
      </c>
      <c r="U2640" s="8"/>
      <c r="V2640" s="10">
        <f>COUNTA(O2640:U2640)</f>
        <v>6</v>
      </c>
      <c r="W2640" s="11">
        <f>_xlfn.IFNA(INDEX(reading[[#This Row],[Memo 01]:[Memo 07]],MATCH(0,reading[[#This Row],[Memo 01]:[Memo 07]],-1)),"")</f>
        <v>45251</v>
      </c>
      <c r="X2640" s="11">
        <f ca="1">IFERROR(reading[[#This Row],[Previous]]+OFFSET(reading[[#Headers],[Memo 01]],-1,MATCH(0,reading[[#This Row],[Memo 01]:[Memo 07]],-1)-1),"")</f>
        <v>45271</v>
      </c>
      <c r="Y2640" s="10" t="str">
        <f ca="1">IF(reading[[#This Row],[Next]]&lt;&gt;"",IF(reading[[#This Row],[Next]]&gt;TODAY(),"OK",""),"")</f>
        <v/>
      </c>
      <c r="Z2640" s="13">
        <v>3</v>
      </c>
      <c r="AA2640" s="13">
        <v>3</v>
      </c>
      <c r="AB2640" s="13">
        <v>3</v>
      </c>
      <c r="AC2640" s="13">
        <v>2</v>
      </c>
      <c r="AD2640" s="13">
        <v>2</v>
      </c>
      <c r="AE2640" s="13">
        <v>3</v>
      </c>
      <c r="AF2640" s="13"/>
      <c r="AG2640" s="16">
        <f>IFERROR(SUMIF(reading[[#This Row],[1st]:[7th]],"&gt;0")/COUNTIF(reading[[#This Row],[1st]:[7th]],"&gt;0"),"")</f>
        <v>2.6666666666666665</v>
      </c>
    </row>
    <row r="2641" spans="1:33" hidden="1" x14ac:dyDescent="0.2">
      <c r="A2641" s="4">
        <f>IF(B2641=1,3,IF(D2641=1,2,IF(F2641=1,1,0)))</f>
        <v>0</v>
      </c>
      <c r="B2641" s="4" t="str">
        <f>IF(C2641=$L2641,1,IF(C2641="","",0))</f>
        <v/>
      </c>
      <c r="C2641" s="42"/>
      <c r="D2641" s="4" t="str">
        <f>IF(E2641=$L2641,1,IF(E2641="","",0))</f>
        <v/>
      </c>
      <c r="E2641" s="23"/>
      <c r="F2641" s="4" t="str">
        <f>IF(G2641=$L2641,1,IF(G2641="","",0))</f>
        <v/>
      </c>
      <c r="G2641" s="14"/>
      <c r="H2641" s="6">
        <v>2213</v>
      </c>
      <c r="I2641" s="15" t="s">
        <v>3120</v>
      </c>
      <c r="J2641" s="6" t="s">
        <v>5299</v>
      </c>
      <c r="K2641" s="15" t="s">
        <v>3138</v>
      </c>
      <c r="L2641" s="6" t="s">
        <v>2276</v>
      </c>
      <c r="M2641" s="6" t="s">
        <v>8319</v>
      </c>
      <c r="N2641" s="7">
        <f ca="1">RAND()</f>
        <v>0.94926780998606286</v>
      </c>
      <c r="O2641" s="8">
        <v>45215</v>
      </c>
      <c r="P2641" s="8">
        <v>45216</v>
      </c>
      <c r="Q2641" s="8">
        <v>45218</v>
      </c>
      <c r="R2641" s="8">
        <v>45222</v>
      </c>
      <c r="S2641" s="8">
        <v>45229</v>
      </c>
      <c r="T2641" s="8">
        <v>45816</v>
      </c>
      <c r="U2641" s="8"/>
      <c r="V2641" s="10">
        <f>COUNTA(O2641:U2641)</f>
        <v>6</v>
      </c>
      <c r="W2641" s="11">
        <f>_xlfn.IFNA(INDEX(reading[[#This Row],[Memo 01]:[Memo 07]],MATCH(0,reading[[#This Row],[Memo 01]:[Memo 07]],-1)),"")</f>
        <v>45816</v>
      </c>
      <c r="X2641" s="11">
        <f ca="1">IFERROR(reading[[#This Row],[Previous]]+OFFSET(reading[[#Headers],[Memo 01]],-1,MATCH(0,reading[[#This Row],[Memo 01]:[Memo 07]],-1)-1),"")</f>
        <v>45836</v>
      </c>
      <c r="Y2641" s="10" t="str">
        <f ca="1">IF(reading[[#This Row],[Next]]&lt;&gt;"",IF(reading[[#This Row],[Next]]&gt;TODAY(),"OK",""),"")</f>
        <v>OK</v>
      </c>
      <c r="Z2641" s="13">
        <v>3</v>
      </c>
      <c r="AA2641" s="13">
        <v>3</v>
      </c>
      <c r="AB2641" s="13">
        <v>3</v>
      </c>
      <c r="AC2641" s="13">
        <v>3</v>
      </c>
      <c r="AD2641" s="13">
        <v>3</v>
      </c>
      <c r="AE2641" s="13">
        <v>2</v>
      </c>
      <c r="AF2641" s="13"/>
      <c r="AG2641" s="16">
        <f>IFERROR(SUMIF(reading[[#This Row],[1st]:[7th]],"&gt;0")/COUNTIF(reading[[#This Row],[1st]:[7th]],"&gt;0"),"")</f>
        <v>2.8333333333333335</v>
      </c>
    </row>
    <row r="2642" spans="1:33" x14ac:dyDescent="0.2">
      <c r="A2642" s="4">
        <f>IF(B2642=1,3,IF(D2642=1,2,IF(F2642=1,1,0)))</f>
        <v>0</v>
      </c>
      <c r="B2642" s="4" t="str">
        <f>IF(C2642=$L2642,1,IF(C2642="","",0))</f>
        <v/>
      </c>
      <c r="C2642" s="39"/>
      <c r="D2642" s="4" t="str">
        <f>IF(E2642=$L2642,1,IF(E2642="","",0))</f>
        <v/>
      </c>
      <c r="E2642" s="18"/>
      <c r="F2642" s="4" t="str">
        <f>IF(G2642=$L2642,1,IF(G2642="","",0))</f>
        <v/>
      </c>
      <c r="G2642" s="14"/>
      <c r="H2642" s="6">
        <v>1130</v>
      </c>
      <c r="I2642" s="15" t="s">
        <v>3120</v>
      </c>
      <c r="J2642" s="6" t="s">
        <v>4251</v>
      </c>
      <c r="K2642" s="6"/>
      <c r="L2642" s="6" t="s">
        <v>1232</v>
      </c>
      <c r="M2642" s="6" t="s">
        <v>7238</v>
      </c>
      <c r="N2642" s="7">
        <f ca="1">RAND()</f>
        <v>0.6244108606281914</v>
      </c>
      <c r="O2642" s="8">
        <v>45205</v>
      </c>
      <c r="P2642" s="8">
        <v>45206</v>
      </c>
      <c r="Q2642" s="8">
        <v>45208</v>
      </c>
      <c r="R2642" s="8">
        <v>45212</v>
      </c>
      <c r="S2642" s="8">
        <v>45219</v>
      </c>
      <c r="T2642" s="8">
        <v>45231</v>
      </c>
      <c r="U2642" s="8"/>
      <c r="V2642" s="10">
        <f>COUNTA(O2642:U2642)</f>
        <v>6</v>
      </c>
      <c r="W2642" s="11">
        <f>_xlfn.IFNA(INDEX(reading[[#This Row],[Memo 01]:[Memo 07]],MATCH(0,reading[[#This Row],[Memo 01]:[Memo 07]],-1)),"")</f>
        <v>45231</v>
      </c>
      <c r="X2642" s="11">
        <f ca="1">IFERROR(reading[[#This Row],[Previous]]+OFFSET(reading[[#Headers],[Memo 01]],-1,MATCH(0,reading[[#This Row],[Memo 01]:[Memo 07]],-1)-1),"")</f>
        <v>45251</v>
      </c>
      <c r="Y2642" s="10" t="str">
        <f ca="1">IF(reading[[#This Row],[Next]]&lt;&gt;"",IF(reading[[#This Row],[Next]]&gt;TODAY(),"OK",""),"")</f>
        <v/>
      </c>
      <c r="Z2642" s="13">
        <v>3</v>
      </c>
      <c r="AA2642" s="13">
        <v>2</v>
      </c>
      <c r="AB2642" s="13">
        <v>3</v>
      </c>
      <c r="AC2642" s="13">
        <v>3</v>
      </c>
      <c r="AD2642" s="13">
        <v>3</v>
      </c>
      <c r="AE2642" s="13">
        <v>3</v>
      </c>
      <c r="AF2642" s="13"/>
      <c r="AG2642" s="16">
        <f>IFERROR(SUMIF(reading[[#This Row],[1st]:[7th]],"&gt;0")/COUNTIF(reading[[#This Row],[1st]:[7th]],"&gt;0"),"")</f>
        <v>2.8333333333333335</v>
      </c>
    </row>
    <row r="2643" spans="1:33" hidden="1" x14ac:dyDescent="0.2">
      <c r="A2643" s="4">
        <f>IF(B2643=1,3,IF(D2643=1,2,IF(F2643=1,1,0)))</f>
        <v>0</v>
      </c>
      <c r="B2643" s="4" t="str">
        <f>IF(C2643=$L2643,1,IF(C2643="","",0))</f>
        <v/>
      </c>
      <c r="C2643" s="42"/>
      <c r="D2643" s="4" t="str">
        <f>IF(E2643=$L2643,1,IF(E2643="","",0))</f>
        <v/>
      </c>
      <c r="E2643" s="43"/>
      <c r="F2643" s="4" t="str">
        <f>IF(G2643=$L2643,1,IF(G2643="","",0))</f>
        <v/>
      </c>
      <c r="G2643" s="14"/>
      <c r="H2643" s="6">
        <v>2957</v>
      </c>
      <c r="I2643" s="15" t="s">
        <v>3120</v>
      </c>
      <c r="J2643" s="6" t="s">
        <v>5989</v>
      </c>
      <c r="K2643" s="6"/>
      <c r="L2643" s="6" t="s">
        <v>2987</v>
      </c>
      <c r="M2643" s="6" t="s">
        <v>9061</v>
      </c>
      <c r="N2643" s="7">
        <f ca="1">RAND()</f>
        <v>0.19135587154414513</v>
      </c>
      <c r="O2643" s="8">
        <v>45223</v>
      </c>
      <c r="P2643" s="8">
        <v>45224</v>
      </c>
      <c r="Q2643" s="8">
        <v>45226</v>
      </c>
      <c r="R2643" s="8">
        <v>45230</v>
      </c>
      <c r="S2643" s="8">
        <v>45237</v>
      </c>
      <c r="T2643" s="8">
        <v>45816</v>
      </c>
      <c r="U2643" s="8"/>
      <c r="V2643" s="10">
        <f>COUNTA(O2643:U2643)</f>
        <v>6</v>
      </c>
      <c r="W2643" s="11">
        <f>_xlfn.IFNA(INDEX(reading[[#This Row],[Memo 01]:[Memo 07]],MATCH(0,reading[[#This Row],[Memo 01]:[Memo 07]],-1)),"")</f>
        <v>45816</v>
      </c>
      <c r="X2643" s="11">
        <f ca="1">IFERROR(reading[[#This Row],[Previous]]+OFFSET(reading[[#Headers],[Memo 01]],-1,MATCH(0,reading[[#This Row],[Memo 01]:[Memo 07]],-1)-1),"")</f>
        <v>45836</v>
      </c>
      <c r="Y2643" s="10" t="str">
        <f ca="1">IF(reading[[#This Row],[Next]]&lt;&gt;"",IF(reading[[#This Row],[Next]]&gt;TODAY(),"OK",""),"")</f>
        <v>OK</v>
      </c>
      <c r="Z2643" s="13">
        <v>3</v>
      </c>
      <c r="AA2643" s="13">
        <v>3</v>
      </c>
      <c r="AB2643" s="13">
        <v>2</v>
      </c>
      <c r="AC2643" s="13">
        <v>3</v>
      </c>
      <c r="AD2643" s="13">
        <v>3</v>
      </c>
      <c r="AE2643" s="13">
        <v>2</v>
      </c>
      <c r="AF2643" s="13"/>
      <c r="AG2643" s="16">
        <f>IFERROR(SUMIF(reading[[#This Row],[1st]:[7th]],"&gt;0")/COUNTIF(reading[[#This Row],[1st]:[7th]],"&gt;0"),"")</f>
        <v>2.6666666666666665</v>
      </c>
    </row>
    <row r="2644" spans="1:33" x14ac:dyDescent="0.2">
      <c r="A2644" s="4">
        <f>IF(B2644=1,3,IF(D2644=1,2,IF(F2644=1,1,0)))</f>
        <v>0</v>
      </c>
      <c r="B2644" s="4" t="str">
        <f>IF(C2644=$L2644,1,IF(C2644="","",0))</f>
        <v/>
      </c>
      <c r="C2644" s="39"/>
      <c r="D2644" s="4" t="str">
        <f>IF(E2644=$L2644,1,IF(E2644="","",0))</f>
        <v/>
      </c>
      <c r="E2644" s="14"/>
      <c r="F2644" s="4" t="str">
        <f>IF(G2644=$L2644,1,IF(G2644="","",0))</f>
        <v/>
      </c>
      <c r="G2644" s="14"/>
      <c r="H2644" s="6">
        <v>1388</v>
      </c>
      <c r="I2644" s="15" t="s">
        <v>3120</v>
      </c>
      <c r="J2644" s="6" t="s">
        <v>4502</v>
      </c>
      <c r="K2644" s="6"/>
      <c r="L2644" s="6" t="s">
        <v>143</v>
      </c>
      <c r="M2644" s="6" t="s">
        <v>7495</v>
      </c>
      <c r="N2644" s="7">
        <f ca="1">RAND()</f>
        <v>0.78985843297541891</v>
      </c>
      <c r="O2644" s="8">
        <v>45207</v>
      </c>
      <c r="P2644" s="8">
        <v>45208</v>
      </c>
      <c r="Q2644" s="8">
        <v>45210</v>
      </c>
      <c r="R2644" s="8">
        <v>45214</v>
      </c>
      <c r="S2644" s="8">
        <v>45221</v>
      </c>
      <c r="T2644" s="8">
        <v>45233</v>
      </c>
      <c r="U2644" s="8"/>
      <c r="V2644" s="10">
        <f>COUNTA(O2644:U2644)</f>
        <v>6</v>
      </c>
      <c r="W2644" s="11">
        <f>_xlfn.IFNA(INDEX(reading[[#This Row],[Memo 01]:[Memo 07]],MATCH(0,reading[[#This Row],[Memo 01]:[Memo 07]],-1)),"")</f>
        <v>45233</v>
      </c>
      <c r="X2644" s="11">
        <f ca="1">IFERROR(reading[[#This Row],[Previous]]+OFFSET(reading[[#Headers],[Memo 01]],-1,MATCH(0,reading[[#This Row],[Memo 01]:[Memo 07]],-1)-1),"")</f>
        <v>45253</v>
      </c>
      <c r="Y2644" s="10" t="str">
        <f ca="1">IF(reading[[#This Row],[Next]]&lt;&gt;"",IF(reading[[#This Row],[Next]]&gt;TODAY(),"OK",""),"")</f>
        <v/>
      </c>
      <c r="Z2644" s="13">
        <v>3</v>
      </c>
      <c r="AA2644" s="13">
        <v>3</v>
      </c>
      <c r="AB2644" s="13">
        <v>3</v>
      </c>
      <c r="AC2644" s="13">
        <v>3</v>
      </c>
      <c r="AD2644" s="13">
        <v>3</v>
      </c>
      <c r="AE2644" s="13">
        <v>3</v>
      </c>
      <c r="AF2644" s="13"/>
      <c r="AG2644" s="16">
        <f>IFERROR(SUMIF(reading[[#This Row],[1st]:[7th]],"&gt;0")/COUNTIF(reading[[#This Row],[1st]:[7th]],"&gt;0"),"")</f>
        <v>3</v>
      </c>
    </row>
    <row r="2645" spans="1:33" x14ac:dyDescent="0.2">
      <c r="A2645" s="4">
        <f>IF(B2645=1,3,IF(D2645=1,2,IF(F2645=1,1,0)))</f>
        <v>0</v>
      </c>
      <c r="B2645" s="4" t="str">
        <f>IF(C2645=$L2645,1,IF(C2645="","",0))</f>
        <v/>
      </c>
      <c r="C2645" s="42"/>
      <c r="D2645" s="4" t="str">
        <f>IF(E2645=$L2645,1,IF(E2645="","",0))</f>
        <v/>
      </c>
      <c r="E2645" s="18"/>
      <c r="F2645" s="4" t="str">
        <f>IF(G2645=$L2645,1,IF(G2645="","",0))</f>
        <v/>
      </c>
      <c r="G2645" s="14"/>
      <c r="H2645" s="6">
        <v>1317</v>
      </c>
      <c r="I2645" s="15" t="s">
        <v>3120</v>
      </c>
      <c r="J2645" s="6" t="s">
        <v>3364</v>
      </c>
      <c r="K2645" s="6"/>
      <c r="L2645" s="6" t="s">
        <v>1414</v>
      </c>
      <c r="M2645" s="6" t="s">
        <v>7424</v>
      </c>
      <c r="N2645" s="7">
        <f ca="1">RAND()</f>
        <v>0.7247238135079207</v>
      </c>
      <c r="O2645" s="8">
        <v>45207</v>
      </c>
      <c r="P2645" s="8">
        <v>45208</v>
      </c>
      <c r="Q2645" s="8">
        <v>45210</v>
      </c>
      <c r="R2645" s="8">
        <v>45214</v>
      </c>
      <c r="S2645" s="8">
        <v>45221</v>
      </c>
      <c r="T2645" s="8">
        <v>45233</v>
      </c>
      <c r="U2645" s="8"/>
      <c r="V2645" s="10">
        <f>COUNTA(O2645:U2645)</f>
        <v>6</v>
      </c>
      <c r="W2645" s="11">
        <f>_xlfn.IFNA(INDEX(reading[[#This Row],[Memo 01]:[Memo 07]],MATCH(0,reading[[#This Row],[Memo 01]:[Memo 07]],-1)),"")</f>
        <v>45233</v>
      </c>
      <c r="X2645" s="11">
        <f ca="1">IFERROR(reading[[#This Row],[Previous]]+OFFSET(reading[[#Headers],[Memo 01]],-1,MATCH(0,reading[[#This Row],[Memo 01]:[Memo 07]],-1)-1),"")</f>
        <v>45253</v>
      </c>
      <c r="Y2645" s="10" t="str">
        <f ca="1">IF(reading[[#This Row],[Next]]&lt;&gt;"",IF(reading[[#This Row],[Next]]&gt;TODAY(),"OK",""),"")</f>
        <v/>
      </c>
      <c r="Z2645" s="13">
        <v>3</v>
      </c>
      <c r="AA2645" s="13">
        <v>1</v>
      </c>
      <c r="AB2645" s="13">
        <v>3</v>
      </c>
      <c r="AC2645" s="13">
        <v>3</v>
      </c>
      <c r="AD2645" s="13">
        <v>2</v>
      </c>
      <c r="AE2645" s="13">
        <v>3</v>
      </c>
      <c r="AF2645" s="13"/>
      <c r="AG2645" s="16">
        <f>IFERROR(SUMIF(reading[[#This Row],[1st]:[7th]],"&gt;0")/COUNTIF(reading[[#This Row],[1st]:[7th]],"&gt;0"),"")</f>
        <v>2.5</v>
      </c>
    </row>
    <row r="2646" spans="1:33" hidden="1" x14ac:dyDescent="0.2">
      <c r="A2646" s="4">
        <f>IF(B2646=1,3,IF(D2646=1,2,IF(F2646=1,1,0)))</f>
        <v>0</v>
      </c>
      <c r="B2646" s="4" t="str">
        <f>IF(C2646=$L2646,1,IF(C2646="","",0))</f>
        <v/>
      </c>
      <c r="C2646" s="42"/>
      <c r="D2646" s="4" t="str">
        <f>IF(E2646=$L2646,1,IF(E2646="","",0))</f>
        <v/>
      </c>
      <c r="E2646" s="23"/>
      <c r="F2646" s="4" t="str">
        <f>IF(G2646=$L2646,1,IF(G2646="","",0))</f>
        <v/>
      </c>
      <c r="G2646" s="23"/>
      <c r="H2646" s="6">
        <v>2663</v>
      </c>
      <c r="I2646" s="15" t="s">
        <v>3120</v>
      </c>
      <c r="J2646" s="6" t="s">
        <v>5716</v>
      </c>
      <c r="K2646" s="6"/>
      <c r="L2646" s="6" t="s">
        <v>2702</v>
      </c>
      <c r="M2646" s="6" t="s">
        <v>8768</v>
      </c>
      <c r="N2646" s="7">
        <f ca="1">RAND()</f>
        <v>0.92027846247178691</v>
      </c>
      <c r="O2646" s="8">
        <v>45220</v>
      </c>
      <c r="P2646" s="8">
        <v>45221</v>
      </c>
      <c r="Q2646" s="8">
        <v>45223</v>
      </c>
      <c r="R2646" s="8">
        <v>45227</v>
      </c>
      <c r="S2646" s="8">
        <v>45234</v>
      </c>
      <c r="T2646" s="8">
        <v>45816</v>
      </c>
      <c r="U2646" s="8"/>
      <c r="V2646" s="10">
        <f>COUNTA(O2646:U2646)</f>
        <v>6</v>
      </c>
      <c r="W2646" s="11">
        <f>_xlfn.IFNA(INDEX(reading[[#This Row],[Memo 01]:[Memo 07]],MATCH(0,reading[[#This Row],[Memo 01]:[Memo 07]],-1)),"")</f>
        <v>45816</v>
      </c>
      <c r="X2646" s="11">
        <f ca="1">IFERROR(reading[[#This Row],[Previous]]+OFFSET(reading[[#Headers],[Memo 01]],-1,MATCH(0,reading[[#This Row],[Memo 01]:[Memo 07]],-1)-1),"")</f>
        <v>45836</v>
      </c>
      <c r="Y2646" s="10" t="str">
        <f ca="1">IF(reading[[#This Row],[Next]]&lt;&gt;"",IF(reading[[#This Row],[Next]]&gt;TODAY(),"OK",""),"")</f>
        <v>OK</v>
      </c>
      <c r="Z2646" s="13">
        <v>3</v>
      </c>
      <c r="AA2646" s="13">
        <v>3</v>
      </c>
      <c r="AB2646" s="13">
        <v>3</v>
      </c>
      <c r="AC2646" s="13">
        <v>3</v>
      </c>
      <c r="AD2646" s="13">
        <v>3</v>
      </c>
      <c r="AE2646" s="13">
        <v>1</v>
      </c>
      <c r="AF2646" s="13"/>
      <c r="AG2646" s="16">
        <f>IFERROR(SUMIF(reading[[#This Row],[1st]:[7th]],"&gt;0")/COUNTIF(reading[[#This Row],[1st]:[7th]],"&gt;0"),"")</f>
        <v>2.6666666666666665</v>
      </c>
    </row>
    <row r="2647" spans="1:33" x14ac:dyDescent="0.2">
      <c r="A2647" s="4">
        <f>IF(B2647=1,3,IF(D2647=1,2,IF(F2647=1,1,0)))</f>
        <v>0</v>
      </c>
      <c r="B2647" s="4" t="str">
        <f>IF(C2647=$L2647,1,IF(C2647="","",0))</f>
        <v/>
      </c>
      <c r="C2647" s="39"/>
      <c r="D2647" s="4" t="str">
        <f>IF(E2647=$L2647,1,IF(E2647="","",0))</f>
        <v/>
      </c>
      <c r="E2647" s="18"/>
      <c r="F2647" s="4" t="str">
        <f>IF(G2647=$L2647,1,IF(G2647="","",0))</f>
        <v/>
      </c>
      <c r="G2647" s="14"/>
      <c r="H2647" s="6">
        <v>2277</v>
      </c>
      <c r="I2647" s="15" t="s">
        <v>3120</v>
      </c>
      <c r="J2647" s="6" t="s">
        <v>5358</v>
      </c>
      <c r="K2647" s="6"/>
      <c r="L2647" s="6" t="s">
        <v>2337</v>
      </c>
      <c r="M2647" s="6" t="s">
        <v>8382</v>
      </c>
      <c r="N2647" s="7">
        <f ca="1">RAND()</f>
        <v>0.58697348072607225</v>
      </c>
      <c r="O2647" s="8">
        <v>45216</v>
      </c>
      <c r="P2647" s="8">
        <v>45217</v>
      </c>
      <c r="Q2647" s="8">
        <v>45219</v>
      </c>
      <c r="R2647" s="8">
        <v>45223</v>
      </c>
      <c r="S2647" s="8">
        <v>45230</v>
      </c>
      <c r="T2647" s="8"/>
      <c r="U2647" s="8"/>
      <c r="V2647" s="10">
        <f>COUNTA(O2647:U2647)</f>
        <v>5</v>
      </c>
      <c r="W2647" s="11">
        <f>_xlfn.IFNA(INDEX(reading[[#This Row],[Memo 01]:[Memo 07]],MATCH(0,reading[[#This Row],[Memo 01]:[Memo 07]],-1)),"")</f>
        <v>45230</v>
      </c>
      <c r="X2647" s="11">
        <f ca="1">IFERROR(reading[[#This Row],[Previous]]+OFFSET(reading[[#Headers],[Memo 01]],-1,MATCH(0,reading[[#This Row],[Memo 01]:[Memo 07]],-1)-1),"")</f>
        <v>45242</v>
      </c>
      <c r="Y2647" s="10" t="str">
        <f ca="1">IF(reading[[#This Row],[Next]]&lt;&gt;"",IF(reading[[#This Row],[Next]]&gt;TODAY(),"OK",""),"")</f>
        <v/>
      </c>
      <c r="Z2647" s="13">
        <v>3</v>
      </c>
      <c r="AA2647" s="13">
        <v>3</v>
      </c>
      <c r="AB2647" s="13">
        <v>3</v>
      </c>
      <c r="AC2647" s="13">
        <v>2</v>
      </c>
      <c r="AD2647" s="13">
        <v>3</v>
      </c>
      <c r="AE2647" s="13"/>
      <c r="AF2647" s="13"/>
      <c r="AG2647" s="16">
        <f>IFERROR(SUMIF(reading[[#This Row],[1st]:[7th]],"&gt;0")/COUNTIF(reading[[#This Row],[1st]:[7th]],"&gt;0"),"")</f>
        <v>2.8</v>
      </c>
    </row>
    <row r="2648" spans="1:33" x14ac:dyDescent="0.2">
      <c r="A2648" s="4">
        <f>IF(B2648=1,3,IF(D2648=1,2,IF(F2648=1,1,0)))</f>
        <v>0</v>
      </c>
      <c r="B2648" s="4" t="str">
        <f>IF(C2648=$L2648,1,IF(C2648="","",0))</f>
        <v/>
      </c>
      <c r="C2648" s="39"/>
      <c r="D2648" s="4" t="str">
        <f>IF(E2648=$L2648,1,IF(E2648="","",0))</f>
        <v/>
      </c>
      <c r="E2648" s="14"/>
      <c r="F2648" s="4" t="str">
        <f>IF(G2648=$L2648,1,IF(G2648="","",0))</f>
        <v/>
      </c>
      <c r="G2648" s="14"/>
      <c r="H2648" s="6">
        <v>2806</v>
      </c>
      <c r="I2648" s="15" t="s">
        <v>3120</v>
      </c>
      <c r="J2648" s="6" t="s">
        <v>5849</v>
      </c>
      <c r="K2648" s="6"/>
      <c r="L2648" s="6" t="s">
        <v>2842</v>
      </c>
      <c r="M2648" s="6" t="s">
        <v>8910</v>
      </c>
      <c r="N2648" s="7">
        <f ca="1">RAND()</f>
        <v>0.34847424255548776</v>
      </c>
      <c r="O2648" s="8">
        <v>45222</v>
      </c>
      <c r="P2648" s="8">
        <v>45223</v>
      </c>
      <c r="Q2648" s="8">
        <v>45225</v>
      </c>
      <c r="R2648" s="8">
        <v>45229</v>
      </c>
      <c r="S2648" s="8">
        <v>45236</v>
      </c>
      <c r="T2648" s="8"/>
      <c r="U2648" s="8"/>
      <c r="V2648" s="10">
        <f>COUNTA(O2648:U2648)</f>
        <v>5</v>
      </c>
      <c r="W2648" s="11">
        <f>_xlfn.IFNA(INDEX(reading[[#This Row],[Memo 01]:[Memo 07]],MATCH(0,reading[[#This Row],[Memo 01]:[Memo 07]],-1)),"")</f>
        <v>45236</v>
      </c>
      <c r="X2648" s="11">
        <f ca="1">IFERROR(reading[[#This Row],[Previous]]+OFFSET(reading[[#Headers],[Memo 01]],-1,MATCH(0,reading[[#This Row],[Memo 01]:[Memo 07]],-1)-1),"")</f>
        <v>45248</v>
      </c>
      <c r="Y2648" s="10" t="str">
        <f ca="1">IF(reading[[#This Row],[Next]]&lt;&gt;"",IF(reading[[#This Row],[Next]]&gt;TODAY(),"OK",""),"")</f>
        <v/>
      </c>
      <c r="Z2648" s="13">
        <v>3</v>
      </c>
      <c r="AA2648" s="13">
        <v>3</v>
      </c>
      <c r="AB2648" s="13">
        <v>3</v>
      </c>
      <c r="AC2648" s="13">
        <v>3</v>
      </c>
      <c r="AD2648" s="13">
        <v>3</v>
      </c>
      <c r="AE2648" s="13"/>
      <c r="AF2648" s="13"/>
      <c r="AG2648" s="16">
        <f>IFERROR(SUMIF(reading[[#This Row],[1st]:[7th]],"&gt;0")/COUNTIF(reading[[#This Row],[1st]:[7th]],"&gt;0"),"")</f>
        <v>3</v>
      </c>
    </row>
    <row r="2649" spans="1:33" hidden="1" x14ac:dyDescent="0.2">
      <c r="A2649" s="4">
        <f>IF(B2649=1,3,IF(D2649=1,2,IF(F2649=1,1,0)))</f>
        <v>3</v>
      </c>
      <c r="B2649" s="4">
        <f>IF(C2649=$L2649,1,IF(C2649="","",0))</f>
        <v>1</v>
      </c>
      <c r="C2649" s="36" t="s">
        <v>112</v>
      </c>
      <c r="D2649" s="4" t="str">
        <f>IF(E2649=$L2649,1,IF(E2649="","",0))</f>
        <v/>
      </c>
      <c r="E2649" s="14"/>
      <c r="F2649" s="4" t="str">
        <f>IF(G2649=$L2649,1,IF(G2649="","",0))</f>
        <v/>
      </c>
      <c r="G2649" s="14"/>
      <c r="H2649" s="6">
        <v>2653</v>
      </c>
      <c r="I2649" s="15" t="s">
        <v>3120</v>
      </c>
      <c r="J2649" s="6" t="s">
        <v>5706</v>
      </c>
      <c r="K2649" s="15" t="s">
        <v>3139</v>
      </c>
      <c r="L2649" s="6" t="s">
        <v>112</v>
      </c>
      <c r="M2649" s="6" t="s">
        <v>8758</v>
      </c>
      <c r="N2649" s="7">
        <f ca="1">RAND()</f>
        <v>0.51638265955510054</v>
      </c>
      <c r="O2649" s="8">
        <v>45220</v>
      </c>
      <c r="P2649" s="8">
        <v>45220</v>
      </c>
      <c r="Q2649" s="8">
        <v>45220</v>
      </c>
      <c r="R2649" s="8">
        <v>45220</v>
      </c>
      <c r="S2649" s="8">
        <v>45220</v>
      </c>
      <c r="T2649" s="8">
        <v>45220</v>
      </c>
      <c r="U2649" s="8">
        <v>45220</v>
      </c>
      <c r="V2649" s="10">
        <f>COUNTA(O2649:U2649)</f>
        <v>7</v>
      </c>
      <c r="W2649" s="11">
        <f>_xlfn.IFNA(INDEX(reading[[#This Row],[Memo 01]:[Memo 07]],MATCH(0,reading[[#This Row],[Memo 01]:[Memo 07]],-1)),"")</f>
        <v>45220</v>
      </c>
      <c r="X2649" s="11">
        <f ca="1">IFERROR(reading[[#This Row],[Previous]]+OFFSET(reading[[#Headers],[Memo 01]],-1,MATCH(0,reading[[#This Row],[Memo 01]:[Memo 07]],-1)-1),"")</f>
        <v>55220</v>
      </c>
      <c r="Y2649" s="10" t="str">
        <f ca="1">IF(reading[[#This Row],[Next]]&lt;&gt;"",IF(reading[[#This Row],[Next]]&gt;TODAY(),"OK",""),"")</f>
        <v>OK</v>
      </c>
      <c r="Z2649" s="13">
        <v>3</v>
      </c>
      <c r="AA2649" s="13"/>
      <c r="AB2649" s="13"/>
      <c r="AC2649" s="13"/>
      <c r="AD2649" s="13"/>
      <c r="AE2649" s="13"/>
      <c r="AF2649" s="13"/>
      <c r="AG2649" s="16">
        <f>IFERROR(SUMIF(reading[[#This Row],[1st]:[7th]],"&gt;0")/COUNTIF(reading[[#This Row],[1st]:[7th]],"&gt;0"),"")</f>
        <v>3</v>
      </c>
    </row>
    <row r="2650" spans="1:33" x14ac:dyDescent="0.2">
      <c r="A2650" s="4">
        <f>IF(B2650=1,3,IF(D2650=1,2,IF(F2650=1,1,0)))</f>
        <v>0</v>
      </c>
      <c r="B2650" s="4" t="str">
        <f>IF(C2650=$L2650,1,IF(C2650="","",0))</f>
        <v/>
      </c>
      <c r="C2650" s="39"/>
      <c r="D2650" s="4" t="str">
        <f>IF(E2650=$L2650,1,IF(E2650="","",0))</f>
        <v/>
      </c>
      <c r="E2650" s="18"/>
      <c r="F2650" s="4" t="str">
        <f>IF(G2650=$L2650,1,IF(G2650="","",0))</f>
        <v/>
      </c>
      <c r="G2650" s="18"/>
      <c r="H2650" s="6">
        <v>1556</v>
      </c>
      <c r="I2650" s="15" t="s">
        <v>3120</v>
      </c>
      <c r="J2650" s="6" t="s">
        <v>4669</v>
      </c>
      <c r="K2650" s="6"/>
      <c r="L2650" s="6" t="s">
        <v>1641</v>
      </c>
      <c r="M2650" s="6" t="s">
        <v>7662</v>
      </c>
      <c r="N2650" s="7">
        <f ca="1">RAND()</f>
        <v>0.53222618907071051</v>
      </c>
      <c r="O2650" s="8">
        <v>45209</v>
      </c>
      <c r="P2650" s="8">
        <v>45211</v>
      </c>
      <c r="Q2650" s="8">
        <v>45213</v>
      </c>
      <c r="R2650" s="8">
        <v>45217</v>
      </c>
      <c r="S2650" s="8">
        <v>45224</v>
      </c>
      <c r="T2650" s="8">
        <v>45236</v>
      </c>
      <c r="U2650" s="8"/>
      <c r="V2650" s="10">
        <f>COUNTA(O2650:U2650)</f>
        <v>6</v>
      </c>
      <c r="W2650" s="11">
        <f>_xlfn.IFNA(INDEX(reading[[#This Row],[Memo 01]:[Memo 07]],MATCH(0,reading[[#This Row],[Memo 01]:[Memo 07]],-1)),"")</f>
        <v>45236</v>
      </c>
      <c r="X2650" s="11">
        <f ca="1">IFERROR(reading[[#This Row],[Previous]]+OFFSET(reading[[#Headers],[Memo 01]],-1,MATCH(0,reading[[#This Row],[Memo 01]:[Memo 07]],-1)-1),"")</f>
        <v>45256</v>
      </c>
      <c r="Y2650" s="10" t="str">
        <f ca="1">IF(reading[[#This Row],[Next]]&lt;&gt;"",IF(reading[[#This Row],[Next]]&gt;TODAY(),"OK",""),"")</f>
        <v/>
      </c>
      <c r="Z2650" s="13">
        <v>3</v>
      </c>
      <c r="AA2650" s="13">
        <v>1</v>
      </c>
      <c r="AB2650" s="13">
        <v>3</v>
      </c>
      <c r="AC2650" s="13">
        <v>3</v>
      </c>
      <c r="AD2650" s="13">
        <v>3</v>
      </c>
      <c r="AE2650" s="13">
        <v>3</v>
      </c>
      <c r="AF2650" s="13"/>
      <c r="AG2650" s="16">
        <f>IFERROR(SUMIF(reading[[#This Row],[1st]:[7th]],"&gt;0")/COUNTIF(reading[[#This Row],[1st]:[7th]],"&gt;0"),"")</f>
        <v>2.6666666666666665</v>
      </c>
    </row>
    <row r="2651" spans="1:33" x14ac:dyDescent="0.2">
      <c r="A2651" s="4">
        <f>IF(B2651=1,3,IF(D2651=1,2,IF(F2651=1,1,0)))</f>
        <v>0</v>
      </c>
      <c r="B2651" s="4" t="str">
        <f>IF(C2651=$L2651,1,IF(C2651="","",0))</f>
        <v/>
      </c>
      <c r="C2651" s="38"/>
      <c r="D2651" s="4" t="str">
        <f>IF(E2651=$L2651,1,IF(E2651="","",0))</f>
        <v/>
      </c>
      <c r="E2651" s="14"/>
      <c r="F2651" s="4" t="str">
        <f>IF(G2651=$L2651,1,IF(G2651="","",0))</f>
        <v/>
      </c>
      <c r="G2651" s="14"/>
      <c r="H2651" s="6">
        <v>487</v>
      </c>
      <c r="I2651" s="15" t="s">
        <v>3120</v>
      </c>
      <c r="J2651" s="6" t="s">
        <v>3633</v>
      </c>
      <c r="K2651" s="6"/>
      <c r="L2651" s="6" t="s">
        <v>615</v>
      </c>
      <c r="M2651" s="6" t="s">
        <v>6596</v>
      </c>
      <c r="N2651" s="7">
        <f ca="1">RAND()</f>
        <v>0.5121670299462262</v>
      </c>
      <c r="O2651" s="8">
        <v>45202</v>
      </c>
      <c r="P2651" s="8">
        <v>45203</v>
      </c>
      <c r="Q2651" s="8">
        <v>45205</v>
      </c>
      <c r="R2651" s="8">
        <v>45209</v>
      </c>
      <c r="S2651" s="8">
        <v>45216</v>
      </c>
      <c r="T2651" s="8">
        <v>45228</v>
      </c>
      <c r="U2651" s="8"/>
      <c r="V2651" s="10">
        <f>COUNTA(O2651:U2651)</f>
        <v>6</v>
      </c>
      <c r="W2651" s="11">
        <f>_xlfn.IFNA(INDEX(reading[[#This Row],[Memo 01]:[Memo 07]],MATCH(0,reading[[#This Row],[Memo 01]:[Memo 07]],-1)),"")</f>
        <v>45228</v>
      </c>
      <c r="X2651" s="11">
        <f ca="1">IFERROR(reading[[#This Row],[Previous]]+OFFSET(reading[[#Headers],[Memo 01]],-1,MATCH(0,reading[[#This Row],[Memo 01]:[Memo 07]],-1)-1),"")</f>
        <v>45248</v>
      </c>
      <c r="Y2651" s="10" t="str">
        <f ca="1">IF(reading[[#This Row],[Next]]&lt;&gt;"",IF(reading[[#This Row],[Next]]&gt;TODAY(),"OK",""),"")</f>
        <v/>
      </c>
      <c r="Z2651" s="13">
        <v>3</v>
      </c>
      <c r="AA2651" s="13">
        <v>2</v>
      </c>
      <c r="AB2651" s="13">
        <v>3</v>
      </c>
      <c r="AC2651" s="13">
        <v>3</v>
      </c>
      <c r="AD2651" s="13">
        <v>3</v>
      </c>
      <c r="AE2651" s="13">
        <v>3</v>
      </c>
      <c r="AF2651" s="13"/>
      <c r="AG2651" s="16">
        <f>IFERROR(SUMIF(reading[[#This Row],[1st]:[7th]],"&gt;0")/COUNTIF(reading[[#This Row],[1st]:[7th]],"&gt;0"),"")</f>
        <v>2.8333333333333335</v>
      </c>
    </row>
    <row r="2652" spans="1:33" x14ac:dyDescent="0.2">
      <c r="A2652" s="4">
        <f>IF(B2652=1,3,IF(D2652=1,2,IF(F2652=1,1,0)))</f>
        <v>0</v>
      </c>
      <c r="B2652" s="4" t="str">
        <f>IF(C2652=$L2652,1,IF(C2652="","",0))</f>
        <v/>
      </c>
      <c r="C2652" s="42"/>
      <c r="D2652" s="4" t="str">
        <f>IF(E2652=$L2652,1,IF(E2652="","",0))</f>
        <v/>
      </c>
      <c r="E2652" s="14"/>
      <c r="F2652" s="4" t="str">
        <f>IF(G2652=$L2652,1,IF(G2652="","",0))</f>
        <v/>
      </c>
      <c r="G2652" s="14"/>
      <c r="H2652" s="6">
        <v>2489</v>
      </c>
      <c r="I2652" s="15" t="s">
        <v>3120</v>
      </c>
      <c r="J2652" s="6" t="s">
        <v>5556</v>
      </c>
      <c r="K2652" s="6"/>
      <c r="L2652" s="6" t="s">
        <v>2535</v>
      </c>
      <c r="M2652" s="6" t="s">
        <v>8594</v>
      </c>
      <c r="N2652" s="7">
        <f ca="1">RAND()</f>
        <v>0.48313523527244118</v>
      </c>
      <c r="O2652" s="8">
        <v>45218</v>
      </c>
      <c r="P2652" s="8">
        <v>45219</v>
      </c>
      <c r="Q2652" s="8">
        <v>45221</v>
      </c>
      <c r="R2652" s="8">
        <v>45225</v>
      </c>
      <c r="S2652" s="8">
        <v>45232</v>
      </c>
      <c r="T2652" s="8">
        <v>45801</v>
      </c>
      <c r="U2652" s="8"/>
      <c r="V2652" s="10">
        <f>COUNTA(O2652:U2652)</f>
        <v>6</v>
      </c>
      <c r="W2652" s="11">
        <f>_xlfn.IFNA(INDEX(reading[[#This Row],[Memo 01]:[Memo 07]],MATCH(0,reading[[#This Row],[Memo 01]:[Memo 07]],-1)),"")</f>
        <v>45801</v>
      </c>
      <c r="X2652" s="11">
        <f ca="1">IFERROR(reading[[#This Row],[Previous]]+OFFSET(reading[[#Headers],[Memo 01]],-1,MATCH(0,reading[[#This Row],[Memo 01]:[Memo 07]],-1)-1),"")</f>
        <v>45821</v>
      </c>
      <c r="Y2652" s="10" t="str">
        <f ca="1">IF(reading[[#This Row],[Next]]&lt;&gt;"",IF(reading[[#This Row],[Next]]&gt;TODAY(),"OK",""),"")</f>
        <v/>
      </c>
      <c r="Z2652" s="13">
        <v>3</v>
      </c>
      <c r="AA2652" s="13">
        <v>3</v>
      </c>
      <c r="AB2652" s="13">
        <v>3</v>
      </c>
      <c r="AC2652" s="13">
        <v>3</v>
      </c>
      <c r="AD2652" s="13">
        <v>3</v>
      </c>
      <c r="AE2652" s="13">
        <v>3</v>
      </c>
      <c r="AF2652" s="13"/>
      <c r="AG2652" s="16">
        <f>IFERROR(SUMIF(reading[[#This Row],[1st]:[7th]],"&gt;0")/COUNTIF(reading[[#This Row],[1st]:[7th]],"&gt;0"),"")</f>
        <v>3</v>
      </c>
    </row>
    <row r="2653" spans="1:33" x14ac:dyDescent="0.2">
      <c r="A2653" s="4">
        <f>IF(B2653=1,3,IF(D2653=1,2,IF(F2653=1,1,0)))</f>
        <v>0</v>
      </c>
      <c r="B2653" s="4" t="str">
        <f>IF(C2653=$L2653,1,IF(C2653="","",0))</f>
        <v/>
      </c>
      <c r="C2653" s="18"/>
      <c r="D2653" s="4" t="str">
        <f>IF(E2653=$L2653,1,IF(E2653="","",0))</f>
        <v/>
      </c>
      <c r="E2653" s="14"/>
      <c r="F2653" s="4" t="str">
        <f>IF(G2653=$L2653,1,IF(G2653="","",0))</f>
        <v/>
      </c>
      <c r="G2653" s="14"/>
      <c r="H2653" s="6">
        <v>34</v>
      </c>
      <c r="I2653" s="15" t="s">
        <v>3120</v>
      </c>
      <c r="J2653" s="6" t="s">
        <v>3189</v>
      </c>
      <c r="K2653" s="6"/>
      <c r="L2653" s="6" t="s">
        <v>177</v>
      </c>
      <c r="M2653" s="6" t="s">
        <v>6148</v>
      </c>
      <c r="N2653" s="7">
        <f ca="1">RAND()</f>
        <v>0.1711185347970251</v>
      </c>
      <c r="O2653" s="8">
        <v>45198</v>
      </c>
      <c r="P2653" s="8">
        <v>45199</v>
      </c>
      <c r="Q2653" s="8">
        <v>45201</v>
      </c>
      <c r="R2653" s="8">
        <v>45205</v>
      </c>
      <c r="S2653" s="8">
        <v>45212</v>
      </c>
      <c r="T2653" s="8">
        <v>45224</v>
      </c>
      <c r="U2653" s="8"/>
      <c r="V2653" s="10">
        <f>COUNTA(O2653:U2653)</f>
        <v>6</v>
      </c>
      <c r="W2653" s="11">
        <f>_xlfn.IFNA(INDEX(reading[[#This Row],[Memo 01]:[Memo 07]],MATCH(0,reading[[#This Row],[Memo 01]:[Memo 07]],-1)),"")</f>
        <v>45224</v>
      </c>
      <c r="X2653" s="11">
        <f ca="1">IFERROR(reading[[#This Row],[Previous]]+OFFSET(reading[[#Headers],[Memo 01]],-1,MATCH(0,reading[[#This Row],[Memo 01]:[Memo 07]],-1)-1),"")</f>
        <v>45244</v>
      </c>
      <c r="Y2653" s="10" t="str">
        <f ca="1">IF(reading[[#This Row],[Next]]&lt;&gt;"",IF(reading[[#This Row],[Next]]&gt;TODAY(),"OK",""),"")</f>
        <v/>
      </c>
      <c r="Z2653" s="13">
        <v>3</v>
      </c>
      <c r="AA2653" s="13">
        <v>3</v>
      </c>
      <c r="AB2653" s="13">
        <v>3</v>
      </c>
      <c r="AC2653" s="13">
        <v>3</v>
      </c>
      <c r="AD2653" s="13">
        <v>3</v>
      </c>
      <c r="AE2653" s="13">
        <v>3</v>
      </c>
      <c r="AF2653" s="13"/>
      <c r="AG2653" s="16">
        <f>IFERROR(SUMIF(reading[[#This Row],[1st]:[7th]],"&gt;0")/COUNTIF(reading[[#This Row],[1st]:[7th]],"&gt;0"),"")</f>
        <v>3</v>
      </c>
    </row>
    <row r="2654" spans="1:33" x14ac:dyDescent="0.2">
      <c r="A2654" s="4">
        <f>IF(B2654=1,3,IF(D2654=1,2,IF(F2654=1,1,0)))</f>
        <v>0</v>
      </c>
      <c r="B2654" s="4" t="str">
        <f>IF(C2654=$L2654,1,IF(C2654="","",0))</f>
        <v/>
      </c>
      <c r="C2654" s="38"/>
      <c r="D2654" s="4" t="str">
        <f>IF(E2654=$L2654,1,IF(E2654="","",0))</f>
        <v/>
      </c>
      <c r="E2654" s="18"/>
      <c r="F2654" s="4" t="str">
        <f>IF(G2654=$L2654,1,IF(G2654="","",0))</f>
        <v/>
      </c>
      <c r="G2654" s="14"/>
      <c r="H2654" s="6">
        <v>657</v>
      </c>
      <c r="I2654" s="15" t="s">
        <v>3120</v>
      </c>
      <c r="J2654" s="6" t="s">
        <v>3797</v>
      </c>
      <c r="K2654" s="6"/>
      <c r="L2654" s="6" t="s">
        <v>780</v>
      </c>
      <c r="M2654" s="6" t="s">
        <v>6766</v>
      </c>
      <c r="N2654" s="7">
        <f ca="1">RAND()</f>
        <v>0.75222964639823475</v>
      </c>
      <c r="O2654" s="8">
        <v>45203</v>
      </c>
      <c r="P2654" s="8">
        <v>45204</v>
      </c>
      <c r="Q2654" s="8">
        <v>45206</v>
      </c>
      <c r="R2654" s="8">
        <v>45210</v>
      </c>
      <c r="S2654" s="8">
        <v>45217</v>
      </c>
      <c r="T2654" s="8">
        <v>45229</v>
      </c>
      <c r="U2654" s="8"/>
      <c r="V2654" s="10">
        <f>COUNTA(O2654:U2654)</f>
        <v>6</v>
      </c>
      <c r="W2654" s="11">
        <f>_xlfn.IFNA(INDEX(reading[[#This Row],[Memo 01]:[Memo 07]],MATCH(0,reading[[#This Row],[Memo 01]:[Memo 07]],-1)),"")</f>
        <v>45229</v>
      </c>
      <c r="X2654" s="11">
        <f ca="1">IFERROR(reading[[#This Row],[Previous]]+OFFSET(reading[[#Headers],[Memo 01]],-1,MATCH(0,reading[[#This Row],[Memo 01]:[Memo 07]],-1)-1),"")</f>
        <v>45249</v>
      </c>
      <c r="Y2654" s="10" t="str">
        <f ca="1">IF(reading[[#This Row],[Next]]&lt;&gt;"",IF(reading[[#This Row],[Next]]&gt;TODAY(),"OK",""),"")</f>
        <v/>
      </c>
      <c r="Z2654" s="13">
        <v>3</v>
      </c>
      <c r="AA2654" s="13">
        <v>2</v>
      </c>
      <c r="AB2654" s="13">
        <v>3</v>
      </c>
      <c r="AC2654" s="13">
        <v>3</v>
      </c>
      <c r="AD2654" s="13">
        <v>3</v>
      </c>
      <c r="AE2654" s="13">
        <v>3</v>
      </c>
      <c r="AF2654" s="13"/>
      <c r="AG2654" s="16">
        <f>IFERROR(SUMIF(reading[[#This Row],[1st]:[7th]],"&gt;0")/COUNTIF(reading[[#This Row],[1st]:[7th]],"&gt;0"),"")</f>
        <v>2.8333333333333335</v>
      </c>
    </row>
    <row r="2655" spans="1:33" x14ac:dyDescent="0.2">
      <c r="A2655" s="4">
        <f>IF(B2655=1,3,IF(D2655=1,2,IF(F2655=1,1,0)))</f>
        <v>0</v>
      </c>
      <c r="B2655" s="4" t="str">
        <f>IF(C2655=$L2655,1,IF(C2655="","",0))</f>
        <v/>
      </c>
      <c r="C2655" s="39"/>
      <c r="D2655" s="4" t="str">
        <f>IF(E2655=$L2655,1,IF(E2655="","",0))</f>
        <v/>
      </c>
      <c r="E2655" s="14"/>
      <c r="F2655" s="4" t="str">
        <f>IF(G2655=$L2655,1,IF(G2655="","",0))</f>
        <v/>
      </c>
      <c r="G2655" s="14"/>
      <c r="H2655" s="6">
        <v>2749</v>
      </c>
      <c r="I2655" s="15" t="s">
        <v>3120</v>
      </c>
      <c r="J2655" s="6" t="s">
        <v>5795</v>
      </c>
      <c r="K2655" s="6"/>
      <c r="L2655" s="6" t="s">
        <v>2787</v>
      </c>
      <c r="M2655" s="6" t="s">
        <v>8853</v>
      </c>
      <c r="N2655" s="7">
        <f ca="1">RAND()</f>
        <v>0.38613176745001088</v>
      </c>
      <c r="O2655" s="8">
        <v>45221</v>
      </c>
      <c r="P2655" s="8">
        <v>45222</v>
      </c>
      <c r="Q2655" s="8">
        <v>45224</v>
      </c>
      <c r="R2655" s="8">
        <v>45228</v>
      </c>
      <c r="S2655" s="8">
        <v>45235</v>
      </c>
      <c r="T2655" s="8"/>
      <c r="U2655" s="8"/>
      <c r="V2655" s="10">
        <f>COUNTA(O2655:U2655)</f>
        <v>5</v>
      </c>
      <c r="W2655" s="11">
        <f>_xlfn.IFNA(INDEX(reading[[#This Row],[Memo 01]:[Memo 07]],MATCH(0,reading[[#This Row],[Memo 01]:[Memo 07]],-1)),"")</f>
        <v>45235</v>
      </c>
      <c r="X2655" s="11">
        <f ca="1">IFERROR(reading[[#This Row],[Previous]]+OFFSET(reading[[#Headers],[Memo 01]],-1,MATCH(0,reading[[#This Row],[Memo 01]:[Memo 07]],-1)-1),"")</f>
        <v>45247</v>
      </c>
      <c r="Y2655" s="10" t="str">
        <f ca="1">IF(reading[[#This Row],[Next]]&lt;&gt;"",IF(reading[[#This Row],[Next]]&gt;TODAY(),"OK",""),"")</f>
        <v/>
      </c>
      <c r="Z2655" s="13">
        <v>3</v>
      </c>
      <c r="AA2655" s="13">
        <v>3</v>
      </c>
      <c r="AB2655" s="13">
        <v>3</v>
      </c>
      <c r="AC2655" s="13">
        <v>3</v>
      </c>
      <c r="AD2655" s="13">
        <v>3</v>
      </c>
      <c r="AE2655" s="13"/>
      <c r="AF2655" s="13"/>
      <c r="AG2655" s="16">
        <f>IFERROR(SUMIF(reading[[#This Row],[1st]:[7th]],"&gt;0")/COUNTIF(reading[[#This Row],[1st]:[7th]],"&gt;0"),"")</f>
        <v>3</v>
      </c>
    </row>
    <row r="2656" spans="1:33" x14ac:dyDescent="0.2">
      <c r="A2656" s="4">
        <f>IF(B2656=1,3,IF(D2656=1,2,IF(F2656=1,1,0)))</f>
        <v>0</v>
      </c>
      <c r="B2656" s="4" t="str">
        <f>IF(C2656=$L2656,1,IF(C2656="","",0))</f>
        <v/>
      </c>
      <c r="C2656" s="18"/>
      <c r="D2656" s="4" t="str">
        <f>IF(E2656=$L2656,1,IF(E2656="","",0))</f>
        <v/>
      </c>
      <c r="E2656" s="18"/>
      <c r="F2656" s="4" t="str">
        <f>IF(G2656=$L2656,1,IF(G2656="","",0))</f>
        <v/>
      </c>
      <c r="G2656" s="14"/>
      <c r="H2656" s="6">
        <v>239</v>
      </c>
      <c r="I2656" s="15" t="s">
        <v>3120</v>
      </c>
      <c r="J2656" s="6" t="s">
        <v>3388</v>
      </c>
      <c r="K2656" s="6"/>
      <c r="L2656" s="6" t="s">
        <v>374</v>
      </c>
      <c r="M2656" s="6" t="s">
        <v>6348</v>
      </c>
      <c r="N2656" s="7">
        <f ca="1">RAND()</f>
        <v>0.34823788361546015</v>
      </c>
      <c r="O2656" s="8">
        <v>45199</v>
      </c>
      <c r="P2656" s="8">
        <v>45200</v>
      </c>
      <c r="Q2656" s="8">
        <v>45202</v>
      </c>
      <c r="R2656" s="8">
        <v>45206</v>
      </c>
      <c r="S2656" s="8">
        <v>45213</v>
      </c>
      <c r="T2656" s="8">
        <v>45225</v>
      </c>
      <c r="U2656" s="8"/>
      <c r="V2656" s="10">
        <f>COUNTA(O2656:U2656)</f>
        <v>6</v>
      </c>
      <c r="W2656" s="11">
        <f>_xlfn.IFNA(INDEX(reading[[#This Row],[Memo 01]:[Memo 07]],MATCH(0,reading[[#This Row],[Memo 01]:[Memo 07]],-1)),"")</f>
        <v>45225</v>
      </c>
      <c r="X2656" s="11">
        <f ca="1">IFERROR(reading[[#This Row],[Previous]]+OFFSET(reading[[#Headers],[Memo 01]],-1,MATCH(0,reading[[#This Row],[Memo 01]:[Memo 07]],-1)-1),"")</f>
        <v>45245</v>
      </c>
      <c r="Y2656" s="10" t="str">
        <f ca="1">IF(reading[[#This Row],[Next]]&lt;&gt;"",IF(reading[[#This Row],[Next]]&gt;TODAY(),"OK",""),"")</f>
        <v/>
      </c>
      <c r="Z2656" s="13">
        <v>3</v>
      </c>
      <c r="AA2656" s="13">
        <v>3</v>
      </c>
      <c r="AB2656" s="13">
        <v>2</v>
      </c>
      <c r="AC2656" s="13">
        <v>3</v>
      </c>
      <c r="AD2656" s="13">
        <v>3</v>
      </c>
      <c r="AE2656" s="13">
        <v>3</v>
      </c>
      <c r="AF2656" s="13"/>
      <c r="AG2656" s="16">
        <f>IFERROR(SUMIF(reading[[#This Row],[1st]:[7th]],"&gt;0")/COUNTIF(reading[[#This Row],[1st]:[7th]],"&gt;0"),"")</f>
        <v>2.8333333333333335</v>
      </c>
    </row>
    <row r="2657" spans="1:33" x14ac:dyDescent="0.2">
      <c r="A2657" s="4">
        <f>IF(B2657=1,3,IF(D2657=1,2,IF(F2657=1,1,0)))</f>
        <v>0</v>
      </c>
      <c r="B2657" s="4" t="str">
        <f>IF(C2657=$L2657,1,IF(C2657="","",0))</f>
        <v/>
      </c>
      <c r="C2657" s="42"/>
      <c r="D2657" s="4" t="str">
        <f>IF(E2657=$L2657,1,IF(E2657="","",0))</f>
        <v/>
      </c>
      <c r="E2657" s="14"/>
      <c r="F2657" s="4" t="str">
        <f>IF(G2657=$L2657,1,IF(G2657="","",0))</f>
        <v/>
      </c>
      <c r="G2657" s="14"/>
      <c r="H2657" s="6">
        <v>2595</v>
      </c>
      <c r="I2657" s="15" t="s">
        <v>3120</v>
      </c>
      <c r="J2657" s="6" t="s">
        <v>5652</v>
      </c>
      <c r="K2657" s="6"/>
      <c r="L2657" s="6" t="s">
        <v>2638</v>
      </c>
      <c r="M2657" s="6" t="s">
        <v>8700</v>
      </c>
      <c r="N2657" s="7">
        <f ca="1">RAND()</f>
        <v>0.38759430241994541</v>
      </c>
      <c r="O2657" s="8">
        <v>45219</v>
      </c>
      <c r="P2657" s="8">
        <v>45220</v>
      </c>
      <c r="Q2657" s="8">
        <v>45222</v>
      </c>
      <c r="R2657" s="8">
        <v>45226</v>
      </c>
      <c r="S2657" s="8">
        <v>45233</v>
      </c>
      <c r="T2657" s="8">
        <v>45792</v>
      </c>
      <c r="U2657" s="8"/>
      <c r="V2657" s="10">
        <f>COUNTA(O2657:U2657)</f>
        <v>6</v>
      </c>
      <c r="W2657" s="11">
        <f>_xlfn.IFNA(INDEX(reading[[#This Row],[Memo 01]:[Memo 07]],MATCH(0,reading[[#This Row],[Memo 01]:[Memo 07]],-1)),"")</f>
        <v>45792</v>
      </c>
      <c r="X2657" s="11">
        <f ca="1">IFERROR(reading[[#This Row],[Previous]]+OFFSET(reading[[#Headers],[Memo 01]],-1,MATCH(0,reading[[#This Row],[Memo 01]:[Memo 07]],-1)-1),"")</f>
        <v>45812</v>
      </c>
      <c r="Y2657" s="10" t="str">
        <f ca="1">IF(reading[[#This Row],[Next]]&lt;&gt;"",IF(reading[[#This Row],[Next]]&gt;TODAY(),"OK",""),"")</f>
        <v/>
      </c>
      <c r="Z2657" s="13">
        <v>3</v>
      </c>
      <c r="AA2657" s="13">
        <v>3</v>
      </c>
      <c r="AB2657" s="13">
        <v>3</v>
      </c>
      <c r="AC2657" s="13">
        <v>3</v>
      </c>
      <c r="AD2657" s="13">
        <v>3</v>
      </c>
      <c r="AE2657" s="13">
        <v>3</v>
      </c>
      <c r="AF2657" s="13"/>
      <c r="AG2657" s="16">
        <f>IFERROR(SUMIF(reading[[#This Row],[1st]:[7th]],"&gt;0")/COUNTIF(reading[[#This Row],[1st]:[7th]],"&gt;0"),"")</f>
        <v>3</v>
      </c>
    </row>
    <row r="2658" spans="1:33" x14ac:dyDescent="0.2">
      <c r="A2658" s="4">
        <f>IF(B2658=1,3,IF(D2658=1,2,IF(F2658=1,1,0)))</f>
        <v>0</v>
      </c>
      <c r="B2658" s="4" t="str">
        <f>IF(C2658=$L2658,1,IF(C2658="","",0))</f>
        <v/>
      </c>
      <c r="C2658" s="41"/>
      <c r="D2658" s="4" t="str">
        <f>IF(E2658=$L2658,1,IF(E2658="","",0))</f>
        <v/>
      </c>
      <c r="E2658" s="18"/>
      <c r="F2658" s="4" t="str">
        <f>IF(G2658=$L2658,1,IF(G2658="","",0))</f>
        <v/>
      </c>
      <c r="G2658" s="14"/>
      <c r="H2658" s="6">
        <v>271</v>
      </c>
      <c r="I2658" s="15" t="s">
        <v>3120</v>
      </c>
      <c r="J2658" s="6" t="s">
        <v>3420</v>
      </c>
      <c r="K2658" s="6"/>
      <c r="L2658" s="6" t="s">
        <v>406</v>
      </c>
      <c r="M2658" s="6" t="s">
        <v>6380</v>
      </c>
      <c r="N2658" s="7">
        <f ca="1">RAND()</f>
        <v>0.55895963819606598</v>
      </c>
      <c r="O2658" s="8">
        <v>45200</v>
      </c>
      <c r="P2658" s="8">
        <v>45201</v>
      </c>
      <c r="Q2658" s="8">
        <v>45203</v>
      </c>
      <c r="R2658" s="8">
        <v>45207</v>
      </c>
      <c r="S2658" s="8">
        <v>45214</v>
      </c>
      <c r="T2658" s="8">
        <v>45251</v>
      </c>
      <c r="U2658" s="8"/>
      <c r="V2658" s="10">
        <f>COUNTA(O2658:U2658)</f>
        <v>6</v>
      </c>
      <c r="W2658" s="11">
        <f>_xlfn.IFNA(INDEX(reading[[#This Row],[Memo 01]:[Memo 07]],MATCH(0,reading[[#This Row],[Memo 01]:[Memo 07]],-1)),"")</f>
        <v>45251</v>
      </c>
      <c r="X2658" s="11">
        <f ca="1">IFERROR(reading[[#This Row],[Previous]]+OFFSET(reading[[#Headers],[Memo 01]],-1,MATCH(0,reading[[#This Row],[Memo 01]:[Memo 07]],-1)-1),"")</f>
        <v>45271</v>
      </c>
      <c r="Y2658" s="10" t="str">
        <f ca="1">IF(reading[[#This Row],[Next]]&lt;&gt;"",IF(reading[[#This Row],[Next]]&gt;TODAY(),"OK",""),"")</f>
        <v/>
      </c>
      <c r="Z2658" s="13">
        <v>3</v>
      </c>
      <c r="AA2658" s="13">
        <v>3</v>
      </c>
      <c r="AB2658" s="13">
        <v>2</v>
      </c>
      <c r="AC2658" s="13">
        <v>3</v>
      </c>
      <c r="AD2658" s="13">
        <v>2</v>
      </c>
      <c r="AE2658" s="13">
        <v>3</v>
      </c>
      <c r="AF2658" s="13"/>
      <c r="AG2658" s="16">
        <f>IFERROR(SUMIF(reading[[#This Row],[1st]:[7th]],"&gt;0")/COUNTIF(reading[[#This Row],[1st]:[7th]],"&gt;0"),"")</f>
        <v>2.6666666666666665</v>
      </c>
    </row>
    <row r="2659" spans="1:33" x14ac:dyDescent="0.2">
      <c r="A2659" s="4">
        <f>IF(B2659=1,3,IF(D2659=1,2,IF(F2659=1,1,0)))</f>
        <v>0</v>
      </c>
      <c r="B2659" s="4" t="str">
        <f>IF(C2659=$L2659,1,IF(C2659="","",0))</f>
        <v/>
      </c>
      <c r="C2659" s="36"/>
      <c r="D2659" s="4" t="str">
        <f>IF(E2659=$L2659,1,IF(E2659="","",0))</f>
        <v/>
      </c>
      <c r="E2659" s="14"/>
      <c r="F2659" s="4" t="str">
        <f>IF(G2659=$L2659,1,IF(G2659="","",0))</f>
        <v/>
      </c>
      <c r="G2659" s="14"/>
      <c r="H2659" s="6">
        <v>132</v>
      </c>
      <c r="I2659" s="15" t="s">
        <v>3120</v>
      </c>
      <c r="J2659" s="6" t="s">
        <v>3281</v>
      </c>
      <c r="K2659" s="6"/>
      <c r="L2659" s="6" t="s">
        <v>269</v>
      </c>
      <c r="M2659" s="6" t="s">
        <v>6241</v>
      </c>
      <c r="N2659" s="7">
        <f ca="1">RAND()</f>
        <v>0.59912814870321673</v>
      </c>
      <c r="O2659" s="8">
        <v>45199</v>
      </c>
      <c r="P2659" s="8">
        <v>45200</v>
      </c>
      <c r="Q2659" s="8">
        <v>45202</v>
      </c>
      <c r="R2659" s="8">
        <v>45206</v>
      </c>
      <c r="S2659" s="8">
        <v>45213</v>
      </c>
      <c r="T2659" s="8">
        <v>45225</v>
      </c>
      <c r="U2659" s="8"/>
      <c r="V2659" s="10">
        <f>COUNTA(O2659:U2659)</f>
        <v>6</v>
      </c>
      <c r="W2659" s="11">
        <f>_xlfn.IFNA(INDEX(reading[[#This Row],[Memo 01]:[Memo 07]],MATCH(0,reading[[#This Row],[Memo 01]:[Memo 07]],-1)),"")</f>
        <v>45225</v>
      </c>
      <c r="X2659" s="11">
        <f ca="1">IFERROR(reading[[#This Row],[Previous]]+OFFSET(reading[[#Headers],[Memo 01]],-1,MATCH(0,reading[[#This Row],[Memo 01]:[Memo 07]],-1)-1),"")</f>
        <v>45245</v>
      </c>
      <c r="Y2659" s="10" t="str">
        <f ca="1">IF(reading[[#This Row],[Next]]&lt;&gt;"",IF(reading[[#This Row],[Next]]&gt;TODAY(),"OK",""),"")</f>
        <v/>
      </c>
      <c r="Z2659" s="13">
        <v>3</v>
      </c>
      <c r="AA2659" s="13">
        <v>3</v>
      </c>
      <c r="AB2659" s="13">
        <v>3</v>
      </c>
      <c r="AC2659" s="13">
        <v>3</v>
      </c>
      <c r="AD2659" s="13">
        <v>3</v>
      </c>
      <c r="AE2659" s="13">
        <v>3</v>
      </c>
      <c r="AF2659" s="13"/>
      <c r="AG2659" s="16">
        <f>IFERROR(SUMIF(reading[[#This Row],[1st]:[7th]],"&gt;0")/COUNTIF(reading[[#This Row],[1st]:[7th]],"&gt;0"),"")</f>
        <v>3</v>
      </c>
    </row>
    <row r="2660" spans="1:33" hidden="1" x14ac:dyDescent="0.2">
      <c r="A2660" s="4">
        <f>IF(B2660=1,3,IF(D2660=1,2,IF(F2660=1,1,0)))</f>
        <v>3</v>
      </c>
      <c r="B2660" s="4">
        <f>IF(C2660=$L2660,1,IF(C2660="","",0))</f>
        <v>1</v>
      </c>
      <c r="C2660" s="36" t="s">
        <v>2703</v>
      </c>
      <c r="D2660" s="4" t="str">
        <f>IF(E2660=$L2660,1,IF(E2660="","",0))</f>
        <v/>
      </c>
      <c r="E2660" s="14"/>
      <c r="F2660" s="4" t="str">
        <f>IF(G2660=$L2660,1,IF(G2660="","",0))</f>
        <v/>
      </c>
      <c r="G2660" s="14"/>
      <c r="H2660" s="6">
        <v>2664</v>
      </c>
      <c r="I2660" s="15" t="s">
        <v>3120</v>
      </c>
      <c r="J2660" s="6" t="s">
        <v>5717</v>
      </c>
      <c r="K2660" s="6"/>
      <c r="L2660" s="6" t="s">
        <v>2703</v>
      </c>
      <c r="M2660" s="6" t="s">
        <v>8769</v>
      </c>
      <c r="N2660" s="7">
        <f ca="1">RAND()</f>
        <v>0.35956551445972229</v>
      </c>
      <c r="O2660" s="8">
        <v>45220</v>
      </c>
      <c r="P2660" s="8">
        <v>45220</v>
      </c>
      <c r="Q2660" s="8">
        <v>45220</v>
      </c>
      <c r="R2660" s="8">
        <v>45220</v>
      </c>
      <c r="S2660" s="8">
        <v>45220</v>
      </c>
      <c r="T2660" s="8">
        <v>45220</v>
      </c>
      <c r="U2660" s="8">
        <v>45220</v>
      </c>
      <c r="V2660" s="10">
        <f>COUNTA(O2660:U2660)</f>
        <v>7</v>
      </c>
      <c r="W2660" s="11">
        <f>_xlfn.IFNA(INDEX(reading[[#This Row],[Memo 01]:[Memo 07]],MATCH(0,reading[[#This Row],[Memo 01]:[Memo 07]],-1)),"")</f>
        <v>45220</v>
      </c>
      <c r="X2660" s="11">
        <f ca="1">IFERROR(reading[[#This Row],[Previous]]+OFFSET(reading[[#Headers],[Memo 01]],-1,MATCH(0,reading[[#This Row],[Memo 01]:[Memo 07]],-1)-1),"")</f>
        <v>55220</v>
      </c>
      <c r="Y2660" s="10" t="str">
        <f ca="1">IF(reading[[#This Row],[Next]]&lt;&gt;"",IF(reading[[#This Row],[Next]]&gt;TODAY(),"OK",""),"")</f>
        <v>OK</v>
      </c>
      <c r="Z2660" s="13">
        <v>3</v>
      </c>
      <c r="AA2660" s="13"/>
      <c r="AB2660" s="13"/>
      <c r="AC2660" s="13"/>
      <c r="AD2660" s="13"/>
      <c r="AE2660" s="13"/>
      <c r="AF2660" s="13"/>
      <c r="AG2660" s="16">
        <f>IFERROR(SUMIF(reading[[#This Row],[1st]:[7th]],"&gt;0")/COUNTIF(reading[[#This Row],[1st]:[7th]],"&gt;0"),"")</f>
        <v>3</v>
      </c>
    </row>
    <row r="2661" spans="1:33" hidden="1" x14ac:dyDescent="0.2">
      <c r="A2661" s="4">
        <f>IF(B2661=1,3,IF(D2661=1,2,IF(F2661=1,1,0)))</f>
        <v>3</v>
      </c>
      <c r="B2661" s="4">
        <f>IF(C2661=$L2661,1,IF(C2661="","",0))</f>
        <v>1</v>
      </c>
      <c r="C2661" s="36" t="s">
        <v>2704</v>
      </c>
      <c r="D2661" s="4" t="str">
        <f>IF(E2661=$L2661,1,IF(E2661="","",0))</f>
        <v/>
      </c>
      <c r="E2661" s="14"/>
      <c r="F2661" s="4" t="str">
        <f>IF(G2661=$L2661,1,IF(G2661="","",0))</f>
        <v/>
      </c>
      <c r="G2661" s="14"/>
      <c r="H2661" s="6">
        <v>2665</v>
      </c>
      <c r="I2661" s="15" t="s">
        <v>3120</v>
      </c>
      <c r="J2661" s="6" t="s">
        <v>5718</v>
      </c>
      <c r="K2661" s="6"/>
      <c r="L2661" s="6" t="s">
        <v>2704</v>
      </c>
      <c r="M2661" s="6" t="s">
        <v>8770</v>
      </c>
      <c r="N2661" s="7">
        <f ca="1">RAND()</f>
        <v>0.1918967474428408</v>
      </c>
      <c r="O2661" s="8">
        <v>45220</v>
      </c>
      <c r="P2661" s="8">
        <v>45220</v>
      </c>
      <c r="Q2661" s="8">
        <v>45220</v>
      </c>
      <c r="R2661" s="8">
        <v>45220</v>
      </c>
      <c r="S2661" s="8">
        <v>45220</v>
      </c>
      <c r="T2661" s="8">
        <v>45220</v>
      </c>
      <c r="U2661" s="8">
        <v>45220</v>
      </c>
      <c r="V2661" s="10">
        <f>COUNTA(O2661:U2661)</f>
        <v>7</v>
      </c>
      <c r="W2661" s="11">
        <f>_xlfn.IFNA(INDEX(reading[[#This Row],[Memo 01]:[Memo 07]],MATCH(0,reading[[#This Row],[Memo 01]:[Memo 07]],-1)),"")</f>
        <v>45220</v>
      </c>
      <c r="X2661" s="11">
        <f ca="1">IFERROR(reading[[#This Row],[Previous]]+OFFSET(reading[[#Headers],[Memo 01]],-1,MATCH(0,reading[[#This Row],[Memo 01]:[Memo 07]],-1)-1),"")</f>
        <v>55220</v>
      </c>
      <c r="Y2661" s="10" t="str">
        <f ca="1">IF(reading[[#This Row],[Next]]&lt;&gt;"",IF(reading[[#This Row],[Next]]&gt;TODAY(),"OK",""),"")</f>
        <v>OK</v>
      </c>
      <c r="Z2661" s="13">
        <v>3</v>
      </c>
      <c r="AA2661" s="13"/>
      <c r="AB2661" s="13"/>
      <c r="AC2661" s="13"/>
      <c r="AD2661" s="13"/>
      <c r="AE2661" s="13"/>
      <c r="AF2661" s="13"/>
      <c r="AG2661" s="16">
        <f>IFERROR(SUMIF(reading[[#This Row],[1st]:[7th]],"&gt;0")/COUNTIF(reading[[#This Row],[1st]:[7th]],"&gt;0"),"")</f>
        <v>3</v>
      </c>
    </row>
    <row r="2662" spans="1:33" hidden="1" x14ac:dyDescent="0.2">
      <c r="A2662" s="4">
        <f>IF(B2662=1,3,IF(D2662=1,2,IF(F2662=1,1,0)))</f>
        <v>0</v>
      </c>
      <c r="B2662" s="4">
        <f>IF(C2662=$L2662,1,IF(C2662="","",0))</f>
        <v>0</v>
      </c>
      <c r="C2662" s="42" t="s">
        <v>9200</v>
      </c>
      <c r="D2662" s="4" t="str">
        <f>IF(E2662=$L2662,1,IF(E2662="","",0))</f>
        <v/>
      </c>
      <c r="E2662" s="14"/>
      <c r="F2662" s="4" t="str">
        <f>IF(G2662=$L2662,1,IF(G2662="","",0))</f>
        <v/>
      </c>
      <c r="G2662" s="14"/>
      <c r="H2662" s="6">
        <v>1975</v>
      </c>
      <c r="I2662" s="15" t="s">
        <v>3120</v>
      </c>
      <c r="J2662" s="6" t="s">
        <v>5074</v>
      </c>
      <c r="K2662" s="6"/>
      <c r="L2662" s="6" t="s">
        <v>2050</v>
      </c>
      <c r="M2662" s="6" t="s">
        <v>8081</v>
      </c>
      <c r="N2662" s="7">
        <f ca="1">RAND()</f>
        <v>0.12993478770819189</v>
      </c>
      <c r="O2662" s="8">
        <v>45213</v>
      </c>
      <c r="P2662" s="8">
        <v>45214</v>
      </c>
      <c r="Q2662" s="8">
        <v>45216</v>
      </c>
      <c r="R2662" s="8">
        <v>45220</v>
      </c>
      <c r="S2662" s="8">
        <v>45227</v>
      </c>
      <c r="T2662" s="8"/>
      <c r="U2662" s="8"/>
      <c r="V2662" s="10">
        <f>COUNTA(O2662:U2662)</f>
        <v>5</v>
      </c>
      <c r="W2662" s="11">
        <f>_xlfn.IFNA(INDEX(reading[[#This Row],[Memo 01]:[Memo 07]],MATCH(0,reading[[#This Row],[Memo 01]:[Memo 07]],-1)),"")</f>
        <v>45227</v>
      </c>
      <c r="X2662" s="11">
        <f ca="1">IFERROR(reading[[#This Row],[Previous]]+OFFSET(reading[[#Headers],[Memo 01]],-1,MATCH(0,reading[[#This Row],[Memo 01]:[Memo 07]],-1)-1),"")</f>
        <v>45239</v>
      </c>
      <c r="Y2662" s="10" t="str">
        <f ca="1">IF(reading[[#This Row],[Next]]&lt;&gt;"",IF(reading[[#This Row],[Next]]&gt;TODAY(),"OK",""),"")</f>
        <v/>
      </c>
      <c r="Z2662" s="13">
        <v>3</v>
      </c>
      <c r="AA2662" s="13">
        <v>3</v>
      </c>
      <c r="AB2662" s="13">
        <v>3</v>
      </c>
      <c r="AC2662" s="13">
        <v>3</v>
      </c>
      <c r="AD2662" s="13">
        <v>3</v>
      </c>
      <c r="AE2662" s="13"/>
      <c r="AF2662" s="13"/>
      <c r="AG2662" s="16">
        <f>IFERROR(SUMIF(reading[[#This Row],[1st]:[7th]],"&gt;0")/COUNTIF(reading[[#This Row],[1st]:[7th]],"&gt;0"),"")</f>
        <v>3</v>
      </c>
    </row>
    <row r="2663" spans="1:33" x14ac:dyDescent="0.2">
      <c r="A2663" s="4">
        <f>IF(B2663=1,3,IF(D2663=1,2,IF(F2663=1,1,0)))</f>
        <v>0</v>
      </c>
      <c r="B2663" s="4" t="str">
        <f>IF(C2663=$L2663,1,IF(C2663="","",0))</f>
        <v/>
      </c>
      <c r="C2663" s="38"/>
      <c r="D2663" s="4" t="str">
        <f>IF(E2663=$L2663,1,IF(E2663="","",0))</f>
        <v/>
      </c>
      <c r="E2663" s="14"/>
      <c r="F2663" s="4" t="str">
        <f>IF(G2663=$L2663,1,IF(G2663="","",0))</f>
        <v/>
      </c>
      <c r="G2663" s="14"/>
      <c r="H2663" s="6">
        <v>615</v>
      </c>
      <c r="I2663" s="15" t="s">
        <v>3120</v>
      </c>
      <c r="J2663" s="6" t="s">
        <v>3757</v>
      </c>
      <c r="K2663" s="6"/>
      <c r="L2663" s="6" t="s">
        <v>738</v>
      </c>
      <c r="M2663" s="6" t="s">
        <v>6724</v>
      </c>
      <c r="N2663" s="7">
        <f ca="1">RAND()</f>
        <v>0.37939967709319578</v>
      </c>
      <c r="O2663" s="8">
        <v>45202</v>
      </c>
      <c r="P2663" s="8">
        <v>45203</v>
      </c>
      <c r="Q2663" s="8">
        <v>45205</v>
      </c>
      <c r="R2663" s="8">
        <v>45209</v>
      </c>
      <c r="S2663" s="8">
        <v>45216</v>
      </c>
      <c r="T2663" s="8">
        <v>45228</v>
      </c>
      <c r="U2663" s="8"/>
      <c r="V2663" s="10">
        <f>COUNTA(O2663:U2663)</f>
        <v>6</v>
      </c>
      <c r="W2663" s="11">
        <f>_xlfn.IFNA(INDEX(reading[[#This Row],[Memo 01]:[Memo 07]],MATCH(0,reading[[#This Row],[Memo 01]:[Memo 07]],-1)),"")</f>
        <v>45228</v>
      </c>
      <c r="X2663" s="11">
        <f ca="1">IFERROR(reading[[#This Row],[Previous]]+OFFSET(reading[[#Headers],[Memo 01]],-1,MATCH(0,reading[[#This Row],[Memo 01]:[Memo 07]],-1)-1),"")</f>
        <v>45248</v>
      </c>
      <c r="Y2663" s="10" t="str">
        <f ca="1">IF(reading[[#This Row],[Next]]&lt;&gt;"",IF(reading[[#This Row],[Next]]&gt;TODAY(),"OK",""),"")</f>
        <v/>
      </c>
      <c r="Z2663" s="13">
        <v>3</v>
      </c>
      <c r="AA2663" s="13">
        <v>3</v>
      </c>
      <c r="AB2663" s="13">
        <v>3</v>
      </c>
      <c r="AC2663" s="13">
        <v>3</v>
      </c>
      <c r="AD2663" s="13">
        <v>3</v>
      </c>
      <c r="AE2663" s="13">
        <v>3</v>
      </c>
      <c r="AF2663" s="13"/>
      <c r="AG2663" s="16">
        <f>IFERROR(SUMIF(reading[[#This Row],[1st]:[7th]],"&gt;0")/COUNTIF(reading[[#This Row],[1st]:[7th]],"&gt;0"),"")</f>
        <v>3</v>
      </c>
    </row>
    <row r="2664" spans="1:33" hidden="1" x14ac:dyDescent="0.2">
      <c r="A2664" s="4">
        <f>IF(B2664=1,3,IF(D2664=1,2,IF(F2664=1,1,0)))</f>
        <v>0</v>
      </c>
      <c r="B2664" s="4" t="str">
        <f>IF(C2664=$L2664,1,IF(C2664="","",0))</f>
        <v/>
      </c>
      <c r="C2664" s="42"/>
      <c r="D2664" s="4" t="str">
        <f>IF(E2664=$L2664,1,IF(E2664="","",0))</f>
        <v/>
      </c>
      <c r="E2664" s="43"/>
      <c r="F2664" s="4" t="str">
        <f>IF(G2664=$L2664,1,IF(G2664="","",0))</f>
        <v/>
      </c>
      <c r="G2664" s="14"/>
      <c r="H2664" s="6">
        <v>1465</v>
      </c>
      <c r="I2664" s="15" t="s">
        <v>3120</v>
      </c>
      <c r="J2664" s="6" t="s">
        <v>4579</v>
      </c>
      <c r="K2664" s="6"/>
      <c r="L2664" s="6" t="s">
        <v>1552</v>
      </c>
      <c r="M2664" s="6" t="s">
        <v>7572</v>
      </c>
      <c r="N2664" s="7">
        <f ca="1">RAND()</f>
        <v>0.56830124983456531</v>
      </c>
      <c r="O2664" s="8">
        <v>45208</v>
      </c>
      <c r="P2664" s="8">
        <v>45209</v>
      </c>
      <c r="Q2664" s="8">
        <v>45211</v>
      </c>
      <c r="R2664" s="8">
        <v>45215</v>
      </c>
      <c r="S2664" s="8">
        <v>45222</v>
      </c>
      <c r="T2664" s="8">
        <v>45235</v>
      </c>
      <c r="U2664" s="8">
        <v>45816</v>
      </c>
      <c r="V2664" s="10">
        <f>COUNTA(O2664:U2664)</f>
        <v>7</v>
      </c>
      <c r="W2664" s="11">
        <f>_xlfn.IFNA(INDEX(reading[[#This Row],[Memo 01]:[Memo 07]],MATCH(0,reading[[#This Row],[Memo 01]:[Memo 07]],-1)),"")</f>
        <v>45816</v>
      </c>
      <c r="X2664" s="11">
        <f ca="1">IFERROR(reading[[#This Row],[Previous]]+OFFSET(reading[[#Headers],[Memo 01]],-1,MATCH(0,reading[[#This Row],[Memo 01]:[Memo 07]],-1)-1),"")</f>
        <v>55816</v>
      </c>
      <c r="Y2664" s="10" t="str">
        <f ca="1">IF(reading[[#This Row],[Next]]&lt;&gt;"",IF(reading[[#This Row],[Next]]&gt;TODAY(),"OK",""),"")</f>
        <v>OK</v>
      </c>
      <c r="Z2664" s="13">
        <v>3</v>
      </c>
      <c r="AA2664" s="13">
        <v>3</v>
      </c>
      <c r="AB2664" s="13">
        <v>3</v>
      </c>
      <c r="AC2664" s="13">
        <v>3</v>
      </c>
      <c r="AD2664" s="13">
        <v>2</v>
      </c>
      <c r="AE2664" s="13">
        <v>2</v>
      </c>
      <c r="AF2664" s="13">
        <v>2</v>
      </c>
      <c r="AG2664" s="16">
        <f>IFERROR(SUMIF(reading[[#This Row],[1st]:[7th]],"&gt;0")/COUNTIF(reading[[#This Row],[1st]:[7th]],"&gt;0"),"")</f>
        <v>2.5714285714285716</v>
      </c>
    </row>
    <row r="2665" spans="1:33" x14ac:dyDescent="0.2">
      <c r="A2665" s="4">
        <f>IF(B2665=1,3,IF(D2665=1,2,IF(F2665=1,1,0)))</f>
        <v>0</v>
      </c>
      <c r="B2665" s="4" t="str">
        <f>IF(C2665=$L2665,1,IF(C2665="","",0))</f>
        <v/>
      </c>
      <c r="C2665" s="42"/>
      <c r="D2665" s="4" t="str">
        <f>IF(E2665=$L2665,1,IF(E2665="","",0))</f>
        <v/>
      </c>
      <c r="E2665" s="18"/>
      <c r="F2665" s="4" t="str">
        <f>IF(G2665=$L2665,1,IF(G2665="","",0))</f>
        <v/>
      </c>
      <c r="G2665" s="14"/>
      <c r="H2665" s="6">
        <v>1869</v>
      </c>
      <c r="I2665" s="15" t="s">
        <v>3120</v>
      </c>
      <c r="J2665" s="6" t="s">
        <v>4971</v>
      </c>
      <c r="K2665" s="6"/>
      <c r="L2665" s="6" t="s">
        <v>1947</v>
      </c>
      <c r="M2665" s="6" t="s">
        <v>7975</v>
      </c>
      <c r="N2665" s="7">
        <f ca="1">RAND()</f>
        <v>0.65002359852537706</v>
      </c>
      <c r="O2665" s="8">
        <v>45212</v>
      </c>
      <c r="P2665" s="8">
        <v>45213</v>
      </c>
      <c r="Q2665" s="8">
        <v>45215</v>
      </c>
      <c r="R2665" s="8">
        <v>45219</v>
      </c>
      <c r="S2665" s="8">
        <v>45226</v>
      </c>
      <c r="T2665" s="8">
        <v>45801</v>
      </c>
      <c r="U2665" s="8"/>
      <c r="V2665" s="10">
        <f>COUNTA(O2665:U2665)</f>
        <v>6</v>
      </c>
      <c r="W2665" s="11">
        <f>_xlfn.IFNA(INDEX(reading[[#This Row],[Memo 01]:[Memo 07]],MATCH(0,reading[[#This Row],[Memo 01]:[Memo 07]],-1)),"")</f>
        <v>45801</v>
      </c>
      <c r="X2665" s="11">
        <f ca="1">IFERROR(reading[[#This Row],[Previous]]+OFFSET(reading[[#Headers],[Memo 01]],-1,MATCH(0,reading[[#This Row],[Memo 01]:[Memo 07]],-1)-1),"")</f>
        <v>45821</v>
      </c>
      <c r="Y2665" s="10" t="str">
        <f ca="1">IF(reading[[#This Row],[Next]]&lt;&gt;"",IF(reading[[#This Row],[Next]]&gt;TODAY(),"OK",""),"")</f>
        <v/>
      </c>
      <c r="Z2665" s="13">
        <v>3</v>
      </c>
      <c r="AA2665" s="13">
        <v>3</v>
      </c>
      <c r="AB2665" s="13">
        <v>3</v>
      </c>
      <c r="AC2665" s="13">
        <v>2</v>
      </c>
      <c r="AD2665" s="13">
        <v>3</v>
      </c>
      <c r="AE2665" s="13">
        <v>3</v>
      </c>
      <c r="AF2665" s="13"/>
      <c r="AG2665" s="16">
        <f>IFERROR(SUMIF(reading[[#This Row],[1st]:[7th]],"&gt;0")/COUNTIF(reading[[#This Row],[1st]:[7th]],"&gt;0"),"")</f>
        <v>2.8333333333333335</v>
      </c>
    </row>
    <row r="2666" spans="1:33" hidden="1" x14ac:dyDescent="0.2">
      <c r="A2666" s="4">
        <f>IF(B2666=1,3,IF(D2666=1,2,IF(F2666=1,1,0)))</f>
        <v>0</v>
      </c>
      <c r="B2666" s="4" t="str">
        <f>IF(C2666=$L2666,1,IF(C2666="","",0))</f>
        <v/>
      </c>
      <c r="C2666" s="42"/>
      <c r="D2666" s="4" t="str">
        <f>IF(E2666=$L2666,1,IF(E2666="","",0))</f>
        <v/>
      </c>
      <c r="E2666" s="23"/>
      <c r="F2666" s="4" t="str">
        <f>IF(G2666=$L2666,1,IF(G2666="","",0))</f>
        <v/>
      </c>
      <c r="G2666" s="14"/>
      <c r="H2666" s="6">
        <v>2357</v>
      </c>
      <c r="I2666" s="15" t="s">
        <v>3120</v>
      </c>
      <c r="J2666" s="6" t="s">
        <v>5434</v>
      </c>
      <c r="K2666" s="6"/>
      <c r="L2666" s="6" t="s">
        <v>2410</v>
      </c>
      <c r="M2666" s="6" t="s">
        <v>8462</v>
      </c>
      <c r="N2666" s="7">
        <f ca="1">RAND()</f>
        <v>3.2977643404907608E-2</v>
      </c>
      <c r="O2666" s="8">
        <v>45216</v>
      </c>
      <c r="P2666" s="8">
        <v>45217</v>
      </c>
      <c r="Q2666" s="8">
        <v>45219</v>
      </c>
      <c r="R2666" s="8">
        <v>45223</v>
      </c>
      <c r="S2666" s="8">
        <v>45230</v>
      </c>
      <c r="T2666" s="8">
        <v>45816</v>
      </c>
      <c r="U2666" s="8"/>
      <c r="V2666" s="10">
        <f>COUNTA(O2666:U2666)</f>
        <v>6</v>
      </c>
      <c r="W2666" s="11">
        <f>_xlfn.IFNA(INDEX(reading[[#This Row],[Memo 01]:[Memo 07]],MATCH(0,reading[[#This Row],[Memo 01]:[Memo 07]],-1)),"")</f>
        <v>45816</v>
      </c>
      <c r="X2666" s="11">
        <f ca="1">IFERROR(reading[[#This Row],[Previous]]+OFFSET(reading[[#Headers],[Memo 01]],-1,MATCH(0,reading[[#This Row],[Memo 01]:[Memo 07]],-1)-1),"")</f>
        <v>45836</v>
      </c>
      <c r="Y2666" s="10" t="str">
        <f ca="1">IF(reading[[#This Row],[Next]]&lt;&gt;"",IF(reading[[#This Row],[Next]]&gt;TODAY(),"OK",""),"")</f>
        <v>OK</v>
      </c>
      <c r="Z2666" s="13">
        <v>3</v>
      </c>
      <c r="AA2666" s="13">
        <v>3</v>
      </c>
      <c r="AB2666" s="13">
        <v>3</v>
      </c>
      <c r="AC2666" s="13">
        <v>3</v>
      </c>
      <c r="AD2666" s="13">
        <v>3</v>
      </c>
      <c r="AE2666" s="13">
        <v>2</v>
      </c>
      <c r="AF2666" s="13"/>
      <c r="AG2666" s="16">
        <f>IFERROR(SUMIF(reading[[#This Row],[1st]:[7th]],"&gt;0")/COUNTIF(reading[[#This Row],[1st]:[7th]],"&gt;0"),"")</f>
        <v>2.8333333333333335</v>
      </c>
    </row>
    <row r="2667" spans="1:33" hidden="1" x14ac:dyDescent="0.2">
      <c r="A2667" s="4">
        <f>IF(B2667=1,3,IF(D2667=1,2,IF(F2667=1,1,0)))</f>
        <v>0</v>
      </c>
      <c r="B2667" s="4">
        <f>IF(C2667=$L2667,1,IF(C2667="","",0))</f>
        <v>0</v>
      </c>
      <c r="C2667" s="42" t="s">
        <v>9200</v>
      </c>
      <c r="D2667" s="4" t="str">
        <f>IF(E2667=$L2667,1,IF(E2667="","",0))</f>
        <v/>
      </c>
      <c r="E2667" s="18"/>
      <c r="F2667" s="4" t="str">
        <f>IF(G2667=$L2667,1,IF(G2667="","",0))</f>
        <v/>
      </c>
      <c r="G2667" s="14"/>
      <c r="H2667" s="6">
        <v>2258</v>
      </c>
      <c r="I2667" s="15" t="s">
        <v>3120</v>
      </c>
      <c r="J2667" s="6" t="s">
        <v>5340</v>
      </c>
      <c r="K2667" s="15" t="s">
        <v>3138</v>
      </c>
      <c r="L2667" s="6" t="s">
        <v>43</v>
      </c>
      <c r="M2667" s="6" t="s">
        <v>8363</v>
      </c>
      <c r="N2667" s="7">
        <f ca="1">RAND()</f>
        <v>7.5187230913555503E-2</v>
      </c>
      <c r="O2667" s="8">
        <v>45215</v>
      </c>
      <c r="P2667" s="8">
        <v>45216</v>
      </c>
      <c r="Q2667" s="8">
        <v>45218</v>
      </c>
      <c r="R2667" s="8">
        <v>45222</v>
      </c>
      <c r="S2667" s="8">
        <v>45229</v>
      </c>
      <c r="T2667" s="8"/>
      <c r="U2667" s="8"/>
      <c r="V2667" s="10">
        <f>COUNTA(O2667:U2667)</f>
        <v>5</v>
      </c>
      <c r="W2667" s="11">
        <f>_xlfn.IFNA(INDEX(reading[[#This Row],[Memo 01]:[Memo 07]],MATCH(0,reading[[#This Row],[Memo 01]:[Memo 07]],-1)),"")</f>
        <v>45229</v>
      </c>
      <c r="X2667" s="11">
        <f ca="1">IFERROR(reading[[#This Row],[Previous]]+OFFSET(reading[[#Headers],[Memo 01]],-1,MATCH(0,reading[[#This Row],[Memo 01]:[Memo 07]],-1)-1),"")</f>
        <v>45241</v>
      </c>
      <c r="Y2667" s="10" t="str">
        <f ca="1">IF(reading[[#This Row],[Next]]&lt;&gt;"",IF(reading[[#This Row],[Next]]&gt;TODAY(),"OK",""),"")</f>
        <v/>
      </c>
      <c r="Z2667" s="13">
        <v>3</v>
      </c>
      <c r="AA2667" s="13">
        <v>3</v>
      </c>
      <c r="AB2667" s="13">
        <v>3</v>
      </c>
      <c r="AC2667" s="13">
        <v>3</v>
      </c>
      <c r="AD2667" s="13">
        <v>2</v>
      </c>
      <c r="AE2667" s="13"/>
      <c r="AF2667" s="13"/>
      <c r="AG2667" s="16">
        <f>IFERROR(SUMIF(reading[[#This Row],[1st]:[7th]],"&gt;0")/COUNTIF(reading[[#This Row],[1st]:[7th]],"&gt;0"),"")</f>
        <v>2.8</v>
      </c>
    </row>
    <row r="2668" spans="1:33" hidden="1" x14ac:dyDescent="0.2">
      <c r="A2668" s="4">
        <f>IF(B2668=1,3,IF(D2668=1,2,IF(F2668=1,1,0)))</f>
        <v>0</v>
      </c>
      <c r="B2668" s="4" t="str">
        <f>IF(C2668=$L2668,1,IF(C2668="","",0))</f>
        <v/>
      </c>
      <c r="C2668" s="42"/>
      <c r="D2668" s="4" t="str">
        <f>IF(E2668=$L2668,1,IF(E2668="","",0))</f>
        <v/>
      </c>
      <c r="E2668" s="23"/>
      <c r="F2668" s="4" t="str">
        <f>IF(G2668=$L2668,1,IF(G2668="","",0))</f>
        <v/>
      </c>
      <c r="G2668" s="14"/>
      <c r="H2668" s="6">
        <v>1856</v>
      </c>
      <c r="I2668" s="15" t="s">
        <v>3120</v>
      </c>
      <c r="J2668" s="6" t="s">
        <v>4958</v>
      </c>
      <c r="K2668" s="6"/>
      <c r="L2668" s="6" t="s">
        <v>1934</v>
      </c>
      <c r="M2668" s="6" t="s">
        <v>7962</v>
      </c>
      <c r="N2668" s="7">
        <f ca="1">RAND()</f>
        <v>0.75349887343056321</v>
      </c>
      <c r="O2668" s="8">
        <v>45212</v>
      </c>
      <c r="P2668" s="8">
        <v>45213</v>
      </c>
      <c r="Q2668" s="8">
        <v>45215</v>
      </c>
      <c r="R2668" s="8">
        <v>45219</v>
      </c>
      <c r="S2668" s="8">
        <v>45226</v>
      </c>
      <c r="T2668" s="8">
        <v>45825</v>
      </c>
      <c r="U2668" s="8"/>
      <c r="V2668" s="10">
        <f>COUNTA(O2668:U2668)</f>
        <v>6</v>
      </c>
      <c r="W2668" s="11">
        <f>_xlfn.IFNA(INDEX(reading[[#This Row],[Memo 01]:[Memo 07]],MATCH(0,reading[[#This Row],[Memo 01]:[Memo 07]],-1)),"")</f>
        <v>45825</v>
      </c>
      <c r="X2668" s="11">
        <f ca="1">IFERROR(reading[[#This Row],[Previous]]+OFFSET(reading[[#Headers],[Memo 01]],-1,MATCH(0,reading[[#This Row],[Memo 01]:[Memo 07]],-1)-1),"")</f>
        <v>45845</v>
      </c>
      <c r="Y2668" s="10" t="str">
        <f ca="1">IF(reading[[#This Row],[Next]]&lt;&gt;"",IF(reading[[#This Row],[Next]]&gt;TODAY(),"OK",""),"")</f>
        <v>OK</v>
      </c>
      <c r="Z2668" s="13">
        <v>3</v>
      </c>
      <c r="AA2668" s="13">
        <v>3</v>
      </c>
      <c r="AB2668" s="13">
        <v>3</v>
      </c>
      <c r="AC2668" s="13">
        <v>3</v>
      </c>
      <c r="AD2668" s="13">
        <v>3</v>
      </c>
      <c r="AE2668" s="13">
        <v>2</v>
      </c>
      <c r="AF2668" s="13"/>
      <c r="AG2668" s="16">
        <f>IFERROR(SUMIF(reading[[#This Row],[1st]:[7th]],"&gt;0")/COUNTIF(reading[[#This Row],[1st]:[7th]],"&gt;0"),"")</f>
        <v>2.8333333333333335</v>
      </c>
    </row>
    <row r="2669" spans="1:33" x14ac:dyDescent="0.2">
      <c r="A2669" s="4">
        <f>IF(B2669=1,3,IF(D2669=1,2,IF(F2669=1,1,0)))</f>
        <v>0</v>
      </c>
      <c r="B2669" s="4" t="str">
        <f>IF(C2669=$L2669,1,IF(C2669="","",0))</f>
        <v/>
      </c>
      <c r="C2669" s="39"/>
      <c r="D2669" s="4" t="str">
        <f>IF(E2669=$L2669,1,IF(E2669="","",0))</f>
        <v/>
      </c>
      <c r="E2669" s="18"/>
      <c r="F2669" s="4" t="str">
        <f>IF(G2669=$L2669,1,IF(G2669="","",0))</f>
        <v/>
      </c>
      <c r="G2669" s="14"/>
      <c r="H2669" s="6">
        <v>1592</v>
      </c>
      <c r="I2669" s="15" t="s">
        <v>3120</v>
      </c>
      <c r="J2669" s="6" t="s">
        <v>4704</v>
      </c>
      <c r="K2669" s="15" t="s">
        <v>3153</v>
      </c>
      <c r="L2669" s="6" t="s">
        <v>1675</v>
      </c>
      <c r="M2669" s="6" t="s">
        <v>7698</v>
      </c>
      <c r="N2669" s="7">
        <f ca="1">RAND()</f>
        <v>0.23843511602852108</v>
      </c>
      <c r="O2669" s="8">
        <v>45209</v>
      </c>
      <c r="P2669" s="8">
        <v>45210</v>
      </c>
      <c r="Q2669" s="8">
        <v>45213</v>
      </c>
      <c r="R2669" s="8">
        <v>45217</v>
      </c>
      <c r="S2669" s="8">
        <v>45224</v>
      </c>
      <c r="T2669" s="8">
        <v>45236</v>
      </c>
      <c r="U2669" s="8"/>
      <c r="V2669" s="10">
        <f>COUNTA(O2669:U2669)</f>
        <v>6</v>
      </c>
      <c r="W2669" s="11">
        <f>_xlfn.IFNA(INDEX(reading[[#This Row],[Memo 01]:[Memo 07]],MATCH(0,reading[[#This Row],[Memo 01]:[Memo 07]],-1)),"")</f>
        <v>45236</v>
      </c>
      <c r="X2669" s="11">
        <f ca="1">IFERROR(reading[[#This Row],[Previous]]+OFFSET(reading[[#Headers],[Memo 01]],-1,MATCH(0,reading[[#This Row],[Memo 01]:[Memo 07]],-1)-1),"")</f>
        <v>45256</v>
      </c>
      <c r="Y2669" s="10" t="str">
        <f ca="1">IF(reading[[#This Row],[Next]]&lt;&gt;"",IF(reading[[#This Row],[Next]]&gt;TODAY(),"OK",""),"")</f>
        <v/>
      </c>
      <c r="Z2669" s="13">
        <v>3</v>
      </c>
      <c r="AA2669" s="13">
        <v>3</v>
      </c>
      <c r="AB2669" s="13">
        <v>2</v>
      </c>
      <c r="AC2669" s="13">
        <v>3</v>
      </c>
      <c r="AD2669" s="13">
        <v>2</v>
      </c>
      <c r="AE2669" s="13">
        <v>3</v>
      </c>
      <c r="AF2669" s="13"/>
      <c r="AG2669" s="16">
        <f>IFERROR(SUMIF(reading[[#This Row],[1st]:[7th]],"&gt;0")/COUNTIF(reading[[#This Row],[1st]:[7th]],"&gt;0"),"")</f>
        <v>2.6666666666666665</v>
      </c>
    </row>
    <row r="2670" spans="1:33" x14ac:dyDescent="0.2">
      <c r="A2670" s="4">
        <f>IF(B2670=1,3,IF(D2670=1,2,IF(F2670=1,1,0)))</f>
        <v>0</v>
      </c>
      <c r="B2670" s="4" t="str">
        <f>IF(C2670=$L2670,1,IF(C2670="","",0))</f>
        <v/>
      </c>
      <c r="C2670" s="39"/>
      <c r="D2670" s="4" t="str">
        <f>IF(E2670=$L2670,1,IF(E2670="","",0))</f>
        <v/>
      </c>
      <c r="E2670" s="14"/>
      <c r="F2670" s="4" t="str">
        <f>IF(G2670=$L2670,1,IF(G2670="","",0))</f>
        <v/>
      </c>
      <c r="G2670" s="14"/>
      <c r="H2670" s="6">
        <v>1024</v>
      </c>
      <c r="I2670" s="15" t="s">
        <v>3120</v>
      </c>
      <c r="J2670" s="6" t="s">
        <v>4152</v>
      </c>
      <c r="K2670" s="6"/>
      <c r="L2670" s="6" t="s">
        <v>1134</v>
      </c>
      <c r="M2670" s="6" t="s">
        <v>7132</v>
      </c>
      <c r="N2670" s="7">
        <f ca="1">RAND()</f>
        <v>0.52157616015615138</v>
      </c>
      <c r="O2670" s="8">
        <v>45205</v>
      </c>
      <c r="P2670" s="8">
        <v>45206</v>
      </c>
      <c r="Q2670" s="8">
        <v>45208</v>
      </c>
      <c r="R2670" s="8">
        <v>45212</v>
      </c>
      <c r="S2670" s="8">
        <v>45219</v>
      </c>
      <c r="T2670" s="8">
        <v>45231</v>
      </c>
      <c r="U2670" s="8"/>
      <c r="V2670" s="10">
        <f>COUNTA(O2670:U2670)</f>
        <v>6</v>
      </c>
      <c r="W2670" s="11">
        <f>_xlfn.IFNA(INDEX(reading[[#This Row],[Memo 01]:[Memo 07]],MATCH(0,reading[[#This Row],[Memo 01]:[Memo 07]],-1)),"")</f>
        <v>45231</v>
      </c>
      <c r="X2670" s="11">
        <f ca="1">IFERROR(reading[[#This Row],[Previous]]+OFFSET(reading[[#Headers],[Memo 01]],-1,MATCH(0,reading[[#This Row],[Memo 01]:[Memo 07]],-1)-1),"")</f>
        <v>45251</v>
      </c>
      <c r="Y2670" s="10" t="str">
        <f ca="1">IF(reading[[#This Row],[Next]]&lt;&gt;"",IF(reading[[#This Row],[Next]]&gt;TODAY(),"OK",""),"")</f>
        <v/>
      </c>
      <c r="Z2670" s="13">
        <v>3</v>
      </c>
      <c r="AA2670" s="13">
        <v>3</v>
      </c>
      <c r="AB2670" s="13">
        <v>3</v>
      </c>
      <c r="AC2670" s="13">
        <v>3</v>
      </c>
      <c r="AD2670" s="13">
        <v>3</v>
      </c>
      <c r="AE2670" s="13">
        <v>3</v>
      </c>
      <c r="AF2670" s="13"/>
      <c r="AG2670" s="16">
        <f>IFERROR(SUMIF(reading[[#This Row],[1st]:[7th]],"&gt;0")/COUNTIF(reading[[#This Row],[1st]:[7th]],"&gt;0"),"")</f>
        <v>3</v>
      </c>
    </row>
    <row r="2671" spans="1:33" hidden="1" x14ac:dyDescent="0.2">
      <c r="A2671" s="4">
        <f>IF(B2671=1,3,IF(D2671=1,2,IF(F2671=1,1,0)))</f>
        <v>0</v>
      </c>
      <c r="B2671" s="4" t="str">
        <f>IF(C2671=$L2671,1,IF(C2671="","",0))</f>
        <v/>
      </c>
      <c r="C2671" s="42"/>
      <c r="D2671" s="4" t="str">
        <f>IF(E2671=$L2671,1,IF(E2671="","",0))</f>
        <v/>
      </c>
      <c r="E2671" s="43"/>
      <c r="F2671" s="4" t="str">
        <f>IF(G2671=$L2671,1,IF(G2671="","",0))</f>
        <v/>
      </c>
      <c r="G2671" s="23"/>
      <c r="H2671" s="6">
        <v>2416</v>
      </c>
      <c r="I2671" s="15" t="s">
        <v>3120</v>
      </c>
      <c r="J2671" s="6" t="s">
        <v>5487</v>
      </c>
      <c r="K2671" s="6"/>
      <c r="L2671" s="6" t="s">
        <v>2466</v>
      </c>
      <c r="M2671" s="6" t="s">
        <v>8521</v>
      </c>
      <c r="N2671" s="7">
        <f ca="1">RAND()</f>
        <v>0.21864909969129609</v>
      </c>
      <c r="O2671" s="8">
        <v>45218</v>
      </c>
      <c r="P2671" s="8">
        <v>45219</v>
      </c>
      <c r="Q2671" s="8">
        <v>45221</v>
      </c>
      <c r="R2671" s="8">
        <v>45225</v>
      </c>
      <c r="S2671" s="8">
        <v>45232</v>
      </c>
      <c r="T2671" s="8">
        <v>45817</v>
      </c>
      <c r="U2671" s="8"/>
      <c r="V2671" s="10">
        <f>COUNTA(O2671:U2671)</f>
        <v>6</v>
      </c>
      <c r="W2671" s="11">
        <f>_xlfn.IFNA(INDEX(reading[[#This Row],[Memo 01]:[Memo 07]],MATCH(0,reading[[#This Row],[Memo 01]:[Memo 07]],-1)),"")</f>
        <v>45817</v>
      </c>
      <c r="X2671" s="11">
        <f ca="1">IFERROR(reading[[#This Row],[Previous]]+OFFSET(reading[[#Headers],[Memo 01]],-1,MATCH(0,reading[[#This Row],[Memo 01]:[Memo 07]],-1)-1),"")</f>
        <v>45837</v>
      </c>
      <c r="Y2671" s="10" t="str">
        <f ca="1">IF(reading[[#This Row],[Next]]&lt;&gt;"",IF(reading[[#This Row],[Next]]&gt;TODAY(),"OK",""),"")</f>
        <v>OK</v>
      </c>
      <c r="Z2671" s="13">
        <v>3</v>
      </c>
      <c r="AA2671" s="13">
        <v>3</v>
      </c>
      <c r="AB2671" s="13">
        <v>3</v>
      </c>
      <c r="AC2671" s="13">
        <v>2</v>
      </c>
      <c r="AD2671" s="13">
        <v>3</v>
      </c>
      <c r="AE2671" s="13">
        <v>1</v>
      </c>
      <c r="AF2671" s="13"/>
      <c r="AG2671" s="16">
        <f>IFERROR(SUMIF(reading[[#This Row],[1st]:[7th]],"&gt;0")/COUNTIF(reading[[#This Row],[1st]:[7th]],"&gt;0"),"")</f>
        <v>2.5</v>
      </c>
    </row>
    <row r="2672" spans="1:33" x14ac:dyDescent="0.2">
      <c r="A2672" s="4">
        <f>IF(B2672=1,3,IF(D2672=1,2,IF(F2672=1,1,0)))</f>
        <v>0</v>
      </c>
      <c r="B2672" s="4" t="str">
        <f>IF(C2672=$L2672,1,IF(C2672="","",0))</f>
        <v/>
      </c>
      <c r="C2672" s="39"/>
      <c r="D2672" s="4" t="str">
        <f>IF(E2672=$L2672,1,IF(E2672="","",0))</f>
        <v/>
      </c>
      <c r="E2672" s="14"/>
      <c r="F2672" s="4" t="str">
        <f>IF(G2672=$L2672,1,IF(G2672="","",0))</f>
        <v/>
      </c>
      <c r="G2672" s="14"/>
      <c r="H2672" s="6">
        <v>1100</v>
      </c>
      <c r="I2672" s="15" t="s">
        <v>3120</v>
      </c>
      <c r="J2672" s="6" t="s">
        <v>4224</v>
      </c>
      <c r="K2672" s="6"/>
      <c r="L2672" s="6" t="s">
        <v>1206</v>
      </c>
      <c r="M2672" s="6" t="s">
        <v>7208</v>
      </c>
      <c r="N2672" s="7">
        <f ca="1">RAND()</f>
        <v>0.31989310756956635</v>
      </c>
      <c r="O2672" s="8">
        <v>45205</v>
      </c>
      <c r="P2672" s="8">
        <v>45206</v>
      </c>
      <c r="Q2672" s="8">
        <v>45208</v>
      </c>
      <c r="R2672" s="8">
        <v>45212</v>
      </c>
      <c r="S2672" s="8">
        <v>45219</v>
      </c>
      <c r="T2672" s="8">
        <v>45231</v>
      </c>
      <c r="U2672" s="8"/>
      <c r="V2672" s="10">
        <f>COUNTA(O2672:U2672)</f>
        <v>6</v>
      </c>
      <c r="W2672" s="11">
        <f>_xlfn.IFNA(INDEX(reading[[#This Row],[Memo 01]:[Memo 07]],MATCH(0,reading[[#This Row],[Memo 01]:[Memo 07]],-1)),"")</f>
        <v>45231</v>
      </c>
      <c r="X2672" s="11">
        <f ca="1">IFERROR(reading[[#This Row],[Previous]]+OFFSET(reading[[#Headers],[Memo 01]],-1,MATCH(0,reading[[#This Row],[Memo 01]:[Memo 07]],-1)-1),"")</f>
        <v>45251</v>
      </c>
      <c r="Y2672" s="10" t="str">
        <f ca="1">IF(reading[[#This Row],[Next]]&lt;&gt;"",IF(reading[[#This Row],[Next]]&gt;TODAY(),"OK",""),"")</f>
        <v/>
      </c>
      <c r="Z2672" s="13">
        <v>3</v>
      </c>
      <c r="AA2672" s="13">
        <v>3</v>
      </c>
      <c r="AB2672" s="13">
        <v>3</v>
      </c>
      <c r="AC2672" s="13">
        <v>3</v>
      </c>
      <c r="AD2672" s="13">
        <v>3</v>
      </c>
      <c r="AE2672" s="13">
        <v>3</v>
      </c>
      <c r="AF2672" s="13"/>
      <c r="AG2672" s="16">
        <f>IFERROR(SUMIF(reading[[#This Row],[1st]:[7th]],"&gt;0")/COUNTIF(reading[[#This Row],[1st]:[7th]],"&gt;0"),"")</f>
        <v>3</v>
      </c>
    </row>
    <row r="2673" spans="1:33" hidden="1" x14ac:dyDescent="0.2">
      <c r="A2673" s="4">
        <f>IF(B2673=1,3,IF(D2673=1,2,IF(F2673=1,1,0)))</f>
        <v>0</v>
      </c>
      <c r="B2673" s="4" t="str">
        <f>IF(C2673=$L2673,1,IF(C2673="","",0))</f>
        <v/>
      </c>
      <c r="C2673" s="42"/>
      <c r="D2673" s="4" t="str">
        <f>IF(E2673=$L2673,1,IF(E2673="","",0))</f>
        <v/>
      </c>
      <c r="E2673" s="23"/>
      <c r="F2673" s="4" t="str">
        <f>IF(G2673=$L2673,1,IF(G2673="","",0))</f>
        <v/>
      </c>
      <c r="G2673" s="14"/>
      <c r="H2673" s="6">
        <v>2858</v>
      </c>
      <c r="I2673" s="15" t="s">
        <v>3120</v>
      </c>
      <c r="J2673" s="6" t="s">
        <v>5897</v>
      </c>
      <c r="K2673" s="6"/>
      <c r="L2673" s="6" t="s">
        <v>2890</v>
      </c>
      <c r="M2673" s="6" t="s">
        <v>8962</v>
      </c>
      <c r="N2673" s="7">
        <f ca="1">RAND()</f>
        <v>0.76121673567314363</v>
      </c>
      <c r="O2673" s="8">
        <v>45222</v>
      </c>
      <c r="P2673" s="8">
        <v>45223</v>
      </c>
      <c r="Q2673" s="8">
        <v>45225</v>
      </c>
      <c r="R2673" s="8">
        <v>45229</v>
      </c>
      <c r="S2673" s="8">
        <v>45236</v>
      </c>
      <c r="T2673" s="8">
        <v>45816</v>
      </c>
      <c r="U2673" s="8"/>
      <c r="V2673" s="10">
        <f>COUNTA(O2673:U2673)</f>
        <v>6</v>
      </c>
      <c r="W2673" s="11">
        <f>_xlfn.IFNA(INDEX(reading[[#This Row],[Memo 01]:[Memo 07]],MATCH(0,reading[[#This Row],[Memo 01]:[Memo 07]],-1)),"")</f>
        <v>45816</v>
      </c>
      <c r="X2673" s="11">
        <f ca="1">IFERROR(reading[[#This Row],[Previous]]+OFFSET(reading[[#Headers],[Memo 01]],-1,MATCH(0,reading[[#This Row],[Memo 01]:[Memo 07]],-1)-1),"")</f>
        <v>45836</v>
      </c>
      <c r="Y2673" s="10" t="str">
        <f ca="1">IF(reading[[#This Row],[Next]]&lt;&gt;"",IF(reading[[#This Row],[Next]]&gt;TODAY(),"OK",""),"")</f>
        <v>OK</v>
      </c>
      <c r="Z2673" s="13">
        <v>3</v>
      </c>
      <c r="AA2673" s="13">
        <v>3</v>
      </c>
      <c r="AB2673" s="13">
        <v>3</v>
      </c>
      <c r="AC2673" s="13">
        <v>3</v>
      </c>
      <c r="AD2673" s="13">
        <v>3</v>
      </c>
      <c r="AE2673" s="13">
        <v>2</v>
      </c>
      <c r="AF2673" s="13"/>
      <c r="AG2673" s="16">
        <f>IFERROR(SUMIF(reading[[#This Row],[1st]:[7th]],"&gt;0")/COUNTIF(reading[[#This Row],[1st]:[7th]],"&gt;0"),"")</f>
        <v>2.8333333333333335</v>
      </c>
    </row>
    <row r="2674" spans="1:33" hidden="1" x14ac:dyDescent="0.2">
      <c r="A2674" s="4">
        <f>IF(B2674=1,3,IF(D2674=1,2,IF(F2674=1,1,0)))</f>
        <v>0</v>
      </c>
      <c r="B2674" s="4">
        <f>IF(C2674=$L2674,1,IF(C2674="","",0))</f>
        <v>0</v>
      </c>
      <c r="C2674" s="42" t="s">
        <v>9295</v>
      </c>
      <c r="D2674" s="4" t="str">
        <f>IF(E2674=$L2674,1,IF(E2674="","",0))</f>
        <v/>
      </c>
      <c r="E2674" s="18"/>
      <c r="F2674" s="4" t="str">
        <f>IF(G2674=$L2674,1,IF(G2674="","",0))</f>
        <v/>
      </c>
      <c r="G2674" s="14"/>
      <c r="H2674" s="6">
        <v>625</v>
      </c>
      <c r="I2674" s="15" t="s">
        <v>3120</v>
      </c>
      <c r="J2674" s="6" t="s">
        <v>3767</v>
      </c>
      <c r="K2674" s="6"/>
      <c r="L2674" s="6" t="s">
        <v>748</v>
      </c>
      <c r="M2674" s="6" t="s">
        <v>6734</v>
      </c>
      <c r="N2674" s="7">
        <f ca="1">RAND()</f>
        <v>0.47497825882009426</v>
      </c>
      <c r="O2674" s="8">
        <v>45202</v>
      </c>
      <c r="P2674" s="8">
        <v>45203</v>
      </c>
      <c r="Q2674" s="8">
        <v>45205</v>
      </c>
      <c r="R2674" s="8">
        <v>45209</v>
      </c>
      <c r="S2674" s="8">
        <v>45216</v>
      </c>
      <c r="T2674" s="8">
        <v>45228</v>
      </c>
      <c r="U2674" s="8"/>
      <c r="V2674" s="10">
        <f>COUNTA(O2674:U2674)</f>
        <v>6</v>
      </c>
      <c r="W2674" s="11">
        <f>_xlfn.IFNA(INDEX(reading[[#This Row],[Memo 01]:[Memo 07]],MATCH(0,reading[[#This Row],[Memo 01]:[Memo 07]],-1)),"")</f>
        <v>45228</v>
      </c>
      <c r="X2674" s="11">
        <f ca="1">IFERROR(reading[[#This Row],[Previous]]+OFFSET(reading[[#Headers],[Memo 01]],-1,MATCH(0,reading[[#This Row],[Memo 01]:[Memo 07]],-1)-1),"")</f>
        <v>45248</v>
      </c>
      <c r="Y2674" s="10" t="str">
        <f ca="1">IF(reading[[#This Row],[Next]]&lt;&gt;"",IF(reading[[#This Row],[Next]]&gt;TODAY(),"OK",""),"")</f>
        <v/>
      </c>
      <c r="Z2674" s="13">
        <v>3</v>
      </c>
      <c r="AA2674" s="13">
        <v>3</v>
      </c>
      <c r="AB2674" s="13">
        <v>3</v>
      </c>
      <c r="AC2674" s="13">
        <v>3</v>
      </c>
      <c r="AD2674" s="13">
        <v>2</v>
      </c>
      <c r="AE2674" s="13">
        <v>3</v>
      </c>
      <c r="AF2674" s="13"/>
      <c r="AG2674" s="16">
        <f>IFERROR(SUMIF(reading[[#This Row],[1st]:[7th]],"&gt;0")/COUNTIF(reading[[#This Row],[1st]:[7th]],"&gt;0"),"")</f>
        <v>2.8333333333333335</v>
      </c>
    </row>
    <row r="2675" spans="1:33" hidden="1" x14ac:dyDescent="0.2">
      <c r="A2675" s="4">
        <f>IF(B2675=1,3,IF(D2675=1,2,IF(F2675=1,1,0)))</f>
        <v>0</v>
      </c>
      <c r="B2675" s="4" t="str">
        <f>IF(C2675=$L2675,1,IF(C2675="","",0))</f>
        <v/>
      </c>
      <c r="C2675" s="42"/>
      <c r="D2675" s="4" t="str">
        <f>IF(E2675=$L2675,1,IF(E2675="","",0))</f>
        <v/>
      </c>
      <c r="E2675" s="23"/>
      <c r="F2675" s="4" t="str">
        <f>IF(G2675=$L2675,1,IF(G2675="","",0))</f>
        <v/>
      </c>
      <c r="G2675" s="23"/>
      <c r="H2675" s="6">
        <v>2132</v>
      </c>
      <c r="I2675" s="15" t="s">
        <v>3120</v>
      </c>
      <c r="J2675" s="6" t="s">
        <v>5220</v>
      </c>
      <c r="K2675" s="6"/>
      <c r="L2675" s="6" t="s">
        <v>2199</v>
      </c>
      <c r="M2675" s="6" t="s">
        <v>8238</v>
      </c>
      <c r="N2675" s="7">
        <f ca="1">RAND()</f>
        <v>7.9703678021682323E-2</v>
      </c>
      <c r="O2675" s="8">
        <v>45214</v>
      </c>
      <c r="P2675" s="8">
        <v>45215</v>
      </c>
      <c r="Q2675" s="8">
        <v>45217</v>
      </c>
      <c r="R2675" s="8">
        <v>45221</v>
      </c>
      <c r="S2675" s="8">
        <v>45228</v>
      </c>
      <c r="T2675" s="8">
        <v>45816</v>
      </c>
      <c r="U2675" s="8"/>
      <c r="V2675" s="10">
        <f>COUNTA(O2675:U2675)</f>
        <v>6</v>
      </c>
      <c r="W2675" s="11">
        <f>_xlfn.IFNA(INDEX(reading[[#This Row],[Memo 01]:[Memo 07]],MATCH(0,reading[[#This Row],[Memo 01]:[Memo 07]],-1)),"")</f>
        <v>45816</v>
      </c>
      <c r="X2675" s="11">
        <f ca="1">IFERROR(reading[[#This Row],[Previous]]+OFFSET(reading[[#Headers],[Memo 01]],-1,MATCH(0,reading[[#This Row],[Memo 01]:[Memo 07]],-1)-1),"")</f>
        <v>45836</v>
      </c>
      <c r="Y2675" s="10" t="str">
        <f ca="1">IF(reading[[#This Row],[Next]]&lt;&gt;"",IF(reading[[#This Row],[Next]]&gt;TODAY(),"OK",""),"")</f>
        <v>OK</v>
      </c>
      <c r="Z2675" s="13">
        <v>3</v>
      </c>
      <c r="AA2675" s="13">
        <v>3</v>
      </c>
      <c r="AB2675" s="13">
        <v>3</v>
      </c>
      <c r="AC2675" s="13">
        <v>3</v>
      </c>
      <c r="AD2675" s="13">
        <v>3</v>
      </c>
      <c r="AE2675" s="13">
        <v>1</v>
      </c>
      <c r="AF2675" s="13"/>
      <c r="AG2675" s="16">
        <f>IFERROR(SUMIF(reading[[#This Row],[1st]:[7th]],"&gt;0")/COUNTIF(reading[[#This Row],[1st]:[7th]],"&gt;0"),"")</f>
        <v>2.6666666666666665</v>
      </c>
    </row>
    <row r="2676" spans="1:33" x14ac:dyDescent="0.2">
      <c r="A2676" s="4">
        <f>IF(B2676=1,3,IF(D2676=1,2,IF(F2676=1,1,0)))</f>
        <v>0</v>
      </c>
      <c r="B2676" s="4" t="str">
        <f>IF(C2676=$L2676,1,IF(C2676="","",0))</f>
        <v/>
      </c>
      <c r="C2676" s="39"/>
      <c r="D2676" s="4" t="str">
        <f>IF(E2676=$L2676,1,IF(E2676="","",0))</f>
        <v/>
      </c>
      <c r="E2676" s="14"/>
      <c r="F2676" s="4" t="str">
        <f>IF(G2676=$L2676,1,IF(G2676="","",0))</f>
        <v/>
      </c>
      <c r="G2676" s="14"/>
      <c r="H2676" s="6">
        <v>1042</v>
      </c>
      <c r="I2676" s="15" t="s">
        <v>3120</v>
      </c>
      <c r="J2676" s="6" t="s">
        <v>4169</v>
      </c>
      <c r="K2676" s="6"/>
      <c r="L2676" s="6" t="s">
        <v>1151</v>
      </c>
      <c r="M2676" s="6" t="s">
        <v>7150</v>
      </c>
      <c r="N2676" s="7">
        <f ca="1">RAND()</f>
        <v>0.37675931093922377</v>
      </c>
      <c r="O2676" s="8">
        <v>45205</v>
      </c>
      <c r="P2676" s="8">
        <v>45206</v>
      </c>
      <c r="Q2676" s="8">
        <v>45208</v>
      </c>
      <c r="R2676" s="8">
        <v>45212</v>
      </c>
      <c r="S2676" s="8">
        <v>45219</v>
      </c>
      <c r="T2676" s="8">
        <v>45231</v>
      </c>
      <c r="U2676" s="8"/>
      <c r="V2676" s="10">
        <f>COUNTA(O2676:U2676)</f>
        <v>6</v>
      </c>
      <c r="W2676" s="11">
        <f>_xlfn.IFNA(INDEX(reading[[#This Row],[Memo 01]:[Memo 07]],MATCH(0,reading[[#This Row],[Memo 01]:[Memo 07]],-1)),"")</f>
        <v>45231</v>
      </c>
      <c r="X2676" s="11">
        <f ca="1">IFERROR(reading[[#This Row],[Previous]]+OFFSET(reading[[#Headers],[Memo 01]],-1,MATCH(0,reading[[#This Row],[Memo 01]:[Memo 07]],-1)-1),"")</f>
        <v>45251</v>
      </c>
      <c r="Y2676" s="10" t="str">
        <f ca="1">IF(reading[[#This Row],[Next]]&lt;&gt;"",IF(reading[[#This Row],[Next]]&gt;TODAY(),"OK",""),"")</f>
        <v/>
      </c>
      <c r="Z2676" s="13">
        <v>3</v>
      </c>
      <c r="AA2676" s="13">
        <v>3</v>
      </c>
      <c r="AB2676" s="13">
        <v>3</v>
      </c>
      <c r="AC2676" s="13">
        <v>3</v>
      </c>
      <c r="AD2676" s="13">
        <v>3</v>
      </c>
      <c r="AE2676" s="13">
        <v>3</v>
      </c>
      <c r="AF2676" s="13"/>
      <c r="AG2676" s="16">
        <f>IFERROR(SUMIF(reading[[#This Row],[1st]:[7th]],"&gt;0")/COUNTIF(reading[[#This Row],[1st]:[7th]],"&gt;0"),"")</f>
        <v>3</v>
      </c>
    </row>
    <row r="2677" spans="1:33" hidden="1" x14ac:dyDescent="0.2">
      <c r="A2677" s="4">
        <f>IF(B2677=1,3,IF(D2677=1,2,IF(F2677=1,1,0)))</f>
        <v>0</v>
      </c>
      <c r="B2677" s="4">
        <f>IF(C2677=$L2677,1,IF(C2677="","",0))</f>
        <v>0</v>
      </c>
      <c r="C2677" s="42" t="s">
        <v>9200</v>
      </c>
      <c r="D2677" s="4">
        <f>IF(E2677=$L2677,1,IF(E2677="","",0))</f>
        <v>0</v>
      </c>
      <c r="E2677" s="23" t="s">
        <v>9200</v>
      </c>
      <c r="F2677" s="4" t="str">
        <f>IF(G2677=$L2677,1,IF(G2677="","",0))</f>
        <v/>
      </c>
      <c r="G2677" s="14"/>
      <c r="H2677" s="6">
        <v>2672</v>
      </c>
      <c r="I2677" s="15" t="s">
        <v>3120</v>
      </c>
      <c r="J2677" s="6" t="s">
        <v>5724</v>
      </c>
      <c r="K2677" s="15" t="s">
        <v>3139</v>
      </c>
      <c r="L2677" s="6" t="s">
        <v>2711</v>
      </c>
      <c r="M2677" s="6" t="s">
        <v>8777</v>
      </c>
      <c r="N2677" s="7">
        <f ca="1">RAND()</f>
        <v>0.75623367361247684</v>
      </c>
      <c r="O2677" s="8">
        <v>45220</v>
      </c>
      <c r="P2677" s="8">
        <v>45221</v>
      </c>
      <c r="Q2677" s="8">
        <v>45223</v>
      </c>
      <c r="R2677" s="8">
        <v>45227</v>
      </c>
      <c r="S2677" s="8">
        <v>45234</v>
      </c>
      <c r="T2677" s="8"/>
      <c r="U2677" s="8"/>
      <c r="V2677" s="10">
        <f>COUNTA(O2677:U2677)</f>
        <v>5</v>
      </c>
      <c r="W2677" s="11">
        <f>_xlfn.IFNA(INDEX(reading[[#This Row],[Memo 01]:[Memo 07]],MATCH(0,reading[[#This Row],[Memo 01]:[Memo 07]],-1)),"")</f>
        <v>45234</v>
      </c>
      <c r="X2677" s="11">
        <f ca="1">IFERROR(reading[[#This Row],[Previous]]+OFFSET(reading[[#Headers],[Memo 01]],-1,MATCH(0,reading[[#This Row],[Memo 01]:[Memo 07]],-1)-1),"")</f>
        <v>45246</v>
      </c>
      <c r="Y2677" s="10" t="str">
        <f ca="1">IF(reading[[#This Row],[Next]]&lt;&gt;"",IF(reading[[#This Row],[Next]]&gt;TODAY(),"OK",""),"")</f>
        <v/>
      </c>
      <c r="Z2677" s="13">
        <v>3</v>
      </c>
      <c r="AA2677" s="13">
        <v>3</v>
      </c>
      <c r="AB2677" s="13">
        <v>3</v>
      </c>
      <c r="AC2677" s="13">
        <v>3</v>
      </c>
      <c r="AD2677" s="13">
        <v>3</v>
      </c>
      <c r="AE2677" s="13"/>
      <c r="AF2677" s="13"/>
      <c r="AG2677" s="16">
        <f>IFERROR(SUMIF(reading[[#This Row],[1st]:[7th]],"&gt;0")/COUNTIF(reading[[#This Row],[1st]:[7th]],"&gt;0"),"")</f>
        <v>3</v>
      </c>
    </row>
    <row r="2678" spans="1:33" x14ac:dyDescent="0.2">
      <c r="A2678" s="4">
        <f>IF(B2678=1,3,IF(D2678=1,2,IF(F2678=1,1,0)))</f>
        <v>0</v>
      </c>
      <c r="B2678" s="4" t="str">
        <f>IF(C2678=$L2678,1,IF(C2678="","",0))</f>
        <v/>
      </c>
      <c r="C2678" s="42"/>
      <c r="D2678" s="4" t="str">
        <f>IF(E2678=$L2678,1,IF(E2678="","",0))</f>
        <v/>
      </c>
      <c r="E2678" s="18"/>
      <c r="F2678" s="4" t="str">
        <f>IF(G2678=$L2678,1,IF(G2678="","",0))</f>
        <v/>
      </c>
      <c r="G2678" s="14"/>
      <c r="H2678" s="6">
        <v>3070</v>
      </c>
      <c r="I2678" s="15" t="s">
        <v>3120</v>
      </c>
      <c r="J2678" s="6" t="s">
        <v>6091</v>
      </c>
      <c r="K2678" s="6"/>
      <c r="L2678" s="6" t="s">
        <v>3095</v>
      </c>
      <c r="M2678" s="6" t="s">
        <v>9173</v>
      </c>
      <c r="N2678" s="7">
        <f ca="1">RAND()</f>
        <v>0.90794570990228085</v>
      </c>
      <c r="O2678" s="8">
        <v>45224</v>
      </c>
      <c r="P2678" s="8">
        <v>45225</v>
      </c>
      <c r="Q2678" s="8">
        <v>45227</v>
      </c>
      <c r="R2678" s="8">
        <v>45231</v>
      </c>
      <c r="S2678" s="8">
        <v>45252</v>
      </c>
      <c r="T2678" s="8">
        <v>45801</v>
      </c>
      <c r="U2678" s="8"/>
      <c r="V2678" s="10">
        <f>COUNTA(O2678:U2678)</f>
        <v>6</v>
      </c>
      <c r="W2678" s="11">
        <f>_xlfn.IFNA(INDEX(reading[[#This Row],[Memo 01]:[Memo 07]],MATCH(0,reading[[#This Row],[Memo 01]:[Memo 07]],-1)),"")</f>
        <v>45801</v>
      </c>
      <c r="X2678" s="11">
        <f ca="1">IFERROR(reading[[#This Row],[Previous]]+OFFSET(reading[[#Headers],[Memo 01]],-1,MATCH(0,reading[[#This Row],[Memo 01]:[Memo 07]],-1)-1),"")</f>
        <v>45821</v>
      </c>
      <c r="Y2678" s="10" t="str">
        <f ca="1">IF(reading[[#This Row],[Next]]&lt;&gt;"",IF(reading[[#This Row],[Next]]&gt;TODAY(),"OK",""),"")</f>
        <v/>
      </c>
      <c r="Z2678" s="13">
        <v>3</v>
      </c>
      <c r="AA2678" s="13">
        <v>3</v>
      </c>
      <c r="AB2678" s="13">
        <v>2</v>
      </c>
      <c r="AC2678" s="13">
        <v>3</v>
      </c>
      <c r="AD2678" s="13">
        <v>2</v>
      </c>
      <c r="AE2678" s="13">
        <v>3</v>
      </c>
      <c r="AF2678" s="13"/>
      <c r="AG2678" s="16">
        <f>IFERROR(SUMIF(reading[[#This Row],[1st]:[7th]],"&gt;0")/COUNTIF(reading[[#This Row],[1st]:[7th]],"&gt;0"),"")</f>
        <v>2.6666666666666665</v>
      </c>
    </row>
    <row r="2679" spans="1:33" hidden="1" x14ac:dyDescent="0.2">
      <c r="A2679" s="4">
        <f>IF(B2679=1,3,IF(D2679=1,2,IF(F2679=1,1,0)))</f>
        <v>0</v>
      </c>
      <c r="B2679" s="4" t="str">
        <f>IF(C2679=$L2679,1,IF(C2679="","",0))</f>
        <v/>
      </c>
      <c r="C2679" s="42"/>
      <c r="D2679" s="4" t="str">
        <f>IF(E2679=$L2679,1,IF(E2679="","",0))</f>
        <v/>
      </c>
      <c r="E2679" s="43"/>
      <c r="F2679" s="4" t="str">
        <f>IF(G2679=$L2679,1,IF(G2679="","",0))</f>
        <v/>
      </c>
      <c r="G2679" s="23"/>
      <c r="H2679" s="6">
        <v>1268</v>
      </c>
      <c r="I2679" s="15" t="s">
        <v>3120</v>
      </c>
      <c r="J2679" s="6" t="s">
        <v>4385</v>
      </c>
      <c r="K2679" s="6"/>
      <c r="L2679" s="6" t="s">
        <v>1366</v>
      </c>
      <c r="M2679" s="6" t="s">
        <v>7375</v>
      </c>
      <c r="N2679" s="7">
        <f ca="1">RAND()</f>
        <v>0.4273562832439306</v>
      </c>
      <c r="O2679" s="8">
        <v>45207</v>
      </c>
      <c r="P2679" s="8">
        <v>45208</v>
      </c>
      <c r="Q2679" s="8">
        <v>45210</v>
      </c>
      <c r="R2679" s="8">
        <v>45214</v>
      </c>
      <c r="S2679" s="8">
        <v>45221</v>
      </c>
      <c r="T2679" s="8">
        <v>45233</v>
      </c>
      <c r="U2679" s="8">
        <v>45816</v>
      </c>
      <c r="V2679" s="10">
        <f>COUNTA(O2679:U2679)</f>
        <v>7</v>
      </c>
      <c r="W2679" s="11">
        <f>_xlfn.IFNA(INDEX(reading[[#This Row],[Memo 01]:[Memo 07]],MATCH(0,reading[[#This Row],[Memo 01]:[Memo 07]],-1)),"")</f>
        <v>45816</v>
      </c>
      <c r="X2679" s="11">
        <f ca="1">IFERROR(reading[[#This Row],[Previous]]+OFFSET(reading[[#Headers],[Memo 01]],-1,MATCH(0,reading[[#This Row],[Memo 01]:[Memo 07]],-1)-1),"")</f>
        <v>55816</v>
      </c>
      <c r="Y2679" s="10" t="str">
        <f ca="1">IF(reading[[#This Row],[Next]]&lt;&gt;"",IF(reading[[#This Row],[Next]]&gt;TODAY(),"OK",""),"")</f>
        <v>OK</v>
      </c>
      <c r="Z2679" s="13">
        <v>3</v>
      </c>
      <c r="AA2679" s="13">
        <v>3</v>
      </c>
      <c r="AB2679" s="13">
        <v>3</v>
      </c>
      <c r="AC2679" s="13">
        <v>3</v>
      </c>
      <c r="AD2679" s="13">
        <v>2</v>
      </c>
      <c r="AE2679" s="13">
        <v>3</v>
      </c>
      <c r="AF2679" s="13">
        <v>1</v>
      </c>
      <c r="AG2679" s="16">
        <f>IFERROR(SUMIF(reading[[#This Row],[1st]:[7th]],"&gt;0")/COUNTIF(reading[[#This Row],[1st]:[7th]],"&gt;0"),"")</f>
        <v>2.5714285714285716</v>
      </c>
    </row>
    <row r="2680" spans="1:33" hidden="1" x14ac:dyDescent="0.2">
      <c r="A2680" s="4">
        <f>IF(B2680=1,3,IF(D2680=1,2,IF(F2680=1,1,0)))</f>
        <v>3</v>
      </c>
      <c r="B2680" s="4">
        <f>IF(C2680=$L2680,1,IF(C2680="","",0))</f>
        <v>1</v>
      </c>
      <c r="C2680" s="36" t="s">
        <v>2723</v>
      </c>
      <c r="D2680" s="4" t="str">
        <f>IF(E2680=$L2680,1,IF(E2680="","",0))</f>
        <v/>
      </c>
      <c r="E2680" s="14"/>
      <c r="F2680" s="4" t="str">
        <f>IF(G2680=$L2680,1,IF(G2680="","",0))</f>
        <v/>
      </c>
      <c r="G2680" s="14"/>
      <c r="H2680" s="6">
        <v>2684</v>
      </c>
      <c r="I2680" s="15" t="s">
        <v>3120</v>
      </c>
      <c r="J2680" s="6" t="s">
        <v>5735</v>
      </c>
      <c r="K2680" s="6"/>
      <c r="L2680" s="6" t="s">
        <v>2723</v>
      </c>
      <c r="M2680" s="6" t="s">
        <v>8789</v>
      </c>
      <c r="N2680" s="7">
        <f ca="1">RAND()</f>
        <v>6.9261143424183214E-2</v>
      </c>
      <c r="O2680" s="8">
        <v>45220</v>
      </c>
      <c r="P2680" s="8">
        <v>45220</v>
      </c>
      <c r="Q2680" s="8">
        <v>45220</v>
      </c>
      <c r="R2680" s="8">
        <v>45220</v>
      </c>
      <c r="S2680" s="8">
        <v>45220</v>
      </c>
      <c r="T2680" s="8">
        <v>45220</v>
      </c>
      <c r="U2680" s="8">
        <v>45220</v>
      </c>
      <c r="V2680" s="10">
        <f>COUNTA(O2680:U2680)</f>
        <v>7</v>
      </c>
      <c r="W2680" s="11">
        <f>_xlfn.IFNA(INDEX(reading[[#This Row],[Memo 01]:[Memo 07]],MATCH(0,reading[[#This Row],[Memo 01]:[Memo 07]],-1)),"")</f>
        <v>45220</v>
      </c>
      <c r="X2680" s="11">
        <f ca="1">IFERROR(reading[[#This Row],[Previous]]+OFFSET(reading[[#Headers],[Memo 01]],-1,MATCH(0,reading[[#This Row],[Memo 01]:[Memo 07]],-1)-1),"")</f>
        <v>55220</v>
      </c>
      <c r="Y2680" s="10" t="str">
        <f ca="1">IF(reading[[#This Row],[Next]]&lt;&gt;"",IF(reading[[#This Row],[Next]]&gt;TODAY(),"OK",""),"")</f>
        <v>OK</v>
      </c>
      <c r="Z2680" s="13">
        <v>3</v>
      </c>
      <c r="AA2680" s="13"/>
      <c r="AB2680" s="13"/>
      <c r="AC2680" s="13"/>
      <c r="AD2680" s="13"/>
      <c r="AE2680" s="13"/>
      <c r="AF2680" s="13"/>
      <c r="AG2680" s="16">
        <f>IFERROR(SUMIF(reading[[#This Row],[1st]:[7th]],"&gt;0")/COUNTIF(reading[[#This Row],[1st]:[7th]],"&gt;0"),"")</f>
        <v>3</v>
      </c>
    </row>
    <row r="2681" spans="1:33" hidden="1" x14ac:dyDescent="0.2">
      <c r="A2681" s="4">
        <f>IF(B2681=1,3,IF(D2681=1,2,IF(F2681=1,1,0)))</f>
        <v>3</v>
      </c>
      <c r="B2681" s="4">
        <f>IF(C2681=$L2681,1,IF(C2681="","",0))</f>
        <v>1</v>
      </c>
      <c r="C2681" s="36" t="s">
        <v>2724</v>
      </c>
      <c r="D2681" s="4" t="str">
        <f>IF(E2681=$L2681,1,IF(E2681="","",0))</f>
        <v/>
      </c>
      <c r="E2681" s="14"/>
      <c r="F2681" s="4" t="str">
        <f>IF(G2681=$L2681,1,IF(G2681="","",0))</f>
        <v/>
      </c>
      <c r="G2681" s="14"/>
      <c r="H2681" s="6">
        <v>2685</v>
      </c>
      <c r="I2681" s="15" t="s">
        <v>3120</v>
      </c>
      <c r="J2681" s="6" t="s">
        <v>5736</v>
      </c>
      <c r="K2681" s="6"/>
      <c r="L2681" s="6" t="s">
        <v>2724</v>
      </c>
      <c r="M2681" s="6" t="s">
        <v>8790</v>
      </c>
      <c r="N2681" s="7">
        <f ca="1">RAND()</f>
        <v>0.95604410386270677</v>
      </c>
      <c r="O2681" s="8">
        <v>45220</v>
      </c>
      <c r="P2681" s="8">
        <v>45221</v>
      </c>
      <c r="Q2681" s="8">
        <v>45221</v>
      </c>
      <c r="R2681" s="8">
        <v>45221</v>
      </c>
      <c r="S2681" s="8">
        <v>45221</v>
      </c>
      <c r="T2681" s="8">
        <v>45221</v>
      </c>
      <c r="U2681" s="8">
        <v>45221</v>
      </c>
      <c r="V2681" s="10">
        <f>COUNTA(O2681:U2681)</f>
        <v>7</v>
      </c>
      <c r="W2681" s="11">
        <f>_xlfn.IFNA(INDEX(reading[[#This Row],[Memo 01]:[Memo 07]],MATCH(0,reading[[#This Row],[Memo 01]:[Memo 07]],-1)),"")</f>
        <v>45221</v>
      </c>
      <c r="X2681" s="11">
        <f ca="1">IFERROR(reading[[#This Row],[Previous]]+OFFSET(reading[[#Headers],[Memo 01]],-1,MATCH(0,reading[[#This Row],[Memo 01]:[Memo 07]],-1)-1),"")</f>
        <v>55221</v>
      </c>
      <c r="Y2681" s="10" t="str">
        <f ca="1">IF(reading[[#This Row],[Next]]&lt;&gt;"",IF(reading[[#This Row],[Next]]&gt;TODAY(),"OK",""),"")</f>
        <v>OK</v>
      </c>
      <c r="Z2681" s="13">
        <v>3</v>
      </c>
      <c r="AA2681" s="13">
        <v>3</v>
      </c>
      <c r="AB2681" s="13"/>
      <c r="AC2681" s="13"/>
      <c r="AD2681" s="13"/>
      <c r="AE2681" s="13"/>
      <c r="AF2681" s="13"/>
      <c r="AG2681" s="16">
        <f>IFERROR(SUMIF(reading[[#This Row],[1st]:[7th]],"&gt;0")/COUNTIF(reading[[#This Row],[1st]:[7th]],"&gt;0"),"")</f>
        <v>3</v>
      </c>
    </row>
    <row r="2682" spans="1:33" hidden="1" x14ac:dyDescent="0.2">
      <c r="A2682" s="4">
        <f>IF(B2682=1,3,IF(D2682=1,2,IF(F2682=1,1,0)))</f>
        <v>0</v>
      </c>
      <c r="B2682" s="4">
        <f>IF(C2682=$L2682,1,IF(C2682="","",0))</f>
        <v>0</v>
      </c>
      <c r="C2682" s="42" t="s">
        <v>9200</v>
      </c>
      <c r="D2682" s="4" t="str">
        <f>IF(E2682=$L2682,1,IF(E2682="","",0))</f>
        <v/>
      </c>
      <c r="E2682" s="14"/>
      <c r="F2682" s="4" t="str">
        <f>IF(G2682=$L2682,1,IF(G2682="","",0))</f>
        <v/>
      </c>
      <c r="G2682" s="14"/>
      <c r="H2682" s="6">
        <v>2102</v>
      </c>
      <c r="I2682" s="15" t="s">
        <v>3120</v>
      </c>
      <c r="J2682" s="6" t="s">
        <v>5191</v>
      </c>
      <c r="K2682" s="6"/>
      <c r="L2682" s="6" t="s">
        <v>2171</v>
      </c>
      <c r="M2682" s="6" t="s">
        <v>8208</v>
      </c>
      <c r="N2682" s="7">
        <f ca="1">RAND()</f>
        <v>0.96270439190700996</v>
      </c>
      <c r="O2682" s="8">
        <v>45214</v>
      </c>
      <c r="P2682" s="8">
        <v>45215</v>
      </c>
      <c r="Q2682" s="8">
        <v>45217</v>
      </c>
      <c r="R2682" s="8">
        <v>45221</v>
      </c>
      <c r="S2682" s="8">
        <v>45228</v>
      </c>
      <c r="T2682" s="8"/>
      <c r="U2682" s="8"/>
      <c r="V2682" s="10">
        <f>COUNTA(O2682:U2682)</f>
        <v>5</v>
      </c>
      <c r="W2682" s="11">
        <f>_xlfn.IFNA(INDEX(reading[[#This Row],[Memo 01]:[Memo 07]],MATCH(0,reading[[#This Row],[Memo 01]:[Memo 07]],-1)),"")</f>
        <v>45228</v>
      </c>
      <c r="X2682" s="11">
        <f ca="1">IFERROR(reading[[#This Row],[Previous]]+OFFSET(reading[[#Headers],[Memo 01]],-1,MATCH(0,reading[[#This Row],[Memo 01]:[Memo 07]],-1)-1),"")</f>
        <v>45240</v>
      </c>
      <c r="Y2682" s="10" t="str">
        <f ca="1">IF(reading[[#This Row],[Next]]&lt;&gt;"",IF(reading[[#This Row],[Next]]&gt;TODAY(),"OK",""),"")</f>
        <v/>
      </c>
      <c r="Z2682" s="13">
        <v>3</v>
      </c>
      <c r="AA2682" s="13">
        <v>3</v>
      </c>
      <c r="AB2682" s="13">
        <v>3</v>
      </c>
      <c r="AC2682" s="13">
        <v>3</v>
      </c>
      <c r="AD2682" s="13">
        <v>3</v>
      </c>
      <c r="AE2682" s="13"/>
      <c r="AF2682" s="13"/>
      <c r="AG2682" s="16">
        <f>IFERROR(SUMIF(reading[[#This Row],[1st]:[7th]],"&gt;0")/COUNTIF(reading[[#This Row],[1st]:[7th]],"&gt;0"),"")</f>
        <v>3</v>
      </c>
    </row>
    <row r="2683" spans="1:33" hidden="1" x14ac:dyDescent="0.2">
      <c r="A2683" s="4">
        <f>IF(B2683=1,3,IF(D2683=1,2,IF(F2683=1,1,0)))</f>
        <v>0</v>
      </c>
      <c r="B2683" s="4" t="str">
        <f>IF(C2683=$L2683,1,IF(C2683="","",0))</f>
        <v/>
      </c>
      <c r="C2683" s="42"/>
      <c r="D2683" s="4" t="str">
        <f>IF(E2683=$L2683,1,IF(E2683="","",0))</f>
        <v/>
      </c>
      <c r="E2683" s="23"/>
      <c r="F2683" s="4" t="str">
        <f>IF(G2683=$L2683,1,IF(G2683="","",0))</f>
        <v/>
      </c>
      <c r="G2683" s="14"/>
      <c r="H2683" s="6">
        <v>2867</v>
      </c>
      <c r="I2683" s="15" t="s">
        <v>3120</v>
      </c>
      <c r="J2683" s="6" t="s">
        <v>5905</v>
      </c>
      <c r="K2683" s="6"/>
      <c r="L2683" s="6" t="s">
        <v>2898</v>
      </c>
      <c r="M2683" s="6" t="s">
        <v>8971</v>
      </c>
      <c r="N2683" s="7">
        <f ca="1">RAND()</f>
        <v>0.19430425892916769</v>
      </c>
      <c r="O2683" s="8">
        <v>45223</v>
      </c>
      <c r="P2683" s="8">
        <v>45224</v>
      </c>
      <c r="Q2683" s="8">
        <v>45226</v>
      </c>
      <c r="R2683" s="8">
        <v>45230</v>
      </c>
      <c r="S2683" s="8">
        <v>45237</v>
      </c>
      <c r="T2683" s="8">
        <v>45816</v>
      </c>
      <c r="U2683" s="8"/>
      <c r="V2683" s="10">
        <f>COUNTA(O2683:U2683)</f>
        <v>6</v>
      </c>
      <c r="W2683" s="11">
        <f>_xlfn.IFNA(INDEX(reading[[#This Row],[Memo 01]:[Memo 07]],MATCH(0,reading[[#This Row],[Memo 01]:[Memo 07]],-1)),"")</f>
        <v>45816</v>
      </c>
      <c r="X2683" s="11">
        <f ca="1">IFERROR(reading[[#This Row],[Previous]]+OFFSET(reading[[#Headers],[Memo 01]],-1,MATCH(0,reading[[#This Row],[Memo 01]:[Memo 07]],-1)-1),"")</f>
        <v>45836</v>
      </c>
      <c r="Y2683" s="10" t="str">
        <f ca="1">IF(reading[[#This Row],[Next]]&lt;&gt;"",IF(reading[[#This Row],[Next]]&gt;TODAY(),"OK",""),"")</f>
        <v>OK</v>
      </c>
      <c r="Z2683" s="13">
        <v>3</v>
      </c>
      <c r="AA2683" s="13">
        <v>3</v>
      </c>
      <c r="AB2683" s="13">
        <v>3</v>
      </c>
      <c r="AC2683" s="13">
        <v>3</v>
      </c>
      <c r="AD2683" s="13">
        <v>3</v>
      </c>
      <c r="AE2683" s="13">
        <v>2</v>
      </c>
      <c r="AF2683" s="13"/>
      <c r="AG2683" s="16">
        <f>IFERROR(SUMIF(reading[[#This Row],[1st]:[7th]],"&gt;0")/COUNTIF(reading[[#This Row],[1st]:[7th]],"&gt;0"),"")</f>
        <v>2.8333333333333335</v>
      </c>
    </row>
    <row r="2684" spans="1:33" x14ac:dyDescent="0.2">
      <c r="A2684" s="4">
        <f>IF(B2684=1,3,IF(D2684=1,2,IF(F2684=1,1,0)))</f>
        <v>0</v>
      </c>
      <c r="B2684" s="4" t="str">
        <f>IF(C2684=$L2684,1,IF(C2684="","",0))</f>
        <v/>
      </c>
      <c r="C2684" s="36"/>
      <c r="D2684" s="4" t="str">
        <f>IF(E2684=$L2684,1,IF(E2684="","",0))</f>
        <v/>
      </c>
      <c r="E2684" s="18"/>
      <c r="F2684" s="4" t="str">
        <f>IF(G2684=$L2684,1,IF(G2684="","",0))</f>
        <v/>
      </c>
      <c r="G2684" s="14"/>
      <c r="H2684" s="6">
        <v>2034</v>
      </c>
      <c r="I2684" s="15" t="s">
        <v>3120</v>
      </c>
      <c r="J2684" s="6" t="s">
        <v>5130</v>
      </c>
      <c r="K2684" s="6"/>
      <c r="L2684" s="6" t="s">
        <v>2109</v>
      </c>
      <c r="M2684" s="6" t="s">
        <v>8140</v>
      </c>
      <c r="N2684" s="7">
        <f ca="1">RAND()</f>
        <v>0.17204215056491257</v>
      </c>
      <c r="O2684" s="8">
        <v>45213</v>
      </c>
      <c r="P2684" s="8">
        <v>45214</v>
      </c>
      <c r="Q2684" s="8">
        <v>45216</v>
      </c>
      <c r="R2684" s="8">
        <v>45220</v>
      </c>
      <c r="S2684" s="8">
        <v>45227</v>
      </c>
      <c r="T2684" s="8"/>
      <c r="U2684" s="8"/>
      <c r="V2684" s="10">
        <f>COUNTA(O2684:U2684)</f>
        <v>5</v>
      </c>
      <c r="W2684" s="11">
        <f>_xlfn.IFNA(INDEX(reading[[#This Row],[Memo 01]:[Memo 07]],MATCH(0,reading[[#This Row],[Memo 01]:[Memo 07]],-1)),"")</f>
        <v>45227</v>
      </c>
      <c r="X2684" s="11">
        <f ca="1">IFERROR(reading[[#This Row],[Previous]]+OFFSET(reading[[#Headers],[Memo 01]],-1,MATCH(0,reading[[#This Row],[Memo 01]:[Memo 07]],-1)-1),"")</f>
        <v>45239</v>
      </c>
      <c r="Y2684" s="10" t="str">
        <f ca="1">IF(reading[[#This Row],[Next]]&lt;&gt;"",IF(reading[[#This Row],[Next]]&gt;TODAY(),"OK",""),"")</f>
        <v/>
      </c>
      <c r="Z2684" s="13">
        <v>3</v>
      </c>
      <c r="AA2684" s="13">
        <v>3</v>
      </c>
      <c r="AB2684" s="13">
        <v>2</v>
      </c>
      <c r="AC2684" s="13">
        <v>3</v>
      </c>
      <c r="AD2684" s="13">
        <v>3</v>
      </c>
      <c r="AE2684" s="13"/>
      <c r="AF2684" s="13"/>
      <c r="AG2684" s="16">
        <f>IFERROR(SUMIF(reading[[#This Row],[1st]:[7th]],"&gt;0")/COUNTIF(reading[[#This Row],[1st]:[7th]],"&gt;0"),"")</f>
        <v>2.8</v>
      </c>
    </row>
    <row r="2685" spans="1:33" x14ac:dyDescent="0.2">
      <c r="A2685" s="4">
        <f>IF(B2685=1,3,IF(D2685=1,2,IF(F2685=1,1,0)))</f>
        <v>0</v>
      </c>
      <c r="B2685" s="4" t="str">
        <f>IF(C2685=$L2685,1,IF(C2685="","",0))</f>
        <v/>
      </c>
      <c r="C2685" s="39"/>
      <c r="D2685" s="4" t="str">
        <f>IF(E2685=$L2685,1,IF(E2685="","",0))</f>
        <v/>
      </c>
      <c r="E2685" s="14"/>
      <c r="F2685" s="4" t="str">
        <f>IF(G2685=$L2685,1,IF(G2685="","",0))</f>
        <v/>
      </c>
      <c r="G2685" s="14"/>
      <c r="H2685" s="6">
        <v>2515</v>
      </c>
      <c r="I2685" s="15" t="s">
        <v>3120</v>
      </c>
      <c r="J2685" s="6" t="s">
        <v>5579</v>
      </c>
      <c r="K2685" s="6"/>
      <c r="L2685" s="6" t="s">
        <v>2561</v>
      </c>
      <c r="M2685" s="6" t="s">
        <v>8620</v>
      </c>
      <c r="N2685" s="7">
        <f ca="1">RAND()</f>
        <v>8.1089812719112087E-2</v>
      </c>
      <c r="O2685" s="8">
        <v>45219</v>
      </c>
      <c r="P2685" s="8">
        <v>45220</v>
      </c>
      <c r="Q2685" s="8">
        <v>45222</v>
      </c>
      <c r="R2685" s="8">
        <v>45226</v>
      </c>
      <c r="S2685" s="8">
        <v>45233</v>
      </c>
      <c r="T2685" s="8"/>
      <c r="U2685" s="8"/>
      <c r="V2685" s="10">
        <f>COUNTA(O2685:U2685)</f>
        <v>5</v>
      </c>
      <c r="W2685" s="11">
        <f>_xlfn.IFNA(INDEX(reading[[#This Row],[Memo 01]:[Memo 07]],MATCH(0,reading[[#This Row],[Memo 01]:[Memo 07]],-1)),"")</f>
        <v>45233</v>
      </c>
      <c r="X2685" s="11">
        <f ca="1">IFERROR(reading[[#This Row],[Previous]]+OFFSET(reading[[#Headers],[Memo 01]],-1,MATCH(0,reading[[#This Row],[Memo 01]:[Memo 07]],-1)-1),"")</f>
        <v>45245</v>
      </c>
      <c r="Y2685" s="10" t="str">
        <f ca="1">IF(reading[[#This Row],[Next]]&lt;&gt;"",IF(reading[[#This Row],[Next]]&gt;TODAY(),"OK",""),"")</f>
        <v/>
      </c>
      <c r="Z2685" s="13">
        <v>3</v>
      </c>
      <c r="AA2685" s="13">
        <v>3</v>
      </c>
      <c r="AB2685" s="13">
        <v>3</v>
      </c>
      <c r="AC2685" s="13">
        <v>3</v>
      </c>
      <c r="AD2685" s="13">
        <v>3</v>
      </c>
      <c r="AE2685" s="13"/>
      <c r="AF2685" s="13"/>
      <c r="AG2685" s="16">
        <f>IFERROR(SUMIF(reading[[#This Row],[1st]:[7th]],"&gt;0")/COUNTIF(reading[[#This Row],[1st]:[7th]],"&gt;0"),"")</f>
        <v>3</v>
      </c>
    </row>
    <row r="2686" spans="1:33" x14ac:dyDescent="0.2">
      <c r="A2686" s="4">
        <f>IF(B2686=1,3,IF(D2686=1,2,IF(F2686=1,1,0)))</f>
        <v>0</v>
      </c>
      <c r="B2686" s="4" t="str">
        <f>IF(C2686=$L2686,1,IF(C2686="","",0))</f>
        <v/>
      </c>
      <c r="C2686" s="42"/>
      <c r="D2686" s="4" t="str">
        <f>IF(E2686=$L2686,1,IF(E2686="","",0))</f>
        <v/>
      </c>
      <c r="E2686" s="14"/>
      <c r="F2686" s="4" t="str">
        <f>IF(G2686=$L2686,1,IF(G2686="","",0))</f>
        <v/>
      </c>
      <c r="G2686" s="14"/>
      <c r="H2686" s="6">
        <v>2935</v>
      </c>
      <c r="I2686" s="15" t="s">
        <v>3120</v>
      </c>
      <c r="J2686" s="6" t="s">
        <v>5970</v>
      </c>
      <c r="K2686" s="15" t="s">
        <v>3138</v>
      </c>
      <c r="L2686" s="6" t="s">
        <v>2965</v>
      </c>
      <c r="M2686" s="6" t="s">
        <v>9039</v>
      </c>
      <c r="N2686" s="7">
        <f ca="1">RAND()</f>
        <v>0.79272776997471717</v>
      </c>
      <c r="O2686" s="8">
        <v>45223</v>
      </c>
      <c r="P2686" s="8">
        <v>45224</v>
      </c>
      <c r="Q2686" s="8">
        <v>45226</v>
      </c>
      <c r="R2686" s="8">
        <v>45230</v>
      </c>
      <c r="S2686" s="8">
        <v>45237</v>
      </c>
      <c r="T2686" s="8">
        <v>45783</v>
      </c>
      <c r="U2686" s="8"/>
      <c r="V2686" s="10">
        <f>COUNTA(O2686:U2686)</f>
        <v>6</v>
      </c>
      <c r="W2686" s="11">
        <f>_xlfn.IFNA(INDEX(reading[[#This Row],[Memo 01]:[Memo 07]],MATCH(0,reading[[#This Row],[Memo 01]:[Memo 07]],-1)),"")</f>
        <v>45783</v>
      </c>
      <c r="X2686" s="11">
        <f ca="1">IFERROR(reading[[#This Row],[Previous]]+OFFSET(reading[[#Headers],[Memo 01]],-1,MATCH(0,reading[[#This Row],[Memo 01]:[Memo 07]],-1)-1),"")</f>
        <v>45803</v>
      </c>
      <c r="Y2686" s="10" t="str">
        <f ca="1">IF(reading[[#This Row],[Next]]&lt;&gt;"",IF(reading[[#This Row],[Next]]&gt;TODAY(),"OK",""),"")</f>
        <v/>
      </c>
      <c r="Z2686" s="13">
        <v>3</v>
      </c>
      <c r="AA2686" s="13">
        <v>3</v>
      </c>
      <c r="AB2686" s="13">
        <v>3</v>
      </c>
      <c r="AC2686" s="13">
        <v>3</v>
      </c>
      <c r="AD2686" s="13">
        <v>3</v>
      </c>
      <c r="AE2686" s="13">
        <v>3</v>
      </c>
      <c r="AF2686" s="13"/>
      <c r="AG2686" s="16">
        <f>IFERROR(SUMIF(reading[[#This Row],[1st]:[7th]],"&gt;0")/COUNTIF(reading[[#This Row],[1st]:[7th]],"&gt;0"),"")</f>
        <v>3</v>
      </c>
    </row>
    <row r="2687" spans="1:33" x14ac:dyDescent="0.2">
      <c r="A2687" s="4">
        <f>IF(B2687=1,3,IF(D2687=1,2,IF(F2687=1,1,0)))</f>
        <v>0</v>
      </c>
      <c r="B2687" s="4" t="str">
        <f>IF(C2687=$L2687,1,IF(C2687="","",0))</f>
        <v/>
      </c>
      <c r="C2687" s="39"/>
      <c r="D2687" s="4" t="str">
        <f>IF(E2687=$L2687,1,IF(E2687="","",0))</f>
        <v/>
      </c>
      <c r="E2687" s="14"/>
      <c r="F2687" s="4" t="str">
        <f>IF(G2687=$L2687,1,IF(G2687="","",0))</f>
        <v/>
      </c>
      <c r="G2687" s="14"/>
      <c r="H2687" s="6">
        <v>1551</v>
      </c>
      <c r="I2687" s="15" t="s">
        <v>3120</v>
      </c>
      <c r="J2687" s="6" t="s">
        <v>4664</v>
      </c>
      <c r="K2687" s="6"/>
      <c r="L2687" s="6" t="s">
        <v>1636</v>
      </c>
      <c r="M2687" s="6" t="s">
        <v>7658</v>
      </c>
      <c r="N2687" s="7">
        <f ca="1">RAND()</f>
        <v>0.4075248087123915</v>
      </c>
      <c r="O2687" s="8">
        <v>45209</v>
      </c>
      <c r="P2687" s="8">
        <v>45210</v>
      </c>
      <c r="Q2687" s="8">
        <v>45213</v>
      </c>
      <c r="R2687" s="8">
        <v>45217</v>
      </c>
      <c r="S2687" s="8">
        <v>45224</v>
      </c>
      <c r="T2687" s="8">
        <v>45236</v>
      </c>
      <c r="U2687" s="8"/>
      <c r="V2687" s="10">
        <f>COUNTA(O2687:U2687)</f>
        <v>6</v>
      </c>
      <c r="W2687" s="11">
        <f>_xlfn.IFNA(INDEX(reading[[#This Row],[Memo 01]:[Memo 07]],MATCH(0,reading[[#This Row],[Memo 01]:[Memo 07]],-1)),"")</f>
        <v>45236</v>
      </c>
      <c r="X2687" s="11">
        <f ca="1">IFERROR(reading[[#This Row],[Previous]]+OFFSET(reading[[#Headers],[Memo 01]],-1,MATCH(0,reading[[#This Row],[Memo 01]:[Memo 07]],-1)-1),"")</f>
        <v>45256</v>
      </c>
      <c r="Y2687" s="10" t="str">
        <f ca="1">IF(reading[[#This Row],[Next]]&lt;&gt;"",IF(reading[[#This Row],[Next]]&gt;TODAY(),"OK",""),"")</f>
        <v/>
      </c>
      <c r="Z2687" s="13">
        <v>3</v>
      </c>
      <c r="AA2687" s="13">
        <v>3</v>
      </c>
      <c r="AB2687" s="13">
        <v>2</v>
      </c>
      <c r="AC2687" s="13">
        <v>3</v>
      </c>
      <c r="AD2687" s="13">
        <v>3</v>
      </c>
      <c r="AE2687" s="13">
        <v>3</v>
      </c>
      <c r="AF2687" s="13"/>
      <c r="AG2687" s="16">
        <f>IFERROR(SUMIF(reading[[#This Row],[1st]:[7th]],"&gt;0")/COUNTIF(reading[[#This Row],[1st]:[7th]],"&gt;0"),"")</f>
        <v>2.8333333333333335</v>
      </c>
    </row>
    <row r="2688" spans="1:33" x14ac:dyDescent="0.2">
      <c r="A2688" s="4">
        <f>IF(B2688=1,3,IF(D2688=1,2,IF(F2688=1,1,0)))</f>
        <v>0</v>
      </c>
      <c r="B2688" s="4" t="str">
        <f>IF(C2688=$L2688,1,IF(C2688="","",0))</f>
        <v/>
      </c>
      <c r="C2688" s="39"/>
      <c r="D2688" s="4" t="str">
        <f>IF(E2688=$L2688,1,IF(E2688="","",0))</f>
        <v/>
      </c>
      <c r="E2688" s="18"/>
      <c r="F2688" s="4" t="str">
        <f>IF(G2688=$L2688,1,IF(G2688="","",0))</f>
        <v/>
      </c>
      <c r="G2688" s="14"/>
      <c r="H2688" s="6">
        <v>2201</v>
      </c>
      <c r="I2688" s="15" t="s">
        <v>3120</v>
      </c>
      <c r="J2688" s="6" t="s">
        <v>5287</v>
      </c>
      <c r="K2688" s="6"/>
      <c r="L2688" s="6" t="s">
        <v>2264</v>
      </c>
      <c r="M2688" s="6" t="s">
        <v>8307</v>
      </c>
      <c r="N2688" s="7">
        <f ca="1">RAND()</f>
        <v>0.89083805903870084</v>
      </c>
      <c r="O2688" s="8">
        <v>45216</v>
      </c>
      <c r="P2688" s="8">
        <v>45217</v>
      </c>
      <c r="Q2688" s="8">
        <v>45219</v>
      </c>
      <c r="R2688" s="8">
        <v>45223</v>
      </c>
      <c r="S2688" s="8">
        <v>45230</v>
      </c>
      <c r="T2688" s="8"/>
      <c r="U2688" s="8"/>
      <c r="V2688" s="10">
        <f>COUNTA(O2688:U2688)</f>
        <v>5</v>
      </c>
      <c r="W2688" s="11">
        <f>_xlfn.IFNA(INDEX(reading[[#This Row],[Memo 01]:[Memo 07]],MATCH(0,reading[[#This Row],[Memo 01]:[Memo 07]],-1)),"")</f>
        <v>45230</v>
      </c>
      <c r="X2688" s="11">
        <f ca="1">IFERROR(reading[[#This Row],[Previous]]+OFFSET(reading[[#Headers],[Memo 01]],-1,MATCH(0,reading[[#This Row],[Memo 01]:[Memo 07]],-1)-1),"")</f>
        <v>45242</v>
      </c>
      <c r="Y2688" s="10" t="str">
        <f ca="1">IF(reading[[#This Row],[Next]]&lt;&gt;"",IF(reading[[#This Row],[Next]]&gt;TODAY(),"OK",""),"")</f>
        <v/>
      </c>
      <c r="Z2688" s="13">
        <v>3</v>
      </c>
      <c r="AA2688" s="13">
        <v>3</v>
      </c>
      <c r="AB2688" s="13">
        <v>2</v>
      </c>
      <c r="AC2688" s="13">
        <v>3</v>
      </c>
      <c r="AD2688" s="13">
        <v>3</v>
      </c>
      <c r="AE2688" s="13"/>
      <c r="AF2688" s="13"/>
      <c r="AG2688" s="16">
        <f>IFERROR(SUMIF(reading[[#This Row],[1st]:[7th]],"&gt;0")/COUNTIF(reading[[#This Row],[1st]:[7th]],"&gt;0"),"")</f>
        <v>2.8</v>
      </c>
    </row>
    <row r="2689" spans="1:33" x14ac:dyDescent="0.2">
      <c r="A2689" s="4">
        <f>IF(B2689=1,3,IF(D2689=1,2,IF(F2689=1,1,0)))</f>
        <v>0</v>
      </c>
      <c r="B2689" s="4" t="str">
        <f>IF(C2689=$L2689,1,IF(C2689="","",0))</f>
        <v/>
      </c>
      <c r="C2689" s="36"/>
      <c r="D2689" s="4" t="str">
        <f>IF(E2689=$L2689,1,IF(E2689="","",0))</f>
        <v/>
      </c>
      <c r="E2689" s="14"/>
      <c r="F2689" s="4" t="str">
        <f>IF(G2689=$L2689,1,IF(G2689="","",0))</f>
        <v/>
      </c>
      <c r="G2689" s="14"/>
      <c r="H2689" s="6">
        <v>1898</v>
      </c>
      <c r="I2689" s="15" t="s">
        <v>3120</v>
      </c>
      <c r="J2689" s="6" t="s">
        <v>4999</v>
      </c>
      <c r="K2689" s="6"/>
      <c r="L2689" s="6" t="s">
        <v>1974</v>
      </c>
      <c r="M2689" s="6" t="s">
        <v>8004</v>
      </c>
      <c r="N2689" s="7">
        <f ca="1">RAND()</f>
        <v>0.82706541912222331</v>
      </c>
      <c r="O2689" s="8">
        <v>45213</v>
      </c>
      <c r="P2689" s="8">
        <v>45214</v>
      </c>
      <c r="Q2689" s="8">
        <v>45216</v>
      </c>
      <c r="R2689" s="8">
        <v>45220</v>
      </c>
      <c r="S2689" s="8">
        <v>45227</v>
      </c>
      <c r="T2689" s="8"/>
      <c r="U2689" s="8"/>
      <c r="V2689" s="10">
        <f>COUNTA(O2689:U2689)</f>
        <v>5</v>
      </c>
      <c r="W2689" s="11">
        <f>_xlfn.IFNA(INDEX(reading[[#This Row],[Memo 01]:[Memo 07]],MATCH(0,reading[[#This Row],[Memo 01]:[Memo 07]],-1)),"")</f>
        <v>45227</v>
      </c>
      <c r="X2689" s="11">
        <f ca="1">IFERROR(reading[[#This Row],[Previous]]+OFFSET(reading[[#Headers],[Memo 01]],-1,MATCH(0,reading[[#This Row],[Memo 01]:[Memo 07]],-1)-1),"")</f>
        <v>45239</v>
      </c>
      <c r="Y2689" s="10" t="str">
        <f ca="1">IF(reading[[#This Row],[Next]]&lt;&gt;"",IF(reading[[#This Row],[Next]]&gt;TODAY(),"OK",""),"")</f>
        <v/>
      </c>
      <c r="Z2689" s="13">
        <v>3</v>
      </c>
      <c r="AA2689" s="13">
        <v>3</v>
      </c>
      <c r="AB2689" s="13">
        <v>3</v>
      </c>
      <c r="AC2689" s="13">
        <v>3</v>
      </c>
      <c r="AD2689" s="13">
        <v>3</v>
      </c>
      <c r="AE2689" s="13"/>
      <c r="AF2689" s="13"/>
      <c r="AG2689" s="16">
        <f>IFERROR(SUMIF(reading[[#This Row],[1st]:[7th]],"&gt;0")/COUNTIF(reading[[#This Row],[1st]:[7th]],"&gt;0"),"")</f>
        <v>3</v>
      </c>
    </row>
    <row r="2690" spans="1:33" hidden="1" x14ac:dyDescent="0.2">
      <c r="A2690" s="4">
        <f>IF(B2690=1,3,IF(D2690=1,2,IF(F2690=1,1,0)))</f>
        <v>0</v>
      </c>
      <c r="B2690" s="4" t="str">
        <f>IF(C2690=$L2690,1,IF(C2690="","",0))</f>
        <v/>
      </c>
      <c r="C2690" s="42"/>
      <c r="D2690" s="4" t="str">
        <f>IF(E2690=$L2690,1,IF(E2690="","",0))</f>
        <v/>
      </c>
      <c r="E2690" s="23"/>
      <c r="F2690" s="4" t="str">
        <f>IF(G2690=$L2690,1,IF(G2690="","",0))</f>
        <v/>
      </c>
      <c r="G2690" s="14"/>
      <c r="H2690" s="6">
        <v>1977</v>
      </c>
      <c r="I2690" s="15" t="s">
        <v>3120</v>
      </c>
      <c r="J2690" s="6" t="s">
        <v>5076</v>
      </c>
      <c r="K2690" s="15" t="s">
        <v>3138</v>
      </c>
      <c r="L2690" s="6" t="s">
        <v>2052</v>
      </c>
      <c r="M2690" s="6" t="s">
        <v>8083</v>
      </c>
      <c r="N2690" s="7">
        <f ca="1">RAND()</f>
        <v>0.51333590937807361</v>
      </c>
      <c r="O2690" s="8">
        <v>45213</v>
      </c>
      <c r="P2690" s="8">
        <v>45214</v>
      </c>
      <c r="Q2690" s="8">
        <v>45216</v>
      </c>
      <c r="R2690" s="8">
        <v>45220</v>
      </c>
      <c r="S2690" s="8">
        <v>45227</v>
      </c>
      <c r="T2690" s="8">
        <v>45816</v>
      </c>
      <c r="U2690" s="8"/>
      <c r="V2690" s="10">
        <f>COUNTA(O2690:U2690)</f>
        <v>6</v>
      </c>
      <c r="W2690" s="11">
        <f>_xlfn.IFNA(INDEX(reading[[#This Row],[Memo 01]:[Memo 07]],MATCH(0,reading[[#This Row],[Memo 01]:[Memo 07]],-1)),"")</f>
        <v>45816</v>
      </c>
      <c r="X2690" s="11">
        <f ca="1">IFERROR(reading[[#This Row],[Previous]]+OFFSET(reading[[#Headers],[Memo 01]],-1,MATCH(0,reading[[#This Row],[Memo 01]:[Memo 07]],-1)-1),"")</f>
        <v>45836</v>
      </c>
      <c r="Y2690" s="10" t="str">
        <f ca="1">IF(reading[[#This Row],[Next]]&lt;&gt;"",IF(reading[[#This Row],[Next]]&gt;TODAY(),"OK",""),"")</f>
        <v>OK</v>
      </c>
      <c r="Z2690" s="13">
        <v>3</v>
      </c>
      <c r="AA2690" s="13">
        <v>3</v>
      </c>
      <c r="AB2690" s="13">
        <v>3</v>
      </c>
      <c r="AC2690" s="13">
        <v>3</v>
      </c>
      <c r="AD2690" s="13">
        <v>3</v>
      </c>
      <c r="AE2690" s="13">
        <v>2</v>
      </c>
      <c r="AF2690" s="13"/>
      <c r="AG2690" s="16">
        <f>IFERROR(SUMIF(reading[[#This Row],[1st]:[7th]],"&gt;0")/COUNTIF(reading[[#This Row],[1st]:[7th]],"&gt;0"),"")</f>
        <v>2.8333333333333335</v>
      </c>
    </row>
    <row r="2691" spans="1:33" hidden="1" x14ac:dyDescent="0.2">
      <c r="A2691" s="4">
        <f>IF(B2691=1,3,IF(D2691=1,2,IF(F2691=1,1,0)))</f>
        <v>0</v>
      </c>
      <c r="B2691" s="4">
        <f>IF(C2691=$L2691,1,IF(C2691="","",0))</f>
        <v>0</v>
      </c>
      <c r="C2691" s="42" t="s">
        <v>9200</v>
      </c>
      <c r="D2691" s="4">
        <f>IF(E2691=$L2691,1,IF(E2691="","",0))</f>
        <v>0</v>
      </c>
      <c r="E2691" s="23" t="s">
        <v>9262</v>
      </c>
      <c r="F2691" s="4" t="str">
        <f>IF(G2691=$L2691,1,IF(G2691="","",0))</f>
        <v/>
      </c>
      <c r="G2691" s="14"/>
      <c r="H2691" s="6">
        <v>2641</v>
      </c>
      <c r="I2691" s="15" t="s">
        <v>3120</v>
      </c>
      <c r="J2691" s="6" t="s">
        <v>5695</v>
      </c>
      <c r="K2691" s="6"/>
      <c r="L2691" s="6" t="s">
        <v>2681</v>
      </c>
      <c r="M2691" s="6" t="s">
        <v>8746</v>
      </c>
      <c r="N2691" s="7">
        <f ca="1">RAND()</f>
        <v>0.58819042049808168</v>
      </c>
      <c r="O2691" s="8">
        <v>45220</v>
      </c>
      <c r="P2691" s="8">
        <v>45221</v>
      </c>
      <c r="Q2691" s="8">
        <v>45223</v>
      </c>
      <c r="R2691" s="8">
        <v>45227</v>
      </c>
      <c r="S2691" s="8">
        <v>45234</v>
      </c>
      <c r="T2691" s="8"/>
      <c r="U2691" s="8"/>
      <c r="V2691" s="10">
        <f>COUNTA(O2691:U2691)</f>
        <v>5</v>
      </c>
      <c r="W2691" s="11">
        <f>_xlfn.IFNA(INDEX(reading[[#This Row],[Memo 01]:[Memo 07]],MATCH(0,reading[[#This Row],[Memo 01]:[Memo 07]],-1)),"")</f>
        <v>45234</v>
      </c>
      <c r="X2691" s="11">
        <f ca="1">IFERROR(reading[[#This Row],[Previous]]+OFFSET(reading[[#Headers],[Memo 01]],-1,MATCH(0,reading[[#This Row],[Memo 01]:[Memo 07]],-1)-1),"")</f>
        <v>45246</v>
      </c>
      <c r="Y2691" s="10" t="str">
        <f ca="1">IF(reading[[#This Row],[Next]]&lt;&gt;"",IF(reading[[#This Row],[Next]]&gt;TODAY(),"OK",""),"")</f>
        <v/>
      </c>
      <c r="Z2691" s="13">
        <v>3</v>
      </c>
      <c r="AA2691" s="13">
        <v>3</v>
      </c>
      <c r="AB2691" s="13">
        <v>3</v>
      </c>
      <c r="AC2691" s="13">
        <v>3</v>
      </c>
      <c r="AD2691" s="13">
        <v>3</v>
      </c>
      <c r="AE2691" s="13"/>
      <c r="AF2691" s="13"/>
      <c r="AG2691" s="16">
        <f>IFERROR(SUMIF(reading[[#This Row],[1st]:[7th]],"&gt;0")/COUNTIF(reading[[#This Row],[1st]:[7th]],"&gt;0"),"")</f>
        <v>3</v>
      </c>
    </row>
    <row r="2692" spans="1:33" hidden="1" x14ac:dyDescent="0.2">
      <c r="A2692" s="4">
        <f>IF(B2692=1,3,IF(D2692=1,2,IF(F2692=1,1,0)))</f>
        <v>0</v>
      </c>
      <c r="B2692" s="4" t="str">
        <f>IF(C2692=$L2692,1,IF(C2692="","",0))</f>
        <v/>
      </c>
      <c r="C2692" s="42"/>
      <c r="D2692" s="4" t="str">
        <f>IF(E2692=$L2692,1,IF(E2692="","",0))</f>
        <v/>
      </c>
      <c r="E2692" s="43"/>
      <c r="F2692" s="4" t="str">
        <f>IF(G2692=$L2692,1,IF(G2692="","",0))</f>
        <v/>
      </c>
      <c r="G2692" s="23"/>
      <c r="H2692" s="6">
        <v>2338</v>
      </c>
      <c r="I2692" s="15" t="s">
        <v>3120</v>
      </c>
      <c r="J2692" s="6" t="s">
        <v>5415</v>
      </c>
      <c r="K2692" s="6"/>
      <c r="L2692" s="6" t="s">
        <v>2391</v>
      </c>
      <c r="M2692" s="6" t="s">
        <v>8443</v>
      </c>
      <c r="N2692" s="7">
        <f ca="1">RAND()</f>
        <v>0.92324624946806599</v>
      </c>
      <c r="O2692" s="8">
        <v>45216</v>
      </c>
      <c r="P2692" s="8">
        <v>45217</v>
      </c>
      <c r="Q2692" s="8">
        <v>45219</v>
      </c>
      <c r="R2692" s="8">
        <v>45223</v>
      </c>
      <c r="S2692" s="8">
        <v>45230</v>
      </c>
      <c r="T2692" s="8">
        <v>45817</v>
      </c>
      <c r="U2692" s="8"/>
      <c r="V2692" s="10">
        <f>COUNTA(O2692:U2692)</f>
        <v>6</v>
      </c>
      <c r="W2692" s="11">
        <f>_xlfn.IFNA(INDEX(reading[[#This Row],[Memo 01]:[Memo 07]],MATCH(0,reading[[#This Row],[Memo 01]:[Memo 07]],-1)),"")</f>
        <v>45817</v>
      </c>
      <c r="X2692" s="11">
        <f ca="1">IFERROR(reading[[#This Row],[Previous]]+OFFSET(reading[[#Headers],[Memo 01]],-1,MATCH(0,reading[[#This Row],[Memo 01]:[Memo 07]],-1)-1),"")</f>
        <v>45837</v>
      </c>
      <c r="Y2692" s="10" t="str">
        <f ca="1">IF(reading[[#This Row],[Next]]&lt;&gt;"",IF(reading[[#This Row],[Next]]&gt;TODAY(),"OK",""),"")</f>
        <v>OK</v>
      </c>
      <c r="Z2692" s="13">
        <v>3</v>
      </c>
      <c r="AA2692" s="13">
        <v>3</v>
      </c>
      <c r="AB2692" s="13">
        <v>3</v>
      </c>
      <c r="AC2692" s="13">
        <v>3</v>
      </c>
      <c r="AD2692" s="13">
        <v>2</v>
      </c>
      <c r="AE2692" s="13">
        <v>1</v>
      </c>
      <c r="AF2692" s="13"/>
      <c r="AG2692" s="16">
        <f>IFERROR(SUMIF(reading[[#This Row],[1st]:[7th]],"&gt;0")/COUNTIF(reading[[#This Row],[1st]:[7th]],"&gt;0"),"")</f>
        <v>2.5</v>
      </c>
    </row>
    <row r="2693" spans="1:33" hidden="1" x14ac:dyDescent="0.2">
      <c r="A2693" s="4">
        <f>IF(B2693=1,3,IF(D2693=1,2,IF(F2693=1,1,0)))</f>
        <v>0</v>
      </c>
      <c r="B2693" s="4" t="str">
        <f>IF(C2693=$L2693,1,IF(C2693="","",0))</f>
        <v/>
      </c>
      <c r="C2693" s="42"/>
      <c r="D2693" s="4" t="str">
        <f>IF(E2693=$L2693,1,IF(E2693="","",0))</f>
        <v/>
      </c>
      <c r="E2693" s="23"/>
      <c r="F2693" s="4" t="str">
        <f>IF(G2693=$L2693,1,IF(G2693="","",0))</f>
        <v/>
      </c>
      <c r="G2693" s="14"/>
      <c r="H2693" s="6">
        <v>2521</v>
      </c>
      <c r="I2693" s="15" t="s">
        <v>3120</v>
      </c>
      <c r="J2693" s="6" t="s">
        <v>5583</v>
      </c>
      <c r="K2693" s="6"/>
      <c r="L2693" s="6" t="s">
        <v>2567</v>
      </c>
      <c r="M2693" s="6" t="s">
        <v>8626</v>
      </c>
      <c r="N2693" s="7">
        <f ca="1">RAND()</f>
        <v>0.52337917328282257</v>
      </c>
      <c r="O2693" s="8">
        <v>45219</v>
      </c>
      <c r="P2693" s="8">
        <v>45220</v>
      </c>
      <c r="Q2693" s="8">
        <v>45222</v>
      </c>
      <c r="R2693" s="8">
        <v>45226</v>
      </c>
      <c r="S2693" s="8">
        <v>45233</v>
      </c>
      <c r="T2693" s="8">
        <v>45816</v>
      </c>
      <c r="U2693" s="8"/>
      <c r="V2693" s="10">
        <f>COUNTA(O2693:U2693)</f>
        <v>6</v>
      </c>
      <c r="W2693" s="11">
        <f>_xlfn.IFNA(INDEX(reading[[#This Row],[Memo 01]:[Memo 07]],MATCH(0,reading[[#This Row],[Memo 01]:[Memo 07]],-1)),"")</f>
        <v>45816</v>
      </c>
      <c r="X2693" s="11">
        <f ca="1">IFERROR(reading[[#This Row],[Previous]]+OFFSET(reading[[#Headers],[Memo 01]],-1,MATCH(0,reading[[#This Row],[Memo 01]:[Memo 07]],-1)-1),"")</f>
        <v>45836</v>
      </c>
      <c r="Y2693" s="10" t="str">
        <f ca="1">IF(reading[[#This Row],[Next]]&lt;&gt;"",IF(reading[[#This Row],[Next]]&gt;TODAY(),"OK",""),"")</f>
        <v>OK</v>
      </c>
      <c r="Z2693" s="13">
        <v>3</v>
      </c>
      <c r="AA2693" s="13">
        <v>3</v>
      </c>
      <c r="AB2693" s="13">
        <v>3</v>
      </c>
      <c r="AC2693" s="13">
        <v>3</v>
      </c>
      <c r="AD2693" s="13">
        <v>3</v>
      </c>
      <c r="AE2693" s="13">
        <v>2</v>
      </c>
      <c r="AF2693" s="13"/>
      <c r="AG2693" s="16">
        <f>IFERROR(SUMIF(reading[[#This Row],[1st]:[7th]],"&gt;0")/COUNTIF(reading[[#This Row],[1st]:[7th]],"&gt;0"),"")</f>
        <v>2.8333333333333335</v>
      </c>
    </row>
    <row r="2694" spans="1:33" hidden="1" x14ac:dyDescent="0.2">
      <c r="A2694" s="4">
        <f>IF(B2694=1,3,IF(D2694=1,2,IF(F2694=1,1,0)))</f>
        <v>0</v>
      </c>
      <c r="B2694" s="4" t="str">
        <f>IF(C2694=$L2694,1,IF(C2694="","",0))</f>
        <v/>
      </c>
      <c r="C2694" s="42"/>
      <c r="D2694" s="4" t="str">
        <f>IF(E2694=$L2694,1,IF(E2694="","",0))</f>
        <v/>
      </c>
      <c r="E2694" s="23"/>
      <c r="F2694" s="4" t="str">
        <f>IF(G2694=$L2694,1,IF(G2694="","",0))</f>
        <v/>
      </c>
      <c r="G2694" s="14"/>
      <c r="H2694" s="6">
        <v>601</v>
      </c>
      <c r="I2694" s="15" t="s">
        <v>3120</v>
      </c>
      <c r="J2694" s="6" t="s">
        <v>3743</v>
      </c>
      <c r="K2694" s="6"/>
      <c r="L2694" s="6" t="s">
        <v>726</v>
      </c>
      <c r="M2694" s="6" t="s">
        <v>6710</v>
      </c>
      <c r="N2694" s="7">
        <f ca="1">RAND()</f>
        <v>0.21406699515267746</v>
      </c>
      <c r="O2694" s="8">
        <v>45202</v>
      </c>
      <c r="P2694" s="8">
        <v>45203</v>
      </c>
      <c r="Q2694" s="8">
        <v>45205</v>
      </c>
      <c r="R2694" s="8">
        <v>45209</v>
      </c>
      <c r="S2694" s="8">
        <v>45216</v>
      </c>
      <c r="T2694" s="8">
        <v>45228</v>
      </c>
      <c r="U2694" s="8">
        <v>45816</v>
      </c>
      <c r="V2694" s="10">
        <f>COUNTA(O2694:U2694)</f>
        <v>7</v>
      </c>
      <c r="W2694" s="11">
        <f>_xlfn.IFNA(INDEX(reading[[#This Row],[Memo 01]:[Memo 07]],MATCH(0,reading[[#This Row],[Memo 01]:[Memo 07]],-1)),"")</f>
        <v>45816</v>
      </c>
      <c r="X2694" s="11">
        <f ca="1">IFERROR(reading[[#This Row],[Previous]]+OFFSET(reading[[#Headers],[Memo 01]],-1,MATCH(0,reading[[#This Row],[Memo 01]:[Memo 07]],-1)-1),"")</f>
        <v>55816</v>
      </c>
      <c r="Y2694" s="10" t="str">
        <f ca="1">IF(reading[[#This Row],[Next]]&lt;&gt;"",IF(reading[[#This Row],[Next]]&gt;TODAY(),"OK",""),"")</f>
        <v>OK</v>
      </c>
      <c r="Z2694" s="13">
        <v>3</v>
      </c>
      <c r="AA2694" s="13">
        <v>3</v>
      </c>
      <c r="AB2694" s="13">
        <v>3</v>
      </c>
      <c r="AC2694" s="13">
        <v>3</v>
      </c>
      <c r="AD2694" s="13">
        <v>3</v>
      </c>
      <c r="AE2694" s="13">
        <v>3</v>
      </c>
      <c r="AF2694" s="13">
        <v>2</v>
      </c>
      <c r="AG2694" s="16">
        <f>IFERROR(SUMIF(reading[[#This Row],[1st]:[7th]],"&gt;0")/COUNTIF(reading[[#This Row],[1st]:[7th]],"&gt;0"),"")</f>
        <v>2.8571428571428572</v>
      </c>
    </row>
    <row r="2695" spans="1:33" hidden="1" x14ac:dyDescent="0.2">
      <c r="A2695" s="4">
        <f>IF(B2695=1,3,IF(D2695=1,2,IF(F2695=1,1,0)))</f>
        <v>0</v>
      </c>
      <c r="B2695" s="4">
        <f>IF(C2695=$L2695,1,IF(C2695="","",0))</f>
        <v>0</v>
      </c>
      <c r="C2695" s="42" t="s">
        <v>9200</v>
      </c>
      <c r="D2695" s="4" t="str">
        <f>IF(E2695=$L2695,1,IF(E2695="","",0))</f>
        <v/>
      </c>
      <c r="E2695" s="23"/>
      <c r="F2695" s="4" t="str">
        <f>IF(G2695=$L2695,1,IF(G2695="","",0))</f>
        <v/>
      </c>
      <c r="G2695" s="14"/>
      <c r="H2695" s="6">
        <v>1993</v>
      </c>
      <c r="I2695" s="15" t="s">
        <v>3120</v>
      </c>
      <c r="J2695" s="6" t="s">
        <v>5091</v>
      </c>
      <c r="K2695" s="6"/>
      <c r="L2695" s="6" t="s">
        <v>2068</v>
      </c>
      <c r="M2695" s="6" t="s">
        <v>8099</v>
      </c>
      <c r="N2695" s="7">
        <f ca="1">RAND()</f>
        <v>0.86954078414847324</v>
      </c>
      <c r="O2695" s="8">
        <v>45214</v>
      </c>
      <c r="P2695" s="8">
        <v>45215</v>
      </c>
      <c r="Q2695" s="8">
        <v>45217</v>
      </c>
      <c r="R2695" s="8">
        <v>45221</v>
      </c>
      <c r="S2695" s="8">
        <v>45228</v>
      </c>
      <c r="T2695" s="8"/>
      <c r="U2695" s="8"/>
      <c r="V2695" s="10">
        <f>COUNTA(O2695:U2695)</f>
        <v>5</v>
      </c>
      <c r="W2695" s="11">
        <f>_xlfn.IFNA(INDEX(reading[[#This Row],[Memo 01]:[Memo 07]],MATCH(0,reading[[#This Row],[Memo 01]:[Memo 07]],-1)),"")</f>
        <v>45228</v>
      </c>
      <c r="X2695" s="11">
        <f ca="1">IFERROR(reading[[#This Row],[Previous]]+OFFSET(reading[[#Headers],[Memo 01]],-1,MATCH(0,reading[[#This Row],[Memo 01]:[Memo 07]],-1)-1),"")</f>
        <v>45240</v>
      </c>
      <c r="Y2695" s="10" t="str">
        <f ca="1">IF(reading[[#This Row],[Next]]&lt;&gt;"",IF(reading[[#This Row],[Next]]&gt;TODAY(),"OK",""),"")</f>
        <v/>
      </c>
      <c r="Z2695" s="13">
        <v>3</v>
      </c>
      <c r="AA2695" s="13">
        <v>3</v>
      </c>
      <c r="AB2695" s="13">
        <v>3</v>
      </c>
      <c r="AC2695" s="13">
        <v>3</v>
      </c>
      <c r="AD2695" s="13">
        <v>3</v>
      </c>
      <c r="AE2695" s="13"/>
      <c r="AF2695" s="13"/>
      <c r="AG2695" s="16">
        <f>IFERROR(SUMIF(reading[[#This Row],[1st]:[7th]],"&gt;0")/COUNTIF(reading[[#This Row],[1st]:[7th]],"&gt;0"),"")</f>
        <v>3</v>
      </c>
    </row>
    <row r="2696" spans="1:33" x14ac:dyDescent="0.2">
      <c r="A2696" s="4">
        <f>IF(B2696=1,3,IF(D2696=1,2,IF(F2696=1,1,0)))</f>
        <v>0</v>
      </c>
      <c r="B2696" s="4" t="str">
        <f>IF(C2696=$L2696,1,IF(C2696="","",0))</f>
        <v/>
      </c>
      <c r="C2696" s="38"/>
      <c r="D2696" s="4" t="str">
        <f>IF(E2696=$L2696,1,IF(E2696="","",0))</f>
        <v/>
      </c>
      <c r="E2696" s="14"/>
      <c r="F2696" s="4" t="str">
        <f>IF(G2696=$L2696,1,IF(G2696="","",0))</f>
        <v/>
      </c>
      <c r="G2696" s="14"/>
      <c r="H2696" s="6">
        <v>2191</v>
      </c>
      <c r="I2696" s="15" t="s">
        <v>3120</v>
      </c>
      <c r="J2696" s="6" t="s">
        <v>5278</v>
      </c>
      <c r="K2696" s="6"/>
      <c r="L2696" s="6" t="s">
        <v>145</v>
      </c>
      <c r="M2696" s="6" t="s">
        <v>8297</v>
      </c>
      <c r="N2696" s="7">
        <f ca="1">RAND()</f>
        <v>0.62183292991936379</v>
      </c>
      <c r="O2696" s="8">
        <v>45214</v>
      </c>
      <c r="P2696" s="8">
        <v>45215</v>
      </c>
      <c r="Q2696" s="8">
        <v>45217</v>
      </c>
      <c r="R2696" s="8">
        <v>45221</v>
      </c>
      <c r="S2696" s="8">
        <v>45228</v>
      </c>
      <c r="T2696" s="8"/>
      <c r="U2696" s="8"/>
      <c r="V2696" s="10">
        <f>COUNTA(O2696:U2696)</f>
        <v>5</v>
      </c>
      <c r="W2696" s="11">
        <f>_xlfn.IFNA(INDEX(reading[[#This Row],[Memo 01]:[Memo 07]],MATCH(0,reading[[#This Row],[Memo 01]:[Memo 07]],-1)),"")</f>
        <v>45228</v>
      </c>
      <c r="X2696" s="11">
        <f ca="1">IFERROR(reading[[#This Row],[Previous]]+OFFSET(reading[[#Headers],[Memo 01]],-1,MATCH(0,reading[[#This Row],[Memo 01]:[Memo 07]],-1)-1),"")</f>
        <v>45240</v>
      </c>
      <c r="Y2696" s="10" t="str">
        <f ca="1">IF(reading[[#This Row],[Next]]&lt;&gt;"",IF(reading[[#This Row],[Next]]&gt;TODAY(),"OK",""),"")</f>
        <v/>
      </c>
      <c r="Z2696" s="13">
        <v>3</v>
      </c>
      <c r="AA2696" s="13">
        <v>3</v>
      </c>
      <c r="AB2696" s="13">
        <v>3</v>
      </c>
      <c r="AC2696" s="13">
        <v>3</v>
      </c>
      <c r="AD2696" s="13">
        <v>3</v>
      </c>
      <c r="AE2696" s="13"/>
      <c r="AF2696" s="13"/>
      <c r="AG2696" s="16">
        <f>IFERROR(SUMIF(reading[[#This Row],[1st]:[7th]],"&gt;0")/COUNTIF(reading[[#This Row],[1st]:[7th]],"&gt;0"),"")</f>
        <v>3</v>
      </c>
    </row>
    <row r="2697" spans="1:33" hidden="1" x14ac:dyDescent="0.2">
      <c r="A2697" s="4">
        <f>IF(B2697=1,3,IF(D2697=1,2,IF(F2697=1,1,0)))</f>
        <v>0</v>
      </c>
      <c r="B2697" s="4" t="str">
        <f>IF(C2697=$L2697,1,IF(C2697="","",0))</f>
        <v/>
      </c>
      <c r="C2697" s="42"/>
      <c r="D2697" s="4" t="str">
        <f>IF(E2697=$L2697,1,IF(E2697="","",0))</f>
        <v/>
      </c>
      <c r="E2697" s="43"/>
      <c r="F2697" s="4" t="str">
        <f>IF(G2697=$L2697,1,IF(G2697="","",0))</f>
        <v/>
      </c>
      <c r="G2697" s="14"/>
      <c r="H2697" s="6">
        <v>2469</v>
      </c>
      <c r="I2697" s="15" t="s">
        <v>3120</v>
      </c>
      <c r="J2697" s="6" t="s">
        <v>5537</v>
      </c>
      <c r="K2697" s="6"/>
      <c r="L2697" s="6" t="s">
        <v>2517</v>
      </c>
      <c r="M2697" s="6" t="s">
        <v>8574</v>
      </c>
      <c r="N2697" s="7">
        <f ca="1">RAND()</f>
        <v>5.9484408506219055E-2</v>
      </c>
      <c r="O2697" s="8">
        <v>45218</v>
      </c>
      <c r="P2697" s="8">
        <v>45219</v>
      </c>
      <c r="Q2697" s="8">
        <v>45221</v>
      </c>
      <c r="R2697" s="8">
        <v>45225</v>
      </c>
      <c r="S2697" s="8">
        <v>45232</v>
      </c>
      <c r="T2697" s="8">
        <v>45825</v>
      </c>
      <c r="U2697" s="8"/>
      <c r="V2697" s="10">
        <f>COUNTA(O2697:U2697)</f>
        <v>6</v>
      </c>
      <c r="W2697" s="11">
        <f>_xlfn.IFNA(INDEX(reading[[#This Row],[Memo 01]:[Memo 07]],MATCH(0,reading[[#This Row],[Memo 01]:[Memo 07]],-1)),"")</f>
        <v>45825</v>
      </c>
      <c r="X2697" s="11">
        <f ca="1">IFERROR(reading[[#This Row],[Previous]]+OFFSET(reading[[#Headers],[Memo 01]],-1,MATCH(0,reading[[#This Row],[Memo 01]:[Memo 07]],-1)-1),"")</f>
        <v>45845</v>
      </c>
      <c r="Y2697" s="10" t="str">
        <f ca="1">IF(reading[[#This Row],[Next]]&lt;&gt;"",IF(reading[[#This Row],[Next]]&gt;TODAY(),"OK",""),"")</f>
        <v>OK</v>
      </c>
      <c r="Z2697" s="13">
        <v>3</v>
      </c>
      <c r="AA2697" s="13">
        <v>3</v>
      </c>
      <c r="AB2697" s="13">
        <v>2</v>
      </c>
      <c r="AC2697" s="13">
        <v>3</v>
      </c>
      <c r="AD2697" s="13">
        <v>3</v>
      </c>
      <c r="AE2697" s="13">
        <v>2</v>
      </c>
      <c r="AF2697" s="13"/>
      <c r="AG2697" s="16">
        <f>IFERROR(SUMIF(reading[[#This Row],[1st]:[7th]],"&gt;0")/COUNTIF(reading[[#This Row],[1st]:[7th]],"&gt;0"),"")</f>
        <v>2.6666666666666665</v>
      </c>
    </row>
    <row r="2698" spans="1:33" hidden="1" x14ac:dyDescent="0.2">
      <c r="A2698" s="4">
        <f>IF(B2698=1,3,IF(D2698=1,2,IF(F2698=1,1,0)))</f>
        <v>0</v>
      </c>
      <c r="B2698" s="4">
        <f>IF(C2698=$L2698,1,IF(C2698="","",0))</f>
        <v>0</v>
      </c>
      <c r="C2698" s="42" t="s">
        <v>9200</v>
      </c>
      <c r="D2698" s="4">
        <f>IF(E2698=$L2698,1,IF(E2698="","",0))</f>
        <v>0</v>
      </c>
      <c r="E2698" s="43" t="s">
        <v>9239</v>
      </c>
      <c r="F2698" s="4" t="str">
        <f>IF(G2698=$L2698,1,IF(G2698="","",0))</f>
        <v/>
      </c>
      <c r="G2698" s="18"/>
      <c r="H2698" s="6">
        <v>2743</v>
      </c>
      <c r="I2698" s="15" t="s">
        <v>3120</v>
      </c>
      <c r="J2698" s="6" t="s">
        <v>4849</v>
      </c>
      <c r="K2698" s="15" t="s">
        <v>3139</v>
      </c>
      <c r="L2698" s="6" t="s">
        <v>2781</v>
      </c>
      <c r="M2698" s="6" t="s">
        <v>8848</v>
      </c>
      <c r="N2698" s="7">
        <f ca="1">RAND()</f>
        <v>0.40324369865181142</v>
      </c>
      <c r="O2698" s="8">
        <v>45222</v>
      </c>
      <c r="P2698" s="8">
        <v>45223</v>
      </c>
      <c r="Q2698" s="8">
        <v>45226</v>
      </c>
      <c r="R2698" s="8">
        <v>45230</v>
      </c>
      <c r="S2698" s="8">
        <v>45248</v>
      </c>
      <c r="T2698" s="8"/>
      <c r="U2698" s="8"/>
      <c r="V2698" s="10">
        <f>COUNTA(O2698:U2698)</f>
        <v>5</v>
      </c>
      <c r="W2698" s="11">
        <f>_xlfn.IFNA(INDEX(reading[[#This Row],[Memo 01]:[Memo 07]],MATCH(0,reading[[#This Row],[Memo 01]:[Memo 07]],-1)),"")</f>
        <v>45248</v>
      </c>
      <c r="X2698" s="11">
        <f ca="1">IFERROR(reading[[#This Row],[Previous]]+OFFSET(reading[[#Headers],[Memo 01]],-1,MATCH(0,reading[[#This Row],[Memo 01]:[Memo 07]],-1)-1),"")</f>
        <v>45260</v>
      </c>
      <c r="Y2698" s="10" t="str">
        <f ca="1">IF(reading[[#This Row],[Next]]&lt;&gt;"",IF(reading[[#This Row],[Next]]&gt;TODAY(),"OK",""),"")</f>
        <v/>
      </c>
      <c r="Z2698" s="13">
        <v>3</v>
      </c>
      <c r="AA2698" s="13">
        <v>1</v>
      </c>
      <c r="AB2698" s="13">
        <v>1</v>
      </c>
      <c r="AC2698" s="13">
        <v>3</v>
      </c>
      <c r="AD2698" s="13">
        <v>1</v>
      </c>
      <c r="AE2698" s="13"/>
      <c r="AF2698" s="13"/>
      <c r="AG2698" s="16">
        <f>IFERROR(SUMIF(reading[[#This Row],[1st]:[7th]],"&gt;0")/COUNTIF(reading[[#This Row],[1st]:[7th]],"&gt;0"),"")</f>
        <v>1.8</v>
      </c>
    </row>
    <row r="2699" spans="1:33" hidden="1" x14ac:dyDescent="0.2">
      <c r="A2699" s="4">
        <f>IF(B2699=1,3,IF(D2699=1,2,IF(F2699=1,1,0)))</f>
        <v>0</v>
      </c>
      <c r="B2699" s="4" t="str">
        <f>IF(C2699=$L2699,1,IF(C2699="","",0))</f>
        <v/>
      </c>
      <c r="C2699" s="42"/>
      <c r="D2699" s="4" t="str">
        <f>IF(E2699=$L2699,1,IF(E2699="","",0))</f>
        <v/>
      </c>
      <c r="E2699" s="23"/>
      <c r="F2699" s="4" t="str">
        <f>IF(G2699=$L2699,1,IF(G2699="","",0))</f>
        <v/>
      </c>
      <c r="G2699" s="14"/>
      <c r="H2699" s="6">
        <v>2260</v>
      </c>
      <c r="I2699" s="15" t="s">
        <v>3120</v>
      </c>
      <c r="J2699" s="6" t="s">
        <v>5342</v>
      </c>
      <c r="K2699" s="6"/>
      <c r="L2699" s="6" t="s">
        <v>2320</v>
      </c>
      <c r="M2699" s="6" t="s">
        <v>8365</v>
      </c>
      <c r="N2699" s="7">
        <f ca="1">RAND()</f>
        <v>0.30885945523642466</v>
      </c>
      <c r="O2699" s="8">
        <v>45215</v>
      </c>
      <c r="P2699" s="8">
        <v>45216</v>
      </c>
      <c r="Q2699" s="8">
        <v>45218</v>
      </c>
      <c r="R2699" s="8">
        <v>45222</v>
      </c>
      <c r="S2699" s="8">
        <v>45229</v>
      </c>
      <c r="T2699" s="8">
        <v>45816</v>
      </c>
      <c r="U2699" s="8"/>
      <c r="V2699" s="10">
        <f>COUNTA(O2699:U2699)</f>
        <v>6</v>
      </c>
      <c r="W2699" s="11">
        <f>_xlfn.IFNA(INDEX(reading[[#This Row],[Memo 01]:[Memo 07]],MATCH(0,reading[[#This Row],[Memo 01]:[Memo 07]],-1)),"")</f>
        <v>45816</v>
      </c>
      <c r="X2699" s="11">
        <f ca="1">IFERROR(reading[[#This Row],[Previous]]+OFFSET(reading[[#Headers],[Memo 01]],-1,MATCH(0,reading[[#This Row],[Memo 01]:[Memo 07]],-1)-1),"")</f>
        <v>45836</v>
      </c>
      <c r="Y2699" s="10" t="str">
        <f ca="1">IF(reading[[#This Row],[Next]]&lt;&gt;"",IF(reading[[#This Row],[Next]]&gt;TODAY(),"OK",""),"")</f>
        <v>OK</v>
      </c>
      <c r="Z2699" s="13">
        <v>3</v>
      </c>
      <c r="AA2699" s="13">
        <v>3</v>
      </c>
      <c r="AB2699" s="13">
        <v>3</v>
      </c>
      <c r="AC2699" s="13">
        <v>3</v>
      </c>
      <c r="AD2699" s="13">
        <v>3</v>
      </c>
      <c r="AE2699" s="13">
        <v>2</v>
      </c>
      <c r="AF2699" s="13"/>
      <c r="AG2699" s="16">
        <f>IFERROR(SUMIF(reading[[#This Row],[1st]:[7th]],"&gt;0")/COUNTIF(reading[[#This Row],[1st]:[7th]],"&gt;0"),"")</f>
        <v>2.8333333333333335</v>
      </c>
    </row>
    <row r="2700" spans="1:33" hidden="1" x14ac:dyDescent="0.2">
      <c r="A2700" s="4">
        <f>IF(B2700=1,3,IF(D2700=1,2,IF(F2700=1,1,0)))</f>
        <v>0</v>
      </c>
      <c r="B2700" s="4" t="str">
        <f>IF(C2700=$L2700,1,IF(C2700="","",0))</f>
        <v/>
      </c>
      <c r="C2700" s="42"/>
      <c r="D2700" s="4" t="str">
        <f>IF(E2700=$L2700,1,IF(E2700="","",0))</f>
        <v/>
      </c>
      <c r="E2700" s="23"/>
      <c r="F2700" s="4" t="str">
        <f>IF(G2700=$L2700,1,IF(G2700="","",0))</f>
        <v/>
      </c>
      <c r="G2700" s="14"/>
      <c r="H2700" s="6">
        <v>822</v>
      </c>
      <c r="I2700" s="15" t="s">
        <v>3120</v>
      </c>
      <c r="J2700" s="6" t="s">
        <v>3955</v>
      </c>
      <c r="K2700" s="6"/>
      <c r="L2700" s="6" t="s">
        <v>938</v>
      </c>
      <c r="M2700" s="6" t="s">
        <v>6931</v>
      </c>
      <c r="N2700" s="7">
        <f ca="1">RAND()</f>
        <v>0.34577135603917031</v>
      </c>
      <c r="O2700" s="8">
        <v>45203</v>
      </c>
      <c r="P2700" s="8">
        <v>45204</v>
      </c>
      <c r="Q2700" s="8">
        <v>45206</v>
      </c>
      <c r="R2700" s="8">
        <v>45210</v>
      </c>
      <c r="S2700" s="8">
        <v>45217</v>
      </c>
      <c r="T2700" s="8">
        <v>45229</v>
      </c>
      <c r="U2700" s="8">
        <v>45825</v>
      </c>
      <c r="V2700" s="10">
        <f>COUNTA(O2700:U2700)</f>
        <v>7</v>
      </c>
      <c r="W2700" s="11">
        <f>_xlfn.IFNA(INDEX(reading[[#This Row],[Memo 01]:[Memo 07]],MATCH(0,reading[[#This Row],[Memo 01]:[Memo 07]],-1)),"")</f>
        <v>45825</v>
      </c>
      <c r="X2700" s="11">
        <f ca="1">IFERROR(reading[[#This Row],[Previous]]+OFFSET(reading[[#Headers],[Memo 01]],-1,MATCH(0,reading[[#This Row],[Memo 01]:[Memo 07]],-1)-1),"")</f>
        <v>55825</v>
      </c>
      <c r="Y2700" s="10" t="str">
        <f ca="1">IF(reading[[#This Row],[Next]]&lt;&gt;"",IF(reading[[#This Row],[Next]]&gt;TODAY(),"OK",""),"")</f>
        <v>OK</v>
      </c>
      <c r="Z2700" s="13">
        <v>3</v>
      </c>
      <c r="AA2700" s="13">
        <v>3</v>
      </c>
      <c r="AB2700" s="13">
        <v>2</v>
      </c>
      <c r="AC2700" s="13">
        <v>3</v>
      </c>
      <c r="AD2700" s="13">
        <v>3</v>
      </c>
      <c r="AE2700" s="13">
        <v>3</v>
      </c>
      <c r="AF2700" s="13">
        <v>2</v>
      </c>
      <c r="AG2700" s="16">
        <f>IFERROR(SUMIF(reading[[#This Row],[1st]:[7th]],"&gt;0")/COUNTIF(reading[[#This Row],[1st]:[7th]],"&gt;0"),"")</f>
        <v>2.7142857142857144</v>
      </c>
    </row>
    <row r="2701" spans="1:33" hidden="1" x14ac:dyDescent="0.2">
      <c r="A2701" s="4">
        <f>IF(B2701=1,3,IF(D2701=1,2,IF(F2701=1,1,0)))</f>
        <v>0</v>
      </c>
      <c r="B2701" s="4">
        <f>IF(C2701=$L2701,1,IF(C2701="","",0))</f>
        <v>0</v>
      </c>
      <c r="C2701" s="42" t="s">
        <v>9200</v>
      </c>
      <c r="D2701" s="4" t="str">
        <f>IF(E2701=$L2701,1,IF(E2701="","",0))</f>
        <v/>
      </c>
      <c r="E2701" s="18"/>
      <c r="F2701" s="4" t="str">
        <f>IF(G2701=$L2701,1,IF(G2701="","",0))</f>
        <v/>
      </c>
      <c r="G2701" s="14"/>
      <c r="H2701" s="6">
        <v>2692</v>
      </c>
      <c r="I2701" s="15" t="s">
        <v>3120</v>
      </c>
      <c r="J2701" s="6" t="s">
        <v>5743</v>
      </c>
      <c r="K2701" s="6"/>
      <c r="L2701" s="6" t="s">
        <v>2731</v>
      </c>
      <c r="M2701" s="6" t="s">
        <v>8797</v>
      </c>
      <c r="N2701" s="7">
        <f ca="1">RAND()</f>
        <v>0.43527440543172013</v>
      </c>
      <c r="O2701" s="8">
        <v>45221</v>
      </c>
      <c r="P2701" s="8">
        <v>45222</v>
      </c>
      <c r="Q2701" s="8">
        <v>45224</v>
      </c>
      <c r="R2701" s="8">
        <v>45228</v>
      </c>
      <c r="S2701" s="8">
        <v>45235</v>
      </c>
      <c r="T2701" s="8"/>
      <c r="U2701" s="8"/>
      <c r="V2701" s="10">
        <f>COUNTA(O2701:U2701)</f>
        <v>5</v>
      </c>
      <c r="W2701" s="11">
        <f>_xlfn.IFNA(INDEX(reading[[#This Row],[Memo 01]:[Memo 07]],MATCH(0,reading[[#This Row],[Memo 01]:[Memo 07]],-1)),"")</f>
        <v>45235</v>
      </c>
      <c r="X2701" s="11">
        <f ca="1">IFERROR(reading[[#This Row],[Previous]]+OFFSET(reading[[#Headers],[Memo 01]],-1,MATCH(0,reading[[#This Row],[Memo 01]:[Memo 07]],-1)-1),"")</f>
        <v>45247</v>
      </c>
      <c r="Y2701" s="10" t="str">
        <f ca="1">IF(reading[[#This Row],[Next]]&lt;&gt;"",IF(reading[[#This Row],[Next]]&gt;TODAY(),"OK",""),"")</f>
        <v/>
      </c>
      <c r="Z2701" s="13">
        <v>3</v>
      </c>
      <c r="AA2701" s="13">
        <v>2</v>
      </c>
      <c r="AB2701" s="13">
        <v>3</v>
      </c>
      <c r="AC2701" s="13">
        <v>3</v>
      </c>
      <c r="AD2701" s="13">
        <v>3</v>
      </c>
      <c r="AE2701" s="13"/>
      <c r="AF2701" s="13"/>
      <c r="AG2701" s="16">
        <f>IFERROR(SUMIF(reading[[#This Row],[1st]:[7th]],"&gt;0")/COUNTIF(reading[[#This Row],[1st]:[7th]],"&gt;0"),"")</f>
        <v>2.8</v>
      </c>
    </row>
    <row r="2702" spans="1:33" hidden="1" x14ac:dyDescent="0.2">
      <c r="A2702" s="4">
        <f>IF(B2702=1,3,IF(D2702=1,2,IF(F2702=1,1,0)))</f>
        <v>0</v>
      </c>
      <c r="B2702" s="4" t="str">
        <f>IF(C2702=$L2702,1,IF(C2702="","",0))</f>
        <v/>
      </c>
      <c r="C2702" s="42"/>
      <c r="D2702" s="4" t="str">
        <f>IF(E2702=$L2702,1,IF(E2702="","",0))</f>
        <v/>
      </c>
      <c r="E2702" s="43"/>
      <c r="F2702" s="4" t="str">
        <f>IF(G2702=$L2702,1,IF(G2702="","",0))</f>
        <v/>
      </c>
      <c r="G2702" s="14"/>
      <c r="H2702" s="6">
        <v>298</v>
      </c>
      <c r="I2702" s="15" t="s">
        <v>3120</v>
      </c>
      <c r="J2702" s="6" t="s">
        <v>3446</v>
      </c>
      <c r="K2702" s="15" t="s">
        <v>3139</v>
      </c>
      <c r="L2702" s="6" t="s">
        <v>433</v>
      </c>
      <c r="M2702" s="6" t="s">
        <v>6407</v>
      </c>
      <c r="N2702" s="7">
        <f ca="1">RAND()</f>
        <v>0.89540163109618198</v>
      </c>
      <c r="O2702" s="8">
        <v>45201</v>
      </c>
      <c r="P2702" s="8">
        <v>45202</v>
      </c>
      <c r="Q2702" s="8">
        <v>45204</v>
      </c>
      <c r="R2702" s="8">
        <v>45208</v>
      </c>
      <c r="S2702" s="8">
        <v>45215</v>
      </c>
      <c r="T2702" s="8">
        <v>45227</v>
      </c>
      <c r="U2702" s="8">
        <v>45816</v>
      </c>
      <c r="V2702" s="10">
        <f>COUNTA(O2702:U2702)</f>
        <v>7</v>
      </c>
      <c r="W2702" s="11">
        <f>_xlfn.IFNA(INDEX(reading[[#This Row],[Memo 01]:[Memo 07]],MATCH(0,reading[[#This Row],[Memo 01]:[Memo 07]],-1)),"")</f>
        <v>45816</v>
      </c>
      <c r="X2702" s="11">
        <f ca="1">IFERROR(reading[[#This Row],[Previous]]+OFFSET(reading[[#Headers],[Memo 01]],-1,MATCH(0,reading[[#This Row],[Memo 01]:[Memo 07]],-1)-1),"")</f>
        <v>55816</v>
      </c>
      <c r="Y2702" s="10" t="str">
        <f ca="1">IF(reading[[#This Row],[Next]]&lt;&gt;"",IF(reading[[#This Row],[Next]]&gt;TODAY(),"OK",""),"")</f>
        <v>OK</v>
      </c>
      <c r="Z2702" s="13">
        <v>3</v>
      </c>
      <c r="AA2702" s="13">
        <v>3</v>
      </c>
      <c r="AB2702" s="13">
        <v>3</v>
      </c>
      <c r="AC2702" s="13">
        <v>3</v>
      </c>
      <c r="AD2702" s="13">
        <v>2</v>
      </c>
      <c r="AE2702" s="13">
        <v>2</v>
      </c>
      <c r="AF2702" s="13">
        <v>2</v>
      </c>
      <c r="AG2702" s="16">
        <f>IFERROR(SUMIF(reading[[#This Row],[1st]:[7th]],"&gt;0")/COUNTIF(reading[[#This Row],[1st]:[7th]],"&gt;0"),"")</f>
        <v>2.5714285714285716</v>
      </c>
    </row>
    <row r="2703" spans="1:33" x14ac:dyDescent="0.2">
      <c r="A2703" s="4">
        <f>IF(B2703=1,3,IF(D2703=1,2,IF(F2703=1,1,0)))</f>
        <v>0</v>
      </c>
      <c r="B2703" s="4" t="str">
        <f>IF(C2703=$L2703,1,IF(C2703="","",0))</f>
        <v/>
      </c>
      <c r="C2703" s="42"/>
      <c r="D2703" s="4" t="str">
        <f>IF(E2703=$L2703,1,IF(E2703="","",0))</f>
        <v/>
      </c>
      <c r="E2703" s="14"/>
      <c r="F2703" s="4" t="str">
        <f>IF(G2703=$L2703,1,IF(G2703="","",0))</f>
        <v/>
      </c>
      <c r="G2703" s="14"/>
      <c r="H2703" s="6">
        <v>1909</v>
      </c>
      <c r="I2703" s="15" t="s">
        <v>3120</v>
      </c>
      <c r="J2703" s="6" t="s">
        <v>5010</v>
      </c>
      <c r="K2703" s="6"/>
      <c r="L2703" s="6" t="s">
        <v>1985</v>
      </c>
      <c r="M2703" s="6" t="s">
        <v>8015</v>
      </c>
      <c r="N2703" s="7">
        <f ca="1">RAND()</f>
        <v>0.77260814902023534</v>
      </c>
      <c r="O2703" s="8">
        <v>45212</v>
      </c>
      <c r="P2703" s="8">
        <v>45213</v>
      </c>
      <c r="Q2703" s="8">
        <v>45215</v>
      </c>
      <c r="R2703" s="8">
        <v>45219</v>
      </c>
      <c r="S2703" s="8">
        <v>45226</v>
      </c>
      <c r="T2703" s="8">
        <v>45792</v>
      </c>
      <c r="U2703" s="8"/>
      <c r="V2703" s="10">
        <f>COUNTA(O2703:U2703)</f>
        <v>6</v>
      </c>
      <c r="W2703" s="11">
        <f>_xlfn.IFNA(INDEX(reading[[#This Row],[Memo 01]:[Memo 07]],MATCH(0,reading[[#This Row],[Memo 01]:[Memo 07]],-1)),"")</f>
        <v>45792</v>
      </c>
      <c r="X2703" s="11">
        <f ca="1">IFERROR(reading[[#This Row],[Previous]]+OFFSET(reading[[#Headers],[Memo 01]],-1,MATCH(0,reading[[#This Row],[Memo 01]:[Memo 07]],-1)-1),"")</f>
        <v>45812</v>
      </c>
      <c r="Y2703" s="10" t="str">
        <f ca="1">IF(reading[[#This Row],[Next]]&lt;&gt;"",IF(reading[[#This Row],[Next]]&gt;TODAY(),"OK",""),"")</f>
        <v/>
      </c>
      <c r="Z2703" s="13">
        <v>3</v>
      </c>
      <c r="AA2703" s="13">
        <v>3</v>
      </c>
      <c r="AB2703" s="13">
        <v>3</v>
      </c>
      <c r="AC2703" s="13">
        <v>3</v>
      </c>
      <c r="AD2703" s="13">
        <v>3</v>
      </c>
      <c r="AE2703" s="13">
        <v>3</v>
      </c>
      <c r="AF2703" s="13"/>
      <c r="AG2703" s="16">
        <f>IFERROR(SUMIF(reading[[#This Row],[1st]:[7th]],"&gt;0")/COUNTIF(reading[[#This Row],[1st]:[7th]],"&gt;0"),"")</f>
        <v>3</v>
      </c>
    </row>
    <row r="2704" spans="1:33" x14ac:dyDescent="0.2">
      <c r="A2704" s="4">
        <f>IF(B2704=1,3,IF(D2704=1,2,IF(F2704=1,1,0)))</f>
        <v>0</v>
      </c>
      <c r="B2704" s="4" t="str">
        <f>IF(C2704=$L2704,1,IF(C2704="","",0))</f>
        <v/>
      </c>
      <c r="C2704" s="39"/>
      <c r="D2704" s="4" t="str">
        <f>IF(E2704=$L2704,1,IF(E2704="","",0))</f>
        <v/>
      </c>
      <c r="E2704" s="14"/>
      <c r="F2704" s="4" t="str">
        <f>IF(G2704=$L2704,1,IF(G2704="","",0))</f>
        <v/>
      </c>
      <c r="G2704" s="14"/>
      <c r="H2704" s="6">
        <v>1358</v>
      </c>
      <c r="I2704" s="15" t="s">
        <v>3120</v>
      </c>
      <c r="J2704" s="6" t="s">
        <v>4472</v>
      </c>
      <c r="K2704" s="6"/>
      <c r="L2704" s="6" t="s">
        <v>1452</v>
      </c>
      <c r="M2704" s="6" t="s">
        <v>7465</v>
      </c>
      <c r="N2704" s="7">
        <f ca="1">RAND()</f>
        <v>0.97269973430183176</v>
      </c>
      <c r="O2704" s="8">
        <v>45207</v>
      </c>
      <c r="P2704" s="8">
        <v>45208</v>
      </c>
      <c r="Q2704" s="8">
        <v>45210</v>
      </c>
      <c r="R2704" s="8">
        <v>45214</v>
      </c>
      <c r="S2704" s="8">
        <v>45221</v>
      </c>
      <c r="T2704" s="8">
        <v>45233</v>
      </c>
      <c r="U2704" s="8"/>
      <c r="V2704" s="10">
        <f>COUNTA(O2704:U2704)</f>
        <v>6</v>
      </c>
      <c r="W2704" s="11">
        <f>_xlfn.IFNA(INDEX(reading[[#This Row],[Memo 01]:[Memo 07]],MATCH(0,reading[[#This Row],[Memo 01]:[Memo 07]],-1)),"")</f>
        <v>45233</v>
      </c>
      <c r="X2704" s="11">
        <f ca="1">IFERROR(reading[[#This Row],[Previous]]+OFFSET(reading[[#Headers],[Memo 01]],-1,MATCH(0,reading[[#This Row],[Memo 01]:[Memo 07]],-1)-1),"")</f>
        <v>45253</v>
      </c>
      <c r="Y2704" s="10" t="str">
        <f ca="1">IF(reading[[#This Row],[Next]]&lt;&gt;"",IF(reading[[#This Row],[Next]]&gt;TODAY(),"OK",""),"")</f>
        <v/>
      </c>
      <c r="Z2704" s="13">
        <v>3</v>
      </c>
      <c r="AA2704" s="13">
        <v>3</v>
      </c>
      <c r="AB2704" s="13">
        <v>3</v>
      </c>
      <c r="AC2704" s="13">
        <v>3</v>
      </c>
      <c r="AD2704" s="13">
        <v>3</v>
      </c>
      <c r="AE2704" s="13">
        <v>3</v>
      </c>
      <c r="AF2704" s="13"/>
      <c r="AG2704" s="16">
        <f>IFERROR(SUMIF(reading[[#This Row],[1st]:[7th]],"&gt;0")/COUNTIF(reading[[#This Row],[1st]:[7th]],"&gt;0"),"")</f>
        <v>3</v>
      </c>
    </row>
    <row r="2705" spans="1:33" x14ac:dyDescent="0.2">
      <c r="A2705" s="4">
        <f>IF(B2705=1,3,IF(D2705=1,2,IF(F2705=1,1,0)))</f>
        <v>0</v>
      </c>
      <c r="B2705" s="4" t="str">
        <f>IF(C2705=$L2705,1,IF(C2705="","",0))</f>
        <v/>
      </c>
      <c r="C2705" s="36"/>
      <c r="D2705" s="4" t="str">
        <f>IF(E2705=$L2705,1,IF(E2705="","",0))</f>
        <v/>
      </c>
      <c r="E2705" s="14"/>
      <c r="F2705" s="4" t="str">
        <f>IF(G2705=$L2705,1,IF(G2705="","",0))</f>
        <v/>
      </c>
      <c r="G2705" s="14"/>
      <c r="H2705" s="6">
        <v>1877</v>
      </c>
      <c r="I2705" s="15" t="s">
        <v>3120</v>
      </c>
      <c r="J2705" s="6" t="s">
        <v>4979</v>
      </c>
      <c r="K2705" s="6"/>
      <c r="L2705" s="6" t="s">
        <v>1954</v>
      </c>
      <c r="M2705" s="6" t="s">
        <v>7983</v>
      </c>
      <c r="N2705" s="7">
        <f ca="1">RAND()</f>
        <v>0.94342445778048101</v>
      </c>
      <c r="O2705" s="8">
        <v>45212</v>
      </c>
      <c r="P2705" s="8">
        <v>45213</v>
      </c>
      <c r="Q2705" s="8">
        <v>45215</v>
      </c>
      <c r="R2705" s="8">
        <v>45219</v>
      </c>
      <c r="S2705" s="8">
        <v>45226</v>
      </c>
      <c r="T2705" s="8"/>
      <c r="U2705" s="8"/>
      <c r="V2705" s="10">
        <f>COUNTA(O2705:U2705)</f>
        <v>5</v>
      </c>
      <c r="W2705" s="11">
        <f>_xlfn.IFNA(INDEX(reading[[#This Row],[Memo 01]:[Memo 07]],MATCH(0,reading[[#This Row],[Memo 01]:[Memo 07]],-1)),"")</f>
        <v>45226</v>
      </c>
      <c r="X2705" s="11">
        <f ca="1">IFERROR(reading[[#This Row],[Previous]]+OFFSET(reading[[#Headers],[Memo 01]],-1,MATCH(0,reading[[#This Row],[Memo 01]:[Memo 07]],-1)-1),"")</f>
        <v>45238</v>
      </c>
      <c r="Y2705" s="10" t="str">
        <f ca="1">IF(reading[[#This Row],[Next]]&lt;&gt;"",IF(reading[[#This Row],[Next]]&gt;TODAY(),"OK",""),"")</f>
        <v/>
      </c>
      <c r="Z2705" s="13">
        <v>3</v>
      </c>
      <c r="AA2705" s="13">
        <v>3</v>
      </c>
      <c r="AB2705" s="13">
        <v>3</v>
      </c>
      <c r="AC2705" s="13">
        <v>3</v>
      </c>
      <c r="AD2705" s="13">
        <v>3</v>
      </c>
      <c r="AE2705" s="13"/>
      <c r="AF2705" s="13"/>
      <c r="AG2705" s="16">
        <f>IFERROR(SUMIF(reading[[#This Row],[1st]:[7th]],"&gt;0")/COUNTIF(reading[[#This Row],[1st]:[7th]],"&gt;0"),"")</f>
        <v>3</v>
      </c>
    </row>
    <row r="2706" spans="1:33" x14ac:dyDescent="0.2">
      <c r="A2706" s="4">
        <f>IF(B2706=1,3,IF(D2706=1,2,IF(F2706=1,1,0)))</f>
        <v>0</v>
      </c>
      <c r="B2706" s="4" t="str">
        <f>IF(C2706=$L2706,1,IF(C2706="","",0))</f>
        <v/>
      </c>
      <c r="C2706" s="39"/>
      <c r="D2706" s="4" t="str">
        <f>IF(E2706=$L2706,1,IF(E2706="","",0))</f>
        <v/>
      </c>
      <c r="E2706" s="18"/>
      <c r="F2706" s="4" t="str">
        <f>IF(G2706=$L2706,1,IF(G2706="","",0))</f>
        <v/>
      </c>
      <c r="G2706" s="14"/>
      <c r="H2706" s="6">
        <v>1685</v>
      </c>
      <c r="I2706" s="15" t="s">
        <v>3120</v>
      </c>
      <c r="J2706" s="6" t="s">
        <v>4795</v>
      </c>
      <c r="K2706" s="6"/>
      <c r="L2706" s="6" t="s">
        <v>1765</v>
      </c>
      <c r="M2706" s="6" t="s">
        <v>7791</v>
      </c>
      <c r="N2706" s="7">
        <f ca="1">RAND()</f>
        <v>0.34230548195079058</v>
      </c>
      <c r="O2706" s="8">
        <v>45210</v>
      </c>
      <c r="P2706" s="8">
        <v>45211</v>
      </c>
      <c r="Q2706" s="8">
        <v>45213</v>
      </c>
      <c r="R2706" s="8">
        <v>45217</v>
      </c>
      <c r="S2706" s="8">
        <v>45224</v>
      </c>
      <c r="T2706" s="8">
        <v>45236</v>
      </c>
      <c r="U2706" s="8"/>
      <c r="V2706" s="10">
        <f>COUNTA(O2706:U2706)</f>
        <v>6</v>
      </c>
      <c r="W2706" s="11">
        <f>_xlfn.IFNA(INDEX(reading[[#This Row],[Memo 01]:[Memo 07]],MATCH(0,reading[[#This Row],[Memo 01]:[Memo 07]],-1)),"")</f>
        <v>45236</v>
      </c>
      <c r="X2706" s="11">
        <f ca="1">IFERROR(reading[[#This Row],[Previous]]+OFFSET(reading[[#Headers],[Memo 01]],-1,MATCH(0,reading[[#This Row],[Memo 01]:[Memo 07]],-1)-1),"")</f>
        <v>45256</v>
      </c>
      <c r="Y2706" s="10" t="str">
        <f ca="1">IF(reading[[#This Row],[Next]]&lt;&gt;"",IF(reading[[#This Row],[Next]]&gt;TODAY(),"OK",""),"")</f>
        <v/>
      </c>
      <c r="Z2706" s="13">
        <v>3</v>
      </c>
      <c r="AA2706" s="13">
        <v>3</v>
      </c>
      <c r="AB2706" s="13">
        <v>3</v>
      </c>
      <c r="AC2706" s="13">
        <v>3</v>
      </c>
      <c r="AD2706" s="13">
        <v>2</v>
      </c>
      <c r="AE2706" s="13">
        <v>3</v>
      </c>
      <c r="AF2706" s="13"/>
      <c r="AG2706" s="16">
        <f>IFERROR(SUMIF(reading[[#This Row],[1st]:[7th]],"&gt;0")/COUNTIF(reading[[#This Row],[1st]:[7th]],"&gt;0"),"")</f>
        <v>2.8333333333333335</v>
      </c>
    </row>
    <row r="2707" spans="1:33" hidden="1" x14ac:dyDescent="0.2">
      <c r="A2707" s="4">
        <f>IF(B2707=1,3,IF(D2707=1,2,IF(F2707=1,1,0)))</f>
        <v>3</v>
      </c>
      <c r="B2707" s="4">
        <f>IF(C2707=$L2707,1,IF(C2707="","",0))</f>
        <v>1</v>
      </c>
      <c r="C2707" s="36" t="s">
        <v>2750</v>
      </c>
      <c r="D2707" s="4" t="str">
        <f>IF(E2707=$L2707,1,IF(E2707="","",0))</f>
        <v/>
      </c>
      <c r="E2707" s="14"/>
      <c r="F2707" s="4" t="str">
        <f>IF(G2707=$L2707,1,IF(G2707="","",0))</f>
        <v/>
      </c>
      <c r="G2707" s="14"/>
      <c r="H2707" s="6">
        <v>2711</v>
      </c>
      <c r="I2707" s="15" t="s">
        <v>3120</v>
      </c>
      <c r="J2707" s="6" t="s">
        <v>5761</v>
      </c>
      <c r="K2707" s="6"/>
      <c r="L2707" s="6" t="s">
        <v>2750</v>
      </c>
      <c r="M2707" s="6" t="s">
        <v>8816</v>
      </c>
      <c r="N2707" s="7">
        <f ca="1">RAND()</f>
        <v>0.97035827523640172</v>
      </c>
      <c r="O2707" s="8">
        <v>45221</v>
      </c>
      <c r="P2707" s="8">
        <v>45221</v>
      </c>
      <c r="Q2707" s="8">
        <v>45221</v>
      </c>
      <c r="R2707" s="8">
        <v>45221</v>
      </c>
      <c r="S2707" s="8">
        <v>45221</v>
      </c>
      <c r="T2707" s="8">
        <v>45221</v>
      </c>
      <c r="U2707" s="8">
        <v>45221</v>
      </c>
      <c r="V2707" s="10">
        <f>COUNTA(O2707:U2707)</f>
        <v>7</v>
      </c>
      <c r="W2707" s="11">
        <f>_xlfn.IFNA(INDEX(reading[[#This Row],[Memo 01]:[Memo 07]],MATCH(0,reading[[#This Row],[Memo 01]:[Memo 07]],-1)),"")</f>
        <v>45221</v>
      </c>
      <c r="X2707" s="11">
        <f ca="1">IFERROR(reading[[#This Row],[Previous]]+OFFSET(reading[[#Headers],[Memo 01]],-1,MATCH(0,reading[[#This Row],[Memo 01]:[Memo 07]],-1)-1),"")</f>
        <v>55221</v>
      </c>
      <c r="Y2707" s="10" t="str">
        <f ca="1">IF(reading[[#This Row],[Next]]&lt;&gt;"",IF(reading[[#This Row],[Next]]&gt;TODAY(),"OK",""),"")</f>
        <v>OK</v>
      </c>
      <c r="Z2707" s="13">
        <v>3</v>
      </c>
      <c r="AA2707" s="13"/>
      <c r="AB2707" s="13"/>
      <c r="AC2707" s="13"/>
      <c r="AD2707" s="13"/>
      <c r="AE2707" s="13"/>
      <c r="AF2707" s="13"/>
      <c r="AG2707" s="16">
        <f>IFERROR(SUMIF(reading[[#This Row],[1st]:[7th]],"&gt;0")/COUNTIF(reading[[#This Row],[1st]:[7th]],"&gt;0"),"")</f>
        <v>3</v>
      </c>
    </row>
    <row r="2708" spans="1:33" hidden="1" x14ac:dyDescent="0.2">
      <c r="A2708" s="4">
        <f>IF(B2708=1,3,IF(D2708=1,2,IF(F2708=1,1,0)))</f>
        <v>0</v>
      </c>
      <c r="B2708" s="4" t="str">
        <f>IF(C2708=$L2708,1,IF(C2708="","",0))</f>
        <v/>
      </c>
      <c r="C2708" s="18"/>
      <c r="D2708" s="4" t="str">
        <f>IF(E2708=$L2708,1,IF(E2708="","",0))</f>
        <v/>
      </c>
      <c r="E2708" s="18"/>
      <c r="F2708" s="4" t="str">
        <f>IF(G2708=$L2708,1,IF(G2708="","",0))</f>
        <v/>
      </c>
      <c r="G2708" s="18"/>
      <c r="H2708" s="6">
        <v>53</v>
      </c>
      <c r="I2708" s="15" t="s">
        <v>3120</v>
      </c>
      <c r="J2708" s="6" t="s">
        <v>3208</v>
      </c>
      <c r="K2708" s="6"/>
      <c r="L2708" s="6" t="s">
        <v>196</v>
      </c>
      <c r="M2708" s="6" t="s">
        <v>6167</v>
      </c>
      <c r="N2708" s="7">
        <f ca="1">RAND()</f>
        <v>1.2086739526024681E-2</v>
      </c>
      <c r="O2708" s="8">
        <v>45198</v>
      </c>
      <c r="P2708" s="8">
        <v>45199</v>
      </c>
      <c r="Q2708" s="8">
        <v>45202</v>
      </c>
      <c r="R2708" s="8">
        <v>45206</v>
      </c>
      <c r="S2708" s="8">
        <v>45213</v>
      </c>
      <c r="T2708" s="8">
        <v>45226</v>
      </c>
      <c r="U2708" s="8">
        <v>45249</v>
      </c>
      <c r="V2708" s="10">
        <f>COUNTA(O2708:U2708)</f>
        <v>7</v>
      </c>
      <c r="W2708" s="11">
        <f>_xlfn.IFNA(INDEX(reading[[#This Row],[Memo 01]:[Memo 07]],MATCH(0,reading[[#This Row],[Memo 01]:[Memo 07]],-1)),"")</f>
        <v>45249</v>
      </c>
      <c r="X2708" s="11">
        <f ca="1">IFERROR(reading[[#This Row],[Previous]]+OFFSET(reading[[#Headers],[Memo 01]],-1,MATCH(0,reading[[#This Row],[Memo 01]:[Memo 07]],-1)-1),"")</f>
        <v>55249</v>
      </c>
      <c r="Y2708" s="10" t="str">
        <f ca="1">IF(reading[[#This Row],[Next]]&lt;&gt;"",IF(reading[[#This Row],[Next]]&gt;TODAY(),"OK",""),"")</f>
        <v>OK</v>
      </c>
      <c r="Z2708" s="13">
        <v>3</v>
      </c>
      <c r="AA2708" s="13">
        <v>3</v>
      </c>
      <c r="AB2708" s="13">
        <v>2</v>
      </c>
      <c r="AC2708" s="13">
        <v>3</v>
      </c>
      <c r="AD2708" s="13">
        <v>3</v>
      </c>
      <c r="AE2708" s="13">
        <v>1</v>
      </c>
      <c r="AF2708" s="13">
        <v>2</v>
      </c>
      <c r="AG2708" s="16">
        <f>IFERROR(SUMIF(reading[[#This Row],[1st]:[7th]],"&gt;0")/COUNTIF(reading[[#This Row],[1st]:[7th]],"&gt;0"),"")</f>
        <v>2.4285714285714284</v>
      </c>
    </row>
    <row r="2709" spans="1:33" hidden="1" x14ac:dyDescent="0.2">
      <c r="A2709" s="4">
        <f>IF(B2709=1,3,IF(D2709=1,2,IF(F2709=1,1,0)))</f>
        <v>0</v>
      </c>
      <c r="B2709" s="4" t="str">
        <f>IF(C2709=$L2709,1,IF(C2709="","",0))</f>
        <v/>
      </c>
      <c r="C2709" s="42"/>
      <c r="D2709" s="4" t="str">
        <f>IF(E2709=$L2709,1,IF(E2709="","",0))</f>
        <v/>
      </c>
      <c r="E2709" s="23"/>
      <c r="F2709" s="4" t="str">
        <f>IF(G2709=$L2709,1,IF(G2709="","",0))</f>
        <v/>
      </c>
      <c r="G2709" s="14"/>
      <c r="H2709" s="6">
        <v>294</v>
      </c>
      <c r="I2709" s="15" t="s">
        <v>3120</v>
      </c>
      <c r="J2709" s="6" t="s">
        <v>3442</v>
      </c>
      <c r="K2709" s="6"/>
      <c r="L2709" s="6" t="s">
        <v>429</v>
      </c>
      <c r="M2709" s="6" t="s">
        <v>6403</v>
      </c>
      <c r="N2709" s="7">
        <f ca="1">RAND()</f>
        <v>0.61759994174716359</v>
      </c>
      <c r="O2709" s="8">
        <v>45200</v>
      </c>
      <c r="P2709" s="8">
        <v>45201</v>
      </c>
      <c r="Q2709" s="8">
        <v>45203</v>
      </c>
      <c r="R2709" s="8">
        <v>45207</v>
      </c>
      <c r="S2709" s="8">
        <v>45214</v>
      </c>
      <c r="T2709" s="8">
        <v>45226</v>
      </c>
      <c r="U2709" s="8">
        <v>45816</v>
      </c>
      <c r="V2709" s="10">
        <f>COUNTA(O2709:U2709)</f>
        <v>7</v>
      </c>
      <c r="W2709" s="11">
        <f>_xlfn.IFNA(INDEX(reading[[#This Row],[Memo 01]:[Memo 07]],MATCH(0,reading[[#This Row],[Memo 01]:[Memo 07]],-1)),"")</f>
        <v>45816</v>
      </c>
      <c r="X2709" s="11">
        <f ca="1">IFERROR(reading[[#This Row],[Previous]]+OFFSET(reading[[#Headers],[Memo 01]],-1,MATCH(0,reading[[#This Row],[Memo 01]:[Memo 07]],-1)-1),"")</f>
        <v>55816</v>
      </c>
      <c r="Y2709" s="10" t="str">
        <f ca="1">IF(reading[[#This Row],[Next]]&lt;&gt;"",IF(reading[[#This Row],[Next]]&gt;TODAY(),"OK",""),"")</f>
        <v>OK</v>
      </c>
      <c r="Z2709" s="13">
        <v>3</v>
      </c>
      <c r="AA2709" s="13">
        <v>3</v>
      </c>
      <c r="AB2709" s="13">
        <v>3</v>
      </c>
      <c r="AC2709" s="13">
        <v>3</v>
      </c>
      <c r="AD2709" s="13">
        <v>3</v>
      </c>
      <c r="AE2709" s="13">
        <v>3</v>
      </c>
      <c r="AF2709" s="13">
        <v>2</v>
      </c>
      <c r="AG2709" s="16">
        <f>IFERROR(SUMIF(reading[[#This Row],[1st]:[7th]],"&gt;0")/COUNTIF(reading[[#This Row],[1st]:[7th]],"&gt;0"),"")</f>
        <v>2.8571428571428572</v>
      </c>
    </row>
    <row r="2710" spans="1:33" hidden="1" x14ac:dyDescent="0.2">
      <c r="A2710" s="4">
        <f>IF(B2710=1,3,IF(D2710=1,2,IF(F2710=1,1,0)))</f>
        <v>3</v>
      </c>
      <c r="B2710" s="4">
        <f>IF(C2710=$L2710,1,IF(C2710="","",0))</f>
        <v>1</v>
      </c>
      <c r="C2710" s="36" t="s">
        <v>2752</v>
      </c>
      <c r="D2710" s="4" t="str">
        <f>IF(E2710=$L2710,1,IF(E2710="","",0))</f>
        <v/>
      </c>
      <c r="E2710" s="14"/>
      <c r="F2710" s="4" t="str">
        <f>IF(G2710=$L2710,1,IF(G2710="","",0))</f>
        <v/>
      </c>
      <c r="G2710" s="14"/>
      <c r="H2710" s="6">
        <v>2714</v>
      </c>
      <c r="I2710" s="15" t="s">
        <v>3120</v>
      </c>
      <c r="J2710" s="6" t="s">
        <v>5764</v>
      </c>
      <c r="K2710" s="6"/>
      <c r="L2710" s="6" t="s">
        <v>2752</v>
      </c>
      <c r="M2710" s="6" t="s">
        <v>8819</v>
      </c>
      <c r="N2710" s="7">
        <f ca="1">RAND()</f>
        <v>0.41833319531391422</v>
      </c>
      <c r="O2710" s="8">
        <v>45221</v>
      </c>
      <c r="P2710" s="8">
        <v>45221</v>
      </c>
      <c r="Q2710" s="8">
        <v>45221</v>
      </c>
      <c r="R2710" s="8">
        <v>45221</v>
      </c>
      <c r="S2710" s="8">
        <v>45221</v>
      </c>
      <c r="T2710" s="8">
        <v>45221</v>
      </c>
      <c r="U2710" s="8">
        <v>45221</v>
      </c>
      <c r="V2710" s="10">
        <f>COUNTA(O2710:U2710)</f>
        <v>7</v>
      </c>
      <c r="W2710" s="11">
        <f>_xlfn.IFNA(INDEX(reading[[#This Row],[Memo 01]:[Memo 07]],MATCH(0,reading[[#This Row],[Memo 01]:[Memo 07]],-1)),"")</f>
        <v>45221</v>
      </c>
      <c r="X2710" s="11">
        <f ca="1">IFERROR(reading[[#This Row],[Previous]]+OFFSET(reading[[#Headers],[Memo 01]],-1,MATCH(0,reading[[#This Row],[Memo 01]:[Memo 07]],-1)-1),"")</f>
        <v>55221</v>
      </c>
      <c r="Y2710" s="10" t="str">
        <f ca="1">IF(reading[[#This Row],[Next]]&lt;&gt;"",IF(reading[[#This Row],[Next]]&gt;TODAY(),"OK",""),"")</f>
        <v>OK</v>
      </c>
      <c r="Z2710" s="13">
        <v>3</v>
      </c>
      <c r="AA2710" s="13"/>
      <c r="AB2710" s="13"/>
      <c r="AC2710" s="13"/>
      <c r="AD2710" s="13"/>
      <c r="AE2710" s="13"/>
      <c r="AF2710" s="13"/>
      <c r="AG2710" s="16">
        <f>IFERROR(SUMIF(reading[[#This Row],[1st]:[7th]],"&gt;0")/COUNTIF(reading[[#This Row],[1st]:[7th]],"&gt;0"),"")</f>
        <v>3</v>
      </c>
    </row>
    <row r="2711" spans="1:33" x14ac:dyDescent="0.2">
      <c r="A2711" s="4">
        <f>IF(B2711=1,3,IF(D2711=1,2,IF(F2711=1,1,0)))</f>
        <v>0</v>
      </c>
      <c r="B2711" s="4" t="str">
        <f>IF(C2711=$L2711,1,IF(C2711="","",0))</f>
        <v/>
      </c>
      <c r="C2711" s="38"/>
      <c r="D2711" s="4" t="str">
        <f>IF(E2711=$L2711,1,IF(E2711="","",0))</f>
        <v/>
      </c>
      <c r="E2711" s="14"/>
      <c r="F2711" s="4" t="str">
        <f>IF(G2711=$L2711,1,IF(G2711="","",0))</f>
        <v/>
      </c>
      <c r="G2711" s="14"/>
      <c r="H2711" s="6">
        <v>785</v>
      </c>
      <c r="I2711" s="15" t="s">
        <v>3120</v>
      </c>
      <c r="J2711" s="6" t="s">
        <v>3919</v>
      </c>
      <c r="K2711" s="6"/>
      <c r="L2711" s="6" t="s">
        <v>904</v>
      </c>
      <c r="M2711" s="6" t="s">
        <v>6894</v>
      </c>
      <c r="N2711" s="7">
        <f ca="1">RAND()</f>
        <v>0.6321520198315469</v>
      </c>
      <c r="O2711" s="8">
        <v>45203</v>
      </c>
      <c r="P2711" s="8">
        <v>45204</v>
      </c>
      <c r="Q2711" s="8">
        <v>45206</v>
      </c>
      <c r="R2711" s="8">
        <v>45210</v>
      </c>
      <c r="S2711" s="8">
        <v>45217</v>
      </c>
      <c r="T2711" s="8">
        <v>45229</v>
      </c>
      <c r="U2711" s="8"/>
      <c r="V2711" s="10">
        <f>COUNTA(O2711:U2711)</f>
        <v>6</v>
      </c>
      <c r="W2711" s="11">
        <f>_xlfn.IFNA(INDEX(reading[[#This Row],[Memo 01]:[Memo 07]],MATCH(0,reading[[#This Row],[Memo 01]:[Memo 07]],-1)),"")</f>
        <v>45229</v>
      </c>
      <c r="X2711" s="11">
        <f ca="1">IFERROR(reading[[#This Row],[Previous]]+OFFSET(reading[[#Headers],[Memo 01]],-1,MATCH(0,reading[[#This Row],[Memo 01]:[Memo 07]],-1)-1),"")</f>
        <v>45249</v>
      </c>
      <c r="Y2711" s="10" t="str">
        <f ca="1">IF(reading[[#This Row],[Next]]&lt;&gt;"",IF(reading[[#This Row],[Next]]&gt;TODAY(),"OK",""),"")</f>
        <v/>
      </c>
      <c r="Z2711" s="13">
        <v>3</v>
      </c>
      <c r="AA2711" s="13">
        <v>3</v>
      </c>
      <c r="AB2711" s="13">
        <v>3</v>
      </c>
      <c r="AC2711" s="13">
        <v>3</v>
      </c>
      <c r="AD2711" s="13">
        <v>3</v>
      </c>
      <c r="AE2711" s="13">
        <v>3</v>
      </c>
      <c r="AF2711" s="13"/>
      <c r="AG2711" s="16">
        <f>IFERROR(SUMIF(reading[[#This Row],[1st]:[7th]],"&gt;0")/COUNTIF(reading[[#This Row],[1st]:[7th]],"&gt;0"),"")</f>
        <v>3</v>
      </c>
    </row>
    <row r="2712" spans="1:33" x14ac:dyDescent="0.2">
      <c r="A2712" s="4">
        <f>IF(B2712=1,3,IF(D2712=1,2,IF(F2712=1,1,0)))</f>
        <v>0</v>
      </c>
      <c r="B2712" s="4" t="str">
        <f>IF(C2712=$L2712,1,IF(C2712="","",0))</f>
        <v/>
      </c>
      <c r="C2712" s="41"/>
      <c r="D2712" s="4" t="str">
        <f>IF(E2712=$L2712,1,IF(E2712="","",0))</f>
        <v/>
      </c>
      <c r="E2712" s="18"/>
      <c r="F2712" s="4" t="str">
        <f>IF(G2712=$L2712,1,IF(G2712="","",0))</f>
        <v/>
      </c>
      <c r="G2712" s="14"/>
      <c r="H2712" s="6">
        <v>2363</v>
      </c>
      <c r="I2712" s="15" t="s">
        <v>3120</v>
      </c>
      <c r="J2712" s="6" t="s">
        <v>5440</v>
      </c>
      <c r="K2712" s="6"/>
      <c r="L2712" s="6" t="s">
        <v>2416</v>
      </c>
      <c r="M2712" s="6" t="s">
        <v>8468</v>
      </c>
      <c r="N2712" s="7">
        <f ca="1">RAND()</f>
        <v>0.53425184946985649</v>
      </c>
      <c r="O2712" s="8">
        <v>45217</v>
      </c>
      <c r="P2712" s="8">
        <v>45218</v>
      </c>
      <c r="Q2712" s="8">
        <v>45220</v>
      </c>
      <c r="R2712" s="8">
        <v>45224</v>
      </c>
      <c r="S2712" s="8">
        <v>45231</v>
      </c>
      <c r="T2712" s="8">
        <v>45252</v>
      </c>
      <c r="U2712" s="8"/>
      <c r="V2712" s="10">
        <f>COUNTA(O2712:U2712)</f>
        <v>6</v>
      </c>
      <c r="W2712" s="11">
        <f>_xlfn.IFNA(INDEX(reading[[#This Row],[Memo 01]:[Memo 07]],MATCH(0,reading[[#This Row],[Memo 01]:[Memo 07]],-1)),"")</f>
        <v>45252</v>
      </c>
      <c r="X2712" s="11">
        <f ca="1">IFERROR(reading[[#This Row],[Previous]]+OFFSET(reading[[#Headers],[Memo 01]],-1,MATCH(0,reading[[#This Row],[Memo 01]:[Memo 07]],-1)-1),"")</f>
        <v>45272</v>
      </c>
      <c r="Y2712" s="10" t="str">
        <f ca="1">IF(reading[[#This Row],[Next]]&lt;&gt;"",IF(reading[[#This Row],[Next]]&gt;TODAY(),"OK",""),"")</f>
        <v/>
      </c>
      <c r="Z2712" s="13">
        <v>3</v>
      </c>
      <c r="AA2712" s="13">
        <v>2</v>
      </c>
      <c r="AB2712" s="13">
        <v>3</v>
      </c>
      <c r="AC2712" s="13">
        <v>2</v>
      </c>
      <c r="AD2712" s="13">
        <v>3</v>
      </c>
      <c r="AE2712" s="13">
        <v>2</v>
      </c>
      <c r="AF2712" s="13"/>
      <c r="AG2712" s="16">
        <f>IFERROR(SUMIF(reading[[#This Row],[1st]:[7th]],"&gt;0")/COUNTIF(reading[[#This Row],[1st]:[7th]],"&gt;0"),"")</f>
        <v>2.5</v>
      </c>
    </row>
    <row r="2713" spans="1:33" hidden="1" x14ac:dyDescent="0.2">
      <c r="A2713" s="4">
        <f>IF(B2713=1,3,IF(D2713=1,2,IF(F2713=1,1,0)))</f>
        <v>3</v>
      </c>
      <c r="B2713" s="4">
        <f>IF(C2713=$L2713,1,IF(C2713="","",0))</f>
        <v>1</v>
      </c>
      <c r="C2713" s="36" t="s">
        <v>2755</v>
      </c>
      <c r="D2713" s="4" t="str">
        <f>IF(E2713=$L2713,1,IF(E2713="","",0))</f>
        <v/>
      </c>
      <c r="E2713" s="14"/>
      <c r="F2713" s="4" t="str">
        <f>IF(G2713=$L2713,1,IF(G2713="","",0))</f>
        <v/>
      </c>
      <c r="G2713" s="14"/>
      <c r="H2713" s="6">
        <v>2717</v>
      </c>
      <c r="I2713" s="15" t="s">
        <v>3120</v>
      </c>
      <c r="J2713" s="6" t="s">
        <v>5767</v>
      </c>
      <c r="K2713" s="6"/>
      <c r="L2713" s="6" t="s">
        <v>2755</v>
      </c>
      <c r="M2713" s="6" t="s">
        <v>8822</v>
      </c>
      <c r="N2713" s="7">
        <f ca="1">RAND()</f>
        <v>0.38126935997205591</v>
      </c>
      <c r="O2713" s="8">
        <v>45221</v>
      </c>
      <c r="P2713" s="8">
        <v>45221</v>
      </c>
      <c r="Q2713" s="8">
        <v>45221</v>
      </c>
      <c r="R2713" s="8">
        <v>45221</v>
      </c>
      <c r="S2713" s="8">
        <v>45221</v>
      </c>
      <c r="T2713" s="8">
        <v>45221</v>
      </c>
      <c r="U2713" s="8">
        <v>45221</v>
      </c>
      <c r="V2713" s="10">
        <f>COUNTA(O2713:U2713)</f>
        <v>7</v>
      </c>
      <c r="W2713" s="11">
        <f>_xlfn.IFNA(INDEX(reading[[#This Row],[Memo 01]:[Memo 07]],MATCH(0,reading[[#This Row],[Memo 01]:[Memo 07]],-1)),"")</f>
        <v>45221</v>
      </c>
      <c r="X2713" s="11">
        <f ca="1">IFERROR(reading[[#This Row],[Previous]]+OFFSET(reading[[#Headers],[Memo 01]],-1,MATCH(0,reading[[#This Row],[Memo 01]:[Memo 07]],-1)-1),"")</f>
        <v>55221</v>
      </c>
      <c r="Y2713" s="10" t="str">
        <f ca="1">IF(reading[[#This Row],[Next]]&lt;&gt;"",IF(reading[[#This Row],[Next]]&gt;TODAY(),"OK",""),"")</f>
        <v>OK</v>
      </c>
      <c r="Z2713" s="13">
        <v>3</v>
      </c>
      <c r="AA2713" s="13"/>
      <c r="AB2713" s="13"/>
      <c r="AC2713" s="13"/>
      <c r="AD2713" s="13"/>
      <c r="AE2713" s="13"/>
      <c r="AF2713" s="13"/>
      <c r="AG2713" s="16">
        <f>IFERROR(SUMIF(reading[[#This Row],[1st]:[7th]],"&gt;0")/COUNTIF(reading[[#This Row],[1st]:[7th]],"&gt;0"),"")</f>
        <v>3</v>
      </c>
    </row>
    <row r="2714" spans="1:33" hidden="1" x14ac:dyDescent="0.2">
      <c r="A2714" s="4">
        <f>IF(B2714=1,3,IF(D2714=1,2,IF(F2714=1,1,0)))</f>
        <v>3</v>
      </c>
      <c r="B2714" s="4">
        <f>IF(C2714=$L2714,1,IF(C2714="","",0))</f>
        <v>1</v>
      </c>
      <c r="C2714" s="36" t="s">
        <v>2756</v>
      </c>
      <c r="D2714" s="4" t="str">
        <f>IF(E2714=$L2714,1,IF(E2714="","",0))</f>
        <v/>
      </c>
      <c r="E2714" s="14"/>
      <c r="F2714" s="4" t="str">
        <f>IF(G2714=$L2714,1,IF(G2714="","",0))</f>
        <v/>
      </c>
      <c r="G2714" s="14"/>
      <c r="H2714" s="6">
        <v>2718</v>
      </c>
      <c r="I2714" s="15" t="s">
        <v>3120</v>
      </c>
      <c r="J2714" s="6" t="s">
        <v>5768</v>
      </c>
      <c r="K2714" s="6"/>
      <c r="L2714" s="6" t="s">
        <v>2756</v>
      </c>
      <c r="M2714" s="6" t="s">
        <v>8823</v>
      </c>
      <c r="N2714" s="7">
        <f ca="1">RAND()</f>
        <v>0.14315233388034976</v>
      </c>
      <c r="O2714" s="8">
        <v>45221</v>
      </c>
      <c r="P2714" s="8">
        <v>45221</v>
      </c>
      <c r="Q2714" s="8">
        <v>45221</v>
      </c>
      <c r="R2714" s="8">
        <v>45221</v>
      </c>
      <c r="S2714" s="8">
        <v>45221</v>
      </c>
      <c r="T2714" s="8">
        <v>45221</v>
      </c>
      <c r="U2714" s="8">
        <v>45221</v>
      </c>
      <c r="V2714" s="10">
        <f>COUNTA(O2714:U2714)</f>
        <v>7</v>
      </c>
      <c r="W2714" s="11">
        <f>_xlfn.IFNA(INDEX(reading[[#This Row],[Memo 01]:[Memo 07]],MATCH(0,reading[[#This Row],[Memo 01]:[Memo 07]],-1)),"")</f>
        <v>45221</v>
      </c>
      <c r="X2714" s="11">
        <f ca="1">IFERROR(reading[[#This Row],[Previous]]+OFFSET(reading[[#Headers],[Memo 01]],-1,MATCH(0,reading[[#This Row],[Memo 01]:[Memo 07]],-1)-1),"")</f>
        <v>55221</v>
      </c>
      <c r="Y2714" s="10" t="str">
        <f ca="1">IF(reading[[#This Row],[Next]]&lt;&gt;"",IF(reading[[#This Row],[Next]]&gt;TODAY(),"OK",""),"")</f>
        <v>OK</v>
      </c>
      <c r="Z2714" s="13">
        <v>3</v>
      </c>
      <c r="AA2714" s="13"/>
      <c r="AB2714" s="13"/>
      <c r="AC2714" s="13"/>
      <c r="AD2714" s="13"/>
      <c r="AE2714" s="13"/>
      <c r="AF2714" s="13"/>
      <c r="AG2714" s="16">
        <f>IFERROR(SUMIF(reading[[#This Row],[1st]:[7th]],"&gt;0")/COUNTIF(reading[[#This Row],[1st]:[7th]],"&gt;0"),"")</f>
        <v>3</v>
      </c>
    </row>
    <row r="2715" spans="1:33" x14ac:dyDescent="0.2">
      <c r="A2715" s="4">
        <f>IF(B2715=1,3,IF(D2715=1,2,IF(F2715=1,1,0)))</f>
        <v>0</v>
      </c>
      <c r="B2715" s="4" t="str">
        <f>IF(C2715=$L2715,1,IF(C2715="","",0))</f>
        <v/>
      </c>
      <c r="C2715" s="36"/>
      <c r="D2715" s="4" t="str">
        <f>IF(E2715=$L2715,1,IF(E2715="","",0))</f>
        <v/>
      </c>
      <c r="E2715" s="14"/>
      <c r="F2715" s="4" t="str">
        <f>IF(G2715=$L2715,1,IF(G2715="","",0))</f>
        <v/>
      </c>
      <c r="G2715" s="14"/>
      <c r="H2715" s="6">
        <v>381</v>
      </c>
      <c r="I2715" s="15" t="s">
        <v>3120</v>
      </c>
      <c r="J2715" s="6" t="s">
        <v>3528</v>
      </c>
      <c r="K2715" s="6"/>
      <c r="L2715" s="6" t="s">
        <v>514</v>
      </c>
      <c r="M2715" s="6" t="s">
        <v>6490</v>
      </c>
      <c r="N2715" s="7">
        <f ca="1">RAND()</f>
        <v>0.59684007051573218</v>
      </c>
      <c r="O2715" s="8">
        <v>45201</v>
      </c>
      <c r="P2715" s="8">
        <v>45202</v>
      </c>
      <c r="Q2715" s="8">
        <v>45204</v>
      </c>
      <c r="R2715" s="8">
        <v>45208</v>
      </c>
      <c r="S2715" s="8">
        <v>45215</v>
      </c>
      <c r="T2715" s="8">
        <v>45227</v>
      </c>
      <c r="U2715" s="8"/>
      <c r="V2715" s="10">
        <f>COUNTA(O2715:U2715)</f>
        <v>6</v>
      </c>
      <c r="W2715" s="11">
        <f>_xlfn.IFNA(INDEX(reading[[#This Row],[Memo 01]:[Memo 07]],MATCH(0,reading[[#This Row],[Memo 01]:[Memo 07]],-1)),"")</f>
        <v>45227</v>
      </c>
      <c r="X2715" s="11">
        <f ca="1">IFERROR(reading[[#This Row],[Previous]]+OFFSET(reading[[#Headers],[Memo 01]],-1,MATCH(0,reading[[#This Row],[Memo 01]:[Memo 07]],-1)-1),"")</f>
        <v>45247</v>
      </c>
      <c r="Y2715" s="10" t="str">
        <f ca="1">IF(reading[[#This Row],[Next]]&lt;&gt;"",IF(reading[[#This Row],[Next]]&gt;TODAY(),"OK",""),"")</f>
        <v/>
      </c>
      <c r="Z2715" s="13">
        <v>3</v>
      </c>
      <c r="AA2715" s="13">
        <v>3</v>
      </c>
      <c r="AB2715" s="13">
        <v>3</v>
      </c>
      <c r="AC2715" s="13">
        <v>3</v>
      </c>
      <c r="AD2715" s="13">
        <v>3</v>
      </c>
      <c r="AE2715" s="13">
        <v>3</v>
      </c>
      <c r="AF2715" s="13"/>
      <c r="AG2715" s="16">
        <f>IFERROR(SUMIF(reading[[#This Row],[1st]:[7th]],"&gt;0")/COUNTIF(reading[[#This Row],[1st]:[7th]],"&gt;0"),"")</f>
        <v>3</v>
      </c>
    </row>
    <row r="2716" spans="1:33" x14ac:dyDescent="0.2">
      <c r="A2716" s="4">
        <f>IF(B2716=1,3,IF(D2716=1,2,IF(F2716=1,1,0)))</f>
        <v>0</v>
      </c>
      <c r="B2716" s="4" t="str">
        <f>IF(C2716=$L2716,1,IF(C2716="","",0))</f>
        <v/>
      </c>
      <c r="C2716" s="39"/>
      <c r="D2716" s="4" t="str">
        <f>IF(E2716=$L2716,1,IF(E2716="","",0))</f>
        <v/>
      </c>
      <c r="E2716" s="14"/>
      <c r="F2716" s="4" t="str">
        <f>IF(G2716=$L2716,1,IF(G2716="","",0))</f>
        <v/>
      </c>
      <c r="G2716" s="14"/>
      <c r="H2716" s="6">
        <v>1087</v>
      </c>
      <c r="I2716" s="15" t="s">
        <v>3120</v>
      </c>
      <c r="J2716" s="6" t="s">
        <v>4211</v>
      </c>
      <c r="K2716" s="6"/>
      <c r="L2716" s="6" t="s">
        <v>130</v>
      </c>
      <c r="M2716" s="6" t="s">
        <v>7195</v>
      </c>
      <c r="N2716" s="7">
        <f ca="1">RAND()</f>
        <v>0.23823073012452634</v>
      </c>
      <c r="O2716" s="8">
        <v>45205</v>
      </c>
      <c r="P2716" s="8">
        <v>45206</v>
      </c>
      <c r="Q2716" s="8">
        <v>45208</v>
      </c>
      <c r="R2716" s="8">
        <v>45212</v>
      </c>
      <c r="S2716" s="8">
        <v>45219</v>
      </c>
      <c r="T2716" s="8">
        <v>45231</v>
      </c>
      <c r="U2716" s="8"/>
      <c r="V2716" s="10">
        <f>COUNTA(O2716:U2716)</f>
        <v>6</v>
      </c>
      <c r="W2716" s="11">
        <f>_xlfn.IFNA(INDEX(reading[[#This Row],[Memo 01]:[Memo 07]],MATCH(0,reading[[#This Row],[Memo 01]:[Memo 07]],-1)),"")</f>
        <v>45231</v>
      </c>
      <c r="X2716" s="11">
        <f ca="1">IFERROR(reading[[#This Row],[Previous]]+OFFSET(reading[[#Headers],[Memo 01]],-1,MATCH(0,reading[[#This Row],[Memo 01]:[Memo 07]],-1)-1),"")</f>
        <v>45251</v>
      </c>
      <c r="Y2716" s="10" t="str">
        <f ca="1">IF(reading[[#This Row],[Next]]&lt;&gt;"",IF(reading[[#This Row],[Next]]&gt;TODAY(),"OK",""),"")</f>
        <v/>
      </c>
      <c r="Z2716" s="13">
        <v>3</v>
      </c>
      <c r="AA2716" s="13">
        <v>3</v>
      </c>
      <c r="AB2716" s="13">
        <v>3</v>
      </c>
      <c r="AC2716" s="13">
        <v>3</v>
      </c>
      <c r="AD2716" s="13">
        <v>3</v>
      </c>
      <c r="AE2716" s="13">
        <v>3</v>
      </c>
      <c r="AF2716" s="13"/>
      <c r="AG2716" s="16">
        <f>IFERROR(SUMIF(reading[[#This Row],[1st]:[7th]],"&gt;0")/COUNTIF(reading[[#This Row],[1st]:[7th]],"&gt;0"),"")</f>
        <v>3</v>
      </c>
    </row>
    <row r="2717" spans="1:33" hidden="1" x14ac:dyDescent="0.2">
      <c r="A2717" s="4">
        <f>IF(B2717=1,3,IF(D2717=1,2,IF(F2717=1,1,0)))</f>
        <v>0</v>
      </c>
      <c r="B2717" s="4" t="str">
        <f>IF(C2717=$L2717,1,IF(C2717="","",0))</f>
        <v/>
      </c>
      <c r="C2717" s="42"/>
      <c r="D2717" s="4" t="str">
        <f>IF(E2717=$L2717,1,IF(E2717="","",0))</f>
        <v/>
      </c>
      <c r="E2717" s="43"/>
      <c r="F2717" s="4" t="str">
        <f>IF(G2717=$L2717,1,IF(G2717="","",0))</f>
        <v/>
      </c>
      <c r="G2717" s="23"/>
      <c r="H2717" s="6">
        <v>2719</v>
      </c>
      <c r="I2717" s="15" t="s">
        <v>3120</v>
      </c>
      <c r="J2717" s="6" t="s">
        <v>5769</v>
      </c>
      <c r="K2717" s="6"/>
      <c r="L2717" s="6" t="s">
        <v>2757</v>
      </c>
      <c r="M2717" s="6" t="s">
        <v>8824</v>
      </c>
      <c r="N2717" s="7">
        <f ca="1">RAND()</f>
        <v>0.87302177519258206</v>
      </c>
      <c r="O2717" s="8">
        <v>45221</v>
      </c>
      <c r="P2717" s="8">
        <v>45222</v>
      </c>
      <c r="Q2717" s="8">
        <v>45224</v>
      </c>
      <c r="R2717" s="8">
        <v>45228</v>
      </c>
      <c r="S2717" s="8">
        <v>45235</v>
      </c>
      <c r="T2717" s="8">
        <v>45248</v>
      </c>
      <c r="U2717" s="8">
        <v>45825</v>
      </c>
      <c r="V2717" s="10">
        <f>COUNTA(O2717:U2717)</f>
        <v>7</v>
      </c>
      <c r="W2717" s="11">
        <f>_xlfn.IFNA(INDEX(reading[[#This Row],[Memo 01]:[Memo 07]],MATCH(0,reading[[#This Row],[Memo 01]:[Memo 07]],-1)),"")</f>
        <v>45825</v>
      </c>
      <c r="X2717" s="11">
        <f ca="1">IFERROR(reading[[#This Row],[Previous]]+OFFSET(reading[[#Headers],[Memo 01]],-1,MATCH(0,reading[[#This Row],[Memo 01]:[Memo 07]],-1)-1),"")</f>
        <v>55825</v>
      </c>
      <c r="Y2717" s="10" t="str">
        <f ca="1">IF(reading[[#This Row],[Next]]&lt;&gt;"",IF(reading[[#This Row],[Next]]&gt;TODAY(),"OK",""),"")</f>
        <v>OK</v>
      </c>
      <c r="Z2717" s="13">
        <v>3</v>
      </c>
      <c r="AA2717" s="13">
        <v>2</v>
      </c>
      <c r="AB2717" s="13">
        <v>2</v>
      </c>
      <c r="AC2717" s="13">
        <v>3</v>
      </c>
      <c r="AD2717" s="13">
        <v>2</v>
      </c>
      <c r="AE2717" s="13">
        <v>3</v>
      </c>
      <c r="AF2717" s="13">
        <v>1</v>
      </c>
      <c r="AG2717" s="16">
        <f>IFERROR(SUMIF(reading[[#This Row],[1st]:[7th]],"&gt;0")/COUNTIF(reading[[#This Row],[1st]:[7th]],"&gt;0"),"")</f>
        <v>2.2857142857142856</v>
      </c>
    </row>
    <row r="2718" spans="1:33" hidden="1" x14ac:dyDescent="0.2">
      <c r="A2718" s="4">
        <f>IF(B2718=1,3,IF(D2718=1,2,IF(F2718=1,1,0)))</f>
        <v>0</v>
      </c>
      <c r="B2718" s="4" t="str">
        <f>IF(C2718=$L2718,1,IF(C2718="","",0))</f>
        <v/>
      </c>
      <c r="C2718" s="42"/>
      <c r="D2718" s="4" t="str">
        <f>IF(E2718=$L2718,1,IF(E2718="","",0))</f>
        <v/>
      </c>
      <c r="E2718" s="23"/>
      <c r="F2718" s="4" t="str">
        <f>IF(G2718=$L2718,1,IF(G2718="","",0))</f>
        <v/>
      </c>
      <c r="G2718" s="23"/>
      <c r="H2718" s="6">
        <v>1807</v>
      </c>
      <c r="I2718" s="15" t="s">
        <v>3120</v>
      </c>
      <c r="J2718" s="6" t="s">
        <v>4913</v>
      </c>
      <c r="K2718" s="6"/>
      <c r="L2718" s="6" t="s">
        <v>1886</v>
      </c>
      <c r="M2718" s="6" t="s">
        <v>7913</v>
      </c>
      <c r="N2718" s="7">
        <f ca="1">RAND()</f>
        <v>8.6673573743302423E-2</v>
      </c>
      <c r="O2718" s="8">
        <v>45212</v>
      </c>
      <c r="P2718" s="8">
        <v>45213</v>
      </c>
      <c r="Q2718" s="8">
        <v>45215</v>
      </c>
      <c r="R2718" s="8">
        <v>45219</v>
      </c>
      <c r="S2718" s="8">
        <v>45226</v>
      </c>
      <c r="T2718" s="8">
        <v>45817</v>
      </c>
      <c r="U2718" s="8"/>
      <c r="V2718" s="10">
        <f>COUNTA(O2718:U2718)</f>
        <v>6</v>
      </c>
      <c r="W2718" s="11">
        <f>_xlfn.IFNA(INDEX(reading[[#This Row],[Memo 01]:[Memo 07]],MATCH(0,reading[[#This Row],[Memo 01]:[Memo 07]],-1)),"")</f>
        <v>45817</v>
      </c>
      <c r="X2718" s="11">
        <f ca="1">IFERROR(reading[[#This Row],[Previous]]+OFFSET(reading[[#Headers],[Memo 01]],-1,MATCH(0,reading[[#This Row],[Memo 01]:[Memo 07]],-1)-1),"")</f>
        <v>45837</v>
      </c>
      <c r="Y2718" s="10" t="str">
        <f ca="1">IF(reading[[#This Row],[Next]]&lt;&gt;"",IF(reading[[#This Row],[Next]]&gt;TODAY(),"OK",""),"")</f>
        <v>OK</v>
      </c>
      <c r="Z2718" s="13">
        <v>3</v>
      </c>
      <c r="AA2718" s="13">
        <v>3</v>
      </c>
      <c r="AB2718" s="13">
        <v>3</v>
      </c>
      <c r="AC2718" s="13">
        <v>3</v>
      </c>
      <c r="AD2718" s="13">
        <v>3</v>
      </c>
      <c r="AE2718" s="13">
        <v>1</v>
      </c>
      <c r="AF2718" s="13"/>
      <c r="AG2718" s="16">
        <f>IFERROR(SUMIF(reading[[#This Row],[1st]:[7th]],"&gt;0")/COUNTIF(reading[[#This Row],[1st]:[7th]],"&gt;0"),"")</f>
        <v>2.6666666666666665</v>
      </c>
    </row>
    <row r="2719" spans="1:33" x14ac:dyDescent="0.2">
      <c r="A2719" s="4">
        <f>IF(B2719=1,3,IF(D2719=1,2,IF(F2719=1,1,0)))</f>
        <v>0</v>
      </c>
      <c r="B2719" s="4" t="str">
        <f>IF(C2719=$L2719,1,IF(C2719="","",0))</f>
        <v/>
      </c>
      <c r="C2719" s="38"/>
      <c r="D2719" s="4" t="str">
        <f>IF(E2719=$L2719,1,IF(E2719="","",0))</f>
        <v/>
      </c>
      <c r="E2719" s="14"/>
      <c r="F2719" s="4" t="str">
        <f>IF(G2719=$L2719,1,IF(G2719="","",0))</f>
        <v/>
      </c>
      <c r="G2719" s="14"/>
      <c r="H2719" s="6">
        <v>2235</v>
      </c>
      <c r="I2719" s="15" t="s">
        <v>3120</v>
      </c>
      <c r="J2719" s="6" t="s">
        <v>5320</v>
      </c>
      <c r="K2719" s="15" t="s">
        <v>3139</v>
      </c>
      <c r="L2719" s="6" t="s">
        <v>2297</v>
      </c>
      <c r="M2719" s="6" t="s">
        <v>8340</v>
      </c>
      <c r="N2719" s="7">
        <f ca="1">RAND()</f>
        <v>0.75683552738946713</v>
      </c>
      <c r="O2719" s="8">
        <v>45215</v>
      </c>
      <c r="P2719" s="8">
        <v>45216</v>
      </c>
      <c r="Q2719" s="8">
        <v>45218</v>
      </c>
      <c r="R2719" s="8">
        <v>45222</v>
      </c>
      <c r="S2719" s="8">
        <v>45229</v>
      </c>
      <c r="T2719" s="8"/>
      <c r="U2719" s="8"/>
      <c r="V2719" s="10">
        <f>COUNTA(O2719:U2719)</f>
        <v>5</v>
      </c>
      <c r="W2719" s="11">
        <f>_xlfn.IFNA(INDEX(reading[[#This Row],[Memo 01]:[Memo 07]],MATCH(0,reading[[#This Row],[Memo 01]:[Memo 07]],-1)),"")</f>
        <v>45229</v>
      </c>
      <c r="X2719" s="11">
        <f ca="1">IFERROR(reading[[#This Row],[Previous]]+OFFSET(reading[[#Headers],[Memo 01]],-1,MATCH(0,reading[[#This Row],[Memo 01]:[Memo 07]],-1)-1),"")</f>
        <v>45241</v>
      </c>
      <c r="Y2719" s="10" t="str">
        <f ca="1">IF(reading[[#This Row],[Next]]&lt;&gt;"",IF(reading[[#This Row],[Next]]&gt;TODAY(),"OK",""),"")</f>
        <v/>
      </c>
      <c r="Z2719" s="13">
        <v>3</v>
      </c>
      <c r="AA2719" s="13">
        <v>3</v>
      </c>
      <c r="AB2719" s="13">
        <v>3</v>
      </c>
      <c r="AC2719" s="13">
        <v>3</v>
      </c>
      <c r="AD2719" s="13">
        <v>3</v>
      </c>
      <c r="AE2719" s="13"/>
      <c r="AF2719" s="13"/>
      <c r="AG2719" s="16">
        <f>IFERROR(SUMIF(reading[[#This Row],[1st]:[7th]],"&gt;0")/COUNTIF(reading[[#This Row],[1st]:[7th]],"&gt;0"),"")</f>
        <v>3</v>
      </c>
    </row>
    <row r="2720" spans="1:33" x14ac:dyDescent="0.2">
      <c r="A2720" s="4">
        <f>IF(B2720=1,3,IF(D2720=1,2,IF(F2720=1,1,0)))</f>
        <v>0</v>
      </c>
      <c r="B2720" s="4" t="str">
        <f>IF(C2720=$L2720,1,IF(C2720="","",0))</f>
        <v/>
      </c>
      <c r="C2720" s="42"/>
      <c r="D2720" s="4" t="str">
        <f>IF(E2720=$L2720,1,IF(E2720="","",0))</f>
        <v/>
      </c>
      <c r="E2720" s="14"/>
      <c r="F2720" s="4" t="str">
        <f>IF(G2720=$L2720,1,IF(G2720="","",0))</f>
        <v/>
      </c>
      <c r="G2720" s="14"/>
      <c r="H2720" s="6">
        <v>2200</v>
      </c>
      <c r="I2720" s="15" t="s">
        <v>3120</v>
      </c>
      <c r="J2720" s="6" t="s">
        <v>5286</v>
      </c>
      <c r="K2720" s="6"/>
      <c r="L2720" s="6" t="s">
        <v>2263</v>
      </c>
      <c r="M2720" s="6" t="s">
        <v>8306</v>
      </c>
      <c r="N2720" s="7">
        <f ca="1">RAND()</f>
        <v>0.83448668999031372</v>
      </c>
      <c r="O2720" s="8">
        <v>45214</v>
      </c>
      <c r="P2720" s="8">
        <v>45215</v>
      </c>
      <c r="Q2720" s="8">
        <v>45217</v>
      </c>
      <c r="R2720" s="8">
        <v>45221</v>
      </c>
      <c r="S2720" s="8">
        <v>45228</v>
      </c>
      <c r="T2720" s="8">
        <v>45792</v>
      </c>
      <c r="U2720" s="8"/>
      <c r="V2720" s="10">
        <f>COUNTA(O2720:U2720)</f>
        <v>6</v>
      </c>
      <c r="W2720" s="11">
        <f>_xlfn.IFNA(INDEX(reading[[#This Row],[Memo 01]:[Memo 07]],MATCH(0,reading[[#This Row],[Memo 01]:[Memo 07]],-1)),"")</f>
        <v>45792</v>
      </c>
      <c r="X2720" s="11">
        <f ca="1">IFERROR(reading[[#This Row],[Previous]]+OFFSET(reading[[#Headers],[Memo 01]],-1,MATCH(0,reading[[#This Row],[Memo 01]:[Memo 07]],-1)-1),"")</f>
        <v>45812</v>
      </c>
      <c r="Y2720" s="10" t="str">
        <f ca="1">IF(reading[[#This Row],[Next]]&lt;&gt;"",IF(reading[[#This Row],[Next]]&gt;TODAY(),"OK",""),"")</f>
        <v/>
      </c>
      <c r="Z2720" s="13">
        <v>3</v>
      </c>
      <c r="AA2720" s="13">
        <v>3</v>
      </c>
      <c r="AB2720" s="13">
        <v>3</v>
      </c>
      <c r="AC2720" s="13">
        <v>3</v>
      </c>
      <c r="AD2720" s="13">
        <v>3</v>
      </c>
      <c r="AE2720" s="13">
        <v>3</v>
      </c>
      <c r="AF2720" s="13"/>
      <c r="AG2720" s="16">
        <f>IFERROR(SUMIF(reading[[#This Row],[1st]:[7th]],"&gt;0")/COUNTIF(reading[[#This Row],[1st]:[7th]],"&gt;0"),"")</f>
        <v>3</v>
      </c>
    </row>
    <row r="2721" spans="1:33" hidden="1" x14ac:dyDescent="0.2">
      <c r="A2721" s="4">
        <f>IF(B2721=1,3,IF(D2721=1,2,IF(F2721=1,1,0)))</f>
        <v>0</v>
      </c>
      <c r="B2721" s="4" t="str">
        <f>IF(C2721=$L2721,1,IF(C2721="","",0))</f>
        <v/>
      </c>
      <c r="C2721" s="41"/>
      <c r="D2721" s="4" t="str">
        <f>IF(E2721=$L2721,1,IF(E2721="","",0))</f>
        <v/>
      </c>
      <c r="E2721" s="18"/>
      <c r="F2721" s="4" t="str">
        <f>IF(G2721=$L2721,1,IF(G2721="","",0))</f>
        <v/>
      </c>
      <c r="G2721" s="14"/>
      <c r="H2721" s="6">
        <v>1098</v>
      </c>
      <c r="I2721" s="15" t="s">
        <v>3120</v>
      </c>
      <c r="J2721" s="6" t="s">
        <v>4222</v>
      </c>
      <c r="K2721" s="6"/>
      <c r="L2721" s="6" t="s">
        <v>1204</v>
      </c>
      <c r="M2721" s="6" t="s">
        <v>7206</v>
      </c>
      <c r="N2721" s="7">
        <f ca="1">RAND()</f>
        <v>0.30770271823443718</v>
      </c>
      <c r="O2721" s="8">
        <v>45205</v>
      </c>
      <c r="P2721" s="8">
        <v>45206</v>
      </c>
      <c r="Q2721" s="8">
        <v>45208</v>
      </c>
      <c r="R2721" s="8">
        <v>45212</v>
      </c>
      <c r="S2721" s="8">
        <v>45219</v>
      </c>
      <c r="T2721" s="8">
        <v>45231</v>
      </c>
      <c r="U2721" s="8">
        <v>45252</v>
      </c>
      <c r="V2721" s="10">
        <f>COUNTA(O2721:U2721)</f>
        <v>7</v>
      </c>
      <c r="W2721" s="11">
        <f>_xlfn.IFNA(INDEX(reading[[#This Row],[Memo 01]:[Memo 07]],MATCH(0,reading[[#This Row],[Memo 01]:[Memo 07]],-1)),"")</f>
        <v>45252</v>
      </c>
      <c r="X2721" s="11">
        <f ca="1">IFERROR(reading[[#This Row],[Previous]]+OFFSET(reading[[#Headers],[Memo 01]],-1,MATCH(0,reading[[#This Row],[Memo 01]:[Memo 07]],-1)-1),"")</f>
        <v>55252</v>
      </c>
      <c r="Y2721" s="10" t="str">
        <f ca="1">IF(reading[[#This Row],[Next]]&lt;&gt;"",IF(reading[[#This Row],[Next]]&gt;TODAY(),"OK",""),"")</f>
        <v>OK</v>
      </c>
      <c r="Z2721" s="13">
        <v>3</v>
      </c>
      <c r="AA2721" s="13">
        <v>2</v>
      </c>
      <c r="AB2721" s="13">
        <v>3</v>
      </c>
      <c r="AC2721" s="13">
        <v>3</v>
      </c>
      <c r="AD2721" s="13">
        <v>2</v>
      </c>
      <c r="AE2721" s="13">
        <v>2</v>
      </c>
      <c r="AF2721" s="13">
        <v>2</v>
      </c>
      <c r="AG2721" s="16">
        <f>IFERROR(SUMIF(reading[[#This Row],[1st]:[7th]],"&gt;0")/COUNTIF(reading[[#This Row],[1st]:[7th]],"&gt;0"),"")</f>
        <v>2.4285714285714284</v>
      </c>
    </row>
    <row r="2722" spans="1:33" hidden="1" x14ac:dyDescent="0.2">
      <c r="A2722" s="4">
        <f>IF(B2722=1,3,IF(D2722=1,2,IF(F2722=1,1,0)))</f>
        <v>0</v>
      </c>
      <c r="B2722" s="4" t="str">
        <f>IF(C2722=$L2722,1,IF(C2722="","",0))</f>
        <v/>
      </c>
      <c r="C2722" s="42"/>
      <c r="D2722" s="4" t="str">
        <f>IF(E2722=$L2722,1,IF(E2722="","",0))</f>
        <v/>
      </c>
      <c r="E2722" s="23"/>
      <c r="F2722" s="4" t="str">
        <f>IF(G2722=$L2722,1,IF(G2722="","",0))</f>
        <v/>
      </c>
      <c r="G2722" s="14"/>
      <c r="H2722" s="6">
        <v>1907</v>
      </c>
      <c r="I2722" s="15" t="s">
        <v>3120</v>
      </c>
      <c r="J2722" s="6" t="s">
        <v>5008</v>
      </c>
      <c r="K2722" s="6"/>
      <c r="L2722" s="6" t="s">
        <v>1983</v>
      </c>
      <c r="M2722" s="6" t="s">
        <v>8013</v>
      </c>
      <c r="N2722" s="7">
        <f ca="1">RAND()</f>
        <v>0.91321849759944984</v>
      </c>
      <c r="O2722" s="8">
        <v>45213</v>
      </c>
      <c r="P2722" s="8">
        <v>45214</v>
      </c>
      <c r="Q2722" s="8">
        <v>45216</v>
      </c>
      <c r="R2722" s="8">
        <v>45220</v>
      </c>
      <c r="S2722" s="8">
        <v>45227</v>
      </c>
      <c r="T2722" s="8">
        <v>45816</v>
      </c>
      <c r="U2722" s="8"/>
      <c r="V2722" s="10">
        <f>COUNTA(O2722:U2722)</f>
        <v>6</v>
      </c>
      <c r="W2722" s="11">
        <f>_xlfn.IFNA(INDEX(reading[[#This Row],[Memo 01]:[Memo 07]],MATCH(0,reading[[#This Row],[Memo 01]:[Memo 07]],-1)),"")</f>
        <v>45816</v>
      </c>
      <c r="X2722" s="11">
        <f ca="1">IFERROR(reading[[#This Row],[Previous]]+OFFSET(reading[[#Headers],[Memo 01]],-1,MATCH(0,reading[[#This Row],[Memo 01]:[Memo 07]],-1)-1),"")</f>
        <v>45836</v>
      </c>
      <c r="Y2722" s="10" t="str">
        <f ca="1">IF(reading[[#This Row],[Next]]&lt;&gt;"",IF(reading[[#This Row],[Next]]&gt;TODAY(),"OK",""),"")</f>
        <v>OK</v>
      </c>
      <c r="Z2722" s="13">
        <v>3</v>
      </c>
      <c r="AA2722" s="13">
        <v>3</v>
      </c>
      <c r="AB2722" s="13">
        <v>3</v>
      </c>
      <c r="AC2722" s="13">
        <v>3</v>
      </c>
      <c r="AD2722" s="13">
        <v>3</v>
      </c>
      <c r="AE2722" s="13">
        <v>2</v>
      </c>
      <c r="AF2722" s="13"/>
      <c r="AG2722" s="16">
        <f>IFERROR(SUMIF(reading[[#This Row],[1st]:[7th]],"&gt;0")/COUNTIF(reading[[#This Row],[1st]:[7th]],"&gt;0"),"")</f>
        <v>2.8333333333333335</v>
      </c>
    </row>
    <row r="2723" spans="1:33" x14ac:dyDescent="0.2">
      <c r="A2723" s="4">
        <f>IF(B2723=1,3,IF(D2723=1,2,IF(F2723=1,1,0)))</f>
        <v>0</v>
      </c>
      <c r="B2723" s="4" t="str">
        <f>IF(C2723=$L2723,1,IF(C2723="","",0))</f>
        <v/>
      </c>
      <c r="C2723" s="41"/>
      <c r="D2723" s="4" t="str">
        <f>IF(E2723=$L2723,1,IF(E2723="","",0))</f>
        <v/>
      </c>
      <c r="E2723" s="14"/>
      <c r="F2723" s="4" t="str">
        <f>IF(G2723=$L2723,1,IF(G2723="","",0))</f>
        <v/>
      </c>
      <c r="G2723" s="14"/>
      <c r="H2723" s="6">
        <v>3064</v>
      </c>
      <c r="I2723" s="15" t="s">
        <v>3120</v>
      </c>
      <c r="J2723" s="6" t="s">
        <v>6085</v>
      </c>
      <c r="K2723" s="6"/>
      <c r="L2723" s="6" t="s">
        <v>3089</v>
      </c>
      <c r="M2723" s="6" t="s">
        <v>9167</v>
      </c>
      <c r="N2723" s="7">
        <f ca="1">RAND()</f>
        <v>0.35616818806047412</v>
      </c>
      <c r="O2723" s="8">
        <v>45224</v>
      </c>
      <c r="P2723" s="8">
        <v>45225</v>
      </c>
      <c r="Q2723" s="8">
        <v>45227</v>
      </c>
      <c r="R2723" s="8">
        <v>45231</v>
      </c>
      <c r="S2723" s="8">
        <v>45249</v>
      </c>
      <c r="T2723" s="8"/>
      <c r="U2723" s="8"/>
      <c r="V2723" s="10">
        <f>COUNTA(O2723:U2723)</f>
        <v>5</v>
      </c>
      <c r="W2723" s="11">
        <f>_xlfn.IFNA(INDEX(reading[[#This Row],[Memo 01]:[Memo 07]],MATCH(0,reading[[#This Row],[Memo 01]:[Memo 07]],-1)),"")</f>
        <v>45249</v>
      </c>
      <c r="X2723" s="11">
        <f ca="1">IFERROR(reading[[#This Row],[Previous]]+OFFSET(reading[[#Headers],[Memo 01]],-1,MATCH(0,reading[[#This Row],[Memo 01]:[Memo 07]],-1)-1),"")</f>
        <v>45261</v>
      </c>
      <c r="Y2723" s="10" t="str">
        <f ca="1">IF(reading[[#This Row],[Next]]&lt;&gt;"",IF(reading[[#This Row],[Next]]&gt;TODAY(),"OK",""),"")</f>
        <v/>
      </c>
      <c r="Z2723" s="13">
        <v>3</v>
      </c>
      <c r="AA2723" s="13">
        <v>3</v>
      </c>
      <c r="AB2723" s="13">
        <v>3</v>
      </c>
      <c r="AC2723" s="13">
        <v>3</v>
      </c>
      <c r="AD2723" s="13">
        <v>3</v>
      </c>
      <c r="AE2723" s="13"/>
      <c r="AF2723" s="13"/>
      <c r="AG2723" s="16">
        <f>IFERROR(SUMIF(reading[[#This Row],[1st]:[7th]],"&gt;0")/COUNTIF(reading[[#This Row],[1st]:[7th]],"&gt;0"),"")</f>
        <v>3</v>
      </c>
    </row>
    <row r="2724" spans="1:33" x14ac:dyDescent="0.2">
      <c r="A2724" s="4">
        <f>IF(B2724=1,3,IF(D2724=1,2,IF(F2724=1,1,0)))</f>
        <v>0</v>
      </c>
      <c r="B2724" s="4" t="str">
        <f>IF(C2724=$L2724,1,IF(C2724="","",0))</f>
        <v/>
      </c>
      <c r="C2724" s="36"/>
      <c r="D2724" s="4" t="str">
        <f>IF(E2724=$L2724,1,IF(E2724="","",0))</f>
        <v/>
      </c>
      <c r="E2724" s="14"/>
      <c r="F2724" s="4" t="str">
        <f>IF(G2724=$L2724,1,IF(G2724="","",0))</f>
        <v/>
      </c>
      <c r="G2724" s="14"/>
      <c r="H2724" s="6">
        <v>347</v>
      </c>
      <c r="I2724" s="15" t="s">
        <v>3120</v>
      </c>
      <c r="J2724" s="6" t="s">
        <v>3494</v>
      </c>
      <c r="K2724" s="6"/>
      <c r="L2724" s="6" t="s">
        <v>481</v>
      </c>
      <c r="M2724" s="6" t="s">
        <v>6456</v>
      </c>
      <c r="N2724" s="7">
        <f ca="1">RAND()</f>
        <v>0.12957672350408678</v>
      </c>
      <c r="O2724" s="8">
        <v>45200</v>
      </c>
      <c r="P2724" s="8">
        <v>45201</v>
      </c>
      <c r="Q2724" s="8">
        <v>45203</v>
      </c>
      <c r="R2724" s="8">
        <v>45207</v>
      </c>
      <c r="S2724" s="8">
        <v>45214</v>
      </c>
      <c r="T2724" s="8">
        <v>45226</v>
      </c>
      <c r="U2724" s="8"/>
      <c r="V2724" s="10">
        <f>COUNTA(O2724:U2724)</f>
        <v>6</v>
      </c>
      <c r="W2724" s="11">
        <f>_xlfn.IFNA(INDEX(reading[[#This Row],[Memo 01]:[Memo 07]],MATCH(0,reading[[#This Row],[Memo 01]:[Memo 07]],-1)),"")</f>
        <v>45226</v>
      </c>
      <c r="X2724" s="11">
        <f ca="1">IFERROR(reading[[#This Row],[Previous]]+OFFSET(reading[[#Headers],[Memo 01]],-1,MATCH(0,reading[[#This Row],[Memo 01]:[Memo 07]],-1)-1),"")</f>
        <v>45246</v>
      </c>
      <c r="Y2724" s="10" t="str">
        <f ca="1">IF(reading[[#This Row],[Next]]&lt;&gt;"",IF(reading[[#This Row],[Next]]&gt;TODAY(),"OK",""),"")</f>
        <v/>
      </c>
      <c r="Z2724" s="13">
        <v>3</v>
      </c>
      <c r="AA2724" s="13">
        <v>3</v>
      </c>
      <c r="AB2724" s="13">
        <v>3</v>
      </c>
      <c r="AC2724" s="13">
        <v>3</v>
      </c>
      <c r="AD2724" s="13">
        <v>3</v>
      </c>
      <c r="AE2724" s="13">
        <v>3</v>
      </c>
      <c r="AF2724" s="13"/>
      <c r="AG2724" s="16">
        <f>IFERROR(SUMIF(reading[[#This Row],[1st]:[7th]],"&gt;0")/COUNTIF(reading[[#This Row],[1st]:[7th]],"&gt;0"),"")</f>
        <v>3</v>
      </c>
    </row>
    <row r="2725" spans="1:33" x14ac:dyDescent="0.2">
      <c r="A2725" s="4">
        <f>IF(B2725=1,3,IF(D2725=1,2,IF(F2725=1,1,0)))</f>
        <v>0</v>
      </c>
      <c r="B2725" s="4" t="str">
        <f>IF(C2725=$L2725,1,IF(C2725="","",0))</f>
        <v/>
      </c>
      <c r="C2725" s="41"/>
      <c r="D2725" s="4" t="str">
        <f>IF(E2725=$L2725,1,IF(E2725="","",0))</f>
        <v/>
      </c>
      <c r="E2725" s="18"/>
      <c r="F2725" s="4" t="str">
        <f>IF(G2725=$L2725,1,IF(G2725="","",0))</f>
        <v/>
      </c>
      <c r="G2725" s="14"/>
      <c r="H2725" s="6">
        <v>1727</v>
      </c>
      <c r="I2725" s="15" t="s">
        <v>3120</v>
      </c>
      <c r="J2725" s="6" t="s">
        <v>4835</v>
      </c>
      <c r="K2725" s="6"/>
      <c r="L2725" s="6" t="s">
        <v>1807</v>
      </c>
      <c r="M2725" s="6" t="s">
        <v>7833</v>
      </c>
      <c r="N2725" s="7">
        <f ca="1">RAND()</f>
        <v>0.33966373203438627</v>
      </c>
      <c r="O2725" s="8">
        <v>45212</v>
      </c>
      <c r="P2725" s="8">
        <v>45213</v>
      </c>
      <c r="Q2725" s="8">
        <v>45215</v>
      </c>
      <c r="R2725" s="8">
        <v>45219</v>
      </c>
      <c r="S2725" s="8">
        <v>45226</v>
      </c>
      <c r="T2725" s="8"/>
      <c r="U2725" s="8"/>
      <c r="V2725" s="10">
        <f>COUNTA(O2725:U2725)</f>
        <v>5</v>
      </c>
      <c r="W2725" s="11">
        <f>_xlfn.IFNA(INDEX(reading[[#This Row],[Memo 01]:[Memo 07]],MATCH(0,reading[[#This Row],[Memo 01]:[Memo 07]],-1)),"")</f>
        <v>45226</v>
      </c>
      <c r="X2725" s="11">
        <f ca="1">IFERROR(reading[[#This Row],[Previous]]+OFFSET(reading[[#Headers],[Memo 01]],-1,MATCH(0,reading[[#This Row],[Memo 01]:[Memo 07]],-1)-1),"")</f>
        <v>45238</v>
      </c>
      <c r="Y2725" s="10" t="str">
        <f ca="1">IF(reading[[#This Row],[Next]]&lt;&gt;"",IF(reading[[#This Row],[Next]]&gt;TODAY(),"OK",""),"")</f>
        <v/>
      </c>
      <c r="Z2725" s="13">
        <v>3</v>
      </c>
      <c r="AA2725" s="13">
        <v>2</v>
      </c>
      <c r="AB2725" s="13">
        <v>3</v>
      </c>
      <c r="AC2725" s="13">
        <v>3</v>
      </c>
      <c r="AD2725" s="13">
        <v>2</v>
      </c>
      <c r="AE2725" s="13"/>
      <c r="AF2725" s="13"/>
      <c r="AG2725" s="16">
        <f>IFERROR(SUMIF(reading[[#This Row],[1st]:[7th]],"&gt;0")/COUNTIF(reading[[#This Row],[1st]:[7th]],"&gt;0"),"")</f>
        <v>2.6</v>
      </c>
    </row>
    <row r="2726" spans="1:33" hidden="1" x14ac:dyDescent="0.2">
      <c r="A2726" s="4">
        <f>IF(B2726=1,3,IF(D2726=1,2,IF(F2726=1,1,0)))</f>
        <v>0</v>
      </c>
      <c r="B2726" s="4" t="str">
        <f>IF(C2726=$L2726,1,IF(C2726="","",0))</f>
        <v/>
      </c>
      <c r="C2726" s="41"/>
      <c r="D2726" s="4" t="str">
        <f>IF(E2726=$L2726,1,IF(E2726="","",0))</f>
        <v/>
      </c>
      <c r="E2726" s="18"/>
      <c r="F2726" s="4" t="str">
        <f>IF(G2726=$L2726,1,IF(G2726="","",0))</f>
        <v/>
      </c>
      <c r="G2726" s="18"/>
      <c r="H2726" s="6">
        <v>389</v>
      </c>
      <c r="I2726" s="15" t="s">
        <v>3120</v>
      </c>
      <c r="J2726" s="6" t="s">
        <v>3535</v>
      </c>
      <c r="K2726" s="15" t="s">
        <v>3138</v>
      </c>
      <c r="L2726" s="6" t="s">
        <v>521</v>
      </c>
      <c r="M2726" s="6" t="s">
        <v>6498</v>
      </c>
      <c r="N2726" s="7">
        <f ca="1">RAND()</f>
        <v>0.36902630034999595</v>
      </c>
      <c r="O2726" s="8">
        <v>45201</v>
      </c>
      <c r="P2726" s="8">
        <v>45202</v>
      </c>
      <c r="Q2726" s="8">
        <v>45204</v>
      </c>
      <c r="R2726" s="8">
        <v>45208</v>
      </c>
      <c r="S2726" s="8">
        <v>45215</v>
      </c>
      <c r="T2726" s="8">
        <v>45227</v>
      </c>
      <c r="U2726" s="8">
        <v>45252</v>
      </c>
      <c r="V2726" s="10">
        <f>COUNTA(O2726:U2726)</f>
        <v>7</v>
      </c>
      <c r="W2726" s="11">
        <f>_xlfn.IFNA(INDEX(reading[[#This Row],[Memo 01]:[Memo 07]],MATCH(0,reading[[#This Row],[Memo 01]:[Memo 07]],-1)),"")</f>
        <v>45252</v>
      </c>
      <c r="X2726" s="11">
        <f ca="1">IFERROR(reading[[#This Row],[Previous]]+OFFSET(reading[[#Headers],[Memo 01]],-1,MATCH(0,reading[[#This Row],[Memo 01]:[Memo 07]],-1)-1),"")</f>
        <v>55252</v>
      </c>
      <c r="Y2726" s="10" t="str">
        <f ca="1">IF(reading[[#This Row],[Next]]&lt;&gt;"",IF(reading[[#This Row],[Next]]&gt;TODAY(),"OK",""),"")</f>
        <v>OK</v>
      </c>
      <c r="Z2726" s="13">
        <v>3</v>
      </c>
      <c r="AA2726" s="13">
        <v>3</v>
      </c>
      <c r="AB2726" s="13">
        <v>3</v>
      </c>
      <c r="AC2726" s="13">
        <v>2</v>
      </c>
      <c r="AD2726" s="13">
        <v>2</v>
      </c>
      <c r="AE2726" s="13">
        <v>2</v>
      </c>
      <c r="AF2726" s="13">
        <v>1</v>
      </c>
      <c r="AG2726" s="16">
        <f>IFERROR(SUMIF(reading[[#This Row],[1st]:[7th]],"&gt;0")/COUNTIF(reading[[#This Row],[1st]:[7th]],"&gt;0"),"")</f>
        <v>2.2857142857142856</v>
      </c>
    </row>
    <row r="2727" spans="1:33" x14ac:dyDescent="0.2">
      <c r="A2727" s="4">
        <f>IF(B2727=1,3,IF(D2727=1,2,IF(F2727=1,1,0)))</f>
        <v>0</v>
      </c>
      <c r="B2727" s="4" t="str">
        <f>IF(C2727=$L2727,1,IF(C2727="","",0))</f>
        <v/>
      </c>
      <c r="C2727" s="36"/>
      <c r="D2727" s="4" t="str">
        <f>IF(E2727=$L2727,1,IF(E2727="","",0))</f>
        <v/>
      </c>
      <c r="E2727" s="14"/>
      <c r="F2727" s="4" t="str">
        <f>IF(G2727=$L2727,1,IF(G2727="","",0))</f>
        <v/>
      </c>
      <c r="G2727" s="14"/>
      <c r="H2727" s="6">
        <v>397</v>
      </c>
      <c r="I2727" s="15" t="s">
        <v>3120</v>
      </c>
      <c r="J2727" s="6" t="s">
        <v>3543</v>
      </c>
      <c r="K2727" s="6"/>
      <c r="L2727" s="6" t="s">
        <v>528</v>
      </c>
      <c r="M2727" s="6" t="s">
        <v>6506</v>
      </c>
      <c r="N2727" s="7">
        <f ca="1">RAND()</f>
        <v>0.90952385882854214</v>
      </c>
      <c r="O2727" s="8">
        <v>45201</v>
      </c>
      <c r="P2727" s="8">
        <v>45202</v>
      </c>
      <c r="Q2727" s="8">
        <v>45204</v>
      </c>
      <c r="R2727" s="8">
        <v>45208</v>
      </c>
      <c r="S2727" s="8">
        <v>45215</v>
      </c>
      <c r="T2727" s="8">
        <v>45227</v>
      </c>
      <c r="U2727" s="8"/>
      <c r="V2727" s="10">
        <f>COUNTA(O2727:U2727)</f>
        <v>6</v>
      </c>
      <c r="W2727" s="11">
        <f>_xlfn.IFNA(INDEX(reading[[#This Row],[Memo 01]:[Memo 07]],MATCH(0,reading[[#This Row],[Memo 01]:[Memo 07]],-1)),"")</f>
        <v>45227</v>
      </c>
      <c r="X2727" s="11">
        <f ca="1">IFERROR(reading[[#This Row],[Previous]]+OFFSET(reading[[#Headers],[Memo 01]],-1,MATCH(0,reading[[#This Row],[Memo 01]:[Memo 07]],-1)-1),"")</f>
        <v>45247</v>
      </c>
      <c r="Y2727" s="10" t="str">
        <f ca="1">IF(reading[[#This Row],[Next]]&lt;&gt;"",IF(reading[[#This Row],[Next]]&gt;TODAY(),"OK",""),"")</f>
        <v/>
      </c>
      <c r="Z2727" s="13">
        <v>3</v>
      </c>
      <c r="AA2727" s="13">
        <v>3</v>
      </c>
      <c r="AB2727" s="13">
        <v>3</v>
      </c>
      <c r="AC2727" s="13">
        <v>3</v>
      </c>
      <c r="AD2727" s="13">
        <v>3</v>
      </c>
      <c r="AE2727" s="13">
        <v>3</v>
      </c>
      <c r="AF2727" s="13"/>
      <c r="AG2727" s="16">
        <f>IFERROR(SUMIF(reading[[#This Row],[1st]:[7th]],"&gt;0")/COUNTIF(reading[[#This Row],[1st]:[7th]],"&gt;0"),"")</f>
        <v>3</v>
      </c>
    </row>
    <row r="2728" spans="1:33" x14ac:dyDescent="0.2">
      <c r="A2728" s="4">
        <f>IF(B2728=1,3,IF(D2728=1,2,IF(F2728=1,1,0)))</f>
        <v>0</v>
      </c>
      <c r="B2728" s="4" t="str">
        <f>IF(C2728=$L2728,1,IF(C2728="","",0))</f>
        <v/>
      </c>
      <c r="C2728" s="39"/>
      <c r="D2728" s="4" t="str">
        <f>IF(E2728=$L2728,1,IF(E2728="","",0))</f>
        <v/>
      </c>
      <c r="E2728" s="14"/>
      <c r="F2728" s="4" t="str">
        <f>IF(G2728=$L2728,1,IF(G2728="","",0))</f>
        <v/>
      </c>
      <c r="G2728" s="14"/>
      <c r="H2728" s="6">
        <v>2909</v>
      </c>
      <c r="I2728" s="15" t="s">
        <v>3120</v>
      </c>
      <c r="J2728" s="6" t="s">
        <v>5945</v>
      </c>
      <c r="K2728" s="15" t="s">
        <v>3153</v>
      </c>
      <c r="L2728" s="6" t="s">
        <v>2939</v>
      </c>
      <c r="M2728" s="6" t="s">
        <v>9013</v>
      </c>
      <c r="N2728" s="7">
        <f ca="1">RAND()</f>
        <v>0.60651364552201181</v>
      </c>
      <c r="O2728" s="8">
        <v>45223</v>
      </c>
      <c r="P2728" s="8">
        <v>45224</v>
      </c>
      <c r="Q2728" s="8">
        <v>45226</v>
      </c>
      <c r="R2728" s="8">
        <v>45230</v>
      </c>
      <c r="S2728" s="8">
        <v>45237</v>
      </c>
      <c r="T2728" s="8"/>
      <c r="U2728" s="8"/>
      <c r="V2728" s="10">
        <f>COUNTA(O2728:U2728)</f>
        <v>5</v>
      </c>
      <c r="W2728" s="11">
        <f>_xlfn.IFNA(INDEX(reading[[#This Row],[Memo 01]:[Memo 07]],MATCH(0,reading[[#This Row],[Memo 01]:[Memo 07]],-1)),"")</f>
        <v>45237</v>
      </c>
      <c r="X2728" s="11">
        <f ca="1">IFERROR(reading[[#This Row],[Previous]]+OFFSET(reading[[#Headers],[Memo 01]],-1,MATCH(0,reading[[#This Row],[Memo 01]:[Memo 07]],-1)-1),"")</f>
        <v>45249</v>
      </c>
      <c r="Y2728" s="10" t="str">
        <f ca="1">IF(reading[[#This Row],[Next]]&lt;&gt;"",IF(reading[[#This Row],[Next]]&gt;TODAY(),"OK",""),"")</f>
        <v/>
      </c>
      <c r="Z2728" s="13">
        <v>3</v>
      </c>
      <c r="AA2728" s="13">
        <v>3</v>
      </c>
      <c r="AB2728" s="13">
        <v>3</v>
      </c>
      <c r="AC2728" s="13">
        <v>3</v>
      </c>
      <c r="AD2728" s="13">
        <v>3</v>
      </c>
      <c r="AE2728" s="13"/>
      <c r="AF2728" s="13"/>
      <c r="AG2728" s="16">
        <f>IFERROR(SUMIF(reading[[#This Row],[1st]:[7th]],"&gt;0")/COUNTIF(reading[[#This Row],[1st]:[7th]],"&gt;0"),"")</f>
        <v>3</v>
      </c>
    </row>
    <row r="2729" spans="1:33" x14ac:dyDescent="0.2">
      <c r="A2729" s="4">
        <f>IF(B2729=1,3,IF(D2729=1,2,IF(F2729=1,1,0)))</f>
        <v>0</v>
      </c>
      <c r="B2729" s="4" t="str">
        <f>IF(C2729=$L2729,1,IF(C2729="","",0))</f>
        <v/>
      </c>
      <c r="C2729" s="38"/>
      <c r="D2729" s="4" t="str">
        <f>IF(E2729=$L2729,1,IF(E2729="","",0))</f>
        <v/>
      </c>
      <c r="E2729" s="14"/>
      <c r="F2729" s="4" t="str">
        <f>IF(G2729=$L2729,1,IF(G2729="","",0))</f>
        <v/>
      </c>
      <c r="G2729" s="14"/>
      <c r="H2729" s="6">
        <v>507</v>
      </c>
      <c r="I2729" s="15" t="s">
        <v>3120</v>
      </c>
      <c r="J2729" s="6" t="s">
        <v>3652</v>
      </c>
      <c r="K2729" s="6"/>
      <c r="L2729" s="6" t="s">
        <v>635</v>
      </c>
      <c r="M2729" s="6" t="s">
        <v>6616</v>
      </c>
      <c r="N2729" s="7">
        <f ca="1">RAND()</f>
        <v>0.25889751927577798</v>
      </c>
      <c r="O2729" s="8">
        <v>45202</v>
      </c>
      <c r="P2729" s="8">
        <v>45203</v>
      </c>
      <c r="Q2729" s="8">
        <v>45205</v>
      </c>
      <c r="R2729" s="8">
        <v>45209</v>
      </c>
      <c r="S2729" s="8">
        <v>45216</v>
      </c>
      <c r="T2729" s="8">
        <v>45228</v>
      </c>
      <c r="U2729" s="8"/>
      <c r="V2729" s="10">
        <f>COUNTA(O2729:U2729)</f>
        <v>6</v>
      </c>
      <c r="W2729" s="11">
        <f>_xlfn.IFNA(INDEX(reading[[#This Row],[Memo 01]:[Memo 07]],MATCH(0,reading[[#This Row],[Memo 01]:[Memo 07]],-1)),"")</f>
        <v>45228</v>
      </c>
      <c r="X2729" s="11">
        <f ca="1">IFERROR(reading[[#This Row],[Previous]]+OFFSET(reading[[#Headers],[Memo 01]],-1,MATCH(0,reading[[#This Row],[Memo 01]:[Memo 07]],-1)-1),"")</f>
        <v>45248</v>
      </c>
      <c r="Y2729" s="10" t="str">
        <f ca="1">IF(reading[[#This Row],[Next]]&lt;&gt;"",IF(reading[[#This Row],[Next]]&gt;TODAY(),"OK",""),"")</f>
        <v/>
      </c>
      <c r="Z2729" s="13">
        <v>3</v>
      </c>
      <c r="AA2729" s="13">
        <v>2</v>
      </c>
      <c r="AB2729" s="13">
        <v>3</v>
      </c>
      <c r="AC2729" s="13">
        <v>3</v>
      </c>
      <c r="AD2729" s="13">
        <v>3</v>
      </c>
      <c r="AE2729" s="13">
        <v>3</v>
      </c>
      <c r="AF2729" s="13"/>
      <c r="AG2729" s="16">
        <f>IFERROR(SUMIF(reading[[#This Row],[1st]:[7th]],"&gt;0")/COUNTIF(reading[[#This Row],[1st]:[7th]],"&gt;0"),"")</f>
        <v>2.8333333333333335</v>
      </c>
    </row>
    <row r="2730" spans="1:33" x14ac:dyDescent="0.2">
      <c r="A2730" s="4">
        <f>IF(B2730=1,3,IF(D2730=1,2,IF(F2730=1,1,0)))</f>
        <v>0</v>
      </c>
      <c r="B2730" s="4" t="str">
        <f>IF(C2730=$L2730,1,IF(C2730="","",0))</f>
        <v/>
      </c>
      <c r="C2730" s="36"/>
      <c r="D2730" s="4" t="str">
        <f>IF(E2730=$L2730,1,IF(E2730="","",0))</f>
        <v/>
      </c>
      <c r="E2730" s="14"/>
      <c r="F2730" s="4" t="str">
        <f>IF(G2730=$L2730,1,IF(G2730="","",0))</f>
        <v/>
      </c>
      <c r="G2730" s="14"/>
      <c r="H2730" s="6">
        <v>1847</v>
      </c>
      <c r="I2730" s="15" t="s">
        <v>3120</v>
      </c>
      <c r="J2730" s="6" t="s">
        <v>4950</v>
      </c>
      <c r="K2730" s="6"/>
      <c r="L2730" s="6" t="s">
        <v>1925</v>
      </c>
      <c r="M2730" s="6" t="s">
        <v>7953</v>
      </c>
      <c r="N2730" s="7">
        <f ca="1">RAND()</f>
        <v>0.30443935693247481</v>
      </c>
      <c r="O2730" s="8">
        <v>45212</v>
      </c>
      <c r="P2730" s="8">
        <v>45213</v>
      </c>
      <c r="Q2730" s="8">
        <v>45215</v>
      </c>
      <c r="R2730" s="8">
        <v>45219</v>
      </c>
      <c r="S2730" s="8">
        <v>45226</v>
      </c>
      <c r="T2730" s="8"/>
      <c r="U2730" s="8"/>
      <c r="V2730" s="10">
        <f>COUNTA(O2730:U2730)</f>
        <v>5</v>
      </c>
      <c r="W2730" s="11">
        <f>_xlfn.IFNA(INDEX(reading[[#This Row],[Memo 01]:[Memo 07]],MATCH(0,reading[[#This Row],[Memo 01]:[Memo 07]],-1)),"")</f>
        <v>45226</v>
      </c>
      <c r="X2730" s="11">
        <f ca="1">IFERROR(reading[[#This Row],[Previous]]+OFFSET(reading[[#Headers],[Memo 01]],-1,MATCH(0,reading[[#This Row],[Memo 01]:[Memo 07]],-1)-1),"")</f>
        <v>45238</v>
      </c>
      <c r="Y2730" s="10" t="str">
        <f ca="1">IF(reading[[#This Row],[Next]]&lt;&gt;"",IF(reading[[#This Row],[Next]]&gt;TODAY(),"OK",""),"")</f>
        <v/>
      </c>
      <c r="Z2730" s="13">
        <v>3</v>
      </c>
      <c r="AA2730" s="13">
        <v>3</v>
      </c>
      <c r="AB2730" s="13">
        <v>3</v>
      </c>
      <c r="AC2730" s="13">
        <v>3</v>
      </c>
      <c r="AD2730" s="13">
        <v>3</v>
      </c>
      <c r="AE2730" s="13"/>
      <c r="AF2730" s="13"/>
      <c r="AG2730" s="16">
        <f>IFERROR(SUMIF(reading[[#This Row],[1st]:[7th]],"&gt;0")/COUNTIF(reading[[#This Row],[1st]:[7th]],"&gt;0"),"")</f>
        <v>3</v>
      </c>
    </row>
    <row r="2731" spans="1:33" x14ac:dyDescent="0.2">
      <c r="A2731" s="4">
        <f>IF(B2731=1,3,IF(D2731=1,2,IF(F2731=1,1,0)))</f>
        <v>0</v>
      </c>
      <c r="B2731" s="4" t="str">
        <f>IF(C2731=$L2731,1,IF(C2731="","",0))</f>
        <v/>
      </c>
      <c r="C2731" s="39"/>
      <c r="D2731" s="4" t="str">
        <f>IF(E2731=$L2731,1,IF(E2731="","",0))</f>
        <v/>
      </c>
      <c r="E2731" s="18"/>
      <c r="F2731" s="4" t="str">
        <f>IF(G2731=$L2731,1,IF(G2731="","",0))</f>
        <v/>
      </c>
      <c r="G2731" s="14"/>
      <c r="H2731" s="6">
        <v>2417</v>
      </c>
      <c r="I2731" s="15" t="s">
        <v>3120</v>
      </c>
      <c r="J2731" s="6" t="s">
        <v>5488</v>
      </c>
      <c r="K2731" s="6"/>
      <c r="L2731" s="6" t="s">
        <v>2467</v>
      </c>
      <c r="M2731" s="6" t="s">
        <v>8522</v>
      </c>
      <c r="N2731" s="7">
        <f ca="1">RAND()</f>
        <v>0.76215735243376581</v>
      </c>
      <c r="O2731" s="8">
        <v>45218</v>
      </c>
      <c r="P2731" s="8">
        <v>45219</v>
      </c>
      <c r="Q2731" s="8">
        <v>45221</v>
      </c>
      <c r="R2731" s="8">
        <v>45225</v>
      </c>
      <c r="S2731" s="8">
        <v>45232</v>
      </c>
      <c r="T2731" s="8"/>
      <c r="U2731" s="8"/>
      <c r="V2731" s="10">
        <f>COUNTA(O2731:U2731)</f>
        <v>5</v>
      </c>
      <c r="W2731" s="11">
        <f>_xlfn.IFNA(INDEX(reading[[#This Row],[Memo 01]:[Memo 07]],MATCH(0,reading[[#This Row],[Memo 01]:[Memo 07]],-1)),"")</f>
        <v>45232</v>
      </c>
      <c r="X2731" s="11">
        <f ca="1">IFERROR(reading[[#This Row],[Previous]]+OFFSET(reading[[#Headers],[Memo 01]],-1,MATCH(0,reading[[#This Row],[Memo 01]:[Memo 07]],-1)-1),"")</f>
        <v>45244</v>
      </c>
      <c r="Y2731" s="10" t="str">
        <f ca="1">IF(reading[[#This Row],[Next]]&lt;&gt;"",IF(reading[[#This Row],[Next]]&gt;TODAY(),"OK",""),"")</f>
        <v/>
      </c>
      <c r="Z2731" s="13">
        <v>3</v>
      </c>
      <c r="AA2731" s="13">
        <v>3</v>
      </c>
      <c r="AB2731" s="13">
        <v>3</v>
      </c>
      <c r="AC2731" s="13">
        <v>2</v>
      </c>
      <c r="AD2731" s="13">
        <v>3</v>
      </c>
      <c r="AE2731" s="13"/>
      <c r="AF2731" s="13"/>
      <c r="AG2731" s="16">
        <f>IFERROR(SUMIF(reading[[#This Row],[1st]:[7th]],"&gt;0")/COUNTIF(reading[[#This Row],[1st]:[7th]],"&gt;0"),"")</f>
        <v>2.8</v>
      </c>
    </row>
    <row r="2732" spans="1:33" hidden="1" x14ac:dyDescent="0.2">
      <c r="A2732" s="4">
        <f>IF(B2732=1,3,IF(D2732=1,2,IF(F2732=1,1,0)))</f>
        <v>0</v>
      </c>
      <c r="B2732" s="4" t="str">
        <f>IF(C2732=$L2732,1,IF(C2732="","",0))</f>
        <v/>
      </c>
      <c r="C2732" s="42"/>
      <c r="D2732" s="4" t="str">
        <f>IF(E2732=$L2732,1,IF(E2732="","",0))</f>
        <v/>
      </c>
      <c r="E2732" s="43"/>
      <c r="F2732" s="4" t="str">
        <f>IF(G2732=$L2732,1,IF(G2732="","",0))</f>
        <v/>
      </c>
      <c r="G2732" s="14"/>
      <c r="H2732" s="6">
        <v>2122</v>
      </c>
      <c r="I2732" s="15" t="s">
        <v>3120</v>
      </c>
      <c r="J2732" s="6" t="s">
        <v>5210</v>
      </c>
      <c r="K2732" s="6"/>
      <c r="L2732" s="6" t="s">
        <v>2189</v>
      </c>
      <c r="M2732" s="6" t="s">
        <v>8228</v>
      </c>
      <c r="N2732" s="7">
        <f ca="1">RAND()</f>
        <v>0.2203542421122654</v>
      </c>
      <c r="O2732" s="8">
        <v>45214</v>
      </c>
      <c r="P2732" s="8">
        <v>45215</v>
      </c>
      <c r="Q2732" s="8">
        <v>45217</v>
      </c>
      <c r="R2732" s="8">
        <v>45221</v>
      </c>
      <c r="S2732" s="8">
        <v>45228</v>
      </c>
      <c r="T2732" s="8">
        <v>45251</v>
      </c>
      <c r="U2732" s="8">
        <v>45825</v>
      </c>
      <c r="V2732" s="10">
        <f>COUNTA(O2732:U2732)</f>
        <v>7</v>
      </c>
      <c r="W2732" s="11">
        <f>_xlfn.IFNA(INDEX(reading[[#This Row],[Memo 01]:[Memo 07]],MATCH(0,reading[[#This Row],[Memo 01]:[Memo 07]],-1)),"")</f>
        <v>45825</v>
      </c>
      <c r="X2732" s="11">
        <f ca="1">IFERROR(reading[[#This Row],[Previous]]+OFFSET(reading[[#Headers],[Memo 01]],-1,MATCH(0,reading[[#This Row],[Memo 01]:[Memo 07]],-1)-1),"")</f>
        <v>55825</v>
      </c>
      <c r="Y2732" s="10" t="str">
        <f ca="1">IF(reading[[#This Row],[Next]]&lt;&gt;"",IF(reading[[#This Row],[Next]]&gt;TODAY(),"OK",""),"")</f>
        <v>OK</v>
      </c>
      <c r="Z2732" s="13">
        <v>3</v>
      </c>
      <c r="AA2732" s="13">
        <v>3</v>
      </c>
      <c r="AB2732" s="13">
        <v>2</v>
      </c>
      <c r="AC2732" s="13">
        <v>2</v>
      </c>
      <c r="AD2732" s="13">
        <v>3</v>
      </c>
      <c r="AE2732" s="13">
        <v>3</v>
      </c>
      <c r="AF2732" s="13">
        <v>2</v>
      </c>
      <c r="AG2732" s="16">
        <f>IFERROR(SUMIF(reading[[#This Row],[1st]:[7th]],"&gt;0")/COUNTIF(reading[[#This Row],[1st]:[7th]],"&gt;0"),"")</f>
        <v>2.5714285714285716</v>
      </c>
    </row>
    <row r="2733" spans="1:33" x14ac:dyDescent="0.2">
      <c r="A2733" s="4">
        <f>IF(B2733=1,3,IF(D2733=1,2,IF(F2733=1,1,0)))</f>
        <v>0</v>
      </c>
      <c r="B2733" s="4" t="str">
        <f>IF(C2733=$L2733,1,IF(C2733="","",0))</f>
        <v/>
      </c>
      <c r="C2733" s="36"/>
      <c r="D2733" s="4" t="str">
        <f>IF(E2733=$L2733,1,IF(E2733="","",0))</f>
        <v/>
      </c>
      <c r="E2733" s="14"/>
      <c r="F2733" s="4" t="str">
        <f>IF(G2733=$L2733,1,IF(G2733="","",0))</f>
        <v/>
      </c>
      <c r="G2733" s="14"/>
      <c r="H2733" s="6">
        <v>1920</v>
      </c>
      <c r="I2733" s="15" t="s">
        <v>3120</v>
      </c>
      <c r="J2733" s="6" t="s">
        <v>5020</v>
      </c>
      <c r="K2733" s="6"/>
      <c r="L2733" s="6" t="s">
        <v>1996</v>
      </c>
      <c r="M2733" s="6" t="s">
        <v>8026</v>
      </c>
      <c r="N2733" s="7">
        <f ca="1">RAND()</f>
        <v>6.3792155150235508E-2</v>
      </c>
      <c r="O2733" s="8">
        <v>45212</v>
      </c>
      <c r="P2733" s="8">
        <v>45213</v>
      </c>
      <c r="Q2733" s="8">
        <v>45215</v>
      </c>
      <c r="R2733" s="8">
        <v>45219</v>
      </c>
      <c r="S2733" s="8">
        <v>45226</v>
      </c>
      <c r="T2733" s="8"/>
      <c r="U2733" s="8"/>
      <c r="V2733" s="10">
        <f>COUNTA(O2733:U2733)</f>
        <v>5</v>
      </c>
      <c r="W2733" s="11">
        <f>_xlfn.IFNA(INDEX(reading[[#This Row],[Memo 01]:[Memo 07]],MATCH(0,reading[[#This Row],[Memo 01]:[Memo 07]],-1)),"")</f>
        <v>45226</v>
      </c>
      <c r="X2733" s="11">
        <f ca="1">IFERROR(reading[[#This Row],[Previous]]+OFFSET(reading[[#Headers],[Memo 01]],-1,MATCH(0,reading[[#This Row],[Memo 01]:[Memo 07]],-1)-1),"")</f>
        <v>45238</v>
      </c>
      <c r="Y2733" s="10" t="str">
        <f ca="1">IF(reading[[#This Row],[Next]]&lt;&gt;"",IF(reading[[#This Row],[Next]]&gt;TODAY(),"OK",""),"")</f>
        <v/>
      </c>
      <c r="Z2733" s="13">
        <v>3</v>
      </c>
      <c r="AA2733" s="13">
        <v>3</v>
      </c>
      <c r="AB2733" s="13">
        <v>3</v>
      </c>
      <c r="AC2733" s="13">
        <v>3</v>
      </c>
      <c r="AD2733" s="13">
        <v>3</v>
      </c>
      <c r="AE2733" s="13"/>
      <c r="AF2733" s="13"/>
      <c r="AG2733" s="16">
        <f>IFERROR(SUMIF(reading[[#This Row],[1st]:[7th]],"&gt;0")/COUNTIF(reading[[#This Row],[1st]:[7th]],"&gt;0"),"")</f>
        <v>3</v>
      </c>
    </row>
    <row r="2734" spans="1:33" hidden="1" x14ac:dyDescent="0.2">
      <c r="A2734" s="4">
        <f>IF(B2734=1,3,IF(D2734=1,2,IF(F2734=1,1,0)))</f>
        <v>0</v>
      </c>
      <c r="B2734" s="4" t="str">
        <f>IF(C2734=$L2734,1,IF(C2734="","",0))</f>
        <v/>
      </c>
      <c r="C2734" s="42"/>
      <c r="D2734" s="4" t="str">
        <f>IF(E2734=$L2734,1,IF(E2734="","",0))</f>
        <v/>
      </c>
      <c r="E2734" s="18"/>
      <c r="F2734" s="4" t="str">
        <f>IF(G2734=$L2734,1,IF(G2734="","",0))</f>
        <v/>
      </c>
      <c r="G2734" s="18"/>
      <c r="H2734" s="6">
        <v>1165</v>
      </c>
      <c r="I2734" s="15" t="s">
        <v>3120</v>
      </c>
      <c r="J2734" s="6" t="s">
        <v>4284</v>
      </c>
      <c r="K2734" s="6"/>
      <c r="L2734" s="6" t="s">
        <v>1267</v>
      </c>
      <c r="M2734" s="6" t="s">
        <v>7273</v>
      </c>
      <c r="N2734" s="7">
        <f ca="1">RAND()</f>
        <v>0.33635765960969211</v>
      </c>
      <c r="O2734" s="8">
        <v>45206</v>
      </c>
      <c r="P2734" s="8">
        <v>45207</v>
      </c>
      <c r="Q2734" s="8">
        <v>45209</v>
      </c>
      <c r="R2734" s="8">
        <v>45213</v>
      </c>
      <c r="S2734" s="8">
        <v>45220</v>
      </c>
      <c r="T2734" s="8">
        <v>45232</v>
      </c>
      <c r="U2734" s="8">
        <v>45253</v>
      </c>
      <c r="V2734" s="10">
        <f>COUNTA(O2734:U2734)</f>
        <v>7</v>
      </c>
      <c r="W2734" s="11">
        <f>_xlfn.IFNA(INDEX(reading[[#This Row],[Memo 01]:[Memo 07]],MATCH(0,reading[[#This Row],[Memo 01]:[Memo 07]],-1)),"")</f>
        <v>45253</v>
      </c>
      <c r="X2734" s="11">
        <f ca="1">IFERROR(reading[[#This Row],[Previous]]+OFFSET(reading[[#Headers],[Memo 01]],-1,MATCH(0,reading[[#This Row],[Memo 01]:[Memo 07]],-1)-1),"")</f>
        <v>55253</v>
      </c>
      <c r="Y2734" s="10" t="str">
        <f ca="1">IF(reading[[#This Row],[Next]]&lt;&gt;"",IF(reading[[#This Row],[Next]]&gt;TODAY(),"OK",""),"")</f>
        <v>OK</v>
      </c>
      <c r="Z2734" s="13">
        <v>3</v>
      </c>
      <c r="AA2734" s="13">
        <v>3</v>
      </c>
      <c r="AB2734" s="13">
        <v>3</v>
      </c>
      <c r="AC2734" s="13">
        <v>2</v>
      </c>
      <c r="AD2734" s="13">
        <v>1</v>
      </c>
      <c r="AE2734" s="13">
        <v>3</v>
      </c>
      <c r="AF2734" s="13">
        <v>2</v>
      </c>
      <c r="AG2734" s="16">
        <f>IFERROR(SUMIF(reading[[#This Row],[1st]:[7th]],"&gt;0")/COUNTIF(reading[[#This Row],[1st]:[7th]],"&gt;0"),"")</f>
        <v>2.4285714285714284</v>
      </c>
    </row>
    <row r="2735" spans="1:33" x14ac:dyDescent="0.2">
      <c r="A2735" s="4">
        <f>IF(B2735=1,3,IF(D2735=1,2,IF(F2735=1,1,0)))</f>
        <v>0</v>
      </c>
      <c r="B2735" s="4" t="str">
        <f>IF(C2735=$L2735,1,IF(C2735="","",0))</f>
        <v/>
      </c>
      <c r="C2735" s="42"/>
      <c r="D2735" s="4" t="str">
        <f>IF(E2735=$L2735,1,IF(E2735="","",0))</f>
        <v/>
      </c>
      <c r="E2735" s="14"/>
      <c r="F2735" s="4" t="str">
        <f>IF(G2735=$L2735,1,IF(G2735="","",0))</f>
        <v/>
      </c>
      <c r="G2735" s="14"/>
      <c r="H2735" s="6">
        <v>1824</v>
      </c>
      <c r="I2735" s="15" t="s">
        <v>3120</v>
      </c>
      <c r="J2735" s="6" t="s">
        <v>4929</v>
      </c>
      <c r="K2735" s="6"/>
      <c r="L2735" s="6" t="s">
        <v>1902</v>
      </c>
      <c r="M2735" s="6" t="s">
        <v>7930</v>
      </c>
      <c r="N2735" s="7">
        <f ca="1">RAND()</f>
        <v>0.51063912820261181</v>
      </c>
      <c r="O2735" s="8">
        <v>45212</v>
      </c>
      <c r="P2735" s="8">
        <v>45213</v>
      </c>
      <c r="Q2735" s="8">
        <v>45215</v>
      </c>
      <c r="R2735" s="8">
        <v>45219</v>
      </c>
      <c r="S2735" s="8">
        <v>45226</v>
      </c>
      <c r="T2735" s="8">
        <v>45792</v>
      </c>
      <c r="U2735" s="8"/>
      <c r="V2735" s="10">
        <f>COUNTA(O2735:U2735)</f>
        <v>6</v>
      </c>
      <c r="W2735" s="11">
        <f>_xlfn.IFNA(INDEX(reading[[#This Row],[Memo 01]:[Memo 07]],MATCH(0,reading[[#This Row],[Memo 01]:[Memo 07]],-1)),"")</f>
        <v>45792</v>
      </c>
      <c r="X2735" s="11">
        <f ca="1">IFERROR(reading[[#This Row],[Previous]]+OFFSET(reading[[#Headers],[Memo 01]],-1,MATCH(0,reading[[#This Row],[Memo 01]:[Memo 07]],-1)-1),"")</f>
        <v>45812</v>
      </c>
      <c r="Y2735" s="10" t="str">
        <f ca="1">IF(reading[[#This Row],[Next]]&lt;&gt;"",IF(reading[[#This Row],[Next]]&gt;TODAY(),"OK",""),"")</f>
        <v/>
      </c>
      <c r="Z2735" s="13">
        <v>3</v>
      </c>
      <c r="AA2735" s="13">
        <v>3</v>
      </c>
      <c r="AB2735" s="13">
        <v>3</v>
      </c>
      <c r="AC2735" s="13">
        <v>3</v>
      </c>
      <c r="AD2735" s="13">
        <v>3</v>
      </c>
      <c r="AE2735" s="13">
        <v>3</v>
      </c>
      <c r="AF2735" s="13"/>
      <c r="AG2735" s="16">
        <f>IFERROR(SUMIF(reading[[#This Row],[1st]:[7th]],"&gt;0")/COUNTIF(reading[[#This Row],[1st]:[7th]],"&gt;0"),"")</f>
        <v>3</v>
      </c>
    </row>
    <row r="2736" spans="1:33" hidden="1" x14ac:dyDescent="0.2">
      <c r="A2736" s="4">
        <f>IF(B2736=1,3,IF(D2736=1,2,IF(F2736=1,1,0)))</f>
        <v>3</v>
      </c>
      <c r="B2736" s="4">
        <f>IF(C2736=$L2736,1,IF(C2736="","",0))</f>
        <v>1</v>
      </c>
      <c r="C2736" s="36" t="s">
        <v>2778</v>
      </c>
      <c r="D2736" s="4" t="str">
        <f>IF(E2736=$L2736,1,IF(E2736="","",0))</f>
        <v/>
      </c>
      <c r="E2736" s="14"/>
      <c r="F2736" s="4" t="str">
        <f>IF(G2736=$L2736,1,IF(G2736="","",0))</f>
        <v/>
      </c>
      <c r="G2736" s="14"/>
      <c r="H2736" s="6">
        <v>2740</v>
      </c>
      <c r="I2736" s="15" t="s">
        <v>3120</v>
      </c>
      <c r="J2736" s="6" t="s">
        <v>5788</v>
      </c>
      <c r="K2736" s="15" t="s">
        <v>3139</v>
      </c>
      <c r="L2736" s="6" t="s">
        <v>2778</v>
      </c>
      <c r="M2736" s="6" t="s">
        <v>8845</v>
      </c>
      <c r="N2736" s="7">
        <f ca="1">RAND()</f>
        <v>8.0750840455453665E-2</v>
      </c>
      <c r="O2736" s="8">
        <v>45221</v>
      </c>
      <c r="P2736" s="8">
        <v>45221</v>
      </c>
      <c r="Q2736" s="8">
        <v>45221</v>
      </c>
      <c r="R2736" s="8">
        <v>45221</v>
      </c>
      <c r="S2736" s="8">
        <v>45221</v>
      </c>
      <c r="T2736" s="8">
        <v>45221</v>
      </c>
      <c r="U2736" s="8">
        <v>45221</v>
      </c>
      <c r="V2736" s="10">
        <f>COUNTA(O2736:U2736)</f>
        <v>7</v>
      </c>
      <c r="W2736" s="11">
        <f>_xlfn.IFNA(INDEX(reading[[#This Row],[Memo 01]:[Memo 07]],MATCH(0,reading[[#This Row],[Memo 01]:[Memo 07]],-1)),"")</f>
        <v>45221</v>
      </c>
      <c r="X2736" s="11">
        <f ca="1">IFERROR(reading[[#This Row],[Previous]]+OFFSET(reading[[#Headers],[Memo 01]],-1,MATCH(0,reading[[#This Row],[Memo 01]:[Memo 07]],-1)-1),"")</f>
        <v>55221</v>
      </c>
      <c r="Y2736" s="10" t="str">
        <f ca="1">IF(reading[[#This Row],[Next]]&lt;&gt;"",IF(reading[[#This Row],[Next]]&gt;TODAY(),"OK",""),"")</f>
        <v>OK</v>
      </c>
      <c r="Z2736" s="13">
        <v>3</v>
      </c>
      <c r="AA2736" s="13"/>
      <c r="AB2736" s="13"/>
      <c r="AC2736" s="13"/>
      <c r="AD2736" s="13"/>
      <c r="AE2736" s="13"/>
      <c r="AF2736" s="13"/>
      <c r="AG2736" s="16">
        <f>IFERROR(SUMIF(reading[[#This Row],[1st]:[7th]],"&gt;0")/COUNTIF(reading[[#This Row],[1st]:[7th]],"&gt;0"),"")</f>
        <v>3</v>
      </c>
    </row>
    <row r="2737" spans="1:33" hidden="1" x14ac:dyDescent="0.2">
      <c r="A2737" s="4">
        <f>IF(B2737=1,3,IF(D2737=1,2,IF(F2737=1,1,0)))</f>
        <v>0</v>
      </c>
      <c r="B2737" s="4">
        <f>IF(C2737=$L2737,1,IF(C2737="","",0))</f>
        <v>0</v>
      </c>
      <c r="C2737" s="42" t="s">
        <v>9200</v>
      </c>
      <c r="D2737" s="4" t="str">
        <f>IF(E2737=$L2737,1,IF(E2737="","",0))</f>
        <v/>
      </c>
      <c r="E2737" s="14"/>
      <c r="F2737" s="4" t="str">
        <f>IF(G2737=$L2737,1,IF(G2737="","",0))</f>
        <v/>
      </c>
      <c r="G2737" s="14"/>
      <c r="H2737" s="6">
        <v>2675</v>
      </c>
      <c r="I2737" s="15" t="s">
        <v>3120</v>
      </c>
      <c r="J2737" s="6" t="s">
        <v>5727</v>
      </c>
      <c r="K2737" s="6"/>
      <c r="L2737" s="6" t="s">
        <v>2714</v>
      </c>
      <c r="M2737" s="6" t="s">
        <v>8780</v>
      </c>
      <c r="N2737" s="7">
        <f ca="1">RAND()</f>
        <v>0.38151188409680115</v>
      </c>
      <c r="O2737" s="8">
        <v>45220</v>
      </c>
      <c r="P2737" s="8">
        <v>45221</v>
      </c>
      <c r="Q2737" s="8">
        <v>45223</v>
      </c>
      <c r="R2737" s="8">
        <v>45227</v>
      </c>
      <c r="S2737" s="8">
        <v>45234</v>
      </c>
      <c r="T2737" s="8"/>
      <c r="U2737" s="8"/>
      <c r="V2737" s="10">
        <f>COUNTA(O2737:U2737)</f>
        <v>5</v>
      </c>
      <c r="W2737" s="11">
        <f>_xlfn.IFNA(INDEX(reading[[#This Row],[Memo 01]:[Memo 07]],MATCH(0,reading[[#This Row],[Memo 01]:[Memo 07]],-1)),"")</f>
        <v>45234</v>
      </c>
      <c r="X2737" s="11">
        <f ca="1">IFERROR(reading[[#This Row],[Previous]]+OFFSET(reading[[#Headers],[Memo 01]],-1,MATCH(0,reading[[#This Row],[Memo 01]:[Memo 07]],-1)-1),"")</f>
        <v>45246</v>
      </c>
      <c r="Y2737" s="10" t="str">
        <f ca="1">IF(reading[[#This Row],[Next]]&lt;&gt;"",IF(reading[[#This Row],[Next]]&gt;TODAY(),"OK",""),"")</f>
        <v/>
      </c>
      <c r="Z2737" s="13">
        <v>3</v>
      </c>
      <c r="AA2737" s="13">
        <v>3</v>
      </c>
      <c r="AB2737" s="13">
        <v>3</v>
      </c>
      <c r="AC2737" s="13">
        <v>3</v>
      </c>
      <c r="AD2737" s="13">
        <v>3</v>
      </c>
      <c r="AE2737" s="13"/>
      <c r="AF2737" s="13"/>
      <c r="AG2737" s="16">
        <f>IFERROR(SUMIF(reading[[#This Row],[1st]:[7th]],"&gt;0")/COUNTIF(reading[[#This Row],[1st]:[7th]],"&gt;0"),"")</f>
        <v>3</v>
      </c>
    </row>
    <row r="2738" spans="1:33" hidden="1" x14ac:dyDescent="0.2">
      <c r="A2738" s="4">
        <f>IF(B2738=1,3,IF(D2738=1,2,IF(F2738=1,1,0)))</f>
        <v>3</v>
      </c>
      <c r="B2738" s="4">
        <f>IF(C2738=$L2738,1,IF(C2738="","",0))</f>
        <v>1</v>
      </c>
      <c r="C2738" s="36" t="s">
        <v>2780</v>
      </c>
      <c r="D2738" s="4" t="str">
        <f>IF(E2738=$L2738,1,IF(E2738="","",0))</f>
        <v/>
      </c>
      <c r="E2738" s="14"/>
      <c r="F2738" s="4" t="str">
        <f>IF(G2738=$L2738,1,IF(G2738="","",0))</f>
        <v/>
      </c>
      <c r="G2738" s="14"/>
      <c r="H2738" s="6">
        <v>2742</v>
      </c>
      <c r="I2738" s="15" t="s">
        <v>3120</v>
      </c>
      <c r="J2738" s="6" t="s">
        <v>5790</v>
      </c>
      <c r="K2738" s="6"/>
      <c r="L2738" s="6" t="s">
        <v>2780</v>
      </c>
      <c r="M2738" s="6" t="s">
        <v>8847</v>
      </c>
      <c r="N2738" s="7">
        <f ca="1">RAND()</f>
        <v>0.26628166081073945</v>
      </c>
      <c r="O2738" s="8">
        <v>45221</v>
      </c>
      <c r="P2738" s="8">
        <v>45221</v>
      </c>
      <c r="Q2738" s="8">
        <v>45221</v>
      </c>
      <c r="R2738" s="8">
        <v>45221</v>
      </c>
      <c r="S2738" s="8">
        <v>45221</v>
      </c>
      <c r="T2738" s="8">
        <v>45221</v>
      </c>
      <c r="U2738" s="8">
        <v>45221</v>
      </c>
      <c r="V2738" s="10">
        <f>COUNTA(O2738:U2738)</f>
        <v>7</v>
      </c>
      <c r="W2738" s="11">
        <f>_xlfn.IFNA(INDEX(reading[[#This Row],[Memo 01]:[Memo 07]],MATCH(0,reading[[#This Row],[Memo 01]:[Memo 07]],-1)),"")</f>
        <v>45221</v>
      </c>
      <c r="X2738" s="11">
        <f ca="1">IFERROR(reading[[#This Row],[Previous]]+OFFSET(reading[[#Headers],[Memo 01]],-1,MATCH(0,reading[[#This Row],[Memo 01]:[Memo 07]],-1)-1),"")</f>
        <v>55221</v>
      </c>
      <c r="Y2738" s="10" t="str">
        <f ca="1">IF(reading[[#This Row],[Next]]&lt;&gt;"",IF(reading[[#This Row],[Next]]&gt;TODAY(),"OK",""),"")</f>
        <v>OK</v>
      </c>
      <c r="Z2738" s="13">
        <v>3</v>
      </c>
      <c r="AA2738" s="13"/>
      <c r="AB2738" s="13"/>
      <c r="AC2738" s="13"/>
      <c r="AD2738" s="13"/>
      <c r="AE2738" s="13"/>
      <c r="AF2738" s="13"/>
      <c r="AG2738" s="16">
        <f>IFERROR(SUMIF(reading[[#This Row],[1st]:[7th]],"&gt;0")/COUNTIF(reading[[#This Row],[1st]:[7th]],"&gt;0"),"")</f>
        <v>3</v>
      </c>
    </row>
    <row r="2739" spans="1:33" x14ac:dyDescent="0.2">
      <c r="A2739" s="4">
        <f>IF(B2739=1,3,IF(D2739=1,2,IF(F2739=1,1,0)))</f>
        <v>0</v>
      </c>
      <c r="B2739" s="4" t="str">
        <f>IF(C2739=$L2739,1,IF(C2739="","",0))</f>
        <v/>
      </c>
      <c r="C2739" s="36"/>
      <c r="D2739" s="4" t="str">
        <f>IF(E2739=$L2739,1,IF(E2739="","",0))</f>
        <v/>
      </c>
      <c r="E2739" s="14"/>
      <c r="F2739" s="4" t="str">
        <f>IF(G2739=$L2739,1,IF(G2739="","",0))</f>
        <v/>
      </c>
      <c r="G2739" s="14"/>
      <c r="H2739" s="6">
        <v>1842</v>
      </c>
      <c r="I2739" s="15" t="s">
        <v>3120</v>
      </c>
      <c r="J2739" s="6" t="s">
        <v>4946</v>
      </c>
      <c r="K2739" s="6"/>
      <c r="L2739" s="6" t="s">
        <v>1920</v>
      </c>
      <c r="M2739" s="6" t="s">
        <v>7948</v>
      </c>
      <c r="N2739" s="7">
        <f ca="1">RAND()</f>
        <v>0.90077191856241945</v>
      </c>
      <c r="O2739" s="8">
        <v>45212</v>
      </c>
      <c r="P2739" s="8">
        <v>45213</v>
      </c>
      <c r="Q2739" s="8">
        <v>45215</v>
      </c>
      <c r="R2739" s="8">
        <v>45219</v>
      </c>
      <c r="S2739" s="8">
        <v>45226</v>
      </c>
      <c r="T2739" s="8"/>
      <c r="U2739" s="8"/>
      <c r="V2739" s="10">
        <f>COUNTA(O2739:U2739)</f>
        <v>5</v>
      </c>
      <c r="W2739" s="11">
        <f>_xlfn.IFNA(INDEX(reading[[#This Row],[Memo 01]:[Memo 07]],MATCH(0,reading[[#This Row],[Memo 01]:[Memo 07]],-1)),"")</f>
        <v>45226</v>
      </c>
      <c r="X2739" s="11">
        <f ca="1">IFERROR(reading[[#This Row],[Previous]]+OFFSET(reading[[#Headers],[Memo 01]],-1,MATCH(0,reading[[#This Row],[Memo 01]:[Memo 07]],-1)-1),"")</f>
        <v>45238</v>
      </c>
      <c r="Y2739" s="10" t="str">
        <f ca="1">IF(reading[[#This Row],[Next]]&lt;&gt;"",IF(reading[[#This Row],[Next]]&gt;TODAY(),"OK",""),"")</f>
        <v/>
      </c>
      <c r="Z2739" s="13">
        <v>3</v>
      </c>
      <c r="AA2739" s="13">
        <v>3</v>
      </c>
      <c r="AB2739" s="13">
        <v>3</v>
      </c>
      <c r="AC2739" s="13">
        <v>3</v>
      </c>
      <c r="AD2739" s="13">
        <v>3</v>
      </c>
      <c r="AE2739" s="13"/>
      <c r="AF2739" s="13"/>
      <c r="AG2739" s="16">
        <f>IFERROR(SUMIF(reading[[#This Row],[1st]:[7th]],"&gt;0")/COUNTIF(reading[[#This Row],[1st]:[7th]],"&gt;0"),"")</f>
        <v>3</v>
      </c>
    </row>
    <row r="2740" spans="1:33" x14ac:dyDescent="0.2">
      <c r="A2740" s="4">
        <f>IF(B2740=1,3,IF(D2740=1,2,IF(F2740=1,1,0)))</f>
        <v>0</v>
      </c>
      <c r="B2740" s="4" t="str">
        <f>IF(C2740=$L2740,1,IF(C2740="","",0))</f>
        <v/>
      </c>
      <c r="C2740" s="38"/>
      <c r="D2740" s="4" t="str">
        <f>IF(E2740=$L2740,1,IF(E2740="","",0))</f>
        <v/>
      </c>
      <c r="E2740" s="14"/>
      <c r="F2740" s="4" t="str">
        <f>IF(G2740=$L2740,1,IF(G2740="","",0))</f>
        <v/>
      </c>
      <c r="G2740" s="14"/>
      <c r="H2740" s="6">
        <v>2197</v>
      </c>
      <c r="I2740" s="15" t="s">
        <v>3120</v>
      </c>
      <c r="J2740" s="6" t="s">
        <v>5283</v>
      </c>
      <c r="K2740" s="6"/>
      <c r="L2740" s="6" t="s">
        <v>2260</v>
      </c>
      <c r="M2740" s="6" t="s">
        <v>8303</v>
      </c>
      <c r="N2740" s="7">
        <f ca="1">RAND()</f>
        <v>0.46077571050368649</v>
      </c>
      <c r="O2740" s="8">
        <v>45214</v>
      </c>
      <c r="P2740" s="8">
        <v>45215</v>
      </c>
      <c r="Q2740" s="8">
        <v>45217</v>
      </c>
      <c r="R2740" s="8">
        <v>45221</v>
      </c>
      <c r="S2740" s="8">
        <v>45228</v>
      </c>
      <c r="T2740" s="8"/>
      <c r="U2740" s="8"/>
      <c r="V2740" s="10">
        <f>COUNTA(O2740:U2740)</f>
        <v>5</v>
      </c>
      <c r="W2740" s="11">
        <f>_xlfn.IFNA(INDEX(reading[[#This Row],[Memo 01]:[Memo 07]],MATCH(0,reading[[#This Row],[Memo 01]:[Memo 07]],-1)),"")</f>
        <v>45228</v>
      </c>
      <c r="X2740" s="11">
        <f ca="1">IFERROR(reading[[#This Row],[Previous]]+OFFSET(reading[[#Headers],[Memo 01]],-1,MATCH(0,reading[[#This Row],[Memo 01]:[Memo 07]],-1)-1),"")</f>
        <v>45240</v>
      </c>
      <c r="Y2740" s="10" t="str">
        <f ca="1">IF(reading[[#This Row],[Next]]&lt;&gt;"",IF(reading[[#This Row],[Next]]&gt;TODAY(),"OK",""),"")</f>
        <v/>
      </c>
      <c r="Z2740" s="13">
        <v>3</v>
      </c>
      <c r="AA2740" s="13">
        <v>3</v>
      </c>
      <c r="AB2740" s="13">
        <v>3</v>
      </c>
      <c r="AC2740" s="13">
        <v>3</v>
      </c>
      <c r="AD2740" s="13">
        <v>3</v>
      </c>
      <c r="AE2740" s="13"/>
      <c r="AF2740" s="13"/>
      <c r="AG2740" s="16">
        <f>IFERROR(SUMIF(reading[[#This Row],[1st]:[7th]],"&gt;0")/COUNTIF(reading[[#This Row],[1st]:[7th]],"&gt;0"),"")</f>
        <v>3</v>
      </c>
    </row>
    <row r="2741" spans="1:33" x14ac:dyDescent="0.2">
      <c r="A2741" s="4">
        <f>IF(B2741=1,3,IF(D2741=1,2,IF(F2741=1,1,0)))</f>
        <v>0</v>
      </c>
      <c r="B2741" s="4" t="str">
        <f>IF(C2741=$L2741,1,IF(C2741="","",0))</f>
        <v/>
      </c>
      <c r="C2741" s="18"/>
      <c r="D2741" s="4" t="str">
        <f>IF(E2741=$L2741,1,IF(E2741="","",0))</f>
        <v/>
      </c>
      <c r="E2741" s="18"/>
      <c r="F2741" s="4" t="str">
        <f>IF(G2741=$L2741,1,IF(G2741="","",0))</f>
        <v/>
      </c>
      <c r="G2741" s="14"/>
      <c r="H2741" s="6">
        <v>266</v>
      </c>
      <c r="I2741" s="15" t="s">
        <v>3120</v>
      </c>
      <c r="J2741" s="6" t="s">
        <v>3415</v>
      </c>
      <c r="K2741" s="6"/>
      <c r="L2741" s="6" t="s">
        <v>401</v>
      </c>
      <c r="M2741" s="6" t="s">
        <v>6375</v>
      </c>
      <c r="N2741" s="7">
        <f ca="1">RAND()</f>
        <v>0.88107177931174363</v>
      </c>
      <c r="O2741" s="8">
        <v>45199</v>
      </c>
      <c r="P2741" s="8">
        <v>45200</v>
      </c>
      <c r="Q2741" s="8">
        <v>45202</v>
      </c>
      <c r="R2741" s="8">
        <v>45206</v>
      </c>
      <c r="S2741" s="8">
        <v>45213</v>
      </c>
      <c r="T2741" s="8">
        <v>45225</v>
      </c>
      <c r="U2741" s="8"/>
      <c r="V2741" s="10">
        <f>COUNTA(O2741:U2741)</f>
        <v>6</v>
      </c>
      <c r="W2741" s="11">
        <f>_xlfn.IFNA(INDEX(reading[[#This Row],[Memo 01]:[Memo 07]],MATCH(0,reading[[#This Row],[Memo 01]:[Memo 07]],-1)),"")</f>
        <v>45225</v>
      </c>
      <c r="X2741" s="11">
        <f ca="1">IFERROR(reading[[#This Row],[Previous]]+OFFSET(reading[[#Headers],[Memo 01]],-1,MATCH(0,reading[[#This Row],[Memo 01]:[Memo 07]],-1)-1),"")</f>
        <v>45245</v>
      </c>
      <c r="Y2741" s="10" t="str">
        <f ca="1">IF(reading[[#This Row],[Next]]&lt;&gt;"",IF(reading[[#This Row],[Next]]&gt;TODAY(),"OK",""),"")</f>
        <v/>
      </c>
      <c r="Z2741" s="13">
        <v>3</v>
      </c>
      <c r="AA2741" s="13">
        <v>3</v>
      </c>
      <c r="AB2741" s="13">
        <v>3</v>
      </c>
      <c r="AC2741" s="13">
        <v>3</v>
      </c>
      <c r="AD2741" s="13">
        <v>3</v>
      </c>
      <c r="AE2741" s="13">
        <v>2</v>
      </c>
      <c r="AF2741" s="13"/>
      <c r="AG2741" s="16">
        <f>IFERROR(SUMIF(reading[[#This Row],[1st]:[7th]],"&gt;0")/COUNTIF(reading[[#This Row],[1st]:[7th]],"&gt;0"),"")</f>
        <v>2.8333333333333335</v>
      </c>
    </row>
    <row r="2742" spans="1:33" hidden="1" x14ac:dyDescent="0.2">
      <c r="A2742" s="4">
        <f>IF(B2742=1,3,IF(D2742=1,2,IF(F2742=1,1,0)))</f>
        <v>0</v>
      </c>
      <c r="B2742" s="4">
        <f>IF(C2742=$L2742,1,IF(C2742="","",0))</f>
        <v>0</v>
      </c>
      <c r="C2742" s="42" t="s">
        <v>9284</v>
      </c>
      <c r="D2742" s="4" t="str">
        <f>IF(E2742=$L2742,1,IF(E2742="","",0))</f>
        <v/>
      </c>
      <c r="E2742" s="14"/>
      <c r="F2742" s="4" t="str">
        <f>IF(G2742=$L2742,1,IF(G2742="","",0))</f>
        <v/>
      </c>
      <c r="G2742" s="14"/>
      <c r="H2742" s="6">
        <v>2857</v>
      </c>
      <c r="I2742" s="15" t="s">
        <v>3120</v>
      </c>
      <c r="J2742" s="6" t="s">
        <v>5896</v>
      </c>
      <c r="K2742" s="6"/>
      <c r="L2742" s="6" t="s">
        <v>2889</v>
      </c>
      <c r="M2742" s="6" t="s">
        <v>8961</v>
      </c>
      <c r="N2742" s="7">
        <f ca="1">RAND()</f>
        <v>0.83890286674311565</v>
      </c>
      <c r="O2742" s="8">
        <v>45222</v>
      </c>
      <c r="P2742" s="8">
        <v>45223</v>
      </c>
      <c r="Q2742" s="8">
        <v>45225</v>
      </c>
      <c r="R2742" s="8">
        <v>45229</v>
      </c>
      <c r="S2742" s="8">
        <v>45236</v>
      </c>
      <c r="T2742" s="8"/>
      <c r="U2742" s="8"/>
      <c r="V2742" s="10">
        <f>COUNTA(O2742:U2742)</f>
        <v>5</v>
      </c>
      <c r="W2742" s="11">
        <f>_xlfn.IFNA(INDEX(reading[[#This Row],[Memo 01]:[Memo 07]],MATCH(0,reading[[#This Row],[Memo 01]:[Memo 07]],-1)),"")</f>
        <v>45236</v>
      </c>
      <c r="X2742" s="11">
        <f ca="1">IFERROR(reading[[#This Row],[Previous]]+OFFSET(reading[[#Headers],[Memo 01]],-1,MATCH(0,reading[[#This Row],[Memo 01]:[Memo 07]],-1)-1),"")</f>
        <v>45248</v>
      </c>
      <c r="Y2742" s="10" t="str">
        <f ca="1">IF(reading[[#This Row],[Next]]&lt;&gt;"",IF(reading[[#This Row],[Next]]&gt;TODAY(),"OK",""),"")</f>
        <v/>
      </c>
      <c r="Z2742" s="13">
        <v>3</v>
      </c>
      <c r="AA2742" s="13">
        <v>3</v>
      </c>
      <c r="AB2742" s="13">
        <v>3</v>
      </c>
      <c r="AC2742" s="13">
        <v>3</v>
      </c>
      <c r="AD2742" s="13">
        <v>3</v>
      </c>
      <c r="AE2742" s="13"/>
      <c r="AF2742" s="13"/>
      <c r="AG2742" s="16">
        <f>IFERROR(SUMIF(reading[[#This Row],[1st]:[7th]],"&gt;0")/COUNTIF(reading[[#This Row],[1st]:[7th]],"&gt;0"),"")</f>
        <v>3</v>
      </c>
    </row>
    <row r="2743" spans="1:33" hidden="1" x14ac:dyDescent="0.2">
      <c r="A2743" s="4">
        <f>IF(B2743=1,3,IF(D2743=1,2,IF(F2743=1,1,0)))</f>
        <v>3</v>
      </c>
      <c r="B2743" s="4">
        <f>IF(C2743=$L2743,1,IF(C2743="","",0))</f>
        <v>1</v>
      </c>
      <c r="C2743" s="36" t="s">
        <v>2785</v>
      </c>
      <c r="D2743" s="4" t="str">
        <f>IF(E2743=$L2743,1,IF(E2743="","",0))</f>
        <v/>
      </c>
      <c r="E2743" s="14"/>
      <c r="F2743" s="4" t="str">
        <f>IF(G2743=$L2743,1,IF(G2743="","",0))</f>
        <v/>
      </c>
      <c r="G2743" s="14"/>
      <c r="H2743" s="6">
        <v>2747</v>
      </c>
      <c r="I2743" s="15" t="s">
        <v>3120</v>
      </c>
      <c r="J2743" s="6" t="s">
        <v>5793</v>
      </c>
      <c r="K2743" s="6"/>
      <c r="L2743" s="6" t="s">
        <v>2785</v>
      </c>
      <c r="M2743" s="6" t="s">
        <v>8851</v>
      </c>
      <c r="N2743" s="7">
        <f ca="1">RAND()</f>
        <v>0.42942244256728479</v>
      </c>
      <c r="O2743" s="8">
        <v>45221</v>
      </c>
      <c r="P2743" s="8">
        <v>45221</v>
      </c>
      <c r="Q2743" s="8">
        <v>45221</v>
      </c>
      <c r="R2743" s="8">
        <v>45221</v>
      </c>
      <c r="S2743" s="8">
        <v>45221</v>
      </c>
      <c r="T2743" s="8">
        <v>45221</v>
      </c>
      <c r="U2743" s="8">
        <v>45221</v>
      </c>
      <c r="V2743" s="10">
        <f>COUNTA(O2743:U2743)</f>
        <v>7</v>
      </c>
      <c r="W2743" s="11">
        <f>_xlfn.IFNA(INDEX(reading[[#This Row],[Memo 01]:[Memo 07]],MATCH(0,reading[[#This Row],[Memo 01]:[Memo 07]],-1)),"")</f>
        <v>45221</v>
      </c>
      <c r="X2743" s="11">
        <f ca="1">IFERROR(reading[[#This Row],[Previous]]+OFFSET(reading[[#Headers],[Memo 01]],-1,MATCH(0,reading[[#This Row],[Memo 01]:[Memo 07]],-1)-1),"")</f>
        <v>55221</v>
      </c>
      <c r="Y2743" s="10" t="str">
        <f ca="1">IF(reading[[#This Row],[Next]]&lt;&gt;"",IF(reading[[#This Row],[Next]]&gt;TODAY(),"OK",""),"")</f>
        <v>OK</v>
      </c>
      <c r="Z2743" s="13">
        <v>3</v>
      </c>
      <c r="AA2743" s="13"/>
      <c r="AB2743" s="13"/>
      <c r="AC2743" s="13"/>
      <c r="AD2743" s="13"/>
      <c r="AE2743" s="13"/>
      <c r="AF2743" s="13"/>
      <c r="AG2743" s="16">
        <f>IFERROR(SUMIF(reading[[#This Row],[1st]:[7th]],"&gt;0")/COUNTIF(reading[[#This Row],[1st]:[7th]],"&gt;0"),"")</f>
        <v>3</v>
      </c>
    </row>
    <row r="2744" spans="1:33" hidden="1" x14ac:dyDescent="0.2">
      <c r="A2744" s="4">
        <f>IF(B2744=1,3,IF(D2744=1,2,IF(F2744=1,1,0)))</f>
        <v>3</v>
      </c>
      <c r="B2744" s="4">
        <f>IF(C2744=$L2744,1,IF(C2744="","",0))</f>
        <v>1</v>
      </c>
      <c r="C2744" s="36" t="s">
        <v>2786</v>
      </c>
      <c r="D2744" s="4" t="str">
        <f>IF(E2744=$L2744,1,IF(E2744="","",0))</f>
        <v/>
      </c>
      <c r="E2744" s="14"/>
      <c r="F2744" s="4" t="str">
        <f>IF(G2744=$L2744,1,IF(G2744="","",0))</f>
        <v/>
      </c>
      <c r="G2744" s="14"/>
      <c r="H2744" s="6">
        <v>2748</v>
      </c>
      <c r="I2744" s="15" t="s">
        <v>3120</v>
      </c>
      <c r="J2744" s="6" t="s">
        <v>5794</v>
      </c>
      <c r="K2744" s="15" t="s">
        <v>3138</v>
      </c>
      <c r="L2744" s="6" t="s">
        <v>2786</v>
      </c>
      <c r="M2744" s="6" t="s">
        <v>8852</v>
      </c>
      <c r="N2744" s="7">
        <f ca="1">RAND()</f>
        <v>0.87535838638497965</v>
      </c>
      <c r="O2744" s="8">
        <v>45221</v>
      </c>
      <c r="P2744" s="8">
        <v>45221</v>
      </c>
      <c r="Q2744" s="8">
        <v>45221</v>
      </c>
      <c r="R2744" s="8">
        <v>45221</v>
      </c>
      <c r="S2744" s="8">
        <v>45221</v>
      </c>
      <c r="T2744" s="8">
        <v>45221</v>
      </c>
      <c r="U2744" s="8">
        <v>45221</v>
      </c>
      <c r="V2744" s="10">
        <f>COUNTA(O2744:U2744)</f>
        <v>7</v>
      </c>
      <c r="W2744" s="11">
        <f>_xlfn.IFNA(INDEX(reading[[#This Row],[Memo 01]:[Memo 07]],MATCH(0,reading[[#This Row],[Memo 01]:[Memo 07]],-1)),"")</f>
        <v>45221</v>
      </c>
      <c r="X2744" s="11">
        <f ca="1">IFERROR(reading[[#This Row],[Previous]]+OFFSET(reading[[#Headers],[Memo 01]],-1,MATCH(0,reading[[#This Row],[Memo 01]:[Memo 07]],-1)-1),"")</f>
        <v>55221</v>
      </c>
      <c r="Y2744" s="10" t="str">
        <f ca="1">IF(reading[[#This Row],[Next]]&lt;&gt;"",IF(reading[[#This Row],[Next]]&gt;TODAY(),"OK",""),"")</f>
        <v>OK</v>
      </c>
      <c r="Z2744" s="13">
        <v>3</v>
      </c>
      <c r="AA2744" s="13"/>
      <c r="AB2744" s="13"/>
      <c r="AC2744" s="13"/>
      <c r="AD2744" s="13"/>
      <c r="AE2744" s="13"/>
      <c r="AF2744" s="13"/>
      <c r="AG2744" s="16">
        <f>IFERROR(SUMIF(reading[[#This Row],[1st]:[7th]],"&gt;0")/COUNTIF(reading[[#This Row],[1st]:[7th]],"&gt;0"),"")</f>
        <v>3</v>
      </c>
    </row>
    <row r="2745" spans="1:33" hidden="1" x14ac:dyDescent="0.2">
      <c r="A2745" s="4">
        <f>IF(B2745=1,3,IF(D2745=1,2,IF(F2745=1,1,0)))</f>
        <v>0</v>
      </c>
      <c r="B2745" s="4" t="str">
        <f>IF(C2745=$L2745,1,IF(C2745="","",0))</f>
        <v/>
      </c>
      <c r="C2745" s="42"/>
      <c r="D2745" s="4" t="str">
        <f>IF(E2745=$L2745,1,IF(E2745="","",0))</f>
        <v/>
      </c>
      <c r="E2745" s="43"/>
      <c r="F2745" s="4" t="str">
        <f>IF(G2745=$L2745,1,IF(G2745="","",0))</f>
        <v/>
      </c>
      <c r="G2745" s="18"/>
      <c r="H2745" s="6">
        <v>1340</v>
      </c>
      <c r="I2745" s="15" t="s">
        <v>3120</v>
      </c>
      <c r="J2745" s="6" t="s">
        <v>3307</v>
      </c>
      <c r="K2745" s="6"/>
      <c r="L2745" s="6" t="s">
        <v>1436</v>
      </c>
      <c r="M2745" s="6" t="s">
        <v>7447</v>
      </c>
      <c r="N2745" s="7">
        <f ca="1">RAND()</f>
        <v>0.37074911787229814</v>
      </c>
      <c r="O2745" s="8">
        <v>45207</v>
      </c>
      <c r="P2745" s="8">
        <v>45208</v>
      </c>
      <c r="Q2745" s="8">
        <v>45210</v>
      </c>
      <c r="R2745" s="8">
        <v>45214</v>
      </c>
      <c r="S2745" s="8">
        <v>45221</v>
      </c>
      <c r="T2745" s="8">
        <v>45233</v>
      </c>
      <c r="U2745" s="8">
        <v>45816</v>
      </c>
      <c r="V2745" s="10">
        <f>COUNTA(O2745:U2745)</f>
        <v>7</v>
      </c>
      <c r="W2745" s="11">
        <f>_xlfn.IFNA(INDEX(reading[[#This Row],[Memo 01]:[Memo 07]],MATCH(0,reading[[#This Row],[Memo 01]:[Memo 07]],-1)),"")</f>
        <v>45816</v>
      </c>
      <c r="X2745" s="11">
        <f ca="1">IFERROR(reading[[#This Row],[Previous]]+OFFSET(reading[[#Headers],[Memo 01]],-1,MATCH(0,reading[[#This Row],[Memo 01]:[Memo 07]],-1)-1),"")</f>
        <v>55816</v>
      </c>
      <c r="Y2745" s="10" t="str">
        <f ca="1">IF(reading[[#This Row],[Next]]&lt;&gt;"",IF(reading[[#This Row],[Next]]&gt;TODAY(),"OK",""),"")</f>
        <v>OK</v>
      </c>
      <c r="Z2745" s="13">
        <v>3</v>
      </c>
      <c r="AA2745" s="13">
        <v>3</v>
      </c>
      <c r="AB2745" s="13">
        <v>3</v>
      </c>
      <c r="AC2745" s="13">
        <v>1</v>
      </c>
      <c r="AD2745" s="13">
        <v>3</v>
      </c>
      <c r="AE2745" s="13">
        <v>2</v>
      </c>
      <c r="AF2745" s="13">
        <v>2</v>
      </c>
      <c r="AG2745" s="16">
        <f>IFERROR(SUMIF(reading[[#This Row],[1st]:[7th]],"&gt;0")/COUNTIF(reading[[#This Row],[1st]:[7th]],"&gt;0"),"")</f>
        <v>2.4285714285714284</v>
      </c>
    </row>
    <row r="2746" spans="1:33" x14ac:dyDescent="0.2">
      <c r="A2746" s="4">
        <f>IF(B2746=1,3,IF(D2746=1,2,IF(F2746=1,1,0)))</f>
        <v>0</v>
      </c>
      <c r="B2746" s="4" t="str">
        <f>IF(C2746=$L2746,1,IF(C2746="","",0))</f>
        <v/>
      </c>
      <c r="C2746" s="39"/>
      <c r="D2746" s="4" t="str">
        <f>IF(E2746=$L2746,1,IF(E2746="","",0))</f>
        <v/>
      </c>
      <c r="E2746" s="14"/>
      <c r="F2746" s="4" t="str">
        <f>IF(G2746=$L2746,1,IF(G2746="","",0))</f>
        <v/>
      </c>
      <c r="G2746" s="14"/>
      <c r="H2746" s="6">
        <v>1609</v>
      </c>
      <c r="I2746" s="15" t="s">
        <v>3120</v>
      </c>
      <c r="J2746" s="6" t="s">
        <v>4721</v>
      </c>
      <c r="K2746" s="6"/>
      <c r="L2746" s="6" t="s">
        <v>1691</v>
      </c>
      <c r="M2746" s="6" t="s">
        <v>7715</v>
      </c>
      <c r="N2746" s="7">
        <f ca="1">RAND()</f>
        <v>0.62567352775323803</v>
      </c>
      <c r="O2746" s="8">
        <v>45210</v>
      </c>
      <c r="P2746" s="8">
        <v>45211</v>
      </c>
      <c r="Q2746" s="8">
        <v>45213</v>
      </c>
      <c r="R2746" s="8">
        <v>45217</v>
      </c>
      <c r="S2746" s="8">
        <v>45224</v>
      </c>
      <c r="T2746" s="8">
        <v>45236</v>
      </c>
      <c r="U2746" s="8"/>
      <c r="V2746" s="10">
        <f>COUNTA(O2746:U2746)</f>
        <v>6</v>
      </c>
      <c r="W2746" s="11">
        <f>_xlfn.IFNA(INDEX(reading[[#This Row],[Memo 01]:[Memo 07]],MATCH(0,reading[[#This Row],[Memo 01]:[Memo 07]],-1)),"")</f>
        <v>45236</v>
      </c>
      <c r="X2746" s="11">
        <f ca="1">IFERROR(reading[[#This Row],[Previous]]+OFFSET(reading[[#Headers],[Memo 01]],-1,MATCH(0,reading[[#This Row],[Memo 01]:[Memo 07]],-1)-1),"")</f>
        <v>45256</v>
      </c>
      <c r="Y2746" s="10" t="str">
        <f ca="1">IF(reading[[#This Row],[Next]]&lt;&gt;"",IF(reading[[#This Row],[Next]]&gt;TODAY(),"OK",""),"")</f>
        <v/>
      </c>
      <c r="Z2746" s="13">
        <v>3</v>
      </c>
      <c r="AA2746" s="13">
        <v>3</v>
      </c>
      <c r="AB2746" s="13">
        <v>3</v>
      </c>
      <c r="AC2746" s="13">
        <v>3</v>
      </c>
      <c r="AD2746" s="13">
        <v>3</v>
      </c>
      <c r="AE2746" s="13">
        <v>3</v>
      </c>
      <c r="AF2746" s="13"/>
      <c r="AG2746" s="16">
        <f>IFERROR(SUMIF(reading[[#This Row],[1st]:[7th]],"&gt;0")/COUNTIF(reading[[#This Row],[1st]:[7th]],"&gt;0"),"")</f>
        <v>3</v>
      </c>
    </row>
    <row r="2747" spans="1:33" hidden="1" x14ac:dyDescent="0.2">
      <c r="A2747" s="4">
        <f>IF(B2747=1,3,IF(D2747=1,2,IF(F2747=1,1,0)))</f>
        <v>0</v>
      </c>
      <c r="B2747" s="4" t="str">
        <f>IF(C2747=$L2747,1,IF(C2747="","",0))</f>
        <v/>
      </c>
      <c r="C2747" s="42"/>
      <c r="D2747" s="4" t="str">
        <f>IF(E2747=$L2747,1,IF(E2747="","",0))</f>
        <v/>
      </c>
      <c r="E2747" s="43"/>
      <c r="F2747" s="4" t="str">
        <f>IF(G2747=$L2747,1,IF(G2747="","",0))</f>
        <v/>
      </c>
      <c r="G2747" s="23"/>
      <c r="H2747" s="6">
        <v>1665</v>
      </c>
      <c r="I2747" s="15" t="s">
        <v>3120</v>
      </c>
      <c r="J2747" s="6" t="s">
        <v>4776</v>
      </c>
      <c r="K2747" s="6"/>
      <c r="L2747" s="6" t="s">
        <v>1746</v>
      </c>
      <c r="M2747" s="6" t="s">
        <v>7771</v>
      </c>
      <c r="N2747" s="7">
        <f ca="1">RAND()</f>
        <v>0.6447697001006909</v>
      </c>
      <c r="O2747" s="8">
        <v>45212</v>
      </c>
      <c r="P2747" s="8">
        <v>45213</v>
      </c>
      <c r="Q2747" s="8">
        <v>45215</v>
      </c>
      <c r="R2747" s="8">
        <v>45219</v>
      </c>
      <c r="S2747" s="8">
        <v>45226</v>
      </c>
      <c r="T2747" s="8">
        <v>45817</v>
      </c>
      <c r="U2747" s="8"/>
      <c r="V2747" s="10">
        <f>COUNTA(O2747:U2747)</f>
        <v>6</v>
      </c>
      <c r="W2747" s="11">
        <f>_xlfn.IFNA(INDEX(reading[[#This Row],[Memo 01]:[Memo 07]],MATCH(0,reading[[#This Row],[Memo 01]:[Memo 07]],-1)),"")</f>
        <v>45817</v>
      </c>
      <c r="X2747" s="11">
        <f ca="1">IFERROR(reading[[#This Row],[Previous]]+OFFSET(reading[[#Headers],[Memo 01]],-1,MATCH(0,reading[[#This Row],[Memo 01]:[Memo 07]],-1)-1),"")</f>
        <v>45837</v>
      </c>
      <c r="Y2747" s="10" t="str">
        <f ca="1">IF(reading[[#This Row],[Next]]&lt;&gt;"",IF(reading[[#This Row],[Next]]&gt;TODAY(),"OK",""),"")</f>
        <v>OK</v>
      </c>
      <c r="Z2747" s="13">
        <v>3</v>
      </c>
      <c r="AA2747" s="13">
        <v>2</v>
      </c>
      <c r="AB2747" s="13">
        <v>3</v>
      </c>
      <c r="AC2747" s="13">
        <v>3</v>
      </c>
      <c r="AD2747" s="13">
        <v>3</v>
      </c>
      <c r="AE2747" s="13">
        <v>1</v>
      </c>
      <c r="AF2747" s="13"/>
      <c r="AG2747" s="16">
        <f>IFERROR(SUMIF(reading[[#This Row],[1st]:[7th]],"&gt;0")/COUNTIF(reading[[#This Row],[1st]:[7th]],"&gt;0"),"")</f>
        <v>2.5</v>
      </c>
    </row>
    <row r="2748" spans="1:33" x14ac:dyDescent="0.2">
      <c r="A2748" s="4">
        <f>IF(B2748=1,3,IF(D2748=1,2,IF(F2748=1,1,0)))</f>
        <v>0</v>
      </c>
      <c r="B2748" s="4" t="str">
        <f>IF(C2748=$L2748,1,IF(C2748="","",0))</f>
        <v/>
      </c>
      <c r="C2748" s="38"/>
      <c r="D2748" s="4" t="str">
        <f>IF(E2748=$L2748,1,IF(E2748="","",0))</f>
        <v/>
      </c>
      <c r="E2748" s="18"/>
      <c r="F2748" s="4" t="str">
        <f>IF(G2748=$L2748,1,IF(G2748="","",0))</f>
        <v/>
      </c>
      <c r="G2748" s="14"/>
      <c r="H2748" s="6">
        <v>816</v>
      </c>
      <c r="I2748" s="15" t="s">
        <v>3120</v>
      </c>
      <c r="J2748" s="6" t="s">
        <v>3950</v>
      </c>
      <c r="K2748" s="6"/>
      <c r="L2748" s="6" t="s">
        <v>932</v>
      </c>
      <c r="M2748" s="6" t="s">
        <v>6925</v>
      </c>
      <c r="N2748" s="7">
        <f ca="1">RAND()</f>
        <v>0.81630869673931028</v>
      </c>
      <c r="O2748" s="8">
        <v>45203</v>
      </c>
      <c r="P2748" s="8">
        <v>45204</v>
      </c>
      <c r="Q2748" s="8">
        <v>45206</v>
      </c>
      <c r="R2748" s="8">
        <v>45210</v>
      </c>
      <c r="S2748" s="8">
        <v>45217</v>
      </c>
      <c r="T2748" s="8">
        <v>45229</v>
      </c>
      <c r="U2748" s="8"/>
      <c r="V2748" s="10">
        <f>COUNTA(O2748:U2748)</f>
        <v>6</v>
      </c>
      <c r="W2748" s="11">
        <f>_xlfn.IFNA(INDEX(reading[[#This Row],[Memo 01]:[Memo 07]],MATCH(0,reading[[#This Row],[Memo 01]:[Memo 07]],-1)),"")</f>
        <v>45229</v>
      </c>
      <c r="X2748" s="11">
        <f ca="1">IFERROR(reading[[#This Row],[Previous]]+OFFSET(reading[[#Headers],[Memo 01]],-1,MATCH(0,reading[[#This Row],[Memo 01]:[Memo 07]],-1)-1),"")</f>
        <v>45249</v>
      </c>
      <c r="Y2748" s="10" t="str">
        <f ca="1">IF(reading[[#This Row],[Next]]&lt;&gt;"",IF(reading[[#This Row],[Next]]&gt;TODAY(),"OK",""),"")</f>
        <v/>
      </c>
      <c r="Z2748" s="13">
        <v>3</v>
      </c>
      <c r="AA2748" s="13">
        <v>3</v>
      </c>
      <c r="AB2748" s="13">
        <v>3</v>
      </c>
      <c r="AC2748" s="13">
        <v>3</v>
      </c>
      <c r="AD2748" s="13">
        <v>3</v>
      </c>
      <c r="AE2748" s="13">
        <v>2</v>
      </c>
      <c r="AF2748" s="13"/>
      <c r="AG2748" s="16">
        <f>IFERROR(SUMIF(reading[[#This Row],[1st]:[7th]],"&gt;0")/COUNTIF(reading[[#This Row],[1st]:[7th]],"&gt;0"),"")</f>
        <v>2.8333333333333335</v>
      </c>
    </row>
    <row r="2749" spans="1:33" hidden="1" x14ac:dyDescent="0.2">
      <c r="A2749" s="4">
        <f>IF(B2749=1,3,IF(D2749=1,2,IF(F2749=1,1,0)))</f>
        <v>3</v>
      </c>
      <c r="B2749" s="4">
        <f>IF(C2749=$L2749,1,IF(C2749="","",0))</f>
        <v>1</v>
      </c>
      <c r="C2749" s="36" t="s">
        <v>2791</v>
      </c>
      <c r="D2749" s="4" t="str">
        <f>IF(E2749=$L2749,1,IF(E2749="","",0))</f>
        <v/>
      </c>
      <c r="E2749" s="14"/>
      <c r="F2749" s="4" t="str">
        <f>IF(G2749=$L2749,1,IF(G2749="","",0))</f>
        <v/>
      </c>
      <c r="G2749" s="14"/>
      <c r="H2749" s="6">
        <v>2753</v>
      </c>
      <c r="I2749" s="15" t="s">
        <v>3120</v>
      </c>
      <c r="J2749" s="6" t="s">
        <v>5799</v>
      </c>
      <c r="K2749" s="6"/>
      <c r="L2749" s="6" t="s">
        <v>2791</v>
      </c>
      <c r="M2749" s="6" t="s">
        <v>8857</v>
      </c>
      <c r="N2749" s="7">
        <f ca="1">RAND()</f>
        <v>0.92943083898669621</v>
      </c>
      <c r="O2749" s="8">
        <v>45221</v>
      </c>
      <c r="P2749" s="8">
        <v>45221</v>
      </c>
      <c r="Q2749" s="8">
        <v>45221</v>
      </c>
      <c r="R2749" s="8">
        <v>45221</v>
      </c>
      <c r="S2749" s="8">
        <v>45221</v>
      </c>
      <c r="T2749" s="8">
        <v>45221</v>
      </c>
      <c r="U2749" s="8">
        <v>45221</v>
      </c>
      <c r="V2749" s="10">
        <f>COUNTA(O2749:U2749)</f>
        <v>7</v>
      </c>
      <c r="W2749" s="11">
        <f>_xlfn.IFNA(INDEX(reading[[#This Row],[Memo 01]:[Memo 07]],MATCH(0,reading[[#This Row],[Memo 01]:[Memo 07]],-1)),"")</f>
        <v>45221</v>
      </c>
      <c r="X2749" s="11">
        <f ca="1">IFERROR(reading[[#This Row],[Previous]]+OFFSET(reading[[#Headers],[Memo 01]],-1,MATCH(0,reading[[#This Row],[Memo 01]:[Memo 07]],-1)-1),"")</f>
        <v>55221</v>
      </c>
      <c r="Y2749" s="10" t="str">
        <f ca="1">IF(reading[[#This Row],[Next]]&lt;&gt;"",IF(reading[[#This Row],[Next]]&gt;TODAY(),"OK",""),"")</f>
        <v>OK</v>
      </c>
      <c r="Z2749" s="13">
        <v>3</v>
      </c>
      <c r="AA2749" s="13"/>
      <c r="AB2749" s="13"/>
      <c r="AC2749" s="13"/>
      <c r="AD2749" s="13"/>
      <c r="AE2749" s="13"/>
      <c r="AF2749" s="13"/>
      <c r="AG2749" s="16">
        <f>IFERROR(SUMIF(reading[[#This Row],[1st]:[7th]],"&gt;0")/COUNTIF(reading[[#This Row],[1st]:[7th]],"&gt;0"),"")</f>
        <v>3</v>
      </c>
    </row>
    <row r="2750" spans="1:33" x14ac:dyDescent="0.2">
      <c r="A2750" s="4">
        <f>IF(B2750=1,3,IF(D2750=1,2,IF(F2750=1,1,0)))</f>
        <v>0</v>
      </c>
      <c r="B2750" s="4" t="str">
        <f>IF(C2750=$L2750,1,IF(C2750="","",0))</f>
        <v/>
      </c>
      <c r="C2750" s="36"/>
      <c r="D2750" s="4" t="str">
        <f>IF(E2750=$L2750,1,IF(E2750="","",0))</f>
        <v/>
      </c>
      <c r="E2750" s="18"/>
      <c r="F2750" s="4" t="str">
        <f>IF(G2750=$L2750,1,IF(G2750="","",0))</f>
        <v/>
      </c>
      <c r="G2750" s="14"/>
      <c r="H2750" s="6">
        <v>1954</v>
      </c>
      <c r="I2750" s="15" t="s">
        <v>3120</v>
      </c>
      <c r="J2750" s="6" t="s">
        <v>5053</v>
      </c>
      <c r="K2750" s="6"/>
      <c r="L2750" s="6" t="s">
        <v>2029</v>
      </c>
      <c r="M2750" s="6" t="s">
        <v>8060</v>
      </c>
      <c r="N2750" s="7">
        <f ca="1">RAND()</f>
        <v>0.15892217872012804</v>
      </c>
      <c r="O2750" s="8">
        <v>45213</v>
      </c>
      <c r="P2750" s="8">
        <v>45214</v>
      </c>
      <c r="Q2750" s="8">
        <v>45216</v>
      </c>
      <c r="R2750" s="8">
        <v>45220</v>
      </c>
      <c r="S2750" s="8">
        <v>45227</v>
      </c>
      <c r="T2750" s="8"/>
      <c r="U2750" s="8"/>
      <c r="V2750" s="10">
        <f>COUNTA(O2750:U2750)</f>
        <v>5</v>
      </c>
      <c r="W2750" s="11">
        <f>_xlfn.IFNA(INDEX(reading[[#This Row],[Memo 01]:[Memo 07]],MATCH(0,reading[[#This Row],[Memo 01]:[Memo 07]],-1)),"")</f>
        <v>45227</v>
      </c>
      <c r="X2750" s="11">
        <f ca="1">IFERROR(reading[[#This Row],[Previous]]+OFFSET(reading[[#Headers],[Memo 01]],-1,MATCH(0,reading[[#This Row],[Memo 01]:[Memo 07]],-1)-1),"")</f>
        <v>45239</v>
      </c>
      <c r="Y2750" s="10" t="str">
        <f ca="1">IF(reading[[#This Row],[Next]]&lt;&gt;"",IF(reading[[#This Row],[Next]]&gt;TODAY(),"OK",""),"")</f>
        <v/>
      </c>
      <c r="Z2750" s="13">
        <v>3</v>
      </c>
      <c r="AA2750" s="13">
        <v>2</v>
      </c>
      <c r="AB2750" s="13">
        <v>3</v>
      </c>
      <c r="AC2750" s="13">
        <v>3</v>
      </c>
      <c r="AD2750" s="13">
        <v>3</v>
      </c>
      <c r="AE2750" s="13"/>
      <c r="AF2750" s="13"/>
      <c r="AG2750" s="16">
        <f>IFERROR(SUMIF(reading[[#This Row],[1st]:[7th]],"&gt;0")/COUNTIF(reading[[#This Row],[1st]:[7th]],"&gt;0"),"")</f>
        <v>2.8</v>
      </c>
    </row>
    <row r="2751" spans="1:33" x14ac:dyDescent="0.2">
      <c r="A2751" s="4">
        <f>IF(B2751=1,3,IF(D2751=1,2,IF(F2751=1,1,0)))</f>
        <v>0</v>
      </c>
      <c r="B2751" s="4" t="str">
        <f>IF(C2751=$L2751,1,IF(C2751="","",0))</f>
        <v/>
      </c>
      <c r="C2751" s="39"/>
      <c r="D2751" s="4" t="str">
        <f>IF(E2751=$L2751,1,IF(E2751="","",0))</f>
        <v/>
      </c>
      <c r="E2751" s="18"/>
      <c r="F2751" s="4" t="str">
        <f>IF(G2751=$L2751,1,IF(G2751="","",0))</f>
        <v/>
      </c>
      <c r="G2751" s="14"/>
      <c r="H2751" s="6">
        <v>1714</v>
      </c>
      <c r="I2751" s="15" t="s">
        <v>3120</v>
      </c>
      <c r="J2751" s="6" t="s">
        <v>4822</v>
      </c>
      <c r="K2751" s="6"/>
      <c r="L2751" s="6" t="s">
        <v>1794</v>
      </c>
      <c r="M2751" s="6" t="s">
        <v>7820</v>
      </c>
      <c r="N2751" s="7">
        <f ca="1">RAND()</f>
        <v>0.24760993238215034</v>
      </c>
      <c r="O2751" s="8">
        <v>45211</v>
      </c>
      <c r="P2751" s="8">
        <v>45212</v>
      </c>
      <c r="Q2751" s="8">
        <v>45214</v>
      </c>
      <c r="R2751" s="8">
        <v>45218</v>
      </c>
      <c r="S2751" s="8">
        <v>45225</v>
      </c>
      <c r="T2751" s="8">
        <v>45237</v>
      </c>
      <c r="U2751" s="8"/>
      <c r="V2751" s="10">
        <f>COUNTA(O2751:U2751)</f>
        <v>6</v>
      </c>
      <c r="W2751" s="11">
        <f>_xlfn.IFNA(INDEX(reading[[#This Row],[Memo 01]:[Memo 07]],MATCH(0,reading[[#This Row],[Memo 01]:[Memo 07]],-1)),"")</f>
        <v>45237</v>
      </c>
      <c r="X2751" s="11">
        <f ca="1">IFERROR(reading[[#This Row],[Previous]]+OFFSET(reading[[#Headers],[Memo 01]],-1,MATCH(0,reading[[#This Row],[Memo 01]:[Memo 07]],-1)-1),"")</f>
        <v>45257</v>
      </c>
      <c r="Y2751" s="10" t="str">
        <f ca="1">IF(reading[[#This Row],[Next]]&lt;&gt;"",IF(reading[[#This Row],[Next]]&gt;TODAY(),"OK",""),"")</f>
        <v/>
      </c>
      <c r="Z2751" s="13">
        <v>3</v>
      </c>
      <c r="AA2751" s="13">
        <v>3</v>
      </c>
      <c r="AB2751" s="13">
        <v>3</v>
      </c>
      <c r="AC2751" s="13">
        <v>3</v>
      </c>
      <c r="AD2751" s="13">
        <v>2</v>
      </c>
      <c r="AE2751" s="13">
        <v>3</v>
      </c>
      <c r="AF2751" s="13"/>
      <c r="AG2751" s="16">
        <f>IFERROR(SUMIF(reading[[#This Row],[1st]:[7th]],"&gt;0")/COUNTIF(reading[[#This Row],[1st]:[7th]],"&gt;0"),"")</f>
        <v>2.8333333333333335</v>
      </c>
    </row>
    <row r="2752" spans="1:33" hidden="1" x14ac:dyDescent="0.2">
      <c r="A2752" s="4">
        <f>IF(B2752=1,3,IF(D2752=1,2,IF(F2752=1,1,0)))</f>
        <v>0</v>
      </c>
      <c r="B2752" s="4">
        <f>IF(C2752=$L2752,1,IF(C2752="","",0))</f>
        <v>0</v>
      </c>
      <c r="C2752" s="42" t="s">
        <v>9200</v>
      </c>
      <c r="D2752" s="4" t="str">
        <f>IF(E2752=$L2752,1,IF(E2752="","",0))</f>
        <v/>
      </c>
      <c r="E2752" s="14"/>
      <c r="F2752" s="4" t="str">
        <f>IF(G2752=$L2752,1,IF(G2752="","",0))</f>
        <v/>
      </c>
      <c r="G2752" s="14"/>
      <c r="H2752" s="6">
        <v>1602</v>
      </c>
      <c r="I2752" s="15" t="s">
        <v>3120</v>
      </c>
      <c r="J2752" s="6" t="s">
        <v>4714</v>
      </c>
      <c r="K2752" s="6"/>
      <c r="L2752" s="6" t="s">
        <v>1685</v>
      </c>
      <c r="M2752" s="6" t="s">
        <v>7708</v>
      </c>
      <c r="N2752" s="7">
        <f ca="1">RAND()</f>
        <v>0.54563137696832154</v>
      </c>
      <c r="O2752" s="8">
        <v>45210</v>
      </c>
      <c r="P2752" s="8">
        <v>45211</v>
      </c>
      <c r="Q2752" s="8">
        <v>45213</v>
      </c>
      <c r="R2752" s="8">
        <v>45217</v>
      </c>
      <c r="S2752" s="8">
        <v>45224</v>
      </c>
      <c r="T2752" s="8">
        <v>45236</v>
      </c>
      <c r="U2752" s="8"/>
      <c r="V2752" s="10">
        <f>COUNTA(O2752:U2752)</f>
        <v>6</v>
      </c>
      <c r="W2752" s="11">
        <f>_xlfn.IFNA(INDEX(reading[[#This Row],[Memo 01]:[Memo 07]],MATCH(0,reading[[#This Row],[Memo 01]:[Memo 07]],-1)),"")</f>
        <v>45236</v>
      </c>
      <c r="X2752" s="11">
        <f ca="1">IFERROR(reading[[#This Row],[Previous]]+OFFSET(reading[[#Headers],[Memo 01]],-1,MATCH(0,reading[[#This Row],[Memo 01]:[Memo 07]],-1)-1),"")</f>
        <v>45256</v>
      </c>
      <c r="Y2752" s="10" t="str">
        <f ca="1">IF(reading[[#This Row],[Next]]&lt;&gt;"",IF(reading[[#This Row],[Next]]&gt;TODAY(),"OK",""),"")</f>
        <v/>
      </c>
      <c r="Z2752" s="13">
        <v>3</v>
      </c>
      <c r="AA2752" s="13">
        <v>3</v>
      </c>
      <c r="AB2752" s="13">
        <v>3</v>
      </c>
      <c r="AC2752" s="13">
        <v>3</v>
      </c>
      <c r="AD2752" s="13">
        <v>3</v>
      </c>
      <c r="AE2752" s="13">
        <v>3</v>
      </c>
      <c r="AF2752" s="13"/>
      <c r="AG2752" s="16">
        <f>IFERROR(SUMIF(reading[[#This Row],[1st]:[7th]],"&gt;0")/COUNTIF(reading[[#This Row],[1st]:[7th]],"&gt;0"),"")</f>
        <v>3</v>
      </c>
    </row>
    <row r="2753" spans="1:33" x14ac:dyDescent="0.2">
      <c r="A2753" s="4">
        <f>IF(B2753=1,3,IF(D2753=1,2,IF(F2753=1,1,0)))</f>
        <v>0</v>
      </c>
      <c r="B2753" s="4" t="str">
        <f>IF(C2753=$L2753,1,IF(C2753="","",0))</f>
        <v/>
      </c>
      <c r="C2753" s="39"/>
      <c r="D2753" s="4" t="str">
        <f>IF(E2753=$L2753,1,IF(E2753="","",0))</f>
        <v/>
      </c>
      <c r="E2753" s="14"/>
      <c r="F2753" s="4" t="str">
        <f>IF(G2753=$L2753,1,IF(G2753="","",0))</f>
        <v/>
      </c>
      <c r="G2753" s="14"/>
      <c r="H2753" s="6">
        <v>1155</v>
      </c>
      <c r="I2753" s="15" t="s">
        <v>3120</v>
      </c>
      <c r="J2753" s="6" t="s">
        <v>4275</v>
      </c>
      <c r="K2753" s="6"/>
      <c r="L2753" s="6" t="s">
        <v>1257</v>
      </c>
      <c r="M2753" s="6" t="s">
        <v>7263</v>
      </c>
      <c r="N2753" s="7">
        <f ca="1">RAND()</f>
        <v>0.81162690564225914</v>
      </c>
      <c r="O2753" s="8">
        <v>45206</v>
      </c>
      <c r="P2753" s="8">
        <v>45207</v>
      </c>
      <c r="Q2753" s="8">
        <v>45209</v>
      </c>
      <c r="R2753" s="8">
        <v>45213</v>
      </c>
      <c r="S2753" s="8">
        <v>45220</v>
      </c>
      <c r="T2753" s="8">
        <v>45232</v>
      </c>
      <c r="U2753" s="8"/>
      <c r="V2753" s="10">
        <f>COUNTA(O2753:U2753)</f>
        <v>6</v>
      </c>
      <c r="W2753" s="11">
        <f>_xlfn.IFNA(INDEX(reading[[#This Row],[Memo 01]:[Memo 07]],MATCH(0,reading[[#This Row],[Memo 01]:[Memo 07]],-1)),"")</f>
        <v>45232</v>
      </c>
      <c r="X2753" s="11">
        <f ca="1">IFERROR(reading[[#This Row],[Previous]]+OFFSET(reading[[#Headers],[Memo 01]],-1,MATCH(0,reading[[#This Row],[Memo 01]:[Memo 07]],-1)-1),"")</f>
        <v>45252</v>
      </c>
      <c r="Y2753" s="10" t="str">
        <f ca="1">IF(reading[[#This Row],[Next]]&lt;&gt;"",IF(reading[[#This Row],[Next]]&gt;TODAY(),"OK",""),"")</f>
        <v/>
      </c>
      <c r="Z2753" s="13">
        <v>3</v>
      </c>
      <c r="AA2753" s="13">
        <v>3</v>
      </c>
      <c r="AB2753" s="13">
        <v>3</v>
      </c>
      <c r="AC2753" s="13">
        <v>3</v>
      </c>
      <c r="AD2753" s="13">
        <v>3</v>
      </c>
      <c r="AE2753" s="13">
        <v>3</v>
      </c>
      <c r="AF2753" s="13"/>
      <c r="AG2753" s="16">
        <f>IFERROR(SUMIF(reading[[#This Row],[1st]:[7th]],"&gt;0")/COUNTIF(reading[[#This Row],[1st]:[7th]],"&gt;0"),"")</f>
        <v>3</v>
      </c>
    </row>
    <row r="2754" spans="1:33" hidden="1" x14ac:dyDescent="0.2">
      <c r="A2754" s="4">
        <f>IF(B2754=1,3,IF(D2754=1,2,IF(F2754=1,1,0)))</f>
        <v>3</v>
      </c>
      <c r="B2754" s="4">
        <f>IF(C2754=$L2754,1,IF(C2754="","",0))</f>
        <v>1</v>
      </c>
      <c r="C2754" s="36" t="s">
        <v>2796</v>
      </c>
      <c r="D2754" s="4" t="str">
        <f>IF(E2754=$L2754,1,IF(E2754="","",0))</f>
        <v/>
      </c>
      <c r="E2754" s="14"/>
      <c r="F2754" s="4" t="str">
        <f>IF(G2754=$L2754,1,IF(G2754="","",0))</f>
        <v/>
      </c>
      <c r="G2754" s="14"/>
      <c r="H2754" s="6">
        <v>2758</v>
      </c>
      <c r="I2754" s="15" t="s">
        <v>3120</v>
      </c>
      <c r="J2754" s="6" t="s">
        <v>5803</v>
      </c>
      <c r="K2754" s="6"/>
      <c r="L2754" s="6" t="s">
        <v>2796</v>
      </c>
      <c r="M2754" s="6" t="s">
        <v>8862</v>
      </c>
      <c r="N2754" s="7">
        <f ca="1">RAND()</f>
        <v>0.80535423673179229</v>
      </c>
      <c r="O2754" s="8">
        <v>45221</v>
      </c>
      <c r="P2754" s="8">
        <v>45221</v>
      </c>
      <c r="Q2754" s="8">
        <v>45221</v>
      </c>
      <c r="R2754" s="8">
        <v>45221</v>
      </c>
      <c r="S2754" s="8">
        <v>45221</v>
      </c>
      <c r="T2754" s="8">
        <v>45221</v>
      </c>
      <c r="U2754" s="8">
        <v>45221</v>
      </c>
      <c r="V2754" s="10">
        <f>COUNTA(O2754:U2754)</f>
        <v>7</v>
      </c>
      <c r="W2754" s="11">
        <f>_xlfn.IFNA(INDEX(reading[[#This Row],[Memo 01]:[Memo 07]],MATCH(0,reading[[#This Row],[Memo 01]:[Memo 07]],-1)),"")</f>
        <v>45221</v>
      </c>
      <c r="X2754" s="11">
        <f ca="1">IFERROR(reading[[#This Row],[Previous]]+OFFSET(reading[[#Headers],[Memo 01]],-1,MATCH(0,reading[[#This Row],[Memo 01]:[Memo 07]],-1)-1),"")</f>
        <v>55221</v>
      </c>
      <c r="Y2754" s="10" t="str">
        <f ca="1">IF(reading[[#This Row],[Next]]&lt;&gt;"",IF(reading[[#This Row],[Next]]&gt;TODAY(),"OK",""),"")</f>
        <v>OK</v>
      </c>
      <c r="Z2754" s="13">
        <v>3</v>
      </c>
      <c r="AA2754" s="13"/>
      <c r="AB2754" s="13"/>
      <c r="AC2754" s="13"/>
      <c r="AD2754" s="13"/>
      <c r="AE2754" s="13"/>
      <c r="AF2754" s="13"/>
      <c r="AG2754" s="16">
        <f>IFERROR(SUMIF(reading[[#This Row],[1st]:[7th]],"&gt;0")/COUNTIF(reading[[#This Row],[1st]:[7th]],"&gt;0"),"")</f>
        <v>3</v>
      </c>
    </row>
    <row r="2755" spans="1:33" x14ac:dyDescent="0.2">
      <c r="A2755" s="4">
        <f>IF(B2755=1,3,IF(D2755=1,2,IF(F2755=1,1,0)))</f>
        <v>0</v>
      </c>
      <c r="B2755" s="4" t="str">
        <f>IF(C2755=$L2755,1,IF(C2755="","",0))</f>
        <v/>
      </c>
      <c r="C2755" s="38"/>
      <c r="D2755" s="4" t="str">
        <f>IF(E2755=$L2755,1,IF(E2755="","",0))</f>
        <v/>
      </c>
      <c r="E2755" s="14"/>
      <c r="F2755" s="4" t="str">
        <f>IF(G2755=$L2755,1,IF(G2755="","",0))</f>
        <v/>
      </c>
      <c r="G2755" s="14"/>
      <c r="H2755" s="6">
        <v>538</v>
      </c>
      <c r="I2755" s="15" t="s">
        <v>3120</v>
      </c>
      <c r="J2755" s="6" t="s">
        <v>3683</v>
      </c>
      <c r="K2755" s="6"/>
      <c r="L2755" s="6" t="s">
        <v>666</v>
      </c>
      <c r="M2755" s="6" t="s">
        <v>6647</v>
      </c>
      <c r="N2755" s="7">
        <f ca="1">RAND()</f>
        <v>0.90197786209938646</v>
      </c>
      <c r="O2755" s="8">
        <v>45202</v>
      </c>
      <c r="P2755" s="8">
        <v>45203</v>
      </c>
      <c r="Q2755" s="8">
        <v>45205</v>
      </c>
      <c r="R2755" s="8">
        <v>45209</v>
      </c>
      <c r="S2755" s="8">
        <v>45216</v>
      </c>
      <c r="T2755" s="8">
        <v>45228</v>
      </c>
      <c r="U2755" s="8"/>
      <c r="V2755" s="10">
        <f>COUNTA(O2755:U2755)</f>
        <v>6</v>
      </c>
      <c r="W2755" s="11">
        <f>_xlfn.IFNA(INDEX(reading[[#This Row],[Memo 01]:[Memo 07]],MATCH(0,reading[[#This Row],[Memo 01]:[Memo 07]],-1)),"")</f>
        <v>45228</v>
      </c>
      <c r="X2755" s="11">
        <f ca="1">IFERROR(reading[[#This Row],[Previous]]+OFFSET(reading[[#Headers],[Memo 01]],-1,MATCH(0,reading[[#This Row],[Memo 01]:[Memo 07]],-1)-1),"")</f>
        <v>45248</v>
      </c>
      <c r="Y2755" s="10" t="str">
        <f ca="1">IF(reading[[#This Row],[Next]]&lt;&gt;"",IF(reading[[#This Row],[Next]]&gt;TODAY(),"OK",""),"")</f>
        <v/>
      </c>
      <c r="Z2755" s="13">
        <v>3</v>
      </c>
      <c r="AA2755" s="13">
        <v>3</v>
      </c>
      <c r="AB2755" s="13">
        <v>3</v>
      </c>
      <c r="AC2755" s="13">
        <v>3</v>
      </c>
      <c r="AD2755" s="13">
        <v>3</v>
      </c>
      <c r="AE2755" s="13">
        <v>3</v>
      </c>
      <c r="AF2755" s="13"/>
      <c r="AG2755" s="16">
        <f>IFERROR(SUMIF(reading[[#This Row],[1st]:[7th]],"&gt;0")/COUNTIF(reading[[#This Row],[1st]:[7th]],"&gt;0"),"")</f>
        <v>3</v>
      </c>
    </row>
    <row r="2756" spans="1:33" hidden="1" x14ac:dyDescent="0.2">
      <c r="A2756" s="4">
        <f>IF(B2756=1,3,IF(D2756=1,2,IF(F2756=1,1,0)))</f>
        <v>0</v>
      </c>
      <c r="B2756" s="4">
        <f>IF(C2756=$L2756,1,IF(C2756="","",0))</f>
        <v>0</v>
      </c>
      <c r="C2756" s="42" t="s">
        <v>9200</v>
      </c>
      <c r="D2756" s="4" t="str">
        <f>IF(E2756=$L2756,1,IF(E2756="","",0))</f>
        <v/>
      </c>
      <c r="E2756" s="14"/>
      <c r="F2756" s="4" t="str">
        <f>IF(G2756=$L2756,1,IF(G2756="","",0))</f>
        <v/>
      </c>
      <c r="G2756" s="14"/>
      <c r="H2756" s="6">
        <v>1023</v>
      </c>
      <c r="I2756" s="15" t="s">
        <v>3120</v>
      </c>
      <c r="J2756" s="6" t="s">
        <v>4151</v>
      </c>
      <c r="K2756" s="6"/>
      <c r="L2756" s="6" t="s">
        <v>1133</v>
      </c>
      <c r="M2756" s="6" t="s">
        <v>7131</v>
      </c>
      <c r="N2756" s="7">
        <f ca="1">RAND()</f>
        <v>0.14398670704531513</v>
      </c>
      <c r="O2756" s="8">
        <v>45205</v>
      </c>
      <c r="P2756" s="8">
        <v>45206</v>
      </c>
      <c r="Q2756" s="8">
        <v>45208</v>
      </c>
      <c r="R2756" s="8">
        <v>45212</v>
      </c>
      <c r="S2756" s="8">
        <v>45219</v>
      </c>
      <c r="T2756" s="8">
        <v>45231</v>
      </c>
      <c r="U2756" s="8"/>
      <c r="V2756" s="10">
        <f>COUNTA(O2756:U2756)</f>
        <v>6</v>
      </c>
      <c r="W2756" s="11">
        <f>_xlfn.IFNA(INDEX(reading[[#This Row],[Memo 01]:[Memo 07]],MATCH(0,reading[[#This Row],[Memo 01]:[Memo 07]],-1)),"")</f>
        <v>45231</v>
      </c>
      <c r="X2756" s="11">
        <f ca="1">IFERROR(reading[[#This Row],[Previous]]+OFFSET(reading[[#Headers],[Memo 01]],-1,MATCH(0,reading[[#This Row],[Memo 01]:[Memo 07]],-1)-1),"")</f>
        <v>45251</v>
      </c>
      <c r="Y2756" s="10" t="str">
        <f ca="1">IF(reading[[#This Row],[Next]]&lt;&gt;"",IF(reading[[#This Row],[Next]]&gt;TODAY(),"OK",""),"")</f>
        <v/>
      </c>
      <c r="Z2756" s="13">
        <v>3</v>
      </c>
      <c r="AA2756" s="13">
        <v>3</v>
      </c>
      <c r="AB2756" s="13">
        <v>3</v>
      </c>
      <c r="AC2756" s="13">
        <v>3</v>
      </c>
      <c r="AD2756" s="13">
        <v>3</v>
      </c>
      <c r="AE2756" s="13">
        <v>3</v>
      </c>
      <c r="AF2756" s="13"/>
      <c r="AG2756" s="16">
        <f>IFERROR(SUMIF(reading[[#This Row],[1st]:[7th]],"&gt;0")/COUNTIF(reading[[#This Row],[1st]:[7th]],"&gt;0"),"")</f>
        <v>3</v>
      </c>
    </row>
    <row r="2757" spans="1:33" hidden="1" x14ac:dyDescent="0.2">
      <c r="A2757" s="4">
        <f>IF(B2757=1,3,IF(D2757=1,2,IF(F2757=1,1,0)))</f>
        <v>0</v>
      </c>
      <c r="B2757" s="4" t="str">
        <f>IF(C2757=$L2757,1,IF(C2757="","",0))</f>
        <v/>
      </c>
      <c r="C2757" s="42"/>
      <c r="D2757" s="4" t="str">
        <f>IF(E2757=$L2757,1,IF(E2757="","",0))</f>
        <v/>
      </c>
      <c r="E2757" s="23"/>
      <c r="F2757" s="4" t="str">
        <f>IF(G2757=$L2757,1,IF(G2757="","",0))</f>
        <v/>
      </c>
      <c r="G2757" s="23"/>
      <c r="H2757" s="6">
        <v>473</v>
      </c>
      <c r="I2757" s="15" t="s">
        <v>3120</v>
      </c>
      <c r="J2757" s="6" t="s">
        <v>3619</v>
      </c>
      <c r="K2757" s="6"/>
      <c r="L2757" s="6" t="s">
        <v>602</v>
      </c>
      <c r="M2757" s="6" t="s">
        <v>6582</v>
      </c>
      <c r="N2757" s="7">
        <f ca="1">RAND()</f>
        <v>0.91549627438805858</v>
      </c>
      <c r="O2757" s="8">
        <v>45202</v>
      </c>
      <c r="P2757" s="8">
        <v>45203</v>
      </c>
      <c r="Q2757" s="8">
        <v>45205</v>
      </c>
      <c r="R2757" s="8">
        <v>45209</v>
      </c>
      <c r="S2757" s="8">
        <v>45216</v>
      </c>
      <c r="T2757" s="8">
        <v>45228</v>
      </c>
      <c r="U2757" s="8">
        <v>45816</v>
      </c>
      <c r="V2757" s="10">
        <f>COUNTA(O2757:U2757)</f>
        <v>7</v>
      </c>
      <c r="W2757" s="11">
        <f>_xlfn.IFNA(INDEX(reading[[#This Row],[Memo 01]:[Memo 07]],MATCH(0,reading[[#This Row],[Memo 01]:[Memo 07]],-1)),"")</f>
        <v>45816</v>
      </c>
      <c r="X2757" s="11">
        <f ca="1">IFERROR(reading[[#This Row],[Previous]]+OFFSET(reading[[#Headers],[Memo 01]],-1,MATCH(0,reading[[#This Row],[Memo 01]:[Memo 07]],-1)-1),"")</f>
        <v>55816</v>
      </c>
      <c r="Y2757" s="10" t="str">
        <f ca="1">IF(reading[[#This Row],[Next]]&lt;&gt;"",IF(reading[[#This Row],[Next]]&gt;TODAY(),"OK",""),"")</f>
        <v>OK</v>
      </c>
      <c r="Z2757" s="13">
        <v>3</v>
      </c>
      <c r="AA2757" s="13">
        <v>3</v>
      </c>
      <c r="AB2757" s="13">
        <v>3</v>
      </c>
      <c r="AC2757" s="13">
        <v>3</v>
      </c>
      <c r="AD2757" s="13">
        <v>3</v>
      </c>
      <c r="AE2757" s="13">
        <v>3</v>
      </c>
      <c r="AF2757" s="13">
        <v>1</v>
      </c>
      <c r="AG2757" s="16">
        <f>IFERROR(SUMIF(reading[[#This Row],[1st]:[7th]],"&gt;0")/COUNTIF(reading[[#This Row],[1st]:[7th]],"&gt;0"),"")</f>
        <v>2.7142857142857144</v>
      </c>
    </row>
    <row r="2758" spans="1:33" x14ac:dyDescent="0.2">
      <c r="A2758" s="4">
        <f>IF(B2758=1,3,IF(D2758=1,2,IF(F2758=1,1,0)))</f>
        <v>0</v>
      </c>
      <c r="B2758" s="4" t="str">
        <f>IF(C2758=$L2758,1,IF(C2758="","",0))</f>
        <v/>
      </c>
      <c r="C2758" s="39"/>
      <c r="D2758" s="4" t="str">
        <f>IF(E2758=$L2758,1,IF(E2758="","",0))</f>
        <v/>
      </c>
      <c r="E2758" s="18"/>
      <c r="F2758" s="4" t="str">
        <f>IF(G2758=$L2758,1,IF(G2758="","",0))</f>
        <v/>
      </c>
      <c r="G2758" s="14"/>
      <c r="H2758" s="6">
        <v>996</v>
      </c>
      <c r="I2758" s="15" t="s">
        <v>3120</v>
      </c>
      <c r="J2758" s="6" t="s">
        <v>4125</v>
      </c>
      <c r="K2758" s="6"/>
      <c r="L2758" s="6" t="s">
        <v>1106</v>
      </c>
      <c r="M2758" s="6" t="s">
        <v>7104</v>
      </c>
      <c r="N2758" s="7">
        <f ca="1">RAND()</f>
        <v>0.24085779372290095</v>
      </c>
      <c r="O2758" s="8">
        <v>45204</v>
      </c>
      <c r="P2758" s="8">
        <v>45205</v>
      </c>
      <c r="Q2758" s="8">
        <v>45207</v>
      </c>
      <c r="R2758" s="8">
        <v>45211</v>
      </c>
      <c r="S2758" s="8">
        <v>45218</v>
      </c>
      <c r="T2758" s="8">
        <v>45230</v>
      </c>
      <c r="U2758" s="8"/>
      <c r="V2758" s="10">
        <f>COUNTA(O2758:U2758)</f>
        <v>6</v>
      </c>
      <c r="W2758" s="11">
        <f>_xlfn.IFNA(INDEX(reading[[#This Row],[Memo 01]:[Memo 07]],MATCH(0,reading[[#This Row],[Memo 01]:[Memo 07]],-1)),"")</f>
        <v>45230</v>
      </c>
      <c r="X2758" s="11">
        <f ca="1">IFERROR(reading[[#This Row],[Previous]]+OFFSET(reading[[#Headers],[Memo 01]],-1,MATCH(0,reading[[#This Row],[Memo 01]:[Memo 07]],-1)-1),"")</f>
        <v>45250</v>
      </c>
      <c r="Y2758" s="10" t="str">
        <f ca="1">IF(reading[[#This Row],[Next]]&lt;&gt;"",IF(reading[[#This Row],[Next]]&gt;TODAY(),"OK",""),"")</f>
        <v/>
      </c>
      <c r="Z2758" s="13">
        <v>3</v>
      </c>
      <c r="AA2758" s="13">
        <v>3</v>
      </c>
      <c r="AB2758" s="13">
        <v>2</v>
      </c>
      <c r="AC2758" s="13">
        <v>3</v>
      </c>
      <c r="AD2758" s="13">
        <v>3</v>
      </c>
      <c r="AE2758" s="13">
        <v>3</v>
      </c>
      <c r="AF2758" s="13"/>
      <c r="AG2758" s="16">
        <f>IFERROR(SUMIF(reading[[#This Row],[1st]:[7th]],"&gt;0")/COUNTIF(reading[[#This Row],[1st]:[7th]],"&gt;0"),"")</f>
        <v>2.8333333333333335</v>
      </c>
    </row>
    <row r="2759" spans="1:33" x14ac:dyDescent="0.2">
      <c r="A2759" s="4">
        <f>IF(B2759=1,3,IF(D2759=1,2,IF(F2759=1,1,0)))</f>
        <v>0</v>
      </c>
      <c r="B2759" s="4" t="str">
        <f>IF(C2759=$L2759,1,IF(C2759="","",0))</f>
        <v/>
      </c>
      <c r="C2759" s="38"/>
      <c r="D2759" s="4" t="str">
        <f>IF(E2759=$L2759,1,IF(E2759="","",0))</f>
        <v/>
      </c>
      <c r="E2759" s="14"/>
      <c r="F2759" s="4" t="str">
        <f>IF(G2759=$L2759,1,IF(G2759="","",0))</f>
        <v/>
      </c>
      <c r="G2759" s="14"/>
      <c r="H2759" s="6">
        <v>721</v>
      </c>
      <c r="I2759" s="15" t="s">
        <v>3120</v>
      </c>
      <c r="J2759" s="6" t="s">
        <v>3859</v>
      </c>
      <c r="K2759" s="6"/>
      <c r="L2759" s="6" t="s">
        <v>842</v>
      </c>
      <c r="M2759" s="6" t="s">
        <v>6830</v>
      </c>
      <c r="N2759" s="7">
        <f ca="1">RAND()</f>
        <v>0.6822880374065633</v>
      </c>
      <c r="O2759" s="8">
        <v>45203</v>
      </c>
      <c r="P2759" s="8">
        <v>45204</v>
      </c>
      <c r="Q2759" s="8">
        <v>45206</v>
      </c>
      <c r="R2759" s="8">
        <v>45210</v>
      </c>
      <c r="S2759" s="8">
        <v>45217</v>
      </c>
      <c r="T2759" s="8">
        <v>45229</v>
      </c>
      <c r="U2759" s="8"/>
      <c r="V2759" s="10">
        <f>COUNTA(O2759:U2759)</f>
        <v>6</v>
      </c>
      <c r="W2759" s="11">
        <f>_xlfn.IFNA(INDEX(reading[[#This Row],[Memo 01]:[Memo 07]],MATCH(0,reading[[#This Row],[Memo 01]:[Memo 07]],-1)),"")</f>
        <v>45229</v>
      </c>
      <c r="X2759" s="11">
        <f ca="1">IFERROR(reading[[#This Row],[Previous]]+OFFSET(reading[[#Headers],[Memo 01]],-1,MATCH(0,reading[[#This Row],[Memo 01]:[Memo 07]],-1)-1),"")</f>
        <v>45249</v>
      </c>
      <c r="Y2759" s="10" t="str">
        <f ca="1">IF(reading[[#This Row],[Next]]&lt;&gt;"",IF(reading[[#This Row],[Next]]&gt;TODAY(),"OK",""),"")</f>
        <v/>
      </c>
      <c r="Z2759" s="13">
        <v>3</v>
      </c>
      <c r="AA2759" s="13">
        <v>3</v>
      </c>
      <c r="AB2759" s="13">
        <v>3</v>
      </c>
      <c r="AC2759" s="13">
        <v>3</v>
      </c>
      <c r="AD2759" s="13">
        <v>3</v>
      </c>
      <c r="AE2759" s="13">
        <v>3</v>
      </c>
      <c r="AF2759" s="13"/>
      <c r="AG2759" s="16">
        <f>IFERROR(SUMIF(reading[[#This Row],[1st]:[7th]],"&gt;0")/COUNTIF(reading[[#This Row],[1st]:[7th]],"&gt;0"),"")</f>
        <v>3</v>
      </c>
    </row>
    <row r="2760" spans="1:33" x14ac:dyDescent="0.2">
      <c r="A2760" s="4">
        <f>IF(B2760=1,3,IF(D2760=1,2,IF(F2760=1,1,0)))</f>
        <v>0</v>
      </c>
      <c r="B2760" s="4" t="str">
        <f>IF(C2760=$L2760,1,IF(C2760="","",0))</f>
        <v/>
      </c>
      <c r="C2760" s="41"/>
      <c r="D2760" s="4" t="str">
        <f>IF(E2760=$L2760,1,IF(E2760="","",0))</f>
        <v/>
      </c>
      <c r="E2760" s="18"/>
      <c r="F2760" s="4" t="str">
        <f>IF(G2760=$L2760,1,IF(G2760="","",0))</f>
        <v/>
      </c>
      <c r="G2760" s="14"/>
      <c r="H2760" s="6">
        <v>2657</v>
      </c>
      <c r="I2760" s="15" t="s">
        <v>3120</v>
      </c>
      <c r="J2760" s="6" t="s">
        <v>5710</v>
      </c>
      <c r="K2760" s="6"/>
      <c r="L2760" s="6" t="s">
        <v>2696</v>
      </c>
      <c r="M2760" s="6" t="s">
        <v>8762</v>
      </c>
      <c r="N2760" s="7">
        <f ca="1">RAND()</f>
        <v>8.7669384441543152E-2</v>
      </c>
      <c r="O2760" s="8">
        <v>45220</v>
      </c>
      <c r="P2760" s="8">
        <v>45221</v>
      </c>
      <c r="Q2760" s="8">
        <v>45223</v>
      </c>
      <c r="R2760" s="8">
        <v>45227</v>
      </c>
      <c r="S2760" s="8">
        <v>45234</v>
      </c>
      <c r="T2760" s="8">
        <v>45250</v>
      </c>
      <c r="U2760" s="8"/>
      <c r="V2760" s="10">
        <f>COUNTA(O2760:U2760)</f>
        <v>6</v>
      </c>
      <c r="W2760" s="11">
        <f>_xlfn.IFNA(INDEX(reading[[#This Row],[Memo 01]:[Memo 07]],MATCH(0,reading[[#This Row],[Memo 01]:[Memo 07]],-1)),"")</f>
        <v>45250</v>
      </c>
      <c r="X2760" s="11">
        <f ca="1">IFERROR(reading[[#This Row],[Previous]]+OFFSET(reading[[#Headers],[Memo 01]],-1,MATCH(0,reading[[#This Row],[Memo 01]:[Memo 07]],-1)-1),"")</f>
        <v>45270</v>
      </c>
      <c r="Y2760" s="10" t="str">
        <f ca="1">IF(reading[[#This Row],[Next]]&lt;&gt;"",IF(reading[[#This Row],[Next]]&gt;TODAY(),"OK",""),"")</f>
        <v/>
      </c>
      <c r="Z2760" s="13">
        <v>3</v>
      </c>
      <c r="AA2760" s="13">
        <v>3</v>
      </c>
      <c r="AB2760" s="13">
        <v>2</v>
      </c>
      <c r="AC2760" s="13">
        <v>1</v>
      </c>
      <c r="AD2760" s="13">
        <v>3</v>
      </c>
      <c r="AE2760" s="13">
        <v>2</v>
      </c>
      <c r="AF2760" s="13"/>
      <c r="AG2760" s="16">
        <f>IFERROR(SUMIF(reading[[#This Row],[1st]:[7th]],"&gt;0")/COUNTIF(reading[[#This Row],[1st]:[7th]],"&gt;0"),"")</f>
        <v>2.3333333333333335</v>
      </c>
    </row>
    <row r="2761" spans="1:33" x14ac:dyDescent="0.2">
      <c r="A2761" s="4">
        <f>IF(B2761=1,3,IF(D2761=1,2,IF(F2761=1,1,0)))</f>
        <v>0</v>
      </c>
      <c r="B2761" s="4" t="str">
        <f>IF(C2761=$L2761,1,IF(C2761="","",0))</f>
        <v/>
      </c>
      <c r="C2761" s="39"/>
      <c r="D2761" s="4" t="str">
        <f>IF(E2761=$L2761,1,IF(E2761="","",0))</f>
        <v/>
      </c>
      <c r="E2761" s="18"/>
      <c r="F2761" s="4" t="str">
        <f>IF(G2761=$L2761,1,IF(G2761="","",0))</f>
        <v/>
      </c>
      <c r="G2761" s="14"/>
      <c r="H2761" s="6">
        <v>1452</v>
      </c>
      <c r="I2761" s="15" t="s">
        <v>3120</v>
      </c>
      <c r="J2761" s="6" t="s">
        <v>4566</v>
      </c>
      <c r="K2761" s="6"/>
      <c r="L2761" s="6" t="s">
        <v>110</v>
      </c>
      <c r="M2761" s="6" t="s">
        <v>7559</v>
      </c>
      <c r="N2761" s="7">
        <f ca="1">RAND()</f>
        <v>0.31574341404305595</v>
      </c>
      <c r="O2761" s="8">
        <v>45208</v>
      </c>
      <c r="P2761" s="8">
        <v>45209</v>
      </c>
      <c r="Q2761" s="8">
        <v>45211</v>
      </c>
      <c r="R2761" s="8">
        <v>45215</v>
      </c>
      <c r="S2761" s="8">
        <v>45222</v>
      </c>
      <c r="T2761" s="8">
        <v>45234</v>
      </c>
      <c r="U2761" s="8"/>
      <c r="V2761" s="10">
        <f>COUNTA(O2761:U2761)</f>
        <v>6</v>
      </c>
      <c r="W2761" s="11">
        <f>_xlfn.IFNA(INDEX(reading[[#This Row],[Memo 01]:[Memo 07]],MATCH(0,reading[[#This Row],[Memo 01]:[Memo 07]],-1)),"")</f>
        <v>45234</v>
      </c>
      <c r="X2761" s="11">
        <f ca="1">IFERROR(reading[[#This Row],[Previous]]+OFFSET(reading[[#Headers],[Memo 01]],-1,MATCH(0,reading[[#This Row],[Memo 01]:[Memo 07]],-1)-1),"")</f>
        <v>45254</v>
      </c>
      <c r="Y2761" s="10" t="str">
        <f ca="1">IF(reading[[#This Row],[Next]]&lt;&gt;"",IF(reading[[#This Row],[Next]]&gt;TODAY(),"OK",""),"")</f>
        <v/>
      </c>
      <c r="Z2761" s="13">
        <v>3</v>
      </c>
      <c r="AA2761" s="13">
        <v>3</v>
      </c>
      <c r="AB2761" s="13">
        <v>3</v>
      </c>
      <c r="AC2761" s="13">
        <v>2</v>
      </c>
      <c r="AD2761" s="13">
        <v>3</v>
      </c>
      <c r="AE2761" s="13">
        <v>3</v>
      </c>
      <c r="AF2761" s="13"/>
      <c r="AG2761" s="16">
        <f>IFERROR(SUMIF(reading[[#This Row],[1st]:[7th]],"&gt;0")/COUNTIF(reading[[#This Row],[1st]:[7th]],"&gt;0"),"")</f>
        <v>2.8333333333333335</v>
      </c>
    </row>
    <row r="2762" spans="1:33" x14ac:dyDescent="0.2">
      <c r="A2762" s="4">
        <f>IF(B2762=1,3,IF(D2762=1,2,IF(F2762=1,1,0)))</f>
        <v>0</v>
      </c>
      <c r="B2762" s="4" t="str">
        <f>IF(C2762=$L2762,1,IF(C2762="","",0))</f>
        <v/>
      </c>
      <c r="C2762" s="36"/>
      <c r="D2762" s="4" t="str">
        <f>IF(E2762=$L2762,1,IF(E2762="","",0))</f>
        <v/>
      </c>
      <c r="E2762" s="14"/>
      <c r="F2762" s="4" t="str">
        <f>IF(G2762=$L2762,1,IF(G2762="","",0))</f>
        <v/>
      </c>
      <c r="G2762" s="14"/>
      <c r="H2762" s="6">
        <v>433</v>
      </c>
      <c r="I2762" s="15" t="s">
        <v>3120</v>
      </c>
      <c r="J2762" s="6" t="s">
        <v>3579</v>
      </c>
      <c r="K2762" s="6"/>
      <c r="L2762" s="6" t="s">
        <v>563</v>
      </c>
      <c r="M2762" s="6" t="s">
        <v>6542</v>
      </c>
      <c r="N2762" s="7">
        <f ca="1">RAND()</f>
        <v>0.24951601519893041</v>
      </c>
      <c r="O2762" s="8">
        <v>45201</v>
      </c>
      <c r="P2762" s="8">
        <v>45202</v>
      </c>
      <c r="Q2762" s="8">
        <v>45204</v>
      </c>
      <c r="R2762" s="8">
        <v>45208</v>
      </c>
      <c r="S2762" s="8">
        <v>45215</v>
      </c>
      <c r="T2762" s="8">
        <v>45227</v>
      </c>
      <c r="U2762" s="8"/>
      <c r="V2762" s="10">
        <f>COUNTA(O2762:U2762)</f>
        <v>6</v>
      </c>
      <c r="W2762" s="11">
        <f>_xlfn.IFNA(INDEX(reading[[#This Row],[Memo 01]:[Memo 07]],MATCH(0,reading[[#This Row],[Memo 01]:[Memo 07]],-1)),"")</f>
        <v>45227</v>
      </c>
      <c r="X2762" s="11">
        <f ca="1">IFERROR(reading[[#This Row],[Previous]]+OFFSET(reading[[#Headers],[Memo 01]],-1,MATCH(0,reading[[#This Row],[Memo 01]:[Memo 07]],-1)-1),"")</f>
        <v>45247</v>
      </c>
      <c r="Y2762" s="10" t="str">
        <f ca="1">IF(reading[[#This Row],[Next]]&lt;&gt;"",IF(reading[[#This Row],[Next]]&gt;TODAY(),"OK",""),"")</f>
        <v/>
      </c>
      <c r="Z2762" s="13">
        <v>3</v>
      </c>
      <c r="AA2762" s="13">
        <v>3</v>
      </c>
      <c r="AB2762" s="13">
        <v>3</v>
      </c>
      <c r="AC2762" s="13">
        <v>3</v>
      </c>
      <c r="AD2762" s="13">
        <v>3</v>
      </c>
      <c r="AE2762" s="13">
        <v>3</v>
      </c>
      <c r="AF2762" s="13"/>
      <c r="AG2762" s="16">
        <f>IFERROR(SUMIF(reading[[#This Row],[1st]:[7th]],"&gt;0")/COUNTIF(reading[[#This Row],[1st]:[7th]],"&gt;0"),"")</f>
        <v>3</v>
      </c>
    </row>
    <row r="2763" spans="1:33" x14ac:dyDescent="0.2">
      <c r="A2763" s="4">
        <f>IF(B2763=1,3,IF(D2763=1,2,IF(F2763=1,1,0)))</f>
        <v>0</v>
      </c>
      <c r="B2763" s="4" t="str">
        <f>IF(C2763=$L2763,1,IF(C2763="","",0))</f>
        <v/>
      </c>
      <c r="C2763" s="38"/>
      <c r="D2763" s="4" t="str">
        <f>IF(E2763=$L2763,1,IF(E2763="","",0))</f>
        <v/>
      </c>
      <c r="E2763" s="14"/>
      <c r="F2763" s="4" t="str">
        <f>IF(G2763=$L2763,1,IF(G2763="","",0))</f>
        <v/>
      </c>
      <c r="G2763" s="14"/>
      <c r="H2763" s="6">
        <v>2219</v>
      </c>
      <c r="I2763" s="15" t="s">
        <v>3120</v>
      </c>
      <c r="J2763" s="6" t="s">
        <v>5305</v>
      </c>
      <c r="K2763" s="15" t="s">
        <v>3138</v>
      </c>
      <c r="L2763" s="6" t="s">
        <v>2282</v>
      </c>
      <c r="M2763" s="6" t="s">
        <v>8325</v>
      </c>
      <c r="N2763" s="7">
        <f ca="1">RAND()</f>
        <v>0.88262380810696561</v>
      </c>
      <c r="O2763" s="8">
        <v>45215</v>
      </c>
      <c r="P2763" s="8">
        <v>45216</v>
      </c>
      <c r="Q2763" s="8">
        <v>45218</v>
      </c>
      <c r="R2763" s="8">
        <v>45222</v>
      </c>
      <c r="S2763" s="8">
        <v>45229</v>
      </c>
      <c r="T2763" s="8"/>
      <c r="U2763" s="8"/>
      <c r="V2763" s="10">
        <f>COUNTA(O2763:U2763)</f>
        <v>5</v>
      </c>
      <c r="W2763" s="11">
        <f>_xlfn.IFNA(INDEX(reading[[#This Row],[Memo 01]:[Memo 07]],MATCH(0,reading[[#This Row],[Memo 01]:[Memo 07]],-1)),"")</f>
        <v>45229</v>
      </c>
      <c r="X2763" s="11">
        <f ca="1">IFERROR(reading[[#This Row],[Previous]]+OFFSET(reading[[#Headers],[Memo 01]],-1,MATCH(0,reading[[#This Row],[Memo 01]:[Memo 07]],-1)-1),"")</f>
        <v>45241</v>
      </c>
      <c r="Y2763" s="10" t="str">
        <f ca="1">IF(reading[[#This Row],[Next]]&lt;&gt;"",IF(reading[[#This Row],[Next]]&gt;TODAY(),"OK",""),"")</f>
        <v/>
      </c>
      <c r="Z2763" s="13">
        <v>3</v>
      </c>
      <c r="AA2763" s="13">
        <v>3</v>
      </c>
      <c r="AB2763" s="13">
        <v>3</v>
      </c>
      <c r="AC2763" s="13">
        <v>3</v>
      </c>
      <c r="AD2763" s="13">
        <v>3</v>
      </c>
      <c r="AE2763" s="13"/>
      <c r="AF2763" s="13"/>
      <c r="AG2763" s="16">
        <f>IFERROR(SUMIF(reading[[#This Row],[1st]:[7th]],"&gt;0")/COUNTIF(reading[[#This Row],[1st]:[7th]],"&gt;0"),"")</f>
        <v>3</v>
      </c>
    </row>
    <row r="2764" spans="1:33" hidden="1" x14ac:dyDescent="0.2">
      <c r="A2764" s="4">
        <f>IF(B2764=1,3,IF(D2764=1,2,IF(F2764=1,1,0)))</f>
        <v>0</v>
      </c>
      <c r="B2764" s="4">
        <f>IF(C2764=$L2764,1,IF(C2764="","",0))</f>
        <v>0</v>
      </c>
      <c r="C2764" s="42" t="s">
        <v>9200</v>
      </c>
      <c r="D2764" s="4" t="str">
        <f>IF(E2764=$L2764,1,IF(E2764="","",0))</f>
        <v/>
      </c>
      <c r="E2764" s="14"/>
      <c r="F2764" s="4" t="str">
        <f>IF(G2764=$L2764,1,IF(G2764="","",0))</f>
        <v/>
      </c>
      <c r="G2764" s="14"/>
      <c r="H2764" s="6">
        <v>2268</v>
      </c>
      <c r="I2764" s="15" t="s">
        <v>3120</v>
      </c>
      <c r="J2764" s="6" t="s">
        <v>5350</v>
      </c>
      <c r="K2764" s="6"/>
      <c r="L2764" s="6" t="s">
        <v>2328</v>
      </c>
      <c r="M2764" s="6" t="s">
        <v>8373</v>
      </c>
      <c r="N2764" s="7">
        <f ca="1">RAND()</f>
        <v>1.7766961358309796E-2</v>
      </c>
      <c r="O2764" s="8">
        <v>45216</v>
      </c>
      <c r="P2764" s="8">
        <v>45217</v>
      </c>
      <c r="Q2764" s="8">
        <v>45219</v>
      </c>
      <c r="R2764" s="8">
        <v>45223</v>
      </c>
      <c r="S2764" s="8">
        <v>45230</v>
      </c>
      <c r="T2764" s="8"/>
      <c r="U2764" s="8"/>
      <c r="V2764" s="10">
        <f>COUNTA(O2764:U2764)</f>
        <v>5</v>
      </c>
      <c r="W2764" s="11">
        <f>_xlfn.IFNA(INDEX(reading[[#This Row],[Memo 01]:[Memo 07]],MATCH(0,reading[[#This Row],[Memo 01]:[Memo 07]],-1)),"")</f>
        <v>45230</v>
      </c>
      <c r="X2764" s="11">
        <f ca="1">IFERROR(reading[[#This Row],[Previous]]+OFFSET(reading[[#Headers],[Memo 01]],-1,MATCH(0,reading[[#This Row],[Memo 01]:[Memo 07]],-1)-1),"")</f>
        <v>45242</v>
      </c>
      <c r="Y2764" s="10" t="str">
        <f ca="1">IF(reading[[#This Row],[Next]]&lt;&gt;"",IF(reading[[#This Row],[Next]]&gt;TODAY(),"OK",""),"")</f>
        <v/>
      </c>
      <c r="Z2764" s="13">
        <v>3</v>
      </c>
      <c r="AA2764" s="13">
        <v>3</v>
      </c>
      <c r="AB2764" s="13">
        <v>3</v>
      </c>
      <c r="AC2764" s="13">
        <v>3</v>
      </c>
      <c r="AD2764" s="13">
        <v>3</v>
      </c>
      <c r="AE2764" s="13"/>
      <c r="AF2764" s="13"/>
      <c r="AG2764" s="16">
        <f>IFERROR(SUMIF(reading[[#This Row],[1st]:[7th]],"&gt;0")/COUNTIF(reading[[#This Row],[1st]:[7th]],"&gt;0"),"")</f>
        <v>3</v>
      </c>
    </row>
    <row r="2765" spans="1:33" x14ac:dyDescent="0.2">
      <c r="A2765" s="4">
        <f>IF(B2765=1,3,IF(D2765=1,2,IF(F2765=1,1,0)))</f>
        <v>0</v>
      </c>
      <c r="B2765" s="4" t="str">
        <f>IF(C2765=$L2765,1,IF(C2765="","",0))</f>
        <v/>
      </c>
      <c r="C2765" s="38"/>
      <c r="D2765" s="4" t="str">
        <f>IF(E2765=$L2765,1,IF(E2765="","",0))</f>
        <v/>
      </c>
      <c r="E2765" s="18"/>
      <c r="F2765" s="4" t="str">
        <f>IF(G2765=$L2765,1,IF(G2765="","",0))</f>
        <v/>
      </c>
      <c r="G2765" s="14"/>
      <c r="H2765" s="6">
        <v>497</v>
      </c>
      <c r="I2765" s="15" t="s">
        <v>3120</v>
      </c>
      <c r="J2765" s="6" t="s">
        <v>3643</v>
      </c>
      <c r="K2765" s="6"/>
      <c r="L2765" s="6" t="s">
        <v>625</v>
      </c>
      <c r="M2765" s="6" t="s">
        <v>6606</v>
      </c>
      <c r="N2765" s="7">
        <f ca="1">RAND()</f>
        <v>0.39597437823099657</v>
      </c>
      <c r="O2765" s="8">
        <v>45202</v>
      </c>
      <c r="P2765" s="8">
        <v>45203</v>
      </c>
      <c r="Q2765" s="8">
        <v>45205</v>
      </c>
      <c r="R2765" s="8">
        <v>45209</v>
      </c>
      <c r="S2765" s="8">
        <v>45216</v>
      </c>
      <c r="T2765" s="8">
        <v>45228</v>
      </c>
      <c r="U2765" s="8"/>
      <c r="V2765" s="10">
        <f>COUNTA(O2765:U2765)</f>
        <v>6</v>
      </c>
      <c r="W2765" s="11">
        <f>_xlfn.IFNA(INDEX(reading[[#This Row],[Memo 01]:[Memo 07]],MATCH(0,reading[[#This Row],[Memo 01]:[Memo 07]],-1)),"")</f>
        <v>45228</v>
      </c>
      <c r="X2765" s="11">
        <f ca="1">IFERROR(reading[[#This Row],[Previous]]+OFFSET(reading[[#Headers],[Memo 01]],-1,MATCH(0,reading[[#This Row],[Memo 01]:[Memo 07]],-1)-1),"")</f>
        <v>45248</v>
      </c>
      <c r="Y2765" s="10" t="str">
        <f ca="1">IF(reading[[#This Row],[Next]]&lt;&gt;"",IF(reading[[#This Row],[Next]]&gt;TODAY(),"OK",""),"")</f>
        <v/>
      </c>
      <c r="Z2765" s="13">
        <v>3</v>
      </c>
      <c r="AA2765" s="13">
        <v>3</v>
      </c>
      <c r="AB2765" s="13">
        <v>3</v>
      </c>
      <c r="AC2765" s="13">
        <v>3</v>
      </c>
      <c r="AD2765" s="13">
        <v>2</v>
      </c>
      <c r="AE2765" s="13">
        <v>3</v>
      </c>
      <c r="AF2765" s="13"/>
      <c r="AG2765" s="16">
        <f>IFERROR(SUMIF(reading[[#This Row],[1st]:[7th]],"&gt;0")/COUNTIF(reading[[#This Row],[1st]:[7th]],"&gt;0"),"")</f>
        <v>2.8333333333333335</v>
      </c>
    </row>
    <row r="2766" spans="1:33" x14ac:dyDescent="0.2">
      <c r="A2766" s="4">
        <f>IF(B2766=1,3,IF(D2766=1,2,IF(F2766=1,1,0)))</f>
        <v>0</v>
      </c>
      <c r="B2766" s="4" t="str">
        <f>IF(C2766=$L2766,1,IF(C2766="","",0))</f>
        <v/>
      </c>
      <c r="C2766" s="36"/>
      <c r="D2766" s="4" t="str">
        <f>IF(E2766=$L2766,1,IF(E2766="","",0))</f>
        <v/>
      </c>
      <c r="E2766" s="14"/>
      <c r="F2766" s="4" t="str">
        <f>IF(G2766=$L2766,1,IF(G2766="","",0))</f>
        <v/>
      </c>
      <c r="G2766" s="14"/>
      <c r="H2766" s="6">
        <v>1926</v>
      </c>
      <c r="I2766" s="15" t="s">
        <v>3120</v>
      </c>
      <c r="J2766" s="6" t="s">
        <v>5025</v>
      </c>
      <c r="K2766" s="6"/>
      <c r="L2766" s="6" t="s">
        <v>2002</v>
      </c>
      <c r="M2766" s="6" t="s">
        <v>8032</v>
      </c>
      <c r="N2766" s="7">
        <f ca="1">RAND()</f>
        <v>0.53470604010724654</v>
      </c>
      <c r="O2766" s="8">
        <v>45213</v>
      </c>
      <c r="P2766" s="8">
        <v>45214</v>
      </c>
      <c r="Q2766" s="8">
        <v>45216</v>
      </c>
      <c r="R2766" s="8">
        <v>45220</v>
      </c>
      <c r="S2766" s="8">
        <v>45227</v>
      </c>
      <c r="T2766" s="8"/>
      <c r="U2766" s="8"/>
      <c r="V2766" s="10">
        <f>COUNTA(O2766:U2766)</f>
        <v>5</v>
      </c>
      <c r="W2766" s="11">
        <f>_xlfn.IFNA(INDEX(reading[[#This Row],[Memo 01]:[Memo 07]],MATCH(0,reading[[#This Row],[Memo 01]:[Memo 07]],-1)),"")</f>
        <v>45227</v>
      </c>
      <c r="X2766" s="11">
        <f ca="1">IFERROR(reading[[#This Row],[Previous]]+OFFSET(reading[[#Headers],[Memo 01]],-1,MATCH(0,reading[[#This Row],[Memo 01]:[Memo 07]],-1)-1),"")</f>
        <v>45239</v>
      </c>
      <c r="Y2766" s="10" t="str">
        <f ca="1">IF(reading[[#This Row],[Next]]&lt;&gt;"",IF(reading[[#This Row],[Next]]&gt;TODAY(),"OK",""),"")</f>
        <v/>
      </c>
      <c r="Z2766" s="13">
        <v>3</v>
      </c>
      <c r="AA2766" s="13">
        <v>3</v>
      </c>
      <c r="AB2766" s="13">
        <v>3</v>
      </c>
      <c r="AC2766" s="13">
        <v>3</v>
      </c>
      <c r="AD2766" s="13">
        <v>3</v>
      </c>
      <c r="AE2766" s="13"/>
      <c r="AF2766" s="13"/>
      <c r="AG2766" s="16">
        <f>IFERROR(SUMIF(reading[[#This Row],[1st]:[7th]],"&gt;0")/COUNTIF(reading[[#This Row],[1st]:[7th]],"&gt;0"),"")</f>
        <v>3</v>
      </c>
    </row>
    <row r="2767" spans="1:33" x14ac:dyDescent="0.2">
      <c r="A2767" s="4">
        <f>IF(B2767=1,3,IF(D2767=1,2,IF(F2767=1,1,0)))</f>
        <v>0</v>
      </c>
      <c r="B2767" s="4" t="str">
        <f>IF(C2767=$L2767,1,IF(C2767="","",0))</f>
        <v/>
      </c>
      <c r="C2767" s="36"/>
      <c r="D2767" s="4" t="str">
        <f>IF(E2767=$L2767,1,IF(E2767="","",0))</f>
        <v/>
      </c>
      <c r="E2767" s="18"/>
      <c r="F2767" s="4" t="str">
        <f>IF(G2767=$L2767,1,IF(G2767="","",0))</f>
        <v/>
      </c>
      <c r="G2767" s="14"/>
      <c r="H2767" s="6">
        <v>1860</v>
      </c>
      <c r="I2767" s="15" t="s">
        <v>3120</v>
      </c>
      <c r="J2767" s="6" t="s">
        <v>4962</v>
      </c>
      <c r="K2767" s="15" t="s">
        <v>3139</v>
      </c>
      <c r="L2767" s="6" t="s">
        <v>1938</v>
      </c>
      <c r="M2767" s="6" t="s">
        <v>7966</v>
      </c>
      <c r="N2767" s="7">
        <f ca="1">RAND()</f>
        <v>0.9799594449128437</v>
      </c>
      <c r="O2767" s="8">
        <v>45212</v>
      </c>
      <c r="P2767" s="8">
        <v>45213</v>
      </c>
      <c r="Q2767" s="8">
        <v>45215</v>
      </c>
      <c r="R2767" s="8">
        <v>45219</v>
      </c>
      <c r="S2767" s="8">
        <v>45226</v>
      </c>
      <c r="T2767" s="8"/>
      <c r="U2767" s="8"/>
      <c r="V2767" s="10">
        <f>COUNTA(O2767:U2767)</f>
        <v>5</v>
      </c>
      <c r="W2767" s="11">
        <f>_xlfn.IFNA(INDEX(reading[[#This Row],[Memo 01]:[Memo 07]],MATCH(0,reading[[#This Row],[Memo 01]:[Memo 07]],-1)),"")</f>
        <v>45226</v>
      </c>
      <c r="X2767" s="11">
        <f ca="1">IFERROR(reading[[#This Row],[Previous]]+OFFSET(reading[[#Headers],[Memo 01]],-1,MATCH(0,reading[[#This Row],[Memo 01]:[Memo 07]],-1)-1),"")</f>
        <v>45238</v>
      </c>
      <c r="Y2767" s="10" t="str">
        <f ca="1">IF(reading[[#This Row],[Next]]&lt;&gt;"",IF(reading[[#This Row],[Next]]&gt;TODAY(),"OK",""),"")</f>
        <v/>
      </c>
      <c r="Z2767" s="13">
        <v>3</v>
      </c>
      <c r="AA2767" s="13">
        <v>3</v>
      </c>
      <c r="AB2767" s="13">
        <v>3</v>
      </c>
      <c r="AC2767" s="13">
        <v>2</v>
      </c>
      <c r="AD2767" s="13">
        <v>3</v>
      </c>
      <c r="AE2767" s="13"/>
      <c r="AF2767" s="13"/>
      <c r="AG2767" s="16">
        <f>IFERROR(SUMIF(reading[[#This Row],[1st]:[7th]],"&gt;0")/COUNTIF(reading[[#This Row],[1st]:[7th]],"&gt;0"),"")</f>
        <v>2.8</v>
      </c>
    </row>
    <row r="2768" spans="1:33" hidden="1" x14ac:dyDescent="0.2">
      <c r="A2768" s="4">
        <f>IF(B2768=1,3,IF(D2768=1,2,IF(F2768=1,1,0)))</f>
        <v>3</v>
      </c>
      <c r="B2768" s="4">
        <f>IF(C2768=$L2768,1,IF(C2768="","",0))</f>
        <v>1</v>
      </c>
      <c r="C2768" s="36" t="s">
        <v>2810</v>
      </c>
      <c r="D2768" s="4" t="str">
        <f>IF(E2768=$L2768,1,IF(E2768="","",0))</f>
        <v/>
      </c>
      <c r="E2768" s="14"/>
      <c r="F2768" s="4" t="str">
        <f>IF(G2768=$L2768,1,IF(G2768="","",0))</f>
        <v/>
      </c>
      <c r="G2768" s="14"/>
      <c r="H2768" s="6">
        <v>2772</v>
      </c>
      <c r="I2768" s="15" t="s">
        <v>3120</v>
      </c>
      <c r="J2768" s="6" t="s">
        <v>5816</v>
      </c>
      <c r="K2768" s="6"/>
      <c r="L2768" s="6" t="s">
        <v>2810</v>
      </c>
      <c r="M2768" s="6" t="s">
        <v>8876</v>
      </c>
      <c r="N2768" s="7">
        <f ca="1">RAND()</f>
        <v>0.22807987218743409</v>
      </c>
      <c r="O2768" s="8">
        <v>45221</v>
      </c>
      <c r="P2768" s="8">
        <v>45221</v>
      </c>
      <c r="Q2768" s="8">
        <v>45221</v>
      </c>
      <c r="R2768" s="8">
        <v>45221</v>
      </c>
      <c r="S2768" s="8">
        <v>45221</v>
      </c>
      <c r="T2768" s="8">
        <v>45221</v>
      </c>
      <c r="U2768" s="8">
        <v>45221</v>
      </c>
      <c r="V2768" s="10">
        <f>COUNTA(O2768:U2768)</f>
        <v>7</v>
      </c>
      <c r="W2768" s="11">
        <f>_xlfn.IFNA(INDEX(reading[[#This Row],[Memo 01]:[Memo 07]],MATCH(0,reading[[#This Row],[Memo 01]:[Memo 07]],-1)),"")</f>
        <v>45221</v>
      </c>
      <c r="X2768" s="11">
        <f ca="1">IFERROR(reading[[#This Row],[Previous]]+OFFSET(reading[[#Headers],[Memo 01]],-1,MATCH(0,reading[[#This Row],[Memo 01]:[Memo 07]],-1)-1),"")</f>
        <v>55221</v>
      </c>
      <c r="Y2768" s="10" t="str">
        <f ca="1">IF(reading[[#This Row],[Next]]&lt;&gt;"",IF(reading[[#This Row],[Next]]&gt;TODAY(),"OK",""),"")</f>
        <v>OK</v>
      </c>
      <c r="Z2768" s="13">
        <v>3</v>
      </c>
      <c r="AA2768" s="13"/>
      <c r="AB2768" s="13"/>
      <c r="AC2768" s="13"/>
      <c r="AD2768" s="13"/>
      <c r="AE2768" s="13"/>
      <c r="AF2768" s="13"/>
      <c r="AG2768" s="16">
        <f>IFERROR(SUMIF(reading[[#This Row],[1st]:[7th]],"&gt;0")/COUNTIF(reading[[#This Row],[1st]:[7th]],"&gt;0"),"")</f>
        <v>3</v>
      </c>
    </row>
    <row r="2769" spans="1:33" x14ac:dyDescent="0.2">
      <c r="A2769" s="4">
        <f>IF(B2769=1,3,IF(D2769=1,2,IF(F2769=1,1,0)))</f>
        <v>0</v>
      </c>
      <c r="B2769" s="4" t="str">
        <f>IF(C2769=$L2769,1,IF(C2769="","",0))</f>
        <v/>
      </c>
      <c r="C2769" s="39"/>
      <c r="D2769" s="4" t="str">
        <f>IF(E2769=$L2769,1,IF(E2769="","",0))</f>
        <v/>
      </c>
      <c r="E2769" s="14"/>
      <c r="F2769" s="4" t="str">
        <f>IF(G2769=$L2769,1,IF(G2769="","",0))</f>
        <v/>
      </c>
      <c r="G2769" s="14"/>
      <c r="H2769" s="6">
        <v>1799</v>
      </c>
      <c r="I2769" s="15" t="s">
        <v>3120</v>
      </c>
      <c r="J2769" s="6" t="s">
        <v>4906</v>
      </c>
      <c r="K2769" s="6"/>
      <c r="L2769" s="6" t="s">
        <v>1878</v>
      </c>
      <c r="M2769" s="6" t="s">
        <v>7905</v>
      </c>
      <c r="N2769" s="7">
        <f ca="1">RAND()</f>
        <v>0.60981880227559748</v>
      </c>
      <c r="O2769" s="8">
        <v>45211</v>
      </c>
      <c r="P2769" s="8">
        <v>45212</v>
      </c>
      <c r="Q2769" s="8">
        <v>45214</v>
      </c>
      <c r="R2769" s="8">
        <v>45218</v>
      </c>
      <c r="S2769" s="8">
        <v>45225</v>
      </c>
      <c r="T2769" s="8">
        <v>45237</v>
      </c>
      <c r="U2769" s="8"/>
      <c r="V2769" s="10">
        <f>COUNTA(O2769:U2769)</f>
        <v>6</v>
      </c>
      <c r="W2769" s="11">
        <f>_xlfn.IFNA(INDEX(reading[[#This Row],[Memo 01]:[Memo 07]],MATCH(0,reading[[#This Row],[Memo 01]:[Memo 07]],-1)),"")</f>
        <v>45237</v>
      </c>
      <c r="X2769" s="11">
        <f ca="1">IFERROR(reading[[#This Row],[Previous]]+OFFSET(reading[[#Headers],[Memo 01]],-1,MATCH(0,reading[[#This Row],[Memo 01]:[Memo 07]],-1)-1),"")</f>
        <v>45257</v>
      </c>
      <c r="Y2769" s="10" t="str">
        <f ca="1">IF(reading[[#This Row],[Next]]&lt;&gt;"",IF(reading[[#This Row],[Next]]&gt;TODAY(),"OK",""),"")</f>
        <v/>
      </c>
      <c r="Z2769" s="13">
        <v>3</v>
      </c>
      <c r="AA2769" s="13">
        <v>3</v>
      </c>
      <c r="AB2769" s="13">
        <v>3</v>
      </c>
      <c r="AC2769" s="13">
        <v>3</v>
      </c>
      <c r="AD2769" s="13">
        <v>3</v>
      </c>
      <c r="AE2769" s="13">
        <v>3</v>
      </c>
      <c r="AF2769" s="13"/>
      <c r="AG2769" s="16">
        <f>IFERROR(SUMIF(reading[[#This Row],[1st]:[7th]],"&gt;0")/COUNTIF(reading[[#This Row],[1st]:[7th]],"&gt;0"),"")</f>
        <v>3</v>
      </c>
    </row>
    <row r="2770" spans="1:33" x14ac:dyDescent="0.2">
      <c r="A2770" s="4">
        <f>IF(B2770=1,3,IF(D2770=1,2,IF(F2770=1,1,0)))</f>
        <v>0</v>
      </c>
      <c r="B2770" s="4" t="str">
        <f>IF(C2770=$L2770,1,IF(C2770="","",0))</f>
        <v/>
      </c>
      <c r="C2770" s="42"/>
      <c r="D2770" s="4" t="str">
        <f>IF(E2770=$L2770,1,IF(E2770="","",0))</f>
        <v/>
      </c>
      <c r="E2770" s="18"/>
      <c r="F2770" s="4" t="str">
        <f>IF(G2770=$L2770,1,IF(G2770="","",0))</f>
        <v/>
      </c>
      <c r="G2770" s="18"/>
      <c r="H2770" s="6">
        <v>652</v>
      </c>
      <c r="I2770" s="15" t="s">
        <v>3120</v>
      </c>
      <c r="J2770" s="6" t="s">
        <v>3792</v>
      </c>
      <c r="K2770" s="6"/>
      <c r="L2770" s="6" t="s">
        <v>775</v>
      </c>
      <c r="M2770" s="6" t="s">
        <v>6761</v>
      </c>
      <c r="N2770" s="7">
        <f ca="1">RAND()</f>
        <v>0.30789044481408379</v>
      </c>
      <c r="O2770" s="8">
        <v>45202</v>
      </c>
      <c r="P2770" s="8">
        <v>45203</v>
      </c>
      <c r="Q2770" s="8">
        <v>45205</v>
      </c>
      <c r="R2770" s="8">
        <v>45209</v>
      </c>
      <c r="S2770" s="8">
        <v>45216</v>
      </c>
      <c r="T2770" s="8">
        <v>45228</v>
      </c>
      <c r="U2770" s="8"/>
      <c r="V2770" s="10">
        <f>COUNTA(O2770:U2770)</f>
        <v>6</v>
      </c>
      <c r="W2770" s="11">
        <f>_xlfn.IFNA(INDEX(reading[[#This Row],[Memo 01]:[Memo 07]],MATCH(0,reading[[#This Row],[Memo 01]:[Memo 07]],-1)),"")</f>
        <v>45228</v>
      </c>
      <c r="X2770" s="11">
        <f ca="1">IFERROR(reading[[#This Row],[Previous]]+OFFSET(reading[[#Headers],[Memo 01]],-1,MATCH(0,reading[[#This Row],[Memo 01]:[Memo 07]],-1)-1),"")</f>
        <v>45248</v>
      </c>
      <c r="Y2770" s="10" t="str">
        <f ca="1">IF(reading[[#This Row],[Next]]&lt;&gt;"",IF(reading[[#This Row],[Next]]&gt;TODAY(),"OK",""),"")</f>
        <v/>
      </c>
      <c r="Z2770" s="13">
        <v>3</v>
      </c>
      <c r="AA2770" s="13">
        <v>3</v>
      </c>
      <c r="AB2770" s="13">
        <v>3</v>
      </c>
      <c r="AC2770" s="13">
        <v>3</v>
      </c>
      <c r="AD2770" s="13">
        <v>1</v>
      </c>
      <c r="AE2770" s="13">
        <v>3</v>
      </c>
      <c r="AF2770" s="13"/>
      <c r="AG2770" s="16">
        <f>IFERROR(SUMIF(reading[[#This Row],[1st]:[7th]],"&gt;0")/COUNTIF(reading[[#This Row],[1st]:[7th]],"&gt;0"),"")</f>
        <v>2.6666666666666665</v>
      </c>
    </row>
    <row r="2771" spans="1:33" hidden="1" x14ac:dyDescent="0.2">
      <c r="A2771" s="4">
        <f>IF(B2771=1,3,IF(D2771=1,2,IF(F2771=1,1,0)))</f>
        <v>3</v>
      </c>
      <c r="B2771" s="4">
        <f>IF(C2771=$L2771,1,IF(C2771="","",0))</f>
        <v>1</v>
      </c>
      <c r="C2771" s="36" t="s">
        <v>2813</v>
      </c>
      <c r="D2771" s="4" t="str">
        <f>IF(E2771=$L2771,1,IF(E2771="","",0))</f>
        <v/>
      </c>
      <c r="E2771" s="14"/>
      <c r="F2771" s="4" t="str">
        <f>IF(G2771=$L2771,1,IF(G2771="","",0))</f>
        <v/>
      </c>
      <c r="G2771" s="14"/>
      <c r="H2771" s="6">
        <v>2775</v>
      </c>
      <c r="I2771" s="15" t="s">
        <v>3120</v>
      </c>
      <c r="J2771" s="6" t="s">
        <v>5818</v>
      </c>
      <c r="K2771" s="6"/>
      <c r="L2771" s="6" t="s">
        <v>2813</v>
      </c>
      <c r="M2771" s="6" t="s">
        <v>8879</v>
      </c>
      <c r="N2771" s="7">
        <f ca="1">RAND()</f>
        <v>0.35306105166044044</v>
      </c>
      <c r="O2771" s="8">
        <v>45221</v>
      </c>
      <c r="P2771" s="8">
        <v>45221</v>
      </c>
      <c r="Q2771" s="8">
        <v>45221</v>
      </c>
      <c r="R2771" s="8">
        <v>45221</v>
      </c>
      <c r="S2771" s="8">
        <v>45221</v>
      </c>
      <c r="T2771" s="8">
        <v>45221</v>
      </c>
      <c r="U2771" s="8">
        <v>45221</v>
      </c>
      <c r="V2771" s="10">
        <f>COUNTA(O2771:U2771)</f>
        <v>7</v>
      </c>
      <c r="W2771" s="11">
        <f>_xlfn.IFNA(INDEX(reading[[#This Row],[Memo 01]:[Memo 07]],MATCH(0,reading[[#This Row],[Memo 01]:[Memo 07]],-1)),"")</f>
        <v>45221</v>
      </c>
      <c r="X2771" s="11">
        <f ca="1">IFERROR(reading[[#This Row],[Previous]]+OFFSET(reading[[#Headers],[Memo 01]],-1,MATCH(0,reading[[#This Row],[Memo 01]:[Memo 07]],-1)-1),"")</f>
        <v>55221</v>
      </c>
      <c r="Y2771" s="10" t="str">
        <f ca="1">IF(reading[[#This Row],[Next]]&lt;&gt;"",IF(reading[[#This Row],[Next]]&gt;TODAY(),"OK",""),"")</f>
        <v>OK</v>
      </c>
      <c r="Z2771" s="13">
        <v>3</v>
      </c>
      <c r="AA2771" s="13"/>
      <c r="AB2771" s="13"/>
      <c r="AC2771" s="13"/>
      <c r="AD2771" s="13"/>
      <c r="AE2771" s="13"/>
      <c r="AF2771" s="13"/>
      <c r="AG2771" s="16">
        <f>IFERROR(SUMIF(reading[[#This Row],[1st]:[7th]],"&gt;0")/COUNTIF(reading[[#This Row],[1st]:[7th]],"&gt;0"),"")</f>
        <v>3</v>
      </c>
    </row>
    <row r="2772" spans="1:33" x14ac:dyDescent="0.2">
      <c r="A2772" s="4">
        <f>IF(B2772=1,3,IF(D2772=1,2,IF(F2772=1,1,0)))</f>
        <v>0</v>
      </c>
      <c r="B2772" s="4" t="str">
        <f>IF(C2772=$L2772,1,IF(C2772="","",0))</f>
        <v/>
      </c>
      <c r="C2772" s="39"/>
      <c r="D2772" s="4" t="str">
        <f>IF(E2772=$L2772,1,IF(E2772="","",0))</f>
        <v/>
      </c>
      <c r="E2772" s="14"/>
      <c r="F2772" s="4" t="str">
        <f>IF(G2772=$L2772,1,IF(G2772="","",0))</f>
        <v/>
      </c>
      <c r="G2772" s="14"/>
      <c r="H2772" s="6">
        <v>1751</v>
      </c>
      <c r="I2772" s="15" t="s">
        <v>3120</v>
      </c>
      <c r="J2772" s="6" t="s">
        <v>4859</v>
      </c>
      <c r="K2772" s="6"/>
      <c r="L2772" s="6" t="s">
        <v>1831</v>
      </c>
      <c r="M2772" s="6" t="s">
        <v>7857</v>
      </c>
      <c r="N2772" s="7">
        <f ca="1">RAND()</f>
        <v>0.31513752905955861</v>
      </c>
      <c r="O2772" s="8">
        <v>45211</v>
      </c>
      <c r="P2772" s="8">
        <v>45212</v>
      </c>
      <c r="Q2772" s="8">
        <v>45214</v>
      </c>
      <c r="R2772" s="8">
        <v>45218</v>
      </c>
      <c r="S2772" s="8">
        <v>45225</v>
      </c>
      <c r="T2772" s="8">
        <v>45237</v>
      </c>
      <c r="U2772" s="8"/>
      <c r="V2772" s="10">
        <f>COUNTA(O2772:U2772)</f>
        <v>6</v>
      </c>
      <c r="W2772" s="11">
        <f>_xlfn.IFNA(INDEX(reading[[#This Row],[Memo 01]:[Memo 07]],MATCH(0,reading[[#This Row],[Memo 01]:[Memo 07]],-1)),"")</f>
        <v>45237</v>
      </c>
      <c r="X2772" s="11">
        <f ca="1">IFERROR(reading[[#This Row],[Previous]]+OFFSET(reading[[#Headers],[Memo 01]],-1,MATCH(0,reading[[#This Row],[Memo 01]:[Memo 07]],-1)-1),"")</f>
        <v>45257</v>
      </c>
      <c r="Y2772" s="10" t="str">
        <f ca="1">IF(reading[[#This Row],[Next]]&lt;&gt;"",IF(reading[[#This Row],[Next]]&gt;TODAY(),"OK",""),"")</f>
        <v/>
      </c>
      <c r="Z2772" s="13">
        <v>3</v>
      </c>
      <c r="AA2772" s="13">
        <v>3</v>
      </c>
      <c r="AB2772" s="13">
        <v>3</v>
      </c>
      <c r="AC2772" s="13">
        <v>3</v>
      </c>
      <c r="AD2772" s="13">
        <v>3</v>
      </c>
      <c r="AE2772" s="13">
        <v>3</v>
      </c>
      <c r="AF2772" s="13"/>
      <c r="AG2772" s="16">
        <f>IFERROR(SUMIF(reading[[#This Row],[1st]:[7th]],"&gt;0")/COUNTIF(reading[[#This Row],[1st]:[7th]],"&gt;0"),"")</f>
        <v>3</v>
      </c>
    </row>
    <row r="2773" spans="1:33" x14ac:dyDescent="0.2">
      <c r="A2773" s="4">
        <f>IF(B2773=1,3,IF(D2773=1,2,IF(F2773=1,1,0)))</f>
        <v>0</v>
      </c>
      <c r="B2773" s="4" t="str">
        <f>IF(C2773=$L2773,1,IF(C2773="","",0))</f>
        <v/>
      </c>
      <c r="C2773" s="39"/>
      <c r="D2773" s="4" t="str">
        <f>IF(E2773=$L2773,1,IF(E2773="","",0))</f>
        <v/>
      </c>
      <c r="E2773" s="14"/>
      <c r="F2773" s="4" t="str">
        <f>IF(G2773=$L2773,1,IF(G2773="","",0))</f>
        <v/>
      </c>
      <c r="G2773" s="14"/>
      <c r="H2773" s="6">
        <v>2312</v>
      </c>
      <c r="I2773" s="15" t="s">
        <v>3120</v>
      </c>
      <c r="J2773" s="6" t="s">
        <v>5390</v>
      </c>
      <c r="K2773" s="6"/>
      <c r="L2773" s="6" t="s">
        <v>2369</v>
      </c>
      <c r="M2773" s="6" t="s">
        <v>8417</v>
      </c>
      <c r="N2773" s="7">
        <f ca="1">RAND()</f>
        <v>0.76600660739884807</v>
      </c>
      <c r="O2773" s="8">
        <v>45216</v>
      </c>
      <c r="P2773" s="8">
        <v>45217</v>
      </c>
      <c r="Q2773" s="8">
        <v>45219</v>
      </c>
      <c r="R2773" s="8">
        <v>45223</v>
      </c>
      <c r="S2773" s="8">
        <v>45230</v>
      </c>
      <c r="T2773" s="8"/>
      <c r="U2773" s="8"/>
      <c r="V2773" s="10">
        <f>COUNTA(O2773:U2773)</f>
        <v>5</v>
      </c>
      <c r="W2773" s="11">
        <f>_xlfn.IFNA(INDEX(reading[[#This Row],[Memo 01]:[Memo 07]],MATCH(0,reading[[#This Row],[Memo 01]:[Memo 07]],-1)),"")</f>
        <v>45230</v>
      </c>
      <c r="X2773" s="11">
        <f ca="1">IFERROR(reading[[#This Row],[Previous]]+OFFSET(reading[[#Headers],[Memo 01]],-1,MATCH(0,reading[[#This Row],[Memo 01]:[Memo 07]],-1)-1),"")</f>
        <v>45242</v>
      </c>
      <c r="Y2773" s="10" t="str">
        <f ca="1">IF(reading[[#This Row],[Next]]&lt;&gt;"",IF(reading[[#This Row],[Next]]&gt;TODAY(),"OK",""),"")</f>
        <v/>
      </c>
      <c r="Z2773" s="13">
        <v>3</v>
      </c>
      <c r="AA2773" s="13">
        <v>3</v>
      </c>
      <c r="AB2773" s="13">
        <v>3</v>
      </c>
      <c r="AC2773" s="13">
        <v>3</v>
      </c>
      <c r="AD2773" s="13">
        <v>3</v>
      </c>
      <c r="AE2773" s="13"/>
      <c r="AF2773" s="13"/>
      <c r="AG2773" s="16">
        <f>IFERROR(SUMIF(reading[[#This Row],[1st]:[7th]],"&gt;0")/COUNTIF(reading[[#This Row],[1st]:[7th]],"&gt;0"),"")</f>
        <v>3</v>
      </c>
    </row>
    <row r="2774" spans="1:33" x14ac:dyDescent="0.2">
      <c r="A2774" s="4">
        <f>IF(B2774=1,3,IF(D2774=1,2,IF(F2774=1,1,0)))</f>
        <v>0</v>
      </c>
      <c r="B2774" s="4" t="str">
        <f>IF(C2774=$L2774,1,IF(C2774="","",0))</f>
        <v/>
      </c>
      <c r="C2774" s="39"/>
      <c r="D2774" s="4" t="str">
        <f>IF(E2774=$L2774,1,IF(E2774="","",0))</f>
        <v/>
      </c>
      <c r="E2774" s="14"/>
      <c r="F2774" s="4" t="str">
        <f>IF(G2774=$L2774,1,IF(G2774="","",0))</f>
        <v/>
      </c>
      <c r="G2774" s="14"/>
      <c r="H2774" s="6">
        <v>2480</v>
      </c>
      <c r="I2774" s="15" t="s">
        <v>3120</v>
      </c>
      <c r="J2774" s="6" t="s">
        <v>5548</v>
      </c>
      <c r="K2774" s="6"/>
      <c r="L2774" s="6" t="s">
        <v>92</v>
      </c>
      <c r="M2774" s="6" t="s">
        <v>8585</v>
      </c>
      <c r="N2774" s="7">
        <f ca="1">RAND()</f>
        <v>0.53515903308271662</v>
      </c>
      <c r="O2774" s="8">
        <v>45218</v>
      </c>
      <c r="P2774" s="8">
        <v>45219</v>
      </c>
      <c r="Q2774" s="8">
        <v>45221</v>
      </c>
      <c r="R2774" s="8">
        <v>45225</v>
      </c>
      <c r="S2774" s="8">
        <v>45232</v>
      </c>
      <c r="T2774" s="8"/>
      <c r="U2774" s="8"/>
      <c r="V2774" s="10">
        <f>COUNTA(O2774:U2774)</f>
        <v>5</v>
      </c>
      <c r="W2774" s="11">
        <f>_xlfn.IFNA(INDEX(reading[[#This Row],[Memo 01]:[Memo 07]],MATCH(0,reading[[#This Row],[Memo 01]:[Memo 07]],-1)),"")</f>
        <v>45232</v>
      </c>
      <c r="X2774" s="11">
        <f ca="1">IFERROR(reading[[#This Row],[Previous]]+OFFSET(reading[[#Headers],[Memo 01]],-1,MATCH(0,reading[[#This Row],[Memo 01]:[Memo 07]],-1)-1),"")</f>
        <v>45244</v>
      </c>
      <c r="Y2774" s="10" t="str">
        <f ca="1">IF(reading[[#This Row],[Next]]&lt;&gt;"",IF(reading[[#This Row],[Next]]&gt;TODAY(),"OK",""),"")</f>
        <v/>
      </c>
      <c r="Z2774" s="13">
        <v>3</v>
      </c>
      <c r="AA2774" s="13">
        <v>3</v>
      </c>
      <c r="AB2774" s="13">
        <v>3</v>
      </c>
      <c r="AC2774" s="13">
        <v>3</v>
      </c>
      <c r="AD2774" s="13">
        <v>2</v>
      </c>
      <c r="AE2774" s="13"/>
      <c r="AF2774" s="13"/>
      <c r="AG2774" s="16">
        <f>IFERROR(SUMIF(reading[[#This Row],[1st]:[7th]],"&gt;0")/COUNTIF(reading[[#This Row],[1st]:[7th]],"&gt;0"),"")</f>
        <v>2.8</v>
      </c>
    </row>
    <row r="2775" spans="1:33" hidden="1" x14ac:dyDescent="0.2">
      <c r="A2775" s="4">
        <f>IF(B2775=1,3,IF(D2775=1,2,IF(F2775=1,1,0)))</f>
        <v>0</v>
      </c>
      <c r="B2775" s="4" t="str">
        <f>IF(C2775=$L2775,1,IF(C2775="","",0))</f>
        <v/>
      </c>
      <c r="C2775" s="42"/>
      <c r="D2775" s="4" t="str">
        <f>IF(E2775=$L2775,1,IF(E2775="","",0))</f>
        <v/>
      </c>
      <c r="E2775" s="18"/>
      <c r="F2775" s="4" t="str">
        <f>IF(G2775=$L2775,1,IF(G2775="","",0))</f>
        <v/>
      </c>
      <c r="G2775" s="14"/>
      <c r="H2775" s="6">
        <v>1200</v>
      </c>
      <c r="I2775" s="15" t="s">
        <v>3120</v>
      </c>
      <c r="J2775" s="6" t="s">
        <v>4319</v>
      </c>
      <c r="K2775" s="24" t="s">
        <v>3150</v>
      </c>
      <c r="L2775" s="6" t="s">
        <v>1302</v>
      </c>
      <c r="M2775" s="6" t="s">
        <v>7307</v>
      </c>
      <c r="N2775" s="7">
        <f ca="1">RAND()</f>
        <v>0.85029003401142578</v>
      </c>
      <c r="O2775" s="8">
        <v>45206</v>
      </c>
      <c r="P2775" s="8">
        <v>45207</v>
      </c>
      <c r="Q2775" s="8">
        <v>45209</v>
      </c>
      <c r="R2775" s="8">
        <v>45213</v>
      </c>
      <c r="S2775" s="8">
        <v>45220</v>
      </c>
      <c r="T2775" s="8">
        <v>45232</v>
      </c>
      <c r="U2775" s="8">
        <v>45253</v>
      </c>
      <c r="V2775" s="10">
        <f>COUNTA(O2775:U2775)</f>
        <v>7</v>
      </c>
      <c r="W2775" s="11">
        <f>_xlfn.IFNA(INDEX(reading[[#This Row],[Memo 01]:[Memo 07]],MATCH(0,reading[[#This Row],[Memo 01]:[Memo 07]],-1)),"")</f>
        <v>45253</v>
      </c>
      <c r="X2775" s="11">
        <f ca="1">IFERROR(reading[[#This Row],[Previous]]+OFFSET(reading[[#Headers],[Memo 01]],-1,MATCH(0,reading[[#This Row],[Memo 01]:[Memo 07]],-1)-1),"")</f>
        <v>55253</v>
      </c>
      <c r="Y2775" s="10" t="str">
        <f ca="1">IF(reading[[#This Row],[Next]]&lt;&gt;"",IF(reading[[#This Row],[Next]]&gt;TODAY(),"OK",""),"")</f>
        <v>OK</v>
      </c>
      <c r="Z2775" s="13">
        <v>3</v>
      </c>
      <c r="AA2775" s="13">
        <v>2</v>
      </c>
      <c r="AB2775" s="13">
        <v>1</v>
      </c>
      <c r="AC2775" s="13">
        <v>3</v>
      </c>
      <c r="AD2775" s="13">
        <v>3</v>
      </c>
      <c r="AE2775" s="13">
        <v>3</v>
      </c>
      <c r="AF2775" s="13">
        <v>2</v>
      </c>
      <c r="AG2775" s="16">
        <f>IFERROR(SUMIF(reading[[#This Row],[1st]:[7th]],"&gt;0")/COUNTIF(reading[[#This Row],[1st]:[7th]],"&gt;0"),"")</f>
        <v>2.4285714285714284</v>
      </c>
    </row>
    <row r="2776" spans="1:33" hidden="1" x14ac:dyDescent="0.2">
      <c r="A2776" s="4">
        <f>IF(B2776=1,3,IF(D2776=1,2,IF(F2776=1,1,0)))</f>
        <v>0</v>
      </c>
      <c r="B2776" s="4" t="str">
        <f>IF(C2776=$L2776,1,IF(C2776="","",0))</f>
        <v/>
      </c>
      <c r="C2776" s="42"/>
      <c r="D2776" s="4" t="str">
        <f>IF(E2776=$L2776,1,IF(E2776="","",0))</f>
        <v/>
      </c>
      <c r="E2776" s="23"/>
      <c r="F2776" s="4" t="str">
        <f>IF(G2776=$L2776,1,IF(G2776="","",0))</f>
        <v/>
      </c>
      <c r="G2776" s="14"/>
      <c r="H2776" s="6">
        <v>1180</v>
      </c>
      <c r="I2776" s="15" t="s">
        <v>3120</v>
      </c>
      <c r="J2776" s="6" t="s">
        <v>4299</v>
      </c>
      <c r="K2776" s="6"/>
      <c r="L2776" s="6" t="s">
        <v>1282</v>
      </c>
      <c r="M2776" s="6" t="s">
        <v>7288</v>
      </c>
      <c r="N2776" s="7">
        <f ca="1">RAND()</f>
        <v>0.41839158982141389</v>
      </c>
      <c r="O2776" s="8">
        <v>45206</v>
      </c>
      <c r="P2776" s="8">
        <v>45207</v>
      </c>
      <c r="Q2776" s="8">
        <v>45209</v>
      </c>
      <c r="R2776" s="8">
        <v>45213</v>
      </c>
      <c r="S2776" s="8">
        <v>45220</v>
      </c>
      <c r="T2776" s="8">
        <v>45232</v>
      </c>
      <c r="U2776" s="8">
        <v>45825</v>
      </c>
      <c r="V2776" s="10">
        <f>COUNTA(O2776:U2776)</f>
        <v>7</v>
      </c>
      <c r="W2776" s="11">
        <f>_xlfn.IFNA(INDEX(reading[[#This Row],[Memo 01]:[Memo 07]],MATCH(0,reading[[#This Row],[Memo 01]:[Memo 07]],-1)),"")</f>
        <v>45825</v>
      </c>
      <c r="X2776" s="11">
        <f ca="1">IFERROR(reading[[#This Row],[Previous]]+OFFSET(reading[[#Headers],[Memo 01]],-1,MATCH(0,reading[[#This Row],[Memo 01]:[Memo 07]],-1)-1),"")</f>
        <v>55825</v>
      </c>
      <c r="Y2776" s="10" t="str">
        <f ca="1">IF(reading[[#This Row],[Next]]&lt;&gt;"",IF(reading[[#This Row],[Next]]&gt;TODAY(),"OK",""),"")</f>
        <v>OK</v>
      </c>
      <c r="Z2776" s="13">
        <v>3</v>
      </c>
      <c r="AA2776" s="13">
        <v>3</v>
      </c>
      <c r="AB2776" s="13">
        <v>3</v>
      </c>
      <c r="AC2776" s="13">
        <v>3</v>
      </c>
      <c r="AD2776" s="13">
        <v>3</v>
      </c>
      <c r="AE2776" s="13">
        <v>3</v>
      </c>
      <c r="AF2776" s="13">
        <v>2</v>
      </c>
      <c r="AG2776" s="16">
        <f>IFERROR(SUMIF(reading[[#This Row],[1st]:[7th]],"&gt;0")/COUNTIF(reading[[#This Row],[1st]:[7th]],"&gt;0"),"")</f>
        <v>2.8571428571428572</v>
      </c>
    </row>
    <row r="2777" spans="1:33" x14ac:dyDescent="0.2">
      <c r="A2777" s="4">
        <f>IF(B2777=1,3,IF(D2777=1,2,IF(F2777=1,1,0)))</f>
        <v>0</v>
      </c>
      <c r="B2777" s="4" t="str">
        <f>IF(C2777=$L2777,1,IF(C2777="","",0))</f>
        <v/>
      </c>
      <c r="C2777" s="39"/>
      <c r="D2777" s="4" t="str">
        <f>IF(E2777=$L2777,1,IF(E2777="","",0))</f>
        <v/>
      </c>
      <c r="E2777" s="14"/>
      <c r="F2777" s="4" t="str">
        <f>IF(G2777=$L2777,1,IF(G2777="","",0))</f>
        <v/>
      </c>
      <c r="G2777" s="14"/>
      <c r="H2777" s="6">
        <v>1599</v>
      </c>
      <c r="I2777" s="15" t="s">
        <v>3120</v>
      </c>
      <c r="J2777" s="6" t="s">
        <v>4711</v>
      </c>
      <c r="K2777" s="6"/>
      <c r="L2777" s="6" t="s">
        <v>1682</v>
      </c>
      <c r="M2777" s="6" t="s">
        <v>7705</v>
      </c>
      <c r="N2777" s="7">
        <f ca="1">RAND()</f>
        <v>0.28050747241282425</v>
      </c>
      <c r="O2777" s="8">
        <v>45209</v>
      </c>
      <c r="P2777" s="8">
        <v>45210</v>
      </c>
      <c r="Q2777" s="8">
        <v>45212</v>
      </c>
      <c r="R2777" s="8">
        <v>45216</v>
      </c>
      <c r="S2777" s="8">
        <v>45223</v>
      </c>
      <c r="T2777" s="8">
        <v>45235</v>
      </c>
      <c r="U2777" s="8"/>
      <c r="V2777" s="10">
        <f>COUNTA(O2777:U2777)</f>
        <v>6</v>
      </c>
      <c r="W2777" s="11">
        <f>_xlfn.IFNA(INDEX(reading[[#This Row],[Memo 01]:[Memo 07]],MATCH(0,reading[[#This Row],[Memo 01]:[Memo 07]],-1)),"")</f>
        <v>45235</v>
      </c>
      <c r="X2777" s="11">
        <f ca="1">IFERROR(reading[[#This Row],[Previous]]+OFFSET(reading[[#Headers],[Memo 01]],-1,MATCH(0,reading[[#This Row],[Memo 01]:[Memo 07]],-1)-1),"")</f>
        <v>45255</v>
      </c>
      <c r="Y2777" s="10" t="str">
        <f ca="1">IF(reading[[#This Row],[Next]]&lt;&gt;"",IF(reading[[#This Row],[Next]]&gt;TODAY(),"OK",""),"")</f>
        <v/>
      </c>
      <c r="Z2777" s="13">
        <v>3</v>
      </c>
      <c r="AA2777" s="13">
        <v>3</v>
      </c>
      <c r="AB2777" s="13">
        <v>3</v>
      </c>
      <c r="AC2777" s="13">
        <v>3</v>
      </c>
      <c r="AD2777" s="13">
        <v>3</v>
      </c>
      <c r="AE2777" s="13">
        <v>3</v>
      </c>
      <c r="AF2777" s="13"/>
      <c r="AG2777" s="16">
        <f>IFERROR(SUMIF(reading[[#This Row],[1st]:[7th]],"&gt;0")/COUNTIF(reading[[#This Row],[1st]:[7th]],"&gt;0"),"")</f>
        <v>3</v>
      </c>
    </row>
    <row r="2778" spans="1:33" hidden="1" x14ac:dyDescent="0.2">
      <c r="A2778" s="4">
        <f>IF(B2778=1,3,IF(D2778=1,2,IF(F2778=1,1,0)))</f>
        <v>0</v>
      </c>
      <c r="B2778" s="4">
        <f>IF(C2778=$L2778,1,IF(C2778="","",0))</f>
        <v>0</v>
      </c>
      <c r="C2778" s="42" t="s">
        <v>9200</v>
      </c>
      <c r="D2778" s="4" t="str">
        <f>IF(E2778=$L2778,1,IF(E2778="","",0))</f>
        <v/>
      </c>
      <c r="E2778" s="18"/>
      <c r="F2778" s="4" t="str">
        <f>IF(G2778=$L2778,1,IF(G2778="","",0))</f>
        <v/>
      </c>
      <c r="G2778" s="14"/>
      <c r="H2778" s="6">
        <v>2736</v>
      </c>
      <c r="I2778" s="15" t="s">
        <v>3120</v>
      </c>
      <c r="J2778" s="6" t="s">
        <v>5784</v>
      </c>
      <c r="K2778" s="6"/>
      <c r="L2778" s="6" t="s">
        <v>2774</v>
      </c>
      <c r="M2778" s="6" t="s">
        <v>8841</v>
      </c>
      <c r="N2778" s="7">
        <f ca="1">RAND()</f>
        <v>0.21766166991558222</v>
      </c>
      <c r="O2778" s="8">
        <v>45221</v>
      </c>
      <c r="P2778" s="8">
        <v>45222</v>
      </c>
      <c r="Q2778" s="8">
        <v>45224</v>
      </c>
      <c r="R2778" s="8">
        <v>45228</v>
      </c>
      <c r="S2778" s="8">
        <v>45235</v>
      </c>
      <c r="T2778" s="8">
        <v>45252</v>
      </c>
      <c r="U2778" s="8"/>
      <c r="V2778" s="10">
        <f>COUNTA(O2778:U2778)</f>
        <v>6</v>
      </c>
      <c r="W2778" s="11">
        <f>_xlfn.IFNA(INDEX(reading[[#This Row],[Memo 01]:[Memo 07]],MATCH(0,reading[[#This Row],[Memo 01]:[Memo 07]],-1)),"")</f>
        <v>45252</v>
      </c>
      <c r="X2778" s="11">
        <f ca="1">IFERROR(reading[[#This Row],[Previous]]+OFFSET(reading[[#Headers],[Memo 01]],-1,MATCH(0,reading[[#This Row],[Memo 01]:[Memo 07]],-1)-1),"")</f>
        <v>45272</v>
      </c>
      <c r="Y2778" s="10" t="str">
        <f ca="1">IF(reading[[#This Row],[Next]]&lt;&gt;"",IF(reading[[#This Row],[Next]]&gt;TODAY(),"OK",""),"")</f>
        <v/>
      </c>
      <c r="Z2778" s="13">
        <v>3</v>
      </c>
      <c r="AA2778" s="13">
        <v>2</v>
      </c>
      <c r="AB2778" s="13">
        <v>2</v>
      </c>
      <c r="AC2778" s="13">
        <v>3</v>
      </c>
      <c r="AD2778" s="13">
        <v>3</v>
      </c>
      <c r="AE2778" s="13">
        <v>2</v>
      </c>
      <c r="AF2778" s="13"/>
      <c r="AG2778" s="16">
        <f>IFERROR(SUMIF(reading[[#This Row],[1st]:[7th]],"&gt;0")/COUNTIF(reading[[#This Row],[1st]:[7th]],"&gt;0"),"")</f>
        <v>2.5</v>
      </c>
    </row>
    <row r="2779" spans="1:33" hidden="1" x14ac:dyDescent="0.2">
      <c r="A2779" s="4">
        <f>IF(B2779=1,3,IF(D2779=1,2,IF(F2779=1,1,0)))</f>
        <v>0</v>
      </c>
      <c r="B2779" s="4" t="str">
        <f>IF(C2779=$L2779,1,IF(C2779="","",0))</f>
        <v/>
      </c>
      <c r="C2779" s="42"/>
      <c r="D2779" s="4" t="str">
        <f>IF(E2779=$L2779,1,IF(E2779="","",0))</f>
        <v/>
      </c>
      <c r="E2779" s="43"/>
      <c r="F2779" s="4" t="str">
        <f>IF(G2779=$L2779,1,IF(G2779="","",0))</f>
        <v/>
      </c>
      <c r="G2779" s="14"/>
      <c r="H2779" s="6">
        <v>1210</v>
      </c>
      <c r="I2779" s="15" t="s">
        <v>3120</v>
      </c>
      <c r="J2779" s="6" t="s">
        <v>4329</v>
      </c>
      <c r="K2779" s="6"/>
      <c r="L2779" s="6" t="s">
        <v>1312</v>
      </c>
      <c r="M2779" s="6" t="s">
        <v>7317</v>
      </c>
      <c r="N2779" s="7">
        <f ca="1">RAND()</f>
        <v>0.49379304537782875</v>
      </c>
      <c r="O2779" s="8">
        <v>45206</v>
      </c>
      <c r="P2779" s="8">
        <v>45207</v>
      </c>
      <c r="Q2779" s="8">
        <v>45209</v>
      </c>
      <c r="R2779" s="8">
        <v>45213</v>
      </c>
      <c r="S2779" s="8">
        <v>45220</v>
      </c>
      <c r="T2779" s="8">
        <v>45232</v>
      </c>
      <c r="U2779" s="8">
        <v>45816</v>
      </c>
      <c r="V2779" s="10">
        <f>COUNTA(O2779:U2779)</f>
        <v>7</v>
      </c>
      <c r="W2779" s="11">
        <f>_xlfn.IFNA(INDEX(reading[[#This Row],[Memo 01]:[Memo 07]],MATCH(0,reading[[#This Row],[Memo 01]:[Memo 07]],-1)),"")</f>
        <v>45816</v>
      </c>
      <c r="X2779" s="11">
        <f ca="1">IFERROR(reading[[#This Row],[Previous]]+OFFSET(reading[[#Headers],[Memo 01]],-1,MATCH(0,reading[[#This Row],[Memo 01]:[Memo 07]],-1)-1),"")</f>
        <v>55816</v>
      </c>
      <c r="Y2779" s="10" t="str">
        <f ca="1">IF(reading[[#This Row],[Next]]&lt;&gt;"",IF(reading[[#This Row],[Next]]&gt;TODAY(),"OK",""),"")</f>
        <v>OK</v>
      </c>
      <c r="Z2779" s="13">
        <v>3</v>
      </c>
      <c r="AA2779" s="13">
        <v>3</v>
      </c>
      <c r="AB2779" s="13">
        <v>3</v>
      </c>
      <c r="AC2779" s="13">
        <v>2</v>
      </c>
      <c r="AD2779" s="13">
        <v>3</v>
      </c>
      <c r="AE2779" s="13">
        <v>3</v>
      </c>
      <c r="AF2779" s="13">
        <v>2</v>
      </c>
      <c r="AG2779" s="16">
        <f>IFERROR(SUMIF(reading[[#This Row],[1st]:[7th]],"&gt;0")/COUNTIF(reading[[#This Row],[1st]:[7th]],"&gt;0"),"")</f>
        <v>2.7142857142857144</v>
      </c>
    </row>
    <row r="2780" spans="1:33" x14ac:dyDescent="0.2">
      <c r="A2780" s="4">
        <f>IF(B2780=1,3,IF(D2780=1,2,IF(F2780=1,1,0)))</f>
        <v>0</v>
      </c>
      <c r="B2780" s="4" t="str">
        <f>IF(C2780=$L2780,1,IF(C2780="","",0))</f>
        <v/>
      </c>
      <c r="C2780" s="36"/>
      <c r="D2780" s="4" t="str">
        <f>IF(E2780=$L2780,1,IF(E2780="","",0))</f>
        <v/>
      </c>
      <c r="E2780" s="18"/>
      <c r="F2780" s="4" t="str">
        <f>IF(G2780=$L2780,1,IF(G2780="","",0))</f>
        <v/>
      </c>
      <c r="G2780" s="14"/>
      <c r="H2780" s="6">
        <v>2022</v>
      </c>
      <c r="I2780" s="15" t="s">
        <v>3120</v>
      </c>
      <c r="J2780" s="6" t="s">
        <v>5119</v>
      </c>
      <c r="K2780" s="6"/>
      <c r="L2780" s="6" t="s">
        <v>2097</v>
      </c>
      <c r="M2780" s="6" t="s">
        <v>8128</v>
      </c>
      <c r="N2780" s="7">
        <f ca="1">RAND()</f>
        <v>0.49217980141825024</v>
      </c>
      <c r="O2780" s="8">
        <v>45213</v>
      </c>
      <c r="P2780" s="8">
        <v>45214</v>
      </c>
      <c r="Q2780" s="8">
        <v>45216</v>
      </c>
      <c r="R2780" s="8">
        <v>45220</v>
      </c>
      <c r="S2780" s="8">
        <v>45227</v>
      </c>
      <c r="T2780" s="8"/>
      <c r="U2780" s="8"/>
      <c r="V2780" s="10">
        <f>COUNTA(O2780:U2780)</f>
        <v>5</v>
      </c>
      <c r="W2780" s="11">
        <f>_xlfn.IFNA(INDEX(reading[[#This Row],[Memo 01]:[Memo 07]],MATCH(0,reading[[#This Row],[Memo 01]:[Memo 07]],-1)),"")</f>
        <v>45227</v>
      </c>
      <c r="X2780" s="11">
        <f ca="1">IFERROR(reading[[#This Row],[Previous]]+OFFSET(reading[[#Headers],[Memo 01]],-1,MATCH(0,reading[[#This Row],[Memo 01]:[Memo 07]],-1)-1),"")</f>
        <v>45239</v>
      </c>
      <c r="Y2780" s="10" t="str">
        <f ca="1">IF(reading[[#This Row],[Next]]&lt;&gt;"",IF(reading[[#This Row],[Next]]&gt;TODAY(),"OK",""),"")</f>
        <v/>
      </c>
      <c r="Z2780" s="13">
        <v>3</v>
      </c>
      <c r="AA2780" s="13">
        <v>3</v>
      </c>
      <c r="AB2780" s="13">
        <v>3</v>
      </c>
      <c r="AC2780" s="13">
        <v>3</v>
      </c>
      <c r="AD2780" s="13">
        <v>2</v>
      </c>
      <c r="AE2780" s="13"/>
      <c r="AF2780" s="13"/>
      <c r="AG2780" s="16">
        <f>IFERROR(SUMIF(reading[[#This Row],[1st]:[7th]],"&gt;0")/COUNTIF(reading[[#This Row],[1st]:[7th]],"&gt;0"),"")</f>
        <v>2.8</v>
      </c>
    </row>
    <row r="2781" spans="1:33" x14ac:dyDescent="0.2">
      <c r="A2781" s="4">
        <f>IF(B2781=1,3,IF(D2781=1,2,IF(F2781=1,1,0)))</f>
        <v>0</v>
      </c>
      <c r="B2781" s="4" t="str">
        <f>IF(C2781=$L2781,1,IF(C2781="","",0))</f>
        <v/>
      </c>
      <c r="C2781" s="36"/>
      <c r="D2781" s="4" t="str">
        <f>IF(E2781=$L2781,1,IF(E2781="","",0))</f>
        <v/>
      </c>
      <c r="E2781" s="14"/>
      <c r="F2781" s="4" t="str">
        <f>IF(G2781=$L2781,1,IF(G2781="","",0))</f>
        <v/>
      </c>
      <c r="G2781" s="14"/>
      <c r="H2781" s="6">
        <v>367</v>
      </c>
      <c r="I2781" s="15" t="s">
        <v>3120</v>
      </c>
      <c r="J2781" s="6" t="s">
        <v>3514</v>
      </c>
      <c r="K2781" s="6"/>
      <c r="L2781" s="6" t="s">
        <v>500</v>
      </c>
      <c r="M2781" s="6" t="s">
        <v>6476</v>
      </c>
      <c r="N2781" s="7">
        <f ca="1">RAND()</f>
        <v>0.75685575550493522</v>
      </c>
      <c r="O2781" s="8">
        <v>45201</v>
      </c>
      <c r="P2781" s="8">
        <v>45202</v>
      </c>
      <c r="Q2781" s="8">
        <v>45204</v>
      </c>
      <c r="R2781" s="8">
        <v>45208</v>
      </c>
      <c r="S2781" s="8">
        <v>45215</v>
      </c>
      <c r="T2781" s="8">
        <v>45227</v>
      </c>
      <c r="U2781" s="8"/>
      <c r="V2781" s="10">
        <f>COUNTA(O2781:U2781)</f>
        <v>6</v>
      </c>
      <c r="W2781" s="11">
        <f>_xlfn.IFNA(INDEX(reading[[#This Row],[Memo 01]:[Memo 07]],MATCH(0,reading[[#This Row],[Memo 01]:[Memo 07]],-1)),"")</f>
        <v>45227</v>
      </c>
      <c r="X2781" s="11">
        <f ca="1">IFERROR(reading[[#This Row],[Previous]]+OFFSET(reading[[#Headers],[Memo 01]],-1,MATCH(0,reading[[#This Row],[Memo 01]:[Memo 07]],-1)-1),"")</f>
        <v>45247</v>
      </c>
      <c r="Y2781" s="10" t="str">
        <f ca="1">IF(reading[[#This Row],[Next]]&lt;&gt;"",IF(reading[[#This Row],[Next]]&gt;TODAY(),"OK",""),"")</f>
        <v/>
      </c>
      <c r="Z2781" s="13">
        <v>3</v>
      </c>
      <c r="AA2781" s="13">
        <v>3</v>
      </c>
      <c r="AB2781" s="13">
        <v>3</v>
      </c>
      <c r="AC2781" s="13">
        <v>3</v>
      </c>
      <c r="AD2781" s="13">
        <v>3</v>
      </c>
      <c r="AE2781" s="13">
        <v>3</v>
      </c>
      <c r="AF2781" s="13"/>
      <c r="AG2781" s="16">
        <f>IFERROR(SUMIF(reading[[#This Row],[1st]:[7th]],"&gt;0")/COUNTIF(reading[[#This Row],[1st]:[7th]],"&gt;0"),"")</f>
        <v>3</v>
      </c>
    </row>
    <row r="2782" spans="1:33" x14ac:dyDescent="0.2">
      <c r="A2782" s="4">
        <f>IF(B2782=1,3,IF(D2782=1,2,IF(F2782=1,1,0)))</f>
        <v>0</v>
      </c>
      <c r="B2782" s="4" t="str">
        <f>IF(C2782=$L2782,1,IF(C2782="","",0))</f>
        <v/>
      </c>
      <c r="C2782" s="38"/>
      <c r="D2782" s="4" t="str">
        <f>IF(E2782=$L2782,1,IF(E2782="","",0))</f>
        <v/>
      </c>
      <c r="E2782" s="14"/>
      <c r="F2782" s="4" t="str">
        <f>IF(G2782=$L2782,1,IF(G2782="","",0))</f>
        <v/>
      </c>
      <c r="G2782" s="14"/>
      <c r="H2782" s="6">
        <v>2254</v>
      </c>
      <c r="I2782" s="15" t="s">
        <v>3120</v>
      </c>
      <c r="J2782" s="6" t="s">
        <v>5336</v>
      </c>
      <c r="K2782" s="6"/>
      <c r="L2782" s="6" t="s">
        <v>2316</v>
      </c>
      <c r="M2782" s="6" t="s">
        <v>8359</v>
      </c>
      <c r="N2782" s="7">
        <f ca="1">RAND()</f>
        <v>0.50949523927802332</v>
      </c>
      <c r="O2782" s="8">
        <v>45215</v>
      </c>
      <c r="P2782" s="8">
        <v>45216</v>
      </c>
      <c r="Q2782" s="8">
        <v>45218</v>
      </c>
      <c r="R2782" s="8">
        <v>45222</v>
      </c>
      <c r="S2782" s="8">
        <v>45229</v>
      </c>
      <c r="T2782" s="8"/>
      <c r="U2782" s="8"/>
      <c r="V2782" s="10">
        <f>COUNTA(O2782:U2782)</f>
        <v>5</v>
      </c>
      <c r="W2782" s="11">
        <f>_xlfn.IFNA(INDEX(reading[[#This Row],[Memo 01]:[Memo 07]],MATCH(0,reading[[#This Row],[Memo 01]:[Memo 07]],-1)),"")</f>
        <v>45229</v>
      </c>
      <c r="X2782" s="11">
        <f ca="1">IFERROR(reading[[#This Row],[Previous]]+OFFSET(reading[[#Headers],[Memo 01]],-1,MATCH(0,reading[[#This Row],[Memo 01]:[Memo 07]],-1)-1),"")</f>
        <v>45241</v>
      </c>
      <c r="Y2782" s="10" t="str">
        <f ca="1">IF(reading[[#This Row],[Next]]&lt;&gt;"",IF(reading[[#This Row],[Next]]&gt;TODAY(),"OK",""),"")</f>
        <v/>
      </c>
      <c r="Z2782" s="13">
        <v>3</v>
      </c>
      <c r="AA2782" s="13">
        <v>3</v>
      </c>
      <c r="AB2782" s="13">
        <v>3</v>
      </c>
      <c r="AC2782" s="13">
        <v>3</v>
      </c>
      <c r="AD2782" s="13">
        <v>3</v>
      </c>
      <c r="AE2782" s="13"/>
      <c r="AF2782" s="13"/>
      <c r="AG2782" s="16">
        <f>IFERROR(SUMIF(reading[[#This Row],[1st]:[7th]],"&gt;0")/COUNTIF(reading[[#This Row],[1st]:[7th]],"&gt;0"),"")</f>
        <v>3</v>
      </c>
    </row>
    <row r="2783" spans="1:33" x14ac:dyDescent="0.2">
      <c r="A2783" s="4">
        <f>IF(B2783=1,3,IF(D2783=1,2,IF(F2783=1,1,0)))</f>
        <v>0</v>
      </c>
      <c r="B2783" s="4" t="str">
        <f>IF(C2783=$L2783,1,IF(C2783="","",0))</f>
        <v/>
      </c>
      <c r="C2783" s="39"/>
      <c r="D2783" s="4" t="str">
        <f>IF(E2783=$L2783,1,IF(E2783="","",0))</f>
        <v/>
      </c>
      <c r="E2783" s="14"/>
      <c r="F2783" s="4" t="str">
        <f>IF(G2783=$L2783,1,IF(G2783="","",0))</f>
        <v/>
      </c>
      <c r="G2783" s="14"/>
      <c r="H2783" s="6">
        <v>1318</v>
      </c>
      <c r="I2783" s="15" t="s">
        <v>3120</v>
      </c>
      <c r="J2783" s="6" t="s">
        <v>4434</v>
      </c>
      <c r="K2783" s="15" t="s">
        <v>3138</v>
      </c>
      <c r="L2783" s="6" t="s">
        <v>1415</v>
      </c>
      <c r="M2783" s="6" t="s">
        <v>7425</v>
      </c>
      <c r="N2783" s="7">
        <f ca="1">RAND()</f>
        <v>0.39424184503058046</v>
      </c>
      <c r="O2783" s="8">
        <v>45207</v>
      </c>
      <c r="P2783" s="8">
        <v>45208</v>
      </c>
      <c r="Q2783" s="8">
        <v>45210</v>
      </c>
      <c r="R2783" s="8">
        <v>45214</v>
      </c>
      <c r="S2783" s="8">
        <v>45221</v>
      </c>
      <c r="T2783" s="8">
        <v>45233</v>
      </c>
      <c r="U2783" s="8"/>
      <c r="V2783" s="10">
        <f>COUNTA(O2783:U2783)</f>
        <v>6</v>
      </c>
      <c r="W2783" s="11">
        <f>_xlfn.IFNA(INDEX(reading[[#This Row],[Memo 01]:[Memo 07]],MATCH(0,reading[[#This Row],[Memo 01]:[Memo 07]],-1)),"")</f>
        <v>45233</v>
      </c>
      <c r="X2783" s="11">
        <f ca="1">IFERROR(reading[[#This Row],[Previous]]+OFFSET(reading[[#Headers],[Memo 01]],-1,MATCH(0,reading[[#This Row],[Memo 01]:[Memo 07]],-1)-1),"")</f>
        <v>45253</v>
      </c>
      <c r="Y2783" s="10" t="str">
        <f ca="1">IF(reading[[#This Row],[Next]]&lt;&gt;"",IF(reading[[#This Row],[Next]]&gt;TODAY(),"OK",""),"")</f>
        <v/>
      </c>
      <c r="Z2783" s="13">
        <v>3</v>
      </c>
      <c r="AA2783" s="13">
        <v>3</v>
      </c>
      <c r="AB2783" s="13">
        <v>3</v>
      </c>
      <c r="AC2783" s="13">
        <v>3</v>
      </c>
      <c r="AD2783" s="13">
        <v>3</v>
      </c>
      <c r="AE2783" s="13">
        <v>3</v>
      </c>
      <c r="AF2783" s="13"/>
      <c r="AG2783" s="16">
        <f>IFERROR(SUMIF(reading[[#This Row],[1st]:[7th]],"&gt;0")/COUNTIF(reading[[#This Row],[1st]:[7th]],"&gt;0"),"")</f>
        <v>3</v>
      </c>
    </row>
    <row r="2784" spans="1:33" hidden="1" x14ac:dyDescent="0.2">
      <c r="A2784" s="4">
        <f>IF(B2784=1,3,IF(D2784=1,2,IF(F2784=1,1,0)))</f>
        <v>0</v>
      </c>
      <c r="B2784" s="4" t="str">
        <f>IF(C2784=$L2784,1,IF(C2784="","",0))</f>
        <v/>
      </c>
      <c r="C2784" s="42"/>
      <c r="D2784" s="4" t="str">
        <f>IF(E2784=$L2784,1,IF(E2784="","",0))</f>
        <v/>
      </c>
      <c r="E2784" s="23"/>
      <c r="F2784" s="4" t="str">
        <f>IF(G2784=$L2784,1,IF(G2784="","",0))</f>
        <v/>
      </c>
      <c r="G2784" s="14"/>
      <c r="H2784" s="6">
        <v>1426</v>
      </c>
      <c r="I2784" s="15" t="s">
        <v>3120</v>
      </c>
      <c r="J2784" s="6" t="s">
        <v>4540</v>
      </c>
      <c r="K2784" s="6"/>
      <c r="L2784" s="6" t="s">
        <v>1517</v>
      </c>
      <c r="M2784" s="6" t="s">
        <v>7533</v>
      </c>
      <c r="N2784" s="7">
        <f ca="1">RAND()</f>
        <v>0.3698195094111657</v>
      </c>
      <c r="O2784" s="8">
        <v>45208</v>
      </c>
      <c r="P2784" s="8">
        <v>45209</v>
      </c>
      <c r="Q2784" s="8">
        <v>45211</v>
      </c>
      <c r="R2784" s="8">
        <v>45215</v>
      </c>
      <c r="S2784" s="8">
        <v>45222</v>
      </c>
      <c r="T2784" s="8">
        <v>45234</v>
      </c>
      <c r="U2784" s="8">
        <v>45825</v>
      </c>
      <c r="V2784" s="10">
        <f>COUNTA(O2784:U2784)</f>
        <v>7</v>
      </c>
      <c r="W2784" s="11">
        <f>_xlfn.IFNA(INDEX(reading[[#This Row],[Memo 01]:[Memo 07]],MATCH(0,reading[[#This Row],[Memo 01]:[Memo 07]],-1)),"")</f>
        <v>45825</v>
      </c>
      <c r="X2784" s="11">
        <f ca="1">IFERROR(reading[[#This Row],[Previous]]+OFFSET(reading[[#Headers],[Memo 01]],-1,MATCH(0,reading[[#This Row],[Memo 01]:[Memo 07]],-1)-1),"")</f>
        <v>55825</v>
      </c>
      <c r="Y2784" s="10" t="str">
        <f ca="1">IF(reading[[#This Row],[Next]]&lt;&gt;"",IF(reading[[#This Row],[Next]]&gt;TODAY(),"OK",""),"")</f>
        <v>OK</v>
      </c>
      <c r="Z2784" s="13">
        <v>3</v>
      </c>
      <c r="AA2784" s="13">
        <v>3</v>
      </c>
      <c r="AB2784" s="13">
        <v>3</v>
      </c>
      <c r="AC2784" s="13">
        <v>3</v>
      </c>
      <c r="AD2784" s="13">
        <v>3</v>
      </c>
      <c r="AE2784" s="13">
        <v>3</v>
      </c>
      <c r="AF2784" s="13">
        <v>2</v>
      </c>
      <c r="AG2784" s="16">
        <f>IFERROR(SUMIF(reading[[#This Row],[1st]:[7th]],"&gt;0")/COUNTIF(reading[[#This Row],[1st]:[7th]],"&gt;0"),"")</f>
        <v>2.8571428571428572</v>
      </c>
    </row>
    <row r="2785" spans="1:33" x14ac:dyDescent="0.2">
      <c r="A2785" s="4">
        <f>IF(B2785=1,3,IF(D2785=1,2,IF(F2785=1,1,0)))</f>
        <v>0</v>
      </c>
      <c r="B2785" s="4" t="str">
        <f>IF(C2785=$L2785,1,IF(C2785="","",0))</f>
        <v/>
      </c>
      <c r="C2785" s="39"/>
      <c r="D2785" s="4" t="str">
        <f>IF(E2785=$L2785,1,IF(E2785="","",0))</f>
        <v/>
      </c>
      <c r="E2785" s="14"/>
      <c r="F2785" s="4" t="str">
        <f>IF(G2785=$L2785,1,IF(G2785="","",0))</f>
        <v/>
      </c>
      <c r="G2785" s="14"/>
      <c r="H2785" s="6">
        <v>2397</v>
      </c>
      <c r="I2785" s="15" t="s">
        <v>3120</v>
      </c>
      <c r="J2785" s="6" t="s">
        <v>5469</v>
      </c>
      <c r="K2785" s="6"/>
      <c r="L2785" s="6" t="s">
        <v>2448</v>
      </c>
      <c r="M2785" s="6" t="s">
        <v>8502</v>
      </c>
      <c r="N2785" s="7">
        <f ca="1">RAND()</f>
        <v>0.22353799503512128</v>
      </c>
      <c r="O2785" s="8">
        <v>45217</v>
      </c>
      <c r="P2785" s="8">
        <v>45218</v>
      </c>
      <c r="Q2785" s="8">
        <v>45220</v>
      </c>
      <c r="R2785" s="8">
        <v>45224</v>
      </c>
      <c r="S2785" s="8">
        <v>45231</v>
      </c>
      <c r="T2785" s="8"/>
      <c r="U2785" s="8"/>
      <c r="V2785" s="10">
        <f>COUNTA(O2785:U2785)</f>
        <v>5</v>
      </c>
      <c r="W2785" s="11">
        <f>_xlfn.IFNA(INDEX(reading[[#This Row],[Memo 01]:[Memo 07]],MATCH(0,reading[[#This Row],[Memo 01]:[Memo 07]],-1)),"")</f>
        <v>45231</v>
      </c>
      <c r="X2785" s="11">
        <f ca="1">IFERROR(reading[[#This Row],[Previous]]+OFFSET(reading[[#Headers],[Memo 01]],-1,MATCH(0,reading[[#This Row],[Memo 01]:[Memo 07]],-1)-1),"")</f>
        <v>45243</v>
      </c>
      <c r="Y2785" s="10" t="str">
        <f ca="1">IF(reading[[#This Row],[Next]]&lt;&gt;"",IF(reading[[#This Row],[Next]]&gt;TODAY(),"OK",""),"")</f>
        <v/>
      </c>
      <c r="Z2785" s="13">
        <v>3</v>
      </c>
      <c r="AA2785" s="13">
        <v>3</v>
      </c>
      <c r="AB2785" s="13">
        <v>3</v>
      </c>
      <c r="AC2785" s="13">
        <v>3</v>
      </c>
      <c r="AD2785" s="13">
        <v>3</v>
      </c>
      <c r="AE2785" s="13"/>
      <c r="AF2785" s="13"/>
      <c r="AG2785" s="16">
        <f>IFERROR(SUMIF(reading[[#This Row],[1st]:[7th]],"&gt;0")/COUNTIF(reading[[#This Row],[1st]:[7th]],"&gt;0"),"")</f>
        <v>3</v>
      </c>
    </row>
    <row r="2786" spans="1:33" x14ac:dyDescent="0.2">
      <c r="A2786" s="4">
        <f>IF(B2786=1,3,IF(D2786=1,2,IF(F2786=1,1,0)))</f>
        <v>0</v>
      </c>
      <c r="B2786" s="4" t="str">
        <f>IF(C2786=$L2786,1,IF(C2786="","",0))</f>
        <v/>
      </c>
      <c r="C2786" s="39"/>
      <c r="D2786" s="4" t="str">
        <f>IF(E2786=$L2786,1,IF(E2786="","",0))</f>
        <v/>
      </c>
      <c r="E2786" s="14"/>
      <c r="F2786" s="4" t="str">
        <f>IF(G2786=$L2786,1,IF(G2786="","",0))</f>
        <v/>
      </c>
      <c r="G2786" s="14"/>
      <c r="H2786" s="6">
        <v>1660</v>
      </c>
      <c r="I2786" s="15" t="s">
        <v>3120</v>
      </c>
      <c r="J2786" s="6" t="s">
        <v>4771</v>
      </c>
      <c r="K2786" s="6"/>
      <c r="L2786" s="6" t="s">
        <v>1741</v>
      </c>
      <c r="M2786" s="6" t="s">
        <v>7766</v>
      </c>
      <c r="N2786" s="7">
        <f ca="1">RAND()</f>
        <v>0.97322969589217845</v>
      </c>
      <c r="O2786" s="8">
        <v>45210</v>
      </c>
      <c r="P2786" s="8">
        <v>45211</v>
      </c>
      <c r="Q2786" s="8">
        <v>45213</v>
      </c>
      <c r="R2786" s="8">
        <v>45217</v>
      </c>
      <c r="S2786" s="8">
        <v>45224</v>
      </c>
      <c r="T2786" s="8">
        <v>45236</v>
      </c>
      <c r="U2786" s="8"/>
      <c r="V2786" s="10">
        <f>COUNTA(O2786:U2786)</f>
        <v>6</v>
      </c>
      <c r="W2786" s="11">
        <f>_xlfn.IFNA(INDEX(reading[[#This Row],[Memo 01]:[Memo 07]],MATCH(0,reading[[#This Row],[Memo 01]:[Memo 07]],-1)),"")</f>
        <v>45236</v>
      </c>
      <c r="X2786" s="11">
        <f ca="1">IFERROR(reading[[#This Row],[Previous]]+OFFSET(reading[[#Headers],[Memo 01]],-1,MATCH(0,reading[[#This Row],[Memo 01]:[Memo 07]],-1)-1),"")</f>
        <v>45256</v>
      </c>
      <c r="Y2786" s="10" t="str">
        <f ca="1">IF(reading[[#This Row],[Next]]&lt;&gt;"",IF(reading[[#This Row],[Next]]&gt;TODAY(),"OK",""),"")</f>
        <v/>
      </c>
      <c r="Z2786" s="13">
        <v>3</v>
      </c>
      <c r="AA2786" s="13">
        <v>3</v>
      </c>
      <c r="AB2786" s="13">
        <v>3</v>
      </c>
      <c r="AC2786" s="13">
        <v>3</v>
      </c>
      <c r="AD2786" s="13">
        <v>3</v>
      </c>
      <c r="AE2786" s="13">
        <v>3</v>
      </c>
      <c r="AF2786" s="13"/>
      <c r="AG2786" s="16">
        <f>IFERROR(SUMIF(reading[[#This Row],[1st]:[7th]],"&gt;0")/COUNTIF(reading[[#This Row],[1st]:[7th]],"&gt;0"),"")</f>
        <v>3</v>
      </c>
    </row>
    <row r="2787" spans="1:33" x14ac:dyDescent="0.2">
      <c r="A2787" s="4">
        <f>IF(B2787=1,3,IF(D2787=1,2,IF(F2787=1,1,0)))</f>
        <v>0</v>
      </c>
      <c r="B2787" s="4" t="str">
        <f>IF(C2787=$L2787,1,IF(C2787="","",0))</f>
        <v/>
      </c>
      <c r="C2787" s="36"/>
      <c r="D2787" s="4" t="str">
        <f>IF(E2787=$L2787,1,IF(E2787="","",0))</f>
        <v/>
      </c>
      <c r="E2787" s="14"/>
      <c r="F2787" s="4" t="str">
        <f>IF(G2787=$L2787,1,IF(G2787="","",0))</f>
        <v/>
      </c>
      <c r="G2787" s="14"/>
      <c r="H2787" s="6">
        <v>383</v>
      </c>
      <c r="I2787" s="15" t="s">
        <v>3120</v>
      </c>
      <c r="J2787" s="6" t="s">
        <v>3530</v>
      </c>
      <c r="K2787" s="6"/>
      <c r="L2787" s="6" t="s">
        <v>515</v>
      </c>
      <c r="M2787" s="6" t="s">
        <v>6492</v>
      </c>
      <c r="N2787" s="7">
        <f ca="1">RAND()</f>
        <v>0.21439729138855812</v>
      </c>
      <c r="O2787" s="8">
        <v>45201</v>
      </c>
      <c r="P2787" s="8">
        <v>45202</v>
      </c>
      <c r="Q2787" s="8">
        <v>45204</v>
      </c>
      <c r="R2787" s="8">
        <v>45208</v>
      </c>
      <c r="S2787" s="8">
        <v>45215</v>
      </c>
      <c r="T2787" s="8">
        <v>45227</v>
      </c>
      <c r="U2787" s="8"/>
      <c r="V2787" s="10">
        <f>COUNTA(O2787:U2787)</f>
        <v>6</v>
      </c>
      <c r="W2787" s="11">
        <f>_xlfn.IFNA(INDEX(reading[[#This Row],[Memo 01]:[Memo 07]],MATCH(0,reading[[#This Row],[Memo 01]:[Memo 07]],-1)),"")</f>
        <v>45227</v>
      </c>
      <c r="X2787" s="11">
        <f ca="1">IFERROR(reading[[#This Row],[Previous]]+OFFSET(reading[[#Headers],[Memo 01]],-1,MATCH(0,reading[[#This Row],[Memo 01]:[Memo 07]],-1)-1),"")</f>
        <v>45247</v>
      </c>
      <c r="Y2787" s="10" t="str">
        <f ca="1">IF(reading[[#This Row],[Next]]&lt;&gt;"",IF(reading[[#This Row],[Next]]&gt;TODAY(),"OK",""),"")</f>
        <v/>
      </c>
      <c r="Z2787" s="13">
        <v>3</v>
      </c>
      <c r="AA2787" s="13">
        <v>3</v>
      </c>
      <c r="AB2787" s="13">
        <v>3</v>
      </c>
      <c r="AC2787" s="13">
        <v>3</v>
      </c>
      <c r="AD2787" s="13">
        <v>3</v>
      </c>
      <c r="AE2787" s="13">
        <v>3</v>
      </c>
      <c r="AF2787" s="13"/>
      <c r="AG2787" s="16">
        <f>IFERROR(SUMIF(reading[[#This Row],[1st]:[7th]],"&gt;0")/COUNTIF(reading[[#This Row],[1st]:[7th]],"&gt;0"),"")</f>
        <v>3</v>
      </c>
    </row>
    <row r="2788" spans="1:33" x14ac:dyDescent="0.2">
      <c r="A2788" s="4">
        <f>IF(B2788=1,3,IF(D2788=1,2,IF(F2788=1,1,0)))</f>
        <v>0</v>
      </c>
      <c r="B2788" s="4" t="str">
        <f>IF(C2788=$L2788,1,IF(C2788="","",0))</f>
        <v/>
      </c>
      <c r="C2788" s="38"/>
      <c r="D2788" s="4" t="str">
        <f>IF(E2788=$L2788,1,IF(E2788="","",0))</f>
        <v/>
      </c>
      <c r="E2788" s="18"/>
      <c r="F2788" s="4" t="str">
        <f>IF(G2788=$L2788,1,IF(G2788="","",0))</f>
        <v/>
      </c>
      <c r="G2788" s="14"/>
      <c r="H2788" s="6">
        <v>2071</v>
      </c>
      <c r="I2788" s="15" t="s">
        <v>3120</v>
      </c>
      <c r="J2788" s="6" t="s">
        <v>5164</v>
      </c>
      <c r="K2788" s="6"/>
      <c r="L2788" s="6" t="s">
        <v>2142</v>
      </c>
      <c r="M2788" s="6" t="s">
        <v>8177</v>
      </c>
      <c r="N2788" s="7">
        <f ca="1">RAND()</f>
        <v>0.33690310504483267</v>
      </c>
      <c r="O2788" s="8">
        <v>45214</v>
      </c>
      <c r="P2788" s="8">
        <v>45215</v>
      </c>
      <c r="Q2788" s="8">
        <v>45217</v>
      </c>
      <c r="R2788" s="8">
        <v>45221</v>
      </c>
      <c r="S2788" s="8">
        <v>45228</v>
      </c>
      <c r="T2788" s="8"/>
      <c r="U2788" s="8"/>
      <c r="V2788" s="10">
        <f>COUNTA(O2788:U2788)</f>
        <v>5</v>
      </c>
      <c r="W2788" s="11">
        <f>_xlfn.IFNA(INDEX(reading[[#This Row],[Memo 01]:[Memo 07]],MATCH(0,reading[[#This Row],[Memo 01]:[Memo 07]],-1)),"")</f>
        <v>45228</v>
      </c>
      <c r="X2788" s="11">
        <f ca="1">IFERROR(reading[[#This Row],[Previous]]+OFFSET(reading[[#Headers],[Memo 01]],-1,MATCH(0,reading[[#This Row],[Memo 01]:[Memo 07]],-1)-1),"")</f>
        <v>45240</v>
      </c>
      <c r="Y2788" s="10" t="str">
        <f ca="1">IF(reading[[#This Row],[Next]]&lt;&gt;"",IF(reading[[#This Row],[Next]]&gt;TODAY(),"OK",""),"")</f>
        <v/>
      </c>
      <c r="Z2788" s="13">
        <v>3</v>
      </c>
      <c r="AA2788" s="13">
        <v>2</v>
      </c>
      <c r="AB2788" s="13">
        <v>3</v>
      </c>
      <c r="AC2788" s="13">
        <v>3</v>
      </c>
      <c r="AD2788" s="13">
        <v>3</v>
      </c>
      <c r="AE2788" s="13"/>
      <c r="AF2788" s="13"/>
      <c r="AG2788" s="16">
        <f>IFERROR(SUMIF(reading[[#This Row],[1st]:[7th]],"&gt;0")/COUNTIF(reading[[#This Row],[1st]:[7th]],"&gt;0"),"")</f>
        <v>2.8</v>
      </c>
    </row>
    <row r="2789" spans="1:33" x14ac:dyDescent="0.2">
      <c r="A2789" s="4">
        <f>IF(B2789=1,3,IF(D2789=1,2,IF(F2789=1,1,0)))</f>
        <v>0</v>
      </c>
      <c r="B2789" s="4" t="str">
        <f>IF(C2789=$L2789,1,IF(C2789="","",0))</f>
        <v/>
      </c>
      <c r="C2789" s="39"/>
      <c r="D2789" s="4" t="str">
        <f>IF(E2789=$L2789,1,IF(E2789="","",0))</f>
        <v/>
      </c>
      <c r="E2789" s="14"/>
      <c r="F2789" s="4" t="str">
        <f>IF(G2789=$L2789,1,IF(G2789="","",0))</f>
        <v/>
      </c>
      <c r="G2789" s="14"/>
      <c r="H2789" s="6">
        <v>1262</v>
      </c>
      <c r="I2789" s="15" t="s">
        <v>3120</v>
      </c>
      <c r="J2789" s="6" t="s">
        <v>4379</v>
      </c>
      <c r="K2789" s="6"/>
      <c r="L2789" s="6" t="s">
        <v>1360</v>
      </c>
      <c r="M2789" s="6" t="s">
        <v>7369</v>
      </c>
      <c r="N2789" s="7">
        <f ca="1">RAND()</f>
        <v>0.45262688146827779</v>
      </c>
      <c r="O2789" s="8">
        <v>45207</v>
      </c>
      <c r="P2789" s="8">
        <v>45208</v>
      </c>
      <c r="Q2789" s="8">
        <v>45210</v>
      </c>
      <c r="R2789" s="8">
        <v>45214</v>
      </c>
      <c r="S2789" s="8">
        <v>45221</v>
      </c>
      <c r="T2789" s="8">
        <v>45233</v>
      </c>
      <c r="U2789" s="8"/>
      <c r="V2789" s="10">
        <f>COUNTA(O2789:U2789)</f>
        <v>6</v>
      </c>
      <c r="W2789" s="11">
        <f>_xlfn.IFNA(INDEX(reading[[#This Row],[Memo 01]:[Memo 07]],MATCH(0,reading[[#This Row],[Memo 01]:[Memo 07]],-1)),"")</f>
        <v>45233</v>
      </c>
      <c r="X2789" s="11">
        <f ca="1">IFERROR(reading[[#This Row],[Previous]]+OFFSET(reading[[#Headers],[Memo 01]],-1,MATCH(0,reading[[#This Row],[Memo 01]:[Memo 07]],-1)-1),"")</f>
        <v>45253</v>
      </c>
      <c r="Y2789" s="10" t="str">
        <f ca="1">IF(reading[[#This Row],[Next]]&lt;&gt;"",IF(reading[[#This Row],[Next]]&gt;TODAY(),"OK",""),"")</f>
        <v/>
      </c>
      <c r="Z2789" s="13">
        <v>3</v>
      </c>
      <c r="AA2789" s="13">
        <v>3</v>
      </c>
      <c r="AB2789" s="13">
        <v>3</v>
      </c>
      <c r="AC2789" s="13">
        <v>3</v>
      </c>
      <c r="AD2789" s="13">
        <v>3</v>
      </c>
      <c r="AE2789" s="13">
        <v>3</v>
      </c>
      <c r="AF2789" s="13"/>
      <c r="AG2789" s="16">
        <f>IFERROR(SUMIF(reading[[#This Row],[1st]:[7th]],"&gt;0")/COUNTIF(reading[[#This Row],[1st]:[7th]],"&gt;0"),"")</f>
        <v>3</v>
      </c>
    </row>
    <row r="2790" spans="1:33" hidden="1" x14ac:dyDescent="0.2">
      <c r="A2790" s="4">
        <f>IF(B2790=1,3,IF(D2790=1,2,IF(F2790=1,1,0)))</f>
        <v>0</v>
      </c>
      <c r="B2790" s="4" t="str">
        <f>IF(C2790=$L2790,1,IF(C2790="","",0))</f>
        <v/>
      </c>
      <c r="C2790" s="42"/>
      <c r="D2790" s="4" t="str">
        <f>IF(E2790=$L2790,1,IF(E2790="","",0))</f>
        <v/>
      </c>
      <c r="E2790" s="23"/>
      <c r="F2790" s="4" t="str">
        <f>IF(G2790=$L2790,1,IF(G2790="","",0))</f>
        <v/>
      </c>
      <c r="G2790" s="14"/>
      <c r="H2790" s="6">
        <v>807</v>
      </c>
      <c r="I2790" s="15" t="s">
        <v>3120</v>
      </c>
      <c r="J2790" s="6" t="s">
        <v>3941</v>
      </c>
      <c r="K2790" s="24" t="s">
        <v>3136</v>
      </c>
      <c r="L2790" s="6" t="s">
        <v>924</v>
      </c>
      <c r="M2790" s="6" t="s">
        <v>6916</v>
      </c>
      <c r="N2790" s="7">
        <f ca="1">RAND()</f>
        <v>0.88364833224824824</v>
      </c>
      <c r="O2790" s="8">
        <v>45203</v>
      </c>
      <c r="P2790" s="8">
        <v>45204</v>
      </c>
      <c r="Q2790" s="8">
        <v>45206</v>
      </c>
      <c r="R2790" s="8">
        <v>45210</v>
      </c>
      <c r="S2790" s="8">
        <v>45217</v>
      </c>
      <c r="T2790" s="8">
        <v>45229</v>
      </c>
      <c r="U2790" s="8">
        <v>45816</v>
      </c>
      <c r="V2790" s="10">
        <f>COUNTA(O2790:U2790)</f>
        <v>7</v>
      </c>
      <c r="W2790" s="11">
        <f>_xlfn.IFNA(INDEX(reading[[#This Row],[Memo 01]:[Memo 07]],MATCH(0,reading[[#This Row],[Memo 01]:[Memo 07]],-1)),"")</f>
        <v>45816</v>
      </c>
      <c r="X2790" s="11">
        <f ca="1">IFERROR(reading[[#This Row],[Previous]]+OFFSET(reading[[#Headers],[Memo 01]],-1,MATCH(0,reading[[#This Row],[Memo 01]:[Memo 07]],-1)-1),"")</f>
        <v>55816</v>
      </c>
      <c r="Y2790" s="10" t="str">
        <f ca="1">IF(reading[[#This Row],[Next]]&lt;&gt;"",IF(reading[[#This Row],[Next]]&gt;TODAY(),"OK",""),"")</f>
        <v>OK</v>
      </c>
      <c r="Z2790" s="13">
        <v>3</v>
      </c>
      <c r="AA2790" s="13">
        <v>3</v>
      </c>
      <c r="AB2790" s="13">
        <v>3</v>
      </c>
      <c r="AC2790" s="13">
        <v>3</v>
      </c>
      <c r="AD2790" s="13">
        <v>3</v>
      </c>
      <c r="AE2790" s="13">
        <v>3</v>
      </c>
      <c r="AF2790" s="13">
        <v>2</v>
      </c>
      <c r="AG2790" s="16">
        <f>IFERROR(SUMIF(reading[[#This Row],[1st]:[7th]],"&gt;0")/COUNTIF(reading[[#This Row],[1st]:[7th]],"&gt;0"),"")</f>
        <v>2.8571428571428572</v>
      </c>
    </row>
    <row r="2791" spans="1:33" x14ac:dyDescent="0.2">
      <c r="A2791" s="4">
        <f>IF(B2791=1,3,IF(D2791=1,2,IF(F2791=1,1,0)))</f>
        <v>0</v>
      </c>
      <c r="B2791" s="4" t="str">
        <f>IF(C2791=$L2791,1,IF(C2791="","",0))</f>
        <v/>
      </c>
      <c r="C2791" s="39"/>
      <c r="D2791" s="4" t="str">
        <f>IF(E2791=$L2791,1,IF(E2791="","",0))</f>
        <v/>
      </c>
      <c r="E2791" s="14"/>
      <c r="F2791" s="4" t="str">
        <f>IF(G2791=$L2791,1,IF(G2791="","",0))</f>
        <v/>
      </c>
      <c r="G2791" s="14"/>
      <c r="H2791" s="6">
        <v>1509</v>
      </c>
      <c r="I2791" s="15" t="s">
        <v>3120</v>
      </c>
      <c r="J2791" s="6" t="s">
        <v>4622</v>
      </c>
      <c r="K2791" s="6"/>
      <c r="L2791" s="6" t="s">
        <v>1594</v>
      </c>
      <c r="M2791" s="6" t="s">
        <v>7616</v>
      </c>
      <c r="N2791" s="7">
        <f ca="1">RAND()</f>
        <v>0.30413257546249994</v>
      </c>
      <c r="O2791" s="8">
        <v>45209</v>
      </c>
      <c r="P2791" s="8">
        <v>45210</v>
      </c>
      <c r="Q2791" s="8">
        <v>45212</v>
      </c>
      <c r="R2791" s="8">
        <v>45216</v>
      </c>
      <c r="S2791" s="8">
        <v>45223</v>
      </c>
      <c r="T2791" s="8">
        <v>45235</v>
      </c>
      <c r="U2791" s="8"/>
      <c r="V2791" s="10">
        <f>COUNTA(O2791:U2791)</f>
        <v>6</v>
      </c>
      <c r="W2791" s="11">
        <f>_xlfn.IFNA(INDEX(reading[[#This Row],[Memo 01]:[Memo 07]],MATCH(0,reading[[#This Row],[Memo 01]:[Memo 07]],-1)),"")</f>
        <v>45235</v>
      </c>
      <c r="X2791" s="11">
        <f ca="1">IFERROR(reading[[#This Row],[Previous]]+OFFSET(reading[[#Headers],[Memo 01]],-1,MATCH(0,reading[[#This Row],[Memo 01]:[Memo 07]],-1)-1),"")</f>
        <v>45255</v>
      </c>
      <c r="Y2791" s="10" t="str">
        <f ca="1">IF(reading[[#This Row],[Next]]&lt;&gt;"",IF(reading[[#This Row],[Next]]&gt;TODAY(),"OK",""),"")</f>
        <v/>
      </c>
      <c r="Z2791" s="13">
        <v>3</v>
      </c>
      <c r="AA2791" s="13">
        <v>3</v>
      </c>
      <c r="AB2791" s="13">
        <v>3</v>
      </c>
      <c r="AC2791" s="13">
        <v>3</v>
      </c>
      <c r="AD2791" s="13">
        <v>3</v>
      </c>
      <c r="AE2791" s="13">
        <v>3</v>
      </c>
      <c r="AF2791" s="13"/>
      <c r="AG2791" s="16">
        <f>IFERROR(SUMIF(reading[[#This Row],[1st]:[7th]],"&gt;0")/COUNTIF(reading[[#This Row],[1st]:[7th]],"&gt;0"),"")</f>
        <v>3</v>
      </c>
    </row>
    <row r="2792" spans="1:33" x14ac:dyDescent="0.2">
      <c r="A2792" s="4">
        <f>IF(B2792=1,3,IF(D2792=1,2,IF(F2792=1,1,0)))</f>
        <v>0</v>
      </c>
      <c r="B2792" s="4" t="str">
        <f>IF(C2792=$L2792,1,IF(C2792="","",0))</f>
        <v/>
      </c>
      <c r="C2792" s="39"/>
      <c r="D2792" s="4" t="str">
        <f>IF(E2792=$L2792,1,IF(E2792="","",0))</f>
        <v/>
      </c>
      <c r="E2792" s="18"/>
      <c r="F2792" s="4" t="str">
        <f>IF(G2792=$L2792,1,IF(G2792="","",0))</f>
        <v/>
      </c>
      <c r="G2792" s="14"/>
      <c r="H2792" s="6">
        <v>2988</v>
      </c>
      <c r="I2792" s="15" t="s">
        <v>3120</v>
      </c>
      <c r="J2792" s="6" t="s">
        <v>6015</v>
      </c>
      <c r="K2792" s="15" t="s">
        <v>3138</v>
      </c>
      <c r="L2792" s="6" t="s">
        <v>3017</v>
      </c>
      <c r="M2792" s="6" t="s">
        <v>9092</v>
      </c>
      <c r="N2792" s="7">
        <f ca="1">RAND()</f>
        <v>0.89220631002843054</v>
      </c>
      <c r="O2792" s="8">
        <v>45223</v>
      </c>
      <c r="P2792" s="8">
        <v>45224</v>
      </c>
      <c r="Q2792" s="8">
        <v>45226</v>
      </c>
      <c r="R2792" s="8">
        <v>45230</v>
      </c>
      <c r="S2792" s="8">
        <v>45248</v>
      </c>
      <c r="T2792" s="8"/>
      <c r="U2792" s="8"/>
      <c r="V2792" s="10">
        <f>COUNTA(O2792:U2792)</f>
        <v>5</v>
      </c>
      <c r="W2792" s="11">
        <f>_xlfn.IFNA(INDEX(reading[[#This Row],[Memo 01]:[Memo 07]],MATCH(0,reading[[#This Row],[Memo 01]:[Memo 07]],-1)),"")</f>
        <v>45248</v>
      </c>
      <c r="X2792" s="11">
        <f ca="1">IFERROR(reading[[#This Row],[Previous]]+OFFSET(reading[[#Headers],[Memo 01]],-1,MATCH(0,reading[[#This Row],[Memo 01]:[Memo 07]],-1)-1),"")</f>
        <v>45260</v>
      </c>
      <c r="Y2792" s="10" t="str">
        <f ca="1">IF(reading[[#This Row],[Next]]&lt;&gt;"",IF(reading[[#This Row],[Next]]&gt;TODAY(),"OK",""),"")</f>
        <v/>
      </c>
      <c r="Z2792" s="13">
        <v>3</v>
      </c>
      <c r="AA2792" s="13">
        <v>3</v>
      </c>
      <c r="AB2792" s="13">
        <v>3</v>
      </c>
      <c r="AC2792" s="13">
        <v>2</v>
      </c>
      <c r="AD2792" s="13">
        <v>2</v>
      </c>
      <c r="AE2792" s="13"/>
      <c r="AF2792" s="13"/>
      <c r="AG2792" s="16">
        <f>IFERROR(SUMIF(reading[[#This Row],[1st]:[7th]],"&gt;0")/COUNTIF(reading[[#This Row],[1st]:[7th]],"&gt;0"),"")</f>
        <v>2.6</v>
      </c>
    </row>
    <row r="2793" spans="1:33" x14ac:dyDescent="0.2">
      <c r="A2793" s="4">
        <f>IF(B2793=1,3,IF(D2793=1,2,IF(F2793=1,1,0)))</f>
        <v>0</v>
      </c>
      <c r="B2793" s="4" t="str">
        <f>IF(C2793=$L2793,1,IF(C2793="","",0))</f>
        <v/>
      </c>
      <c r="C2793" s="41"/>
      <c r="D2793" s="4" t="str">
        <f>IF(E2793=$L2793,1,IF(E2793="","",0))</f>
        <v/>
      </c>
      <c r="E2793" s="14"/>
      <c r="F2793" s="4" t="str">
        <f>IF(G2793=$L2793,1,IF(G2793="","",0))</f>
        <v/>
      </c>
      <c r="G2793" s="14"/>
      <c r="H2793" s="6">
        <v>3079</v>
      </c>
      <c r="I2793" s="15" t="s">
        <v>3120</v>
      </c>
      <c r="J2793" s="6" t="s">
        <v>6099</v>
      </c>
      <c r="K2793" s="6"/>
      <c r="L2793" s="6" t="s">
        <v>3103</v>
      </c>
      <c r="M2793" s="6" t="s">
        <v>9182</v>
      </c>
      <c r="N2793" s="7">
        <f ca="1">RAND()</f>
        <v>0.36589122876714009</v>
      </c>
      <c r="O2793" s="8">
        <v>45224</v>
      </c>
      <c r="P2793" s="8">
        <v>45225</v>
      </c>
      <c r="Q2793" s="8">
        <v>45227</v>
      </c>
      <c r="R2793" s="8">
        <v>45231</v>
      </c>
      <c r="S2793" s="8">
        <v>45251</v>
      </c>
      <c r="T2793" s="8"/>
      <c r="U2793" s="8"/>
      <c r="V2793" s="10">
        <f>COUNTA(O2793:U2793)</f>
        <v>5</v>
      </c>
      <c r="W2793" s="11">
        <f>_xlfn.IFNA(INDEX(reading[[#This Row],[Memo 01]:[Memo 07]],MATCH(0,reading[[#This Row],[Memo 01]:[Memo 07]],-1)),"")</f>
        <v>45251</v>
      </c>
      <c r="X2793" s="11">
        <f ca="1">IFERROR(reading[[#This Row],[Previous]]+OFFSET(reading[[#Headers],[Memo 01]],-1,MATCH(0,reading[[#This Row],[Memo 01]:[Memo 07]],-1)-1),"")</f>
        <v>45263</v>
      </c>
      <c r="Y2793" s="10" t="str">
        <f ca="1">IF(reading[[#This Row],[Next]]&lt;&gt;"",IF(reading[[#This Row],[Next]]&gt;TODAY(),"OK",""),"")</f>
        <v/>
      </c>
      <c r="Z2793" s="13">
        <v>3</v>
      </c>
      <c r="AA2793" s="13">
        <v>3</v>
      </c>
      <c r="AB2793" s="13">
        <v>3</v>
      </c>
      <c r="AC2793" s="13">
        <v>3</v>
      </c>
      <c r="AD2793" s="13">
        <v>3</v>
      </c>
      <c r="AE2793" s="13"/>
      <c r="AF2793" s="13"/>
      <c r="AG2793" s="16">
        <f>IFERROR(SUMIF(reading[[#This Row],[1st]:[7th]],"&gt;0")/COUNTIF(reading[[#This Row],[1st]:[7th]],"&gt;0"),"")</f>
        <v>3</v>
      </c>
    </row>
    <row r="2794" spans="1:33" x14ac:dyDescent="0.2">
      <c r="A2794" s="4">
        <f>IF(B2794=1,3,IF(D2794=1,2,IF(F2794=1,1,0)))</f>
        <v>0</v>
      </c>
      <c r="B2794" s="4" t="str">
        <f>IF(C2794=$L2794,1,IF(C2794="","",0))</f>
        <v/>
      </c>
      <c r="C2794" s="39"/>
      <c r="D2794" s="4" t="str">
        <f>IF(E2794=$L2794,1,IF(E2794="","",0))</f>
        <v/>
      </c>
      <c r="E2794" s="14"/>
      <c r="F2794" s="4" t="str">
        <f>IF(G2794=$L2794,1,IF(G2794="","",0))</f>
        <v/>
      </c>
      <c r="G2794" s="14"/>
      <c r="H2794" s="6">
        <v>2328</v>
      </c>
      <c r="I2794" s="15" t="s">
        <v>3120</v>
      </c>
      <c r="J2794" s="6" t="s">
        <v>5405</v>
      </c>
      <c r="K2794" s="6"/>
      <c r="L2794" s="6" t="s">
        <v>129</v>
      </c>
      <c r="M2794" s="6" t="s">
        <v>8433</v>
      </c>
      <c r="N2794" s="7">
        <f ca="1">RAND()</f>
        <v>0.99447724284064398</v>
      </c>
      <c r="O2794" s="8">
        <v>45216</v>
      </c>
      <c r="P2794" s="8">
        <v>45217</v>
      </c>
      <c r="Q2794" s="8">
        <v>45219</v>
      </c>
      <c r="R2794" s="8">
        <v>45223</v>
      </c>
      <c r="S2794" s="8">
        <v>45230</v>
      </c>
      <c r="T2794" s="8"/>
      <c r="U2794" s="8"/>
      <c r="V2794" s="10">
        <f>COUNTA(O2794:U2794)</f>
        <v>5</v>
      </c>
      <c r="W2794" s="11">
        <f>_xlfn.IFNA(INDEX(reading[[#This Row],[Memo 01]:[Memo 07]],MATCH(0,reading[[#This Row],[Memo 01]:[Memo 07]],-1)),"")</f>
        <v>45230</v>
      </c>
      <c r="X2794" s="11">
        <f ca="1">IFERROR(reading[[#This Row],[Previous]]+OFFSET(reading[[#Headers],[Memo 01]],-1,MATCH(0,reading[[#This Row],[Memo 01]:[Memo 07]],-1)-1),"")</f>
        <v>45242</v>
      </c>
      <c r="Y2794" s="10" t="str">
        <f ca="1">IF(reading[[#This Row],[Next]]&lt;&gt;"",IF(reading[[#This Row],[Next]]&gt;TODAY(),"OK",""),"")</f>
        <v/>
      </c>
      <c r="Z2794" s="13">
        <v>3</v>
      </c>
      <c r="AA2794" s="13">
        <v>3</v>
      </c>
      <c r="AB2794" s="13">
        <v>3</v>
      </c>
      <c r="AC2794" s="13">
        <v>3</v>
      </c>
      <c r="AD2794" s="13">
        <v>3</v>
      </c>
      <c r="AE2794" s="13"/>
      <c r="AF2794" s="13"/>
      <c r="AG2794" s="16">
        <f>IFERROR(SUMIF(reading[[#This Row],[1st]:[7th]],"&gt;0")/COUNTIF(reading[[#This Row],[1st]:[7th]],"&gt;0"),"")</f>
        <v>3</v>
      </c>
    </row>
    <row r="2795" spans="1:33" x14ac:dyDescent="0.2">
      <c r="A2795" s="4">
        <f>IF(B2795=1,3,IF(D2795=1,2,IF(F2795=1,1,0)))</f>
        <v>0</v>
      </c>
      <c r="B2795" s="4" t="str">
        <f>IF(C2795=$L2795,1,IF(C2795="","",0))</f>
        <v/>
      </c>
      <c r="C2795" s="39"/>
      <c r="D2795" s="4" t="str">
        <f>IF(E2795=$L2795,1,IF(E2795="","",0))</f>
        <v/>
      </c>
      <c r="E2795" s="14"/>
      <c r="F2795" s="4" t="str">
        <f>IF(G2795=$L2795,1,IF(G2795="","",0))</f>
        <v/>
      </c>
      <c r="G2795" s="14"/>
      <c r="H2795" s="6">
        <v>1226</v>
      </c>
      <c r="I2795" s="15" t="s">
        <v>3120</v>
      </c>
      <c r="J2795" s="6" t="s">
        <v>4343</v>
      </c>
      <c r="K2795" s="15" t="s">
        <v>3139</v>
      </c>
      <c r="L2795" s="6" t="s">
        <v>1327</v>
      </c>
      <c r="M2795" s="6" t="s">
        <v>7333</v>
      </c>
      <c r="N2795" s="7">
        <f ca="1">RAND()</f>
        <v>1.7218096420412388E-2</v>
      </c>
      <c r="O2795" s="8">
        <v>45206</v>
      </c>
      <c r="P2795" s="8">
        <v>45207</v>
      </c>
      <c r="Q2795" s="8">
        <v>45209</v>
      </c>
      <c r="R2795" s="8">
        <v>45213</v>
      </c>
      <c r="S2795" s="8">
        <v>45220</v>
      </c>
      <c r="T2795" s="8">
        <v>45232</v>
      </c>
      <c r="U2795" s="8"/>
      <c r="V2795" s="10">
        <f>COUNTA(O2795:U2795)</f>
        <v>6</v>
      </c>
      <c r="W2795" s="11">
        <f>_xlfn.IFNA(INDEX(reading[[#This Row],[Memo 01]:[Memo 07]],MATCH(0,reading[[#This Row],[Memo 01]:[Memo 07]],-1)),"")</f>
        <v>45232</v>
      </c>
      <c r="X2795" s="11">
        <f ca="1">IFERROR(reading[[#This Row],[Previous]]+OFFSET(reading[[#Headers],[Memo 01]],-1,MATCH(0,reading[[#This Row],[Memo 01]:[Memo 07]],-1)-1),"")</f>
        <v>45252</v>
      </c>
      <c r="Y2795" s="10" t="str">
        <f ca="1">IF(reading[[#This Row],[Next]]&lt;&gt;"",IF(reading[[#This Row],[Next]]&gt;TODAY(),"OK",""),"")</f>
        <v/>
      </c>
      <c r="Z2795" s="13">
        <v>3</v>
      </c>
      <c r="AA2795" s="13">
        <v>3</v>
      </c>
      <c r="AB2795" s="13">
        <v>3</v>
      </c>
      <c r="AC2795" s="13">
        <v>3</v>
      </c>
      <c r="AD2795" s="13">
        <v>3</v>
      </c>
      <c r="AE2795" s="13">
        <v>3</v>
      </c>
      <c r="AF2795" s="13"/>
      <c r="AG2795" s="16">
        <f>IFERROR(SUMIF(reading[[#This Row],[1st]:[7th]],"&gt;0")/COUNTIF(reading[[#This Row],[1st]:[7th]],"&gt;0"),"")</f>
        <v>3</v>
      </c>
    </row>
    <row r="2796" spans="1:33" hidden="1" x14ac:dyDescent="0.2">
      <c r="A2796" s="4">
        <f>IF(B2796=1,3,IF(D2796=1,2,IF(F2796=1,1,0)))</f>
        <v>3</v>
      </c>
      <c r="B2796" s="4">
        <f>IF(C2796=$L2796,1,IF(C2796="","",0))</f>
        <v>1</v>
      </c>
      <c r="C2796" s="36" t="s">
        <v>2837</v>
      </c>
      <c r="D2796" s="4" t="str">
        <f>IF(E2796=$L2796,1,IF(E2796="","",0))</f>
        <v/>
      </c>
      <c r="E2796" s="14"/>
      <c r="F2796" s="4" t="str">
        <f>IF(G2796=$L2796,1,IF(G2796="","",0))</f>
        <v/>
      </c>
      <c r="G2796" s="14"/>
      <c r="H2796" s="6">
        <v>2800</v>
      </c>
      <c r="I2796" s="15" t="s">
        <v>3120</v>
      </c>
      <c r="J2796" s="6" t="s">
        <v>5843</v>
      </c>
      <c r="K2796" s="6"/>
      <c r="L2796" s="6" t="s">
        <v>2837</v>
      </c>
      <c r="M2796" s="6" t="s">
        <v>8904</v>
      </c>
      <c r="N2796" s="7">
        <f ca="1">RAND()</f>
        <v>0.20011628814752658</v>
      </c>
      <c r="O2796" s="8">
        <v>45221</v>
      </c>
      <c r="P2796" s="8">
        <v>45221</v>
      </c>
      <c r="Q2796" s="8">
        <v>45221</v>
      </c>
      <c r="R2796" s="8">
        <v>45221</v>
      </c>
      <c r="S2796" s="8">
        <v>45221</v>
      </c>
      <c r="T2796" s="8">
        <v>45221</v>
      </c>
      <c r="U2796" s="8">
        <v>45221</v>
      </c>
      <c r="V2796" s="10">
        <f>COUNTA(O2796:U2796)</f>
        <v>7</v>
      </c>
      <c r="W2796" s="11">
        <f>_xlfn.IFNA(INDEX(reading[[#This Row],[Memo 01]:[Memo 07]],MATCH(0,reading[[#This Row],[Memo 01]:[Memo 07]],-1)),"")</f>
        <v>45221</v>
      </c>
      <c r="X2796" s="11">
        <f ca="1">IFERROR(reading[[#This Row],[Previous]]+OFFSET(reading[[#Headers],[Memo 01]],-1,MATCH(0,reading[[#This Row],[Memo 01]:[Memo 07]],-1)-1),"")</f>
        <v>55221</v>
      </c>
      <c r="Y2796" s="10" t="str">
        <f ca="1">IF(reading[[#This Row],[Next]]&lt;&gt;"",IF(reading[[#This Row],[Next]]&gt;TODAY(),"OK",""),"")</f>
        <v>OK</v>
      </c>
      <c r="Z2796" s="13">
        <v>3</v>
      </c>
      <c r="AA2796" s="13"/>
      <c r="AB2796" s="13"/>
      <c r="AC2796" s="13"/>
      <c r="AD2796" s="13"/>
      <c r="AE2796" s="13"/>
      <c r="AF2796" s="13"/>
      <c r="AG2796" s="16">
        <f>IFERROR(SUMIF(reading[[#This Row],[1st]:[7th]],"&gt;0")/COUNTIF(reading[[#This Row],[1st]:[7th]],"&gt;0"),"")</f>
        <v>3</v>
      </c>
    </row>
    <row r="2797" spans="1:33" hidden="1" x14ac:dyDescent="0.2">
      <c r="A2797" s="4">
        <f>IF(B2797=1,3,IF(D2797=1,2,IF(F2797=1,1,0)))</f>
        <v>0</v>
      </c>
      <c r="B2797" s="4" t="str">
        <f>IF(C2797=$L2797,1,IF(C2797="","",0))</f>
        <v/>
      </c>
      <c r="C2797" s="42"/>
      <c r="D2797" s="4" t="str">
        <f>IF(E2797=$L2797,1,IF(E2797="","",0))</f>
        <v/>
      </c>
      <c r="E2797" s="43"/>
      <c r="F2797" s="4" t="str">
        <f>IF(G2797=$L2797,1,IF(G2797="","",0))</f>
        <v/>
      </c>
      <c r="G2797" s="14"/>
      <c r="H2797" s="6">
        <v>2052</v>
      </c>
      <c r="I2797" s="15" t="s">
        <v>3120</v>
      </c>
      <c r="J2797" s="6" t="s">
        <v>5148</v>
      </c>
      <c r="K2797" s="6"/>
      <c r="L2797" s="6" t="s">
        <v>2127</v>
      </c>
      <c r="M2797" s="6" t="s">
        <v>8158</v>
      </c>
      <c r="N2797" s="7">
        <f ca="1">RAND()</f>
        <v>0.59434858285550896</v>
      </c>
      <c r="O2797" s="8">
        <v>45215</v>
      </c>
      <c r="P2797" s="8">
        <v>45216</v>
      </c>
      <c r="Q2797" s="8">
        <v>45218</v>
      </c>
      <c r="R2797" s="8">
        <v>45222</v>
      </c>
      <c r="S2797" s="8">
        <v>45229</v>
      </c>
      <c r="T2797" s="8">
        <v>45825</v>
      </c>
      <c r="U2797" s="8"/>
      <c r="V2797" s="10">
        <f>COUNTA(O2797:U2797)</f>
        <v>6</v>
      </c>
      <c r="W2797" s="11">
        <f>_xlfn.IFNA(INDEX(reading[[#This Row],[Memo 01]:[Memo 07]],MATCH(0,reading[[#This Row],[Memo 01]:[Memo 07]],-1)),"")</f>
        <v>45825</v>
      </c>
      <c r="X2797" s="11">
        <f ca="1">IFERROR(reading[[#This Row],[Previous]]+OFFSET(reading[[#Headers],[Memo 01]],-1,MATCH(0,reading[[#This Row],[Memo 01]:[Memo 07]],-1)-1),"")</f>
        <v>45845</v>
      </c>
      <c r="Y2797" s="10" t="str">
        <f ca="1">IF(reading[[#This Row],[Next]]&lt;&gt;"",IF(reading[[#This Row],[Next]]&gt;TODAY(),"OK",""),"")</f>
        <v>OK</v>
      </c>
      <c r="Z2797" s="13">
        <v>3</v>
      </c>
      <c r="AA2797" s="13">
        <v>3</v>
      </c>
      <c r="AB2797" s="13">
        <v>2</v>
      </c>
      <c r="AC2797" s="13">
        <v>3</v>
      </c>
      <c r="AD2797" s="13">
        <v>3</v>
      </c>
      <c r="AE2797" s="13">
        <v>2</v>
      </c>
      <c r="AF2797" s="13"/>
      <c r="AG2797" s="16">
        <f>IFERROR(SUMIF(reading[[#This Row],[1st]:[7th]],"&gt;0")/COUNTIF(reading[[#This Row],[1st]:[7th]],"&gt;0"),"")</f>
        <v>2.6666666666666665</v>
      </c>
    </row>
    <row r="2798" spans="1:33" x14ac:dyDescent="0.2">
      <c r="A2798" s="4">
        <f>IF(B2798=1,3,IF(D2798=1,2,IF(F2798=1,1,0)))</f>
        <v>0</v>
      </c>
      <c r="B2798" s="4" t="str">
        <f>IF(C2798=$L2798,1,IF(C2798="","",0))</f>
        <v/>
      </c>
      <c r="C2798" s="39"/>
      <c r="D2798" s="4" t="str">
        <f>IF(E2798=$L2798,1,IF(E2798="","",0))</f>
        <v/>
      </c>
      <c r="E2798" s="14"/>
      <c r="F2798" s="4" t="str">
        <f>IF(G2798=$L2798,1,IF(G2798="","",0))</f>
        <v/>
      </c>
      <c r="G2798" s="14"/>
      <c r="H2798" s="6">
        <v>2949</v>
      </c>
      <c r="I2798" s="15" t="s">
        <v>3120</v>
      </c>
      <c r="J2798" s="6" t="s">
        <v>5981</v>
      </c>
      <c r="K2798" s="6"/>
      <c r="L2798" s="6" t="s">
        <v>2979</v>
      </c>
      <c r="M2798" s="6" t="s">
        <v>9053</v>
      </c>
      <c r="N2798" s="7">
        <f ca="1">RAND()</f>
        <v>0.18074827455592746</v>
      </c>
      <c r="O2798" s="8">
        <v>45223</v>
      </c>
      <c r="P2798" s="8">
        <v>45224</v>
      </c>
      <c r="Q2798" s="8">
        <v>45226</v>
      </c>
      <c r="R2798" s="8">
        <v>45230</v>
      </c>
      <c r="S2798" s="8">
        <v>45237</v>
      </c>
      <c r="T2798" s="8"/>
      <c r="U2798" s="8"/>
      <c r="V2798" s="10">
        <f>COUNTA(O2798:U2798)</f>
        <v>5</v>
      </c>
      <c r="W2798" s="11">
        <f>_xlfn.IFNA(INDEX(reading[[#This Row],[Memo 01]:[Memo 07]],MATCH(0,reading[[#This Row],[Memo 01]:[Memo 07]],-1)),"")</f>
        <v>45237</v>
      </c>
      <c r="X2798" s="11">
        <f ca="1">IFERROR(reading[[#This Row],[Previous]]+OFFSET(reading[[#Headers],[Memo 01]],-1,MATCH(0,reading[[#This Row],[Memo 01]:[Memo 07]],-1)-1),"")</f>
        <v>45249</v>
      </c>
      <c r="Y2798" s="10" t="str">
        <f ca="1">IF(reading[[#This Row],[Next]]&lt;&gt;"",IF(reading[[#This Row],[Next]]&gt;TODAY(),"OK",""),"")</f>
        <v/>
      </c>
      <c r="Z2798" s="13">
        <v>3</v>
      </c>
      <c r="AA2798" s="13">
        <v>3</v>
      </c>
      <c r="AB2798" s="13">
        <v>3</v>
      </c>
      <c r="AC2798" s="13">
        <v>3</v>
      </c>
      <c r="AD2798" s="13">
        <v>3</v>
      </c>
      <c r="AE2798" s="13"/>
      <c r="AF2798" s="13"/>
      <c r="AG2798" s="16">
        <f>IFERROR(SUMIF(reading[[#This Row],[1st]:[7th]],"&gt;0")/COUNTIF(reading[[#This Row],[1st]:[7th]],"&gt;0"),"")</f>
        <v>3</v>
      </c>
    </row>
    <row r="2799" spans="1:33" x14ac:dyDescent="0.2">
      <c r="A2799" s="4">
        <f>IF(B2799=1,3,IF(D2799=1,2,IF(F2799=1,1,0)))</f>
        <v>0</v>
      </c>
      <c r="B2799" s="4" t="str">
        <f>IF(C2799=$L2799,1,IF(C2799="","",0))</f>
        <v/>
      </c>
      <c r="C2799" s="41"/>
      <c r="D2799" s="4" t="str">
        <f>IF(E2799=$L2799,1,IF(E2799="","",0))</f>
        <v/>
      </c>
      <c r="E2799" s="18"/>
      <c r="F2799" s="4" t="str">
        <f>IF(G2799=$L2799,1,IF(G2799="","",0))</f>
        <v/>
      </c>
      <c r="G2799" s="18"/>
      <c r="H2799" s="6">
        <v>2619</v>
      </c>
      <c r="I2799" s="15" t="s">
        <v>3120</v>
      </c>
      <c r="J2799" s="6" t="s">
        <v>5674</v>
      </c>
      <c r="K2799" s="15" t="s">
        <v>3139</v>
      </c>
      <c r="L2799" s="6" t="s">
        <v>2661</v>
      </c>
      <c r="M2799" s="6" t="s">
        <v>8724</v>
      </c>
      <c r="N2799" s="7">
        <f ca="1">RAND()</f>
        <v>0.75571788693501851</v>
      </c>
      <c r="O2799" s="8">
        <v>45220</v>
      </c>
      <c r="P2799" s="8">
        <v>45221</v>
      </c>
      <c r="Q2799" s="8">
        <v>45223</v>
      </c>
      <c r="R2799" s="8">
        <v>45227</v>
      </c>
      <c r="S2799" s="8">
        <v>45234</v>
      </c>
      <c r="T2799" s="8">
        <v>45253</v>
      </c>
      <c r="U2799" s="8"/>
      <c r="V2799" s="10">
        <f>COUNTA(O2799:U2799)</f>
        <v>6</v>
      </c>
      <c r="W2799" s="11">
        <f>_xlfn.IFNA(INDEX(reading[[#This Row],[Memo 01]:[Memo 07]],MATCH(0,reading[[#This Row],[Memo 01]:[Memo 07]],-1)),"")</f>
        <v>45253</v>
      </c>
      <c r="X2799" s="11">
        <f ca="1">IFERROR(reading[[#This Row],[Previous]]+OFFSET(reading[[#Headers],[Memo 01]],-1,MATCH(0,reading[[#This Row],[Memo 01]:[Memo 07]],-1)-1),"")</f>
        <v>45273</v>
      </c>
      <c r="Y2799" s="10" t="str">
        <f ca="1">IF(reading[[#This Row],[Next]]&lt;&gt;"",IF(reading[[#This Row],[Next]]&gt;TODAY(),"OK",""),"")</f>
        <v/>
      </c>
      <c r="Z2799" s="13">
        <v>3</v>
      </c>
      <c r="AA2799" s="13">
        <v>3</v>
      </c>
      <c r="AB2799" s="13">
        <v>1</v>
      </c>
      <c r="AC2799" s="13">
        <v>3</v>
      </c>
      <c r="AD2799" s="13">
        <v>3</v>
      </c>
      <c r="AE2799" s="13">
        <v>1</v>
      </c>
      <c r="AF2799" s="13"/>
      <c r="AG2799" s="16">
        <f>IFERROR(SUMIF(reading[[#This Row],[1st]:[7th]],"&gt;0")/COUNTIF(reading[[#This Row],[1st]:[7th]],"&gt;0"),"")</f>
        <v>2.3333333333333335</v>
      </c>
    </row>
    <row r="2800" spans="1:33" x14ac:dyDescent="0.2">
      <c r="A2800" s="4">
        <f>IF(B2800=1,3,IF(D2800=1,2,IF(F2800=1,1,0)))</f>
        <v>0</v>
      </c>
      <c r="B2800" s="4" t="str">
        <f>IF(C2800=$L2800,1,IF(C2800="","",0))</f>
        <v/>
      </c>
      <c r="C2800" s="39"/>
      <c r="D2800" s="4" t="str">
        <f>IF(E2800=$L2800,1,IF(E2800="","",0))</f>
        <v/>
      </c>
      <c r="E2800" s="18"/>
      <c r="F2800" s="4" t="str">
        <f>IF(G2800=$L2800,1,IF(G2800="","",0))</f>
        <v/>
      </c>
      <c r="G2800" s="14"/>
      <c r="H2800" s="6">
        <v>1278</v>
      </c>
      <c r="I2800" s="15" t="s">
        <v>3120</v>
      </c>
      <c r="J2800" s="6" t="s">
        <v>4395</v>
      </c>
      <c r="K2800" s="6"/>
      <c r="L2800" s="6" t="s">
        <v>1376</v>
      </c>
      <c r="M2800" s="6" t="s">
        <v>7385</v>
      </c>
      <c r="N2800" s="7">
        <f ca="1">RAND()</f>
        <v>0.52314132771042676</v>
      </c>
      <c r="O2800" s="8">
        <v>45207</v>
      </c>
      <c r="P2800" s="8">
        <v>45208</v>
      </c>
      <c r="Q2800" s="8">
        <v>45210</v>
      </c>
      <c r="R2800" s="8">
        <v>45214</v>
      </c>
      <c r="S2800" s="8">
        <v>45221</v>
      </c>
      <c r="T2800" s="8">
        <v>45233</v>
      </c>
      <c r="U2800" s="8"/>
      <c r="V2800" s="10">
        <f>COUNTA(O2800:U2800)</f>
        <v>6</v>
      </c>
      <c r="W2800" s="11">
        <f>_xlfn.IFNA(INDEX(reading[[#This Row],[Memo 01]:[Memo 07]],MATCH(0,reading[[#This Row],[Memo 01]:[Memo 07]],-1)),"")</f>
        <v>45233</v>
      </c>
      <c r="X2800" s="11">
        <f ca="1">IFERROR(reading[[#This Row],[Previous]]+OFFSET(reading[[#Headers],[Memo 01]],-1,MATCH(0,reading[[#This Row],[Memo 01]:[Memo 07]],-1)-1),"")</f>
        <v>45253</v>
      </c>
      <c r="Y2800" s="10" t="str">
        <f ca="1">IF(reading[[#This Row],[Next]]&lt;&gt;"",IF(reading[[#This Row],[Next]]&gt;TODAY(),"OK",""),"")</f>
        <v/>
      </c>
      <c r="Z2800" s="13">
        <v>3</v>
      </c>
      <c r="AA2800" s="13">
        <v>2</v>
      </c>
      <c r="AB2800" s="13">
        <v>3</v>
      </c>
      <c r="AC2800" s="13">
        <v>3</v>
      </c>
      <c r="AD2800" s="13">
        <v>3</v>
      </c>
      <c r="AE2800" s="13">
        <v>3</v>
      </c>
      <c r="AF2800" s="13"/>
      <c r="AG2800" s="16">
        <f>IFERROR(SUMIF(reading[[#This Row],[1st]:[7th]],"&gt;0")/COUNTIF(reading[[#This Row],[1st]:[7th]],"&gt;0"),"")</f>
        <v>2.8333333333333335</v>
      </c>
    </row>
    <row r="2801" spans="1:33" hidden="1" x14ac:dyDescent="0.2">
      <c r="A2801" s="4">
        <f>IF(B2801=1,3,IF(D2801=1,2,IF(F2801=1,1,0)))</f>
        <v>3</v>
      </c>
      <c r="B2801" s="4">
        <f>IF(C2801=$L2801,1,IF(C2801="","",0))</f>
        <v>1</v>
      </c>
      <c r="C2801" s="36" t="s">
        <v>2841</v>
      </c>
      <c r="D2801" s="4" t="str">
        <f>IF(E2801=$L2801,1,IF(E2801="","",0))</f>
        <v/>
      </c>
      <c r="E2801" s="14"/>
      <c r="F2801" s="4" t="str">
        <f>IF(G2801=$L2801,1,IF(G2801="","",0))</f>
        <v/>
      </c>
      <c r="G2801" s="14"/>
      <c r="H2801" s="6">
        <v>2805</v>
      </c>
      <c r="I2801" s="15" t="s">
        <v>3120</v>
      </c>
      <c r="J2801" s="6" t="s">
        <v>5848</v>
      </c>
      <c r="K2801" s="6"/>
      <c r="L2801" s="6" t="s">
        <v>2841</v>
      </c>
      <c r="M2801" s="6" t="s">
        <v>8909</v>
      </c>
      <c r="N2801" s="7">
        <f ca="1">RAND()</f>
        <v>0.30066128918708512</v>
      </c>
      <c r="O2801" s="8">
        <v>45222</v>
      </c>
      <c r="P2801" s="8">
        <v>45222</v>
      </c>
      <c r="Q2801" s="8">
        <v>45222</v>
      </c>
      <c r="R2801" s="8">
        <v>45222</v>
      </c>
      <c r="S2801" s="8">
        <v>45222</v>
      </c>
      <c r="T2801" s="8">
        <v>45222</v>
      </c>
      <c r="U2801" s="8">
        <v>45222</v>
      </c>
      <c r="V2801" s="10">
        <f>COUNTA(O2801:U2801)</f>
        <v>7</v>
      </c>
      <c r="W2801" s="11">
        <f>_xlfn.IFNA(INDEX(reading[[#This Row],[Memo 01]:[Memo 07]],MATCH(0,reading[[#This Row],[Memo 01]:[Memo 07]],-1)),"")</f>
        <v>45222</v>
      </c>
      <c r="X2801" s="11">
        <f ca="1">IFERROR(reading[[#This Row],[Previous]]+OFFSET(reading[[#Headers],[Memo 01]],-1,MATCH(0,reading[[#This Row],[Memo 01]:[Memo 07]],-1)-1),"")</f>
        <v>55222</v>
      </c>
      <c r="Y2801" s="10" t="str">
        <f ca="1">IF(reading[[#This Row],[Next]]&lt;&gt;"",IF(reading[[#This Row],[Next]]&gt;TODAY(),"OK",""),"")</f>
        <v>OK</v>
      </c>
      <c r="Z2801" s="13">
        <v>3</v>
      </c>
      <c r="AA2801" s="13"/>
      <c r="AB2801" s="13"/>
      <c r="AC2801" s="13"/>
      <c r="AD2801" s="13"/>
      <c r="AE2801" s="13"/>
      <c r="AF2801" s="13"/>
      <c r="AG2801" s="16">
        <f>IFERROR(SUMIF(reading[[#This Row],[1st]:[7th]],"&gt;0")/COUNTIF(reading[[#This Row],[1st]:[7th]],"&gt;0"),"")</f>
        <v>3</v>
      </c>
    </row>
    <row r="2802" spans="1:33" x14ac:dyDescent="0.2">
      <c r="A2802" s="4">
        <f>IF(B2802=1,3,IF(D2802=1,2,IF(F2802=1,1,0)))</f>
        <v>0</v>
      </c>
      <c r="B2802" s="4" t="str">
        <f>IF(C2802=$L2802,1,IF(C2802="","",0))</f>
        <v/>
      </c>
      <c r="C2802" s="41"/>
      <c r="D2802" s="4" t="str">
        <f>IF(E2802=$L2802,1,IF(E2802="","",0))</f>
        <v/>
      </c>
      <c r="E2802" s="14"/>
      <c r="F2802" s="4" t="str">
        <f>IF(G2802=$L2802,1,IF(G2802="","",0))</f>
        <v/>
      </c>
      <c r="G2802" s="14"/>
      <c r="H2802" s="6">
        <v>3028</v>
      </c>
      <c r="I2802" s="15" t="s">
        <v>3120</v>
      </c>
      <c r="J2802" s="6" t="s">
        <v>6051</v>
      </c>
      <c r="K2802" s="6"/>
      <c r="L2802" s="6" t="s">
        <v>3057</v>
      </c>
      <c r="M2802" s="6" t="s">
        <v>9131</v>
      </c>
      <c r="N2802" s="7">
        <f ca="1">RAND()</f>
        <v>0.42849231248543074</v>
      </c>
      <c r="O2802" s="8">
        <v>45224</v>
      </c>
      <c r="P2802" s="8">
        <v>45225</v>
      </c>
      <c r="Q2802" s="8">
        <v>45227</v>
      </c>
      <c r="R2802" s="8">
        <v>45231</v>
      </c>
      <c r="S2802" s="8">
        <v>45249</v>
      </c>
      <c r="T2802" s="8"/>
      <c r="U2802" s="8"/>
      <c r="V2802" s="10">
        <f>COUNTA(O2802:U2802)</f>
        <v>5</v>
      </c>
      <c r="W2802" s="11">
        <f>_xlfn.IFNA(INDEX(reading[[#This Row],[Memo 01]:[Memo 07]],MATCH(0,reading[[#This Row],[Memo 01]:[Memo 07]],-1)),"")</f>
        <v>45249</v>
      </c>
      <c r="X2802" s="11">
        <f ca="1">IFERROR(reading[[#This Row],[Previous]]+OFFSET(reading[[#Headers],[Memo 01]],-1,MATCH(0,reading[[#This Row],[Memo 01]:[Memo 07]],-1)-1),"")</f>
        <v>45261</v>
      </c>
      <c r="Y2802" s="10" t="str">
        <f ca="1">IF(reading[[#This Row],[Next]]&lt;&gt;"",IF(reading[[#This Row],[Next]]&gt;TODAY(),"OK",""),"")</f>
        <v/>
      </c>
      <c r="Z2802" s="13">
        <v>3</v>
      </c>
      <c r="AA2802" s="13">
        <v>3</v>
      </c>
      <c r="AB2802" s="13">
        <v>3</v>
      </c>
      <c r="AC2802" s="13">
        <v>3</v>
      </c>
      <c r="AD2802" s="13">
        <v>3</v>
      </c>
      <c r="AE2802" s="13"/>
      <c r="AF2802" s="13"/>
      <c r="AG2802" s="16">
        <f>IFERROR(SUMIF(reading[[#This Row],[1st]:[7th]],"&gt;0")/COUNTIF(reading[[#This Row],[1st]:[7th]],"&gt;0"),"")</f>
        <v>3</v>
      </c>
    </row>
    <row r="2803" spans="1:33" x14ac:dyDescent="0.2">
      <c r="A2803" s="4">
        <f>IF(B2803=1,3,IF(D2803=1,2,IF(F2803=1,1,0)))</f>
        <v>0</v>
      </c>
      <c r="B2803" s="4" t="str">
        <f>IF(C2803=$L2803,1,IF(C2803="","",0))</f>
        <v/>
      </c>
      <c r="C2803" s="39"/>
      <c r="D2803" s="4" t="str">
        <f>IF(E2803=$L2803,1,IF(E2803="","",0))</f>
        <v/>
      </c>
      <c r="E2803" s="14"/>
      <c r="F2803" s="4" t="str">
        <f>IF(G2803=$L2803,1,IF(G2803="","",0))</f>
        <v/>
      </c>
      <c r="G2803" s="14"/>
      <c r="H2803" s="6">
        <v>1214</v>
      </c>
      <c r="I2803" s="15" t="s">
        <v>3120</v>
      </c>
      <c r="J2803" s="6" t="s">
        <v>4332</v>
      </c>
      <c r="K2803" s="6"/>
      <c r="L2803" s="6" t="s">
        <v>1316</v>
      </c>
      <c r="M2803" s="6" t="s">
        <v>7321</v>
      </c>
      <c r="N2803" s="7">
        <f ca="1">RAND()</f>
        <v>0.53746959626127877</v>
      </c>
      <c r="O2803" s="8">
        <v>45206</v>
      </c>
      <c r="P2803" s="8">
        <v>45207</v>
      </c>
      <c r="Q2803" s="8">
        <v>45209</v>
      </c>
      <c r="R2803" s="8">
        <v>45213</v>
      </c>
      <c r="S2803" s="8">
        <v>45220</v>
      </c>
      <c r="T2803" s="8">
        <v>45232</v>
      </c>
      <c r="U2803" s="8"/>
      <c r="V2803" s="10">
        <f>COUNTA(O2803:U2803)</f>
        <v>6</v>
      </c>
      <c r="W2803" s="11">
        <f>_xlfn.IFNA(INDEX(reading[[#This Row],[Memo 01]:[Memo 07]],MATCH(0,reading[[#This Row],[Memo 01]:[Memo 07]],-1)),"")</f>
        <v>45232</v>
      </c>
      <c r="X2803" s="11">
        <f ca="1">IFERROR(reading[[#This Row],[Previous]]+OFFSET(reading[[#Headers],[Memo 01]],-1,MATCH(0,reading[[#This Row],[Memo 01]:[Memo 07]],-1)-1),"")</f>
        <v>45252</v>
      </c>
      <c r="Y2803" s="10" t="str">
        <f ca="1">IF(reading[[#This Row],[Next]]&lt;&gt;"",IF(reading[[#This Row],[Next]]&gt;TODAY(),"OK",""),"")</f>
        <v/>
      </c>
      <c r="Z2803" s="13">
        <v>3</v>
      </c>
      <c r="AA2803" s="13">
        <v>3</v>
      </c>
      <c r="AB2803" s="13">
        <v>3</v>
      </c>
      <c r="AC2803" s="13">
        <v>3</v>
      </c>
      <c r="AD2803" s="13">
        <v>3</v>
      </c>
      <c r="AE2803" s="13">
        <v>2</v>
      </c>
      <c r="AF2803" s="13"/>
      <c r="AG2803" s="16">
        <f>IFERROR(SUMIF(reading[[#This Row],[1st]:[7th]],"&gt;0")/COUNTIF(reading[[#This Row],[1st]:[7th]],"&gt;0"),"")</f>
        <v>2.8333333333333335</v>
      </c>
    </row>
    <row r="2804" spans="1:33" x14ac:dyDescent="0.2">
      <c r="A2804" s="4">
        <f>IF(B2804=1,3,IF(D2804=1,2,IF(F2804=1,1,0)))</f>
        <v>0</v>
      </c>
      <c r="B2804" s="4" t="str">
        <f>IF(C2804=$L2804,1,IF(C2804="","",0))</f>
        <v/>
      </c>
      <c r="C2804" s="41"/>
      <c r="D2804" s="4" t="str">
        <f>IF(E2804=$L2804,1,IF(E2804="","",0))</f>
        <v/>
      </c>
      <c r="E2804" s="14"/>
      <c r="F2804" s="4" t="str">
        <f>IF(G2804=$L2804,1,IF(G2804="","",0))</f>
        <v/>
      </c>
      <c r="G2804" s="14"/>
      <c r="H2804" s="6">
        <v>3021</v>
      </c>
      <c r="I2804" s="15" t="s">
        <v>3120</v>
      </c>
      <c r="J2804" s="6" t="s">
        <v>6044</v>
      </c>
      <c r="K2804" s="6"/>
      <c r="L2804" s="6" t="s">
        <v>3050</v>
      </c>
      <c r="M2804" s="6" t="s">
        <v>9124</v>
      </c>
      <c r="N2804" s="7">
        <f ca="1">RAND()</f>
        <v>0.79876730240356875</v>
      </c>
      <c r="O2804" s="8">
        <v>45224</v>
      </c>
      <c r="P2804" s="8">
        <v>45225</v>
      </c>
      <c r="Q2804" s="8">
        <v>45227</v>
      </c>
      <c r="R2804" s="8">
        <v>45231</v>
      </c>
      <c r="S2804" s="8">
        <v>45251</v>
      </c>
      <c r="T2804" s="8"/>
      <c r="U2804" s="8"/>
      <c r="V2804" s="10">
        <f>COUNTA(O2804:U2804)</f>
        <v>5</v>
      </c>
      <c r="W2804" s="11">
        <f>_xlfn.IFNA(INDEX(reading[[#This Row],[Memo 01]:[Memo 07]],MATCH(0,reading[[#This Row],[Memo 01]:[Memo 07]],-1)),"")</f>
        <v>45251</v>
      </c>
      <c r="X2804" s="11">
        <f ca="1">IFERROR(reading[[#This Row],[Previous]]+OFFSET(reading[[#Headers],[Memo 01]],-1,MATCH(0,reading[[#This Row],[Memo 01]:[Memo 07]],-1)-1),"")</f>
        <v>45263</v>
      </c>
      <c r="Y2804" s="10" t="str">
        <f ca="1">IF(reading[[#This Row],[Next]]&lt;&gt;"",IF(reading[[#This Row],[Next]]&gt;TODAY(),"OK",""),"")</f>
        <v/>
      </c>
      <c r="Z2804" s="13">
        <v>3</v>
      </c>
      <c r="AA2804" s="13">
        <v>3</v>
      </c>
      <c r="AB2804" s="13">
        <v>3</v>
      </c>
      <c r="AC2804" s="13">
        <v>3</v>
      </c>
      <c r="AD2804" s="13">
        <v>3</v>
      </c>
      <c r="AE2804" s="13"/>
      <c r="AF2804" s="13"/>
      <c r="AG2804" s="16">
        <f>IFERROR(SUMIF(reading[[#This Row],[1st]:[7th]],"&gt;0")/COUNTIF(reading[[#This Row],[1st]:[7th]],"&gt;0"),"")</f>
        <v>3</v>
      </c>
    </row>
    <row r="2805" spans="1:33" x14ac:dyDescent="0.2">
      <c r="A2805" s="4">
        <f>IF(B2805=1,3,IF(D2805=1,2,IF(F2805=1,1,0)))</f>
        <v>0</v>
      </c>
      <c r="B2805" s="4" t="str">
        <f>IF(C2805=$L2805,1,IF(C2805="","",0))</f>
        <v/>
      </c>
      <c r="C2805" s="42"/>
      <c r="D2805" s="4" t="str">
        <f>IF(E2805=$L2805,1,IF(E2805="","",0))</f>
        <v/>
      </c>
      <c r="E2805" s="18"/>
      <c r="F2805" s="4" t="str">
        <f>IF(G2805=$L2805,1,IF(G2805="","",0))</f>
        <v/>
      </c>
      <c r="G2805" s="14"/>
      <c r="H2805" s="6">
        <v>2936</v>
      </c>
      <c r="I2805" s="15" t="s">
        <v>3120</v>
      </c>
      <c r="J2805" s="6" t="s">
        <v>5971</v>
      </c>
      <c r="K2805" s="15" t="s">
        <v>3138</v>
      </c>
      <c r="L2805" s="6" t="s">
        <v>2966</v>
      </c>
      <c r="M2805" s="6" t="s">
        <v>9040</v>
      </c>
      <c r="N2805" s="7">
        <f ca="1">RAND()</f>
        <v>0.8862405740090441</v>
      </c>
      <c r="O2805" s="8">
        <v>45223</v>
      </c>
      <c r="P2805" s="8">
        <v>45224</v>
      </c>
      <c r="Q2805" s="8">
        <v>45226</v>
      </c>
      <c r="R2805" s="8">
        <v>45230</v>
      </c>
      <c r="S2805" s="8">
        <v>45250</v>
      </c>
      <c r="T2805" s="8">
        <v>45801</v>
      </c>
      <c r="U2805" s="8"/>
      <c r="V2805" s="10">
        <f>COUNTA(O2805:U2805)</f>
        <v>6</v>
      </c>
      <c r="W2805" s="11">
        <f>_xlfn.IFNA(INDEX(reading[[#This Row],[Memo 01]:[Memo 07]],MATCH(0,reading[[#This Row],[Memo 01]:[Memo 07]],-1)),"")</f>
        <v>45801</v>
      </c>
      <c r="X2805" s="11">
        <f ca="1">IFERROR(reading[[#This Row],[Previous]]+OFFSET(reading[[#Headers],[Memo 01]],-1,MATCH(0,reading[[#This Row],[Memo 01]:[Memo 07]],-1)-1),"")</f>
        <v>45821</v>
      </c>
      <c r="Y2805" s="10" t="str">
        <f ca="1">IF(reading[[#This Row],[Next]]&lt;&gt;"",IF(reading[[#This Row],[Next]]&gt;TODAY(),"OK",""),"")</f>
        <v/>
      </c>
      <c r="Z2805" s="13">
        <v>3</v>
      </c>
      <c r="AA2805" s="13">
        <v>3</v>
      </c>
      <c r="AB2805" s="13">
        <v>3</v>
      </c>
      <c r="AC2805" s="13">
        <v>3</v>
      </c>
      <c r="AD2805" s="13">
        <v>1</v>
      </c>
      <c r="AE2805" s="13">
        <v>3</v>
      </c>
      <c r="AF2805" s="13"/>
      <c r="AG2805" s="16">
        <f>IFERROR(SUMIF(reading[[#This Row],[1st]:[7th]],"&gt;0")/COUNTIF(reading[[#This Row],[1st]:[7th]],"&gt;0"),"")</f>
        <v>2.6666666666666665</v>
      </c>
    </row>
    <row r="2806" spans="1:33" hidden="1" x14ac:dyDescent="0.2">
      <c r="A2806" s="4">
        <f>IF(B2806=1,3,IF(D2806=1,2,IF(F2806=1,1,0)))</f>
        <v>0</v>
      </c>
      <c r="B2806" s="4">
        <f>IF(C2806=$L2806,1,IF(C2806="","",0))</f>
        <v>0</v>
      </c>
      <c r="C2806" s="42" t="s">
        <v>9200</v>
      </c>
      <c r="D2806" s="4" t="str">
        <f>IF(E2806=$L2806,1,IF(E2806="","",0))</f>
        <v/>
      </c>
      <c r="E2806" s="14"/>
      <c r="F2806" s="4" t="str">
        <f>IF(G2806=$L2806,1,IF(G2806="","",0))</f>
        <v/>
      </c>
      <c r="G2806" s="14"/>
      <c r="H2806" s="6">
        <v>2075</v>
      </c>
      <c r="I2806" s="15" t="s">
        <v>3120</v>
      </c>
      <c r="J2806" s="6" t="s">
        <v>5168</v>
      </c>
      <c r="K2806" s="6"/>
      <c r="L2806" s="6" t="s">
        <v>2146</v>
      </c>
      <c r="M2806" s="6" t="s">
        <v>8181</v>
      </c>
      <c r="N2806" s="7">
        <f ca="1">RAND()</f>
        <v>0.30954261046744569</v>
      </c>
      <c r="O2806" s="8">
        <v>45214</v>
      </c>
      <c r="P2806" s="8">
        <v>45215</v>
      </c>
      <c r="Q2806" s="8">
        <v>45217</v>
      </c>
      <c r="R2806" s="8">
        <v>45221</v>
      </c>
      <c r="S2806" s="8">
        <v>45228</v>
      </c>
      <c r="T2806" s="8"/>
      <c r="U2806" s="8"/>
      <c r="V2806" s="10">
        <f>COUNTA(O2806:U2806)</f>
        <v>5</v>
      </c>
      <c r="W2806" s="11">
        <f>_xlfn.IFNA(INDEX(reading[[#This Row],[Memo 01]:[Memo 07]],MATCH(0,reading[[#This Row],[Memo 01]:[Memo 07]],-1)),"")</f>
        <v>45228</v>
      </c>
      <c r="X2806" s="11">
        <f ca="1">IFERROR(reading[[#This Row],[Previous]]+OFFSET(reading[[#Headers],[Memo 01]],-1,MATCH(0,reading[[#This Row],[Memo 01]:[Memo 07]],-1)-1),"")</f>
        <v>45240</v>
      </c>
      <c r="Y2806" s="10" t="str">
        <f ca="1">IF(reading[[#This Row],[Next]]&lt;&gt;"",IF(reading[[#This Row],[Next]]&gt;TODAY(),"OK",""),"")</f>
        <v/>
      </c>
      <c r="Z2806" s="13">
        <v>3</v>
      </c>
      <c r="AA2806" s="13">
        <v>3</v>
      </c>
      <c r="AB2806" s="13">
        <v>3</v>
      </c>
      <c r="AC2806" s="13">
        <v>3</v>
      </c>
      <c r="AD2806" s="13">
        <v>3</v>
      </c>
      <c r="AE2806" s="13"/>
      <c r="AF2806" s="13"/>
      <c r="AG2806" s="16">
        <f>IFERROR(SUMIF(reading[[#This Row],[1st]:[7th]],"&gt;0")/COUNTIF(reading[[#This Row],[1st]:[7th]],"&gt;0"),"")</f>
        <v>3</v>
      </c>
    </row>
    <row r="2807" spans="1:33" x14ac:dyDescent="0.2">
      <c r="A2807" s="4">
        <f>IF(B2807=1,3,IF(D2807=1,2,IF(F2807=1,1,0)))</f>
        <v>0</v>
      </c>
      <c r="B2807" s="4" t="str">
        <f>IF(C2807=$L2807,1,IF(C2807="","",0))</f>
        <v/>
      </c>
      <c r="C2807" s="38"/>
      <c r="D2807" s="4" t="str">
        <f>IF(E2807=$L2807,1,IF(E2807="","",0))</f>
        <v/>
      </c>
      <c r="E2807" s="18"/>
      <c r="F2807" s="4" t="str">
        <f>IF(G2807=$L2807,1,IF(G2807="","",0))</f>
        <v/>
      </c>
      <c r="G2807" s="14"/>
      <c r="H2807" s="6">
        <v>617</v>
      </c>
      <c r="I2807" s="15" t="s">
        <v>3120</v>
      </c>
      <c r="J2807" s="6" t="s">
        <v>3759</v>
      </c>
      <c r="K2807" s="15" t="s">
        <v>3138</v>
      </c>
      <c r="L2807" s="6" t="s">
        <v>740</v>
      </c>
      <c r="M2807" s="6" t="s">
        <v>6726</v>
      </c>
      <c r="N2807" s="7">
        <f ca="1">RAND()</f>
        <v>0.72505977644082431</v>
      </c>
      <c r="O2807" s="8">
        <v>45203</v>
      </c>
      <c r="P2807" s="8">
        <v>45204</v>
      </c>
      <c r="Q2807" s="8">
        <v>45206</v>
      </c>
      <c r="R2807" s="8">
        <v>45210</v>
      </c>
      <c r="S2807" s="8">
        <v>45217</v>
      </c>
      <c r="T2807" s="8">
        <v>45229</v>
      </c>
      <c r="U2807" s="8"/>
      <c r="V2807" s="10">
        <f>COUNTA(O2807:U2807)</f>
        <v>6</v>
      </c>
      <c r="W2807" s="11">
        <f>_xlfn.IFNA(INDEX(reading[[#This Row],[Memo 01]:[Memo 07]],MATCH(0,reading[[#This Row],[Memo 01]:[Memo 07]],-1)),"")</f>
        <v>45229</v>
      </c>
      <c r="X2807" s="11">
        <f ca="1">IFERROR(reading[[#This Row],[Previous]]+OFFSET(reading[[#Headers],[Memo 01]],-1,MATCH(0,reading[[#This Row],[Memo 01]:[Memo 07]],-1)-1),"")</f>
        <v>45249</v>
      </c>
      <c r="Y2807" s="10" t="str">
        <f ca="1">IF(reading[[#This Row],[Next]]&lt;&gt;"",IF(reading[[#This Row],[Next]]&gt;TODAY(),"OK",""),"")</f>
        <v/>
      </c>
      <c r="Z2807" s="13">
        <v>3</v>
      </c>
      <c r="AA2807" s="13">
        <v>3</v>
      </c>
      <c r="AB2807" s="13">
        <v>3</v>
      </c>
      <c r="AC2807" s="13">
        <v>3</v>
      </c>
      <c r="AD2807" s="13">
        <v>2</v>
      </c>
      <c r="AE2807" s="13">
        <v>3</v>
      </c>
      <c r="AF2807" s="13"/>
      <c r="AG2807" s="16">
        <f>IFERROR(SUMIF(reading[[#This Row],[1st]:[7th]],"&gt;0")/COUNTIF(reading[[#This Row],[1st]:[7th]],"&gt;0"),"")</f>
        <v>2.8333333333333335</v>
      </c>
    </row>
    <row r="2808" spans="1:33" hidden="1" x14ac:dyDescent="0.2">
      <c r="A2808" s="4">
        <f>IF(B2808=1,3,IF(D2808=1,2,IF(F2808=1,1,0)))</f>
        <v>0</v>
      </c>
      <c r="B2808" s="4" t="str">
        <f>IF(C2808=$L2808,1,IF(C2808="","",0))</f>
        <v/>
      </c>
      <c r="C2808" s="42"/>
      <c r="D2808" s="4" t="str">
        <f>IF(E2808=$L2808,1,IF(E2808="","",0))</f>
        <v/>
      </c>
      <c r="E2808" s="23"/>
      <c r="F2808" s="4" t="str">
        <f>IF(G2808=$L2808,1,IF(G2808="","",0))</f>
        <v/>
      </c>
      <c r="G2808" s="14"/>
      <c r="H2808" s="6">
        <v>1454</v>
      </c>
      <c r="I2808" s="15" t="s">
        <v>3120</v>
      </c>
      <c r="J2808" s="6" t="s">
        <v>4568</v>
      </c>
      <c r="K2808" s="6"/>
      <c r="L2808" s="6" t="s">
        <v>1542</v>
      </c>
      <c r="M2808" s="6" t="s">
        <v>7561</v>
      </c>
      <c r="N2808" s="7">
        <f ca="1">RAND()</f>
        <v>0.69112715702821148</v>
      </c>
      <c r="O2808" s="8">
        <v>45208</v>
      </c>
      <c r="P2808" s="8">
        <v>45209</v>
      </c>
      <c r="Q2808" s="8">
        <v>45211</v>
      </c>
      <c r="R2808" s="8">
        <v>45215</v>
      </c>
      <c r="S2808" s="8">
        <v>45222</v>
      </c>
      <c r="T2808" s="8">
        <v>45234</v>
      </c>
      <c r="U2808" s="8">
        <v>45816</v>
      </c>
      <c r="V2808" s="10">
        <f>COUNTA(O2808:U2808)</f>
        <v>7</v>
      </c>
      <c r="W2808" s="11">
        <f>_xlfn.IFNA(INDEX(reading[[#This Row],[Memo 01]:[Memo 07]],MATCH(0,reading[[#This Row],[Memo 01]:[Memo 07]],-1)),"")</f>
        <v>45816</v>
      </c>
      <c r="X2808" s="11">
        <f ca="1">IFERROR(reading[[#This Row],[Previous]]+OFFSET(reading[[#Headers],[Memo 01]],-1,MATCH(0,reading[[#This Row],[Memo 01]:[Memo 07]],-1)-1),"")</f>
        <v>55816</v>
      </c>
      <c r="Y2808" s="10" t="str">
        <f ca="1">IF(reading[[#This Row],[Next]]&lt;&gt;"",IF(reading[[#This Row],[Next]]&gt;TODAY(),"OK",""),"")</f>
        <v>OK</v>
      </c>
      <c r="Z2808" s="13">
        <v>3</v>
      </c>
      <c r="AA2808" s="13">
        <v>3</v>
      </c>
      <c r="AB2808" s="13">
        <v>3</v>
      </c>
      <c r="AC2808" s="13">
        <v>3</v>
      </c>
      <c r="AD2808" s="13">
        <v>3</v>
      </c>
      <c r="AE2808" s="13">
        <v>3</v>
      </c>
      <c r="AF2808" s="13">
        <v>2</v>
      </c>
      <c r="AG2808" s="16">
        <f>IFERROR(SUMIF(reading[[#This Row],[1st]:[7th]],"&gt;0")/COUNTIF(reading[[#This Row],[1st]:[7th]],"&gt;0"),"")</f>
        <v>2.8571428571428572</v>
      </c>
    </row>
    <row r="2809" spans="1:33" hidden="1" x14ac:dyDescent="0.2">
      <c r="A2809" s="4">
        <f>IF(B2809=1,3,IF(D2809=1,2,IF(F2809=1,1,0)))</f>
        <v>0</v>
      </c>
      <c r="B2809" s="4" t="str">
        <f>IF(C2809=$L2809,1,IF(C2809="","",0))</f>
        <v/>
      </c>
      <c r="C2809" s="42"/>
      <c r="D2809" s="4" t="str">
        <f>IF(E2809=$L2809,1,IF(E2809="","",0))</f>
        <v/>
      </c>
      <c r="E2809" s="23"/>
      <c r="F2809" s="4" t="str">
        <f>IF(G2809=$L2809,1,IF(G2809="","",0))</f>
        <v/>
      </c>
      <c r="G2809" s="23"/>
      <c r="H2809" s="6">
        <v>1844</v>
      </c>
      <c r="I2809" s="15" t="s">
        <v>3120</v>
      </c>
      <c r="J2809" s="6" t="s">
        <v>4948</v>
      </c>
      <c r="K2809" s="6"/>
      <c r="L2809" s="6" t="s">
        <v>1922</v>
      </c>
      <c r="M2809" s="6" t="s">
        <v>7950</v>
      </c>
      <c r="N2809" s="7">
        <f ca="1">RAND()</f>
        <v>0.16290994070922271</v>
      </c>
      <c r="O2809" s="8">
        <v>45212</v>
      </c>
      <c r="P2809" s="8">
        <v>45213</v>
      </c>
      <c r="Q2809" s="8">
        <v>45215</v>
      </c>
      <c r="R2809" s="8">
        <v>45219</v>
      </c>
      <c r="S2809" s="8">
        <v>45226</v>
      </c>
      <c r="T2809" s="8">
        <v>45817</v>
      </c>
      <c r="U2809" s="8"/>
      <c r="V2809" s="10">
        <f>COUNTA(O2809:U2809)</f>
        <v>6</v>
      </c>
      <c r="W2809" s="11">
        <f>_xlfn.IFNA(INDEX(reading[[#This Row],[Memo 01]:[Memo 07]],MATCH(0,reading[[#This Row],[Memo 01]:[Memo 07]],-1)),"")</f>
        <v>45817</v>
      </c>
      <c r="X2809" s="11">
        <f ca="1">IFERROR(reading[[#This Row],[Previous]]+OFFSET(reading[[#Headers],[Memo 01]],-1,MATCH(0,reading[[#This Row],[Memo 01]:[Memo 07]],-1)-1),"")</f>
        <v>45837</v>
      </c>
      <c r="Y2809" s="10" t="str">
        <f ca="1">IF(reading[[#This Row],[Next]]&lt;&gt;"",IF(reading[[#This Row],[Next]]&gt;TODAY(),"OK",""),"")</f>
        <v>OK</v>
      </c>
      <c r="Z2809" s="13">
        <v>3</v>
      </c>
      <c r="AA2809" s="13">
        <v>3</v>
      </c>
      <c r="AB2809" s="13">
        <v>3</v>
      </c>
      <c r="AC2809" s="13">
        <v>3</v>
      </c>
      <c r="AD2809" s="13">
        <v>3</v>
      </c>
      <c r="AE2809" s="13">
        <v>1</v>
      </c>
      <c r="AF2809" s="13"/>
      <c r="AG2809" s="16">
        <f>IFERROR(SUMIF(reading[[#This Row],[1st]:[7th]],"&gt;0")/COUNTIF(reading[[#This Row],[1st]:[7th]],"&gt;0"),"")</f>
        <v>2.6666666666666665</v>
      </c>
    </row>
    <row r="2810" spans="1:33" x14ac:dyDescent="0.2">
      <c r="A2810" s="4">
        <f>IF(B2810=1,3,IF(D2810=1,2,IF(F2810=1,1,0)))</f>
        <v>0</v>
      </c>
      <c r="B2810" s="4" t="str">
        <f>IF(C2810=$L2810,1,IF(C2810="","",0))</f>
        <v/>
      </c>
      <c r="C2810" s="38"/>
      <c r="D2810" s="4" t="str">
        <f>IF(E2810=$L2810,1,IF(E2810="","",0))</f>
        <v/>
      </c>
      <c r="E2810" s="14"/>
      <c r="F2810" s="4" t="str">
        <f>IF(G2810=$L2810,1,IF(G2810="","",0))</f>
        <v/>
      </c>
      <c r="G2810" s="14"/>
      <c r="H2810" s="6">
        <v>835</v>
      </c>
      <c r="I2810" s="15" t="s">
        <v>3120</v>
      </c>
      <c r="J2810" s="6" t="s">
        <v>3968</v>
      </c>
      <c r="K2810" s="6"/>
      <c r="L2810" s="6" t="s">
        <v>951</v>
      </c>
      <c r="M2810" s="6" t="s">
        <v>6944</v>
      </c>
      <c r="N2810" s="7">
        <f ca="1">RAND()</f>
        <v>0.62086228899538554</v>
      </c>
      <c r="O2810" s="8">
        <v>45203</v>
      </c>
      <c r="P2810" s="8">
        <v>45204</v>
      </c>
      <c r="Q2810" s="8">
        <v>45206</v>
      </c>
      <c r="R2810" s="8">
        <v>45210</v>
      </c>
      <c r="S2810" s="8">
        <v>45217</v>
      </c>
      <c r="T2810" s="8">
        <v>45229</v>
      </c>
      <c r="U2810" s="8"/>
      <c r="V2810" s="10">
        <f>COUNTA(O2810:U2810)</f>
        <v>6</v>
      </c>
      <c r="W2810" s="11">
        <f>_xlfn.IFNA(INDEX(reading[[#This Row],[Memo 01]:[Memo 07]],MATCH(0,reading[[#This Row],[Memo 01]:[Memo 07]],-1)),"")</f>
        <v>45229</v>
      </c>
      <c r="X2810" s="11">
        <f ca="1">IFERROR(reading[[#This Row],[Previous]]+OFFSET(reading[[#Headers],[Memo 01]],-1,MATCH(0,reading[[#This Row],[Memo 01]:[Memo 07]],-1)-1),"")</f>
        <v>45249</v>
      </c>
      <c r="Y2810" s="10" t="str">
        <f ca="1">IF(reading[[#This Row],[Next]]&lt;&gt;"",IF(reading[[#This Row],[Next]]&gt;TODAY(),"OK",""),"")</f>
        <v/>
      </c>
      <c r="Z2810" s="13">
        <v>3</v>
      </c>
      <c r="AA2810" s="13">
        <v>3</v>
      </c>
      <c r="AB2810" s="13">
        <v>3</v>
      </c>
      <c r="AC2810" s="13">
        <v>3</v>
      </c>
      <c r="AD2810" s="13">
        <v>3</v>
      </c>
      <c r="AE2810" s="13">
        <v>3</v>
      </c>
      <c r="AF2810" s="13"/>
      <c r="AG2810" s="16">
        <f>IFERROR(SUMIF(reading[[#This Row],[1st]:[7th]],"&gt;0")/COUNTIF(reading[[#This Row],[1st]:[7th]],"&gt;0"),"")</f>
        <v>3</v>
      </c>
    </row>
    <row r="2811" spans="1:33" hidden="1" x14ac:dyDescent="0.2">
      <c r="A2811" s="4">
        <f>IF(B2811=1,3,IF(D2811=1,2,IF(F2811=1,1,0)))</f>
        <v>0</v>
      </c>
      <c r="B2811" s="4" t="str">
        <f>IF(C2811=$L2811,1,IF(C2811="","",0))</f>
        <v/>
      </c>
      <c r="C2811" s="42"/>
      <c r="D2811" s="4" t="str">
        <f>IF(E2811=$L2811,1,IF(E2811="","",0))</f>
        <v/>
      </c>
      <c r="E2811" s="23"/>
      <c r="F2811" s="4" t="str">
        <f>IF(G2811=$L2811,1,IF(G2811="","",0))</f>
        <v/>
      </c>
      <c r="G2811" s="23"/>
      <c r="H2811" s="6">
        <v>2001</v>
      </c>
      <c r="I2811" s="15" t="s">
        <v>3120</v>
      </c>
      <c r="J2811" s="6" t="s">
        <v>5099</v>
      </c>
      <c r="K2811" s="6"/>
      <c r="L2811" s="6" t="s">
        <v>2076</v>
      </c>
      <c r="M2811" s="6" t="s">
        <v>8107</v>
      </c>
      <c r="N2811" s="7">
        <f ca="1">RAND()</f>
        <v>0.34701628601723644</v>
      </c>
      <c r="O2811" s="8">
        <v>45214</v>
      </c>
      <c r="P2811" s="8">
        <v>45215</v>
      </c>
      <c r="Q2811" s="8">
        <v>45217</v>
      </c>
      <c r="R2811" s="8">
        <v>45221</v>
      </c>
      <c r="S2811" s="8">
        <v>45228</v>
      </c>
      <c r="T2811" s="8">
        <v>45817</v>
      </c>
      <c r="U2811" s="8"/>
      <c r="V2811" s="10">
        <f>COUNTA(O2811:U2811)</f>
        <v>6</v>
      </c>
      <c r="W2811" s="11">
        <f>_xlfn.IFNA(INDEX(reading[[#This Row],[Memo 01]:[Memo 07]],MATCH(0,reading[[#This Row],[Memo 01]:[Memo 07]],-1)),"")</f>
        <v>45817</v>
      </c>
      <c r="X2811" s="11">
        <f ca="1">IFERROR(reading[[#This Row],[Previous]]+OFFSET(reading[[#Headers],[Memo 01]],-1,MATCH(0,reading[[#This Row],[Memo 01]:[Memo 07]],-1)-1),"")</f>
        <v>45837</v>
      </c>
      <c r="Y2811" s="10" t="str">
        <f ca="1">IF(reading[[#This Row],[Next]]&lt;&gt;"",IF(reading[[#This Row],[Next]]&gt;TODAY(),"OK",""),"")</f>
        <v>OK</v>
      </c>
      <c r="Z2811" s="13">
        <v>3</v>
      </c>
      <c r="AA2811" s="13">
        <v>3</v>
      </c>
      <c r="AB2811" s="13">
        <v>3</v>
      </c>
      <c r="AC2811" s="13">
        <v>3</v>
      </c>
      <c r="AD2811" s="13">
        <v>3</v>
      </c>
      <c r="AE2811" s="13">
        <v>1</v>
      </c>
      <c r="AF2811" s="13"/>
      <c r="AG2811" s="16">
        <f>IFERROR(SUMIF(reading[[#This Row],[1st]:[7th]],"&gt;0")/COUNTIF(reading[[#This Row],[1st]:[7th]],"&gt;0"),"")</f>
        <v>2.6666666666666665</v>
      </c>
    </row>
    <row r="2812" spans="1:33" x14ac:dyDescent="0.2">
      <c r="A2812" s="4">
        <f>IF(B2812=1,3,IF(D2812=1,2,IF(F2812=1,1,0)))</f>
        <v>0</v>
      </c>
      <c r="B2812" s="4" t="str">
        <f>IF(C2812=$L2812,1,IF(C2812="","",0))</f>
        <v/>
      </c>
      <c r="C2812" s="39"/>
      <c r="D2812" s="4" t="str">
        <f>IF(E2812=$L2812,1,IF(E2812="","",0))</f>
        <v/>
      </c>
      <c r="E2812" s="14"/>
      <c r="F2812" s="4" t="str">
        <f>IF(G2812=$L2812,1,IF(G2812="","",0))</f>
        <v/>
      </c>
      <c r="G2812" s="14"/>
      <c r="H2812" s="6">
        <v>1661</v>
      </c>
      <c r="I2812" s="15" t="s">
        <v>3120</v>
      </c>
      <c r="J2812" s="6" t="s">
        <v>4772</v>
      </c>
      <c r="K2812" s="15" t="s">
        <v>3138</v>
      </c>
      <c r="L2812" s="6" t="s">
        <v>1742</v>
      </c>
      <c r="M2812" s="6" t="s">
        <v>7767</v>
      </c>
      <c r="N2812" s="7">
        <f ca="1">RAND()</f>
        <v>0.53867723326737427</v>
      </c>
      <c r="O2812" s="8">
        <v>45210</v>
      </c>
      <c r="P2812" s="8">
        <v>45211</v>
      </c>
      <c r="Q2812" s="8">
        <v>45213</v>
      </c>
      <c r="R2812" s="8">
        <v>45217</v>
      </c>
      <c r="S2812" s="8">
        <v>45224</v>
      </c>
      <c r="T2812" s="8">
        <v>45236</v>
      </c>
      <c r="U2812" s="8"/>
      <c r="V2812" s="10">
        <f>COUNTA(O2812:U2812)</f>
        <v>6</v>
      </c>
      <c r="W2812" s="11">
        <f>_xlfn.IFNA(INDEX(reading[[#This Row],[Memo 01]:[Memo 07]],MATCH(0,reading[[#This Row],[Memo 01]:[Memo 07]],-1)),"")</f>
        <v>45236</v>
      </c>
      <c r="X2812" s="11">
        <f ca="1">IFERROR(reading[[#This Row],[Previous]]+OFFSET(reading[[#Headers],[Memo 01]],-1,MATCH(0,reading[[#This Row],[Memo 01]:[Memo 07]],-1)-1),"")</f>
        <v>45256</v>
      </c>
      <c r="Y2812" s="10" t="str">
        <f ca="1">IF(reading[[#This Row],[Next]]&lt;&gt;"",IF(reading[[#This Row],[Next]]&gt;TODAY(),"OK",""),"")</f>
        <v/>
      </c>
      <c r="Z2812" s="13">
        <v>3</v>
      </c>
      <c r="AA2812" s="13">
        <v>3</v>
      </c>
      <c r="AB2812" s="13">
        <v>3</v>
      </c>
      <c r="AC2812" s="13">
        <v>3</v>
      </c>
      <c r="AD2812" s="13">
        <v>3</v>
      </c>
      <c r="AE2812" s="13">
        <v>3</v>
      </c>
      <c r="AF2812" s="13"/>
      <c r="AG2812" s="16">
        <f>IFERROR(SUMIF(reading[[#This Row],[1st]:[7th]],"&gt;0")/COUNTIF(reading[[#This Row],[1st]:[7th]],"&gt;0"),"")</f>
        <v>3</v>
      </c>
    </row>
    <row r="2813" spans="1:33" hidden="1" x14ac:dyDescent="0.2">
      <c r="A2813" s="4">
        <f>IF(B2813=1,3,IF(D2813=1,2,IF(F2813=1,1,0)))</f>
        <v>0</v>
      </c>
      <c r="B2813" s="4" t="str">
        <f>IF(C2813=$L2813,1,IF(C2813="","",0))</f>
        <v/>
      </c>
      <c r="C2813" s="42"/>
      <c r="D2813" s="4" t="str">
        <f>IF(E2813=$L2813,1,IF(E2813="","",0))</f>
        <v/>
      </c>
      <c r="E2813" s="23"/>
      <c r="F2813" s="4" t="str">
        <f>IF(G2813=$L2813,1,IF(G2813="","",0))</f>
        <v/>
      </c>
      <c r="G2813" s="23"/>
      <c r="H2813" s="6">
        <v>2752</v>
      </c>
      <c r="I2813" s="15" t="s">
        <v>3120</v>
      </c>
      <c r="J2813" s="6" t="s">
        <v>5798</v>
      </c>
      <c r="K2813" s="6"/>
      <c r="L2813" s="6" t="s">
        <v>2790</v>
      </c>
      <c r="M2813" s="6" t="s">
        <v>8856</v>
      </c>
      <c r="N2813" s="7">
        <f ca="1">RAND()</f>
        <v>0.99876151463022589</v>
      </c>
      <c r="O2813" s="8">
        <v>45221</v>
      </c>
      <c r="P2813" s="8">
        <v>45222</v>
      </c>
      <c r="Q2813" s="8">
        <v>45224</v>
      </c>
      <c r="R2813" s="8">
        <v>45228</v>
      </c>
      <c r="S2813" s="8">
        <v>45235</v>
      </c>
      <c r="T2813" s="8">
        <v>45816</v>
      </c>
      <c r="U2813" s="8"/>
      <c r="V2813" s="10">
        <f>COUNTA(O2813:U2813)</f>
        <v>6</v>
      </c>
      <c r="W2813" s="11">
        <f>_xlfn.IFNA(INDEX(reading[[#This Row],[Memo 01]:[Memo 07]],MATCH(0,reading[[#This Row],[Memo 01]:[Memo 07]],-1)),"")</f>
        <v>45816</v>
      </c>
      <c r="X2813" s="11">
        <f ca="1">IFERROR(reading[[#This Row],[Previous]]+OFFSET(reading[[#Headers],[Memo 01]],-1,MATCH(0,reading[[#This Row],[Memo 01]:[Memo 07]],-1)-1),"")</f>
        <v>45836</v>
      </c>
      <c r="Y2813" s="10" t="str">
        <f ca="1">IF(reading[[#This Row],[Next]]&lt;&gt;"",IF(reading[[#This Row],[Next]]&gt;TODAY(),"OK",""),"")</f>
        <v>OK</v>
      </c>
      <c r="Z2813" s="13">
        <v>3</v>
      </c>
      <c r="AA2813" s="13">
        <v>3</v>
      </c>
      <c r="AB2813" s="13">
        <v>3</v>
      </c>
      <c r="AC2813" s="13">
        <v>3</v>
      </c>
      <c r="AD2813" s="13">
        <v>3</v>
      </c>
      <c r="AE2813" s="13">
        <v>1</v>
      </c>
      <c r="AF2813" s="13"/>
      <c r="AG2813" s="16">
        <f>IFERROR(SUMIF(reading[[#This Row],[1st]:[7th]],"&gt;0")/COUNTIF(reading[[#This Row],[1st]:[7th]],"&gt;0"),"")</f>
        <v>2.6666666666666665</v>
      </c>
    </row>
    <row r="2814" spans="1:33" x14ac:dyDescent="0.2">
      <c r="A2814" s="4">
        <f>IF(B2814=1,3,IF(D2814=1,2,IF(F2814=1,1,0)))</f>
        <v>0</v>
      </c>
      <c r="B2814" s="4" t="str">
        <f>IF(C2814=$L2814,1,IF(C2814="","",0))</f>
        <v/>
      </c>
      <c r="C2814" s="38"/>
      <c r="D2814" s="4" t="str">
        <f>IF(E2814=$L2814,1,IF(E2814="","",0))</f>
        <v/>
      </c>
      <c r="E2814" s="14"/>
      <c r="F2814" s="4" t="str">
        <f>IF(G2814=$L2814,1,IF(G2814="","",0))</f>
        <v/>
      </c>
      <c r="G2814" s="14"/>
      <c r="H2814" s="6">
        <v>2059</v>
      </c>
      <c r="I2814" s="15" t="s">
        <v>3120</v>
      </c>
      <c r="J2814" s="6" t="s">
        <v>5154</v>
      </c>
      <c r="K2814" s="6"/>
      <c r="L2814" s="6" t="s">
        <v>3152</v>
      </c>
      <c r="M2814" s="6" t="s">
        <v>8165</v>
      </c>
      <c r="N2814" s="7">
        <f ca="1">RAND()</f>
        <v>0.79364985046134018</v>
      </c>
      <c r="O2814" s="8">
        <v>45214</v>
      </c>
      <c r="P2814" s="8">
        <v>45215</v>
      </c>
      <c r="Q2814" s="8">
        <v>45217</v>
      </c>
      <c r="R2814" s="8">
        <v>45221</v>
      </c>
      <c r="S2814" s="8">
        <v>45228</v>
      </c>
      <c r="T2814" s="8"/>
      <c r="U2814" s="8"/>
      <c r="V2814" s="10">
        <f>COUNTA(O2814:U2814)</f>
        <v>5</v>
      </c>
      <c r="W2814" s="11">
        <f>_xlfn.IFNA(INDEX(reading[[#This Row],[Memo 01]:[Memo 07]],MATCH(0,reading[[#This Row],[Memo 01]:[Memo 07]],-1)),"")</f>
        <v>45228</v>
      </c>
      <c r="X2814" s="11">
        <f ca="1">IFERROR(reading[[#This Row],[Previous]]+OFFSET(reading[[#Headers],[Memo 01]],-1,MATCH(0,reading[[#This Row],[Memo 01]:[Memo 07]],-1)-1),"")</f>
        <v>45240</v>
      </c>
      <c r="Y2814" s="10" t="str">
        <f ca="1">IF(reading[[#This Row],[Next]]&lt;&gt;"",IF(reading[[#This Row],[Next]]&gt;TODAY(),"OK",""),"")</f>
        <v/>
      </c>
      <c r="Z2814" s="13">
        <v>3</v>
      </c>
      <c r="AA2814" s="13">
        <v>3</v>
      </c>
      <c r="AB2814" s="13">
        <v>3</v>
      </c>
      <c r="AC2814" s="13">
        <v>3</v>
      </c>
      <c r="AD2814" s="13">
        <v>3</v>
      </c>
      <c r="AE2814" s="13"/>
      <c r="AF2814" s="13"/>
      <c r="AG2814" s="16">
        <f>IFERROR(SUMIF(reading[[#This Row],[1st]:[7th]],"&gt;0")/COUNTIF(reading[[#This Row],[1st]:[7th]],"&gt;0"),"")</f>
        <v>3</v>
      </c>
    </row>
    <row r="2815" spans="1:33" x14ac:dyDescent="0.2">
      <c r="A2815" s="4">
        <f>IF(B2815=1,3,IF(D2815=1,2,IF(F2815=1,1,0)))</f>
        <v>0</v>
      </c>
      <c r="B2815" s="4" t="str">
        <f>IF(C2815=$L2815,1,IF(C2815="","",0))</f>
        <v/>
      </c>
      <c r="C2815" s="18"/>
      <c r="D2815" s="4" t="str">
        <f>IF(E2815=$L2815,1,IF(E2815="","",0))</f>
        <v/>
      </c>
      <c r="E2815" s="14"/>
      <c r="F2815" s="4" t="str">
        <f>IF(G2815=$L2815,1,IF(G2815="","",0))</f>
        <v/>
      </c>
      <c r="G2815" s="14"/>
      <c r="H2815" s="6">
        <v>4</v>
      </c>
      <c r="I2815" s="15" t="s">
        <v>3120</v>
      </c>
      <c r="J2815" s="6" t="s">
        <v>3159</v>
      </c>
      <c r="K2815" s="6"/>
      <c r="L2815" s="6" t="s">
        <v>149</v>
      </c>
      <c r="M2815" s="6" t="s">
        <v>6118</v>
      </c>
      <c r="N2815" s="7">
        <f ca="1">RAND()</f>
        <v>0.51808734773598142</v>
      </c>
      <c r="O2815" s="8">
        <v>45198</v>
      </c>
      <c r="P2815" s="8">
        <v>45199</v>
      </c>
      <c r="Q2815" s="8">
        <v>45201</v>
      </c>
      <c r="R2815" s="8">
        <v>45205</v>
      </c>
      <c r="S2815" s="8">
        <v>45212</v>
      </c>
      <c r="T2815" s="8">
        <v>45224</v>
      </c>
      <c r="U2815" s="8"/>
      <c r="V2815" s="10">
        <f>COUNTA(O2815:U2815)</f>
        <v>6</v>
      </c>
      <c r="W2815" s="11">
        <f>_xlfn.IFNA(INDEX(reading[[#This Row],[Memo 01]:[Memo 07]],MATCH(0,reading[[#This Row],[Memo 01]:[Memo 07]],-1)),"")</f>
        <v>45224</v>
      </c>
      <c r="X2815" s="11">
        <f ca="1">IFERROR(reading[[#This Row],[Previous]]+OFFSET(reading[[#Headers],[Memo 01]],-1,MATCH(0,reading[[#This Row],[Memo 01]:[Memo 07]],-1)-1),"")</f>
        <v>45244</v>
      </c>
      <c r="Y2815" s="10" t="str">
        <f ca="1">IF(reading[[#This Row],[Next]]&lt;&gt;"",IF(reading[[#This Row],[Next]]&gt;TODAY(),"OK",""),"")</f>
        <v/>
      </c>
      <c r="Z2815" s="13">
        <v>3</v>
      </c>
      <c r="AA2815" s="13">
        <v>3</v>
      </c>
      <c r="AB2815" s="13">
        <v>3</v>
      </c>
      <c r="AC2815" s="13">
        <v>3</v>
      </c>
      <c r="AD2815" s="13">
        <v>3</v>
      </c>
      <c r="AE2815" s="13">
        <v>3</v>
      </c>
      <c r="AF2815" s="13"/>
      <c r="AG2815" s="16">
        <f>IFERROR(SUMIF(reading[[#This Row],[1st]:[7th]],"&gt;0")/COUNTIF(reading[[#This Row],[1st]:[7th]],"&gt;0"),"")</f>
        <v>3</v>
      </c>
    </row>
    <row r="2816" spans="1:33" x14ac:dyDescent="0.2">
      <c r="A2816" s="4">
        <f>IF(B2816=1,3,IF(D2816=1,2,IF(F2816=1,1,0)))</f>
        <v>0</v>
      </c>
      <c r="B2816" s="4" t="str">
        <f>IF(C2816=$L2816,1,IF(C2816="","",0))</f>
        <v/>
      </c>
      <c r="C2816" s="36"/>
      <c r="D2816" s="4" t="str">
        <f>IF(E2816=$L2816,1,IF(E2816="","",0))</f>
        <v/>
      </c>
      <c r="E2816" s="14"/>
      <c r="F2816" s="4" t="str">
        <f>IF(G2816=$L2816,1,IF(G2816="","",0))</f>
        <v/>
      </c>
      <c r="G2816" s="14"/>
      <c r="H2816" s="6">
        <v>1911</v>
      </c>
      <c r="I2816" s="15" t="s">
        <v>3120</v>
      </c>
      <c r="J2816" s="6" t="s">
        <v>5012</v>
      </c>
      <c r="K2816" s="6"/>
      <c r="L2816" s="6" t="s">
        <v>1987</v>
      </c>
      <c r="M2816" s="6" t="s">
        <v>8017</v>
      </c>
      <c r="N2816" s="7">
        <f ca="1">RAND()</f>
        <v>0.85622192121548502</v>
      </c>
      <c r="O2816" s="8">
        <v>45213</v>
      </c>
      <c r="P2816" s="8">
        <v>45214</v>
      </c>
      <c r="Q2816" s="8">
        <v>45216</v>
      </c>
      <c r="R2816" s="8">
        <v>45220</v>
      </c>
      <c r="S2816" s="8">
        <v>45227</v>
      </c>
      <c r="T2816" s="8"/>
      <c r="U2816" s="8"/>
      <c r="V2816" s="10">
        <f>COUNTA(O2816:U2816)</f>
        <v>5</v>
      </c>
      <c r="W2816" s="11">
        <f>_xlfn.IFNA(INDEX(reading[[#This Row],[Memo 01]:[Memo 07]],MATCH(0,reading[[#This Row],[Memo 01]:[Memo 07]],-1)),"")</f>
        <v>45227</v>
      </c>
      <c r="X2816" s="11">
        <f ca="1">IFERROR(reading[[#This Row],[Previous]]+OFFSET(reading[[#Headers],[Memo 01]],-1,MATCH(0,reading[[#This Row],[Memo 01]:[Memo 07]],-1)-1),"")</f>
        <v>45239</v>
      </c>
      <c r="Y2816" s="10" t="str">
        <f ca="1">IF(reading[[#This Row],[Next]]&lt;&gt;"",IF(reading[[#This Row],[Next]]&gt;TODAY(),"OK",""),"")</f>
        <v/>
      </c>
      <c r="Z2816" s="13">
        <v>3</v>
      </c>
      <c r="AA2816" s="13">
        <v>3</v>
      </c>
      <c r="AB2816" s="13">
        <v>3</v>
      </c>
      <c r="AC2816" s="13">
        <v>3</v>
      </c>
      <c r="AD2816" s="13">
        <v>3</v>
      </c>
      <c r="AE2816" s="13"/>
      <c r="AF2816" s="13"/>
      <c r="AG2816" s="16">
        <f>IFERROR(SUMIF(reading[[#This Row],[1st]:[7th]],"&gt;0")/COUNTIF(reading[[#This Row],[1st]:[7th]],"&gt;0"),"")</f>
        <v>3</v>
      </c>
    </row>
    <row r="2817" spans="1:33" hidden="1" x14ac:dyDescent="0.2">
      <c r="A2817" s="4">
        <f>IF(B2817=1,3,IF(D2817=1,2,IF(F2817=1,1,0)))</f>
        <v>0</v>
      </c>
      <c r="B2817" s="4" t="str">
        <f>IF(C2817=$L2817,1,IF(C2817="","",0))</f>
        <v/>
      </c>
      <c r="C2817" s="42"/>
      <c r="D2817" s="4" t="str">
        <f>IF(E2817=$L2817,1,IF(E2817="","",0))</f>
        <v/>
      </c>
      <c r="E2817" s="43"/>
      <c r="F2817" s="4" t="str">
        <f>IF(G2817=$L2817,1,IF(G2817="","",0))</f>
        <v/>
      </c>
      <c r="G2817" s="14"/>
      <c r="H2817" s="6">
        <v>2950</v>
      </c>
      <c r="I2817" s="15" t="s">
        <v>3120</v>
      </c>
      <c r="J2817" s="6" t="s">
        <v>5982</v>
      </c>
      <c r="K2817" s="6"/>
      <c r="L2817" s="6" t="s">
        <v>2980</v>
      </c>
      <c r="M2817" s="6" t="s">
        <v>9054</v>
      </c>
      <c r="N2817" s="7">
        <f ca="1">RAND()</f>
        <v>0.15180683694705777</v>
      </c>
      <c r="O2817" s="8">
        <v>45223</v>
      </c>
      <c r="P2817" s="8">
        <v>45224</v>
      </c>
      <c r="Q2817" s="8">
        <v>45226</v>
      </c>
      <c r="R2817" s="8">
        <v>45230</v>
      </c>
      <c r="S2817" s="8">
        <v>45237</v>
      </c>
      <c r="T2817" s="8">
        <v>45816</v>
      </c>
      <c r="U2817" s="8"/>
      <c r="V2817" s="10">
        <f>COUNTA(O2817:U2817)</f>
        <v>6</v>
      </c>
      <c r="W2817" s="11">
        <f>_xlfn.IFNA(INDEX(reading[[#This Row],[Memo 01]:[Memo 07]],MATCH(0,reading[[#This Row],[Memo 01]:[Memo 07]],-1)),"")</f>
        <v>45816</v>
      </c>
      <c r="X2817" s="11">
        <f ca="1">IFERROR(reading[[#This Row],[Previous]]+OFFSET(reading[[#Headers],[Memo 01]],-1,MATCH(0,reading[[#This Row],[Memo 01]:[Memo 07]],-1)-1),"")</f>
        <v>45836</v>
      </c>
      <c r="Y2817" s="10" t="str">
        <f ca="1">IF(reading[[#This Row],[Next]]&lt;&gt;"",IF(reading[[#This Row],[Next]]&gt;TODAY(),"OK",""),"")</f>
        <v>OK</v>
      </c>
      <c r="Z2817" s="13">
        <v>3</v>
      </c>
      <c r="AA2817" s="13">
        <v>2</v>
      </c>
      <c r="AB2817" s="13">
        <v>3</v>
      </c>
      <c r="AC2817" s="13">
        <v>3</v>
      </c>
      <c r="AD2817" s="13">
        <v>3</v>
      </c>
      <c r="AE2817" s="13">
        <v>2</v>
      </c>
      <c r="AF2817" s="13"/>
      <c r="AG2817" s="16">
        <f>IFERROR(SUMIF(reading[[#This Row],[1st]:[7th]],"&gt;0")/COUNTIF(reading[[#This Row],[1st]:[7th]],"&gt;0"),"")</f>
        <v>2.6666666666666665</v>
      </c>
    </row>
    <row r="2818" spans="1:33" hidden="1" x14ac:dyDescent="0.2">
      <c r="A2818" s="4">
        <f>IF(B2818=1,3,IF(D2818=1,2,IF(F2818=1,1,0)))</f>
        <v>0</v>
      </c>
      <c r="B2818" s="4">
        <f>IF(C2818=$L2818,1,IF(C2818="","",0))</f>
        <v>0</v>
      </c>
      <c r="C2818" s="42" t="s">
        <v>9200</v>
      </c>
      <c r="D2818" s="4" t="str">
        <f>IF(E2818=$L2818,1,IF(E2818="","",0))</f>
        <v/>
      </c>
      <c r="E2818" s="14"/>
      <c r="F2818" s="4" t="str">
        <f>IF(G2818=$L2818,1,IF(G2818="","",0))</f>
        <v/>
      </c>
      <c r="G2818" s="14"/>
      <c r="H2818" s="6">
        <v>1769</v>
      </c>
      <c r="I2818" s="15" t="s">
        <v>3120</v>
      </c>
      <c r="J2818" s="6" t="s">
        <v>4876</v>
      </c>
      <c r="K2818" s="24" t="s">
        <v>9259</v>
      </c>
      <c r="L2818" s="6" t="s">
        <v>1849</v>
      </c>
      <c r="M2818" s="6" t="s">
        <v>7875</v>
      </c>
      <c r="N2818" s="7">
        <f ca="1">RAND()</f>
        <v>0.26544205181225022</v>
      </c>
      <c r="O2818" s="8">
        <v>45211</v>
      </c>
      <c r="P2818" s="8">
        <v>45212</v>
      </c>
      <c r="Q2818" s="8">
        <v>45214</v>
      </c>
      <c r="R2818" s="8">
        <v>45218</v>
      </c>
      <c r="S2818" s="8">
        <v>45225</v>
      </c>
      <c r="T2818" s="8">
        <v>45237</v>
      </c>
      <c r="U2818" s="8"/>
      <c r="V2818" s="10">
        <f>COUNTA(O2818:U2818)</f>
        <v>6</v>
      </c>
      <c r="W2818" s="11">
        <f>_xlfn.IFNA(INDEX(reading[[#This Row],[Memo 01]:[Memo 07]],MATCH(0,reading[[#This Row],[Memo 01]:[Memo 07]],-1)),"")</f>
        <v>45237</v>
      </c>
      <c r="X2818" s="11">
        <f ca="1">IFERROR(reading[[#This Row],[Previous]]+OFFSET(reading[[#Headers],[Memo 01]],-1,MATCH(0,reading[[#This Row],[Memo 01]:[Memo 07]],-1)-1),"")</f>
        <v>45257</v>
      </c>
      <c r="Y2818" s="10" t="str">
        <f ca="1">IF(reading[[#This Row],[Next]]&lt;&gt;"",IF(reading[[#This Row],[Next]]&gt;TODAY(),"OK",""),"")</f>
        <v/>
      </c>
      <c r="Z2818" s="13">
        <v>3</v>
      </c>
      <c r="AA2818" s="13">
        <v>3</v>
      </c>
      <c r="AB2818" s="13">
        <v>3</v>
      </c>
      <c r="AC2818" s="13">
        <v>3</v>
      </c>
      <c r="AD2818" s="13">
        <v>3</v>
      </c>
      <c r="AE2818" s="13">
        <v>3</v>
      </c>
      <c r="AF2818" s="13"/>
      <c r="AG2818" s="16">
        <f>IFERROR(SUMIF(reading[[#This Row],[1st]:[7th]],"&gt;0")/COUNTIF(reading[[#This Row],[1st]:[7th]],"&gt;0"),"")</f>
        <v>3</v>
      </c>
    </row>
    <row r="2819" spans="1:33" x14ac:dyDescent="0.2">
      <c r="A2819" s="4">
        <f>IF(B2819=1,3,IF(D2819=1,2,IF(F2819=1,1,0)))</f>
        <v>0</v>
      </c>
      <c r="B2819" s="4" t="str">
        <f>IF(C2819=$L2819,1,IF(C2819="","",0))</f>
        <v/>
      </c>
      <c r="C2819" s="18"/>
      <c r="D2819" s="4" t="str">
        <f>IF(E2819=$L2819,1,IF(E2819="","",0))</f>
        <v/>
      </c>
      <c r="E2819" s="14"/>
      <c r="F2819" s="4" t="str">
        <f>IF(G2819=$L2819,1,IF(G2819="","",0))</f>
        <v/>
      </c>
      <c r="G2819" s="14"/>
      <c r="H2819" s="6">
        <v>203</v>
      </c>
      <c r="I2819" s="15" t="s">
        <v>3120</v>
      </c>
      <c r="J2819" s="6" t="s">
        <v>3352</v>
      </c>
      <c r="K2819" s="6"/>
      <c r="L2819" s="6" t="s">
        <v>339</v>
      </c>
      <c r="M2819" s="6" t="s">
        <v>6312</v>
      </c>
      <c r="N2819" s="7">
        <f ca="1">RAND()</f>
        <v>0.72737748843596972</v>
      </c>
      <c r="O2819" s="8">
        <v>45199</v>
      </c>
      <c r="P2819" s="8">
        <v>45200</v>
      </c>
      <c r="Q2819" s="8">
        <v>45202</v>
      </c>
      <c r="R2819" s="8">
        <v>45206</v>
      </c>
      <c r="S2819" s="8">
        <v>45213</v>
      </c>
      <c r="T2819" s="8">
        <v>45225</v>
      </c>
      <c r="U2819" s="8"/>
      <c r="V2819" s="10">
        <f>COUNTA(O2819:U2819)</f>
        <v>6</v>
      </c>
      <c r="W2819" s="11">
        <f>_xlfn.IFNA(INDEX(reading[[#This Row],[Memo 01]:[Memo 07]],MATCH(0,reading[[#This Row],[Memo 01]:[Memo 07]],-1)),"")</f>
        <v>45225</v>
      </c>
      <c r="X2819" s="11">
        <f ca="1">IFERROR(reading[[#This Row],[Previous]]+OFFSET(reading[[#Headers],[Memo 01]],-1,MATCH(0,reading[[#This Row],[Memo 01]:[Memo 07]],-1)-1),"")</f>
        <v>45245</v>
      </c>
      <c r="Y2819" s="10" t="str">
        <f ca="1">IF(reading[[#This Row],[Next]]&lt;&gt;"",IF(reading[[#This Row],[Next]]&gt;TODAY(),"OK",""),"")</f>
        <v/>
      </c>
      <c r="Z2819" s="13">
        <v>3</v>
      </c>
      <c r="AA2819" s="13">
        <v>3</v>
      </c>
      <c r="AB2819" s="13">
        <v>3</v>
      </c>
      <c r="AC2819" s="13">
        <v>3</v>
      </c>
      <c r="AD2819" s="13">
        <v>3</v>
      </c>
      <c r="AE2819" s="13">
        <v>3</v>
      </c>
      <c r="AF2819" s="13"/>
      <c r="AG2819" s="16">
        <f>IFERROR(SUMIF(reading[[#This Row],[1st]:[7th]],"&gt;0")/COUNTIF(reading[[#This Row],[1st]:[7th]],"&gt;0"),"")</f>
        <v>3</v>
      </c>
    </row>
    <row r="2820" spans="1:33" x14ac:dyDescent="0.2">
      <c r="A2820" s="4">
        <f>IF(B2820=1,3,IF(D2820=1,2,IF(F2820=1,1,0)))</f>
        <v>0</v>
      </c>
      <c r="B2820" s="4" t="str">
        <f>IF(C2820=$L2820,1,IF(C2820="","",0))</f>
        <v/>
      </c>
      <c r="C2820" s="39"/>
      <c r="D2820" s="4" t="str">
        <f>IF(E2820=$L2820,1,IF(E2820="","",0))</f>
        <v/>
      </c>
      <c r="E2820" s="14"/>
      <c r="F2820" s="4" t="str">
        <f>IF(G2820=$L2820,1,IF(G2820="","",0))</f>
        <v/>
      </c>
      <c r="G2820" s="14"/>
      <c r="H2820" s="6">
        <v>1386</v>
      </c>
      <c r="I2820" s="15" t="s">
        <v>3120</v>
      </c>
      <c r="J2820" s="6" t="s">
        <v>4500</v>
      </c>
      <c r="K2820" s="6"/>
      <c r="L2820" s="6" t="s">
        <v>1479</v>
      </c>
      <c r="M2820" s="6" t="s">
        <v>7493</v>
      </c>
      <c r="N2820" s="7">
        <f ca="1">RAND()</f>
        <v>0.53686231640950988</v>
      </c>
      <c r="O2820" s="8">
        <v>45207</v>
      </c>
      <c r="P2820" s="8">
        <v>45208</v>
      </c>
      <c r="Q2820" s="8">
        <v>45210</v>
      </c>
      <c r="R2820" s="8">
        <v>45214</v>
      </c>
      <c r="S2820" s="8">
        <v>45221</v>
      </c>
      <c r="T2820" s="8">
        <v>45233</v>
      </c>
      <c r="U2820" s="8"/>
      <c r="V2820" s="10">
        <f>COUNTA(O2820:U2820)</f>
        <v>6</v>
      </c>
      <c r="W2820" s="11">
        <f>_xlfn.IFNA(INDEX(reading[[#This Row],[Memo 01]:[Memo 07]],MATCH(0,reading[[#This Row],[Memo 01]:[Memo 07]],-1)),"")</f>
        <v>45233</v>
      </c>
      <c r="X2820" s="11">
        <f ca="1">IFERROR(reading[[#This Row],[Previous]]+OFFSET(reading[[#Headers],[Memo 01]],-1,MATCH(0,reading[[#This Row],[Memo 01]:[Memo 07]],-1)-1),"")</f>
        <v>45253</v>
      </c>
      <c r="Y2820" s="10" t="str">
        <f ca="1">IF(reading[[#This Row],[Next]]&lt;&gt;"",IF(reading[[#This Row],[Next]]&gt;TODAY(),"OK",""),"")</f>
        <v/>
      </c>
      <c r="Z2820" s="13">
        <v>3</v>
      </c>
      <c r="AA2820" s="13">
        <v>3</v>
      </c>
      <c r="AB2820" s="13">
        <v>3</v>
      </c>
      <c r="AC2820" s="13">
        <v>3</v>
      </c>
      <c r="AD2820" s="13">
        <v>3</v>
      </c>
      <c r="AE2820" s="13">
        <v>3</v>
      </c>
      <c r="AF2820" s="13"/>
      <c r="AG2820" s="16">
        <f>IFERROR(SUMIF(reading[[#This Row],[1st]:[7th]],"&gt;0")/COUNTIF(reading[[#This Row],[1st]:[7th]],"&gt;0"),"")</f>
        <v>3</v>
      </c>
    </row>
    <row r="2821" spans="1:33" hidden="1" x14ac:dyDescent="0.2">
      <c r="A2821" s="4">
        <f>IF(B2821=1,3,IF(D2821=1,2,IF(F2821=1,1,0)))</f>
        <v>0</v>
      </c>
      <c r="B2821" s="4" t="str">
        <f>IF(C2821=$L2821,1,IF(C2821="","",0))</f>
        <v/>
      </c>
      <c r="C2821" s="42"/>
      <c r="D2821" s="4" t="str">
        <f>IF(E2821=$L2821,1,IF(E2821="","",0))</f>
        <v/>
      </c>
      <c r="E2821" s="43"/>
      <c r="F2821" s="4" t="str">
        <f>IF(G2821=$L2821,1,IF(G2821="","",0))</f>
        <v/>
      </c>
      <c r="G2821" s="23"/>
      <c r="H2821" s="6">
        <v>1449</v>
      </c>
      <c r="I2821" s="15" t="s">
        <v>3120</v>
      </c>
      <c r="J2821" s="6" t="s">
        <v>4563</v>
      </c>
      <c r="K2821" s="15" t="s">
        <v>3139</v>
      </c>
      <c r="L2821" s="6" t="s">
        <v>1538</v>
      </c>
      <c r="M2821" s="6" t="s">
        <v>7556</v>
      </c>
      <c r="N2821" s="7">
        <f ca="1">RAND()</f>
        <v>0.66400327690250516</v>
      </c>
      <c r="O2821" s="8">
        <v>45208</v>
      </c>
      <c r="P2821" s="8">
        <v>45209</v>
      </c>
      <c r="Q2821" s="8">
        <v>45211</v>
      </c>
      <c r="R2821" s="8">
        <v>45215</v>
      </c>
      <c r="S2821" s="8">
        <v>45222</v>
      </c>
      <c r="T2821" s="8">
        <v>45235</v>
      </c>
      <c r="U2821" s="8">
        <v>45825</v>
      </c>
      <c r="V2821" s="10">
        <f>COUNTA(O2821:U2821)</f>
        <v>7</v>
      </c>
      <c r="W2821" s="11">
        <f>_xlfn.IFNA(INDEX(reading[[#This Row],[Memo 01]:[Memo 07]],MATCH(0,reading[[#This Row],[Memo 01]:[Memo 07]],-1)),"")</f>
        <v>45825</v>
      </c>
      <c r="X2821" s="11">
        <f ca="1">IFERROR(reading[[#This Row],[Previous]]+OFFSET(reading[[#Headers],[Memo 01]],-1,MATCH(0,reading[[#This Row],[Memo 01]:[Memo 07]],-1)-1),"")</f>
        <v>55825</v>
      </c>
      <c r="Y2821" s="10" t="str">
        <f ca="1">IF(reading[[#This Row],[Next]]&lt;&gt;"",IF(reading[[#This Row],[Next]]&gt;TODAY(),"OK",""),"")</f>
        <v>OK</v>
      </c>
      <c r="Z2821" s="13">
        <v>3</v>
      </c>
      <c r="AA2821" s="13">
        <v>3</v>
      </c>
      <c r="AB2821" s="13">
        <v>3</v>
      </c>
      <c r="AC2821" s="13">
        <v>2</v>
      </c>
      <c r="AD2821" s="13">
        <v>3</v>
      </c>
      <c r="AE2821" s="13">
        <v>2</v>
      </c>
      <c r="AF2821" s="13">
        <v>1</v>
      </c>
      <c r="AG2821" s="16">
        <f>IFERROR(SUMIF(reading[[#This Row],[1st]:[7th]],"&gt;0")/COUNTIF(reading[[#This Row],[1st]:[7th]],"&gt;0"),"")</f>
        <v>2.4285714285714284</v>
      </c>
    </row>
    <row r="2822" spans="1:33" hidden="1" x14ac:dyDescent="0.2">
      <c r="A2822" s="4">
        <f>IF(B2822=1,3,IF(D2822=1,2,IF(F2822=1,1,0)))</f>
        <v>0</v>
      </c>
      <c r="B2822" s="4" t="str">
        <f>IF(C2822=$L2822,1,IF(C2822="","",0))</f>
        <v/>
      </c>
      <c r="C2822" s="42"/>
      <c r="D2822" s="4" t="str">
        <f>IF(E2822=$L2822,1,IF(E2822="","",0))</f>
        <v/>
      </c>
      <c r="E2822" s="23"/>
      <c r="F2822" s="4" t="str">
        <f>IF(G2822=$L2822,1,IF(G2822="","",0))</f>
        <v/>
      </c>
      <c r="G2822" s="14"/>
      <c r="H2822" s="6">
        <v>1134</v>
      </c>
      <c r="I2822" s="15" t="s">
        <v>3120</v>
      </c>
      <c r="J2822" s="6" t="s">
        <v>4255</v>
      </c>
      <c r="K2822" s="6"/>
      <c r="L2822" s="6" t="s">
        <v>1236</v>
      </c>
      <c r="M2822" s="6" t="s">
        <v>7242</v>
      </c>
      <c r="N2822" s="7">
        <f ca="1">RAND()</f>
        <v>0.40258021359583229</v>
      </c>
      <c r="O2822" s="8">
        <v>45205</v>
      </c>
      <c r="P2822" s="8">
        <v>45206</v>
      </c>
      <c r="Q2822" s="8">
        <v>45208</v>
      </c>
      <c r="R2822" s="8">
        <v>45212</v>
      </c>
      <c r="S2822" s="8">
        <v>45219</v>
      </c>
      <c r="T2822" s="8">
        <v>45231</v>
      </c>
      <c r="U2822" s="8">
        <v>45825</v>
      </c>
      <c r="V2822" s="10">
        <f>COUNTA(O2822:U2822)</f>
        <v>7</v>
      </c>
      <c r="W2822" s="11">
        <f>_xlfn.IFNA(INDEX(reading[[#This Row],[Memo 01]:[Memo 07]],MATCH(0,reading[[#This Row],[Memo 01]:[Memo 07]],-1)),"")</f>
        <v>45825</v>
      </c>
      <c r="X2822" s="11">
        <f ca="1">IFERROR(reading[[#This Row],[Previous]]+OFFSET(reading[[#Headers],[Memo 01]],-1,MATCH(0,reading[[#This Row],[Memo 01]:[Memo 07]],-1)-1),"")</f>
        <v>55825</v>
      </c>
      <c r="Y2822" s="10" t="str">
        <f ca="1">IF(reading[[#This Row],[Next]]&lt;&gt;"",IF(reading[[#This Row],[Next]]&gt;TODAY(),"OK",""),"")</f>
        <v>OK</v>
      </c>
      <c r="Z2822" s="13">
        <v>3</v>
      </c>
      <c r="AA2822" s="13">
        <v>3</v>
      </c>
      <c r="AB2822" s="13">
        <v>3</v>
      </c>
      <c r="AC2822" s="13">
        <v>3</v>
      </c>
      <c r="AD2822" s="13">
        <v>3</v>
      </c>
      <c r="AE2822" s="13">
        <v>3</v>
      </c>
      <c r="AF2822" s="13">
        <v>2</v>
      </c>
      <c r="AG2822" s="16">
        <f>IFERROR(SUMIF(reading[[#This Row],[1st]:[7th]],"&gt;0")/COUNTIF(reading[[#This Row],[1st]:[7th]],"&gt;0"),"")</f>
        <v>2.8571428571428572</v>
      </c>
    </row>
    <row r="2823" spans="1:33" hidden="1" x14ac:dyDescent="0.2">
      <c r="A2823" s="4">
        <f>IF(B2823=1,3,IF(D2823=1,2,IF(F2823=1,1,0)))</f>
        <v>3</v>
      </c>
      <c r="B2823" s="4">
        <f>IF(C2823=$L2823,1,IF(C2823="","",0))</f>
        <v>1</v>
      </c>
      <c r="C2823" s="36" t="s">
        <v>2863</v>
      </c>
      <c r="D2823" s="4" t="str">
        <f>IF(E2823=$L2823,1,IF(E2823="","",0))</f>
        <v/>
      </c>
      <c r="E2823" s="14"/>
      <c r="F2823" s="4" t="str">
        <f>IF(G2823=$L2823,1,IF(G2823="","",0))</f>
        <v/>
      </c>
      <c r="G2823" s="14"/>
      <c r="H2823" s="6">
        <v>2827</v>
      </c>
      <c r="I2823" s="15" t="s">
        <v>3120</v>
      </c>
      <c r="J2823" s="6" t="s">
        <v>5868</v>
      </c>
      <c r="K2823" s="6"/>
      <c r="L2823" s="6" t="s">
        <v>2863</v>
      </c>
      <c r="M2823" s="6" t="s">
        <v>8931</v>
      </c>
      <c r="N2823" s="7">
        <f ca="1">RAND()</f>
        <v>0.4825342386325947</v>
      </c>
      <c r="O2823" s="8">
        <v>45222</v>
      </c>
      <c r="P2823" s="8">
        <v>45222</v>
      </c>
      <c r="Q2823" s="8">
        <v>45222</v>
      </c>
      <c r="R2823" s="8">
        <v>45222</v>
      </c>
      <c r="S2823" s="8">
        <v>45222</v>
      </c>
      <c r="T2823" s="8">
        <v>45222</v>
      </c>
      <c r="U2823" s="8">
        <v>45222</v>
      </c>
      <c r="V2823" s="10">
        <f>COUNTA(O2823:U2823)</f>
        <v>7</v>
      </c>
      <c r="W2823" s="11">
        <f>_xlfn.IFNA(INDEX(reading[[#This Row],[Memo 01]:[Memo 07]],MATCH(0,reading[[#This Row],[Memo 01]:[Memo 07]],-1)),"")</f>
        <v>45222</v>
      </c>
      <c r="X2823" s="11">
        <f ca="1">IFERROR(reading[[#This Row],[Previous]]+OFFSET(reading[[#Headers],[Memo 01]],-1,MATCH(0,reading[[#This Row],[Memo 01]:[Memo 07]],-1)-1),"")</f>
        <v>55222</v>
      </c>
      <c r="Y2823" s="10" t="str">
        <f ca="1">IF(reading[[#This Row],[Next]]&lt;&gt;"",IF(reading[[#This Row],[Next]]&gt;TODAY(),"OK",""),"")</f>
        <v>OK</v>
      </c>
      <c r="Z2823" s="13">
        <v>3</v>
      </c>
      <c r="AA2823" s="13"/>
      <c r="AB2823" s="13"/>
      <c r="AC2823" s="13"/>
      <c r="AD2823" s="13"/>
      <c r="AE2823" s="13"/>
      <c r="AF2823" s="13"/>
      <c r="AG2823" s="16">
        <f>IFERROR(SUMIF(reading[[#This Row],[1st]:[7th]],"&gt;0")/COUNTIF(reading[[#This Row],[1st]:[7th]],"&gt;0"),"")</f>
        <v>3</v>
      </c>
    </row>
    <row r="2824" spans="1:33" hidden="1" x14ac:dyDescent="0.2">
      <c r="A2824" s="4">
        <f>IF(B2824=1,3,IF(D2824=1,2,IF(F2824=1,1,0)))</f>
        <v>0</v>
      </c>
      <c r="B2824" s="4" t="str">
        <f>IF(C2824=$L2824,1,IF(C2824="","",0))</f>
        <v/>
      </c>
      <c r="C2824" s="42"/>
      <c r="D2824" s="4" t="str">
        <f>IF(E2824=$L2824,1,IF(E2824="","",0))</f>
        <v/>
      </c>
      <c r="E2824" s="23"/>
      <c r="F2824" s="4" t="str">
        <f>IF(G2824=$L2824,1,IF(G2824="","",0))</f>
        <v/>
      </c>
      <c r="G2824" s="14"/>
      <c r="H2824" s="6">
        <v>2086</v>
      </c>
      <c r="I2824" s="15" t="s">
        <v>3120</v>
      </c>
      <c r="J2824" s="6" t="s">
        <v>5177</v>
      </c>
      <c r="K2824" s="6"/>
      <c r="L2824" s="6" t="s">
        <v>2157</v>
      </c>
      <c r="M2824" s="6" t="s">
        <v>8192</v>
      </c>
      <c r="N2824" s="7">
        <f ca="1">RAND()</f>
        <v>0.74135315908594845</v>
      </c>
      <c r="O2824" s="8">
        <v>45214</v>
      </c>
      <c r="P2824" s="8">
        <v>45215</v>
      </c>
      <c r="Q2824" s="8">
        <v>45217</v>
      </c>
      <c r="R2824" s="8">
        <v>45221</v>
      </c>
      <c r="S2824" s="8">
        <v>45228</v>
      </c>
      <c r="T2824" s="8">
        <v>45816</v>
      </c>
      <c r="U2824" s="8"/>
      <c r="V2824" s="10">
        <f>COUNTA(O2824:U2824)</f>
        <v>6</v>
      </c>
      <c r="W2824" s="11">
        <f>_xlfn.IFNA(INDEX(reading[[#This Row],[Memo 01]:[Memo 07]],MATCH(0,reading[[#This Row],[Memo 01]:[Memo 07]],-1)),"")</f>
        <v>45816</v>
      </c>
      <c r="X2824" s="11">
        <f ca="1">IFERROR(reading[[#This Row],[Previous]]+OFFSET(reading[[#Headers],[Memo 01]],-1,MATCH(0,reading[[#This Row],[Memo 01]:[Memo 07]],-1)-1),"")</f>
        <v>45836</v>
      </c>
      <c r="Y2824" s="10" t="str">
        <f ca="1">IF(reading[[#This Row],[Next]]&lt;&gt;"",IF(reading[[#This Row],[Next]]&gt;TODAY(),"OK",""),"")</f>
        <v>OK</v>
      </c>
      <c r="Z2824" s="13">
        <v>3</v>
      </c>
      <c r="AA2824" s="13">
        <v>3</v>
      </c>
      <c r="AB2824" s="13">
        <v>3</v>
      </c>
      <c r="AC2824" s="13">
        <v>3</v>
      </c>
      <c r="AD2824" s="13">
        <v>3</v>
      </c>
      <c r="AE2824" s="13">
        <v>2</v>
      </c>
      <c r="AF2824" s="13"/>
      <c r="AG2824" s="16">
        <f>IFERROR(SUMIF(reading[[#This Row],[1st]:[7th]],"&gt;0")/COUNTIF(reading[[#This Row],[1st]:[7th]],"&gt;0"),"")</f>
        <v>2.8333333333333335</v>
      </c>
    </row>
    <row r="2825" spans="1:33" x14ac:dyDescent="0.2">
      <c r="A2825" s="4">
        <f>IF(B2825=1,3,IF(D2825=1,2,IF(F2825=1,1,0)))</f>
        <v>0</v>
      </c>
      <c r="B2825" s="4" t="str">
        <f>IF(C2825=$L2825,1,IF(C2825="","",0))</f>
        <v/>
      </c>
      <c r="C2825" s="39"/>
      <c r="D2825" s="4" t="str">
        <f>IF(E2825=$L2825,1,IF(E2825="","",0))</f>
        <v/>
      </c>
      <c r="E2825" s="14"/>
      <c r="F2825" s="4" t="str">
        <f>IF(G2825=$L2825,1,IF(G2825="","",0))</f>
        <v/>
      </c>
      <c r="G2825" s="14"/>
      <c r="H2825" s="6">
        <v>2325</v>
      </c>
      <c r="I2825" s="15" t="s">
        <v>3120</v>
      </c>
      <c r="J2825" s="6" t="s">
        <v>5402</v>
      </c>
      <c r="K2825" s="6"/>
      <c r="L2825" s="6" t="s">
        <v>2380</v>
      </c>
      <c r="M2825" s="6" t="s">
        <v>8430</v>
      </c>
      <c r="N2825" s="7">
        <f ca="1">RAND()</f>
        <v>0.28415321943662086</v>
      </c>
      <c r="O2825" s="8">
        <v>45216</v>
      </c>
      <c r="P2825" s="8">
        <v>45217</v>
      </c>
      <c r="Q2825" s="8">
        <v>45219</v>
      </c>
      <c r="R2825" s="8">
        <v>45223</v>
      </c>
      <c r="S2825" s="8">
        <v>45230</v>
      </c>
      <c r="T2825" s="8"/>
      <c r="U2825" s="8"/>
      <c r="V2825" s="10">
        <f>COUNTA(O2825:U2825)</f>
        <v>5</v>
      </c>
      <c r="W2825" s="11">
        <f>_xlfn.IFNA(INDEX(reading[[#This Row],[Memo 01]:[Memo 07]],MATCH(0,reading[[#This Row],[Memo 01]:[Memo 07]],-1)),"")</f>
        <v>45230</v>
      </c>
      <c r="X2825" s="11">
        <f ca="1">IFERROR(reading[[#This Row],[Previous]]+OFFSET(reading[[#Headers],[Memo 01]],-1,MATCH(0,reading[[#This Row],[Memo 01]:[Memo 07]],-1)-1),"")</f>
        <v>45242</v>
      </c>
      <c r="Y2825" s="10" t="str">
        <f ca="1">IF(reading[[#This Row],[Next]]&lt;&gt;"",IF(reading[[#This Row],[Next]]&gt;TODAY(),"OK",""),"")</f>
        <v/>
      </c>
      <c r="Z2825" s="13">
        <v>3</v>
      </c>
      <c r="AA2825" s="13">
        <v>3</v>
      </c>
      <c r="AB2825" s="13">
        <v>3</v>
      </c>
      <c r="AC2825" s="13">
        <v>3</v>
      </c>
      <c r="AD2825" s="13">
        <v>3</v>
      </c>
      <c r="AE2825" s="13"/>
      <c r="AF2825" s="13"/>
      <c r="AG2825" s="16">
        <f>IFERROR(SUMIF(reading[[#This Row],[1st]:[7th]],"&gt;0")/COUNTIF(reading[[#This Row],[1st]:[7th]],"&gt;0"),"")</f>
        <v>3</v>
      </c>
    </row>
    <row r="2826" spans="1:33" x14ac:dyDescent="0.2">
      <c r="A2826" s="4">
        <f>IF(B2826=1,3,IF(D2826=1,2,IF(F2826=1,1,0)))</f>
        <v>0</v>
      </c>
      <c r="B2826" s="4" t="str">
        <f>IF(C2826=$L2826,1,IF(C2826="","",0))</f>
        <v/>
      </c>
      <c r="C2826" s="36"/>
      <c r="D2826" s="4" t="str">
        <f>IF(E2826=$L2826,1,IF(E2826="","",0))</f>
        <v/>
      </c>
      <c r="E2826" s="14"/>
      <c r="F2826" s="4" t="str">
        <f>IF(G2826=$L2826,1,IF(G2826="","",0))</f>
        <v/>
      </c>
      <c r="G2826" s="14"/>
      <c r="H2826" s="6">
        <v>189</v>
      </c>
      <c r="I2826" s="15" t="s">
        <v>3120</v>
      </c>
      <c r="J2826" s="6" t="s">
        <v>3338</v>
      </c>
      <c r="K2826" s="6"/>
      <c r="L2826" s="6" t="s">
        <v>325</v>
      </c>
      <c r="M2826" s="6" t="s">
        <v>6298</v>
      </c>
      <c r="N2826" s="7">
        <f ca="1">RAND()</f>
        <v>0.972396994521603</v>
      </c>
      <c r="O2826" s="8">
        <v>45199</v>
      </c>
      <c r="P2826" s="8">
        <v>45200</v>
      </c>
      <c r="Q2826" s="8">
        <v>45202</v>
      </c>
      <c r="R2826" s="8">
        <v>45206</v>
      </c>
      <c r="S2826" s="8">
        <v>45213</v>
      </c>
      <c r="T2826" s="8">
        <v>45225</v>
      </c>
      <c r="U2826" s="8"/>
      <c r="V2826" s="10">
        <f>COUNTA(O2826:U2826)</f>
        <v>6</v>
      </c>
      <c r="W2826" s="11">
        <f>_xlfn.IFNA(INDEX(reading[[#This Row],[Memo 01]:[Memo 07]],MATCH(0,reading[[#This Row],[Memo 01]:[Memo 07]],-1)),"")</f>
        <v>45225</v>
      </c>
      <c r="X2826" s="11">
        <f ca="1">IFERROR(reading[[#This Row],[Previous]]+OFFSET(reading[[#Headers],[Memo 01]],-1,MATCH(0,reading[[#This Row],[Memo 01]:[Memo 07]],-1)-1),"")</f>
        <v>45245</v>
      </c>
      <c r="Y2826" s="10" t="str">
        <f ca="1">IF(reading[[#This Row],[Next]]&lt;&gt;"",IF(reading[[#This Row],[Next]]&gt;TODAY(),"OK",""),"")</f>
        <v/>
      </c>
      <c r="Z2826" s="13">
        <v>3</v>
      </c>
      <c r="AA2826" s="13">
        <v>3</v>
      </c>
      <c r="AB2826" s="13">
        <v>3</v>
      </c>
      <c r="AC2826" s="13">
        <v>3</v>
      </c>
      <c r="AD2826" s="13">
        <v>3</v>
      </c>
      <c r="AE2826" s="13">
        <v>3</v>
      </c>
      <c r="AF2826" s="13"/>
      <c r="AG2826" s="16">
        <f>IFERROR(SUMIF(reading[[#This Row],[1st]:[7th]],"&gt;0")/COUNTIF(reading[[#This Row],[1st]:[7th]],"&gt;0"),"")</f>
        <v>3</v>
      </c>
    </row>
    <row r="2827" spans="1:33" x14ac:dyDescent="0.2">
      <c r="A2827" s="4">
        <f>IF(B2827=1,3,IF(D2827=1,2,IF(F2827=1,1,0)))</f>
        <v>0</v>
      </c>
      <c r="B2827" s="4" t="str">
        <f>IF(C2827=$L2827,1,IF(C2827="","",0))</f>
        <v/>
      </c>
      <c r="C2827" s="39"/>
      <c r="D2827" s="4" t="str">
        <f>IF(E2827=$L2827,1,IF(E2827="","",0))</f>
        <v/>
      </c>
      <c r="E2827" s="14"/>
      <c r="F2827" s="4" t="str">
        <f>IF(G2827=$L2827,1,IF(G2827="","",0))</f>
        <v/>
      </c>
      <c r="G2827" s="14"/>
      <c r="H2827" s="6">
        <v>2793</v>
      </c>
      <c r="I2827" s="15" t="s">
        <v>3120</v>
      </c>
      <c r="J2827" s="6" t="s">
        <v>5836</v>
      </c>
      <c r="K2827" s="6"/>
      <c r="L2827" s="6" t="s">
        <v>2830</v>
      </c>
      <c r="M2827" s="6" t="s">
        <v>8897</v>
      </c>
      <c r="N2827" s="7">
        <f ca="1">RAND()</f>
        <v>0.99556026761779171</v>
      </c>
      <c r="O2827" s="8">
        <v>45222</v>
      </c>
      <c r="P2827" s="8">
        <v>45223</v>
      </c>
      <c r="Q2827" s="8">
        <v>45225</v>
      </c>
      <c r="R2827" s="8">
        <v>45229</v>
      </c>
      <c r="S2827" s="8">
        <v>45236</v>
      </c>
      <c r="T2827" s="8"/>
      <c r="U2827" s="8"/>
      <c r="V2827" s="10">
        <f>COUNTA(O2827:U2827)</f>
        <v>5</v>
      </c>
      <c r="W2827" s="11">
        <f>_xlfn.IFNA(INDEX(reading[[#This Row],[Memo 01]:[Memo 07]],MATCH(0,reading[[#This Row],[Memo 01]:[Memo 07]],-1)),"")</f>
        <v>45236</v>
      </c>
      <c r="X2827" s="11">
        <f ca="1">IFERROR(reading[[#This Row],[Previous]]+OFFSET(reading[[#Headers],[Memo 01]],-1,MATCH(0,reading[[#This Row],[Memo 01]:[Memo 07]],-1)-1),"")</f>
        <v>45248</v>
      </c>
      <c r="Y2827" s="10" t="str">
        <f ca="1">IF(reading[[#This Row],[Next]]&lt;&gt;"",IF(reading[[#This Row],[Next]]&gt;TODAY(),"OK",""),"")</f>
        <v/>
      </c>
      <c r="Z2827" s="13">
        <v>3</v>
      </c>
      <c r="AA2827" s="13">
        <v>3</v>
      </c>
      <c r="AB2827" s="13">
        <v>3</v>
      </c>
      <c r="AC2827" s="13">
        <v>3</v>
      </c>
      <c r="AD2827" s="13">
        <v>3</v>
      </c>
      <c r="AE2827" s="13"/>
      <c r="AF2827" s="13"/>
      <c r="AG2827" s="16">
        <f>IFERROR(SUMIF(reading[[#This Row],[1st]:[7th]],"&gt;0")/COUNTIF(reading[[#This Row],[1st]:[7th]],"&gt;0"),"")</f>
        <v>3</v>
      </c>
    </row>
    <row r="2828" spans="1:33" hidden="1" x14ac:dyDescent="0.2">
      <c r="A2828" s="4">
        <f>IF(B2828=1,3,IF(D2828=1,2,IF(F2828=1,1,0)))</f>
        <v>0</v>
      </c>
      <c r="B2828" s="4" t="str">
        <f>IF(C2828=$L2828,1,IF(C2828="","",0))</f>
        <v/>
      </c>
      <c r="C2828" s="42"/>
      <c r="D2828" s="4" t="str">
        <f>IF(E2828=$L2828,1,IF(E2828="","",0))</f>
        <v/>
      </c>
      <c r="E2828" s="23"/>
      <c r="F2828" s="4" t="str">
        <f>IF(G2828=$L2828,1,IF(G2828="","",0))</f>
        <v/>
      </c>
      <c r="G2828" s="23"/>
      <c r="H2828" s="6">
        <v>2236</v>
      </c>
      <c r="I2828" s="15" t="s">
        <v>3120</v>
      </c>
      <c r="J2828" s="6" t="s">
        <v>4115</v>
      </c>
      <c r="K2828" s="6"/>
      <c r="L2828" s="6" t="s">
        <v>2298</v>
      </c>
      <c r="M2828" s="6" t="s">
        <v>8341</v>
      </c>
      <c r="N2828" s="7">
        <f ca="1">RAND()</f>
        <v>0.27490229402682487</v>
      </c>
      <c r="O2828" s="8">
        <v>45215</v>
      </c>
      <c r="P2828" s="8">
        <v>45216</v>
      </c>
      <c r="Q2828" s="8">
        <v>45218</v>
      </c>
      <c r="R2828" s="8">
        <v>45222</v>
      </c>
      <c r="S2828" s="8">
        <v>45229</v>
      </c>
      <c r="T2828" s="8">
        <v>45817</v>
      </c>
      <c r="U2828" s="8"/>
      <c r="V2828" s="10">
        <f>COUNTA(O2828:U2828)</f>
        <v>6</v>
      </c>
      <c r="W2828" s="11">
        <f>_xlfn.IFNA(INDEX(reading[[#This Row],[Memo 01]:[Memo 07]],MATCH(0,reading[[#This Row],[Memo 01]:[Memo 07]],-1)),"")</f>
        <v>45817</v>
      </c>
      <c r="X2828" s="11">
        <f ca="1">IFERROR(reading[[#This Row],[Previous]]+OFFSET(reading[[#Headers],[Memo 01]],-1,MATCH(0,reading[[#This Row],[Memo 01]:[Memo 07]],-1)-1),"")</f>
        <v>45837</v>
      </c>
      <c r="Y2828" s="10" t="str">
        <f ca="1">IF(reading[[#This Row],[Next]]&lt;&gt;"",IF(reading[[#This Row],[Next]]&gt;TODAY(),"OK",""),"")</f>
        <v>OK</v>
      </c>
      <c r="Z2828" s="13">
        <v>3</v>
      </c>
      <c r="AA2828" s="13">
        <v>3</v>
      </c>
      <c r="AB2828" s="13">
        <v>3</v>
      </c>
      <c r="AC2828" s="13">
        <v>3</v>
      </c>
      <c r="AD2828" s="13">
        <v>3</v>
      </c>
      <c r="AE2828" s="13">
        <v>1</v>
      </c>
      <c r="AF2828" s="13"/>
      <c r="AG2828" s="16">
        <f>IFERROR(SUMIF(reading[[#This Row],[1st]:[7th]],"&gt;0")/COUNTIF(reading[[#This Row],[1st]:[7th]],"&gt;0"),"")</f>
        <v>2.6666666666666665</v>
      </c>
    </row>
    <row r="2829" spans="1:33" hidden="1" x14ac:dyDescent="0.2">
      <c r="A2829" s="4">
        <f>IF(B2829=1,3,IF(D2829=1,2,IF(F2829=1,1,0)))</f>
        <v>0</v>
      </c>
      <c r="B2829" s="4" t="str">
        <f>IF(C2829=$L2829,1,IF(C2829="","",0))</f>
        <v/>
      </c>
      <c r="C2829" s="42"/>
      <c r="D2829" s="4" t="str">
        <f>IF(E2829=$L2829,1,IF(E2829="","",0))</f>
        <v/>
      </c>
      <c r="E2829" s="23"/>
      <c r="F2829" s="4" t="str">
        <f>IF(G2829=$L2829,1,IF(G2829="","",0))</f>
        <v/>
      </c>
      <c r="G2829" s="14"/>
      <c r="H2829" s="6">
        <v>1339</v>
      </c>
      <c r="I2829" s="15" t="s">
        <v>3120</v>
      </c>
      <c r="J2829" s="6" t="s">
        <v>4454</v>
      </c>
      <c r="K2829" s="6"/>
      <c r="L2829" s="6" t="s">
        <v>1435</v>
      </c>
      <c r="M2829" s="6" t="s">
        <v>7446</v>
      </c>
      <c r="N2829" s="7">
        <f ca="1">RAND()</f>
        <v>0.68402224747163332</v>
      </c>
      <c r="O2829" s="8">
        <v>45207</v>
      </c>
      <c r="P2829" s="8">
        <v>45208</v>
      </c>
      <c r="Q2829" s="8">
        <v>45210</v>
      </c>
      <c r="R2829" s="8">
        <v>45214</v>
      </c>
      <c r="S2829" s="8">
        <v>45221</v>
      </c>
      <c r="T2829" s="8">
        <v>45233</v>
      </c>
      <c r="U2829" s="8">
        <v>45816</v>
      </c>
      <c r="V2829" s="10">
        <f>COUNTA(O2829:U2829)</f>
        <v>7</v>
      </c>
      <c r="W2829" s="11">
        <f>_xlfn.IFNA(INDEX(reading[[#This Row],[Memo 01]:[Memo 07]],MATCH(0,reading[[#This Row],[Memo 01]:[Memo 07]],-1)),"")</f>
        <v>45816</v>
      </c>
      <c r="X2829" s="11">
        <f ca="1">IFERROR(reading[[#This Row],[Previous]]+OFFSET(reading[[#Headers],[Memo 01]],-1,MATCH(0,reading[[#This Row],[Memo 01]:[Memo 07]],-1)-1),"")</f>
        <v>55816</v>
      </c>
      <c r="Y2829" s="10" t="str">
        <f ca="1">IF(reading[[#This Row],[Next]]&lt;&gt;"",IF(reading[[#This Row],[Next]]&gt;TODAY(),"OK",""),"")</f>
        <v>OK</v>
      </c>
      <c r="Z2829" s="13">
        <v>3</v>
      </c>
      <c r="AA2829" s="13">
        <v>2</v>
      </c>
      <c r="AB2829" s="13">
        <v>3</v>
      </c>
      <c r="AC2829" s="13">
        <v>3</v>
      </c>
      <c r="AD2829" s="13">
        <v>3</v>
      </c>
      <c r="AE2829" s="13">
        <v>3</v>
      </c>
      <c r="AF2829" s="13">
        <v>2</v>
      </c>
      <c r="AG2829" s="16">
        <f>IFERROR(SUMIF(reading[[#This Row],[1st]:[7th]],"&gt;0")/COUNTIF(reading[[#This Row],[1st]:[7th]],"&gt;0"),"")</f>
        <v>2.7142857142857144</v>
      </c>
    </row>
    <row r="2830" spans="1:33" hidden="1" x14ac:dyDescent="0.2">
      <c r="A2830" s="4">
        <f>IF(B2830=1,3,IF(D2830=1,2,IF(F2830=1,1,0)))</f>
        <v>0</v>
      </c>
      <c r="B2830" s="4" t="str">
        <f>IF(C2830=$L2830,1,IF(C2830="","",0))</f>
        <v/>
      </c>
      <c r="C2830" s="42"/>
      <c r="D2830" s="4" t="str">
        <f>IF(E2830=$L2830,1,IF(E2830="","",0))</f>
        <v/>
      </c>
      <c r="E2830" s="23"/>
      <c r="F2830" s="4" t="str">
        <f>IF(G2830=$L2830,1,IF(G2830="","",0))</f>
        <v/>
      </c>
      <c r="G2830" s="14"/>
      <c r="H2830" s="6">
        <v>603</v>
      </c>
      <c r="I2830" s="15" t="s">
        <v>3120</v>
      </c>
      <c r="J2830" s="6" t="s">
        <v>3745</v>
      </c>
      <c r="K2830" s="6"/>
      <c r="L2830" s="6" t="s">
        <v>728</v>
      </c>
      <c r="M2830" s="6" t="s">
        <v>6712</v>
      </c>
      <c r="N2830" s="7">
        <f ca="1">RAND()</f>
        <v>0.79331792041334315</v>
      </c>
      <c r="O2830" s="8">
        <v>45202</v>
      </c>
      <c r="P2830" s="8">
        <v>45203</v>
      </c>
      <c r="Q2830" s="8">
        <v>45205</v>
      </c>
      <c r="R2830" s="8">
        <v>45209</v>
      </c>
      <c r="S2830" s="8">
        <v>45216</v>
      </c>
      <c r="T2830" s="8">
        <v>45228</v>
      </c>
      <c r="U2830" s="8">
        <v>45825</v>
      </c>
      <c r="V2830" s="10">
        <f>COUNTA(O2830:U2830)</f>
        <v>7</v>
      </c>
      <c r="W2830" s="11">
        <f>_xlfn.IFNA(INDEX(reading[[#This Row],[Memo 01]:[Memo 07]],MATCH(0,reading[[#This Row],[Memo 01]:[Memo 07]],-1)),"")</f>
        <v>45825</v>
      </c>
      <c r="X2830" s="11">
        <f ca="1">IFERROR(reading[[#This Row],[Previous]]+OFFSET(reading[[#Headers],[Memo 01]],-1,MATCH(0,reading[[#This Row],[Memo 01]:[Memo 07]],-1)-1),"")</f>
        <v>55825</v>
      </c>
      <c r="Y2830" s="10" t="str">
        <f ca="1">IF(reading[[#This Row],[Next]]&lt;&gt;"",IF(reading[[#This Row],[Next]]&gt;TODAY(),"OK",""),"")</f>
        <v>OK</v>
      </c>
      <c r="Z2830" s="13">
        <v>3</v>
      </c>
      <c r="AA2830" s="13">
        <v>3</v>
      </c>
      <c r="AB2830" s="13">
        <v>3</v>
      </c>
      <c r="AC2830" s="13">
        <v>3</v>
      </c>
      <c r="AD2830" s="13">
        <v>3</v>
      </c>
      <c r="AE2830" s="13">
        <v>3</v>
      </c>
      <c r="AF2830" s="13">
        <v>2</v>
      </c>
      <c r="AG2830" s="16">
        <f>IFERROR(SUMIF(reading[[#This Row],[1st]:[7th]],"&gt;0")/COUNTIF(reading[[#This Row],[1st]:[7th]],"&gt;0"),"")</f>
        <v>2.8571428571428572</v>
      </c>
    </row>
    <row r="2831" spans="1:33" x14ac:dyDescent="0.2">
      <c r="A2831" s="4">
        <f>IF(B2831=1,3,IF(D2831=1,2,IF(F2831=1,1,0)))</f>
        <v>0</v>
      </c>
      <c r="B2831" s="4" t="str">
        <f>IF(C2831=$L2831,1,IF(C2831="","",0))</f>
        <v/>
      </c>
      <c r="C2831" s="39"/>
      <c r="D2831" s="4" t="str">
        <f>IF(E2831=$L2831,1,IF(E2831="","",0))</f>
        <v/>
      </c>
      <c r="E2831" s="18"/>
      <c r="F2831" s="4" t="str">
        <f>IF(G2831=$L2831,1,IF(G2831="","",0))</f>
        <v/>
      </c>
      <c r="G2831" s="14"/>
      <c r="H2831" s="6">
        <v>2907</v>
      </c>
      <c r="I2831" s="15" t="s">
        <v>3120</v>
      </c>
      <c r="J2831" s="6" t="s">
        <v>5943</v>
      </c>
      <c r="K2831" s="6"/>
      <c r="L2831" s="6" t="s">
        <v>2937</v>
      </c>
      <c r="M2831" s="6" t="s">
        <v>9011</v>
      </c>
      <c r="N2831" s="7">
        <f ca="1">RAND()</f>
        <v>0.12279109729371673</v>
      </c>
      <c r="O2831" s="8">
        <v>45223</v>
      </c>
      <c r="P2831" s="8">
        <v>45224</v>
      </c>
      <c r="Q2831" s="8">
        <v>45226</v>
      </c>
      <c r="R2831" s="8">
        <v>45230</v>
      </c>
      <c r="S2831" s="8">
        <v>45237</v>
      </c>
      <c r="T2831" s="8"/>
      <c r="U2831" s="8"/>
      <c r="V2831" s="10">
        <f>COUNTA(O2831:U2831)</f>
        <v>5</v>
      </c>
      <c r="W2831" s="11">
        <f>_xlfn.IFNA(INDEX(reading[[#This Row],[Memo 01]:[Memo 07]],MATCH(0,reading[[#This Row],[Memo 01]:[Memo 07]],-1)),"")</f>
        <v>45237</v>
      </c>
      <c r="X2831" s="11">
        <f ca="1">IFERROR(reading[[#This Row],[Previous]]+OFFSET(reading[[#Headers],[Memo 01]],-1,MATCH(0,reading[[#This Row],[Memo 01]:[Memo 07]],-1)-1),"")</f>
        <v>45249</v>
      </c>
      <c r="Y2831" s="10" t="str">
        <f ca="1">IF(reading[[#This Row],[Next]]&lt;&gt;"",IF(reading[[#This Row],[Next]]&gt;TODAY(),"OK",""),"")</f>
        <v/>
      </c>
      <c r="Z2831" s="13">
        <v>3</v>
      </c>
      <c r="AA2831" s="13">
        <v>3</v>
      </c>
      <c r="AB2831" s="13">
        <v>3</v>
      </c>
      <c r="AC2831" s="13">
        <v>2</v>
      </c>
      <c r="AD2831" s="13">
        <v>3</v>
      </c>
      <c r="AE2831" s="13"/>
      <c r="AF2831" s="13"/>
      <c r="AG2831" s="16">
        <f>IFERROR(SUMIF(reading[[#This Row],[1st]:[7th]],"&gt;0")/COUNTIF(reading[[#This Row],[1st]:[7th]],"&gt;0"),"")</f>
        <v>2.8</v>
      </c>
    </row>
    <row r="2832" spans="1:33" hidden="1" x14ac:dyDescent="0.2">
      <c r="A2832" s="4">
        <f>IF(B2832=1,3,IF(D2832=1,2,IF(F2832=1,1,0)))</f>
        <v>3</v>
      </c>
      <c r="B2832" s="4">
        <f>IF(C2832=$L2832,1,IF(C2832="","",0))</f>
        <v>1</v>
      </c>
      <c r="C2832" s="36" t="s">
        <v>2871</v>
      </c>
      <c r="D2832" s="4" t="str">
        <f>IF(E2832=$L2832,1,IF(E2832="","",0))</f>
        <v/>
      </c>
      <c r="E2832" s="14"/>
      <c r="F2832" s="4" t="str">
        <f>IF(G2832=$L2832,1,IF(G2832="","",0))</f>
        <v/>
      </c>
      <c r="G2832" s="14"/>
      <c r="H2832" s="6">
        <v>2836</v>
      </c>
      <c r="I2832" s="15" t="s">
        <v>3120</v>
      </c>
      <c r="J2832" s="6" t="s">
        <v>5877</v>
      </c>
      <c r="K2832" s="6"/>
      <c r="L2832" s="6" t="s">
        <v>2871</v>
      </c>
      <c r="M2832" s="6" t="s">
        <v>8940</v>
      </c>
      <c r="N2832" s="7">
        <f ca="1">RAND()</f>
        <v>8.8156868085093376E-2</v>
      </c>
      <c r="O2832" s="8">
        <v>45222</v>
      </c>
      <c r="P2832" s="8">
        <v>45222</v>
      </c>
      <c r="Q2832" s="8">
        <v>45222</v>
      </c>
      <c r="R2832" s="8">
        <v>45222</v>
      </c>
      <c r="S2832" s="8">
        <v>45222</v>
      </c>
      <c r="T2832" s="8">
        <v>45222</v>
      </c>
      <c r="U2832" s="8">
        <v>45222</v>
      </c>
      <c r="V2832" s="10">
        <f>COUNTA(O2832:U2832)</f>
        <v>7</v>
      </c>
      <c r="W2832" s="11">
        <f>_xlfn.IFNA(INDEX(reading[[#This Row],[Memo 01]:[Memo 07]],MATCH(0,reading[[#This Row],[Memo 01]:[Memo 07]],-1)),"")</f>
        <v>45222</v>
      </c>
      <c r="X2832" s="11">
        <f ca="1">IFERROR(reading[[#This Row],[Previous]]+OFFSET(reading[[#Headers],[Memo 01]],-1,MATCH(0,reading[[#This Row],[Memo 01]:[Memo 07]],-1)-1),"")</f>
        <v>55222</v>
      </c>
      <c r="Y2832" s="10" t="str">
        <f ca="1">IF(reading[[#This Row],[Next]]&lt;&gt;"",IF(reading[[#This Row],[Next]]&gt;TODAY(),"OK",""),"")</f>
        <v>OK</v>
      </c>
      <c r="Z2832" s="13">
        <v>3</v>
      </c>
      <c r="AA2832" s="13"/>
      <c r="AB2832" s="13"/>
      <c r="AC2832" s="13"/>
      <c r="AD2832" s="13"/>
      <c r="AE2832" s="13"/>
      <c r="AF2832" s="13"/>
      <c r="AG2832" s="16">
        <f>IFERROR(SUMIF(reading[[#This Row],[1st]:[7th]],"&gt;0")/COUNTIF(reading[[#This Row],[1st]:[7th]],"&gt;0"),"")</f>
        <v>3</v>
      </c>
    </row>
    <row r="2833" spans="1:33" x14ac:dyDescent="0.2">
      <c r="A2833" s="4">
        <f>IF(B2833=1,3,IF(D2833=1,2,IF(F2833=1,1,0)))</f>
        <v>0</v>
      </c>
      <c r="B2833" s="4" t="str">
        <f>IF(C2833=$L2833,1,IF(C2833="","",0))</f>
        <v/>
      </c>
      <c r="C2833" s="39"/>
      <c r="D2833" s="4" t="str">
        <f>IF(E2833=$L2833,1,IF(E2833="","",0))</f>
        <v/>
      </c>
      <c r="E2833" s="14"/>
      <c r="F2833" s="4" t="str">
        <f>IF(G2833=$L2833,1,IF(G2833="","",0))</f>
        <v/>
      </c>
      <c r="G2833" s="14"/>
      <c r="H2833" s="6">
        <v>1453</v>
      </c>
      <c r="I2833" s="15" t="s">
        <v>3120</v>
      </c>
      <c r="J2833" s="6" t="s">
        <v>4567</v>
      </c>
      <c r="K2833" s="6"/>
      <c r="L2833" s="6" t="s">
        <v>1541</v>
      </c>
      <c r="M2833" s="6" t="s">
        <v>7560</v>
      </c>
      <c r="N2833" s="7">
        <f ca="1">RAND()</f>
        <v>0.55534312070844072</v>
      </c>
      <c r="O2833" s="8">
        <v>45208</v>
      </c>
      <c r="P2833" s="8">
        <v>45209</v>
      </c>
      <c r="Q2833" s="8">
        <v>45211</v>
      </c>
      <c r="R2833" s="8">
        <v>45215</v>
      </c>
      <c r="S2833" s="8">
        <v>45222</v>
      </c>
      <c r="T2833" s="8">
        <v>45234</v>
      </c>
      <c r="U2833" s="8"/>
      <c r="V2833" s="10">
        <f>COUNTA(O2833:U2833)</f>
        <v>6</v>
      </c>
      <c r="W2833" s="11">
        <f>_xlfn.IFNA(INDEX(reading[[#This Row],[Memo 01]:[Memo 07]],MATCH(0,reading[[#This Row],[Memo 01]:[Memo 07]],-1)),"")</f>
        <v>45234</v>
      </c>
      <c r="X2833" s="11">
        <f ca="1">IFERROR(reading[[#This Row],[Previous]]+OFFSET(reading[[#Headers],[Memo 01]],-1,MATCH(0,reading[[#This Row],[Memo 01]:[Memo 07]],-1)-1),"")</f>
        <v>45254</v>
      </c>
      <c r="Y2833" s="10" t="str">
        <f ca="1">IF(reading[[#This Row],[Next]]&lt;&gt;"",IF(reading[[#This Row],[Next]]&gt;TODAY(),"OK",""),"")</f>
        <v/>
      </c>
      <c r="Z2833" s="13">
        <v>3</v>
      </c>
      <c r="AA2833" s="13">
        <v>3</v>
      </c>
      <c r="AB2833" s="13">
        <v>3</v>
      </c>
      <c r="AC2833" s="13">
        <v>3</v>
      </c>
      <c r="AD2833" s="13">
        <v>3</v>
      </c>
      <c r="AE2833" s="13">
        <v>3</v>
      </c>
      <c r="AF2833" s="13"/>
      <c r="AG2833" s="16">
        <f>IFERROR(SUMIF(reading[[#This Row],[1st]:[7th]],"&gt;0")/COUNTIF(reading[[#This Row],[1st]:[7th]],"&gt;0"),"")</f>
        <v>3</v>
      </c>
    </row>
    <row r="2834" spans="1:33" hidden="1" x14ac:dyDescent="0.2">
      <c r="A2834" s="4">
        <f>IF(B2834=1,3,IF(D2834=1,2,IF(F2834=1,1,0)))</f>
        <v>0</v>
      </c>
      <c r="B2834" s="4">
        <f>IF(C2834=$L2834,1,IF(C2834="","",0))</f>
        <v>0</v>
      </c>
      <c r="C2834" s="42" t="s">
        <v>9288</v>
      </c>
      <c r="D2834" s="4" t="str">
        <f>IF(E2834=$L2834,1,IF(E2834="","",0))</f>
        <v/>
      </c>
      <c r="E2834" s="18"/>
      <c r="F2834" s="4" t="str">
        <f>IF(G2834=$L2834,1,IF(G2834="","",0))</f>
        <v/>
      </c>
      <c r="G2834" s="14"/>
      <c r="H2834" s="6">
        <v>539</v>
      </c>
      <c r="I2834" s="15" t="s">
        <v>3120</v>
      </c>
      <c r="J2834" s="6" t="s">
        <v>3684</v>
      </c>
      <c r="K2834" s="6"/>
      <c r="L2834" s="6" t="s">
        <v>667</v>
      </c>
      <c r="M2834" s="6" t="s">
        <v>6648</v>
      </c>
      <c r="N2834" s="7">
        <f ca="1">RAND()</f>
        <v>0.69642772385589369</v>
      </c>
      <c r="O2834" s="8">
        <v>45202</v>
      </c>
      <c r="P2834" s="8">
        <v>45203</v>
      </c>
      <c r="Q2834" s="8">
        <v>45205</v>
      </c>
      <c r="R2834" s="8">
        <v>45209</v>
      </c>
      <c r="S2834" s="8">
        <v>45216</v>
      </c>
      <c r="T2834" s="8">
        <v>45228</v>
      </c>
      <c r="U2834" s="8"/>
      <c r="V2834" s="10">
        <f>COUNTA(O2834:U2834)</f>
        <v>6</v>
      </c>
      <c r="W2834" s="11">
        <f>_xlfn.IFNA(INDEX(reading[[#This Row],[Memo 01]:[Memo 07]],MATCH(0,reading[[#This Row],[Memo 01]:[Memo 07]],-1)),"")</f>
        <v>45228</v>
      </c>
      <c r="X2834" s="11">
        <f ca="1">IFERROR(reading[[#This Row],[Previous]]+OFFSET(reading[[#Headers],[Memo 01]],-1,MATCH(0,reading[[#This Row],[Memo 01]:[Memo 07]],-1)-1),"")</f>
        <v>45248</v>
      </c>
      <c r="Y2834" s="10" t="str">
        <f ca="1">IF(reading[[#This Row],[Next]]&lt;&gt;"",IF(reading[[#This Row],[Next]]&gt;TODAY(),"OK",""),"")</f>
        <v/>
      </c>
      <c r="Z2834" s="13">
        <v>3</v>
      </c>
      <c r="AA2834" s="13">
        <v>3</v>
      </c>
      <c r="AB2834" s="13">
        <v>3</v>
      </c>
      <c r="AC2834" s="13">
        <v>3</v>
      </c>
      <c r="AD2834" s="13">
        <v>2</v>
      </c>
      <c r="AE2834" s="13">
        <v>3</v>
      </c>
      <c r="AF2834" s="13"/>
      <c r="AG2834" s="16">
        <f>IFERROR(SUMIF(reading[[#This Row],[1st]:[7th]],"&gt;0")/COUNTIF(reading[[#This Row],[1st]:[7th]],"&gt;0"),"")</f>
        <v>2.8333333333333335</v>
      </c>
    </row>
    <row r="2835" spans="1:33" x14ac:dyDescent="0.2">
      <c r="A2835" s="4">
        <f>IF(B2835=1,3,IF(D2835=1,2,IF(F2835=1,1,0)))</f>
        <v>0</v>
      </c>
      <c r="B2835" s="4" t="str">
        <f>IF(C2835=$L2835,1,IF(C2835="","",0))</f>
        <v/>
      </c>
      <c r="C2835" s="42"/>
      <c r="D2835" s="4" t="str">
        <f>IF(E2835=$L2835,1,IF(E2835="","",0))</f>
        <v/>
      </c>
      <c r="E2835" s="18"/>
      <c r="F2835" s="4" t="str">
        <f>IF(G2835=$L2835,1,IF(G2835="","",0))</f>
        <v/>
      </c>
      <c r="G2835" s="14"/>
      <c r="H2835" s="6">
        <v>3088</v>
      </c>
      <c r="I2835" s="15" t="s">
        <v>3120</v>
      </c>
      <c r="J2835" s="6" t="s">
        <v>6107</v>
      </c>
      <c r="K2835" s="6"/>
      <c r="L2835" s="6" t="s">
        <v>3112</v>
      </c>
      <c r="M2835" s="6" t="s">
        <v>9191</v>
      </c>
      <c r="N2835" s="7">
        <f ca="1">RAND()</f>
        <v>0.41190103661151933</v>
      </c>
      <c r="O2835" s="8">
        <v>45229</v>
      </c>
      <c r="P2835" s="8">
        <v>45230</v>
      </c>
      <c r="Q2835" s="8">
        <v>45232</v>
      </c>
      <c r="R2835" s="8">
        <v>45236</v>
      </c>
      <c r="S2835" s="8">
        <v>45252</v>
      </c>
      <c r="T2835" s="8">
        <v>45792</v>
      </c>
      <c r="U2835" s="8"/>
      <c r="V2835" s="10">
        <f>COUNTA(O2835:U2835)</f>
        <v>6</v>
      </c>
      <c r="W2835" s="11">
        <f>_xlfn.IFNA(INDEX(reading[[#This Row],[Memo 01]:[Memo 07]],MATCH(0,reading[[#This Row],[Memo 01]:[Memo 07]],-1)),"")</f>
        <v>45792</v>
      </c>
      <c r="X2835" s="11">
        <f ca="1">IFERROR(reading[[#This Row],[Previous]]+OFFSET(reading[[#Headers],[Memo 01]],-1,MATCH(0,reading[[#This Row],[Memo 01]:[Memo 07]],-1)-1),"")</f>
        <v>45812</v>
      </c>
      <c r="Y2835" s="10" t="str">
        <f ca="1">IF(reading[[#This Row],[Next]]&lt;&gt;"",IF(reading[[#This Row],[Next]]&gt;TODAY(),"OK",""),"")</f>
        <v/>
      </c>
      <c r="Z2835" s="13">
        <v>3</v>
      </c>
      <c r="AA2835" s="13">
        <v>3</v>
      </c>
      <c r="AB2835" s="13">
        <v>3</v>
      </c>
      <c r="AC2835" s="13">
        <v>3</v>
      </c>
      <c r="AD2835" s="13">
        <v>2</v>
      </c>
      <c r="AE2835" s="13">
        <v>3</v>
      </c>
      <c r="AF2835" s="13"/>
      <c r="AG2835" s="16">
        <f>IFERROR(SUMIF(reading[[#This Row],[1st]:[7th]],"&gt;0")/COUNTIF(reading[[#This Row],[1st]:[7th]],"&gt;0"),"")</f>
        <v>2.8333333333333335</v>
      </c>
    </row>
    <row r="2836" spans="1:33" hidden="1" x14ac:dyDescent="0.2">
      <c r="A2836" s="4">
        <f>IF(B2836=1,3,IF(D2836=1,2,IF(F2836=1,1,0)))</f>
        <v>0</v>
      </c>
      <c r="B2836" s="4" t="str">
        <f>IF(C2836=$L2836,1,IF(C2836="","",0))</f>
        <v/>
      </c>
      <c r="C2836" s="42"/>
      <c r="D2836" s="4" t="str">
        <f>IF(E2836=$L2836,1,IF(E2836="","",0))</f>
        <v/>
      </c>
      <c r="E2836" s="23"/>
      <c r="F2836" s="4" t="str">
        <f>IF(G2836=$L2836,1,IF(G2836="","",0))</f>
        <v/>
      </c>
      <c r="G2836" s="14"/>
      <c r="H2836" s="6">
        <v>712</v>
      </c>
      <c r="I2836" s="15" t="s">
        <v>3120</v>
      </c>
      <c r="J2836" s="6" t="s">
        <v>3850</v>
      </c>
      <c r="K2836" s="6"/>
      <c r="L2836" s="6" t="s">
        <v>833</v>
      </c>
      <c r="M2836" s="6" t="s">
        <v>6821</v>
      </c>
      <c r="N2836" s="7">
        <f ca="1">RAND()</f>
        <v>7.5217875240459753E-2</v>
      </c>
      <c r="O2836" s="8">
        <v>45203</v>
      </c>
      <c r="P2836" s="8">
        <v>45204</v>
      </c>
      <c r="Q2836" s="8">
        <v>45206</v>
      </c>
      <c r="R2836" s="8">
        <v>45210</v>
      </c>
      <c r="S2836" s="8">
        <v>45217</v>
      </c>
      <c r="T2836" s="8">
        <v>45229</v>
      </c>
      <c r="U2836" s="8">
        <v>45816</v>
      </c>
      <c r="V2836" s="10">
        <f>COUNTA(O2836:U2836)</f>
        <v>7</v>
      </c>
      <c r="W2836" s="11">
        <f>_xlfn.IFNA(INDEX(reading[[#This Row],[Memo 01]:[Memo 07]],MATCH(0,reading[[#This Row],[Memo 01]:[Memo 07]],-1)),"")</f>
        <v>45816</v>
      </c>
      <c r="X2836" s="11">
        <f ca="1">IFERROR(reading[[#This Row],[Previous]]+OFFSET(reading[[#Headers],[Memo 01]],-1,MATCH(0,reading[[#This Row],[Memo 01]:[Memo 07]],-1)-1),"")</f>
        <v>55816</v>
      </c>
      <c r="Y2836" s="10" t="str">
        <f ca="1">IF(reading[[#This Row],[Next]]&lt;&gt;"",IF(reading[[#This Row],[Next]]&gt;TODAY(),"OK",""),"")</f>
        <v>OK</v>
      </c>
      <c r="Z2836" s="13">
        <v>3</v>
      </c>
      <c r="AA2836" s="13">
        <v>3</v>
      </c>
      <c r="AB2836" s="13">
        <v>3</v>
      </c>
      <c r="AC2836" s="13">
        <v>3</v>
      </c>
      <c r="AD2836" s="13">
        <v>3</v>
      </c>
      <c r="AE2836" s="13">
        <v>3</v>
      </c>
      <c r="AF2836" s="13">
        <v>2</v>
      </c>
      <c r="AG2836" s="16">
        <f>IFERROR(SUMIF(reading[[#This Row],[1st]:[7th]],"&gt;0")/COUNTIF(reading[[#This Row],[1st]:[7th]],"&gt;0"),"")</f>
        <v>2.8571428571428572</v>
      </c>
    </row>
    <row r="2837" spans="1:33" x14ac:dyDescent="0.2">
      <c r="A2837" s="4">
        <f>IF(B2837=1,3,IF(D2837=1,2,IF(F2837=1,1,0)))</f>
        <v>0</v>
      </c>
      <c r="B2837" s="4" t="str">
        <f>IF(C2837=$L2837,1,IF(C2837="","",0))</f>
        <v/>
      </c>
      <c r="C2837" s="42"/>
      <c r="D2837" s="4" t="str">
        <f>IF(E2837=$L2837,1,IF(E2837="","",0))</f>
        <v/>
      </c>
      <c r="E2837" s="14"/>
      <c r="F2837" s="4" t="str">
        <f>IF(G2837=$L2837,1,IF(G2837="","",0))</f>
        <v/>
      </c>
      <c r="G2837" s="14"/>
      <c r="H2837" s="6">
        <v>2265</v>
      </c>
      <c r="I2837" s="15" t="s">
        <v>3120</v>
      </c>
      <c r="J2837" s="6" t="s">
        <v>5347</v>
      </c>
      <c r="K2837" s="6"/>
      <c r="L2837" s="6" t="s">
        <v>2325</v>
      </c>
      <c r="M2837" s="6" t="s">
        <v>8370</v>
      </c>
      <c r="N2837" s="7">
        <f ca="1">RAND()</f>
        <v>0.18301753679050203</v>
      </c>
      <c r="O2837" s="8">
        <v>45216</v>
      </c>
      <c r="P2837" s="8">
        <v>45217</v>
      </c>
      <c r="Q2837" s="8">
        <v>45219</v>
      </c>
      <c r="R2837" s="8">
        <v>45223</v>
      </c>
      <c r="S2837" s="8">
        <v>45230</v>
      </c>
      <c r="T2837" s="8">
        <v>45792</v>
      </c>
      <c r="U2837" s="8"/>
      <c r="V2837" s="10">
        <f>COUNTA(O2837:U2837)</f>
        <v>6</v>
      </c>
      <c r="W2837" s="11">
        <f>_xlfn.IFNA(INDEX(reading[[#This Row],[Memo 01]:[Memo 07]],MATCH(0,reading[[#This Row],[Memo 01]:[Memo 07]],-1)),"")</f>
        <v>45792</v>
      </c>
      <c r="X2837" s="11">
        <f ca="1">IFERROR(reading[[#This Row],[Previous]]+OFFSET(reading[[#Headers],[Memo 01]],-1,MATCH(0,reading[[#This Row],[Memo 01]:[Memo 07]],-1)-1),"")</f>
        <v>45812</v>
      </c>
      <c r="Y2837" s="10" t="str">
        <f ca="1">IF(reading[[#This Row],[Next]]&lt;&gt;"",IF(reading[[#This Row],[Next]]&gt;TODAY(),"OK",""),"")</f>
        <v/>
      </c>
      <c r="Z2837" s="13">
        <v>3</v>
      </c>
      <c r="AA2837" s="13">
        <v>3</v>
      </c>
      <c r="AB2837" s="13">
        <v>3</v>
      </c>
      <c r="AC2837" s="13">
        <v>3</v>
      </c>
      <c r="AD2837" s="13">
        <v>3</v>
      </c>
      <c r="AE2837" s="13">
        <v>3</v>
      </c>
      <c r="AF2837" s="13"/>
      <c r="AG2837" s="16">
        <f>IFERROR(SUMIF(reading[[#This Row],[1st]:[7th]],"&gt;0")/COUNTIF(reading[[#This Row],[1st]:[7th]],"&gt;0"),"")</f>
        <v>3</v>
      </c>
    </row>
    <row r="2838" spans="1:33" hidden="1" x14ac:dyDescent="0.2">
      <c r="A2838" s="4">
        <f>IF(B2838=1,3,IF(D2838=1,2,IF(F2838=1,1,0)))</f>
        <v>0</v>
      </c>
      <c r="B2838" s="4">
        <f>IF(C2838=$L2838,1,IF(C2838="","",0))</f>
        <v>0</v>
      </c>
      <c r="C2838" s="42" t="s">
        <v>9234</v>
      </c>
      <c r="D2838" s="4">
        <f>IF(E2838=$L2838,1,IF(E2838="","",0))</f>
        <v>0</v>
      </c>
      <c r="E2838" s="43" t="s">
        <v>9234</v>
      </c>
      <c r="F2838" s="4" t="str">
        <f>IF(G2838=$L2838,1,IF(G2838="","",0))</f>
        <v/>
      </c>
      <c r="G2838" s="14"/>
      <c r="H2838" s="6">
        <v>2731</v>
      </c>
      <c r="I2838" s="15" t="s">
        <v>3120</v>
      </c>
      <c r="J2838" s="6" t="s">
        <v>5779</v>
      </c>
      <c r="K2838" s="6"/>
      <c r="L2838" s="6" t="s">
        <v>2769</v>
      </c>
      <c r="M2838" s="6" t="s">
        <v>8836</v>
      </c>
      <c r="N2838" s="7">
        <f ca="1">RAND()</f>
        <v>0.50547815002196816</v>
      </c>
      <c r="O2838" s="8">
        <v>45221</v>
      </c>
      <c r="P2838" s="8">
        <v>45222</v>
      </c>
      <c r="Q2838" s="8">
        <v>45224</v>
      </c>
      <c r="R2838" s="8">
        <v>45228</v>
      </c>
      <c r="S2838" s="8">
        <v>45235</v>
      </c>
      <c r="T2838" s="8">
        <v>45252</v>
      </c>
      <c r="U2838" s="8"/>
      <c r="V2838" s="10">
        <f>COUNTA(O2838:U2838)</f>
        <v>6</v>
      </c>
      <c r="W2838" s="11">
        <f>_xlfn.IFNA(INDEX(reading[[#This Row],[Memo 01]:[Memo 07]],MATCH(0,reading[[#This Row],[Memo 01]:[Memo 07]],-1)),"")</f>
        <v>45252</v>
      </c>
      <c r="X2838" s="11">
        <f ca="1">IFERROR(reading[[#This Row],[Previous]]+OFFSET(reading[[#Headers],[Memo 01]],-1,MATCH(0,reading[[#This Row],[Memo 01]:[Memo 07]],-1)-1),"")</f>
        <v>45272</v>
      </c>
      <c r="Y2838" s="10" t="str">
        <f ca="1">IF(reading[[#This Row],[Next]]&lt;&gt;"",IF(reading[[#This Row],[Next]]&gt;TODAY(),"OK",""),"")</f>
        <v/>
      </c>
      <c r="Z2838" s="13">
        <v>3</v>
      </c>
      <c r="AA2838" s="13">
        <v>3</v>
      </c>
      <c r="AB2838" s="13">
        <v>3</v>
      </c>
      <c r="AC2838" s="13">
        <v>1</v>
      </c>
      <c r="AD2838" s="13">
        <v>3</v>
      </c>
      <c r="AE2838" s="13">
        <v>2</v>
      </c>
      <c r="AF2838" s="13"/>
      <c r="AG2838" s="16">
        <f>IFERROR(SUMIF(reading[[#This Row],[1st]:[7th]],"&gt;0")/COUNTIF(reading[[#This Row],[1st]:[7th]],"&gt;0"),"")</f>
        <v>2.5</v>
      </c>
    </row>
    <row r="2839" spans="1:33" x14ac:dyDescent="0.2">
      <c r="A2839" s="4">
        <f>IF(B2839=1,3,IF(D2839=1,2,IF(F2839=1,1,0)))</f>
        <v>0</v>
      </c>
      <c r="B2839" s="4" t="str">
        <f>IF(C2839=$L2839,1,IF(C2839="","",0))</f>
        <v/>
      </c>
      <c r="C2839" s="39"/>
      <c r="D2839" s="4" t="str">
        <f>IF(E2839=$L2839,1,IF(E2839="","",0))</f>
        <v/>
      </c>
      <c r="E2839" s="14"/>
      <c r="F2839" s="4" t="str">
        <f>IF(G2839=$L2839,1,IF(G2839="","",0))</f>
        <v/>
      </c>
      <c r="G2839" s="14"/>
      <c r="H2839" s="6">
        <v>2855</v>
      </c>
      <c r="I2839" s="15" t="s">
        <v>3120</v>
      </c>
      <c r="J2839" s="6" t="s">
        <v>5895</v>
      </c>
      <c r="K2839" s="6"/>
      <c r="L2839" s="6" t="s">
        <v>2888</v>
      </c>
      <c r="M2839" s="6" t="s">
        <v>8959</v>
      </c>
      <c r="N2839" s="7">
        <f ca="1">RAND()</f>
        <v>0.88721590276473439</v>
      </c>
      <c r="O2839" s="8">
        <v>45222</v>
      </c>
      <c r="P2839" s="8">
        <v>45223</v>
      </c>
      <c r="Q2839" s="8">
        <v>45225</v>
      </c>
      <c r="R2839" s="8">
        <v>45229</v>
      </c>
      <c r="S2839" s="8">
        <v>45236</v>
      </c>
      <c r="T2839" s="8"/>
      <c r="U2839" s="8"/>
      <c r="V2839" s="10">
        <f>COUNTA(O2839:U2839)</f>
        <v>5</v>
      </c>
      <c r="W2839" s="11">
        <f>_xlfn.IFNA(INDEX(reading[[#This Row],[Memo 01]:[Memo 07]],MATCH(0,reading[[#This Row],[Memo 01]:[Memo 07]],-1)),"")</f>
        <v>45236</v>
      </c>
      <c r="X2839" s="11">
        <f ca="1">IFERROR(reading[[#This Row],[Previous]]+OFFSET(reading[[#Headers],[Memo 01]],-1,MATCH(0,reading[[#This Row],[Memo 01]:[Memo 07]],-1)-1),"")</f>
        <v>45248</v>
      </c>
      <c r="Y2839" s="10" t="str">
        <f ca="1">IF(reading[[#This Row],[Next]]&lt;&gt;"",IF(reading[[#This Row],[Next]]&gt;TODAY(),"OK",""),"")</f>
        <v/>
      </c>
      <c r="Z2839" s="13">
        <v>3</v>
      </c>
      <c r="AA2839" s="13">
        <v>3</v>
      </c>
      <c r="AB2839" s="13">
        <v>3</v>
      </c>
      <c r="AC2839" s="13">
        <v>3</v>
      </c>
      <c r="AD2839" s="13">
        <v>3</v>
      </c>
      <c r="AE2839" s="13"/>
      <c r="AF2839" s="13"/>
      <c r="AG2839" s="16">
        <f>IFERROR(SUMIF(reading[[#This Row],[1st]:[7th]],"&gt;0")/COUNTIF(reading[[#This Row],[1st]:[7th]],"&gt;0"),"")</f>
        <v>3</v>
      </c>
    </row>
    <row r="2840" spans="1:33" x14ac:dyDescent="0.2">
      <c r="A2840" s="4">
        <f>IF(B2840=1,3,IF(D2840=1,2,IF(F2840=1,1,0)))</f>
        <v>0</v>
      </c>
      <c r="B2840" s="4" t="str">
        <f>IF(C2840=$L2840,1,IF(C2840="","",0))</f>
        <v/>
      </c>
      <c r="C2840" s="39"/>
      <c r="D2840" s="4" t="str">
        <f>IF(E2840=$L2840,1,IF(E2840="","",0))</f>
        <v/>
      </c>
      <c r="E2840" s="14"/>
      <c r="F2840" s="4" t="str">
        <f>IF(G2840=$L2840,1,IF(G2840="","",0))</f>
        <v/>
      </c>
      <c r="G2840" s="14"/>
      <c r="H2840" s="6">
        <v>885</v>
      </c>
      <c r="I2840" s="15" t="s">
        <v>3120</v>
      </c>
      <c r="J2840" s="6" t="s">
        <v>4017</v>
      </c>
      <c r="K2840" s="6"/>
      <c r="L2840" s="6" t="s">
        <v>999</v>
      </c>
      <c r="M2840" s="6" t="s">
        <v>6994</v>
      </c>
      <c r="N2840" s="7">
        <f ca="1">RAND()</f>
        <v>0.68230820872787734</v>
      </c>
      <c r="O2840" s="8">
        <v>45204</v>
      </c>
      <c r="P2840" s="8">
        <v>45205</v>
      </c>
      <c r="Q2840" s="8">
        <v>45207</v>
      </c>
      <c r="R2840" s="8">
        <v>45211</v>
      </c>
      <c r="S2840" s="8">
        <v>45218</v>
      </c>
      <c r="T2840" s="8">
        <v>45230</v>
      </c>
      <c r="U2840" s="8"/>
      <c r="V2840" s="10">
        <f>COUNTA(O2840:U2840)</f>
        <v>6</v>
      </c>
      <c r="W2840" s="11">
        <f>_xlfn.IFNA(INDEX(reading[[#This Row],[Memo 01]:[Memo 07]],MATCH(0,reading[[#This Row],[Memo 01]:[Memo 07]],-1)),"")</f>
        <v>45230</v>
      </c>
      <c r="X2840" s="11">
        <f ca="1">IFERROR(reading[[#This Row],[Previous]]+OFFSET(reading[[#Headers],[Memo 01]],-1,MATCH(0,reading[[#This Row],[Memo 01]:[Memo 07]],-1)-1),"")</f>
        <v>45250</v>
      </c>
      <c r="Y2840" s="10" t="str">
        <f ca="1">IF(reading[[#This Row],[Next]]&lt;&gt;"",IF(reading[[#This Row],[Next]]&gt;TODAY(),"OK",""),"")</f>
        <v/>
      </c>
      <c r="Z2840" s="13">
        <v>3</v>
      </c>
      <c r="AA2840" s="13">
        <v>2</v>
      </c>
      <c r="AB2840" s="13">
        <v>3</v>
      </c>
      <c r="AC2840" s="13">
        <v>3</v>
      </c>
      <c r="AD2840" s="13">
        <v>3</v>
      </c>
      <c r="AE2840" s="13">
        <v>3</v>
      </c>
      <c r="AF2840" s="13"/>
      <c r="AG2840" s="16">
        <f>IFERROR(SUMIF(reading[[#This Row],[1st]:[7th]],"&gt;0")/COUNTIF(reading[[#This Row],[1st]:[7th]],"&gt;0"),"")</f>
        <v>2.8333333333333335</v>
      </c>
    </row>
    <row r="2841" spans="1:33" x14ac:dyDescent="0.2">
      <c r="A2841" s="4">
        <f>IF(B2841=1,3,IF(D2841=1,2,IF(F2841=1,1,0)))</f>
        <v>0</v>
      </c>
      <c r="B2841" s="4" t="str">
        <f>IF(C2841=$L2841,1,IF(C2841="","",0))</f>
        <v/>
      </c>
      <c r="C2841" s="36"/>
      <c r="D2841" s="4" t="str">
        <f>IF(E2841=$L2841,1,IF(E2841="","",0))</f>
        <v/>
      </c>
      <c r="E2841" s="18"/>
      <c r="F2841" s="4" t="str">
        <f>IF(G2841=$L2841,1,IF(G2841="","",0))</f>
        <v/>
      </c>
      <c r="G2841" s="14"/>
      <c r="H2841" s="6">
        <v>295</v>
      </c>
      <c r="I2841" s="15" t="s">
        <v>3120</v>
      </c>
      <c r="J2841" s="6" t="s">
        <v>3443</v>
      </c>
      <c r="K2841" s="6"/>
      <c r="L2841" s="6" t="s">
        <v>430</v>
      </c>
      <c r="M2841" s="6" t="s">
        <v>6404</v>
      </c>
      <c r="N2841" s="7">
        <f ca="1">RAND()</f>
        <v>9.6298574872326737E-2</v>
      </c>
      <c r="O2841" s="8">
        <v>45201</v>
      </c>
      <c r="P2841" s="8">
        <v>45202</v>
      </c>
      <c r="Q2841" s="8">
        <v>45204</v>
      </c>
      <c r="R2841" s="8">
        <v>45208</v>
      </c>
      <c r="S2841" s="8">
        <v>45215</v>
      </c>
      <c r="T2841" s="8">
        <v>45227</v>
      </c>
      <c r="U2841" s="8"/>
      <c r="V2841" s="10">
        <f>COUNTA(O2841:U2841)</f>
        <v>6</v>
      </c>
      <c r="W2841" s="11">
        <f>_xlfn.IFNA(INDEX(reading[[#This Row],[Memo 01]:[Memo 07]],MATCH(0,reading[[#This Row],[Memo 01]:[Memo 07]],-1)),"")</f>
        <v>45227</v>
      </c>
      <c r="X2841" s="11">
        <f ca="1">IFERROR(reading[[#This Row],[Previous]]+OFFSET(reading[[#Headers],[Memo 01]],-1,MATCH(0,reading[[#This Row],[Memo 01]:[Memo 07]],-1)-1),"")</f>
        <v>45247</v>
      </c>
      <c r="Y2841" s="10" t="str">
        <f ca="1">IF(reading[[#This Row],[Next]]&lt;&gt;"",IF(reading[[#This Row],[Next]]&gt;TODAY(),"OK",""),"")</f>
        <v/>
      </c>
      <c r="Z2841" s="13">
        <v>3</v>
      </c>
      <c r="AA2841" s="13">
        <v>3</v>
      </c>
      <c r="AB2841" s="13">
        <v>3</v>
      </c>
      <c r="AC2841" s="13">
        <v>3</v>
      </c>
      <c r="AD2841" s="13">
        <v>2</v>
      </c>
      <c r="AE2841" s="13">
        <v>3</v>
      </c>
      <c r="AF2841" s="13"/>
      <c r="AG2841" s="16">
        <f>IFERROR(SUMIF(reading[[#This Row],[1st]:[7th]],"&gt;0")/COUNTIF(reading[[#This Row],[1st]:[7th]],"&gt;0"),"")</f>
        <v>2.8333333333333335</v>
      </c>
    </row>
    <row r="2842" spans="1:33" x14ac:dyDescent="0.2">
      <c r="A2842" s="4">
        <f>IF(B2842=1,3,IF(D2842=1,2,IF(F2842=1,1,0)))</f>
        <v>0</v>
      </c>
      <c r="B2842" s="4" t="str">
        <f>IF(C2842=$L2842,1,IF(C2842="","",0))</f>
        <v/>
      </c>
      <c r="C2842" s="39"/>
      <c r="D2842" s="4" t="str">
        <f>IF(E2842=$L2842,1,IF(E2842="","",0))</f>
        <v/>
      </c>
      <c r="E2842" s="18"/>
      <c r="F2842" s="4" t="str">
        <f>IF(G2842=$L2842,1,IF(G2842="","",0))</f>
        <v/>
      </c>
      <c r="G2842" s="14"/>
      <c r="H2842" s="6">
        <v>1686</v>
      </c>
      <c r="I2842" s="15" t="s">
        <v>3120</v>
      </c>
      <c r="J2842" s="6" t="s">
        <v>4796</v>
      </c>
      <c r="K2842" s="15" t="s">
        <v>3139</v>
      </c>
      <c r="L2842" s="6" t="s">
        <v>1766</v>
      </c>
      <c r="M2842" s="6" t="s">
        <v>7792</v>
      </c>
      <c r="N2842" s="7">
        <f ca="1">RAND()</f>
        <v>0.55729601722951816</v>
      </c>
      <c r="O2842" s="8">
        <v>45210</v>
      </c>
      <c r="P2842" s="8">
        <v>45211</v>
      </c>
      <c r="Q2842" s="8">
        <v>45213</v>
      </c>
      <c r="R2842" s="8">
        <v>45217</v>
      </c>
      <c r="S2842" s="8">
        <v>45224</v>
      </c>
      <c r="T2842" s="8">
        <v>45236</v>
      </c>
      <c r="U2842" s="8"/>
      <c r="V2842" s="10">
        <f>COUNTA(O2842:U2842)</f>
        <v>6</v>
      </c>
      <c r="W2842" s="11">
        <f>_xlfn.IFNA(INDEX(reading[[#This Row],[Memo 01]:[Memo 07]],MATCH(0,reading[[#This Row],[Memo 01]:[Memo 07]],-1)),"")</f>
        <v>45236</v>
      </c>
      <c r="X2842" s="11">
        <f ca="1">IFERROR(reading[[#This Row],[Previous]]+OFFSET(reading[[#Headers],[Memo 01]],-1,MATCH(0,reading[[#This Row],[Memo 01]:[Memo 07]],-1)-1),"")</f>
        <v>45256</v>
      </c>
      <c r="Y2842" s="10" t="str">
        <f ca="1">IF(reading[[#This Row],[Next]]&lt;&gt;"",IF(reading[[#This Row],[Next]]&gt;TODAY(),"OK",""),"")</f>
        <v/>
      </c>
      <c r="Z2842" s="13">
        <v>3</v>
      </c>
      <c r="AA2842" s="13">
        <v>3</v>
      </c>
      <c r="AB2842" s="13">
        <v>2</v>
      </c>
      <c r="AC2842" s="13">
        <v>2</v>
      </c>
      <c r="AD2842" s="13">
        <v>3</v>
      </c>
      <c r="AE2842" s="13">
        <v>3</v>
      </c>
      <c r="AF2842" s="13"/>
      <c r="AG2842" s="16">
        <f>IFERROR(SUMIF(reading[[#This Row],[1st]:[7th]],"&gt;0")/COUNTIF(reading[[#This Row],[1st]:[7th]],"&gt;0"),"")</f>
        <v>2.6666666666666665</v>
      </c>
    </row>
    <row r="2843" spans="1:33" x14ac:dyDescent="0.2">
      <c r="A2843" s="4">
        <f>IF(B2843=1,3,IF(D2843=1,2,IF(F2843=1,1,0)))</f>
        <v>0</v>
      </c>
      <c r="B2843" s="4" t="str">
        <f>IF(C2843=$L2843,1,IF(C2843="","",0))</f>
        <v/>
      </c>
      <c r="C2843" s="39"/>
      <c r="D2843" s="4" t="str">
        <f>IF(E2843=$L2843,1,IF(E2843="","",0))</f>
        <v/>
      </c>
      <c r="E2843" s="14"/>
      <c r="F2843" s="4" t="str">
        <f>IF(G2843=$L2843,1,IF(G2843="","",0))</f>
        <v/>
      </c>
      <c r="G2843" s="14"/>
      <c r="H2843" s="6">
        <v>1369</v>
      </c>
      <c r="I2843" s="15" t="s">
        <v>3120</v>
      </c>
      <c r="J2843" s="6" t="s">
        <v>4483</v>
      </c>
      <c r="K2843" s="6"/>
      <c r="L2843" s="6" t="s">
        <v>1463</v>
      </c>
      <c r="M2843" s="6" t="s">
        <v>7476</v>
      </c>
      <c r="N2843" s="7">
        <f ca="1">RAND()</f>
        <v>0.96293207584284224</v>
      </c>
      <c r="O2843" s="8">
        <v>45207</v>
      </c>
      <c r="P2843" s="8">
        <v>45208</v>
      </c>
      <c r="Q2843" s="8">
        <v>45210</v>
      </c>
      <c r="R2843" s="8">
        <v>45214</v>
      </c>
      <c r="S2843" s="8">
        <v>45221</v>
      </c>
      <c r="T2843" s="8">
        <v>45233</v>
      </c>
      <c r="U2843" s="8"/>
      <c r="V2843" s="10">
        <f>COUNTA(O2843:U2843)</f>
        <v>6</v>
      </c>
      <c r="W2843" s="11">
        <f>_xlfn.IFNA(INDEX(reading[[#This Row],[Memo 01]:[Memo 07]],MATCH(0,reading[[#This Row],[Memo 01]:[Memo 07]],-1)),"")</f>
        <v>45233</v>
      </c>
      <c r="X2843" s="11">
        <f ca="1">IFERROR(reading[[#This Row],[Previous]]+OFFSET(reading[[#Headers],[Memo 01]],-1,MATCH(0,reading[[#This Row],[Memo 01]:[Memo 07]],-1)-1),"")</f>
        <v>45253</v>
      </c>
      <c r="Y2843" s="10" t="str">
        <f ca="1">IF(reading[[#This Row],[Next]]&lt;&gt;"",IF(reading[[#This Row],[Next]]&gt;TODAY(),"OK",""),"")</f>
        <v/>
      </c>
      <c r="Z2843" s="13">
        <v>3</v>
      </c>
      <c r="AA2843" s="13">
        <v>3</v>
      </c>
      <c r="AB2843" s="13">
        <v>3</v>
      </c>
      <c r="AC2843" s="13">
        <v>3</v>
      </c>
      <c r="AD2843" s="13">
        <v>3</v>
      </c>
      <c r="AE2843" s="13">
        <v>3</v>
      </c>
      <c r="AF2843" s="13"/>
      <c r="AG2843" s="16">
        <f>IFERROR(SUMIF(reading[[#This Row],[1st]:[7th]],"&gt;0")/COUNTIF(reading[[#This Row],[1st]:[7th]],"&gt;0"),"")</f>
        <v>3</v>
      </c>
    </row>
    <row r="2844" spans="1:33" hidden="1" x14ac:dyDescent="0.2">
      <c r="A2844" s="4">
        <f>IF(B2844=1,3,IF(D2844=1,2,IF(F2844=1,1,0)))</f>
        <v>0</v>
      </c>
      <c r="B2844" s="4" t="str">
        <f>IF(C2844=$L2844,1,IF(C2844="","",0))</f>
        <v/>
      </c>
      <c r="C2844" s="42"/>
      <c r="D2844" s="4" t="str">
        <f>IF(E2844=$L2844,1,IF(E2844="","",0))</f>
        <v/>
      </c>
      <c r="E2844" s="23"/>
      <c r="F2844" s="4" t="str">
        <f>IF(G2844=$L2844,1,IF(G2844="","",0))</f>
        <v/>
      </c>
      <c r="G2844" s="23"/>
      <c r="H2844" s="6">
        <v>881</v>
      </c>
      <c r="I2844" s="15" t="s">
        <v>3120</v>
      </c>
      <c r="J2844" s="6" t="s">
        <v>4013</v>
      </c>
      <c r="K2844" s="6"/>
      <c r="L2844" s="6" t="s">
        <v>995</v>
      </c>
      <c r="M2844" s="6" t="s">
        <v>6990</v>
      </c>
      <c r="N2844" s="7">
        <f ca="1">RAND()</f>
        <v>0.30918017326983638</v>
      </c>
      <c r="O2844" s="8">
        <v>45204</v>
      </c>
      <c r="P2844" s="8">
        <v>45205</v>
      </c>
      <c r="Q2844" s="8">
        <v>45207</v>
      </c>
      <c r="R2844" s="8">
        <v>45211</v>
      </c>
      <c r="S2844" s="8">
        <v>45218</v>
      </c>
      <c r="T2844" s="8">
        <v>45230</v>
      </c>
      <c r="U2844" s="8">
        <v>45817</v>
      </c>
      <c r="V2844" s="10">
        <f>COUNTA(O2844:U2844)</f>
        <v>7</v>
      </c>
      <c r="W2844" s="11">
        <f>_xlfn.IFNA(INDEX(reading[[#This Row],[Memo 01]:[Memo 07]],MATCH(0,reading[[#This Row],[Memo 01]:[Memo 07]],-1)),"")</f>
        <v>45817</v>
      </c>
      <c r="X2844" s="11">
        <f ca="1">IFERROR(reading[[#This Row],[Previous]]+OFFSET(reading[[#Headers],[Memo 01]],-1,MATCH(0,reading[[#This Row],[Memo 01]:[Memo 07]],-1)-1),"")</f>
        <v>55817</v>
      </c>
      <c r="Y2844" s="10" t="str">
        <f ca="1">IF(reading[[#This Row],[Next]]&lt;&gt;"",IF(reading[[#This Row],[Next]]&gt;TODAY(),"OK",""),"")</f>
        <v>OK</v>
      </c>
      <c r="Z2844" s="13">
        <v>3</v>
      </c>
      <c r="AA2844" s="13">
        <v>3</v>
      </c>
      <c r="AB2844" s="13">
        <v>3</v>
      </c>
      <c r="AC2844" s="13">
        <v>3</v>
      </c>
      <c r="AD2844" s="13">
        <v>3</v>
      </c>
      <c r="AE2844" s="13">
        <v>3</v>
      </c>
      <c r="AF2844" s="13">
        <v>1</v>
      </c>
      <c r="AG2844" s="16">
        <f>IFERROR(SUMIF(reading[[#This Row],[1st]:[7th]],"&gt;0")/COUNTIF(reading[[#This Row],[1st]:[7th]],"&gt;0"),"")</f>
        <v>2.7142857142857144</v>
      </c>
    </row>
    <row r="2845" spans="1:33" hidden="1" x14ac:dyDescent="0.2">
      <c r="A2845" s="4">
        <f>IF(B2845=1,3,IF(D2845=1,2,IF(F2845=1,1,0)))</f>
        <v>3</v>
      </c>
      <c r="B2845" s="4">
        <f>IF(C2845=$L2845,1,IF(C2845="","",0))</f>
        <v>1</v>
      </c>
      <c r="C2845" s="36" t="s">
        <v>50</v>
      </c>
      <c r="D2845" s="4" t="str">
        <f>IF(E2845=$L2845,1,IF(E2845="","",0))</f>
        <v/>
      </c>
      <c r="E2845" s="14"/>
      <c r="F2845" s="4" t="str">
        <f>IF(G2845=$L2845,1,IF(G2845="","",0))</f>
        <v/>
      </c>
      <c r="G2845" s="14"/>
      <c r="H2845" s="6">
        <v>2849</v>
      </c>
      <c r="I2845" s="15" t="s">
        <v>3120</v>
      </c>
      <c r="J2845" s="6" t="s">
        <v>5889</v>
      </c>
      <c r="K2845" s="6"/>
      <c r="L2845" s="6" t="s">
        <v>50</v>
      </c>
      <c r="M2845" s="6" t="s">
        <v>8953</v>
      </c>
      <c r="N2845" s="7">
        <f ca="1">RAND()</f>
        <v>0.60310223746269487</v>
      </c>
      <c r="O2845" s="8">
        <v>45222</v>
      </c>
      <c r="P2845" s="8">
        <v>45222</v>
      </c>
      <c r="Q2845" s="8">
        <v>45222</v>
      </c>
      <c r="R2845" s="8">
        <v>45222</v>
      </c>
      <c r="S2845" s="8">
        <v>45222</v>
      </c>
      <c r="T2845" s="8">
        <v>45222</v>
      </c>
      <c r="U2845" s="8">
        <v>45222</v>
      </c>
      <c r="V2845" s="10">
        <f>COUNTA(O2845:U2845)</f>
        <v>7</v>
      </c>
      <c r="W2845" s="11">
        <f>_xlfn.IFNA(INDEX(reading[[#This Row],[Memo 01]:[Memo 07]],MATCH(0,reading[[#This Row],[Memo 01]:[Memo 07]],-1)),"")</f>
        <v>45222</v>
      </c>
      <c r="X2845" s="11">
        <f ca="1">IFERROR(reading[[#This Row],[Previous]]+OFFSET(reading[[#Headers],[Memo 01]],-1,MATCH(0,reading[[#This Row],[Memo 01]:[Memo 07]],-1)-1),"")</f>
        <v>55222</v>
      </c>
      <c r="Y2845" s="10" t="str">
        <f ca="1">IF(reading[[#This Row],[Next]]&lt;&gt;"",IF(reading[[#This Row],[Next]]&gt;TODAY(),"OK",""),"")</f>
        <v>OK</v>
      </c>
      <c r="Z2845" s="13">
        <v>3</v>
      </c>
      <c r="AA2845" s="13"/>
      <c r="AB2845" s="13"/>
      <c r="AC2845" s="13"/>
      <c r="AD2845" s="13"/>
      <c r="AE2845" s="13"/>
      <c r="AF2845" s="13"/>
      <c r="AG2845" s="16">
        <f>IFERROR(SUMIF(reading[[#This Row],[1st]:[7th]],"&gt;0")/COUNTIF(reading[[#This Row],[1st]:[7th]],"&gt;0"),"")</f>
        <v>3</v>
      </c>
    </row>
    <row r="2846" spans="1:33" x14ac:dyDescent="0.2">
      <c r="A2846" s="4">
        <f>IF(B2846=1,3,IF(D2846=1,2,IF(F2846=1,1,0)))</f>
        <v>0</v>
      </c>
      <c r="B2846" s="4" t="str">
        <f>IF(C2846=$L2846,1,IF(C2846="","",0))</f>
        <v/>
      </c>
      <c r="C2846" s="42"/>
      <c r="D2846" s="4" t="str">
        <f>IF(E2846=$L2846,1,IF(E2846="","",0))</f>
        <v/>
      </c>
      <c r="E2846" s="14"/>
      <c r="F2846" s="4" t="str">
        <f>IF(G2846=$L2846,1,IF(G2846="","",0))</f>
        <v/>
      </c>
      <c r="G2846" s="14"/>
      <c r="H2846" s="6">
        <v>2475</v>
      </c>
      <c r="I2846" s="15" t="s">
        <v>3120</v>
      </c>
      <c r="J2846" s="6" t="s">
        <v>5543</v>
      </c>
      <c r="K2846" s="6"/>
      <c r="L2846" s="6" t="s">
        <v>2523</v>
      </c>
      <c r="M2846" s="6" t="s">
        <v>8580</v>
      </c>
      <c r="N2846" s="7">
        <f ca="1">RAND()</f>
        <v>0.93261537467014843</v>
      </c>
      <c r="O2846" s="8">
        <v>45218</v>
      </c>
      <c r="P2846" s="8">
        <v>45219</v>
      </c>
      <c r="Q2846" s="8">
        <v>45221</v>
      </c>
      <c r="R2846" s="8">
        <v>45225</v>
      </c>
      <c r="S2846" s="8">
        <v>45232</v>
      </c>
      <c r="T2846" s="8">
        <v>45792</v>
      </c>
      <c r="U2846" s="8"/>
      <c r="V2846" s="10">
        <f>COUNTA(O2846:U2846)</f>
        <v>6</v>
      </c>
      <c r="W2846" s="11">
        <f>_xlfn.IFNA(INDEX(reading[[#This Row],[Memo 01]:[Memo 07]],MATCH(0,reading[[#This Row],[Memo 01]:[Memo 07]],-1)),"")</f>
        <v>45792</v>
      </c>
      <c r="X2846" s="11">
        <f ca="1">IFERROR(reading[[#This Row],[Previous]]+OFFSET(reading[[#Headers],[Memo 01]],-1,MATCH(0,reading[[#This Row],[Memo 01]:[Memo 07]],-1)-1),"")</f>
        <v>45812</v>
      </c>
      <c r="Y2846" s="10" t="str">
        <f ca="1">IF(reading[[#This Row],[Next]]&lt;&gt;"",IF(reading[[#This Row],[Next]]&gt;TODAY(),"OK",""),"")</f>
        <v/>
      </c>
      <c r="Z2846" s="13">
        <v>3</v>
      </c>
      <c r="AA2846" s="13">
        <v>3</v>
      </c>
      <c r="AB2846" s="13">
        <v>3</v>
      </c>
      <c r="AC2846" s="13">
        <v>3</v>
      </c>
      <c r="AD2846" s="13">
        <v>3</v>
      </c>
      <c r="AE2846" s="13">
        <v>3</v>
      </c>
      <c r="AF2846" s="13"/>
      <c r="AG2846" s="16">
        <f>IFERROR(SUMIF(reading[[#This Row],[1st]:[7th]],"&gt;0")/COUNTIF(reading[[#This Row],[1st]:[7th]],"&gt;0"),"")</f>
        <v>3</v>
      </c>
    </row>
    <row r="2847" spans="1:33" x14ac:dyDescent="0.2">
      <c r="A2847" s="4">
        <f>IF(B2847=1,3,IF(D2847=1,2,IF(F2847=1,1,0)))</f>
        <v>0</v>
      </c>
      <c r="B2847" s="4" t="str">
        <f>IF(C2847=$L2847,1,IF(C2847="","",0))</f>
        <v/>
      </c>
      <c r="C2847" s="39"/>
      <c r="D2847" s="4" t="str">
        <f>IF(E2847=$L2847,1,IF(E2847="","",0))</f>
        <v/>
      </c>
      <c r="E2847" s="14"/>
      <c r="F2847" s="4" t="str">
        <f>IF(G2847=$L2847,1,IF(G2847="","",0))</f>
        <v/>
      </c>
      <c r="G2847" s="14"/>
      <c r="H2847" s="6">
        <v>1623</v>
      </c>
      <c r="I2847" s="15" t="s">
        <v>3120</v>
      </c>
      <c r="J2847" s="6" t="s">
        <v>4735</v>
      </c>
      <c r="K2847" s="15" t="s">
        <v>3138</v>
      </c>
      <c r="L2847" s="6" t="s">
        <v>1705</v>
      </c>
      <c r="M2847" s="6" t="s">
        <v>7729</v>
      </c>
      <c r="N2847" s="7">
        <f ca="1">RAND()</f>
        <v>0.44850659905053092</v>
      </c>
      <c r="O2847" s="8">
        <v>45210</v>
      </c>
      <c r="P2847" s="8">
        <v>45211</v>
      </c>
      <c r="Q2847" s="8">
        <v>45213</v>
      </c>
      <c r="R2847" s="8">
        <v>45217</v>
      </c>
      <c r="S2847" s="8">
        <v>45224</v>
      </c>
      <c r="T2847" s="8">
        <v>45236</v>
      </c>
      <c r="U2847" s="8"/>
      <c r="V2847" s="10">
        <f>COUNTA(O2847:U2847)</f>
        <v>6</v>
      </c>
      <c r="W2847" s="11">
        <f>_xlfn.IFNA(INDEX(reading[[#This Row],[Memo 01]:[Memo 07]],MATCH(0,reading[[#This Row],[Memo 01]:[Memo 07]],-1)),"")</f>
        <v>45236</v>
      </c>
      <c r="X2847" s="11">
        <f ca="1">IFERROR(reading[[#This Row],[Previous]]+OFFSET(reading[[#Headers],[Memo 01]],-1,MATCH(0,reading[[#This Row],[Memo 01]:[Memo 07]],-1)-1),"")</f>
        <v>45256</v>
      </c>
      <c r="Y2847" s="10" t="str">
        <f ca="1">IF(reading[[#This Row],[Next]]&lt;&gt;"",IF(reading[[#This Row],[Next]]&gt;TODAY(),"OK",""),"")</f>
        <v/>
      </c>
      <c r="Z2847" s="13">
        <v>3</v>
      </c>
      <c r="AA2847" s="13">
        <v>3</v>
      </c>
      <c r="AB2847" s="13">
        <v>3</v>
      </c>
      <c r="AC2847" s="13">
        <v>3</v>
      </c>
      <c r="AD2847" s="13">
        <v>3</v>
      </c>
      <c r="AE2847" s="13">
        <v>3</v>
      </c>
      <c r="AF2847" s="13"/>
      <c r="AG2847" s="16">
        <f>IFERROR(SUMIF(reading[[#This Row],[1st]:[7th]],"&gt;0")/COUNTIF(reading[[#This Row],[1st]:[7th]],"&gt;0"),"")</f>
        <v>3</v>
      </c>
    </row>
    <row r="2848" spans="1:33" x14ac:dyDescent="0.2">
      <c r="A2848" s="4">
        <f>IF(B2848=1,3,IF(D2848=1,2,IF(F2848=1,1,0)))</f>
        <v>0</v>
      </c>
      <c r="B2848" s="4" t="str">
        <f>IF(C2848=$L2848,1,IF(C2848="","",0))</f>
        <v/>
      </c>
      <c r="C2848" s="39"/>
      <c r="D2848" s="4" t="str">
        <f>IF(E2848=$L2848,1,IF(E2848="","",0))</f>
        <v/>
      </c>
      <c r="E2848" s="18"/>
      <c r="F2848" s="4" t="str">
        <f>IF(G2848=$L2848,1,IF(G2848="","",0))</f>
        <v/>
      </c>
      <c r="G2848" s="18"/>
      <c r="H2848" s="6">
        <v>1405</v>
      </c>
      <c r="I2848" s="15" t="s">
        <v>3120</v>
      </c>
      <c r="J2848" s="6" t="s">
        <v>4519</v>
      </c>
      <c r="K2848" s="6"/>
      <c r="L2848" s="6" t="s">
        <v>1496</v>
      </c>
      <c r="M2848" s="6" t="s">
        <v>7512</v>
      </c>
      <c r="N2848" s="7">
        <f ca="1">RAND()</f>
        <v>0.11910823865596687</v>
      </c>
      <c r="O2848" s="8">
        <v>45208</v>
      </c>
      <c r="P2848" s="8">
        <v>45209</v>
      </c>
      <c r="Q2848" s="8">
        <v>45211</v>
      </c>
      <c r="R2848" s="8">
        <v>45215</v>
      </c>
      <c r="S2848" s="8">
        <v>45222</v>
      </c>
      <c r="T2848" s="8">
        <v>45234</v>
      </c>
      <c r="U2848" s="8"/>
      <c r="V2848" s="10">
        <f>COUNTA(O2848:U2848)</f>
        <v>6</v>
      </c>
      <c r="W2848" s="11">
        <f>_xlfn.IFNA(INDEX(reading[[#This Row],[Memo 01]:[Memo 07]],MATCH(0,reading[[#This Row],[Memo 01]:[Memo 07]],-1)),"")</f>
        <v>45234</v>
      </c>
      <c r="X2848" s="11">
        <f ca="1">IFERROR(reading[[#This Row],[Previous]]+OFFSET(reading[[#Headers],[Memo 01]],-1,MATCH(0,reading[[#This Row],[Memo 01]:[Memo 07]],-1)-1),"")</f>
        <v>45254</v>
      </c>
      <c r="Y2848" s="10" t="str">
        <f ca="1">IF(reading[[#This Row],[Next]]&lt;&gt;"",IF(reading[[#This Row],[Next]]&gt;TODAY(),"OK",""),"")</f>
        <v/>
      </c>
      <c r="Z2848" s="13">
        <v>3</v>
      </c>
      <c r="AA2848" s="13">
        <v>3</v>
      </c>
      <c r="AB2848" s="13">
        <v>3</v>
      </c>
      <c r="AC2848" s="13">
        <v>3</v>
      </c>
      <c r="AD2848" s="13">
        <v>1</v>
      </c>
      <c r="AE2848" s="13">
        <v>3</v>
      </c>
      <c r="AF2848" s="13"/>
      <c r="AG2848" s="16">
        <f>IFERROR(SUMIF(reading[[#This Row],[1st]:[7th]],"&gt;0")/COUNTIF(reading[[#This Row],[1st]:[7th]],"&gt;0"),"")</f>
        <v>2.6666666666666665</v>
      </c>
    </row>
    <row r="2849" spans="1:33" hidden="1" x14ac:dyDescent="0.2">
      <c r="A2849" s="4">
        <f>IF(B2849=1,3,IF(D2849=1,2,IF(F2849=1,1,0)))</f>
        <v>0</v>
      </c>
      <c r="B2849" s="4" t="str">
        <f>IF(C2849=$L2849,1,IF(C2849="","",0))</f>
        <v/>
      </c>
      <c r="C2849" s="42"/>
      <c r="D2849" s="4" t="str">
        <f>IF(E2849=$L2849,1,IF(E2849="","",0))</f>
        <v/>
      </c>
      <c r="E2849" s="43"/>
      <c r="F2849" s="4" t="str">
        <f>IF(G2849=$L2849,1,IF(G2849="","",0))</f>
        <v/>
      </c>
      <c r="G2849" s="14"/>
      <c r="H2849" s="6">
        <v>1658</v>
      </c>
      <c r="I2849" s="15" t="s">
        <v>3120</v>
      </c>
      <c r="J2849" s="6" t="s">
        <v>4769</v>
      </c>
      <c r="K2849" s="6" t="s">
        <v>3138</v>
      </c>
      <c r="L2849" s="6" t="s">
        <v>1739</v>
      </c>
      <c r="M2849" s="6" t="s">
        <v>7764</v>
      </c>
      <c r="N2849" s="7">
        <f ca="1">RAND()</f>
        <v>0.58018749992093166</v>
      </c>
      <c r="O2849" s="8">
        <v>45210</v>
      </c>
      <c r="P2849" s="8">
        <v>45212</v>
      </c>
      <c r="Q2849" s="8">
        <v>45214</v>
      </c>
      <c r="R2849" s="8">
        <v>45218</v>
      </c>
      <c r="S2849" s="8">
        <v>45225</v>
      </c>
      <c r="T2849" s="8">
        <v>45237</v>
      </c>
      <c r="U2849" s="8">
        <v>45816</v>
      </c>
      <c r="V2849" s="10">
        <f>COUNTA(O2849:U2849)</f>
        <v>7</v>
      </c>
      <c r="W2849" s="11">
        <f>_xlfn.IFNA(INDEX(reading[[#This Row],[Memo 01]:[Memo 07]],MATCH(0,reading[[#This Row],[Memo 01]:[Memo 07]],-1)),"")</f>
        <v>45816</v>
      </c>
      <c r="X2849" s="11">
        <f ca="1">IFERROR(reading[[#This Row],[Previous]]+OFFSET(reading[[#Headers],[Memo 01]],-1,MATCH(0,reading[[#This Row],[Memo 01]:[Memo 07]],-1)-1),"")</f>
        <v>55816</v>
      </c>
      <c r="Y2849" s="10" t="str">
        <f ca="1">IF(reading[[#This Row],[Next]]&lt;&gt;"",IF(reading[[#This Row],[Next]]&gt;TODAY(),"OK",""),"")</f>
        <v>OK</v>
      </c>
      <c r="Z2849" s="13">
        <v>3</v>
      </c>
      <c r="AA2849" s="13">
        <v>2</v>
      </c>
      <c r="AB2849" s="13">
        <v>3</v>
      </c>
      <c r="AC2849" s="13">
        <v>2</v>
      </c>
      <c r="AD2849" s="13">
        <v>2</v>
      </c>
      <c r="AE2849" s="13">
        <v>3</v>
      </c>
      <c r="AF2849" s="13">
        <v>2</v>
      </c>
      <c r="AG2849" s="16">
        <f>IFERROR(SUMIF(reading[[#This Row],[1st]:[7th]],"&gt;0")/COUNTIF(reading[[#This Row],[1st]:[7th]],"&gt;0"),"")</f>
        <v>2.4285714285714284</v>
      </c>
    </row>
    <row r="2850" spans="1:33" x14ac:dyDescent="0.2">
      <c r="A2850" s="4">
        <f>IF(B2850=1,3,IF(D2850=1,2,IF(F2850=1,1,0)))</f>
        <v>0</v>
      </c>
      <c r="B2850" s="4" t="str">
        <f>IF(C2850=$L2850,1,IF(C2850="","",0))</f>
        <v/>
      </c>
      <c r="C2850" s="36"/>
      <c r="D2850" s="4" t="str">
        <f>IF(E2850=$L2850,1,IF(E2850="","",0))</f>
        <v/>
      </c>
      <c r="E2850" s="18"/>
      <c r="F2850" s="4" t="str">
        <f>IF(G2850=$L2850,1,IF(G2850="","",0))</f>
        <v/>
      </c>
      <c r="G2850" s="14"/>
      <c r="H2850" s="6">
        <v>2049</v>
      </c>
      <c r="I2850" s="15" t="s">
        <v>3120</v>
      </c>
      <c r="J2850" s="6" t="s">
        <v>5145</v>
      </c>
      <c r="K2850" s="6"/>
      <c r="L2850" s="6" t="s">
        <v>2124</v>
      </c>
      <c r="M2850" s="6" t="s">
        <v>8155</v>
      </c>
      <c r="N2850" s="7">
        <f ca="1">RAND()</f>
        <v>0.285518464379512</v>
      </c>
      <c r="O2850" s="8">
        <v>45213</v>
      </c>
      <c r="P2850" s="8">
        <v>45214</v>
      </c>
      <c r="Q2850" s="8">
        <v>45216</v>
      </c>
      <c r="R2850" s="8">
        <v>45220</v>
      </c>
      <c r="S2850" s="8">
        <v>45227</v>
      </c>
      <c r="T2850" s="8"/>
      <c r="U2850" s="8"/>
      <c r="V2850" s="10">
        <f>COUNTA(O2850:U2850)</f>
        <v>5</v>
      </c>
      <c r="W2850" s="11">
        <f>_xlfn.IFNA(INDEX(reading[[#This Row],[Memo 01]:[Memo 07]],MATCH(0,reading[[#This Row],[Memo 01]:[Memo 07]],-1)),"")</f>
        <v>45227</v>
      </c>
      <c r="X2850" s="11">
        <f ca="1">IFERROR(reading[[#This Row],[Previous]]+OFFSET(reading[[#Headers],[Memo 01]],-1,MATCH(0,reading[[#This Row],[Memo 01]:[Memo 07]],-1)-1),"")</f>
        <v>45239</v>
      </c>
      <c r="Y2850" s="10" t="str">
        <f ca="1">IF(reading[[#This Row],[Next]]&lt;&gt;"",IF(reading[[#This Row],[Next]]&gt;TODAY(),"OK",""),"")</f>
        <v/>
      </c>
      <c r="Z2850" s="13">
        <v>3</v>
      </c>
      <c r="AA2850" s="13">
        <v>3</v>
      </c>
      <c r="AB2850" s="13">
        <v>3</v>
      </c>
      <c r="AC2850" s="13">
        <v>2</v>
      </c>
      <c r="AD2850" s="13">
        <v>3</v>
      </c>
      <c r="AE2850" s="13"/>
      <c r="AF2850" s="13"/>
      <c r="AG2850" s="16">
        <f>IFERROR(SUMIF(reading[[#This Row],[1st]:[7th]],"&gt;0")/COUNTIF(reading[[#This Row],[1st]:[7th]],"&gt;0"),"")</f>
        <v>2.8</v>
      </c>
    </row>
    <row r="2851" spans="1:33" hidden="1" x14ac:dyDescent="0.2">
      <c r="A2851" s="4">
        <f>IF(B2851=1,3,IF(D2851=1,2,IF(F2851=1,1,0)))</f>
        <v>0</v>
      </c>
      <c r="B2851" s="4" t="str">
        <f>IF(C2851=$L2851,1,IF(C2851="","",0))</f>
        <v/>
      </c>
      <c r="C2851" s="42"/>
      <c r="D2851" s="4" t="str">
        <f>IF(E2851=$L2851,1,IF(E2851="","",0))</f>
        <v/>
      </c>
      <c r="E2851" s="23"/>
      <c r="F2851" s="4" t="str">
        <f>IF(G2851=$L2851,1,IF(G2851="","",0))</f>
        <v/>
      </c>
      <c r="G2851" s="23"/>
      <c r="H2851" s="6">
        <v>1813</v>
      </c>
      <c r="I2851" s="15" t="s">
        <v>3120</v>
      </c>
      <c r="J2851" s="6" t="s">
        <v>4918</v>
      </c>
      <c r="K2851" s="6"/>
      <c r="L2851" s="6" t="s">
        <v>1892</v>
      </c>
      <c r="M2851" s="6" t="s">
        <v>7919</v>
      </c>
      <c r="N2851" s="7">
        <f ca="1">RAND()</f>
        <v>0.62374737098342803</v>
      </c>
      <c r="O2851" s="8">
        <v>45212</v>
      </c>
      <c r="P2851" s="8">
        <v>45213</v>
      </c>
      <c r="Q2851" s="8">
        <v>45215</v>
      </c>
      <c r="R2851" s="8">
        <v>45219</v>
      </c>
      <c r="S2851" s="8">
        <v>45226</v>
      </c>
      <c r="T2851" s="8">
        <v>45817</v>
      </c>
      <c r="U2851" s="8"/>
      <c r="V2851" s="10">
        <f>COUNTA(O2851:U2851)</f>
        <v>6</v>
      </c>
      <c r="W2851" s="11">
        <f>_xlfn.IFNA(INDEX(reading[[#This Row],[Memo 01]:[Memo 07]],MATCH(0,reading[[#This Row],[Memo 01]:[Memo 07]],-1)),"")</f>
        <v>45817</v>
      </c>
      <c r="X2851" s="11">
        <f ca="1">IFERROR(reading[[#This Row],[Previous]]+OFFSET(reading[[#Headers],[Memo 01]],-1,MATCH(0,reading[[#This Row],[Memo 01]:[Memo 07]],-1)-1),"")</f>
        <v>45837</v>
      </c>
      <c r="Y2851" s="10" t="str">
        <f ca="1">IF(reading[[#This Row],[Next]]&lt;&gt;"",IF(reading[[#This Row],[Next]]&gt;TODAY(),"OK",""),"")</f>
        <v>OK</v>
      </c>
      <c r="Z2851" s="13">
        <v>3</v>
      </c>
      <c r="AA2851" s="13">
        <v>3</v>
      </c>
      <c r="AB2851" s="13">
        <v>3</v>
      </c>
      <c r="AC2851" s="13">
        <v>3</v>
      </c>
      <c r="AD2851" s="13">
        <v>3</v>
      </c>
      <c r="AE2851" s="13">
        <v>1</v>
      </c>
      <c r="AF2851" s="13"/>
      <c r="AG2851" s="16">
        <f>IFERROR(SUMIF(reading[[#This Row],[1st]:[7th]],"&gt;0")/COUNTIF(reading[[#This Row],[1st]:[7th]],"&gt;0"),"")</f>
        <v>2.6666666666666665</v>
      </c>
    </row>
    <row r="2852" spans="1:33" hidden="1" x14ac:dyDescent="0.2">
      <c r="A2852" s="4">
        <f>IF(B2852=1,3,IF(D2852=1,2,IF(F2852=1,1,0)))</f>
        <v>0</v>
      </c>
      <c r="B2852" s="4" t="str">
        <f>IF(C2852=$L2852,1,IF(C2852="","",0))</f>
        <v/>
      </c>
      <c r="C2852" s="42"/>
      <c r="D2852" s="4" t="str">
        <f>IF(E2852=$L2852,1,IF(E2852="","",0))</f>
        <v/>
      </c>
      <c r="E2852" s="43"/>
      <c r="F2852" s="4" t="str">
        <f>IF(G2852=$L2852,1,IF(G2852="","",0))</f>
        <v/>
      </c>
      <c r="G2852" s="14"/>
      <c r="H2852" s="6">
        <v>1798</v>
      </c>
      <c r="I2852" s="15" t="s">
        <v>3120</v>
      </c>
      <c r="J2852" s="6" t="s">
        <v>4905</v>
      </c>
      <c r="K2852" s="6"/>
      <c r="L2852" s="6" t="s">
        <v>1877</v>
      </c>
      <c r="M2852" s="6" t="s">
        <v>7904</v>
      </c>
      <c r="N2852" s="7">
        <f ca="1">RAND()</f>
        <v>0.27558563507019929</v>
      </c>
      <c r="O2852" s="8">
        <v>45211</v>
      </c>
      <c r="P2852" s="8">
        <v>45212</v>
      </c>
      <c r="Q2852" s="8">
        <v>45214</v>
      </c>
      <c r="R2852" s="8">
        <v>45218</v>
      </c>
      <c r="S2852" s="8">
        <v>45225</v>
      </c>
      <c r="T2852" s="8">
        <v>45237</v>
      </c>
      <c r="U2852" s="8">
        <v>45816</v>
      </c>
      <c r="V2852" s="10">
        <f>COUNTA(O2852:U2852)</f>
        <v>7</v>
      </c>
      <c r="W2852" s="11">
        <f>_xlfn.IFNA(INDEX(reading[[#This Row],[Memo 01]:[Memo 07]],MATCH(0,reading[[#This Row],[Memo 01]:[Memo 07]],-1)),"")</f>
        <v>45816</v>
      </c>
      <c r="X2852" s="11">
        <f ca="1">IFERROR(reading[[#This Row],[Previous]]+OFFSET(reading[[#Headers],[Memo 01]],-1,MATCH(0,reading[[#This Row],[Memo 01]:[Memo 07]],-1)-1),"")</f>
        <v>55816</v>
      </c>
      <c r="Y2852" s="10" t="str">
        <f ca="1">IF(reading[[#This Row],[Next]]&lt;&gt;"",IF(reading[[#This Row],[Next]]&gt;TODAY(),"OK",""),"")</f>
        <v>OK</v>
      </c>
      <c r="Z2852" s="13">
        <v>3</v>
      </c>
      <c r="AA2852" s="13">
        <v>3</v>
      </c>
      <c r="AB2852" s="13">
        <v>3</v>
      </c>
      <c r="AC2852" s="13">
        <v>2</v>
      </c>
      <c r="AD2852" s="13">
        <v>3</v>
      </c>
      <c r="AE2852" s="13">
        <v>3</v>
      </c>
      <c r="AF2852" s="13">
        <v>2</v>
      </c>
      <c r="AG2852" s="16">
        <f>IFERROR(SUMIF(reading[[#This Row],[1st]:[7th]],"&gt;0")/COUNTIF(reading[[#This Row],[1st]:[7th]],"&gt;0"),"")</f>
        <v>2.7142857142857144</v>
      </c>
    </row>
    <row r="2853" spans="1:33" x14ac:dyDescent="0.2">
      <c r="A2853" s="4">
        <f>IF(B2853=1,3,IF(D2853=1,2,IF(F2853=1,1,0)))</f>
        <v>0</v>
      </c>
      <c r="B2853" s="4" t="str">
        <f>IF(C2853=$L2853,1,IF(C2853="","",0))</f>
        <v/>
      </c>
      <c r="C2853" s="42"/>
      <c r="D2853" s="4" t="str">
        <f>IF(E2853=$L2853,1,IF(E2853="","",0))</f>
        <v/>
      </c>
      <c r="E2853" s="14"/>
      <c r="F2853" s="4" t="str">
        <f>IF(G2853=$L2853,1,IF(G2853="","",0))</f>
        <v/>
      </c>
      <c r="G2853" s="14"/>
      <c r="H2853" s="6">
        <v>2084</v>
      </c>
      <c r="I2853" s="15" t="s">
        <v>3120</v>
      </c>
      <c r="J2853" s="6" t="s">
        <v>5175</v>
      </c>
      <c r="K2853" s="6"/>
      <c r="L2853" s="6" t="s">
        <v>2155</v>
      </c>
      <c r="M2853" s="6" t="s">
        <v>8190</v>
      </c>
      <c r="N2853" s="7">
        <f ca="1">RAND()</f>
        <v>0.17456998969589066</v>
      </c>
      <c r="O2853" s="8">
        <v>45214</v>
      </c>
      <c r="P2853" s="8">
        <v>45215</v>
      </c>
      <c r="Q2853" s="8">
        <v>45217</v>
      </c>
      <c r="R2853" s="8">
        <v>45221</v>
      </c>
      <c r="S2853" s="8">
        <v>45228</v>
      </c>
      <c r="T2853" s="8">
        <v>45792</v>
      </c>
      <c r="U2853" s="8"/>
      <c r="V2853" s="10">
        <f>COUNTA(O2853:U2853)</f>
        <v>6</v>
      </c>
      <c r="W2853" s="11">
        <f>_xlfn.IFNA(INDEX(reading[[#This Row],[Memo 01]:[Memo 07]],MATCH(0,reading[[#This Row],[Memo 01]:[Memo 07]],-1)),"")</f>
        <v>45792</v>
      </c>
      <c r="X2853" s="11">
        <f ca="1">IFERROR(reading[[#This Row],[Previous]]+OFFSET(reading[[#Headers],[Memo 01]],-1,MATCH(0,reading[[#This Row],[Memo 01]:[Memo 07]],-1)-1),"")</f>
        <v>45812</v>
      </c>
      <c r="Y2853" s="10" t="str">
        <f ca="1">IF(reading[[#This Row],[Next]]&lt;&gt;"",IF(reading[[#This Row],[Next]]&gt;TODAY(),"OK",""),"")</f>
        <v/>
      </c>
      <c r="Z2853" s="13">
        <v>3</v>
      </c>
      <c r="AA2853" s="13">
        <v>3</v>
      </c>
      <c r="AB2853" s="13">
        <v>3</v>
      </c>
      <c r="AC2853" s="13">
        <v>3</v>
      </c>
      <c r="AD2853" s="13">
        <v>2</v>
      </c>
      <c r="AE2853" s="13">
        <v>3</v>
      </c>
      <c r="AF2853" s="13"/>
      <c r="AG2853" s="16">
        <f>IFERROR(SUMIF(reading[[#This Row],[1st]:[7th]],"&gt;0")/COUNTIF(reading[[#This Row],[1st]:[7th]],"&gt;0"),"")</f>
        <v>2.8333333333333335</v>
      </c>
    </row>
    <row r="2854" spans="1:33" hidden="1" x14ac:dyDescent="0.2">
      <c r="A2854" s="4">
        <f>IF(B2854=1,3,IF(D2854=1,2,IF(F2854=1,1,0)))</f>
        <v>0</v>
      </c>
      <c r="B2854" s="4" t="str">
        <f>IF(C2854=$L2854,1,IF(C2854="","",0))</f>
        <v/>
      </c>
      <c r="C2854" s="42"/>
      <c r="D2854" s="4" t="str">
        <f>IF(E2854=$L2854,1,IF(E2854="","",0))</f>
        <v/>
      </c>
      <c r="E2854" s="23"/>
      <c r="F2854" s="4" t="str">
        <f>IF(G2854=$L2854,1,IF(G2854="","",0))</f>
        <v/>
      </c>
      <c r="G2854" s="14"/>
      <c r="H2854" s="6">
        <v>1691</v>
      </c>
      <c r="I2854" s="15" t="s">
        <v>3120</v>
      </c>
      <c r="J2854" s="6" t="s">
        <v>4801</v>
      </c>
      <c r="K2854" s="6"/>
      <c r="L2854" s="6" t="s">
        <v>1771</v>
      </c>
      <c r="M2854" s="6" t="s">
        <v>7797</v>
      </c>
      <c r="N2854" s="7">
        <f ca="1">RAND()</f>
        <v>0.88967848857792331</v>
      </c>
      <c r="O2854" s="8">
        <v>45210</v>
      </c>
      <c r="P2854" s="8">
        <v>45211</v>
      </c>
      <c r="Q2854" s="8">
        <v>45213</v>
      </c>
      <c r="R2854" s="8">
        <v>45217</v>
      </c>
      <c r="S2854" s="8">
        <v>45224</v>
      </c>
      <c r="T2854" s="8">
        <v>45236</v>
      </c>
      <c r="U2854" s="8">
        <v>45816</v>
      </c>
      <c r="V2854" s="10">
        <f>COUNTA(O2854:U2854)</f>
        <v>7</v>
      </c>
      <c r="W2854" s="11">
        <f>_xlfn.IFNA(INDEX(reading[[#This Row],[Memo 01]:[Memo 07]],MATCH(0,reading[[#This Row],[Memo 01]:[Memo 07]],-1)),"")</f>
        <v>45816</v>
      </c>
      <c r="X2854" s="11">
        <f ca="1">IFERROR(reading[[#This Row],[Previous]]+OFFSET(reading[[#Headers],[Memo 01]],-1,MATCH(0,reading[[#This Row],[Memo 01]:[Memo 07]],-1)-1),"")</f>
        <v>55816</v>
      </c>
      <c r="Y2854" s="10" t="str">
        <f ca="1">IF(reading[[#This Row],[Next]]&lt;&gt;"",IF(reading[[#This Row],[Next]]&gt;TODAY(),"OK",""),"")</f>
        <v>OK</v>
      </c>
      <c r="Z2854" s="13">
        <v>3</v>
      </c>
      <c r="AA2854" s="13">
        <v>3</v>
      </c>
      <c r="AB2854" s="13">
        <v>3</v>
      </c>
      <c r="AC2854" s="13">
        <v>3</v>
      </c>
      <c r="AD2854" s="13">
        <v>3</v>
      </c>
      <c r="AE2854" s="13">
        <v>3</v>
      </c>
      <c r="AF2854" s="13">
        <v>2</v>
      </c>
      <c r="AG2854" s="16">
        <f>IFERROR(SUMIF(reading[[#This Row],[1st]:[7th]],"&gt;0")/COUNTIF(reading[[#This Row],[1st]:[7th]],"&gt;0"),"")</f>
        <v>2.8571428571428572</v>
      </c>
    </row>
    <row r="2855" spans="1:33" x14ac:dyDescent="0.2">
      <c r="A2855" s="4">
        <f>IF(B2855=1,3,IF(D2855=1,2,IF(F2855=1,1,0)))</f>
        <v>0</v>
      </c>
      <c r="B2855" s="4" t="str">
        <f>IF(C2855=$L2855,1,IF(C2855="","",0))</f>
        <v/>
      </c>
      <c r="C2855" s="39"/>
      <c r="D2855" s="4" t="str">
        <f>IF(E2855=$L2855,1,IF(E2855="","",0))</f>
        <v/>
      </c>
      <c r="E2855" s="14"/>
      <c r="F2855" s="4" t="str">
        <f>IF(G2855=$L2855,1,IF(G2855="","",0))</f>
        <v/>
      </c>
      <c r="G2855" s="14"/>
      <c r="H2855" s="6">
        <v>975</v>
      </c>
      <c r="I2855" s="15" t="s">
        <v>3120</v>
      </c>
      <c r="J2855" s="6" t="s">
        <v>4104</v>
      </c>
      <c r="K2855" s="6"/>
      <c r="L2855" s="6" t="s">
        <v>1085</v>
      </c>
      <c r="M2855" s="6" t="s">
        <v>7083</v>
      </c>
      <c r="N2855" s="7">
        <f ca="1">RAND()</f>
        <v>0.63939351347265783</v>
      </c>
      <c r="O2855" s="8">
        <v>45204</v>
      </c>
      <c r="P2855" s="8">
        <v>45205</v>
      </c>
      <c r="Q2855" s="8">
        <v>45207</v>
      </c>
      <c r="R2855" s="8">
        <v>45211</v>
      </c>
      <c r="S2855" s="8">
        <v>45218</v>
      </c>
      <c r="T2855" s="8">
        <v>45230</v>
      </c>
      <c r="U2855" s="8"/>
      <c r="V2855" s="10">
        <f>COUNTA(O2855:U2855)</f>
        <v>6</v>
      </c>
      <c r="W2855" s="11">
        <f>_xlfn.IFNA(INDEX(reading[[#This Row],[Memo 01]:[Memo 07]],MATCH(0,reading[[#This Row],[Memo 01]:[Memo 07]],-1)),"")</f>
        <v>45230</v>
      </c>
      <c r="X2855" s="11">
        <f ca="1">IFERROR(reading[[#This Row],[Previous]]+OFFSET(reading[[#Headers],[Memo 01]],-1,MATCH(0,reading[[#This Row],[Memo 01]:[Memo 07]],-1)-1),"")</f>
        <v>45250</v>
      </c>
      <c r="Y2855" s="10" t="str">
        <f ca="1">IF(reading[[#This Row],[Next]]&lt;&gt;"",IF(reading[[#This Row],[Next]]&gt;TODAY(),"OK",""),"")</f>
        <v/>
      </c>
      <c r="Z2855" s="13">
        <v>3</v>
      </c>
      <c r="AA2855" s="13">
        <v>3</v>
      </c>
      <c r="AB2855" s="13">
        <v>3</v>
      </c>
      <c r="AC2855" s="13">
        <v>3</v>
      </c>
      <c r="AD2855" s="13">
        <v>3</v>
      </c>
      <c r="AE2855" s="13">
        <v>3</v>
      </c>
      <c r="AF2855" s="13"/>
      <c r="AG2855" s="16">
        <f>IFERROR(SUMIF(reading[[#This Row],[1st]:[7th]],"&gt;0")/COUNTIF(reading[[#This Row],[1st]:[7th]],"&gt;0"),"")</f>
        <v>3</v>
      </c>
    </row>
    <row r="2856" spans="1:33" x14ac:dyDescent="0.2">
      <c r="A2856" s="4">
        <f>IF(B2856=1,3,IF(D2856=1,2,IF(F2856=1,1,0)))</f>
        <v>0</v>
      </c>
      <c r="B2856" s="4" t="str">
        <f>IF(C2856=$L2856,1,IF(C2856="","",0))</f>
        <v/>
      </c>
      <c r="C2856" s="39"/>
      <c r="D2856" s="4" t="str">
        <f>IF(E2856=$L2856,1,IF(E2856="","",0))</f>
        <v/>
      </c>
      <c r="E2856" s="14"/>
      <c r="F2856" s="4" t="str">
        <f>IF(G2856=$L2856,1,IF(G2856="","",0))</f>
        <v/>
      </c>
      <c r="G2856" s="14"/>
      <c r="H2856" s="6">
        <v>2784</v>
      </c>
      <c r="I2856" s="15" t="s">
        <v>3120</v>
      </c>
      <c r="J2856" s="6" t="s">
        <v>5827</v>
      </c>
      <c r="K2856" s="6"/>
      <c r="L2856" s="6" t="s">
        <v>107</v>
      </c>
      <c r="M2856" s="6" t="s">
        <v>8888</v>
      </c>
      <c r="N2856" s="7">
        <f ca="1">RAND()</f>
        <v>0.60153213923027016</v>
      </c>
      <c r="O2856" s="8">
        <v>45222</v>
      </c>
      <c r="P2856" s="8">
        <v>45223</v>
      </c>
      <c r="Q2856" s="8">
        <v>45225</v>
      </c>
      <c r="R2856" s="8">
        <v>45229</v>
      </c>
      <c r="S2856" s="8">
        <v>45236</v>
      </c>
      <c r="T2856" s="8"/>
      <c r="U2856" s="8"/>
      <c r="V2856" s="10">
        <f>COUNTA(O2856:U2856)</f>
        <v>5</v>
      </c>
      <c r="W2856" s="11">
        <f>_xlfn.IFNA(INDEX(reading[[#This Row],[Memo 01]:[Memo 07]],MATCH(0,reading[[#This Row],[Memo 01]:[Memo 07]],-1)),"")</f>
        <v>45236</v>
      </c>
      <c r="X2856" s="11">
        <f ca="1">IFERROR(reading[[#This Row],[Previous]]+OFFSET(reading[[#Headers],[Memo 01]],-1,MATCH(0,reading[[#This Row],[Memo 01]:[Memo 07]],-1)-1),"")</f>
        <v>45248</v>
      </c>
      <c r="Y2856" s="10" t="str">
        <f ca="1">IF(reading[[#This Row],[Next]]&lt;&gt;"",IF(reading[[#This Row],[Next]]&gt;TODAY(),"OK",""),"")</f>
        <v/>
      </c>
      <c r="Z2856" s="13">
        <v>3</v>
      </c>
      <c r="AA2856" s="13">
        <v>3</v>
      </c>
      <c r="AB2856" s="13">
        <v>3</v>
      </c>
      <c r="AC2856" s="13">
        <v>3</v>
      </c>
      <c r="AD2856" s="13">
        <v>3</v>
      </c>
      <c r="AE2856" s="13"/>
      <c r="AF2856" s="13"/>
      <c r="AG2856" s="16">
        <f>IFERROR(SUMIF(reading[[#This Row],[1st]:[7th]],"&gt;0")/COUNTIF(reading[[#This Row],[1st]:[7th]],"&gt;0"),"")</f>
        <v>3</v>
      </c>
    </row>
    <row r="2857" spans="1:33" hidden="1" x14ac:dyDescent="0.2">
      <c r="A2857" s="4">
        <f>IF(B2857=1,3,IF(D2857=1,2,IF(F2857=1,1,0)))</f>
        <v>0</v>
      </c>
      <c r="B2857" s="4" t="str">
        <f>IF(C2857=$L2857,1,IF(C2857="","",0))</f>
        <v/>
      </c>
      <c r="C2857" s="18"/>
      <c r="D2857" s="4" t="str">
        <f>IF(E2857=$L2857,1,IF(E2857="","",0))</f>
        <v/>
      </c>
      <c r="E2857" s="18"/>
      <c r="F2857" s="4" t="str">
        <f>IF(G2857=$L2857,1,IF(G2857="","",0))</f>
        <v/>
      </c>
      <c r="G2857" s="18"/>
      <c r="H2857" s="6">
        <v>201</v>
      </c>
      <c r="I2857" s="15" t="s">
        <v>3120</v>
      </c>
      <c r="J2857" s="6" t="s">
        <v>3350</v>
      </c>
      <c r="K2857" s="6"/>
      <c r="L2857" s="6" t="s">
        <v>337</v>
      </c>
      <c r="M2857" s="6" t="s">
        <v>6310</v>
      </c>
      <c r="N2857" s="7">
        <f ca="1">RAND()</f>
        <v>0.90840726275324379</v>
      </c>
      <c r="O2857" s="8">
        <v>45199</v>
      </c>
      <c r="P2857" s="8">
        <v>45200</v>
      </c>
      <c r="Q2857" s="8">
        <v>45202</v>
      </c>
      <c r="R2857" s="8">
        <v>45213</v>
      </c>
      <c r="S2857" s="8">
        <v>45220</v>
      </c>
      <c r="T2857" s="8">
        <v>45232</v>
      </c>
      <c r="U2857" s="8">
        <v>45253</v>
      </c>
      <c r="V2857" s="10">
        <f>COUNTA(O2857:U2857)</f>
        <v>7</v>
      </c>
      <c r="W2857" s="11">
        <f>_xlfn.IFNA(INDEX(reading[[#This Row],[Memo 01]:[Memo 07]],MATCH(0,reading[[#This Row],[Memo 01]:[Memo 07]],-1)),"")</f>
        <v>45253</v>
      </c>
      <c r="X2857" s="11">
        <f ca="1">IFERROR(reading[[#This Row],[Previous]]+OFFSET(reading[[#Headers],[Memo 01]],-1,MATCH(0,reading[[#This Row],[Memo 01]:[Memo 07]],-1)-1),"")</f>
        <v>55253</v>
      </c>
      <c r="Y2857" s="10" t="str">
        <f ca="1">IF(reading[[#This Row],[Next]]&lt;&gt;"",IF(reading[[#This Row],[Next]]&gt;TODAY(),"OK",""),"")</f>
        <v>OK</v>
      </c>
      <c r="Z2857" s="13">
        <v>3</v>
      </c>
      <c r="AA2857" s="13">
        <v>3</v>
      </c>
      <c r="AB2857" s="13">
        <v>2</v>
      </c>
      <c r="AC2857" s="13">
        <v>3</v>
      </c>
      <c r="AD2857" s="13">
        <v>1</v>
      </c>
      <c r="AE2857" s="13">
        <v>3</v>
      </c>
      <c r="AF2857" s="13">
        <v>2</v>
      </c>
      <c r="AG2857" s="16">
        <f>IFERROR(SUMIF(reading[[#This Row],[1st]:[7th]],"&gt;0")/COUNTIF(reading[[#This Row],[1st]:[7th]],"&gt;0"),"")</f>
        <v>2.4285714285714284</v>
      </c>
    </row>
    <row r="2858" spans="1:33" x14ac:dyDescent="0.2">
      <c r="A2858" s="4">
        <f>IF(B2858=1,3,IF(D2858=1,2,IF(F2858=1,1,0)))</f>
        <v>0</v>
      </c>
      <c r="B2858" s="4" t="str">
        <f>IF(C2858=$L2858,1,IF(C2858="","",0))</f>
        <v/>
      </c>
      <c r="C2858" s="38"/>
      <c r="D2858" s="4" t="str">
        <f>IF(E2858=$L2858,1,IF(E2858="","",0))</f>
        <v/>
      </c>
      <c r="E2858" s="14"/>
      <c r="F2858" s="4" t="str">
        <f>IF(G2858=$L2858,1,IF(G2858="","",0))</f>
        <v/>
      </c>
      <c r="G2858" s="14"/>
      <c r="H2858" s="6">
        <v>454</v>
      </c>
      <c r="I2858" s="15" t="s">
        <v>3120</v>
      </c>
      <c r="J2858" s="6" t="s">
        <v>3600</v>
      </c>
      <c r="K2858" s="6"/>
      <c r="L2858" s="6" t="s">
        <v>583</v>
      </c>
      <c r="M2858" s="6" t="s">
        <v>6563</v>
      </c>
      <c r="N2858" s="7">
        <f ca="1">RAND()</f>
        <v>0.17094972579104506</v>
      </c>
      <c r="O2858" s="8">
        <v>45202</v>
      </c>
      <c r="P2858" s="8">
        <v>45203</v>
      </c>
      <c r="Q2858" s="8">
        <v>45205</v>
      </c>
      <c r="R2858" s="8">
        <v>45209</v>
      </c>
      <c r="S2858" s="8">
        <v>45216</v>
      </c>
      <c r="T2858" s="8">
        <v>45228</v>
      </c>
      <c r="U2858" s="8"/>
      <c r="V2858" s="10">
        <f>COUNTA(O2858:U2858)</f>
        <v>6</v>
      </c>
      <c r="W2858" s="11">
        <f>_xlfn.IFNA(INDEX(reading[[#This Row],[Memo 01]:[Memo 07]],MATCH(0,reading[[#This Row],[Memo 01]:[Memo 07]],-1)),"")</f>
        <v>45228</v>
      </c>
      <c r="X2858" s="11">
        <f ca="1">IFERROR(reading[[#This Row],[Previous]]+OFFSET(reading[[#Headers],[Memo 01]],-1,MATCH(0,reading[[#This Row],[Memo 01]:[Memo 07]],-1)-1),"")</f>
        <v>45248</v>
      </c>
      <c r="Y2858" s="10" t="str">
        <f ca="1">IF(reading[[#This Row],[Next]]&lt;&gt;"",IF(reading[[#This Row],[Next]]&gt;TODAY(),"OK",""),"")</f>
        <v/>
      </c>
      <c r="Z2858" s="13">
        <v>3</v>
      </c>
      <c r="AA2858" s="13">
        <v>3</v>
      </c>
      <c r="AB2858" s="13">
        <v>3</v>
      </c>
      <c r="AC2858" s="13">
        <v>3</v>
      </c>
      <c r="AD2858" s="13">
        <v>3</v>
      </c>
      <c r="AE2858" s="13">
        <v>3</v>
      </c>
      <c r="AF2858" s="13"/>
      <c r="AG2858" s="16">
        <f>IFERROR(SUMIF(reading[[#This Row],[1st]:[7th]],"&gt;0")/COUNTIF(reading[[#This Row],[1st]:[7th]],"&gt;0"),"")</f>
        <v>3</v>
      </c>
    </row>
    <row r="2859" spans="1:33" hidden="1" x14ac:dyDescent="0.2">
      <c r="A2859" s="4">
        <f>IF(B2859=1,3,IF(D2859=1,2,IF(F2859=1,1,0)))</f>
        <v>0</v>
      </c>
      <c r="B2859" s="4" t="str">
        <f>IF(C2859=$L2859,1,IF(C2859="","",0))</f>
        <v/>
      </c>
      <c r="C2859" s="42"/>
      <c r="D2859" s="4" t="str">
        <f>IF(E2859=$L2859,1,IF(E2859="","",0))</f>
        <v/>
      </c>
      <c r="E2859" s="23"/>
      <c r="F2859" s="4" t="str">
        <f>IF(G2859=$L2859,1,IF(G2859="","",0))</f>
        <v/>
      </c>
      <c r="G2859" s="14"/>
      <c r="H2859" s="6">
        <v>2648</v>
      </c>
      <c r="I2859" s="15" t="s">
        <v>3120</v>
      </c>
      <c r="J2859" s="6" t="s">
        <v>3672</v>
      </c>
      <c r="K2859" s="6"/>
      <c r="L2859" s="6" t="s">
        <v>2688</v>
      </c>
      <c r="M2859" s="6" t="s">
        <v>8753</v>
      </c>
      <c r="N2859" s="7">
        <f ca="1">RAND()</f>
        <v>0.62047856018502223</v>
      </c>
      <c r="O2859" s="8">
        <v>45220</v>
      </c>
      <c r="P2859" s="8">
        <v>45221</v>
      </c>
      <c r="Q2859" s="8">
        <v>45223</v>
      </c>
      <c r="R2859" s="8">
        <v>45227</v>
      </c>
      <c r="S2859" s="8">
        <v>45234</v>
      </c>
      <c r="T2859" s="8">
        <v>45825</v>
      </c>
      <c r="U2859" s="8"/>
      <c r="V2859" s="10">
        <f>COUNTA(O2859:U2859)</f>
        <v>6</v>
      </c>
      <c r="W2859" s="11">
        <f>_xlfn.IFNA(INDEX(reading[[#This Row],[Memo 01]:[Memo 07]],MATCH(0,reading[[#This Row],[Memo 01]:[Memo 07]],-1)),"")</f>
        <v>45825</v>
      </c>
      <c r="X2859" s="11">
        <f ca="1">IFERROR(reading[[#This Row],[Previous]]+OFFSET(reading[[#Headers],[Memo 01]],-1,MATCH(0,reading[[#This Row],[Memo 01]:[Memo 07]],-1)-1),"")</f>
        <v>45845</v>
      </c>
      <c r="Y2859" s="10" t="str">
        <f ca="1">IF(reading[[#This Row],[Next]]&lt;&gt;"",IF(reading[[#This Row],[Next]]&gt;TODAY(),"OK",""),"")</f>
        <v>OK</v>
      </c>
      <c r="Z2859" s="13">
        <v>3</v>
      </c>
      <c r="AA2859" s="13">
        <v>3</v>
      </c>
      <c r="AB2859" s="13">
        <v>3</v>
      </c>
      <c r="AC2859" s="13">
        <v>3</v>
      </c>
      <c r="AD2859" s="13">
        <v>3</v>
      </c>
      <c r="AE2859" s="13">
        <v>2</v>
      </c>
      <c r="AF2859" s="13"/>
      <c r="AG2859" s="16">
        <f>IFERROR(SUMIF(reading[[#This Row],[1st]:[7th]],"&gt;0")/COUNTIF(reading[[#This Row],[1st]:[7th]],"&gt;0"),"")</f>
        <v>2.8333333333333335</v>
      </c>
    </row>
    <row r="2860" spans="1:33" x14ac:dyDescent="0.2">
      <c r="A2860" s="4">
        <f>IF(B2860=1,3,IF(D2860=1,2,IF(F2860=1,1,0)))</f>
        <v>0</v>
      </c>
      <c r="B2860" s="4" t="str">
        <f>IF(C2860=$L2860,1,IF(C2860="","",0))</f>
        <v/>
      </c>
      <c r="C2860" s="39"/>
      <c r="D2860" s="4" t="str">
        <f>IF(E2860=$L2860,1,IF(E2860="","",0))</f>
        <v/>
      </c>
      <c r="E2860" s="14"/>
      <c r="F2860" s="4" t="str">
        <f>IF(G2860=$L2860,1,IF(G2860="","",0))</f>
        <v/>
      </c>
      <c r="G2860" s="14"/>
      <c r="H2860" s="6">
        <v>1319</v>
      </c>
      <c r="I2860" s="15" t="s">
        <v>3120</v>
      </c>
      <c r="J2860" s="6" t="s">
        <v>4435</v>
      </c>
      <c r="K2860" s="6"/>
      <c r="L2860" s="6" t="s">
        <v>1416</v>
      </c>
      <c r="M2860" s="6" t="s">
        <v>7426</v>
      </c>
      <c r="N2860" s="7">
        <f ca="1">RAND()</f>
        <v>0.62590423786878513</v>
      </c>
      <c r="O2860" s="8">
        <v>45207</v>
      </c>
      <c r="P2860" s="8">
        <v>45208</v>
      </c>
      <c r="Q2860" s="8">
        <v>45210</v>
      </c>
      <c r="R2860" s="8">
        <v>45214</v>
      </c>
      <c r="S2860" s="8">
        <v>45221</v>
      </c>
      <c r="T2860" s="8">
        <v>45233</v>
      </c>
      <c r="U2860" s="8"/>
      <c r="V2860" s="10">
        <f>COUNTA(O2860:U2860)</f>
        <v>6</v>
      </c>
      <c r="W2860" s="11">
        <f>_xlfn.IFNA(INDEX(reading[[#This Row],[Memo 01]:[Memo 07]],MATCH(0,reading[[#This Row],[Memo 01]:[Memo 07]],-1)),"")</f>
        <v>45233</v>
      </c>
      <c r="X2860" s="11">
        <f ca="1">IFERROR(reading[[#This Row],[Previous]]+OFFSET(reading[[#Headers],[Memo 01]],-1,MATCH(0,reading[[#This Row],[Memo 01]:[Memo 07]],-1)-1),"")</f>
        <v>45253</v>
      </c>
      <c r="Y2860" s="10" t="str">
        <f ca="1">IF(reading[[#This Row],[Next]]&lt;&gt;"",IF(reading[[#This Row],[Next]]&gt;TODAY(),"OK",""),"")</f>
        <v/>
      </c>
      <c r="Z2860" s="13">
        <v>3</v>
      </c>
      <c r="AA2860" s="13">
        <v>3</v>
      </c>
      <c r="AB2860" s="13">
        <v>3</v>
      </c>
      <c r="AC2860" s="13">
        <v>3</v>
      </c>
      <c r="AD2860" s="13">
        <v>3</v>
      </c>
      <c r="AE2860" s="13">
        <v>3</v>
      </c>
      <c r="AF2860" s="13"/>
      <c r="AG2860" s="16">
        <f>IFERROR(SUMIF(reading[[#This Row],[1st]:[7th]],"&gt;0")/COUNTIF(reading[[#This Row],[1st]:[7th]],"&gt;0"),"")</f>
        <v>3</v>
      </c>
    </row>
    <row r="2861" spans="1:33" x14ac:dyDescent="0.2">
      <c r="A2861" s="4">
        <f>IF(B2861=1,3,IF(D2861=1,2,IF(F2861=1,1,0)))</f>
        <v>0</v>
      </c>
      <c r="B2861" s="4" t="str">
        <f>IF(C2861=$L2861,1,IF(C2861="","",0))</f>
        <v/>
      </c>
      <c r="C2861" s="38"/>
      <c r="D2861" s="4" t="str">
        <f>IF(E2861=$L2861,1,IF(E2861="","",0))</f>
        <v/>
      </c>
      <c r="E2861" s="14"/>
      <c r="F2861" s="4" t="str">
        <f>IF(G2861=$L2861,1,IF(G2861="","",0))</f>
        <v/>
      </c>
      <c r="G2861" s="14"/>
      <c r="H2861" s="6">
        <v>2060</v>
      </c>
      <c r="I2861" s="15" t="s">
        <v>3120</v>
      </c>
      <c r="J2861" s="6" t="s">
        <v>5155</v>
      </c>
      <c r="K2861" s="6"/>
      <c r="L2861" s="6" t="s">
        <v>2133</v>
      </c>
      <c r="M2861" s="6" t="s">
        <v>8166</v>
      </c>
      <c r="N2861" s="7">
        <f ca="1">RAND()</f>
        <v>0.41278014913768402</v>
      </c>
      <c r="O2861" s="8">
        <v>45214</v>
      </c>
      <c r="P2861" s="8">
        <v>45215</v>
      </c>
      <c r="Q2861" s="8">
        <v>45217</v>
      </c>
      <c r="R2861" s="8">
        <v>45221</v>
      </c>
      <c r="S2861" s="8">
        <v>45228</v>
      </c>
      <c r="T2861" s="8"/>
      <c r="U2861" s="8"/>
      <c r="V2861" s="10">
        <f>COUNTA(O2861:U2861)</f>
        <v>5</v>
      </c>
      <c r="W2861" s="11">
        <f>_xlfn.IFNA(INDEX(reading[[#This Row],[Memo 01]:[Memo 07]],MATCH(0,reading[[#This Row],[Memo 01]:[Memo 07]],-1)),"")</f>
        <v>45228</v>
      </c>
      <c r="X2861" s="11">
        <f ca="1">IFERROR(reading[[#This Row],[Previous]]+OFFSET(reading[[#Headers],[Memo 01]],-1,MATCH(0,reading[[#This Row],[Memo 01]:[Memo 07]],-1)-1),"")</f>
        <v>45240</v>
      </c>
      <c r="Y2861" s="10" t="str">
        <f ca="1">IF(reading[[#This Row],[Next]]&lt;&gt;"",IF(reading[[#This Row],[Next]]&gt;TODAY(),"OK",""),"")</f>
        <v/>
      </c>
      <c r="Z2861" s="13">
        <v>3</v>
      </c>
      <c r="AA2861" s="13">
        <v>3</v>
      </c>
      <c r="AB2861" s="13">
        <v>3</v>
      </c>
      <c r="AC2861" s="13">
        <v>3</v>
      </c>
      <c r="AD2861" s="13">
        <v>3</v>
      </c>
      <c r="AE2861" s="13"/>
      <c r="AF2861" s="13"/>
      <c r="AG2861" s="16">
        <f>IFERROR(SUMIF(reading[[#This Row],[1st]:[7th]],"&gt;0")/COUNTIF(reading[[#This Row],[1st]:[7th]],"&gt;0"),"")</f>
        <v>3</v>
      </c>
    </row>
    <row r="2862" spans="1:33" x14ac:dyDescent="0.2">
      <c r="A2862" s="4">
        <f>IF(B2862=1,3,IF(D2862=1,2,IF(F2862=1,1,0)))</f>
        <v>0</v>
      </c>
      <c r="B2862" s="4" t="str">
        <f>IF(C2862=$L2862,1,IF(C2862="","",0))</f>
        <v/>
      </c>
      <c r="C2862" s="39"/>
      <c r="D2862" s="4" t="str">
        <f>IF(E2862=$L2862,1,IF(E2862="","",0))</f>
        <v/>
      </c>
      <c r="E2862" s="14"/>
      <c r="F2862" s="4" t="str">
        <f>IF(G2862=$L2862,1,IF(G2862="","",0))</f>
        <v/>
      </c>
      <c r="G2862" s="14"/>
      <c r="H2862" s="6">
        <v>1275</v>
      </c>
      <c r="I2862" s="15" t="s">
        <v>3120</v>
      </c>
      <c r="J2862" s="6" t="s">
        <v>4392</v>
      </c>
      <c r="K2862" s="6" t="s">
        <v>3138</v>
      </c>
      <c r="L2862" s="6" t="s">
        <v>1373</v>
      </c>
      <c r="M2862" s="6" t="s">
        <v>7382</v>
      </c>
      <c r="N2862" s="7">
        <f ca="1">RAND()</f>
        <v>0.29519470649057256</v>
      </c>
      <c r="O2862" s="8">
        <v>45207</v>
      </c>
      <c r="P2862" s="8">
        <v>45208</v>
      </c>
      <c r="Q2862" s="8">
        <v>45210</v>
      </c>
      <c r="R2862" s="8">
        <v>45214</v>
      </c>
      <c r="S2862" s="8">
        <v>45221</v>
      </c>
      <c r="T2862" s="8">
        <v>45233</v>
      </c>
      <c r="U2862" s="8"/>
      <c r="V2862" s="10">
        <f>COUNTA(O2862:U2862)</f>
        <v>6</v>
      </c>
      <c r="W2862" s="11">
        <f>_xlfn.IFNA(INDEX(reading[[#This Row],[Memo 01]:[Memo 07]],MATCH(0,reading[[#This Row],[Memo 01]:[Memo 07]],-1)),"")</f>
        <v>45233</v>
      </c>
      <c r="X2862" s="11">
        <f ca="1">IFERROR(reading[[#This Row],[Previous]]+OFFSET(reading[[#Headers],[Memo 01]],-1,MATCH(0,reading[[#This Row],[Memo 01]:[Memo 07]],-1)-1),"")</f>
        <v>45253</v>
      </c>
      <c r="Y2862" s="10" t="str">
        <f ca="1">IF(reading[[#This Row],[Next]]&lt;&gt;"",IF(reading[[#This Row],[Next]]&gt;TODAY(),"OK",""),"")</f>
        <v/>
      </c>
      <c r="Z2862" s="13">
        <v>3</v>
      </c>
      <c r="AA2862" s="13">
        <v>3</v>
      </c>
      <c r="AB2862" s="13">
        <v>3</v>
      </c>
      <c r="AC2862" s="13">
        <v>3</v>
      </c>
      <c r="AD2862" s="13">
        <v>3</v>
      </c>
      <c r="AE2862" s="13">
        <v>3</v>
      </c>
      <c r="AF2862" s="13"/>
      <c r="AG2862" s="16">
        <f>IFERROR(SUMIF(reading[[#This Row],[1st]:[7th]],"&gt;0")/COUNTIF(reading[[#This Row],[1st]:[7th]],"&gt;0"),"")</f>
        <v>3</v>
      </c>
    </row>
    <row r="2863" spans="1:33" hidden="1" x14ac:dyDescent="0.2">
      <c r="A2863" s="4">
        <f>IF(B2863=1,3,IF(D2863=1,2,IF(F2863=1,1,0)))</f>
        <v>0</v>
      </c>
      <c r="B2863" s="4" t="str">
        <f>IF(C2863=$L2863,1,IF(C2863="","",0))</f>
        <v/>
      </c>
      <c r="C2863" s="41"/>
      <c r="D2863" s="4" t="str">
        <f>IF(E2863=$L2863,1,IF(E2863="","",0))</f>
        <v/>
      </c>
      <c r="E2863" s="18"/>
      <c r="F2863" s="4" t="str">
        <f>IF(G2863=$L2863,1,IF(G2863="","",0))</f>
        <v/>
      </c>
      <c r="G2863" s="14"/>
      <c r="H2863" s="6">
        <v>151</v>
      </c>
      <c r="I2863" s="15" t="s">
        <v>3120</v>
      </c>
      <c r="J2863" s="6" t="s">
        <v>3300</v>
      </c>
      <c r="K2863" s="6"/>
      <c r="L2863" s="6" t="s">
        <v>288</v>
      </c>
      <c r="M2863" s="6" t="s">
        <v>6260</v>
      </c>
      <c r="N2863" s="7">
        <f ca="1">RAND()</f>
        <v>0.77415874043683242</v>
      </c>
      <c r="O2863" s="8">
        <v>45199</v>
      </c>
      <c r="P2863" s="8">
        <v>45200</v>
      </c>
      <c r="Q2863" s="8">
        <v>45202</v>
      </c>
      <c r="R2863" s="8">
        <v>45206</v>
      </c>
      <c r="S2863" s="8">
        <v>45213</v>
      </c>
      <c r="T2863" s="8">
        <v>45225</v>
      </c>
      <c r="U2863" s="8">
        <v>45249</v>
      </c>
      <c r="V2863" s="10">
        <f>COUNTA(O2863:U2863)</f>
        <v>7</v>
      </c>
      <c r="W2863" s="11">
        <f>_xlfn.IFNA(INDEX(reading[[#This Row],[Memo 01]:[Memo 07]],MATCH(0,reading[[#This Row],[Memo 01]:[Memo 07]],-1)),"")</f>
        <v>45249</v>
      </c>
      <c r="X2863" s="11">
        <f ca="1">IFERROR(reading[[#This Row],[Previous]]+OFFSET(reading[[#Headers],[Memo 01]],-1,MATCH(0,reading[[#This Row],[Memo 01]:[Memo 07]],-1)-1),"")</f>
        <v>55249</v>
      </c>
      <c r="Y2863" s="10" t="str">
        <f ca="1">IF(reading[[#This Row],[Next]]&lt;&gt;"",IF(reading[[#This Row],[Next]]&gt;TODAY(),"OK",""),"")</f>
        <v>OK</v>
      </c>
      <c r="Z2863" s="13">
        <v>3</v>
      </c>
      <c r="AA2863" s="13">
        <v>3</v>
      </c>
      <c r="AB2863" s="13">
        <v>3</v>
      </c>
      <c r="AC2863" s="13">
        <v>2</v>
      </c>
      <c r="AD2863" s="13">
        <v>2</v>
      </c>
      <c r="AE2863" s="13">
        <v>2</v>
      </c>
      <c r="AF2863" s="13">
        <v>2</v>
      </c>
      <c r="AG2863" s="16">
        <f>IFERROR(SUMIF(reading[[#This Row],[1st]:[7th]],"&gt;0")/COUNTIF(reading[[#This Row],[1st]:[7th]],"&gt;0"),"")</f>
        <v>2.4285714285714284</v>
      </c>
    </row>
    <row r="2864" spans="1:33" x14ac:dyDescent="0.2">
      <c r="A2864" s="4">
        <f>IF(B2864=1,3,IF(D2864=1,2,IF(F2864=1,1,0)))</f>
        <v>0</v>
      </c>
      <c r="B2864" s="4" t="str">
        <f>IF(C2864=$L2864,1,IF(C2864="","",0))</f>
        <v/>
      </c>
      <c r="C2864" s="39"/>
      <c r="D2864" s="4" t="str">
        <f>IF(E2864=$L2864,1,IF(E2864="","",0))</f>
        <v/>
      </c>
      <c r="E2864" s="14"/>
      <c r="F2864" s="4" t="str">
        <f>IF(G2864=$L2864,1,IF(G2864="","",0))</f>
        <v/>
      </c>
      <c r="G2864" s="14"/>
      <c r="H2864" s="6">
        <v>2613</v>
      </c>
      <c r="I2864" s="15" t="s">
        <v>3120</v>
      </c>
      <c r="J2864" s="6" t="s">
        <v>5668</v>
      </c>
      <c r="K2864" s="6"/>
      <c r="L2864" s="6" t="s">
        <v>2656</v>
      </c>
      <c r="M2864" s="6" t="s">
        <v>8718</v>
      </c>
      <c r="N2864" s="7">
        <f ca="1">RAND()</f>
        <v>0.98399771605314212</v>
      </c>
      <c r="O2864" s="8">
        <v>45220</v>
      </c>
      <c r="P2864" s="8">
        <v>45221</v>
      </c>
      <c r="Q2864" s="8">
        <v>45223</v>
      </c>
      <c r="R2864" s="8">
        <v>45227</v>
      </c>
      <c r="S2864" s="8">
        <v>45234</v>
      </c>
      <c r="T2864" s="8"/>
      <c r="U2864" s="8"/>
      <c r="V2864" s="10">
        <f>COUNTA(O2864:U2864)</f>
        <v>5</v>
      </c>
      <c r="W2864" s="11">
        <f>_xlfn.IFNA(INDEX(reading[[#This Row],[Memo 01]:[Memo 07]],MATCH(0,reading[[#This Row],[Memo 01]:[Memo 07]],-1)),"")</f>
        <v>45234</v>
      </c>
      <c r="X2864" s="11">
        <f ca="1">IFERROR(reading[[#This Row],[Previous]]+OFFSET(reading[[#Headers],[Memo 01]],-1,MATCH(0,reading[[#This Row],[Memo 01]:[Memo 07]],-1)-1),"")</f>
        <v>45246</v>
      </c>
      <c r="Y2864" s="10" t="str">
        <f ca="1">IF(reading[[#This Row],[Next]]&lt;&gt;"",IF(reading[[#This Row],[Next]]&gt;TODAY(),"OK",""),"")</f>
        <v/>
      </c>
      <c r="Z2864" s="13">
        <v>3</v>
      </c>
      <c r="AA2864" s="13">
        <v>3</v>
      </c>
      <c r="AB2864" s="13">
        <v>3</v>
      </c>
      <c r="AC2864" s="13">
        <v>3</v>
      </c>
      <c r="AD2864" s="13">
        <v>3</v>
      </c>
      <c r="AE2864" s="13"/>
      <c r="AF2864" s="13"/>
      <c r="AG2864" s="16">
        <f>IFERROR(SUMIF(reading[[#This Row],[1st]:[7th]],"&gt;0")/COUNTIF(reading[[#This Row],[1st]:[7th]],"&gt;0"),"")</f>
        <v>3</v>
      </c>
    </row>
    <row r="2865" spans="1:33" hidden="1" x14ac:dyDescent="0.2">
      <c r="A2865" s="4">
        <f>IF(B2865=1,3,IF(D2865=1,2,IF(F2865=1,1,0)))</f>
        <v>0</v>
      </c>
      <c r="B2865" s="4">
        <f>IF(C2865=$L2865,1,IF(C2865="","",0))</f>
        <v>0</v>
      </c>
      <c r="C2865" s="42" t="s">
        <v>9200</v>
      </c>
      <c r="D2865" s="4">
        <f>IF(E2865=$L2865,1,IF(E2865="","",0))</f>
        <v>0</v>
      </c>
      <c r="E2865" s="43" t="s">
        <v>9265</v>
      </c>
      <c r="F2865" s="4" t="str">
        <f>IF(G2865=$L2865,1,IF(G2865="","",0))</f>
        <v/>
      </c>
      <c r="G2865" s="14"/>
      <c r="H2865" s="6">
        <v>2973</v>
      </c>
      <c r="I2865" s="15" t="s">
        <v>3120</v>
      </c>
      <c r="J2865" s="6" t="s">
        <v>6003</v>
      </c>
      <c r="K2865" s="6"/>
      <c r="L2865" s="6" t="s">
        <v>3002</v>
      </c>
      <c r="M2865" s="6" t="s">
        <v>9077</v>
      </c>
      <c r="N2865" s="7">
        <f ca="1">RAND()</f>
        <v>6.166650017972064E-2</v>
      </c>
      <c r="O2865" s="8">
        <v>45224</v>
      </c>
      <c r="P2865" s="8">
        <v>45225</v>
      </c>
      <c r="Q2865" s="8">
        <v>45227</v>
      </c>
      <c r="R2865" s="8">
        <v>45231</v>
      </c>
      <c r="S2865" s="8">
        <v>45252</v>
      </c>
      <c r="T2865" s="8"/>
      <c r="U2865" s="8"/>
      <c r="V2865" s="10">
        <f>COUNTA(O2865:U2865)</f>
        <v>5</v>
      </c>
      <c r="W2865" s="11">
        <f>_xlfn.IFNA(INDEX(reading[[#This Row],[Memo 01]:[Memo 07]],MATCH(0,reading[[#This Row],[Memo 01]:[Memo 07]],-1)),"")</f>
        <v>45252</v>
      </c>
      <c r="X2865" s="11">
        <f ca="1">IFERROR(reading[[#This Row],[Previous]]+OFFSET(reading[[#Headers],[Memo 01]],-1,MATCH(0,reading[[#This Row],[Memo 01]:[Memo 07]],-1)-1),"")</f>
        <v>45264</v>
      </c>
      <c r="Y2865" s="10" t="str">
        <f ca="1">IF(reading[[#This Row],[Next]]&lt;&gt;"",IF(reading[[#This Row],[Next]]&gt;TODAY(),"OK",""),"")</f>
        <v/>
      </c>
      <c r="Z2865" s="13">
        <v>3</v>
      </c>
      <c r="AA2865" s="13">
        <v>3</v>
      </c>
      <c r="AB2865" s="13">
        <v>3</v>
      </c>
      <c r="AC2865" s="13">
        <v>3</v>
      </c>
      <c r="AD2865" s="13">
        <v>2</v>
      </c>
      <c r="AE2865" s="13"/>
      <c r="AF2865" s="13"/>
      <c r="AG2865" s="16">
        <f>IFERROR(SUMIF(reading[[#This Row],[1st]:[7th]],"&gt;0")/COUNTIF(reading[[#This Row],[1st]:[7th]],"&gt;0"),"")</f>
        <v>2.8</v>
      </c>
    </row>
    <row r="2866" spans="1:33" x14ac:dyDescent="0.2">
      <c r="A2866" s="4">
        <f>IF(B2866=1,3,IF(D2866=1,2,IF(F2866=1,1,0)))</f>
        <v>0</v>
      </c>
      <c r="B2866" s="4" t="str">
        <f>IF(C2866=$L2866,1,IF(C2866="","",0))</f>
        <v/>
      </c>
      <c r="C2866" s="42"/>
      <c r="D2866" s="4" t="str">
        <f>IF(E2866=$L2866,1,IF(E2866="","",0))</f>
        <v/>
      </c>
      <c r="E2866" s="14"/>
      <c r="F2866" s="4" t="str">
        <f>IF(G2866=$L2866,1,IF(G2866="","",0))</f>
        <v/>
      </c>
      <c r="G2866" s="14"/>
      <c r="H2866" s="6">
        <v>2843</v>
      </c>
      <c r="I2866" s="15" t="s">
        <v>3120</v>
      </c>
      <c r="J2866" s="6" t="s">
        <v>5884</v>
      </c>
      <c r="K2866" s="6"/>
      <c r="L2866" s="6" t="s">
        <v>2878</v>
      </c>
      <c r="M2866" s="6" t="s">
        <v>8947</v>
      </c>
      <c r="N2866" s="7">
        <f ca="1">RAND()</f>
        <v>0.95748870266305197</v>
      </c>
      <c r="O2866" s="8">
        <v>45222</v>
      </c>
      <c r="P2866" s="8">
        <v>45223</v>
      </c>
      <c r="Q2866" s="8">
        <v>45225</v>
      </c>
      <c r="R2866" s="8">
        <v>45229</v>
      </c>
      <c r="S2866" s="8">
        <v>45236</v>
      </c>
      <c r="T2866" s="8"/>
      <c r="U2866" s="8"/>
      <c r="V2866" s="10">
        <f>COUNTA(O2866:U2866)</f>
        <v>5</v>
      </c>
      <c r="W2866" s="11">
        <f>_xlfn.IFNA(INDEX(reading[[#This Row],[Memo 01]:[Memo 07]],MATCH(0,reading[[#This Row],[Memo 01]:[Memo 07]],-1)),"")</f>
        <v>45236</v>
      </c>
      <c r="X2866" s="11">
        <f ca="1">IFERROR(reading[[#This Row],[Previous]]+OFFSET(reading[[#Headers],[Memo 01]],-1,MATCH(0,reading[[#This Row],[Memo 01]:[Memo 07]],-1)-1),"")</f>
        <v>45248</v>
      </c>
      <c r="Y2866" s="10" t="str">
        <f ca="1">IF(reading[[#This Row],[Next]]&lt;&gt;"",IF(reading[[#This Row],[Next]]&gt;TODAY(),"OK",""),"")</f>
        <v/>
      </c>
      <c r="Z2866" s="13">
        <v>3</v>
      </c>
      <c r="AA2866" s="13">
        <v>3</v>
      </c>
      <c r="AB2866" s="13">
        <v>3</v>
      </c>
      <c r="AC2866" s="13">
        <v>3</v>
      </c>
      <c r="AD2866" s="13">
        <v>3</v>
      </c>
      <c r="AE2866" s="13"/>
      <c r="AF2866" s="13"/>
      <c r="AG2866" s="16">
        <f>IFERROR(SUMIF(reading[[#This Row],[1st]:[7th]],"&gt;0")/COUNTIF(reading[[#This Row],[1st]:[7th]],"&gt;0"),"")</f>
        <v>3</v>
      </c>
    </row>
    <row r="2867" spans="1:33" x14ac:dyDescent="0.2">
      <c r="A2867" s="4">
        <f>IF(B2867=1,3,IF(D2867=1,2,IF(F2867=1,1,0)))</f>
        <v>0</v>
      </c>
      <c r="B2867" s="4" t="str">
        <f>IF(C2867=$L2867,1,IF(C2867="","",0))</f>
        <v/>
      </c>
      <c r="C2867" s="38"/>
      <c r="D2867" s="4" t="str">
        <f>IF(E2867=$L2867,1,IF(E2867="","",0))</f>
        <v/>
      </c>
      <c r="E2867" s="18"/>
      <c r="F2867" s="4" t="str">
        <f>IF(G2867=$L2867,1,IF(G2867="","",0))</f>
        <v/>
      </c>
      <c r="G2867" s="14"/>
      <c r="H2867" s="6">
        <v>280</v>
      </c>
      <c r="I2867" s="15" t="s">
        <v>3120</v>
      </c>
      <c r="J2867" s="6" t="s">
        <v>3428</v>
      </c>
      <c r="K2867" s="6"/>
      <c r="L2867" s="6" t="s">
        <v>415</v>
      </c>
      <c r="M2867" s="6" t="s">
        <v>6389</v>
      </c>
      <c r="N2867" s="7">
        <f ca="1">RAND()</f>
        <v>0.70761204329281491</v>
      </c>
      <c r="O2867" s="8">
        <v>45202</v>
      </c>
      <c r="P2867" s="8">
        <v>45203</v>
      </c>
      <c r="Q2867" s="8">
        <v>45205</v>
      </c>
      <c r="R2867" s="8">
        <v>45209</v>
      </c>
      <c r="S2867" s="8">
        <v>45216</v>
      </c>
      <c r="T2867" s="8">
        <v>45228</v>
      </c>
      <c r="U2867" s="8"/>
      <c r="V2867" s="10">
        <f>COUNTA(O2867:U2867)</f>
        <v>6</v>
      </c>
      <c r="W2867" s="11">
        <f>_xlfn.IFNA(INDEX(reading[[#This Row],[Memo 01]:[Memo 07]],MATCH(0,reading[[#This Row],[Memo 01]:[Memo 07]],-1)),"")</f>
        <v>45228</v>
      </c>
      <c r="X2867" s="11">
        <f ca="1">IFERROR(reading[[#This Row],[Previous]]+OFFSET(reading[[#Headers],[Memo 01]],-1,MATCH(0,reading[[#This Row],[Memo 01]:[Memo 07]],-1)-1),"")</f>
        <v>45248</v>
      </c>
      <c r="Y2867" s="10" t="str">
        <f ca="1">IF(reading[[#This Row],[Next]]&lt;&gt;"",IF(reading[[#This Row],[Next]]&gt;TODAY(),"OK",""),"")</f>
        <v/>
      </c>
      <c r="Z2867" s="13">
        <v>3</v>
      </c>
      <c r="AA2867" s="13">
        <v>3</v>
      </c>
      <c r="AB2867" s="13">
        <v>3</v>
      </c>
      <c r="AC2867" s="13">
        <v>3</v>
      </c>
      <c r="AD2867" s="13">
        <v>2</v>
      </c>
      <c r="AE2867" s="13">
        <v>3</v>
      </c>
      <c r="AF2867" s="13"/>
      <c r="AG2867" s="16">
        <f>IFERROR(SUMIF(reading[[#This Row],[1st]:[7th]],"&gt;0")/COUNTIF(reading[[#This Row],[1st]:[7th]],"&gt;0"),"")</f>
        <v>2.8333333333333335</v>
      </c>
    </row>
    <row r="2868" spans="1:33" x14ac:dyDescent="0.2">
      <c r="A2868" s="4">
        <f>IF(B2868=1,3,IF(D2868=1,2,IF(F2868=1,1,0)))</f>
        <v>0</v>
      </c>
      <c r="B2868" s="4" t="str">
        <f>IF(C2868=$L2868,1,IF(C2868="","",0))</f>
        <v/>
      </c>
      <c r="C2868" s="38"/>
      <c r="D2868" s="4" t="str">
        <f>IF(E2868=$L2868,1,IF(E2868="","",0))</f>
        <v/>
      </c>
      <c r="E2868" s="14"/>
      <c r="F2868" s="4" t="str">
        <f>IF(G2868=$L2868,1,IF(G2868="","",0))</f>
        <v/>
      </c>
      <c r="G2868" s="14"/>
      <c r="H2868" s="6">
        <v>2276</v>
      </c>
      <c r="I2868" s="15" t="s">
        <v>3120</v>
      </c>
      <c r="J2868" s="6" t="s">
        <v>5357</v>
      </c>
      <c r="K2868" s="15" t="s">
        <v>3139</v>
      </c>
      <c r="L2868" s="6" t="s">
        <v>2336</v>
      </c>
      <c r="M2868" s="6" t="s">
        <v>8381</v>
      </c>
      <c r="N2868" s="7">
        <f ca="1">RAND()</f>
        <v>0.38801810332889963</v>
      </c>
      <c r="O2868" s="8">
        <v>45215</v>
      </c>
      <c r="P2868" s="8">
        <v>45216</v>
      </c>
      <c r="Q2868" s="8">
        <v>45218</v>
      </c>
      <c r="R2868" s="8">
        <v>45222</v>
      </c>
      <c r="S2868" s="8">
        <v>45229</v>
      </c>
      <c r="T2868" s="8"/>
      <c r="U2868" s="8"/>
      <c r="V2868" s="10">
        <f>COUNTA(O2868:U2868)</f>
        <v>5</v>
      </c>
      <c r="W2868" s="11">
        <f>_xlfn.IFNA(INDEX(reading[[#This Row],[Memo 01]:[Memo 07]],MATCH(0,reading[[#This Row],[Memo 01]:[Memo 07]],-1)),"")</f>
        <v>45229</v>
      </c>
      <c r="X2868" s="11">
        <f ca="1">IFERROR(reading[[#This Row],[Previous]]+OFFSET(reading[[#Headers],[Memo 01]],-1,MATCH(0,reading[[#This Row],[Memo 01]:[Memo 07]],-1)-1),"")</f>
        <v>45241</v>
      </c>
      <c r="Y2868" s="10" t="str">
        <f ca="1">IF(reading[[#This Row],[Next]]&lt;&gt;"",IF(reading[[#This Row],[Next]]&gt;TODAY(),"OK",""),"")</f>
        <v/>
      </c>
      <c r="Z2868" s="13">
        <v>3</v>
      </c>
      <c r="AA2868" s="13">
        <v>3</v>
      </c>
      <c r="AB2868" s="13">
        <v>3</v>
      </c>
      <c r="AC2868" s="13">
        <v>3</v>
      </c>
      <c r="AD2868" s="13">
        <v>3</v>
      </c>
      <c r="AE2868" s="13"/>
      <c r="AF2868" s="13"/>
      <c r="AG2868" s="16">
        <f>IFERROR(SUMIF(reading[[#This Row],[1st]:[7th]],"&gt;0")/COUNTIF(reading[[#This Row],[1st]:[7th]],"&gt;0"),"")</f>
        <v>3</v>
      </c>
    </row>
    <row r="2869" spans="1:33" x14ac:dyDescent="0.2">
      <c r="A2869" s="4">
        <f>IF(B2869=1,3,IF(D2869=1,2,IF(F2869=1,1,0)))</f>
        <v>0</v>
      </c>
      <c r="B2869" s="4" t="str">
        <f>IF(C2869=$L2869,1,IF(C2869="","",0))</f>
        <v/>
      </c>
      <c r="C2869" s="36"/>
      <c r="D2869" s="4" t="str">
        <f>IF(E2869=$L2869,1,IF(E2869="","",0))</f>
        <v/>
      </c>
      <c r="E2869" s="14"/>
      <c r="F2869" s="4" t="str">
        <f>IF(G2869=$L2869,1,IF(G2869="","",0))</f>
        <v/>
      </c>
      <c r="G2869" s="14"/>
      <c r="H2869" s="6">
        <v>2008</v>
      </c>
      <c r="I2869" s="15" t="s">
        <v>3120</v>
      </c>
      <c r="J2869" s="6" t="s">
        <v>5106</v>
      </c>
      <c r="K2869" s="6"/>
      <c r="L2869" s="6" t="s">
        <v>2083</v>
      </c>
      <c r="M2869" s="6" t="s">
        <v>8114</v>
      </c>
      <c r="N2869" s="7">
        <f ca="1">RAND()</f>
        <v>0.48897975629514323</v>
      </c>
      <c r="O2869" s="8">
        <v>45213</v>
      </c>
      <c r="P2869" s="8">
        <v>45214</v>
      </c>
      <c r="Q2869" s="8">
        <v>45216</v>
      </c>
      <c r="R2869" s="8">
        <v>45220</v>
      </c>
      <c r="S2869" s="8">
        <v>45227</v>
      </c>
      <c r="T2869" s="8"/>
      <c r="U2869" s="8"/>
      <c r="V2869" s="10">
        <f>COUNTA(O2869:U2869)</f>
        <v>5</v>
      </c>
      <c r="W2869" s="11">
        <f>_xlfn.IFNA(INDEX(reading[[#This Row],[Memo 01]:[Memo 07]],MATCH(0,reading[[#This Row],[Memo 01]:[Memo 07]],-1)),"")</f>
        <v>45227</v>
      </c>
      <c r="X2869" s="11">
        <f ca="1">IFERROR(reading[[#This Row],[Previous]]+OFFSET(reading[[#Headers],[Memo 01]],-1,MATCH(0,reading[[#This Row],[Memo 01]:[Memo 07]],-1)-1),"")</f>
        <v>45239</v>
      </c>
      <c r="Y2869" s="10" t="str">
        <f ca="1">IF(reading[[#This Row],[Next]]&lt;&gt;"",IF(reading[[#This Row],[Next]]&gt;TODAY(),"OK",""),"")</f>
        <v/>
      </c>
      <c r="Z2869" s="13">
        <v>3</v>
      </c>
      <c r="AA2869" s="13">
        <v>3</v>
      </c>
      <c r="AB2869" s="13">
        <v>3</v>
      </c>
      <c r="AC2869" s="13">
        <v>3</v>
      </c>
      <c r="AD2869" s="13">
        <v>3</v>
      </c>
      <c r="AE2869" s="13"/>
      <c r="AF2869" s="13"/>
      <c r="AG2869" s="16">
        <f>IFERROR(SUMIF(reading[[#This Row],[1st]:[7th]],"&gt;0")/COUNTIF(reading[[#This Row],[1st]:[7th]],"&gt;0"),"")</f>
        <v>3</v>
      </c>
    </row>
    <row r="2870" spans="1:33" x14ac:dyDescent="0.2">
      <c r="A2870" s="4">
        <f>IF(B2870=1,3,IF(D2870=1,2,IF(F2870=1,1,0)))</f>
        <v>0</v>
      </c>
      <c r="B2870" s="4" t="str">
        <f>IF(C2870=$L2870,1,IF(C2870="","",0))</f>
        <v/>
      </c>
      <c r="C2870" s="42"/>
      <c r="D2870" s="4" t="str">
        <f>IF(E2870=$L2870,1,IF(E2870="","",0))</f>
        <v/>
      </c>
      <c r="E2870" s="18"/>
      <c r="F2870" s="4" t="str">
        <f>IF(G2870=$L2870,1,IF(G2870="","",0))</f>
        <v/>
      </c>
      <c r="G2870" s="14"/>
      <c r="H2870" s="6">
        <v>2630</v>
      </c>
      <c r="I2870" s="15" t="s">
        <v>3120</v>
      </c>
      <c r="J2870" s="6" t="s">
        <v>5685</v>
      </c>
      <c r="K2870" s="6"/>
      <c r="L2870" s="6" t="s">
        <v>2671</v>
      </c>
      <c r="M2870" s="6" t="s">
        <v>8735</v>
      </c>
      <c r="N2870" s="7">
        <f ca="1">RAND()</f>
        <v>0.35701989977167181</v>
      </c>
      <c r="O2870" s="8">
        <v>45220</v>
      </c>
      <c r="P2870" s="8">
        <v>45221</v>
      </c>
      <c r="Q2870" s="8">
        <v>45223</v>
      </c>
      <c r="R2870" s="8">
        <v>45227</v>
      </c>
      <c r="S2870" s="8">
        <v>45234</v>
      </c>
      <c r="T2870" s="8"/>
      <c r="U2870" s="8"/>
      <c r="V2870" s="10">
        <f>COUNTA(O2870:U2870)</f>
        <v>5</v>
      </c>
      <c r="W2870" s="11">
        <f>_xlfn.IFNA(INDEX(reading[[#This Row],[Memo 01]:[Memo 07]],MATCH(0,reading[[#This Row],[Memo 01]:[Memo 07]],-1)),"")</f>
        <v>45234</v>
      </c>
      <c r="X2870" s="11">
        <f ca="1">IFERROR(reading[[#This Row],[Previous]]+OFFSET(reading[[#Headers],[Memo 01]],-1,MATCH(0,reading[[#This Row],[Memo 01]:[Memo 07]],-1)-1),"")</f>
        <v>45246</v>
      </c>
      <c r="Y2870" s="10" t="str">
        <f ca="1">IF(reading[[#This Row],[Next]]&lt;&gt;"",IF(reading[[#This Row],[Next]]&gt;TODAY(),"OK",""),"")</f>
        <v/>
      </c>
      <c r="Z2870" s="13">
        <v>3</v>
      </c>
      <c r="AA2870" s="13">
        <v>3</v>
      </c>
      <c r="AB2870" s="13">
        <v>2</v>
      </c>
      <c r="AC2870" s="13">
        <v>3</v>
      </c>
      <c r="AD2870" s="13">
        <v>3</v>
      </c>
      <c r="AE2870" s="13"/>
      <c r="AF2870" s="13"/>
      <c r="AG2870" s="16">
        <f>IFERROR(SUMIF(reading[[#This Row],[1st]:[7th]],"&gt;0")/COUNTIF(reading[[#This Row],[1st]:[7th]],"&gt;0"),"")</f>
        <v>2.8</v>
      </c>
    </row>
    <row r="2871" spans="1:33" x14ac:dyDescent="0.2">
      <c r="A2871" s="4">
        <f>IF(B2871=1,3,IF(D2871=1,2,IF(F2871=1,1,0)))</f>
        <v>0</v>
      </c>
      <c r="B2871" s="4" t="str">
        <f>IF(C2871=$L2871,1,IF(C2871="","",0))</f>
        <v/>
      </c>
      <c r="C2871" s="39"/>
      <c r="D2871" s="4" t="str">
        <f>IF(E2871=$L2871,1,IF(E2871="","",0))</f>
        <v/>
      </c>
      <c r="E2871" s="14"/>
      <c r="F2871" s="4" t="str">
        <f>IF(G2871=$L2871,1,IF(G2871="","",0))</f>
        <v/>
      </c>
      <c r="G2871" s="14"/>
      <c r="H2871" s="6">
        <v>1345</v>
      </c>
      <c r="I2871" s="15" t="s">
        <v>3120</v>
      </c>
      <c r="J2871" s="6" t="s">
        <v>4459</v>
      </c>
      <c r="K2871" s="6" t="s">
        <v>3138</v>
      </c>
      <c r="L2871" s="6" t="s">
        <v>1440</v>
      </c>
      <c r="M2871" s="6" t="s">
        <v>7452</v>
      </c>
      <c r="N2871" s="7">
        <f ca="1">RAND()</f>
        <v>0.33307105928594327</v>
      </c>
      <c r="O2871" s="8">
        <v>45207</v>
      </c>
      <c r="P2871" s="8">
        <v>45208</v>
      </c>
      <c r="Q2871" s="8">
        <v>45210</v>
      </c>
      <c r="R2871" s="8">
        <v>45214</v>
      </c>
      <c r="S2871" s="8">
        <v>45221</v>
      </c>
      <c r="T2871" s="8">
        <v>45233</v>
      </c>
      <c r="U2871" s="8"/>
      <c r="V2871" s="10">
        <f>COUNTA(O2871:U2871)</f>
        <v>6</v>
      </c>
      <c r="W2871" s="11">
        <f>_xlfn.IFNA(INDEX(reading[[#This Row],[Memo 01]:[Memo 07]],MATCH(0,reading[[#This Row],[Memo 01]:[Memo 07]],-1)),"")</f>
        <v>45233</v>
      </c>
      <c r="X2871" s="11">
        <f ca="1">IFERROR(reading[[#This Row],[Previous]]+OFFSET(reading[[#Headers],[Memo 01]],-1,MATCH(0,reading[[#This Row],[Memo 01]:[Memo 07]],-1)-1),"")</f>
        <v>45253</v>
      </c>
      <c r="Y2871" s="10" t="str">
        <f ca="1">IF(reading[[#This Row],[Next]]&lt;&gt;"",IF(reading[[#This Row],[Next]]&gt;TODAY(),"OK",""),"")</f>
        <v/>
      </c>
      <c r="Z2871" s="13">
        <v>3</v>
      </c>
      <c r="AA2871" s="13">
        <v>3</v>
      </c>
      <c r="AB2871" s="13">
        <v>3</v>
      </c>
      <c r="AC2871" s="13">
        <v>3</v>
      </c>
      <c r="AD2871" s="13">
        <v>3</v>
      </c>
      <c r="AE2871" s="13">
        <v>3</v>
      </c>
      <c r="AF2871" s="13"/>
      <c r="AG2871" s="16">
        <f>IFERROR(SUMIF(reading[[#This Row],[1st]:[7th]],"&gt;0")/COUNTIF(reading[[#This Row],[1st]:[7th]],"&gt;0"),"")</f>
        <v>3</v>
      </c>
    </row>
    <row r="2872" spans="1:33" x14ac:dyDescent="0.2">
      <c r="A2872" s="4">
        <f>IF(B2872=1,3,IF(D2872=1,2,IF(F2872=1,1,0)))</f>
        <v>0</v>
      </c>
      <c r="B2872" s="4" t="str">
        <f>IF(C2872=$L2872,1,IF(C2872="","",0))</f>
        <v/>
      </c>
      <c r="C2872" s="42"/>
      <c r="D2872" s="4" t="str">
        <f>IF(E2872=$L2872,1,IF(E2872="","",0))</f>
        <v/>
      </c>
      <c r="E2872" s="14"/>
      <c r="F2872" s="4" t="str">
        <f>IF(G2872=$L2872,1,IF(G2872="","",0))</f>
        <v/>
      </c>
      <c r="G2872" s="14"/>
      <c r="H2872" s="6">
        <v>2554</v>
      </c>
      <c r="I2872" s="15" t="s">
        <v>3120</v>
      </c>
      <c r="J2872" s="6" t="s">
        <v>5615</v>
      </c>
      <c r="K2872" s="6"/>
      <c r="L2872" s="6" t="s">
        <v>2599</v>
      </c>
      <c r="M2872" s="6" t="s">
        <v>8659</v>
      </c>
      <c r="N2872" s="7">
        <f ca="1">RAND()</f>
        <v>4.2312359114108355E-3</v>
      </c>
      <c r="O2872" s="8">
        <v>45219</v>
      </c>
      <c r="P2872" s="8">
        <v>45220</v>
      </c>
      <c r="Q2872" s="8">
        <v>45222</v>
      </c>
      <c r="R2872" s="8">
        <v>45226</v>
      </c>
      <c r="S2872" s="8">
        <v>45233</v>
      </c>
      <c r="T2872" s="8">
        <v>45792</v>
      </c>
      <c r="U2872" s="8"/>
      <c r="V2872" s="10">
        <f>COUNTA(O2872:U2872)</f>
        <v>6</v>
      </c>
      <c r="W2872" s="11">
        <f>_xlfn.IFNA(INDEX(reading[[#This Row],[Memo 01]:[Memo 07]],MATCH(0,reading[[#This Row],[Memo 01]:[Memo 07]],-1)),"")</f>
        <v>45792</v>
      </c>
      <c r="X2872" s="11">
        <f ca="1">IFERROR(reading[[#This Row],[Previous]]+OFFSET(reading[[#Headers],[Memo 01]],-1,MATCH(0,reading[[#This Row],[Memo 01]:[Memo 07]],-1)-1),"")</f>
        <v>45812</v>
      </c>
      <c r="Y2872" s="10" t="str">
        <f ca="1">IF(reading[[#This Row],[Next]]&lt;&gt;"",IF(reading[[#This Row],[Next]]&gt;TODAY(),"OK",""),"")</f>
        <v/>
      </c>
      <c r="Z2872" s="13">
        <v>3</v>
      </c>
      <c r="AA2872" s="13">
        <v>3</v>
      </c>
      <c r="AB2872" s="13">
        <v>3</v>
      </c>
      <c r="AC2872" s="13">
        <v>3</v>
      </c>
      <c r="AD2872" s="13">
        <v>3</v>
      </c>
      <c r="AE2872" s="13">
        <v>3</v>
      </c>
      <c r="AF2872" s="13"/>
      <c r="AG2872" s="16">
        <f>IFERROR(SUMIF(reading[[#This Row],[1st]:[7th]],"&gt;0")/COUNTIF(reading[[#This Row],[1st]:[7th]],"&gt;0"),"")</f>
        <v>3</v>
      </c>
    </row>
    <row r="2873" spans="1:33" hidden="1" x14ac:dyDescent="0.2">
      <c r="A2873" s="4">
        <f>IF(B2873=1,3,IF(D2873=1,2,IF(F2873=1,1,0)))</f>
        <v>0</v>
      </c>
      <c r="B2873" s="4">
        <f>IF(C2873=$L2873,1,IF(C2873="","",0))</f>
        <v>0</v>
      </c>
      <c r="C2873" s="42" t="s">
        <v>9243</v>
      </c>
      <c r="D2873" s="4">
        <f>IF(E2873=$L2873,1,IF(E2873="","",0))</f>
        <v>0</v>
      </c>
      <c r="E2873" s="23" t="s">
        <v>9200</v>
      </c>
      <c r="F2873" s="4" t="str">
        <f>IF(G2873=$L2873,1,IF(G2873="","",0))</f>
        <v/>
      </c>
      <c r="G2873" s="14"/>
      <c r="H2873" s="6">
        <v>2159</v>
      </c>
      <c r="I2873" s="15" t="s">
        <v>3120</v>
      </c>
      <c r="J2873" s="6" t="s">
        <v>5247</v>
      </c>
      <c r="K2873" s="6"/>
      <c r="L2873" s="6" t="s">
        <v>2225</v>
      </c>
      <c r="M2873" s="6" t="s">
        <v>8265</v>
      </c>
      <c r="N2873" s="7">
        <f ca="1">RAND()</f>
        <v>0.34886251449674466</v>
      </c>
      <c r="O2873" s="8">
        <v>45214</v>
      </c>
      <c r="P2873" s="8">
        <v>45215</v>
      </c>
      <c r="Q2873" s="8">
        <v>45217</v>
      </c>
      <c r="R2873" s="8">
        <v>45221</v>
      </c>
      <c r="S2873" s="8">
        <v>45228</v>
      </c>
      <c r="T2873" s="8"/>
      <c r="U2873" s="8"/>
      <c r="V2873" s="10">
        <f>COUNTA(O2873:U2873)</f>
        <v>5</v>
      </c>
      <c r="W2873" s="11">
        <f>_xlfn.IFNA(INDEX(reading[[#This Row],[Memo 01]:[Memo 07]],MATCH(0,reading[[#This Row],[Memo 01]:[Memo 07]],-1)),"")</f>
        <v>45228</v>
      </c>
      <c r="X2873" s="11">
        <f ca="1">IFERROR(reading[[#This Row],[Previous]]+OFFSET(reading[[#Headers],[Memo 01]],-1,MATCH(0,reading[[#This Row],[Memo 01]:[Memo 07]],-1)-1),"")</f>
        <v>45240</v>
      </c>
      <c r="Y2873" s="10" t="str">
        <f ca="1">IF(reading[[#This Row],[Next]]&lt;&gt;"",IF(reading[[#This Row],[Next]]&gt;TODAY(),"OK",""),"")</f>
        <v/>
      </c>
      <c r="Z2873" s="13">
        <v>3</v>
      </c>
      <c r="AA2873" s="13">
        <v>3</v>
      </c>
      <c r="AB2873" s="13">
        <v>3</v>
      </c>
      <c r="AC2873" s="13">
        <v>3</v>
      </c>
      <c r="AD2873" s="13">
        <v>3</v>
      </c>
      <c r="AE2873" s="13"/>
      <c r="AF2873" s="13"/>
      <c r="AG2873" s="16">
        <f>IFERROR(SUMIF(reading[[#This Row],[1st]:[7th]],"&gt;0")/COUNTIF(reading[[#This Row],[1st]:[7th]],"&gt;0"),"")</f>
        <v>3</v>
      </c>
    </row>
    <row r="2874" spans="1:33" x14ac:dyDescent="0.2">
      <c r="A2874" s="4">
        <f>IF(B2874=1,3,IF(D2874=1,2,IF(F2874=1,1,0)))</f>
        <v>0</v>
      </c>
      <c r="B2874" s="4" t="str">
        <f>IF(C2874=$L2874,1,IF(C2874="","",0))</f>
        <v/>
      </c>
      <c r="C2874" s="38"/>
      <c r="D2874" s="4" t="str">
        <f>IF(E2874=$L2874,1,IF(E2874="","",0))</f>
        <v/>
      </c>
      <c r="E2874" s="14"/>
      <c r="F2874" s="4" t="str">
        <f>IF(G2874=$L2874,1,IF(G2874="","",0))</f>
        <v/>
      </c>
      <c r="G2874" s="14"/>
      <c r="H2874" s="6">
        <v>569</v>
      </c>
      <c r="I2874" s="15" t="s">
        <v>3120</v>
      </c>
      <c r="J2874" s="6" t="s">
        <v>3712</v>
      </c>
      <c r="K2874" s="6"/>
      <c r="L2874" s="6" t="s">
        <v>696</v>
      </c>
      <c r="M2874" s="6" t="s">
        <v>6678</v>
      </c>
      <c r="N2874" s="7">
        <f ca="1">RAND()</f>
        <v>6.8065853278781452E-3</v>
      </c>
      <c r="O2874" s="8">
        <v>45202</v>
      </c>
      <c r="P2874" s="8">
        <v>45203</v>
      </c>
      <c r="Q2874" s="8">
        <v>45205</v>
      </c>
      <c r="R2874" s="8">
        <v>45209</v>
      </c>
      <c r="S2874" s="8">
        <v>45216</v>
      </c>
      <c r="T2874" s="8">
        <v>45228</v>
      </c>
      <c r="U2874" s="8"/>
      <c r="V2874" s="10">
        <f>COUNTA(O2874:U2874)</f>
        <v>6</v>
      </c>
      <c r="W2874" s="11">
        <f>_xlfn.IFNA(INDEX(reading[[#This Row],[Memo 01]:[Memo 07]],MATCH(0,reading[[#This Row],[Memo 01]:[Memo 07]],-1)),"")</f>
        <v>45228</v>
      </c>
      <c r="X2874" s="11">
        <f ca="1">IFERROR(reading[[#This Row],[Previous]]+OFFSET(reading[[#Headers],[Memo 01]],-1,MATCH(0,reading[[#This Row],[Memo 01]:[Memo 07]],-1)-1),"")</f>
        <v>45248</v>
      </c>
      <c r="Y2874" s="10" t="str">
        <f ca="1">IF(reading[[#This Row],[Next]]&lt;&gt;"",IF(reading[[#This Row],[Next]]&gt;TODAY(),"OK",""),"")</f>
        <v/>
      </c>
      <c r="Z2874" s="13">
        <v>3</v>
      </c>
      <c r="AA2874" s="13">
        <v>3</v>
      </c>
      <c r="AB2874" s="13">
        <v>3</v>
      </c>
      <c r="AC2874" s="13">
        <v>3</v>
      </c>
      <c r="AD2874" s="13">
        <v>3</v>
      </c>
      <c r="AE2874" s="13">
        <v>3</v>
      </c>
      <c r="AF2874" s="13"/>
      <c r="AG2874" s="16">
        <f>IFERROR(SUMIF(reading[[#This Row],[1st]:[7th]],"&gt;0")/COUNTIF(reading[[#This Row],[1st]:[7th]],"&gt;0"),"")</f>
        <v>3</v>
      </c>
    </row>
    <row r="2875" spans="1:33" x14ac:dyDescent="0.2">
      <c r="A2875" s="4">
        <f>IF(B2875=1,3,IF(D2875=1,2,IF(F2875=1,1,0)))</f>
        <v>0</v>
      </c>
      <c r="B2875" s="4" t="str">
        <f>IF(C2875=$L2875,1,IF(C2875="","",0))</f>
        <v/>
      </c>
      <c r="C2875" s="38"/>
      <c r="D2875" s="4" t="str">
        <f>IF(E2875=$L2875,1,IF(E2875="","",0))</f>
        <v/>
      </c>
      <c r="E2875" s="14"/>
      <c r="F2875" s="4" t="str">
        <f>IF(G2875=$L2875,1,IF(G2875="","",0))</f>
        <v/>
      </c>
      <c r="G2875" s="14"/>
      <c r="H2875" s="6">
        <v>523</v>
      </c>
      <c r="I2875" s="15" t="s">
        <v>3120</v>
      </c>
      <c r="J2875" s="6" t="s">
        <v>3668</v>
      </c>
      <c r="K2875" s="6"/>
      <c r="L2875" s="6" t="s">
        <v>651</v>
      </c>
      <c r="M2875" s="6" t="s">
        <v>6632</v>
      </c>
      <c r="N2875" s="7">
        <f ca="1">RAND()</f>
        <v>0.22206299124327922</v>
      </c>
      <c r="O2875" s="8">
        <v>45202</v>
      </c>
      <c r="P2875" s="8">
        <v>45203</v>
      </c>
      <c r="Q2875" s="8">
        <v>45205</v>
      </c>
      <c r="R2875" s="8">
        <v>45209</v>
      </c>
      <c r="S2875" s="8">
        <v>45216</v>
      </c>
      <c r="T2875" s="8">
        <v>45228</v>
      </c>
      <c r="U2875" s="8"/>
      <c r="V2875" s="10">
        <f>COUNTA(O2875:U2875)</f>
        <v>6</v>
      </c>
      <c r="W2875" s="11">
        <f>_xlfn.IFNA(INDEX(reading[[#This Row],[Memo 01]:[Memo 07]],MATCH(0,reading[[#This Row],[Memo 01]:[Memo 07]],-1)),"")</f>
        <v>45228</v>
      </c>
      <c r="X2875" s="11">
        <f ca="1">IFERROR(reading[[#This Row],[Previous]]+OFFSET(reading[[#Headers],[Memo 01]],-1,MATCH(0,reading[[#This Row],[Memo 01]:[Memo 07]],-1)-1),"")</f>
        <v>45248</v>
      </c>
      <c r="Y2875" s="10" t="str">
        <f ca="1">IF(reading[[#This Row],[Next]]&lt;&gt;"",IF(reading[[#This Row],[Next]]&gt;TODAY(),"OK",""),"")</f>
        <v/>
      </c>
      <c r="Z2875" s="13">
        <v>3</v>
      </c>
      <c r="AA2875" s="13">
        <v>3</v>
      </c>
      <c r="AB2875" s="13">
        <v>3</v>
      </c>
      <c r="AC2875" s="13">
        <v>3</v>
      </c>
      <c r="AD2875" s="13">
        <v>3</v>
      </c>
      <c r="AE2875" s="13">
        <v>3</v>
      </c>
      <c r="AF2875" s="13"/>
      <c r="AG2875" s="16">
        <f>IFERROR(SUMIF(reading[[#This Row],[1st]:[7th]],"&gt;0")/COUNTIF(reading[[#This Row],[1st]:[7th]],"&gt;0"),"")</f>
        <v>3</v>
      </c>
    </row>
    <row r="2876" spans="1:33" x14ac:dyDescent="0.2">
      <c r="A2876" s="4">
        <f>IF(B2876=1,3,IF(D2876=1,2,IF(F2876=1,1,0)))</f>
        <v>0</v>
      </c>
      <c r="B2876" s="4" t="str">
        <f>IF(C2876=$L2876,1,IF(C2876="","",0))</f>
        <v/>
      </c>
      <c r="C2876" s="42"/>
      <c r="D2876" s="4" t="str">
        <f>IF(E2876=$L2876,1,IF(E2876="","",0))</f>
        <v/>
      </c>
      <c r="E2876" s="14"/>
      <c r="F2876" s="4" t="str">
        <f>IF(G2876=$L2876,1,IF(G2876="","",0))</f>
        <v/>
      </c>
      <c r="G2876" s="14"/>
      <c r="H2876" s="6">
        <v>1835</v>
      </c>
      <c r="I2876" s="15" t="s">
        <v>3120</v>
      </c>
      <c r="J2876" s="6" t="s">
        <v>4940</v>
      </c>
      <c r="K2876" s="6"/>
      <c r="L2876" s="6" t="s">
        <v>1913</v>
      </c>
      <c r="M2876" s="6" t="s">
        <v>7941</v>
      </c>
      <c r="N2876" s="7">
        <f ca="1">RAND()</f>
        <v>0.46331778659443934</v>
      </c>
      <c r="O2876" s="8">
        <v>45213</v>
      </c>
      <c r="P2876" s="8">
        <v>45214</v>
      </c>
      <c r="Q2876" s="8">
        <v>45216</v>
      </c>
      <c r="R2876" s="8">
        <v>45220</v>
      </c>
      <c r="S2876" s="8">
        <v>45227</v>
      </c>
      <c r="T2876" s="8">
        <v>45801</v>
      </c>
      <c r="U2876" s="8"/>
      <c r="V2876" s="10">
        <f>COUNTA(O2876:U2876)</f>
        <v>6</v>
      </c>
      <c r="W2876" s="11">
        <f>_xlfn.IFNA(INDEX(reading[[#This Row],[Memo 01]:[Memo 07]],MATCH(0,reading[[#This Row],[Memo 01]:[Memo 07]],-1)),"")</f>
        <v>45801</v>
      </c>
      <c r="X2876" s="11">
        <f ca="1">IFERROR(reading[[#This Row],[Previous]]+OFFSET(reading[[#Headers],[Memo 01]],-1,MATCH(0,reading[[#This Row],[Memo 01]:[Memo 07]],-1)-1),"")</f>
        <v>45821</v>
      </c>
      <c r="Y2876" s="10" t="str">
        <f ca="1">IF(reading[[#This Row],[Next]]&lt;&gt;"",IF(reading[[#This Row],[Next]]&gt;TODAY(),"OK",""),"")</f>
        <v/>
      </c>
      <c r="Z2876" s="13">
        <v>3</v>
      </c>
      <c r="AA2876" s="13">
        <v>3</v>
      </c>
      <c r="AB2876" s="13">
        <v>3</v>
      </c>
      <c r="AC2876" s="13">
        <v>3</v>
      </c>
      <c r="AD2876" s="13">
        <v>3</v>
      </c>
      <c r="AE2876" s="13">
        <v>3</v>
      </c>
      <c r="AF2876" s="13"/>
      <c r="AG2876" s="16">
        <f>IFERROR(SUMIF(reading[[#This Row],[1st]:[7th]],"&gt;0")/COUNTIF(reading[[#This Row],[1st]:[7th]],"&gt;0"),"")</f>
        <v>3</v>
      </c>
    </row>
    <row r="2877" spans="1:33" hidden="1" x14ac:dyDescent="0.2">
      <c r="A2877" s="4">
        <f>IF(B2877=1,3,IF(D2877=1,2,IF(F2877=1,1,0)))</f>
        <v>0</v>
      </c>
      <c r="B2877" s="4" t="str">
        <f>IF(C2877=$L2877,1,IF(C2877="","",0))</f>
        <v/>
      </c>
      <c r="C2877" s="42"/>
      <c r="D2877" s="4" t="str">
        <f>IF(E2877=$L2877,1,IF(E2877="","",0))</f>
        <v/>
      </c>
      <c r="E2877" s="23"/>
      <c r="F2877" s="4" t="str">
        <f>IF(G2877=$L2877,1,IF(G2877="","",0))</f>
        <v/>
      </c>
      <c r="G2877" s="14"/>
      <c r="H2877" s="6">
        <v>1938</v>
      </c>
      <c r="I2877" s="15" t="s">
        <v>3120</v>
      </c>
      <c r="J2877" s="6" t="s">
        <v>5037</v>
      </c>
      <c r="K2877" s="6"/>
      <c r="L2877" s="6" t="s">
        <v>2014</v>
      </c>
      <c r="M2877" s="6" t="s">
        <v>8044</v>
      </c>
      <c r="N2877" s="7">
        <f ca="1">RAND()</f>
        <v>0.36558538211266345</v>
      </c>
      <c r="O2877" s="8">
        <v>45212</v>
      </c>
      <c r="P2877" s="8">
        <v>45213</v>
      </c>
      <c r="Q2877" s="8">
        <v>45215</v>
      </c>
      <c r="R2877" s="8">
        <v>45219</v>
      </c>
      <c r="S2877" s="8">
        <v>45226</v>
      </c>
      <c r="T2877" s="8">
        <v>45816</v>
      </c>
      <c r="U2877" s="8"/>
      <c r="V2877" s="10">
        <f>COUNTA(O2877:U2877)</f>
        <v>6</v>
      </c>
      <c r="W2877" s="11">
        <f>_xlfn.IFNA(INDEX(reading[[#This Row],[Memo 01]:[Memo 07]],MATCH(0,reading[[#This Row],[Memo 01]:[Memo 07]],-1)),"")</f>
        <v>45816</v>
      </c>
      <c r="X2877" s="11">
        <f ca="1">IFERROR(reading[[#This Row],[Previous]]+OFFSET(reading[[#Headers],[Memo 01]],-1,MATCH(0,reading[[#This Row],[Memo 01]:[Memo 07]],-1)-1),"")</f>
        <v>45836</v>
      </c>
      <c r="Y2877" s="10" t="str">
        <f ca="1">IF(reading[[#This Row],[Next]]&lt;&gt;"",IF(reading[[#This Row],[Next]]&gt;TODAY(),"OK",""),"")</f>
        <v>OK</v>
      </c>
      <c r="Z2877" s="13">
        <v>3</v>
      </c>
      <c r="AA2877" s="13">
        <v>3</v>
      </c>
      <c r="AB2877" s="13">
        <v>3</v>
      </c>
      <c r="AC2877" s="13">
        <v>3</v>
      </c>
      <c r="AD2877" s="13">
        <v>3</v>
      </c>
      <c r="AE2877" s="13">
        <v>2</v>
      </c>
      <c r="AF2877" s="13"/>
      <c r="AG2877" s="16">
        <f>IFERROR(SUMIF(reading[[#This Row],[1st]:[7th]],"&gt;0")/COUNTIF(reading[[#This Row],[1st]:[7th]],"&gt;0"),"")</f>
        <v>2.8333333333333335</v>
      </c>
    </row>
    <row r="2878" spans="1:33" x14ac:dyDescent="0.2">
      <c r="A2878" s="4">
        <f>IF(B2878=1,3,IF(D2878=1,2,IF(F2878=1,1,0)))</f>
        <v>0</v>
      </c>
      <c r="B2878" s="4" t="str">
        <f>IF(C2878=$L2878,1,IF(C2878="","",0))</f>
        <v/>
      </c>
      <c r="C2878" s="41"/>
      <c r="D2878" s="4" t="str">
        <f>IF(E2878=$L2878,1,IF(E2878="","",0))</f>
        <v/>
      </c>
      <c r="E2878" s="14"/>
      <c r="F2878" s="4" t="str">
        <f>IF(G2878=$L2878,1,IF(G2878="","",0))</f>
        <v/>
      </c>
      <c r="G2878" s="14"/>
      <c r="H2878" s="6">
        <v>3052</v>
      </c>
      <c r="I2878" s="15" t="s">
        <v>3120</v>
      </c>
      <c r="J2878" s="6" t="s">
        <v>6073</v>
      </c>
      <c r="K2878" s="6"/>
      <c r="L2878" s="6" t="s">
        <v>3078</v>
      </c>
      <c r="M2878" s="6" t="s">
        <v>9155</v>
      </c>
      <c r="N2878" s="7">
        <f ca="1">RAND()</f>
        <v>0.83665955627400102</v>
      </c>
      <c r="O2878" s="8">
        <v>45224</v>
      </c>
      <c r="P2878" s="8">
        <v>45225</v>
      </c>
      <c r="Q2878" s="8">
        <v>45227</v>
      </c>
      <c r="R2878" s="8">
        <v>45231</v>
      </c>
      <c r="S2878" s="8">
        <v>45249</v>
      </c>
      <c r="T2878" s="8"/>
      <c r="U2878" s="8"/>
      <c r="V2878" s="10">
        <f>COUNTA(O2878:U2878)</f>
        <v>5</v>
      </c>
      <c r="W2878" s="11">
        <f>_xlfn.IFNA(INDEX(reading[[#This Row],[Memo 01]:[Memo 07]],MATCH(0,reading[[#This Row],[Memo 01]:[Memo 07]],-1)),"")</f>
        <v>45249</v>
      </c>
      <c r="X2878" s="11">
        <f ca="1">IFERROR(reading[[#This Row],[Previous]]+OFFSET(reading[[#Headers],[Memo 01]],-1,MATCH(0,reading[[#This Row],[Memo 01]:[Memo 07]],-1)-1),"")</f>
        <v>45261</v>
      </c>
      <c r="Y2878" s="10" t="str">
        <f ca="1">IF(reading[[#This Row],[Next]]&lt;&gt;"",IF(reading[[#This Row],[Next]]&gt;TODAY(),"OK",""),"")</f>
        <v/>
      </c>
      <c r="Z2878" s="13">
        <v>3</v>
      </c>
      <c r="AA2878" s="13">
        <v>3</v>
      </c>
      <c r="AB2878" s="13">
        <v>3</v>
      </c>
      <c r="AC2878" s="13">
        <v>3</v>
      </c>
      <c r="AD2878" s="13">
        <v>3</v>
      </c>
      <c r="AE2878" s="13"/>
      <c r="AF2878" s="13"/>
      <c r="AG2878" s="16">
        <f>IFERROR(SUMIF(reading[[#This Row],[1st]:[7th]],"&gt;0")/COUNTIF(reading[[#This Row],[1st]:[7th]],"&gt;0"),"")</f>
        <v>3</v>
      </c>
    </row>
    <row r="2879" spans="1:33" x14ac:dyDescent="0.2">
      <c r="A2879" s="4">
        <f>IF(B2879=1,3,IF(D2879=1,2,IF(F2879=1,1,0)))</f>
        <v>0</v>
      </c>
      <c r="B2879" s="4" t="str">
        <f>IF(C2879=$L2879,1,IF(C2879="","",0))</f>
        <v/>
      </c>
      <c r="C2879" s="42"/>
      <c r="D2879" s="4" t="str">
        <f>IF(E2879=$L2879,1,IF(E2879="","",0))</f>
        <v/>
      </c>
      <c r="E2879" s="18"/>
      <c r="F2879" s="4" t="str">
        <f>IF(G2879=$L2879,1,IF(G2879="","",0))</f>
        <v/>
      </c>
      <c r="G2879" s="14"/>
      <c r="H2879" s="6">
        <v>2473</v>
      </c>
      <c r="I2879" s="15" t="s">
        <v>3120</v>
      </c>
      <c r="J2879" s="6" t="s">
        <v>5541</v>
      </c>
      <c r="K2879" s="6"/>
      <c r="L2879" s="6" t="s">
        <v>2521</v>
      </c>
      <c r="M2879" s="6" t="s">
        <v>8578</v>
      </c>
      <c r="N2879" s="7">
        <f ca="1">RAND()</f>
        <v>0.38456562244510828</v>
      </c>
      <c r="O2879" s="8">
        <v>45218</v>
      </c>
      <c r="P2879" s="8">
        <v>45219</v>
      </c>
      <c r="Q2879" s="8">
        <v>45221</v>
      </c>
      <c r="R2879" s="8">
        <v>45225</v>
      </c>
      <c r="S2879" s="8">
        <v>45232</v>
      </c>
      <c r="T2879" s="8"/>
      <c r="U2879" s="8"/>
      <c r="V2879" s="10">
        <f>COUNTA(O2879:U2879)</f>
        <v>5</v>
      </c>
      <c r="W2879" s="11">
        <f>_xlfn.IFNA(INDEX(reading[[#This Row],[Memo 01]:[Memo 07]],MATCH(0,reading[[#This Row],[Memo 01]:[Memo 07]],-1)),"")</f>
        <v>45232</v>
      </c>
      <c r="X2879" s="11">
        <f ca="1">IFERROR(reading[[#This Row],[Previous]]+OFFSET(reading[[#Headers],[Memo 01]],-1,MATCH(0,reading[[#This Row],[Memo 01]:[Memo 07]],-1)-1),"")</f>
        <v>45244</v>
      </c>
      <c r="Y2879" s="10" t="str">
        <f ca="1">IF(reading[[#This Row],[Next]]&lt;&gt;"",IF(reading[[#This Row],[Next]]&gt;TODAY(),"OK",""),"")</f>
        <v/>
      </c>
      <c r="Z2879" s="13">
        <v>3</v>
      </c>
      <c r="AA2879" s="13">
        <v>2</v>
      </c>
      <c r="AB2879" s="13">
        <v>3</v>
      </c>
      <c r="AC2879" s="13">
        <v>3</v>
      </c>
      <c r="AD2879" s="13">
        <v>3</v>
      </c>
      <c r="AE2879" s="13"/>
      <c r="AF2879" s="13"/>
      <c r="AG2879" s="16">
        <f>IFERROR(SUMIF(reading[[#This Row],[1st]:[7th]],"&gt;0")/COUNTIF(reading[[#This Row],[1st]:[7th]],"&gt;0"),"")</f>
        <v>2.8</v>
      </c>
    </row>
    <row r="2880" spans="1:33" x14ac:dyDescent="0.2">
      <c r="A2880" s="4">
        <f>IF(B2880=1,3,IF(D2880=1,2,IF(F2880=1,1,0)))</f>
        <v>0</v>
      </c>
      <c r="B2880" s="4" t="str">
        <f>IF(C2880=$L2880,1,IF(C2880="","",0))</f>
        <v/>
      </c>
      <c r="C2880" s="39"/>
      <c r="D2880" s="4" t="str">
        <f>IF(E2880=$L2880,1,IF(E2880="","",0))</f>
        <v/>
      </c>
      <c r="E2880" s="14"/>
      <c r="F2880" s="4" t="str">
        <f>IF(G2880=$L2880,1,IF(G2880="","",0))</f>
        <v/>
      </c>
      <c r="G2880" s="14"/>
      <c r="H2880" s="6">
        <v>2523</v>
      </c>
      <c r="I2880" s="15" t="s">
        <v>3120</v>
      </c>
      <c r="J2880" s="6" t="s">
        <v>5585</v>
      </c>
      <c r="K2880" s="6"/>
      <c r="L2880" s="6" t="s">
        <v>2569</v>
      </c>
      <c r="M2880" s="6" t="s">
        <v>8628</v>
      </c>
      <c r="N2880" s="7">
        <f ca="1">RAND()</f>
        <v>0.14348533237339012</v>
      </c>
      <c r="O2880" s="8">
        <v>45220</v>
      </c>
      <c r="P2880" s="8">
        <v>45221</v>
      </c>
      <c r="Q2880" s="8">
        <v>45223</v>
      </c>
      <c r="R2880" s="8">
        <v>45227</v>
      </c>
      <c r="S2880" s="8">
        <v>45234</v>
      </c>
      <c r="T2880" s="8"/>
      <c r="U2880" s="8"/>
      <c r="V2880" s="10">
        <f>COUNTA(O2880:U2880)</f>
        <v>5</v>
      </c>
      <c r="W2880" s="11">
        <f>_xlfn.IFNA(INDEX(reading[[#This Row],[Memo 01]:[Memo 07]],MATCH(0,reading[[#This Row],[Memo 01]:[Memo 07]],-1)),"")</f>
        <v>45234</v>
      </c>
      <c r="X2880" s="11">
        <f ca="1">IFERROR(reading[[#This Row],[Previous]]+OFFSET(reading[[#Headers],[Memo 01]],-1,MATCH(0,reading[[#This Row],[Memo 01]:[Memo 07]],-1)-1),"")</f>
        <v>45246</v>
      </c>
      <c r="Y2880" s="10" t="str">
        <f ca="1">IF(reading[[#This Row],[Next]]&lt;&gt;"",IF(reading[[#This Row],[Next]]&gt;TODAY(),"OK",""),"")</f>
        <v/>
      </c>
      <c r="Z2880" s="13">
        <v>3</v>
      </c>
      <c r="AA2880" s="13">
        <v>3</v>
      </c>
      <c r="AB2880" s="13">
        <v>3</v>
      </c>
      <c r="AC2880" s="13">
        <v>3</v>
      </c>
      <c r="AD2880" s="13">
        <v>3</v>
      </c>
      <c r="AE2880" s="13"/>
      <c r="AF2880" s="13"/>
      <c r="AG2880" s="16">
        <f>IFERROR(SUMIF(reading[[#This Row],[1st]:[7th]],"&gt;0")/COUNTIF(reading[[#This Row],[1st]:[7th]],"&gt;0"),"")</f>
        <v>3</v>
      </c>
    </row>
    <row r="2881" spans="1:33" x14ac:dyDescent="0.2">
      <c r="A2881" s="4">
        <f>IF(B2881=1,3,IF(D2881=1,2,IF(F2881=1,1,0)))</f>
        <v>0</v>
      </c>
      <c r="B2881" s="4" t="str">
        <f>IF(C2881=$L2881,1,IF(C2881="","",0))</f>
        <v/>
      </c>
      <c r="C2881" s="38"/>
      <c r="D2881" s="4" t="str">
        <f>IF(E2881=$L2881,1,IF(E2881="","",0))</f>
        <v/>
      </c>
      <c r="E2881" s="14"/>
      <c r="F2881" s="4" t="str">
        <f>IF(G2881=$L2881,1,IF(G2881="","",0))</f>
        <v/>
      </c>
      <c r="G2881" s="14"/>
      <c r="H2881" s="6">
        <v>2172</v>
      </c>
      <c r="I2881" s="15" t="s">
        <v>3120</v>
      </c>
      <c r="J2881" s="6" t="s">
        <v>5260</v>
      </c>
      <c r="K2881" s="6"/>
      <c r="L2881" s="6" t="s">
        <v>2238</v>
      </c>
      <c r="M2881" s="6" t="s">
        <v>8278</v>
      </c>
      <c r="N2881" s="7">
        <f ca="1">RAND()</f>
        <v>0.65209161894108625</v>
      </c>
      <c r="O2881" s="8">
        <v>45214</v>
      </c>
      <c r="P2881" s="8">
        <v>45215</v>
      </c>
      <c r="Q2881" s="8">
        <v>45217</v>
      </c>
      <c r="R2881" s="8">
        <v>45221</v>
      </c>
      <c r="S2881" s="8">
        <v>45228</v>
      </c>
      <c r="T2881" s="8"/>
      <c r="U2881" s="8"/>
      <c r="V2881" s="10">
        <f>COUNTA(O2881:U2881)</f>
        <v>5</v>
      </c>
      <c r="W2881" s="11">
        <f>_xlfn.IFNA(INDEX(reading[[#This Row],[Memo 01]:[Memo 07]],MATCH(0,reading[[#This Row],[Memo 01]:[Memo 07]],-1)),"")</f>
        <v>45228</v>
      </c>
      <c r="X2881" s="11">
        <f ca="1">IFERROR(reading[[#This Row],[Previous]]+OFFSET(reading[[#Headers],[Memo 01]],-1,MATCH(0,reading[[#This Row],[Memo 01]:[Memo 07]],-1)-1),"")</f>
        <v>45240</v>
      </c>
      <c r="Y2881" s="10" t="str">
        <f ca="1">IF(reading[[#This Row],[Next]]&lt;&gt;"",IF(reading[[#This Row],[Next]]&gt;TODAY(),"OK",""),"")</f>
        <v/>
      </c>
      <c r="Z2881" s="13">
        <v>3</v>
      </c>
      <c r="AA2881" s="13">
        <v>3</v>
      </c>
      <c r="AB2881" s="13">
        <v>3</v>
      </c>
      <c r="AC2881" s="13">
        <v>3</v>
      </c>
      <c r="AD2881" s="13">
        <v>3</v>
      </c>
      <c r="AE2881" s="13"/>
      <c r="AF2881" s="13"/>
      <c r="AG2881" s="16">
        <f>IFERROR(SUMIF(reading[[#This Row],[1st]:[7th]],"&gt;0")/COUNTIF(reading[[#This Row],[1st]:[7th]],"&gt;0"),"")</f>
        <v>3</v>
      </c>
    </row>
    <row r="2882" spans="1:33" hidden="1" x14ac:dyDescent="0.2">
      <c r="A2882" s="4">
        <f>IF(B2882=1,3,IF(D2882=1,2,IF(F2882=1,1,0)))</f>
        <v>0</v>
      </c>
      <c r="B2882" s="4">
        <f>IF(C2882=$L2882,1,IF(C2882="","",0))</f>
        <v>0</v>
      </c>
      <c r="C2882" s="42" t="s">
        <v>9200</v>
      </c>
      <c r="D2882" s="4" t="str">
        <f>IF(E2882=$L2882,1,IF(E2882="","",0))</f>
        <v/>
      </c>
      <c r="E2882" s="18"/>
      <c r="F2882" s="4" t="str">
        <f>IF(G2882=$L2882,1,IF(G2882="","",0))</f>
        <v/>
      </c>
      <c r="G2882" s="14"/>
      <c r="H2882" s="6">
        <v>2938</v>
      </c>
      <c r="I2882" s="15" t="s">
        <v>3120</v>
      </c>
      <c r="J2882" s="6" t="s">
        <v>5973</v>
      </c>
      <c r="K2882" s="6"/>
      <c r="L2882" s="6" t="s">
        <v>2968</v>
      </c>
      <c r="M2882" s="6" t="s">
        <v>9042</v>
      </c>
      <c r="N2882" s="7">
        <f ca="1">RAND()</f>
        <v>0.91355704960171791</v>
      </c>
      <c r="O2882" s="8">
        <v>45223</v>
      </c>
      <c r="P2882" s="8">
        <v>45224</v>
      </c>
      <c r="Q2882" s="8">
        <v>45226</v>
      </c>
      <c r="R2882" s="8">
        <v>45230</v>
      </c>
      <c r="S2882" s="8">
        <v>45250</v>
      </c>
      <c r="T2882" s="8"/>
      <c r="U2882" s="8"/>
      <c r="V2882" s="10">
        <f>COUNTA(O2882:U2882)</f>
        <v>5</v>
      </c>
      <c r="W2882" s="11">
        <f>_xlfn.IFNA(INDEX(reading[[#This Row],[Memo 01]:[Memo 07]],MATCH(0,reading[[#This Row],[Memo 01]:[Memo 07]],-1)),"")</f>
        <v>45250</v>
      </c>
      <c r="X2882" s="11">
        <f ca="1">IFERROR(reading[[#This Row],[Previous]]+OFFSET(reading[[#Headers],[Memo 01]],-1,MATCH(0,reading[[#This Row],[Memo 01]:[Memo 07]],-1)-1),"")</f>
        <v>45262</v>
      </c>
      <c r="Y2882" s="10" t="str">
        <f ca="1">IF(reading[[#This Row],[Next]]&lt;&gt;"",IF(reading[[#This Row],[Next]]&gt;TODAY(),"OK",""),"")</f>
        <v/>
      </c>
      <c r="Z2882" s="13">
        <v>3</v>
      </c>
      <c r="AA2882" s="13">
        <v>3</v>
      </c>
      <c r="AB2882" s="13">
        <v>3</v>
      </c>
      <c r="AC2882" s="13">
        <v>2</v>
      </c>
      <c r="AD2882" s="13">
        <v>1</v>
      </c>
      <c r="AE2882" s="13"/>
      <c r="AF2882" s="13"/>
      <c r="AG2882" s="16">
        <f>IFERROR(SUMIF(reading[[#This Row],[1st]:[7th]],"&gt;0")/COUNTIF(reading[[#This Row],[1st]:[7th]],"&gt;0"),"")</f>
        <v>2.4</v>
      </c>
    </row>
    <row r="2883" spans="1:33" hidden="1" x14ac:dyDescent="0.2">
      <c r="A2883" s="4">
        <f>IF(B2883=1,3,IF(D2883=1,2,IF(F2883=1,1,0)))</f>
        <v>0</v>
      </c>
      <c r="B2883" s="4">
        <f>IF(C2883=$L2883,1,IF(C2883="","",0))</f>
        <v>0</v>
      </c>
      <c r="C2883" s="42" t="s">
        <v>9200</v>
      </c>
      <c r="D2883" s="4" t="str">
        <f>IF(E2883=$L2883,1,IF(E2883="","",0))</f>
        <v/>
      </c>
      <c r="E2883" s="18"/>
      <c r="F2883" s="4" t="str">
        <f>IF(G2883=$L2883,1,IF(G2883="","",0))</f>
        <v/>
      </c>
      <c r="G2883" s="14"/>
      <c r="H2883" s="6">
        <v>2088</v>
      </c>
      <c r="I2883" s="15" t="s">
        <v>3120</v>
      </c>
      <c r="J2883" s="6" t="s">
        <v>5179</v>
      </c>
      <c r="K2883" s="6"/>
      <c r="L2883" s="6" t="s">
        <v>2159</v>
      </c>
      <c r="M2883" s="6" t="s">
        <v>8194</v>
      </c>
      <c r="N2883" s="7">
        <f ca="1">RAND()</f>
        <v>0.24175087408566476</v>
      </c>
      <c r="O2883" s="8">
        <v>45214</v>
      </c>
      <c r="P2883" s="8">
        <v>45215</v>
      </c>
      <c r="Q2883" s="8">
        <v>45217</v>
      </c>
      <c r="R2883" s="8">
        <v>45221</v>
      </c>
      <c r="S2883" s="8">
        <v>45228</v>
      </c>
      <c r="T2883" s="8"/>
      <c r="U2883" s="8"/>
      <c r="V2883" s="10">
        <f>COUNTA(O2883:U2883)</f>
        <v>5</v>
      </c>
      <c r="W2883" s="11">
        <f>_xlfn.IFNA(INDEX(reading[[#This Row],[Memo 01]:[Memo 07]],MATCH(0,reading[[#This Row],[Memo 01]:[Memo 07]],-1)),"")</f>
        <v>45228</v>
      </c>
      <c r="X2883" s="11">
        <f ca="1">IFERROR(reading[[#This Row],[Previous]]+OFFSET(reading[[#Headers],[Memo 01]],-1,MATCH(0,reading[[#This Row],[Memo 01]:[Memo 07]],-1)-1),"")</f>
        <v>45240</v>
      </c>
      <c r="Y2883" s="10" t="str">
        <f ca="1">IF(reading[[#This Row],[Next]]&lt;&gt;"",IF(reading[[#This Row],[Next]]&gt;TODAY(),"OK",""),"")</f>
        <v/>
      </c>
      <c r="Z2883" s="13">
        <v>3</v>
      </c>
      <c r="AA2883" s="13">
        <v>3</v>
      </c>
      <c r="AB2883" s="13">
        <v>2</v>
      </c>
      <c r="AC2883" s="13">
        <v>2</v>
      </c>
      <c r="AD2883" s="13">
        <v>3</v>
      </c>
      <c r="AE2883" s="13"/>
      <c r="AF2883" s="13"/>
      <c r="AG2883" s="16">
        <f>IFERROR(SUMIF(reading[[#This Row],[1st]:[7th]],"&gt;0")/COUNTIF(reading[[#This Row],[1st]:[7th]],"&gt;0"),"")</f>
        <v>2.6</v>
      </c>
    </row>
    <row r="2884" spans="1:33" hidden="1" x14ac:dyDescent="0.2">
      <c r="A2884" s="4">
        <f>IF(B2884=1,3,IF(D2884=1,2,IF(F2884=1,1,0)))</f>
        <v>0</v>
      </c>
      <c r="B2884" s="4" t="str">
        <f>IF(C2884=$L2884,1,IF(C2884="","",0))</f>
        <v/>
      </c>
      <c r="C2884" s="42"/>
      <c r="D2884" s="4" t="str">
        <f>IF(E2884=$L2884,1,IF(E2884="","",0))</f>
        <v/>
      </c>
      <c r="E2884" s="43"/>
      <c r="F2884" s="4" t="str">
        <f>IF(G2884=$L2884,1,IF(G2884="","",0))</f>
        <v/>
      </c>
      <c r="G2884" s="14"/>
      <c r="H2884" s="6">
        <v>2891</v>
      </c>
      <c r="I2884" s="15" t="s">
        <v>3120</v>
      </c>
      <c r="J2884" s="6" t="s">
        <v>5927</v>
      </c>
      <c r="K2884" s="6"/>
      <c r="L2884" s="6" t="s">
        <v>2922</v>
      </c>
      <c r="M2884" s="6" t="s">
        <v>8995</v>
      </c>
      <c r="N2884" s="7">
        <f ca="1">RAND()</f>
        <v>6.4830134524898719E-2</v>
      </c>
      <c r="O2884" s="8">
        <v>45223</v>
      </c>
      <c r="P2884" s="8">
        <v>45224</v>
      </c>
      <c r="Q2884" s="8">
        <v>45226</v>
      </c>
      <c r="R2884" s="8">
        <v>45230</v>
      </c>
      <c r="S2884" s="8">
        <v>45237</v>
      </c>
      <c r="T2884" s="8">
        <v>45816</v>
      </c>
      <c r="U2884" s="8"/>
      <c r="V2884" s="10">
        <f>COUNTA(O2884:U2884)</f>
        <v>6</v>
      </c>
      <c r="W2884" s="11">
        <f>_xlfn.IFNA(INDEX(reading[[#This Row],[Memo 01]:[Memo 07]],MATCH(0,reading[[#This Row],[Memo 01]:[Memo 07]],-1)),"")</f>
        <v>45816</v>
      </c>
      <c r="X2884" s="11">
        <f ca="1">IFERROR(reading[[#This Row],[Previous]]+OFFSET(reading[[#Headers],[Memo 01]],-1,MATCH(0,reading[[#This Row],[Memo 01]:[Memo 07]],-1)-1),"")</f>
        <v>45836</v>
      </c>
      <c r="Y2884" s="10" t="str">
        <f ca="1">IF(reading[[#This Row],[Next]]&lt;&gt;"",IF(reading[[#This Row],[Next]]&gt;TODAY(),"OK",""),"")</f>
        <v>OK</v>
      </c>
      <c r="Z2884" s="13">
        <v>3</v>
      </c>
      <c r="AA2884" s="13">
        <v>3</v>
      </c>
      <c r="AB2884" s="13">
        <v>3</v>
      </c>
      <c r="AC2884" s="13">
        <v>2</v>
      </c>
      <c r="AD2884" s="13">
        <v>3</v>
      </c>
      <c r="AE2884" s="13">
        <v>2</v>
      </c>
      <c r="AF2884" s="13"/>
      <c r="AG2884" s="16">
        <f>IFERROR(SUMIF(reading[[#This Row],[1st]:[7th]],"&gt;0")/COUNTIF(reading[[#This Row],[1st]:[7th]],"&gt;0"),"")</f>
        <v>2.6666666666666665</v>
      </c>
    </row>
    <row r="2885" spans="1:33" hidden="1" x14ac:dyDescent="0.2">
      <c r="A2885" s="4">
        <f>IF(B2885=1,3,IF(D2885=1,2,IF(F2885=1,1,0)))</f>
        <v>0</v>
      </c>
      <c r="B2885" s="4" t="str">
        <f>IF(C2885=$L2885,1,IF(C2885="","",0))</f>
        <v/>
      </c>
      <c r="C2885" s="42"/>
      <c r="D2885" s="4" t="str">
        <f>IF(E2885=$L2885,1,IF(E2885="","",0))</f>
        <v/>
      </c>
      <c r="E2885" s="43"/>
      <c r="F2885" s="4" t="str">
        <f>IF(G2885=$L2885,1,IF(G2885="","",0))</f>
        <v/>
      </c>
      <c r="G2885" s="14"/>
      <c r="H2885" s="6">
        <v>685</v>
      </c>
      <c r="I2885" s="15" t="s">
        <v>3120</v>
      </c>
      <c r="J2885" s="6" t="s">
        <v>3824</v>
      </c>
      <c r="K2885" s="6"/>
      <c r="L2885" s="6" t="s">
        <v>808</v>
      </c>
      <c r="M2885" s="6" t="s">
        <v>6794</v>
      </c>
      <c r="N2885" s="7">
        <f ca="1">RAND()</f>
        <v>0.3005428368577503</v>
      </c>
      <c r="O2885" s="8">
        <v>45203</v>
      </c>
      <c r="P2885" s="8">
        <v>45204</v>
      </c>
      <c r="Q2885" s="8">
        <v>45206</v>
      </c>
      <c r="R2885" s="8">
        <v>45210</v>
      </c>
      <c r="S2885" s="8">
        <v>45217</v>
      </c>
      <c r="T2885" s="8">
        <v>45229</v>
      </c>
      <c r="U2885" s="8">
        <v>45825</v>
      </c>
      <c r="V2885" s="10">
        <f>COUNTA(O2885:U2885)</f>
        <v>7</v>
      </c>
      <c r="W2885" s="11">
        <f>_xlfn.IFNA(INDEX(reading[[#This Row],[Memo 01]:[Memo 07]],MATCH(0,reading[[#This Row],[Memo 01]:[Memo 07]],-1)),"")</f>
        <v>45825</v>
      </c>
      <c r="X2885" s="11">
        <f ca="1">IFERROR(reading[[#This Row],[Previous]]+OFFSET(reading[[#Headers],[Memo 01]],-1,MATCH(0,reading[[#This Row],[Memo 01]:[Memo 07]],-1)-1),"")</f>
        <v>55825</v>
      </c>
      <c r="Y2885" s="10" t="str">
        <f ca="1">IF(reading[[#This Row],[Next]]&lt;&gt;"",IF(reading[[#This Row],[Next]]&gt;TODAY(),"OK",""),"")</f>
        <v>OK</v>
      </c>
      <c r="Z2885" s="13">
        <v>3</v>
      </c>
      <c r="AA2885" s="13">
        <v>2</v>
      </c>
      <c r="AB2885" s="13">
        <v>3</v>
      </c>
      <c r="AC2885" s="13">
        <v>3</v>
      </c>
      <c r="AD2885" s="13">
        <v>3</v>
      </c>
      <c r="AE2885" s="13">
        <v>3</v>
      </c>
      <c r="AF2885" s="13">
        <v>2</v>
      </c>
      <c r="AG2885" s="16">
        <f>IFERROR(SUMIF(reading[[#This Row],[1st]:[7th]],"&gt;0")/COUNTIF(reading[[#This Row],[1st]:[7th]],"&gt;0"),"")</f>
        <v>2.7142857142857144</v>
      </c>
    </row>
    <row r="2886" spans="1:33" x14ac:dyDescent="0.2">
      <c r="A2886" s="4">
        <f>IF(B2886=1,3,IF(D2886=1,2,IF(F2886=1,1,0)))</f>
        <v>0</v>
      </c>
      <c r="B2886" s="4" t="str">
        <f>IF(C2886=$L2886,1,IF(C2886="","",0))</f>
        <v/>
      </c>
      <c r="C2886" s="38"/>
      <c r="D2886" s="4" t="str">
        <f>IF(E2886=$L2886,1,IF(E2886="","",0))</f>
        <v/>
      </c>
      <c r="E2886" s="14"/>
      <c r="F2886" s="4" t="str">
        <f>IF(G2886=$L2886,1,IF(G2886="","",0))</f>
        <v/>
      </c>
      <c r="G2886" s="14"/>
      <c r="H2886" s="6">
        <v>2100</v>
      </c>
      <c r="I2886" s="15" t="s">
        <v>3120</v>
      </c>
      <c r="J2886" s="6" t="s">
        <v>3722</v>
      </c>
      <c r="K2886" s="6"/>
      <c r="L2886" s="6" t="s">
        <v>2170</v>
      </c>
      <c r="M2886" s="6" t="s">
        <v>8206</v>
      </c>
      <c r="N2886" s="7">
        <f ca="1">RAND()</f>
        <v>0.79327243665585134</v>
      </c>
      <c r="O2886" s="8">
        <v>45214</v>
      </c>
      <c r="P2886" s="8">
        <v>45215</v>
      </c>
      <c r="Q2886" s="8">
        <v>45217</v>
      </c>
      <c r="R2886" s="8">
        <v>45221</v>
      </c>
      <c r="S2886" s="8">
        <v>45228</v>
      </c>
      <c r="T2886" s="8"/>
      <c r="U2886" s="8"/>
      <c r="V2886" s="10">
        <f>COUNTA(O2886:U2886)</f>
        <v>5</v>
      </c>
      <c r="W2886" s="11">
        <f>_xlfn.IFNA(INDEX(reading[[#This Row],[Memo 01]:[Memo 07]],MATCH(0,reading[[#This Row],[Memo 01]:[Memo 07]],-1)),"")</f>
        <v>45228</v>
      </c>
      <c r="X2886" s="11">
        <f ca="1">IFERROR(reading[[#This Row],[Previous]]+OFFSET(reading[[#Headers],[Memo 01]],-1,MATCH(0,reading[[#This Row],[Memo 01]:[Memo 07]],-1)-1),"")</f>
        <v>45240</v>
      </c>
      <c r="Y2886" s="10" t="str">
        <f ca="1">IF(reading[[#This Row],[Next]]&lt;&gt;"",IF(reading[[#This Row],[Next]]&gt;TODAY(),"OK",""),"")</f>
        <v/>
      </c>
      <c r="Z2886" s="13">
        <v>3</v>
      </c>
      <c r="AA2886" s="13">
        <v>3</v>
      </c>
      <c r="AB2886" s="13">
        <v>3</v>
      </c>
      <c r="AC2886" s="13">
        <v>3</v>
      </c>
      <c r="AD2886" s="13">
        <v>3</v>
      </c>
      <c r="AE2886" s="13"/>
      <c r="AF2886" s="13"/>
      <c r="AG2886" s="16">
        <f>IFERROR(SUMIF(reading[[#This Row],[1st]:[7th]],"&gt;0")/COUNTIF(reading[[#This Row],[1st]:[7th]],"&gt;0"),"")</f>
        <v>3</v>
      </c>
    </row>
    <row r="2887" spans="1:33" x14ac:dyDescent="0.2">
      <c r="A2887" s="4">
        <f>IF(B2887=1,3,IF(D2887=1,2,IF(F2887=1,1,0)))</f>
        <v>0</v>
      </c>
      <c r="B2887" s="4" t="str">
        <f>IF(C2887=$L2887,1,IF(C2887="","",0))</f>
        <v/>
      </c>
      <c r="C2887" s="39"/>
      <c r="D2887" s="4" t="str">
        <f>IF(E2887=$L2887,1,IF(E2887="","",0))</f>
        <v/>
      </c>
      <c r="E2887" s="14"/>
      <c r="F2887" s="4" t="str">
        <f>IF(G2887=$L2887,1,IF(G2887="","",0))</f>
        <v/>
      </c>
      <c r="G2887" s="14"/>
      <c r="H2887" s="6">
        <v>2715</v>
      </c>
      <c r="I2887" s="15" t="s">
        <v>3120</v>
      </c>
      <c r="J2887" s="6" t="s">
        <v>5765</v>
      </c>
      <c r="K2887" s="6"/>
      <c r="L2887" s="6" t="s">
        <v>2753</v>
      </c>
      <c r="M2887" s="6" t="s">
        <v>8820</v>
      </c>
      <c r="N2887" s="7">
        <f ca="1">RAND()</f>
        <v>4.0059245233003749E-2</v>
      </c>
      <c r="O2887" s="8">
        <v>45221</v>
      </c>
      <c r="P2887" s="8">
        <v>45222</v>
      </c>
      <c r="Q2887" s="8">
        <v>45224</v>
      </c>
      <c r="R2887" s="8">
        <v>45228</v>
      </c>
      <c r="S2887" s="8">
        <v>45235</v>
      </c>
      <c r="T2887" s="8"/>
      <c r="U2887" s="8"/>
      <c r="V2887" s="10">
        <f>COUNTA(O2887:U2887)</f>
        <v>5</v>
      </c>
      <c r="W2887" s="11">
        <f>_xlfn.IFNA(INDEX(reading[[#This Row],[Memo 01]:[Memo 07]],MATCH(0,reading[[#This Row],[Memo 01]:[Memo 07]],-1)),"")</f>
        <v>45235</v>
      </c>
      <c r="X2887" s="11">
        <f ca="1">IFERROR(reading[[#This Row],[Previous]]+OFFSET(reading[[#Headers],[Memo 01]],-1,MATCH(0,reading[[#This Row],[Memo 01]:[Memo 07]],-1)-1),"")</f>
        <v>45247</v>
      </c>
      <c r="Y2887" s="10" t="str">
        <f ca="1">IF(reading[[#This Row],[Next]]&lt;&gt;"",IF(reading[[#This Row],[Next]]&gt;TODAY(),"OK",""),"")</f>
        <v/>
      </c>
      <c r="Z2887" s="13">
        <v>3</v>
      </c>
      <c r="AA2887" s="13">
        <v>3</v>
      </c>
      <c r="AB2887" s="13">
        <v>3</v>
      </c>
      <c r="AC2887" s="13">
        <v>3</v>
      </c>
      <c r="AD2887" s="13">
        <v>3</v>
      </c>
      <c r="AE2887" s="13"/>
      <c r="AF2887" s="13"/>
      <c r="AG2887" s="16">
        <f>IFERROR(SUMIF(reading[[#This Row],[1st]:[7th]],"&gt;0")/COUNTIF(reading[[#This Row],[1st]:[7th]],"&gt;0"),"")</f>
        <v>3</v>
      </c>
    </row>
    <row r="2888" spans="1:33" hidden="1" x14ac:dyDescent="0.2">
      <c r="A2888" s="4">
        <f>IF(B2888=1,3,IF(D2888=1,2,IF(F2888=1,1,0)))</f>
        <v>3</v>
      </c>
      <c r="B2888" s="4">
        <f>IF(C2888=$L2888,1,IF(C2888="","",0))</f>
        <v>1</v>
      </c>
      <c r="C2888" s="36" t="s">
        <v>2923</v>
      </c>
      <c r="D2888" s="4" t="str">
        <f>IF(E2888=$L2888,1,IF(E2888="","",0))</f>
        <v/>
      </c>
      <c r="E2888" s="14"/>
      <c r="F2888" s="4" t="str">
        <f>IF(G2888=$L2888,1,IF(G2888="","",0))</f>
        <v/>
      </c>
      <c r="G2888" s="14"/>
      <c r="H2888" s="6">
        <v>2892</v>
      </c>
      <c r="I2888" s="15" t="s">
        <v>3120</v>
      </c>
      <c r="J2888" s="6" t="s">
        <v>5928</v>
      </c>
      <c r="K2888" s="6"/>
      <c r="L2888" s="6" t="s">
        <v>2923</v>
      </c>
      <c r="M2888" s="6" t="s">
        <v>8996</v>
      </c>
      <c r="N2888" s="7">
        <f ca="1">RAND()</f>
        <v>0.94049690489312521</v>
      </c>
      <c r="O2888" s="8">
        <v>45222</v>
      </c>
      <c r="P2888" s="8">
        <v>45222</v>
      </c>
      <c r="Q2888" s="8">
        <v>45222</v>
      </c>
      <c r="R2888" s="8">
        <v>45222</v>
      </c>
      <c r="S2888" s="8">
        <v>45222</v>
      </c>
      <c r="T2888" s="8">
        <v>45222</v>
      </c>
      <c r="U2888" s="8">
        <v>45222</v>
      </c>
      <c r="V2888" s="10">
        <f>COUNTA(O2888:U2888)</f>
        <v>7</v>
      </c>
      <c r="W2888" s="11">
        <f>_xlfn.IFNA(INDEX(reading[[#This Row],[Memo 01]:[Memo 07]],MATCH(0,reading[[#This Row],[Memo 01]:[Memo 07]],-1)),"")</f>
        <v>45222</v>
      </c>
      <c r="X2888" s="11">
        <f ca="1">IFERROR(reading[[#This Row],[Previous]]+OFFSET(reading[[#Headers],[Memo 01]],-1,MATCH(0,reading[[#This Row],[Memo 01]:[Memo 07]],-1)-1),"")</f>
        <v>55222</v>
      </c>
      <c r="Y2888" s="10" t="str">
        <f ca="1">IF(reading[[#This Row],[Next]]&lt;&gt;"",IF(reading[[#This Row],[Next]]&gt;TODAY(),"OK",""),"")</f>
        <v>OK</v>
      </c>
      <c r="Z2888" s="13">
        <v>3</v>
      </c>
      <c r="AA2888" s="13"/>
      <c r="AB2888" s="13"/>
      <c r="AC2888" s="13"/>
      <c r="AD2888" s="13"/>
      <c r="AE2888" s="13"/>
      <c r="AF2888" s="13"/>
      <c r="AG2888" s="16">
        <f>IFERROR(SUMIF(reading[[#This Row],[1st]:[7th]],"&gt;0")/COUNTIF(reading[[#This Row],[1st]:[7th]],"&gt;0"),"")</f>
        <v>3</v>
      </c>
    </row>
    <row r="2889" spans="1:33" x14ac:dyDescent="0.2">
      <c r="A2889" s="4">
        <f>IF(B2889=1,3,IF(D2889=1,2,IF(F2889=1,1,0)))</f>
        <v>0</v>
      </c>
      <c r="B2889" s="4" t="str">
        <f>IF(C2889=$L2889,1,IF(C2889="","",0))</f>
        <v/>
      </c>
      <c r="C2889" s="39"/>
      <c r="D2889" s="4" t="str">
        <f>IF(E2889=$L2889,1,IF(E2889="","",0))</f>
        <v/>
      </c>
      <c r="E2889" s="14"/>
      <c r="F2889" s="4" t="str">
        <f>IF(G2889=$L2889,1,IF(G2889="","",0))</f>
        <v/>
      </c>
      <c r="G2889" s="14"/>
      <c r="H2889" s="6">
        <v>2737</v>
      </c>
      <c r="I2889" s="15" t="s">
        <v>3120</v>
      </c>
      <c r="J2889" s="6" t="s">
        <v>5785</v>
      </c>
      <c r="K2889" s="15" t="s">
        <v>3138</v>
      </c>
      <c r="L2889" s="6" t="s">
        <v>2775</v>
      </c>
      <c r="M2889" s="6" t="s">
        <v>8842</v>
      </c>
      <c r="N2889" s="7">
        <f ca="1">RAND()</f>
        <v>0.70608131226054105</v>
      </c>
      <c r="O2889" s="8">
        <v>45221</v>
      </c>
      <c r="P2889" s="8">
        <v>45222</v>
      </c>
      <c r="Q2889" s="8">
        <v>45224</v>
      </c>
      <c r="R2889" s="8">
        <v>45228</v>
      </c>
      <c r="S2889" s="8">
        <v>45235</v>
      </c>
      <c r="T2889" s="8"/>
      <c r="U2889" s="8"/>
      <c r="V2889" s="10">
        <f>COUNTA(O2889:U2889)</f>
        <v>5</v>
      </c>
      <c r="W2889" s="11">
        <f>_xlfn.IFNA(INDEX(reading[[#This Row],[Memo 01]:[Memo 07]],MATCH(0,reading[[#This Row],[Memo 01]:[Memo 07]],-1)),"")</f>
        <v>45235</v>
      </c>
      <c r="X2889" s="11">
        <f ca="1">IFERROR(reading[[#This Row],[Previous]]+OFFSET(reading[[#Headers],[Memo 01]],-1,MATCH(0,reading[[#This Row],[Memo 01]:[Memo 07]],-1)-1),"")</f>
        <v>45247</v>
      </c>
      <c r="Y2889" s="10" t="str">
        <f ca="1">IF(reading[[#This Row],[Next]]&lt;&gt;"",IF(reading[[#This Row],[Next]]&gt;TODAY(),"OK",""),"")</f>
        <v/>
      </c>
      <c r="Z2889" s="13">
        <v>3</v>
      </c>
      <c r="AA2889" s="13">
        <v>3</v>
      </c>
      <c r="AB2889" s="13">
        <v>3</v>
      </c>
      <c r="AC2889" s="13">
        <v>3</v>
      </c>
      <c r="AD2889" s="13">
        <v>3</v>
      </c>
      <c r="AE2889" s="13"/>
      <c r="AF2889" s="13"/>
      <c r="AG2889" s="16">
        <f>IFERROR(SUMIF(reading[[#This Row],[1st]:[7th]],"&gt;0")/COUNTIF(reading[[#This Row],[1st]:[7th]],"&gt;0"),"")</f>
        <v>3</v>
      </c>
    </row>
    <row r="2890" spans="1:33" hidden="1" x14ac:dyDescent="0.2">
      <c r="A2890" s="4">
        <f>IF(B2890=1,3,IF(D2890=1,2,IF(F2890=1,1,0)))</f>
        <v>0</v>
      </c>
      <c r="B2890" s="4" t="str">
        <f>IF(C2890=$L2890,1,IF(C2890="","",0))</f>
        <v/>
      </c>
      <c r="C2890" s="42"/>
      <c r="D2890" s="4" t="str">
        <f>IF(E2890=$L2890,1,IF(E2890="","",0))</f>
        <v/>
      </c>
      <c r="E2890" s="23"/>
      <c r="F2890" s="4" t="str">
        <f>IF(G2890=$L2890,1,IF(G2890="","",0))</f>
        <v/>
      </c>
      <c r="G2890" s="14"/>
      <c r="H2890" s="6">
        <v>1297</v>
      </c>
      <c r="I2890" s="15" t="s">
        <v>3120</v>
      </c>
      <c r="J2890" s="6" t="s">
        <v>4414</v>
      </c>
      <c r="K2890" s="6"/>
      <c r="L2890" s="6" t="s">
        <v>1394</v>
      </c>
      <c r="M2890" s="6" t="s">
        <v>7404</v>
      </c>
      <c r="N2890" s="7">
        <f ca="1">RAND()</f>
        <v>0.31213486491944187</v>
      </c>
      <c r="O2890" s="8">
        <v>45207</v>
      </c>
      <c r="P2890" s="8">
        <v>45208</v>
      </c>
      <c r="Q2890" s="8">
        <v>45210</v>
      </c>
      <c r="R2890" s="8">
        <v>45214</v>
      </c>
      <c r="S2890" s="8">
        <v>45221</v>
      </c>
      <c r="T2890" s="8">
        <v>45233</v>
      </c>
      <c r="U2890" s="8">
        <v>45825</v>
      </c>
      <c r="V2890" s="10">
        <f>COUNTA(O2890:U2890)</f>
        <v>7</v>
      </c>
      <c r="W2890" s="11">
        <f>_xlfn.IFNA(INDEX(reading[[#This Row],[Memo 01]:[Memo 07]],MATCH(0,reading[[#This Row],[Memo 01]:[Memo 07]],-1)),"")</f>
        <v>45825</v>
      </c>
      <c r="X2890" s="11">
        <f ca="1">IFERROR(reading[[#This Row],[Previous]]+OFFSET(reading[[#Headers],[Memo 01]],-1,MATCH(0,reading[[#This Row],[Memo 01]:[Memo 07]],-1)-1),"")</f>
        <v>55825</v>
      </c>
      <c r="Y2890" s="10" t="str">
        <f ca="1">IF(reading[[#This Row],[Next]]&lt;&gt;"",IF(reading[[#This Row],[Next]]&gt;TODAY(),"OK",""),"")</f>
        <v>OK</v>
      </c>
      <c r="Z2890" s="13">
        <v>3</v>
      </c>
      <c r="AA2890" s="13">
        <v>3</v>
      </c>
      <c r="AB2890" s="13">
        <v>3</v>
      </c>
      <c r="AC2890" s="13">
        <v>3</v>
      </c>
      <c r="AD2890" s="13">
        <v>3</v>
      </c>
      <c r="AE2890" s="13">
        <v>3</v>
      </c>
      <c r="AF2890" s="13">
        <v>2</v>
      </c>
      <c r="AG2890" s="16">
        <f>IFERROR(SUMIF(reading[[#This Row],[1st]:[7th]],"&gt;0")/COUNTIF(reading[[#This Row],[1st]:[7th]],"&gt;0"),"")</f>
        <v>2.8571428571428572</v>
      </c>
    </row>
    <row r="2891" spans="1:33" x14ac:dyDescent="0.2">
      <c r="A2891" s="4">
        <f>IF(B2891=1,3,IF(D2891=1,2,IF(F2891=1,1,0)))</f>
        <v>0</v>
      </c>
      <c r="B2891" s="4" t="str">
        <f>IF(C2891=$L2891,1,IF(C2891="","",0))</f>
        <v/>
      </c>
      <c r="C2891" s="42"/>
      <c r="D2891" s="4" t="str">
        <f>IF(E2891=$L2891,1,IF(E2891="","",0))</f>
        <v/>
      </c>
      <c r="E2891" s="18"/>
      <c r="F2891" s="4" t="str">
        <f>IF(G2891=$L2891,1,IF(G2891="","",0))</f>
        <v/>
      </c>
      <c r="G2891" s="14"/>
      <c r="H2891" s="6">
        <v>1399</v>
      </c>
      <c r="I2891" s="15" t="s">
        <v>3120</v>
      </c>
      <c r="J2891" s="6" t="s">
        <v>4513</v>
      </c>
      <c r="K2891" s="15" t="s">
        <v>3139</v>
      </c>
      <c r="L2891" s="6" t="s">
        <v>1491</v>
      </c>
      <c r="M2891" s="6" t="s">
        <v>7506</v>
      </c>
      <c r="N2891" s="7">
        <f ca="1">RAND()</f>
        <v>0.90488570245649602</v>
      </c>
      <c r="O2891" s="8">
        <v>45207</v>
      </c>
      <c r="P2891" s="8">
        <v>45208</v>
      </c>
      <c r="Q2891" s="8">
        <v>45210</v>
      </c>
      <c r="R2891" s="8">
        <v>45214</v>
      </c>
      <c r="S2891" s="8">
        <v>45221</v>
      </c>
      <c r="T2891" s="8">
        <v>45233</v>
      </c>
      <c r="U2891" s="8"/>
      <c r="V2891" s="10">
        <f>COUNTA(O2891:U2891)</f>
        <v>6</v>
      </c>
      <c r="W2891" s="11">
        <f>_xlfn.IFNA(INDEX(reading[[#This Row],[Memo 01]:[Memo 07]],MATCH(0,reading[[#This Row],[Memo 01]:[Memo 07]],-1)),"")</f>
        <v>45233</v>
      </c>
      <c r="X2891" s="11">
        <f ca="1">IFERROR(reading[[#This Row],[Previous]]+OFFSET(reading[[#Headers],[Memo 01]],-1,MATCH(0,reading[[#This Row],[Memo 01]:[Memo 07]],-1)-1),"")</f>
        <v>45253</v>
      </c>
      <c r="Y2891" s="10" t="str">
        <f ca="1">IF(reading[[#This Row],[Next]]&lt;&gt;"",IF(reading[[#This Row],[Next]]&gt;TODAY(),"OK",""),"")</f>
        <v/>
      </c>
      <c r="Z2891" s="13">
        <v>3</v>
      </c>
      <c r="AA2891" s="13">
        <v>3</v>
      </c>
      <c r="AB2891" s="13">
        <v>2</v>
      </c>
      <c r="AC2891" s="13">
        <v>2</v>
      </c>
      <c r="AD2891" s="13">
        <v>2</v>
      </c>
      <c r="AE2891" s="13">
        <v>3</v>
      </c>
      <c r="AF2891" s="13"/>
      <c r="AG2891" s="16">
        <f>IFERROR(SUMIF(reading[[#This Row],[1st]:[7th]],"&gt;0")/COUNTIF(reading[[#This Row],[1st]:[7th]],"&gt;0"),"")</f>
        <v>2.5</v>
      </c>
    </row>
    <row r="2892" spans="1:33" x14ac:dyDescent="0.2">
      <c r="A2892" s="4">
        <f>IF(B2892=1,3,IF(D2892=1,2,IF(F2892=1,1,0)))</f>
        <v>0</v>
      </c>
      <c r="B2892" s="4" t="str">
        <f>IF(C2892=$L2892,1,IF(C2892="","",0))</f>
        <v/>
      </c>
      <c r="C2892" s="42"/>
      <c r="D2892" s="4" t="str">
        <f>IF(E2892=$L2892,1,IF(E2892="","",0))</f>
        <v/>
      </c>
      <c r="E2892" s="14"/>
      <c r="F2892" s="4" t="str">
        <f>IF(G2892=$L2892,1,IF(G2892="","",0))</f>
        <v/>
      </c>
      <c r="G2892" s="14"/>
      <c r="H2892" s="6">
        <v>2005</v>
      </c>
      <c r="I2892" s="15" t="s">
        <v>3120</v>
      </c>
      <c r="J2892" s="6" t="s">
        <v>5103</v>
      </c>
      <c r="K2892" s="6"/>
      <c r="L2892" s="6" t="s">
        <v>2080</v>
      </c>
      <c r="M2892" s="6" t="s">
        <v>8111</v>
      </c>
      <c r="N2892" s="7">
        <f ca="1">RAND()</f>
        <v>0.60741531452822606</v>
      </c>
      <c r="O2892" s="8">
        <v>45213</v>
      </c>
      <c r="P2892" s="8">
        <v>45214</v>
      </c>
      <c r="Q2892" s="8">
        <v>45216</v>
      </c>
      <c r="R2892" s="8">
        <v>45220</v>
      </c>
      <c r="S2892" s="8">
        <v>45227</v>
      </c>
      <c r="T2892" s="8">
        <v>45792</v>
      </c>
      <c r="U2892" s="8"/>
      <c r="V2892" s="10">
        <f>COUNTA(O2892:U2892)</f>
        <v>6</v>
      </c>
      <c r="W2892" s="11">
        <f>_xlfn.IFNA(INDEX(reading[[#This Row],[Memo 01]:[Memo 07]],MATCH(0,reading[[#This Row],[Memo 01]:[Memo 07]],-1)),"")</f>
        <v>45792</v>
      </c>
      <c r="X2892" s="11">
        <f ca="1">IFERROR(reading[[#This Row],[Previous]]+OFFSET(reading[[#Headers],[Memo 01]],-1,MATCH(0,reading[[#This Row],[Memo 01]:[Memo 07]],-1)-1),"")</f>
        <v>45812</v>
      </c>
      <c r="Y2892" s="10" t="str">
        <f ca="1">IF(reading[[#This Row],[Next]]&lt;&gt;"",IF(reading[[#This Row],[Next]]&gt;TODAY(),"OK",""),"")</f>
        <v/>
      </c>
      <c r="Z2892" s="13">
        <v>3</v>
      </c>
      <c r="AA2892" s="13">
        <v>3</v>
      </c>
      <c r="AB2892" s="13">
        <v>3</v>
      </c>
      <c r="AC2892" s="13">
        <v>3</v>
      </c>
      <c r="AD2892" s="13">
        <v>3</v>
      </c>
      <c r="AE2892" s="13">
        <v>3</v>
      </c>
      <c r="AF2892" s="13"/>
      <c r="AG2892" s="16">
        <f>IFERROR(SUMIF(reading[[#This Row],[1st]:[7th]],"&gt;0")/COUNTIF(reading[[#This Row],[1st]:[7th]],"&gt;0"),"")</f>
        <v>3</v>
      </c>
    </row>
    <row r="2893" spans="1:33" hidden="1" x14ac:dyDescent="0.2">
      <c r="A2893" s="4">
        <f>IF(B2893=1,3,IF(D2893=1,2,IF(F2893=1,1,0)))</f>
        <v>0</v>
      </c>
      <c r="B2893" s="4">
        <f>IF(C2893=$L2893,1,IF(C2893="","",0))</f>
        <v>0</v>
      </c>
      <c r="C2893" s="42" t="s">
        <v>9269</v>
      </c>
      <c r="D2893" s="4" t="str">
        <f>IF(E2893=$L2893,1,IF(E2893="","",0))</f>
        <v/>
      </c>
      <c r="E2893" s="18"/>
      <c r="F2893" s="4" t="str">
        <f>IF(G2893=$L2893,1,IF(G2893="","",0))</f>
        <v/>
      </c>
      <c r="G2893" s="14"/>
      <c r="H2893" s="6">
        <v>2999</v>
      </c>
      <c r="I2893" s="15" t="s">
        <v>3120</v>
      </c>
      <c r="J2893" s="6" t="s">
        <v>6023</v>
      </c>
      <c r="K2893" s="15" t="s">
        <v>3138</v>
      </c>
      <c r="L2893" s="6" t="s">
        <v>3028</v>
      </c>
      <c r="M2893" s="6" t="s">
        <v>9102</v>
      </c>
      <c r="N2893" s="7">
        <f ca="1">RAND()</f>
        <v>0.5995164318929268</v>
      </c>
      <c r="O2893" s="8">
        <v>45223</v>
      </c>
      <c r="P2893" s="8">
        <v>45224</v>
      </c>
      <c r="Q2893" s="8">
        <v>45226</v>
      </c>
      <c r="R2893" s="8">
        <v>45230</v>
      </c>
      <c r="S2893" s="8">
        <v>45237</v>
      </c>
      <c r="T2893" s="8"/>
      <c r="U2893" s="8"/>
      <c r="V2893" s="10">
        <f>COUNTA(O2893:U2893)</f>
        <v>5</v>
      </c>
      <c r="W2893" s="11">
        <f>_xlfn.IFNA(INDEX(reading[[#This Row],[Memo 01]:[Memo 07]],MATCH(0,reading[[#This Row],[Memo 01]:[Memo 07]],-1)),"")</f>
        <v>45237</v>
      </c>
      <c r="X2893" s="11">
        <f ca="1">IFERROR(reading[[#This Row],[Previous]]+OFFSET(reading[[#Headers],[Memo 01]],-1,MATCH(0,reading[[#This Row],[Memo 01]:[Memo 07]],-1)-1),"")</f>
        <v>45249</v>
      </c>
      <c r="Y2893" s="10" t="str">
        <f ca="1">IF(reading[[#This Row],[Next]]&lt;&gt;"",IF(reading[[#This Row],[Next]]&gt;TODAY(),"OK",""),"")</f>
        <v/>
      </c>
      <c r="Z2893" s="13">
        <v>3</v>
      </c>
      <c r="AA2893" s="13">
        <v>3</v>
      </c>
      <c r="AB2893" s="13">
        <v>3</v>
      </c>
      <c r="AC2893" s="13">
        <v>2</v>
      </c>
      <c r="AD2893" s="13">
        <v>3</v>
      </c>
      <c r="AE2893" s="13"/>
      <c r="AF2893" s="13"/>
      <c r="AG2893" s="16">
        <f>IFERROR(SUMIF(reading[[#This Row],[1st]:[7th]],"&gt;0")/COUNTIF(reading[[#This Row],[1st]:[7th]],"&gt;0"),"")</f>
        <v>2.8</v>
      </c>
    </row>
    <row r="2894" spans="1:33" x14ac:dyDescent="0.2">
      <c r="A2894" s="4">
        <f>IF(B2894=1,3,IF(D2894=1,2,IF(F2894=1,1,0)))</f>
        <v>0</v>
      </c>
      <c r="B2894" s="4" t="str">
        <f>IF(C2894=$L2894,1,IF(C2894="","",0))</f>
        <v/>
      </c>
      <c r="C2894" s="41"/>
      <c r="D2894" s="4" t="str">
        <f>IF(E2894=$L2894,1,IF(E2894="","",0))</f>
        <v/>
      </c>
      <c r="E2894" s="18"/>
      <c r="F2894" s="4" t="str">
        <f>IF(G2894=$L2894,1,IF(G2894="","",0))</f>
        <v/>
      </c>
      <c r="G2894" s="14"/>
      <c r="H2894" s="6">
        <v>1896</v>
      </c>
      <c r="I2894" s="15" t="s">
        <v>3120</v>
      </c>
      <c r="J2894" s="6" t="s">
        <v>4997</v>
      </c>
      <c r="K2894" s="6"/>
      <c r="L2894" s="6" t="s">
        <v>1972</v>
      </c>
      <c r="M2894" s="6" t="s">
        <v>8002</v>
      </c>
      <c r="N2894" s="7">
        <f ca="1">RAND()</f>
        <v>0.73632813328761182</v>
      </c>
      <c r="O2894" s="8">
        <v>45213</v>
      </c>
      <c r="P2894" s="8">
        <v>45214</v>
      </c>
      <c r="Q2894" s="8">
        <v>45216</v>
      </c>
      <c r="R2894" s="8">
        <v>45220</v>
      </c>
      <c r="S2894" s="8">
        <v>45227</v>
      </c>
      <c r="T2894" s="8">
        <v>45249</v>
      </c>
      <c r="U2894" s="8"/>
      <c r="V2894" s="10">
        <f>COUNTA(O2894:U2894)</f>
        <v>6</v>
      </c>
      <c r="W2894" s="11">
        <f>_xlfn.IFNA(INDEX(reading[[#This Row],[Memo 01]:[Memo 07]],MATCH(0,reading[[#This Row],[Memo 01]:[Memo 07]],-1)),"")</f>
        <v>45249</v>
      </c>
      <c r="X2894" s="11">
        <f ca="1">IFERROR(reading[[#This Row],[Previous]]+OFFSET(reading[[#Headers],[Memo 01]],-1,MATCH(0,reading[[#This Row],[Memo 01]:[Memo 07]],-1)-1),"")</f>
        <v>45269</v>
      </c>
      <c r="Y2894" s="10" t="str">
        <f ca="1">IF(reading[[#This Row],[Next]]&lt;&gt;"",IF(reading[[#This Row],[Next]]&gt;TODAY(),"OK",""),"")</f>
        <v/>
      </c>
      <c r="Z2894" s="13">
        <v>3</v>
      </c>
      <c r="AA2894" s="13">
        <v>3</v>
      </c>
      <c r="AB2894" s="13">
        <v>3</v>
      </c>
      <c r="AC2894" s="13">
        <v>2</v>
      </c>
      <c r="AD2894" s="13">
        <v>1</v>
      </c>
      <c r="AE2894" s="13">
        <v>2</v>
      </c>
      <c r="AF2894" s="13"/>
      <c r="AG2894" s="16">
        <f>IFERROR(SUMIF(reading[[#This Row],[1st]:[7th]],"&gt;0")/COUNTIF(reading[[#This Row],[1st]:[7th]],"&gt;0"),"")</f>
        <v>2.3333333333333335</v>
      </c>
    </row>
    <row r="2895" spans="1:33" x14ac:dyDescent="0.2">
      <c r="A2895" s="4">
        <f>IF(B2895=1,3,IF(D2895=1,2,IF(F2895=1,1,0)))</f>
        <v>0</v>
      </c>
      <c r="B2895" s="4" t="str">
        <f>IF(C2895=$L2895,1,IF(C2895="","",0))</f>
        <v/>
      </c>
      <c r="C2895" s="36"/>
      <c r="D2895" s="4" t="str">
        <f>IF(E2895=$L2895,1,IF(E2895="","",0))</f>
        <v/>
      </c>
      <c r="E2895" s="18"/>
      <c r="F2895" s="4" t="str">
        <f>IF(G2895=$L2895,1,IF(G2895="","",0))</f>
        <v/>
      </c>
      <c r="G2895" s="14"/>
      <c r="H2895" s="6">
        <v>101</v>
      </c>
      <c r="I2895" s="15" t="s">
        <v>3120</v>
      </c>
      <c r="J2895" s="6" t="s">
        <v>3250</v>
      </c>
      <c r="K2895" s="15" t="s">
        <v>3138</v>
      </c>
      <c r="L2895" s="6" t="s">
        <v>238</v>
      </c>
      <c r="M2895" s="6" t="s">
        <v>6210</v>
      </c>
      <c r="N2895" s="7">
        <f ca="1">RAND()</f>
        <v>0.4616601866717589</v>
      </c>
      <c r="O2895" s="8">
        <v>45199</v>
      </c>
      <c r="P2895" s="8">
        <v>45200</v>
      </c>
      <c r="Q2895" s="8">
        <v>45202</v>
      </c>
      <c r="R2895" s="8">
        <v>45206</v>
      </c>
      <c r="S2895" s="8">
        <v>45213</v>
      </c>
      <c r="T2895" s="8">
        <v>45225</v>
      </c>
      <c r="U2895" s="8"/>
      <c r="V2895" s="10">
        <f>COUNTA(O2895:U2895)</f>
        <v>6</v>
      </c>
      <c r="W2895" s="11">
        <f>_xlfn.IFNA(INDEX(reading[[#This Row],[Memo 01]:[Memo 07]],MATCH(0,reading[[#This Row],[Memo 01]:[Memo 07]],-1)),"")</f>
        <v>45225</v>
      </c>
      <c r="X2895" s="11">
        <f ca="1">IFERROR(reading[[#This Row],[Previous]]+OFFSET(reading[[#Headers],[Memo 01]],-1,MATCH(0,reading[[#This Row],[Memo 01]:[Memo 07]],-1)-1),"")</f>
        <v>45245</v>
      </c>
      <c r="Y2895" s="10" t="str">
        <f ca="1">IF(reading[[#This Row],[Next]]&lt;&gt;"",IF(reading[[#This Row],[Next]]&gt;TODAY(),"OK",""),"")</f>
        <v/>
      </c>
      <c r="Z2895" s="13">
        <v>3</v>
      </c>
      <c r="AA2895" s="13">
        <v>3</v>
      </c>
      <c r="AB2895" s="13">
        <v>3</v>
      </c>
      <c r="AC2895" s="13">
        <v>3</v>
      </c>
      <c r="AD2895" s="13">
        <v>3</v>
      </c>
      <c r="AE2895" s="13">
        <v>2</v>
      </c>
      <c r="AF2895" s="13"/>
      <c r="AG2895" s="16">
        <f>IFERROR(SUMIF(reading[[#This Row],[1st]:[7th]],"&gt;0")/COUNTIF(reading[[#This Row],[1st]:[7th]],"&gt;0"),"")</f>
        <v>2.8333333333333335</v>
      </c>
    </row>
    <row r="2896" spans="1:33" hidden="1" x14ac:dyDescent="0.2">
      <c r="A2896" s="4">
        <f>IF(B2896=1,3,IF(D2896=1,2,IF(F2896=1,1,0)))</f>
        <v>3</v>
      </c>
      <c r="B2896" s="4">
        <f>IF(C2896=$L2896,1,IF(C2896="","",0))</f>
        <v>1</v>
      </c>
      <c r="C2896" s="36" t="s">
        <v>2930</v>
      </c>
      <c r="D2896" s="4" t="str">
        <f>IF(E2896=$L2896,1,IF(E2896="","",0))</f>
        <v/>
      </c>
      <c r="E2896" s="14"/>
      <c r="F2896" s="4" t="str">
        <f>IF(G2896=$L2896,1,IF(G2896="","",0))</f>
        <v/>
      </c>
      <c r="G2896" s="14"/>
      <c r="H2896" s="6">
        <v>2900</v>
      </c>
      <c r="I2896" s="15" t="s">
        <v>3120</v>
      </c>
      <c r="J2896" s="6" t="s">
        <v>5936</v>
      </c>
      <c r="K2896" s="6"/>
      <c r="L2896" s="6" t="s">
        <v>2930</v>
      </c>
      <c r="M2896" s="6" t="s">
        <v>9004</v>
      </c>
      <c r="N2896" s="7">
        <f ca="1">RAND()</f>
        <v>0.39983273458652524</v>
      </c>
      <c r="O2896" s="8">
        <v>45222</v>
      </c>
      <c r="P2896" s="8">
        <v>45222</v>
      </c>
      <c r="Q2896" s="8">
        <v>45222</v>
      </c>
      <c r="R2896" s="8">
        <v>45222</v>
      </c>
      <c r="S2896" s="8">
        <v>45222</v>
      </c>
      <c r="T2896" s="8">
        <v>45222</v>
      </c>
      <c r="U2896" s="8">
        <v>45222</v>
      </c>
      <c r="V2896" s="10">
        <f>COUNTA(O2896:U2896)</f>
        <v>7</v>
      </c>
      <c r="W2896" s="11">
        <f>_xlfn.IFNA(INDEX(reading[[#This Row],[Memo 01]:[Memo 07]],MATCH(0,reading[[#This Row],[Memo 01]:[Memo 07]],-1)),"")</f>
        <v>45222</v>
      </c>
      <c r="X2896" s="11">
        <f ca="1">IFERROR(reading[[#This Row],[Previous]]+OFFSET(reading[[#Headers],[Memo 01]],-1,MATCH(0,reading[[#This Row],[Memo 01]:[Memo 07]],-1)-1),"")</f>
        <v>55222</v>
      </c>
      <c r="Y2896" s="10" t="str">
        <f ca="1">IF(reading[[#This Row],[Next]]&lt;&gt;"",IF(reading[[#This Row],[Next]]&gt;TODAY(),"OK",""),"")</f>
        <v>OK</v>
      </c>
      <c r="Z2896" s="13">
        <v>3</v>
      </c>
      <c r="AA2896" s="13"/>
      <c r="AB2896" s="13"/>
      <c r="AC2896" s="13"/>
      <c r="AD2896" s="13"/>
      <c r="AE2896" s="13"/>
      <c r="AF2896" s="13"/>
      <c r="AG2896" s="16">
        <f>IFERROR(SUMIF(reading[[#This Row],[1st]:[7th]],"&gt;0")/COUNTIF(reading[[#This Row],[1st]:[7th]],"&gt;0"),"")</f>
        <v>3</v>
      </c>
    </row>
    <row r="2897" spans="1:33" x14ac:dyDescent="0.2">
      <c r="A2897" s="4">
        <f>IF(B2897=1,3,IF(D2897=1,2,IF(F2897=1,1,0)))</f>
        <v>0</v>
      </c>
      <c r="B2897" s="4" t="str">
        <f>IF(C2897=$L2897,1,IF(C2897="","",0))</f>
        <v/>
      </c>
      <c r="C2897" s="36"/>
      <c r="D2897" s="4" t="str">
        <f>IF(E2897=$L2897,1,IF(E2897="","",0))</f>
        <v/>
      </c>
      <c r="E2897" s="18"/>
      <c r="F2897" s="4" t="str">
        <f>IF(G2897=$L2897,1,IF(G2897="","",0))</f>
        <v/>
      </c>
      <c r="G2897" s="18"/>
      <c r="H2897" s="6">
        <v>1039</v>
      </c>
      <c r="I2897" s="15" t="s">
        <v>3120</v>
      </c>
      <c r="J2897" s="6" t="s">
        <v>4166</v>
      </c>
      <c r="K2897" s="6"/>
      <c r="L2897" s="6" t="s">
        <v>1148</v>
      </c>
      <c r="M2897" s="6" t="s">
        <v>7147</v>
      </c>
      <c r="N2897" s="7">
        <f ca="1">RAND()</f>
        <v>0.63321796415269915</v>
      </c>
      <c r="O2897" s="8">
        <v>45205</v>
      </c>
      <c r="P2897" s="8">
        <v>45206</v>
      </c>
      <c r="Q2897" s="8">
        <v>45208</v>
      </c>
      <c r="R2897" s="8">
        <v>45220</v>
      </c>
      <c r="S2897" s="8">
        <v>45227</v>
      </c>
      <c r="T2897" s="8"/>
      <c r="U2897" s="8"/>
      <c r="V2897" s="10">
        <f>COUNTA(O2897:U2897)</f>
        <v>5</v>
      </c>
      <c r="W2897" s="11">
        <f>_xlfn.IFNA(INDEX(reading[[#This Row],[Memo 01]:[Memo 07]],MATCH(0,reading[[#This Row],[Memo 01]:[Memo 07]],-1)),"")</f>
        <v>45227</v>
      </c>
      <c r="X2897" s="11">
        <f ca="1">IFERROR(reading[[#This Row],[Previous]]+OFFSET(reading[[#Headers],[Memo 01]],-1,MATCH(0,reading[[#This Row],[Memo 01]:[Memo 07]],-1)-1),"")</f>
        <v>45239</v>
      </c>
      <c r="Y2897" s="10" t="str">
        <f ca="1">IF(reading[[#This Row],[Next]]&lt;&gt;"",IF(reading[[#This Row],[Next]]&gt;TODAY(),"OK",""),"")</f>
        <v/>
      </c>
      <c r="Z2897" s="13">
        <v>3</v>
      </c>
      <c r="AA2897" s="13">
        <v>3</v>
      </c>
      <c r="AB2897" s="13">
        <v>3</v>
      </c>
      <c r="AC2897" s="13">
        <v>3</v>
      </c>
      <c r="AD2897" s="13">
        <v>3</v>
      </c>
      <c r="AE2897" s="13"/>
      <c r="AF2897" s="13"/>
      <c r="AG2897" s="16">
        <f>IFERROR(SUMIF(reading[[#This Row],[1st]:[7th]],"&gt;0")/COUNTIF(reading[[#This Row],[1st]:[7th]],"&gt;0"),"")</f>
        <v>3</v>
      </c>
    </row>
    <row r="2898" spans="1:33" x14ac:dyDescent="0.2">
      <c r="A2898" s="4">
        <f>IF(B2898=1,3,IF(D2898=1,2,IF(F2898=1,1,0)))</f>
        <v>0</v>
      </c>
      <c r="B2898" s="4" t="str">
        <f>IF(C2898=$L2898,1,IF(C2898="","",0))</f>
        <v/>
      </c>
      <c r="C2898" s="36"/>
      <c r="D2898" s="4" t="str">
        <f>IF(E2898=$L2898,1,IF(E2898="","",0))</f>
        <v/>
      </c>
      <c r="E2898" s="18"/>
      <c r="F2898" s="4" t="str">
        <f>IF(G2898=$L2898,1,IF(G2898="","",0))</f>
        <v/>
      </c>
      <c r="G2898" s="14"/>
      <c r="H2898" s="6">
        <v>2011</v>
      </c>
      <c r="I2898" s="15" t="s">
        <v>3120</v>
      </c>
      <c r="J2898" s="6" t="s">
        <v>5109</v>
      </c>
      <c r="K2898" s="6"/>
      <c r="L2898" s="6" t="s">
        <v>2086</v>
      </c>
      <c r="M2898" s="6" t="s">
        <v>8117</v>
      </c>
      <c r="N2898" s="7">
        <f ca="1">RAND()</f>
        <v>0.84893703201056114</v>
      </c>
      <c r="O2898" s="8">
        <v>45213</v>
      </c>
      <c r="P2898" s="8">
        <v>45214</v>
      </c>
      <c r="Q2898" s="8">
        <v>45216</v>
      </c>
      <c r="R2898" s="8">
        <v>45220</v>
      </c>
      <c r="S2898" s="8">
        <v>45227</v>
      </c>
      <c r="T2898" s="8"/>
      <c r="U2898" s="8"/>
      <c r="V2898" s="10">
        <f>COUNTA(O2898:U2898)</f>
        <v>5</v>
      </c>
      <c r="W2898" s="11">
        <f>_xlfn.IFNA(INDEX(reading[[#This Row],[Memo 01]:[Memo 07]],MATCH(0,reading[[#This Row],[Memo 01]:[Memo 07]],-1)),"")</f>
        <v>45227</v>
      </c>
      <c r="X2898" s="11">
        <f ca="1">IFERROR(reading[[#This Row],[Previous]]+OFFSET(reading[[#Headers],[Memo 01]],-1,MATCH(0,reading[[#This Row],[Memo 01]:[Memo 07]],-1)-1),"")</f>
        <v>45239</v>
      </c>
      <c r="Y2898" s="10" t="str">
        <f ca="1">IF(reading[[#This Row],[Next]]&lt;&gt;"",IF(reading[[#This Row],[Next]]&gt;TODAY(),"OK",""),"")</f>
        <v/>
      </c>
      <c r="Z2898" s="13">
        <v>3</v>
      </c>
      <c r="AA2898" s="13">
        <v>3</v>
      </c>
      <c r="AB2898" s="13">
        <v>3</v>
      </c>
      <c r="AC2898" s="13">
        <v>2</v>
      </c>
      <c r="AD2898" s="13">
        <v>3</v>
      </c>
      <c r="AE2898" s="13"/>
      <c r="AF2898" s="13"/>
      <c r="AG2898" s="16">
        <f>IFERROR(SUMIF(reading[[#This Row],[1st]:[7th]],"&gt;0")/COUNTIF(reading[[#This Row],[1st]:[7th]],"&gt;0"),"")</f>
        <v>2.8</v>
      </c>
    </row>
    <row r="2899" spans="1:33" x14ac:dyDescent="0.2">
      <c r="A2899" s="4">
        <f>IF(B2899=1,3,IF(D2899=1,2,IF(F2899=1,1,0)))</f>
        <v>0</v>
      </c>
      <c r="B2899" s="4" t="str">
        <f>IF(C2899=$L2899,1,IF(C2899="","",0))</f>
        <v/>
      </c>
      <c r="C2899" s="39"/>
      <c r="D2899" s="4" t="str">
        <f>IF(E2899=$L2899,1,IF(E2899="","",0))</f>
        <v/>
      </c>
      <c r="E2899" s="14"/>
      <c r="F2899" s="4" t="str">
        <f>IF(G2899=$L2899,1,IF(G2899="","",0))</f>
        <v/>
      </c>
      <c r="G2899" s="14"/>
      <c r="H2899" s="6">
        <v>2577</v>
      </c>
      <c r="I2899" s="15" t="s">
        <v>3120</v>
      </c>
      <c r="J2899" s="6" t="s">
        <v>5637</v>
      </c>
      <c r="K2899" s="6"/>
      <c r="L2899" s="6" t="s">
        <v>2621</v>
      </c>
      <c r="M2899" s="6" t="s">
        <v>8682</v>
      </c>
      <c r="N2899" s="7">
        <f ca="1">RAND()</f>
        <v>0.71288578614174591</v>
      </c>
      <c r="O2899" s="8">
        <v>45219</v>
      </c>
      <c r="P2899" s="8">
        <v>45220</v>
      </c>
      <c r="Q2899" s="8">
        <v>45222</v>
      </c>
      <c r="R2899" s="8">
        <v>45226</v>
      </c>
      <c r="S2899" s="8">
        <v>45233</v>
      </c>
      <c r="T2899" s="8"/>
      <c r="U2899" s="8"/>
      <c r="V2899" s="10">
        <f>COUNTA(O2899:U2899)</f>
        <v>5</v>
      </c>
      <c r="W2899" s="11">
        <f>_xlfn.IFNA(INDEX(reading[[#This Row],[Memo 01]:[Memo 07]],MATCH(0,reading[[#This Row],[Memo 01]:[Memo 07]],-1)),"")</f>
        <v>45233</v>
      </c>
      <c r="X2899" s="11">
        <f ca="1">IFERROR(reading[[#This Row],[Previous]]+OFFSET(reading[[#Headers],[Memo 01]],-1,MATCH(0,reading[[#This Row],[Memo 01]:[Memo 07]],-1)-1),"")</f>
        <v>45245</v>
      </c>
      <c r="Y2899" s="10" t="str">
        <f ca="1">IF(reading[[#This Row],[Next]]&lt;&gt;"",IF(reading[[#This Row],[Next]]&gt;TODAY(),"OK",""),"")</f>
        <v/>
      </c>
      <c r="Z2899" s="13">
        <v>3</v>
      </c>
      <c r="AA2899" s="13">
        <v>3</v>
      </c>
      <c r="AB2899" s="13">
        <v>3</v>
      </c>
      <c r="AC2899" s="13">
        <v>3</v>
      </c>
      <c r="AD2899" s="13">
        <v>3</v>
      </c>
      <c r="AE2899" s="13"/>
      <c r="AF2899" s="13"/>
      <c r="AG2899" s="16">
        <f>IFERROR(SUMIF(reading[[#This Row],[1st]:[7th]],"&gt;0")/COUNTIF(reading[[#This Row],[1st]:[7th]],"&gt;0"),"")</f>
        <v>3</v>
      </c>
    </row>
    <row r="2900" spans="1:33" hidden="1" x14ac:dyDescent="0.2">
      <c r="A2900" s="4">
        <f>IF(B2900=1,3,IF(D2900=1,2,IF(F2900=1,1,0)))</f>
        <v>0</v>
      </c>
      <c r="B2900" s="4">
        <f>IF(C2900=$L2900,1,IF(C2900="","",0))</f>
        <v>0</v>
      </c>
      <c r="C2900" s="42" t="s">
        <v>9200</v>
      </c>
      <c r="D2900" s="4" t="str">
        <f>IF(E2900=$L2900,1,IF(E2900="","",0))</f>
        <v/>
      </c>
      <c r="E2900" s="18"/>
      <c r="F2900" s="4" t="str">
        <f>IF(G2900=$L2900,1,IF(G2900="","",0))</f>
        <v/>
      </c>
      <c r="G2900" s="14"/>
      <c r="H2900" s="6">
        <v>2545</v>
      </c>
      <c r="I2900" s="15" t="s">
        <v>3120</v>
      </c>
      <c r="J2900" s="6" t="s">
        <v>5606</v>
      </c>
      <c r="K2900" s="6"/>
      <c r="L2900" s="6" t="s">
        <v>2590</v>
      </c>
      <c r="M2900" s="6" t="s">
        <v>8650</v>
      </c>
      <c r="N2900" s="7">
        <f ca="1">RAND()</f>
        <v>0.17213288258491399</v>
      </c>
      <c r="O2900" s="8">
        <v>45219</v>
      </c>
      <c r="P2900" s="8">
        <v>45220</v>
      </c>
      <c r="Q2900" s="8">
        <v>45222</v>
      </c>
      <c r="R2900" s="8">
        <v>45226</v>
      </c>
      <c r="S2900" s="8">
        <v>45233</v>
      </c>
      <c r="T2900" s="8"/>
      <c r="U2900" s="8"/>
      <c r="V2900" s="10">
        <f>COUNTA(O2900:U2900)</f>
        <v>5</v>
      </c>
      <c r="W2900" s="11">
        <f>_xlfn.IFNA(INDEX(reading[[#This Row],[Memo 01]:[Memo 07]],MATCH(0,reading[[#This Row],[Memo 01]:[Memo 07]],-1)),"")</f>
        <v>45233</v>
      </c>
      <c r="X2900" s="11">
        <f ca="1">IFERROR(reading[[#This Row],[Previous]]+OFFSET(reading[[#Headers],[Memo 01]],-1,MATCH(0,reading[[#This Row],[Memo 01]:[Memo 07]],-1)-1),"")</f>
        <v>45245</v>
      </c>
      <c r="Y2900" s="10" t="str">
        <f ca="1">IF(reading[[#This Row],[Next]]&lt;&gt;"",IF(reading[[#This Row],[Next]]&gt;TODAY(),"OK",""),"")</f>
        <v/>
      </c>
      <c r="Z2900" s="13">
        <v>3</v>
      </c>
      <c r="AA2900" s="13">
        <v>3</v>
      </c>
      <c r="AB2900" s="13">
        <v>2</v>
      </c>
      <c r="AC2900" s="13">
        <v>3</v>
      </c>
      <c r="AD2900" s="13">
        <v>3</v>
      </c>
      <c r="AE2900" s="13"/>
      <c r="AF2900" s="13"/>
      <c r="AG2900" s="16">
        <f>IFERROR(SUMIF(reading[[#This Row],[1st]:[7th]],"&gt;0")/COUNTIF(reading[[#This Row],[1st]:[7th]],"&gt;0"),"")</f>
        <v>2.8</v>
      </c>
    </row>
    <row r="2901" spans="1:33" hidden="1" x14ac:dyDescent="0.2">
      <c r="A2901" s="4">
        <f>IF(B2901=1,3,IF(D2901=1,2,IF(F2901=1,1,0)))</f>
        <v>3</v>
      </c>
      <c r="B2901" s="4">
        <f>IF(C2901=$L2901,1,IF(C2901="","",0))</f>
        <v>1</v>
      </c>
      <c r="C2901" s="36" t="s">
        <v>2935</v>
      </c>
      <c r="D2901" s="4" t="str">
        <f>IF(E2901=$L2901,1,IF(E2901="","",0))</f>
        <v/>
      </c>
      <c r="E2901" s="14"/>
      <c r="F2901" s="4" t="str">
        <f>IF(G2901=$L2901,1,IF(G2901="","",0))</f>
        <v/>
      </c>
      <c r="G2901" s="14"/>
      <c r="H2901" s="6">
        <v>2905</v>
      </c>
      <c r="I2901" s="15" t="s">
        <v>3120</v>
      </c>
      <c r="J2901" s="6" t="s">
        <v>5941</v>
      </c>
      <c r="K2901" s="6"/>
      <c r="L2901" s="6" t="s">
        <v>2935</v>
      </c>
      <c r="M2901" s="6" t="s">
        <v>9009</v>
      </c>
      <c r="N2901" s="7">
        <f ca="1">RAND()</f>
        <v>0.22581210615974501</v>
      </c>
      <c r="O2901" s="8">
        <v>45223</v>
      </c>
      <c r="P2901" s="8">
        <v>45223</v>
      </c>
      <c r="Q2901" s="8">
        <v>45223</v>
      </c>
      <c r="R2901" s="8">
        <v>45223</v>
      </c>
      <c r="S2901" s="8">
        <v>45223</v>
      </c>
      <c r="T2901" s="8">
        <v>45223</v>
      </c>
      <c r="U2901" s="8">
        <v>45223</v>
      </c>
      <c r="V2901" s="10">
        <f>COUNTA(O2901:U2901)</f>
        <v>7</v>
      </c>
      <c r="W2901" s="11">
        <f>_xlfn.IFNA(INDEX(reading[[#This Row],[Memo 01]:[Memo 07]],MATCH(0,reading[[#This Row],[Memo 01]:[Memo 07]],-1)),"")</f>
        <v>45223</v>
      </c>
      <c r="X2901" s="11">
        <f ca="1">IFERROR(reading[[#This Row],[Previous]]+OFFSET(reading[[#Headers],[Memo 01]],-1,MATCH(0,reading[[#This Row],[Memo 01]:[Memo 07]],-1)-1),"")</f>
        <v>55223</v>
      </c>
      <c r="Y2901" s="10" t="str">
        <f ca="1">IF(reading[[#This Row],[Next]]&lt;&gt;"",IF(reading[[#This Row],[Next]]&gt;TODAY(),"OK",""),"")</f>
        <v>OK</v>
      </c>
      <c r="Z2901" s="13">
        <v>3</v>
      </c>
      <c r="AA2901" s="13"/>
      <c r="AB2901" s="13"/>
      <c r="AC2901" s="13"/>
      <c r="AD2901" s="13"/>
      <c r="AE2901" s="13"/>
      <c r="AF2901" s="13"/>
      <c r="AG2901" s="16">
        <f>IFERROR(SUMIF(reading[[#This Row],[1st]:[7th]],"&gt;0")/COUNTIF(reading[[#This Row],[1st]:[7th]],"&gt;0"),"")</f>
        <v>3</v>
      </c>
    </row>
    <row r="2902" spans="1:33" hidden="1" x14ac:dyDescent="0.2">
      <c r="A2902" s="4">
        <f>IF(B2902=1,3,IF(D2902=1,2,IF(F2902=1,1,0)))</f>
        <v>0</v>
      </c>
      <c r="B2902" s="4" t="str">
        <f>IF(C2902=$L2902,1,IF(C2902="","",0))</f>
        <v/>
      </c>
      <c r="C2902" s="42"/>
      <c r="D2902" s="4" t="str">
        <f>IF(E2902=$L2902,1,IF(E2902="","",0))</f>
        <v/>
      </c>
      <c r="E2902" s="23"/>
      <c r="F2902" s="4" t="str">
        <f>IF(G2902=$L2902,1,IF(G2902="","",0))</f>
        <v/>
      </c>
      <c r="G2902" s="23"/>
      <c r="H2902" s="6">
        <v>2522</v>
      </c>
      <c r="I2902" s="15" t="s">
        <v>3120</v>
      </c>
      <c r="J2902" s="6" t="s">
        <v>5584</v>
      </c>
      <c r="K2902" s="6"/>
      <c r="L2902" s="6" t="s">
        <v>2568</v>
      </c>
      <c r="M2902" s="6" t="s">
        <v>8627</v>
      </c>
      <c r="N2902" s="7">
        <f ca="1">RAND()</f>
        <v>0.50892976180555471</v>
      </c>
      <c r="O2902" s="8">
        <v>45219</v>
      </c>
      <c r="P2902" s="8">
        <v>45220</v>
      </c>
      <c r="Q2902" s="8">
        <v>45222</v>
      </c>
      <c r="R2902" s="8">
        <v>45226</v>
      </c>
      <c r="S2902" s="8">
        <v>45233</v>
      </c>
      <c r="T2902" s="8">
        <v>45817</v>
      </c>
      <c r="U2902" s="8"/>
      <c r="V2902" s="10">
        <f>COUNTA(O2902:U2902)</f>
        <v>6</v>
      </c>
      <c r="W2902" s="11">
        <f>_xlfn.IFNA(INDEX(reading[[#This Row],[Memo 01]:[Memo 07]],MATCH(0,reading[[#This Row],[Memo 01]:[Memo 07]],-1)),"")</f>
        <v>45817</v>
      </c>
      <c r="X2902" s="11">
        <f ca="1">IFERROR(reading[[#This Row],[Previous]]+OFFSET(reading[[#Headers],[Memo 01]],-1,MATCH(0,reading[[#This Row],[Memo 01]:[Memo 07]],-1)-1),"")</f>
        <v>45837</v>
      </c>
      <c r="Y2902" s="10" t="str">
        <f ca="1">IF(reading[[#This Row],[Next]]&lt;&gt;"",IF(reading[[#This Row],[Next]]&gt;TODAY(),"OK",""),"")</f>
        <v>OK</v>
      </c>
      <c r="Z2902" s="13">
        <v>3</v>
      </c>
      <c r="AA2902" s="13">
        <v>3</v>
      </c>
      <c r="AB2902" s="13">
        <v>3</v>
      </c>
      <c r="AC2902" s="13">
        <v>3</v>
      </c>
      <c r="AD2902" s="13">
        <v>3</v>
      </c>
      <c r="AE2902" s="13">
        <v>1</v>
      </c>
      <c r="AF2902" s="13"/>
      <c r="AG2902" s="16">
        <f>IFERROR(SUMIF(reading[[#This Row],[1st]:[7th]],"&gt;0")/COUNTIF(reading[[#This Row],[1st]:[7th]],"&gt;0"),"")</f>
        <v>2.6666666666666665</v>
      </c>
    </row>
    <row r="2903" spans="1:33" hidden="1" x14ac:dyDescent="0.2">
      <c r="A2903" s="4">
        <f>IF(B2903=1,3,IF(D2903=1,2,IF(F2903=1,1,0)))</f>
        <v>0</v>
      </c>
      <c r="B2903" s="4">
        <f>IF(C2903=$L2903,1,IF(C2903="","",0))</f>
        <v>0</v>
      </c>
      <c r="C2903" s="42" t="s">
        <v>9200</v>
      </c>
      <c r="D2903" s="4">
        <f>IF(E2903=$L2903,1,IF(E2903="","",0))</f>
        <v>0</v>
      </c>
      <c r="E2903" s="43" t="s">
        <v>9263</v>
      </c>
      <c r="F2903" s="4" t="str">
        <f>IF(G2903=$L2903,1,IF(G2903="","",0))</f>
        <v/>
      </c>
      <c r="G2903" s="14"/>
      <c r="H2903" s="6">
        <v>2543</v>
      </c>
      <c r="I2903" s="15" t="s">
        <v>3120</v>
      </c>
      <c r="J2903" s="6" t="s">
        <v>5604</v>
      </c>
      <c r="K2903" s="6"/>
      <c r="L2903" s="6" t="s">
        <v>2588</v>
      </c>
      <c r="M2903" s="6" t="s">
        <v>8648</v>
      </c>
      <c r="N2903" s="7">
        <f ca="1">RAND()</f>
        <v>0.38731431529254567</v>
      </c>
      <c r="O2903" s="8">
        <v>45219</v>
      </c>
      <c r="P2903" s="8">
        <v>45220</v>
      </c>
      <c r="Q2903" s="8">
        <v>45222</v>
      </c>
      <c r="R2903" s="8">
        <v>45226</v>
      </c>
      <c r="S2903" s="8">
        <v>45233</v>
      </c>
      <c r="T2903" s="8"/>
      <c r="U2903" s="8"/>
      <c r="V2903" s="10">
        <f>COUNTA(O2903:U2903)</f>
        <v>5</v>
      </c>
      <c r="W2903" s="11">
        <f>_xlfn.IFNA(INDEX(reading[[#This Row],[Memo 01]:[Memo 07]],MATCH(0,reading[[#This Row],[Memo 01]:[Memo 07]],-1)),"")</f>
        <v>45233</v>
      </c>
      <c r="X2903" s="11">
        <f ca="1">IFERROR(reading[[#This Row],[Previous]]+OFFSET(reading[[#Headers],[Memo 01]],-1,MATCH(0,reading[[#This Row],[Memo 01]:[Memo 07]],-1)-1),"")</f>
        <v>45245</v>
      </c>
      <c r="Y2903" s="10" t="str">
        <f ca="1">IF(reading[[#This Row],[Next]]&lt;&gt;"",IF(reading[[#This Row],[Next]]&gt;TODAY(),"OK",""),"")</f>
        <v/>
      </c>
      <c r="Z2903" s="13">
        <v>3</v>
      </c>
      <c r="AA2903" s="13">
        <v>3</v>
      </c>
      <c r="AB2903" s="13">
        <v>3</v>
      </c>
      <c r="AC2903" s="13">
        <v>2</v>
      </c>
      <c r="AD2903" s="13">
        <v>3</v>
      </c>
      <c r="AE2903" s="13"/>
      <c r="AF2903" s="13"/>
      <c r="AG2903" s="16">
        <f>IFERROR(SUMIF(reading[[#This Row],[1st]:[7th]],"&gt;0")/COUNTIF(reading[[#This Row],[1st]:[7th]],"&gt;0"),"")</f>
        <v>2.8</v>
      </c>
    </row>
    <row r="2904" spans="1:33" x14ac:dyDescent="0.2">
      <c r="A2904" s="4">
        <f>IF(B2904=1,3,IF(D2904=1,2,IF(F2904=1,1,0)))</f>
        <v>0</v>
      </c>
      <c r="B2904" s="4" t="str">
        <f>IF(C2904=$L2904,1,IF(C2904="","",0))</f>
        <v/>
      </c>
      <c r="C2904" s="39"/>
      <c r="D2904" s="4" t="str">
        <f>IF(E2904=$L2904,1,IF(E2904="","",0))</f>
        <v/>
      </c>
      <c r="E2904" s="18"/>
      <c r="F2904" s="4" t="str">
        <f>IF(G2904=$L2904,1,IF(G2904="","",0))</f>
        <v/>
      </c>
      <c r="G2904" s="14"/>
      <c r="H2904" s="6">
        <v>1435</v>
      </c>
      <c r="I2904" s="15" t="s">
        <v>3120</v>
      </c>
      <c r="J2904" s="6" t="s">
        <v>4549</v>
      </c>
      <c r="K2904" s="6"/>
      <c r="L2904" s="6" t="s">
        <v>70</v>
      </c>
      <c r="M2904" s="6" t="s">
        <v>7542</v>
      </c>
      <c r="N2904" s="7">
        <f ca="1">RAND()</f>
        <v>0.96015958321446493</v>
      </c>
      <c r="O2904" s="8">
        <v>45208</v>
      </c>
      <c r="P2904" s="8">
        <v>45209</v>
      </c>
      <c r="Q2904" s="8">
        <v>45211</v>
      </c>
      <c r="R2904" s="8">
        <v>45215</v>
      </c>
      <c r="S2904" s="8">
        <v>45222</v>
      </c>
      <c r="T2904" s="8">
        <v>45234</v>
      </c>
      <c r="U2904" s="8"/>
      <c r="V2904" s="10">
        <f>COUNTA(O2904:U2904)</f>
        <v>6</v>
      </c>
      <c r="W2904" s="11">
        <f>_xlfn.IFNA(INDEX(reading[[#This Row],[Memo 01]:[Memo 07]],MATCH(0,reading[[#This Row],[Memo 01]:[Memo 07]],-1)),"")</f>
        <v>45234</v>
      </c>
      <c r="X2904" s="11">
        <f ca="1">IFERROR(reading[[#This Row],[Previous]]+OFFSET(reading[[#Headers],[Memo 01]],-1,MATCH(0,reading[[#This Row],[Memo 01]:[Memo 07]],-1)-1),"")</f>
        <v>45254</v>
      </c>
      <c r="Y2904" s="10" t="str">
        <f ca="1">IF(reading[[#This Row],[Next]]&lt;&gt;"",IF(reading[[#This Row],[Next]]&gt;TODAY(),"OK",""),"")</f>
        <v/>
      </c>
      <c r="Z2904" s="13">
        <v>3</v>
      </c>
      <c r="AA2904" s="13">
        <v>3</v>
      </c>
      <c r="AB2904" s="13">
        <v>3</v>
      </c>
      <c r="AC2904" s="13">
        <v>3</v>
      </c>
      <c r="AD2904" s="13">
        <v>2</v>
      </c>
      <c r="AE2904" s="13">
        <v>3</v>
      </c>
      <c r="AF2904" s="13"/>
      <c r="AG2904" s="16">
        <f>IFERROR(SUMIF(reading[[#This Row],[1st]:[7th]],"&gt;0")/COUNTIF(reading[[#This Row],[1st]:[7th]],"&gt;0"),"")</f>
        <v>2.8333333333333335</v>
      </c>
    </row>
    <row r="2905" spans="1:33" hidden="1" x14ac:dyDescent="0.2">
      <c r="A2905" s="4">
        <f>IF(B2905=1,3,IF(D2905=1,2,IF(F2905=1,1,0)))</f>
        <v>0</v>
      </c>
      <c r="B2905" s="4" t="str">
        <f>IF(C2905=$L2905,1,IF(C2905="","",0))</f>
        <v/>
      </c>
      <c r="C2905" s="42"/>
      <c r="D2905" s="4" t="str">
        <f>IF(E2905=$L2905,1,IF(E2905="","",0))</f>
        <v/>
      </c>
      <c r="E2905" s="18"/>
      <c r="F2905" s="4" t="str">
        <f>IF(G2905=$L2905,1,IF(G2905="","",0))</f>
        <v/>
      </c>
      <c r="G2905" s="14"/>
      <c r="H2905" s="6">
        <v>891</v>
      </c>
      <c r="I2905" s="15" t="s">
        <v>3120</v>
      </c>
      <c r="J2905" s="6" t="s">
        <v>4023</v>
      </c>
      <c r="K2905" s="6"/>
      <c r="L2905" s="6" t="s">
        <v>1004</v>
      </c>
      <c r="M2905" s="6" t="s">
        <v>7000</v>
      </c>
      <c r="N2905" s="7">
        <f ca="1">RAND()</f>
        <v>0.39416181537960604</v>
      </c>
      <c r="O2905" s="8">
        <v>45204</v>
      </c>
      <c r="P2905" s="8">
        <v>45205</v>
      </c>
      <c r="Q2905" s="8">
        <v>45207</v>
      </c>
      <c r="R2905" s="8">
        <v>45212</v>
      </c>
      <c r="S2905" s="8">
        <v>45219</v>
      </c>
      <c r="T2905" s="8">
        <v>45231</v>
      </c>
      <c r="U2905" s="8">
        <v>45253</v>
      </c>
      <c r="V2905" s="10">
        <f>COUNTA(O2905:U2905)</f>
        <v>7</v>
      </c>
      <c r="W2905" s="11">
        <f>_xlfn.IFNA(INDEX(reading[[#This Row],[Memo 01]:[Memo 07]],MATCH(0,reading[[#This Row],[Memo 01]:[Memo 07]],-1)),"")</f>
        <v>45253</v>
      </c>
      <c r="X2905" s="11">
        <f ca="1">IFERROR(reading[[#This Row],[Previous]]+OFFSET(reading[[#Headers],[Memo 01]],-1,MATCH(0,reading[[#This Row],[Memo 01]:[Memo 07]],-1)-1),"")</f>
        <v>55253</v>
      </c>
      <c r="Y2905" s="10" t="str">
        <f ca="1">IF(reading[[#This Row],[Next]]&lt;&gt;"",IF(reading[[#This Row],[Next]]&gt;TODAY(),"OK",""),"")</f>
        <v>OK</v>
      </c>
      <c r="Z2905" s="13">
        <v>3</v>
      </c>
      <c r="AA2905" s="13">
        <v>3</v>
      </c>
      <c r="AB2905" s="13">
        <v>3</v>
      </c>
      <c r="AC2905" s="13">
        <v>2</v>
      </c>
      <c r="AD2905" s="13">
        <v>2</v>
      </c>
      <c r="AE2905" s="13">
        <v>3</v>
      </c>
      <c r="AF2905" s="13">
        <v>2</v>
      </c>
      <c r="AG2905" s="16">
        <f>IFERROR(SUMIF(reading[[#This Row],[1st]:[7th]],"&gt;0")/COUNTIF(reading[[#This Row],[1st]:[7th]],"&gt;0"),"")</f>
        <v>2.5714285714285716</v>
      </c>
    </row>
    <row r="2906" spans="1:33" x14ac:dyDescent="0.2">
      <c r="A2906" s="4">
        <f>IF(B2906=1,3,IF(D2906=1,2,IF(F2906=1,1,0)))</f>
        <v>0</v>
      </c>
      <c r="B2906" s="4" t="str">
        <f>IF(C2906=$L2906,1,IF(C2906="","",0))</f>
        <v/>
      </c>
      <c r="C2906" s="41"/>
      <c r="D2906" s="4" t="str">
        <f>IF(E2906=$L2906,1,IF(E2906="","",0))</f>
        <v/>
      </c>
      <c r="E2906" s="18"/>
      <c r="F2906" s="4" t="str">
        <f>IF(G2906=$L2906,1,IF(G2906="","",0))</f>
        <v/>
      </c>
      <c r="G2906" s="14"/>
      <c r="H2906" s="6">
        <v>2680</v>
      </c>
      <c r="I2906" s="15" t="s">
        <v>3120</v>
      </c>
      <c r="J2906" s="6" t="s">
        <v>4591</v>
      </c>
      <c r="K2906" s="6"/>
      <c r="L2906" s="6" t="s">
        <v>2719</v>
      </c>
      <c r="M2906" s="6" t="s">
        <v>8785</v>
      </c>
      <c r="N2906" s="7">
        <f ca="1">RAND()</f>
        <v>0.53879254586214786</v>
      </c>
      <c r="O2906" s="8">
        <v>45221</v>
      </c>
      <c r="P2906" s="8">
        <v>45222</v>
      </c>
      <c r="Q2906" s="8">
        <v>45224</v>
      </c>
      <c r="R2906" s="8">
        <v>45228</v>
      </c>
      <c r="S2906" s="8">
        <v>45235</v>
      </c>
      <c r="T2906" s="8">
        <v>45251</v>
      </c>
      <c r="U2906" s="8"/>
      <c r="V2906" s="10">
        <f>COUNTA(O2906:U2906)</f>
        <v>6</v>
      </c>
      <c r="W2906" s="11">
        <f>_xlfn.IFNA(INDEX(reading[[#This Row],[Memo 01]:[Memo 07]],MATCH(0,reading[[#This Row],[Memo 01]:[Memo 07]],-1)),"")</f>
        <v>45251</v>
      </c>
      <c r="X2906" s="11">
        <f ca="1">IFERROR(reading[[#This Row],[Previous]]+OFFSET(reading[[#Headers],[Memo 01]],-1,MATCH(0,reading[[#This Row],[Memo 01]:[Memo 07]],-1)-1),"")</f>
        <v>45271</v>
      </c>
      <c r="Y2906" s="10" t="str">
        <f ca="1">IF(reading[[#This Row],[Next]]&lt;&gt;"",IF(reading[[#This Row],[Next]]&gt;TODAY(),"OK",""),"")</f>
        <v/>
      </c>
      <c r="Z2906" s="13">
        <v>3</v>
      </c>
      <c r="AA2906" s="13">
        <v>3</v>
      </c>
      <c r="AB2906" s="13">
        <v>2</v>
      </c>
      <c r="AC2906" s="13">
        <v>3</v>
      </c>
      <c r="AD2906" s="13">
        <v>2</v>
      </c>
      <c r="AE2906" s="13">
        <v>3</v>
      </c>
      <c r="AF2906" s="13"/>
      <c r="AG2906" s="16">
        <f>IFERROR(SUMIF(reading[[#This Row],[1st]:[7th]],"&gt;0")/COUNTIF(reading[[#This Row],[1st]:[7th]],"&gt;0"),"")</f>
        <v>2.6666666666666665</v>
      </c>
    </row>
    <row r="2907" spans="1:33" hidden="1" x14ac:dyDescent="0.2">
      <c r="A2907" s="4">
        <f>IF(B2907=1,3,IF(D2907=1,2,IF(F2907=1,1,0)))</f>
        <v>0</v>
      </c>
      <c r="B2907" s="4">
        <f>IF(C2907=$L2907,1,IF(C2907="","",0))</f>
        <v>0</v>
      </c>
      <c r="C2907" s="42" t="s">
        <v>9228</v>
      </c>
      <c r="D2907" s="4" t="str">
        <f>IF(E2907=$L2907,1,IF(E2907="","",0))</f>
        <v/>
      </c>
      <c r="E2907" s="18"/>
      <c r="F2907" s="4" t="str">
        <f>IF(G2907=$L2907,1,IF(G2907="","",0))</f>
        <v/>
      </c>
      <c r="G2907" s="14"/>
      <c r="H2907" s="6">
        <v>338</v>
      </c>
      <c r="I2907" s="15" t="s">
        <v>3120</v>
      </c>
      <c r="J2907" s="6" t="s">
        <v>3485</v>
      </c>
      <c r="K2907" s="6"/>
      <c r="L2907" s="6" t="s">
        <v>473</v>
      </c>
      <c r="M2907" s="6" t="s">
        <v>6447</v>
      </c>
      <c r="N2907" s="7">
        <f ca="1">RAND()</f>
        <v>0.81637385714820809</v>
      </c>
      <c r="O2907" s="8">
        <v>45200</v>
      </c>
      <c r="P2907" s="8">
        <v>45201</v>
      </c>
      <c r="Q2907" s="8">
        <v>45203</v>
      </c>
      <c r="R2907" s="8">
        <v>45207</v>
      </c>
      <c r="S2907" s="8">
        <v>45214</v>
      </c>
      <c r="T2907" s="8">
        <v>45226</v>
      </c>
      <c r="U2907" s="8"/>
      <c r="V2907" s="10">
        <f>COUNTA(O2907:U2907)</f>
        <v>6</v>
      </c>
      <c r="W2907" s="11">
        <f>_xlfn.IFNA(INDEX(reading[[#This Row],[Memo 01]:[Memo 07]],MATCH(0,reading[[#This Row],[Memo 01]:[Memo 07]],-1)),"")</f>
        <v>45226</v>
      </c>
      <c r="X2907" s="11">
        <f ca="1">IFERROR(reading[[#This Row],[Previous]]+OFFSET(reading[[#Headers],[Memo 01]],-1,MATCH(0,reading[[#This Row],[Memo 01]:[Memo 07]],-1)-1),"")</f>
        <v>45246</v>
      </c>
      <c r="Y2907" s="10" t="str">
        <f ca="1">IF(reading[[#This Row],[Next]]&lt;&gt;"",IF(reading[[#This Row],[Next]]&gt;TODAY(),"OK",""),"")</f>
        <v/>
      </c>
      <c r="Z2907" s="13">
        <v>3</v>
      </c>
      <c r="AA2907" s="13">
        <v>3</v>
      </c>
      <c r="AB2907" s="13">
        <v>3</v>
      </c>
      <c r="AC2907" s="13">
        <v>3</v>
      </c>
      <c r="AD2907" s="13">
        <v>2</v>
      </c>
      <c r="AE2907" s="13">
        <v>2</v>
      </c>
      <c r="AF2907" s="13"/>
      <c r="AG2907" s="16">
        <f>IFERROR(SUMIF(reading[[#This Row],[1st]:[7th]],"&gt;0")/COUNTIF(reading[[#This Row],[1st]:[7th]],"&gt;0"),"")</f>
        <v>2.6666666666666665</v>
      </c>
    </row>
    <row r="2908" spans="1:33" x14ac:dyDescent="0.2">
      <c r="A2908" s="4">
        <f>IF(B2908=1,3,IF(D2908=1,2,IF(F2908=1,1,0)))</f>
        <v>0</v>
      </c>
      <c r="B2908" s="4" t="str">
        <f>IF(C2908=$L2908,1,IF(C2908="","",0))</f>
        <v/>
      </c>
      <c r="C2908" s="42"/>
      <c r="D2908" s="4" t="str">
        <f>IF(E2908=$L2908,1,IF(E2908="","",0))</f>
        <v/>
      </c>
      <c r="E2908" s="14"/>
      <c r="F2908" s="4" t="str">
        <f>IF(G2908=$L2908,1,IF(G2908="","",0))</f>
        <v/>
      </c>
      <c r="G2908" s="14"/>
      <c r="H2908" s="6">
        <v>3076</v>
      </c>
      <c r="I2908" s="15" t="s">
        <v>3120</v>
      </c>
      <c r="J2908" s="6" t="s">
        <v>6096</v>
      </c>
      <c r="K2908" s="6"/>
      <c r="L2908" s="6" t="s">
        <v>96</v>
      </c>
      <c r="M2908" s="6" t="s">
        <v>9179</v>
      </c>
      <c r="N2908" s="7">
        <f ca="1">RAND()</f>
        <v>0.68911512401812558</v>
      </c>
      <c r="O2908" s="8">
        <v>45224</v>
      </c>
      <c r="P2908" s="8">
        <v>45225</v>
      </c>
      <c r="Q2908" s="8">
        <v>45227</v>
      </c>
      <c r="R2908" s="8">
        <v>45231</v>
      </c>
      <c r="S2908" s="8">
        <v>45251</v>
      </c>
      <c r="T2908" s="8">
        <v>45792</v>
      </c>
      <c r="U2908" s="8"/>
      <c r="V2908" s="10">
        <f>COUNTA(O2908:U2908)</f>
        <v>6</v>
      </c>
      <c r="W2908" s="11">
        <f>_xlfn.IFNA(INDEX(reading[[#This Row],[Memo 01]:[Memo 07]],MATCH(0,reading[[#This Row],[Memo 01]:[Memo 07]],-1)),"")</f>
        <v>45792</v>
      </c>
      <c r="X2908" s="11">
        <f ca="1">IFERROR(reading[[#This Row],[Previous]]+OFFSET(reading[[#Headers],[Memo 01]],-1,MATCH(0,reading[[#This Row],[Memo 01]:[Memo 07]],-1)-1),"")</f>
        <v>45812</v>
      </c>
      <c r="Y2908" s="10" t="str">
        <f ca="1">IF(reading[[#This Row],[Next]]&lt;&gt;"",IF(reading[[#This Row],[Next]]&gt;TODAY(),"OK",""),"")</f>
        <v/>
      </c>
      <c r="Z2908" s="13">
        <v>3</v>
      </c>
      <c r="AA2908" s="13">
        <v>3</v>
      </c>
      <c r="AB2908" s="13">
        <v>3</v>
      </c>
      <c r="AC2908" s="13">
        <v>3</v>
      </c>
      <c r="AD2908" s="13">
        <v>3</v>
      </c>
      <c r="AE2908" s="13">
        <v>3</v>
      </c>
      <c r="AF2908" s="13"/>
      <c r="AG2908" s="16">
        <f>IFERROR(SUMIF(reading[[#This Row],[1st]:[7th]],"&gt;0")/COUNTIF(reading[[#This Row],[1st]:[7th]],"&gt;0"),"")</f>
        <v>3</v>
      </c>
    </row>
    <row r="2909" spans="1:33" x14ac:dyDescent="0.2">
      <c r="A2909" s="4">
        <f>IF(B2909=1,3,IF(D2909=1,2,IF(F2909=1,1,0)))</f>
        <v>0</v>
      </c>
      <c r="B2909" s="4" t="str">
        <f>IF(C2909=$L2909,1,IF(C2909="","",0))</f>
        <v/>
      </c>
      <c r="C2909" s="42"/>
      <c r="D2909" s="4" t="str">
        <f>IF(E2909=$L2909,1,IF(E2909="","",0))</f>
        <v/>
      </c>
      <c r="E2909" s="18"/>
      <c r="F2909" s="4" t="str">
        <f>IF(G2909=$L2909,1,IF(G2909="","",0))</f>
        <v/>
      </c>
      <c r="G2909" s="14"/>
      <c r="H2909" s="6">
        <v>2267</v>
      </c>
      <c r="I2909" s="15" t="s">
        <v>3120</v>
      </c>
      <c r="J2909" s="6" t="s">
        <v>5349</v>
      </c>
      <c r="K2909" s="6"/>
      <c r="L2909" s="6" t="s">
        <v>2327</v>
      </c>
      <c r="M2909" s="6" t="s">
        <v>8372</v>
      </c>
      <c r="N2909" s="7">
        <f ca="1">RAND()</f>
        <v>0.96639563955617536</v>
      </c>
      <c r="O2909" s="8">
        <v>45215</v>
      </c>
      <c r="P2909" s="8">
        <v>45216</v>
      </c>
      <c r="Q2909" s="8">
        <v>45218</v>
      </c>
      <c r="R2909" s="8">
        <v>45222</v>
      </c>
      <c r="S2909" s="8">
        <v>45229</v>
      </c>
      <c r="T2909" s="8">
        <v>45801</v>
      </c>
      <c r="U2909" s="8"/>
      <c r="V2909" s="10">
        <f>COUNTA(O2909:U2909)</f>
        <v>6</v>
      </c>
      <c r="W2909" s="11">
        <f>_xlfn.IFNA(INDEX(reading[[#This Row],[Memo 01]:[Memo 07]],MATCH(0,reading[[#This Row],[Memo 01]:[Memo 07]],-1)),"")</f>
        <v>45801</v>
      </c>
      <c r="X2909" s="11">
        <f ca="1">IFERROR(reading[[#This Row],[Previous]]+OFFSET(reading[[#Headers],[Memo 01]],-1,MATCH(0,reading[[#This Row],[Memo 01]:[Memo 07]],-1)-1),"")</f>
        <v>45821</v>
      </c>
      <c r="Y2909" s="10" t="str">
        <f ca="1">IF(reading[[#This Row],[Next]]&lt;&gt;"",IF(reading[[#This Row],[Next]]&gt;TODAY(),"OK",""),"")</f>
        <v/>
      </c>
      <c r="Z2909" s="13">
        <v>3</v>
      </c>
      <c r="AA2909" s="13">
        <v>3</v>
      </c>
      <c r="AB2909" s="13">
        <v>2</v>
      </c>
      <c r="AC2909" s="13">
        <v>3</v>
      </c>
      <c r="AD2909" s="13">
        <v>3</v>
      </c>
      <c r="AE2909" s="13">
        <v>3</v>
      </c>
      <c r="AF2909" s="13"/>
      <c r="AG2909" s="16">
        <f>IFERROR(SUMIF(reading[[#This Row],[1st]:[7th]],"&gt;0")/COUNTIF(reading[[#This Row],[1st]:[7th]],"&gt;0"),"")</f>
        <v>2.8333333333333335</v>
      </c>
    </row>
    <row r="2910" spans="1:33" hidden="1" x14ac:dyDescent="0.2">
      <c r="A2910" s="4">
        <f>IF(B2910=1,3,IF(D2910=1,2,IF(F2910=1,1,0)))</f>
        <v>0</v>
      </c>
      <c r="B2910" s="4">
        <f>IF(C2910=$L2910,1,IF(C2910="","",0))</f>
        <v>0</v>
      </c>
      <c r="C2910" s="42" t="s">
        <v>9200</v>
      </c>
      <c r="D2910" s="4">
        <f>IF(E2910=$L2910,1,IF(E2910="","",0))</f>
        <v>0</v>
      </c>
      <c r="E2910" s="43" t="s">
        <v>9241</v>
      </c>
      <c r="F2910" s="4" t="str">
        <f>IF(G2910=$L2910,1,IF(G2910="","",0))</f>
        <v/>
      </c>
      <c r="G2910" s="43"/>
      <c r="H2910" s="6">
        <v>2398</v>
      </c>
      <c r="I2910" s="15" t="s">
        <v>3120</v>
      </c>
      <c r="J2910" s="6" t="s">
        <v>5470</v>
      </c>
      <c r="K2910" s="6"/>
      <c r="L2910" s="6" t="s">
        <v>2449</v>
      </c>
      <c r="M2910" s="6" t="s">
        <v>8503</v>
      </c>
      <c r="N2910" s="7">
        <f ca="1">RAND()</f>
        <v>0.65943864737437852</v>
      </c>
      <c r="O2910" s="8">
        <v>45217</v>
      </c>
      <c r="P2910" s="8">
        <v>45218</v>
      </c>
      <c r="Q2910" s="8">
        <v>45220</v>
      </c>
      <c r="R2910" s="8">
        <v>45224</v>
      </c>
      <c r="S2910" s="8">
        <v>45231</v>
      </c>
      <c r="T2910" s="8">
        <v>45249</v>
      </c>
      <c r="U2910" s="8"/>
      <c r="V2910" s="10">
        <f>COUNTA(O2910:U2910)</f>
        <v>6</v>
      </c>
      <c r="W2910" s="11">
        <f>_xlfn.IFNA(INDEX(reading[[#This Row],[Memo 01]:[Memo 07]],MATCH(0,reading[[#This Row],[Memo 01]:[Memo 07]],-1)),"")</f>
        <v>45249</v>
      </c>
      <c r="X2910" s="11">
        <f ca="1">IFERROR(reading[[#This Row],[Previous]]+OFFSET(reading[[#Headers],[Memo 01]],-1,MATCH(0,reading[[#This Row],[Memo 01]:[Memo 07]],-1)-1),"")</f>
        <v>45269</v>
      </c>
      <c r="Y2910" s="10" t="str">
        <f ca="1">IF(reading[[#This Row],[Next]]&lt;&gt;"",IF(reading[[#This Row],[Next]]&gt;TODAY(),"OK",""),"")</f>
        <v/>
      </c>
      <c r="Z2910" s="13">
        <v>3</v>
      </c>
      <c r="AA2910" s="13">
        <v>2</v>
      </c>
      <c r="AB2910" s="13">
        <v>3</v>
      </c>
      <c r="AC2910" s="13">
        <v>1</v>
      </c>
      <c r="AD2910" s="13">
        <v>2</v>
      </c>
      <c r="AE2910" s="13">
        <v>2</v>
      </c>
      <c r="AF2910" s="13"/>
      <c r="AG2910" s="16">
        <f>IFERROR(SUMIF(reading[[#This Row],[1st]:[7th]],"&gt;0")/COUNTIF(reading[[#This Row],[1st]:[7th]],"&gt;0"),"")</f>
        <v>2.1666666666666665</v>
      </c>
    </row>
    <row r="2911" spans="1:33" x14ac:dyDescent="0.2">
      <c r="A2911" s="4">
        <f>IF(B2911=1,3,IF(D2911=1,2,IF(F2911=1,1,0)))</f>
        <v>0</v>
      </c>
      <c r="B2911" s="4" t="str">
        <f>IF(C2911=$L2911,1,IF(C2911="","",0))</f>
        <v/>
      </c>
      <c r="C2911" s="36"/>
      <c r="D2911" s="4" t="str">
        <f>IF(E2911=$L2911,1,IF(E2911="","",0))</f>
        <v/>
      </c>
      <c r="E2911" s="14"/>
      <c r="F2911" s="4" t="str">
        <f>IF(G2911=$L2911,1,IF(G2911="","",0))</f>
        <v/>
      </c>
      <c r="G2911" s="14"/>
      <c r="H2911" s="6">
        <v>1873</v>
      </c>
      <c r="I2911" s="15" t="s">
        <v>3120</v>
      </c>
      <c r="J2911" s="6" t="s">
        <v>4975</v>
      </c>
      <c r="K2911" s="6"/>
      <c r="L2911" s="6" t="s">
        <v>1950</v>
      </c>
      <c r="M2911" s="6" t="s">
        <v>7979</v>
      </c>
      <c r="N2911" s="7">
        <f ca="1">RAND()</f>
        <v>0.50498930624339766</v>
      </c>
      <c r="O2911" s="8">
        <v>45212</v>
      </c>
      <c r="P2911" s="8">
        <v>45213</v>
      </c>
      <c r="Q2911" s="8">
        <v>45215</v>
      </c>
      <c r="R2911" s="8">
        <v>45219</v>
      </c>
      <c r="S2911" s="8">
        <v>45226</v>
      </c>
      <c r="T2911" s="8"/>
      <c r="U2911" s="8"/>
      <c r="V2911" s="10">
        <f>COUNTA(O2911:U2911)</f>
        <v>5</v>
      </c>
      <c r="W2911" s="11">
        <f>_xlfn.IFNA(INDEX(reading[[#This Row],[Memo 01]:[Memo 07]],MATCH(0,reading[[#This Row],[Memo 01]:[Memo 07]],-1)),"")</f>
        <v>45226</v>
      </c>
      <c r="X2911" s="11">
        <f ca="1">IFERROR(reading[[#This Row],[Previous]]+OFFSET(reading[[#Headers],[Memo 01]],-1,MATCH(0,reading[[#This Row],[Memo 01]:[Memo 07]],-1)-1),"")</f>
        <v>45238</v>
      </c>
      <c r="Y2911" s="10" t="str">
        <f ca="1">IF(reading[[#This Row],[Next]]&lt;&gt;"",IF(reading[[#This Row],[Next]]&gt;TODAY(),"OK",""),"")</f>
        <v/>
      </c>
      <c r="Z2911" s="13">
        <v>3</v>
      </c>
      <c r="AA2911" s="13">
        <v>3</v>
      </c>
      <c r="AB2911" s="13">
        <v>3</v>
      </c>
      <c r="AC2911" s="13">
        <v>3</v>
      </c>
      <c r="AD2911" s="13">
        <v>3</v>
      </c>
      <c r="AE2911" s="13"/>
      <c r="AF2911" s="13"/>
      <c r="AG2911" s="16">
        <f>IFERROR(SUMIF(reading[[#This Row],[1st]:[7th]],"&gt;0")/COUNTIF(reading[[#This Row],[1st]:[7th]],"&gt;0"),"")</f>
        <v>3</v>
      </c>
    </row>
    <row r="2912" spans="1:33" x14ac:dyDescent="0.2">
      <c r="A2912" s="4">
        <f>IF(B2912=1,3,IF(D2912=1,2,IF(F2912=1,1,0)))</f>
        <v>0</v>
      </c>
      <c r="B2912" s="4" t="str">
        <f>IF(C2912=$L2912,1,IF(C2912="","",0))</f>
        <v/>
      </c>
      <c r="C2912" s="18"/>
      <c r="D2912" s="4" t="str">
        <f>IF(E2912=$L2912,1,IF(E2912="","",0))</f>
        <v/>
      </c>
      <c r="E2912" s="14"/>
      <c r="F2912" s="4" t="str">
        <f>IF(G2912=$L2912,1,IF(G2912="","",0))</f>
        <v/>
      </c>
      <c r="G2912" s="14"/>
      <c r="H2912" s="6">
        <v>13</v>
      </c>
      <c r="I2912" s="15" t="s">
        <v>3120</v>
      </c>
      <c r="J2912" s="6" t="s">
        <v>3168</v>
      </c>
      <c r="K2912" s="6"/>
      <c r="L2912" s="6" t="s">
        <v>158</v>
      </c>
      <c r="M2912" s="6" t="s">
        <v>6127</v>
      </c>
      <c r="N2912" s="7">
        <f ca="1">RAND()</f>
        <v>0.36744691262089058</v>
      </c>
      <c r="O2912" s="8">
        <v>45198</v>
      </c>
      <c r="P2912" s="8">
        <v>45199</v>
      </c>
      <c r="Q2912" s="8">
        <v>45201</v>
      </c>
      <c r="R2912" s="8">
        <v>45205</v>
      </c>
      <c r="S2912" s="8">
        <v>45212</v>
      </c>
      <c r="T2912" s="8">
        <v>45224</v>
      </c>
      <c r="U2912" s="8"/>
      <c r="V2912" s="10">
        <f>COUNTA(O2912:U2912)</f>
        <v>6</v>
      </c>
      <c r="W2912" s="11">
        <f>_xlfn.IFNA(INDEX(reading[[#This Row],[Memo 01]:[Memo 07]],MATCH(0,reading[[#This Row],[Memo 01]:[Memo 07]],-1)),"")</f>
        <v>45224</v>
      </c>
      <c r="X2912" s="11">
        <f ca="1">IFERROR(reading[[#This Row],[Previous]]+OFFSET(reading[[#Headers],[Memo 01]],-1,MATCH(0,reading[[#This Row],[Memo 01]:[Memo 07]],-1)-1),"")</f>
        <v>45244</v>
      </c>
      <c r="Y2912" s="10" t="str">
        <f ca="1">IF(reading[[#This Row],[Next]]&lt;&gt;"",IF(reading[[#This Row],[Next]]&gt;TODAY(),"OK",""),"")</f>
        <v/>
      </c>
      <c r="Z2912" s="13">
        <v>3</v>
      </c>
      <c r="AA2912" s="13">
        <v>3</v>
      </c>
      <c r="AB2912" s="13">
        <v>3</v>
      </c>
      <c r="AC2912" s="13">
        <v>3</v>
      </c>
      <c r="AD2912" s="13">
        <v>3</v>
      </c>
      <c r="AE2912" s="13">
        <v>3</v>
      </c>
      <c r="AF2912" s="13"/>
      <c r="AG2912" s="16">
        <f>IFERROR(SUMIF(reading[[#This Row],[1st]:[7th]],"&gt;0")/COUNTIF(reading[[#This Row],[1st]:[7th]],"&gt;0"),"")</f>
        <v>3</v>
      </c>
    </row>
    <row r="2913" spans="1:33" x14ac:dyDescent="0.2">
      <c r="A2913" s="4">
        <f>IF(B2913=1,3,IF(D2913=1,2,IF(F2913=1,1,0)))</f>
        <v>0</v>
      </c>
      <c r="B2913" s="4" t="str">
        <f>IF(C2913=$L2913,1,IF(C2913="","",0))</f>
        <v/>
      </c>
      <c r="C2913" s="42"/>
      <c r="D2913" s="4" t="str">
        <f>IF(E2913=$L2913,1,IF(E2913="","",0))</f>
        <v/>
      </c>
      <c r="E2913" s="14"/>
      <c r="F2913" s="4" t="str">
        <f>IF(G2913=$L2913,1,IF(G2913="","",0))</f>
        <v/>
      </c>
      <c r="G2913" s="14"/>
      <c r="H2913" s="6">
        <v>2090</v>
      </c>
      <c r="I2913" s="15" t="s">
        <v>3120</v>
      </c>
      <c r="J2913" s="6" t="s">
        <v>5181</v>
      </c>
      <c r="K2913" s="6"/>
      <c r="L2913" s="6" t="s">
        <v>2161</v>
      </c>
      <c r="M2913" s="6" t="s">
        <v>8196</v>
      </c>
      <c r="N2913" s="7">
        <f ca="1">RAND()</f>
        <v>0.98445180787216702</v>
      </c>
      <c r="O2913" s="8">
        <v>45214</v>
      </c>
      <c r="P2913" s="8">
        <v>45215</v>
      </c>
      <c r="Q2913" s="8">
        <v>45217</v>
      </c>
      <c r="R2913" s="8">
        <v>45221</v>
      </c>
      <c r="S2913" s="8">
        <v>45228</v>
      </c>
      <c r="T2913" s="8">
        <v>45792</v>
      </c>
      <c r="U2913" s="8"/>
      <c r="V2913" s="10">
        <f>COUNTA(O2913:U2913)</f>
        <v>6</v>
      </c>
      <c r="W2913" s="11">
        <f>_xlfn.IFNA(INDEX(reading[[#This Row],[Memo 01]:[Memo 07]],MATCH(0,reading[[#This Row],[Memo 01]:[Memo 07]],-1)),"")</f>
        <v>45792</v>
      </c>
      <c r="X2913" s="11">
        <f ca="1">IFERROR(reading[[#This Row],[Previous]]+OFFSET(reading[[#Headers],[Memo 01]],-1,MATCH(0,reading[[#This Row],[Memo 01]:[Memo 07]],-1)-1),"")</f>
        <v>45812</v>
      </c>
      <c r="Y2913" s="10" t="str">
        <f ca="1">IF(reading[[#This Row],[Next]]&lt;&gt;"",IF(reading[[#This Row],[Next]]&gt;TODAY(),"OK",""),"")</f>
        <v/>
      </c>
      <c r="Z2913" s="13">
        <v>3</v>
      </c>
      <c r="AA2913" s="13">
        <v>3</v>
      </c>
      <c r="AB2913" s="13">
        <v>3</v>
      </c>
      <c r="AC2913" s="13">
        <v>3</v>
      </c>
      <c r="AD2913" s="13">
        <v>3</v>
      </c>
      <c r="AE2913" s="13">
        <v>3</v>
      </c>
      <c r="AF2913" s="13"/>
      <c r="AG2913" s="16">
        <f>IFERROR(SUMIF(reading[[#This Row],[1st]:[7th]],"&gt;0")/COUNTIF(reading[[#This Row],[1st]:[7th]],"&gt;0"),"")</f>
        <v>3</v>
      </c>
    </row>
    <row r="2914" spans="1:33" x14ac:dyDescent="0.2">
      <c r="A2914" s="4">
        <f>IF(B2914=1,3,IF(D2914=1,2,IF(F2914=1,1,0)))</f>
        <v>0</v>
      </c>
      <c r="B2914" s="4" t="str">
        <f>IF(C2914=$L2914,1,IF(C2914="","",0))</f>
        <v/>
      </c>
      <c r="C2914" s="39"/>
      <c r="D2914" s="4" t="str">
        <f>IF(E2914=$L2914,1,IF(E2914="","",0))</f>
        <v/>
      </c>
      <c r="E2914" s="18"/>
      <c r="F2914" s="4" t="str">
        <f>IF(G2914=$L2914,1,IF(G2914="","",0))</f>
        <v/>
      </c>
      <c r="G2914" s="14"/>
      <c r="H2914" s="6">
        <v>2282</v>
      </c>
      <c r="I2914" s="15" t="s">
        <v>3120</v>
      </c>
      <c r="J2914" s="6" t="s">
        <v>5363</v>
      </c>
      <c r="K2914" s="6"/>
      <c r="L2914" s="6" t="s">
        <v>2342</v>
      </c>
      <c r="M2914" s="6" t="s">
        <v>8387</v>
      </c>
      <c r="N2914" s="7">
        <f ca="1">RAND()</f>
        <v>0.59630815270936632</v>
      </c>
      <c r="O2914" s="8">
        <v>45216</v>
      </c>
      <c r="P2914" s="8">
        <v>45217</v>
      </c>
      <c r="Q2914" s="8">
        <v>45219</v>
      </c>
      <c r="R2914" s="8">
        <v>45223</v>
      </c>
      <c r="S2914" s="8">
        <v>45230</v>
      </c>
      <c r="T2914" s="8"/>
      <c r="U2914" s="8"/>
      <c r="V2914" s="10">
        <f>COUNTA(O2914:U2914)</f>
        <v>5</v>
      </c>
      <c r="W2914" s="11">
        <f>_xlfn.IFNA(INDEX(reading[[#This Row],[Memo 01]:[Memo 07]],MATCH(0,reading[[#This Row],[Memo 01]:[Memo 07]],-1)),"")</f>
        <v>45230</v>
      </c>
      <c r="X2914" s="11">
        <f ca="1">IFERROR(reading[[#This Row],[Previous]]+OFFSET(reading[[#Headers],[Memo 01]],-1,MATCH(0,reading[[#This Row],[Memo 01]:[Memo 07]],-1)-1),"")</f>
        <v>45242</v>
      </c>
      <c r="Y2914" s="10" t="str">
        <f ca="1">IF(reading[[#This Row],[Next]]&lt;&gt;"",IF(reading[[#This Row],[Next]]&gt;TODAY(),"OK",""),"")</f>
        <v/>
      </c>
      <c r="Z2914" s="13">
        <v>3</v>
      </c>
      <c r="AA2914" s="13">
        <v>3</v>
      </c>
      <c r="AB2914" s="13">
        <v>2</v>
      </c>
      <c r="AC2914" s="13">
        <v>3</v>
      </c>
      <c r="AD2914" s="13">
        <v>3</v>
      </c>
      <c r="AE2914" s="13"/>
      <c r="AF2914" s="13"/>
      <c r="AG2914" s="16">
        <f>IFERROR(SUMIF(reading[[#This Row],[1st]:[7th]],"&gt;0")/COUNTIF(reading[[#This Row],[1st]:[7th]],"&gt;0"),"")</f>
        <v>2.8</v>
      </c>
    </row>
    <row r="2915" spans="1:33" hidden="1" x14ac:dyDescent="0.2">
      <c r="A2915" s="4">
        <f>IF(B2915=1,3,IF(D2915=1,2,IF(F2915=1,1,0)))</f>
        <v>0</v>
      </c>
      <c r="B2915" s="4">
        <f>IF(C2915=$L2915,1,IF(C2915="","",0))</f>
        <v>0</v>
      </c>
      <c r="C2915" s="42" t="s">
        <v>9200</v>
      </c>
      <c r="D2915" s="4" t="str">
        <f>IF(E2915=$L2915,1,IF(E2915="","",0))</f>
        <v/>
      </c>
      <c r="E2915" s="18"/>
      <c r="F2915" s="4" t="str">
        <f>IF(G2915=$L2915,1,IF(G2915="","",0))</f>
        <v/>
      </c>
      <c r="G2915" s="14"/>
      <c r="H2915" s="6">
        <v>1988</v>
      </c>
      <c r="I2915" s="15" t="s">
        <v>3120</v>
      </c>
      <c r="J2915" s="6" t="s">
        <v>5086</v>
      </c>
      <c r="K2915" s="6"/>
      <c r="L2915" s="6" t="s">
        <v>2063</v>
      </c>
      <c r="M2915" s="6" t="s">
        <v>8094</v>
      </c>
      <c r="N2915" s="7">
        <f ca="1">RAND()</f>
        <v>0.6574698063547374</v>
      </c>
      <c r="O2915" s="8">
        <v>45213</v>
      </c>
      <c r="P2915" s="8">
        <v>45214</v>
      </c>
      <c r="Q2915" s="8">
        <v>45216</v>
      </c>
      <c r="R2915" s="8">
        <v>45220</v>
      </c>
      <c r="S2915" s="8">
        <v>45227</v>
      </c>
      <c r="T2915" s="8"/>
      <c r="U2915" s="8"/>
      <c r="V2915" s="10">
        <f>COUNTA(O2915:U2915)</f>
        <v>5</v>
      </c>
      <c r="W2915" s="11">
        <f>_xlfn.IFNA(INDEX(reading[[#This Row],[Memo 01]:[Memo 07]],MATCH(0,reading[[#This Row],[Memo 01]:[Memo 07]],-1)),"")</f>
        <v>45227</v>
      </c>
      <c r="X2915" s="11">
        <f ca="1">IFERROR(reading[[#This Row],[Previous]]+OFFSET(reading[[#Headers],[Memo 01]],-1,MATCH(0,reading[[#This Row],[Memo 01]:[Memo 07]],-1)-1),"")</f>
        <v>45239</v>
      </c>
      <c r="Y2915" s="10" t="str">
        <f ca="1">IF(reading[[#This Row],[Next]]&lt;&gt;"",IF(reading[[#This Row],[Next]]&gt;TODAY(),"OK",""),"")</f>
        <v/>
      </c>
      <c r="Z2915" s="13">
        <v>3</v>
      </c>
      <c r="AA2915" s="13">
        <v>3</v>
      </c>
      <c r="AB2915" s="13">
        <v>3</v>
      </c>
      <c r="AC2915" s="13">
        <v>2</v>
      </c>
      <c r="AD2915" s="13">
        <v>3</v>
      </c>
      <c r="AE2915" s="13"/>
      <c r="AF2915" s="13"/>
      <c r="AG2915" s="16">
        <f>IFERROR(SUMIF(reading[[#This Row],[1st]:[7th]],"&gt;0")/COUNTIF(reading[[#This Row],[1st]:[7th]],"&gt;0"),"")</f>
        <v>2.8</v>
      </c>
    </row>
    <row r="2916" spans="1:33" x14ac:dyDescent="0.2">
      <c r="A2916" s="4">
        <f>IF(B2916=1,3,IF(D2916=1,2,IF(F2916=1,1,0)))</f>
        <v>0</v>
      </c>
      <c r="B2916" s="4" t="str">
        <f>IF(C2916=$L2916,1,IF(C2916="","",0))</f>
        <v/>
      </c>
      <c r="C2916" s="42"/>
      <c r="D2916" s="4" t="str">
        <f>IF(E2916=$L2916,1,IF(E2916="","",0))</f>
        <v/>
      </c>
      <c r="E2916" s="14"/>
      <c r="F2916" s="4" t="str">
        <f>IF(G2916=$L2916,1,IF(G2916="","",0))</f>
        <v/>
      </c>
      <c r="G2916" s="14"/>
      <c r="H2916" s="6">
        <v>3006</v>
      </c>
      <c r="I2916" s="15" t="s">
        <v>3120</v>
      </c>
      <c r="J2916" s="6" t="s">
        <v>6029</v>
      </c>
      <c r="K2916" s="6"/>
      <c r="L2916" s="6" t="s">
        <v>3035</v>
      </c>
      <c r="M2916" s="6" t="s">
        <v>9109</v>
      </c>
      <c r="N2916" s="7">
        <f ca="1">RAND()</f>
        <v>8.6752923675429305E-2</v>
      </c>
      <c r="O2916" s="8">
        <v>45224</v>
      </c>
      <c r="P2916" s="8">
        <v>45225</v>
      </c>
      <c r="Q2916" s="8">
        <v>45227</v>
      </c>
      <c r="R2916" s="8">
        <v>45231</v>
      </c>
      <c r="S2916" s="8">
        <v>45249</v>
      </c>
      <c r="T2916" s="8">
        <v>45792</v>
      </c>
      <c r="U2916" s="8"/>
      <c r="V2916" s="10">
        <f>COUNTA(O2916:U2916)</f>
        <v>6</v>
      </c>
      <c r="W2916" s="11">
        <f>_xlfn.IFNA(INDEX(reading[[#This Row],[Memo 01]:[Memo 07]],MATCH(0,reading[[#This Row],[Memo 01]:[Memo 07]],-1)),"")</f>
        <v>45792</v>
      </c>
      <c r="X2916" s="11">
        <f ca="1">IFERROR(reading[[#This Row],[Previous]]+OFFSET(reading[[#Headers],[Memo 01]],-1,MATCH(0,reading[[#This Row],[Memo 01]:[Memo 07]],-1)-1),"")</f>
        <v>45812</v>
      </c>
      <c r="Y2916" s="10" t="str">
        <f ca="1">IF(reading[[#This Row],[Next]]&lt;&gt;"",IF(reading[[#This Row],[Next]]&gt;TODAY(),"OK",""),"")</f>
        <v/>
      </c>
      <c r="Z2916" s="13">
        <v>3</v>
      </c>
      <c r="AA2916" s="13">
        <v>3</v>
      </c>
      <c r="AB2916" s="13">
        <v>3</v>
      </c>
      <c r="AC2916" s="13">
        <v>3</v>
      </c>
      <c r="AD2916" s="13">
        <v>3</v>
      </c>
      <c r="AE2916" s="13">
        <v>3</v>
      </c>
      <c r="AF2916" s="13"/>
      <c r="AG2916" s="16">
        <f>IFERROR(SUMIF(reading[[#This Row],[1st]:[7th]],"&gt;0")/COUNTIF(reading[[#This Row],[1st]:[7th]],"&gt;0"),"")</f>
        <v>3</v>
      </c>
    </row>
    <row r="2917" spans="1:33" x14ac:dyDescent="0.2">
      <c r="A2917" s="4">
        <f>IF(B2917=1,3,IF(D2917=1,2,IF(F2917=1,1,0)))</f>
        <v>0</v>
      </c>
      <c r="B2917" s="4" t="str">
        <f>IF(C2917=$L2917,1,IF(C2917="","",0))</f>
        <v/>
      </c>
      <c r="C2917" s="42"/>
      <c r="D2917" s="4" t="str">
        <f>IF(E2917=$L2917,1,IF(E2917="","",0))</f>
        <v/>
      </c>
      <c r="E2917" s="14"/>
      <c r="F2917" s="4" t="str">
        <f>IF(G2917=$L2917,1,IF(G2917="","",0))</f>
        <v/>
      </c>
      <c r="G2917" s="14"/>
      <c r="H2917" s="6">
        <v>2514</v>
      </c>
      <c r="I2917" s="15" t="s">
        <v>3120</v>
      </c>
      <c r="J2917" s="6" t="s">
        <v>5578</v>
      </c>
      <c r="K2917" s="6"/>
      <c r="L2917" s="6" t="s">
        <v>2560</v>
      </c>
      <c r="M2917" s="6" t="s">
        <v>8619</v>
      </c>
      <c r="N2917" s="7">
        <f ca="1">RAND()</f>
        <v>0.57257070833625479</v>
      </c>
      <c r="O2917" s="8">
        <v>45220</v>
      </c>
      <c r="P2917" s="8">
        <v>45221</v>
      </c>
      <c r="Q2917" s="8">
        <v>45223</v>
      </c>
      <c r="R2917" s="8">
        <v>45227</v>
      </c>
      <c r="S2917" s="8">
        <v>45234</v>
      </c>
      <c r="T2917" s="8">
        <v>45801</v>
      </c>
      <c r="U2917" s="8"/>
      <c r="V2917" s="10">
        <f>COUNTA(O2917:U2917)</f>
        <v>6</v>
      </c>
      <c r="W2917" s="11">
        <f>_xlfn.IFNA(INDEX(reading[[#This Row],[Memo 01]:[Memo 07]],MATCH(0,reading[[#This Row],[Memo 01]:[Memo 07]],-1)),"")</f>
        <v>45801</v>
      </c>
      <c r="X2917" s="11">
        <f ca="1">IFERROR(reading[[#This Row],[Previous]]+OFFSET(reading[[#Headers],[Memo 01]],-1,MATCH(0,reading[[#This Row],[Memo 01]:[Memo 07]],-1)-1),"")</f>
        <v>45821</v>
      </c>
      <c r="Y2917" s="10" t="str">
        <f ca="1">IF(reading[[#This Row],[Next]]&lt;&gt;"",IF(reading[[#This Row],[Next]]&gt;TODAY(),"OK",""),"")</f>
        <v/>
      </c>
      <c r="Z2917" s="13">
        <v>3</v>
      </c>
      <c r="AA2917" s="13">
        <v>3</v>
      </c>
      <c r="AB2917" s="13">
        <v>3</v>
      </c>
      <c r="AC2917" s="13">
        <v>3</v>
      </c>
      <c r="AD2917" s="13">
        <v>3</v>
      </c>
      <c r="AE2917" s="13">
        <v>3</v>
      </c>
      <c r="AF2917" s="13"/>
      <c r="AG2917" s="16">
        <f>IFERROR(SUMIF(reading[[#This Row],[1st]:[7th]],"&gt;0")/COUNTIF(reading[[#This Row],[1st]:[7th]],"&gt;0"),"")</f>
        <v>3</v>
      </c>
    </row>
    <row r="2918" spans="1:33" x14ac:dyDescent="0.2">
      <c r="A2918" s="4">
        <f>IF(B2918=1,3,IF(D2918=1,2,IF(F2918=1,1,0)))</f>
        <v>0</v>
      </c>
      <c r="B2918" s="4" t="str">
        <f>IF(C2918=$L2918,1,IF(C2918="","",0))</f>
        <v/>
      </c>
      <c r="C2918" s="39"/>
      <c r="D2918" s="4" t="str">
        <f>IF(E2918=$L2918,1,IF(E2918="","",0))</f>
        <v/>
      </c>
      <c r="E2918" s="18"/>
      <c r="F2918" s="4" t="str">
        <f>IF(G2918=$L2918,1,IF(G2918="","",0))</f>
        <v/>
      </c>
      <c r="G2918" s="14"/>
      <c r="H2918" s="6">
        <v>1477</v>
      </c>
      <c r="I2918" s="15" t="s">
        <v>3120</v>
      </c>
      <c r="J2918" s="6" t="s">
        <v>4591</v>
      </c>
      <c r="K2918" s="6"/>
      <c r="L2918" s="6" t="s">
        <v>1563</v>
      </c>
      <c r="M2918" s="6" t="s">
        <v>7584</v>
      </c>
      <c r="N2918" s="7">
        <f ca="1">RAND()</f>
        <v>1.5874864597170135E-2</v>
      </c>
      <c r="O2918" s="8">
        <v>45208</v>
      </c>
      <c r="P2918" s="8">
        <v>45209</v>
      </c>
      <c r="Q2918" s="8">
        <v>45212</v>
      </c>
      <c r="R2918" s="8">
        <v>45216</v>
      </c>
      <c r="S2918" s="8">
        <v>45223</v>
      </c>
      <c r="T2918" s="8">
        <v>45235</v>
      </c>
      <c r="U2918" s="8"/>
      <c r="V2918" s="10">
        <f>COUNTA(O2918:U2918)</f>
        <v>6</v>
      </c>
      <c r="W2918" s="11">
        <f>_xlfn.IFNA(INDEX(reading[[#This Row],[Memo 01]:[Memo 07]],MATCH(0,reading[[#This Row],[Memo 01]:[Memo 07]],-1)),"")</f>
        <v>45235</v>
      </c>
      <c r="X2918" s="11">
        <f ca="1">IFERROR(reading[[#This Row],[Previous]]+OFFSET(reading[[#Headers],[Memo 01]],-1,MATCH(0,reading[[#This Row],[Memo 01]:[Memo 07]],-1)-1),"")</f>
        <v>45255</v>
      </c>
      <c r="Y2918" s="10" t="str">
        <f ca="1">IF(reading[[#This Row],[Next]]&lt;&gt;"",IF(reading[[#This Row],[Next]]&gt;TODAY(),"OK",""),"")</f>
        <v/>
      </c>
      <c r="Z2918" s="13">
        <v>3</v>
      </c>
      <c r="AA2918" s="13">
        <v>3</v>
      </c>
      <c r="AB2918" s="13">
        <v>2</v>
      </c>
      <c r="AC2918" s="13">
        <v>3</v>
      </c>
      <c r="AD2918" s="13">
        <v>2</v>
      </c>
      <c r="AE2918" s="13">
        <v>3</v>
      </c>
      <c r="AF2918" s="13"/>
      <c r="AG2918" s="16">
        <f>IFERROR(SUMIF(reading[[#This Row],[1st]:[7th]],"&gt;0")/COUNTIF(reading[[#This Row],[1st]:[7th]],"&gt;0"),"")</f>
        <v>2.6666666666666665</v>
      </c>
    </row>
    <row r="2919" spans="1:33" hidden="1" x14ac:dyDescent="0.2">
      <c r="A2919" s="4">
        <f>IF(B2919=1,3,IF(D2919=1,2,IF(F2919=1,1,0)))</f>
        <v>3</v>
      </c>
      <c r="B2919" s="4">
        <f>IF(C2919=$L2919,1,IF(C2919="","",0))</f>
        <v>1</v>
      </c>
      <c r="C2919" s="36" t="s">
        <v>2953</v>
      </c>
      <c r="D2919" s="4" t="str">
        <f>IF(E2919=$L2919,1,IF(E2919="","",0))</f>
        <v/>
      </c>
      <c r="E2919" s="14"/>
      <c r="F2919" s="4" t="str">
        <f>IF(G2919=$L2919,1,IF(G2919="","",0))</f>
        <v/>
      </c>
      <c r="G2919" s="14"/>
      <c r="H2919" s="6">
        <v>2923</v>
      </c>
      <c r="I2919" s="15" t="s">
        <v>3120</v>
      </c>
      <c r="J2919" s="6" t="s">
        <v>5958</v>
      </c>
      <c r="K2919" s="6"/>
      <c r="L2919" s="6" t="s">
        <v>2953</v>
      </c>
      <c r="M2919" s="6" t="s">
        <v>9027</v>
      </c>
      <c r="N2919" s="7">
        <f ca="1">RAND()</f>
        <v>0.76000087562487617</v>
      </c>
      <c r="O2919" s="8">
        <v>45223</v>
      </c>
      <c r="P2919" s="8">
        <v>45223</v>
      </c>
      <c r="Q2919" s="8">
        <v>45223</v>
      </c>
      <c r="R2919" s="8">
        <v>45223</v>
      </c>
      <c r="S2919" s="8">
        <v>45223</v>
      </c>
      <c r="T2919" s="8">
        <v>45223</v>
      </c>
      <c r="U2919" s="8">
        <v>45223</v>
      </c>
      <c r="V2919" s="10">
        <f>COUNTA(O2919:U2919)</f>
        <v>7</v>
      </c>
      <c r="W2919" s="11">
        <f>_xlfn.IFNA(INDEX(reading[[#This Row],[Memo 01]:[Memo 07]],MATCH(0,reading[[#This Row],[Memo 01]:[Memo 07]],-1)),"")</f>
        <v>45223</v>
      </c>
      <c r="X2919" s="11">
        <f ca="1">IFERROR(reading[[#This Row],[Previous]]+OFFSET(reading[[#Headers],[Memo 01]],-1,MATCH(0,reading[[#This Row],[Memo 01]:[Memo 07]],-1)-1),"")</f>
        <v>55223</v>
      </c>
      <c r="Y2919" s="10" t="str">
        <f ca="1">IF(reading[[#This Row],[Next]]&lt;&gt;"",IF(reading[[#This Row],[Next]]&gt;TODAY(),"OK",""),"")</f>
        <v>OK</v>
      </c>
      <c r="Z2919" s="13">
        <v>3</v>
      </c>
      <c r="AA2919" s="13"/>
      <c r="AB2919" s="13"/>
      <c r="AC2919" s="13"/>
      <c r="AD2919" s="13"/>
      <c r="AE2919" s="13"/>
      <c r="AF2919" s="13"/>
      <c r="AG2919" s="16">
        <f>IFERROR(SUMIF(reading[[#This Row],[1st]:[7th]],"&gt;0")/COUNTIF(reading[[#This Row],[1st]:[7th]],"&gt;0"),"")</f>
        <v>3</v>
      </c>
    </row>
    <row r="2920" spans="1:33" x14ac:dyDescent="0.2">
      <c r="A2920" s="4">
        <f>IF(B2920=1,3,IF(D2920=1,2,IF(F2920=1,1,0)))</f>
        <v>0</v>
      </c>
      <c r="B2920" s="4" t="str">
        <f>IF(C2920=$L2920,1,IF(C2920="","",0))</f>
        <v/>
      </c>
      <c r="C2920" s="36"/>
      <c r="D2920" s="4" t="str">
        <f>IF(E2920=$L2920,1,IF(E2920="","",0))</f>
        <v/>
      </c>
      <c r="E2920" s="18"/>
      <c r="F2920" s="4" t="str">
        <f>IF(G2920=$L2920,1,IF(G2920="","",0))</f>
        <v/>
      </c>
      <c r="G2920" s="14"/>
      <c r="H2920" s="6">
        <v>352</v>
      </c>
      <c r="I2920" s="15" t="s">
        <v>3120</v>
      </c>
      <c r="J2920" s="6" t="s">
        <v>3499</v>
      </c>
      <c r="K2920" s="6"/>
      <c r="L2920" s="6" t="s">
        <v>486</v>
      </c>
      <c r="M2920" s="6" t="s">
        <v>6461</v>
      </c>
      <c r="N2920" s="7">
        <f ca="1">RAND()</f>
        <v>4.0579174684566954E-2</v>
      </c>
      <c r="O2920" s="8">
        <v>45200</v>
      </c>
      <c r="P2920" s="8">
        <v>45202</v>
      </c>
      <c r="Q2920" s="8">
        <v>45204</v>
      </c>
      <c r="R2920" s="8">
        <v>45208</v>
      </c>
      <c r="S2920" s="8">
        <v>45215</v>
      </c>
      <c r="T2920" s="8">
        <v>45227</v>
      </c>
      <c r="U2920" s="8"/>
      <c r="V2920" s="10">
        <f>COUNTA(O2920:U2920)</f>
        <v>6</v>
      </c>
      <c r="W2920" s="11">
        <f>_xlfn.IFNA(INDEX(reading[[#This Row],[Memo 01]:[Memo 07]],MATCH(0,reading[[#This Row],[Memo 01]:[Memo 07]],-1)),"")</f>
        <v>45227</v>
      </c>
      <c r="X2920" s="11">
        <f ca="1">IFERROR(reading[[#This Row],[Previous]]+OFFSET(reading[[#Headers],[Memo 01]],-1,MATCH(0,reading[[#This Row],[Memo 01]:[Memo 07]],-1)-1),"")</f>
        <v>45247</v>
      </c>
      <c r="Y2920" s="10" t="str">
        <f ca="1">IF(reading[[#This Row],[Next]]&lt;&gt;"",IF(reading[[#This Row],[Next]]&gt;TODAY(),"OK",""),"")</f>
        <v/>
      </c>
      <c r="Z2920" s="13">
        <v>3</v>
      </c>
      <c r="AA2920" s="13">
        <v>2</v>
      </c>
      <c r="AB2920" s="13">
        <v>3</v>
      </c>
      <c r="AC2920" s="13">
        <v>3</v>
      </c>
      <c r="AD2920" s="13">
        <v>3</v>
      </c>
      <c r="AE2920" s="13">
        <v>3</v>
      </c>
      <c r="AF2920" s="13"/>
      <c r="AG2920" s="16">
        <f>IFERROR(SUMIF(reading[[#This Row],[1st]:[7th]],"&gt;0")/COUNTIF(reading[[#This Row],[1st]:[7th]],"&gt;0"),"")</f>
        <v>2.8333333333333335</v>
      </c>
    </row>
    <row r="2921" spans="1:33" hidden="1" x14ac:dyDescent="0.2">
      <c r="A2921" s="4">
        <f>IF(B2921=1,3,IF(D2921=1,2,IF(F2921=1,1,0)))</f>
        <v>0</v>
      </c>
      <c r="B2921" s="4" t="str">
        <f>IF(C2921=$L2921,1,IF(C2921="","",0))</f>
        <v/>
      </c>
      <c r="C2921" s="42"/>
      <c r="D2921" s="4" t="str">
        <f>IF(E2921=$L2921,1,IF(E2921="","",0))</f>
        <v/>
      </c>
      <c r="E2921" s="23"/>
      <c r="F2921" s="4" t="str">
        <f>IF(G2921=$L2921,1,IF(G2921="","",0))</f>
        <v/>
      </c>
      <c r="G2921" s="14"/>
      <c r="H2921" s="6">
        <v>2642</v>
      </c>
      <c r="I2921" s="15" t="s">
        <v>3120</v>
      </c>
      <c r="J2921" s="6" t="s">
        <v>5696</v>
      </c>
      <c r="K2921" s="6"/>
      <c r="L2921" s="6" t="s">
        <v>2682</v>
      </c>
      <c r="M2921" s="6" t="s">
        <v>8747</v>
      </c>
      <c r="N2921" s="7">
        <f ca="1">RAND()</f>
        <v>0.97154856219774721</v>
      </c>
      <c r="O2921" s="8">
        <v>45220</v>
      </c>
      <c r="P2921" s="8">
        <v>45221</v>
      </c>
      <c r="Q2921" s="8">
        <v>45223</v>
      </c>
      <c r="R2921" s="8">
        <v>45227</v>
      </c>
      <c r="S2921" s="8">
        <v>45234</v>
      </c>
      <c r="T2921" s="8">
        <v>45825</v>
      </c>
      <c r="U2921" s="8"/>
      <c r="V2921" s="10">
        <f>COUNTA(O2921:U2921)</f>
        <v>6</v>
      </c>
      <c r="W2921" s="11">
        <f>_xlfn.IFNA(INDEX(reading[[#This Row],[Memo 01]:[Memo 07]],MATCH(0,reading[[#This Row],[Memo 01]:[Memo 07]],-1)),"")</f>
        <v>45825</v>
      </c>
      <c r="X2921" s="11">
        <f ca="1">IFERROR(reading[[#This Row],[Previous]]+OFFSET(reading[[#Headers],[Memo 01]],-1,MATCH(0,reading[[#This Row],[Memo 01]:[Memo 07]],-1)-1),"")</f>
        <v>45845</v>
      </c>
      <c r="Y2921" s="10" t="str">
        <f ca="1">IF(reading[[#This Row],[Next]]&lt;&gt;"",IF(reading[[#This Row],[Next]]&gt;TODAY(),"OK",""),"")</f>
        <v>OK</v>
      </c>
      <c r="Z2921" s="13">
        <v>3</v>
      </c>
      <c r="AA2921" s="13">
        <v>3</v>
      </c>
      <c r="AB2921" s="13">
        <v>3</v>
      </c>
      <c r="AC2921" s="13">
        <v>3</v>
      </c>
      <c r="AD2921" s="13">
        <v>3</v>
      </c>
      <c r="AE2921" s="13">
        <v>2</v>
      </c>
      <c r="AF2921" s="13"/>
      <c r="AG2921" s="16">
        <f>IFERROR(SUMIF(reading[[#This Row],[1st]:[7th]],"&gt;0")/COUNTIF(reading[[#This Row],[1st]:[7th]],"&gt;0"),"")</f>
        <v>2.8333333333333335</v>
      </c>
    </row>
    <row r="2922" spans="1:33" hidden="1" x14ac:dyDescent="0.2">
      <c r="A2922" s="4">
        <f>IF(B2922=1,3,IF(D2922=1,2,IF(F2922=1,1,0)))</f>
        <v>0</v>
      </c>
      <c r="B2922" s="4" t="str">
        <f>IF(C2922=$L2922,1,IF(C2922="","",0))</f>
        <v/>
      </c>
      <c r="C2922" s="42"/>
      <c r="D2922" s="4" t="str">
        <f>IF(E2922=$L2922,1,IF(E2922="","",0))</f>
        <v/>
      </c>
      <c r="E2922" s="43"/>
      <c r="F2922" s="4" t="str">
        <f>IF(G2922=$L2922,1,IF(G2922="","",0))</f>
        <v/>
      </c>
      <c r="G2922" s="14"/>
      <c r="H2922" s="6">
        <v>2650</v>
      </c>
      <c r="I2922" s="15" t="s">
        <v>3120</v>
      </c>
      <c r="J2922" s="6" t="s">
        <v>5703</v>
      </c>
      <c r="K2922" s="6"/>
      <c r="L2922" s="6" t="s">
        <v>2690</v>
      </c>
      <c r="M2922" s="6" t="s">
        <v>8755</v>
      </c>
      <c r="N2922" s="7">
        <f ca="1">RAND()</f>
        <v>0.3969059281402032</v>
      </c>
      <c r="O2922" s="8">
        <v>45220</v>
      </c>
      <c r="P2922" s="8">
        <v>45221</v>
      </c>
      <c r="Q2922" s="8">
        <v>45223</v>
      </c>
      <c r="R2922" s="8">
        <v>45227</v>
      </c>
      <c r="S2922" s="8">
        <v>45234</v>
      </c>
      <c r="T2922" s="8">
        <v>45825</v>
      </c>
      <c r="U2922" s="8"/>
      <c r="V2922" s="10">
        <f>COUNTA(O2922:U2922)</f>
        <v>6</v>
      </c>
      <c r="W2922" s="11">
        <f>_xlfn.IFNA(INDEX(reading[[#This Row],[Memo 01]:[Memo 07]],MATCH(0,reading[[#This Row],[Memo 01]:[Memo 07]],-1)),"")</f>
        <v>45825</v>
      </c>
      <c r="X2922" s="11">
        <f ca="1">IFERROR(reading[[#This Row],[Previous]]+OFFSET(reading[[#Headers],[Memo 01]],-1,MATCH(0,reading[[#This Row],[Memo 01]:[Memo 07]],-1)-1),"")</f>
        <v>45845</v>
      </c>
      <c r="Y2922" s="10" t="str">
        <f ca="1">IF(reading[[#This Row],[Next]]&lt;&gt;"",IF(reading[[#This Row],[Next]]&gt;TODAY(),"OK",""),"")</f>
        <v>OK</v>
      </c>
      <c r="Z2922" s="13">
        <v>3</v>
      </c>
      <c r="AA2922" s="13">
        <v>3</v>
      </c>
      <c r="AB2922" s="13">
        <v>3</v>
      </c>
      <c r="AC2922" s="13">
        <v>2</v>
      </c>
      <c r="AD2922" s="13">
        <v>3</v>
      </c>
      <c r="AE2922" s="13">
        <v>2</v>
      </c>
      <c r="AF2922" s="13"/>
      <c r="AG2922" s="16">
        <f>IFERROR(SUMIF(reading[[#This Row],[1st]:[7th]],"&gt;0")/COUNTIF(reading[[#This Row],[1st]:[7th]],"&gt;0"),"")</f>
        <v>2.6666666666666665</v>
      </c>
    </row>
    <row r="2923" spans="1:33" x14ac:dyDescent="0.2">
      <c r="A2923" s="4">
        <f>IF(B2923=1,3,IF(D2923=1,2,IF(F2923=1,1,0)))</f>
        <v>0</v>
      </c>
      <c r="B2923" s="4" t="str">
        <f>IF(C2923=$L2923,1,IF(C2923="","",0))</f>
        <v/>
      </c>
      <c r="C2923" s="38"/>
      <c r="D2923" s="4" t="str">
        <f>IF(E2923=$L2923,1,IF(E2923="","",0))</f>
        <v/>
      </c>
      <c r="E2923" s="18"/>
      <c r="F2923" s="4" t="str">
        <f>IF(G2923=$L2923,1,IF(G2923="","",0))</f>
        <v/>
      </c>
      <c r="G2923" s="14"/>
      <c r="H2923" s="6">
        <v>843</v>
      </c>
      <c r="I2923" s="15" t="s">
        <v>3120</v>
      </c>
      <c r="J2923" s="6" t="s">
        <v>3975</v>
      </c>
      <c r="K2923" s="6"/>
      <c r="L2923" s="6" t="s">
        <v>959</v>
      </c>
      <c r="M2923" s="6" t="s">
        <v>6952</v>
      </c>
      <c r="N2923" s="7">
        <f ca="1">RAND()</f>
        <v>0.23173041666918448</v>
      </c>
      <c r="O2923" s="8">
        <v>45203</v>
      </c>
      <c r="P2923" s="8">
        <v>45204</v>
      </c>
      <c r="Q2923" s="8">
        <v>45206</v>
      </c>
      <c r="R2923" s="8">
        <v>45210</v>
      </c>
      <c r="S2923" s="8">
        <v>45217</v>
      </c>
      <c r="T2923" s="8">
        <v>45229</v>
      </c>
      <c r="U2923" s="8"/>
      <c r="V2923" s="10">
        <f>COUNTA(O2923:U2923)</f>
        <v>6</v>
      </c>
      <c r="W2923" s="11">
        <f>_xlfn.IFNA(INDEX(reading[[#This Row],[Memo 01]:[Memo 07]],MATCH(0,reading[[#This Row],[Memo 01]:[Memo 07]],-1)),"")</f>
        <v>45229</v>
      </c>
      <c r="X2923" s="11">
        <f ca="1">IFERROR(reading[[#This Row],[Previous]]+OFFSET(reading[[#Headers],[Memo 01]],-1,MATCH(0,reading[[#This Row],[Memo 01]:[Memo 07]],-1)-1),"")</f>
        <v>45249</v>
      </c>
      <c r="Y2923" s="10" t="str">
        <f ca="1">IF(reading[[#This Row],[Next]]&lt;&gt;"",IF(reading[[#This Row],[Next]]&gt;TODAY(),"OK",""),"")</f>
        <v/>
      </c>
      <c r="Z2923" s="13">
        <v>3</v>
      </c>
      <c r="AA2923" s="13">
        <v>3</v>
      </c>
      <c r="AB2923" s="13">
        <v>3</v>
      </c>
      <c r="AC2923" s="13">
        <v>3</v>
      </c>
      <c r="AD2923" s="13">
        <v>2</v>
      </c>
      <c r="AE2923" s="13">
        <v>3</v>
      </c>
      <c r="AF2923" s="13"/>
      <c r="AG2923" s="16">
        <f>IFERROR(SUMIF(reading[[#This Row],[1st]:[7th]],"&gt;0")/COUNTIF(reading[[#This Row],[1st]:[7th]],"&gt;0"),"")</f>
        <v>2.8333333333333335</v>
      </c>
    </row>
    <row r="2924" spans="1:33" x14ac:dyDescent="0.2">
      <c r="A2924" s="4">
        <f>IF(B2924=1,3,IF(D2924=1,2,IF(F2924=1,1,0)))</f>
        <v>0</v>
      </c>
      <c r="B2924" s="4" t="str">
        <f>IF(C2924=$L2924,1,IF(C2924="","",0))</f>
        <v/>
      </c>
      <c r="C2924" s="39"/>
      <c r="D2924" s="4" t="str">
        <f>IF(E2924=$L2924,1,IF(E2924="","",0))</f>
        <v/>
      </c>
      <c r="E2924" s="14"/>
      <c r="F2924" s="4" t="str">
        <f>IF(G2924=$L2924,1,IF(G2924="","",0))</f>
        <v/>
      </c>
      <c r="G2924" s="14"/>
      <c r="H2924" s="6">
        <v>1527</v>
      </c>
      <c r="I2924" s="15" t="s">
        <v>3120</v>
      </c>
      <c r="J2924" s="6" t="s">
        <v>4640</v>
      </c>
      <c r="K2924" s="6"/>
      <c r="L2924" s="6" t="s">
        <v>1612</v>
      </c>
      <c r="M2924" s="6" t="s">
        <v>7634</v>
      </c>
      <c r="N2924" s="7">
        <f ca="1">RAND()</f>
        <v>0.92265747065436809</v>
      </c>
      <c r="O2924" s="8">
        <v>45209</v>
      </c>
      <c r="P2924" s="8">
        <v>45210</v>
      </c>
      <c r="Q2924" s="8">
        <v>45213</v>
      </c>
      <c r="R2924" s="8">
        <v>45217</v>
      </c>
      <c r="S2924" s="8">
        <v>45224</v>
      </c>
      <c r="T2924" s="8">
        <v>45236</v>
      </c>
      <c r="U2924" s="8"/>
      <c r="V2924" s="10">
        <f>COUNTA(O2924:U2924)</f>
        <v>6</v>
      </c>
      <c r="W2924" s="11">
        <f>_xlfn.IFNA(INDEX(reading[[#This Row],[Memo 01]:[Memo 07]],MATCH(0,reading[[#This Row],[Memo 01]:[Memo 07]],-1)),"")</f>
        <v>45236</v>
      </c>
      <c r="X2924" s="11">
        <f ca="1">IFERROR(reading[[#This Row],[Previous]]+OFFSET(reading[[#Headers],[Memo 01]],-1,MATCH(0,reading[[#This Row],[Memo 01]:[Memo 07]],-1)-1),"")</f>
        <v>45256</v>
      </c>
      <c r="Y2924" s="10" t="str">
        <f ca="1">IF(reading[[#This Row],[Next]]&lt;&gt;"",IF(reading[[#This Row],[Next]]&gt;TODAY(),"OK",""),"")</f>
        <v/>
      </c>
      <c r="Z2924" s="13">
        <v>3</v>
      </c>
      <c r="AA2924" s="13">
        <v>3</v>
      </c>
      <c r="AB2924" s="13">
        <v>2</v>
      </c>
      <c r="AC2924" s="13">
        <v>3</v>
      </c>
      <c r="AD2924" s="13">
        <v>3</v>
      </c>
      <c r="AE2924" s="13">
        <v>3</v>
      </c>
      <c r="AF2924" s="13"/>
      <c r="AG2924" s="16">
        <f>IFERROR(SUMIF(reading[[#This Row],[1st]:[7th]],"&gt;0")/COUNTIF(reading[[#This Row],[1st]:[7th]],"&gt;0"),"")</f>
        <v>2.8333333333333335</v>
      </c>
    </row>
    <row r="2925" spans="1:33" hidden="1" x14ac:dyDescent="0.2">
      <c r="A2925" s="4">
        <f>IF(B2925=1,3,IF(D2925=1,2,IF(F2925=1,1,0)))</f>
        <v>0</v>
      </c>
      <c r="B2925" s="4" t="str">
        <f>IF(C2925=$L2925,1,IF(C2925="","",0))</f>
        <v/>
      </c>
      <c r="C2925" s="42"/>
      <c r="D2925" s="4" t="str">
        <f>IF(E2925=$L2925,1,IF(E2925="","",0))</f>
        <v/>
      </c>
      <c r="E2925" s="23"/>
      <c r="F2925" s="4" t="str">
        <f>IF(G2925=$L2925,1,IF(G2925="","",0))</f>
        <v/>
      </c>
      <c r="G2925" s="14"/>
      <c r="H2925" s="6">
        <v>1293</v>
      </c>
      <c r="I2925" s="15" t="s">
        <v>3120</v>
      </c>
      <c r="J2925" s="6" t="s">
        <v>4410</v>
      </c>
      <c r="K2925" s="6"/>
      <c r="L2925" s="6" t="s">
        <v>131</v>
      </c>
      <c r="M2925" s="6" t="s">
        <v>7400</v>
      </c>
      <c r="N2925" s="7">
        <f ca="1">RAND()</f>
        <v>0.5822675721389412</v>
      </c>
      <c r="O2925" s="8">
        <v>45207</v>
      </c>
      <c r="P2925" s="8">
        <v>45208</v>
      </c>
      <c r="Q2925" s="8">
        <v>45210</v>
      </c>
      <c r="R2925" s="8">
        <v>45214</v>
      </c>
      <c r="S2925" s="8">
        <v>45221</v>
      </c>
      <c r="T2925" s="8">
        <v>45233</v>
      </c>
      <c r="U2925" s="8">
        <v>45825</v>
      </c>
      <c r="V2925" s="10">
        <f>COUNTA(O2925:U2925)</f>
        <v>7</v>
      </c>
      <c r="W2925" s="11">
        <f>_xlfn.IFNA(INDEX(reading[[#This Row],[Memo 01]:[Memo 07]],MATCH(0,reading[[#This Row],[Memo 01]:[Memo 07]],-1)),"")</f>
        <v>45825</v>
      </c>
      <c r="X2925" s="11">
        <f ca="1">IFERROR(reading[[#This Row],[Previous]]+OFFSET(reading[[#Headers],[Memo 01]],-1,MATCH(0,reading[[#This Row],[Memo 01]:[Memo 07]],-1)-1),"")</f>
        <v>55825</v>
      </c>
      <c r="Y2925" s="10" t="str">
        <f ca="1">IF(reading[[#This Row],[Next]]&lt;&gt;"",IF(reading[[#This Row],[Next]]&gt;TODAY(),"OK",""),"")</f>
        <v>OK</v>
      </c>
      <c r="Z2925" s="13">
        <v>3</v>
      </c>
      <c r="AA2925" s="13">
        <v>3</v>
      </c>
      <c r="AB2925" s="13">
        <v>3</v>
      </c>
      <c r="AC2925" s="13">
        <v>3</v>
      </c>
      <c r="AD2925" s="13">
        <v>3</v>
      </c>
      <c r="AE2925" s="13">
        <v>3</v>
      </c>
      <c r="AF2925" s="13">
        <v>2</v>
      </c>
      <c r="AG2925" s="16">
        <f>IFERROR(SUMIF(reading[[#This Row],[1st]:[7th]],"&gt;0")/COUNTIF(reading[[#This Row],[1st]:[7th]],"&gt;0"),"")</f>
        <v>2.8571428571428572</v>
      </c>
    </row>
    <row r="2926" spans="1:33" x14ac:dyDescent="0.2">
      <c r="A2926" s="4">
        <f>IF(B2926=1,3,IF(D2926=1,2,IF(F2926=1,1,0)))</f>
        <v>0</v>
      </c>
      <c r="B2926" s="4" t="str">
        <f>IF(C2926=$L2926,1,IF(C2926="","",0))</f>
        <v/>
      </c>
      <c r="C2926" s="41"/>
      <c r="D2926" s="4" t="str">
        <f>IF(E2926=$L2926,1,IF(E2926="","",0))</f>
        <v/>
      </c>
      <c r="E2926" s="18"/>
      <c r="F2926" s="4" t="str">
        <f>IF(G2926=$L2926,1,IF(G2926="","",0))</f>
        <v/>
      </c>
      <c r="G2926" s="14"/>
      <c r="H2926" s="6">
        <v>2066</v>
      </c>
      <c r="I2926" s="15" t="s">
        <v>3120</v>
      </c>
      <c r="J2926" s="6" t="s">
        <v>5161</v>
      </c>
      <c r="K2926" s="6"/>
      <c r="L2926" s="6" t="s">
        <v>2138</v>
      </c>
      <c r="M2926" s="6" t="s">
        <v>8172</v>
      </c>
      <c r="N2926" s="7">
        <f ca="1">RAND()</f>
        <v>0.24122715459629263</v>
      </c>
      <c r="O2926" s="8">
        <v>45214</v>
      </c>
      <c r="P2926" s="8">
        <v>45215</v>
      </c>
      <c r="Q2926" s="8">
        <v>45217</v>
      </c>
      <c r="R2926" s="8">
        <v>45221</v>
      </c>
      <c r="S2926" s="8">
        <v>45228</v>
      </c>
      <c r="T2926" s="8">
        <v>45252</v>
      </c>
      <c r="U2926" s="8"/>
      <c r="V2926" s="10">
        <f>COUNTA(O2926:U2926)</f>
        <v>6</v>
      </c>
      <c r="W2926" s="11">
        <f>_xlfn.IFNA(INDEX(reading[[#This Row],[Memo 01]:[Memo 07]],MATCH(0,reading[[#This Row],[Memo 01]:[Memo 07]],-1)),"")</f>
        <v>45252</v>
      </c>
      <c r="X2926" s="11">
        <f ca="1">IFERROR(reading[[#This Row],[Previous]]+OFFSET(reading[[#Headers],[Memo 01]],-1,MATCH(0,reading[[#This Row],[Memo 01]:[Memo 07]],-1)-1),"")</f>
        <v>45272</v>
      </c>
      <c r="Y2926" s="10" t="str">
        <f ca="1">IF(reading[[#This Row],[Next]]&lt;&gt;"",IF(reading[[#This Row],[Next]]&gt;TODAY(),"OK",""),"")</f>
        <v/>
      </c>
      <c r="Z2926" s="13">
        <v>3</v>
      </c>
      <c r="AA2926" s="13">
        <v>2</v>
      </c>
      <c r="AB2926" s="13">
        <v>3</v>
      </c>
      <c r="AC2926" s="13">
        <v>3</v>
      </c>
      <c r="AD2926" s="13">
        <v>2</v>
      </c>
      <c r="AE2926" s="13">
        <v>2</v>
      </c>
      <c r="AF2926" s="13"/>
      <c r="AG2926" s="16">
        <f>IFERROR(SUMIF(reading[[#This Row],[1st]:[7th]],"&gt;0")/COUNTIF(reading[[#This Row],[1st]:[7th]],"&gt;0"),"")</f>
        <v>2.5</v>
      </c>
    </row>
    <row r="2927" spans="1:33" hidden="1" x14ac:dyDescent="0.2">
      <c r="A2927" s="4">
        <f>IF(B2927=1,3,IF(D2927=1,2,IF(F2927=1,1,0)))</f>
        <v>0</v>
      </c>
      <c r="B2927" s="4" t="str">
        <f>IF(C2927=$L2927,1,IF(C2927="","",0))</f>
        <v/>
      </c>
      <c r="C2927" s="42"/>
      <c r="D2927" s="4" t="str">
        <f>IF(E2927=$L2927,1,IF(E2927="","",0))</f>
        <v/>
      </c>
      <c r="E2927" s="18"/>
      <c r="F2927" s="4" t="str">
        <f>IF(G2927=$L2927,1,IF(G2927="","",0))</f>
        <v/>
      </c>
      <c r="G2927" s="14"/>
      <c r="H2927" s="6">
        <v>667</v>
      </c>
      <c r="I2927" s="15" t="s">
        <v>3120</v>
      </c>
      <c r="J2927" s="6" t="s">
        <v>3806</v>
      </c>
      <c r="K2927" s="6"/>
      <c r="L2927" s="6" t="s">
        <v>790</v>
      </c>
      <c r="M2927" s="6" t="s">
        <v>6776</v>
      </c>
      <c r="N2927" s="7">
        <f ca="1">RAND()</f>
        <v>0.25032664151289608</v>
      </c>
      <c r="O2927" s="8">
        <v>45203</v>
      </c>
      <c r="P2927" s="8">
        <v>45204</v>
      </c>
      <c r="Q2927" s="8">
        <v>45206</v>
      </c>
      <c r="R2927" s="8">
        <v>45210</v>
      </c>
      <c r="S2927" s="8">
        <v>45217</v>
      </c>
      <c r="T2927" s="8">
        <v>45229</v>
      </c>
      <c r="U2927" s="8">
        <v>45253</v>
      </c>
      <c r="V2927" s="10">
        <f>COUNTA(O2927:U2927)</f>
        <v>7</v>
      </c>
      <c r="W2927" s="11">
        <f>_xlfn.IFNA(INDEX(reading[[#This Row],[Memo 01]:[Memo 07]],MATCH(0,reading[[#This Row],[Memo 01]:[Memo 07]],-1)),"")</f>
        <v>45253</v>
      </c>
      <c r="X2927" s="11">
        <f ca="1">IFERROR(reading[[#This Row],[Previous]]+OFFSET(reading[[#Headers],[Memo 01]],-1,MATCH(0,reading[[#This Row],[Memo 01]:[Memo 07]],-1)-1),"")</f>
        <v>55253</v>
      </c>
      <c r="Y2927" s="10" t="str">
        <f ca="1">IF(reading[[#This Row],[Next]]&lt;&gt;"",IF(reading[[#This Row],[Next]]&gt;TODAY(),"OK",""),"")</f>
        <v>OK</v>
      </c>
      <c r="Z2927" s="13">
        <v>3</v>
      </c>
      <c r="AA2927" s="13">
        <v>2</v>
      </c>
      <c r="AB2927" s="13">
        <v>3</v>
      </c>
      <c r="AC2927" s="13">
        <v>2</v>
      </c>
      <c r="AD2927" s="13">
        <v>3</v>
      </c>
      <c r="AE2927" s="13">
        <v>3</v>
      </c>
      <c r="AF2927" s="13">
        <v>2</v>
      </c>
      <c r="AG2927" s="16">
        <f>IFERROR(SUMIF(reading[[#This Row],[1st]:[7th]],"&gt;0")/COUNTIF(reading[[#This Row],[1st]:[7th]],"&gt;0"),"")</f>
        <v>2.5714285714285716</v>
      </c>
    </row>
    <row r="2928" spans="1:33" hidden="1" x14ac:dyDescent="0.2">
      <c r="A2928" s="4">
        <f>IF(B2928=1,3,IF(D2928=1,2,IF(F2928=1,1,0)))</f>
        <v>0</v>
      </c>
      <c r="B2928" s="4">
        <f>IF(C2928=$L2928,1,IF(C2928="","",0))</f>
        <v>0</v>
      </c>
      <c r="C2928" s="42" t="s">
        <v>9293</v>
      </c>
      <c r="D2928" s="4" t="str">
        <f>IF(E2928=$L2928,1,IF(E2928="","",0))</f>
        <v/>
      </c>
      <c r="E2928" s="18"/>
      <c r="F2928" s="4" t="str">
        <f>IF(G2928=$L2928,1,IF(G2928="","",0))</f>
        <v/>
      </c>
      <c r="G2928" s="14"/>
      <c r="H2928" s="6">
        <v>3014</v>
      </c>
      <c r="I2928" s="15" t="s">
        <v>3120</v>
      </c>
      <c r="J2928" s="6" t="s">
        <v>6037</v>
      </c>
      <c r="K2928" s="6"/>
      <c r="L2928" s="6" t="s">
        <v>3043</v>
      </c>
      <c r="M2928" s="6" t="s">
        <v>9117</v>
      </c>
      <c r="N2928" s="7">
        <f ca="1">RAND()</f>
        <v>0.62819368520702512</v>
      </c>
      <c r="O2928" s="8">
        <v>45224</v>
      </c>
      <c r="P2928" s="8">
        <v>45225</v>
      </c>
      <c r="Q2928" s="8">
        <v>45227</v>
      </c>
      <c r="R2928" s="8">
        <v>45231</v>
      </c>
      <c r="S2928" s="8">
        <v>45252</v>
      </c>
      <c r="T2928" s="8"/>
      <c r="U2928" s="8"/>
      <c r="V2928" s="10">
        <f>COUNTA(O2928:U2928)</f>
        <v>5</v>
      </c>
      <c r="W2928" s="11">
        <f>_xlfn.IFNA(INDEX(reading[[#This Row],[Memo 01]:[Memo 07]],MATCH(0,reading[[#This Row],[Memo 01]:[Memo 07]],-1)),"")</f>
        <v>45252</v>
      </c>
      <c r="X2928" s="11">
        <f ca="1">IFERROR(reading[[#This Row],[Previous]]+OFFSET(reading[[#Headers],[Memo 01]],-1,MATCH(0,reading[[#This Row],[Memo 01]:[Memo 07]],-1)-1),"")</f>
        <v>45264</v>
      </c>
      <c r="Y2928" s="10" t="str">
        <f ca="1">IF(reading[[#This Row],[Next]]&lt;&gt;"",IF(reading[[#This Row],[Next]]&gt;TODAY(),"OK",""),"")</f>
        <v/>
      </c>
      <c r="Z2928" s="13">
        <v>3</v>
      </c>
      <c r="AA2928" s="13">
        <v>3</v>
      </c>
      <c r="AB2928" s="13">
        <v>3</v>
      </c>
      <c r="AC2928" s="13">
        <v>3</v>
      </c>
      <c r="AD2928" s="13">
        <v>2</v>
      </c>
      <c r="AE2928" s="13"/>
      <c r="AF2928" s="13"/>
      <c r="AG2928" s="16">
        <f>IFERROR(SUMIF(reading[[#This Row],[1st]:[7th]],"&gt;0")/COUNTIF(reading[[#This Row],[1st]:[7th]],"&gt;0"),"")</f>
        <v>2.8</v>
      </c>
    </row>
    <row r="2929" spans="1:33" x14ac:dyDescent="0.2">
      <c r="A2929" s="4">
        <f>IF(B2929=1,3,IF(D2929=1,2,IF(F2929=1,1,0)))</f>
        <v>0</v>
      </c>
      <c r="B2929" s="4" t="str">
        <f>IF(C2929=$L2929,1,IF(C2929="","",0))</f>
        <v/>
      </c>
      <c r="C2929" s="42"/>
      <c r="D2929" s="4" t="str">
        <f>IF(E2929=$L2929,1,IF(E2929="","",0))</f>
        <v/>
      </c>
      <c r="E2929" s="14"/>
      <c r="F2929" s="4" t="str">
        <f>IF(G2929=$L2929,1,IF(G2929="","",0))</f>
        <v/>
      </c>
      <c r="G2929" s="14"/>
      <c r="H2929" s="6">
        <v>1985</v>
      </c>
      <c r="I2929" s="15" t="s">
        <v>3120</v>
      </c>
      <c r="J2929" s="6" t="s">
        <v>5083</v>
      </c>
      <c r="K2929" s="6"/>
      <c r="L2929" s="6" t="s">
        <v>2060</v>
      </c>
      <c r="M2929" s="6" t="s">
        <v>8091</v>
      </c>
      <c r="N2929" s="7">
        <f ca="1">RAND()</f>
        <v>3.2291290598944311E-2</v>
      </c>
      <c r="O2929" s="8">
        <v>45213</v>
      </c>
      <c r="P2929" s="8">
        <v>45214</v>
      </c>
      <c r="Q2929" s="8">
        <v>45216</v>
      </c>
      <c r="R2929" s="8">
        <v>45220</v>
      </c>
      <c r="S2929" s="8">
        <v>45227</v>
      </c>
      <c r="T2929" s="8">
        <v>45792</v>
      </c>
      <c r="U2929" s="8"/>
      <c r="V2929" s="10">
        <f>COUNTA(O2929:U2929)</f>
        <v>6</v>
      </c>
      <c r="W2929" s="11">
        <f>_xlfn.IFNA(INDEX(reading[[#This Row],[Memo 01]:[Memo 07]],MATCH(0,reading[[#This Row],[Memo 01]:[Memo 07]],-1)),"")</f>
        <v>45792</v>
      </c>
      <c r="X2929" s="11">
        <f ca="1">IFERROR(reading[[#This Row],[Previous]]+OFFSET(reading[[#Headers],[Memo 01]],-1,MATCH(0,reading[[#This Row],[Memo 01]:[Memo 07]],-1)-1),"")</f>
        <v>45812</v>
      </c>
      <c r="Y2929" s="10" t="str">
        <f ca="1">IF(reading[[#This Row],[Next]]&lt;&gt;"",IF(reading[[#This Row],[Next]]&gt;TODAY(),"OK",""),"")</f>
        <v/>
      </c>
      <c r="Z2929" s="13">
        <v>3</v>
      </c>
      <c r="AA2929" s="13">
        <v>3</v>
      </c>
      <c r="AB2929" s="13">
        <v>3</v>
      </c>
      <c r="AC2929" s="13">
        <v>3</v>
      </c>
      <c r="AD2929" s="13">
        <v>3</v>
      </c>
      <c r="AE2929" s="13">
        <v>3</v>
      </c>
      <c r="AF2929" s="13"/>
      <c r="AG2929" s="16">
        <f>IFERROR(SUMIF(reading[[#This Row],[1st]:[7th]],"&gt;0")/COUNTIF(reading[[#This Row],[1st]:[7th]],"&gt;0"),"")</f>
        <v>3</v>
      </c>
    </row>
    <row r="2930" spans="1:33" x14ac:dyDescent="0.2">
      <c r="A2930" s="4">
        <f>IF(B2930=1,3,IF(D2930=1,2,IF(F2930=1,1,0)))</f>
        <v>0</v>
      </c>
      <c r="B2930" s="4" t="str">
        <f>IF(C2930=$L2930,1,IF(C2930="","",0))</f>
        <v/>
      </c>
      <c r="C2930" s="18"/>
      <c r="D2930" s="4" t="str">
        <f>IF(E2930=$L2930,1,IF(E2930="","",0))</f>
        <v/>
      </c>
      <c r="E2930" s="14"/>
      <c r="F2930" s="4" t="str">
        <f>IF(G2930=$L2930,1,IF(G2930="","",0))</f>
        <v/>
      </c>
      <c r="G2930" s="14"/>
      <c r="H2930" s="6">
        <v>216</v>
      </c>
      <c r="I2930" s="15" t="s">
        <v>3120</v>
      </c>
      <c r="J2930" s="6" t="s">
        <v>3365</v>
      </c>
      <c r="K2930" s="6"/>
      <c r="L2930" s="6" t="s">
        <v>351</v>
      </c>
      <c r="M2930" s="6" t="s">
        <v>6325</v>
      </c>
      <c r="N2930" s="7">
        <f ca="1">RAND()</f>
        <v>0.39993172919523023</v>
      </c>
      <c r="O2930" s="8">
        <v>45199</v>
      </c>
      <c r="P2930" s="8">
        <v>45200</v>
      </c>
      <c r="Q2930" s="8">
        <v>45202</v>
      </c>
      <c r="R2930" s="8">
        <v>45206</v>
      </c>
      <c r="S2930" s="8">
        <v>45213</v>
      </c>
      <c r="T2930" s="8">
        <v>45225</v>
      </c>
      <c r="U2930" s="8"/>
      <c r="V2930" s="10">
        <f>COUNTA(O2930:U2930)</f>
        <v>6</v>
      </c>
      <c r="W2930" s="11">
        <f>_xlfn.IFNA(INDEX(reading[[#This Row],[Memo 01]:[Memo 07]],MATCH(0,reading[[#This Row],[Memo 01]:[Memo 07]],-1)),"")</f>
        <v>45225</v>
      </c>
      <c r="X2930" s="11">
        <f ca="1">IFERROR(reading[[#This Row],[Previous]]+OFFSET(reading[[#Headers],[Memo 01]],-1,MATCH(0,reading[[#This Row],[Memo 01]:[Memo 07]],-1)-1),"")</f>
        <v>45245</v>
      </c>
      <c r="Y2930" s="10" t="str">
        <f ca="1">IF(reading[[#This Row],[Next]]&lt;&gt;"",IF(reading[[#This Row],[Next]]&gt;TODAY(),"OK",""),"")</f>
        <v/>
      </c>
      <c r="Z2930" s="13">
        <v>3</v>
      </c>
      <c r="AA2930" s="13">
        <v>3</v>
      </c>
      <c r="AB2930" s="13">
        <v>3</v>
      </c>
      <c r="AC2930" s="13">
        <v>3</v>
      </c>
      <c r="AD2930" s="13">
        <v>3</v>
      </c>
      <c r="AE2930" s="13">
        <v>3</v>
      </c>
      <c r="AF2930" s="13"/>
      <c r="AG2930" s="16">
        <f>IFERROR(SUMIF(reading[[#This Row],[1st]:[7th]],"&gt;0")/COUNTIF(reading[[#This Row],[1st]:[7th]],"&gt;0"),"")</f>
        <v>3</v>
      </c>
    </row>
    <row r="2931" spans="1:33" x14ac:dyDescent="0.2">
      <c r="A2931" s="4">
        <f>IF(B2931=1,3,IF(D2931=1,2,IF(F2931=1,1,0)))</f>
        <v>0</v>
      </c>
      <c r="B2931" s="4" t="str">
        <f>IF(C2931=$L2931,1,IF(C2931="","",0))</f>
        <v/>
      </c>
      <c r="C2931" s="39"/>
      <c r="D2931" s="4" t="str">
        <f>IF(E2931=$L2931,1,IF(E2931="","",0))</f>
        <v/>
      </c>
      <c r="E2931" s="14"/>
      <c r="F2931" s="4" t="str">
        <f>IF(G2931=$L2931,1,IF(G2931="","",0))</f>
        <v/>
      </c>
      <c r="G2931" s="14"/>
      <c r="H2931" s="6">
        <v>2452</v>
      </c>
      <c r="I2931" s="15" t="s">
        <v>3120</v>
      </c>
      <c r="J2931" s="6" t="s">
        <v>5522</v>
      </c>
      <c r="K2931" s="6"/>
      <c r="L2931" s="6" t="s">
        <v>2500</v>
      </c>
      <c r="M2931" s="6" t="s">
        <v>8557</v>
      </c>
      <c r="N2931" s="7">
        <f ca="1">RAND()</f>
        <v>0.74859638961914343</v>
      </c>
      <c r="O2931" s="8">
        <v>45218</v>
      </c>
      <c r="P2931" s="8">
        <v>45219</v>
      </c>
      <c r="Q2931" s="8">
        <v>45221</v>
      </c>
      <c r="R2931" s="8">
        <v>45225</v>
      </c>
      <c r="S2931" s="8">
        <v>45232</v>
      </c>
      <c r="T2931" s="8"/>
      <c r="U2931" s="8"/>
      <c r="V2931" s="10">
        <f>COUNTA(O2931:U2931)</f>
        <v>5</v>
      </c>
      <c r="W2931" s="11">
        <f>_xlfn.IFNA(INDEX(reading[[#This Row],[Memo 01]:[Memo 07]],MATCH(0,reading[[#This Row],[Memo 01]:[Memo 07]],-1)),"")</f>
        <v>45232</v>
      </c>
      <c r="X2931" s="11">
        <f ca="1">IFERROR(reading[[#This Row],[Previous]]+OFFSET(reading[[#Headers],[Memo 01]],-1,MATCH(0,reading[[#This Row],[Memo 01]:[Memo 07]],-1)-1),"")</f>
        <v>45244</v>
      </c>
      <c r="Y2931" s="10" t="str">
        <f ca="1">IF(reading[[#This Row],[Next]]&lt;&gt;"",IF(reading[[#This Row],[Next]]&gt;TODAY(),"OK",""),"")</f>
        <v/>
      </c>
      <c r="Z2931" s="13">
        <v>3</v>
      </c>
      <c r="AA2931" s="13">
        <v>3</v>
      </c>
      <c r="AB2931" s="13">
        <v>3</v>
      </c>
      <c r="AC2931" s="13">
        <v>3</v>
      </c>
      <c r="AD2931" s="13">
        <v>3</v>
      </c>
      <c r="AE2931" s="13"/>
      <c r="AF2931" s="13"/>
      <c r="AG2931" s="16">
        <f>IFERROR(SUMIF(reading[[#This Row],[1st]:[7th]],"&gt;0")/COUNTIF(reading[[#This Row],[1st]:[7th]],"&gt;0"),"")</f>
        <v>3</v>
      </c>
    </row>
    <row r="2932" spans="1:33" hidden="1" x14ac:dyDescent="0.2">
      <c r="A2932" s="4">
        <f>IF(B2932=1,3,IF(D2932=1,2,IF(F2932=1,1,0)))</f>
        <v>0</v>
      </c>
      <c r="B2932" s="4" t="str">
        <f>IF(C2932=$L2932,1,IF(C2932="","",0))</f>
        <v/>
      </c>
      <c r="C2932" s="42"/>
      <c r="D2932" s="4" t="str">
        <f>IF(E2932=$L2932,1,IF(E2932="","",0))</f>
        <v/>
      </c>
      <c r="E2932" s="23"/>
      <c r="F2932" s="4" t="str">
        <f>IF(G2932=$L2932,1,IF(G2932="","",0))</f>
        <v/>
      </c>
      <c r="G2932" s="23"/>
      <c r="H2932" s="6">
        <v>2272</v>
      </c>
      <c r="I2932" s="15" t="s">
        <v>3120</v>
      </c>
      <c r="J2932" s="6" t="s">
        <v>4148</v>
      </c>
      <c r="K2932" s="6"/>
      <c r="L2932" s="6" t="s">
        <v>2332</v>
      </c>
      <c r="M2932" s="6" t="s">
        <v>8377</v>
      </c>
      <c r="N2932" s="7">
        <f ca="1">RAND()</f>
        <v>0.75679411300307853</v>
      </c>
      <c r="O2932" s="8">
        <v>45216</v>
      </c>
      <c r="P2932" s="8">
        <v>45217</v>
      </c>
      <c r="Q2932" s="8">
        <v>45219</v>
      </c>
      <c r="R2932" s="8">
        <v>45223</v>
      </c>
      <c r="S2932" s="8">
        <v>45230</v>
      </c>
      <c r="T2932" s="8">
        <v>45816</v>
      </c>
      <c r="U2932" s="8"/>
      <c r="V2932" s="10">
        <f>COUNTA(O2932:U2932)</f>
        <v>6</v>
      </c>
      <c r="W2932" s="11">
        <f>_xlfn.IFNA(INDEX(reading[[#This Row],[Memo 01]:[Memo 07]],MATCH(0,reading[[#This Row],[Memo 01]:[Memo 07]],-1)),"")</f>
        <v>45816</v>
      </c>
      <c r="X2932" s="11">
        <f ca="1">IFERROR(reading[[#This Row],[Previous]]+OFFSET(reading[[#Headers],[Memo 01]],-1,MATCH(0,reading[[#This Row],[Memo 01]:[Memo 07]],-1)-1),"")</f>
        <v>45836</v>
      </c>
      <c r="Y2932" s="10" t="str">
        <f ca="1">IF(reading[[#This Row],[Next]]&lt;&gt;"",IF(reading[[#This Row],[Next]]&gt;TODAY(),"OK",""),"")</f>
        <v>OK</v>
      </c>
      <c r="Z2932" s="13">
        <v>3</v>
      </c>
      <c r="AA2932" s="13">
        <v>3</v>
      </c>
      <c r="AB2932" s="13">
        <v>3</v>
      </c>
      <c r="AC2932" s="13">
        <v>3</v>
      </c>
      <c r="AD2932" s="13">
        <v>3</v>
      </c>
      <c r="AE2932" s="13">
        <v>1</v>
      </c>
      <c r="AF2932" s="13"/>
      <c r="AG2932" s="16">
        <f>IFERROR(SUMIF(reading[[#This Row],[1st]:[7th]],"&gt;0")/COUNTIF(reading[[#This Row],[1st]:[7th]],"&gt;0"),"")</f>
        <v>2.6666666666666665</v>
      </c>
    </row>
    <row r="2933" spans="1:33" hidden="1" x14ac:dyDescent="0.2">
      <c r="A2933" s="4">
        <f>IF(B2933=1,3,IF(D2933=1,2,IF(F2933=1,1,0)))</f>
        <v>3</v>
      </c>
      <c r="B2933" s="4">
        <f>IF(C2933=$L2933,1,IF(C2933="","",0))</f>
        <v>1</v>
      </c>
      <c r="C2933" s="36" t="s">
        <v>2967</v>
      </c>
      <c r="D2933" s="4" t="str">
        <f>IF(E2933=$L2933,1,IF(E2933="","",0))</f>
        <v/>
      </c>
      <c r="E2933" s="14"/>
      <c r="F2933" s="4" t="str">
        <f>IF(G2933=$L2933,1,IF(G2933="","",0))</f>
        <v/>
      </c>
      <c r="G2933" s="14"/>
      <c r="H2933" s="6">
        <v>2937</v>
      </c>
      <c r="I2933" s="15" t="s">
        <v>3120</v>
      </c>
      <c r="J2933" s="6" t="s">
        <v>5972</v>
      </c>
      <c r="K2933" s="6"/>
      <c r="L2933" s="6" t="s">
        <v>2967</v>
      </c>
      <c r="M2933" s="6" t="s">
        <v>9041</v>
      </c>
      <c r="N2933" s="7">
        <f ca="1">RAND()</f>
        <v>3.04102838265774E-3</v>
      </c>
      <c r="O2933" s="8">
        <v>45223</v>
      </c>
      <c r="P2933" s="8">
        <v>45223</v>
      </c>
      <c r="Q2933" s="8">
        <v>45223</v>
      </c>
      <c r="R2933" s="8">
        <v>45223</v>
      </c>
      <c r="S2933" s="8">
        <v>45223</v>
      </c>
      <c r="T2933" s="8">
        <v>45223</v>
      </c>
      <c r="U2933" s="8">
        <v>45223</v>
      </c>
      <c r="V2933" s="10">
        <f>COUNTA(O2933:U2933)</f>
        <v>7</v>
      </c>
      <c r="W2933" s="11">
        <f>_xlfn.IFNA(INDEX(reading[[#This Row],[Memo 01]:[Memo 07]],MATCH(0,reading[[#This Row],[Memo 01]:[Memo 07]],-1)),"")</f>
        <v>45223</v>
      </c>
      <c r="X2933" s="11">
        <f ca="1">IFERROR(reading[[#This Row],[Previous]]+OFFSET(reading[[#Headers],[Memo 01]],-1,MATCH(0,reading[[#This Row],[Memo 01]:[Memo 07]],-1)-1),"")</f>
        <v>55223</v>
      </c>
      <c r="Y2933" s="10" t="str">
        <f ca="1">IF(reading[[#This Row],[Next]]&lt;&gt;"",IF(reading[[#This Row],[Next]]&gt;TODAY(),"OK",""),"")</f>
        <v>OK</v>
      </c>
      <c r="Z2933" s="13">
        <v>3</v>
      </c>
      <c r="AA2933" s="13"/>
      <c r="AB2933" s="13"/>
      <c r="AC2933" s="13"/>
      <c r="AD2933" s="13"/>
      <c r="AE2933" s="13"/>
      <c r="AF2933" s="13"/>
      <c r="AG2933" s="16">
        <f>IFERROR(SUMIF(reading[[#This Row],[1st]:[7th]],"&gt;0")/COUNTIF(reading[[#This Row],[1st]:[7th]],"&gt;0"),"")</f>
        <v>3</v>
      </c>
    </row>
    <row r="2934" spans="1:33" x14ac:dyDescent="0.2">
      <c r="A2934" s="4">
        <f>IF(B2934=1,3,IF(D2934=1,2,IF(F2934=1,1,0)))</f>
        <v>0</v>
      </c>
      <c r="B2934" s="4" t="str">
        <f>IF(C2934=$L2934,1,IF(C2934="","",0))</f>
        <v/>
      </c>
      <c r="C2934" s="38"/>
      <c r="D2934" s="4" t="str">
        <f>IF(E2934=$L2934,1,IF(E2934="","",0))</f>
        <v/>
      </c>
      <c r="E2934" s="14"/>
      <c r="F2934" s="4" t="str">
        <f>IF(G2934=$L2934,1,IF(G2934="","",0))</f>
        <v/>
      </c>
      <c r="G2934" s="14"/>
      <c r="H2934" s="6">
        <v>2035</v>
      </c>
      <c r="I2934" s="15" t="s">
        <v>3120</v>
      </c>
      <c r="J2934" s="6" t="s">
        <v>5131</v>
      </c>
      <c r="K2934" s="15" t="s">
        <v>3139</v>
      </c>
      <c r="L2934" s="6" t="s">
        <v>2110</v>
      </c>
      <c r="M2934" s="6" t="s">
        <v>8141</v>
      </c>
      <c r="N2934" s="7">
        <f ca="1">RAND()</f>
        <v>0.49213721532613097</v>
      </c>
      <c r="O2934" s="8">
        <v>45214</v>
      </c>
      <c r="P2934" s="8">
        <v>45215</v>
      </c>
      <c r="Q2934" s="8">
        <v>45217</v>
      </c>
      <c r="R2934" s="8">
        <v>45221</v>
      </c>
      <c r="S2934" s="8">
        <v>45228</v>
      </c>
      <c r="T2934" s="8"/>
      <c r="U2934" s="8"/>
      <c r="V2934" s="10">
        <f>COUNTA(O2934:U2934)</f>
        <v>5</v>
      </c>
      <c r="W2934" s="11">
        <f>_xlfn.IFNA(INDEX(reading[[#This Row],[Memo 01]:[Memo 07]],MATCH(0,reading[[#This Row],[Memo 01]:[Memo 07]],-1)),"")</f>
        <v>45228</v>
      </c>
      <c r="X2934" s="11">
        <f ca="1">IFERROR(reading[[#This Row],[Previous]]+OFFSET(reading[[#Headers],[Memo 01]],-1,MATCH(0,reading[[#This Row],[Memo 01]:[Memo 07]],-1)-1),"")</f>
        <v>45240</v>
      </c>
      <c r="Y2934" s="10" t="str">
        <f ca="1">IF(reading[[#This Row],[Next]]&lt;&gt;"",IF(reading[[#This Row],[Next]]&gt;TODAY(),"OK",""),"")</f>
        <v/>
      </c>
      <c r="Z2934" s="13">
        <v>3</v>
      </c>
      <c r="AA2934" s="13">
        <v>3</v>
      </c>
      <c r="AB2934" s="13">
        <v>3</v>
      </c>
      <c r="AC2934" s="13">
        <v>3</v>
      </c>
      <c r="AD2934" s="13">
        <v>3</v>
      </c>
      <c r="AE2934" s="13"/>
      <c r="AF2934" s="13"/>
      <c r="AG2934" s="16">
        <f>IFERROR(SUMIF(reading[[#This Row],[1st]:[7th]],"&gt;0")/COUNTIF(reading[[#This Row],[1st]:[7th]],"&gt;0"),"")</f>
        <v>3</v>
      </c>
    </row>
    <row r="2935" spans="1:33" hidden="1" x14ac:dyDescent="0.2">
      <c r="A2935" s="4">
        <f>IF(B2935=1,3,IF(D2935=1,2,IF(F2935=1,1,0)))</f>
        <v>0</v>
      </c>
      <c r="B2935" s="4">
        <f>IF(C2935=$L2935,1,IF(C2935="","",0))</f>
        <v>0</v>
      </c>
      <c r="C2935" s="42" t="s">
        <v>9248</v>
      </c>
      <c r="D2935" s="4">
        <f>IF(E2935=$L2935,1,IF(E2935="","",0))</f>
        <v>0</v>
      </c>
      <c r="E2935" s="23" t="s">
        <v>9248</v>
      </c>
      <c r="F2935" s="4" t="str">
        <f>IF(G2935=$L2935,1,IF(G2935="","",0))</f>
        <v/>
      </c>
      <c r="G2935" s="14"/>
      <c r="H2935" s="6">
        <v>1473</v>
      </c>
      <c r="I2935" s="15" t="s">
        <v>3120</v>
      </c>
      <c r="J2935" s="6" t="s">
        <v>4587</v>
      </c>
      <c r="K2935" s="24" t="s">
        <v>3142</v>
      </c>
      <c r="L2935" s="6" t="s">
        <v>1560</v>
      </c>
      <c r="M2935" s="6" t="s">
        <v>7580</v>
      </c>
      <c r="N2935" s="7">
        <f ca="1">RAND()</f>
        <v>0.43125511797204863</v>
      </c>
      <c r="O2935" s="8">
        <v>45208</v>
      </c>
      <c r="P2935" s="8">
        <v>45209</v>
      </c>
      <c r="Q2935" s="8">
        <v>45211</v>
      </c>
      <c r="R2935" s="8">
        <v>45215</v>
      </c>
      <c r="S2935" s="8">
        <v>45222</v>
      </c>
      <c r="T2935" s="8">
        <v>45234</v>
      </c>
      <c r="U2935" s="8"/>
      <c r="V2935" s="10">
        <f>COUNTA(O2935:U2935)</f>
        <v>6</v>
      </c>
      <c r="W2935" s="11">
        <f>_xlfn.IFNA(INDEX(reading[[#This Row],[Memo 01]:[Memo 07]],MATCH(0,reading[[#This Row],[Memo 01]:[Memo 07]],-1)),"")</f>
        <v>45234</v>
      </c>
      <c r="X2935" s="11">
        <f ca="1">IFERROR(reading[[#This Row],[Previous]]+OFFSET(reading[[#Headers],[Memo 01]],-1,MATCH(0,reading[[#This Row],[Memo 01]:[Memo 07]],-1)-1),"")</f>
        <v>45254</v>
      </c>
      <c r="Y2935" s="10" t="str">
        <f ca="1">IF(reading[[#This Row],[Next]]&lt;&gt;"",IF(reading[[#This Row],[Next]]&gt;TODAY(),"OK",""),"")</f>
        <v/>
      </c>
      <c r="Z2935" s="13">
        <v>3</v>
      </c>
      <c r="AA2935" s="13">
        <v>3</v>
      </c>
      <c r="AB2935" s="13">
        <v>3</v>
      </c>
      <c r="AC2935" s="13">
        <v>3</v>
      </c>
      <c r="AD2935" s="13">
        <v>3</v>
      </c>
      <c r="AE2935" s="13">
        <v>3</v>
      </c>
      <c r="AF2935" s="13"/>
      <c r="AG2935" s="16">
        <f>IFERROR(SUMIF(reading[[#This Row],[1st]:[7th]],"&gt;0")/COUNTIF(reading[[#This Row],[1st]:[7th]],"&gt;0"),"")</f>
        <v>3</v>
      </c>
    </row>
    <row r="2936" spans="1:33" x14ac:dyDescent="0.2">
      <c r="A2936" s="4">
        <f>IF(B2936=1,3,IF(D2936=1,2,IF(F2936=1,1,0)))</f>
        <v>0</v>
      </c>
      <c r="B2936" s="4" t="str">
        <f>IF(C2936=$L2936,1,IF(C2936="","",0))</f>
        <v/>
      </c>
      <c r="C2936" s="39"/>
      <c r="D2936" s="4" t="str">
        <f>IF(E2936=$L2936,1,IF(E2936="","",0))</f>
        <v/>
      </c>
      <c r="E2936" s="14"/>
      <c r="F2936" s="4" t="str">
        <f>IF(G2936=$L2936,1,IF(G2936="","",0))</f>
        <v/>
      </c>
      <c r="G2936" s="14"/>
      <c r="H2936" s="6">
        <v>2470</v>
      </c>
      <c r="I2936" s="15" t="s">
        <v>3120</v>
      </c>
      <c r="J2936" s="6" t="s">
        <v>5538</v>
      </c>
      <c r="K2936" s="6"/>
      <c r="L2936" s="6" t="s">
        <v>2518</v>
      </c>
      <c r="M2936" s="6" t="s">
        <v>8575</v>
      </c>
      <c r="N2936" s="7">
        <f ca="1">RAND()</f>
        <v>0.52215932864500603</v>
      </c>
      <c r="O2936" s="8">
        <v>45218</v>
      </c>
      <c r="P2936" s="8">
        <v>45219</v>
      </c>
      <c r="Q2936" s="8">
        <v>45221</v>
      </c>
      <c r="R2936" s="8">
        <v>45225</v>
      </c>
      <c r="S2936" s="8">
        <v>45232</v>
      </c>
      <c r="T2936" s="8"/>
      <c r="U2936" s="8"/>
      <c r="V2936" s="10">
        <f>COUNTA(O2936:U2936)</f>
        <v>5</v>
      </c>
      <c r="W2936" s="11">
        <f>_xlfn.IFNA(INDEX(reading[[#This Row],[Memo 01]:[Memo 07]],MATCH(0,reading[[#This Row],[Memo 01]:[Memo 07]],-1)),"")</f>
        <v>45232</v>
      </c>
      <c r="X2936" s="11">
        <f ca="1">IFERROR(reading[[#This Row],[Previous]]+OFFSET(reading[[#Headers],[Memo 01]],-1,MATCH(0,reading[[#This Row],[Memo 01]:[Memo 07]],-1)-1),"")</f>
        <v>45244</v>
      </c>
      <c r="Y2936" s="10" t="str">
        <f ca="1">IF(reading[[#This Row],[Next]]&lt;&gt;"",IF(reading[[#This Row],[Next]]&gt;TODAY(),"OK",""),"")</f>
        <v/>
      </c>
      <c r="Z2936" s="13">
        <v>3</v>
      </c>
      <c r="AA2936" s="13">
        <v>3</v>
      </c>
      <c r="AB2936" s="13">
        <v>3</v>
      </c>
      <c r="AC2936" s="13">
        <v>3</v>
      </c>
      <c r="AD2936" s="13">
        <v>2</v>
      </c>
      <c r="AE2936" s="13"/>
      <c r="AF2936" s="13"/>
      <c r="AG2936" s="16">
        <f>IFERROR(SUMIF(reading[[#This Row],[1st]:[7th]],"&gt;0")/COUNTIF(reading[[#This Row],[1st]:[7th]],"&gt;0"),"")</f>
        <v>2.8</v>
      </c>
    </row>
    <row r="2937" spans="1:33" hidden="1" x14ac:dyDescent="0.2">
      <c r="A2937" s="4">
        <f>IF(B2937=1,3,IF(D2937=1,2,IF(F2937=1,1,0)))</f>
        <v>0</v>
      </c>
      <c r="B2937" s="4" t="str">
        <f>IF(C2937=$L2937,1,IF(C2937="","",0))</f>
        <v/>
      </c>
      <c r="C2937" s="42"/>
      <c r="D2937" s="4" t="str">
        <f>IF(E2937=$L2937,1,IF(E2937="","",0))</f>
        <v/>
      </c>
      <c r="E2937" s="43"/>
      <c r="F2937" s="4" t="str">
        <f>IF(G2937=$L2937,1,IF(G2937="","",0))</f>
        <v/>
      </c>
      <c r="G2937" s="23"/>
      <c r="H2937" s="6">
        <v>2307</v>
      </c>
      <c r="I2937" s="15" t="s">
        <v>3120</v>
      </c>
      <c r="J2937" s="6" t="s">
        <v>5385</v>
      </c>
      <c r="K2937" s="6"/>
      <c r="L2937" s="6" t="s">
        <v>2364</v>
      </c>
      <c r="M2937" s="6" t="s">
        <v>8412</v>
      </c>
      <c r="N2937" s="7">
        <f ca="1">RAND()</f>
        <v>0.80853683436976376</v>
      </c>
      <c r="O2937" s="8">
        <v>45216</v>
      </c>
      <c r="P2937" s="8">
        <v>45217</v>
      </c>
      <c r="Q2937" s="8">
        <v>45219</v>
      </c>
      <c r="R2937" s="8">
        <v>45223</v>
      </c>
      <c r="S2937" s="8">
        <v>45230</v>
      </c>
      <c r="T2937" s="8">
        <v>45252</v>
      </c>
      <c r="U2937" s="8">
        <v>45817</v>
      </c>
      <c r="V2937" s="10">
        <f>COUNTA(O2937:U2937)</f>
        <v>7</v>
      </c>
      <c r="W2937" s="11">
        <f>_xlfn.IFNA(INDEX(reading[[#This Row],[Memo 01]:[Memo 07]],MATCH(0,reading[[#This Row],[Memo 01]:[Memo 07]],-1)),"")</f>
        <v>45817</v>
      </c>
      <c r="X2937" s="11">
        <f ca="1">IFERROR(reading[[#This Row],[Previous]]+OFFSET(reading[[#Headers],[Memo 01]],-1,MATCH(0,reading[[#This Row],[Memo 01]:[Memo 07]],-1)-1),"")</f>
        <v>55817</v>
      </c>
      <c r="Y2937" s="10" t="str">
        <f ca="1">IF(reading[[#This Row],[Next]]&lt;&gt;"",IF(reading[[#This Row],[Next]]&gt;TODAY(),"OK",""),"")</f>
        <v>OK</v>
      </c>
      <c r="Z2937" s="13">
        <v>3</v>
      </c>
      <c r="AA2937" s="13">
        <v>3</v>
      </c>
      <c r="AB2937" s="13">
        <v>2</v>
      </c>
      <c r="AC2937" s="13">
        <v>2</v>
      </c>
      <c r="AD2937" s="13">
        <v>3</v>
      </c>
      <c r="AE2937" s="13">
        <v>2</v>
      </c>
      <c r="AF2937" s="13">
        <v>1</v>
      </c>
      <c r="AG2937" s="16">
        <f>IFERROR(SUMIF(reading[[#This Row],[1st]:[7th]],"&gt;0")/COUNTIF(reading[[#This Row],[1st]:[7th]],"&gt;0"),"")</f>
        <v>2.2857142857142856</v>
      </c>
    </row>
    <row r="2938" spans="1:33" x14ac:dyDescent="0.2">
      <c r="A2938" s="4">
        <f>IF(B2938=1,3,IF(D2938=1,2,IF(F2938=1,1,0)))</f>
        <v>0</v>
      </c>
      <c r="B2938" s="4" t="str">
        <f>IF(C2938=$L2938,1,IF(C2938="","",0))</f>
        <v/>
      </c>
      <c r="C2938" s="39"/>
      <c r="D2938" s="4" t="str">
        <f>IF(E2938=$L2938,1,IF(E2938="","",0))</f>
        <v/>
      </c>
      <c r="E2938" s="14"/>
      <c r="F2938" s="4" t="str">
        <f>IF(G2938=$L2938,1,IF(G2938="","",0))</f>
        <v/>
      </c>
      <c r="G2938" s="14"/>
      <c r="H2938" s="6">
        <v>2373</v>
      </c>
      <c r="I2938" s="15" t="s">
        <v>3120</v>
      </c>
      <c r="J2938" s="6" t="s">
        <v>5447</v>
      </c>
      <c r="K2938" s="6"/>
      <c r="L2938" s="6" t="s">
        <v>2425</v>
      </c>
      <c r="M2938" s="6" t="s">
        <v>8478</v>
      </c>
      <c r="N2938" s="7">
        <f ca="1">RAND()</f>
        <v>0.50445280478081123</v>
      </c>
      <c r="O2938" s="8">
        <v>45216</v>
      </c>
      <c r="P2938" s="8">
        <v>45217</v>
      </c>
      <c r="Q2938" s="8">
        <v>45219</v>
      </c>
      <c r="R2938" s="8">
        <v>45223</v>
      </c>
      <c r="S2938" s="8">
        <v>45230</v>
      </c>
      <c r="T2938" s="8"/>
      <c r="U2938" s="8"/>
      <c r="V2938" s="10">
        <f>COUNTA(O2938:U2938)</f>
        <v>5</v>
      </c>
      <c r="W2938" s="11">
        <f>_xlfn.IFNA(INDEX(reading[[#This Row],[Memo 01]:[Memo 07]],MATCH(0,reading[[#This Row],[Memo 01]:[Memo 07]],-1)),"")</f>
        <v>45230</v>
      </c>
      <c r="X2938" s="11">
        <f ca="1">IFERROR(reading[[#This Row],[Previous]]+OFFSET(reading[[#Headers],[Memo 01]],-1,MATCH(0,reading[[#This Row],[Memo 01]:[Memo 07]],-1)-1),"")</f>
        <v>45242</v>
      </c>
      <c r="Y2938" s="10" t="str">
        <f ca="1">IF(reading[[#This Row],[Next]]&lt;&gt;"",IF(reading[[#This Row],[Next]]&gt;TODAY(),"OK",""),"")</f>
        <v/>
      </c>
      <c r="Z2938" s="13">
        <v>3</v>
      </c>
      <c r="AA2938" s="13">
        <v>3</v>
      </c>
      <c r="AB2938" s="13">
        <v>3</v>
      </c>
      <c r="AC2938" s="13">
        <v>3</v>
      </c>
      <c r="AD2938" s="13">
        <v>3</v>
      </c>
      <c r="AE2938" s="13"/>
      <c r="AF2938" s="13"/>
      <c r="AG2938" s="16">
        <f>IFERROR(SUMIF(reading[[#This Row],[1st]:[7th]],"&gt;0")/COUNTIF(reading[[#This Row],[1st]:[7th]],"&gt;0"),"")</f>
        <v>3</v>
      </c>
    </row>
    <row r="2939" spans="1:33" hidden="1" x14ac:dyDescent="0.2">
      <c r="A2939" s="4">
        <f>IF(B2939=1,3,IF(D2939=1,2,IF(F2939=1,1,0)))</f>
        <v>0</v>
      </c>
      <c r="B2939" s="4" t="str">
        <f>IF(C2939=$L2939,1,IF(C2939="","",0))</f>
        <v/>
      </c>
      <c r="C2939" s="42"/>
      <c r="D2939" s="4" t="str">
        <f>IF(E2939=$L2939,1,IF(E2939="","",0))</f>
        <v/>
      </c>
      <c r="E2939" s="23"/>
      <c r="F2939" s="4" t="str">
        <f>IF(G2939=$L2939,1,IF(G2939="","",0))</f>
        <v/>
      </c>
      <c r="G2939" s="23"/>
      <c r="H2939" s="6">
        <v>1874</v>
      </c>
      <c r="I2939" s="15" t="s">
        <v>3120</v>
      </c>
      <c r="J2939" s="6" t="s">
        <v>4976</v>
      </c>
      <c r="K2939" s="6"/>
      <c r="L2939" s="6" t="s">
        <v>1951</v>
      </c>
      <c r="M2939" s="6" t="s">
        <v>7980</v>
      </c>
      <c r="N2939" s="7">
        <f ca="1">RAND()</f>
        <v>0.6810196315957332</v>
      </c>
      <c r="O2939" s="8">
        <v>45212</v>
      </c>
      <c r="P2939" s="8">
        <v>45213</v>
      </c>
      <c r="Q2939" s="8">
        <v>45215</v>
      </c>
      <c r="R2939" s="8">
        <v>45219</v>
      </c>
      <c r="S2939" s="8">
        <v>45226</v>
      </c>
      <c r="T2939" s="8">
        <v>45817</v>
      </c>
      <c r="U2939" s="8"/>
      <c r="V2939" s="10">
        <f>COUNTA(O2939:U2939)</f>
        <v>6</v>
      </c>
      <c r="W2939" s="11">
        <f>_xlfn.IFNA(INDEX(reading[[#This Row],[Memo 01]:[Memo 07]],MATCH(0,reading[[#This Row],[Memo 01]:[Memo 07]],-1)),"")</f>
        <v>45817</v>
      </c>
      <c r="X2939" s="11">
        <f ca="1">IFERROR(reading[[#This Row],[Previous]]+OFFSET(reading[[#Headers],[Memo 01]],-1,MATCH(0,reading[[#This Row],[Memo 01]:[Memo 07]],-1)-1),"")</f>
        <v>45837</v>
      </c>
      <c r="Y2939" s="10" t="str">
        <f ca="1">IF(reading[[#This Row],[Next]]&lt;&gt;"",IF(reading[[#This Row],[Next]]&gt;TODAY(),"OK",""),"")</f>
        <v>OK</v>
      </c>
      <c r="Z2939" s="13">
        <v>3</v>
      </c>
      <c r="AA2939" s="13">
        <v>3</v>
      </c>
      <c r="AB2939" s="13">
        <v>3</v>
      </c>
      <c r="AC2939" s="13">
        <v>3</v>
      </c>
      <c r="AD2939" s="13">
        <v>3</v>
      </c>
      <c r="AE2939" s="13">
        <v>1</v>
      </c>
      <c r="AF2939" s="13"/>
      <c r="AG2939" s="16">
        <f>IFERROR(SUMIF(reading[[#This Row],[1st]:[7th]],"&gt;0")/COUNTIF(reading[[#This Row],[1st]:[7th]],"&gt;0"),"")</f>
        <v>2.6666666666666665</v>
      </c>
    </row>
    <row r="2940" spans="1:33" hidden="1" x14ac:dyDescent="0.2">
      <c r="A2940" s="4">
        <f>IF(B2940=1,3,IF(D2940=1,2,IF(F2940=1,1,0)))</f>
        <v>3</v>
      </c>
      <c r="B2940" s="4">
        <f>IF(C2940=$L2940,1,IF(C2940="","",0))</f>
        <v>1</v>
      </c>
      <c r="C2940" s="36" t="s">
        <v>2974</v>
      </c>
      <c r="D2940" s="4" t="str">
        <f>IF(E2940=$L2940,1,IF(E2940="","",0))</f>
        <v/>
      </c>
      <c r="E2940" s="14"/>
      <c r="F2940" s="4" t="str">
        <f>IF(G2940=$L2940,1,IF(G2940="","",0))</f>
        <v/>
      </c>
      <c r="G2940" s="14"/>
      <c r="H2940" s="6">
        <v>2944</v>
      </c>
      <c r="I2940" s="15" t="s">
        <v>3120</v>
      </c>
      <c r="J2940" s="6" t="s">
        <v>5977</v>
      </c>
      <c r="K2940" s="6"/>
      <c r="L2940" s="6" t="s">
        <v>2974</v>
      </c>
      <c r="M2940" s="6" t="s">
        <v>9048</v>
      </c>
      <c r="N2940" s="7">
        <f ca="1">RAND()</f>
        <v>0.61293662052976361</v>
      </c>
      <c r="O2940" s="8">
        <v>45223</v>
      </c>
      <c r="P2940" s="8">
        <v>45223</v>
      </c>
      <c r="Q2940" s="8">
        <v>45223</v>
      </c>
      <c r="R2940" s="8">
        <v>45223</v>
      </c>
      <c r="S2940" s="8">
        <v>45223</v>
      </c>
      <c r="T2940" s="8">
        <v>45223</v>
      </c>
      <c r="U2940" s="8">
        <v>45223</v>
      </c>
      <c r="V2940" s="10">
        <f>COUNTA(O2940:U2940)</f>
        <v>7</v>
      </c>
      <c r="W2940" s="11">
        <f>_xlfn.IFNA(INDEX(reading[[#This Row],[Memo 01]:[Memo 07]],MATCH(0,reading[[#This Row],[Memo 01]:[Memo 07]],-1)),"")</f>
        <v>45223</v>
      </c>
      <c r="X2940" s="11">
        <f ca="1">IFERROR(reading[[#This Row],[Previous]]+OFFSET(reading[[#Headers],[Memo 01]],-1,MATCH(0,reading[[#This Row],[Memo 01]:[Memo 07]],-1)-1),"")</f>
        <v>55223</v>
      </c>
      <c r="Y2940" s="10" t="str">
        <f ca="1">IF(reading[[#This Row],[Next]]&lt;&gt;"",IF(reading[[#This Row],[Next]]&gt;TODAY(),"OK",""),"")</f>
        <v>OK</v>
      </c>
      <c r="Z2940" s="13">
        <v>3</v>
      </c>
      <c r="AA2940" s="13"/>
      <c r="AB2940" s="13"/>
      <c r="AC2940" s="13"/>
      <c r="AD2940" s="13"/>
      <c r="AE2940" s="13"/>
      <c r="AF2940" s="13"/>
      <c r="AG2940" s="16">
        <f>IFERROR(SUMIF(reading[[#This Row],[1st]:[7th]],"&gt;0")/COUNTIF(reading[[#This Row],[1st]:[7th]],"&gt;0"),"")</f>
        <v>3</v>
      </c>
    </row>
    <row r="2941" spans="1:33" x14ac:dyDescent="0.2">
      <c r="A2941" s="4">
        <f>IF(B2941=1,3,IF(D2941=1,2,IF(F2941=1,1,0)))</f>
        <v>0</v>
      </c>
      <c r="B2941" s="4" t="str">
        <f>IF(C2941=$L2941,1,IF(C2941="","",0))</f>
        <v/>
      </c>
      <c r="C2941" s="18"/>
      <c r="D2941" s="4" t="str">
        <f>IF(E2941=$L2941,1,IF(E2941="","",0))</f>
        <v/>
      </c>
      <c r="E2941" s="14"/>
      <c r="F2941" s="4" t="str">
        <f>IF(G2941=$L2941,1,IF(G2941="","",0))</f>
        <v/>
      </c>
      <c r="G2941" s="14"/>
      <c r="H2941" s="6">
        <v>208</v>
      </c>
      <c r="I2941" s="15" t="s">
        <v>3120</v>
      </c>
      <c r="J2941" s="6" t="s">
        <v>3357</v>
      </c>
      <c r="K2941" s="6"/>
      <c r="L2941" s="6" t="s">
        <v>344</v>
      </c>
      <c r="M2941" s="6" t="s">
        <v>6317</v>
      </c>
      <c r="N2941" s="7">
        <f ca="1">RAND()</f>
        <v>0.75128500432959444</v>
      </c>
      <c r="O2941" s="8">
        <v>45199</v>
      </c>
      <c r="P2941" s="8">
        <v>45200</v>
      </c>
      <c r="Q2941" s="8">
        <v>45202</v>
      </c>
      <c r="R2941" s="8">
        <v>45206</v>
      </c>
      <c r="S2941" s="8">
        <v>45213</v>
      </c>
      <c r="T2941" s="8">
        <v>45225</v>
      </c>
      <c r="U2941" s="8"/>
      <c r="V2941" s="10">
        <f>COUNTA(O2941:U2941)</f>
        <v>6</v>
      </c>
      <c r="W2941" s="11">
        <f>_xlfn.IFNA(INDEX(reading[[#This Row],[Memo 01]:[Memo 07]],MATCH(0,reading[[#This Row],[Memo 01]:[Memo 07]],-1)),"")</f>
        <v>45225</v>
      </c>
      <c r="X2941" s="11">
        <f ca="1">IFERROR(reading[[#This Row],[Previous]]+OFFSET(reading[[#Headers],[Memo 01]],-1,MATCH(0,reading[[#This Row],[Memo 01]:[Memo 07]],-1)-1),"")</f>
        <v>45245</v>
      </c>
      <c r="Y2941" s="10" t="str">
        <f ca="1">IF(reading[[#This Row],[Next]]&lt;&gt;"",IF(reading[[#This Row],[Next]]&gt;TODAY(),"OK",""),"")</f>
        <v/>
      </c>
      <c r="Z2941" s="13">
        <v>3</v>
      </c>
      <c r="AA2941" s="13">
        <v>3</v>
      </c>
      <c r="AB2941" s="13">
        <v>3</v>
      </c>
      <c r="AC2941" s="13">
        <v>3</v>
      </c>
      <c r="AD2941" s="13">
        <v>3</v>
      </c>
      <c r="AE2941" s="13">
        <v>3</v>
      </c>
      <c r="AF2941" s="13"/>
      <c r="AG2941" s="16">
        <f>IFERROR(SUMIF(reading[[#This Row],[1st]:[7th]],"&gt;0")/COUNTIF(reading[[#This Row],[1st]:[7th]],"&gt;0"),"")</f>
        <v>3</v>
      </c>
    </row>
    <row r="2942" spans="1:33" x14ac:dyDescent="0.2">
      <c r="A2942" s="4">
        <f>IF(B2942=1,3,IF(D2942=1,2,IF(F2942=1,1,0)))</f>
        <v>0</v>
      </c>
      <c r="B2942" s="4" t="str">
        <f>IF(C2942=$L2942,1,IF(C2942="","",0))</f>
        <v/>
      </c>
      <c r="C2942" s="39"/>
      <c r="D2942" s="4" t="str">
        <f>IF(E2942=$L2942,1,IF(E2942="","",0))</f>
        <v/>
      </c>
      <c r="E2942" s="14"/>
      <c r="F2942" s="4" t="str">
        <f>IF(G2942=$L2942,1,IF(G2942="","",0))</f>
        <v/>
      </c>
      <c r="G2942" s="14"/>
      <c r="H2942" s="6">
        <v>2917</v>
      </c>
      <c r="I2942" s="15" t="s">
        <v>3120</v>
      </c>
      <c r="J2942" s="6" t="s">
        <v>5952</v>
      </c>
      <c r="K2942" s="6"/>
      <c r="L2942" s="6" t="s">
        <v>2947</v>
      </c>
      <c r="M2942" s="6" t="s">
        <v>9021</v>
      </c>
      <c r="N2942" s="7">
        <f ca="1">RAND()</f>
        <v>0.20533456879269874</v>
      </c>
      <c r="O2942" s="8">
        <v>45223</v>
      </c>
      <c r="P2942" s="8">
        <v>45224</v>
      </c>
      <c r="Q2942" s="8">
        <v>45226</v>
      </c>
      <c r="R2942" s="8">
        <v>45230</v>
      </c>
      <c r="S2942" s="8">
        <v>45237</v>
      </c>
      <c r="T2942" s="8"/>
      <c r="U2942" s="8"/>
      <c r="V2942" s="10">
        <f>COUNTA(O2942:U2942)</f>
        <v>5</v>
      </c>
      <c r="W2942" s="11">
        <f>_xlfn.IFNA(INDEX(reading[[#This Row],[Memo 01]:[Memo 07]],MATCH(0,reading[[#This Row],[Memo 01]:[Memo 07]],-1)),"")</f>
        <v>45237</v>
      </c>
      <c r="X2942" s="11">
        <f ca="1">IFERROR(reading[[#This Row],[Previous]]+OFFSET(reading[[#Headers],[Memo 01]],-1,MATCH(0,reading[[#This Row],[Memo 01]:[Memo 07]],-1)-1),"")</f>
        <v>45249</v>
      </c>
      <c r="Y2942" s="10" t="str">
        <f ca="1">IF(reading[[#This Row],[Next]]&lt;&gt;"",IF(reading[[#This Row],[Next]]&gt;TODAY(),"OK",""),"")</f>
        <v/>
      </c>
      <c r="Z2942" s="13">
        <v>3</v>
      </c>
      <c r="AA2942" s="13">
        <v>3</v>
      </c>
      <c r="AB2942" s="13">
        <v>3</v>
      </c>
      <c r="AC2942" s="13">
        <v>3</v>
      </c>
      <c r="AD2942" s="13">
        <v>3</v>
      </c>
      <c r="AE2942" s="13"/>
      <c r="AF2942" s="13"/>
      <c r="AG2942" s="16">
        <f>IFERROR(SUMIF(reading[[#This Row],[1st]:[7th]],"&gt;0")/COUNTIF(reading[[#This Row],[1st]:[7th]],"&gt;0"),"")</f>
        <v>3</v>
      </c>
    </row>
    <row r="2943" spans="1:33" hidden="1" x14ac:dyDescent="0.2">
      <c r="A2943" s="4">
        <f>IF(B2943=1,3,IF(D2943=1,2,IF(F2943=1,1,0)))</f>
        <v>0</v>
      </c>
      <c r="B2943" s="4" t="str">
        <f>IF(C2943=$L2943,1,IF(C2943="","",0))</f>
        <v/>
      </c>
      <c r="C2943" s="42"/>
      <c r="D2943" s="4" t="str">
        <f>IF(E2943=$L2943,1,IF(E2943="","",0))</f>
        <v/>
      </c>
      <c r="E2943" s="43"/>
      <c r="F2943" s="4" t="str">
        <f>IF(G2943=$L2943,1,IF(G2943="","",0))</f>
        <v/>
      </c>
      <c r="G2943" s="23"/>
      <c r="H2943" s="6">
        <v>2229</v>
      </c>
      <c r="I2943" s="15" t="s">
        <v>3120</v>
      </c>
      <c r="J2943" s="6" t="s">
        <v>5314</v>
      </c>
      <c r="K2943" s="6"/>
      <c r="L2943" s="6" t="s">
        <v>2291</v>
      </c>
      <c r="M2943" s="6" t="s">
        <v>8335</v>
      </c>
      <c r="N2943" s="7">
        <f ca="1">RAND()</f>
        <v>0.41457169478400735</v>
      </c>
      <c r="O2943" s="8">
        <v>45216</v>
      </c>
      <c r="P2943" s="8">
        <v>45217</v>
      </c>
      <c r="Q2943" s="8">
        <v>45219</v>
      </c>
      <c r="R2943" s="8">
        <v>45223</v>
      </c>
      <c r="S2943" s="8">
        <v>45230</v>
      </c>
      <c r="T2943" s="8">
        <v>45825</v>
      </c>
      <c r="U2943" s="8"/>
      <c r="V2943" s="10">
        <f>COUNTA(O2943:U2943)</f>
        <v>6</v>
      </c>
      <c r="W2943" s="11">
        <f>_xlfn.IFNA(INDEX(reading[[#This Row],[Memo 01]:[Memo 07]],MATCH(0,reading[[#This Row],[Memo 01]:[Memo 07]],-1)),"")</f>
        <v>45825</v>
      </c>
      <c r="X2943" s="11">
        <f ca="1">IFERROR(reading[[#This Row],[Previous]]+OFFSET(reading[[#Headers],[Memo 01]],-1,MATCH(0,reading[[#This Row],[Memo 01]:[Memo 07]],-1)-1),"")</f>
        <v>45845</v>
      </c>
      <c r="Y2943" s="10" t="str">
        <f ca="1">IF(reading[[#This Row],[Next]]&lt;&gt;"",IF(reading[[#This Row],[Next]]&gt;TODAY(),"OK",""),"")</f>
        <v>OK</v>
      </c>
      <c r="Z2943" s="13">
        <v>3</v>
      </c>
      <c r="AA2943" s="13">
        <v>3</v>
      </c>
      <c r="AB2943" s="13">
        <v>2</v>
      </c>
      <c r="AC2943" s="13">
        <v>3</v>
      </c>
      <c r="AD2943" s="13">
        <v>3</v>
      </c>
      <c r="AE2943" s="13">
        <v>1</v>
      </c>
      <c r="AF2943" s="13"/>
      <c r="AG2943" s="16">
        <f>IFERROR(SUMIF(reading[[#This Row],[1st]:[7th]],"&gt;0")/COUNTIF(reading[[#This Row],[1st]:[7th]],"&gt;0"),"")</f>
        <v>2.5</v>
      </c>
    </row>
    <row r="2944" spans="1:33" x14ac:dyDescent="0.2">
      <c r="A2944" s="4">
        <f>IF(B2944=1,3,IF(D2944=1,2,IF(F2944=1,1,0)))</f>
        <v>0</v>
      </c>
      <c r="B2944" s="4" t="str">
        <f>IF(C2944=$L2944,1,IF(C2944="","",0))</f>
        <v/>
      </c>
      <c r="C2944" s="41"/>
      <c r="D2944" s="4" t="str">
        <f>IF(E2944=$L2944,1,IF(E2944="","",0))</f>
        <v/>
      </c>
      <c r="E2944" s="18"/>
      <c r="F2944" s="4" t="str">
        <f>IF(G2944=$L2944,1,IF(G2944="","",0))</f>
        <v/>
      </c>
      <c r="G2944" s="14"/>
      <c r="H2944" s="6">
        <v>2963</v>
      </c>
      <c r="I2944" s="15" t="s">
        <v>3120</v>
      </c>
      <c r="J2944" s="6" t="s">
        <v>5994</v>
      </c>
      <c r="K2944" s="6"/>
      <c r="L2944" s="6" t="s">
        <v>2993</v>
      </c>
      <c r="M2944" s="6" t="s">
        <v>9067</v>
      </c>
      <c r="N2944" s="7">
        <f ca="1">RAND()</f>
        <v>9.9882003436979061E-2</v>
      </c>
      <c r="O2944" s="8">
        <v>45224</v>
      </c>
      <c r="P2944" s="8">
        <v>45225</v>
      </c>
      <c r="Q2944" s="8">
        <v>45227</v>
      </c>
      <c r="R2944" s="8">
        <v>45231</v>
      </c>
      <c r="S2944" s="8">
        <v>45252</v>
      </c>
      <c r="T2944" s="8"/>
      <c r="U2944" s="8"/>
      <c r="V2944" s="10">
        <f>COUNTA(O2944:U2944)</f>
        <v>5</v>
      </c>
      <c r="W2944" s="11">
        <f>_xlfn.IFNA(INDEX(reading[[#This Row],[Memo 01]:[Memo 07]],MATCH(0,reading[[#This Row],[Memo 01]:[Memo 07]],-1)),"")</f>
        <v>45252</v>
      </c>
      <c r="X2944" s="11">
        <f ca="1">IFERROR(reading[[#This Row],[Previous]]+OFFSET(reading[[#Headers],[Memo 01]],-1,MATCH(0,reading[[#This Row],[Memo 01]:[Memo 07]],-1)-1),"")</f>
        <v>45264</v>
      </c>
      <c r="Y2944" s="10" t="str">
        <f ca="1">IF(reading[[#This Row],[Next]]&lt;&gt;"",IF(reading[[#This Row],[Next]]&gt;TODAY(),"OK",""),"")</f>
        <v/>
      </c>
      <c r="Z2944" s="13">
        <v>3</v>
      </c>
      <c r="AA2944" s="13">
        <v>2</v>
      </c>
      <c r="AB2944" s="13">
        <v>3</v>
      </c>
      <c r="AC2944" s="13">
        <v>3</v>
      </c>
      <c r="AD2944" s="13">
        <v>2</v>
      </c>
      <c r="AE2944" s="13"/>
      <c r="AF2944" s="13"/>
      <c r="AG2944" s="16">
        <f>IFERROR(SUMIF(reading[[#This Row],[1st]:[7th]],"&gt;0")/COUNTIF(reading[[#This Row],[1st]:[7th]],"&gt;0"),"")</f>
        <v>2.6</v>
      </c>
    </row>
    <row r="2945" spans="1:33" hidden="1" x14ac:dyDescent="0.2">
      <c r="A2945" s="4">
        <f>IF(B2945=1,3,IF(D2945=1,2,IF(F2945=1,1,0)))</f>
        <v>0</v>
      </c>
      <c r="B2945" s="4">
        <f>IF(C2945=$L2945,1,IF(C2945="","",0))</f>
        <v>0</v>
      </c>
      <c r="C2945" s="42" t="s">
        <v>9200</v>
      </c>
      <c r="D2945" s="4" t="str">
        <f>IF(E2945=$L2945,1,IF(E2945="","",0))</f>
        <v/>
      </c>
      <c r="E2945" s="18"/>
      <c r="F2945" s="4" t="str">
        <f>IF(G2945=$L2945,1,IF(G2945="","",0))</f>
        <v/>
      </c>
      <c r="G2945" s="14"/>
      <c r="H2945" s="6">
        <v>2166</v>
      </c>
      <c r="I2945" s="15" t="s">
        <v>3120</v>
      </c>
      <c r="J2945" s="6" t="s">
        <v>5254</v>
      </c>
      <c r="K2945" s="6"/>
      <c r="L2945" s="6" t="s">
        <v>2232</v>
      </c>
      <c r="M2945" s="6" t="s">
        <v>8272</v>
      </c>
      <c r="N2945" s="7">
        <f ca="1">RAND()</f>
        <v>0.80245380558520696</v>
      </c>
      <c r="O2945" s="8">
        <v>45214</v>
      </c>
      <c r="P2945" s="8">
        <v>45215</v>
      </c>
      <c r="Q2945" s="8">
        <v>45217</v>
      </c>
      <c r="R2945" s="8">
        <v>45221</v>
      </c>
      <c r="S2945" s="8">
        <v>45228</v>
      </c>
      <c r="T2945" s="8"/>
      <c r="U2945" s="8"/>
      <c r="V2945" s="10">
        <f>COUNTA(O2945:U2945)</f>
        <v>5</v>
      </c>
      <c r="W2945" s="11">
        <f>_xlfn.IFNA(INDEX(reading[[#This Row],[Memo 01]:[Memo 07]],MATCH(0,reading[[#This Row],[Memo 01]:[Memo 07]],-1)),"")</f>
        <v>45228</v>
      </c>
      <c r="X2945" s="11">
        <f ca="1">IFERROR(reading[[#This Row],[Previous]]+OFFSET(reading[[#Headers],[Memo 01]],-1,MATCH(0,reading[[#This Row],[Memo 01]:[Memo 07]],-1)-1),"")</f>
        <v>45240</v>
      </c>
      <c r="Y2945" s="10" t="str">
        <f ca="1">IF(reading[[#This Row],[Next]]&lt;&gt;"",IF(reading[[#This Row],[Next]]&gt;TODAY(),"OK",""),"")</f>
        <v/>
      </c>
      <c r="Z2945" s="13">
        <v>3</v>
      </c>
      <c r="AA2945" s="13">
        <v>3</v>
      </c>
      <c r="AB2945" s="13">
        <v>3</v>
      </c>
      <c r="AC2945" s="13">
        <v>2</v>
      </c>
      <c r="AD2945" s="13">
        <v>3</v>
      </c>
      <c r="AE2945" s="13"/>
      <c r="AF2945" s="13"/>
      <c r="AG2945" s="16">
        <f>IFERROR(SUMIF(reading[[#This Row],[1st]:[7th]],"&gt;0")/COUNTIF(reading[[#This Row],[1st]:[7th]],"&gt;0"),"")</f>
        <v>2.8</v>
      </c>
    </row>
    <row r="2946" spans="1:33" hidden="1" x14ac:dyDescent="0.2">
      <c r="A2946" s="4">
        <f>IF(B2946=1,3,IF(D2946=1,2,IF(F2946=1,1,0)))</f>
        <v>0</v>
      </c>
      <c r="B2946" s="4" t="str">
        <f>IF(C2946=$L2946,1,IF(C2946="","",0))</f>
        <v/>
      </c>
      <c r="C2946" s="42"/>
      <c r="D2946" s="4" t="str">
        <f>IF(E2946=$L2946,1,IF(E2946="","",0))</f>
        <v/>
      </c>
      <c r="E2946" s="23"/>
      <c r="F2946" s="4" t="str">
        <f>IF(G2946=$L2946,1,IF(G2946="","",0))</f>
        <v/>
      </c>
      <c r="G2946" s="14"/>
      <c r="H2946" s="6">
        <v>3007</v>
      </c>
      <c r="I2946" s="15" t="s">
        <v>3120</v>
      </c>
      <c r="J2946" s="6" t="s">
        <v>6030</v>
      </c>
      <c r="K2946" s="6"/>
      <c r="L2946" s="6" t="s">
        <v>3036</v>
      </c>
      <c r="M2946" s="6" t="s">
        <v>9110</v>
      </c>
      <c r="N2946" s="7">
        <f ca="1">RAND()</f>
        <v>0.49908374132427968</v>
      </c>
      <c r="O2946" s="8">
        <v>45224</v>
      </c>
      <c r="P2946" s="8">
        <v>45225</v>
      </c>
      <c r="Q2946" s="8">
        <v>45227</v>
      </c>
      <c r="R2946" s="8">
        <v>45231</v>
      </c>
      <c r="S2946" s="8">
        <v>45251</v>
      </c>
      <c r="T2946" s="8">
        <v>45816</v>
      </c>
      <c r="U2946" s="8"/>
      <c r="V2946" s="10">
        <f>COUNTA(O2946:U2946)</f>
        <v>6</v>
      </c>
      <c r="W2946" s="11">
        <f>_xlfn.IFNA(INDEX(reading[[#This Row],[Memo 01]:[Memo 07]],MATCH(0,reading[[#This Row],[Memo 01]:[Memo 07]],-1)),"")</f>
        <v>45816</v>
      </c>
      <c r="X2946" s="11">
        <f ca="1">IFERROR(reading[[#This Row],[Previous]]+OFFSET(reading[[#Headers],[Memo 01]],-1,MATCH(0,reading[[#This Row],[Memo 01]:[Memo 07]],-1)-1),"")</f>
        <v>45836</v>
      </c>
      <c r="Y2946" s="10" t="str">
        <f ca="1">IF(reading[[#This Row],[Next]]&lt;&gt;"",IF(reading[[#This Row],[Next]]&gt;TODAY(),"OK",""),"")</f>
        <v>OK</v>
      </c>
      <c r="Z2946" s="13">
        <v>3</v>
      </c>
      <c r="AA2946" s="13">
        <v>3</v>
      </c>
      <c r="AB2946" s="13">
        <v>3</v>
      </c>
      <c r="AC2946" s="13">
        <v>3</v>
      </c>
      <c r="AD2946" s="13">
        <v>3</v>
      </c>
      <c r="AE2946" s="13">
        <v>2</v>
      </c>
      <c r="AF2946" s="13"/>
      <c r="AG2946" s="16">
        <f>IFERROR(SUMIF(reading[[#This Row],[1st]:[7th]],"&gt;0")/COUNTIF(reading[[#This Row],[1st]:[7th]],"&gt;0"),"")</f>
        <v>2.8333333333333335</v>
      </c>
    </row>
    <row r="2947" spans="1:33" hidden="1" x14ac:dyDescent="0.2">
      <c r="A2947" s="4">
        <f>IF(B2947=1,3,IF(D2947=1,2,IF(F2947=1,1,0)))</f>
        <v>0</v>
      </c>
      <c r="B2947" s="4" t="str">
        <f>IF(C2947=$L2947,1,IF(C2947="","",0))</f>
        <v/>
      </c>
      <c r="C2947" s="42"/>
      <c r="D2947" s="4" t="str">
        <f>IF(E2947=$L2947,1,IF(E2947="","",0))</f>
        <v/>
      </c>
      <c r="E2947" s="23"/>
      <c r="F2947" s="4" t="str">
        <f>IF(G2947=$L2947,1,IF(G2947="","",0))</f>
        <v/>
      </c>
      <c r="G2947" s="23"/>
      <c r="H2947" s="6">
        <v>779</v>
      </c>
      <c r="I2947" s="15" t="s">
        <v>3120</v>
      </c>
      <c r="J2947" s="6" t="s">
        <v>3913</v>
      </c>
      <c r="K2947" s="6"/>
      <c r="L2947" s="6" t="s">
        <v>898</v>
      </c>
      <c r="M2947" s="6" t="s">
        <v>6888</v>
      </c>
      <c r="N2947" s="7">
        <f ca="1">RAND()</f>
        <v>0.38570928823325079</v>
      </c>
      <c r="O2947" s="8">
        <v>45204</v>
      </c>
      <c r="P2947" s="8">
        <v>45205</v>
      </c>
      <c r="Q2947" s="8">
        <v>45207</v>
      </c>
      <c r="R2947" s="8">
        <v>45212</v>
      </c>
      <c r="S2947" s="8">
        <v>45219</v>
      </c>
      <c r="T2947" s="8">
        <v>45231</v>
      </c>
      <c r="U2947" s="8">
        <v>45816</v>
      </c>
      <c r="V2947" s="10">
        <f>COUNTA(O2947:U2947)</f>
        <v>7</v>
      </c>
      <c r="W2947" s="11">
        <f>_xlfn.IFNA(INDEX(reading[[#This Row],[Memo 01]:[Memo 07]],MATCH(0,reading[[#This Row],[Memo 01]:[Memo 07]],-1)),"")</f>
        <v>45816</v>
      </c>
      <c r="X2947" s="11">
        <f ca="1">IFERROR(reading[[#This Row],[Previous]]+OFFSET(reading[[#Headers],[Memo 01]],-1,MATCH(0,reading[[#This Row],[Memo 01]:[Memo 07]],-1)-1),"")</f>
        <v>55816</v>
      </c>
      <c r="Y2947" s="10" t="str">
        <f ca="1">IF(reading[[#This Row],[Next]]&lt;&gt;"",IF(reading[[#This Row],[Next]]&gt;TODAY(),"OK",""),"")</f>
        <v>OK</v>
      </c>
      <c r="Z2947" s="13">
        <v>3</v>
      </c>
      <c r="AA2947" s="13">
        <v>2</v>
      </c>
      <c r="AB2947" s="13">
        <v>3</v>
      </c>
      <c r="AC2947" s="13">
        <v>2</v>
      </c>
      <c r="AD2947" s="13">
        <v>3</v>
      </c>
      <c r="AE2947" s="13">
        <v>3</v>
      </c>
      <c r="AF2947" s="13">
        <v>1</v>
      </c>
      <c r="AG2947" s="16">
        <f>IFERROR(SUMIF(reading[[#This Row],[1st]:[7th]],"&gt;0")/COUNTIF(reading[[#This Row],[1st]:[7th]],"&gt;0"),"")</f>
        <v>2.4285714285714284</v>
      </c>
    </row>
    <row r="2948" spans="1:33" x14ac:dyDescent="0.2">
      <c r="A2948" s="4">
        <f>IF(B2948=1,3,IF(D2948=1,2,IF(F2948=1,1,0)))</f>
        <v>0</v>
      </c>
      <c r="B2948" s="4" t="str">
        <f>IF(C2948=$L2948,1,IF(C2948="","",0))</f>
        <v/>
      </c>
      <c r="C2948" s="18"/>
      <c r="D2948" s="4" t="str">
        <f>IF(E2948=$L2948,1,IF(E2948="","",0))</f>
        <v/>
      </c>
      <c r="E2948" s="14"/>
      <c r="F2948" s="4" t="str">
        <f>IF(G2948=$L2948,1,IF(G2948="","",0))</f>
        <v/>
      </c>
      <c r="G2948" s="14"/>
      <c r="H2948" s="6">
        <v>2</v>
      </c>
      <c r="I2948" s="15" t="s">
        <v>3120</v>
      </c>
      <c r="J2948" s="6" t="s">
        <v>3157</v>
      </c>
      <c r="K2948" s="6"/>
      <c r="L2948" s="6" t="s">
        <v>147</v>
      </c>
      <c r="M2948" s="6" t="s">
        <v>6116</v>
      </c>
      <c r="N2948" s="7">
        <f ca="1">RAND()</f>
        <v>5.0775060025304852E-2</v>
      </c>
      <c r="O2948" s="8">
        <v>45198</v>
      </c>
      <c r="P2948" s="8">
        <v>45199</v>
      </c>
      <c r="Q2948" s="8">
        <v>45201</v>
      </c>
      <c r="R2948" s="8">
        <v>45205</v>
      </c>
      <c r="S2948" s="8">
        <v>45212</v>
      </c>
      <c r="T2948" s="8">
        <v>45224</v>
      </c>
      <c r="U2948" s="8"/>
      <c r="V2948" s="10">
        <f>COUNTA(O2948:U2948)</f>
        <v>6</v>
      </c>
      <c r="W2948" s="11">
        <f>_xlfn.IFNA(INDEX(reading[[#This Row],[Memo 01]:[Memo 07]],MATCH(0,reading[[#This Row],[Memo 01]:[Memo 07]],-1)),"")</f>
        <v>45224</v>
      </c>
      <c r="X2948" s="11">
        <f ca="1">IFERROR(reading[[#This Row],[Previous]]+OFFSET(reading[[#Headers],[Memo 01]],-1,MATCH(0,reading[[#This Row],[Memo 01]:[Memo 07]],-1)-1),"")</f>
        <v>45244</v>
      </c>
      <c r="Y2948" s="10" t="str">
        <f ca="1">IF(reading[[#This Row],[Next]]&lt;&gt;"",IF(reading[[#This Row],[Next]]&gt;TODAY(),"OK",""),"")</f>
        <v/>
      </c>
      <c r="Z2948" s="13">
        <v>3</v>
      </c>
      <c r="AA2948" s="13">
        <v>3</v>
      </c>
      <c r="AB2948" s="13">
        <v>3</v>
      </c>
      <c r="AC2948" s="13">
        <v>3</v>
      </c>
      <c r="AD2948" s="13">
        <v>3</v>
      </c>
      <c r="AE2948" s="13">
        <v>3</v>
      </c>
      <c r="AF2948" s="13"/>
      <c r="AG2948" s="16">
        <f>IFERROR(SUMIF(reading[[#This Row],[1st]:[7th]],"&gt;0")/COUNTIF(reading[[#This Row],[1st]:[7th]],"&gt;0"),"")</f>
        <v>3</v>
      </c>
    </row>
    <row r="2949" spans="1:33" hidden="1" x14ac:dyDescent="0.2">
      <c r="A2949" s="4">
        <f>IF(B2949=1,3,IF(D2949=1,2,IF(F2949=1,1,0)))</f>
        <v>3</v>
      </c>
      <c r="B2949" s="4">
        <f>IF(C2949=$L2949,1,IF(C2949="","",0))</f>
        <v>1</v>
      </c>
      <c r="C2949" s="36" t="s">
        <v>2983</v>
      </c>
      <c r="D2949" s="4" t="str">
        <f>IF(E2949=$L2949,1,IF(E2949="","",0))</f>
        <v/>
      </c>
      <c r="E2949" s="14"/>
      <c r="F2949" s="4" t="str">
        <f>IF(G2949=$L2949,1,IF(G2949="","",0))</f>
        <v/>
      </c>
      <c r="G2949" s="14"/>
      <c r="H2949" s="6">
        <v>2953</v>
      </c>
      <c r="I2949" s="15" t="s">
        <v>3120</v>
      </c>
      <c r="J2949" s="6" t="s">
        <v>5985</v>
      </c>
      <c r="K2949" s="6"/>
      <c r="L2949" s="6" t="s">
        <v>2983</v>
      </c>
      <c r="M2949" s="6" t="s">
        <v>9057</v>
      </c>
      <c r="N2949" s="7">
        <f ca="1">RAND()</f>
        <v>0.8780677324859969</v>
      </c>
      <c r="O2949" s="8">
        <v>45223</v>
      </c>
      <c r="P2949" s="8">
        <v>45223</v>
      </c>
      <c r="Q2949" s="8">
        <v>45223</v>
      </c>
      <c r="R2949" s="8">
        <v>45223</v>
      </c>
      <c r="S2949" s="8">
        <v>45223</v>
      </c>
      <c r="T2949" s="8">
        <v>45223</v>
      </c>
      <c r="U2949" s="8">
        <v>45223</v>
      </c>
      <c r="V2949" s="10">
        <f>COUNTA(O2949:U2949)</f>
        <v>7</v>
      </c>
      <c r="W2949" s="11">
        <f>_xlfn.IFNA(INDEX(reading[[#This Row],[Memo 01]:[Memo 07]],MATCH(0,reading[[#This Row],[Memo 01]:[Memo 07]],-1)),"")</f>
        <v>45223</v>
      </c>
      <c r="X2949" s="11">
        <f ca="1">IFERROR(reading[[#This Row],[Previous]]+OFFSET(reading[[#Headers],[Memo 01]],-1,MATCH(0,reading[[#This Row],[Memo 01]:[Memo 07]],-1)-1),"")</f>
        <v>55223</v>
      </c>
      <c r="Y2949" s="10" t="str">
        <f ca="1">IF(reading[[#This Row],[Next]]&lt;&gt;"",IF(reading[[#This Row],[Next]]&gt;TODAY(),"OK",""),"")</f>
        <v>OK</v>
      </c>
      <c r="Z2949" s="13">
        <v>3</v>
      </c>
      <c r="AA2949" s="13"/>
      <c r="AB2949" s="13"/>
      <c r="AC2949" s="13"/>
      <c r="AD2949" s="13"/>
      <c r="AE2949" s="13"/>
      <c r="AF2949" s="13"/>
      <c r="AG2949" s="16">
        <f>IFERROR(SUMIF(reading[[#This Row],[1st]:[7th]],"&gt;0")/COUNTIF(reading[[#This Row],[1st]:[7th]],"&gt;0"),"")</f>
        <v>3</v>
      </c>
    </row>
    <row r="2950" spans="1:33" hidden="1" x14ac:dyDescent="0.2">
      <c r="A2950" s="4">
        <f>IF(B2950=1,3,IF(D2950=1,2,IF(F2950=1,1,0)))</f>
        <v>0</v>
      </c>
      <c r="B2950" s="4" t="str">
        <f>IF(C2950=$L2950,1,IF(C2950="","",0))</f>
        <v/>
      </c>
      <c r="C2950" s="42"/>
      <c r="D2950" s="4" t="str">
        <f>IF(E2950=$L2950,1,IF(E2950="","",0))</f>
        <v/>
      </c>
      <c r="E2950" s="43"/>
      <c r="F2950" s="4" t="str">
        <f>IF(G2950=$L2950,1,IF(G2950="","",0))</f>
        <v/>
      </c>
      <c r="G2950" s="14"/>
      <c r="H2950" s="6">
        <v>2162</v>
      </c>
      <c r="I2950" s="15" t="s">
        <v>3120</v>
      </c>
      <c r="J2950" s="6" t="s">
        <v>5250</v>
      </c>
      <c r="K2950" s="6"/>
      <c r="L2950" s="6" t="s">
        <v>2228</v>
      </c>
      <c r="M2950" s="6" t="s">
        <v>8268</v>
      </c>
      <c r="N2950" s="7">
        <f ca="1">RAND()</f>
        <v>0.69897995521952716</v>
      </c>
      <c r="O2950" s="8">
        <v>45214</v>
      </c>
      <c r="P2950" s="8">
        <v>45215</v>
      </c>
      <c r="Q2950" s="8">
        <v>45217</v>
      </c>
      <c r="R2950" s="8">
        <v>45221</v>
      </c>
      <c r="S2950" s="8">
        <v>45228</v>
      </c>
      <c r="T2950" s="8">
        <v>45816</v>
      </c>
      <c r="U2950" s="8"/>
      <c r="V2950" s="10">
        <f>COUNTA(O2950:U2950)</f>
        <v>6</v>
      </c>
      <c r="W2950" s="11">
        <f>_xlfn.IFNA(INDEX(reading[[#This Row],[Memo 01]:[Memo 07]],MATCH(0,reading[[#This Row],[Memo 01]:[Memo 07]],-1)),"")</f>
        <v>45816</v>
      </c>
      <c r="X2950" s="11">
        <f ca="1">IFERROR(reading[[#This Row],[Previous]]+OFFSET(reading[[#Headers],[Memo 01]],-1,MATCH(0,reading[[#This Row],[Memo 01]:[Memo 07]],-1)-1),"")</f>
        <v>45836</v>
      </c>
      <c r="Y2950" s="10" t="str">
        <f ca="1">IF(reading[[#This Row],[Next]]&lt;&gt;"",IF(reading[[#This Row],[Next]]&gt;TODAY(),"OK",""),"")</f>
        <v>OK</v>
      </c>
      <c r="Z2950" s="13">
        <v>3</v>
      </c>
      <c r="AA2950" s="13">
        <v>2</v>
      </c>
      <c r="AB2950" s="13">
        <v>3</v>
      </c>
      <c r="AC2950" s="13">
        <v>3</v>
      </c>
      <c r="AD2950" s="13">
        <v>3</v>
      </c>
      <c r="AE2950" s="13">
        <v>2</v>
      </c>
      <c r="AF2950" s="13"/>
      <c r="AG2950" s="16">
        <f>IFERROR(SUMIF(reading[[#This Row],[1st]:[7th]],"&gt;0")/COUNTIF(reading[[#This Row],[1st]:[7th]],"&gt;0"),"")</f>
        <v>2.6666666666666665</v>
      </c>
    </row>
    <row r="2951" spans="1:33" x14ac:dyDescent="0.2">
      <c r="A2951" s="4">
        <f>IF(B2951=1,3,IF(D2951=1,2,IF(F2951=1,1,0)))</f>
        <v>0</v>
      </c>
      <c r="B2951" s="4" t="str">
        <f>IF(C2951=$L2951,1,IF(C2951="","",0))</f>
        <v/>
      </c>
      <c r="C2951" s="36"/>
      <c r="D2951" s="4" t="str">
        <f>IF(E2951=$L2951,1,IF(E2951="","",0))</f>
        <v/>
      </c>
      <c r="E2951" s="14"/>
      <c r="F2951" s="4" t="str">
        <f>IF(G2951=$L2951,1,IF(G2951="","",0))</f>
        <v/>
      </c>
      <c r="G2951" s="14"/>
      <c r="H2951" s="6">
        <v>2006</v>
      </c>
      <c r="I2951" s="15" t="s">
        <v>3120</v>
      </c>
      <c r="J2951" s="6" t="s">
        <v>5104</v>
      </c>
      <c r="K2951" s="6"/>
      <c r="L2951" s="6" t="s">
        <v>2081</v>
      </c>
      <c r="M2951" s="6" t="s">
        <v>8112</v>
      </c>
      <c r="N2951" s="7">
        <f ca="1">RAND()</f>
        <v>0.80352226665869719</v>
      </c>
      <c r="O2951" s="8">
        <v>45213</v>
      </c>
      <c r="P2951" s="8">
        <v>45214</v>
      </c>
      <c r="Q2951" s="8">
        <v>45216</v>
      </c>
      <c r="R2951" s="8">
        <v>45220</v>
      </c>
      <c r="S2951" s="8">
        <v>45227</v>
      </c>
      <c r="T2951" s="8"/>
      <c r="U2951" s="8"/>
      <c r="V2951" s="10">
        <f>COUNTA(O2951:U2951)</f>
        <v>5</v>
      </c>
      <c r="W2951" s="11">
        <f>_xlfn.IFNA(INDEX(reading[[#This Row],[Memo 01]:[Memo 07]],MATCH(0,reading[[#This Row],[Memo 01]:[Memo 07]],-1)),"")</f>
        <v>45227</v>
      </c>
      <c r="X2951" s="11">
        <f ca="1">IFERROR(reading[[#This Row],[Previous]]+OFFSET(reading[[#Headers],[Memo 01]],-1,MATCH(0,reading[[#This Row],[Memo 01]:[Memo 07]],-1)-1),"")</f>
        <v>45239</v>
      </c>
      <c r="Y2951" s="10" t="str">
        <f ca="1">IF(reading[[#This Row],[Next]]&lt;&gt;"",IF(reading[[#This Row],[Next]]&gt;TODAY(),"OK",""),"")</f>
        <v/>
      </c>
      <c r="Z2951" s="13">
        <v>3</v>
      </c>
      <c r="AA2951" s="13">
        <v>3</v>
      </c>
      <c r="AB2951" s="13">
        <v>3</v>
      </c>
      <c r="AC2951" s="13">
        <v>3</v>
      </c>
      <c r="AD2951" s="13">
        <v>3</v>
      </c>
      <c r="AE2951" s="13"/>
      <c r="AF2951" s="13"/>
      <c r="AG2951" s="16">
        <f>IFERROR(SUMIF(reading[[#This Row],[1st]:[7th]],"&gt;0")/COUNTIF(reading[[#This Row],[1st]:[7th]],"&gt;0"),"")</f>
        <v>3</v>
      </c>
    </row>
    <row r="2952" spans="1:33" x14ac:dyDescent="0.2">
      <c r="A2952" s="4">
        <f>IF(B2952=1,3,IF(D2952=1,2,IF(F2952=1,1,0)))</f>
        <v>0</v>
      </c>
      <c r="B2952" s="4" t="str">
        <f>IF(C2952=$L2952,1,IF(C2952="","",0))</f>
        <v/>
      </c>
      <c r="C2952" s="39"/>
      <c r="D2952" s="4" t="str">
        <f>IF(E2952=$L2952,1,IF(E2952="","",0))</f>
        <v/>
      </c>
      <c r="E2952" s="18"/>
      <c r="F2952" s="4" t="str">
        <f>IF(G2952=$L2952,1,IF(G2952="","",0))</f>
        <v/>
      </c>
      <c r="G2952" s="14"/>
      <c r="H2952" s="6">
        <v>1330</v>
      </c>
      <c r="I2952" s="15" t="s">
        <v>3120</v>
      </c>
      <c r="J2952" s="6" t="s">
        <v>4446</v>
      </c>
      <c r="K2952" s="6"/>
      <c r="L2952" s="6" t="s">
        <v>1427</v>
      </c>
      <c r="M2952" s="6" t="s">
        <v>7437</v>
      </c>
      <c r="N2952" s="7">
        <f ca="1">RAND()</f>
        <v>0.52165942620652583</v>
      </c>
      <c r="O2952" s="8">
        <v>45207</v>
      </c>
      <c r="P2952" s="8">
        <v>45208</v>
      </c>
      <c r="Q2952" s="8">
        <v>45210</v>
      </c>
      <c r="R2952" s="8">
        <v>45214</v>
      </c>
      <c r="S2952" s="8">
        <v>45221</v>
      </c>
      <c r="T2952" s="8">
        <v>45233</v>
      </c>
      <c r="U2952" s="8"/>
      <c r="V2952" s="10">
        <f>COUNTA(O2952:U2952)</f>
        <v>6</v>
      </c>
      <c r="W2952" s="11">
        <f>_xlfn.IFNA(INDEX(reading[[#This Row],[Memo 01]:[Memo 07]],MATCH(0,reading[[#This Row],[Memo 01]:[Memo 07]],-1)),"")</f>
        <v>45233</v>
      </c>
      <c r="X2952" s="11">
        <f ca="1">IFERROR(reading[[#This Row],[Previous]]+OFFSET(reading[[#Headers],[Memo 01]],-1,MATCH(0,reading[[#This Row],[Memo 01]:[Memo 07]],-1)-1),"")</f>
        <v>45253</v>
      </c>
      <c r="Y2952" s="10" t="str">
        <f ca="1">IF(reading[[#This Row],[Next]]&lt;&gt;"",IF(reading[[#This Row],[Next]]&gt;TODAY(),"OK",""),"")</f>
        <v/>
      </c>
      <c r="Z2952" s="13">
        <v>3</v>
      </c>
      <c r="AA2952" s="13">
        <v>3</v>
      </c>
      <c r="AB2952" s="13">
        <v>3</v>
      </c>
      <c r="AC2952" s="13">
        <v>3</v>
      </c>
      <c r="AD2952" s="13">
        <v>2</v>
      </c>
      <c r="AE2952" s="13">
        <v>3</v>
      </c>
      <c r="AF2952" s="13"/>
      <c r="AG2952" s="16">
        <f>IFERROR(SUMIF(reading[[#This Row],[1st]:[7th]],"&gt;0")/COUNTIF(reading[[#This Row],[1st]:[7th]],"&gt;0"),"")</f>
        <v>2.8333333333333335</v>
      </c>
    </row>
    <row r="2953" spans="1:33" hidden="1" x14ac:dyDescent="0.2">
      <c r="A2953" s="4">
        <f>IF(B2953=1,3,IF(D2953=1,2,IF(F2953=1,1,0)))</f>
        <v>0</v>
      </c>
      <c r="B2953" s="4">
        <f>IF(C2953=$L2953,1,IF(C2953="","",0))</f>
        <v>0</v>
      </c>
      <c r="C2953" s="42" t="s">
        <v>9200</v>
      </c>
      <c r="D2953" s="4" t="str">
        <f>IF(E2953=$L2953,1,IF(E2953="","",0))</f>
        <v/>
      </c>
      <c r="E2953" s="14"/>
      <c r="F2953" s="4" t="str">
        <f>IF(G2953=$L2953,1,IF(G2953="","",0))</f>
        <v/>
      </c>
      <c r="G2953" s="14"/>
      <c r="H2953" s="6">
        <v>2724</v>
      </c>
      <c r="I2953" s="15" t="s">
        <v>3120</v>
      </c>
      <c r="J2953" s="6" t="s">
        <v>5774</v>
      </c>
      <c r="K2953" s="6"/>
      <c r="L2953" s="6" t="s">
        <v>2762</v>
      </c>
      <c r="M2953" s="6" t="s">
        <v>8829</v>
      </c>
      <c r="N2953" s="7">
        <f ca="1">RAND()</f>
        <v>0.6223228187172869</v>
      </c>
      <c r="O2953" s="8">
        <v>45221</v>
      </c>
      <c r="P2953" s="8">
        <v>45222</v>
      </c>
      <c r="Q2953" s="8">
        <v>45224</v>
      </c>
      <c r="R2953" s="8">
        <v>45228</v>
      </c>
      <c r="S2953" s="8">
        <v>45235</v>
      </c>
      <c r="T2953" s="8"/>
      <c r="U2953" s="8"/>
      <c r="V2953" s="10">
        <f>COUNTA(O2953:U2953)</f>
        <v>5</v>
      </c>
      <c r="W2953" s="11">
        <f>_xlfn.IFNA(INDEX(reading[[#This Row],[Memo 01]:[Memo 07]],MATCH(0,reading[[#This Row],[Memo 01]:[Memo 07]],-1)),"")</f>
        <v>45235</v>
      </c>
      <c r="X2953" s="11">
        <f ca="1">IFERROR(reading[[#This Row],[Previous]]+OFFSET(reading[[#Headers],[Memo 01]],-1,MATCH(0,reading[[#This Row],[Memo 01]:[Memo 07]],-1)-1),"")</f>
        <v>45247</v>
      </c>
      <c r="Y2953" s="10" t="str">
        <f ca="1">IF(reading[[#This Row],[Next]]&lt;&gt;"",IF(reading[[#This Row],[Next]]&gt;TODAY(),"OK",""),"")</f>
        <v/>
      </c>
      <c r="Z2953" s="13">
        <v>3</v>
      </c>
      <c r="AA2953" s="13">
        <v>3</v>
      </c>
      <c r="AB2953" s="13">
        <v>3</v>
      </c>
      <c r="AC2953" s="13">
        <v>3</v>
      </c>
      <c r="AD2953" s="13">
        <v>3</v>
      </c>
      <c r="AE2953" s="13"/>
      <c r="AF2953" s="13"/>
      <c r="AG2953" s="16">
        <f>IFERROR(SUMIF(reading[[#This Row],[1st]:[7th]],"&gt;0")/COUNTIF(reading[[#This Row],[1st]:[7th]],"&gt;0"),"")</f>
        <v>3</v>
      </c>
    </row>
    <row r="2954" spans="1:33" hidden="1" x14ac:dyDescent="0.2">
      <c r="A2954" s="4">
        <f>IF(B2954=1,3,IF(D2954=1,2,IF(F2954=1,1,0)))</f>
        <v>0</v>
      </c>
      <c r="B2954" s="4" t="str">
        <f>IF(C2954=$L2954,1,IF(C2954="","",0))</f>
        <v/>
      </c>
      <c r="C2954" s="42"/>
      <c r="D2954" s="4" t="str">
        <f>IF(E2954=$L2954,1,IF(E2954="","",0))</f>
        <v/>
      </c>
      <c r="E2954" s="43"/>
      <c r="F2954" s="4" t="str">
        <f>IF(G2954=$L2954,1,IF(G2954="","",0))</f>
        <v/>
      </c>
      <c r="G2954" s="14"/>
      <c r="H2954" s="6">
        <v>1516</v>
      </c>
      <c r="I2954" s="15" t="s">
        <v>3120</v>
      </c>
      <c r="J2954" s="6" t="s">
        <v>4629</v>
      </c>
      <c r="K2954" s="6"/>
      <c r="L2954" s="6" t="s">
        <v>1601</v>
      </c>
      <c r="M2954" s="6" t="s">
        <v>7623</v>
      </c>
      <c r="N2954" s="7">
        <f ca="1">RAND()</f>
        <v>0.47602305745270801</v>
      </c>
      <c r="O2954" s="8">
        <v>45209</v>
      </c>
      <c r="P2954" s="8">
        <v>45210</v>
      </c>
      <c r="Q2954" s="8">
        <v>45213</v>
      </c>
      <c r="R2954" s="8">
        <v>45217</v>
      </c>
      <c r="S2954" s="8">
        <v>45224</v>
      </c>
      <c r="T2954" s="8">
        <v>45236</v>
      </c>
      <c r="U2954" s="8">
        <v>45816</v>
      </c>
      <c r="V2954" s="10">
        <f>COUNTA(O2954:U2954)</f>
        <v>7</v>
      </c>
      <c r="W2954" s="11">
        <f>_xlfn.IFNA(INDEX(reading[[#This Row],[Memo 01]:[Memo 07]],MATCH(0,reading[[#This Row],[Memo 01]:[Memo 07]],-1)),"")</f>
        <v>45816</v>
      </c>
      <c r="X2954" s="11">
        <f ca="1">IFERROR(reading[[#This Row],[Previous]]+OFFSET(reading[[#Headers],[Memo 01]],-1,MATCH(0,reading[[#This Row],[Memo 01]:[Memo 07]],-1)-1),"")</f>
        <v>55816</v>
      </c>
      <c r="Y2954" s="10" t="str">
        <f ca="1">IF(reading[[#This Row],[Next]]&lt;&gt;"",IF(reading[[#This Row],[Next]]&gt;TODAY(),"OK",""),"")</f>
        <v>OK</v>
      </c>
      <c r="Z2954" s="13">
        <v>3</v>
      </c>
      <c r="AA2954" s="13">
        <v>3</v>
      </c>
      <c r="AB2954" s="13">
        <v>2</v>
      </c>
      <c r="AC2954" s="13">
        <v>2</v>
      </c>
      <c r="AD2954" s="13">
        <v>2</v>
      </c>
      <c r="AE2954" s="13">
        <v>3</v>
      </c>
      <c r="AF2954" s="13">
        <v>2</v>
      </c>
      <c r="AG2954" s="16">
        <f>IFERROR(SUMIF(reading[[#This Row],[1st]:[7th]],"&gt;0")/COUNTIF(reading[[#This Row],[1st]:[7th]],"&gt;0"),"")</f>
        <v>2.4285714285714284</v>
      </c>
    </row>
    <row r="2955" spans="1:33" x14ac:dyDescent="0.2">
      <c r="A2955" s="4">
        <f>IF(B2955=1,3,IF(D2955=1,2,IF(F2955=1,1,0)))</f>
        <v>0</v>
      </c>
      <c r="B2955" s="4" t="str">
        <f>IF(C2955=$L2955,1,IF(C2955="","",0))</f>
        <v/>
      </c>
      <c r="C2955" s="36"/>
      <c r="D2955" s="4" t="str">
        <f>IF(E2955=$L2955,1,IF(E2955="","",0))</f>
        <v/>
      </c>
      <c r="E2955" s="18"/>
      <c r="F2955" s="4" t="str">
        <f>IF(G2955=$L2955,1,IF(G2955="","",0))</f>
        <v/>
      </c>
      <c r="G2955" s="14"/>
      <c r="H2955" s="6">
        <v>439</v>
      </c>
      <c r="I2955" s="15" t="s">
        <v>3120</v>
      </c>
      <c r="J2955" s="6" t="s">
        <v>3585</v>
      </c>
      <c r="K2955" s="15" t="s">
        <v>3139</v>
      </c>
      <c r="L2955" s="6" t="s">
        <v>569</v>
      </c>
      <c r="M2955" s="6" t="s">
        <v>6548</v>
      </c>
      <c r="N2955" s="7">
        <f ca="1">RAND()</f>
        <v>0.2151857430713775</v>
      </c>
      <c r="O2955" s="8">
        <v>45201</v>
      </c>
      <c r="P2955" s="8">
        <v>45202</v>
      </c>
      <c r="Q2955" s="8">
        <v>45204</v>
      </c>
      <c r="R2955" s="8">
        <v>45208</v>
      </c>
      <c r="S2955" s="8">
        <v>45215</v>
      </c>
      <c r="T2955" s="8">
        <v>45227</v>
      </c>
      <c r="U2955" s="8"/>
      <c r="V2955" s="10">
        <f>COUNTA(O2955:U2955)</f>
        <v>6</v>
      </c>
      <c r="W2955" s="11">
        <f>_xlfn.IFNA(INDEX(reading[[#This Row],[Memo 01]:[Memo 07]],MATCH(0,reading[[#This Row],[Memo 01]:[Memo 07]],-1)),"")</f>
        <v>45227</v>
      </c>
      <c r="X2955" s="11">
        <f ca="1">IFERROR(reading[[#This Row],[Previous]]+OFFSET(reading[[#Headers],[Memo 01]],-1,MATCH(0,reading[[#This Row],[Memo 01]:[Memo 07]],-1)-1),"")</f>
        <v>45247</v>
      </c>
      <c r="Y2955" s="10" t="str">
        <f ca="1">IF(reading[[#This Row],[Next]]&lt;&gt;"",IF(reading[[#This Row],[Next]]&gt;TODAY(),"OK",""),"")</f>
        <v/>
      </c>
      <c r="Z2955" s="13">
        <v>3</v>
      </c>
      <c r="AA2955" s="13">
        <v>3</v>
      </c>
      <c r="AB2955" s="13">
        <v>3</v>
      </c>
      <c r="AC2955" s="13">
        <v>3</v>
      </c>
      <c r="AD2955" s="13">
        <v>2</v>
      </c>
      <c r="AE2955" s="13">
        <v>3</v>
      </c>
      <c r="AF2955" s="13"/>
      <c r="AG2955" s="16">
        <f>IFERROR(SUMIF(reading[[#This Row],[1st]:[7th]],"&gt;0")/COUNTIF(reading[[#This Row],[1st]:[7th]],"&gt;0"),"")</f>
        <v>2.8333333333333335</v>
      </c>
    </row>
    <row r="2956" spans="1:33" x14ac:dyDescent="0.2">
      <c r="A2956" s="4">
        <f>IF(B2956=1,3,IF(D2956=1,2,IF(F2956=1,1,0)))</f>
        <v>0</v>
      </c>
      <c r="B2956" s="4" t="str">
        <f>IF(C2956=$L2956,1,IF(C2956="","",0))</f>
        <v/>
      </c>
      <c r="C2956" s="38"/>
      <c r="D2956" s="4" t="str">
        <f>IF(E2956=$L2956,1,IF(E2956="","",0))</f>
        <v/>
      </c>
      <c r="E2956" s="18"/>
      <c r="F2956" s="4" t="str">
        <f>IF(G2956=$L2956,1,IF(G2956="","",0))</f>
        <v/>
      </c>
      <c r="G2956" s="14"/>
      <c r="H2956" s="6">
        <v>687</v>
      </c>
      <c r="I2956" s="15" t="s">
        <v>3120</v>
      </c>
      <c r="J2956" s="6" t="s">
        <v>3826</v>
      </c>
      <c r="K2956" s="6"/>
      <c r="L2956" s="6" t="s">
        <v>810</v>
      </c>
      <c r="M2956" s="6" t="s">
        <v>6796</v>
      </c>
      <c r="N2956" s="7">
        <f ca="1">RAND()</f>
        <v>0.13219230333864884</v>
      </c>
      <c r="O2956" s="8">
        <v>45203</v>
      </c>
      <c r="P2956" s="8">
        <v>45204</v>
      </c>
      <c r="Q2956" s="8">
        <v>45206</v>
      </c>
      <c r="R2956" s="8">
        <v>45210</v>
      </c>
      <c r="S2956" s="8">
        <v>45217</v>
      </c>
      <c r="T2956" s="8">
        <v>45229</v>
      </c>
      <c r="U2956" s="8"/>
      <c r="V2956" s="10">
        <f>COUNTA(O2956:U2956)</f>
        <v>6</v>
      </c>
      <c r="W2956" s="11">
        <f>_xlfn.IFNA(INDEX(reading[[#This Row],[Memo 01]:[Memo 07]],MATCH(0,reading[[#This Row],[Memo 01]:[Memo 07]],-1)),"")</f>
        <v>45229</v>
      </c>
      <c r="X2956" s="11">
        <f ca="1">IFERROR(reading[[#This Row],[Previous]]+OFFSET(reading[[#Headers],[Memo 01]],-1,MATCH(0,reading[[#This Row],[Memo 01]:[Memo 07]],-1)-1),"")</f>
        <v>45249</v>
      </c>
      <c r="Y2956" s="10" t="str">
        <f ca="1">IF(reading[[#This Row],[Next]]&lt;&gt;"",IF(reading[[#This Row],[Next]]&gt;TODAY(),"OK",""),"")</f>
        <v/>
      </c>
      <c r="Z2956" s="13">
        <v>3</v>
      </c>
      <c r="AA2956" s="13">
        <v>2</v>
      </c>
      <c r="AB2956" s="13">
        <v>3</v>
      </c>
      <c r="AC2956" s="13">
        <v>3</v>
      </c>
      <c r="AD2956" s="13">
        <v>3</v>
      </c>
      <c r="AE2956" s="13">
        <v>3</v>
      </c>
      <c r="AF2956" s="13"/>
      <c r="AG2956" s="16">
        <f>IFERROR(SUMIF(reading[[#This Row],[1st]:[7th]],"&gt;0")/COUNTIF(reading[[#This Row],[1st]:[7th]],"&gt;0"),"")</f>
        <v>2.8333333333333335</v>
      </c>
    </row>
    <row r="2957" spans="1:33" x14ac:dyDescent="0.2">
      <c r="A2957" s="4">
        <f>IF(B2957=1,3,IF(D2957=1,2,IF(F2957=1,1,0)))</f>
        <v>0</v>
      </c>
      <c r="B2957" s="4" t="str">
        <f>IF(C2957=$L2957,1,IF(C2957="","",0))</f>
        <v/>
      </c>
      <c r="C2957" s="38"/>
      <c r="D2957" s="4" t="str">
        <f>IF(E2957=$L2957,1,IF(E2957="","",0))</f>
        <v/>
      </c>
      <c r="E2957" s="18"/>
      <c r="F2957" s="4" t="str">
        <f>IF(G2957=$L2957,1,IF(G2957="","",0))</f>
        <v/>
      </c>
      <c r="G2957" s="14"/>
      <c r="H2957" s="6">
        <v>2143</v>
      </c>
      <c r="I2957" s="15" t="s">
        <v>3120</v>
      </c>
      <c r="J2957" s="6" t="s">
        <v>5231</v>
      </c>
      <c r="K2957" s="6"/>
      <c r="L2957" s="6" t="s">
        <v>2210</v>
      </c>
      <c r="M2957" s="6" t="s">
        <v>8249</v>
      </c>
      <c r="N2957" s="7">
        <f ca="1">RAND()</f>
        <v>0.87224678588456861</v>
      </c>
      <c r="O2957" s="8">
        <v>45214</v>
      </c>
      <c r="P2957" s="8">
        <v>45215</v>
      </c>
      <c r="Q2957" s="8">
        <v>45217</v>
      </c>
      <c r="R2957" s="8">
        <v>45221</v>
      </c>
      <c r="S2957" s="8">
        <v>45228</v>
      </c>
      <c r="T2957" s="8"/>
      <c r="U2957" s="8"/>
      <c r="V2957" s="10">
        <f>COUNTA(O2957:U2957)</f>
        <v>5</v>
      </c>
      <c r="W2957" s="11">
        <f>_xlfn.IFNA(INDEX(reading[[#This Row],[Memo 01]:[Memo 07]],MATCH(0,reading[[#This Row],[Memo 01]:[Memo 07]],-1)),"")</f>
        <v>45228</v>
      </c>
      <c r="X2957" s="11">
        <f ca="1">IFERROR(reading[[#This Row],[Previous]]+OFFSET(reading[[#Headers],[Memo 01]],-1,MATCH(0,reading[[#This Row],[Memo 01]:[Memo 07]],-1)-1),"")</f>
        <v>45240</v>
      </c>
      <c r="Y2957" s="10" t="str">
        <f ca="1">IF(reading[[#This Row],[Next]]&lt;&gt;"",IF(reading[[#This Row],[Next]]&gt;TODAY(),"OK",""),"")</f>
        <v/>
      </c>
      <c r="Z2957" s="13">
        <v>3</v>
      </c>
      <c r="AA2957" s="13">
        <v>2</v>
      </c>
      <c r="AB2957" s="13">
        <v>3</v>
      </c>
      <c r="AC2957" s="13">
        <v>3</v>
      </c>
      <c r="AD2957" s="13">
        <v>3</v>
      </c>
      <c r="AE2957" s="13"/>
      <c r="AF2957" s="13"/>
      <c r="AG2957" s="16">
        <f>IFERROR(SUMIF(reading[[#This Row],[1st]:[7th]],"&gt;0")/COUNTIF(reading[[#This Row],[1st]:[7th]],"&gt;0"),"")</f>
        <v>2.8</v>
      </c>
    </row>
    <row r="2958" spans="1:33" hidden="1" x14ac:dyDescent="0.2">
      <c r="A2958" s="4">
        <f>IF(B2958=1,3,IF(D2958=1,2,IF(F2958=1,1,0)))</f>
        <v>0</v>
      </c>
      <c r="B2958" s="4" t="str">
        <f>IF(C2958=$L2958,1,IF(C2958="","",0))</f>
        <v/>
      </c>
      <c r="C2958" s="42"/>
      <c r="D2958" s="4" t="str">
        <f>IF(E2958=$L2958,1,IF(E2958="","",0))</f>
        <v/>
      </c>
      <c r="E2958" s="43"/>
      <c r="F2958" s="4" t="str">
        <f>IF(G2958=$L2958,1,IF(G2958="","",0))</f>
        <v/>
      </c>
      <c r="G2958" s="23"/>
      <c r="H2958" s="6">
        <v>1585</v>
      </c>
      <c r="I2958" s="15" t="s">
        <v>3120</v>
      </c>
      <c r="J2958" s="6" t="s">
        <v>4697</v>
      </c>
      <c r="K2958" s="44" t="s">
        <v>9213</v>
      </c>
      <c r="L2958" s="6" t="s">
        <v>1668</v>
      </c>
      <c r="M2958" s="6" t="s">
        <v>7691</v>
      </c>
      <c r="N2958" s="7">
        <f ca="1">RAND()</f>
        <v>1.0539914196230349E-3</v>
      </c>
      <c r="O2958" s="8">
        <v>45209</v>
      </c>
      <c r="P2958" s="8">
        <v>45210</v>
      </c>
      <c r="Q2958" s="8">
        <v>45212</v>
      </c>
      <c r="R2958" s="8">
        <v>45216</v>
      </c>
      <c r="S2958" s="8">
        <v>45223</v>
      </c>
      <c r="T2958" s="8">
        <v>45235</v>
      </c>
      <c r="U2958" s="8">
        <v>45817</v>
      </c>
      <c r="V2958" s="10">
        <f>COUNTA(O2958:U2958)</f>
        <v>7</v>
      </c>
      <c r="W2958" s="11">
        <f>_xlfn.IFNA(INDEX(reading[[#This Row],[Memo 01]:[Memo 07]],MATCH(0,reading[[#This Row],[Memo 01]:[Memo 07]],-1)),"")</f>
        <v>45817</v>
      </c>
      <c r="X2958" s="11">
        <f ca="1">IFERROR(reading[[#This Row],[Previous]]+OFFSET(reading[[#Headers],[Memo 01]],-1,MATCH(0,reading[[#This Row],[Memo 01]:[Memo 07]],-1)-1),"")</f>
        <v>55817</v>
      </c>
      <c r="Y2958" s="10" t="str">
        <f ca="1">IF(reading[[#This Row],[Next]]&lt;&gt;"",IF(reading[[#This Row],[Next]]&gt;TODAY(),"OK",""),"")</f>
        <v>OK</v>
      </c>
      <c r="Z2958" s="13">
        <v>3</v>
      </c>
      <c r="AA2958" s="13">
        <v>3</v>
      </c>
      <c r="AB2958" s="13">
        <v>3</v>
      </c>
      <c r="AC2958" s="13">
        <v>2</v>
      </c>
      <c r="AD2958" s="13">
        <v>2</v>
      </c>
      <c r="AE2958" s="13">
        <v>2</v>
      </c>
      <c r="AF2958" s="13">
        <v>1</v>
      </c>
      <c r="AG2958" s="16">
        <f>IFERROR(SUMIF(reading[[#This Row],[1st]:[7th]],"&gt;0")/COUNTIF(reading[[#This Row],[1st]:[7th]],"&gt;0"),"")</f>
        <v>2.2857142857142856</v>
      </c>
    </row>
    <row r="2959" spans="1:33" hidden="1" x14ac:dyDescent="0.2">
      <c r="A2959" s="4">
        <f>IF(B2959=1,3,IF(D2959=1,2,IF(F2959=1,1,0)))</f>
        <v>0</v>
      </c>
      <c r="B2959" s="4">
        <f>IF(C2959=$L2959,1,IF(C2959="","",0))</f>
        <v>0</v>
      </c>
      <c r="C2959" s="42" t="s">
        <v>9250</v>
      </c>
      <c r="D2959" s="4">
        <f>IF(E2959=$L2959,1,IF(E2959="","",0))</f>
        <v>0</v>
      </c>
      <c r="E2959" s="23" t="s">
        <v>9250</v>
      </c>
      <c r="F2959" s="4" t="str">
        <f>IF(G2959=$L2959,1,IF(G2959="","",0))</f>
        <v/>
      </c>
      <c r="G2959" s="14"/>
      <c r="H2959" s="6">
        <v>492</v>
      </c>
      <c r="I2959" s="15" t="s">
        <v>3120</v>
      </c>
      <c r="J2959" s="6" t="s">
        <v>3638</v>
      </c>
      <c r="K2959" s="6"/>
      <c r="L2959" s="6" t="s">
        <v>620</v>
      </c>
      <c r="M2959" s="6" t="s">
        <v>6601</v>
      </c>
      <c r="N2959" s="7">
        <f ca="1">RAND()</f>
        <v>0.53100977494582136</v>
      </c>
      <c r="O2959" s="8">
        <v>45202</v>
      </c>
      <c r="P2959" s="8">
        <v>45203</v>
      </c>
      <c r="Q2959" s="8">
        <v>45205</v>
      </c>
      <c r="R2959" s="8">
        <v>45209</v>
      </c>
      <c r="S2959" s="8">
        <v>45216</v>
      </c>
      <c r="T2959" s="8">
        <v>45228</v>
      </c>
      <c r="U2959" s="8"/>
      <c r="V2959" s="10">
        <f>COUNTA(O2959:U2959)</f>
        <v>6</v>
      </c>
      <c r="W2959" s="11">
        <f>_xlfn.IFNA(INDEX(reading[[#This Row],[Memo 01]:[Memo 07]],MATCH(0,reading[[#This Row],[Memo 01]:[Memo 07]],-1)),"")</f>
        <v>45228</v>
      </c>
      <c r="X2959" s="11">
        <f ca="1">IFERROR(reading[[#This Row],[Previous]]+OFFSET(reading[[#Headers],[Memo 01]],-1,MATCH(0,reading[[#This Row],[Memo 01]:[Memo 07]],-1)-1),"")</f>
        <v>45248</v>
      </c>
      <c r="Y2959" s="10" t="str">
        <f ca="1">IF(reading[[#This Row],[Next]]&lt;&gt;"",IF(reading[[#This Row],[Next]]&gt;TODAY(),"OK",""),"")</f>
        <v/>
      </c>
      <c r="Z2959" s="13">
        <v>3</v>
      </c>
      <c r="AA2959" s="13">
        <v>3</v>
      </c>
      <c r="AB2959" s="13">
        <v>3</v>
      </c>
      <c r="AC2959" s="13">
        <v>3</v>
      </c>
      <c r="AD2959" s="13">
        <v>3</v>
      </c>
      <c r="AE2959" s="13">
        <v>3</v>
      </c>
      <c r="AF2959" s="13"/>
      <c r="AG2959" s="16">
        <f>IFERROR(SUMIF(reading[[#This Row],[1st]:[7th]],"&gt;0")/COUNTIF(reading[[#This Row],[1st]:[7th]],"&gt;0"),"")</f>
        <v>3</v>
      </c>
    </row>
    <row r="2960" spans="1:33" x14ac:dyDescent="0.2">
      <c r="A2960" s="4">
        <f>IF(B2960=1,3,IF(D2960=1,2,IF(F2960=1,1,0)))</f>
        <v>0</v>
      </c>
      <c r="B2960" s="4" t="str">
        <f>IF(C2960=$L2960,1,IF(C2960="","",0))</f>
        <v/>
      </c>
      <c r="C2960" s="39"/>
      <c r="D2960" s="4" t="str">
        <f>IF(E2960=$L2960,1,IF(E2960="","",0))</f>
        <v/>
      </c>
      <c r="E2960" s="14"/>
      <c r="F2960" s="4" t="str">
        <f>IF(G2960=$L2960,1,IF(G2960="","",0))</f>
        <v/>
      </c>
      <c r="G2960" s="14"/>
      <c r="H2960" s="6">
        <v>2879</v>
      </c>
      <c r="I2960" s="15" t="s">
        <v>3120</v>
      </c>
      <c r="J2960" s="6" t="s">
        <v>5916</v>
      </c>
      <c r="K2960" s="6"/>
      <c r="L2960" s="6" t="s">
        <v>2910</v>
      </c>
      <c r="M2960" s="6" t="s">
        <v>8983</v>
      </c>
      <c r="N2960" s="7">
        <f ca="1">RAND()</f>
        <v>0.72176649749237987</v>
      </c>
      <c r="O2960" s="8">
        <v>45222</v>
      </c>
      <c r="P2960" s="8">
        <v>45223</v>
      </c>
      <c r="Q2960" s="8">
        <v>45225</v>
      </c>
      <c r="R2960" s="8">
        <v>45229</v>
      </c>
      <c r="S2960" s="8">
        <v>45236</v>
      </c>
      <c r="T2960" s="8"/>
      <c r="U2960" s="8"/>
      <c r="V2960" s="10">
        <f>COUNTA(O2960:U2960)</f>
        <v>5</v>
      </c>
      <c r="W2960" s="11">
        <f>_xlfn.IFNA(INDEX(reading[[#This Row],[Memo 01]:[Memo 07]],MATCH(0,reading[[#This Row],[Memo 01]:[Memo 07]],-1)),"")</f>
        <v>45236</v>
      </c>
      <c r="X2960" s="11">
        <f ca="1">IFERROR(reading[[#This Row],[Previous]]+OFFSET(reading[[#Headers],[Memo 01]],-1,MATCH(0,reading[[#This Row],[Memo 01]:[Memo 07]],-1)-1),"")</f>
        <v>45248</v>
      </c>
      <c r="Y2960" s="10" t="str">
        <f ca="1">IF(reading[[#This Row],[Next]]&lt;&gt;"",IF(reading[[#This Row],[Next]]&gt;TODAY(),"OK",""),"")</f>
        <v/>
      </c>
      <c r="Z2960" s="13">
        <v>3</v>
      </c>
      <c r="AA2960" s="13">
        <v>3</v>
      </c>
      <c r="AB2960" s="13">
        <v>3</v>
      </c>
      <c r="AC2960" s="13">
        <v>3</v>
      </c>
      <c r="AD2960" s="13">
        <v>3</v>
      </c>
      <c r="AE2960" s="13"/>
      <c r="AF2960" s="13"/>
      <c r="AG2960" s="16">
        <f>IFERROR(SUMIF(reading[[#This Row],[1st]:[7th]],"&gt;0")/COUNTIF(reading[[#This Row],[1st]:[7th]],"&gt;0"),"")</f>
        <v>3</v>
      </c>
    </row>
    <row r="2961" spans="1:33" x14ac:dyDescent="0.2">
      <c r="A2961" s="4">
        <f>IF(B2961=1,3,IF(D2961=1,2,IF(F2961=1,1,0)))</f>
        <v>0</v>
      </c>
      <c r="B2961" s="4" t="str">
        <f>IF(C2961=$L2961,1,IF(C2961="","",0))</f>
        <v/>
      </c>
      <c r="C2961" s="41"/>
      <c r="D2961" s="4" t="str">
        <f>IF(E2961=$L2961,1,IF(E2961="","",0))</f>
        <v/>
      </c>
      <c r="E2961" s="14"/>
      <c r="F2961" s="4" t="str">
        <f>IF(G2961=$L2961,1,IF(G2961="","",0))</f>
        <v/>
      </c>
      <c r="G2961" s="14"/>
      <c r="H2961" s="6">
        <v>3012</v>
      </c>
      <c r="I2961" s="15" t="s">
        <v>3120</v>
      </c>
      <c r="J2961" s="6" t="s">
        <v>6035</v>
      </c>
      <c r="K2961" s="15" t="s">
        <v>3138</v>
      </c>
      <c r="L2961" s="6" t="s">
        <v>3041</v>
      </c>
      <c r="M2961" s="6" t="s">
        <v>9115</v>
      </c>
      <c r="N2961" s="7">
        <f ca="1">RAND()</f>
        <v>0.11983371425331801</v>
      </c>
      <c r="O2961" s="8">
        <v>45224</v>
      </c>
      <c r="P2961" s="8">
        <v>45225</v>
      </c>
      <c r="Q2961" s="8">
        <v>45227</v>
      </c>
      <c r="R2961" s="8">
        <v>45231</v>
      </c>
      <c r="S2961" s="8">
        <v>45251</v>
      </c>
      <c r="T2961" s="8"/>
      <c r="U2961" s="8"/>
      <c r="V2961" s="10">
        <f>COUNTA(O2961:U2961)</f>
        <v>5</v>
      </c>
      <c r="W2961" s="11">
        <f>_xlfn.IFNA(INDEX(reading[[#This Row],[Memo 01]:[Memo 07]],MATCH(0,reading[[#This Row],[Memo 01]:[Memo 07]],-1)),"")</f>
        <v>45251</v>
      </c>
      <c r="X2961" s="11">
        <f ca="1">IFERROR(reading[[#This Row],[Previous]]+OFFSET(reading[[#Headers],[Memo 01]],-1,MATCH(0,reading[[#This Row],[Memo 01]:[Memo 07]],-1)-1),"")</f>
        <v>45263</v>
      </c>
      <c r="Y2961" s="10" t="str">
        <f ca="1">IF(reading[[#This Row],[Next]]&lt;&gt;"",IF(reading[[#This Row],[Next]]&gt;TODAY(),"OK",""),"")</f>
        <v/>
      </c>
      <c r="Z2961" s="13">
        <v>3</v>
      </c>
      <c r="AA2961" s="13">
        <v>3</v>
      </c>
      <c r="AB2961" s="13">
        <v>3</v>
      </c>
      <c r="AC2961" s="13">
        <v>3</v>
      </c>
      <c r="AD2961" s="13">
        <v>3</v>
      </c>
      <c r="AE2961" s="13"/>
      <c r="AF2961" s="13"/>
      <c r="AG2961" s="16">
        <f>IFERROR(SUMIF(reading[[#This Row],[1st]:[7th]],"&gt;0")/COUNTIF(reading[[#This Row],[1st]:[7th]],"&gt;0"),"")</f>
        <v>3</v>
      </c>
    </row>
    <row r="2962" spans="1:33" hidden="1" x14ac:dyDescent="0.2">
      <c r="A2962" s="4">
        <f>IF(B2962=1,3,IF(D2962=1,2,IF(F2962=1,1,0)))</f>
        <v>0</v>
      </c>
      <c r="B2962" s="4">
        <f>IF(C2962=$L2962,1,IF(C2962="","",0))</f>
        <v>0</v>
      </c>
      <c r="C2962" s="42" t="s">
        <v>9200</v>
      </c>
      <c r="D2962" s="4" t="str">
        <f>IF(E2962=$L2962,1,IF(E2962="","",0))</f>
        <v/>
      </c>
      <c r="E2962" s="14"/>
      <c r="F2962" s="4" t="str">
        <f>IF(G2962=$L2962,1,IF(G2962="","",0))</f>
        <v/>
      </c>
      <c r="G2962" s="14"/>
      <c r="H2962" s="6">
        <v>1914</v>
      </c>
      <c r="I2962" s="15" t="s">
        <v>3120</v>
      </c>
      <c r="J2962" s="6" t="s">
        <v>5015</v>
      </c>
      <c r="K2962" s="6"/>
      <c r="L2962" s="6" t="s">
        <v>1990</v>
      </c>
      <c r="M2962" s="6" t="s">
        <v>8020</v>
      </c>
      <c r="N2962" s="7">
        <f ca="1">RAND()</f>
        <v>0.14399675308070659</v>
      </c>
      <c r="O2962" s="8">
        <v>45212</v>
      </c>
      <c r="P2962" s="8">
        <v>45213</v>
      </c>
      <c r="Q2962" s="8">
        <v>45215</v>
      </c>
      <c r="R2962" s="8">
        <v>45219</v>
      </c>
      <c r="S2962" s="8">
        <v>45226</v>
      </c>
      <c r="T2962" s="8"/>
      <c r="U2962" s="8"/>
      <c r="V2962" s="10">
        <f>COUNTA(O2962:U2962)</f>
        <v>5</v>
      </c>
      <c r="W2962" s="11">
        <f>_xlfn.IFNA(INDEX(reading[[#This Row],[Memo 01]:[Memo 07]],MATCH(0,reading[[#This Row],[Memo 01]:[Memo 07]],-1)),"")</f>
        <v>45226</v>
      </c>
      <c r="X2962" s="11">
        <f ca="1">IFERROR(reading[[#This Row],[Previous]]+OFFSET(reading[[#Headers],[Memo 01]],-1,MATCH(0,reading[[#This Row],[Memo 01]:[Memo 07]],-1)-1),"")</f>
        <v>45238</v>
      </c>
      <c r="Y2962" s="10" t="str">
        <f ca="1">IF(reading[[#This Row],[Next]]&lt;&gt;"",IF(reading[[#This Row],[Next]]&gt;TODAY(),"OK",""),"")</f>
        <v/>
      </c>
      <c r="Z2962" s="13">
        <v>3</v>
      </c>
      <c r="AA2962" s="13">
        <v>3</v>
      </c>
      <c r="AB2962" s="13">
        <v>3</v>
      </c>
      <c r="AC2962" s="13">
        <v>3</v>
      </c>
      <c r="AD2962" s="13">
        <v>3</v>
      </c>
      <c r="AE2962" s="13"/>
      <c r="AF2962" s="13"/>
      <c r="AG2962" s="16">
        <f>IFERROR(SUMIF(reading[[#This Row],[1st]:[7th]],"&gt;0")/COUNTIF(reading[[#This Row],[1st]:[7th]],"&gt;0"),"")</f>
        <v>3</v>
      </c>
    </row>
    <row r="2963" spans="1:33" x14ac:dyDescent="0.2">
      <c r="A2963" s="4">
        <f>IF(B2963=1,3,IF(D2963=1,2,IF(F2963=1,1,0)))</f>
        <v>0</v>
      </c>
      <c r="B2963" s="4" t="str">
        <f>IF(C2963=$L2963,1,IF(C2963="","",0))</f>
        <v/>
      </c>
      <c r="C2963" s="36"/>
      <c r="D2963" s="4" t="str">
        <f>IF(E2963=$L2963,1,IF(E2963="","",0))</f>
        <v/>
      </c>
      <c r="E2963" s="18"/>
      <c r="F2963" s="4" t="str">
        <f>IF(G2963=$L2963,1,IF(G2963="","",0))</f>
        <v/>
      </c>
      <c r="G2963" s="14"/>
      <c r="H2963" s="6">
        <v>360</v>
      </c>
      <c r="I2963" s="15" t="s">
        <v>3120</v>
      </c>
      <c r="J2963" s="6" t="s">
        <v>3507</v>
      </c>
      <c r="K2963" s="6"/>
      <c r="L2963" s="6" t="s">
        <v>80</v>
      </c>
      <c r="M2963" s="6" t="s">
        <v>6469</v>
      </c>
      <c r="N2963" s="7">
        <f ca="1">RAND()</f>
        <v>0.77898361674629069</v>
      </c>
      <c r="O2963" s="8">
        <v>45200</v>
      </c>
      <c r="P2963" s="8">
        <v>45201</v>
      </c>
      <c r="Q2963" s="8">
        <v>45203</v>
      </c>
      <c r="R2963" s="8">
        <v>45207</v>
      </c>
      <c r="S2963" s="8">
        <v>45214</v>
      </c>
      <c r="T2963" s="8">
        <v>45226</v>
      </c>
      <c r="U2963" s="8"/>
      <c r="V2963" s="10">
        <f>COUNTA(O2963:U2963)</f>
        <v>6</v>
      </c>
      <c r="W2963" s="11">
        <f>_xlfn.IFNA(INDEX(reading[[#This Row],[Memo 01]:[Memo 07]],MATCH(0,reading[[#This Row],[Memo 01]:[Memo 07]],-1)),"")</f>
        <v>45226</v>
      </c>
      <c r="X2963" s="11">
        <f ca="1">IFERROR(reading[[#This Row],[Previous]]+OFFSET(reading[[#Headers],[Memo 01]],-1,MATCH(0,reading[[#This Row],[Memo 01]:[Memo 07]],-1)-1),"")</f>
        <v>45246</v>
      </c>
      <c r="Y2963" s="10" t="str">
        <f ca="1">IF(reading[[#This Row],[Next]]&lt;&gt;"",IF(reading[[#This Row],[Next]]&gt;TODAY(),"OK",""),"")</f>
        <v/>
      </c>
      <c r="Z2963" s="13">
        <v>3</v>
      </c>
      <c r="AA2963" s="13">
        <v>3</v>
      </c>
      <c r="AB2963" s="13">
        <v>3</v>
      </c>
      <c r="AC2963" s="13">
        <v>3</v>
      </c>
      <c r="AD2963" s="13">
        <v>3</v>
      </c>
      <c r="AE2963" s="13">
        <v>2</v>
      </c>
      <c r="AF2963" s="13"/>
      <c r="AG2963" s="16">
        <f>IFERROR(SUMIF(reading[[#This Row],[1st]:[7th]],"&gt;0")/COUNTIF(reading[[#This Row],[1st]:[7th]],"&gt;0"),"")</f>
        <v>2.8333333333333335</v>
      </c>
    </row>
    <row r="2964" spans="1:33" x14ac:dyDescent="0.2">
      <c r="A2964" s="4">
        <f>IF(B2964=1,3,IF(D2964=1,2,IF(F2964=1,1,0)))</f>
        <v>0</v>
      </c>
      <c r="B2964" s="4" t="str">
        <f>IF(C2964=$L2964,1,IF(C2964="","",0))</f>
        <v/>
      </c>
      <c r="C2964" s="42"/>
      <c r="D2964" s="4" t="str">
        <f>IF(E2964=$L2964,1,IF(E2964="","",0))</f>
        <v/>
      </c>
      <c r="E2964" s="14"/>
      <c r="F2964" s="4" t="str">
        <f>IF(G2964=$L2964,1,IF(G2964="","",0))</f>
        <v/>
      </c>
      <c r="G2964" s="14"/>
      <c r="H2964" s="6">
        <v>2885</v>
      </c>
      <c r="I2964" s="15" t="s">
        <v>3120</v>
      </c>
      <c r="J2964" s="6" t="s">
        <v>5922</v>
      </c>
      <c r="K2964" s="6"/>
      <c r="L2964" s="6" t="s">
        <v>2916</v>
      </c>
      <c r="M2964" s="6" t="s">
        <v>8989</v>
      </c>
      <c r="N2964" s="7">
        <f ca="1">RAND()</f>
        <v>0.1037810514652121</v>
      </c>
      <c r="O2964" s="8">
        <v>45222</v>
      </c>
      <c r="P2964" s="8">
        <v>45223</v>
      </c>
      <c r="Q2964" s="8">
        <v>45225</v>
      </c>
      <c r="R2964" s="8">
        <v>45229</v>
      </c>
      <c r="S2964" s="8">
        <v>45236</v>
      </c>
      <c r="T2964" s="8">
        <v>45783</v>
      </c>
      <c r="U2964" s="8"/>
      <c r="V2964" s="10">
        <f>COUNTA(O2964:U2964)</f>
        <v>6</v>
      </c>
      <c r="W2964" s="11">
        <f>_xlfn.IFNA(INDEX(reading[[#This Row],[Memo 01]:[Memo 07]],MATCH(0,reading[[#This Row],[Memo 01]:[Memo 07]],-1)),"")</f>
        <v>45783</v>
      </c>
      <c r="X2964" s="11">
        <f ca="1">IFERROR(reading[[#This Row],[Previous]]+OFFSET(reading[[#Headers],[Memo 01]],-1,MATCH(0,reading[[#This Row],[Memo 01]:[Memo 07]],-1)-1),"")</f>
        <v>45803</v>
      </c>
      <c r="Y2964" s="10" t="str">
        <f ca="1">IF(reading[[#This Row],[Next]]&lt;&gt;"",IF(reading[[#This Row],[Next]]&gt;TODAY(),"OK",""),"")</f>
        <v/>
      </c>
      <c r="Z2964" s="13">
        <v>3</v>
      </c>
      <c r="AA2964" s="13">
        <v>3</v>
      </c>
      <c r="AB2964" s="13">
        <v>3</v>
      </c>
      <c r="AC2964" s="13">
        <v>3</v>
      </c>
      <c r="AD2964" s="13">
        <v>2</v>
      </c>
      <c r="AE2964" s="13">
        <v>3</v>
      </c>
      <c r="AF2964" s="13"/>
      <c r="AG2964" s="16">
        <f>IFERROR(SUMIF(reading[[#This Row],[1st]:[7th]],"&gt;0")/COUNTIF(reading[[#This Row],[1st]:[7th]],"&gt;0"),"")</f>
        <v>2.8333333333333335</v>
      </c>
    </row>
    <row r="2965" spans="1:33" hidden="1" x14ac:dyDescent="0.2">
      <c r="A2965" s="4">
        <f>IF(B2965=1,3,IF(D2965=1,2,IF(F2965=1,1,0)))</f>
        <v>0</v>
      </c>
      <c r="B2965" s="4" t="str">
        <f>IF(C2965=$L2965,1,IF(C2965="","",0))</f>
        <v/>
      </c>
      <c r="C2965" s="42"/>
      <c r="D2965" s="4" t="str">
        <f>IF(E2965=$L2965,1,IF(E2965="","",0))</f>
        <v/>
      </c>
      <c r="E2965" s="43"/>
      <c r="F2965" s="4" t="str">
        <f>IF(G2965=$L2965,1,IF(G2965="","",0))</f>
        <v/>
      </c>
      <c r="G2965" s="23"/>
      <c r="H2965" s="6">
        <v>2210</v>
      </c>
      <c r="I2965" s="15" t="s">
        <v>3120</v>
      </c>
      <c r="J2965" s="6" t="s">
        <v>5296</v>
      </c>
      <c r="K2965" s="6"/>
      <c r="L2965" s="6" t="s">
        <v>2273</v>
      </c>
      <c r="M2965" s="6" t="s">
        <v>8316</v>
      </c>
      <c r="N2965" s="7">
        <f ca="1">RAND()</f>
        <v>0.11674971316458715</v>
      </c>
      <c r="O2965" s="8">
        <v>45215</v>
      </c>
      <c r="P2965" s="8">
        <v>45216</v>
      </c>
      <c r="Q2965" s="8">
        <v>45218</v>
      </c>
      <c r="R2965" s="8">
        <v>45222</v>
      </c>
      <c r="S2965" s="8">
        <v>45229</v>
      </c>
      <c r="T2965" s="8">
        <v>45817</v>
      </c>
      <c r="U2965" s="8"/>
      <c r="V2965" s="10">
        <f>COUNTA(O2965:U2965)</f>
        <v>6</v>
      </c>
      <c r="W2965" s="11">
        <f>_xlfn.IFNA(INDEX(reading[[#This Row],[Memo 01]:[Memo 07]],MATCH(0,reading[[#This Row],[Memo 01]:[Memo 07]],-1)),"")</f>
        <v>45817</v>
      </c>
      <c r="X2965" s="11">
        <f ca="1">IFERROR(reading[[#This Row],[Previous]]+OFFSET(reading[[#Headers],[Memo 01]],-1,MATCH(0,reading[[#This Row],[Memo 01]:[Memo 07]],-1)-1),"")</f>
        <v>45837</v>
      </c>
      <c r="Y2965" s="10" t="str">
        <f ca="1">IF(reading[[#This Row],[Next]]&lt;&gt;"",IF(reading[[#This Row],[Next]]&gt;TODAY(),"OK",""),"")</f>
        <v>OK</v>
      </c>
      <c r="Z2965" s="13">
        <v>3</v>
      </c>
      <c r="AA2965" s="13">
        <v>3</v>
      </c>
      <c r="AB2965" s="13">
        <v>3</v>
      </c>
      <c r="AC2965" s="13">
        <v>3</v>
      </c>
      <c r="AD2965" s="13">
        <v>2</v>
      </c>
      <c r="AE2965" s="13">
        <v>1</v>
      </c>
      <c r="AF2965" s="13"/>
      <c r="AG2965" s="16">
        <f>IFERROR(SUMIF(reading[[#This Row],[1st]:[7th]],"&gt;0")/COUNTIF(reading[[#This Row],[1st]:[7th]],"&gt;0"),"")</f>
        <v>2.5</v>
      </c>
    </row>
    <row r="2966" spans="1:33" hidden="1" x14ac:dyDescent="0.2">
      <c r="A2966" s="4">
        <f>IF(B2966=1,3,IF(D2966=1,2,IF(F2966=1,1,0)))</f>
        <v>0</v>
      </c>
      <c r="B2966" s="4" t="str">
        <f>IF(C2966=$L2966,1,IF(C2966="","",0))</f>
        <v/>
      </c>
      <c r="C2966" s="42"/>
      <c r="D2966" s="4" t="str">
        <f>IF(E2966=$L2966,1,IF(E2966="","",0))</f>
        <v/>
      </c>
      <c r="E2966" s="43"/>
      <c r="F2966" s="4" t="str">
        <f>IF(G2966=$L2966,1,IF(G2966="","",0))</f>
        <v/>
      </c>
      <c r="G2966" s="14"/>
      <c r="H2966" s="6">
        <v>2525</v>
      </c>
      <c r="I2966" s="15" t="s">
        <v>3120</v>
      </c>
      <c r="J2966" s="6" t="s">
        <v>5587</v>
      </c>
      <c r="K2966" s="6"/>
      <c r="L2966" s="6" t="s">
        <v>2571</v>
      </c>
      <c r="M2966" s="6" t="s">
        <v>8630</v>
      </c>
      <c r="N2966" s="7">
        <f ca="1">RAND()</f>
        <v>0.16015092639433159</v>
      </c>
      <c r="O2966" s="8">
        <v>45219</v>
      </c>
      <c r="P2966" s="8">
        <v>45220</v>
      </c>
      <c r="Q2966" s="8">
        <v>45222</v>
      </c>
      <c r="R2966" s="8">
        <v>45226</v>
      </c>
      <c r="S2966" s="8">
        <v>45233</v>
      </c>
      <c r="T2966" s="8">
        <v>45825</v>
      </c>
      <c r="U2966" s="8"/>
      <c r="V2966" s="10">
        <f>COUNTA(O2966:U2966)</f>
        <v>6</v>
      </c>
      <c r="W2966" s="11">
        <f>_xlfn.IFNA(INDEX(reading[[#This Row],[Memo 01]:[Memo 07]],MATCH(0,reading[[#This Row],[Memo 01]:[Memo 07]],-1)),"")</f>
        <v>45825</v>
      </c>
      <c r="X2966" s="11">
        <f ca="1">IFERROR(reading[[#This Row],[Previous]]+OFFSET(reading[[#Headers],[Memo 01]],-1,MATCH(0,reading[[#This Row],[Memo 01]:[Memo 07]],-1)-1),"")</f>
        <v>45845</v>
      </c>
      <c r="Y2966" s="10" t="str">
        <f ca="1">IF(reading[[#This Row],[Next]]&lt;&gt;"",IF(reading[[#This Row],[Next]]&gt;TODAY(),"OK",""),"")</f>
        <v>OK</v>
      </c>
      <c r="Z2966" s="13">
        <v>3</v>
      </c>
      <c r="AA2966" s="13">
        <v>3</v>
      </c>
      <c r="AB2966" s="13">
        <v>2</v>
      </c>
      <c r="AC2966" s="13">
        <v>3</v>
      </c>
      <c r="AD2966" s="13">
        <v>3</v>
      </c>
      <c r="AE2966" s="13">
        <v>2</v>
      </c>
      <c r="AF2966" s="13"/>
      <c r="AG2966" s="16">
        <f>IFERROR(SUMIF(reading[[#This Row],[1st]:[7th]],"&gt;0")/COUNTIF(reading[[#This Row],[1st]:[7th]],"&gt;0"),"")</f>
        <v>2.6666666666666665</v>
      </c>
    </row>
    <row r="2967" spans="1:33" x14ac:dyDescent="0.2">
      <c r="A2967" s="4">
        <f>IF(B2967=1,3,IF(D2967=1,2,IF(F2967=1,1,0)))</f>
        <v>0</v>
      </c>
      <c r="B2967" s="4" t="str">
        <f>IF(C2967=$L2967,1,IF(C2967="","",0))</f>
        <v/>
      </c>
      <c r="C2967" s="39"/>
      <c r="D2967" s="4" t="str">
        <f>IF(E2967=$L2967,1,IF(E2967="","",0))</f>
        <v/>
      </c>
      <c r="E2967" s="18"/>
      <c r="F2967" s="4" t="str">
        <f>IF(G2967=$L2967,1,IF(G2967="","",0))</f>
        <v/>
      </c>
      <c r="G2967" s="14"/>
      <c r="H2967" s="6">
        <v>2300</v>
      </c>
      <c r="I2967" s="15" t="s">
        <v>3120</v>
      </c>
      <c r="J2967" s="6" t="s">
        <v>4761</v>
      </c>
      <c r="K2967" s="6"/>
      <c r="L2967" s="6" t="s">
        <v>2358</v>
      </c>
      <c r="M2967" s="6" t="s">
        <v>8405</v>
      </c>
      <c r="N2967" s="7">
        <f ca="1">RAND()</f>
        <v>0.43582321039714944</v>
      </c>
      <c r="O2967" s="8">
        <v>45216</v>
      </c>
      <c r="P2967" s="8">
        <v>45217</v>
      </c>
      <c r="Q2967" s="8">
        <v>45219</v>
      </c>
      <c r="R2967" s="8">
        <v>45223</v>
      </c>
      <c r="S2967" s="8">
        <v>45230</v>
      </c>
      <c r="T2967" s="8"/>
      <c r="U2967" s="8"/>
      <c r="V2967" s="10">
        <f>COUNTA(O2967:U2967)</f>
        <v>5</v>
      </c>
      <c r="W2967" s="11">
        <f>_xlfn.IFNA(INDEX(reading[[#This Row],[Memo 01]:[Memo 07]],MATCH(0,reading[[#This Row],[Memo 01]:[Memo 07]],-1)),"")</f>
        <v>45230</v>
      </c>
      <c r="X2967" s="11">
        <f ca="1">IFERROR(reading[[#This Row],[Previous]]+OFFSET(reading[[#Headers],[Memo 01]],-1,MATCH(0,reading[[#This Row],[Memo 01]:[Memo 07]],-1)-1),"")</f>
        <v>45242</v>
      </c>
      <c r="Y2967" s="10" t="str">
        <f ca="1">IF(reading[[#This Row],[Next]]&lt;&gt;"",IF(reading[[#This Row],[Next]]&gt;TODAY(),"OK",""),"")</f>
        <v/>
      </c>
      <c r="Z2967" s="13">
        <v>3</v>
      </c>
      <c r="AA2967" s="13">
        <v>3</v>
      </c>
      <c r="AB2967" s="13">
        <v>3</v>
      </c>
      <c r="AC2967" s="13">
        <v>3</v>
      </c>
      <c r="AD2967" s="13">
        <v>2</v>
      </c>
      <c r="AE2967" s="13"/>
      <c r="AF2967" s="13"/>
      <c r="AG2967" s="16">
        <f>IFERROR(SUMIF(reading[[#This Row],[1st]:[7th]],"&gt;0")/COUNTIF(reading[[#This Row],[1st]:[7th]],"&gt;0"),"")</f>
        <v>2.8</v>
      </c>
    </row>
    <row r="2968" spans="1:33" x14ac:dyDescent="0.2">
      <c r="A2968" s="4">
        <f>IF(B2968=1,3,IF(D2968=1,2,IF(F2968=1,1,0)))</f>
        <v>0</v>
      </c>
      <c r="B2968" s="4" t="str">
        <f>IF(C2968=$L2968,1,IF(C2968="","",0))</f>
        <v/>
      </c>
      <c r="C2968" s="38"/>
      <c r="D2968" s="4" t="str">
        <f>IF(E2968=$L2968,1,IF(E2968="","",0))</f>
        <v/>
      </c>
      <c r="E2968" s="14"/>
      <c r="F2968" s="4" t="str">
        <f>IF(G2968=$L2968,1,IF(G2968="","",0))</f>
        <v/>
      </c>
      <c r="G2968" s="14"/>
      <c r="H2968" s="6">
        <v>2189</v>
      </c>
      <c r="I2968" s="15" t="s">
        <v>3120</v>
      </c>
      <c r="J2968" s="6" t="s">
        <v>5276</v>
      </c>
      <c r="K2968" s="6"/>
      <c r="L2968" s="6" t="s">
        <v>2254</v>
      </c>
      <c r="M2968" s="6" t="s">
        <v>8295</v>
      </c>
      <c r="N2968" s="7">
        <f ca="1">RAND()</f>
        <v>0.72041846789268582</v>
      </c>
      <c r="O2968" s="8">
        <v>45215</v>
      </c>
      <c r="P2968" s="8">
        <v>45216</v>
      </c>
      <c r="Q2968" s="8">
        <v>45218</v>
      </c>
      <c r="R2968" s="8">
        <v>45222</v>
      </c>
      <c r="S2968" s="8">
        <v>45229</v>
      </c>
      <c r="T2968" s="8"/>
      <c r="U2968" s="8"/>
      <c r="V2968" s="10">
        <f>COUNTA(O2968:U2968)</f>
        <v>5</v>
      </c>
      <c r="W2968" s="11">
        <f>_xlfn.IFNA(INDEX(reading[[#This Row],[Memo 01]:[Memo 07]],MATCH(0,reading[[#This Row],[Memo 01]:[Memo 07]],-1)),"")</f>
        <v>45229</v>
      </c>
      <c r="X2968" s="11">
        <f ca="1">IFERROR(reading[[#This Row],[Previous]]+OFFSET(reading[[#Headers],[Memo 01]],-1,MATCH(0,reading[[#This Row],[Memo 01]:[Memo 07]],-1)-1),"")</f>
        <v>45241</v>
      </c>
      <c r="Y2968" s="10" t="str">
        <f ca="1">IF(reading[[#This Row],[Next]]&lt;&gt;"",IF(reading[[#This Row],[Next]]&gt;TODAY(),"OK",""),"")</f>
        <v/>
      </c>
      <c r="Z2968" s="13">
        <v>3</v>
      </c>
      <c r="AA2968" s="13">
        <v>3</v>
      </c>
      <c r="AB2968" s="13">
        <v>3</v>
      </c>
      <c r="AC2968" s="13">
        <v>3</v>
      </c>
      <c r="AD2968" s="13">
        <v>3</v>
      </c>
      <c r="AE2968" s="13"/>
      <c r="AF2968" s="13"/>
      <c r="AG2968" s="16">
        <f>IFERROR(SUMIF(reading[[#This Row],[1st]:[7th]],"&gt;0")/COUNTIF(reading[[#This Row],[1st]:[7th]],"&gt;0"),"")</f>
        <v>3</v>
      </c>
    </row>
    <row r="2969" spans="1:33" hidden="1" x14ac:dyDescent="0.2">
      <c r="A2969" s="4">
        <f>IF(B2969=1,3,IF(D2969=1,2,IF(F2969=1,1,0)))</f>
        <v>0</v>
      </c>
      <c r="B2969" s="4">
        <f>IF(C2969=$L2969,1,IF(C2969="","",0))</f>
        <v>0</v>
      </c>
      <c r="C2969" s="42" t="s">
        <v>9287</v>
      </c>
      <c r="D2969" s="4" t="str">
        <f>IF(E2969=$L2969,1,IF(E2969="","",0))</f>
        <v/>
      </c>
      <c r="E2969" s="18"/>
      <c r="F2969" s="4" t="str">
        <f>IF(G2969=$L2969,1,IF(G2969="","",0))</f>
        <v/>
      </c>
      <c r="G2969" s="14"/>
      <c r="H2969" s="6">
        <v>333</v>
      </c>
      <c r="I2969" s="15" t="s">
        <v>3120</v>
      </c>
      <c r="J2969" s="6" t="s">
        <v>3480</v>
      </c>
      <c r="K2969" s="6"/>
      <c r="L2969" s="6" t="s">
        <v>468</v>
      </c>
      <c r="M2969" s="6" t="s">
        <v>6442</v>
      </c>
      <c r="N2969" s="7">
        <f ca="1">RAND()</f>
        <v>0.20562626528052974</v>
      </c>
      <c r="O2969" s="8">
        <v>45200</v>
      </c>
      <c r="P2969" s="8">
        <v>45202</v>
      </c>
      <c r="Q2969" s="8">
        <v>45204</v>
      </c>
      <c r="R2969" s="8">
        <v>45208</v>
      </c>
      <c r="S2969" s="8">
        <v>45215</v>
      </c>
      <c r="T2969" s="8">
        <v>45227</v>
      </c>
      <c r="U2969" s="8"/>
      <c r="V2969" s="10">
        <f>COUNTA(O2969:U2969)</f>
        <v>6</v>
      </c>
      <c r="W2969" s="11">
        <f>_xlfn.IFNA(INDEX(reading[[#This Row],[Memo 01]:[Memo 07]],MATCH(0,reading[[#This Row],[Memo 01]:[Memo 07]],-1)),"")</f>
        <v>45227</v>
      </c>
      <c r="X2969" s="11">
        <f ca="1">IFERROR(reading[[#This Row],[Previous]]+OFFSET(reading[[#Headers],[Memo 01]],-1,MATCH(0,reading[[#This Row],[Memo 01]:[Memo 07]],-1)-1),"")</f>
        <v>45247</v>
      </c>
      <c r="Y2969" s="10" t="str">
        <f ca="1">IF(reading[[#This Row],[Next]]&lt;&gt;"",IF(reading[[#This Row],[Next]]&gt;TODAY(),"OK",""),"")</f>
        <v/>
      </c>
      <c r="Z2969" s="13">
        <v>3</v>
      </c>
      <c r="AA2969" s="13">
        <v>2</v>
      </c>
      <c r="AB2969" s="13">
        <v>3</v>
      </c>
      <c r="AC2969" s="13">
        <v>3</v>
      </c>
      <c r="AD2969" s="13">
        <v>3</v>
      </c>
      <c r="AE2969" s="13">
        <v>3</v>
      </c>
      <c r="AF2969" s="13"/>
      <c r="AG2969" s="16">
        <f>IFERROR(SUMIF(reading[[#This Row],[1st]:[7th]],"&gt;0")/COUNTIF(reading[[#This Row],[1st]:[7th]],"&gt;0"),"")</f>
        <v>2.8333333333333335</v>
      </c>
    </row>
    <row r="2970" spans="1:33" hidden="1" x14ac:dyDescent="0.2">
      <c r="A2970" s="4">
        <f>IF(B2970=1,3,IF(D2970=1,2,IF(F2970=1,1,0)))</f>
        <v>3</v>
      </c>
      <c r="B2970" s="4">
        <f>IF(C2970=$L2970,1,IF(C2970="","",0))</f>
        <v>1</v>
      </c>
      <c r="C2970" s="36" t="s">
        <v>3003</v>
      </c>
      <c r="D2970" s="4" t="str">
        <f>IF(E2970=$L2970,1,IF(E2970="","",0))</f>
        <v/>
      </c>
      <c r="E2970" s="14"/>
      <c r="F2970" s="4" t="str">
        <f>IF(G2970=$L2970,1,IF(G2970="","",0))</f>
        <v/>
      </c>
      <c r="G2970" s="14"/>
      <c r="H2970" s="6">
        <v>2974</v>
      </c>
      <c r="I2970" s="15" t="s">
        <v>3120</v>
      </c>
      <c r="J2970" s="6" t="s">
        <v>6004</v>
      </c>
      <c r="K2970" s="6"/>
      <c r="L2970" s="6" t="s">
        <v>3003</v>
      </c>
      <c r="M2970" s="6" t="s">
        <v>9078</v>
      </c>
      <c r="N2970" s="7">
        <f ca="1">RAND()</f>
        <v>0.95313646415703146</v>
      </c>
      <c r="O2970" s="8">
        <v>45223</v>
      </c>
      <c r="P2970" s="8">
        <v>45223</v>
      </c>
      <c r="Q2970" s="8">
        <v>45223</v>
      </c>
      <c r="R2970" s="8">
        <v>45223</v>
      </c>
      <c r="S2970" s="8">
        <v>45223</v>
      </c>
      <c r="T2970" s="8">
        <v>45223</v>
      </c>
      <c r="U2970" s="8">
        <v>45223</v>
      </c>
      <c r="V2970" s="10">
        <f>COUNTA(O2970:U2970)</f>
        <v>7</v>
      </c>
      <c r="W2970" s="11">
        <f>_xlfn.IFNA(INDEX(reading[[#This Row],[Memo 01]:[Memo 07]],MATCH(0,reading[[#This Row],[Memo 01]:[Memo 07]],-1)),"")</f>
        <v>45223</v>
      </c>
      <c r="X2970" s="11">
        <f ca="1">IFERROR(reading[[#This Row],[Previous]]+OFFSET(reading[[#Headers],[Memo 01]],-1,MATCH(0,reading[[#This Row],[Memo 01]:[Memo 07]],-1)-1),"")</f>
        <v>55223</v>
      </c>
      <c r="Y2970" s="10" t="str">
        <f ca="1">IF(reading[[#This Row],[Next]]&lt;&gt;"",IF(reading[[#This Row],[Next]]&gt;TODAY(),"OK",""),"")</f>
        <v>OK</v>
      </c>
      <c r="Z2970" s="13">
        <v>3</v>
      </c>
      <c r="AA2970" s="13"/>
      <c r="AB2970" s="13"/>
      <c r="AC2970" s="13"/>
      <c r="AD2970" s="13"/>
      <c r="AE2970" s="13"/>
      <c r="AF2970" s="13"/>
      <c r="AG2970" s="16">
        <f>IFERROR(SUMIF(reading[[#This Row],[1st]:[7th]],"&gt;0")/COUNTIF(reading[[#This Row],[1st]:[7th]],"&gt;0"),"")</f>
        <v>3</v>
      </c>
    </row>
    <row r="2971" spans="1:33" x14ac:dyDescent="0.2">
      <c r="A2971" s="4">
        <f>IF(B2971=1,3,IF(D2971=1,2,IF(F2971=1,1,0)))</f>
        <v>0</v>
      </c>
      <c r="B2971" s="4" t="str">
        <f>IF(C2971=$L2971,1,IF(C2971="","",0))</f>
        <v/>
      </c>
      <c r="C2971" s="38"/>
      <c r="D2971" s="4" t="str">
        <f>IF(E2971=$L2971,1,IF(E2971="","",0))</f>
        <v/>
      </c>
      <c r="E2971" s="14"/>
      <c r="F2971" s="4" t="str">
        <f>IF(G2971=$L2971,1,IF(G2971="","",0))</f>
        <v/>
      </c>
      <c r="G2971" s="14"/>
      <c r="H2971" s="6">
        <v>810</v>
      </c>
      <c r="I2971" s="15" t="s">
        <v>3120</v>
      </c>
      <c r="J2971" s="6" t="s">
        <v>3944</v>
      </c>
      <c r="K2971" s="6"/>
      <c r="L2971" s="6" t="s">
        <v>927</v>
      </c>
      <c r="M2971" s="6" t="s">
        <v>6919</v>
      </c>
      <c r="N2971" s="7">
        <f ca="1">RAND()</f>
        <v>9.4944547318493999E-3</v>
      </c>
      <c r="O2971" s="8">
        <v>45203</v>
      </c>
      <c r="P2971" s="8">
        <v>45204</v>
      </c>
      <c r="Q2971" s="8">
        <v>45206</v>
      </c>
      <c r="R2971" s="8">
        <v>45210</v>
      </c>
      <c r="S2971" s="8">
        <v>45217</v>
      </c>
      <c r="T2971" s="8">
        <v>45229</v>
      </c>
      <c r="U2971" s="8"/>
      <c r="V2971" s="10">
        <f>COUNTA(O2971:U2971)</f>
        <v>6</v>
      </c>
      <c r="W2971" s="11">
        <f>_xlfn.IFNA(INDEX(reading[[#This Row],[Memo 01]:[Memo 07]],MATCH(0,reading[[#This Row],[Memo 01]:[Memo 07]],-1)),"")</f>
        <v>45229</v>
      </c>
      <c r="X2971" s="11">
        <f ca="1">IFERROR(reading[[#This Row],[Previous]]+OFFSET(reading[[#Headers],[Memo 01]],-1,MATCH(0,reading[[#This Row],[Memo 01]:[Memo 07]],-1)-1),"")</f>
        <v>45249</v>
      </c>
      <c r="Y2971" s="10" t="str">
        <f ca="1">IF(reading[[#This Row],[Next]]&lt;&gt;"",IF(reading[[#This Row],[Next]]&gt;TODAY(),"OK",""),"")</f>
        <v/>
      </c>
      <c r="Z2971" s="13">
        <v>3</v>
      </c>
      <c r="AA2971" s="13">
        <v>3</v>
      </c>
      <c r="AB2971" s="13">
        <v>3</v>
      </c>
      <c r="AC2971" s="13">
        <v>3</v>
      </c>
      <c r="AD2971" s="13">
        <v>3</v>
      </c>
      <c r="AE2971" s="13">
        <v>3</v>
      </c>
      <c r="AF2971" s="13"/>
      <c r="AG2971" s="16">
        <f>IFERROR(SUMIF(reading[[#This Row],[1st]:[7th]],"&gt;0")/COUNTIF(reading[[#This Row],[1st]:[7th]],"&gt;0"),"")</f>
        <v>3</v>
      </c>
    </row>
    <row r="2972" spans="1:33" x14ac:dyDescent="0.2">
      <c r="A2972" s="4">
        <f>IF(B2972=1,3,IF(D2972=1,2,IF(F2972=1,1,0)))</f>
        <v>0</v>
      </c>
      <c r="B2972" s="4" t="str">
        <f>IF(C2972=$L2972,1,IF(C2972="","",0))</f>
        <v/>
      </c>
      <c r="C2972" s="36"/>
      <c r="D2972" s="4" t="str">
        <f>IF(E2972=$L2972,1,IF(E2972="","",0))</f>
        <v/>
      </c>
      <c r="E2972" s="14"/>
      <c r="F2972" s="4" t="str">
        <f>IF(G2972=$L2972,1,IF(G2972="","",0))</f>
        <v/>
      </c>
      <c r="G2972" s="14"/>
      <c r="H2972" s="6">
        <v>366</v>
      </c>
      <c r="I2972" s="15" t="s">
        <v>3120</v>
      </c>
      <c r="J2972" s="6" t="s">
        <v>3513</v>
      </c>
      <c r="K2972" s="6"/>
      <c r="L2972" s="6" t="s">
        <v>499</v>
      </c>
      <c r="M2972" s="6" t="s">
        <v>6475</v>
      </c>
      <c r="N2972" s="7">
        <f ca="1">RAND()</f>
        <v>0.58732275515288912</v>
      </c>
      <c r="O2972" s="8">
        <v>45201</v>
      </c>
      <c r="P2972" s="8">
        <v>45202</v>
      </c>
      <c r="Q2972" s="8">
        <v>45204</v>
      </c>
      <c r="R2972" s="8">
        <v>45208</v>
      </c>
      <c r="S2972" s="8">
        <v>45215</v>
      </c>
      <c r="T2972" s="8">
        <v>45227</v>
      </c>
      <c r="U2972" s="8"/>
      <c r="V2972" s="10">
        <f>COUNTA(O2972:U2972)</f>
        <v>6</v>
      </c>
      <c r="W2972" s="11">
        <f>_xlfn.IFNA(INDEX(reading[[#This Row],[Memo 01]:[Memo 07]],MATCH(0,reading[[#This Row],[Memo 01]:[Memo 07]],-1)),"")</f>
        <v>45227</v>
      </c>
      <c r="X2972" s="11">
        <f ca="1">IFERROR(reading[[#This Row],[Previous]]+OFFSET(reading[[#Headers],[Memo 01]],-1,MATCH(0,reading[[#This Row],[Memo 01]:[Memo 07]],-1)-1),"")</f>
        <v>45247</v>
      </c>
      <c r="Y2972" s="10" t="str">
        <f ca="1">IF(reading[[#This Row],[Next]]&lt;&gt;"",IF(reading[[#This Row],[Next]]&gt;TODAY(),"OK",""),"")</f>
        <v/>
      </c>
      <c r="Z2972" s="13">
        <v>3</v>
      </c>
      <c r="AA2972" s="13">
        <v>3</v>
      </c>
      <c r="AB2972" s="13">
        <v>3</v>
      </c>
      <c r="AC2972" s="13">
        <v>3</v>
      </c>
      <c r="AD2972" s="13">
        <v>3</v>
      </c>
      <c r="AE2972" s="13">
        <v>3</v>
      </c>
      <c r="AF2972" s="13"/>
      <c r="AG2972" s="16">
        <f>IFERROR(SUMIF(reading[[#This Row],[1st]:[7th]],"&gt;0")/COUNTIF(reading[[#This Row],[1st]:[7th]],"&gt;0"),"")</f>
        <v>3</v>
      </c>
    </row>
    <row r="2973" spans="1:33" hidden="1" x14ac:dyDescent="0.2">
      <c r="A2973" s="4">
        <f>IF(B2973=1,3,IF(D2973=1,2,IF(F2973=1,1,0)))</f>
        <v>0</v>
      </c>
      <c r="B2973" s="4" t="str">
        <f>IF(C2973=$L2973,1,IF(C2973="","",0))</f>
        <v/>
      </c>
      <c r="C2973" s="41"/>
      <c r="D2973" s="4" t="str">
        <f>IF(E2973=$L2973,1,IF(E2973="","",0))</f>
        <v/>
      </c>
      <c r="E2973" s="18"/>
      <c r="F2973" s="4" t="str">
        <f>IF(G2973=$L2973,1,IF(G2973="","",0))</f>
        <v/>
      </c>
      <c r="G2973" s="18"/>
      <c r="H2973" s="6">
        <v>10</v>
      </c>
      <c r="I2973" s="15" t="s">
        <v>3120</v>
      </c>
      <c r="J2973" s="6" t="s">
        <v>3165</v>
      </c>
      <c r="K2973" s="6"/>
      <c r="L2973" s="6" t="s">
        <v>155</v>
      </c>
      <c r="M2973" s="6" t="s">
        <v>6124</v>
      </c>
      <c r="N2973" s="7">
        <f ca="1">RAND()</f>
        <v>3.3964644558114432E-2</v>
      </c>
      <c r="O2973" s="8">
        <v>45199</v>
      </c>
      <c r="P2973" s="8">
        <v>45200</v>
      </c>
      <c r="Q2973" s="8">
        <v>45202</v>
      </c>
      <c r="R2973" s="8">
        <v>45206</v>
      </c>
      <c r="S2973" s="8">
        <v>45213</v>
      </c>
      <c r="T2973" s="8">
        <v>45226</v>
      </c>
      <c r="U2973" s="8">
        <v>45250</v>
      </c>
      <c r="V2973" s="10">
        <f>COUNTA(O2973:U2973)</f>
        <v>7</v>
      </c>
      <c r="W2973" s="11">
        <f>_xlfn.IFNA(INDEX(reading[[#This Row],[Memo 01]:[Memo 07]],MATCH(0,reading[[#This Row],[Memo 01]:[Memo 07]],-1)),"")</f>
        <v>45250</v>
      </c>
      <c r="X2973" s="11">
        <f ca="1">IFERROR(reading[[#This Row],[Previous]]+OFFSET(reading[[#Headers],[Memo 01]],-1,MATCH(0,reading[[#This Row],[Memo 01]:[Memo 07]],-1)-1),"")</f>
        <v>55250</v>
      </c>
      <c r="Y2973" s="10" t="str">
        <f ca="1">IF(reading[[#This Row],[Next]]&lt;&gt;"",IF(reading[[#This Row],[Next]]&gt;TODAY(),"OK",""),"")</f>
        <v>OK</v>
      </c>
      <c r="Z2973" s="13">
        <v>3</v>
      </c>
      <c r="AA2973" s="13">
        <v>3</v>
      </c>
      <c r="AB2973" s="13">
        <v>3</v>
      </c>
      <c r="AC2973" s="13">
        <v>3</v>
      </c>
      <c r="AD2973" s="13">
        <v>2</v>
      </c>
      <c r="AE2973" s="13">
        <v>1</v>
      </c>
      <c r="AF2973" s="13">
        <v>1</v>
      </c>
      <c r="AG2973" s="16">
        <f>IFERROR(SUMIF(reading[[#This Row],[1st]:[7th]],"&gt;0")/COUNTIF(reading[[#This Row],[1st]:[7th]],"&gt;0"),"")</f>
        <v>2.2857142857142856</v>
      </c>
    </row>
    <row r="2974" spans="1:33" hidden="1" x14ac:dyDescent="0.2">
      <c r="A2974" s="4">
        <f>IF(B2974=1,3,IF(D2974=1,2,IF(F2974=1,1,0)))</f>
        <v>0</v>
      </c>
      <c r="B2974" s="4" t="str">
        <f>IF(C2974=$L2974,1,IF(C2974="","",0))</f>
        <v/>
      </c>
      <c r="C2974" s="42"/>
      <c r="D2974" s="4" t="str">
        <f>IF(E2974=$L2974,1,IF(E2974="","",0))</f>
        <v/>
      </c>
      <c r="E2974" s="23"/>
      <c r="F2974" s="4" t="str">
        <f>IF(G2974=$L2974,1,IF(G2974="","",0))</f>
        <v/>
      </c>
      <c r="G2974" s="14"/>
      <c r="H2974" s="6">
        <v>2929</v>
      </c>
      <c r="I2974" s="15" t="s">
        <v>3120</v>
      </c>
      <c r="J2974" s="6" t="s">
        <v>5964</v>
      </c>
      <c r="K2974" s="6"/>
      <c r="L2974" s="6" t="s">
        <v>2959</v>
      </c>
      <c r="M2974" s="6" t="s">
        <v>9033</v>
      </c>
      <c r="N2974" s="7">
        <f ca="1">RAND()</f>
        <v>0.58878585834654606</v>
      </c>
      <c r="O2974" s="8">
        <v>45223</v>
      </c>
      <c r="P2974" s="8">
        <v>45224</v>
      </c>
      <c r="Q2974" s="8">
        <v>45226</v>
      </c>
      <c r="R2974" s="8">
        <v>45230</v>
      </c>
      <c r="S2974" s="8">
        <v>45237</v>
      </c>
      <c r="T2974" s="8">
        <v>45816</v>
      </c>
      <c r="U2974" s="8"/>
      <c r="V2974" s="10">
        <f>COUNTA(O2974:U2974)</f>
        <v>6</v>
      </c>
      <c r="W2974" s="11">
        <f>_xlfn.IFNA(INDEX(reading[[#This Row],[Memo 01]:[Memo 07]],MATCH(0,reading[[#This Row],[Memo 01]:[Memo 07]],-1)),"")</f>
        <v>45816</v>
      </c>
      <c r="X2974" s="11">
        <f ca="1">IFERROR(reading[[#This Row],[Previous]]+OFFSET(reading[[#Headers],[Memo 01]],-1,MATCH(0,reading[[#This Row],[Memo 01]:[Memo 07]],-1)-1),"")</f>
        <v>45836</v>
      </c>
      <c r="Y2974" s="10" t="str">
        <f ca="1">IF(reading[[#This Row],[Next]]&lt;&gt;"",IF(reading[[#This Row],[Next]]&gt;TODAY(),"OK",""),"")</f>
        <v>OK</v>
      </c>
      <c r="Z2974" s="13">
        <v>3</v>
      </c>
      <c r="AA2974" s="13">
        <v>3</v>
      </c>
      <c r="AB2974" s="13">
        <v>3</v>
      </c>
      <c r="AC2974" s="13">
        <v>3</v>
      </c>
      <c r="AD2974" s="13">
        <v>3</v>
      </c>
      <c r="AE2974" s="13">
        <v>2</v>
      </c>
      <c r="AF2974" s="13"/>
      <c r="AG2974" s="16">
        <f>IFERROR(SUMIF(reading[[#This Row],[1st]:[7th]],"&gt;0")/COUNTIF(reading[[#This Row],[1st]:[7th]],"&gt;0"),"")</f>
        <v>2.8333333333333335</v>
      </c>
    </row>
    <row r="2975" spans="1:33" x14ac:dyDescent="0.2">
      <c r="A2975" s="4">
        <f>IF(B2975=1,3,IF(D2975=1,2,IF(F2975=1,1,0)))</f>
        <v>0</v>
      </c>
      <c r="B2975" s="4" t="str">
        <f>IF(C2975=$L2975,1,IF(C2975="","",0))</f>
        <v/>
      </c>
      <c r="C2975" s="39"/>
      <c r="D2975" s="4" t="str">
        <f>IF(E2975=$L2975,1,IF(E2975="","",0))</f>
        <v/>
      </c>
      <c r="E2975" s="14"/>
      <c r="F2975" s="4" t="str">
        <f>IF(G2975=$L2975,1,IF(G2975="","",0))</f>
        <v/>
      </c>
      <c r="G2975" s="14"/>
      <c r="H2975" s="6">
        <v>1796</v>
      </c>
      <c r="I2975" s="15" t="s">
        <v>3120</v>
      </c>
      <c r="J2975" s="6" t="s">
        <v>4903</v>
      </c>
      <c r="K2975" s="6"/>
      <c r="L2975" s="6" t="s">
        <v>1875</v>
      </c>
      <c r="M2975" s="6" t="s">
        <v>7902</v>
      </c>
      <c r="N2975" s="7">
        <f ca="1">RAND()</f>
        <v>0.40312117286009241</v>
      </c>
      <c r="O2975" s="8">
        <v>45211</v>
      </c>
      <c r="P2975" s="8">
        <v>45212</v>
      </c>
      <c r="Q2975" s="8">
        <v>45214</v>
      </c>
      <c r="R2975" s="8">
        <v>45218</v>
      </c>
      <c r="S2975" s="8">
        <v>45225</v>
      </c>
      <c r="T2975" s="8">
        <v>45237</v>
      </c>
      <c r="U2975" s="8"/>
      <c r="V2975" s="10">
        <f>COUNTA(O2975:U2975)</f>
        <v>6</v>
      </c>
      <c r="W2975" s="11">
        <f>_xlfn.IFNA(INDEX(reading[[#This Row],[Memo 01]:[Memo 07]],MATCH(0,reading[[#This Row],[Memo 01]:[Memo 07]],-1)),"")</f>
        <v>45237</v>
      </c>
      <c r="X2975" s="11">
        <f ca="1">IFERROR(reading[[#This Row],[Previous]]+OFFSET(reading[[#Headers],[Memo 01]],-1,MATCH(0,reading[[#This Row],[Memo 01]:[Memo 07]],-1)-1),"")</f>
        <v>45257</v>
      </c>
      <c r="Y2975" s="10" t="str">
        <f ca="1">IF(reading[[#This Row],[Next]]&lt;&gt;"",IF(reading[[#This Row],[Next]]&gt;TODAY(),"OK",""),"")</f>
        <v/>
      </c>
      <c r="Z2975" s="13">
        <v>3</v>
      </c>
      <c r="AA2975" s="13">
        <v>3</v>
      </c>
      <c r="AB2975" s="13">
        <v>3</v>
      </c>
      <c r="AC2975" s="13">
        <v>3</v>
      </c>
      <c r="AD2975" s="13">
        <v>3</v>
      </c>
      <c r="AE2975" s="13">
        <v>3</v>
      </c>
      <c r="AF2975" s="13"/>
      <c r="AG2975" s="16">
        <f>IFERROR(SUMIF(reading[[#This Row],[1st]:[7th]],"&gt;0")/COUNTIF(reading[[#This Row],[1st]:[7th]],"&gt;0"),"")</f>
        <v>3</v>
      </c>
    </row>
    <row r="2976" spans="1:33" hidden="1" x14ac:dyDescent="0.2">
      <c r="A2976" s="4">
        <f>IF(B2976=1,3,IF(D2976=1,2,IF(F2976=1,1,0)))</f>
        <v>0</v>
      </c>
      <c r="B2976" s="4">
        <f>IF(C2976=$L2976,1,IF(C2976="","",0))</f>
        <v>0</v>
      </c>
      <c r="C2976" s="42" t="s">
        <v>9200</v>
      </c>
      <c r="D2976" s="4" t="str">
        <f>IF(E2976=$L2976,1,IF(E2976="","",0))</f>
        <v/>
      </c>
      <c r="E2976" s="14"/>
      <c r="F2976" s="4" t="str">
        <f>IF(G2976=$L2976,1,IF(G2976="","",0))</f>
        <v/>
      </c>
      <c r="G2976" s="14"/>
      <c r="H2976" s="6">
        <v>2291</v>
      </c>
      <c r="I2976" s="15" t="s">
        <v>3120</v>
      </c>
      <c r="J2976" s="6" t="s">
        <v>5372</v>
      </c>
      <c r="K2976" s="6"/>
      <c r="L2976" s="6" t="s">
        <v>2350</v>
      </c>
      <c r="M2976" s="6" t="s">
        <v>8396</v>
      </c>
      <c r="N2976" s="7">
        <f ca="1">RAND()</f>
        <v>0.54107478632536987</v>
      </c>
      <c r="O2976" s="8">
        <v>45216</v>
      </c>
      <c r="P2976" s="8">
        <v>45217</v>
      </c>
      <c r="Q2976" s="8">
        <v>45219</v>
      </c>
      <c r="R2976" s="8">
        <v>45223</v>
      </c>
      <c r="S2976" s="8">
        <v>45230</v>
      </c>
      <c r="T2976" s="8"/>
      <c r="U2976" s="8"/>
      <c r="V2976" s="10">
        <f>COUNTA(O2976:U2976)</f>
        <v>5</v>
      </c>
      <c r="W2976" s="11">
        <f>_xlfn.IFNA(INDEX(reading[[#This Row],[Memo 01]:[Memo 07]],MATCH(0,reading[[#This Row],[Memo 01]:[Memo 07]],-1)),"")</f>
        <v>45230</v>
      </c>
      <c r="X2976" s="11">
        <f ca="1">IFERROR(reading[[#This Row],[Previous]]+OFFSET(reading[[#Headers],[Memo 01]],-1,MATCH(0,reading[[#This Row],[Memo 01]:[Memo 07]],-1)-1),"")</f>
        <v>45242</v>
      </c>
      <c r="Y2976" s="10" t="str">
        <f ca="1">IF(reading[[#This Row],[Next]]&lt;&gt;"",IF(reading[[#This Row],[Next]]&gt;TODAY(),"OK",""),"")</f>
        <v/>
      </c>
      <c r="Z2976" s="13">
        <v>3</v>
      </c>
      <c r="AA2976" s="13">
        <v>3</v>
      </c>
      <c r="AB2976" s="13">
        <v>3</v>
      </c>
      <c r="AC2976" s="13">
        <v>3</v>
      </c>
      <c r="AD2976" s="13">
        <v>3</v>
      </c>
      <c r="AE2976" s="13"/>
      <c r="AF2976" s="13"/>
      <c r="AG2976" s="16">
        <f>IFERROR(SUMIF(reading[[#This Row],[1st]:[7th]],"&gt;0")/COUNTIF(reading[[#This Row],[1st]:[7th]],"&gt;0"),"")</f>
        <v>3</v>
      </c>
    </row>
    <row r="2977" spans="1:33" hidden="1" x14ac:dyDescent="0.2">
      <c r="A2977" s="4">
        <f>IF(B2977=1,3,IF(D2977=1,2,IF(F2977=1,1,0)))</f>
        <v>0</v>
      </c>
      <c r="B2977" s="4" t="str">
        <f>IF(C2977=$L2977,1,IF(C2977="","",0))</f>
        <v/>
      </c>
      <c r="C2977" s="42"/>
      <c r="D2977" s="4" t="str">
        <f>IF(E2977=$L2977,1,IF(E2977="","",0))</f>
        <v/>
      </c>
      <c r="E2977" s="43"/>
      <c r="F2977" s="4" t="str">
        <f>IF(G2977=$L2977,1,IF(G2977="","",0))</f>
        <v/>
      </c>
      <c r="G2977" s="14"/>
      <c r="H2977" s="6">
        <v>2216</v>
      </c>
      <c r="I2977" s="15" t="s">
        <v>3120</v>
      </c>
      <c r="J2977" s="6" t="s">
        <v>5302</v>
      </c>
      <c r="K2977" s="15" t="s">
        <v>3139</v>
      </c>
      <c r="L2977" s="6" t="s">
        <v>2279</v>
      </c>
      <c r="M2977" s="6" t="s">
        <v>8322</v>
      </c>
      <c r="N2977" s="7">
        <f ca="1">RAND()</f>
        <v>0.33915909113013454</v>
      </c>
      <c r="O2977" s="8">
        <v>45215</v>
      </c>
      <c r="P2977" s="8">
        <v>45216</v>
      </c>
      <c r="Q2977" s="8">
        <v>45218</v>
      </c>
      <c r="R2977" s="8">
        <v>45222</v>
      </c>
      <c r="S2977" s="8">
        <v>45229</v>
      </c>
      <c r="T2977" s="8">
        <v>45825</v>
      </c>
      <c r="U2977" s="8"/>
      <c r="V2977" s="10">
        <f>COUNTA(O2977:U2977)</f>
        <v>6</v>
      </c>
      <c r="W2977" s="11">
        <f>_xlfn.IFNA(INDEX(reading[[#This Row],[Memo 01]:[Memo 07]],MATCH(0,reading[[#This Row],[Memo 01]:[Memo 07]],-1)),"")</f>
        <v>45825</v>
      </c>
      <c r="X2977" s="11">
        <f ca="1">IFERROR(reading[[#This Row],[Previous]]+OFFSET(reading[[#Headers],[Memo 01]],-1,MATCH(0,reading[[#This Row],[Memo 01]:[Memo 07]],-1)-1),"")</f>
        <v>45845</v>
      </c>
      <c r="Y2977" s="10" t="str">
        <f ca="1">IF(reading[[#This Row],[Next]]&lt;&gt;"",IF(reading[[#This Row],[Next]]&gt;TODAY(),"OK",""),"")</f>
        <v>OK</v>
      </c>
      <c r="Z2977" s="13">
        <v>3</v>
      </c>
      <c r="AA2977" s="13">
        <v>3</v>
      </c>
      <c r="AB2977" s="13">
        <v>3</v>
      </c>
      <c r="AC2977" s="13">
        <v>2</v>
      </c>
      <c r="AD2977" s="13">
        <v>3</v>
      </c>
      <c r="AE2977" s="13">
        <v>2</v>
      </c>
      <c r="AF2977" s="13"/>
      <c r="AG2977" s="16">
        <f>IFERROR(SUMIF(reading[[#This Row],[1st]:[7th]],"&gt;0")/COUNTIF(reading[[#This Row],[1st]:[7th]],"&gt;0"),"")</f>
        <v>2.6666666666666665</v>
      </c>
    </row>
    <row r="2978" spans="1:33" x14ac:dyDescent="0.2">
      <c r="A2978" s="4">
        <f>IF(B2978=1,3,IF(D2978=1,2,IF(F2978=1,1,0)))</f>
        <v>0</v>
      </c>
      <c r="B2978" s="4" t="str">
        <f>IF(C2978=$L2978,1,IF(C2978="","",0))</f>
        <v/>
      </c>
      <c r="C2978" s="41"/>
      <c r="D2978" s="4" t="str">
        <f>IF(E2978=$L2978,1,IF(E2978="","",0))</f>
        <v/>
      </c>
      <c r="E2978" s="18"/>
      <c r="F2978" s="4" t="str">
        <f>IF(G2978=$L2978,1,IF(G2978="","",0))</f>
        <v/>
      </c>
      <c r="G2978" s="14"/>
      <c r="H2978" s="6">
        <v>2703</v>
      </c>
      <c r="I2978" s="15" t="s">
        <v>3120</v>
      </c>
      <c r="J2978" s="6" t="s">
        <v>5753</v>
      </c>
      <c r="K2978" s="6"/>
      <c r="L2978" s="6" t="s">
        <v>2742</v>
      </c>
      <c r="M2978" s="6" t="s">
        <v>8808</v>
      </c>
      <c r="N2978" s="7">
        <f ca="1">RAND()</f>
        <v>0.54089571852653096</v>
      </c>
      <c r="O2978" s="8">
        <v>45221</v>
      </c>
      <c r="P2978" s="8">
        <v>45222</v>
      </c>
      <c r="Q2978" s="8">
        <v>45224</v>
      </c>
      <c r="R2978" s="8">
        <v>45228</v>
      </c>
      <c r="S2978" s="8">
        <v>45235</v>
      </c>
      <c r="T2978" s="8">
        <v>45250</v>
      </c>
      <c r="U2978" s="8"/>
      <c r="V2978" s="10">
        <f>COUNTA(O2978:U2978)</f>
        <v>6</v>
      </c>
      <c r="W2978" s="11">
        <f>_xlfn.IFNA(INDEX(reading[[#This Row],[Memo 01]:[Memo 07]],MATCH(0,reading[[#This Row],[Memo 01]:[Memo 07]],-1)),"")</f>
        <v>45250</v>
      </c>
      <c r="X2978" s="11">
        <f ca="1">IFERROR(reading[[#This Row],[Previous]]+OFFSET(reading[[#Headers],[Memo 01]],-1,MATCH(0,reading[[#This Row],[Memo 01]:[Memo 07]],-1)-1),"")</f>
        <v>45270</v>
      </c>
      <c r="Y2978" s="10" t="str">
        <f ca="1">IF(reading[[#This Row],[Next]]&lt;&gt;"",IF(reading[[#This Row],[Next]]&gt;TODAY(),"OK",""),"")</f>
        <v/>
      </c>
      <c r="Z2978" s="13">
        <v>3</v>
      </c>
      <c r="AA2978" s="13">
        <v>3</v>
      </c>
      <c r="AB2978" s="13">
        <v>2</v>
      </c>
      <c r="AC2978" s="13">
        <v>2</v>
      </c>
      <c r="AD2978" s="13">
        <v>2</v>
      </c>
      <c r="AE2978" s="13">
        <v>2</v>
      </c>
      <c r="AF2978" s="13"/>
      <c r="AG2978" s="16">
        <f>IFERROR(SUMIF(reading[[#This Row],[1st]:[7th]],"&gt;0")/COUNTIF(reading[[#This Row],[1st]:[7th]],"&gt;0"),"")</f>
        <v>2.3333333333333335</v>
      </c>
    </row>
    <row r="2979" spans="1:33" hidden="1" x14ac:dyDescent="0.2">
      <c r="A2979" s="4">
        <f>IF(B2979=1,3,IF(D2979=1,2,IF(F2979=1,1,0)))</f>
        <v>0</v>
      </c>
      <c r="B2979" s="4">
        <f>IF(C2979=$L2979,1,IF(C2979="","",0))</f>
        <v>0</v>
      </c>
      <c r="C2979" s="42" t="s">
        <v>9200</v>
      </c>
      <c r="D2979" s="4" t="str">
        <f>IF(E2979=$L2979,1,IF(E2979="","",0))</f>
        <v/>
      </c>
      <c r="E2979" s="18"/>
      <c r="F2979" s="4" t="str">
        <f>IF(G2979=$L2979,1,IF(G2979="","",0))</f>
        <v/>
      </c>
      <c r="G2979" s="14"/>
      <c r="H2979" s="6">
        <v>2245</v>
      </c>
      <c r="I2979" s="15" t="s">
        <v>3120</v>
      </c>
      <c r="J2979" s="6" t="s">
        <v>5329</v>
      </c>
      <c r="K2979" s="6"/>
      <c r="L2979" s="6" t="s">
        <v>2307</v>
      </c>
      <c r="M2979" s="6" t="s">
        <v>8350</v>
      </c>
      <c r="N2979" s="7">
        <f ca="1">RAND()</f>
        <v>0.20304573773615542</v>
      </c>
      <c r="O2979" s="8">
        <v>45216</v>
      </c>
      <c r="P2979" s="8">
        <v>45217</v>
      </c>
      <c r="Q2979" s="8">
        <v>45219</v>
      </c>
      <c r="R2979" s="8">
        <v>45223</v>
      </c>
      <c r="S2979" s="8">
        <v>45230</v>
      </c>
      <c r="T2979" s="8">
        <v>45252</v>
      </c>
      <c r="U2979" s="8"/>
      <c r="V2979" s="10">
        <f>COUNTA(O2979:U2979)</f>
        <v>6</v>
      </c>
      <c r="W2979" s="11">
        <f>_xlfn.IFNA(INDEX(reading[[#This Row],[Memo 01]:[Memo 07]],MATCH(0,reading[[#This Row],[Memo 01]:[Memo 07]],-1)),"")</f>
        <v>45252</v>
      </c>
      <c r="X2979" s="11">
        <f ca="1">IFERROR(reading[[#This Row],[Previous]]+OFFSET(reading[[#Headers],[Memo 01]],-1,MATCH(0,reading[[#This Row],[Memo 01]:[Memo 07]],-1)-1),"")</f>
        <v>45272</v>
      </c>
      <c r="Y2979" s="10" t="str">
        <f ca="1">IF(reading[[#This Row],[Next]]&lt;&gt;"",IF(reading[[#This Row],[Next]]&gt;TODAY(),"OK",""),"")</f>
        <v/>
      </c>
      <c r="Z2979" s="13">
        <v>3</v>
      </c>
      <c r="AA2979" s="13">
        <v>2</v>
      </c>
      <c r="AB2979" s="13">
        <v>3</v>
      </c>
      <c r="AC2979" s="13">
        <v>2</v>
      </c>
      <c r="AD2979" s="13">
        <v>3</v>
      </c>
      <c r="AE2979" s="13">
        <v>2</v>
      </c>
      <c r="AF2979" s="13"/>
      <c r="AG2979" s="16">
        <f>IFERROR(SUMIF(reading[[#This Row],[1st]:[7th]],"&gt;0")/COUNTIF(reading[[#This Row],[1st]:[7th]],"&gt;0"),"")</f>
        <v>2.5</v>
      </c>
    </row>
    <row r="2980" spans="1:33" x14ac:dyDescent="0.2">
      <c r="A2980" s="4">
        <f>IF(B2980=1,3,IF(D2980=1,2,IF(F2980=1,1,0)))</f>
        <v>0</v>
      </c>
      <c r="B2980" s="4" t="str">
        <f>IF(C2980=$L2980,1,IF(C2980="","",0))</f>
        <v/>
      </c>
      <c r="C2980" s="42"/>
      <c r="D2980" s="4" t="str">
        <f>IF(E2980=$L2980,1,IF(E2980="","",0))</f>
        <v/>
      </c>
      <c r="E2980" s="23"/>
      <c r="F2980" s="4" t="str">
        <f>IF(G2980=$L2980,1,IF(G2980="","",0))</f>
        <v/>
      </c>
      <c r="G2980" s="14"/>
      <c r="H2980" s="6">
        <v>2606</v>
      </c>
      <c r="I2980" s="15" t="s">
        <v>3120</v>
      </c>
      <c r="J2980" s="6" t="s">
        <v>5662</v>
      </c>
      <c r="K2980" s="6"/>
      <c r="L2980" s="6" t="s">
        <v>2649</v>
      </c>
      <c r="M2980" s="6" t="s">
        <v>8711</v>
      </c>
      <c r="N2980" s="7">
        <f ca="1">RAND()</f>
        <v>0.31661306422522839</v>
      </c>
      <c r="O2980" s="8">
        <v>45220</v>
      </c>
      <c r="P2980" s="8">
        <v>45221</v>
      </c>
      <c r="Q2980" s="8">
        <v>45223</v>
      </c>
      <c r="R2980" s="8">
        <v>45227</v>
      </c>
      <c r="S2980" s="8">
        <v>45234</v>
      </c>
      <c r="T2980" s="8">
        <v>45801</v>
      </c>
      <c r="U2980" s="8"/>
      <c r="V2980" s="10">
        <f>COUNTA(O2980:U2980)</f>
        <v>6</v>
      </c>
      <c r="W2980" s="11">
        <f>_xlfn.IFNA(INDEX(reading[[#This Row],[Memo 01]:[Memo 07]],MATCH(0,reading[[#This Row],[Memo 01]:[Memo 07]],-1)),"")</f>
        <v>45801</v>
      </c>
      <c r="X2980" s="11">
        <f ca="1">IFERROR(reading[[#This Row],[Previous]]+OFFSET(reading[[#Headers],[Memo 01]],-1,MATCH(0,reading[[#This Row],[Memo 01]:[Memo 07]],-1)-1),"")</f>
        <v>45821</v>
      </c>
      <c r="Y2980" s="10" t="str">
        <f ca="1">IF(reading[[#This Row],[Next]]&lt;&gt;"",IF(reading[[#This Row],[Next]]&gt;TODAY(),"OK",""),"")</f>
        <v/>
      </c>
      <c r="Z2980" s="13">
        <v>3</v>
      </c>
      <c r="AA2980" s="13">
        <v>3</v>
      </c>
      <c r="AB2980" s="13">
        <v>3</v>
      </c>
      <c r="AC2980" s="13">
        <v>3</v>
      </c>
      <c r="AD2980" s="13">
        <v>3</v>
      </c>
      <c r="AE2980" s="13">
        <v>3</v>
      </c>
      <c r="AF2980" s="13"/>
      <c r="AG2980" s="16">
        <f>IFERROR(SUMIF(reading[[#This Row],[1st]:[7th]],"&gt;0")/COUNTIF(reading[[#This Row],[1st]:[7th]],"&gt;0"),"")</f>
        <v>3</v>
      </c>
    </row>
    <row r="2981" spans="1:33" hidden="1" x14ac:dyDescent="0.2">
      <c r="A2981" s="4">
        <f>IF(B2981=1,3,IF(D2981=1,2,IF(F2981=1,1,0)))</f>
        <v>0</v>
      </c>
      <c r="B2981" s="4">
        <f>IF(C2981=$L2981,1,IF(C2981="","",0))</f>
        <v>0</v>
      </c>
      <c r="C2981" s="42" t="s">
        <v>9200</v>
      </c>
      <c r="D2981" s="4" t="str">
        <f>IF(E2981=$L2981,1,IF(E2981="","",0))</f>
        <v/>
      </c>
      <c r="E2981" s="14"/>
      <c r="F2981" s="4" t="str">
        <f>IF(G2981=$L2981,1,IF(G2981="","",0))</f>
        <v/>
      </c>
      <c r="G2981" s="14"/>
      <c r="H2981" s="6">
        <v>921</v>
      </c>
      <c r="I2981" s="15" t="s">
        <v>3120</v>
      </c>
      <c r="J2981" s="6" t="s">
        <v>4053</v>
      </c>
      <c r="K2981" s="6"/>
      <c r="L2981" s="6" t="s">
        <v>1033</v>
      </c>
      <c r="M2981" s="6" t="s">
        <v>7030</v>
      </c>
      <c r="N2981" s="7">
        <f ca="1">RAND()</f>
        <v>0.17312777147161207</v>
      </c>
      <c r="O2981" s="8">
        <v>45204</v>
      </c>
      <c r="P2981" s="8">
        <v>45205</v>
      </c>
      <c r="Q2981" s="8">
        <v>45207</v>
      </c>
      <c r="R2981" s="8">
        <v>45211</v>
      </c>
      <c r="S2981" s="8">
        <v>45218</v>
      </c>
      <c r="T2981" s="8">
        <v>45230</v>
      </c>
      <c r="U2981" s="8"/>
      <c r="V2981" s="10">
        <f>COUNTA(O2981:U2981)</f>
        <v>6</v>
      </c>
      <c r="W2981" s="11">
        <f>_xlfn.IFNA(INDEX(reading[[#This Row],[Memo 01]:[Memo 07]],MATCH(0,reading[[#This Row],[Memo 01]:[Memo 07]],-1)),"")</f>
        <v>45230</v>
      </c>
      <c r="X2981" s="11">
        <f ca="1">IFERROR(reading[[#This Row],[Previous]]+OFFSET(reading[[#Headers],[Memo 01]],-1,MATCH(0,reading[[#This Row],[Memo 01]:[Memo 07]],-1)-1),"")</f>
        <v>45250</v>
      </c>
      <c r="Y2981" s="10" t="str">
        <f ca="1">IF(reading[[#This Row],[Next]]&lt;&gt;"",IF(reading[[#This Row],[Next]]&gt;TODAY(),"OK",""),"")</f>
        <v/>
      </c>
      <c r="Z2981" s="13">
        <v>3</v>
      </c>
      <c r="AA2981" s="13">
        <v>2</v>
      </c>
      <c r="AB2981" s="13">
        <v>3</v>
      </c>
      <c r="AC2981" s="13">
        <v>3</v>
      </c>
      <c r="AD2981" s="13">
        <v>3</v>
      </c>
      <c r="AE2981" s="13">
        <v>3</v>
      </c>
      <c r="AF2981" s="13"/>
      <c r="AG2981" s="16">
        <f>IFERROR(SUMIF(reading[[#This Row],[1st]:[7th]],"&gt;0")/COUNTIF(reading[[#This Row],[1st]:[7th]],"&gt;0"),"")</f>
        <v>2.8333333333333335</v>
      </c>
    </row>
    <row r="2982" spans="1:33" x14ac:dyDescent="0.2">
      <c r="A2982" s="4">
        <f>IF(B2982=1,3,IF(D2982=1,2,IF(F2982=1,1,0)))</f>
        <v>0</v>
      </c>
      <c r="B2982" s="4" t="str">
        <f>IF(C2982=$L2982,1,IF(C2982="","",0))</f>
        <v/>
      </c>
      <c r="C2982" s="39"/>
      <c r="D2982" s="4" t="str">
        <f>IF(E2982=$L2982,1,IF(E2982="","",0))</f>
        <v/>
      </c>
      <c r="E2982" s="18"/>
      <c r="F2982" s="4" t="str">
        <f>IF(G2982=$L2982,1,IF(G2982="","",0))</f>
        <v/>
      </c>
      <c r="G2982" s="14"/>
      <c r="H2982" s="6">
        <v>1455</v>
      </c>
      <c r="I2982" s="15" t="s">
        <v>3120</v>
      </c>
      <c r="J2982" s="6" t="s">
        <v>4569</v>
      </c>
      <c r="K2982" s="15" t="s">
        <v>3151</v>
      </c>
      <c r="L2982" s="6" t="s">
        <v>1543</v>
      </c>
      <c r="M2982" s="6" t="s">
        <v>7562</v>
      </c>
      <c r="N2982" s="7">
        <f ca="1">RAND()</f>
        <v>1.0408863181702976E-2</v>
      </c>
      <c r="O2982" s="8">
        <v>45208</v>
      </c>
      <c r="P2982" s="8">
        <v>45209</v>
      </c>
      <c r="Q2982" s="8">
        <v>45212</v>
      </c>
      <c r="R2982" s="8">
        <v>45216</v>
      </c>
      <c r="S2982" s="8">
        <v>45223</v>
      </c>
      <c r="T2982" s="8">
        <v>45235</v>
      </c>
      <c r="U2982" s="8"/>
      <c r="V2982" s="10">
        <f>COUNTA(O2982:U2982)</f>
        <v>6</v>
      </c>
      <c r="W2982" s="11">
        <f>_xlfn.IFNA(INDEX(reading[[#This Row],[Memo 01]:[Memo 07]],MATCH(0,reading[[#This Row],[Memo 01]:[Memo 07]],-1)),"")</f>
        <v>45235</v>
      </c>
      <c r="X2982" s="11">
        <f ca="1">IFERROR(reading[[#This Row],[Previous]]+OFFSET(reading[[#Headers],[Memo 01]],-1,MATCH(0,reading[[#This Row],[Memo 01]:[Memo 07]],-1)-1),"")</f>
        <v>45255</v>
      </c>
      <c r="Y2982" s="10" t="str">
        <f ca="1">IF(reading[[#This Row],[Next]]&lt;&gt;"",IF(reading[[#This Row],[Next]]&gt;TODAY(),"OK",""),"")</f>
        <v/>
      </c>
      <c r="Z2982" s="13">
        <v>3</v>
      </c>
      <c r="AA2982" s="13">
        <v>3</v>
      </c>
      <c r="AB2982" s="13">
        <v>2</v>
      </c>
      <c r="AC2982" s="13">
        <v>2</v>
      </c>
      <c r="AD2982" s="13">
        <v>2</v>
      </c>
      <c r="AE2982" s="13">
        <v>3</v>
      </c>
      <c r="AF2982" s="13"/>
      <c r="AG2982" s="16">
        <f>IFERROR(SUMIF(reading[[#This Row],[1st]:[7th]],"&gt;0")/COUNTIF(reading[[#This Row],[1st]:[7th]],"&gt;0"),"")</f>
        <v>2.5</v>
      </c>
    </row>
    <row r="2983" spans="1:33" x14ac:dyDescent="0.2">
      <c r="A2983" s="4">
        <f>IF(B2983=1,3,IF(D2983=1,2,IF(F2983=1,1,0)))</f>
        <v>0</v>
      </c>
      <c r="B2983" s="4" t="str">
        <f>IF(C2983=$L2983,1,IF(C2983="","",0))</f>
        <v/>
      </c>
      <c r="C2983" s="42"/>
      <c r="D2983" s="4" t="str">
        <f>IF(E2983=$L2983,1,IF(E2983="","",0))</f>
        <v/>
      </c>
      <c r="E2983" s="23"/>
      <c r="F2983" s="4" t="str">
        <f>IF(G2983=$L2983,1,IF(G2983="","",0))</f>
        <v/>
      </c>
      <c r="G2983" s="14"/>
      <c r="H2983" s="6">
        <v>825</v>
      </c>
      <c r="I2983" s="15" t="s">
        <v>3120</v>
      </c>
      <c r="J2983" s="6" t="s">
        <v>3958</v>
      </c>
      <c r="K2983" s="6"/>
      <c r="L2983" s="6" t="s">
        <v>941</v>
      </c>
      <c r="M2983" s="6" t="s">
        <v>6934</v>
      </c>
      <c r="N2983" s="7">
        <f ca="1">RAND()</f>
        <v>0.18814025802306655</v>
      </c>
      <c r="O2983" s="8">
        <v>45203</v>
      </c>
      <c r="P2983" s="8">
        <v>45204</v>
      </c>
      <c r="Q2983" s="8">
        <v>45206</v>
      </c>
      <c r="R2983" s="8">
        <v>45210</v>
      </c>
      <c r="S2983" s="8">
        <v>45217</v>
      </c>
      <c r="T2983" s="8">
        <v>45229</v>
      </c>
      <c r="U2983" s="8"/>
      <c r="V2983" s="10">
        <f>COUNTA(O2983:U2983)</f>
        <v>6</v>
      </c>
      <c r="W2983" s="11">
        <f>_xlfn.IFNA(INDEX(reading[[#This Row],[Memo 01]:[Memo 07]],MATCH(0,reading[[#This Row],[Memo 01]:[Memo 07]],-1)),"")</f>
        <v>45229</v>
      </c>
      <c r="X2983" s="11">
        <f ca="1">IFERROR(reading[[#This Row],[Previous]]+OFFSET(reading[[#Headers],[Memo 01]],-1,MATCH(0,reading[[#This Row],[Memo 01]:[Memo 07]],-1)-1),"")</f>
        <v>45249</v>
      </c>
      <c r="Y2983" s="10" t="str">
        <f ca="1">IF(reading[[#This Row],[Next]]&lt;&gt;"",IF(reading[[#This Row],[Next]]&gt;TODAY(),"OK",""),"")</f>
        <v/>
      </c>
      <c r="Z2983" s="13">
        <v>3</v>
      </c>
      <c r="AA2983" s="13">
        <v>3</v>
      </c>
      <c r="AB2983" s="13">
        <v>2</v>
      </c>
      <c r="AC2983" s="13">
        <v>2</v>
      </c>
      <c r="AD2983" s="13">
        <v>3</v>
      </c>
      <c r="AE2983" s="13">
        <v>3</v>
      </c>
      <c r="AF2983" s="13"/>
      <c r="AG2983" s="16">
        <f>IFERROR(SUMIF(reading[[#This Row],[1st]:[7th]],"&gt;0")/COUNTIF(reading[[#This Row],[1st]:[7th]],"&gt;0"),"")</f>
        <v>2.6666666666666665</v>
      </c>
    </row>
    <row r="2984" spans="1:33" hidden="1" x14ac:dyDescent="0.2">
      <c r="A2984" s="4">
        <f>IF(B2984=1,3,IF(D2984=1,2,IF(F2984=1,1,0)))</f>
        <v>0</v>
      </c>
      <c r="B2984" s="4">
        <f>IF(C2984=$L2984,1,IF(C2984="","",0))</f>
        <v>0</v>
      </c>
      <c r="C2984" s="42" t="s">
        <v>9200</v>
      </c>
      <c r="D2984" s="4" t="str">
        <f>IF(E2984=$L2984,1,IF(E2984="","",0))</f>
        <v/>
      </c>
      <c r="E2984" s="18"/>
      <c r="F2984" s="4" t="str">
        <f>IF(G2984=$L2984,1,IF(G2984="","",0))</f>
        <v/>
      </c>
      <c r="G2984" s="14"/>
      <c r="H2984" s="6">
        <v>987</v>
      </c>
      <c r="I2984" s="15" t="s">
        <v>3120</v>
      </c>
      <c r="J2984" s="6" t="s">
        <v>4116</v>
      </c>
      <c r="K2984" s="6"/>
      <c r="L2984" s="6" t="s">
        <v>1097</v>
      </c>
      <c r="M2984" s="6" t="s">
        <v>7095</v>
      </c>
      <c r="N2984" s="7">
        <f ca="1">RAND()</f>
        <v>0.62491071380114305</v>
      </c>
      <c r="O2984" s="8">
        <v>45204</v>
      </c>
      <c r="P2984" s="8">
        <v>45205</v>
      </c>
      <c r="Q2984" s="8">
        <v>45207</v>
      </c>
      <c r="R2984" s="8">
        <v>45211</v>
      </c>
      <c r="S2984" s="8">
        <v>45218</v>
      </c>
      <c r="T2984" s="8">
        <v>45230</v>
      </c>
      <c r="U2984" s="8"/>
      <c r="V2984" s="10">
        <f>COUNTA(O2984:U2984)</f>
        <v>6</v>
      </c>
      <c r="W2984" s="11">
        <f>_xlfn.IFNA(INDEX(reading[[#This Row],[Memo 01]:[Memo 07]],MATCH(0,reading[[#This Row],[Memo 01]:[Memo 07]],-1)),"")</f>
        <v>45230</v>
      </c>
      <c r="X2984" s="11">
        <f ca="1">IFERROR(reading[[#This Row],[Previous]]+OFFSET(reading[[#Headers],[Memo 01]],-1,MATCH(0,reading[[#This Row],[Memo 01]:[Memo 07]],-1)-1),"")</f>
        <v>45250</v>
      </c>
      <c r="Y2984" s="10" t="str">
        <f ca="1">IF(reading[[#This Row],[Next]]&lt;&gt;"",IF(reading[[#This Row],[Next]]&gt;TODAY(),"OK",""),"")</f>
        <v/>
      </c>
      <c r="Z2984" s="13">
        <v>3</v>
      </c>
      <c r="AA2984" s="13">
        <v>3</v>
      </c>
      <c r="AB2984" s="13">
        <v>2</v>
      </c>
      <c r="AC2984" s="13">
        <v>3</v>
      </c>
      <c r="AD2984" s="13">
        <v>3</v>
      </c>
      <c r="AE2984" s="13">
        <v>3</v>
      </c>
      <c r="AF2984" s="13"/>
      <c r="AG2984" s="16">
        <f>IFERROR(SUMIF(reading[[#This Row],[1st]:[7th]],"&gt;0")/COUNTIF(reading[[#This Row],[1st]:[7th]],"&gt;0"),"")</f>
        <v>2.8333333333333335</v>
      </c>
    </row>
    <row r="2985" spans="1:33" hidden="1" x14ac:dyDescent="0.2">
      <c r="A2985" s="4">
        <f>IF(B2985=1,3,IF(D2985=1,2,IF(F2985=1,1,0)))</f>
        <v>0</v>
      </c>
      <c r="B2985" s="4">
        <f>IF(C2985=$L2985,1,IF(C2985="","",0))</f>
        <v>0</v>
      </c>
      <c r="C2985" s="42" t="s">
        <v>9289</v>
      </c>
      <c r="D2985" s="4" t="str">
        <f>IF(E2985=$L2985,1,IF(E2985="","",0))</f>
        <v/>
      </c>
      <c r="E2985" s="14"/>
      <c r="F2985" s="4" t="str">
        <f>IF(G2985=$L2985,1,IF(G2985="","",0))</f>
        <v/>
      </c>
      <c r="G2985" s="14"/>
      <c r="H2985" s="6">
        <v>2767</v>
      </c>
      <c r="I2985" s="15" t="s">
        <v>3120</v>
      </c>
      <c r="J2985" s="6" t="s">
        <v>5811</v>
      </c>
      <c r="K2985" s="24" t="s">
        <v>3137</v>
      </c>
      <c r="L2985" s="6" t="s">
        <v>2805</v>
      </c>
      <c r="M2985" s="6" t="s">
        <v>8871</v>
      </c>
      <c r="N2985" s="7">
        <f ca="1">RAND()</f>
        <v>0.64602198028266156</v>
      </c>
      <c r="O2985" s="8">
        <v>45222</v>
      </c>
      <c r="P2985" s="8">
        <v>45223</v>
      </c>
      <c r="Q2985" s="8">
        <v>45225</v>
      </c>
      <c r="R2985" s="8">
        <v>45229</v>
      </c>
      <c r="S2985" s="8">
        <v>45236</v>
      </c>
      <c r="T2985" s="8"/>
      <c r="U2985" s="8"/>
      <c r="V2985" s="10">
        <f>COUNTA(O2985:U2985)</f>
        <v>5</v>
      </c>
      <c r="W2985" s="11">
        <f>_xlfn.IFNA(INDEX(reading[[#This Row],[Memo 01]:[Memo 07]],MATCH(0,reading[[#This Row],[Memo 01]:[Memo 07]],-1)),"")</f>
        <v>45236</v>
      </c>
      <c r="X2985" s="11">
        <f ca="1">IFERROR(reading[[#This Row],[Previous]]+OFFSET(reading[[#Headers],[Memo 01]],-1,MATCH(0,reading[[#This Row],[Memo 01]:[Memo 07]],-1)-1),"")</f>
        <v>45248</v>
      </c>
      <c r="Y2985" s="10" t="str">
        <f ca="1">IF(reading[[#This Row],[Next]]&lt;&gt;"",IF(reading[[#This Row],[Next]]&gt;TODAY(),"OK",""),"")</f>
        <v/>
      </c>
      <c r="Z2985" s="13">
        <v>3</v>
      </c>
      <c r="AA2985" s="13">
        <v>3</v>
      </c>
      <c r="AB2985" s="13">
        <v>3</v>
      </c>
      <c r="AC2985" s="13">
        <v>3</v>
      </c>
      <c r="AD2985" s="13">
        <v>3</v>
      </c>
      <c r="AE2985" s="13"/>
      <c r="AF2985" s="13"/>
      <c r="AG2985" s="16">
        <f>IFERROR(SUMIF(reading[[#This Row],[1st]:[7th]],"&gt;0")/COUNTIF(reading[[#This Row],[1st]:[7th]],"&gt;0"),"")</f>
        <v>3</v>
      </c>
    </row>
    <row r="2986" spans="1:33" hidden="1" x14ac:dyDescent="0.2">
      <c r="A2986" s="4">
        <f>IF(B2986=1,3,IF(D2986=1,2,IF(F2986=1,1,0)))</f>
        <v>0</v>
      </c>
      <c r="B2986" s="4" t="str">
        <f>IF(C2986=$L2986,1,IF(C2986="","",0))</f>
        <v/>
      </c>
      <c r="C2986" s="41"/>
      <c r="D2986" s="4" t="str">
        <f>IF(E2986=$L2986,1,IF(E2986="","",0))</f>
        <v/>
      </c>
      <c r="E2986" s="18"/>
      <c r="F2986" s="4" t="str">
        <f>IF(G2986=$L2986,1,IF(G2986="","",0))</f>
        <v/>
      </c>
      <c r="G2986" s="18"/>
      <c r="H2986" s="6">
        <v>969</v>
      </c>
      <c r="I2986" s="15" t="s">
        <v>3120</v>
      </c>
      <c r="J2986" s="6" t="s">
        <v>4098</v>
      </c>
      <c r="K2986" s="15" t="s">
        <v>3138</v>
      </c>
      <c r="L2986" s="6" t="s">
        <v>1079</v>
      </c>
      <c r="M2986" s="6" t="s">
        <v>7077</v>
      </c>
      <c r="N2986" s="7">
        <f ca="1">RAND()</f>
        <v>0.63333739506139608</v>
      </c>
      <c r="O2986" s="8">
        <v>45204</v>
      </c>
      <c r="P2986" s="8">
        <v>45205</v>
      </c>
      <c r="Q2986" s="8">
        <v>45207</v>
      </c>
      <c r="R2986" s="8">
        <v>45211</v>
      </c>
      <c r="S2986" s="8">
        <v>45218</v>
      </c>
      <c r="T2986" s="8">
        <v>45230</v>
      </c>
      <c r="U2986" s="8">
        <v>45252</v>
      </c>
      <c r="V2986" s="10">
        <f>COUNTA(O2986:U2986)</f>
        <v>7</v>
      </c>
      <c r="W2986" s="11">
        <f>_xlfn.IFNA(INDEX(reading[[#This Row],[Memo 01]:[Memo 07]],MATCH(0,reading[[#This Row],[Memo 01]:[Memo 07]],-1)),"")</f>
        <v>45252</v>
      </c>
      <c r="X2986" s="11">
        <f ca="1">IFERROR(reading[[#This Row],[Previous]]+OFFSET(reading[[#Headers],[Memo 01]],-1,MATCH(0,reading[[#This Row],[Memo 01]:[Memo 07]],-1)-1),"")</f>
        <v>55252</v>
      </c>
      <c r="Y2986" s="10" t="str">
        <f ca="1">IF(reading[[#This Row],[Next]]&lt;&gt;"",IF(reading[[#This Row],[Next]]&gt;TODAY(),"OK",""),"")</f>
        <v>OK</v>
      </c>
      <c r="Z2986" s="13">
        <v>3</v>
      </c>
      <c r="AA2986" s="13">
        <v>3</v>
      </c>
      <c r="AB2986" s="13">
        <v>2</v>
      </c>
      <c r="AC2986" s="13">
        <v>3</v>
      </c>
      <c r="AD2986" s="13">
        <v>2</v>
      </c>
      <c r="AE2986" s="13">
        <v>2</v>
      </c>
      <c r="AF2986" s="13">
        <v>1</v>
      </c>
      <c r="AG2986" s="16">
        <f>IFERROR(SUMIF(reading[[#This Row],[1st]:[7th]],"&gt;0")/COUNTIF(reading[[#This Row],[1st]:[7th]],"&gt;0"),"")</f>
        <v>2.2857142857142856</v>
      </c>
    </row>
    <row r="2987" spans="1:33" x14ac:dyDescent="0.2">
      <c r="A2987" s="4">
        <f>IF(B2987=1,3,IF(D2987=1,2,IF(F2987=1,1,0)))</f>
        <v>0</v>
      </c>
      <c r="B2987" s="4" t="str">
        <f>IF(C2987=$L2987,1,IF(C2987="","",0))</f>
        <v/>
      </c>
      <c r="C2987" s="39"/>
      <c r="D2987" s="4" t="str">
        <f>IF(E2987=$L2987,1,IF(E2987="","",0))</f>
        <v/>
      </c>
      <c r="E2987" s="14"/>
      <c r="F2987" s="4" t="str">
        <f>IF(G2987=$L2987,1,IF(G2987="","",0))</f>
        <v/>
      </c>
      <c r="G2987" s="14"/>
      <c r="H2987" s="6">
        <v>2430</v>
      </c>
      <c r="I2987" s="15" t="s">
        <v>3120</v>
      </c>
      <c r="J2987" s="6" t="s">
        <v>5500</v>
      </c>
      <c r="K2987" s="15" t="s">
        <v>3138</v>
      </c>
      <c r="L2987" s="6" t="s">
        <v>2480</v>
      </c>
      <c r="M2987" s="6" t="s">
        <v>8535</v>
      </c>
      <c r="N2987" s="7">
        <f ca="1">RAND()</f>
        <v>0.20322600384095357</v>
      </c>
      <c r="O2987" s="8">
        <v>45217</v>
      </c>
      <c r="P2987" s="8">
        <v>45218</v>
      </c>
      <c r="Q2987" s="8">
        <v>45220</v>
      </c>
      <c r="R2987" s="8">
        <v>45224</v>
      </c>
      <c r="S2987" s="8">
        <v>45231</v>
      </c>
      <c r="T2987" s="8"/>
      <c r="U2987" s="8"/>
      <c r="V2987" s="10">
        <f>COUNTA(O2987:U2987)</f>
        <v>5</v>
      </c>
      <c r="W2987" s="11">
        <f>_xlfn.IFNA(INDEX(reading[[#This Row],[Memo 01]:[Memo 07]],MATCH(0,reading[[#This Row],[Memo 01]:[Memo 07]],-1)),"")</f>
        <v>45231</v>
      </c>
      <c r="X2987" s="11">
        <f ca="1">IFERROR(reading[[#This Row],[Previous]]+OFFSET(reading[[#Headers],[Memo 01]],-1,MATCH(0,reading[[#This Row],[Memo 01]:[Memo 07]],-1)-1),"")</f>
        <v>45243</v>
      </c>
      <c r="Y2987" s="10" t="str">
        <f ca="1">IF(reading[[#This Row],[Next]]&lt;&gt;"",IF(reading[[#This Row],[Next]]&gt;TODAY(),"OK",""),"")</f>
        <v/>
      </c>
      <c r="Z2987" s="13">
        <v>3</v>
      </c>
      <c r="AA2987" s="13">
        <v>3</v>
      </c>
      <c r="AB2987" s="13">
        <v>3</v>
      </c>
      <c r="AC2987" s="13">
        <v>3</v>
      </c>
      <c r="AD2987" s="13">
        <v>3</v>
      </c>
      <c r="AE2987" s="13"/>
      <c r="AF2987" s="13"/>
      <c r="AG2987" s="16">
        <f>IFERROR(SUMIF(reading[[#This Row],[1st]:[7th]],"&gt;0")/COUNTIF(reading[[#This Row],[1st]:[7th]],"&gt;0"),"")</f>
        <v>3</v>
      </c>
    </row>
    <row r="2988" spans="1:33" hidden="1" x14ac:dyDescent="0.2">
      <c r="A2988" s="4">
        <f>IF(B2988=1,3,IF(D2988=1,2,IF(F2988=1,1,0)))</f>
        <v>0</v>
      </c>
      <c r="B2988" s="4" t="str">
        <f>IF(C2988=$L2988,1,IF(C2988="","",0))</f>
        <v/>
      </c>
      <c r="C2988" s="42"/>
      <c r="D2988" s="4" t="str">
        <f>IF(E2988=$L2988,1,IF(E2988="","",0))</f>
        <v/>
      </c>
      <c r="E2988" s="43"/>
      <c r="F2988" s="4" t="str">
        <f>IF(G2988=$L2988,1,IF(G2988="","",0))</f>
        <v/>
      </c>
      <c r="G2988" s="14"/>
      <c r="H2988" s="6">
        <v>137</v>
      </c>
      <c r="I2988" s="15" t="s">
        <v>3120</v>
      </c>
      <c r="J2988" s="6" t="s">
        <v>3286</v>
      </c>
      <c r="K2988" s="6"/>
      <c r="L2988" s="6" t="s">
        <v>274</v>
      </c>
      <c r="M2988" s="6" t="s">
        <v>6246</v>
      </c>
      <c r="N2988" s="7">
        <f ca="1">RAND()</f>
        <v>0.94615004205461162</v>
      </c>
      <c r="O2988" s="8">
        <v>45199</v>
      </c>
      <c r="P2988" s="8">
        <v>45200</v>
      </c>
      <c r="Q2988" s="8">
        <v>45202</v>
      </c>
      <c r="R2988" s="8">
        <v>45206</v>
      </c>
      <c r="S2988" s="8">
        <v>45213</v>
      </c>
      <c r="T2988" s="8">
        <v>45225</v>
      </c>
      <c r="U2988" s="8">
        <v>45816</v>
      </c>
      <c r="V2988" s="10">
        <f>COUNTA(O2988:U2988)</f>
        <v>7</v>
      </c>
      <c r="W2988" s="11">
        <f>_xlfn.IFNA(INDEX(reading[[#This Row],[Memo 01]:[Memo 07]],MATCH(0,reading[[#This Row],[Memo 01]:[Memo 07]],-1)),"")</f>
        <v>45816</v>
      </c>
      <c r="X2988" s="11">
        <f ca="1">IFERROR(reading[[#This Row],[Previous]]+OFFSET(reading[[#Headers],[Memo 01]],-1,MATCH(0,reading[[#This Row],[Memo 01]:[Memo 07]],-1)-1),"")</f>
        <v>55816</v>
      </c>
      <c r="Y2988" s="10" t="str">
        <f ca="1">IF(reading[[#This Row],[Next]]&lt;&gt;"",IF(reading[[#This Row],[Next]]&gt;TODAY(),"OK",""),"")</f>
        <v>OK</v>
      </c>
      <c r="Z2988" s="13">
        <v>3</v>
      </c>
      <c r="AA2988" s="13">
        <v>3</v>
      </c>
      <c r="AB2988" s="13">
        <v>2</v>
      </c>
      <c r="AC2988" s="13">
        <v>3</v>
      </c>
      <c r="AD2988" s="13">
        <v>3</v>
      </c>
      <c r="AE2988" s="13">
        <v>3</v>
      </c>
      <c r="AF2988" s="13">
        <v>2</v>
      </c>
      <c r="AG2988" s="16">
        <f>IFERROR(SUMIF(reading[[#This Row],[1st]:[7th]],"&gt;0")/COUNTIF(reading[[#This Row],[1st]:[7th]],"&gt;0"),"")</f>
        <v>2.7142857142857144</v>
      </c>
    </row>
    <row r="2989" spans="1:33" hidden="1" x14ac:dyDescent="0.2">
      <c r="A2989" s="4">
        <f>IF(B2989=1,3,IF(D2989=1,2,IF(F2989=1,1,0)))</f>
        <v>0</v>
      </c>
      <c r="B2989" s="4" t="str">
        <f>IF(C2989=$L2989,1,IF(C2989="","",0))</f>
        <v/>
      </c>
      <c r="C2989" s="41"/>
      <c r="D2989" s="4" t="str">
        <f>IF(E2989=$L2989,1,IF(E2989="","",0))</f>
        <v/>
      </c>
      <c r="E2989" s="23"/>
      <c r="F2989" s="4" t="str">
        <f>IF(G2989=$L2989,1,IF(G2989="","",0))</f>
        <v/>
      </c>
      <c r="G2989" s="18"/>
      <c r="H2989" s="6">
        <v>749</v>
      </c>
      <c r="I2989" s="15" t="s">
        <v>3120</v>
      </c>
      <c r="J2989" s="6" t="s">
        <v>3242</v>
      </c>
      <c r="K2989" s="6"/>
      <c r="L2989" s="6" t="s">
        <v>868</v>
      </c>
      <c r="M2989" s="6" t="s">
        <v>6858</v>
      </c>
      <c r="N2989" s="7">
        <f ca="1">RAND()</f>
        <v>0.60790061455601974</v>
      </c>
      <c r="O2989" s="8">
        <v>45203</v>
      </c>
      <c r="P2989" s="8">
        <v>45204</v>
      </c>
      <c r="Q2989" s="8">
        <v>45206</v>
      </c>
      <c r="R2989" s="8">
        <v>45210</v>
      </c>
      <c r="S2989" s="8">
        <v>45217</v>
      </c>
      <c r="T2989" s="8">
        <v>45229</v>
      </c>
      <c r="U2989" s="8">
        <v>45252</v>
      </c>
      <c r="V2989" s="10">
        <f>COUNTA(O2989:U2989)</f>
        <v>7</v>
      </c>
      <c r="W2989" s="11">
        <f>_xlfn.IFNA(INDEX(reading[[#This Row],[Memo 01]:[Memo 07]],MATCH(0,reading[[#This Row],[Memo 01]:[Memo 07]],-1)),"")</f>
        <v>45252</v>
      </c>
      <c r="X2989" s="11">
        <f ca="1">IFERROR(reading[[#This Row],[Previous]]+OFFSET(reading[[#Headers],[Memo 01]],-1,MATCH(0,reading[[#This Row],[Memo 01]:[Memo 07]],-1)-1),"")</f>
        <v>55252</v>
      </c>
      <c r="Y2989" s="10" t="str">
        <f ca="1">IF(reading[[#This Row],[Next]]&lt;&gt;"",IF(reading[[#This Row],[Next]]&gt;TODAY(),"OK",""),"")</f>
        <v>OK</v>
      </c>
      <c r="Z2989" s="13">
        <v>3</v>
      </c>
      <c r="AA2989" s="13">
        <v>3</v>
      </c>
      <c r="AB2989" s="13">
        <v>1</v>
      </c>
      <c r="AC2989" s="13">
        <v>2</v>
      </c>
      <c r="AD2989" s="13">
        <v>1</v>
      </c>
      <c r="AE2989" s="13">
        <v>1</v>
      </c>
      <c r="AF2989" s="13">
        <v>1</v>
      </c>
      <c r="AG2989" s="16">
        <f>IFERROR(SUMIF(reading[[#This Row],[1st]:[7th]],"&gt;0")/COUNTIF(reading[[#This Row],[1st]:[7th]],"&gt;0"),"")</f>
        <v>1.7142857142857142</v>
      </c>
    </row>
    <row r="2990" spans="1:33" x14ac:dyDescent="0.2">
      <c r="A2990" s="4">
        <f>IF(B2990=1,3,IF(D2990=1,2,IF(F2990=1,1,0)))</f>
        <v>0</v>
      </c>
      <c r="B2990" s="4" t="str">
        <f>IF(C2990=$L2990,1,IF(C2990="","",0))</f>
        <v/>
      </c>
      <c r="C2990" s="39"/>
      <c r="D2990" s="4" t="str">
        <f>IF(E2990=$L2990,1,IF(E2990="","",0))</f>
        <v/>
      </c>
      <c r="E2990" s="14"/>
      <c r="F2990" s="4" t="str">
        <f>IF(G2990=$L2990,1,IF(G2990="","",0))</f>
        <v/>
      </c>
      <c r="G2990" s="14"/>
      <c r="H2990" s="6">
        <v>2548</v>
      </c>
      <c r="I2990" s="15" t="s">
        <v>3120</v>
      </c>
      <c r="J2990" s="6" t="s">
        <v>5609</v>
      </c>
      <c r="K2990" s="6"/>
      <c r="L2990" s="6" t="s">
        <v>2593</v>
      </c>
      <c r="M2990" s="6" t="s">
        <v>8653</v>
      </c>
      <c r="N2990" s="7">
        <f ca="1">RAND()</f>
        <v>0.70303835400436732</v>
      </c>
      <c r="O2990" s="8">
        <v>45219</v>
      </c>
      <c r="P2990" s="8">
        <v>45220</v>
      </c>
      <c r="Q2990" s="8">
        <v>45222</v>
      </c>
      <c r="R2990" s="8">
        <v>45226</v>
      </c>
      <c r="S2990" s="8">
        <v>45233</v>
      </c>
      <c r="T2990" s="8"/>
      <c r="U2990" s="8"/>
      <c r="V2990" s="10">
        <f>COUNTA(O2990:U2990)</f>
        <v>5</v>
      </c>
      <c r="W2990" s="11">
        <f>_xlfn.IFNA(INDEX(reading[[#This Row],[Memo 01]:[Memo 07]],MATCH(0,reading[[#This Row],[Memo 01]:[Memo 07]],-1)),"")</f>
        <v>45233</v>
      </c>
      <c r="X2990" s="11">
        <f ca="1">IFERROR(reading[[#This Row],[Previous]]+OFFSET(reading[[#Headers],[Memo 01]],-1,MATCH(0,reading[[#This Row],[Memo 01]:[Memo 07]],-1)-1),"")</f>
        <v>45245</v>
      </c>
      <c r="Y2990" s="10" t="str">
        <f ca="1">IF(reading[[#This Row],[Next]]&lt;&gt;"",IF(reading[[#This Row],[Next]]&gt;TODAY(),"OK",""),"")</f>
        <v/>
      </c>
      <c r="Z2990" s="13">
        <v>3</v>
      </c>
      <c r="AA2990" s="13">
        <v>3</v>
      </c>
      <c r="AB2990" s="13">
        <v>3</v>
      </c>
      <c r="AC2990" s="13">
        <v>3</v>
      </c>
      <c r="AD2990" s="13">
        <v>3</v>
      </c>
      <c r="AE2990" s="13"/>
      <c r="AF2990" s="13"/>
      <c r="AG2990" s="16">
        <f>IFERROR(SUMIF(reading[[#This Row],[1st]:[7th]],"&gt;0")/COUNTIF(reading[[#This Row],[1st]:[7th]],"&gt;0"),"")</f>
        <v>3</v>
      </c>
    </row>
    <row r="2991" spans="1:33" x14ac:dyDescent="0.2">
      <c r="A2991" s="4">
        <f>IF(B2991=1,3,IF(D2991=1,2,IF(F2991=1,1,0)))</f>
        <v>0</v>
      </c>
      <c r="B2991" s="4" t="str">
        <f>IF(C2991=$L2991,1,IF(C2991="","",0))</f>
        <v/>
      </c>
      <c r="C2991" s="41"/>
      <c r="D2991" s="4" t="str">
        <f>IF(E2991=$L2991,1,IF(E2991="","",0))</f>
        <v/>
      </c>
      <c r="E2991" s="18"/>
      <c r="F2991" s="4" t="str">
        <f>IF(G2991=$L2991,1,IF(G2991="","",0))</f>
        <v/>
      </c>
      <c r="G2991" s="14"/>
      <c r="H2991" s="6">
        <v>2640</v>
      </c>
      <c r="I2991" s="15" t="s">
        <v>3120</v>
      </c>
      <c r="J2991" s="6" t="s">
        <v>5694</v>
      </c>
      <c r="K2991" s="6"/>
      <c r="L2991" s="6" t="s">
        <v>2680</v>
      </c>
      <c r="M2991" s="6" t="s">
        <v>8745</v>
      </c>
      <c r="N2991" s="7">
        <f ca="1">RAND()</f>
        <v>0.18244827280872633</v>
      </c>
      <c r="O2991" s="8">
        <v>45220</v>
      </c>
      <c r="P2991" s="8">
        <v>45221</v>
      </c>
      <c r="Q2991" s="8">
        <v>45223</v>
      </c>
      <c r="R2991" s="8">
        <v>45227</v>
      </c>
      <c r="S2991" s="8">
        <v>45235</v>
      </c>
      <c r="T2991" s="8">
        <v>45252</v>
      </c>
      <c r="U2991" s="8"/>
      <c r="V2991" s="10">
        <f>COUNTA(O2991:U2991)</f>
        <v>6</v>
      </c>
      <c r="W2991" s="11">
        <f>_xlfn.IFNA(INDEX(reading[[#This Row],[Memo 01]:[Memo 07]],MATCH(0,reading[[#This Row],[Memo 01]:[Memo 07]],-1)),"")</f>
        <v>45252</v>
      </c>
      <c r="X2991" s="11">
        <f ca="1">IFERROR(reading[[#This Row],[Previous]]+OFFSET(reading[[#Headers],[Memo 01]],-1,MATCH(0,reading[[#This Row],[Memo 01]:[Memo 07]],-1)-1),"")</f>
        <v>45272</v>
      </c>
      <c r="Y2991" s="10" t="str">
        <f ca="1">IF(reading[[#This Row],[Next]]&lt;&gt;"",IF(reading[[#This Row],[Next]]&gt;TODAY(),"OK",""),"")</f>
        <v/>
      </c>
      <c r="Z2991" s="13">
        <v>3</v>
      </c>
      <c r="AA2991" s="13">
        <v>3</v>
      </c>
      <c r="AB2991" s="13">
        <v>3</v>
      </c>
      <c r="AC2991" s="13">
        <v>2</v>
      </c>
      <c r="AD2991" s="13">
        <v>2</v>
      </c>
      <c r="AE2991" s="13">
        <v>2</v>
      </c>
      <c r="AF2991" s="13"/>
      <c r="AG2991" s="16">
        <f>IFERROR(SUMIF(reading[[#This Row],[1st]:[7th]],"&gt;0")/COUNTIF(reading[[#This Row],[1st]:[7th]],"&gt;0"),"")</f>
        <v>2.5</v>
      </c>
    </row>
    <row r="2992" spans="1:33" x14ac:dyDescent="0.2">
      <c r="A2992" s="4">
        <f>IF(B2992=1,3,IF(D2992=1,2,IF(F2992=1,1,0)))</f>
        <v>0</v>
      </c>
      <c r="B2992" s="4" t="str">
        <f>IF(C2992=$L2992,1,IF(C2992="","",0))</f>
        <v/>
      </c>
      <c r="C2992" s="38"/>
      <c r="D2992" s="4" t="str">
        <f>IF(E2992=$L2992,1,IF(E2992="","",0))</f>
        <v/>
      </c>
      <c r="E2992" s="18"/>
      <c r="F2992" s="4" t="str">
        <f>IF(G2992=$L2992,1,IF(G2992="","",0))</f>
        <v/>
      </c>
      <c r="G2992" s="14"/>
      <c r="H2992" s="6">
        <v>2222</v>
      </c>
      <c r="I2992" s="15" t="s">
        <v>3120</v>
      </c>
      <c r="J2992" s="6" t="s">
        <v>5308</v>
      </c>
      <c r="K2992" s="6"/>
      <c r="L2992" s="6" t="s">
        <v>2285</v>
      </c>
      <c r="M2992" s="6" t="s">
        <v>8328</v>
      </c>
      <c r="N2992" s="7">
        <f ca="1">RAND()</f>
        <v>0.63306347213627612</v>
      </c>
      <c r="O2992" s="8">
        <v>45215</v>
      </c>
      <c r="P2992" s="8">
        <v>45216</v>
      </c>
      <c r="Q2992" s="8">
        <v>45218</v>
      </c>
      <c r="R2992" s="8">
        <v>45222</v>
      </c>
      <c r="S2992" s="8">
        <v>45229</v>
      </c>
      <c r="T2992" s="8"/>
      <c r="U2992" s="8"/>
      <c r="V2992" s="10">
        <f>COUNTA(O2992:U2992)</f>
        <v>5</v>
      </c>
      <c r="W2992" s="11">
        <f>_xlfn.IFNA(INDEX(reading[[#This Row],[Memo 01]:[Memo 07]],MATCH(0,reading[[#This Row],[Memo 01]:[Memo 07]],-1)),"")</f>
        <v>45229</v>
      </c>
      <c r="X2992" s="11">
        <f ca="1">IFERROR(reading[[#This Row],[Previous]]+OFFSET(reading[[#Headers],[Memo 01]],-1,MATCH(0,reading[[#This Row],[Memo 01]:[Memo 07]],-1)-1),"")</f>
        <v>45241</v>
      </c>
      <c r="Y2992" s="10" t="str">
        <f ca="1">IF(reading[[#This Row],[Next]]&lt;&gt;"",IF(reading[[#This Row],[Next]]&gt;TODAY(),"OK",""),"")</f>
        <v/>
      </c>
      <c r="Z2992" s="13">
        <v>3</v>
      </c>
      <c r="AA2992" s="13">
        <v>3</v>
      </c>
      <c r="AB2992" s="13">
        <v>3</v>
      </c>
      <c r="AC2992" s="13">
        <v>2</v>
      </c>
      <c r="AD2992" s="13">
        <v>3</v>
      </c>
      <c r="AE2992" s="13"/>
      <c r="AF2992" s="13"/>
      <c r="AG2992" s="16">
        <f>IFERROR(SUMIF(reading[[#This Row],[1st]:[7th]],"&gt;0")/COUNTIF(reading[[#This Row],[1st]:[7th]],"&gt;0"),"")</f>
        <v>2.8</v>
      </c>
    </row>
    <row r="2993" spans="1:33" x14ac:dyDescent="0.2">
      <c r="A2993" s="4">
        <f>IF(B2993=1,3,IF(D2993=1,2,IF(F2993=1,1,0)))</f>
        <v>0</v>
      </c>
      <c r="B2993" s="4" t="str">
        <f>IF(C2993=$L2993,1,IF(C2993="","",0))</f>
        <v/>
      </c>
      <c r="C2993" s="41"/>
      <c r="D2993" s="4" t="str">
        <f>IF(E2993=$L2993,1,IF(E2993="","",0))</f>
        <v/>
      </c>
      <c r="E2993" s="18"/>
      <c r="F2993" s="4" t="str">
        <f>IF(G2993=$L2993,1,IF(G2993="","",0))</f>
        <v/>
      </c>
      <c r="G2993" s="14"/>
      <c r="H2993" s="6">
        <v>3054</v>
      </c>
      <c r="I2993" s="15" t="s">
        <v>3120</v>
      </c>
      <c r="J2993" s="6" t="s">
        <v>6075</v>
      </c>
      <c r="K2993" s="15" t="s">
        <v>3138</v>
      </c>
      <c r="L2993" s="6" t="s">
        <v>3080</v>
      </c>
      <c r="M2993" s="6" t="s">
        <v>9157</v>
      </c>
      <c r="N2993" s="7">
        <f ca="1">RAND()</f>
        <v>0.95963426728477186</v>
      </c>
      <c r="O2993" s="8">
        <v>45226</v>
      </c>
      <c r="P2993" s="8">
        <v>45227</v>
      </c>
      <c r="Q2993" s="8">
        <v>45229</v>
      </c>
      <c r="R2993" s="8">
        <v>45233</v>
      </c>
      <c r="S2993" s="8">
        <v>45250</v>
      </c>
      <c r="T2993" s="8"/>
      <c r="U2993" s="8"/>
      <c r="V2993" s="10">
        <f>COUNTA(O2993:U2993)</f>
        <v>5</v>
      </c>
      <c r="W2993" s="11">
        <f>_xlfn.IFNA(INDEX(reading[[#This Row],[Memo 01]:[Memo 07]],MATCH(0,reading[[#This Row],[Memo 01]:[Memo 07]],-1)),"")</f>
        <v>45250</v>
      </c>
      <c r="X2993" s="11">
        <f ca="1">IFERROR(reading[[#This Row],[Previous]]+OFFSET(reading[[#Headers],[Memo 01]],-1,MATCH(0,reading[[#This Row],[Memo 01]:[Memo 07]],-1)-1),"")</f>
        <v>45262</v>
      </c>
      <c r="Y2993" s="10" t="str">
        <f ca="1">IF(reading[[#This Row],[Next]]&lt;&gt;"",IF(reading[[#This Row],[Next]]&gt;TODAY(),"OK",""),"")</f>
        <v/>
      </c>
      <c r="Z2993" s="13">
        <v>3</v>
      </c>
      <c r="AA2993" s="13">
        <v>1</v>
      </c>
      <c r="AB2993" s="13">
        <v>3</v>
      </c>
      <c r="AC2993" s="13">
        <v>3</v>
      </c>
      <c r="AD2993" s="13">
        <v>1</v>
      </c>
      <c r="AE2993" s="13"/>
      <c r="AF2993" s="13"/>
      <c r="AG2993" s="16">
        <f>IFERROR(SUMIF(reading[[#This Row],[1st]:[7th]],"&gt;0")/COUNTIF(reading[[#This Row],[1st]:[7th]],"&gt;0"),"")</f>
        <v>2.2000000000000002</v>
      </c>
    </row>
    <row r="2994" spans="1:33" hidden="1" x14ac:dyDescent="0.2">
      <c r="A2994" s="4">
        <f>IF(B2994=1,3,IF(D2994=1,2,IF(F2994=1,1,0)))</f>
        <v>0</v>
      </c>
      <c r="B2994" s="4">
        <f>IF(C2994=$L2994,1,IF(C2994="","",0))</f>
        <v>0</v>
      </c>
      <c r="C2994" s="42" t="s">
        <v>9278</v>
      </c>
      <c r="D2994" s="4" t="str">
        <f>IF(E2994=$L2994,1,IF(E2994="","",0))</f>
        <v/>
      </c>
      <c r="E2994" s="18"/>
      <c r="F2994" s="4" t="str">
        <f>IF(G2994=$L2994,1,IF(G2994="","",0))</f>
        <v/>
      </c>
      <c r="G2994" s="14"/>
      <c r="H2994" s="6">
        <v>2584</v>
      </c>
      <c r="I2994" s="15" t="s">
        <v>3120</v>
      </c>
      <c r="J2994" s="6" t="s">
        <v>4568</v>
      </c>
      <c r="K2994" s="6"/>
      <c r="L2994" s="6" t="s">
        <v>2628</v>
      </c>
      <c r="M2994" s="6" t="s">
        <v>8689</v>
      </c>
      <c r="N2994" s="7">
        <f ca="1">RAND()</f>
        <v>0.72341794260335601</v>
      </c>
      <c r="O2994" s="8">
        <v>45220</v>
      </c>
      <c r="P2994" s="8">
        <v>45221</v>
      </c>
      <c r="Q2994" s="8">
        <v>45223</v>
      </c>
      <c r="R2994" s="8">
        <v>45227</v>
      </c>
      <c r="S2994" s="8">
        <v>45235</v>
      </c>
      <c r="T2994" s="8">
        <v>45252</v>
      </c>
      <c r="U2994" s="8"/>
      <c r="V2994" s="10">
        <f>COUNTA(O2994:U2994)</f>
        <v>6</v>
      </c>
      <c r="W2994" s="11">
        <f>_xlfn.IFNA(INDEX(reading[[#This Row],[Memo 01]:[Memo 07]],MATCH(0,reading[[#This Row],[Memo 01]:[Memo 07]],-1)),"")</f>
        <v>45252</v>
      </c>
      <c r="X2994" s="11">
        <f ca="1">IFERROR(reading[[#This Row],[Previous]]+OFFSET(reading[[#Headers],[Memo 01]],-1,MATCH(0,reading[[#This Row],[Memo 01]:[Memo 07]],-1)-1),"")</f>
        <v>45272</v>
      </c>
      <c r="Y2994" s="10" t="str">
        <f ca="1">IF(reading[[#This Row],[Next]]&lt;&gt;"",IF(reading[[#This Row],[Next]]&gt;TODAY(),"OK",""),"")</f>
        <v/>
      </c>
      <c r="Z2994" s="13">
        <v>3</v>
      </c>
      <c r="AA2994" s="13">
        <v>2</v>
      </c>
      <c r="AB2994" s="13">
        <v>3</v>
      </c>
      <c r="AC2994" s="13">
        <v>3</v>
      </c>
      <c r="AD2994" s="13">
        <v>2</v>
      </c>
      <c r="AE2994" s="13">
        <v>2</v>
      </c>
      <c r="AF2994" s="13"/>
      <c r="AG2994" s="16">
        <f>IFERROR(SUMIF(reading[[#This Row],[1st]:[7th]],"&gt;0")/COUNTIF(reading[[#This Row],[1st]:[7th]],"&gt;0"),"")</f>
        <v>2.5</v>
      </c>
    </row>
    <row r="2995" spans="1:33" x14ac:dyDescent="0.2">
      <c r="A2995" s="4">
        <f>IF(B2995=1,3,IF(D2995=1,2,IF(F2995=1,1,0)))</f>
        <v>0</v>
      </c>
      <c r="B2995" s="4" t="str">
        <f>IF(C2995=$L2995,1,IF(C2995="","",0))</f>
        <v/>
      </c>
      <c r="C2995" s="42"/>
      <c r="D2995" s="4" t="str">
        <f>IF(E2995=$L2995,1,IF(E2995="","",0))</f>
        <v/>
      </c>
      <c r="E2995" s="14"/>
      <c r="F2995" s="4" t="str">
        <f>IF(G2995=$L2995,1,IF(G2995="","",0))</f>
        <v/>
      </c>
      <c r="G2995" s="14"/>
      <c r="H2995" s="6">
        <v>2537</v>
      </c>
      <c r="I2995" s="15" t="s">
        <v>3120</v>
      </c>
      <c r="J2995" s="6" t="s">
        <v>5599</v>
      </c>
      <c r="K2995" s="6"/>
      <c r="L2995" s="6" t="s">
        <v>2582</v>
      </c>
      <c r="M2995" s="6" t="s">
        <v>8642</v>
      </c>
      <c r="N2995" s="7">
        <f ca="1">RAND()</f>
        <v>0.56318309399012534</v>
      </c>
      <c r="O2995" s="8">
        <v>45219</v>
      </c>
      <c r="P2995" s="8">
        <v>45220</v>
      </c>
      <c r="Q2995" s="8">
        <v>45222</v>
      </c>
      <c r="R2995" s="8">
        <v>45226</v>
      </c>
      <c r="S2995" s="8">
        <v>45233</v>
      </c>
      <c r="T2995" s="8">
        <v>45792</v>
      </c>
      <c r="U2995" s="8"/>
      <c r="V2995" s="10">
        <f>COUNTA(O2995:U2995)</f>
        <v>6</v>
      </c>
      <c r="W2995" s="11">
        <f>_xlfn.IFNA(INDEX(reading[[#This Row],[Memo 01]:[Memo 07]],MATCH(0,reading[[#This Row],[Memo 01]:[Memo 07]],-1)),"")</f>
        <v>45792</v>
      </c>
      <c r="X2995" s="11">
        <f ca="1">IFERROR(reading[[#This Row],[Previous]]+OFFSET(reading[[#Headers],[Memo 01]],-1,MATCH(0,reading[[#This Row],[Memo 01]:[Memo 07]],-1)-1),"")</f>
        <v>45812</v>
      </c>
      <c r="Y2995" s="10" t="str">
        <f ca="1">IF(reading[[#This Row],[Next]]&lt;&gt;"",IF(reading[[#This Row],[Next]]&gt;TODAY(),"OK",""),"")</f>
        <v/>
      </c>
      <c r="Z2995" s="13">
        <v>3</v>
      </c>
      <c r="AA2995" s="13">
        <v>3</v>
      </c>
      <c r="AB2995" s="13">
        <v>3</v>
      </c>
      <c r="AC2995" s="13">
        <v>3</v>
      </c>
      <c r="AD2995" s="13">
        <v>3</v>
      </c>
      <c r="AE2995" s="13">
        <v>3</v>
      </c>
      <c r="AF2995" s="13"/>
      <c r="AG2995" s="16">
        <f>IFERROR(SUMIF(reading[[#This Row],[1st]:[7th]],"&gt;0")/COUNTIF(reading[[#This Row],[1st]:[7th]],"&gt;0"),"")</f>
        <v>3</v>
      </c>
    </row>
    <row r="2996" spans="1:33" hidden="1" x14ac:dyDescent="0.2">
      <c r="A2996" s="4">
        <f>IF(B2996=1,3,IF(D2996=1,2,IF(F2996=1,1,0)))</f>
        <v>0</v>
      </c>
      <c r="B2996" s="4" t="str">
        <f>IF(C2996=$L2996,1,IF(C2996="","",0))</f>
        <v/>
      </c>
      <c r="C2996" s="42"/>
      <c r="D2996" s="4" t="str">
        <f>IF(E2996=$L2996,1,IF(E2996="","",0))</f>
        <v/>
      </c>
      <c r="E2996" s="23"/>
      <c r="F2996" s="4" t="str">
        <f>IF(G2996=$L2996,1,IF(G2996="","",0))</f>
        <v/>
      </c>
      <c r="G2996" s="14"/>
      <c r="H2996" s="6">
        <v>1118</v>
      </c>
      <c r="I2996" s="15" t="s">
        <v>3120</v>
      </c>
      <c r="J2996" s="6" t="s">
        <v>4241</v>
      </c>
      <c r="K2996" s="6"/>
      <c r="L2996" s="6" t="s">
        <v>144</v>
      </c>
      <c r="M2996" s="6" t="s">
        <v>7226</v>
      </c>
      <c r="N2996" s="7">
        <f ca="1">RAND()</f>
        <v>0.51432882416664749</v>
      </c>
      <c r="O2996" s="8">
        <v>45205</v>
      </c>
      <c r="P2996" s="8">
        <v>45206</v>
      </c>
      <c r="Q2996" s="8">
        <v>45208</v>
      </c>
      <c r="R2996" s="8">
        <v>45213</v>
      </c>
      <c r="S2996" s="8">
        <v>45220</v>
      </c>
      <c r="T2996" s="8">
        <v>45232</v>
      </c>
      <c r="U2996" s="8">
        <v>45825</v>
      </c>
      <c r="V2996" s="10">
        <f>COUNTA(O2996:U2996)</f>
        <v>7</v>
      </c>
      <c r="W2996" s="11">
        <f>_xlfn.IFNA(INDEX(reading[[#This Row],[Memo 01]:[Memo 07]],MATCH(0,reading[[#This Row],[Memo 01]:[Memo 07]],-1)),"")</f>
        <v>45825</v>
      </c>
      <c r="X2996" s="11">
        <f ca="1">IFERROR(reading[[#This Row],[Previous]]+OFFSET(reading[[#Headers],[Memo 01]],-1,MATCH(0,reading[[#This Row],[Memo 01]:[Memo 07]],-1)-1),"")</f>
        <v>55825</v>
      </c>
      <c r="Y2996" s="10" t="str">
        <f ca="1">IF(reading[[#This Row],[Next]]&lt;&gt;"",IF(reading[[#This Row],[Next]]&gt;TODAY(),"OK",""),"")</f>
        <v>OK</v>
      </c>
      <c r="Z2996" s="13">
        <v>3</v>
      </c>
      <c r="AA2996" s="13">
        <v>3</v>
      </c>
      <c r="AB2996" s="13">
        <v>2</v>
      </c>
      <c r="AC2996" s="13">
        <v>2</v>
      </c>
      <c r="AD2996" s="13">
        <v>3</v>
      </c>
      <c r="AE2996" s="13">
        <v>3</v>
      </c>
      <c r="AF2996" s="13">
        <v>2</v>
      </c>
      <c r="AG2996" s="16">
        <f>IFERROR(SUMIF(reading[[#This Row],[1st]:[7th]],"&gt;0")/COUNTIF(reading[[#This Row],[1st]:[7th]],"&gt;0"),"")</f>
        <v>2.5714285714285716</v>
      </c>
    </row>
    <row r="2997" spans="1:33" hidden="1" x14ac:dyDescent="0.2">
      <c r="A2997" s="4">
        <f>IF(B2997=1,3,IF(D2997=1,2,IF(F2997=1,1,0)))</f>
        <v>3</v>
      </c>
      <c r="B2997" s="4">
        <f>IF(C2997=$L2997,1,IF(C2997="","",0))</f>
        <v>1</v>
      </c>
      <c r="C2997" s="36" t="s">
        <v>3030</v>
      </c>
      <c r="D2997" s="4" t="str">
        <f>IF(E2997=$L2997,1,IF(E2997="","",0))</f>
        <v/>
      </c>
      <c r="E2997" s="14"/>
      <c r="F2997" s="4" t="str">
        <f>IF(G2997=$L2997,1,IF(G2997="","",0))</f>
        <v/>
      </c>
      <c r="G2997" s="14"/>
      <c r="H2997" s="6">
        <v>3001</v>
      </c>
      <c r="I2997" s="15" t="s">
        <v>3120</v>
      </c>
      <c r="J2997" s="6" t="s">
        <v>6025</v>
      </c>
      <c r="K2997" s="6"/>
      <c r="L2997" s="6" t="s">
        <v>3030</v>
      </c>
      <c r="M2997" s="6" t="s">
        <v>9104</v>
      </c>
      <c r="N2997" s="7">
        <f ca="1">RAND()</f>
        <v>0.28008331350568205</v>
      </c>
      <c r="O2997" s="8">
        <v>45224</v>
      </c>
      <c r="P2997" s="8">
        <v>45224</v>
      </c>
      <c r="Q2997" s="8">
        <v>45224</v>
      </c>
      <c r="R2997" s="8">
        <v>45224</v>
      </c>
      <c r="S2997" s="8">
        <v>45224</v>
      </c>
      <c r="T2997" s="8">
        <v>45224</v>
      </c>
      <c r="U2997" s="8">
        <v>45224</v>
      </c>
      <c r="V2997" s="10">
        <f>COUNTA(O2997:U2997)</f>
        <v>7</v>
      </c>
      <c r="W2997" s="11">
        <f>_xlfn.IFNA(INDEX(reading[[#This Row],[Memo 01]:[Memo 07]],MATCH(0,reading[[#This Row],[Memo 01]:[Memo 07]],-1)),"")</f>
        <v>45224</v>
      </c>
      <c r="X2997" s="11">
        <f ca="1">IFERROR(reading[[#This Row],[Previous]]+OFFSET(reading[[#Headers],[Memo 01]],-1,MATCH(0,reading[[#This Row],[Memo 01]:[Memo 07]],-1)-1),"")</f>
        <v>55224</v>
      </c>
      <c r="Y2997" s="10" t="str">
        <f ca="1">IF(reading[[#This Row],[Next]]&lt;&gt;"",IF(reading[[#This Row],[Next]]&gt;TODAY(),"OK",""),"")</f>
        <v>OK</v>
      </c>
      <c r="Z2997" s="13">
        <v>3</v>
      </c>
      <c r="AA2997" s="13"/>
      <c r="AB2997" s="13"/>
      <c r="AC2997" s="13"/>
      <c r="AD2997" s="13"/>
      <c r="AE2997" s="13"/>
      <c r="AF2997" s="13"/>
      <c r="AG2997" s="16">
        <f>IFERROR(SUMIF(reading[[#This Row],[1st]:[7th]],"&gt;0")/COUNTIF(reading[[#This Row],[1st]:[7th]],"&gt;0"),"")</f>
        <v>3</v>
      </c>
    </row>
    <row r="2998" spans="1:33" x14ac:dyDescent="0.2">
      <c r="A2998" s="4">
        <f>IF(B2998=1,3,IF(D2998=1,2,IF(F2998=1,1,0)))</f>
        <v>0</v>
      </c>
      <c r="B2998" s="4" t="str">
        <f>IF(C2998=$L2998,1,IF(C2998="","",0))</f>
        <v/>
      </c>
      <c r="C2998" s="39"/>
      <c r="D2998" s="4" t="str">
        <f>IF(E2998=$L2998,1,IF(E2998="","",0))</f>
        <v/>
      </c>
      <c r="E2998" s="14"/>
      <c r="F2998" s="4" t="str">
        <f>IF(G2998=$L2998,1,IF(G2998="","",0))</f>
        <v/>
      </c>
      <c r="G2998" s="14"/>
      <c r="H2998" s="6">
        <v>1150</v>
      </c>
      <c r="I2998" s="15" t="s">
        <v>3120</v>
      </c>
      <c r="J2998" s="6" t="s">
        <v>4271</v>
      </c>
      <c r="K2998" s="6"/>
      <c r="L2998" s="6" t="s">
        <v>1252</v>
      </c>
      <c r="M2998" s="6" t="s">
        <v>7258</v>
      </c>
      <c r="N2998" s="7">
        <f ca="1">RAND()</f>
        <v>0.17357969845426147</v>
      </c>
      <c r="O2998" s="8">
        <v>45205</v>
      </c>
      <c r="P2998" s="8">
        <v>45206</v>
      </c>
      <c r="Q2998" s="8">
        <v>45208</v>
      </c>
      <c r="R2998" s="8">
        <v>45212</v>
      </c>
      <c r="S2998" s="8">
        <v>45219</v>
      </c>
      <c r="T2998" s="8">
        <v>45231</v>
      </c>
      <c r="U2998" s="8"/>
      <c r="V2998" s="10">
        <f>COUNTA(O2998:U2998)</f>
        <v>6</v>
      </c>
      <c r="W2998" s="11">
        <f>_xlfn.IFNA(INDEX(reading[[#This Row],[Memo 01]:[Memo 07]],MATCH(0,reading[[#This Row],[Memo 01]:[Memo 07]],-1)),"")</f>
        <v>45231</v>
      </c>
      <c r="X2998" s="11">
        <f ca="1">IFERROR(reading[[#This Row],[Previous]]+OFFSET(reading[[#Headers],[Memo 01]],-1,MATCH(0,reading[[#This Row],[Memo 01]:[Memo 07]],-1)-1),"")</f>
        <v>45251</v>
      </c>
      <c r="Y2998" s="10" t="str">
        <f ca="1">IF(reading[[#This Row],[Next]]&lt;&gt;"",IF(reading[[#This Row],[Next]]&gt;TODAY(),"OK",""),"")</f>
        <v/>
      </c>
      <c r="Z2998" s="13">
        <v>3</v>
      </c>
      <c r="AA2998" s="13">
        <v>3</v>
      </c>
      <c r="AB2998" s="13">
        <v>3</v>
      </c>
      <c r="AC2998" s="13">
        <v>3</v>
      </c>
      <c r="AD2998" s="13">
        <v>3</v>
      </c>
      <c r="AE2998" s="13">
        <v>3</v>
      </c>
      <c r="AF2998" s="13"/>
      <c r="AG2998" s="16">
        <f>IFERROR(SUMIF(reading[[#This Row],[1st]:[7th]],"&gt;0")/COUNTIF(reading[[#This Row],[1st]:[7th]],"&gt;0"),"")</f>
        <v>3</v>
      </c>
    </row>
    <row r="2999" spans="1:33" hidden="1" x14ac:dyDescent="0.2">
      <c r="A2999" s="4">
        <f>IF(B2999=1,3,IF(D2999=1,2,IF(F2999=1,1,0)))</f>
        <v>0</v>
      </c>
      <c r="B2999" s="4" t="str">
        <f>IF(C2999=$L2999,1,IF(C2999="","",0))</f>
        <v/>
      </c>
      <c r="C2999" s="43"/>
      <c r="D2999" s="4" t="str">
        <f>IF(E2999=$L2999,1,IF(E2999="","",0))</f>
        <v/>
      </c>
      <c r="E2999" s="23"/>
      <c r="F2999" s="4" t="str">
        <f>IF(G2999=$L2999,1,IF(G2999="","",0))</f>
        <v/>
      </c>
      <c r="G2999" s="14"/>
      <c r="H2999" s="6">
        <v>72</v>
      </c>
      <c r="I2999" s="15" t="s">
        <v>3120</v>
      </c>
      <c r="J2999" s="6" t="s">
        <v>3222</v>
      </c>
      <c r="K2999" s="6"/>
      <c r="L2999" s="6" t="s">
        <v>210</v>
      </c>
      <c r="M2999" s="6" t="s">
        <v>6181</v>
      </c>
      <c r="N2999" s="7">
        <f ca="1">RAND()</f>
        <v>0.19765527740490407</v>
      </c>
      <c r="O2999" s="8">
        <v>45198</v>
      </c>
      <c r="P2999" s="8">
        <v>45199</v>
      </c>
      <c r="Q2999" s="8">
        <v>45201</v>
      </c>
      <c r="R2999" s="8">
        <v>45205</v>
      </c>
      <c r="S2999" s="8">
        <v>45212</v>
      </c>
      <c r="T2999" s="8">
        <v>45224</v>
      </c>
      <c r="U2999" s="8">
        <v>45825</v>
      </c>
      <c r="V2999" s="10">
        <f>COUNTA(O2999:U2999)</f>
        <v>7</v>
      </c>
      <c r="W2999" s="11">
        <f>_xlfn.IFNA(INDEX(reading[[#This Row],[Memo 01]:[Memo 07]],MATCH(0,reading[[#This Row],[Memo 01]:[Memo 07]],-1)),"")</f>
        <v>45825</v>
      </c>
      <c r="X2999" s="11">
        <f ca="1">IFERROR(reading[[#This Row],[Previous]]+OFFSET(reading[[#Headers],[Memo 01]],-1,MATCH(0,reading[[#This Row],[Memo 01]:[Memo 07]],-1)-1),"")</f>
        <v>55825</v>
      </c>
      <c r="Y2999" s="10" t="str">
        <f ca="1">IF(reading[[#This Row],[Next]]&lt;&gt;"",IF(reading[[#This Row],[Next]]&gt;TODAY(),"OK",""),"")</f>
        <v>OK</v>
      </c>
      <c r="Z2999" s="13">
        <v>3</v>
      </c>
      <c r="AA2999" s="13">
        <v>3</v>
      </c>
      <c r="AB2999" s="13">
        <v>3</v>
      </c>
      <c r="AC2999" s="13">
        <v>3</v>
      </c>
      <c r="AD2999" s="13">
        <v>3</v>
      </c>
      <c r="AE2999" s="13">
        <v>3</v>
      </c>
      <c r="AF2999" s="13">
        <v>2</v>
      </c>
      <c r="AG2999" s="16">
        <f>IFERROR(SUMIF(reading[[#This Row],[1st]:[7th]],"&gt;0")/COUNTIF(reading[[#This Row],[1st]:[7th]],"&gt;0"),"")</f>
        <v>2.8571428571428572</v>
      </c>
    </row>
    <row r="3000" spans="1:33" hidden="1" x14ac:dyDescent="0.2">
      <c r="A3000" s="4">
        <f>IF(B3000=1,3,IF(D3000=1,2,IF(F3000=1,1,0)))</f>
        <v>0</v>
      </c>
      <c r="B3000" s="4" t="str">
        <f>IF(C3000=$L3000,1,IF(C3000="","",0))</f>
        <v/>
      </c>
      <c r="C3000" s="42"/>
      <c r="D3000" s="4" t="str">
        <f>IF(E3000=$L3000,1,IF(E3000="","",0))</f>
        <v/>
      </c>
      <c r="E3000" s="23"/>
      <c r="F3000" s="4" t="str">
        <f>IF(G3000=$L3000,1,IF(G3000="","",0))</f>
        <v/>
      </c>
      <c r="G3000" s="14"/>
      <c r="H3000" s="6">
        <v>2513</v>
      </c>
      <c r="I3000" s="15" t="s">
        <v>3120</v>
      </c>
      <c r="J3000" s="6" t="s">
        <v>5577</v>
      </c>
      <c r="K3000" s="6"/>
      <c r="L3000" s="6" t="s">
        <v>2559</v>
      </c>
      <c r="M3000" s="6" t="s">
        <v>8618</v>
      </c>
      <c r="N3000" s="7">
        <f ca="1">RAND()</f>
        <v>0.7290552564147591</v>
      </c>
      <c r="O3000" s="8">
        <v>45219</v>
      </c>
      <c r="P3000" s="8">
        <v>45220</v>
      </c>
      <c r="Q3000" s="8">
        <v>45222</v>
      </c>
      <c r="R3000" s="8">
        <v>45226</v>
      </c>
      <c r="S3000" s="8">
        <v>45233</v>
      </c>
      <c r="T3000" s="8">
        <v>45816</v>
      </c>
      <c r="U3000" s="8"/>
      <c r="V3000" s="10">
        <f>COUNTA(O3000:U3000)</f>
        <v>6</v>
      </c>
      <c r="W3000" s="11">
        <f>_xlfn.IFNA(INDEX(reading[[#This Row],[Memo 01]:[Memo 07]],MATCH(0,reading[[#This Row],[Memo 01]:[Memo 07]],-1)),"")</f>
        <v>45816</v>
      </c>
      <c r="X3000" s="11">
        <f ca="1">IFERROR(reading[[#This Row],[Previous]]+OFFSET(reading[[#Headers],[Memo 01]],-1,MATCH(0,reading[[#This Row],[Memo 01]:[Memo 07]],-1)-1),"")</f>
        <v>45836</v>
      </c>
      <c r="Y3000" s="10" t="str">
        <f ca="1">IF(reading[[#This Row],[Next]]&lt;&gt;"",IF(reading[[#This Row],[Next]]&gt;TODAY(),"OK",""),"")</f>
        <v>OK</v>
      </c>
      <c r="Z3000" s="13">
        <v>3</v>
      </c>
      <c r="AA3000" s="13">
        <v>3</v>
      </c>
      <c r="AB3000" s="13">
        <v>3</v>
      </c>
      <c r="AC3000" s="13">
        <v>3</v>
      </c>
      <c r="AD3000" s="13">
        <v>3</v>
      </c>
      <c r="AE3000" s="13">
        <v>2</v>
      </c>
      <c r="AF3000" s="13"/>
      <c r="AG3000" s="16">
        <f>IFERROR(SUMIF(reading[[#This Row],[1st]:[7th]],"&gt;0")/COUNTIF(reading[[#This Row],[1st]:[7th]],"&gt;0"),"")</f>
        <v>2.8333333333333335</v>
      </c>
    </row>
    <row r="3001" spans="1:33" x14ac:dyDescent="0.2">
      <c r="A3001" s="4">
        <f>IF(B3001=1,3,IF(D3001=1,2,IF(F3001=1,1,0)))</f>
        <v>0</v>
      </c>
      <c r="B3001" s="4" t="str">
        <f>IF(C3001=$L3001,1,IF(C3001="","",0))</f>
        <v/>
      </c>
      <c r="C3001" s="39"/>
      <c r="D3001" s="4" t="str">
        <f>IF(E3001=$L3001,1,IF(E3001="","",0))</f>
        <v/>
      </c>
      <c r="E3001" s="14"/>
      <c r="F3001" s="4" t="str">
        <f>IF(G3001=$L3001,1,IF(G3001="","",0))</f>
        <v/>
      </c>
      <c r="G3001" s="14"/>
      <c r="H3001" s="6">
        <v>1260</v>
      </c>
      <c r="I3001" s="15" t="s">
        <v>3120</v>
      </c>
      <c r="J3001" s="6" t="s">
        <v>4377</v>
      </c>
      <c r="K3001" s="6"/>
      <c r="L3001" s="6" t="s">
        <v>1359</v>
      </c>
      <c r="M3001" s="6" t="s">
        <v>7367</v>
      </c>
      <c r="N3001" s="7">
        <f ca="1">RAND()</f>
        <v>0.15871365457821729</v>
      </c>
      <c r="O3001" s="8">
        <v>45207</v>
      </c>
      <c r="P3001" s="8">
        <v>45208</v>
      </c>
      <c r="Q3001" s="8">
        <v>45210</v>
      </c>
      <c r="R3001" s="8">
        <v>45214</v>
      </c>
      <c r="S3001" s="8">
        <v>45221</v>
      </c>
      <c r="T3001" s="8">
        <v>45233</v>
      </c>
      <c r="U3001" s="8"/>
      <c r="V3001" s="10">
        <f>COUNTA(O3001:U3001)</f>
        <v>6</v>
      </c>
      <c r="W3001" s="11">
        <f>_xlfn.IFNA(INDEX(reading[[#This Row],[Memo 01]:[Memo 07]],MATCH(0,reading[[#This Row],[Memo 01]:[Memo 07]],-1)),"")</f>
        <v>45233</v>
      </c>
      <c r="X3001" s="11">
        <f ca="1">IFERROR(reading[[#This Row],[Previous]]+OFFSET(reading[[#Headers],[Memo 01]],-1,MATCH(0,reading[[#This Row],[Memo 01]:[Memo 07]],-1)-1),"")</f>
        <v>45253</v>
      </c>
      <c r="Y3001" s="10" t="str">
        <f ca="1">IF(reading[[#This Row],[Next]]&lt;&gt;"",IF(reading[[#This Row],[Next]]&gt;TODAY(),"OK",""),"")</f>
        <v/>
      </c>
      <c r="Z3001" s="13">
        <v>3</v>
      </c>
      <c r="AA3001" s="13">
        <v>3</v>
      </c>
      <c r="AB3001" s="13">
        <v>3</v>
      </c>
      <c r="AC3001" s="13">
        <v>3</v>
      </c>
      <c r="AD3001" s="13">
        <v>3</v>
      </c>
      <c r="AE3001" s="13">
        <v>3</v>
      </c>
      <c r="AF3001" s="13"/>
      <c r="AG3001" s="16">
        <f>IFERROR(SUMIF(reading[[#This Row],[1st]:[7th]],"&gt;0")/COUNTIF(reading[[#This Row],[1st]:[7th]],"&gt;0"),"")</f>
        <v>3</v>
      </c>
    </row>
    <row r="3002" spans="1:33" x14ac:dyDescent="0.2">
      <c r="A3002" s="4">
        <f>IF(B3002=1,3,IF(D3002=1,2,IF(F3002=1,1,0)))</f>
        <v>0</v>
      </c>
      <c r="B3002" s="4" t="str">
        <f>IF(C3002=$L3002,1,IF(C3002="","",0))</f>
        <v/>
      </c>
      <c r="C3002" s="41"/>
      <c r="D3002" s="4" t="str">
        <f>IF(E3002=$L3002,1,IF(E3002="","",0))</f>
        <v/>
      </c>
      <c r="E3002" s="14"/>
      <c r="F3002" s="4" t="str">
        <f>IF(G3002=$L3002,1,IF(G3002="","",0))</f>
        <v/>
      </c>
      <c r="G3002" s="14"/>
      <c r="H3002" s="6">
        <v>3009</v>
      </c>
      <c r="I3002" s="15" t="s">
        <v>3120</v>
      </c>
      <c r="J3002" s="6" t="s">
        <v>6032</v>
      </c>
      <c r="K3002" s="6"/>
      <c r="L3002" s="6" t="s">
        <v>3038</v>
      </c>
      <c r="M3002" s="6" t="s">
        <v>9112</v>
      </c>
      <c r="N3002" s="7">
        <f ca="1">RAND()</f>
        <v>0.9439861075619006</v>
      </c>
      <c r="O3002" s="8">
        <v>45224</v>
      </c>
      <c r="P3002" s="8">
        <v>45225</v>
      </c>
      <c r="Q3002" s="8">
        <v>45227</v>
      </c>
      <c r="R3002" s="8">
        <v>45231</v>
      </c>
      <c r="S3002" s="8">
        <v>45251</v>
      </c>
      <c r="T3002" s="8"/>
      <c r="U3002" s="8"/>
      <c r="V3002" s="10">
        <f>COUNTA(O3002:U3002)</f>
        <v>5</v>
      </c>
      <c r="W3002" s="11">
        <f>_xlfn.IFNA(INDEX(reading[[#This Row],[Memo 01]:[Memo 07]],MATCH(0,reading[[#This Row],[Memo 01]:[Memo 07]],-1)),"")</f>
        <v>45251</v>
      </c>
      <c r="X3002" s="11">
        <f ca="1">IFERROR(reading[[#This Row],[Previous]]+OFFSET(reading[[#Headers],[Memo 01]],-1,MATCH(0,reading[[#This Row],[Memo 01]:[Memo 07]],-1)-1),"")</f>
        <v>45263</v>
      </c>
      <c r="Y3002" s="10" t="str">
        <f ca="1">IF(reading[[#This Row],[Next]]&lt;&gt;"",IF(reading[[#This Row],[Next]]&gt;TODAY(),"OK",""),"")</f>
        <v/>
      </c>
      <c r="Z3002" s="13">
        <v>3</v>
      </c>
      <c r="AA3002" s="13">
        <v>3</v>
      </c>
      <c r="AB3002" s="13">
        <v>3</v>
      </c>
      <c r="AC3002" s="13">
        <v>3</v>
      </c>
      <c r="AD3002" s="13">
        <v>3</v>
      </c>
      <c r="AE3002" s="13"/>
      <c r="AF3002" s="13"/>
      <c r="AG3002" s="16">
        <f>IFERROR(SUMIF(reading[[#This Row],[1st]:[7th]],"&gt;0")/COUNTIF(reading[[#This Row],[1st]:[7th]],"&gt;0"),"")</f>
        <v>3</v>
      </c>
    </row>
    <row r="3003" spans="1:33" x14ac:dyDescent="0.2">
      <c r="A3003" s="4">
        <f>IF(B3003=1,3,IF(D3003=1,2,IF(F3003=1,1,0)))</f>
        <v>0</v>
      </c>
      <c r="B3003" s="4" t="str">
        <f>IF(C3003=$L3003,1,IF(C3003="","",0))</f>
        <v/>
      </c>
      <c r="C3003" s="38"/>
      <c r="D3003" s="4" t="str">
        <f>IF(E3003=$L3003,1,IF(E3003="","",0))</f>
        <v/>
      </c>
      <c r="E3003" s="18"/>
      <c r="F3003" s="4" t="str">
        <f>IF(G3003=$L3003,1,IF(G3003="","",0))</f>
        <v/>
      </c>
      <c r="G3003" s="14"/>
      <c r="H3003" s="6">
        <v>2202</v>
      </c>
      <c r="I3003" s="15" t="s">
        <v>3120</v>
      </c>
      <c r="J3003" s="6" t="s">
        <v>5288</v>
      </c>
      <c r="K3003" s="15" t="s">
        <v>3138</v>
      </c>
      <c r="L3003" s="6" t="s">
        <v>2265</v>
      </c>
      <c r="M3003" s="6" t="s">
        <v>8308</v>
      </c>
      <c r="N3003" s="7">
        <f ca="1">RAND()</f>
        <v>0.7780679657408448</v>
      </c>
      <c r="O3003" s="8">
        <v>45215</v>
      </c>
      <c r="P3003" s="8">
        <v>45216</v>
      </c>
      <c r="Q3003" s="8">
        <v>45218</v>
      </c>
      <c r="R3003" s="8">
        <v>45222</v>
      </c>
      <c r="S3003" s="8">
        <v>45229</v>
      </c>
      <c r="T3003" s="8"/>
      <c r="U3003" s="8"/>
      <c r="V3003" s="10">
        <f>COUNTA(O3003:U3003)</f>
        <v>5</v>
      </c>
      <c r="W3003" s="11">
        <f>_xlfn.IFNA(INDEX(reading[[#This Row],[Memo 01]:[Memo 07]],MATCH(0,reading[[#This Row],[Memo 01]:[Memo 07]],-1)),"")</f>
        <v>45229</v>
      </c>
      <c r="X3003" s="11">
        <f ca="1">IFERROR(reading[[#This Row],[Previous]]+OFFSET(reading[[#Headers],[Memo 01]],-1,MATCH(0,reading[[#This Row],[Memo 01]:[Memo 07]],-1)-1),"")</f>
        <v>45241</v>
      </c>
      <c r="Y3003" s="10" t="str">
        <f ca="1">IF(reading[[#This Row],[Next]]&lt;&gt;"",IF(reading[[#This Row],[Next]]&gt;TODAY(),"OK",""),"")</f>
        <v/>
      </c>
      <c r="Z3003" s="13">
        <v>3</v>
      </c>
      <c r="AA3003" s="13">
        <v>2</v>
      </c>
      <c r="AB3003" s="13">
        <v>3</v>
      </c>
      <c r="AC3003" s="13">
        <v>3</v>
      </c>
      <c r="AD3003" s="13">
        <v>3</v>
      </c>
      <c r="AE3003" s="13"/>
      <c r="AF3003" s="13"/>
      <c r="AG3003" s="16">
        <f>IFERROR(SUMIF(reading[[#This Row],[1st]:[7th]],"&gt;0")/COUNTIF(reading[[#This Row],[1st]:[7th]],"&gt;0"),"")</f>
        <v>2.8</v>
      </c>
    </row>
    <row r="3004" spans="1:33" hidden="1" x14ac:dyDescent="0.2">
      <c r="A3004" s="4">
        <f>IF(B3004=1,3,IF(D3004=1,2,IF(F3004=1,1,0)))</f>
        <v>3</v>
      </c>
      <c r="B3004" s="4">
        <f>IF(C3004=$L3004,1,IF(C3004="","",0))</f>
        <v>1</v>
      </c>
      <c r="C3004" s="36" t="s">
        <v>3037</v>
      </c>
      <c r="D3004" s="4" t="str">
        <f>IF(E3004=$L3004,1,IF(E3004="","",0))</f>
        <v/>
      </c>
      <c r="E3004" s="14"/>
      <c r="F3004" s="4" t="str">
        <f>IF(G3004=$L3004,1,IF(G3004="","",0))</f>
        <v/>
      </c>
      <c r="G3004" s="14"/>
      <c r="H3004" s="6">
        <v>3008</v>
      </c>
      <c r="I3004" s="15" t="s">
        <v>3120</v>
      </c>
      <c r="J3004" s="6" t="s">
        <v>6031</v>
      </c>
      <c r="K3004" s="6"/>
      <c r="L3004" s="6" t="s">
        <v>3037</v>
      </c>
      <c r="M3004" s="6" t="s">
        <v>9111</v>
      </c>
      <c r="N3004" s="7">
        <f ca="1">RAND()</f>
        <v>5.1943839398050695E-2</v>
      </c>
      <c r="O3004" s="8">
        <v>45224</v>
      </c>
      <c r="P3004" s="8">
        <v>45224</v>
      </c>
      <c r="Q3004" s="8">
        <v>45224</v>
      </c>
      <c r="R3004" s="8">
        <v>45224</v>
      </c>
      <c r="S3004" s="8">
        <v>45224</v>
      </c>
      <c r="T3004" s="8">
        <v>45224</v>
      </c>
      <c r="U3004" s="8">
        <v>45224</v>
      </c>
      <c r="V3004" s="10">
        <f>COUNTA(O3004:U3004)</f>
        <v>7</v>
      </c>
      <c r="W3004" s="11">
        <f>_xlfn.IFNA(INDEX(reading[[#This Row],[Memo 01]:[Memo 07]],MATCH(0,reading[[#This Row],[Memo 01]:[Memo 07]],-1)),"")</f>
        <v>45224</v>
      </c>
      <c r="X3004" s="11">
        <f ca="1">IFERROR(reading[[#This Row],[Previous]]+OFFSET(reading[[#Headers],[Memo 01]],-1,MATCH(0,reading[[#This Row],[Memo 01]:[Memo 07]],-1)-1),"")</f>
        <v>55224</v>
      </c>
      <c r="Y3004" s="10" t="str">
        <f ca="1">IF(reading[[#This Row],[Next]]&lt;&gt;"",IF(reading[[#This Row],[Next]]&gt;TODAY(),"OK",""),"")</f>
        <v>OK</v>
      </c>
      <c r="Z3004" s="13">
        <v>3</v>
      </c>
      <c r="AA3004" s="13"/>
      <c r="AB3004" s="13"/>
      <c r="AC3004" s="13"/>
      <c r="AD3004" s="13"/>
      <c r="AE3004" s="13"/>
      <c r="AF3004" s="13"/>
      <c r="AG3004" s="16">
        <f>IFERROR(SUMIF(reading[[#This Row],[1st]:[7th]],"&gt;0")/COUNTIF(reading[[#This Row],[1st]:[7th]],"&gt;0"),"")</f>
        <v>3</v>
      </c>
    </row>
    <row r="3005" spans="1:33" x14ac:dyDescent="0.2">
      <c r="A3005" s="4">
        <f>IF(B3005=1,3,IF(D3005=1,2,IF(F3005=1,1,0)))</f>
        <v>0</v>
      </c>
      <c r="B3005" s="4" t="str">
        <f>IF(C3005=$L3005,1,IF(C3005="","",0))</f>
        <v/>
      </c>
      <c r="C3005" s="39"/>
      <c r="D3005" s="4" t="str">
        <f>IF(E3005=$L3005,1,IF(E3005="","",0))</f>
        <v/>
      </c>
      <c r="E3005" s="14"/>
      <c r="F3005" s="4" t="str">
        <f>IF(G3005=$L3005,1,IF(G3005="","",0))</f>
        <v/>
      </c>
      <c r="G3005" s="14"/>
      <c r="H3005" s="6">
        <v>1269</v>
      </c>
      <c r="I3005" s="15" t="s">
        <v>3120</v>
      </c>
      <c r="J3005" s="6" t="s">
        <v>4386</v>
      </c>
      <c r="K3005" s="6"/>
      <c r="L3005" s="6" t="s">
        <v>1367</v>
      </c>
      <c r="M3005" s="6" t="s">
        <v>7376</v>
      </c>
      <c r="N3005" s="7">
        <f ca="1">RAND()</f>
        <v>0.41897474190963513</v>
      </c>
      <c r="O3005" s="8">
        <v>45207</v>
      </c>
      <c r="P3005" s="8">
        <v>45208</v>
      </c>
      <c r="Q3005" s="8">
        <v>45210</v>
      </c>
      <c r="R3005" s="8">
        <v>45214</v>
      </c>
      <c r="S3005" s="8">
        <v>45221</v>
      </c>
      <c r="T3005" s="8">
        <v>45233</v>
      </c>
      <c r="U3005" s="8"/>
      <c r="V3005" s="10">
        <f>COUNTA(O3005:U3005)</f>
        <v>6</v>
      </c>
      <c r="W3005" s="11">
        <f>_xlfn.IFNA(INDEX(reading[[#This Row],[Memo 01]:[Memo 07]],MATCH(0,reading[[#This Row],[Memo 01]:[Memo 07]],-1)),"")</f>
        <v>45233</v>
      </c>
      <c r="X3005" s="11">
        <f ca="1">IFERROR(reading[[#This Row],[Previous]]+OFFSET(reading[[#Headers],[Memo 01]],-1,MATCH(0,reading[[#This Row],[Memo 01]:[Memo 07]],-1)-1),"")</f>
        <v>45253</v>
      </c>
      <c r="Y3005" s="10" t="str">
        <f ca="1">IF(reading[[#This Row],[Next]]&lt;&gt;"",IF(reading[[#This Row],[Next]]&gt;TODAY(),"OK",""),"")</f>
        <v/>
      </c>
      <c r="Z3005" s="13">
        <v>3</v>
      </c>
      <c r="AA3005" s="13">
        <v>3</v>
      </c>
      <c r="AB3005" s="13">
        <v>3</v>
      </c>
      <c r="AC3005" s="13">
        <v>3</v>
      </c>
      <c r="AD3005" s="13">
        <v>3</v>
      </c>
      <c r="AE3005" s="13">
        <v>3</v>
      </c>
      <c r="AF3005" s="13"/>
      <c r="AG3005" s="16">
        <f>IFERROR(SUMIF(reading[[#This Row],[1st]:[7th]],"&gt;0")/COUNTIF(reading[[#This Row],[1st]:[7th]],"&gt;0"),"")</f>
        <v>3</v>
      </c>
    </row>
    <row r="3006" spans="1:33" x14ac:dyDescent="0.2">
      <c r="A3006" s="4">
        <f>IF(B3006=1,3,IF(D3006=1,2,IF(F3006=1,1,0)))</f>
        <v>0</v>
      </c>
      <c r="B3006" s="4" t="str">
        <f>IF(C3006=$L3006,1,IF(C3006="","",0))</f>
        <v/>
      </c>
      <c r="C3006" s="39"/>
      <c r="D3006" s="4" t="str">
        <f>IF(E3006=$L3006,1,IF(E3006="","",0))</f>
        <v/>
      </c>
      <c r="E3006" s="14"/>
      <c r="F3006" s="4" t="str">
        <f>IF(G3006=$L3006,1,IF(G3006="","",0))</f>
        <v/>
      </c>
      <c r="G3006" s="14"/>
      <c r="H3006" s="6">
        <v>2814</v>
      </c>
      <c r="I3006" s="15" t="s">
        <v>3120</v>
      </c>
      <c r="J3006" s="6" t="s">
        <v>5857</v>
      </c>
      <c r="K3006" s="6"/>
      <c r="L3006" s="6" t="s">
        <v>2850</v>
      </c>
      <c r="M3006" s="6" t="s">
        <v>8918</v>
      </c>
      <c r="N3006" s="7">
        <f ca="1">RAND()</f>
        <v>0.97498570256063954</v>
      </c>
      <c r="O3006" s="8">
        <v>45222</v>
      </c>
      <c r="P3006" s="8">
        <v>45223</v>
      </c>
      <c r="Q3006" s="8">
        <v>45225</v>
      </c>
      <c r="R3006" s="8">
        <v>45229</v>
      </c>
      <c r="S3006" s="8">
        <v>45236</v>
      </c>
      <c r="T3006" s="8"/>
      <c r="U3006" s="8"/>
      <c r="V3006" s="10">
        <f>COUNTA(O3006:U3006)</f>
        <v>5</v>
      </c>
      <c r="W3006" s="11">
        <f>_xlfn.IFNA(INDEX(reading[[#This Row],[Memo 01]:[Memo 07]],MATCH(0,reading[[#This Row],[Memo 01]:[Memo 07]],-1)),"")</f>
        <v>45236</v>
      </c>
      <c r="X3006" s="11">
        <f ca="1">IFERROR(reading[[#This Row],[Previous]]+OFFSET(reading[[#Headers],[Memo 01]],-1,MATCH(0,reading[[#This Row],[Memo 01]:[Memo 07]],-1)-1),"")</f>
        <v>45248</v>
      </c>
      <c r="Y3006" s="10" t="str">
        <f ca="1">IF(reading[[#This Row],[Next]]&lt;&gt;"",IF(reading[[#This Row],[Next]]&gt;TODAY(),"OK",""),"")</f>
        <v/>
      </c>
      <c r="Z3006" s="13">
        <v>3</v>
      </c>
      <c r="AA3006" s="13">
        <v>3</v>
      </c>
      <c r="AB3006" s="13">
        <v>3</v>
      </c>
      <c r="AC3006" s="13">
        <v>3</v>
      </c>
      <c r="AD3006" s="13">
        <v>3</v>
      </c>
      <c r="AE3006" s="13"/>
      <c r="AF3006" s="13"/>
      <c r="AG3006" s="16">
        <f>IFERROR(SUMIF(reading[[#This Row],[1st]:[7th]],"&gt;0")/COUNTIF(reading[[#This Row],[1st]:[7th]],"&gt;0"),"")</f>
        <v>3</v>
      </c>
    </row>
    <row r="3007" spans="1:33" x14ac:dyDescent="0.2">
      <c r="A3007" s="4">
        <f>IF(B3007=1,3,IF(D3007=1,2,IF(F3007=1,1,0)))</f>
        <v>0</v>
      </c>
      <c r="B3007" s="4" t="str">
        <f>IF(C3007=$L3007,1,IF(C3007="","",0))</f>
        <v/>
      </c>
      <c r="C3007" s="40"/>
      <c r="D3007" s="4" t="str">
        <f>IF(E3007=$L3007,1,IF(E3007="","",0))</f>
        <v/>
      </c>
      <c r="E3007" s="18"/>
      <c r="F3007" s="4" t="str">
        <f>IF(G3007=$L3007,1,IF(G3007="","",0))</f>
        <v/>
      </c>
      <c r="G3007" s="18"/>
      <c r="H3007" s="6">
        <v>2274</v>
      </c>
      <c r="I3007" s="15" t="s">
        <v>3120</v>
      </c>
      <c r="J3007" s="6" t="s">
        <v>5355</v>
      </c>
      <c r="K3007" s="6"/>
      <c r="L3007" s="6" t="s">
        <v>2334</v>
      </c>
      <c r="M3007" s="6" t="s">
        <v>8379</v>
      </c>
      <c r="N3007" s="7">
        <f ca="1">RAND()</f>
        <v>9.3699228900000375E-2</v>
      </c>
      <c r="O3007" s="8">
        <v>45215</v>
      </c>
      <c r="P3007" s="8">
        <v>45216</v>
      </c>
      <c r="Q3007" s="8">
        <v>45218</v>
      </c>
      <c r="R3007" s="8">
        <v>45222</v>
      </c>
      <c r="S3007" s="8">
        <v>45229</v>
      </c>
      <c r="T3007" s="8">
        <v>45249</v>
      </c>
      <c r="U3007" s="8"/>
      <c r="V3007" s="10">
        <f>COUNTA(O3007:U3007)</f>
        <v>6</v>
      </c>
      <c r="W3007" s="11">
        <f>_xlfn.IFNA(INDEX(reading[[#This Row],[Memo 01]:[Memo 07]],MATCH(0,reading[[#This Row],[Memo 01]:[Memo 07]],-1)),"")</f>
        <v>45249</v>
      </c>
      <c r="X3007" s="11">
        <f ca="1">IFERROR(reading[[#This Row],[Previous]]+OFFSET(reading[[#Headers],[Memo 01]],-1,MATCH(0,reading[[#This Row],[Memo 01]:[Memo 07]],-1)-1),"")</f>
        <v>45269</v>
      </c>
      <c r="Y3007" s="10" t="str">
        <f ca="1">IF(reading[[#This Row],[Next]]&lt;&gt;"",IF(reading[[#This Row],[Next]]&gt;TODAY(),"OK",""),"")</f>
        <v/>
      </c>
      <c r="Z3007" s="13">
        <v>3</v>
      </c>
      <c r="AA3007" s="13">
        <v>3</v>
      </c>
      <c r="AB3007" s="13">
        <v>3</v>
      </c>
      <c r="AC3007" s="13">
        <v>1</v>
      </c>
      <c r="AD3007" s="13">
        <v>1</v>
      </c>
      <c r="AE3007" s="13">
        <v>2</v>
      </c>
      <c r="AF3007" s="13"/>
      <c r="AG3007" s="16">
        <f>IFERROR(SUMIF(reading[[#This Row],[1st]:[7th]],"&gt;0")/COUNTIF(reading[[#This Row],[1st]:[7th]],"&gt;0"),"")</f>
        <v>2.1666666666666665</v>
      </c>
    </row>
    <row r="3008" spans="1:33" hidden="1" x14ac:dyDescent="0.2">
      <c r="A3008" s="4">
        <f>IF(B3008=1,3,IF(D3008=1,2,IF(F3008=1,1,0)))</f>
        <v>0</v>
      </c>
      <c r="B3008" s="4" t="str">
        <f>IF(C3008=$L3008,1,IF(C3008="","",0))</f>
        <v/>
      </c>
      <c r="C3008" s="42"/>
      <c r="D3008" s="4" t="str">
        <f>IF(E3008=$L3008,1,IF(E3008="","",0))</f>
        <v/>
      </c>
      <c r="E3008" s="23"/>
      <c r="F3008" s="4" t="str">
        <f>IF(G3008=$L3008,1,IF(G3008="","",0))</f>
        <v/>
      </c>
      <c r="G3008" s="14"/>
      <c r="H3008" s="6">
        <v>332</v>
      </c>
      <c r="I3008" s="15" t="s">
        <v>3120</v>
      </c>
      <c r="J3008" s="6" t="s">
        <v>3479</v>
      </c>
      <c r="K3008" s="6"/>
      <c r="L3008" s="6" t="s">
        <v>467</v>
      </c>
      <c r="M3008" s="6" t="s">
        <v>6441</v>
      </c>
      <c r="N3008" s="7">
        <f ca="1">RAND()</f>
        <v>0.56991482581559105</v>
      </c>
      <c r="O3008" s="8">
        <v>45200</v>
      </c>
      <c r="P3008" s="8">
        <v>45201</v>
      </c>
      <c r="Q3008" s="8">
        <v>45203</v>
      </c>
      <c r="R3008" s="8">
        <v>45207</v>
      </c>
      <c r="S3008" s="8">
        <v>45214</v>
      </c>
      <c r="T3008" s="8">
        <v>45226</v>
      </c>
      <c r="U3008" s="8">
        <v>45816</v>
      </c>
      <c r="V3008" s="10">
        <f>COUNTA(O3008:U3008)</f>
        <v>7</v>
      </c>
      <c r="W3008" s="11">
        <f>_xlfn.IFNA(INDEX(reading[[#This Row],[Memo 01]:[Memo 07]],MATCH(0,reading[[#This Row],[Memo 01]:[Memo 07]],-1)),"")</f>
        <v>45816</v>
      </c>
      <c r="X3008" s="11">
        <f ca="1">IFERROR(reading[[#This Row],[Previous]]+OFFSET(reading[[#Headers],[Memo 01]],-1,MATCH(0,reading[[#This Row],[Memo 01]:[Memo 07]],-1)-1),"")</f>
        <v>55816</v>
      </c>
      <c r="Y3008" s="10" t="str">
        <f ca="1">IF(reading[[#This Row],[Next]]&lt;&gt;"",IF(reading[[#This Row],[Next]]&gt;TODAY(),"OK",""),"")</f>
        <v>OK</v>
      </c>
      <c r="Z3008" s="13">
        <v>3</v>
      </c>
      <c r="AA3008" s="13">
        <v>3</v>
      </c>
      <c r="AB3008" s="13">
        <v>3</v>
      </c>
      <c r="AC3008" s="13">
        <v>3</v>
      </c>
      <c r="AD3008" s="13">
        <v>3</v>
      </c>
      <c r="AE3008" s="13">
        <v>3</v>
      </c>
      <c r="AF3008" s="13">
        <v>2</v>
      </c>
      <c r="AG3008" s="16">
        <f>IFERROR(SUMIF(reading[[#This Row],[1st]:[7th]],"&gt;0")/COUNTIF(reading[[#This Row],[1st]:[7th]],"&gt;0"),"")</f>
        <v>2.8571428571428572</v>
      </c>
    </row>
    <row r="3009" spans="1:33" x14ac:dyDescent="0.2">
      <c r="A3009" s="4">
        <f>IF(B3009=1,3,IF(D3009=1,2,IF(F3009=1,1,0)))</f>
        <v>0</v>
      </c>
      <c r="B3009" s="4" t="str">
        <f>IF(C3009=$L3009,1,IF(C3009="","",0))</f>
        <v/>
      </c>
      <c r="C3009" s="41"/>
      <c r="D3009" s="4" t="str">
        <f>IF(E3009=$L3009,1,IF(E3009="","",0))</f>
        <v/>
      </c>
      <c r="E3009" s="18"/>
      <c r="F3009" s="4" t="str">
        <f>IF(G3009=$L3009,1,IF(G3009="","",0))</f>
        <v/>
      </c>
      <c r="G3009" s="14"/>
      <c r="H3009" s="6">
        <v>3016</v>
      </c>
      <c r="I3009" s="15" t="s">
        <v>3120</v>
      </c>
      <c r="J3009" s="6" t="s">
        <v>6039</v>
      </c>
      <c r="K3009" s="6"/>
      <c r="L3009" s="6" t="s">
        <v>3045</v>
      </c>
      <c r="M3009" s="6" t="s">
        <v>9119</v>
      </c>
      <c r="N3009" s="7">
        <f ca="1">RAND()</f>
        <v>0.71896152464847318</v>
      </c>
      <c r="O3009" s="8">
        <v>45224</v>
      </c>
      <c r="P3009" s="8">
        <v>45225</v>
      </c>
      <c r="Q3009" s="8">
        <v>45227</v>
      </c>
      <c r="R3009" s="8">
        <v>45231</v>
      </c>
      <c r="S3009" s="8">
        <v>45252</v>
      </c>
      <c r="T3009" s="8"/>
      <c r="U3009" s="8"/>
      <c r="V3009" s="10">
        <f>COUNTA(O3009:U3009)</f>
        <v>5</v>
      </c>
      <c r="W3009" s="11">
        <f>_xlfn.IFNA(INDEX(reading[[#This Row],[Memo 01]:[Memo 07]],MATCH(0,reading[[#This Row],[Memo 01]:[Memo 07]],-1)),"")</f>
        <v>45252</v>
      </c>
      <c r="X3009" s="11">
        <f ca="1">IFERROR(reading[[#This Row],[Previous]]+OFFSET(reading[[#Headers],[Memo 01]],-1,MATCH(0,reading[[#This Row],[Memo 01]:[Memo 07]],-1)-1),"")</f>
        <v>45264</v>
      </c>
      <c r="Y3009" s="10" t="str">
        <f ca="1">IF(reading[[#This Row],[Next]]&lt;&gt;"",IF(reading[[#This Row],[Next]]&gt;TODAY(),"OK",""),"")</f>
        <v/>
      </c>
      <c r="Z3009" s="13">
        <v>3</v>
      </c>
      <c r="AA3009" s="13">
        <v>3</v>
      </c>
      <c r="AB3009" s="13">
        <v>3</v>
      </c>
      <c r="AC3009" s="13">
        <v>3</v>
      </c>
      <c r="AD3009" s="13">
        <v>2</v>
      </c>
      <c r="AE3009" s="13"/>
      <c r="AF3009" s="13"/>
      <c r="AG3009" s="16">
        <f>IFERROR(SUMIF(reading[[#This Row],[1st]:[7th]],"&gt;0")/COUNTIF(reading[[#This Row],[1st]:[7th]],"&gt;0"),"")</f>
        <v>2.8</v>
      </c>
    </row>
    <row r="3010" spans="1:33" hidden="1" x14ac:dyDescent="0.2">
      <c r="A3010" s="4">
        <f>IF(B3010=1,3,IF(D3010=1,2,IF(F3010=1,1,0)))</f>
        <v>0</v>
      </c>
      <c r="B3010" s="4">
        <f>IF(C3010=$L3010,1,IF(C3010="","",0))</f>
        <v>0</v>
      </c>
      <c r="C3010" s="42" t="s">
        <v>9200</v>
      </c>
      <c r="D3010" s="4" t="str">
        <f>IF(E3010=$L3010,1,IF(E3010="","",0))</f>
        <v/>
      </c>
      <c r="E3010" s="14"/>
      <c r="F3010" s="4" t="str">
        <f>IF(G3010=$L3010,1,IF(G3010="","",0))</f>
        <v/>
      </c>
      <c r="G3010" s="14"/>
      <c r="H3010" s="6">
        <v>557</v>
      </c>
      <c r="I3010" s="15" t="s">
        <v>3120</v>
      </c>
      <c r="J3010" s="6" t="s">
        <v>3702</v>
      </c>
      <c r="K3010" s="6"/>
      <c r="L3010" s="6" t="s">
        <v>684</v>
      </c>
      <c r="M3010" s="6" t="s">
        <v>6666</v>
      </c>
      <c r="N3010" s="7">
        <f ca="1">RAND()</f>
        <v>0.43325359517210893</v>
      </c>
      <c r="O3010" s="8">
        <v>45202</v>
      </c>
      <c r="P3010" s="8">
        <v>45203</v>
      </c>
      <c r="Q3010" s="8">
        <v>45205</v>
      </c>
      <c r="R3010" s="8">
        <v>45209</v>
      </c>
      <c r="S3010" s="8">
        <v>45216</v>
      </c>
      <c r="T3010" s="8">
        <v>45228</v>
      </c>
      <c r="U3010" s="8"/>
      <c r="V3010" s="10">
        <f>COUNTA(O3010:U3010)</f>
        <v>6</v>
      </c>
      <c r="W3010" s="11">
        <f>_xlfn.IFNA(INDEX(reading[[#This Row],[Memo 01]:[Memo 07]],MATCH(0,reading[[#This Row],[Memo 01]:[Memo 07]],-1)),"")</f>
        <v>45228</v>
      </c>
      <c r="X3010" s="11">
        <f ca="1">IFERROR(reading[[#This Row],[Previous]]+OFFSET(reading[[#Headers],[Memo 01]],-1,MATCH(0,reading[[#This Row],[Memo 01]:[Memo 07]],-1)-1),"")</f>
        <v>45248</v>
      </c>
      <c r="Y3010" s="10" t="str">
        <f ca="1">IF(reading[[#This Row],[Next]]&lt;&gt;"",IF(reading[[#This Row],[Next]]&gt;TODAY(),"OK",""),"")</f>
        <v/>
      </c>
      <c r="Z3010" s="13">
        <v>3</v>
      </c>
      <c r="AA3010" s="13">
        <v>3</v>
      </c>
      <c r="AB3010" s="13">
        <v>3</v>
      </c>
      <c r="AC3010" s="13">
        <v>3</v>
      </c>
      <c r="AD3010" s="13">
        <v>3</v>
      </c>
      <c r="AE3010" s="13">
        <v>3</v>
      </c>
      <c r="AF3010" s="13"/>
      <c r="AG3010" s="16">
        <f>IFERROR(SUMIF(reading[[#This Row],[1st]:[7th]],"&gt;0")/COUNTIF(reading[[#This Row],[1st]:[7th]],"&gt;0"),"")</f>
        <v>3</v>
      </c>
    </row>
    <row r="3011" spans="1:33" hidden="1" x14ac:dyDescent="0.2">
      <c r="A3011" s="4">
        <f>IF(B3011=1,3,IF(D3011=1,2,IF(F3011=1,1,0)))</f>
        <v>0</v>
      </c>
      <c r="B3011" s="4" t="str">
        <f>IF(C3011=$L3011,1,IF(C3011="","",0))</f>
        <v/>
      </c>
      <c r="C3011" s="42"/>
      <c r="D3011" s="4" t="str">
        <f>IF(E3011=$L3011,1,IF(E3011="","",0))</f>
        <v/>
      </c>
      <c r="E3011" s="23"/>
      <c r="F3011" s="4" t="str">
        <f>IF(G3011=$L3011,1,IF(G3011="","",0))</f>
        <v/>
      </c>
      <c r="G3011" s="23"/>
      <c r="H3011" s="6">
        <v>2787</v>
      </c>
      <c r="I3011" s="15" t="s">
        <v>3120</v>
      </c>
      <c r="J3011" s="6" t="s">
        <v>5830</v>
      </c>
      <c r="K3011" s="6"/>
      <c r="L3011" s="6" t="s">
        <v>2824</v>
      </c>
      <c r="M3011" s="6" t="s">
        <v>8891</v>
      </c>
      <c r="N3011" s="7">
        <f ca="1">RAND()</f>
        <v>0.97749058160846458</v>
      </c>
      <c r="O3011" s="8">
        <v>45222</v>
      </c>
      <c r="P3011" s="8">
        <v>45223</v>
      </c>
      <c r="Q3011" s="8">
        <v>45225</v>
      </c>
      <c r="R3011" s="8">
        <v>45229</v>
      </c>
      <c r="S3011" s="8">
        <v>45236</v>
      </c>
      <c r="T3011" s="8">
        <v>45817</v>
      </c>
      <c r="U3011" s="8"/>
      <c r="V3011" s="10">
        <f>COUNTA(O3011:U3011)</f>
        <v>6</v>
      </c>
      <c r="W3011" s="11">
        <f>_xlfn.IFNA(INDEX(reading[[#This Row],[Memo 01]:[Memo 07]],MATCH(0,reading[[#This Row],[Memo 01]:[Memo 07]],-1)),"")</f>
        <v>45817</v>
      </c>
      <c r="X3011" s="11">
        <f ca="1">IFERROR(reading[[#This Row],[Previous]]+OFFSET(reading[[#Headers],[Memo 01]],-1,MATCH(0,reading[[#This Row],[Memo 01]:[Memo 07]],-1)-1),"")</f>
        <v>45837</v>
      </c>
      <c r="Y3011" s="10" t="str">
        <f ca="1">IF(reading[[#This Row],[Next]]&lt;&gt;"",IF(reading[[#This Row],[Next]]&gt;TODAY(),"OK",""),"")</f>
        <v>OK</v>
      </c>
      <c r="Z3011" s="13">
        <v>3</v>
      </c>
      <c r="AA3011" s="13">
        <v>3</v>
      </c>
      <c r="AB3011" s="13">
        <v>3</v>
      </c>
      <c r="AC3011" s="13">
        <v>3</v>
      </c>
      <c r="AD3011" s="13">
        <v>3</v>
      </c>
      <c r="AE3011" s="13">
        <v>1</v>
      </c>
      <c r="AF3011" s="13"/>
      <c r="AG3011" s="16">
        <f>IFERROR(SUMIF(reading[[#This Row],[1st]:[7th]],"&gt;0")/COUNTIF(reading[[#This Row],[1st]:[7th]],"&gt;0"),"")</f>
        <v>2.6666666666666665</v>
      </c>
    </row>
    <row r="3012" spans="1:33" x14ac:dyDescent="0.2">
      <c r="A3012" s="4">
        <f>IF(B3012=1,3,IF(D3012=1,2,IF(F3012=1,1,0)))</f>
        <v>0</v>
      </c>
      <c r="B3012" s="4" t="str">
        <f>IF(C3012=$L3012,1,IF(C3012="","",0))</f>
        <v/>
      </c>
      <c r="C3012" s="39"/>
      <c r="D3012" s="4" t="str">
        <f>IF(E3012=$L3012,1,IF(E3012="","",0))</f>
        <v/>
      </c>
      <c r="E3012" s="14"/>
      <c r="F3012" s="4" t="str">
        <f>IF(G3012=$L3012,1,IF(G3012="","",0))</f>
        <v/>
      </c>
      <c r="G3012" s="14"/>
      <c r="H3012" s="6">
        <v>2691</v>
      </c>
      <c r="I3012" s="15" t="s">
        <v>3120</v>
      </c>
      <c r="J3012" s="6" t="s">
        <v>5742</v>
      </c>
      <c r="K3012" s="6"/>
      <c r="L3012" s="6" t="s">
        <v>2730</v>
      </c>
      <c r="M3012" s="6" t="s">
        <v>8796</v>
      </c>
      <c r="N3012" s="7">
        <f ca="1">RAND()</f>
        <v>0.44381092339095551</v>
      </c>
      <c r="O3012" s="8">
        <v>45221</v>
      </c>
      <c r="P3012" s="8">
        <v>45222</v>
      </c>
      <c r="Q3012" s="8">
        <v>45224</v>
      </c>
      <c r="R3012" s="8">
        <v>45228</v>
      </c>
      <c r="S3012" s="8">
        <v>45235</v>
      </c>
      <c r="T3012" s="8"/>
      <c r="U3012" s="8"/>
      <c r="V3012" s="10">
        <f>COUNTA(O3012:U3012)</f>
        <v>5</v>
      </c>
      <c r="W3012" s="11">
        <f>_xlfn.IFNA(INDEX(reading[[#This Row],[Memo 01]:[Memo 07]],MATCH(0,reading[[#This Row],[Memo 01]:[Memo 07]],-1)),"")</f>
        <v>45235</v>
      </c>
      <c r="X3012" s="11">
        <f ca="1">IFERROR(reading[[#This Row],[Previous]]+OFFSET(reading[[#Headers],[Memo 01]],-1,MATCH(0,reading[[#This Row],[Memo 01]:[Memo 07]],-1)-1),"")</f>
        <v>45247</v>
      </c>
      <c r="Y3012" s="10" t="str">
        <f ca="1">IF(reading[[#This Row],[Next]]&lt;&gt;"",IF(reading[[#This Row],[Next]]&gt;TODAY(),"OK",""),"")</f>
        <v/>
      </c>
      <c r="Z3012" s="13">
        <v>3</v>
      </c>
      <c r="AA3012" s="13">
        <v>3</v>
      </c>
      <c r="AB3012" s="13">
        <v>3</v>
      </c>
      <c r="AC3012" s="13">
        <v>3</v>
      </c>
      <c r="AD3012" s="13">
        <v>3</v>
      </c>
      <c r="AE3012" s="13"/>
      <c r="AF3012" s="13"/>
      <c r="AG3012" s="16">
        <f>IFERROR(SUMIF(reading[[#This Row],[1st]:[7th]],"&gt;0")/COUNTIF(reading[[#This Row],[1st]:[7th]],"&gt;0"),"")</f>
        <v>3</v>
      </c>
    </row>
    <row r="3013" spans="1:33" x14ac:dyDescent="0.2">
      <c r="A3013" s="4">
        <f>IF(B3013=1,3,IF(D3013=1,2,IF(F3013=1,1,0)))</f>
        <v>0</v>
      </c>
      <c r="B3013" s="4" t="str">
        <f>IF(C3013=$L3013,1,IF(C3013="","",0))</f>
        <v/>
      </c>
      <c r="C3013" s="38"/>
      <c r="D3013" s="4" t="str">
        <f>IF(E3013=$L3013,1,IF(E3013="","",0))</f>
        <v/>
      </c>
      <c r="E3013" s="18"/>
      <c r="F3013" s="4" t="str">
        <f>IF(G3013=$L3013,1,IF(G3013="","",0))</f>
        <v/>
      </c>
      <c r="G3013" s="14"/>
      <c r="H3013" s="6">
        <v>2209</v>
      </c>
      <c r="I3013" s="15" t="s">
        <v>3120</v>
      </c>
      <c r="J3013" s="6" t="s">
        <v>5295</v>
      </c>
      <c r="K3013" s="6"/>
      <c r="L3013" s="6" t="s">
        <v>2272</v>
      </c>
      <c r="M3013" s="6" t="s">
        <v>8315</v>
      </c>
      <c r="N3013" s="7">
        <f ca="1">RAND()</f>
        <v>0.84561066805330909</v>
      </c>
      <c r="O3013" s="8">
        <v>45215</v>
      </c>
      <c r="P3013" s="8">
        <v>45216</v>
      </c>
      <c r="Q3013" s="8">
        <v>45218</v>
      </c>
      <c r="R3013" s="8">
        <v>45222</v>
      </c>
      <c r="S3013" s="8">
        <v>45229</v>
      </c>
      <c r="T3013" s="8"/>
      <c r="U3013" s="8"/>
      <c r="V3013" s="10">
        <f>COUNTA(O3013:U3013)</f>
        <v>5</v>
      </c>
      <c r="W3013" s="11">
        <f>_xlfn.IFNA(INDEX(reading[[#This Row],[Memo 01]:[Memo 07]],MATCH(0,reading[[#This Row],[Memo 01]:[Memo 07]],-1)),"")</f>
        <v>45229</v>
      </c>
      <c r="X3013" s="11">
        <f ca="1">IFERROR(reading[[#This Row],[Previous]]+OFFSET(reading[[#Headers],[Memo 01]],-1,MATCH(0,reading[[#This Row],[Memo 01]:[Memo 07]],-1)-1),"")</f>
        <v>45241</v>
      </c>
      <c r="Y3013" s="10" t="str">
        <f ca="1">IF(reading[[#This Row],[Next]]&lt;&gt;"",IF(reading[[#This Row],[Next]]&gt;TODAY(),"OK",""),"")</f>
        <v/>
      </c>
      <c r="Z3013" s="13">
        <v>3</v>
      </c>
      <c r="AA3013" s="13">
        <v>3</v>
      </c>
      <c r="AB3013" s="13">
        <v>2</v>
      </c>
      <c r="AC3013" s="13">
        <v>3</v>
      </c>
      <c r="AD3013" s="13">
        <v>3</v>
      </c>
      <c r="AE3013" s="13"/>
      <c r="AF3013" s="13"/>
      <c r="AG3013" s="16">
        <f>IFERROR(SUMIF(reading[[#This Row],[1st]:[7th]],"&gt;0")/COUNTIF(reading[[#This Row],[1st]:[7th]],"&gt;0"),"")</f>
        <v>2.8</v>
      </c>
    </row>
    <row r="3014" spans="1:33" x14ac:dyDescent="0.2">
      <c r="A3014" s="4">
        <f>IF(B3014=1,3,IF(D3014=1,2,IF(F3014=1,1,0)))</f>
        <v>0</v>
      </c>
      <c r="B3014" s="4" t="str">
        <f>IF(C3014=$L3014,1,IF(C3014="","",0))</f>
        <v/>
      </c>
      <c r="C3014" s="41"/>
      <c r="D3014" s="4" t="str">
        <f>IF(E3014=$L3014,1,IF(E3014="","",0))</f>
        <v/>
      </c>
      <c r="E3014" s="14"/>
      <c r="F3014" s="4" t="str">
        <f>IF(G3014=$L3014,1,IF(G3014="","",0))</f>
        <v/>
      </c>
      <c r="G3014" s="14"/>
      <c r="H3014" s="6">
        <v>3011</v>
      </c>
      <c r="I3014" s="15" t="s">
        <v>3120</v>
      </c>
      <c r="J3014" s="6" t="s">
        <v>6034</v>
      </c>
      <c r="K3014" s="6"/>
      <c r="L3014" s="6" t="s">
        <v>3040</v>
      </c>
      <c r="M3014" s="6" t="s">
        <v>9114</v>
      </c>
      <c r="N3014" s="7">
        <f ca="1">RAND()</f>
        <v>0.81979033661410383</v>
      </c>
      <c r="O3014" s="8">
        <v>45224</v>
      </c>
      <c r="P3014" s="8">
        <v>45225</v>
      </c>
      <c r="Q3014" s="8">
        <v>45227</v>
      </c>
      <c r="R3014" s="8">
        <v>45231</v>
      </c>
      <c r="S3014" s="8">
        <v>45251</v>
      </c>
      <c r="T3014" s="8"/>
      <c r="U3014" s="8"/>
      <c r="V3014" s="10">
        <f>COUNTA(O3014:U3014)</f>
        <v>5</v>
      </c>
      <c r="W3014" s="11">
        <f>_xlfn.IFNA(INDEX(reading[[#This Row],[Memo 01]:[Memo 07]],MATCH(0,reading[[#This Row],[Memo 01]:[Memo 07]],-1)),"")</f>
        <v>45251</v>
      </c>
      <c r="X3014" s="11">
        <f ca="1">IFERROR(reading[[#This Row],[Previous]]+OFFSET(reading[[#Headers],[Memo 01]],-1,MATCH(0,reading[[#This Row],[Memo 01]:[Memo 07]],-1)-1),"")</f>
        <v>45263</v>
      </c>
      <c r="Y3014" s="10" t="str">
        <f ca="1">IF(reading[[#This Row],[Next]]&lt;&gt;"",IF(reading[[#This Row],[Next]]&gt;TODAY(),"OK",""),"")</f>
        <v/>
      </c>
      <c r="Z3014" s="13">
        <v>3</v>
      </c>
      <c r="AA3014" s="13">
        <v>3</v>
      </c>
      <c r="AB3014" s="13">
        <v>3</v>
      </c>
      <c r="AC3014" s="13">
        <v>3</v>
      </c>
      <c r="AD3014" s="13">
        <v>3</v>
      </c>
      <c r="AE3014" s="13"/>
      <c r="AF3014" s="13"/>
      <c r="AG3014" s="16">
        <f>IFERROR(SUMIF(reading[[#This Row],[1st]:[7th]],"&gt;0")/COUNTIF(reading[[#This Row],[1st]:[7th]],"&gt;0"),"")</f>
        <v>3</v>
      </c>
    </row>
    <row r="3015" spans="1:33" hidden="1" x14ac:dyDescent="0.2">
      <c r="A3015" s="4">
        <f>IF(B3015=1,3,IF(D3015=1,2,IF(F3015=1,1,0)))</f>
        <v>0</v>
      </c>
      <c r="B3015" s="4" t="str">
        <f>IF(C3015=$L3015,1,IF(C3015="","",0))</f>
        <v/>
      </c>
      <c r="C3015" s="42"/>
      <c r="D3015" s="4" t="str">
        <f>IF(E3015=$L3015,1,IF(E3015="","",0))</f>
        <v/>
      </c>
      <c r="E3015" s="23"/>
      <c r="F3015" s="4" t="str">
        <f>IF(G3015=$L3015,1,IF(G3015="","",0))</f>
        <v/>
      </c>
      <c r="G3015" s="14"/>
      <c r="H3015" s="6">
        <v>1554</v>
      </c>
      <c r="I3015" s="15" t="s">
        <v>3120</v>
      </c>
      <c r="J3015" s="6" t="s">
        <v>4667</v>
      </c>
      <c r="K3015" s="6"/>
      <c r="L3015" s="6" t="s">
        <v>1639</v>
      </c>
      <c r="M3015" s="24" t="s">
        <v>9254</v>
      </c>
      <c r="N3015" s="7">
        <f ca="1">RAND()</f>
        <v>0.22581660392865888</v>
      </c>
      <c r="O3015" s="8">
        <v>45209</v>
      </c>
      <c r="P3015" s="8">
        <v>45210</v>
      </c>
      <c r="Q3015" s="8">
        <v>45212</v>
      </c>
      <c r="R3015" s="8">
        <v>45216</v>
      </c>
      <c r="S3015" s="8">
        <v>45223</v>
      </c>
      <c r="T3015" s="8">
        <v>45235</v>
      </c>
      <c r="U3015" s="8">
        <v>45825</v>
      </c>
      <c r="V3015" s="10">
        <f>COUNTA(O3015:U3015)</f>
        <v>7</v>
      </c>
      <c r="W3015" s="11">
        <f>_xlfn.IFNA(INDEX(reading[[#This Row],[Memo 01]:[Memo 07]],MATCH(0,reading[[#This Row],[Memo 01]:[Memo 07]],-1)),"")</f>
        <v>45825</v>
      </c>
      <c r="X3015" s="11">
        <f ca="1">IFERROR(reading[[#This Row],[Previous]]+OFFSET(reading[[#Headers],[Memo 01]],-1,MATCH(0,reading[[#This Row],[Memo 01]:[Memo 07]],-1)-1),"")</f>
        <v>55825</v>
      </c>
      <c r="Y3015" s="10" t="str">
        <f ca="1">IF(reading[[#This Row],[Next]]&lt;&gt;"",IF(reading[[#This Row],[Next]]&gt;TODAY(),"OK",""),"")</f>
        <v>OK</v>
      </c>
      <c r="Z3015" s="13">
        <v>3</v>
      </c>
      <c r="AA3015" s="13">
        <v>3</v>
      </c>
      <c r="AB3015" s="13">
        <v>3</v>
      </c>
      <c r="AC3015" s="13">
        <v>3</v>
      </c>
      <c r="AD3015" s="13">
        <v>3</v>
      </c>
      <c r="AE3015" s="13">
        <v>3</v>
      </c>
      <c r="AF3015" s="13">
        <v>2</v>
      </c>
      <c r="AG3015" s="16">
        <f>IFERROR(SUMIF(reading[[#This Row],[1st]:[7th]],"&gt;0")/COUNTIF(reading[[#This Row],[1st]:[7th]],"&gt;0"),"")</f>
        <v>2.8571428571428572</v>
      </c>
    </row>
    <row r="3016" spans="1:33" x14ac:dyDescent="0.2">
      <c r="A3016" s="4">
        <f>IF(B3016=1,3,IF(D3016=1,2,IF(F3016=1,1,0)))</f>
        <v>0</v>
      </c>
      <c r="B3016" s="4" t="str">
        <f>IF(C3016=$L3016,1,IF(C3016="","",0))</f>
        <v/>
      </c>
      <c r="C3016" s="39"/>
      <c r="D3016" s="4" t="str">
        <f>IF(E3016=$L3016,1,IF(E3016="","",0))</f>
        <v/>
      </c>
      <c r="E3016" s="14"/>
      <c r="F3016" s="4" t="str">
        <f>IF(G3016=$L3016,1,IF(G3016="","",0))</f>
        <v/>
      </c>
      <c r="G3016" s="14"/>
      <c r="H3016" s="6">
        <v>900</v>
      </c>
      <c r="I3016" s="15" t="s">
        <v>3120</v>
      </c>
      <c r="J3016" s="6" t="s">
        <v>4032</v>
      </c>
      <c r="K3016" s="6"/>
      <c r="L3016" s="6" t="s">
        <v>1013</v>
      </c>
      <c r="M3016" s="6" t="s">
        <v>7009</v>
      </c>
      <c r="N3016" s="7">
        <f ca="1">RAND()</f>
        <v>0.605364539771445</v>
      </c>
      <c r="O3016" s="8">
        <v>45204</v>
      </c>
      <c r="P3016" s="8">
        <v>45205</v>
      </c>
      <c r="Q3016" s="8">
        <v>45207</v>
      </c>
      <c r="R3016" s="8">
        <v>45211</v>
      </c>
      <c r="S3016" s="8">
        <v>45218</v>
      </c>
      <c r="T3016" s="8">
        <v>45230</v>
      </c>
      <c r="U3016" s="8"/>
      <c r="V3016" s="10">
        <f>COUNTA(O3016:U3016)</f>
        <v>6</v>
      </c>
      <c r="W3016" s="11">
        <f>_xlfn.IFNA(INDEX(reading[[#This Row],[Memo 01]:[Memo 07]],MATCH(0,reading[[#This Row],[Memo 01]:[Memo 07]],-1)),"")</f>
        <v>45230</v>
      </c>
      <c r="X3016" s="11">
        <f ca="1">IFERROR(reading[[#This Row],[Previous]]+OFFSET(reading[[#Headers],[Memo 01]],-1,MATCH(0,reading[[#This Row],[Memo 01]:[Memo 07]],-1)-1),"")</f>
        <v>45250</v>
      </c>
      <c r="Y3016" s="10" t="str">
        <f ca="1">IF(reading[[#This Row],[Next]]&lt;&gt;"",IF(reading[[#This Row],[Next]]&gt;TODAY(),"OK",""),"")</f>
        <v/>
      </c>
      <c r="Z3016" s="13">
        <v>3</v>
      </c>
      <c r="AA3016" s="13">
        <v>3</v>
      </c>
      <c r="AB3016" s="13">
        <v>3</v>
      </c>
      <c r="AC3016" s="13">
        <v>3</v>
      </c>
      <c r="AD3016" s="13">
        <v>3</v>
      </c>
      <c r="AE3016" s="13">
        <v>3</v>
      </c>
      <c r="AF3016" s="13"/>
      <c r="AG3016" s="16">
        <f>IFERROR(SUMIF(reading[[#This Row],[1st]:[7th]],"&gt;0")/COUNTIF(reading[[#This Row],[1st]:[7th]],"&gt;0"),"")</f>
        <v>3</v>
      </c>
    </row>
    <row r="3017" spans="1:33" x14ac:dyDescent="0.2">
      <c r="A3017" s="4">
        <f>IF(B3017=1,3,IF(D3017=1,2,IF(F3017=1,1,0)))</f>
        <v>0</v>
      </c>
      <c r="B3017" s="4" t="str">
        <f>IF(C3017=$L3017,1,IF(C3017="","",0))</f>
        <v/>
      </c>
      <c r="C3017" s="38"/>
      <c r="D3017" s="4" t="str">
        <f>IF(E3017=$L3017,1,IF(E3017="","",0))</f>
        <v/>
      </c>
      <c r="E3017" s="18"/>
      <c r="F3017" s="4" t="str">
        <f>IF(G3017=$L3017,1,IF(G3017="","",0))</f>
        <v/>
      </c>
      <c r="G3017" s="14"/>
      <c r="H3017" s="6">
        <v>2063</v>
      </c>
      <c r="I3017" s="15" t="s">
        <v>3120</v>
      </c>
      <c r="J3017" s="6" t="s">
        <v>5158</v>
      </c>
      <c r="K3017" s="6"/>
      <c r="L3017" s="6" t="s">
        <v>2136</v>
      </c>
      <c r="M3017" s="6" t="s">
        <v>8169</v>
      </c>
      <c r="N3017" s="7">
        <f ca="1">RAND()</f>
        <v>0.59704395678399946</v>
      </c>
      <c r="O3017" s="8">
        <v>45214</v>
      </c>
      <c r="P3017" s="8">
        <v>45215</v>
      </c>
      <c r="Q3017" s="8">
        <v>45217</v>
      </c>
      <c r="R3017" s="8">
        <v>45221</v>
      </c>
      <c r="S3017" s="8">
        <v>45228</v>
      </c>
      <c r="T3017" s="8"/>
      <c r="U3017" s="8"/>
      <c r="V3017" s="10">
        <f>COUNTA(O3017:U3017)</f>
        <v>5</v>
      </c>
      <c r="W3017" s="11">
        <f>_xlfn.IFNA(INDEX(reading[[#This Row],[Memo 01]:[Memo 07]],MATCH(0,reading[[#This Row],[Memo 01]:[Memo 07]],-1)),"")</f>
        <v>45228</v>
      </c>
      <c r="X3017" s="11">
        <f ca="1">IFERROR(reading[[#This Row],[Previous]]+OFFSET(reading[[#Headers],[Memo 01]],-1,MATCH(0,reading[[#This Row],[Memo 01]:[Memo 07]],-1)-1),"")</f>
        <v>45240</v>
      </c>
      <c r="Y3017" s="10" t="str">
        <f ca="1">IF(reading[[#This Row],[Next]]&lt;&gt;"",IF(reading[[#This Row],[Next]]&gt;TODAY(),"OK",""),"")</f>
        <v/>
      </c>
      <c r="Z3017" s="13">
        <v>3</v>
      </c>
      <c r="AA3017" s="13">
        <v>2</v>
      </c>
      <c r="AB3017" s="13">
        <v>3</v>
      </c>
      <c r="AC3017" s="13">
        <v>3</v>
      </c>
      <c r="AD3017" s="13">
        <v>3</v>
      </c>
      <c r="AE3017" s="13"/>
      <c r="AF3017" s="13"/>
      <c r="AG3017" s="16">
        <f>IFERROR(SUMIF(reading[[#This Row],[1st]:[7th]],"&gt;0")/COUNTIF(reading[[#This Row],[1st]:[7th]],"&gt;0"),"")</f>
        <v>2.8</v>
      </c>
    </row>
    <row r="3018" spans="1:33" x14ac:dyDescent="0.2">
      <c r="A3018" s="4">
        <f>IF(B3018=1,3,IF(D3018=1,2,IF(F3018=1,1,0)))</f>
        <v>0</v>
      </c>
      <c r="B3018" s="4" t="str">
        <f>IF(C3018=$L3018,1,IF(C3018="","",0))</f>
        <v/>
      </c>
      <c r="C3018" s="41"/>
      <c r="D3018" s="4" t="str">
        <f>IF(E3018=$L3018,1,IF(E3018="","",0))</f>
        <v/>
      </c>
      <c r="E3018" s="18"/>
      <c r="F3018" s="4" t="str">
        <f>IF(G3018=$L3018,1,IF(G3018="","",0))</f>
        <v/>
      </c>
      <c r="G3018" s="14"/>
      <c r="H3018" s="6">
        <v>1951</v>
      </c>
      <c r="I3018" s="15" t="s">
        <v>3120</v>
      </c>
      <c r="J3018" s="6" t="s">
        <v>5050</v>
      </c>
      <c r="K3018" s="15" t="s">
        <v>3138</v>
      </c>
      <c r="L3018" s="6" t="s">
        <v>2026</v>
      </c>
      <c r="M3018" s="6" t="s">
        <v>8057</v>
      </c>
      <c r="N3018" s="7">
        <f ca="1">RAND()</f>
        <v>0.56207062495336035</v>
      </c>
      <c r="O3018" s="8">
        <v>45213</v>
      </c>
      <c r="P3018" s="8">
        <v>45214</v>
      </c>
      <c r="Q3018" s="8">
        <v>45216</v>
      </c>
      <c r="R3018" s="8">
        <v>45220</v>
      </c>
      <c r="S3018" s="8">
        <v>45227</v>
      </c>
      <c r="T3018" s="8">
        <v>45251</v>
      </c>
      <c r="U3018" s="8"/>
      <c r="V3018" s="10">
        <f>COUNTA(O3018:U3018)</f>
        <v>6</v>
      </c>
      <c r="W3018" s="11">
        <f>_xlfn.IFNA(INDEX(reading[[#This Row],[Memo 01]:[Memo 07]],MATCH(0,reading[[#This Row],[Memo 01]:[Memo 07]],-1)),"")</f>
        <v>45251</v>
      </c>
      <c r="X3018" s="11">
        <f ca="1">IFERROR(reading[[#This Row],[Previous]]+OFFSET(reading[[#Headers],[Memo 01]],-1,MATCH(0,reading[[#This Row],[Memo 01]:[Memo 07]],-1)-1),"")</f>
        <v>45271</v>
      </c>
      <c r="Y3018" s="10" t="str">
        <f ca="1">IF(reading[[#This Row],[Next]]&lt;&gt;"",IF(reading[[#This Row],[Next]]&gt;TODAY(),"OK",""),"")</f>
        <v/>
      </c>
      <c r="Z3018" s="13">
        <v>3</v>
      </c>
      <c r="AA3018" s="13">
        <v>2</v>
      </c>
      <c r="AB3018" s="13">
        <v>2</v>
      </c>
      <c r="AC3018" s="13">
        <v>3</v>
      </c>
      <c r="AD3018" s="13">
        <v>3</v>
      </c>
      <c r="AE3018" s="13">
        <v>3</v>
      </c>
      <c r="AF3018" s="13"/>
      <c r="AG3018" s="16">
        <f>IFERROR(SUMIF(reading[[#This Row],[1st]:[7th]],"&gt;0")/COUNTIF(reading[[#This Row],[1st]:[7th]],"&gt;0"),"")</f>
        <v>2.6666666666666665</v>
      </c>
    </row>
    <row r="3019" spans="1:33" x14ac:dyDescent="0.2">
      <c r="A3019" s="4">
        <f>IF(B3019=1,3,IF(D3019=1,2,IF(F3019=1,1,0)))</f>
        <v>0</v>
      </c>
      <c r="B3019" s="4" t="str">
        <f>IF(C3019=$L3019,1,IF(C3019="","",0))</f>
        <v/>
      </c>
      <c r="C3019" s="36"/>
      <c r="D3019" s="4" t="str">
        <f>IF(E3019=$L3019,1,IF(E3019="","",0))</f>
        <v/>
      </c>
      <c r="E3019" s="18"/>
      <c r="F3019" s="4" t="str">
        <f>IF(G3019=$L3019,1,IF(G3019="","",0))</f>
        <v/>
      </c>
      <c r="G3019" s="14"/>
      <c r="H3019" s="6">
        <v>2042</v>
      </c>
      <c r="I3019" s="15" t="s">
        <v>3120</v>
      </c>
      <c r="J3019" s="6" t="s">
        <v>5138</v>
      </c>
      <c r="K3019" s="6"/>
      <c r="L3019" s="6" t="s">
        <v>2117</v>
      </c>
      <c r="M3019" s="6" t="s">
        <v>8148</v>
      </c>
      <c r="N3019" s="7">
        <f ca="1">RAND()</f>
        <v>0.36070597290691286</v>
      </c>
      <c r="O3019" s="8">
        <v>45213</v>
      </c>
      <c r="P3019" s="8">
        <v>45214</v>
      </c>
      <c r="Q3019" s="8">
        <v>45216</v>
      </c>
      <c r="R3019" s="8">
        <v>45220</v>
      </c>
      <c r="S3019" s="8">
        <v>45227</v>
      </c>
      <c r="T3019" s="8"/>
      <c r="U3019" s="8"/>
      <c r="V3019" s="10">
        <f>COUNTA(O3019:U3019)</f>
        <v>5</v>
      </c>
      <c r="W3019" s="11">
        <f>_xlfn.IFNA(INDEX(reading[[#This Row],[Memo 01]:[Memo 07]],MATCH(0,reading[[#This Row],[Memo 01]:[Memo 07]],-1)),"")</f>
        <v>45227</v>
      </c>
      <c r="X3019" s="11">
        <f ca="1">IFERROR(reading[[#This Row],[Previous]]+OFFSET(reading[[#Headers],[Memo 01]],-1,MATCH(0,reading[[#This Row],[Memo 01]:[Memo 07]],-1)-1),"")</f>
        <v>45239</v>
      </c>
      <c r="Y3019" s="10" t="str">
        <f ca="1">IF(reading[[#This Row],[Next]]&lt;&gt;"",IF(reading[[#This Row],[Next]]&gt;TODAY(),"OK",""),"")</f>
        <v/>
      </c>
      <c r="Z3019" s="13">
        <v>3</v>
      </c>
      <c r="AA3019" s="13">
        <v>3</v>
      </c>
      <c r="AB3019" s="13">
        <v>3</v>
      </c>
      <c r="AC3019" s="13">
        <v>3</v>
      </c>
      <c r="AD3019" s="13">
        <v>2</v>
      </c>
      <c r="AE3019" s="13"/>
      <c r="AF3019" s="13"/>
      <c r="AG3019" s="16">
        <f>IFERROR(SUMIF(reading[[#This Row],[1st]:[7th]],"&gt;0")/COUNTIF(reading[[#This Row],[1st]:[7th]],"&gt;0"),"")</f>
        <v>2.8</v>
      </c>
    </row>
    <row r="3020" spans="1:33" hidden="1" x14ac:dyDescent="0.2">
      <c r="A3020" s="4">
        <f>IF(B3020=1,3,IF(D3020=1,2,IF(F3020=1,1,0)))</f>
        <v>3</v>
      </c>
      <c r="B3020" s="4">
        <f>IF(C3020=$L3020,1,IF(C3020="","",0))</f>
        <v>1</v>
      </c>
      <c r="C3020" s="36" t="s">
        <v>3053</v>
      </c>
      <c r="D3020" s="4" t="str">
        <f>IF(E3020=$L3020,1,IF(E3020="","",0))</f>
        <v/>
      </c>
      <c r="E3020" s="14"/>
      <c r="F3020" s="4" t="str">
        <f>IF(G3020=$L3020,1,IF(G3020="","",0))</f>
        <v/>
      </c>
      <c r="G3020" s="14"/>
      <c r="H3020" s="6">
        <v>3024</v>
      </c>
      <c r="I3020" s="15" t="s">
        <v>3120</v>
      </c>
      <c r="J3020" s="6" t="s">
        <v>6047</v>
      </c>
      <c r="K3020" s="6"/>
      <c r="L3020" s="6" t="s">
        <v>3053</v>
      </c>
      <c r="M3020" s="6" t="s">
        <v>9127</v>
      </c>
      <c r="N3020" s="7">
        <f ca="1">RAND()</f>
        <v>0.1380390690951756</v>
      </c>
      <c r="O3020" s="8">
        <v>45224</v>
      </c>
      <c r="P3020" s="8">
        <v>45224</v>
      </c>
      <c r="Q3020" s="8">
        <v>45224</v>
      </c>
      <c r="R3020" s="8">
        <v>45224</v>
      </c>
      <c r="S3020" s="8">
        <v>45224</v>
      </c>
      <c r="T3020" s="8">
        <v>45224</v>
      </c>
      <c r="U3020" s="8">
        <v>45224</v>
      </c>
      <c r="V3020" s="10">
        <f>COUNTA(O3020:U3020)</f>
        <v>7</v>
      </c>
      <c r="W3020" s="11">
        <f>_xlfn.IFNA(INDEX(reading[[#This Row],[Memo 01]:[Memo 07]],MATCH(0,reading[[#This Row],[Memo 01]:[Memo 07]],-1)),"")</f>
        <v>45224</v>
      </c>
      <c r="X3020" s="11">
        <f ca="1">IFERROR(reading[[#This Row],[Previous]]+OFFSET(reading[[#Headers],[Memo 01]],-1,MATCH(0,reading[[#This Row],[Memo 01]:[Memo 07]],-1)-1),"")</f>
        <v>55224</v>
      </c>
      <c r="Y3020" s="10" t="str">
        <f ca="1">IF(reading[[#This Row],[Next]]&lt;&gt;"",IF(reading[[#This Row],[Next]]&gt;TODAY(),"OK",""),"")</f>
        <v>OK</v>
      </c>
      <c r="Z3020" s="13">
        <v>3</v>
      </c>
      <c r="AA3020" s="13"/>
      <c r="AB3020" s="13"/>
      <c r="AC3020" s="13"/>
      <c r="AD3020" s="13"/>
      <c r="AE3020" s="13"/>
      <c r="AF3020" s="13"/>
      <c r="AG3020" s="16">
        <f>IFERROR(SUMIF(reading[[#This Row],[1st]:[7th]],"&gt;0")/COUNTIF(reading[[#This Row],[1st]:[7th]],"&gt;0"),"")</f>
        <v>3</v>
      </c>
    </row>
    <row r="3021" spans="1:33" hidden="1" x14ac:dyDescent="0.2">
      <c r="A3021" s="4">
        <f>IF(B3021=1,3,IF(D3021=1,2,IF(F3021=1,1,0)))</f>
        <v>0</v>
      </c>
      <c r="B3021" s="4">
        <f>IF(C3021=$L3021,1,IF(C3021="","",0))</f>
        <v>0</v>
      </c>
      <c r="C3021" s="42" t="s">
        <v>9200</v>
      </c>
      <c r="D3021" s="4" t="str">
        <f>IF(E3021=$L3021,1,IF(E3021="","",0))</f>
        <v/>
      </c>
      <c r="E3021" s="14"/>
      <c r="F3021" s="4" t="str">
        <f>IF(G3021=$L3021,1,IF(G3021="","",0))</f>
        <v/>
      </c>
      <c r="G3021" s="14"/>
      <c r="H3021" s="6">
        <v>1393</v>
      </c>
      <c r="I3021" s="15" t="s">
        <v>3120</v>
      </c>
      <c r="J3021" s="6" t="s">
        <v>4507</v>
      </c>
      <c r="K3021" s="6"/>
      <c r="L3021" s="6" t="s">
        <v>1485</v>
      </c>
      <c r="M3021" s="6" t="s">
        <v>7500</v>
      </c>
      <c r="N3021" s="7">
        <f ca="1">RAND()</f>
        <v>0.84157041394831866</v>
      </c>
      <c r="O3021" s="8">
        <v>45207</v>
      </c>
      <c r="P3021" s="8">
        <v>45208</v>
      </c>
      <c r="Q3021" s="8">
        <v>45210</v>
      </c>
      <c r="R3021" s="8">
        <v>45214</v>
      </c>
      <c r="S3021" s="8">
        <v>45221</v>
      </c>
      <c r="T3021" s="8">
        <v>45233</v>
      </c>
      <c r="U3021" s="8"/>
      <c r="V3021" s="10">
        <f>COUNTA(O3021:U3021)</f>
        <v>6</v>
      </c>
      <c r="W3021" s="11">
        <f>_xlfn.IFNA(INDEX(reading[[#This Row],[Memo 01]:[Memo 07]],MATCH(0,reading[[#This Row],[Memo 01]:[Memo 07]],-1)),"")</f>
        <v>45233</v>
      </c>
      <c r="X3021" s="11">
        <f ca="1">IFERROR(reading[[#This Row],[Previous]]+OFFSET(reading[[#Headers],[Memo 01]],-1,MATCH(0,reading[[#This Row],[Memo 01]:[Memo 07]],-1)-1),"")</f>
        <v>45253</v>
      </c>
      <c r="Y3021" s="10" t="str">
        <f ca="1">IF(reading[[#This Row],[Next]]&lt;&gt;"",IF(reading[[#This Row],[Next]]&gt;TODAY(),"OK",""),"")</f>
        <v/>
      </c>
      <c r="Z3021" s="13">
        <v>3</v>
      </c>
      <c r="AA3021" s="13">
        <v>3</v>
      </c>
      <c r="AB3021" s="13">
        <v>3</v>
      </c>
      <c r="AC3021" s="13">
        <v>3</v>
      </c>
      <c r="AD3021" s="13">
        <v>3</v>
      </c>
      <c r="AE3021" s="13">
        <v>3</v>
      </c>
      <c r="AF3021" s="13"/>
      <c r="AG3021" s="16">
        <f>IFERROR(SUMIF(reading[[#This Row],[1st]:[7th]],"&gt;0")/COUNTIF(reading[[#This Row],[1st]:[7th]],"&gt;0"),"")</f>
        <v>3</v>
      </c>
    </row>
    <row r="3022" spans="1:33" hidden="1" x14ac:dyDescent="0.2">
      <c r="A3022" s="4">
        <f>IF(B3022=1,3,IF(D3022=1,2,IF(F3022=1,1,0)))</f>
        <v>0</v>
      </c>
      <c r="B3022" s="4" t="str">
        <f>IF(C3022=$L3022,1,IF(C3022="","",0))</f>
        <v/>
      </c>
      <c r="C3022" s="42"/>
      <c r="D3022" s="4" t="str">
        <f>IF(E3022=$L3022,1,IF(E3022="","",0))</f>
        <v/>
      </c>
      <c r="E3022" s="23"/>
      <c r="F3022" s="4" t="str">
        <f>IF(G3022=$L3022,1,IF(G3022="","",0))</f>
        <v/>
      </c>
      <c r="G3022" s="14"/>
      <c r="H3022" s="6">
        <v>1639</v>
      </c>
      <c r="I3022" s="15" t="s">
        <v>3120</v>
      </c>
      <c r="J3022" s="6" t="s">
        <v>4751</v>
      </c>
      <c r="K3022" s="6"/>
      <c r="L3022" s="6" t="s">
        <v>1721</v>
      </c>
      <c r="M3022" s="6" t="s">
        <v>7745</v>
      </c>
      <c r="N3022" s="7">
        <f ca="1">RAND()</f>
        <v>0.14639027193447596</v>
      </c>
      <c r="O3022" s="8">
        <v>45210</v>
      </c>
      <c r="P3022" s="8">
        <v>45211</v>
      </c>
      <c r="Q3022" s="8">
        <v>45213</v>
      </c>
      <c r="R3022" s="8">
        <v>45217</v>
      </c>
      <c r="S3022" s="8">
        <v>45224</v>
      </c>
      <c r="T3022" s="8">
        <v>45236</v>
      </c>
      <c r="U3022" s="8">
        <v>45825</v>
      </c>
      <c r="V3022" s="10">
        <f>COUNTA(O3022:U3022)</f>
        <v>7</v>
      </c>
      <c r="W3022" s="11">
        <f>_xlfn.IFNA(INDEX(reading[[#This Row],[Memo 01]:[Memo 07]],MATCH(0,reading[[#This Row],[Memo 01]:[Memo 07]],-1)),"")</f>
        <v>45825</v>
      </c>
      <c r="X3022" s="11">
        <f ca="1">IFERROR(reading[[#This Row],[Previous]]+OFFSET(reading[[#Headers],[Memo 01]],-1,MATCH(0,reading[[#This Row],[Memo 01]:[Memo 07]],-1)-1),"")</f>
        <v>55825</v>
      </c>
      <c r="Y3022" s="10" t="str">
        <f ca="1">IF(reading[[#This Row],[Next]]&lt;&gt;"",IF(reading[[#This Row],[Next]]&gt;TODAY(),"OK",""),"")</f>
        <v>OK</v>
      </c>
      <c r="Z3022" s="13">
        <v>3</v>
      </c>
      <c r="AA3022" s="13">
        <v>3</v>
      </c>
      <c r="AB3022" s="13">
        <v>3</v>
      </c>
      <c r="AC3022" s="13">
        <v>3</v>
      </c>
      <c r="AD3022" s="13">
        <v>3</v>
      </c>
      <c r="AE3022" s="13">
        <v>3</v>
      </c>
      <c r="AF3022" s="13">
        <v>2</v>
      </c>
      <c r="AG3022" s="16">
        <f>IFERROR(SUMIF(reading[[#This Row],[1st]:[7th]],"&gt;0")/COUNTIF(reading[[#This Row],[1st]:[7th]],"&gt;0"),"")</f>
        <v>2.8571428571428572</v>
      </c>
    </row>
    <row r="3023" spans="1:33" x14ac:dyDescent="0.2">
      <c r="A3023" s="4">
        <f>IF(B3023=1,3,IF(D3023=1,2,IF(F3023=1,1,0)))</f>
        <v>0</v>
      </c>
      <c r="B3023" s="4" t="str">
        <f>IF(C3023=$L3023,1,IF(C3023="","",0))</f>
        <v/>
      </c>
      <c r="C3023" s="38"/>
      <c r="D3023" s="4" t="str">
        <f>IF(E3023=$L3023,1,IF(E3023="","",0))</f>
        <v/>
      </c>
      <c r="E3023" s="14"/>
      <c r="F3023" s="4" t="str">
        <f>IF(G3023=$L3023,1,IF(G3023="","",0))</f>
        <v/>
      </c>
      <c r="G3023" s="14"/>
      <c r="H3023" s="6">
        <v>815</v>
      </c>
      <c r="I3023" s="15" t="s">
        <v>3120</v>
      </c>
      <c r="J3023" s="6" t="s">
        <v>3949</v>
      </c>
      <c r="K3023" s="6"/>
      <c r="L3023" s="6" t="s">
        <v>931</v>
      </c>
      <c r="M3023" s="6" t="s">
        <v>6924</v>
      </c>
      <c r="N3023" s="7">
        <f ca="1">RAND()</f>
        <v>0.44693325345016122</v>
      </c>
      <c r="O3023" s="8">
        <v>45203</v>
      </c>
      <c r="P3023" s="8">
        <v>45204</v>
      </c>
      <c r="Q3023" s="8">
        <v>45206</v>
      </c>
      <c r="R3023" s="8">
        <v>45210</v>
      </c>
      <c r="S3023" s="8">
        <v>45217</v>
      </c>
      <c r="T3023" s="8">
        <v>45229</v>
      </c>
      <c r="U3023" s="8"/>
      <c r="V3023" s="10">
        <f>COUNTA(O3023:U3023)</f>
        <v>6</v>
      </c>
      <c r="W3023" s="11">
        <f>_xlfn.IFNA(INDEX(reading[[#This Row],[Memo 01]:[Memo 07]],MATCH(0,reading[[#This Row],[Memo 01]:[Memo 07]],-1)),"")</f>
        <v>45229</v>
      </c>
      <c r="X3023" s="11">
        <f ca="1">IFERROR(reading[[#This Row],[Previous]]+OFFSET(reading[[#Headers],[Memo 01]],-1,MATCH(0,reading[[#This Row],[Memo 01]:[Memo 07]],-1)-1),"")</f>
        <v>45249</v>
      </c>
      <c r="Y3023" s="10" t="str">
        <f ca="1">IF(reading[[#This Row],[Next]]&lt;&gt;"",IF(reading[[#This Row],[Next]]&gt;TODAY(),"OK",""),"")</f>
        <v/>
      </c>
      <c r="Z3023" s="13">
        <v>3</v>
      </c>
      <c r="AA3023" s="13">
        <v>3</v>
      </c>
      <c r="AB3023" s="13">
        <v>3</v>
      </c>
      <c r="AC3023" s="13">
        <v>3</v>
      </c>
      <c r="AD3023" s="13">
        <v>3</v>
      </c>
      <c r="AE3023" s="13">
        <v>3</v>
      </c>
      <c r="AF3023" s="13"/>
      <c r="AG3023" s="16">
        <f>IFERROR(SUMIF(reading[[#This Row],[1st]:[7th]],"&gt;0")/COUNTIF(reading[[#This Row],[1st]:[7th]],"&gt;0"),"")</f>
        <v>3</v>
      </c>
    </row>
    <row r="3024" spans="1:33" x14ac:dyDescent="0.2">
      <c r="A3024" s="4">
        <f>IF(B3024=1,3,IF(D3024=1,2,IF(F3024=1,1,0)))</f>
        <v>0</v>
      </c>
      <c r="B3024" s="4" t="str">
        <f>IF(C3024=$L3024,1,IF(C3024="","",0))</f>
        <v/>
      </c>
      <c r="C3024" s="39"/>
      <c r="D3024" s="4" t="str">
        <f>IF(E3024=$L3024,1,IF(E3024="","",0))</f>
        <v/>
      </c>
      <c r="E3024" s="18"/>
      <c r="F3024" s="4" t="str">
        <f>IF(G3024=$L3024,1,IF(G3024="","",0))</f>
        <v/>
      </c>
      <c r="G3024" s="14"/>
      <c r="H3024" s="6">
        <v>2298</v>
      </c>
      <c r="I3024" s="15" t="s">
        <v>3120</v>
      </c>
      <c r="J3024" s="6" t="s">
        <v>5291</v>
      </c>
      <c r="K3024" s="6"/>
      <c r="L3024" s="6" t="s">
        <v>2356</v>
      </c>
      <c r="M3024" s="6" t="s">
        <v>8403</v>
      </c>
      <c r="N3024" s="7">
        <f ca="1">RAND()</f>
        <v>0.59060596329495851</v>
      </c>
      <c r="O3024" s="8">
        <v>45216</v>
      </c>
      <c r="P3024" s="8">
        <v>45217</v>
      </c>
      <c r="Q3024" s="8">
        <v>45219</v>
      </c>
      <c r="R3024" s="8">
        <v>45223</v>
      </c>
      <c r="S3024" s="8">
        <v>45230</v>
      </c>
      <c r="T3024" s="8"/>
      <c r="U3024" s="8"/>
      <c r="V3024" s="10">
        <f>COUNTA(O3024:U3024)</f>
        <v>5</v>
      </c>
      <c r="W3024" s="11">
        <f>_xlfn.IFNA(INDEX(reading[[#This Row],[Memo 01]:[Memo 07]],MATCH(0,reading[[#This Row],[Memo 01]:[Memo 07]],-1)),"")</f>
        <v>45230</v>
      </c>
      <c r="X3024" s="11">
        <f ca="1">IFERROR(reading[[#This Row],[Previous]]+OFFSET(reading[[#Headers],[Memo 01]],-1,MATCH(0,reading[[#This Row],[Memo 01]:[Memo 07]],-1)-1),"")</f>
        <v>45242</v>
      </c>
      <c r="Y3024" s="10" t="str">
        <f ca="1">IF(reading[[#This Row],[Next]]&lt;&gt;"",IF(reading[[#This Row],[Next]]&gt;TODAY(),"OK",""),"")</f>
        <v/>
      </c>
      <c r="Z3024" s="13">
        <v>3</v>
      </c>
      <c r="AA3024" s="13">
        <v>2</v>
      </c>
      <c r="AB3024" s="13">
        <v>3</v>
      </c>
      <c r="AC3024" s="13">
        <v>3</v>
      </c>
      <c r="AD3024" s="13">
        <v>3</v>
      </c>
      <c r="AE3024" s="13"/>
      <c r="AF3024" s="13"/>
      <c r="AG3024" s="16">
        <f>IFERROR(SUMIF(reading[[#This Row],[1st]:[7th]],"&gt;0")/COUNTIF(reading[[#This Row],[1st]:[7th]],"&gt;0"),"")</f>
        <v>2.8</v>
      </c>
    </row>
    <row r="3025" spans="1:33" x14ac:dyDescent="0.2">
      <c r="A3025" s="4">
        <f>IF(B3025=1,3,IF(D3025=1,2,IF(F3025=1,1,0)))</f>
        <v>0</v>
      </c>
      <c r="B3025" s="4" t="str">
        <f>IF(C3025=$L3025,1,IF(C3025="","",0))</f>
        <v/>
      </c>
      <c r="C3025" s="42"/>
      <c r="D3025" s="4" t="str">
        <f>IF(E3025=$L3025,1,IF(E3025="","",0))</f>
        <v/>
      </c>
      <c r="E3025" s="14"/>
      <c r="F3025" s="4" t="str">
        <f>IF(G3025=$L3025,1,IF(G3025="","",0))</f>
        <v/>
      </c>
      <c r="G3025" s="14"/>
      <c r="H3025" s="6">
        <v>1862</v>
      </c>
      <c r="I3025" s="15" t="s">
        <v>3120</v>
      </c>
      <c r="J3025" s="6" t="s">
        <v>4964</v>
      </c>
      <c r="K3025" s="6"/>
      <c r="L3025" s="6" t="s">
        <v>1940</v>
      </c>
      <c r="M3025" s="6" t="s">
        <v>7968</v>
      </c>
      <c r="N3025" s="7">
        <f ca="1">RAND()</f>
        <v>0.26915674633166164</v>
      </c>
      <c r="O3025" s="8">
        <v>45212</v>
      </c>
      <c r="P3025" s="8">
        <v>45213</v>
      </c>
      <c r="Q3025" s="8">
        <v>45215</v>
      </c>
      <c r="R3025" s="8">
        <v>45219</v>
      </c>
      <c r="S3025" s="8">
        <v>45226</v>
      </c>
      <c r="T3025" s="8">
        <v>45783</v>
      </c>
      <c r="U3025" s="8"/>
      <c r="V3025" s="10">
        <f>COUNTA(O3025:U3025)</f>
        <v>6</v>
      </c>
      <c r="W3025" s="11">
        <f>_xlfn.IFNA(INDEX(reading[[#This Row],[Memo 01]:[Memo 07]],MATCH(0,reading[[#This Row],[Memo 01]:[Memo 07]],-1)),"")</f>
        <v>45783</v>
      </c>
      <c r="X3025" s="11">
        <f ca="1">IFERROR(reading[[#This Row],[Previous]]+OFFSET(reading[[#Headers],[Memo 01]],-1,MATCH(0,reading[[#This Row],[Memo 01]:[Memo 07]],-1)-1),"")</f>
        <v>45803</v>
      </c>
      <c r="Y3025" s="10" t="str">
        <f ca="1">IF(reading[[#This Row],[Next]]&lt;&gt;"",IF(reading[[#This Row],[Next]]&gt;TODAY(),"OK",""),"")</f>
        <v/>
      </c>
      <c r="Z3025" s="13">
        <v>3</v>
      </c>
      <c r="AA3025" s="13">
        <v>3</v>
      </c>
      <c r="AB3025" s="13">
        <v>3</v>
      </c>
      <c r="AC3025" s="13">
        <v>3</v>
      </c>
      <c r="AD3025" s="13">
        <v>3</v>
      </c>
      <c r="AE3025" s="13">
        <v>3</v>
      </c>
      <c r="AF3025" s="13"/>
      <c r="AG3025" s="16">
        <f>IFERROR(SUMIF(reading[[#This Row],[1st]:[7th]],"&gt;0")/COUNTIF(reading[[#This Row],[1st]:[7th]],"&gt;0"),"")</f>
        <v>3</v>
      </c>
    </row>
    <row r="3026" spans="1:33" x14ac:dyDescent="0.2">
      <c r="A3026" s="4">
        <f>IF(B3026=1,3,IF(D3026=1,2,IF(F3026=1,1,0)))</f>
        <v>0</v>
      </c>
      <c r="B3026" s="4" t="str">
        <f>IF(C3026=$L3026,1,IF(C3026="","",0))</f>
        <v/>
      </c>
      <c r="C3026" s="39"/>
      <c r="D3026" s="4" t="str">
        <f>IF(E3026=$L3026,1,IF(E3026="","",0))</f>
        <v/>
      </c>
      <c r="E3026" s="18"/>
      <c r="F3026" s="4" t="str">
        <f>IF(G3026=$L3026,1,IF(G3026="","",0))</f>
        <v/>
      </c>
      <c r="G3026" s="14"/>
      <c r="H3026" s="6">
        <v>1495</v>
      </c>
      <c r="I3026" s="15" t="s">
        <v>3120</v>
      </c>
      <c r="J3026" s="6" t="s">
        <v>4609</v>
      </c>
      <c r="K3026" s="15" t="s">
        <v>3138</v>
      </c>
      <c r="L3026" s="6" t="s">
        <v>1581</v>
      </c>
      <c r="M3026" s="6" t="s">
        <v>7602</v>
      </c>
      <c r="N3026" s="7">
        <f ca="1">RAND()</f>
        <v>0.37393311885019431</v>
      </c>
      <c r="O3026" s="8">
        <v>45208</v>
      </c>
      <c r="P3026" s="8">
        <v>45209</v>
      </c>
      <c r="Q3026" s="8">
        <v>45211</v>
      </c>
      <c r="R3026" s="8">
        <v>45215</v>
      </c>
      <c r="S3026" s="8">
        <v>45222</v>
      </c>
      <c r="T3026" s="8">
        <v>45234</v>
      </c>
      <c r="U3026" s="8"/>
      <c r="V3026" s="10">
        <f>COUNTA(O3026:U3026)</f>
        <v>6</v>
      </c>
      <c r="W3026" s="11">
        <f>_xlfn.IFNA(INDEX(reading[[#This Row],[Memo 01]:[Memo 07]],MATCH(0,reading[[#This Row],[Memo 01]:[Memo 07]],-1)),"")</f>
        <v>45234</v>
      </c>
      <c r="X3026" s="11">
        <f ca="1">IFERROR(reading[[#This Row],[Previous]]+OFFSET(reading[[#Headers],[Memo 01]],-1,MATCH(0,reading[[#This Row],[Memo 01]:[Memo 07]],-1)-1),"")</f>
        <v>45254</v>
      </c>
      <c r="Y3026" s="10" t="str">
        <f ca="1">IF(reading[[#This Row],[Next]]&lt;&gt;"",IF(reading[[#This Row],[Next]]&gt;TODAY(),"OK",""),"")</f>
        <v/>
      </c>
      <c r="Z3026" s="13">
        <v>3</v>
      </c>
      <c r="AA3026" s="13">
        <v>3</v>
      </c>
      <c r="AB3026" s="13">
        <v>3</v>
      </c>
      <c r="AC3026" s="13">
        <v>2</v>
      </c>
      <c r="AD3026" s="13">
        <v>3</v>
      </c>
      <c r="AE3026" s="13">
        <v>3</v>
      </c>
      <c r="AF3026" s="13"/>
      <c r="AG3026" s="16">
        <f>IFERROR(SUMIF(reading[[#This Row],[1st]:[7th]],"&gt;0")/COUNTIF(reading[[#This Row],[1st]:[7th]],"&gt;0"),"")</f>
        <v>2.8333333333333335</v>
      </c>
    </row>
    <row r="3027" spans="1:33" hidden="1" x14ac:dyDescent="0.2">
      <c r="A3027" s="4">
        <f>IF(B3027=1,3,IF(D3027=1,2,IF(F3027=1,1,0)))</f>
        <v>0</v>
      </c>
      <c r="B3027" s="4" t="str">
        <f>IF(C3027=$L3027,1,IF(C3027="","",0))</f>
        <v/>
      </c>
      <c r="C3027" s="42"/>
      <c r="D3027" s="4" t="str">
        <f>IF(E3027=$L3027,1,IF(E3027="","",0))</f>
        <v/>
      </c>
      <c r="E3027" s="23"/>
      <c r="F3027" s="4" t="str">
        <f>IF(G3027=$L3027,1,IF(G3027="","",0))</f>
        <v/>
      </c>
      <c r="G3027" s="14"/>
      <c r="H3027" s="6">
        <v>2894</v>
      </c>
      <c r="I3027" s="15" t="s">
        <v>3120</v>
      </c>
      <c r="J3027" s="6" t="s">
        <v>5930</v>
      </c>
      <c r="K3027" s="6"/>
      <c r="L3027" s="6" t="s">
        <v>2925</v>
      </c>
      <c r="M3027" s="6" t="s">
        <v>8998</v>
      </c>
      <c r="N3027" s="7">
        <f ca="1">RAND()</f>
        <v>0.55284833878854489</v>
      </c>
      <c r="O3027" s="8">
        <v>45222</v>
      </c>
      <c r="P3027" s="8">
        <v>45223</v>
      </c>
      <c r="Q3027" s="8">
        <v>45225</v>
      </c>
      <c r="R3027" s="8">
        <v>45229</v>
      </c>
      <c r="S3027" s="8">
        <v>45236</v>
      </c>
      <c r="T3027" s="8">
        <v>45825</v>
      </c>
      <c r="U3027" s="8"/>
      <c r="V3027" s="10">
        <f>COUNTA(O3027:U3027)</f>
        <v>6</v>
      </c>
      <c r="W3027" s="11">
        <f>_xlfn.IFNA(INDEX(reading[[#This Row],[Memo 01]:[Memo 07]],MATCH(0,reading[[#This Row],[Memo 01]:[Memo 07]],-1)),"")</f>
        <v>45825</v>
      </c>
      <c r="X3027" s="11">
        <f ca="1">IFERROR(reading[[#This Row],[Previous]]+OFFSET(reading[[#Headers],[Memo 01]],-1,MATCH(0,reading[[#This Row],[Memo 01]:[Memo 07]],-1)-1),"")</f>
        <v>45845</v>
      </c>
      <c r="Y3027" s="10" t="str">
        <f ca="1">IF(reading[[#This Row],[Next]]&lt;&gt;"",IF(reading[[#This Row],[Next]]&gt;TODAY(),"OK",""),"")</f>
        <v>OK</v>
      </c>
      <c r="Z3027" s="13">
        <v>3</v>
      </c>
      <c r="AA3027" s="13">
        <v>3</v>
      </c>
      <c r="AB3027" s="13">
        <v>3</v>
      </c>
      <c r="AC3027" s="13">
        <v>3</v>
      </c>
      <c r="AD3027" s="13">
        <v>3</v>
      </c>
      <c r="AE3027" s="13">
        <v>2</v>
      </c>
      <c r="AF3027" s="13"/>
      <c r="AG3027" s="16">
        <f>IFERROR(SUMIF(reading[[#This Row],[1st]:[7th]],"&gt;0")/COUNTIF(reading[[#This Row],[1st]:[7th]],"&gt;0"),"")</f>
        <v>2.8333333333333335</v>
      </c>
    </row>
    <row r="3028" spans="1:33" hidden="1" x14ac:dyDescent="0.2">
      <c r="A3028" s="4">
        <f>IF(B3028=1,3,IF(D3028=1,2,IF(F3028=1,1,0)))</f>
        <v>3</v>
      </c>
      <c r="B3028" s="4">
        <f>IF(C3028=$L3028,1,IF(C3028="","",0))</f>
        <v>1</v>
      </c>
      <c r="C3028" s="36" t="s">
        <v>3059</v>
      </c>
      <c r="D3028" s="4" t="str">
        <f>IF(E3028=$L3028,1,IF(E3028="","",0))</f>
        <v/>
      </c>
      <c r="E3028" s="14"/>
      <c r="F3028" s="4" t="str">
        <f>IF(G3028=$L3028,1,IF(G3028="","",0))</f>
        <v/>
      </c>
      <c r="G3028" s="14"/>
      <c r="H3028" s="6">
        <v>3032</v>
      </c>
      <c r="I3028" s="15" t="s">
        <v>3120</v>
      </c>
      <c r="J3028" s="6" t="s">
        <v>3333</v>
      </c>
      <c r="K3028" s="15" t="s">
        <v>3138</v>
      </c>
      <c r="L3028" s="6" t="s">
        <v>3059</v>
      </c>
      <c r="M3028" s="6" t="s">
        <v>9135</v>
      </c>
      <c r="N3028" s="7">
        <f ca="1">RAND()</f>
        <v>0.93069461089029704</v>
      </c>
      <c r="O3028" s="8">
        <v>45224</v>
      </c>
      <c r="P3028" s="8">
        <v>45224</v>
      </c>
      <c r="Q3028" s="8">
        <v>45224</v>
      </c>
      <c r="R3028" s="8">
        <v>45224</v>
      </c>
      <c r="S3028" s="8">
        <v>45224</v>
      </c>
      <c r="T3028" s="8">
        <v>45224</v>
      </c>
      <c r="U3028" s="8">
        <v>45224</v>
      </c>
      <c r="V3028" s="10">
        <f>COUNTA(O3028:U3028)</f>
        <v>7</v>
      </c>
      <c r="W3028" s="11">
        <f>_xlfn.IFNA(INDEX(reading[[#This Row],[Memo 01]:[Memo 07]],MATCH(0,reading[[#This Row],[Memo 01]:[Memo 07]],-1)),"")</f>
        <v>45224</v>
      </c>
      <c r="X3028" s="11">
        <f ca="1">IFERROR(reading[[#This Row],[Previous]]+OFFSET(reading[[#Headers],[Memo 01]],-1,MATCH(0,reading[[#This Row],[Memo 01]:[Memo 07]],-1)-1),"")</f>
        <v>55224</v>
      </c>
      <c r="Y3028" s="10" t="str">
        <f ca="1">IF(reading[[#This Row],[Next]]&lt;&gt;"",IF(reading[[#This Row],[Next]]&gt;TODAY(),"OK",""),"")</f>
        <v>OK</v>
      </c>
      <c r="Z3028" s="13">
        <v>3</v>
      </c>
      <c r="AA3028" s="13"/>
      <c r="AB3028" s="13"/>
      <c r="AC3028" s="13"/>
      <c r="AD3028" s="13"/>
      <c r="AE3028" s="13"/>
      <c r="AF3028" s="13"/>
      <c r="AG3028" s="16">
        <f>IFERROR(SUMIF(reading[[#This Row],[1st]:[7th]],"&gt;0")/COUNTIF(reading[[#This Row],[1st]:[7th]],"&gt;0"),"")</f>
        <v>3</v>
      </c>
    </row>
    <row r="3029" spans="1:33" hidden="1" x14ac:dyDescent="0.2">
      <c r="A3029" s="4">
        <f>IF(B3029=1,3,IF(D3029=1,2,IF(F3029=1,1,0)))</f>
        <v>0</v>
      </c>
      <c r="B3029" s="4" t="str">
        <f>IF(C3029=$L3029,1,IF(C3029="","",0))</f>
        <v/>
      </c>
      <c r="C3029" s="42"/>
      <c r="D3029" s="4" t="str">
        <f>IF(E3029=$L3029,1,IF(E3029="","",0))</f>
        <v/>
      </c>
      <c r="E3029" s="43"/>
      <c r="F3029" s="4" t="str">
        <f>IF(G3029=$L3029,1,IF(G3029="","",0))</f>
        <v/>
      </c>
      <c r="G3029" s="18"/>
      <c r="H3029" s="6">
        <v>2463</v>
      </c>
      <c r="I3029" s="15" t="s">
        <v>3120</v>
      </c>
      <c r="J3029" s="6" t="s">
        <v>5532</v>
      </c>
      <c r="K3029" s="6"/>
      <c r="L3029" s="6" t="s">
        <v>2511</v>
      </c>
      <c r="M3029" s="6" t="s">
        <v>8568</v>
      </c>
      <c r="N3029" s="7">
        <f ca="1">RAND()</f>
        <v>0.63660794035054014</v>
      </c>
      <c r="O3029" s="8">
        <v>45218</v>
      </c>
      <c r="P3029" s="8">
        <v>45219</v>
      </c>
      <c r="Q3029" s="8">
        <v>45221</v>
      </c>
      <c r="R3029" s="8">
        <v>45225</v>
      </c>
      <c r="S3029" s="8">
        <v>45232</v>
      </c>
      <c r="T3029" s="8">
        <v>45251</v>
      </c>
      <c r="U3029" s="8">
        <v>45825</v>
      </c>
      <c r="V3029" s="10">
        <f>COUNTA(O3029:U3029)</f>
        <v>7</v>
      </c>
      <c r="W3029" s="11">
        <f>_xlfn.IFNA(INDEX(reading[[#This Row],[Memo 01]:[Memo 07]],MATCH(0,reading[[#This Row],[Memo 01]:[Memo 07]],-1)),"")</f>
        <v>45825</v>
      </c>
      <c r="X3029" s="11">
        <f ca="1">IFERROR(reading[[#This Row],[Previous]]+OFFSET(reading[[#Headers],[Memo 01]],-1,MATCH(0,reading[[#This Row],[Memo 01]:[Memo 07]],-1)-1),"")</f>
        <v>55825</v>
      </c>
      <c r="Y3029" s="10" t="str">
        <f ca="1">IF(reading[[#This Row],[Next]]&lt;&gt;"",IF(reading[[#This Row],[Next]]&gt;TODAY(),"OK",""),"")</f>
        <v>OK</v>
      </c>
      <c r="Z3029" s="13">
        <v>3</v>
      </c>
      <c r="AA3029" s="13">
        <v>3</v>
      </c>
      <c r="AB3029" s="13">
        <v>1</v>
      </c>
      <c r="AC3029" s="13">
        <v>3</v>
      </c>
      <c r="AD3029" s="13">
        <v>3</v>
      </c>
      <c r="AE3029" s="13">
        <v>3</v>
      </c>
      <c r="AF3029" s="13">
        <v>2</v>
      </c>
      <c r="AG3029" s="16">
        <f>IFERROR(SUMIF(reading[[#This Row],[1st]:[7th]],"&gt;0")/COUNTIF(reading[[#This Row],[1st]:[7th]],"&gt;0"),"")</f>
        <v>2.5714285714285716</v>
      </c>
    </row>
    <row r="3030" spans="1:33" x14ac:dyDescent="0.2">
      <c r="A3030" s="4">
        <f>IF(B3030=1,3,IF(D3030=1,2,IF(F3030=1,1,0)))</f>
        <v>0</v>
      </c>
      <c r="B3030" s="4" t="str">
        <f>IF(C3030=$L3030,1,IF(C3030="","",0))</f>
        <v/>
      </c>
      <c r="C3030" s="36"/>
      <c r="D3030" s="4" t="str">
        <f>IF(E3030=$L3030,1,IF(E3030="","",0))</f>
        <v/>
      </c>
      <c r="E3030" s="14"/>
      <c r="F3030" s="4" t="str">
        <f>IF(G3030=$L3030,1,IF(G3030="","",0))</f>
        <v/>
      </c>
      <c r="G3030" s="14"/>
      <c r="H3030" s="6">
        <v>1923</v>
      </c>
      <c r="I3030" s="15" t="s">
        <v>3120</v>
      </c>
      <c r="J3030" s="6" t="s">
        <v>5023</v>
      </c>
      <c r="K3030" s="6"/>
      <c r="L3030" s="6" t="s">
        <v>1999</v>
      </c>
      <c r="M3030" s="6" t="s">
        <v>8029</v>
      </c>
      <c r="N3030" s="7">
        <f ca="1">RAND()</f>
        <v>0.6233791459643665</v>
      </c>
      <c r="O3030" s="8">
        <v>45212</v>
      </c>
      <c r="P3030" s="8">
        <v>45213</v>
      </c>
      <c r="Q3030" s="8">
        <v>45215</v>
      </c>
      <c r="R3030" s="8">
        <v>45219</v>
      </c>
      <c r="S3030" s="8">
        <v>45226</v>
      </c>
      <c r="T3030" s="8"/>
      <c r="U3030" s="8"/>
      <c r="V3030" s="10">
        <f>COUNTA(O3030:U3030)</f>
        <v>5</v>
      </c>
      <c r="W3030" s="11">
        <f>_xlfn.IFNA(INDEX(reading[[#This Row],[Memo 01]:[Memo 07]],MATCH(0,reading[[#This Row],[Memo 01]:[Memo 07]],-1)),"")</f>
        <v>45226</v>
      </c>
      <c r="X3030" s="11">
        <f ca="1">IFERROR(reading[[#This Row],[Previous]]+OFFSET(reading[[#Headers],[Memo 01]],-1,MATCH(0,reading[[#This Row],[Memo 01]:[Memo 07]],-1)-1),"")</f>
        <v>45238</v>
      </c>
      <c r="Y3030" s="10" t="str">
        <f ca="1">IF(reading[[#This Row],[Next]]&lt;&gt;"",IF(reading[[#This Row],[Next]]&gt;TODAY(),"OK",""),"")</f>
        <v/>
      </c>
      <c r="Z3030" s="13">
        <v>3</v>
      </c>
      <c r="AA3030" s="13">
        <v>3</v>
      </c>
      <c r="AB3030" s="13">
        <v>3</v>
      </c>
      <c r="AC3030" s="13">
        <v>3</v>
      </c>
      <c r="AD3030" s="13">
        <v>3</v>
      </c>
      <c r="AE3030" s="13"/>
      <c r="AF3030" s="13"/>
      <c r="AG3030" s="16">
        <f>IFERROR(SUMIF(reading[[#This Row],[1st]:[7th]],"&gt;0")/COUNTIF(reading[[#This Row],[1st]:[7th]],"&gt;0"),"")</f>
        <v>3</v>
      </c>
    </row>
    <row r="3031" spans="1:33" hidden="1" x14ac:dyDescent="0.2">
      <c r="A3031" s="4">
        <f>IF(B3031=1,3,IF(D3031=1,2,IF(F3031=1,1,0)))</f>
        <v>3</v>
      </c>
      <c r="B3031" s="4">
        <f>IF(C3031=$L3031,1,IF(C3031="","",0))</f>
        <v>1</v>
      </c>
      <c r="C3031" s="36" t="s">
        <v>3062</v>
      </c>
      <c r="D3031" s="4" t="str">
        <f>IF(E3031=$L3031,1,IF(E3031="","",0))</f>
        <v/>
      </c>
      <c r="E3031" s="14"/>
      <c r="F3031" s="4" t="str">
        <f>IF(G3031=$L3031,1,IF(G3031="","",0))</f>
        <v/>
      </c>
      <c r="G3031" s="14"/>
      <c r="H3031" s="6">
        <v>3035</v>
      </c>
      <c r="I3031" s="15" t="s">
        <v>3120</v>
      </c>
      <c r="J3031" s="6" t="s">
        <v>6057</v>
      </c>
      <c r="K3031" s="6"/>
      <c r="L3031" s="6" t="s">
        <v>3062</v>
      </c>
      <c r="M3031" s="6" t="s">
        <v>9138</v>
      </c>
      <c r="N3031" s="7">
        <f ca="1">RAND()</f>
        <v>0.4616345947317908</v>
      </c>
      <c r="O3031" s="8">
        <v>45224</v>
      </c>
      <c r="P3031" s="8">
        <v>45224</v>
      </c>
      <c r="Q3031" s="8">
        <v>45224</v>
      </c>
      <c r="R3031" s="8">
        <v>45224</v>
      </c>
      <c r="S3031" s="8">
        <v>45224</v>
      </c>
      <c r="T3031" s="8">
        <v>45224</v>
      </c>
      <c r="U3031" s="8">
        <v>45224</v>
      </c>
      <c r="V3031" s="10">
        <f>COUNTA(O3031:U3031)</f>
        <v>7</v>
      </c>
      <c r="W3031" s="11">
        <f>_xlfn.IFNA(INDEX(reading[[#This Row],[Memo 01]:[Memo 07]],MATCH(0,reading[[#This Row],[Memo 01]:[Memo 07]],-1)),"")</f>
        <v>45224</v>
      </c>
      <c r="X3031" s="11">
        <f ca="1">IFERROR(reading[[#This Row],[Previous]]+OFFSET(reading[[#Headers],[Memo 01]],-1,MATCH(0,reading[[#This Row],[Memo 01]:[Memo 07]],-1)-1),"")</f>
        <v>55224</v>
      </c>
      <c r="Y3031" s="10" t="str">
        <f ca="1">IF(reading[[#This Row],[Next]]&lt;&gt;"",IF(reading[[#This Row],[Next]]&gt;TODAY(),"OK",""),"")</f>
        <v>OK</v>
      </c>
      <c r="Z3031" s="13">
        <v>3</v>
      </c>
      <c r="AA3031" s="13"/>
      <c r="AB3031" s="13"/>
      <c r="AC3031" s="13"/>
      <c r="AD3031" s="13"/>
      <c r="AE3031" s="13"/>
      <c r="AF3031" s="13"/>
      <c r="AG3031" s="16">
        <f>IFERROR(SUMIF(reading[[#This Row],[1st]:[7th]],"&gt;0")/COUNTIF(reading[[#This Row],[1st]:[7th]],"&gt;0"),"")</f>
        <v>3</v>
      </c>
    </row>
    <row r="3032" spans="1:33" hidden="1" x14ac:dyDescent="0.2">
      <c r="A3032" s="4">
        <f>IF(B3032=1,3,IF(D3032=1,2,IF(F3032=1,1,0)))</f>
        <v>0</v>
      </c>
      <c r="B3032" s="4">
        <f>IF(C3032=$L3032,1,IF(C3032="","",0))</f>
        <v>0</v>
      </c>
      <c r="C3032" s="42" t="s">
        <v>9249</v>
      </c>
      <c r="D3032" s="4">
        <f>IF(E3032=$L3032,1,IF(E3032="","",0))</f>
        <v>0</v>
      </c>
      <c r="E3032" s="43" t="s">
        <v>9200</v>
      </c>
      <c r="F3032" s="4" t="str">
        <f>IF(G3032=$L3032,1,IF(G3032="","",0))</f>
        <v/>
      </c>
      <c r="G3032" s="14"/>
      <c r="H3032" s="6">
        <v>875</v>
      </c>
      <c r="I3032" s="15" t="s">
        <v>3120</v>
      </c>
      <c r="J3032" s="6" t="s">
        <v>4007</v>
      </c>
      <c r="K3032" s="6"/>
      <c r="L3032" s="6" t="s">
        <v>990</v>
      </c>
      <c r="M3032" s="6" t="s">
        <v>6984</v>
      </c>
      <c r="N3032" s="7">
        <f ca="1">RAND()</f>
        <v>0.8531490324504758</v>
      </c>
      <c r="O3032" s="8">
        <v>45204</v>
      </c>
      <c r="P3032" s="8">
        <v>45205</v>
      </c>
      <c r="Q3032" s="8">
        <v>45207</v>
      </c>
      <c r="R3032" s="8">
        <v>45211</v>
      </c>
      <c r="S3032" s="8">
        <v>45218</v>
      </c>
      <c r="T3032" s="8">
        <v>45230</v>
      </c>
      <c r="U3032" s="8"/>
      <c r="V3032" s="10">
        <f>COUNTA(O3032:U3032)</f>
        <v>6</v>
      </c>
      <c r="W3032" s="11">
        <f>_xlfn.IFNA(INDEX(reading[[#This Row],[Memo 01]:[Memo 07]],MATCH(0,reading[[#This Row],[Memo 01]:[Memo 07]],-1)),"")</f>
        <v>45230</v>
      </c>
      <c r="X3032" s="11">
        <f ca="1">IFERROR(reading[[#This Row],[Previous]]+OFFSET(reading[[#Headers],[Memo 01]],-1,MATCH(0,reading[[#This Row],[Memo 01]:[Memo 07]],-1)-1),"")</f>
        <v>45250</v>
      </c>
      <c r="Y3032" s="10" t="str">
        <f ca="1">IF(reading[[#This Row],[Next]]&lt;&gt;"",IF(reading[[#This Row],[Next]]&gt;TODAY(),"OK",""),"")</f>
        <v/>
      </c>
      <c r="Z3032" s="13">
        <v>3</v>
      </c>
      <c r="AA3032" s="13">
        <v>3</v>
      </c>
      <c r="AB3032" s="13">
        <v>3</v>
      </c>
      <c r="AC3032" s="13">
        <v>3</v>
      </c>
      <c r="AD3032" s="13">
        <v>2</v>
      </c>
      <c r="AE3032" s="13">
        <v>3</v>
      </c>
      <c r="AF3032" s="13"/>
      <c r="AG3032" s="16">
        <f>IFERROR(SUMIF(reading[[#This Row],[1st]:[7th]],"&gt;0")/COUNTIF(reading[[#This Row],[1st]:[7th]],"&gt;0"),"")</f>
        <v>2.8333333333333335</v>
      </c>
    </row>
    <row r="3033" spans="1:33" hidden="1" x14ac:dyDescent="0.2">
      <c r="A3033" s="4">
        <f>IF(B3033=1,3,IF(D3033=1,2,IF(F3033=1,1,0)))</f>
        <v>0</v>
      </c>
      <c r="B3033" s="4">
        <f>IF(C3033=$L3033,1,IF(C3033="","",0))</f>
        <v>0</v>
      </c>
      <c r="C3033" s="42" t="s">
        <v>9200</v>
      </c>
      <c r="D3033" s="4" t="str">
        <f>IF(E3033=$L3033,1,IF(E3033="","",0))</f>
        <v/>
      </c>
      <c r="E3033" s="18"/>
      <c r="F3033" s="4" t="str">
        <f>IF(G3033=$L3033,1,IF(G3033="","",0))</f>
        <v/>
      </c>
      <c r="G3033" s="14"/>
      <c r="H3033" s="6">
        <v>648</v>
      </c>
      <c r="I3033" s="15" t="s">
        <v>3120</v>
      </c>
      <c r="J3033" s="6" t="s">
        <v>3788</v>
      </c>
      <c r="K3033" s="6"/>
      <c r="L3033" s="6" t="s">
        <v>771</v>
      </c>
      <c r="M3033" s="6" t="s">
        <v>6757</v>
      </c>
      <c r="N3033" s="7">
        <f ca="1">RAND()</f>
        <v>0.11465944481399415</v>
      </c>
      <c r="O3033" s="8">
        <v>45202</v>
      </c>
      <c r="P3033" s="8">
        <v>45203</v>
      </c>
      <c r="Q3033" s="8">
        <v>45205</v>
      </c>
      <c r="R3033" s="8">
        <v>45209</v>
      </c>
      <c r="S3033" s="8">
        <v>45216</v>
      </c>
      <c r="T3033" s="8">
        <v>45228</v>
      </c>
      <c r="U3033" s="8"/>
      <c r="V3033" s="10">
        <f>COUNTA(O3033:U3033)</f>
        <v>6</v>
      </c>
      <c r="W3033" s="11">
        <f>_xlfn.IFNA(INDEX(reading[[#This Row],[Memo 01]:[Memo 07]],MATCH(0,reading[[#This Row],[Memo 01]:[Memo 07]],-1)),"")</f>
        <v>45228</v>
      </c>
      <c r="X3033" s="11">
        <f ca="1">IFERROR(reading[[#This Row],[Previous]]+OFFSET(reading[[#Headers],[Memo 01]],-1,MATCH(0,reading[[#This Row],[Memo 01]:[Memo 07]],-1)-1),"")</f>
        <v>45248</v>
      </c>
      <c r="Y3033" s="10" t="str">
        <f ca="1">IF(reading[[#This Row],[Next]]&lt;&gt;"",IF(reading[[#This Row],[Next]]&gt;TODAY(),"OK",""),"")</f>
        <v/>
      </c>
      <c r="Z3033" s="13">
        <v>3</v>
      </c>
      <c r="AA3033" s="13">
        <v>3</v>
      </c>
      <c r="AB3033" s="13">
        <v>3</v>
      </c>
      <c r="AC3033" s="13">
        <v>3</v>
      </c>
      <c r="AD3033" s="13">
        <v>2</v>
      </c>
      <c r="AE3033" s="13">
        <v>3</v>
      </c>
      <c r="AF3033" s="13"/>
      <c r="AG3033" s="16">
        <f>IFERROR(SUMIF(reading[[#This Row],[1st]:[7th]],"&gt;0")/COUNTIF(reading[[#This Row],[1st]:[7th]],"&gt;0"),"")</f>
        <v>2.8333333333333335</v>
      </c>
    </row>
    <row r="3034" spans="1:33" x14ac:dyDescent="0.2">
      <c r="A3034" s="4">
        <f>IF(B3034=1,3,IF(D3034=1,2,IF(F3034=1,1,0)))</f>
        <v>0</v>
      </c>
      <c r="B3034" s="4" t="str">
        <f>IF(C3034=$L3034,1,IF(C3034="","",0))</f>
        <v/>
      </c>
      <c r="C3034" s="39"/>
      <c r="D3034" s="4" t="str">
        <f>IF(E3034=$L3034,1,IF(E3034="","",0))</f>
        <v/>
      </c>
      <c r="E3034" s="14"/>
      <c r="F3034" s="4" t="str">
        <f>IF(G3034=$L3034,1,IF(G3034="","",0))</f>
        <v/>
      </c>
      <c r="G3034" s="14"/>
      <c r="H3034" s="6">
        <v>935</v>
      </c>
      <c r="I3034" s="15" t="s">
        <v>3120</v>
      </c>
      <c r="J3034" s="6" t="s">
        <v>3819</v>
      </c>
      <c r="K3034" s="6"/>
      <c r="L3034" s="6" t="s">
        <v>1046</v>
      </c>
      <c r="M3034" s="6" t="s">
        <v>7043</v>
      </c>
      <c r="N3034" s="7">
        <f ca="1">RAND()</f>
        <v>0.21367493952745065</v>
      </c>
      <c r="O3034" s="8">
        <v>45204</v>
      </c>
      <c r="P3034" s="8">
        <v>45205</v>
      </c>
      <c r="Q3034" s="8">
        <v>45207</v>
      </c>
      <c r="R3034" s="8">
        <v>45211</v>
      </c>
      <c r="S3034" s="8">
        <v>45218</v>
      </c>
      <c r="T3034" s="8">
        <v>45230</v>
      </c>
      <c r="U3034" s="8"/>
      <c r="V3034" s="10">
        <f>COUNTA(O3034:U3034)</f>
        <v>6</v>
      </c>
      <c r="W3034" s="11">
        <f>_xlfn.IFNA(INDEX(reading[[#This Row],[Memo 01]:[Memo 07]],MATCH(0,reading[[#This Row],[Memo 01]:[Memo 07]],-1)),"")</f>
        <v>45230</v>
      </c>
      <c r="X3034" s="11">
        <f ca="1">IFERROR(reading[[#This Row],[Previous]]+OFFSET(reading[[#Headers],[Memo 01]],-1,MATCH(0,reading[[#This Row],[Memo 01]:[Memo 07]],-1)-1),"")</f>
        <v>45250</v>
      </c>
      <c r="Y3034" s="10" t="str">
        <f ca="1">IF(reading[[#This Row],[Next]]&lt;&gt;"",IF(reading[[#This Row],[Next]]&gt;TODAY(),"OK",""),"")</f>
        <v/>
      </c>
      <c r="Z3034" s="13">
        <v>3</v>
      </c>
      <c r="AA3034" s="13">
        <v>3</v>
      </c>
      <c r="AB3034" s="13">
        <v>3</v>
      </c>
      <c r="AC3034" s="13">
        <v>3</v>
      </c>
      <c r="AD3034" s="13">
        <v>3</v>
      </c>
      <c r="AE3034" s="13">
        <v>3</v>
      </c>
      <c r="AF3034" s="13"/>
      <c r="AG3034" s="16">
        <f>IFERROR(SUMIF(reading[[#This Row],[1st]:[7th]],"&gt;0")/COUNTIF(reading[[#This Row],[1st]:[7th]],"&gt;0"),"")</f>
        <v>3</v>
      </c>
    </row>
    <row r="3035" spans="1:33" x14ac:dyDescent="0.2">
      <c r="A3035" s="4">
        <f>IF(B3035=1,3,IF(D3035=1,2,IF(F3035=1,1,0)))</f>
        <v>0</v>
      </c>
      <c r="B3035" s="4" t="str">
        <f>IF(C3035=$L3035,1,IF(C3035="","",0))</f>
        <v/>
      </c>
      <c r="C3035" s="36"/>
      <c r="D3035" s="4" t="str">
        <f>IF(E3035=$L3035,1,IF(E3035="","",0))</f>
        <v/>
      </c>
      <c r="E3035" s="14"/>
      <c r="F3035" s="4" t="str">
        <f>IF(G3035=$L3035,1,IF(G3035="","",0))</f>
        <v/>
      </c>
      <c r="G3035" s="14"/>
      <c r="H3035" s="6">
        <v>279</v>
      </c>
      <c r="I3035" s="15" t="s">
        <v>3120</v>
      </c>
      <c r="J3035" s="6" t="s">
        <v>3426</v>
      </c>
      <c r="K3035" s="6"/>
      <c r="L3035" s="6" t="s">
        <v>414</v>
      </c>
      <c r="M3035" s="6" t="s">
        <v>6388</v>
      </c>
      <c r="N3035" s="7">
        <f ca="1">RAND()</f>
        <v>0.93767469249036817</v>
      </c>
      <c r="O3035" s="8">
        <v>45200</v>
      </c>
      <c r="P3035" s="8">
        <v>45201</v>
      </c>
      <c r="Q3035" s="8">
        <v>45203</v>
      </c>
      <c r="R3035" s="8">
        <v>45207</v>
      </c>
      <c r="S3035" s="8">
        <v>45214</v>
      </c>
      <c r="T3035" s="8">
        <v>45226</v>
      </c>
      <c r="U3035" s="8"/>
      <c r="V3035" s="10">
        <f>COUNTA(O3035:U3035)</f>
        <v>6</v>
      </c>
      <c r="W3035" s="11">
        <f>_xlfn.IFNA(INDEX(reading[[#This Row],[Memo 01]:[Memo 07]],MATCH(0,reading[[#This Row],[Memo 01]:[Memo 07]],-1)),"")</f>
        <v>45226</v>
      </c>
      <c r="X3035" s="11">
        <f ca="1">IFERROR(reading[[#This Row],[Previous]]+OFFSET(reading[[#Headers],[Memo 01]],-1,MATCH(0,reading[[#This Row],[Memo 01]:[Memo 07]],-1)-1),"")</f>
        <v>45246</v>
      </c>
      <c r="Y3035" s="10" t="str">
        <f ca="1">IF(reading[[#This Row],[Next]]&lt;&gt;"",IF(reading[[#This Row],[Next]]&gt;TODAY(),"OK",""),"")</f>
        <v/>
      </c>
      <c r="Z3035" s="13">
        <v>3</v>
      </c>
      <c r="AA3035" s="13">
        <v>3</v>
      </c>
      <c r="AB3035" s="13">
        <v>2</v>
      </c>
      <c r="AC3035" s="13">
        <v>3</v>
      </c>
      <c r="AD3035" s="13">
        <v>3</v>
      </c>
      <c r="AE3035" s="13">
        <v>3</v>
      </c>
      <c r="AF3035" s="13"/>
      <c r="AG3035" s="16">
        <f>IFERROR(SUMIF(reading[[#This Row],[1st]:[7th]],"&gt;0")/COUNTIF(reading[[#This Row],[1st]:[7th]],"&gt;0"),"")</f>
        <v>2.8333333333333335</v>
      </c>
    </row>
    <row r="3036" spans="1:33" hidden="1" x14ac:dyDescent="0.2">
      <c r="A3036" s="4">
        <f>IF(B3036=1,3,IF(D3036=1,2,IF(F3036=1,1,0)))</f>
        <v>0</v>
      </c>
      <c r="B3036" s="4" t="str">
        <f>IF(C3036=$L3036,1,IF(C3036="","",0))</f>
        <v/>
      </c>
      <c r="C3036" s="42"/>
      <c r="D3036" s="4" t="str">
        <f>IF(E3036=$L3036,1,IF(E3036="","",0))</f>
        <v/>
      </c>
      <c r="E3036" s="43"/>
      <c r="F3036" s="4" t="str">
        <f>IF(G3036=$L3036,1,IF(G3036="","",0))</f>
        <v/>
      </c>
      <c r="G3036" s="23"/>
      <c r="H3036" s="6">
        <v>678</v>
      </c>
      <c r="I3036" s="15" t="s">
        <v>3120</v>
      </c>
      <c r="J3036" s="6" t="s">
        <v>3817</v>
      </c>
      <c r="K3036" s="6"/>
      <c r="L3036" s="6" t="s">
        <v>801</v>
      </c>
      <c r="M3036" s="6" t="s">
        <v>6787</v>
      </c>
      <c r="N3036" s="7">
        <f ca="1">RAND()</f>
        <v>0.67675702082354283</v>
      </c>
      <c r="O3036" s="8">
        <v>45203</v>
      </c>
      <c r="P3036" s="8">
        <v>45204</v>
      </c>
      <c r="Q3036" s="8">
        <v>45206</v>
      </c>
      <c r="R3036" s="8">
        <v>45210</v>
      </c>
      <c r="S3036" s="8">
        <v>45217</v>
      </c>
      <c r="T3036" s="8">
        <v>45229</v>
      </c>
      <c r="U3036" s="8">
        <v>45817</v>
      </c>
      <c r="V3036" s="10">
        <f>COUNTA(O3036:U3036)</f>
        <v>7</v>
      </c>
      <c r="W3036" s="11">
        <f>_xlfn.IFNA(INDEX(reading[[#This Row],[Memo 01]:[Memo 07]],MATCH(0,reading[[#This Row],[Memo 01]:[Memo 07]],-1)),"")</f>
        <v>45817</v>
      </c>
      <c r="X3036" s="11">
        <f ca="1">IFERROR(reading[[#This Row],[Previous]]+OFFSET(reading[[#Headers],[Memo 01]],-1,MATCH(0,reading[[#This Row],[Memo 01]:[Memo 07]],-1)-1),"")</f>
        <v>55817</v>
      </c>
      <c r="Y3036" s="10" t="str">
        <f ca="1">IF(reading[[#This Row],[Next]]&lt;&gt;"",IF(reading[[#This Row],[Next]]&gt;TODAY(),"OK",""),"")</f>
        <v>OK</v>
      </c>
      <c r="Z3036" s="13">
        <v>3</v>
      </c>
      <c r="AA3036" s="13">
        <v>3</v>
      </c>
      <c r="AB3036" s="13">
        <v>3</v>
      </c>
      <c r="AC3036" s="13">
        <v>3</v>
      </c>
      <c r="AD3036" s="13">
        <v>2</v>
      </c>
      <c r="AE3036" s="13">
        <v>3</v>
      </c>
      <c r="AF3036" s="13">
        <v>1</v>
      </c>
      <c r="AG3036" s="16">
        <f>IFERROR(SUMIF(reading[[#This Row],[1st]:[7th]],"&gt;0")/COUNTIF(reading[[#This Row],[1st]:[7th]],"&gt;0"),"")</f>
        <v>2.5714285714285716</v>
      </c>
    </row>
    <row r="3037" spans="1:33" hidden="1" x14ac:dyDescent="0.2">
      <c r="A3037" s="4">
        <f>IF(B3037=1,3,IF(D3037=1,2,IF(F3037=1,1,0)))</f>
        <v>0</v>
      </c>
      <c r="B3037" s="4" t="str">
        <f>IF(C3037=$L3037,1,IF(C3037="","",0))</f>
        <v/>
      </c>
      <c r="C3037" s="42"/>
      <c r="D3037" s="4" t="str">
        <f>IF(E3037=$L3037,1,IF(E3037="","",0))</f>
        <v/>
      </c>
      <c r="E3037" s="23"/>
      <c r="F3037" s="4" t="str">
        <f>IF(G3037=$L3037,1,IF(G3037="","",0))</f>
        <v/>
      </c>
      <c r="G3037" s="14"/>
      <c r="H3037" s="6">
        <v>2232</v>
      </c>
      <c r="I3037" s="15" t="s">
        <v>3120</v>
      </c>
      <c r="J3037" s="6" t="s">
        <v>5317</v>
      </c>
      <c r="K3037" s="6"/>
      <c r="L3037" s="6" t="s">
        <v>2294</v>
      </c>
      <c r="M3037" s="6" t="s">
        <v>8337</v>
      </c>
      <c r="N3037" s="7">
        <f ca="1">RAND()</f>
        <v>0.41111156216702371</v>
      </c>
      <c r="O3037" s="8">
        <v>45215</v>
      </c>
      <c r="P3037" s="8">
        <v>45216</v>
      </c>
      <c r="Q3037" s="8">
        <v>45218</v>
      </c>
      <c r="R3037" s="8">
        <v>45222</v>
      </c>
      <c r="S3037" s="8">
        <v>45229</v>
      </c>
      <c r="T3037" s="8">
        <v>45825</v>
      </c>
      <c r="U3037" s="8"/>
      <c r="V3037" s="10">
        <f>COUNTA(O3037:U3037)</f>
        <v>6</v>
      </c>
      <c r="W3037" s="11">
        <f>_xlfn.IFNA(INDEX(reading[[#This Row],[Memo 01]:[Memo 07]],MATCH(0,reading[[#This Row],[Memo 01]:[Memo 07]],-1)),"")</f>
        <v>45825</v>
      </c>
      <c r="X3037" s="11">
        <f ca="1">IFERROR(reading[[#This Row],[Previous]]+OFFSET(reading[[#Headers],[Memo 01]],-1,MATCH(0,reading[[#This Row],[Memo 01]:[Memo 07]],-1)-1),"")</f>
        <v>45845</v>
      </c>
      <c r="Y3037" s="10" t="str">
        <f ca="1">IF(reading[[#This Row],[Next]]&lt;&gt;"",IF(reading[[#This Row],[Next]]&gt;TODAY(),"OK",""),"")</f>
        <v>OK</v>
      </c>
      <c r="Z3037" s="13">
        <v>3</v>
      </c>
      <c r="AA3037" s="13">
        <v>3</v>
      </c>
      <c r="AB3037" s="13">
        <v>3</v>
      </c>
      <c r="AC3037" s="13">
        <v>3</v>
      </c>
      <c r="AD3037" s="13">
        <v>3</v>
      </c>
      <c r="AE3037" s="13">
        <v>2</v>
      </c>
      <c r="AF3037" s="13"/>
      <c r="AG3037" s="16">
        <f>IFERROR(SUMIF(reading[[#This Row],[1st]:[7th]],"&gt;0")/COUNTIF(reading[[#This Row],[1st]:[7th]],"&gt;0"),"")</f>
        <v>2.8333333333333335</v>
      </c>
    </row>
    <row r="3038" spans="1:33" x14ac:dyDescent="0.2">
      <c r="A3038" s="4">
        <f>IF(B3038=1,3,IF(D3038=1,2,IF(F3038=1,1,0)))</f>
        <v>0</v>
      </c>
      <c r="B3038" s="4" t="str">
        <f>IF(C3038=$L3038,1,IF(C3038="","",0))</f>
        <v/>
      </c>
      <c r="C3038" s="41"/>
      <c r="D3038" s="4" t="str">
        <f>IF(E3038=$L3038,1,IF(E3038="","",0))</f>
        <v/>
      </c>
      <c r="E3038" s="14"/>
      <c r="F3038" s="4" t="str">
        <f>IF(G3038=$L3038,1,IF(G3038="","",0))</f>
        <v/>
      </c>
      <c r="G3038" s="14"/>
      <c r="H3038" s="6">
        <v>2686</v>
      </c>
      <c r="I3038" s="15" t="s">
        <v>3120</v>
      </c>
      <c r="J3038" s="6" t="s">
        <v>5737</v>
      </c>
      <c r="K3038" s="6"/>
      <c r="L3038" s="6" t="s">
        <v>2725</v>
      </c>
      <c r="M3038" s="6" t="s">
        <v>8791</v>
      </c>
      <c r="N3038" s="7">
        <f ca="1">RAND()</f>
        <v>0.88908352324380324</v>
      </c>
      <c r="O3038" s="8">
        <v>45221</v>
      </c>
      <c r="P3038" s="8">
        <v>45222</v>
      </c>
      <c r="Q3038" s="8">
        <v>45229</v>
      </c>
      <c r="R3038" s="8">
        <v>45233</v>
      </c>
      <c r="S3038" s="8">
        <v>45250</v>
      </c>
      <c r="T3038" s="8"/>
      <c r="U3038" s="8"/>
      <c r="V3038" s="10">
        <f>COUNTA(O3038:U3038)</f>
        <v>5</v>
      </c>
      <c r="W3038" s="11">
        <f>_xlfn.IFNA(INDEX(reading[[#This Row],[Memo 01]:[Memo 07]],MATCH(0,reading[[#This Row],[Memo 01]:[Memo 07]],-1)),"")</f>
        <v>45250</v>
      </c>
      <c r="X3038" s="11">
        <f ca="1">IFERROR(reading[[#This Row],[Previous]]+OFFSET(reading[[#Headers],[Memo 01]],-1,MATCH(0,reading[[#This Row],[Memo 01]:[Memo 07]],-1)-1),"")</f>
        <v>45262</v>
      </c>
      <c r="Y3038" s="10" t="str">
        <f ca="1">IF(reading[[#This Row],[Next]]&lt;&gt;"",IF(reading[[#This Row],[Next]]&gt;TODAY(),"OK",""),"")</f>
        <v/>
      </c>
      <c r="Z3038" s="13">
        <v>3</v>
      </c>
      <c r="AA3038" s="13">
        <v>3</v>
      </c>
      <c r="AB3038" s="13">
        <v>3</v>
      </c>
      <c r="AC3038" s="13">
        <v>3</v>
      </c>
      <c r="AD3038" s="13">
        <v>2</v>
      </c>
      <c r="AE3038" s="13"/>
      <c r="AF3038" s="13"/>
      <c r="AG3038" s="16">
        <f>IFERROR(SUMIF(reading[[#This Row],[1st]:[7th]],"&gt;0")/COUNTIF(reading[[#This Row],[1st]:[7th]],"&gt;0"),"")</f>
        <v>2.8</v>
      </c>
    </row>
    <row r="3039" spans="1:33" x14ac:dyDescent="0.2">
      <c r="A3039" s="4">
        <f>IF(B3039=1,3,IF(D3039=1,2,IF(F3039=1,1,0)))</f>
        <v>0</v>
      </c>
      <c r="B3039" s="4" t="str">
        <f>IF(C3039=$L3039,1,IF(C3039="","",0))</f>
        <v/>
      </c>
      <c r="C3039" s="39"/>
      <c r="D3039" s="4" t="str">
        <f>IF(E3039=$L3039,1,IF(E3039="","",0))</f>
        <v/>
      </c>
      <c r="E3039" s="14"/>
      <c r="F3039" s="4" t="str">
        <f>IF(G3039=$L3039,1,IF(G3039="","",0))</f>
        <v/>
      </c>
      <c r="G3039" s="14"/>
      <c r="H3039" s="6">
        <v>2771</v>
      </c>
      <c r="I3039" s="15" t="s">
        <v>3120</v>
      </c>
      <c r="J3039" s="6" t="s">
        <v>5815</v>
      </c>
      <c r="K3039" s="6"/>
      <c r="L3039" s="6" t="s">
        <v>2809</v>
      </c>
      <c r="M3039" s="6" t="s">
        <v>8875</v>
      </c>
      <c r="N3039" s="7">
        <f ca="1">RAND()</f>
        <v>0.14247402582568147</v>
      </c>
      <c r="O3039" s="8">
        <v>45221</v>
      </c>
      <c r="P3039" s="8">
        <v>45222</v>
      </c>
      <c r="Q3039" s="8">
        <v>45224</v>
      </c>
      <c r="R3039" s="8">
        <v>45228</v>
      </c>
      <c r="S3039" s="8">
        <v>45235</v>
      </c>
      <c r="T3039" s="8"/>
      <c r="U3039" s="8"/>
      <c r="V3039" s="10">
        <f>COUNTA(O3039:U3039)</f>
        <v>5</v>
      </c>
      <c r="W3039" s="11">
        <f>_xlfn.IFNA(INDEX(reading[[#This Row],[Memo 01]:[Memo 07]],MATCH(0,reading[[#This Row],[Memo 01]:[Memo 07]],-1)),"")</f>
        <v>45235</v>
      </c>
      <c r="X3039" s="11">
        <f ca="1">IFERROR(reading[[#This Row],[Previous]]+OFFSET(reading[[#Headers],[Memo 01]],-1,MATCH(0,reading[[#This Row],[Memo 01]:[Memo 07]],-1)-1),"")</f>
        <v>45247</v>
      </c>
      <c r="Y3039" s="10" t="str">
        <f ca="1">IF(reading[[#This Row],[Next]]&lt;&gt;"",IF(reading[[#This Row],[Next]]&gt;TODAY(),"OK",""),"")</f>
        <v/>
      </c>
      <c r="Z3039" s="13">
        <v>3</v>
      </c>
      <c r="AA3039" s="13">
        <v>3</v>
      </c>
      <c r="AB3039" s="13">
        <v>3</v>
      </c>
      <c r="AC3039" s="13">
        <v>3</v>
      </c>
      <c r="AD3039" s="13">
        <v>3</v>
      </c>
      <c r="AE3039" s="13"/>
      <c r="AF3039" s="13"/>
      <c r="AG3039" s="16">
        <f>IFERROR(SUMIF(reading[[#This Row],[1st]:[7th]],"&gt;0")/COUNTIF(reading[[#This Row],[1st]:[7th]],"&gt;0"),"")</f>
        <v>3</v>
      </c>
    </row>
    <row r="3040" spans="1:33" x14ac:dyDescent="0.2">
      <c r="A3040" s="4">
        <f>IF(B3040=1,3,IF(D3040=1,2,IF(F3040=1,1,0)))</f>
        <v>0</v>
      </c>
      <c r="B3040" s="4" t="str">
        <f>IF(C3040=$L3040,1,IF(C3040="","",0))</f>
        <v/>
      </c>
      <c r="C3040" s="42"/>
      <c r="D3040" s="4" t="str">
        <f>IF(E3040=$L3040,1,IF(E3040="","",0))</f>
        <v/>
      </c>
      <c r="E3040" s="14"/>
      <c r="F3040" s="4" t="str">
        <f>IF(G3040=$L3040,1,IF(G3040="","",0))</f>
        <v/>
      </c>
      <c r="G3040" s="14"/>
      <c r="H3040" s="6">
        <v>2527</v>
      </c>
      <c r="I3040" s="15" t="s">
        <v>3120</v>
      </c>
      <c r="J3040" s="6" t="s">
        <v>5589</v>
      </c>
      <c r="K3040" s="15" t="s">
        <v>3138</v>
      </c>
      <c r="L3040" s="6" t="s">
        <v>2573</v>
      </c>
      <c r="M3040" s="6" t="s">
        <v>8632</v>
      </c>
      <c r="N3040" s="7">
        <f ca="1">RAND()</f>
        <v>0.66941723327474301</v>
      </c>
      <c r="O3040" s="8">
        <v>45219</v>
      </c>
      <c r="P3040" s="8">
        <v>45220</v>
      </c>
      <c r="Q3040" s="8">
        <v>45222</v>
      </c>
      <c r="R3040" s="8">
        <v>45226</v>
      </c>
      <c r="S3040" s="8">
        <v>45233</v>
      </c>
      <c r="T3040" s="8">
        <v>45801</v>
      </c>
      <c r="U3040" s="8"/>
      <c r="V3040" s="10">
        <f>COUNTA(O3040:U3040)</f>
        <v>6</v>
      </c>
      <c r="W3040" s="11">
        <f>_xlfn.IFNA(INDEX(reading[[#This Row],[Memo 01]:[Memo 07]],MATCH(0,reading[[#This Row],[Memo 01]:[Memo 07]],-1)),"")</f>
        <v>45801</v>
      </c>
      <c r="X3040" s="11">
        <f ca="1">IFERROR(reading[[#This Row],[Previous]]+OFFSET(reading[[#Headers],[Memo 01]],-1,MATCH(0,reading[[#This Row],[Memo 01]:[Memo 07]],-1)-1),"")</f>
        <v>45821</v>
      </c>
      <c r="Y3040" s="10" t="str">
        <f ca="1">IF(reading[[#This Row],[Next]]&lt;&gt;"",IF(reading[[#This Row],[Next]]&gt;TODAY(),"OK",""),"")</f>
        <v/>
      </c>
      <c r="Z3040" s="13">
        <v>3</v>
      </c>
      <c r="AA3040" s="13">
        <v>3</v>
      </c>
      <c r="AB3040" s="13">
        <v>3</v>
      </c>
      <c r="AC3040" s="13">
        <v>3</v>
      </c>
      <c r="AD3040" s="13">
        <v>3</v>
      </c>
      <c r="AE3040" s="13">
        <v>3</v>
      </c>
      <c r="AF3040" s="13"/>
      <c r="AG3040" s="16">
        <f>IFERROR(SUMIF(reading[[#This Row],[1st]:[7th]],"&gt;0")/COUNTIF(reading[[#This Row],[1st]:[7th]],"&gt;0"),"")</f>
        <v>3</v>
      </c>
    </row>
    <row r="3041" spans="1:33" hidden="1" x14ac:dyDescent="0.2">
      <c r="A3041" s="4">
        <f>IF(B3041=1,3,IF(D3041=1,2,IF(F3041=1,1,0)))</f>
        <v>0</v>
      </c>
      <c r="B3041" s="4" t="str">
        <f>IF(C3041=$L3041,1,IF(C3041="","",0))</f>
        <v/>
      </c>
      <c r="C3041" s="42"/>
      <c r="D3041" s="4" t="str">
        <f>IF(E3041=$L3041,1,IF(E3041="","",0))</f>
        <v/>
      </c>
      <c r="E3041" s="43"/>
      <c r="F3041" s="4" t="str">
        <f>IF(G3041=$L3041,1,IF(G3041="","",0))</f>
        <v/>
      </c>
      <c r="G3041" s="14"/>
      <c r="H3041" s="6">
        <v>2916</v>
      </c>
      <c r="I3041" s="15" t="s">
        <v>3120</v>
      </c>
      <c r="J3041" s="6" t="s">
        <v>5951</v>
      </c>
      <c r="K3041" s="6"/>
      <c r="L3041" s="6" t="s">
        <v>2946</v>
      </c>
      <c r="M3041" s="6" t="s">
        <v>9020</v>
      </c>
      <c r="N3041" s="7">
        <f ca="1">RAND()</f>
        <v>0.57931417932271334</v>
      </c>
      <c r="O3041" s="8">
        <v>45223</v>
      </c>
      <c r="P3041" s="8">
        <v>45224</v>
      </c>
      <c r="Q3041" s="8">
        <v>45226</v>
      </c>
      <c r="R3041" s="8">
        <v>45230</v>
      </c>
      <c r="S3041" s="8">
        <v>45248</v>
      </c>
      <c r="T3041" s="8">
        <v>45825</v>
      </c>
      <c r="U3041" s="8"/>
      <c r="V3041" s="10">
        <f>COUNTA(O3041:U3041)</f>
        <v>6</v>
      </c>
      <c r="W3041" s="11">
        <f>_xlfn.IFNA(INDEX(reading[[#This Row],[Memo 01]:[Memo 07]],MATCH(0,reading[[#This Row],[Memo 01]:[Memo 07]],-1)),"")</f>
        <v>45825</v>
      </c>
      <c r="X3041" s="11">
        <f ca="1">IFERROR(reading[[#This Row],[Previous]]+OFFSET(reading[[#Headers],[Memo 01]],-1,MATCH(0,reading[[#This Row],[Memo 01]:[Memo 07]],-1)-1),"")</f>
        <v>45845</v>
      </c>
      <c r="Y3041" s="10" t="str">
        <f ca="1">IF(reading[[#This Row],[Next]]&lt;&gt;"",IF(reading[[#This Row],[Next]]&gt;TODAY(),"OK",""),"")</f>
        <v>OK</v>
      </c>
      <c r="Z3041" s="13">
        <v>3</v>
      </c>
      <c r="AA3041" s="13">
        <v>2</v>
      </c>
      <c r="AB3041" s="13">
        <v>3</v>
      </c>
      <c r="AC3041" s="13">
        <v>3</v>
      </c>
      <c r="AD3041" s="13">
        <v>2</v>
      </c>
      <c r="AE3041" s="13">
        <v>2</v>
      </c>
      <c r="AF3041" s="13"/>
      <c r="AG3041" s="16">
        <f>IFERROR(SUMIF(reading[[#This Row],[1st]:[7th]],"&gt;0")/COUNTIF(reading[[#This Row],[1st]:[7th]],"&gt;0"),"")</f>
        <v>2.5</v>
      </c>
    </row>
    <row r="3042" spans="1:33" x14ac:dyDescent="0.2">
      <c r="A3042" s="4">
        <f>IF(B3042=1,3,IF(D3042=1,2,IF(F3042=1,1,0)))</f>
        <v>0</v>
      </c>
      <c r="B3042" s="4" t="str">
        <f>IF(C3042=$L3042,1,IF(C3042="","",0))</f>
        <v/>
      </c>
      <c r="C3042" s="39"/>
      <c r="D3042" s="4" t="str">
        <f>IF(E3042=$L3042,1,IF(E3042="","",0))</f>
        <v/>
      </c>
      <c r="E3042" s="14"/>
      <c r="F3042" s="4" t="str">
        <f>IF(G3042=$L3042,1,IF(G3042="","",0))</f>
        <v/>
      </c>
      <c r="G3042" s="14"/>
      <c r="H3042" s="6">
        <v>1203</v>
      </c>
      <c r="I3042" s="15" t="s">
        <v>3120</v>
      </c>
      <c r="J3042" s="6" t="s">
        <v>4322</v>
      </c>
      <c r="K3042" s="6"/>
      <c r="L3042" s="6" t="s">
        <v>1305</v>
      </c>
      <c r="M3042" s="6" t="s">
        <v>7310</v>
      </c>
      <c r="N3042" s="7">
        <f ca="1">RAND()</f>
        <v>0.35019863012951247</v>
      </c>
      <c r="O3042" s="8">
        <v>45206</v>
      </c>
      <c r="P3042" s="8">
        <v>45207</v>
      </c>
      <c r="Q3042" s="8">
        <v>45209</v>
      </c>
      <c r="R3042" s="8">
        <v>45213</v>
      </c>
      <c r="S3042" s="8">
        <v>45220</v>
      </c>
      <c r="T3042" s="8">
        <v>45232</v>
      </c>
      <c r="U3042" s="8"/>
      <c r="V3042" s="10">
        <f>COUNTA(O3042:U3042)</f>
        <v>6</v>
      </c>
      <c r="W3042" s="11">
        <f>_xlfn.IFNA(INDEX(reading[[#This Row],[Memo 01]:[Memo 07]],MATCH(0,reading[[#This Row],[Memo 01]:[Memo 07]],-1)),"")</f>
        <v>45232</v>
      </c>
      <c r="X3042" s="11">
        <f ca="1">IFERROR(reading[[#This Row],[Previous]]+OFFSET(reading[[#Headers],[Memo 01]],-1,MATCH(0,reading[[#This Row],[Memo 01]:[Memo 07]],-1)-1),"")</f>
        <v>45252</v>
      </c>
      <c r="Y3042" s="10" t="str">
        <f ca="1">IF(reading[[#This Row],[Next]]&lt;&gt;"",IF(reading[[#This Row],[Next]]&gt;TODAY(),"OK",""),"")</f>
        <v/>
      </c>
      <c r="Z3042" s="13">
        <v>3</v>
      </c>
      <c r="AA3042" s="13">
        <v>3</v>
      </c>
      <c r="AB3042" s="13">
        <v>3</v>
      </c>
      <c r="AC3042" s="13">
        <v>3</v>
      </c>
      <c r="AD3042" s="13">
        <v>3</v>
      </c>
      <c r="AE3042" s="13">
        <v>3</v>
      </c>
      <c r="AF3042" s="13"/>
      <c r="AG3042" s="16">
        <f>IFERROR(SUMIF(reading[[#This Row],[1st]:[7th]],"&gt;0")/COUNTIF(reading[[#This Row],[1st]:[7th]],"&gt;0"),"")</f>
        <v>3</v>
      </c>
    </row>
    <row r="3043" spans="1:33" x14ac:dyDescent="0.2">
      <c r="A3043" s="4">
        <f>IF(B3043=1,3,IF(D3043=1,2,IF(F3043=1,1,0)))</f>
        <v>0</v>
      </c>
      <c r="B3043" s="4" t="str">
        <f>IF(C3043=$L3043,1,IF(C3043="","",0))</f>
        <v/>
      </c>
      <c r="C3043" s="39"/>
      <c r="D3043" s="4" t="str">
        <f>IF(E3043=$L3043,1,IF(E3043="","",0))</f>
        <v/>
      </c>
      <c r="E3043" s="14"/>
      <c r="F3043" s="4" t="str">
        <f>IF(G3043=$L3043,1,IF(G3043="","",0))</f>
        <v/>
      </c>
      <c r="G3043" s="14"/>
      <c r="H3043" s="6">
        <v>1722</v>
      </c>
      <c r="I3043" s="15" t="s">
        <v>3120</v>
      </c>
      <c r="J3043" s="6" t="s">
        <v>4830</v>
      </c>
      <c r="K3043" s="6"/>
      <c r="L3043" s="6" t="s">
        <v>1802</v>
      </c>
      <c r="M3043" s="6" t="s">
        <v>7828</v>
      </c>
      <c r="N3043" s="7">
        <f ca="1">RAND()</f>
        <v>0.85315254862212853</v>
      </c>
      <c r="O3043" s="8">
        <v>45211</v>
      </c>
      <c r="P3043" s="8">
        <v>45212</v>
      </c>
      <c r="Q3043" s="8">
        <v>45214</v>
      </c>
      <c r="R3043" s="8">
        <v>45218</v>
      </c>
      <c r="S3043" s="8">
        <v>45225</v>
      </c>
      <c r="T3043" s="8">
        <v>45237</v>
      </c>
      <c r="U3043" s="8"/>
      <c r="V3043" s="10">
        <f>COUNTA(O3043:U3043)</f>
        <v>6</v>
      </c>
      <c r="W3043" s="11">
        <f>_xlfn.IFNA(INDEX(reading[[#This Row],[Memo 01]:[Memo 07]],MATCH(0,reading[[#This Row],[Memo 01]:[Memo 07]],-1)),"")</f>
        <v>45237</v>
      </c>
      <c r="X3043" s="11">
        <f ca="1">IFERROR(reading[[#This Row],[Previous]]+OFFSET(reading[[#Headers],[Memo 01]],-1,MATCH(0,reading[[#This Row],[Memo 01]:[Memo 07]],-1)-1),"")</f>
        <v>45257</v>
      </c>
      <c r="Y3043" s="10" t="str">
        <f ca="1">IF(reading[[#This Row],[Next]]&lt;&gt;"",IF(reading[[#This Row],[Next]]&gt;TODAY(),"OK",""),"")</f>
        <v/>
      </c>
      <c r="Z3043" s="13">
        <v>3</v>
      </c>
      <c r="AA3043" s="13">
        <v>3</v>
      </c>
      <c r="AB3043" s="13">
        <v>3</v>
      </c>
      <c r="AC3043" s="13">
        <v>3</v>
      </c>
      <c r="AD3043" s="13">
        <v>3</v>
      </c>
      <c r="AE3043" s="13">
        <v>3</v>
      </c>
      <c r="AF3043" s="13"/>
      <c r="AG3043" s="16">
        <f>IFERROR(SUMIF(reading[[#This Row],[1st]:[7th]],"&gt;0")/COUNTIF(reading[[#This Row],[1st]:[7th]],"&gt;0"),"")</f>
        <v>3</v>
      </c>
    </row>
    <row r="3044" spans="1:33" x14ac:dyDescent="0.2">
      <c r="A3044" s="4">
        <f>IF(B3044=1,3,IF(D3044=1,2,IF(F3044=1,1,0)))</f>
        <v>0</v>
      </c>
      <c r="B3044" s="4" t="str">
        <f>IF(C3044=$L3044,1,IF(C3044="","",0))</f>
        <v/>
      </c>
      <c r="C3044" s="38"/>
      <c r="D3044" s="4" t="str">
        <f>IF(E3044=$L3044,1,IF(E3044="","",0))</f>
        <v/>
      </c>
      <c r="E3044" s="14"/>
      <c r="F3044" s="4" t="str">
        <f>IF(G3044=$L3044,1,IF(G3044="","",0))</f>
        <v/>
      </c>
      <c r="G3044" s="14"/>
      <c r="H3044" s="6">
        <v>2074</v>
      </c>
      <c r="I3044" s="15" t="s">
        <v>3120</v>
      </c>
      <c r="J3044" s="6" t="s">
        <v>5167</v>
      </c>
      <c r="K3044" s="6"/>
      <c r="L3044" s="6" t="s">
        <v>2145</v>
      </c>
      <c r="M3044" s="6" t="s">
        <v>8180</v>
      </c>
      <c r="N3044" s="7">
        <f ca="1">RAND()</f>
        <v>0.60486468834304385</v>
      </c>
      <c r="O3044" s="8">
        <v>45214</v>
      </c>
      <c r="P3044" s="8">
        <v>45215</v>
      </c>
      <c r="Q3044" s="8">
        <v>45217</v>
      </c>
      <c r="R3044" s="8">
        <v>45221</v>
      </c>
      <c r="S3044" s="8">
        <v>45228</v>
      </c>
      <c r="T3044" s="8"/>
      <c r="U3044" s="8"/>
      <c r="V3044" s="10">
        <f>COUNTA(O3044:U3044)</f>
        <v>5</v>
      </c>
      <c r="W3044" s="11">
        <f>_xlfn.IFNA(INDEX(reading[[#This Row],[Memo 01]:[Memo 07]],MATCH(0,reading[[#This Row],[Memo 01]:[Memo 07]],-1)),"")</f>
        <v>45228</v>
      </c>
      <c r="X3044" s="11">
        <f ca="1">IFERROR(reading[[#This Row],[Previous]]+OFFSET(reading[[#Headers],[Memo 01]],-1,MATCH(0,reading[[#This Row],[Memo 01]:[Memo 07]],-1)-1),"")</f>
        <v>45240</v>
      </c>
      <c r="Y3044" s="10" t="str">
        <f ca="1">IF(reading[[#This Row],[Next]]&lt;&gt;"",IF(reading[[#This Row],[Next]]&gt;TODAY(),"OK",""),"")</f>
        <v/>
      </c>
      <c r="Z3044" s="13">
        <v>3</v>
      </c>
      <c r="AA3044" s="13">
        <v>3</v>
      </c>
      <c r="AB3044" s="13">
        <v>3</v>
      </c>
      <c r="AC3044" s="13">
        <v>3</v>
      </c>
      <c r="AD3044" s="13">
        <v>3</v>
      </c>
      <c r="AE3044" s="13"/>
      <c r="AF3044" s="13"/>
      <c r="AG3044" s="16">
        <f>IFERROR(SUMIF(reading[[#This Row],[1st]:[7th]],"&gt;0")/COUNTIF(reading[[#This Row],[1st]:[7th]],"&gt;0"),"")</f>
        <v>3</v>
      </c>
    </row>
    <row r="3045" spans="1:33" x14ac:dyDescent="0.2">
      <c r="A3045" s="4">
        <f>IF(B3045=1,3,IF(D3045=1,2,IF(F3045=1,1,0)))</f>
        <v>0</v>
      </c>
      <c r="B3045" s="4" t="str">
        <f>IF(C3045=$L3045,1,IF(C3045="","",0))</f>
        <v/>
      </c>
      <c r="C3045" s="39"/>
      <c r="D3045" s="4" t="str">
        <f>IF(E3045=$L3045,1,IF(E3045="","",0))</f>
        <v/>
      </c>
      <c r="E3045" s="14"/>
      <c r="F3045" s="4" t="str">
        <f>IF(G3045=$L3045,1,IF(G3045="","",0))</f>
        <v/>
      </c>
      <c r="G3045" s="14"/>
      <c r="H3045" s="6">
        <v>2961</v>
      </c>
      <c r="I3045" s="15" t="s">
        <v>3120</v>
      </c>
      <c r="J3045" s="6" t="s">
        <v>5992</v>
      </c>
      <c r="K3045" s="15" t="s">
        <v>3138</v>
      </c>
      <c r="L3045" s="6" t="s">
        <v>2991</v>
      </c>
      <c r="M3045" s="6" t="s">
        <v>9065</v>
      </c>
      <c r="N3045" s="7">
        <f ca="1">RAND()</f>
        <v>0.50606449170333345</v>
      </c>
      <c r="O3045" s="8">
        <v>45223</v>
      </c>
      <c r="P3045" s="8">
        <v>45224</v>
      </c>
      <c r="Q3045" s="8">
        <v>45226</v>
      </c>
      <c r="R3045" s="8">
        <v>45230</v>
      </c>
      <c r="S3045" s="8">
        <v>45237</v>
      </c>
      <c r="T3045" s="8"/>
      <c r="U3045" s="8"/>
      <c r="V3045" s="10">
        <f>COUNTA(O3045:U3045)</f>
        <v>5</v>
      </c>
      <c r="W3045" s="11">
        <f>_xlfn.IFNA(INDEX(reading[[#This Row],[Memo 01]:[Memo 07]],MATCH(0,reading[[#This Row],[Memo 01]:[Memo 07]],-1)),"")</f>
        <v>45237</v>
      </c>
      <c r="X3045" s="11">
        <f ca="1">IFERROR(reading[[#This Row],[Previous]]+OFFSET(reading[[#Headers],[Memo 01]],-1,MATCH(0,reading[[#This Row],[Memo 01]:[Memo 07]],-1)-1),"")</f>
        <v>45249</v>
      </c>
      <c r="Y3045" s="10" t="str">
        <f ca="1">IF(reading[[#This Row],[Next]]&lt;&gt;"",IF(reading[[#This Row],[Next]]&gt;TODAY(),"OK",""),"")</f>
        <v/>
      </c>
      <c r="Z3045" s="13">
        <v>3</v>
      </c>
      <c r="AA3045" s="13">
        <v>3</v>
      </c>
      <c r="AB3045" s="13">
        <v>3</v>
      </c>
      <c r="AC3045" s="13">
        <v>3</v>
      </c>
      <c r="AD3045" s="13">
        <v>3</v>
      </c>
      <c r="AE3045" s="13"/>
      <c r="AF3045" s="13"/>
      <c r="AG3045" s="16">
        <f>IFERROR(SUMIF(reading[[#This Row],[1st]:[7th]],"&gt;0")/COUNTIF(reading[[#This Row],[1st]:[7th]],"&gt;0"),"")</f>
        <v>3</v>
      </c>
    </row>
    <row r="3046" spans="1:33" hidden="1" x14ac:dyDescent="0.2">
      <c r="A3046" s="4">
        <f>IF(B3046=1,3,IF(D3046=1,2,IF(F3046=1,1,0)))</f>
        <v>0</v>
      </c>
      <c r="B3046" s="4" t="str">
        <f>IF(C3046=$L3046,1,IF(C3046="","",0))</f>
        <v/>
      </c>
      <c r="C3046" s="42"/>
      <c r="D3046" s="4" t="str">
        <f>IF(E3046=$L3046,1,IF(E3046="","",0))</f>
        <v/>
      </c>
      <c r="E3046" s="23"/>
      <c r="F3046" s="4" t="str">
        <f>IF(G3046=$L3046,1,IF(G3046="","",0))</f>
        <v/>
      </c>
      <c r="G3046" s="14"/>
      <c r="H3046" s="6">
        <v>1308</v>
      </c>
      <c r="I3046" s="15" t="s">
        <v>3120</v>
      </c>
      <c r="J3046" s="6" t="s">
        <v>4425</v>
      </c>
      <c r="K3046" s="6"/>
      <c r="L3046" s="6" t="s">
        <v>1405</v>
      </c>
      <c r="M3046" s="6" t="s">
        <v>7415</v>
      </c>
      <c r="N3046" s="7">
        <f ca="1">RAND()</f>
        <v>0.6052936703291818</v>
      </c>
      <c r="O3046" s="8">
        <v>45207</v>
      </c>
      <c r="P3046" s="8">
        <v>45208</v>
      </c>
      <c r="Q3046" s="8">
        <v>45210</v>
      </c>
      <c r="R3046" s="8">
        <v>45214</v>
      </c>
      <c r="S3046" s="8">
        <v>45221</v>
      </c>
      <c r="T3046" s="8">
        <v>45233</v>
      </c>
      <c r="U3046" s="8">
        <v>45816</v>
      </c>
      <c r="V3046" s="10">
        <f>COUNTA(O3046:U3046)</f>
        <v>7</v>
      </c>
      <c r="W3046" s="11">
        <f>_xlfn.IFNA(INDEX(reading[[#This Row],[Memo 01]:[Memo 07]],MATCH(0,reading[[#This Row],[Memo 01]:[Memo 07]],-1)),"")</f>
        <v>45816</v>
      </c>
      <c r="X3046" s="11">
        <f ca="1">IFERROR(reading[[#This Row],[Previous]]+OFFSET(reading[[#Headers],[Memo 01]],-1,MATCH(0,reading[[#This Row],[Memo 01]:[Memo 07]],-1)-1),"")</f>
        <v>55816</v>
      </c>
      <c r="Y3046" s="10" t="str">
        <f ca="1">IF(reading[[#This Row],[Next]]&lt;&gt;"",IF(reading[[#This Row],[Next]]&gt;TODAY(),"OK",""),"")</f>
        <v>OK</v>
      </c>
      <c r="Z3046" s="13">
        <v>3</v>
      </c>
      <c r="AA3046" s="13">
        <v>1</v>
      </c>
      <c r="AB3046" s="13">
        <v>3</v>
      </c>
      <c r="AC3046" s="13">
        <v>3</v>
      </c>
      <c r="AD3046" s="13">
        <v>3</v>
      </c>
      <c r="AE3046" s="13">
        <v>3</v>
      </c>
      <c r="AF3046" s="13">
        <v>2</v>
      </c>
      <c r="AG3046" s="16">
        <f>IFERROR(SUMIF(reading[[#This Row],[1st]:[7th]],"&gt;0")/COUNTIF(reading[[#This Row],[1st]:[7th]],"&gt;0"),"")</f>
        <v>2.5714285714285716</v>
      </c>
    </row>
    <row r="3047" spans="1:33" hidden="1" x14ac:dyDescent="0.2">
      <c r="A3047" s="4">
        <f>IF(B3047=1,3,IF(D3047=1,2,IF(F3047=1,1,0)))</f>
        <v>0</v>
      </c>
      <c r="B3047" s="4" t="str">
        <f>IF(C3047=$L3047,1,IF(C3047="","",0))</f>
        <v/>
      </c>
      <c r="C3047" s="42"/>
      <c r="D3047" s="4" t="str">
        <f>IF(E3047=$L3047,1,IF(E3047="","",0))</f>
        <v/>
      </c>
      <c r="E3047" s="23"/>
      <c r="F3047" s="4" t="str">
        <f>IF(G3047=$L3047,1,IF(G3047="","",0))</f>
        <v/>
      </c>
      <c r="G3047" s="23"/>
      <c r="H3047" s="6">
        <v>2970</v>
      </c>
      <c r="I3047" s="15" t="s">
        <v>3120</v>
      </c>
      <c r="J3047" s="6" t="s">
        <v>6000</v>
      </c>
      <c r="K3047" s="6"/>
      <c r="L3047" s="6" t="s">
        <v>2999</v>
      </c>
      <c r="M3047" s="6" t="s">
        <v>9074</v>
      </c>
      <c r="N3047" s="7">
        <f ca="1">RAND()</f>
        <v>0.20609511766570709</v>
      </c>
      <c r="O3047" s="8">
        <v>45224</v>
      </c>
      <c r="P3047" s="8">
        <v>45225</v>
      </c>
      <c r="Q3047" s="8">
        <v>45227</v>
      </c>
      <c r="R3047" s="8">
        <v>45231</v>
      </c>
      <c r="S3047" s="8">
        <v>45251</v>
      </c>
      <c r="T3047" s="8">
        <v>45816</v>
      </c>
      <c r="U3047" s="8"/>
      <c r="V3047" s="10">
        <f>COUNTA(O3047:U3047)</f>
        <v>6</v>
      </c>
      <c r="W3047" s="11">
        <f>_xlfn.IFNA(INDEX(reading[[#This Row],[Memo 01]:[Memo 07]],MATCH(0,reading[[#This Row],[Memo 01]:[Memo 07]],-1)),"")</f>
        <v>45816</v>
      </c>
      <c r="X3047" s="11">
        <f ca="1">IFERROR(reading[[#This Row],[Previous]]+OFFSET(reading[[#Headers],[Memo 01]],-1,MATCH(0,reading[[#This Row],[Memo 01]:[Memo 07]],-1)-1),"")</f>
        <v>45836</v>
      </c>
      <c r="Y3047" s="10" t="str">
        <f ca="1">IF(reading[[#This Row],[Next]]&lt;&gt;"",IF(reading[[#This Row],[Next]]&gt;TODAY(),"OK",""),"")</f>
        <v>OK</v>
      </c>
      <c r="Z3047" s="13">
        <v>3</v>
      </c>
      <c r="AA3047" s="13">
        <v>3</v>
      </c>
      <c r="AB3047" s="13">
        <v>3</v>
      </c>
      <c r="AC3047" s="13">
        <v>3</v>
      </c>
      <c r="AD3047" s="13">
        <v>3</v>
      </c>
      <c r="AE3047" s="13">
        <v>1</v>
      </c>
      <c r="AF3047" s="13"/>
      <c r="AG3047" s="16">
        <f>IFERROR(SUMIF(reading[[#This Row],[1st]:[7th]],"&gt;0")/COUNTIF(reading[[#This Row],[1st]:[7th]],"&gt;0"),"")</f>
        <v>2.6666666666666665</v>
      </c>
    </row>
    <row r="3048" spans="1:33" x14ac:dyDescent="0.2">
      <c r="A3048" s="4">
        <f>IF(B3048=1,3,IF(D3048=1,2,IF(F3048=1,1,0)))</f>
        <v>0</v>
      </c>
      <c r="B3048" s="4" t="str">
        <f>IF(C3048=$L3048,1,IF(C3048="","",0))</f>
        <v/>
      </c>
      <c r="C3048" s="41"/>
      <c r="D3048" s="4" t="str">
        <f>IF(E3048=$L3048,1,IF(E3048="","",0))</f>
        <v/>
      </c>
      <c r="E3048" s="18"/>
      <c r="F3048" s="4" t="str">
        <f>IF(G3048=$L3048,1,IF(G3048="","",0))</f>
        <v/>
      </c>
      <c r="G3048" s="14"/>
      <c r="H3048" s="6">
        <v>2658</v>
      </c>
      <c r="I3048" s="15" t="s">
        <v>3120</v>
      </c>
      <c r="J3048" s="6" t="s">
        <v>5711</v>
      </c>
      <c r="K3048" s="6"/>
      <c r="L3048" s="6" t="s">
        <v>2697</v>
      </c>
      <c r="M3048" s="6" t="s">
        <v>8763</v>
      </c>
      <c r="N3048" s="7">
        <f ca="1">RAND()</f>
        <v>0.40312103750963835</v>
      </c>
      <c r="O3048" s="8">
        <v>45220</v>
      </c>
      <c r="P3048" s="8">
        <v>45221</v>
      </c>
      <c r="Q3048" s="8">
        <v>45223</v>
      </c>
      <c r="R3048" s="8">
        <v>45227</v>
      </c>
      <c r="S3048" s="8">
        <v>45234</v>
      </c>
      <c r="T3048" s="8">
        <v>45251</v>
      </c>
      <c r="U3048" s="8"/>
      <c r="V3048" s="10">
        <f>COUNTA(O3048:U3048)</f>
        <v>6</v>
      </c>
      <c r="W3048" s="11">
        <f>_xlfn.IFNA(INDEX(reading[[#This Row],[Memo 01]:[Memo 07]],MATCH(0,reading[[#This Row],[Memo 01]:[Memo 07]],-1)),"")</f>
        <v>45251</v>
      </c>
      <c r="X3048" s="11">
        <f ca="1">IFERROR(reading[[#This Row],[Previous]]+OFFSET(reading[[#Headers],[Memo 01]],-1,MATCH(0,reading[[#This Row],[Memo 01]:[Memo 07]],-1)-1),"")</f>
        <v>45271</v>
      </c>
      <c r="Y3048" s="10" t="str">
        <f ca="1">IF(reading[[#This Row],[Next]]&lt;&gt;"",IF(reading[[#This Row],[Next]]&gt;TODAY(),"OK",""),"")</f>
        <v/>
      </c>
      <c r="Z3048" s="13">
        <v>3</v>
      </c>
      <c r="AA3048" s="13">
        <v>3</v>
      </c>
      <c r="AB3048" s="13">
        <v>2</v>
      </c>
      <c r="AC3048" s="13">
        <v>2</v>
      </c>
      <c r="AD3048" s="13">
        <v>3</v>
      </c>
      <c r="AE3048" s="13">
        <v>3</v>
      </c>
      <c r="AF3048" s="13"/>
      <c r="AG3048" s="16">
        <f>IFERROR(SUMIF(reading[[#This Row],[1st]:[7th]],"&gt;0")/COUNTIF(reading[[#This Row],[1st]:[7th]],"&gt;0"),"")</f>
        <v>2.6666666666666665</v>
      </c>
    </row>
    <row r="3049" spans="1:33" x14ac:dyDescent="0.2">
      <c r="A3049" s="4">
        <f>IF(B3049=1,3,IF(D3049=1,2,IF(F3049=1,1,0)))</f>
        <v>0</v>
      </c>
      <c r="B3049" s="4" t="str">
        <f>IF(C3049=$L3049,1,IF(C3049="","",0))</f>
        <v/>
      </c>
      <c r="C3049" s="42"/>
      <c r="D3049" s="4" t="str">
        <f>IF(E3049=$L3049,1,IF(E3049="","",0))</f>
        <v/>
      </c>
      <c r="E3049" s="18"/>
      <c r="F3049" s="4" t="str">
        <f>IF(G3049=$L3049,1,IF(G3049="","",0))</f>
        <v/>
      </c>
      <c r="G3049" s="14"/>
      <c r="H3049" s="6">
        <v>1012</v>
      </c>
      <c r="I3049" s="15" t="s">
        <v>3120</v>
      </c>
      <c r="J3049" s="6" t="s">
        <v>4140</v>
      </c>
      <c r="K3049" s="6"/>
      <c r="L3049" s="6" t="s">
        <v>1122</v>
      </c>
      <c r="M3049" s="6" t="s">
        <v>7120</v>
      </c>
      <c r="N3049" s="7">
        <f ca="1">RAND()</f>
        <v>0.4819624846517323</v>
      </c>
      <c r="O3049" s="8">
        <v>45205</v>
      </c>
      <c r="P3049" s="8">
        <v>45206</v>
      </c>
      <c r="Q3049" s="8">
        <v>45208</v>
      </c>
      <c r="R3049" s="8">
        <v>45213</v>
      </c>
      <c r="S3049" s="8">
        <v>45220</v>
      </c>
      <c r="T3049" s="8">
        <v>45232</v>
      </c>
      <c r="U3049" s="8"/>
      <c r="V3049" s="10">
        <f>COUNTA(O3049:U3049)</f>
        <v>6</v>
      </c>
      <c r="W3049" s="11">
        <f>_xlfn.IFNA(INDEX(reading[[#This Row],[Memo 01]:[Memo 07]],MATCH(0,reading[[#This Row],[Memo 01]:[Memo 07]],-1)),"")</f>
        <v>45232</v>
      </c>
      <c r="X3049" s="11">
        <f ca="1">IFERROR(reading[[#This Row],[Previous]]+OFFSET(reading[[#Headers],[Memo 01]],-1,MATCH(0,reading[[#This Row],[Memo 01]:[Memo 07]],-1)-1),"")</f>
        <v>45252</v>
      </c>
      <c r="Y3049" s="10" t="str">
        <f ca="1">IF(reading[[#This Row],[Next]]&lt;&gt;"",IF(reading[[#This Row],[Next]]&gt;TODAY(),"OK",""),"")</f>
        <v/>
      </c>
      <c r="Z3049" s="13">
        <v>3</v>
      </c>
      <c r="AA3049" s="13">
        <v>2</v>
      </c>
      <c r="AB3049" s="13">
        <v>2</v>
      </c>
      <c r="AC3049" s="13">
        <v>2</v>
      </c>
      <c r="AD3049" s="13">
        <v>2</v>
      </c>
      <c r="AE3049" s="13">
        <v>3</v>
      </c>
      <c r="AF3049" s="13"/>
      <c r="AG3049" s="16">
        <f>IFERROR(SUMIF(reading[[#This Row],[1st]:[7th]],"&gt;0")/COUNTIF(reading[[#This Row],[1st]:[7th]],"&gt;0"),"")</f>
        <v>2.3333333333333335</v>
      </c>
    </row>
    <row r="3050" spans="1:33" x14ac:dyDescent="0.2">
      <c r="A3050" s="4">
        <f>IF(B3050=1,3,IF(D3050=1,2,IF(F3050=1,1,0)))</f>
        <v>0</v>
      </c>
      <c r="B3050" s="4" t="str">
        <f>IF(C3050=$L3050,1,IF(C3050="","",0))</f>
        <v/>
      </c>
      <c r="C3050" s="39"/>
      <c r="D3050" s="4" t="str">
        <f>IF(E3050=$L3050,1,IF(E3050="","",0))</f>
        <v/>
      </c>
      <c r="E3050" s="18"/>
      <c r="F3050" s="4" t="str">
        <f>IF(G3050=$L3050,1,IF(G3050="","",0))</f>
        <v/>
      </c>
      <c r="G3050" s="14"/>
      <c r="H3050" s="6">
        <v>1708</v>
      </c>
      <c r="I3050" s="15" t="s">
        <v>3120</v>
      </c>
      <c r="J3050" s="6" t="s">
        <v>4817</v>
      </c>
      <c r="K3050" s="6"/>
      <c r="L3050" s="6" t="s">
        <v>1788</v>
      </c>
      <c r="M3050" s="6" t="s">
        <v>7814</v>
      </c>
      <c r="N3050" s="7">
        <f ca="1">RAND()</f>
        <v>0.80637375057364691</v>
      </c>
      <c r="O3050" s="8">
        <v>45211</v>
      </c>
      <c r="P3050" s="8">
        <v>45212</v>
      </c>
      <c r="Q3050" s="8">
        <v>45214</v>
      </c>
      <c r="R3050" s="8">
        <v>45218</v>
      </c>
      <c r="S3050" s="8">
        <v>45225</v>
      </c>
      <c r="T3050" s="8">
        <v>45237</v>
      </c>
      <c r="U3050" s="8"/>
      <c r="V3050" s="10">
        <f>COUNTA(O3050:U3050)</f>
        <v>6</v>
      </c>
      <c r="W3050" s="11">
        <f>_xlfn.IFNA(INDEX(reading[[#This Row],[Memo 01]:[Memo 07]],MATCH(0,reading[[#This Row],[Memo 01]:[Memo 07]],-1)),"")</f>
        <v>45237</v>
      </c>
      <c r="X3050" s="11">
        <f ca="1">IFERROR(reading[[#This Row],[Previous]]+OFFSET(reading[[#Headers],[Memo 01]],-1,MATCH(0,reading[[#This Row],[Memo 01]:[Memo 07]],-1)-1),"")</f>
        <v>45257</v>
      </c>
      <c r="Y3050" s="10" t="str">
        <f ca="1">IF(reading[[#This Row],[Next]]&lt;&gt;"",IF(reading[[#This Row],[Next]]&gt;TODAY(),"OK",""),"")</f>
        <v/>
      </c>
      <c r="Z3050" s="13">
        <v>3</v>
      </c>
      <c r="AA3050" s="13">
        <v>3</v>
      </c>
      <c r="AB3050" s="13">
        <v>3</v>
      </c>
      <c r="AC3050" s="13">
        <v>2</v>
      </c>
      <c r="AD3050" s="13">
        <v>3</v>
      </c>
      <c r="AE3050" s="13">
        <v>3</v>
      </c>
      <c r="AF3050" s="13"/>
      <c r="AG3050" s="16">
        <f>IFERROR(SUMIF(reading[[#This Row],[1st]:[7th]],"&gt;0")/COUNTIF(reading[[#This Row],[1st]:[7th]],"&gt;0"),"")</f>
        <v>2.8333333333333335</v>
      </c>
    </row>
    <row r="3051" spans="1:33" x14ac:dyDescent="0.2">
      <c r="A3051" s="4">
        <f>IF(B3051=1,3,IF(D3051=1,2,IF(F3051=1,1,0)))</f>
        <v>0</v>
      </c>
      <c r="B3051" s="4" t="str">
        <f>IF(C3051=$L3051,1,IF(C3051="","",0))</f>
        <v/>
      </c>
      <c r="C3051" s="39"/>
      <c r="D3051" s="4" t="str">
        <f>IF(E3051=$L3051,1,IF(E3051="","",0))</f>
        <v/>
      </c>
      <c r="E3051" s="14"/>
      <c r="F3051" s="4" t="str">
        <f>IF(G3051=$L3051,1,IF(G3051="","",0))</f>
        <v/>
      </c>
      <c r="G3051" s="14"/>
      <c r="H3051" s="6">
        <v>2631</v>
      </c>
      <c r="I3051" s="15" t="s">
        <v>3120</v>
      </c>
      <c r="J3051" s="6" t="s">
        <v>5686</v>
      </c>
      <c r="K3051" s="6"/>
      <c r="L3051" s="6" t="s">
        <v>2672</v>
      </c>
      <c r="M3051" s="6" t="s">
        <v>8736</v>
      </c>
      <c r="N3051" s="7">
        <f ca="1">RAND()</f>
        <v>0.44301197691100569</v>
      </c>
      <c r="O3051" s="8">
        <v>45220</v>
      </c>
      <c r="P3051" s="8">
        <v>45221</v>
      </c>
      <c r="Q3051" s="8">
        <v>45223</v>
      </c>
      <c r="R3051" s="8">
        <v>45227</v>
      </c>
      <c r="S3051" s="8">
        <v>45234</v>
      </c>
      <c r="T3051" s="8"/>
      <c r="U3051" s="8"/>
      <c r="V3051" s="10">
        <f>COUNTA(O3051:U3051)</f>
        <v>5</v>
      </c>
      <c r="W3051" s="11">
        <f>_xlfn.IFNA(INDEX(reading[[#This Row],[Memo 01]:[Memo 07]],MATCH(0,reading[[#This Row],[Memo 01]:[Memo 07]],-1)),"")</f>
        <v>45234</v>
      </c>
      <c r="X3051" s="11">
        <f ca="1">IFERROR(reading[[#This Row],[Previous]]+OFFSET(reading[[#Headers],[Memo 01]],-1,MATCH(0,reading[[#This Row],[Memo 01]:[Memo 07]],-1)-1),"")</f>
        <v>45246</v>
      </c>
      <c r="Y3051" s="10" t="str">
        <f ca="1">IF(reading[[#This Row],[Next]]&lt;&gt;"",IF(reading[[#This Row],[Next]]&gt;TODAY(),"OK",""),"")</f>
        <v/>
      </c>
      <c r="Z3051" s="13">
        <v>3</v>
      </c>
      <c r="AA3051" s="13">
        <v>3</v>
      </c>
      <c r="AB3051" s="13">
        <v>3</v>
      </c>
      <c r="AC3051" s="13">
        <v>3</v>
      </c>
      <c r="AD3051" s="13">
        <v>3</v>
      </c>
      <c r="AE3051" s="13"/>
      <c r="AF3051" s="13"/>
      <c r="AG3051" s="16">
        <f>IFERROR(SUMIF(reading[[#This Row],[1st]:[7th]],"&gt;0")/COUNTIF(reading[[#This Row],[1st]:[7th]],"&gt;0"),"")</f>
        <v>3</v>
      </c>
    </row>
    <row r="3052" spans="1:33" hidden="1" x14ac:dyDescent="0.2">
      <c r="A3052" s="4">
        <f>IF(B3052=1,3,IF(D3052=1,2,IF(F3052=1,1,0)))</f>
        <v>0</v>
      </c>
      <c r="B3052" s="4" t="str">
        <f>IF(C3052=$L3052,1,IF(C3052="","",0))</f>
        <v/>
      </c>
      <c r="C3052" s="42"/>
      <c r="D3052" s="4" t="str">
        <f>IF(E3052=$L3052,1,IF(E3052="","",0))</f>
        <v/>
      </c>
      <c r="E3052" s="43"/>
      <c r="F3052" s="4" t="str">
        <f>IF(G3052=$L3052,1,IF(G3052="","",0))</f>
        <v/>
      </c>
      <c r="G3052" s="14"/>
      <c r="H3052" s="6">
        <v>1175</v>
      </c>
      <c r="I3052" s="15" t="s">
        <v>3120</v>
      </c>
      <c r="J3052" s="6" t="s">
        <v>4294</v>
      </c>
      <c r="K3052" s="6"/>
      <c r="L3052" s="6" t="s">
        <v>1277</v>
      </c>
      <c r="M3052" s="6" t="s">
        <v>7283</v>
      </c>
      <c r="N3052" s="7">
        <f ca="1">RAND()</f>
        <v>4.2104475070353642E-2</v>
      </c>
      <c r="O3052" s="8">
        <v>45206</v>
      </c>
      <c r="P3052" s="8">
        <v>45207</v>
      </c>
      <c r="Q3052" s="8">
        <v>45209</v>
      </c>
      <c r="R3052" s="8">
        <v>45213</v>
      </c>
      <c r="S3052" s="8">
        <v>45220</v>
      </c>
      <c r="T3052" s="8">
        <v>45232</v>
      </c>
      <c r="U3052" s="8">
        <v>45825</v>
      </c>
      <c r="V3052" s="10">
        <f>COUNTA(O3052:U3052)</f>
        <v>7</v>
      </c>
      <c r="W3052" s="11">
        <f>_xlfn.IFNA(INDEX(reading[[#This Row],[Memo 01]:[Memo 07]],MATCH(0,reading[[#This Row],[Memo 01]:[Memo 07]],-1)),"")</f>
        <v>45825</v>
      </c>
      <c r="X3052" s="11">
        <f ca="1">IFERROR(reading[[#This Row],[Previous]]+OFFSET(reading[[#Headers],[Memo 01]],-1,MATCH(0,reading[[#This Row],[Memo 01]:[Memo 07]],-1)-1),"")</f>
        <v>55825</v>
      </c>
      <c r="Y3052" s="10" t="str">
        <f ca="1">IF(reading[[#This Row],[Next]]&lt;&gt;"",IF(reading[[#This Row],[Next]]&gt;TODAY(),"OK",""),"")</f>
        <v>OK</v>
      </c>
      <c r="Z3052" s="13">
        <v>3</v>
      </c>
      <c r="AA3052" s="13">
        <v>2</v>
      </c>
      <c r="AB3052" s="13">
        <v>3</v>
      </c>
      <c r="AC3052" s="13">
        <v>3</v>
      </c>
      <c r="AD3052" s="13">
        <v>3</v>
      </c>
      <c r="AE3052" s="13">
        <v>3</v>
      </c>
      <c r="AF3052" s="13">
        <v>2</v>
      </c>
      <c r="AG3052" s="16">
        <f>IFERROR(SUMIF(reading[[#This Row],[1st]:[7th]],"&gt;0")/COUNTIF(reading[[#This Row],[1st]:[7th]],"&gt;0"),"")</f>
        <v>2.7142857142857144</v>
      </c>
    </row>
    <row r="3053" spans="1:33" x14ac:dyDescent="0.2">
      <c r="A3053" s="4">
        <f>IF(B3053=1,3,IF(D3053=1,2,IF(F3053=1,1,0)))</f>
        <v>0</v>
      </c>
      <c r="B3053" s="4" t="str">
        <f>IF(C3053=$L3053,1,IF(C3053="","",0))</f>
        <v/>
      </c>
      <c r="C3053" s="39"/>
      <c r="D3053" s="4" t="str">
        <f>IF(E3053=$L3053,1,IF(E3053="","",0))</f>
        <v/>
      </c>
      <c r="E3053" s="14"/>
      <c r="F3053" s="4" t="str">
        <f>IF(G3053=$L3053,1,IF(G3053="","",0))</f>
        <v/>
      </c>
      <c r="G3053" s="14"/>
      <c r="H3053" s="6">
        <v>1044</v>
      </c>
      <c r="I3053" s="15" t="s">
        <v>3120</v>
      </c>
      <c r="J3053" s="6" t="s">
        <v>4171</v>
      </c>
      <c r="K3053" s="6"/>
      <c r="L3053" s="6" t="s">
        <v>1153</v>
      </c>
      <c r="M3053" s="6" t="s">
        <v>7152</v>
      </c>
      <c r="N3053" s="7">
        <f ca="1">RAND()</f>
        <v>0.28727994713382377</v>
      </c>
      <c r="O3053" s="8">
        <v>45205</v>
      </c>
      <c r="P3053" s="8">
        <v>45206</v>
      </c>
      <c r="Q3053" s="8">
        <v>45208</v>
      </c>
      <c r="R3053" s="8">
        <v>45212</v>
      </c>
      <c r="S3053" s="8">
        <v>45219</v>
      </c>
      <c r="T3053" s="8">
        <v>45231</v>
      </c>
      <c r="U3053" s="8"/>
      <c r="V3053" s="10">
        <f>COUNTA(O3053:U3053)</f>
        <v>6</v>
      </c>
      <c r="W3053" s="11">
        <f>_xlfn.IFNA(INDEX(reading[[#This Row],[Memo 01]:[Memo 07]],MATCH(0,reading[[#This Row],[Memo 01]:[Memo 07]],-1)),"")</f>
        <v>45231</v>
      </c>
      <c r="X3053" s="11">
        <f ca="1">IFERROR(reading[[#This Row],[Previous]]+OFFSET(reading[[#Headers],[Memo 01]],-1,MATCH(0,reading[[#This Row],[Memo 01]:[Memo 07]],-1)-1),"")</f>
        <v>45251</v>
      </c>
      <c r="Y3053" s="10" t="str">
        <f ca="1">IF(reading[[#This Row],[Next]]&lt;&gt;"",IF(reading[[#This Row],[Next]]&gt;TODAY(),"OK",""),"")</f>
        <v/>
      </c>
      <c r="Z3053" s="13">
        <v>3</v>
      </c>
      <c r="AA3053" s="13">
        <v>3</v>
      </c>
      <c r="AB3053" s="13">
        <v>3</v>
      </c>
      <c r="AC3053" s="13">
        <v>3</v>
      </c>
      <c r="AD3053" s="13">
        <v>3</v>
      </c>
      <c r="AE3053" s="13">
        <v>3</v>
      </c>
      <c r="AF3053" s="13"/>
      <c r="AG3053" s="16">
        <f>IFERROR(SUMIF(reading[[#This Row],[1st]:[7th]],"&gt;0")/COUNTIF(reading[[#This Row],[1st]:[7th]],"&gt;0"),"")</f>
        <v>3</v>
      </c>
    </row>
    <row r="3054" spans="1:33" x14ac:dyDescent="0.2">
      <c r="A3054" s="4">
        <f>IF(B3054=1,3,IF(D3054=1,2,IF(F3054=1,1,0)))</f>
        <v>0</v>
      </c>
      <c r="B3054" s="4" t="str">
        <f>IF(C3054=$L3054,1,IF(C3054="","",0))</f>
        <v/>
      </c>
      <c r="C3054" s="39"/>
      <c r="D3054" s="4" t="str">
        <f>IF(E3054=$L3054,1,IF(E3054="","",0))</f>
        <v/>
      </c>
      <c r="E3054" s="18"/>
      <c r="F3054" s="4" t="str">
        <f>IF(G3054=$L3054,1,IF(G3054="","",0))</f>
        <v/>
      </c>
      <c r="G3054" s="14"/>
      <c r="H3054" s="6">
        <v>1545</v>
      </c>
      <c r="I3054" s="15" t="s">
        <v>3120</v>
      </c>
      <c r="J3054" s="6" t="s">
        <v>4658</v>
      </c>
      <c r="K3054" s="6"/>
      <c r="L3054" s="6" t="s">
        <v>1630</v>
      </c>
      <c r="M3054" s="6" t="s">
        <v>7652</v>
      </c>
      <c r="N3054" s="7">
        <f ca="1">RAND()</f>
        <v>0.98616498938668584</v>
      </c>
      <c r="O3054" s="8">
        <v>45209</v>
      </c>
      <c r="P3054" s="8">
        <v>45210</v>
      </c>
      <c r="Q3054" s="8">
        <v>45213</v>
      </c>
      <c r="R3054" s="8">
        <v>45217</v>
      </c>
      <c r="S3054" s="8">
        <v>45224</v>
      </c>
      <c r="T3054" s="8">
        <v>45236</v>
      </c>
      <c r="U3054" s="8"/>
      <c r="V3054" s="10">
        <f>COUNTA(O3054:U3054)</f>
        <v>6</v>
      </c>
      <c r="W3054" s="11">
        <f>_xlfn.IFNA(INDEX(reading[[#This Row],[Memo 01]:[Memo 07]],MATCH(0,reading[[#This Row],[Memo 01]:[Memo 07]],-1)),"")</f>
        <v>45236</v>
      </c>
      <c r="X3054" s="11">
        <f ca="1">IFERROR(reading[[#This Row],[Previous]]+OFFSET(reading[[#Headers],[Memo 01]],-1,MATCH(0,reading[[#This Row],[Memo 01]:[Memo 07]],-1)-1),"")</f>
        <v>45256</v>
      </c>
      <c r="Y3054" s="10" t="str">
        <f ca="1">IF(reading[[#This Row],[Next]]&lt;&gt;"",IF(reading[[#This Row],[Next]]&gt;TODAY(),"OK",""),"")</f>
        <v/>
      </c>
      <c r="Z3054" s="13">
        <v>3</v>
      </c>
      <c r="AA3054" s="13">
        <v>3</v>
      </c>
      <c r="AB3054" s="13">
        <v>2</v>
      </c>
      <c r="AC3054" s="13">
        <v>3</v>
      </c>
      <c r="AD3054" s="13">
        <v>2</v>
      </c>
      <c r="AE3054" s="13">
        <v>3</v>
      </c>
      <c r="AF3054" s="13"/>
      <c r="AG3054" s="16">
        <f>IFERROR(SUMIF(reading[[#This Row],[1st]:[7th]],"&gt;0")/COUNTIF(reading[[#This Row],[1st]:[7th]],"&gt;0"),"")</f>
        <v>2.6666666666666665</v>
      </c>
    </row>
    <row r="3055" spans="1:33" hidden="1" x14ac:dyDescent="0.2">
      <c r="A3055" s="4">
        <f>IF(B3055=1,3,IF(D3055=1,2,IF(F3055=1,1,0)))</f>
        <v>0</v>
      </c>
      <c r="B3055" s="4" t="str">
        <f>IF(C3055=$L3055,1,IF(C3055="","",0))</f>
        <v/>
      </c>
      <c r="C3055" s="42"/>
      <c r="D3055" s="4" t="str">
        <f>IF(E3055=$L3055,1,IF(E3055="","",0))</f>
        <v/>
      </c>
      <c r="E3055" s="23"/>
      <c r="F3055" s="4" t="str">
        <f>IF(G3055=$L3055,1,IF(G3055="","",0))</f>
        <v/>
      </c>
      <c r="G3055" s="14"/>
      <c r="H3055" s="6">
        <v>928</v>
      </c>
      <c r="I3055" s="15" t="s">
        <v>3120</v>
      </c>
      <c r="J3055" s="6" t="s">
        <v>4059</v>
      </c>
      <c r="K3055" s="6"/>
      <c r="L3055" s="6" t="s">
        <v>1039</v>
      </c>
      <c r="M3055" s="6" t="s">
        <v>7036</v>
      </c>
      <c r="N3055" s="7">
        <f ca="1">RAND()</f>
        <v>0.45120388060874872</v>
      </c>
      <c r="O3055" s="8">
        <v>45204</v>
      </c>
      <c r="P3055" s="8">
        <v>45205</v>
      </c>
      <c r="Q3055" s="8">
        <v>45207</v>
      </c>
      <c r="R3055" s="8">
        <v>45211</v>
      </c>
      <c r="S3055" s="8">
        <v>45218</v>
      </c>
      <c r="T3055" s="8">
        <v>45230</v>
      </c>
      <c r="U3055" s="8">
        <v>45816</v>
      </c>
      <c r="V3055" s="10">
        <f>COUNTA(O3055:U3055)</f>
        <v>7</v>
      </c>
      <c r="W3055" s="11">
        <f>_xlfn.IFNA(INDEX(reading[[#This Row],[Memo 01]:[Memo 07]],MATCH(0,reading[[#This Row],[Memo 01]:[Memo 07]],-1)),"")</f>
        <v>45816</v>
      </c>
      <c r="X3055" s="11">
        <f ca="1">IFERROR(reading[[#This Row],[Previous]]+OFFSET(reading[[#Headers],[Memo 01]],-1,MATCH(0,reading[[#This Row],[Memo 01]:[Memo 07]],-1)-1),"")</f>
        <v>55816</v>
      </c>
      <c r="Y3055" s="10" t="str">
        <f ca="1">IF(reading[[#This Row],[Next]]&lt;&gt;"",IF(reading[[#This Row],[Next]]&gt;TODAY(),"OK",""),"")</f>
        <v>OK</v>
      </c>
      <c r="Z3055" s="13">
        <v>3</v>
      </c>
      <c r="AA3055" s="13">
        <v>3</v>
      </c>
      <c r="AB3055" s="13">
        <v>3</v>
      </c>
      <c r="AC3055" s="13">
        <v>3</v>
      </c>
      <c r="AD3055" s="13">
        <v>3</v>
      </c>
      <c r="AE3055" s="13">
        <v>3</v>
      </c>
      <c r="AF3055" s="13">
        <v>2</v>
      </c>
      <c r="AG3055" s="16">
        <f>IFERROR(SUMIF(reading[[#This Row],[1st]:[7th]],"&gt;0")/COUNTIF(reading[[#This Row],[1st]:[7th]],"&gt;0"),"")</f>
        <v>2.8571428571428572</v>
      </c>
    </row>
    <row r="3056" spans="1:33" x14ac:dyDescent="0.2">
      <c r="A3056" s="4">
        <f>IF(B3056=1,3,IF(D3056=1,2,IF(F3056=1,1,0)))</f>
        <v>0</v>
      </c>
      <c r="B3056" s="4" t="str">
        <f>IF(C3056=$L3056,1,IF(C3056="","",0))</f>
        <v/>
      </c>
      <c r="C3056" s="41"/>
      <c r="D3056" s="4" t="str">
        <f>IF(E3056=$L3056,1,IF(E3056="","",0))</f>
        <v/>
      </c>
      <c r="E3056" s="18"/>
      <c r="F3056" s="4" t="str">
        <f>IF(G3056=$L3056,1,IF(G3056="","",0))</f>
        <v/>
      </c>
      <c r="G3056" s="14"/>
      <c r="H3056" s="6">
        <v>2403</v>
      </c>
      <c r="I3056" s="15" t="s">
        <v>3120</v>
      </c>
      <c r="J3056" s="6" t="s">
        <v>5443</v>
      </c>
      <c r="K3056" s="6"/>
      <c r="L3056" s="6" t="s">
        <v>2453</v>
      </c>
      <c r="M3056" s="6" t="s">
        <v>8508</v>
      </c>
      <c r="N3056" s="7">
        <f ca="1">RAND()</f>
        <v>0.10588912378461302</v>
      </c>
      <c r="O3056" s="8">
        <v>45217</v>
      </c>
      <c r="P3056" s="8">
        <v>45218</v>
      </c>
      <c r="Q3056" s="8">
        <v>45220</v>
      </c>
      <c r="R3056" s="8">
        <v>45224</v>
      </c>
      <c r="S3056" s="8">
        <v>45232</v>
      </c>
      <c r="T3056" s="8">
        <v>45250</v>
      </c>
      <c r="U3056" s="8"/>
      <c r="V3056" s="10">
        <f>COUNTA(O3056:U3056)</f>
        <v>6</v>
      </c>
      <c r="W3056" s="11">
        <f>_xlfn.IFNA(INDEX(reading[[#This Row],[Memo 01]:[Memo 07]],MATCH(0,reading[[#This Row],[Memo 01]:[Memo 07]],-1)),"")</f>
        <v>45250</v>
      </c>
      <c r="X3056" s="11">
        <f ca="1">IFERROR(reading[[#This Row],[Previous]]+OFFSET(reading[[#Headers],[Memo 01]],-1,MATCH(0,reading[[#This Row],[Memo 01]:[Memo 07]],-1)-1),"")</f>
        <v>45270</v>
      </c>
      <c r="Y3056" s="10" t="str">
        <f ca="1">IF(reading[[#This Row],[Next]]&lt;&gt;"",IF(reading[[#This Row],[Next]]&gt;TODAY(),"OK",""),"")</f>
        <v/>
      </c>
      <c r="Z3056" s="13">
        <v>3</v>
      </c>
      <c r="AA3056" s="13">
        <v>2</v>
      </c>
      <c r="AB3056" s="13">
        <v>3</v>
      </c>
      <c r="AC3056" s="13">
        <v>3</v>
      </c>
      <c r="AD3056" s="13">
        <v>1</v>
      </c>
      <c r="AE3056" s="13">
        <v>2</v>
      </c>
      <c r="AF3056" s="13"/>
      <c r="AG3056" s="16">
        <f>IFERROR(SUMIF(reading[[#This Row],[1st]:[7th]],"&gt;0")/COUNTIF(reading[[#This Row],[1st]:[7th]],"&gt;0"),"")</f>
        <v>2.3333333333333335</v>
      </c>
    </row>
    <row r="3057" spans="1:33" x14ac:dyDescent="0.2">
      <c r="A3057" s="4">
        <f>IF(B3057=1,3,IF(D3057=1,2,IF(F3057=1,1,0)))</f>
        <v>0</v>
      </c>
      <c r="B3057" s="4" t="str">
        <f>IF(C3057=$L3057,1,IF(C3057="","",0))</f>
        <v/>
      </c>
      <c r="C3057" s="42"/>
      <c r="D3057" s="4" t="str">
        <f>IF(E3057=$L3057,1,IF(E3057="","",0))</f>
        <v/>
      </c>
      <c r="E3057" s="14"/>
      <c r="F3057" s="4" t="str">
        <f>IF(G3057=$L3057,1,IF(G3057="","",0))</f>
        <v/>
      </c>
      <c r="G3057" s="14"/>
      <c r="H3057" s="6">
        <v>2168</v>
      </c>
      <c r="I3057" s="15" t="s">
        <v>3120</v>
      </c>
      <c r="J3057" s="6" t="s">
        <v>5256</v>
      </c>
      <c r="K3057" s="6"/>
      <c r="L3057" s="6" t="s">
        <v>2234</v>
      </c>
      <c r="M3057" s="6" t="s">
        <v>8274</v>
      </c>
      <c r="N3057" s="7">
        <f ca="1">RAND()</f>
        <v>0.6232241990911408</v>
      </c>
      <c r="O3057" s="8">
        <v>45214</v>
      </c>
      <c r="P3057" s="8">
        <v>45215</v>
      </c>
      <c r="Q3057" s="8">
        <v>45217</v>
      </c>
      <c r="R3057" s="8">
        <v>45221</v>
      </c>
      <c r="S3057" s="8">
        <v>45228</v>
      </c>
      <c r="T3057" s="8">
        <v>45801</v>
      </c>
      <c r="U3057" s="8"/>
      <c r="V3057" s="10">
        <f>COUNTA(O3057:U3057)</f>
        <v>6</v>
      </c>
      <c r="W3057" s="11">
        <f>_xlfn.IFNA(INDEX(reading[[#This Row],[Memo 01]:[Memo 07]],MATCH(0,reading[[#This Row],[Memo 01]:[Memo 07]],-1)),"")</f>
        <v>45801</v>
      </c>
      <c r="X3057" s="11">
        <f ca="1">IFERROR(reading[[#This Row],[Previous]]+OFFSET(reading[[#Headers],[Memo 01]],-1,MATCH(0,reading[[#This Row],[Memo 01]:[Memo 07]],-1)-1),"")</f>
        <v>45821</v>
      </c>
      <c r="Y3057" s="10" t="str">
        <f ca="1">IF(reading[[#This Row],[Next]]&lt;&gt;"",IF(reading[[#This Row],[Next]]&gt;TODAY(),"OK",""),"")</f>
        <v/>
      </c>
      <c r="Z3057" s="13">
        <v>3</v>
      </c>
      <c r="AA3057" s="13">
        <v>3</v>
      </c>
      <c r="AB3057" s="13">
        <v>3</v>
      </c>
      <c r="AC3057" s="13">
        <v>3</v>
      </c>
      <c r="AD3057" s="13">
        <v>3</v>
      </c>
      <c r="AE3057" s="13">
        <v>3</v>
      </c>
      <c r="AF3057" s="13"/>
      <c r="AG3057" s="16">
        <f>IFERROR(SUMIF(reading[[#This Row],[1st]:[7th]],"&gt;0")/COUNTIF(reading[[#This Row],[1st]:[7th]],"&gt;0"),"")</f>
        <v>3</v>
      </c>
    </row>
    <row r="3058" spans="1:33" x14ac:dyDescent="0.2">
      <c r="A3058" s="4">
        <f>IF(B3058=1,3,IF(D3058=1,2,IF(F3058=1,1,0)))</f>
        <v>0</v>
      </c>
      <c r="B3058" s="4" t="str">
        <f>IF(C3058=$L3058,1,IF(C3058="","",0))</f>
        <v/>
      </c>
      <c r="C3058" s="41"/>
      <c r="D3058" s="4" t="str">
        <f>IF(E3058=$L3058,1,IF(E3058="","",0))</f>
        <v/>
      </c>
      <c r="E3058" s="18"/>
      <c r="F3058" s="4" t="str">
        <f>IF(G3058=$L3058,1,IF(G3058="","",0))</f>
        <v/>
      </c>
      <c r="G3058" s="14"/>
      <c r="H3058" s="6">
        <v>2913</v>
      </c>
      <c r="I3058" s="15" t="s">
        <v>3120</v>
      </c>
      <c r="J3058" s="6" t="s">
        <v>5949</v>
      </c>
      <c r="K3058" s="6"/>
      <c r="L3058" s="6" t="s">
        <v>2943</v>
      </c>
      <c r="M3058" s="6" t="s">
        <v>9017</v>
      </c>
      <c r="N3058" s="7">
        <f ca="1">RAND()</f>
        <v>0.86777742168771077</v>
      </c>
      <c r="O3058" s="8">
        <v>45223</v>
      </c>
      <c r="P3058" s="8">
        <v>45224</v>
      </c>
      <c r="Q3058" s="8">
        <v>45226</v>
      </c>
      <c r="R3058" s="8">
        <v>45230</v>
      </c>
      <c r="S3058" s="8">
        <v>45237</v>
      </c>
      <c r="T3058" s="8">
        <v>45251</v>
      </c>
      <c r="U3058" s="8"/>
      <c r="V3058" s="10">
        <f>COUNTA(O3058:U3058)</f>
        <v>6</v>
      </c>
      <c r="W3058" s="11">
        <f>_xlfn.IFNA(INDEX(reading[[#This Row],[Memo 01]:[Memo 07]],MATCH(0,reading[[#This Row],[Memo 01]:[Memo 07]],-1)),"")</f>
        <v>45251</v>
      </c>
      <c r="X3058" s="11">
        <f ca="1">IFERROR(reading[[#This Row],[Previous]]+OFFSET(reading[[#Headers],[Memo 01]],-1,MATCH(0,reading[[#This Row],[Memo 01]:[Memo 07]],-1)-1),"")</f>
        <v>45271</v>
      </c>
      <c r="Y3058" s="10" t="str">
        <f ca="1">IF(reading[[#This Row],[Next]]&lt;&gt;"",IF(reading[[#This Row],[Next]]&gt;TODAY(),"OK",""),"")</f>
        <v/>
      </c>
      <c r="Z3058" s="13">
        <v>3</v>
      </c>
      <c r="AA3058" s="13">
        <v>2</v>
      </c>
      <c r="AB3058" s="13">
        <v>3</v>
      </c>
      <c r="AC3058" s="13">
        <v>2</v>
      </c>
      <c r="AD3058" s="13">
        <v>3</v>
      </c>
      <c r="AE3058" s="13">
        <v>3</v>
      </c>
      <c r="AF3058" s="13"/>
      <c r="AG3058" s="16">
        <f>IFERROR(SUMIF(reading[[#This Row],[1st]:[7th]],"&gt;0")/COUNTIF(reading[[#This Row],[1st]:[7th]],"&gt;0"),"")</f>
        <v>2.6666666666666665</v>
      </c>
    </row>
    <row r="3059" spans="1:33" hidden="1" x14ac:dyDescent="0.2">
      <c r="A3059" s="4">
        <f>IF(B3059=1,3,IF(D3059=1,2,IF(F3059=1,1,0)))</f>
        <v>0</v>
      </c>
      <c r="B3059" s="4" t="str">
        <f>IF(C3059=$L3059,1,IF(C3059="","",0))</f>
        <v/>
      </c>
      <c r="C3059" s="42"/>
      <c r="D3059" s="4" t="str">
        <f>IF(E3059=$L3059,1,IF(E3059="","",0))</f>
        <v/>
      </c>
      <c r="E3059" s="23"/>
      <c r="F3059" s="4" t="str">
        <f>IF(G3059=$L3059,1,IF(G3059="","",0))</f>
        <v/>
      </c>
      <c r="G3059" s="14"/>
      <c r="H3059" s="6">
        <v>2204</v>
      </c>
      <c r="I3059" s="15" t="s">
        <v>3120</v>
      </c>
      <c r="J3059" s="6" t="s">
        <v>5290</v>
      </c>
      <c r="K3059" s="6"/>
      <c r="L3059" s="6" t="s">
        <v>2267</v>
      </c>
      <c r="M3059" s="6" t="s">
        <v>8310</v>
      </c>
      <c r="N3059" s="7">
        <f ca="1">RAND()</f>
        <v>0.2505268132930909</v>
      </c>
      <c r="O3059" s="8">
        <v>45216</v>
      </c>
      <c r="P3059" s="8">
        <v>45217</v>
      </c>
      <c r="Q3059" s="8">
        <v>45219</v>
      </c>
      <c r="R3059" s="8">
        <v>45223</v>
      </c>
      <c r="S3059" s="8">
        <v>45230</v>
      </c>
      <c r="T3059" s="8">
        <v>45825</v>
      </c>
      <c r="U3059" s="8"/>
      <c r="V3059" s="10">
        <f>COUNTA(O3059:U3059)</f>
        <v>6</v>
      </c>
      <c r="W3059" s="11">
        <f>_xlfn.IFNA(INDEX(reading[[#This Row],[Memo 01]:[Memo 07]],MATCH(0,reading[[#This Row],[Memo 01]:[Memo 07]],-1)),"")</f>
        <v>45825</v>
      </c>
      <c r="X3059" s="11">
        <f ca="1">IFERROR(reading[[#This Row],[Previous]]+OFFSET(reading[[#Headers],[Memo 01]],-1,MATCH(0,reading[[#This Row],[Memo 01]:[Memo 07]],-1)-1),"")</f>
        <v>45845</v>
      </c>
      <c r="Y3059" s="10" t="str">
        <f ca="1">IF(reading[[#This Row],[Next]]&lt;&gt;"",IF(reading[[#This Row],[Next]]&gt;TODAY(),"OK",""),"")</f>
        <v>OK</v>
      </c>
      <c r="Z3059" s="13">
        <v>3</v>
      </c>
      <c r="AA3059" s="13">
        <v>3</v>
      </c>
      <c r="AB3059" s="13">
        <v>3</v>
      </c>
      <c r="AC3059" s="13">
        <v>3</v>
      </c>
      <c r="AD3059" s="13">
        <v>3</v>
      </c>
      <c r="AE3059" s="13">
        <v>2</v>
      </c>
      <c r="AF3059" s="13"/>
      <c r="AG3059" s="16">
        <f>IFERROR(SUMIF(reading[[#This Row],[1st]:[7th]],"&gt;0")/COUNTIF(reading[[#This Row],[1st]:[7th]],"&gt;0"),"")</f>
        <v>2.8333333333333335</v>
      </c>
    </row>
    <row r="3060" spans="1:33" x14ac:dyDescent="0.2">
      <c r="A3060" s="4">
        <f>IF(B3060=1,3,IF(D3060=1,2,IF(F3060=1,1,0)))</f>
        <v>0</v>
      </c>
      <c r="B3060" s="4" t="str">
        <f>IF(C3060=$L3060,1,IF(C3060="","",0))</f>
        <v/>
      </c>
      <c r="C3060" s="41"/>
      <c r="D3060" s="4" t="str">
        <f>IF(E3060=$L3060,1,IF(E3060="","",0))</f>
        <v/>
      </c>
      <c r="E3060" s="18"/>
      <c r="F3060" s="4" t="str">
        <f>IF(G3060=$L3060,1,IF(G3060="","",0))</f>
        <v/>
      </c>
      <c r="G3060" s="14"/>
      <c r="H3060" s="6">
        <v>2611</v>
      </c>
      <c r="I3060" s="15" t="s">
        <v>3120</v>
      </c>
      <c r="J3060" s="6" t="s">
        <v>5666</v>
      </c>
      <c r="K3060" s="6"/>
      <c r="L3060" s="6" t="s">
        <v>2654</v>
      </c>
      <c r="M3060" s="6" t="s">
        <v>8716</v>
      </c>
      <c r="N3060" s="7">
        <f ca="1">RAND()</f>
        <v>0.64431713423039383</v>
      </c>
      <c r="O3060" s="8">
        <v>45220</v>
      </c>
      <c r="P3060" s="8">
        <v>45221</v>
      </c>
      <c r="Q3060" s="8">
        <v>45223</v>
      </c>
      <c r="R3060" s="8">
        <v>45227</v>
      </c>
      <c r="S3060" s="8">
        <v>45234</v>
      </c>
      <c r="T3060" s="8">
        <v>45248</v>
      </c>
      <c r="U3060" s="8"/>
      <c r="V3060" s="10">
        <f>COUNTA(O3060:U3060)</f>
        <v>6</v>
      </c>
      <c r="W3060" s="11">
        <f>_xlfn.IFNA(INDEX(reading[[#This Row],[Memo 01]:[Memo 07]],MATCH(0,reading[[#This Row],[Memo 01]:[Memo 07]],-1)),"")</f>
        <v>45248</v>
      </c>
      <c r="X3060" s="11">
        <f ca="1">IFERROR(reading[[#This Row],[Previous]]+OFFSET(reading[[#Headers],[Memo 01]],-1,MATCH(0,reading[[#This Row],[Memo 01]:[Memo 07]],-1)-1),"")</f>
        <v>45268</v>
      </c>
      <c r="Y3060" s="10" t="str">
        <f ca="1">IF(reading[[#This Row],[Next]]&lt;&gt;"",IF(reading[[#This Row],[Next]]&gt;TODAY(),"OK",""),"")</f>
        <v/>
      </c>
      <c r="Z3060" s="13">
        <v>3</v>
      </c>
      <c r="AA3060" s="13">
        <v>2</v>
      </c>
      <c r="AB3060" s="13">
        <v>2</v>
      </c>
      <c r="AC3060" s="13">
        <v>2</v>
      </c>
      <c r="AD3060" s="13">
        <v>3</v>
      </c>
      <c r="AE3060" s="13">
        <v>3</v>
      </c>
      <c r="AF3060" s="13"/>
      <c r="AG3060" s="16">
        <f>IFERROR(SUMIF(reading[[#This Row],[1st]:[7th]],"&gt;0")/COUNTIF(reading[[#This Row],[1st]:[7th]],"&gt;0"),"")</f>
        <v>2.5</v>
      </c>
    </row>
    <row r="3061" spans="1:33" x14ac:dyDescent="0.2">
      <c r="A3061" s="4">
        <f>IF(B3061=1,3,IF(D3061=1,2,IF(F3061=1,1,0)))</f>
        <v>0</v>
      </c>
      <c r="B3061" s="4" t="str">
        <f>IF(C3061=$L3061,1,IF(C3061="","",0))</f>
        <v/>
      </c>
      <c r="C3061" s="36"/>
      <c r="D3061" s="4" t="str">
        <f>IF(E3061=$L3061,1,IF(E3061="","",0))</f>
        <v/>
      </c>
      <c r="E3061" s="14"/>
      <c r="F3061" s="4" t="str">
        <f>IF(G3061=$L3061,1,IF(G3061="","",0))</f>
        <v/>
      </c>
      <c r="G3061" s="14"/>
      <c r="H3061" s="6">
        <v>1934</v>
      </c>
      <c r="I3061" s="15" t="s">
        <v>3120</v>
      </c>
      <c r="J3061" s="6" t="s">
        <v>5033</v>
      </c>
      <c r="K3061" s="6"/>
      <c r="L3061" s="6" t="s">
        <v>2010</v>
      </c>
      <c r="M3061" s="6" t="s">
        <v>8040</v>
      </c>
      <c r="N3061" s="7">
        <f ca="1">RAND()</f>
        <v>0.27496546584574999</v>
      </c>
      <c r="O3061" s="8">
        <v>45213</v>
      </c>
      <c r="P3061" s="8">
        <v>45214</v>
      </c>
      <c r="Q3061" s="8">
        <v>45216</v>
      </c>
      <c r="R3061" s="8">
        <v>45220</v>
      </c>
      <c r="S3061" s="8">
        <v>45227</v>
      </c>
      <c r="T3061" s="8"/>
      <c r="U3061" s="8"/>
      <c r="V3061" s="10">
        <f>COUNTA(O3061:U3061)</f>
        <v>5</v>
      </c>
      <c r="W3061" s="11">
        <f>_xlfn.IFNA(INDEX(reading[[#This Row],[Memo 01]:[Memo 07]],MATCH(0,reading[[#This Row],[Memo 01]:[Memo 07]],-1)),"")</f>
        <v>45227</v>
      </c>
      <c r="X3061" s="11">
        <f ca="1">IFERROR(reading[[#This Row],[Previous]]+OFFSET(reading[[#Headers],[Memo 01]],-1,MATCH(0,reading[[#This Row],[Memo 01]:[Memo 07]],-1)-1),"")</f>
        <v>45239</v>
      </c>
      <c r="Y3061" s="10" t="str">
        <f ca="1">IF(reading[[#This Row],[Next]]&lt;&gt;"",IF(reading[[#This Row],[Next]]&gt;TODAY(),"OK",""),"")</f>
        <v/>
      </c>
      <c r="Z3061" s="13">
        <v>3</v>
      </c>
      <c r="AA3061" s="13">
        <v>3</v>
      </c>
      <c r="AB3061" s="13">
        <v>3</v>
      </c>
      <c r="AC3061" s="13">
        <v>3</v>
      </c>
      <c r="AD3061" s="13">
        <v>3</v>
      </c>
      <c r="AE3061" s="13"/>
      <c r="AF3061" s="13"/>
      <c r="AG3061" s="16">
        <f>IFERROR(SUMIF(reading[[#This Row],[1st]:[7th]],"&gt;0")/COUNTIF(reading[[#This Row],[1st]:[7th]],"&gt;0"),"")</f>
        <v>3</v>
      </c>
    </row>
    <row r="3062" spans="1:33" x14ac:dyDescent="0.2">
      <c r="A3062" s="4">
        <f>IF(B3062=1,3,IF(D3062=1,2,IF(F3062=1,1,0)))</f>
        <v>0</v>
      </c>
      <c r="B3062" s="4" t="str">
        <f>IF(C3062=$L3062,1,IF(C3062="","",0))</f>
        <v/>
      </c>
      <c r="C3062" s="18"/>
      <c r="D3062" s="4" t="str">
        <f>IF(E3062=$L3062,1,IF(E3062="","",0))</f>
        <v/>
      </c>
      <c r="E3062" s="18"/>
      <c r="F3062" s="4" t="str">
        <f>IF(G3062=$L3062,1,IF(G3062="","",0))</f>
        <v/>
      </c>
      <c r="G3062" s="14"/>
      <c r="H3062" s="6">
        <v>219</v>
      </c>
      <c r="I3062" s="15" t="s">
        <v>3120</v>
      </c>
      <c r="J3062" s="6" t="s">
        <v>3368</v>
      </c>
      <c r="K3062" s="6"/>
      <c r="L3062" s="6" t="s">
        <v>354</v>
      </c>
      <c r="M3062" s="6" t="s">
        <v>6328</v>
      </c>
      <c r="N3062" s="7">
        <f ca="1">RAND()</f>
        <v>0.34917726549618888</v>
      </c>
      <c r="O3062" s="8">
        <v>45199</v>
      </c>
      <c r="P3062" s="8">
        <v>45200</v>
      </c>
      <c r="Q3062" s="8">
        <v>45202</v>
      </c>
      <c r="R3062" s="8">
        <v>45206</v>
      </c>
      <c r="S3062" s="8">
        <v>45213</v>
      </c>
      <c r="T3062" s="8">
        <v>45225</v>
      </c>
      <c r="U3062" s="8"/>
      <c r="V3062" s="10">
        <f>COUNTA(O3062:U3062)</f>
        <v>6</v>
      </c>
      <c r="W3062" s="11">
        <f>_xlfn.IFNA(INDEX(reading[[#This Row],[Memo 01]:[Memo 07]],MATCH(0,reading[[#This Row],[Memo 01]:[Memo 07]],-1)),"")</f>
        <v>45225</v>
      </c>
      <c r="X3062" s="11">
        <f ca="1">IFERROR(reading[[#This Row],[Previous]]+OFFSET(reading[[#Headers],[Memo 01]],-1,MATCH(0,reading[[#This Row],[Memo 01]:[Memo 07]],-1)-1),"")</f>
        <v>45245</v>
      </c>
      <c r="Y3062" s="10" t="str">
        <f ca="1">IF(reading[[#This Row],[Next]]&lt;&gt;"",IF(reading[[#This Row],[Next]]&gt;TODAY(),"OK",""),"")</f>
        <v/>
      </c>
      <c r="Z3062" s="13">
        <v>3</v>
      </c>
      <c r="AA3062" s="13">
        <v>3</v>
      </c>
      <c r="AB3062" s="13">
        <v>3</v>
      </c>
      <c r="AC3062" s="13">
        <v>3</v>
      </c>
      <c r="AD3062" s="13">
        <v>3</v>
      </c>
      <c r="AE3062" s="13">
        <v>2</v>
      </c>
      <c r="AF3062" s="13"/>
      <c r="AG3062" s="16">
        <f>IFERROR(SUMIF(reading[[#This Row],[1st]:[7th]],"&gt;0")/COUNTIF(reading[[#This Row],[1st]:[7th]],"&gt;0"),"")</f>
        <v>2.8333333333333335</v>
      </c>
    </row>
    <row r="3063" spans="1:33" x14ac:dyDescent="0.2">
      <c r="A3063" s="4">
        <f>IF(B3063=1,3,IF(D3063=1,2,IF(F3063=1,1,0)))</f>
        <v>0</v>
      </c>
      <c r="B3063" s="4" t="str">
        <f>IF(C3063=$L3063,1,IF(C3063="","",0))</f>
        <v/>
      </c>
      <c r="C3063" s="39"/>
      <c r="D3063" s="4" t="str">
        <f>IF(E3063=$L3063,1,IF(E3063="","",0))</f>
        <v/>
      </c>
      <c r="E3063" s="18"/>
      <c r="F3063" s="4" t="str">
        <f>IF(G3063=$L3063,1,IF(G3063="","",0))</f>
        <v/>
      </c>
      <c r="G3063" s="14"/>
      <c r="H3063" s="6">
        <v>2763</v>
      </c>
      <c r="I3063" s="15" t="s">
        <v>3120</v>
      </c>
      <c r="J3063" s="6" t="s">
        <v>4663</v>
      </c>
      <c r="K3063" s="6"/>
      <c r="L3063" s="6" t="s">
        <v>2801</v>
      </c>
      <c r="M3063" s="6" t="s">
        <v>8867</v>
      </c>
      <c r="N3063" s="7">
        <f ca="1">RAND()</f>
        <v>0.48097203389104404</v>
      </c>
      <c r="O3063" s="8">
        <v>45222</v>
      </c>
      <c r="P3063" s="8">
        <v>45223</v>
      </c>
      <c r="Q3063" s="8">
        <v>45225</v>
      </c>
      <c r="R3063" s="8">
        <v>45229</v>
      </c>
      <c r="S3063" s="8">
        <v>45236</v>
      </c>
      <c r="T3063" s="8"/>
      <c r="U3063" s="8"/>
      <c r="V3063" s="10">
        <f>COUNTA(O3063:U3063)</f>
        <v>5</v>
      </c>
      <c r="W3063" s="11">
        <f>_xlfn.IFNA(INDEX(reading[[#This Row],[Memo 01]:[Memo 07]],MATCH(0,reading[[#This Row],[Memo 01]:[Memo 07]],-1)),"")</f>
        <v>45236</v>
      </c>
      <c r="X3063" s="11">
        <f ca="1">IFERROR(reading[[#This Row],[Previous]]+OFFSET(reading[[#Headers],[Memo 01]],-1,MATCH(0,reading[[#This Row],[Memo 01]:[Memo 07]],-1)-1),"")</f>
        <v>45248</v>
      </c>
      <c r="Y3063" s="10" t="str">
        <f ca="1">IF(reading[[#This Row],[Next]]&lt;&gt;"",IF(reading[[#This Row],[Next]]&gt;TODAY(),"OK",""),"")</f>
        <v/>
      </c>
      <c r="Z3063" s="13">
        <v>3</v>
      </c>
      <c r="AA3063" s="13">
        <v>2</v>
      </c>
      <c r="AB3063" s="13">
        <v>3</v>
      </c>
      <c r="AC3063" s="13">
        <v>3</v>
      </c>
      <c r="AD3063" s="13">
        <v>3</v>
      </c>
      <c r="AE3063" s="13"/>
      <c r="AF3063" s="13"/>
      <c r="AG3063" s="16">
        <f>IFERROR(SUMIF(reading[[#This Row],[1st]:[7th]],"&gt;0")/COUNTIF(reading[[#This Row],[1st]:[7th]],"&gt;0"),"")</f>
        <v>2.8</v>
      </c>
    </row>
    <row r="3064" spans="1:33" hidden="1" x14ac:dyDescent="0.2">
      <c r="A3064" s="4">
        <f>IF(B3064=1,3,IF(D3064=1,2,IF(F3064=1,1,0)))</f>
        <v>3</v>
      </c>
      <c r="B3064" s="4">
        <f>IF(C3064=$L3064,1,IF(C3064="","",0))</f>
        <v>1</v>
      </c>
      <c r="C3064" s="36" t="s">
        <v>3093</v>
      </c>
      <c r="D3064" s="4" t="str">
        <f>IF(E3064=$L3064,1,IF(E3064="","",0))</f>
        <v/>
      </c>
      <c r="E3064" s="14"/>
      <c r="F3064" s="4" t="str">
        <f>IF(G3064=$L3064,1,IF(G3064="","",0))</f>
        <v/>
      </c>
      <c r="G3064" s="14"/>
      <c r="H3064" s="6">
        <v>3068</v>
      </c>
      <c r="I3064" s="15" t="s">
        <v>3120</v>
      </c>
      <c r="J3064" s="6" t="s">
        <v>6089</v>
      </c>
      <c r="K3064" s="6"/>
      <c r="L3064" s="6" t="s">
        <v>3093</v>
      </c>
      <c r="M3064" s="6" t="s">
        <v>9171</v>
      </c>
      <c r="N3064" s="7">
        <f ca="1">RAND()</f>
        <v>0.32495865720010297</v>
      </c>
      <c r="O3064" s="8">
        <v>45224</v>
      </c>
      <c r="P3064" s="8">
        <v>45224</v>
      </c>
      <c r="Q3064" s="8">
        <v>45224</v>
      </c>
      <c r="R3064" s="8">
        <v>45224</v>
      </c>
      <c r="S3064" s="8">
        <v>45224</v>
      </c>
      <c r="T3064" s="8">
        <v>45224</v>
      </c>
      <c r="U3064" s="8">
        <v>45224</v>
      </c>
      <c r="V3064" s="10">
        <f>COUNTA(O3064:U3064)</f>
        <v>7</v>
      </c>
      <c r="W3064" s="11">
        <f>_xlfn.IFNA(INDEX(reading[[#This Row],[Memo 01]:[Memo 07]],MATCH(0,reading[[#This Row],[Memo 01]:[Memo 07]],-1)),"")</f>
        <v>45224</v>
      </c>
      <c r="X3064" s="11">
        <f ca="1">IFERROR(reading[[#This Row],[Previous]]+OFFSET(reading[[#Headers],[Memo 01]],-1,MATCH(0,reading[[#This Row],[Memo 01]:[Memo 07]],-1)-1),"")</f>
        <v>55224</v>
      </c>
      <c r="Y3064" s="10" t="str">
        <f ca="1">IF(reading[[#This Row],[Next]]&lt;&gt;"",IF(reading[[#This Row],[Next]]&gt;TODAY(),"OK",""),"")</f>
        <v>OK</v>
      </c>
      <c r="Z3064" s="13">
        <v>3</v>
      </c>
      <c r="AA3064" s="13"/>
      <c r="AB3064" s="13"/>
      <c r="AC3064" s="13"/>
      <c r="AD3064" s="13"/>
      <c r="AE3064" s="13"/>
      <c r="AF3064" s="13"/>
      <c r="AG3064" s="16">
        <f>IFERROR(SUMIF(reading[[#This Row],[1st]:[7th]],"&gt;0")/COUNTIF(reading[[#This Row],[1st]:[7th]],"&gt;0"),"")</f>
        <v>3</v>
      </c>
    </row>
    <row r="3065" spans="1:33" hidden="1" x14ac:dyDescent="0.2">
      <c r="A3065" s="4">
        <f>IF(B3065=1,3,IF(D3065=1,2,IF(F3065=1,1,0)))</f>
        <v>0</v>
      </c>
      <c r="B3065" s="4" t="str">
        <f>IF(C3065=$L3065,1,IF(C3065="","",0))</f>
        <v/>
      </c>
      <c r="C3065" s="42"/>
      <c r="D3065" s="4" t="str">
        <f>IF(E3065=$L3065,1,IF(E3065="","",0))</f>
        <v/>
      </c>
      <c r="E3065" s="23"/>
      <c r="F3065" s="4" t="str">
        <f>IF(G3065=$L3065,1,IF(G3065="","",0))</f>
        <v/>
      </c>
      <c r="G3065" s="23"/>
      <c r="H3065" s="6">
        <v>1706</v>
      </c>
      <c r="I3065" s="15" t="s">
        <v>3120</v>
      </c>
      <c r="J3065" s="6" t="s">
        <v>4815</v>
      </c>
      <c r="K3065" s="6"/>
      <c r="L3065" s="6" t="s">
        <v>1786</v>
      </c>
      <c r="M3065" s="6" t="s">
        <v>7812</v>
      </c>
      <c r="N3065" s="7">
        <f ca="1">RAND()</f>
        <v>0.4840545282159161</v>
      </c>
      <c r="O3065" s="8">
        <v>45211</v>
      </c>
      <c r="P3065" s="8">
        <v>45212</v>
      </c>
      <c r="Q3065" s="8">
        <v>45214</v>
      </c>
      <c r="R3065" s="8">
        <v>45218</v>
      </c>
      <c r="S3065" s="8">
        <v>45225</v>
      </c>
      <c r="T3065" s="8">
        <v>45237</v>
      </c>
      <c r="U3065" s="8">
        <v>45817</v>
      </c>
      <c r="V3065" s="10">
        <f>COUNTA(O3065:U3065)</f>
        <v>7</v>
      </c>
      <c r="W3065" s="11">
        <f>_xlfn.IFNA(INDEX(reading[[#This Row],[Memo 01]:[Memo 07]],MATCH(0,reading[[#This Row],[Memo 01]:[Memo 07]],-1)),"")</f>
        <v>45817</v>
      </c>
      <c r="X3065" s="11">
        <f ca="1">IFERROR(reading[[#This Row],[Previous]]+OFFSET(reading[[#Headers],[Memo 01]],-1,MATCH(0,reading[[#This Row],[Memo 01]:[Memo 07]],-1)-1),"")</f>
        <v>55817</v>
      </c>
      <c r="Y3065" s="10" t="str">
        <f ca="1">IF(reading[[#This Row],[Next]]&lt;&gt;"",IF(reading[[#This Row],[Next]]&gt;TODAY(),"OK",""),"")</f>
        <v>OK</v>
      </c>
      <c r="Z3065" s="13">
        <v>3</v>
      </c>
      <c r="AA3065" s="13">
        <v>3</v>
      </c>
      <c r="AB3065" s="13">
        <v>3</v>
      </c>
      <c r="AC3065" s="13">
        <v>3</v>
      </c>
      <c r="AD3065" s="13">
        <v>3</v>
      </c>
      <c r="AE3065" s="13">
        <v>3</v>
      </c>
      <c r="AF3065" s="13">
        <v>1</v>
      </c>
      <c r="AG3065" s="16">
        <f>IFERROR(SUMIF(reading[[#This Row],[1st]:[7th]],"&gt;0")/COUNTIF(reading[[#This Row],[1st]:[7th]],"&gt;0"),"")</f>
        <v>2.7142857142857144</v>
      </c>
    </row>
    <row r="3066" spans="1:33" x14ac:dyDescent="0.2">
      <c r="A3066" s="4">
        <f>IF(B3066=1,3,IF(D3066=1,2,IF(F3066=1,1,0)))</f>
        <v>0</v>
      </c>
      <c r="B3066" s="4" t="str">
        <f>IF(C3066=$L3066,1,IF(C3066="","",0))</f>
        <v/>
      </c>
      <c r="C3066" s="36"/>
      <c r="D3066" s="4" t="str">
        <f>IF(E3066=$L3066,1,IF(E3066="","",0))</f>
        <v/>
      </c>
      <c r="E3066" s="14"/>
      <c r="F3066" s="4" t="str">
        <f>IF(G3066=$L3066,1,IF(G3066="","",0))</f>
        <v/>
      </c>
      <c r="G3066" s="14"/>
      <c r="H3066" s="6">
        <v>1821</v>
      </c>
      <c r="I3066" s="15" t="s">
        <v>3120</v>
      </c>
      <c r="J3066" s="6" t="s">
        <v>4926</v>
      </c>
      <c r="K3066" s="6"/>
      <c r="L3066" s="6" t="s">
        <v>1899</v>
      </c>
      <c r="M3066" s="6" t="s">
        <v>7927</v>
      </c>
      <c r="N3066" s="7">
        <f ca="1">RAND()</f>
        <v>0.95547548282217276</v>
      </c>
      <c r="O3066" s="8">
        <v>45212</v>
      </c>
      <c r="P3066" s="8">
        <v>45213</v>
      </c>
      <c r="Q3066" s="8">
        <v>45215</v>
      </c>
      <c r="R3066" s="8">
        <v>45219</v>
      </c>
      <c r="S3066" s="8">
        <v>45226</v>
      </c>
      <c r="T3066" s="8"/>
      <c r="U3066" s="8"/>
      <c r="V3066" s="10">
        <f>COUNTA(O3066:U3066)</f>
        <v>5</v>
      </c>
      <c r="W3066" s="11">
        <f>_xlfn.IFNA(INDEX(reading[[#This Row],[Memo 01]:[Memo 07]],MATCH(0,reading[[#This Row],[Memo 01]:[Memo 07]],-1)),"")</f>
        <v>45226</v>
      </c>
      <c r="X3066" s="11">
        <f ca="1">IFERROR(reading[[#This Row],[Previous]]+OFFSET(reading[[#Headers],[Memo 01]],-1,MATCH(0,reading[[#This Row],[Memo 01]:[Memo 07]],-1)-1),"")</f>
        <v>45238</v>
      </c>
      <c r="Y3066" s="10" t="str">
        <f ca="1">IF(reading[[#This Row],[Next]]&lt;&gt;"",IF(reading[[#This Row],[Next]]&gt;TODAY(),"OK",""),"")</f>
        <v/>
      </c>
      <c r="Z3066" s="13">
        <v>3</v>
      </c>
      <c r="AA3066" s="13">
        <v>3</v>
      </c>
      <c r="AB3066" s="13">
        <v>3</v>
      </c>
      <c r="AC3066" s="13">
        <v>3</v>
      </c>
      <c r="AD3066" s="13">
        <v>3</v>
      </c>
      <c r="AE3066" s="13"/>
      <c r="AF3066" s="13"/>
      <c r="AG3066" s="16">
        <f>IFERROR(SUMIF(reading[[#This Row],[1st]:[7th]],"&gt;0")/COUNTIF(reading[[#This Row],[1st]:[7th]],"&gt;0"),"")</f>
        <v>3</v>
      </c>
    </row>
    <row r="3067" spans="1:33" x14ac:dyDescent="0.2">
      <c r="A3067" s="4">
        <f>IF(B3067=1,3,IF(D3067=1,2,IF(F3067=1,1,0)))</f>
        <v>0</v>
      </c>
      <c r="B3067" s="4" t="str">
        <f>IF(C3067=$L3067,1,IF(C3067="","",0))</f>
        <v/>
      </c>
      <c r="C3067" s="39"/>
      <c r="D3067" s="4" t="str">
        <f>IF(E3067=$L3067,1,IF(E3067="","",0))</f>
        <v/>
      </c>
      <c r="E3067" s="18"/>
      <c r="F3067" s="4" t="str">
        <f>IF(G3067=$L3067,1,IF(G3067="","",0))</f>
        <v/>
      </c>
      <c r="G3067" s="14"/>
      <c r="H3067" s="6">
        <v>2324</v>
      </c>
      <c r="I3067" s="15" t="s">
        <v>3120</v>
      </c>
      <c r="J3067" s="6" t="s">
        <v>5401</v>
      </c>
      <c r="K3067" s="15" t="s">
        <v>3138</v>
      </c>
      <c r="L3067" s="6" t="s">
        <v>2379</v>
      </c>
      <c r="M3067" s="6" t="s">
        <v>8429</v>
      </c>
      <c r="N3067" s="7">
        <f ca="1">RAND()</f>
        <v>0.58474879989984607</v>
      </c>
      <c r="O3067" s="8">
        <v>45216</v>
      </c>
      <c r="P3067" s="8">
        <v>45217</v>
      </c>
      <c r="Q3067" s="8">
        <v>45219</v>
      </c>
      <c r="R3067" s="8">
        <v>45223</v>
      </c>
      <c r="S3067" s="8">
        <v>45230</v>
      </c>
      <c r="T3067" s="8"/>
      <c r="U3067" s="8"/>
      <c r="V3067" s="10">
        <f>COUNTA(O3067:U3067)</f>
        <v>5</v>
      </c>
      <c r="W3067" s="11">
        <f>_xlfn.IFNA(INDEX(reading[[#This Row],[Memo 01]:[Memo 07]],MATCH(0,reading[[#This Row],[Memo 01]:[Memo 07]],-1)),"")</f>
        <v>45230</v>
      </c>
      <c r="X3067" s="11">
        <f ca="1">IFERROR(reading[[#This Row],[Previous]]+OFFSET(reading[[#Headers],[Memo 01]],-1,MATCH(0,reading[[#This Row],[Memo 01]:[Memo 07]],-1)-1),"")</f>
        <v>45242</v>
      </c>
      <c r="Y3067" s="10" t="str">
        <f ca="1">IF(reading[[#This Row],[Next]]&lt;&gt;"",IF(reading[[#This Row],[Next]]&gt;TODAY(),"OK",""),"")</f>
        <v/>
      </c>
      <c r="Z3067" s="13">
        <v>3</v>
      </c>
      <c r="AA3067" s="13">
        <v>3</v>
      </c>
      <c r="AB3067" s="13">
        <v>3</v>
      </c>
      <c r="AC3067" s="13">
        <v>3</v>
      </c>
      <c r="AD3067" s="13">
        <v>3</v>
      </c>
      <c r="AE3067" s="13"/>
      <c r="AF3067" s="13"/>
      <c r="AG3067" s="16">
        <f>IFERROR(SUMIF(reading[[#This Row],[1st]:[7th]],"&gt;0")/COUNTIF(reading[[#This Row],[1st]:[7th]],"&gt;0"),"")</f>
        <v>3</v>
      </c>
    </row>
    <row r="3068" spans="1:33" hidden="1" x14ac:dyDescent="0.2">
      <c r="A3068" s="4">
        <f>IF(B3068=1,3,IF(D3068=1,2,IF(F3068=1,1,0)))</f>
        <v>0</v>
      </c>
      <c r="B3068" s="4" t="str">
        <f>IF(C3068=$L3068,1,IF(C3068="","",0))</f>
        <v/>
      </c>
      <c r="C3068" s="43"/>
      <c r="D3068" s="4" t="str">
        <f>IF(E3068=$L3068,1,IF(E3068="","",0))</f>
        <v/>
      </c>
      <c r="E3068" s="43"/>
      <c r="F3068" s="4" t="str">
        <f>IF(G3068=$L3068,1,IF(G3068="","",0))</f>
        <v/>
      </c>
      <c r="G3068" s="14"/>
      <c r="H3068" s="6">
        <v>161</v>
      </c>
      <c r="I3068" s="15" t="s">
        <v>3120</v>
      </c>
      <c r="J3068" s="6" t="s">
        <v>3310</v>
      </c>
      <c r="K3068" s="6"/>
      <c r="L3068" s="6" t="s">
        <v>298</v>
      </c>
      <c r="M3068" s="6" t="s">
        <v>6270</v>
      </c>
      <c r="N3068" s="7">
        <f ca="1">RAND()</f>
        <v>0.8093498338433901</v>
      </c>
      <c r="O3068" s="8">
        <v>45199</v>
      </c>
      <c r="P3068" s="8">
        <v>45200</v>
      </c>
      <c r="Q3068" s="8">
        <v>45202</v>
      </c>
      <c r="R3068" s="8">
        <v>45206</v>
      </c>
      <c r="S3068" s="8">
        <v>45213</v>
      </c>
      <c r="T3068" s="8">
        <v>45225</v>
      </c>
      <c r="U3068" s="8">
        <v>45816</v>
      </c>
      <c r="V3068" s="10">
        <f>COUNTA(O3068:U3068)</f>
        <v>7</v>
      </c>
      <c r="W3068" s="11">
        <f>_xlfn.IFNA(INDEX(reading[[#This Row],[Memo 01]:[Memo 07]],MATCH(0,reading[[#This Row],[Memo 01]:[Memo 07]],-1)),"")</f>
        <v>45816</v>
      </c>
      <c r="X3068" s="11">
        <f ca="1">IFERROR(reading[[#This Row],[Previous]]+OFFSET(reading[[#Headers],[Memo 01]],-1,MATCH(0,reading[[#This Row],[Memo 01]:[Memo 07]],-1)-1),"")</f>
        <v>55816</v>
      </c>
      <c r="Y3068" s="10" t="str">
        <f ca="1">IF(reading[[#This Row],[Next]]&lt;&gt;"",IF(reading[[#This Row],[Next]]&gt;TODAY(),"OK",""),"")</f>
        <v>OK</v>
      </c>
      <c r="Z3068" s="13">
        <v>3</v>
      </c>
      <c r="AA3068" s="13">
        <v>3</v>
      </c>
      <c r="AB3068" s="13">
        <v>3</v>
      </c>
      <c r="AC3068" s="13">
        <v>3</v>
      </c>
      <c r="AD3068" s="13">
        <v>3</v>
      </c>
      <c r="AE3068" s="13">
        <v>2</v>
      </c>
      <c r="AF3068" s="13">
        <v>2</v>
      </c>
      <c r="AG3068" s="16">
        <f>IFERROR(SUMIF(reading[[#This Row],[1st]:[7th]],"&gt;0")/COUNTIF(reading[[#This Row],[1st]:[7th]],"&gt;0"),"")</f>
        <v>2.7142857142857144</v>
      </c>
    </row>
    <row r="3069" spans="1:33" x14ac:dyDescent="0.2">
      <c r="A3069" s="4">
        <f>IF(B3069=1,3,IF(D3069=1,2,IF(F3069=1,1,0)))</f>
        <v>0</v>
      </c>
      <c r="B3069" s="4" t="str">
        <f>IF(C3069=$L3069,1,IF(C3069="","",0))</f>
        <v/>
      </c>
      <c r="C3069" s="42"/>
      <c r="D3069" s="4" t="str">
        <f>IF(E3069=$L3069,1,IF(E3069="","",0))</f>
        <v/>
      </c>
      <c r="E3069" s="14"/>
      <c r="F3069" s="4" t="str">
        <f>IF(G3069=$L3069,1,IF(G3069="","",0))</f>
        <v/>
      </c>
      <c r="G3069" s="14"/>
      <c r="H3069" s="6">
        <v>1858</v>
      </c>
      <c r="I3069" s="15" t="s">
        <v>3120</v>
      </c>
      <c r="J3069" s="6" t="s">
        <v>4960</v>
      </c>
      <c r="K3069" s="6"/>
      <c r="L3069" s="6" t="s">
        <v>1936</v>
      </c>
      <c r="M3069" s="6" t="s">
        <v>7964</v>
      </c>
      <c r="N3069" s="7">
        <f ca="1">RAND()</f>
        <v>0.55722586293134002</v>
      </c>
      <c r="O3069" s="8">
        <v>45212</v>
      </c>
      <c r="P3069" s="8">
        <v>45213</v>
      </c>
      <c r="Q3069" s="8">
        <v>45215</v>
      </c>
      <c r="R3069" s="8">
        <v>45219</v>
      </c>
      <c r="S3069" s="8">
        <v>45226</v>
      </c>
      <c r="T3069" s="8">
        <v>45783</v>
      </c>
      <c r="U3069" s="8"/>
      <c r="V3069" s="10">
        <f>COUNTA(O3069:U3069)</f>
        <v>6</v>
      </c>
      <c r="W3069" s="11">
        <f>_xlfn.IFNA(INDEX(reading[[#This Row],[Memo 01]:[Memo 07]],MATCH(0,reading[[#This Row],[Memo 01]:[Memo 07]],-1)),"")</f>
        <v>45783</v>
      </c>
      <c r="X3069" s="11">
        <f ca="1">IFERROR(reading[[#This Row],[Previous]]+OFFSET(reading[[#Headers],[Memo 01]],-1,MATCH(0,reading[[#This Row],[Memo 01]:[Memo 07]],-1)-1),"")</f>
        <v>45803</v>
      </c>
      <c r="Y3069" s="10" t="str">
        <f ca="1">IF(reading[[#This Row],[Next]]&lt;&gt;"",IF(reading[[#This Row],[Next]]&gt;TODAY(),"OK",""),"")</f>
        <v/>
      </c>
      <c r="Z3069" s="13">
        <v>3</v>
      </c>
      <c r="AA3069" s="13">
        <v>3</v>
      </c>
      <c r="AB3069" s="13">
        <v>3</v>
      </c>
      <c r="AC3069" s="13">
        <v>3</v>
      </c>
      <c r="AD3069" s="13">
        <v>3</v>
      </c>
      <c r="AE3069" s="13">
        <v>3</v>
      </c>
      <c r="AF3069" s="13"/>
      <c r="AG3069" s="16">
        <f>IFERROR(SUMIF(reading[[#This Row],[1st]:[7th]],"&gt;0")/COUNTIF(reading[[#This Row],[1st]:[7th]],"&gt;0"),"")</f>
        <v>3</v>
      </c>
    </row>
    <row r="3070" spans="1:33" hidden="1" x14ac:dyDescent="0.2">
      <c r="A3070" s="4">
        <f>IF(B3070=1,3,IF(D3070=1,2,IF(F3070=1,1,0)))</f>
        <v>0</v>
      </c>
      <c r="B3070" s="4" t="str">
        <f>IF(C3070=$L3070,1,IF(C3070="","",0))</f>
        <v/>
      </c>
      <c r="C3070" s="42"/>
      <c r="D3070" s="4" t="str">
        <f>IF(E3070=$L3070,1,IF(E3070="","",0))</f>
        <v/>
      </c>
      <c r="E3070" s="23"/>
      <c r="F3070" s="4" t="str">
        <f>IF(G3070=$L3070,1,IF(G3070="","",0))</f>
        <v/>
      </c>
      <c r="G3070" s="23"/>
      <c r="H3070" s="6">
        <v>2364</v>
      </c>
      <c r="I3070" s="15" t="s">
        <v>3120</v>
      </c>
      <c r="J3070" s="6" t="s">
        <v>3200</v>
      </c>
      <c r="K3070" s="6"/>
      <c r="L3070" s="6" t="s">
        <v>2417</v>
      </c>
      <c r="M3070" s="6" t="s">
        <v>8469</v>
      </c>
      <c r="N3070" s="7">
        <f ca="1">RAND()</f>
        <v>0.74557866910953186</v>
      </c>
      <c r="O3070" s="8">
        <v>45218</v>
      </c>
      <c r="P3070" s="8">
        <v>45219</v>
      </c>
      <c r="Q3070" s="8">
        <v>45221</v>
      </c>
      <c r="R3070" s="8">
        <v>45225</v>
      </c>
      <c r="S3070" s="8">
        <v>45232</v>
      </c>
      <c r="T3070" s="8">
        <v>45817</v>
      </c>
      <c r="U3070" s="8"/>
      <c r="V3070" s="10">
        <f>COUNTA(O3070:U3070)</f>
        <v>6</v>
      </c>
      <c r="W3070" s="11">
        <f>_xlfn.IFNA(INDEX(reading[[#This Row],[Memo 01]:[Memo 07]],MATCH(0,reading[[#This Row],[Memo 01]:[Memo 07]],-1)),"")</f>
        <v>45817</v>
      </c>
      <c r="X3070" s="11">
        <f ca="1">IFERROR(reading[[#This Row],[Previous]]+OFFSET(reading[[#Headers],[Memo 01]],-1,MATCH(0,reading[[#This Row],[Memo 01]:[Memo 07]],-1)-1),"")</f>
        <v>45837</v>
      </c>
      <c r="Y3070" s="10" t="str">
        <f ca="1">IF(reading[[#This Row],[Next]]&lt;&gt;"",IF(reading[[#This Row],[Next]]&gt;TODAY(),"OK",""),"")</f>
        <v>OK</v>
      </c>
      <c r="Z3070" s="13">
        <v>3</v>
      </c>
      <c r="AA3070" s="13">
        <v>3</v>
      </c>
      <c r="AB3070" s="13">
        <v>3</v>
      </c>
      <c r="AC3070" s="13">
        <v>3</v>
      </c>
      <c r="AD3070" s="13">
        <v>3</v>
      </c>
      <c r="AE3070" s="13">
        <v>1</v>
      </c>
      <c r="AF3070" s="13"/>
      <c r="AG3070" s="16">
        <f>IFERROR(SUMIF(reading[[#This Row],[1st]:[7th]],"&gt;0")/COUNTIF(reading[[#This Row],[1st]:[7th]],"&gt;0"),"")</f>
        <v>2.6666666666666665</v>
      </c>
    </row>
    <row r="3071" spans="1:33" hidden="1" x14ac:dyDescent="0.2">
      <c r="A3071" s="4">
        <f>IF(B3071=1,3,IF(D3071=1,2,IF(F3071=1,1,0)))</f>
        <v>0</v>
      </c>
      <c r="B3071" s="4" t="str">
        <f>IF(C3071=$L3071,1,IF(C3071="","",0))</f>
        <v/>
      </c>
      <c r="C3071" s="42"/>
      <c r="D3071" s="4" t="str">
        <f>IF(E3071=$L3071,1,IF(E3071="","",0))</f>
        <v/>
      </c>
      <c r="E3071" s="23"/>
      <c r="F3071" s="4" t="str">
        <f>IF(G3071=$L3071,1,IF(G3071="","",0))</f>
        <v/>
      </c>
      <c r="G3071" s="23"/>
      <c r="H3071" s="6">
        <v>2512</v>
      </c>
      <c r="I3071" s="15" t="s">
        <v>3120</v>
      </c>
      <c r="J3071" s="6" t="s">
        <v>5576</v>
      </c>
      <c r="K3071" s="6"/>
      <c r="L3071" s="6" t="s">
        <v>2558</v>
      </c>
      <c r="M3071" s="6" t="s">
        <v>8617</v>
      </c>
      <c r="N3071" s="7">
        <f ca="1">RAND()</f>
        <v>0.13423084974507016</v>
      </c>
      <c r="O3071" s="8">
        <v>45219</v>
      </c>
      <c r="P3071" s="8">
        <v>45220</v>
      </c>
      <c r="Q3071" s="8">
        <v>45222</v>
      </c>
      <c r="R3071" s="8">
        <v>45226</v>
      </c>
      <c r="S3071" s="8">
        <v>45233</v>
      </c>
      <c r="T3071" s="8">
        <v>45817</v>
      </c>
      <c r="U3071" s="8"/>
      <c r="V3071" s="10">
        <f>COUNTA(O3071:U3071)</f>
        <v>6</v>
      </c>
      <c r="W3071" s="11">
        <f>_xlfn.IFNA(INDEX(reading[[#This Row],[Memo 01]:[Memo 07]],MATCH(0,reading[[#This Row],[Memo 01]:[Memo 07]],-1)),"")</f>
        <v>45817</v>
      </c>
      <c r="X3071" s="11">
        <f ca="1">IFERROR(reading[[#This Row],[Previous]]+OFFSET(reading[[#Headers],[Memo 01]],-1,MATCH(0,reading[[#This Row],[Memo 01]:[Memo 07]],-1)-1),"")</f>
        <v>45837</v>
      </c>
      <c r="Y3071" s="10" t="str">
        <f ca="1">IF(reading[[#This Row],[Next]]&lt;&gt;"",IF(reading[[#This Row],[Next]]&gt;TODAY(),"OK",""),"")</f>
        <v>OK</v>
      </c>
      <c r="Z3071" s="13">
        <v>3</v>
      </c>
      <c r="AA3071" s="13">
        <v>3</v>
      </c>
      <c r="AB3071" s="13">
        <v>3</v>
      </c>
      <c r="AC3071" s="13">
        <v>3</v>
      </c>
      <c r="AD3071" s="13">
        <v>3</v>
      </c>
      <c r="AE3071" s="13">
        <v>1</v>
      </c>
      <c r="AF3071" s="13"/>
      <c r="AG3071" s="16">
        <f>IFERROR(SUMIF(reading[[#This Row],[1st]:[7th]],"&gt;0")/COUNTIF(reading[[#This Row],[1st]:[7th]],"&gt;0"),"")</f>
        <v>2.6666666666666665</v>
      </c>
    </row>
    <row r="3072" spans="1:33" x14ac:dyDescent="0.2">
      <c r="A3072" s="4">
        <f>IF(B3072=1,3,IF(D3072=1,2,IF(F3072=1,1,0)))</f>
        <v>0</v>
      </c>
      <c r="B3072" s="4" t="str">
        <f>IF(C3072=$L3072,1,IF(C3072="","",0))</f>
        <v/>
      </c>
      <c r="C3072" s="39"/>
      <c r="D3072" s="4" t="str">
        <f>IF(E3072=$L3072,1,IF(E3072="","",0))</f>
        <v/>
      </c>
      <c r="E3072" s="14"/>
      <c r="F3072" s="4" t="str">
        <f>IF(G3072=$L3072,1,IF(G3072="","",0))</f>
        <v/>
      </c>
      <c r="G3072" s="14"/>
      <c r="H3072" s="6">
        <v>1755</v>
      </c>
      <c r="I3072" s="15" t="s">
        <v>3120</v>
      </c>
      <c r="J3072" s="6" t="s">
        <v>4863</v>
      </c>
      <c r="K3072" s="6"/>
      <c r="L3072" s="6" t="s">
        <v>1835</v>
      </c>
      <c r="M3072" s="6" t="s">
        <v>7861</v>
      </c>
      <c r="N3072" s="7">
        <f ca="1">RAND()</f>
        <v>0.62752808812450123</v>
      </c>
      <c r="O3072" s="8">
        <v>45211</v>
      </c>
      <c r="P3072" s="8">
        <v>45212</v>
      </c>
      <c r="Q3072" s="8">
        <v>45214</v>
      </c>
      <c r="R3072" s="8">
        <v>45218</v>
      </c>
      <c r="S3072" s="8">
        <v>45225</v>
      </c>
      <c r="T3072" s="8">
        <v>45237</v>
      </c>
      <c r="U3072" s="8"/>
      <c r="V3072" s="10">
        <f>COUNTA(O3072:U3072)</f>
        <v>6</v>
      </c>
      <c r="W3072" s="11">
        <f>_xlfn.IFNA(INDEX(reading[[#This Row],[Memo 01]:[Memo 07]],MATCH(0,reading[[#This Row],[Memo 01]:[Memo 07]],-1)),"")</f>
        <v>45237</v>
      </c>
      <c r="X3072" s="11">
        <f ca="1">IFERROR(reading[[#This Row],[Previous]]+OFFSET(reading[[#Headers],[Memo 01]],-1,MATCH(0,reading[[#This Row],[Memo 01]:[Memo 07]],-1)-1),"")</f>
        <v>45257</v>
      </c>
      <c r="Y3072" s="10" t="str">
        <f ca="1">IF(reading[[#This Row],[Next]]&lt;&gt;"",IF(reading[[#This Row],[Next]]&gt;TODAY(),"OK",""),"")</f>
        <v/>
      </c>
      <c r="Z3072" s="13">
        <v>3</v>
      </c>
      <c r="AA3072" s="13">
        <v>3</v>
      </c>
      <c r="AB3072" s="13">
        <v>3</v>
      </c>
      <c r="AC3072" s="13">
        <v>3</v>
      </c>
      <c r="AD3072" s="13">
        <v>3</v>
      </c>
      <c r="AE3072" s="13">
        <v>3</v>
      </c>
      <c r="AF3072" s="13"/>
      <c r="AG3072" s="16">
        <f>IFERROR(SUMIF(reading[[#This Row],[1st]:[7th]],"&gt;0")/COUNTIF(reading[[#This Row],[1st]:[7th]],"&gt;0"),"")</f>
        <v>3</v>
      </c>
    </row>
    <row r="3073" spans="1:33" x14ac:dyDescent="0.2">
      <c r="A3073" s="4">
        <f>IF(B3073=1,3,IF(D3073=1,2,IF(F3073=1,1,0)))</f>
        <v>0</v>
      </c>
      <c r="B3073" s="4" t="str">
        <f>IF(C3073=$L3073,1,IF(C3073="","",0))</f>
        <v/>
      </c>
      <c r="C3073" s="38"/>
      <c r="D3073" s="4" t="str">
        <f>IF(E3073=$L3073,1,IF(E3073="","",0))</f>
        <v/>
      </c>
      <c r="E3073" s="14"/>
      <c r="F3073" s="4" t="str">
        <f>IF(G3073=$L3073,1,IF(G3073="","",0))</f>
        <v/>
      </c>
      <c r="G3073" s="14"/>
      <c r="H3073" s="6">
        <v>589</v>
      </c>
      <c r="I3073" s="15" t="s">
        <v>3120</v>
      </c>
      <c r="J3073" s="6" t="s">
        <v>3732</v>
      </c>
      <c r="K3073" s="6"/>
      <c r="L3073" s="6" t="s">
        <v>715</v>
      </c>
      <c r="M3073" s="6" t="s">
        <v>6698</v>
      </c>
      <c r="N3073" s="7">
        <f ca="1">RAND()</f>
        <v>0.9445933974591384</v>
      </c>
      <c r="O3073" s="8">
        <v>45202</v>
      </c>
      <c r="P3073" s="8">
        <v>45203</v>
      </c>
      <c r="Q3073" s="8">
        <v>45205</v>
      </c>
      <c r="R3073" s="8">
        <v>45209</v>
      </c>
      <c r="S3073" s="8">
        <v>45216</v>
      </c>
      <c r="T3073" s="8">
        <v>45228</v>
      </c>
      <c r="U3073" s="8"/>
      <c r="V3073" s="10">
        <f>COUNTA(O3073:U3073)</f>
        <v>6</v>
      </c>
      <c r="W3073" s="11">
        <f>_xlfn.IFNA(INDEX(reading[[#This Row],[Memo 01]:[Memo 07]],MATCH(0,reading[[#This Row],[Memo 01]:[Memo 07]],-1)),"")</f>
        <v>45228</v>
      </c>
      <c r="X3073" s="11">
        <f ca="1">IFERROR(reading[[#This Row],[Previous]]+OFFSET(reading[[#Headers],[Memo 01]],-1,MATCH(0,reading[[#This Row],[Memo 01]:[Memo 07]],-1)-1),"")</f>
        <v>45248</v>
      </c>
      <c r="Y3073" s="10" t="str">
        <f ca="1">IF(reading[[#This Row],[Next]]&lt;&gt;"",IF(reading[[#This Row],[Next]]&gt;TODAY(),"OK",""),"")</f>
        <v/>
      </c>
      <c r="Z3073" s="13">
        <v>3</v>
      </c>
      <c r="AA3073" s="13">
        <v>3</v>
      </c>
      <c r="AB3073" s="13">
        <v>3</v>
      </c>
      <c r="AC3073" s="13">
        <v>3</v>
      </c>
      <c r="AD3073" s="13">
        <v>3</v>
      </c>
      <c r="AE3073" s="13">
        <v>3</v>
      </c>
      <c r="AF3073" s="13"/>
      <c r="AG3073" s="16">
        <f>IFERROR(SUMIF(reading[[#This Row],[1st]:[7th]],"&gt;0")/COUNTIF(reading[[#This Row],[1st]:[7th]],"&gt;0"),"")</f>
        <v>3</v>
      </c>
    </row>
    <row r="3074" spans="1:33" hidden="1" x14ac:dyDescent="0.2">
      <c r="A3074" s="4">
        <f>IF(B3074=1,3,IF(D3074=1,2,IF(F3074=1,1,0)))</f>
        <v>0</v>
      </c>
      <c r="B3074" s="4" t="str">
        <f>IF(C3074=$L3074,1,IF(C3074="","",0))</f>
        <v/>
      </c>
      <c r="C3074" s="42"/>
      <c r="D3074" s="4" t="str">
        <f>IF(E3074=$L3074,1,IF(E3074="","",0))</f>
        <v/>
      </c>
      <c r="E3074" s="23"/>
      <c r="F3074" s="4" t="str">
        <f>IF(G3074=$L3074,1,IF(G3074="","",0))</f>
        <v/>
      </c>
      <c r="G3074" s="23"/>
      <c r="H3074" s="6">
        <v>1736</v>
      </c>
      <c r="I3074" s="15" t="s">
        <v>3120</v>
      </c>
      <c r="J3074" s="6" t="s">
        <v>4844</v>
      </c>
      <c r="K3074" s="6"/>
      <c r="L3074" s="6" t="s">
        <v>1816</v>
      </c>
      <c r="M3074" s="6" t="s">
        <v>7842</v>
      </c>
      <c r="N3074" s="7">
        <f ca="1">RAND()</f>
        <v>0.5294336831091081</v>
      </c>
      <c r="O3074" s="8">
        <v>45211</v>
      </c>
      <c r="P3074" s="8">
        <v>45212</v>
      </c>
      <c r="Q3074" s="8">
        <v>45214</v>
      </c>
      <c r="R3074" s="8">
        <v>45218</v>
      </c>
      <c r="S3074" s="8">
        <v>45225</v>
      </c>
      <c r="T3074" s="8">
        <v>45237</v>
      </c>
      <c r="U3074" s="8">
        <v>45817</v>
      </c>
      <c r="V3074" s="10">
        <f>COUNTA(O3074:U3074)</f>
        <v>7</v>
      </c>
      <c r="W3074" s="11">
        <f>_xlfn.IFNA(INDEX(reading[[#This Row],[Memo 01]:[Memo 07]],MATCH(0,reading[[#This Row],[Memo 01]:[Memo 07]],-1)),"")</f>
        <v>45817</v>
      </c>
      <c r="X3074" s="11">
        <f ca="1">IFERROR(reading[[#This Row],[Previous]]+OFFSET(reading[[#Headers],[Memo 01]],-1,MATCH(0,reading[[#This Row],[Memo 01]:[Memo 07]],-1)-1),"")</f>
        <v>55817</v>
      </c>
      <c r="Y3074" s="10" t="str">
        <f ca="1">IF(reading[[#This Row],[Next]]&lt;&gt;"",IF(reading[[#This Row],[Next]]&gt;TODAY(),"OK",""),"")</f>
        <v>OK</v>
      </c>
      <c r="Z3074" s="13">
        <v>3</v>
      </c>
      <c r="AA3074" s="13">
        <v>3</v>
      </c>
      <c r="AB3074" s="13">
        <v>3</v>
      </c>
      <c r="AC3074" s="13">
        <v>3</v>
      </c>
      <c r="AD3074" s="13">
        <v>3</v>
      </c>
      <c r="AE3074" s="13">
        <v>3</v>
      </c>
      <c r="AF3074" s="13">
        <v>1</v>
      </c>
      <c r="AG3074" s="16">
        <f>IFERROR(SUMIF(reading[[#This Row],[1st]:[7th]],"&gt;0")/COUNTIF(reading[[#This Row],[1st]:[7th]],"&gt;0"),"")</f>
        <v>2.7142857142857144</v>
      </c>
    </row>
    <row r="3075" spans="1:33" x14ac:dyDescent="0.2">
      <c r="A3075" s="4">
        <f>IF(B3075=1,3,IF(D3075=1,2,IF(F3075=1,1,0)))</f>
        <v>0</v>
      </c>
      <c r="B3075" s="4" t="str">
        <f>IF(C3075=$L3075,1,IF(C3075="","",0))</f>
        <v/>
      </c>
      <c r="C3075" s="42"/>
      <c r="D3075" s="4" t="str">
        <f>IF(E3075=$L3075,1,IF(E3075="","",0))</f>
        <v/>
      </c>
      <c r="E3075" s="14"/>
      <c r="F3075" s="4" t="str">
        <f>IF(G3075=$L3075,1,IF(G3075="","",0))</f>
        <v/>
      </c>
      <c r="G3075" s="14"/>
      <c r="H3075" s="6">
        <v>2133</v>
      </c>
      <c r="I3075" s="15" t="s">
        <v>3120</v>
      </c>
      <c r="J3075" s="6" t="s">
        <v>5221</v>
      </c>
      <c r="K3075" s="6"/>
      <c r="L3075" s="6" t="s">
        <v>2200</v>
      </c>
      <c r="M3075" s="6" t="s">
        <v>8239</v>
      </c>
      <c r="N3075" s="7">
        <f ca="1">RAND()</f>
        <v>0.90160560134011414</v>
      </c>
      <c r="O3075" s="8">
        <v>45214</v>
      </c>
      <c r="P3075" s="8">
        <v>45215</v>
      </c>
      <c r="Q3075" s="8">
        <v>45217</v>
      </c>
      <c r="R3075" s="8">
        <v>45221</v>
      </c>
      <c r="S3075" s="8">
        <v>45228</v>
      </c>
      <c r="T3075" s="8">
        <v>45783</v>
      </c>
      <c r="U3075" s="8"/>
      <c r="V3075" s="10">
        <f>COUNTA(O3075:U3075)</f>
        <v>6</v>
      </c>
      <c r="W3075" s="11">
        <f>_xlfn.IFNA(INDEX(reading[[#This Row],[Memo 01]:[Memo 07]],MATCH(0,reading[[#This Row],[Memo 01]:[Memo 07]],-1)),"")</f>
        <v>45783</v>
      </c>
      <c r="X3075" s="11">
        <f ca="1">IFERROR(reading[[#This Row],[Previous]]+OFFSET(reading[[#Headers],[Memo 01]],-1,MATCH(0,reading[[#This Row],[Memo 01]:[Memo 07]],-1)-1),"")</f>
        <v>45803</v>
      </c>
      <c r="Y3075" s="10" t="str">
        <f ca="1">IF(reading[[#This Row],[Next]]&lt;&gt;"",IF(reading[[#This Row],[Next]]&gt;TODAY(),"OK",""),"")</f>
        <v/>
      </c>
      <c r="Z3075" s="13">
        <v>3</v>
      </c>
      <c r="AA3075" s="13">
        <v>3</v>
      </c>
      <c r="AB3075" s="13">
        <v>3</v>
      </c>
      <c r="AC3075" s="13">
        <v>3</v>
      </c>
      <c r="AD3075" s="13">
        <v>3</v>
      </c>
      <c r="AE3075" s="13">
        <v>3</v>
      </c>
      <c r="AF3075" s="13"/>
      <c r="AG3075" s="16">
        <f>IFERROR(SUMIF(reading[[#This Row],[1st]:[7th]],"&gt;0")/COUNTIF(reading[[#This Row],[1st]:[7th]],"&gt;0"),"")</f>
        <v>3</v>
      </c>
    </row>
    <row r="3076" spans="1:33" x14ac:dyDescent="0.2">
      <c r="A3076" s="4">
        <f>IF(B3076=1,3,IF(D3076=1,2,IF(F3076=1,1,0)))</f>
        <v>0</v>
      </c>
      <c r="B3076" s="4" t="str">
        <f>IF(C3076=$L3076,1,IF(C3076="","",0))</f>
        <v/>
      </c>
      <c r="C3076" s="39"/>
      <c r="D3076" s="4" t="str">
        <f>IF(E3076=$L3076,1,IF(E3076="","",0))</f>
        <v/>
      </c>
      <c r="E3076" s="14"/>
      <c r="F3076" s="4" t="str">
        <f>IF(G3076=$L3076,1,IF(G3076="","",0))</f>
        <v/>
      </c>
      <c r="G3076" s="14"/>
      <c r="H3076" s="6">
        <v>1506</v>
      </c>
      <c r="I3076" s="15" t="s">
        <v>3120</v>
      </c>
      <c r="J3076" s="6" t="s">
        <v>4619</v>
      </c>
      <c r="K3076" s="6"/>
      <c r="L3076" s="6" t="s">
        <v>1591</v>
      </c>
      <c r="M3076" s="6" t="s">
        <v>7613</v>
      </c>
      <c r="N3076" s="7">
        <f ca="1">RAND()</f>
        <v>0.94192851605369976</v>
      </c>
      <c r="O3076" s="8">
        <v>45209</v>
      </c>
      <c r="P3076" s="8">
        <v>45210</v>
      </c>
      <c r="Q3076" s="8">
        <v>45212</v>
      </c>
      <c r="R3076" s="8">
        <v>45216</v>
      </c>
      <c r="S3076" s="8">
        <v>45223</v>
      </c>
      <c r="T3076" s="8">
        <v>45235</v>
      </c>
      <c r="U3076" s="8"/>
      <c r="V3076" s="10">
        <f>COUNTA(O3076:U3076)</f>
        <v>6</v>
      </c>
      <c r="W3076" s="11">
        <f>_xlfn.IFNA(INDEX(reading[[#This Row],[Memo 01]:[Memo 07]],MATCH(0,reading[[#This Row],[Memo 01]:[Memo 07]],-1)),"")</f>
        <v>45235</v>
      </c>
      <c r="X3076" s="11">
        <f ca="1">IFERROR(reading[[#This Row],[Previous]]+OFFSET(reading[[#Headers],[Memo 01]],-1,MATCH(0,reading[[#This Row],[Memo 01]:[Memo 07]],-1)-1),"")</f>
        <v>45255</v>
      </c>
      <c r="Y3076" s="10" t="str">
        <f ca="1">IF(reading[[#This Row],[Next]]&lt;&gt;"",IF(reading[[#This Row],[Next]]&gt;TODAY(),"OK",""),"")</f>
        <v/>
      </c>
      <c r="Z3076" s="13">
        <v>3</v>
      </c>
      <c r="AA3076" s="13">
        <v>3</v>
      </c>
      <c r="AB3076" s="13">
        <v>3</v>
      </c>
      <c r="AC3076" s="13">
        <v>3</v>
      </c>
      <c r="AD3076" s="13">
        <v>3</v>
      </c>
      <c r="AE3076" s="13">
        <v>3</v>
      </c>
      <c r="AF3076" s="13"/>
      <c r="AG3076" s="16">
        <f>IFERROR(SUMIF(reading[[#This Row],[1st]:[7th]],"&gt;0")/COUNTIF(reading[[#This Row],[1st]:[7th]],"&gt;0"),"")</f>
        <v>3</v>
      </c>
    </row>
    <row r="3077" spans="1:33" x14ac:dyDescent="0.2">
      <c r="A3077" s="4">
        <f>IF(B3077=1,3,IF(D3077=1,2,IF(F3077=1,1,0)))</f>
        <v>0</v>
      </c>
      <c r="B3077" s="4" t="str">
        <f>IF(C3077=$L3077,1,IF(C3077="","",0))</f>
        <v/>
      </c>
      <c r="C3077" s="39"/>
      <c r="D3077" s="4" t="str">
        <f>IF(E3077=$L3077,1,IF(E3077="","",0))</f>
        <v/>
      </c>
      <c r="E3077" s="14"/>
      <c r="F3077" s="4" t="str">
        <f>IF(G3077=$L3077,1,IF(G3077="","",0))</f>
        <v/>
      </c>
      <c r="G3077" s="14"/>
      <c r="H3077" s="6">
        <v>2681</v>
      </c>
      <c r="I3077" s="15" t="s">
        <v>3120</v>
      </c>
      <c r="J3077" s="6" t="s">
        <v>5732</v>
      </c>
      <c r="K3077" s="6"/>
      <c r="L3077" s="6" t="s">
        <v>2720</v>
      </c>
      <c r="M3077" s="6" t="s">
        <v>8786</v>
      </c>
      <c r="N3077" s="7">
        <f ca="1">RAND()</f>
        <v>0.87269370460820384</v>
      </c>
      <c r="O3077" s="8">
        <v>45221</v>
      </c>
      <c r="P3077" s="8">
        <v>45222</v>
      </c>
      <c r="Q3077" s="8">
        <v>45224</v>
      </c>
      <c r="R3077" s="8">
        <v>45228</v>
      </c>
      <c r="S3077" s="8">
        <v>45235</v>
      </c>
      <c r="T3077" s="8"/>
      <c r="U3077" s="8"/>
      <c r="V3077" s="10">
        <f>COUNTA(O3077:U3077)</f>
        <v>5</v>
      </c>
      <c r="W3077" s="11">
        <f>_xlfn.IFNA(INDEX(reading[[#This Row],[Memo 01]:[Memo 07]],MATCH(0,reading[[#This Row],[Memo 01]:[Memo 07]],-1)),"")</f>
        <v>45235</v>
      </c>
      <c r="X3077" s="11">
        <f ca="1">IFERROR(reading[[#This Row],[Previous]]+OFFSET(reading[[#Headers],[Memo 01]],-1,MATCH(0,reading[[#This Row],[Memo 01]:[Memo 07]],-1)-1),"")</f>
        <v>45247</v>
      </c>
      <c r="Y3077" s="10" t="str">
        <f ca="1">IF(reading[[#This Row],[Next]]&lt;&gt;"",IF(reading[[#This Row],[Next]]&gt;TODAY(),"OK",""),"")</f>
        <v/>
      </c>
      <c r="Z3077" s="13">
        <v>3</v>
      </c>
      <c r="AA3077" s="13">
        <v>3</v>
      </c>
      <c r="AB3077" s="13">
        <v>3</v>
      </c>
      <c r="AC3077" s="13">
        <v>3</v>
      </c>
      <c r="AD3077" s="13">
        <v>3</v>
      </c>
      <c r="AE3077" s="13"/>
      <c r="AF3077" s="13"/>
      <c r="AG3077" s="16">
        <f>IFERROR(SUMIF(reading[[#This Row],[1st]:[7th]],"&gt;0")/COUNTIF(reading[[#This Row],[1st]:[7th]],"&gt;0"),"")</f>
        <v>3</v>
      </c>
    </row>
    <row r="3078" spans="1:33" x14ac:dyDescent="0.2">
      <c r="A3078" s="4">
        <f>IF(B3078=1,3,IF(D3078=1,2,IF(F3078=1,1,0)))</f>
        <v>0</v>
      </c>
      <c r="B3078" s="4" t="str">
        <f>IF(C3078=$L3078,1,IF(C3078="","",0))</f>
        <v/>
      </c>
      <c r="C3078" s="39"/>
      <c r="D3078" s="4" t="str">
        <f>IF(E3078=$L3078,1,IF(E3078="","",0))</f>
        <v/>
      </c>
      <c r="E3078" s="18"/>
      <c r="F3078" s="4" t="str">
        <f>IF(G3078=$L3078,1,IF(G3078="","",0))</f>
        <v/>
      </c>
      <c r="G3078" s="14"/>
      <c r="H3078" s="6">
        <v>2636</v>
      </c>
      <c r="I3078" s="15" t="s">
        <v>3120</v>
      </c>
      <c r="J3078" s="6" t="s">
        <v>5690</v>
      </c>
      <c r="K3078" s="15" t="s">
        <v>3151</v>
      </c>
      <c r="L3078" s="6" t="s">
        <v>2677</v>
      </c>
      <c r="M3078" s="6" t="s">
        <v>8741</v>
      </c>
      <c r="N3078" s="7">
        <f ca="1">RAND()</f>
        <v>0.78262731439737543</v>
      </c>
      <c r="O3078" s="8">
        <v>45220</v>
      </c>
      <c r="P3078" s="8">
        <v>45221</v>
      </c>
      <c r="Q3078" s="8">
        <v>45223</v>
      </c>
      <c r="R3078" s="8">
        <v>45227</v>
      </c>
      <c r="S3078" s="8">
        <v>45234</v>
      </c>
      <c r="T3078" s="8"/>
      <c r="U3078" s="8"/>
      <c r="V3078" s="10">
        <f>COUNTA(O3078:U3078)</f>
        <v>5</v>
      </c>
      <c r="W3078" s="11">
        <f>_xlfn.IFNA(INDEX(reading[[#This Row],[Memo 01]:[Memo 07]],MATCH(0,reading[[#This Row],[Memo 01]:[Memo 07]],-1)),"")</f>
        <v>45234</v>
      </c>
      <c r="X3078" s="11">
        <f ca="1">IFERROR(reading[[#This Row],[Previous]]+OFFSET(reading[[#Headers],[Memo 01]],-1,MATCH(0,reading[[#This Row],[Memo 01]:[Memo 07]],-1)-1),"")</f>
        <v>45246</v>
      </c>
      <c r="Y3078" s="10" t="str">
        <f ca="1">IF(reading[[#This Row],[Next]]&lt;&gt;"",IF(reading[[#This Row],[Next]]&gt;TODAY(),"OK",""),"")</f>
        <v/>
      </c>
      <c r="Z3078" s="13">
        <v>3</v>
      </c>
      <c r="AA3078" s="13">
        <v>2</v>
      </c>
      <c r="AB3078" s="13">
        <v>3</v>
      </c>
      <c r="AC3078" s="13">
        <v>3</v>
      </c>
      <c r="AD3078" s="13">
        <v>3</v>
      </c>
      <c r="AE3078" s="13"/>
      <c r="AF3078" s="13"/>
      <c r="AG3078" s="16">
        <f>IFERROR(SUMIF(reading[[#This Row],[1st]:[7th]],"&gt;0")/COUNTIF(reading[[#This Row],[1st]:[7th]],"&gt;0"),"")</f>
        <v>2.8</v>
      </c>
    </row>
    <row r="3079" spans="1:33" x14ac:dyDescent="0.2">
      <c r="A3079" s="4">
        <f>IF(B3079=1,3,IF(D3079=1,2,IF(F3079=1,1,0)))</f>
        <v>0</v>
      </c>
      <c r="B3079" s="4" t="str">
        <f>IF(C3079=$L3079,1,IF(C3079="","",0))</f>
        <v/>
      </c>
      <c r="C3079" s="39"/>
      <c r="D3079" s="4" t="str">
        <f>IF(E3079=$L3079,1,IF(E3079="","",0))</f>
        <v/>
      </c>
      <c r="E3079" s="14"/>
      <c r="F3079" s="4" t="str">
        <f>IF(G3079=$L3079,1,IF(G3079="","",0))</f>
        <v/>
      </c>
      <c r="G3079" s="14"/>
      <c r="H3079" s="6">
        <v>2765</v>
      </c>
      <c r="I3079" s="15" t="s">
        <v>3120</v>
      </c>
      <c r="J3079" s="6" t="s">
        <v>5809</v>
      </c>
      <c r="K3079" s="6"/>
      <c r="L3079" s="6" t="s">
        <v>2803</v>
      </c>
      <c r="M3079" s="6" t="s">
        <v>8869</v>
      </c>
      <c r="N3079" s="7">
        <f ca="1">RAND()</f>
        <v>0.25894274191739275</v>
      </c>
      <c r="O3079" s="8">
        <v>45221</v>
      </c>
      <c r="P3079" s="8">
        <v>45222</v>
      </c>
      <c r="Q3079" s="8">
        <v>45224</v>
      </c>
      <c r="R3079" s="8">
        <v>45228</v>
      </c>
      <c r="S3079" s="8">
        <v>45235</v>
      </c>
      <c r="T3079" s="8"/>
      <c r="U3079" s="8"/>
      <c r="V3079" s="10">
        <f>COUNTA(O3079:U3079)</f>
        <v>5</v>
      </c>
      <c r="W3079" s="11">
        <f>_xlfn.IFNA(INDEX(reading[[#This Row],[Memo 01]:[Memo 07]],MATCH(0,reading[[#This Row],[Memo 01]:[Memo 07]],-1)),"")</f>
        <v>45235</v>
      </c>
      <c r="X3079" s="11">
        <f ca="1">IFERROR(reading[[#This Row],[Previous]]+OFFSET(reading[[#Headers],[Memo 01]],-1,MATCH(0,reading[[#This Row],[Memo 01]:[Memo 07]],-1)-1),"")</f>
        <v>45247</v>
      </c>
      <c r="Y3079" s="10" t="str">
        <f ca="1">IF(reading[[#This Row],[Next]]&lt;&gt;"",IF(reading[[#This Row],[Next]]&gt;TODAY(),"OK",""),"")</f>
        <v/>
      </c>
      <c r="Z3079" s="13">
        <v>3</v>
      </c>
      <c r="AA3079" s="13">
        <v>3</v>
      </c>
      <c r="AB3079" s="13">
        <v>3</v>
      </c>
      <c r="AC3079" s="13">
        <v>3</v>
      </c>
      <c r="AD3079" s="13">
        <v>2</v>
      </c>
      <c r="AE3079" s="13"/>
      <c r="AF3079" s="13"/>
      <c r="AG3079" s="16">
        <f>IFERROR(SUMIF(reading[[#This Row],[1st]:[7th]],"&gt;0")/COUNTIF(reading[[#This Row],[1st]:[7th]],"&gt;0"),"")</f>
        <v>2.8</v>
      </c>
    </row>
    <row r="3080" spans="1:33" x14ac:dyDescent="0.2">
      <c r="A3080" s="4">
        <f>IF(B3080=1,3,IF(D3080=1,2,IF(F3080=1,1,0)))</f>
        <v>0</v>
      </c>
      <c r="B3080" s="4" t="str">
        <f>IF(C3080=$L3080,1,IF(C3080="","",0))</f>
        <v/>
      </c>
      <c r="C3080" s="41"/>
      <c r="D3080" s="4" t="str">
        <f>IF(E3080=$L3080,1,IF(E3080="","",0))</f>
        <v/>
      </c>
      <c r="E3080" s="14"/>
      <c r="F3080" s="4" t="str">
        <f>IF(G3080=$L3080,1,IF(G3080="","",0))</f>
        <v/>
      </c>
      <c r="G3080" s="14"/>
      <c r="H3080" s="6">
        <v>3013</v>
      </c>
      <c r="I3080" s="15" t="s">
        <v>3120</v>
      </c>
      <c r="J3080" s="6" t="s">
        <v>6036</v>
      </c>
      <c r="K3080" s="6"/>
      <c r="L3080" s="6" t="s">
        <v>3042</v>
      </c>
      <c r="M3080" s="6" t="s">
        <v>9116</v>
      </c>
      <c r="N3080" s="7">
        <f ca="1">RAND()</f>
        <v>0.10814568967491955</v>
      </c>
      <c r="O3080" s="8">
        <v>45224</v>
      </c>
      <c r="P3080" s="8">
        <v>45225</v>
      </c>
      <c r="Q3080" s="8">
        <v>45227</v>
      </c>
      <c r="R3080" s="8">
        <v>45231</v>
      </c>
      <c r="S3080" s="8">
        <v>45249</v>
      </c>
      <c r="T3080" s="8"/>
      <c r="U3080" s="8"/>
      <c r="V3080" s="10">
        <f>COUNTA(O3080:U3080)</f>
        <v>5</v>
      </c>
      <c r="W3080" s="11">
        <f>_xlfn.IFNA(INDEX(reading[[#This Row],[Memo 01]:[Memo 07]],MATCH(0,reading[[#This Row],[Memo 01]:[Memo 07]],-1)),"")</f>
        <v>45249</v>
      </c>
      <c r="X3080" s="11">
        <f ca="1">IFERROR(reading[[#This Row],[Previous]]+OFFSET(reading[[#Headers],[Memo 01]],-1,MATCH(0,reading[[#This Row],[Memo 01]:[Memo 07]],-1)-1),"")</f>
        <v>45261</v>
      </c>
      <c r="Y3080" s="10" t="str">
        <f ca="1">IF(reading[[#This Row],[Next]]&lt;&gt;"",IF(reading[[#This Row],[Next]]&gt;TODAY(),"OK",""),"")</f>
        <v/>
      </c>
      <c r="Z3080" s="13">
        <v>3</v>
      </c>
      <c r="AA3080" s="13">
        <v>3</v>
      </c>
      <c r="AB3080" s="13">
        <v>3</v>
      </c>
      <c r="AC3080" s="13">
        <v>3</v>
      </c>
      <c r="AD3080" s="13">
        <v>3</v>
      </c>
      <c r="AE3080" s="13"/>
      <c r="AF3080" s="13"/>
      <c r="AG3080" s="16">
        <f>IFERROR(SUMIF(reading[[#This Row],[1st]:[7th]],"&gt;0")/COUNTIF(reading[[#This Row],[1st]:[7th]],"&gt;0"),"")</f>
        <v>3</v>
      </c>
    </row>
    <row r="3081" spans="1:33" hidden="1" x14ac:dyDescent="0.2">
      <c r="A3081" s="4">
        <f>IF(B3081=1,3,IF(D3081=1,2,IF(F3081=1,1,0)))</f>
        <v>0</v>
      </c>
      <c r="B3081" s="4" t="str">
        <f>IF(C3081=$L3081,1,IF(C3081="","",0))</f>
        <v/>
      </c>
      <c r="C3081" s="42"/>
      <c r="D3081" s="4" t="str">
        <f>IF(E3081=$L3081,1,IF(E3081="","",0))</f>
        <v/>
      </c>
      <c r="E3081" s="18"/>
      <c r="F3081" s="4" t="str">
        <f>IF(G3081=$L3081,1,IF(G3081="","",0))</f>
        <v/>
      </c>
      <c r="G3081" s="18"/>
      <c r="H3081" s="6">
        <v>1168</v>
      </c>
      <c r="I3081" s="15" t="s">
        <v>3120</v>
      </c>
      <c r="J3081" s="6" t="s">
        <v>4287</v>
      </c>
      <c r="K3081" s="6"/>
      <c r="L3081" s="6" t="s">
        <v>1270</v>
      </c>
      <c r="M3081" s="6" t="s">
        <v>7276</v>
      </c>
      <c r="N3081" s="7">
        <f ca="1">RAND()</f>
        <v>0.18266805640521167</v>
      </c>
      <c r="O3081" s="8">
        <v>45206</v>
      </c>
      <c r="P3081" s="8">
        <v>45207</v>
      </c>
      <c r="Q3081" s="8">
        <v>45209</v>
      </c>
      <c r="R3081" s="8">
        <v>45213</v>
      </c>
      <c r="S3081" s="8">
        <v>45220</v>
      </c>
      <c r="T3081" s="8">
        <v>45232</v>
      </c>
      <c r="U3081" s="8">
        <v>45253</v>
      </c>
      <c r="V3081" s="10">
        <f>COUNTA(O3081:U3081)</f>
        <v>7</v>
      </c>
      <c r="W3081" s="11">
        <f>_xlfn.IFNA(INDEX(reading[[#This Row],[Memo 01]:[Memo 07]],MATCH(0,reading[[#This Row],[Memo 01]:[Memo 07]],-1)),"")</f>
        <v>45253</v>
      </c>
      <c r="X3081" s="11">
        <f ca="1">IFERROR(reading[[#This Row],[Previous]]+OFFSET(reading[[#Headers],[Memo 01]],-1,MATCH(0,reading[[#This Row],[Memo 01]:[Memo 07]],-1)-1),"")</f>
        <v>55253</v>
      </c>
      <c r="Y3081" s="10" t="str">
        <f ca="1">IF(reading[[#This Row],[Next]]&lt;&gt;"",IF(reading[[#This Row],[Next]]&gt;TODAY(),"OK",""),"")</f>
        <v>OK</v>
      </c>
      <c r="Z3081" s="13">
        <v>3</v>
      </c>
      <c r="AA3081" s="13">
        <v>1</v>
      </c>
      <c r="AB3081" s="13">
        <v>3</v>
      </c>
      <c r="AC3081" s="13">
        <v>1</v>
      </c>
      <c r="AD3081" s="13">
        <v>2</v>
      </c>
      <c r="AE3081" s="13">
        <v>3</v>
      </c>
      <c r="AF3081" s="13">
        <v>2</v>
      </c>
      <c r="AG3081" s="16">
        <f>IFERROR(SUMIF(reading[[#This Row],[1st]:[7th]],"&gt;0")/COUNTIF(reading[[#This Row],[1st]:[7th]],"&gt;0"),"")</f>
        <v>2.1428571428571428</v>
      </c>
    </row>
    <row r="3082" spans="1:33" hidden="1" x14ac:dyDescent="0.2">
      <c r="A3082" s="4">
        <f>IF(B3082=1,3,IF(D3082=1,2,IF(F3082=1,1,0)))</f>
        <v>0</v>
      </c>
      <c r="B3082" s="4" t="str">
        <f>IF(C3082=$L3082,1,IF(C3082="","",0))</f>
        <v/>
      </c>
      <c r="C3082" s="42"/>
      <c r="D3082" s="4" t="str">
        <f>IF(E3082=$L3082,1,IF(E3082="","",0))</f>
        <v/>
      </c>
      <c r="E3082" s="43"/>
      <c r="F3082" s="4" t="str">
        <f>IF(G3082=$L3082,1,IF(G3082="","",0))</f>
        <v/>
      </c>
      <c r="G3082" s="23"/>
      <c r="H3082" s="6">
        <v>2349</v>
      </c>
      <c r="I3082" s="15" t="s">
        <v>3120</v>
      </c>
      <c r="J3082" s="6" t="s">
        <v>5426</v>
      </c>
      <c r="K3082" s="6"/>
      <c r="L3082" s="6" t="s">
        <v>2402</v>
      </c>
      <c r="M3082" s="6" t="s">
        <v>8454</v>
      </c>
      <c r="N3082" s="7">
        <f ca="1">RAND()</f>
        <v>0.2991202171823325</v>
      </c>
      <c r="O3082" s="8">
        <v>45217</v>
      </c>
      <c r="P3082" s="8">
        <v>45218</v>
      </c>
      <c r="Q3082" s="8">
        <v>45220</v>
      </c>
      <c r="R3082" s="8">
        <v>45224</v>
      </c>
      <c r="S3082" s="8">
        <v>45231</v>
      </c>
      <c r="T3082" s="8">
        <v>45817</v>
      </c>
      <c r="U3082" s="8"/>
      <c r="V3082" s="10">
        <f>COUNTA(O3082:U3082)</f>
        <v>6</v>
      </c>
      <c r="W3082" s="11">
        <f>_xlfn.IFNA(INDEX(reading[[#This Row],[Memo 01]:[Memo 07]],MATCH(0,reading[[#This Row],[Memo 01]:[Memo 07]],-1)),"")</f>
        <v>45817</v>
      </c>
      <c r="X3082" s="11">
        <f ca="1">IFERROR(reading[[#This Row],[Previous]]+OFFSET(reading[[#Headers],[Memo 01]],-1,MATCH(0,reading[[#This Row],[Memo 01]:[Memo 07]],-1)-1),"")</f>
        <v>45837</v>
      </c>
      <c r="Y3082" s="10" t="str">
        <f ca="1">IF(reading[[#This Row],[Next]]&lt;&gt;"",IF(reading[[#This Row],[Next]]&gt;TODAY(),"OK",""),"")</f>
        <v>OK</v>
      </c>
      <c r="Z3082" s="13">
        <v>3</v>
      </c>
      <c r="AA3082" s="13">
        <v>3</v>
      </c>
      <c r="AB3082" s="13">
        <v>2</v>
      </c>
      <c r="AC3082" s="13">
        <v>3</v>
      </c>
      <c r="AD3082" s="13">
        <v>2</v>
      </c>
      <c r="AE3082" s="13">
        <v>1</v>
      </c>
      <c r="AF3082" s="13"/>
      <c r="AG3082" s="16">
        <f>IFERROR(SUMIF(reading[[#This Row],[1st]:[7th]],"&gt;0")/COUNTIF(reading[[#This Row],[1st]:[7th]],"&gt;0"),"")</f>
        <v>2.3333333333333335</v>
      </c>
    </row>
    <row r="3083" spans="1:33" x14ac:dyDescent="0.2">
      <c r="A3083" s="4">
        <f>IF(B3083=1,3,IF(D3083=1,2,IF(F3083=1,1,0)))</f>
        <v>0</v>
      </c>
      <c r="B3083" s="4" t="str">
        <f>IF(C3083=$L3083,1,IF(C3083="","",0))</f>
        <v/>
      </c>
      <c r="C3083" s="39"/>
      <c r="D3083" s="4" t="str">
        <f>IF(E3083=$L3083,1,IF(E3083="","",0))</f>
        <v/>
      </c>
      <c r="E3083" s="14"/>
      <c r="F3083" s="4" t="str">
        <f>IF(G3083=$L3083,1,IF(G3083="","",0))</f>
        <v/>
      </c>
      <c r="G3083" s="14"/>
      <c r="H3083" s="6">
        <v>2871</v>
      </c>
      <c r="I3083" s="15" t="s">
        <v>3120</v>
      </c>
      <c r="J3083" s="6" t="s">
        <v>3507</v>
      </c>
      <c r="K3083" s="15" t="s">
        <v>3138</v>
      </c>
      <c r="L3083" s="6" t="s">
        <v>2902</v>
      </c>
      <c r="M3083" s="6" t="s">
        <v>8975</v>
      </c>
      <c r="N3083" s="7">
        <f ca="1">RAND()</f>
        <v>0.15680650936040785</v>
      </c>
      <c r="O3083" s="8">
        <v>45223</v>
      </c>
      <c r="P3083" s="8">
        <v>45224</v>
      </c>
      <c r="Q3083" s="8">
        <v>45226</v>
      </c>
      <c r="R3083" s="8">
        <v>45230</v>
      </c>
      <c r="S3083" s="8">
        <v>45237</v>
      </c>
      <c r="T3083" s="8"/>
      <c r="U3083" s="8"/>
      <c r="V3083" s="10">
        <f>COUNTA(O3083:U3083)</f>
        <v>5</v>
      </c>
      <c r="W3083" s="11">
        <f>_xlfn.IFNA(INDEX(reading[[#This Row],[Memo 01]:[Memo 07]],MATCH(0,reading[[#This Row],[Memo 01]:[Memo 07]],-1)),"")</f>
        <v>45237</v>
      </c>
      <c r="X3083" s="11">
        <f ca="1">IFERROR(reading[[#This Row],[Previous]]+OFFSET(reading[[#Headers],[Memo 01]],-1,MATCH(0,reading[[#This Row],[Memo 01]:[Memo 07]],-1)-1),"")</f>
        <v>45249</v>
      </c>
      <c r="Y3083" s="10" t="str">
        <f ca="1">IF(reading[[#This Row],[Next]]&lt;&gt;"",IF(reading[[#This Row],[Next]]&gt;TODAY(),"OK",""),"")</f>
        <v/>
      </c>
      <c r="Z3083" s="13">
        <v>3</v>
      </c>
      <c r="AA3083" s="13">
        <v>3</v>
      </c>
      <c r="AB3083" s="13">
        <v>3</v>
      </c>
      <c r="AC3083" s="13">
        <v>3</v>
      </c>
      <c r="AD3083" s="13">
        <v>3</v>
      </c>
      <c r="AE3083" s="13"/>
      <c r="AF3083" s="13"/>
      <c r="AG3083" s="16">
        <f>IFERROR(SUMIF(reading[[#This Row],[1st]:[7th]],"&gt;0")/COUNTIF(reading[[#This Row],[1st]:[7th]],"&gt;0"),"")</f>
        <v>3</v>
      </c>
    </row>
    <row r="3084" spans="1:33" x14ac:dyDescent="0.2">
      <c r="A3084" s="4">
        <f>IF(B3084=1,3,IF(D3084=1,2,IF(F3084=1,1,0)))</f>
        <v>0</v>
      </c>
      <c r="B3084" s="4" t="str">
        <f>IF(C3084=$L3084,1,IF(C3084="","",0))</f>
        <v/>
      </c>
      <c r="C3084" s="36"/>
      <c r="D3084" s="4" t="str">
        <f>IF(E3084=$L3084,1,IF(E3084="","",0))</f>
        <v/>
      </c>
      <c r="E3084" s="14"/>
      <c r="F3084" s="4" t="str">
        <f>IF(G3084=$L3084,1,IF(G3084="","",0))</f>
        <v/>
      </c>
      <c r="G3084" s="14"/>
      <c r="H3084" s="6">
        <v>410</v>
      </c>
      <c r="I3084" s="15" t="s">
        <v>3120</v>
      </c>
      <c r="J3084" s="6" t="s">
        <v>3556</v>
      </c>
      <c r="K3084" s="15" t="s">
        <v>3138</v>
      </c>
      <c r="L3084" s="6" t="s">
        <v>541</v>
      </c>
      <c r="M3084" s="6" t="s">
        <v>6519</v>
      </c>
      <c r="N3084" s="7">
        <f ca="1">RAND()</f>
        <v>0.18816080649236189</v>
      </c>
      <c r="O3084" s="8">
        <v>45201</v>
      </c>
      <c r="P3084" s="8">
        <v>45202</v>
      </c>
      <c r="Q3084" s="8">
        <v>45204</v>
      </c>
      <c r="R3084" s="8">
        <v>45208</v>
      </c>
      <c r="S3084" s="8">
        <v>45215</v>
      </c>
      <c r="T3084" s="8">
        <v>45227</v>
      </c>
      <c r="U3084" s="8"/>
      <c r="V3084" s="10">
        <f>COUNTA(O3084:U3084)</f>
        <v>6</v>
      </c>
      <c r="W3084" s="11">
        <f>_xlfn.IFNA(INDEX(reading[[#This Row],[Memo 01]:[Memo 07]],MATCH(0,reading[[#This Row],[Memo 01]:[Memo 07]],-1)),"")</f>
        <v>45227</v>
      </c>
      <c r="X3084" s="11">
        <f ca="1">IFERROR(reading[[#This Row],[Previous]]+OFFSET(reading[[#Headers],[Memo 01]],-1,MATCH(0,reading[[#This Row],[Memo 01]:[Memo 07]],-1)-1),"")</f>
        <v>45247</v>
      </c>
      <c r="Y3084" s="10" t="str">
        <f ca="1">IF(reading[[#This Row],[Next]]&lt;&gt;"",IF(reading[[#This Row],[Next]]&gt;TODAY(),"OK",""),"")</f>
        <v/>
      </c>
      <c r="Z3084" s="13">
        <v>3</v>
      </c>
      <c r="AA3084" s="13">
        <v>3</v>
      </c>
      <c r="AB3084" s="13">
        <v>3</v>
      </c>
      <c r="AC3084" s="13">
        <v>3</v>
      </c>
      <c r="AD3084" s="13">
        <v>3</v>
      </c>
      <c r="AE3084" s="13">
        <v>3</v>
      </c>
      <c r="AF3084" s="13"/>
      <c r="AG3084" s="16">
        <f>IFERROR(SUMIF(reading[[#This Row],[1st]:[7th]],"&gt;0")/COUNTIF(reading[[#This Row],[1st]:[7th]],"&gt;0"),"")</f>
        <v>3</v>
      </c>
    </row>
    <row r="3085" spans="1:33" x14ac:dyDescent="0.2">
      <c r="A3085" s="4">
        <f>IF(B3085=1,3,IF(D3085=1,2,IF(F3085=1,1,0)))</f>
        <v>0</v>
      </c>
      <c r="B3085" s="4" t="str">
        <f>IF(C3085=$L3085,1,IF(C3085="","",0))</f>
        <v/>
      </c>
      <c r="C3085" s="39"/>
      <c r="D3085" s="4" t="str">
        <f>IF(E3085=$L3085,1,IF(E3085="","",0))</f>
        <v/>
      </c>
      <c r="E3085" s="18"/>
      <c r="F3085" s="4" t="str">
        <f>IF(G3085=$L3085,1,IF(G3085="","",0))</f>
        <v/>
      </c>
      <c r="G3085" s="14"/>
      <c r="H3085" s="6">
        <v>1324</v>
      </c>
      <c r="I3085" s="15" t="s">
        <v>3120</v>
      </c>
      <c r="J3085" s="6" t="s">
        <v>4440</v>
      </c>
      <c r="K3085" s="6"/>
      <c r="L3085" s="6" t="s">
        <v>1421</v>
      </c>
      <c r="M3085" s="6" t="s">
        <v>7431</v>
      </c>
      <c r="N3085" s="7">
        <f ca="1">RAND()</f>
        <v>0.36888191144473215</v>
      </c>
      <c r="O3085" s="8">
        <v>45207</v>
      </c>
      <c r="P3085" s="8">
        <v>45208</v>
      </c>
      <c r="Q3085" s="8">
        <v>45210</v>
      </c>
      <c r="R3085" s="8">
        <v>45214</v>
      </c>
      <c r="S3085" s="8">
        <v>45221</v>
      </c>
      <c r="T3085" s="8">
        <v>45233</v>
      </c>
      <c r="U3085" s="8"/>
      <c r="V3085" s="10">
        <f>COUNTA(O3085:U3085)</f>
        <v>6</v>
      </c>
      <c r="W3085" s="11">
        <f>_xlfn.IFNA(INDEX(reading[[#This Row],[Memo 01]:[Memo 07]],MATCH(0,reading[[#This Row],[Memo 01]:[Memo 07]],-1)),"")</f>
        <v>45233</v>
      </c>
      <c r="X3085" s="11">
        <f ca="1">IFERROR(reading[[#This Row],[Previous]]+OFFSET(reading[[#Headers],[Memo 01]],-1,MATCH(0,reading[[#This Row],[Memo 01]:[Memo 07]],-1)-1),"")</f>
        <v>45253</v>
      </c>
      <c r="Y3085" s="10" t="str">
        <f ca="1">IF(reading[[#This Row],[Next]]&lt;&gt;"",IF(reading[[#This Row],[Next]]&gt;TODAY(),"OK",""),"")</f>
        <v/>
      </c>
      <c r="Z3085" s="13">
        <v>3</v>
      </c>
      <c r="AA3085" s="13">
        <v>3</v>
      </c>
      <c r="AB3085" s="13">
        <v>3</v>
      </c>
      <c r="AC3085" s="13">
        <v>2</v>
      </c>
      <c r="AD3085" s="13">
        <v>3</v>
      </c>
      <c r="AE3085" s="13">
        <v>3</v>
      </c>
      <c r="AF3085" s="13"/>
      <c r="AG3085" s="16">
        <f>IFERROR(SUMIF(reading[[#This Row],[1st]:[7th]],"&gt;0")/COUNTIF(reading[[#This Row],[1st]:[7th]],"&gt;0"),"")</f>
        <v>2.8333333333333335</v>
      </c>
    </row>
    <row r="3086" spans="1:33" x14ac:dyDescent="0.2">
      <c r="A3086" s="4">
        <f>IF(B3086=1,3,IF(D3086=1,2,IF(F3086=1,1,0)))</f>
        <v>0</v>
      </c>
      <c r="B3086" s="4" t="str">
        <f>IF(C3086=$L3086,1,IF(C3086="","",0))</f>
        <v/>
      </c>
      <c r="C3086" s="39"/>
      <c r="D3086" s="4" t="str">
        <f>IF(E3086=$L3086,1,IF(E3086="","",0))</f>
        <v/>
      </c>
      <c r="E3086" s="18"/>
      <c r="F3086" s="4" t="str">
        <f>IF(G3086=$L3086,1,IF(G3086="","",0))</f>
        <v/>
      </c>
      <c r="G3086" s="14"/>
      <c r="H3086" s="6">
        <v>2483</v>
      </c>
      <c r="I3086" s="15" t="s">
        <v>3120</v>
      </c>
      <c r="J3086" s="6" t="s">
        <v>5551</v>
      </c>
      <c r="K3086" s="15" t="s">
        <v>3139</v>
      </c>
      <c r="L3086" s="6" t="s">
        <v>2529</v>
      </c>
      <c r="M3086" s="6" t="s">
        <v>8588</v>
      </c>
      <c r="N3086" s="7">
        <f ca="1">RAND()</f>
        <v>0.90163279338619562</v>
      </c>
      <c r="O3086" s="8">
        <v>45218</v>
      </c>
      <c r="P3086" s="8">
        <v>45219</v>
      </c>
      <c r="Q3086" s="8">
        <v>45221</v>
      </c>
      <c r="R3086" s="8">
        <v>45225</v>
      </c>
      <c r="S3086" s="8">
        <v>45232</v>
      </c>
      <c r="T3086" s="8"/>
      <c r="U3086" s="8"/>
      <c r="V3086" s="10">
        <f>COUNTA(O3086:U3086)</f>
        <v>5</v>
      </c>
      <c r="W3086" s="11">
        <f>_xlfn.IFNA(INDEX(reading[[#This Row],[Memo 01]:[Memo 07]],MATCH(0,reading[[#This Row],[Memo 01]:[Memo 07]],-1)),"")</f>
        <v>45232</v>
      </c>
      <c r="X3086" s="11">
        <f ca="1">IFERROR(reading[[#This Row],[Previous]]+OFFSET(reading[[#Headers],[Memo 01]],-1,MATCH(0,reading[[#This Row],[Memo 01]:[Memo 07]],-1)-1),"")</f>
        <v>45244</v>
      </c>
      <c r="Y3086" s="10" t="str">
        <f ca="1">IF(reading[[#This Row],[Next]]&lt;&gt;"",IF(reading[[#This Row],[Next]]&gt;TODAY(),"OK",""),"")</f>
        <v/>
      </c>
      <c r="Z3086" s="13">
        <v>3</v>
      </c>
      <c r="AA3086" s="13">
        <v>3</v>
      </c>
      <c r="AB3086" s="13">
        <v>2</v>
      </c>
      <c r="AC3086" s="13">
        <v>3</v>
      </c>
      <c r="AD3086" s="13">
        <v>3</v>
      </c>
      <c r="AE3086" s="13"/>
      <c r="AF3086" s="13"/>
      <c r="AG3086" s="16">
        <f>IFERROR(SUMIF(reading[[#This Row],[1st]:[7th]],"&gt;0")/COUNTIF(reading[[#This Row],[1st]:[7th]],"&gt;0"),"")</f>
        <v>2.8</v>
      </c>
    </row>
    <row r="3087" spans="1:33" x14ac:dyDescent="0.2">
      <c r="A3087" s="4">
        <f>IF(B3087=1,3,IF(D3087=1,2,IF(F3087=1,1,0)))</f>
        <v>0</v>
      </c>
      <c r="B3087" s="4" t="str">
        <f>IF(C3087=$L3087,1,IF(C3087="","",0))</f>
        <v/>
      </c>
      <c r="C3087" s="42"/>
      <c r="D3087" s="4" t="str">
        <f>IF(E3087=$L3087,1,IF(E3087="","",0))</f>
        <v/>
      </c>
      <c r="E3087" s="18"/>
      <c r="F3087" s="4" t="str">
        <f>IF(G3087=$L3087,1,IF(G3087="","",0))</f>
        <v/>
      </c>
      <c r="G3087" s="18"/>
      <c r="H3087" s="6">
        <v>1104</v>
      </c>
      <c r="I3087" s="15" t="s">
        <v>3120</v>
      </c>
      <c r="J3087" s="6" t="s">
        <v>3914</v>
      </c>
      <c r="K3087" s="24" t="s">
        <v>3137</v>
      </c>
      <c r="L3087" s="6" t="s">
        <v>1210</v>
      </c>
      <c r="M3087" s="6" t="s">
        <v>7212</v>
      </c>
      <c r="N3087" s="7">
        <f ca="1">RAND()</f>
        <v>0.78587072910370082</v>
      </c>
      <c r="O3087" s="8">
        <v>45205</v>
      </c>
      <c r="P3087" s="8">
        <v>45206</v>
      </c>
      <c r="Q3087" s="8">
        <v>45208</v>
      </c>
      <c r="R3087" s="8">
        <v>45212</v>
      </c>
      <c r="S3087" s="8">
        <v>45219</v>
      </c>
      <c r="T3087" s="8">
        <v>45232</v>
      </c>
      <c r="U3087" s="8"/>
      <c r="V3087" s="10">
        <f>COUNTA(O3087:U3087)</f>
        <v>6</v>
      </c>
      <c r="W3087" s="11">
        <f>_xlfn.IFNA(INDEX(reading[[#This Row],[Memo 01]:[Memo 07]],MATCH(0,reading[[#This Row],[Memo 01]:[Memo 07]],-1)),"")</f>
        <v>45232</v>
      </c>
      <c r="X3087" s="11">
        <f ca="1">IFERROR(reading[[#This Row],[Previous]]+OFFSET(reading[[#Headers],[Memo 01]],-1,MATCH(0,reading[[#This Row],[Memo 01]:[Memo 07]],-1)-1),"")</f>
        <v>45252</v>
      </c>
      <c r="Y3087" s="10" t="str">
        <f ca="1">IF(reading[[#This Row],[Next]]&lt;&gt;"",IF(reading[[#This Row],[Next]]&gt;TODAY(),"OK",""),"")</f>
        <v/>
      </c>
      <c r="Z3087" s="13">
        <v>3</v>
      </c>
      <c r="AA3087" s="13">
        <v>1</v>
      </c>
      <c r="AB3087" s="13">
        <v>3</v>
      </c>
      <c r="AC3087" s="13">
        <v>3</v>
      </c>
      <c r="AD3087" s="13">
        <v>3</v>
      </c>
      <c r="AE3087" s="13">
        <v>1</v>
      </c>
      <c r="AF3087" s="13"/>
      <c r="AG3087" s="16">
        <f>IFERROR(SUMIF(reading[[#This Row],[1st]:[7th]],"&gt;0")/COUNTIF(reading[[#This Row],[1st]:[7th]],"&gt;0"),"")</f>
        <v>2.3333333333333335</v>
      </c>
    </row>
    <row r="3088" spans="1:33" x14ac:dyDescent="0.2">
      <c r="A3088" s="4">
        <f>IF(B3088=1,3,IF(D3088=1,2,IF(F3088=1,1,0)))</f>
        <v>0</v>
      </c>
      <c r="B3088" s="4" t="str">
        <f>IF(C3088=$L3088,1,IF(C3088="","",0))</f>
        <v/>
      </c>
      <c r="C3088" s="39"/>
      <c r="D3088" s="4" t="str">
        <f>IF(E3088=$L3088,1,IF(E3088="","",0))</f>
        <v/>
      </c>
      <c r="E3088" s="14"/>
      <c r="F3088" s="4" t="str">
        <f>IF(G3088=$L3088,1,IF(G3088="","",0))</f>
        <v/>
      </c>
      <c r="G3088" s="14"/>
      <c r="H3088" s="6">
        <v>2878</v>
      </c>
      <c r="I3088" s="15" t="s">
        <v>3120</v>
      </c>
      <c r="J3088" s="6" t="s">
        <v>5915</v>
      </c>
      <c r="K3088" s="6"/>
      <c r="L3088" s="6" t="s">
        <v>2909</v>
      </c>
      <c r="M3088" s="6" t="s">
        <v>8982</v>
      </c>
      <c r="N3088" s="7">
        <f ca="1">RAND()</f>
        <v>0.90818947673480854</v>
      </c>
      <c r="O3088" s="8">
        <v>45222</v>
      </c>
      <c r="P3088" s="8">
        <v>45223</v>
      </c>
      <c r="Q3088" s="8">
        <v>45225</v>
      </c>
      <c r="R3088" s="8">
        <v>45229</v>
      </c>
      <c r="S3088" s="8">
        <v>45236</v>
      </c>
      <c r="T3088" s="8"/>
      <c r="U3088" s="8"/>
      <c r="V3088" s="10">
        <f>COUNTA(O3088:U3088)</f>
        <v>5</v>
      </c>
      <c r="W3088" s="11">
        <f>_xlfn.IFNA(INDEX(reading[[#This Row],[Memo 01]:[Memo 07]],MATCH(0,reading[[#This Row],[Memo 01]:[Memo 07]],-1)),"")</f>
        <v>45236</v>
      </c>
      <c r="X3088" s="11">
        <f ca="1">IFERROR(reading[[#This Row],[Previous]]+OFFSET(reading[[#Headers],[Memo 01]],-1,MATCH(0,reading[[#This Row],[Memo 01]:[Memo 07]],-1)-1),"")</f>
        <v>45248</v>
      </c>
      <c r="Y3088" s="10" t="str">
        <f ca="1">IF(reading[[#This Row],[Next]]&lt;&gt;"",IF(reading[[#This Row],[Next]]&gt;TODAY(),"OK",""),"")</f>
        <v/>
      </c>
      <c r="Z3088" s="13">
        <v>3</v>
      </c>
      <c r="AA3088" s="13">
        <v>3</v>
      </c>
      <c r="AB3088" s="13">
        <v>3</v>
      </c>
      <c r="AC3088" s="13">
        <v>3</v>
      </c>
      <c r="AD3088" s="13">
        <v>3</v>
      </c>
      <c r="AE3088" s="13"/>
      <c r="AF3088" s="13"/>
      <c r="AG3088" s="16">
        <f>IFERROR(SUMIF(reading[[#This Row],[1st]:[7th]],"&gt;0")/COUNTIF(reading[[#This Row],[1st]:[7th]],"&gt;0"),"")</f>
        <v>3</v>
      </c>
    </row>
    <row r="3089" spans="1:33" hidden="1" x14ac:dyDescent="0.2">
      <c r="A3089" s="4">
        <f>IF(B3089=1,3,IF(D3089=1,2,IF(F3089=1,1,0)))</f>
        <v>0</v>
      </c>
      <c r="B3089" s="4" t="str">
        <f>IF(C3089=$L3089,1,IF(C3089="","",0))</f>
        <v/>
      </c>
      <c r="C3089" s="42"/>
      <c r="D3089" s="4" t="str">
        <f>IF(E3089=$L3089,1,IF(E3089="","",0))</f>
        <v/>
      </c>
      <c r="E3089" s="23"/>
      <c r="F3089" s="4" t="str">
        <f>IF(G3089=$L3089,1,IF(G3089="","",0))</f>
        <v/>
      </c>
      <c r="G3089" s="23"/>
      <c r="H3089" s="6">
        <v>2978</v>
      </c>
      <c r="I3089" s="15" t="s">
        <v>3120</v>
      </c>
      <c r="J3089" s="6" t="s">
        <v>6007</v>
      </c>
      <c r="K3089" s="15" t="s">
        <v>3151</v>
      </c>
      <c r="L3089" s="6" t="s">
        <v>3007</v>
      </c>
      <c r="M3089" s="6" t="s">
        <v>9082</v>
      </c>
      <c r="N3089" s="7">
        <f ca="1">RAND()</f>
        <v>0.92271935841483477</v>
      </c>
      <c r="O3089" s="8">
        <v>45223</v>
      </c>
      <c r="P3089" s="8">
        <v>45224</v>
      </c>
      <c r="Q3089" s="8">
        <v>45226</v>
      </c>
      <c r="R3089" s="8">
        <v>45230</v>
      </c>
      <c r="S3089" s="8">
        <v>45237</v>
      </c>
      <c r="T3089" s="8">
        <v>45817</v>
      </c>
      <c r="U3089" s="8"/>
      <c r="V3089" s="10">
        <f>COUNTA(O3089:U3089)</f>
        <v>6</v>
      </c>
      <c r="W3089" s="11">
        <f>_xlfn.IFNA(INDEX(reading[[#This Row],[Memo 01]:[Memo 07]],MATCH(0,reading[[#This Row],[Memo 01]:[Memo 07]],-1)),"")</f>
        <v>45817</v>
      </c>
      <c r="X3089" s="11">
        <f ca="1">IFERROR(reading[[#This Row],[Previous]]+OFFSET(reading[[#Headers],[Memo 01]],-1,MATCH(0,reading[[#This Row],[Memo 01]:[Memo 07]],-1)-1),"")</f>
        <v>45837</v>
      </c>
      <c r="Y3089" s="10" t="str">
        <f ca="1">IF(reading[[#This Row],[Next]]&lt;&gt;"",IF(reading[[#This Row],[Next]]&gt;TODAY(),"OK",""),"")</f>
        <v>OK</v>
      </c>
      <c r="Z3089" s="13">
        <v>3</v>
      </c>
      <c r="AA3089" s="13">
        <v>3</v>
      </c>
      <c r="AB3089" s="13">
        <v>3</v>
      </c>
      <c r="AC3089" s="13">
        <v>3</v>
      </c>
      <c r="AD3089" s="13">
        <v>3</v>
      </c>
      <c r="AE3089" s="13">
        <v>1</v>
      </c>
      <c r="AF3089" s="13"/>
      <c r="AG3089" s="16">
        <f>IFERROR(SUMIF(reading[[#This Row],[1st]:[7th]],"&gt;0")/COUNTIF(reading[[#This Row],[1st]:[7th]],"&gt;0"),"")</f>
        <v>2.6666666666666665</v>
      </c>
    </row>
    <row r="3090" spans="1:33" hidden="1" x14ac:dyDescent="0.2">
      <c r="A3090" s="4">
        <f>IF(B3090=1,3,IF(D3090=1,2,IF(F3090=1,1,0)))</f>
        <v>0</v>
      </c>
      <c r="B3090" s="4" t="str">
        <f>IF(C3090=$L3090,1,IF(C3090="","",0))</f>
        <v/>
      </c>
      <c r="C3090" s="42"/>
      <c r="D3090" s="4" t="str">
        <f>IF(E3090=$L3090,1,IF(E3090="","",0))</f>
        <v/>
      </c>
      <c r="E3090" s="43"/>
      <c r="F3090" s="4" t="str">
        <f>IF(G3090=$L3090,1,IF(G3090="","",0))</f>
        <v/>
      </c>
      <c r="G3090" s="14"/>
      <c r="H3090" s="6">
        <v>437</v>
      </c>
      <c r="I3090" s="15" t="s">
        <v>3120</v>
      </c>
      <c r="J3090" s="6" t="s">
        <v>3583</v>
      </c>
      <c r="K3090" s="6"/>
      <c r="L3090" s="6" t="s">
        <v>567</v>
      </c>
      <c r="M3090" s="6" t="s">
        <v>6546</v>
      </c>
      <c r="N3090" s="7">
        <f ca="1">RAND()</f>
        <v>0.52920115861397077</v>
      </c>
      <c r="O3090" s="8">
        <v>45201</v>
      </c>
      <c r="P3090" s="8">
        <v>45202</v>
      </c>
      <c r="Q3090" s="8">
        <v>45204</v>
      </c>
      <c r="R3090" s="8">
        <v>45208</v>
      </c>
      <c r="S3090" s="8">
        <v>45215</v>
      </c>
      <c r="T3090" s="8">
        <v>45227</v>
      </c>
      <c r="U3090" s="8">
        <v>45816</v>
      </c>
      <c r="V3090" s="10">
        <f>COUNTA(O3090:U3090)</f>
        <v>7</v>
      </c>
      <c r="W3090" s="11">
        <f>_xlfn.IFNA(INDEX(reading[[#This Row],[Memo 01]:[Memo 07]],MATCH(0,reading[[#This Row],[Memo 01]:[Memo 07]],-1)),"")</f>
        <v>45816</v>
      </c>
      <c r="X3090" s="11">
        <f ca="1">IFERROR(reading[[#This Row],[Previous]]+OFFSET(reading[[#Headers],[Memo 01]],-1,MATCH(0,reading[[#This Row],[Memo 01]:[Memo 07]],-1)-1),"")</f>
        <v>55816</v>
      </c>
      <c r="Y3090" s="10" t="str">
        <f ca="1">IF(reading[[#This Row],[Next]]&lt;&gt;"",IF(reading[[#This Row],[Next]]&gt;TODAY(),"OK",""),"")</f>
        <v>OK</v>
      </c>
      <c r="Z3090" s="13">
        <v>3</v>
      </c>
      <c r="AA3090" s="13">
        <v>2</v>
      </c>
      <c r="AB3090" s="13">
        <v>3</v>
      </c>
      <c r="AC3090" s="13">
        <v>3</v>
      </c>
      <c r="AD3090" s="13">
        <v>3</v>
      </c>
      <c r="AE3090" s="13">
        <v>3</v>
      </c>
      <c r="AF3090" s="13">
        <v>2</v>
      </c>
      <c r="AG3090" s="16">
        <f>IFERROR(SUMIF(reading[[#This Row],[1st]:[7th]],"&gt;0")/COUNTIF(reading[[#This Row],[1st]:[7th]],"&gt;0"),"")</f>
        <v>2.7142857142857144</v>
      </c>
    </row>
    <row r="3091" spans="1:33" hidden="1" x14ac:dyDescent="0.2">
      <c r="A3091" s="4">
        <f>IF(B3091=1,3,IF(D3091=1,2,IF(F3091=1,1,0)))</f>
        <v>0</v>
      </c>
      <c r="B3091" s="4">
        <f>IF(C3091=$L3091,1,IF(C3091="","",0))</f>
        <v>0</v>
      </c>
      <c r="C3091" s="42" t="s">
        <v>9200</v>
      </c>
      <c r="D3091" s="4" t="str">
        <f>IF(E3091=$L3091,1,IF(E3091="","",0))</f>
        <v/>
      </c>
      <c r="E3091" s="14"/>
      <c r="F3091" s="4" t="str">
        <f>IF(G3091=$L3091,1,IF(G3091="","",0))</f>
        <v/>
      </c>
      <c r="G3091" s="14"/>
      <c r="H3091" s="6">
        <v>2853</v>
      </c>
      <c r="I3091" s="15" t="s">
        <v>3120</v>
      </c>
      <c r="J3091" s="6" t="s">
        <v>5893</v>
      </c>
      <c r="K3091" s="6"/>
      <c r="L3091" s="6" t="s">
        <v>2886</v>
      </c>
      <c r="M3091" s="6" t="s">
        <v>8957</v>
      </c>
      <c r="N3091" s="7">
        <f ca="1">RAND()</f>
        <v>0.98289791518378489</v>
      </c>
      <c r="O3091" s="8">
        <v>45222</v>
      </c>
      <c r="P3091" s="8">
        <v>45223</v>
      </c>
      <c r="Q3091" s="8">
        <v>45225</v>
      </c>
      <c r="R3091" s="8">
        <v>45229</v>
      </c>
      <c r="S3091" s="8">
        <v>45236</v>
      </c>
      <c r="T3091" s="8"/>
      <c r="U3091" s="8"/>
      <c r="V3091" s="10">
        <f>COUNTA(O3091:U3091)</f>
        <v>5</v>
      </c>
      <c r="W3091" s="11">
        <f>_xlfn.IFNA(INDEX(reading[[#This Row],[Memo 01]:[Memo 07]],MATCH(0,reading[[#This Row],[Memo 01]:[Memo 07]],-1)),"")</f>
        <v>45236</v>
      </c>
      <c r="X3091" s="11">
        <f ca="1">IFERROR(reading[[#This Row],[Previous]]+OFFSET(reading[[#Headers],[Memo 01]],-1,MATCH(0,reading[[#This Row],[Memo 01]:[Memo 07]],-1)-1),"")</f>
        <v>45248</v>
      </c>
      <c r="Y3091" s="10" t="str">
        <f ca="1">IF(reading[[#This Row],[Next]]&lt;&gt;"",IF(reading[[#This Row],[Next]]&gt;TODAY(),"OK",""),"")</f>
        <v/>
      </c>
      <c r="Z3091" s="13">
        <v>3</v>
      </c>
      <c r="AA3091" s="13">
        <v>3</v>
      </c>
      <c r="AB3091" s="13">
        <v>3</v>
      </c>
      <c r="AC3091" s="13">
        <v>3</v>
      </c>
      <c r="AD3091" s="13">
        <v>3</v>
      </c>
      <c r="AE3091" s="13"/>
      <c r="AF3091" s="13"/>
      <c r="AG3091" s="16">
        <f>IFERROR(SUMIF(reading[[#This Row],[1st]:[7th]],"&gt;0")/COUNTIF(reading[[#This Row],[1st]:[7th]],"&gt;0"),"")</f>
        <v>3</v>
      </c>
    </row>
    <row r="3092" spans="1:33" x14ac:dyDescent="0.2">
      <c r="C3092" s="37"/>
    </row>
  </sheetData>
  <sheetProtection insertRows="0" deleteRows="0" sort="0" autoFilter="0"/>
  <phoneticPr fontId="24" type="noConversion"/>
  <conditionalFormatting sqref="B3092:B1048576">
    <cfRule type="iconSet" priority="1023">
      <iconSet iconSet="3Symbols">
        <cfvo type="percent" val="0"/>
        <cfvo type="percent" val="33"/>
        <cfvo type="percent" val="67"/>
      </iconSet>
    </cfRule>
  </conditionalFormatting>
  <conditionalFormatting sqref="D3092:D1048576">
    <cfRule type="iconSet" priority="1026">
      <iconSet iconSet="3Symbols">
        <cfvo type="percent" val="0"/>
        <cfvo type="percent" val="33"/>
        <cfvo type="percent" val="67"/>
      </iconSet>
    </cfRule>
  </conditionalFormatting>
  <conditionalFormatting sqref="F3092:F1048576">
    <cfRule type="iconSet" priority="1029">
      <iconSet iconSet="3Symbols">
        <cfvo type="percent" val="0"/>
        <cfvo type="percent" val="33"/>
        <cfvo type="percent" val="67"/>
      </iconSet>
    </cfRule>
  </conditionalFormatting>
  <conditionalFormatting sqref="A3092:A1048576 A2">
    <cfRule type="dataBar" priority="1031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{FAC42372-FFB8-46B7-978D-6B0A42388C54}</x14:id>
        </ext>
      </extLst>
    </cfRule>
  </conditionalFormatting>
  <conditionalFormatting sqref="F3092:F1048576 B2 F2 D2 D3092:D1048576 B3092:B1048576">
    <cfRule type="iconSet" priority="1034">
      <iconSet showValue="0">
        <cfvo type="percent" val="0"/>
        <cfvo type="percent" val="33"/>
        <cfvo type="percent" val="67"/>
      </iconSet>
    </cfRule>
  </conditionalFormatting>
  <conditionalFormatting sqref="F3092:F1048576 D3092:D1048576 B3092:B1048576">
    <cfRule type="iconSet" priority="1052">
      <iconSet iconSet="3Symbols" showValue="0">
        <cfvo type="percent" val="0"/>
        <cfvo type="percent" val="33"/>
        <cfvo type="percent" val="67"/>
      </iconSet>
    </cfRule>
    <cfRule type="iconSet" priority="1053">
      <iconSet showValue="0">
        <cfvo type="percent" val="0"/>
        <cfvo type="percent" val="33"/>
        <cfvo type="percent" val="67"/>
      </iconSet>
    </cfRule>
  </conditionalFormatting>
  <conditionalFormatting sqref="A3:A3091">
    <cfRule type="dataBar" priority="118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{720EA676-BB82-45AF-99ED-63D2D6305A39}</x14:id>
        </ext>
      </extLst>
    </cfRule>
    <cfRule type="dataBar" priority="1186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{381591C2-6A41-4E8A-BA77-12C9614B3269}</x14:id>
        </ext>
      </extLst>
    </cfRule>
    <cfRule type="dataBar" priority="1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{9627FB93-AD76-459B-83B5-7D32B344A124}</x14:id>
        </ext>
      </extLst>
    </cfRule>
  </conditionalFormatting>
  <conditionalFormatting sqref="B3:B3091">
    <cfRule type="iconSet" priority="1191">
      <iconSet iconSet="3Symbols">
        <cfvo type="percent" val="0"/>
        <cfvo type="percent" val="33"/>
        <cfvo type="percent" val="67"/>
      </iconSet>
    </cfRule>
  </conditionalFormatting>
  <conditionalFormatting sqref="D3:D3091">
    <cfRule type="iconSet" priority="1193">
      <iconSet iconSet="3Symbols">
        <cfvo type="percent" val="0"/>
        <cfvo type="percent" val="33"/>
        <cfvo type="percent" val="67"/>
      </iconSet>
    </cfRule>
  </conditionalFormatting>
  <conditionalFormatting sqref="F3:F3091">
    <cfRule type="iconSet" priority="1195">
      <iconSet iconSet="3Symbols">
        <cfvo type="percent" val="0"/>
        <cfvo type="percent" val="33"/>
        <cfvo type="percent" val="67"/>
      </iconSet>
    </cfRule>
  </conditionalFormatting>
  <conditionalFormatting sqref="B3:B3091 D3:D3091 F3:F3091">
    <cfRule type="iconSet" priority="1197">
      <iconSet showValue="0">
        <cfvo type="percent" val="0"/>
        <cfvo type="percent" val="33"/>
        <cfvo type="percent" val="67"/>
      </iconSet>
    </cfRule>
    <cfRule type="iconSet" priority="1198">
      <iconSet iconSet="3Symbols" showValue="0">
        <cfvo type="percent" val="0"/>
        <cfvo type="percent" val="33"/>
        <cfvo type="percent" val="67"/>
      </iconSet>
    </cfRule>
    <cfRule type="iconSet" priority="1199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Pict="0" macro="[0]!Sheet2.Start">
                <anchor moveWithCells="1" sizeWithCells="1">
                  <from>
                    <xdr:col>1</xdr:col>
                    <xdr:colOff>123825</xdr:colOff>
                    <xdr:row>0</xdr:row>
                    <xdr:rowOff>9525</xdr:rowOff>
                  </from>
                  <to>
                    <xdr:col>2</xdr:col>
                    <xdr:colOff>495300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Pict="0" macro="[0]!Sheet2.Check">
                <anchor moveWithCells="1" sizeWithCells="1">
                  <from>
                    <xdr:col>3</xdr:col>
                    <xdr:colOff>38100</xdr:colOff>
                    <xdr:row>0</xdr:row>
                    <xdr:rowOff>9525</xdr:rowOff>
                  </from>
                  <to>
                    <xdr:col>4</xdr:col>
                    <xdr:colOff>400050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Pict="0" macro="[0]!Sheet2.Review">
                <anchor moveWithCells="1" sizeWithCells="1">
                  <from>
                    <xdr:col>2</xdr:col>
                    <xdr:colOff>504825</xdr:colOff>
                    <xdr:row>0</xdr:row>
                    <xdr:rowOff>9525</xdr:rowOff>
                  </from>
                  <to>
                    <xdr:col>3</xdr:col>
                    <xdr:colOff>19050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Pict="0" macro="[0]!Sheet2.Preview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114300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Pict="0" macro="[0]!Sheet2.Zip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742950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C42372-FFB8-46B7-978D-6B0A42388C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A3092:A1048576 A2</xm:sqref>
        </x14:conditionalFormatting>
        <x14:conditionalFormatting xmlns:xm="http://schemas.microsoft.com/office/excel/2006/main">
          <x14:cfRule type="dataBar" id="{720EA676-BB82-45AF-99ED-63D2D6305A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81591C2-6A41-4E8A-BA77-12C9614B32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627FB93-AD76-459B-83B5-7D32B344A1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A3:A3091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DEA40-76B4-4E6E-B41B-3C87E2680664}">
  <sheetPr codeName="Sheet1"/>
  <dimension ref="A2:D32"/>
  <sheetViews>
    <sheetView workbookViewId="0">
      <selection activeCell="L6" sqref="L6"/>
    </sheetView>
  </sheetViews>
  <sheetFormatPr defaultRowHeight="14.25" x14ac:dyDescent="0.2"/>
  <cols>
    <col min="2" max="2" width="10.75" bestFit="1" customWidth="1"/>
    <col min="3" max="3" width="10.75" customWidth="1"/>
  </cols>
  <sheetData>
    <row r="2" spans="1:4" x14ac:dyDescent="0.2">
      <c r="A2">
        <v>0</v>
      </c>
      <c r="B2" s="35">
        <f ca="1">TODAY()+A2</f>
        <v>45831</v>
      </c>
      <c r="C2" t="str">
        <f ca="1">IF(WEEKDAY(B2)=1,"星期日",IF(WEEKDAY(B2)=2,"星期一",IF(WEEKDAY(B2)=3,"星期二",IF(WEEKDAY(B2)=4,"星期三",IF(WEEKDAY(B2)=5,"星期四",IF(WEEKDAY(B2)=6,"星期五",IF(WEEKDAY(B2)=7,"星期六","")))))))</f>
        <v>星期一</v>
      </c>
      <c r="D2">
        <f ca="1">COUNTIF(reading[Next],B2)</f>
        <v>37</v>
      </c>
    </row>
    <row r="3" spans="1:4" x14ac:dyDescent="0.2">
      <c r="A3">
        <v>1</v>
      </c>
      <c r="B3" s="35">
        <f t="shared" ref="B3:B32" ca="1" si="0">TODAY()+A3</f>
        <v>45832</v>
      </c>
      <c r="C3" t="str">
        <f t="shared" ref="C3:C32" ca="1" si="1">IF(WEEKDAY(B3)=1,"星期日",IF(WEEKDAY(B3)=2,"星期一",IF(WEEKDAY(B3)=3,"星期二",IF(WEEKDAY(B3)=4,"星期三",IF(WEEKDAY(B3)=5,"星期四",IF(WEEKDAY(B3)=6,"星期五",IF(WEEKDAY(B3)=7,"星期六","")))))))</f>
        <v>星期二</v>
      </c>
      <c r="D3">
        <f ca="1">COUNTIF(reading[Next],B3)</f>
        <v>0</v>
      </c>
    </row>
    <row r="4" spans="1:4" x14ac:dyDescent="0.2">
      <c r="A4">
        <v>2</v>
      </c>
      <c r="B4" s="35">
        <f t="shared" ca="1" si="0"/>
        <v>45833</v>
      </c>
      <c r="C4" t="str">
        <f t="shared" ca="1" si="1"/>
        <v>星期三</v>
      </c>
      <c r="D4">
        <f ca="1">COUNTIF(reading[Next],B4)</f>
        <v>0</v>
      </c>
    </row>
    <row r="5" spans="1:4" x14ac:dyDescent="0.2">
      <c r="A5">
        <v>3</v>
      </c>
      <c r="B5" s="35">
        <f t="shared" ca="1" si="0"/>
        <v>45834</v>
      </c>
      <c r="C5" t="str">
        <f t="shared" ca="1" si="1"/>
        <v>星期四</v>
      </c>
      <c r="D5">
        <f ca="1">COUNTIF(reading[Next],B5)</f>
        <v>0</v>
      </c>
    </row>
    <row r="6" spans="1:4" x14ac:dyDescent="0.2">
      <c r="A6">
        <v>4</v>
      </c>
      <c r="B6" s="35">
        <f t="shared" ca="1" si="0"/>
        <v>45835</v>
      </c>
      <c r="C6" t="str">
        <f t="shared" ca="1" si="1"/>
        <v>星期五</v>
      </c>
      <c r="D6">
        <f ca="1">COUNTIF(reading[Next],B6)</f>
        <v>20</v>
      </c>
    </row>
    <row r="7" spans="1:4" x14ac:dyDescent="0.2">
      <c r="A7">
        <v>5</v>
      </c>
      <c r="B7" s="35">
        <f t="shared" ca="1" si="0"/>
        <v>45836</v>
      </c>
      <c r="C7" t="str">
        <f t="shared" ca="1" si="1"/>
        <v>星期六</v>
      </c>
      <c r="D7">
        <f ca="1">COUNTIF(reading[Next],B7)</f>
        <v>104</v>
      </c>
    </row>
    <row r="8" spans="1:4" x14ac:dyDescent="0.2">
      <c r="A8">
        <v>6</v>
      </c>
      <c r="B8" s="35">
        <f t="shared" ca="1" si="0"/>
        <v>45837</v>
      </c>
      <c r="C8" t="str">
        <f t="shared" ca="1" si="1"/>
        <v>星期日</v>
      </c>
      <c r="D8">
        <f ca="1">COUNTIF(reading[Next],B8)</f>
        <v>56</v>
      </c>
    </row>
    <row r="9" spans="1:4" x14ac:dyDescent="0.2">
      <c r="A9">
        <v>7</v>
      </c>
      <c r="B9" s="35">
        <f t="shared" ca="1" si="0"/>
        <v>45838</v>
      </c>
      <c r="C9" t="str">
        <f t="shared" ca="1" si="1"/>
        <v>星期一</v>
      </c>
      <c r="D9">
        <f ca="1">COUNTIF(reading[Next],B9)</f>
        <v>22</v>
      </c>
    </row>
    <row r="10" spans="1:4" x14ac:dyDescent="0.2">
      <c r="A10">
        <v>8</v>
      </c>
      <c r="B10" s="35">
        <f t="shared" ca="1" si="0"/>
        <v>45839</v>
      </c>
      <c r="C10" t="str">
        <f t="shared" ca="1" si="1"/>
        <v>星期二</v>
      </c>
      <c r="D10">
        <f ca="1">COUNTIF(reading[Next],B10)</f>
        <v>35</v>
      </c>
    </row>
    <row r="11" spans="1:4" x14ac:dyDescent="0.2">
      <c r="A11">
        <v>9</v>
      </c>
      <c r="B11" s="35">
        <f t="shared" ca="1" si="0"/>
        <v>45840</v>
      </c>
      <c r="C11" t="str">
        <f t="shared" ca="1" si="1"/>
        <v>星期三</v>
      </c>
      <c r="D11">
        <f ca="1">COUNTIF(reading[Next],B11)</f>
        <v>50</v>
      </c>
    </row>
    <row r="12" spans="1:4" x14ac:dyDescent="0.2">
      <c r="A12">
        <v>10</v>
      </c>
      <c r="B12" s="35">
        <f t="shared" ca="1" si="0"/>
        <v>45841</v>
      </c>
      <c r="C12" t="str">
        <f t="shared" ca="1" si="1"/>
        <v>星期四</v>
      </c>
      <c r="D12">
        <f ca="1">COUNTIF(reading[Next],B12)</f>
        <v>0</v>
      </c>
    </row>
    <row r="13" spans="1:4" x14ac:dyDescent="0.2">
      <c r="A13">
        <v>11</v>
      </c>
      <c r="B13" s="35">
        <f t="shared" ca="1" si="0"/>
        <v>45842</v>
      </c>
      <c r="C13" t="str">
        <f t="shared" ca="1" si="1"/>
        <v>星期五</v>
      </c>
      <c r="D13">
        <f ca="1">COUNTIF(reading[Next],B13)</f>
        <v>0</v>
      </c>
    </row>
    <row r="14" spans="1:4" x14ac:dyDescent="0.2">
      <c r="A14">
        <v>12</v>
      </c>
      <c r="B14" s="35">
        <f t="shared" ca="1" si="0"/>
        <v>45843</v>
      </c>
      <c r="C14" t="str">
        <f t="shared" ca="1" si="1"/>
        <v>星期六</v>
      </c>
      <c r="D14">
        <f ca="1">COUNTIF(reading[Next],B14)</f>
        <v>48</v>
      </c>
    </row>
    <row r="15" spans="1:4" x14ac:dyDescent="0.2">
      <c r="A15">
        <v>13</v>
      </c>
      <c r="B15" s="35">
        <f t="shared" ca="1" si="0"/>
        <v>45844</v>
      </c>
      <c r="C15" t="str">
        <f t="shared" ca="1" si="1"/>
        <v>星期日</v>
      </c>
      <c r="D15">
        <f ca="1">COUNTIF(reading[Next],B15)</f>
        <v>23</v>
      </c>
    </row>
    <row r="16" spans="1:4" x14ac:dyDescent="0.2">
      <c r="A16">
        <v>14</v>
      </c>
      <c r="B16" s="35">
        <f t="shared" ca="1" si="0"/>
        <v>45845</v>
      </c>
      <c r="C16" t="str">
        <f t="shared" ca="1" si="1"/>
        <v>星期一</v>
      </c>
      <c r="D16">
        <f ca="1">COUNTIF(reading[Next],B16)</f>
        <v>51</v>
      </c>
    </row>
    <row r="17" spans="1:4" x14ac:dyDescent="0.2">
      <c r="A17">
        <v>15</v>
      </c>
      <c r="B17" s="35">
        <f t="shared" ca="1" si="0"/>
        <v>45846</v>
      </c>
      <c r="C17" t="str">
        <f t="shared" ca="1" si="1"/>
        <v>星期二</v>
      </c>
      <c r="D17">
        <f ca="1">COUNTIF(reading[Next],B17)</f>
        <v>0</v>
      </c>
    </row>
    <row r="18" spans="1:4" x14ac:dyDescent="0.2">
      <c r="A18">
        <v>16</v>
      </c>
      <c r="B18" s="35">
        <f t="shared" ca="1" si="0"/>
        <v>45847</v>
      </c>
      <c r="C18" t="str">
        <f t="shared" ca="1" si="1"/>
        <v>星期三</v>
      </c>
      <c r="D18">
        <f ca="1">COUNTIF(reading[Next],B18)</f>
        <v>21</v>
      </c>
    </row>
    <row r="19" spans="1:4" x14ac:dyDescent="0.2">
      <c r="A19">
        <v>17</v>
      </c>
      <c r="B19" s="35">
        <f t="shared" ca="1" si="0"/>
        <v>45848</v>
      </c>
      <c r="C19" t="str">
        <f t="shared" ca="1" si="1"/>
        <v>星期四</v>
      </c>
      <c r="D19">
        <f ca="1">COUNTIF(reading[Next],B19)</f>
        <v>0</v>
      </c>
    </row>
    <row r="20" spans="1:4" x14ac:dyDescent="0.2">
      <c r="A20">
        <v>18</v>
      </c>
      <c r="B20" s="35">
        <f t="shared" ca="1" si="0"/>
        <v>45849</v>
      </c>
      <c r="C20" t="str">
        <f t="shared" ca="1" si="1"/>
        <v>星期五</v>
      </c>
      <c r="D20">
        <f ca="1">COUNTIF(reading[Next],B20)</f>
        <v>28</v>
      </c>
    </row>
    <row r="21" spans="1:4" x14ac:dyDescent="0.2">
      <c r="A21">
        <v>19</v>
      </c>
      <c r="B21" s="35">
        <f t="shared" ca="1" si="0"/>
        <v>45850</v>
      </c>
      <c r="C21" t="str">
        <f t="shared" ca="1" si="1"/>
        <v>星期六</v>
      </c>
      <c r="D21">
        <f ca="1">COUNTIF(reading[Next],B21)</f>
        <v>13</v>
      </c>
    </row>
    <row r="22" spans="1:4" x14ac:dyDescent="0.2">
      <c r="A22">
        <v>20</v>
      </c>
      <c r="B22" s="35">
        <f t="shared" ca="1" si="0"/>
        <v>45851</v>
      </c>
      <c r="C22" t="str">
        <f t="shared" ca="1" si="1"/>
        <v>星期日</v>
      </c>
      <c r="D22">
        <f ca="1">COUNTIF(reading[Next],B22)</f>
        <v>0</v>
      </c>
    </row>
    <row r="23" spans="1:4" x14ac:dyDescent="0.2">
      <c r="A23">
        <v>21</v>
      </c>
      <c r="B23" s="35">
        <f t="shared" ca="1" si="0"/>
        <v>45852</v>
      </c>
      <c r="C23" t="str">
        <f t="shared" ca="1" si="1"/>
        <v>星期一</v>
      </c>
      <c r="D23">
        <f ca="1">COUNTIF(reading[Next],B23)</f>
        <v>0</v>
      </c>
    </row>
    <row r="24" spans="1:4" x14ac:dyDescent="0.2">
      <c r="A24">
        <v>22</v>
      </c>
      <c r="B24" s="35">
        <f t="shared" ca="1" si="0"/>
        <v>45853</v>
      </c>
      <c r="C24" t="str">
        <f t="shared" ca="1" si="1"/>
        <v>星期二</v>
      </c>
      <c r="D24">
        <f ca="1">COUNTIF(reading[Next],B24)</f>
        <v>0</v>
      </c>
    </row>
    <row r="25" spans="1:4" x14ac:dyDescent="0.2">
      <c r="A25">
        <v>23</v>
      </c>
      <c r="B25" s="35">
        <f t="shared" ca="1" si="0"/>
        <v>45854</v>
      </c>
      <c r="C25" t="str">
        <f t="shared" ca="1" si="1"/>
        <v>星期三</v>
      </c>
      <c r="D25">
        <f ca="1">COUNTIF(reading[Next],B25)</f>
        <v>0</v>
      </c>
    </row>
    <row r="26" spans="1:4" x14ac:dyDescent="0.2">
      <c r="A26">
        <v>24</v>
      </c>
      <c r="B26" s="35">
        <f t="shared" ca="1" si="0"/>
        <v>45855</v>
      </c>
      <c r="C26" t="str">
        <f t="shared" ca="1" si="1"/>
        <v>星期四</v>
      </c>
      <c r="D26">
        <f ca="1">COUNTIF(reading[Next],B26)</f>
        <v>0</v>
      </c>
    </row>
    <row r="27" spans="1:4" x14ac:dyDescent="0.2">
      <c r="A27">
        <v>25</v>
      </c>
      <c r="B27" s="35">
        <f t="shared" ca="1" si="0"/>
        <v>45856</v>
      </c>
      <c r="C27" t="str">
        <f t="shared" ca="1" si="1"/>
        <v>星期五</v>
      </c>
      <c r="D27">
        <f ca="1">COUNTIF(reading[Next],B27)</f>
        <v>0</v>
      </c>
    </row>
    <row r="28" spans="1:4" x14ac:dyDescent="0.2">
      <c r="A28">
        <v>26</v>
      </c>
      <c r="B28" s="35">
        <f t="shared" ca="1" si="0"/>
        <v>45857</v>
      </c>
      <c r="C28" t="str">
        <f t="shared" ca="1" si="1"/>
        <v>星期六</v>
      </c>
      <c r="D28">
        <f ca="1">COUNTIF(reading[Next],B28)</f>
        <v>0</v>
      </c>
    </row>
    <row r="29" spans="1:4" x14ac:dyDescent="0.2">
      <c r="A29">
        <v>27</v>
      </c>
      <c r="B29" s="35">
        <f t="shared" ca="1" si="0"/>
        <v>45858</v>
      </c>
      <c r="C29" t="str">
        <f t="shared" ca="1" si="1"/>
        <v>星期日</v>
      </c>
      <c r="D29">
        <f ca="1">COUNTIF(reading[Next],B29)</f>
        <v>0</v>
      </c>
    </row>
    <row r="30" spans="1:4" x14ac:dyDescent="0.2">
      <c r="A30">
        <v>28</v>
      </c>
      <c r="B30" s="35">
        <f t="shared" ca="1" si="0"/>
        <v>45859</v>
      </c>
      <c r="C30" t="str">
        <f t="shared" ca="1" si="1"/>
        <v>星期一</v>
      </c>
      <c r="D30">
        <f ca="1">COUNTIF(reading[Next],B30)</f>
        <v>0</v>
      </c>
    </row>
    <row r="31" spans="1:4" x14ac:dyDescent="0.2">
      <c r="A31">
        <v>29</v>
      </c>
      <c r="B31" s="35">
        <f t="shared" ca="1" si="0"/>
        <v>45860</v>
      </c>
      <c r="C31" t="str">
        <f t="shared" ca="1" si="1"/>
        <v>星期二</v>
      </c>
      <c r="D31">
        <f ca="1">COUNTIF(reading[Next],B31)</f>
        <v>0</v>
      </c>
    </row>
    <row r="32" spans="1:4" x14ac:dyDescent="0.2">
      <c r="A32">
        <v>30</v>
      </c>
      <c r="B32" s="35">
        <f t="shared" ca="1" si="0"/>
        <v>45861</v>
      </c>
      <c r="C32" t="str">
        <f t="shared" ca="1" si="1"/>
        <v>星期三</v>
      </c>
      <c r="D32">
        <f ca="1">COUNTIF(reading[Next],B32)</f>
        <v>0</v>
      </c>
    </row>
  </sheetData>
  <phoneticPr fontId="28" type="noConversion"/>
  <conditionalFormatting sqref="D2:D32">
    <cfRule type="dataBar" priority="1">
      <dataBar>
        <cfvo type="num" val="0"/>
        <cfvo type="num" val="500"/>
        <color rgb="FF63C384"/>
      </dataBar>
      <extLst>
        <ext xmlns:x14="http://schemas.microsoft.com/office/spreadsheetml/2009/9/main" uri="{B025F937-C7B1-47D3-B67F-A62EFF666E3E}">
          <x14:id>{39E44651-2AD1-4CC8-84B2-A3AA926BEC68}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9E44651-2AD1-4CC8-84B2-A3AA926BEC68}">
            <x14:dataBar minLength="0" maxLength="100" gradient="0">
              <x14:cfvo type="num">
                <xm:f>0</xm:f>
              </x14:cfvo>
              <x14:cfvo type="num">
                <xm:f>500</xm:f>
              </x14:cfvo>
              <x14:negativeFillColor rgb="FFFF0000"/>
              <x14:axisColor rgb="FF000000"/>
            </x14:dataBar>
          </x14:cfRule>
          <xm:sqref>D2:D32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oProps xmlns="https://web.wps.cn/et/2018/main" xmlns:s="http://schemas.openxmlformats.org/spreadsheetml/2006/main">
  <woSheetsProps>
    <woSheetProps sheetStid="8" interlineOnOff="0" interlineColor="0" isDbSheet="0" isDashBoardSheet="0" isDbDashBoardSheet="0" isFlexPaperSheet="0">
      <cellprotection/>
      <appEtDbRelations/>
    </woSheetProps>
    <woSheetProps sheetStid="14" interlineOnOff="0" interlineColor="0" isDbSheet="0" isDashBoardSheet="0" isDbDashBoardSheet="0" isFlexPaperSheet="0">
      <cellprotection/>
      <appEtDbRelations/>
    </woSheetProps>
  </woSheetsProps>
  <woBookProps>
    <bookSettings isFilterShared="1" coreConquerUserId="" isAutoUpdatePaused="0" filterType="conn" isMergeTasksAutoUpdate="0" isInserPicAsAttachment="0"/>
  </woBookProps>
</woProps>
</file>

<file path=customXml/item2.xml><?xml version="1.0" encoding="utf-8"?>
<pixelators xmlns="https://web.wps.cn/et/2018/main" xmlns:s="http://schemas.openxmlformats.org/spreadsheetml/2006/main">
  <pixelatorList sheetStid="8"/>
  <pixelatorList sheetStid="14"/>
  <pixelatorList sheetStid="15"/>
</pixelators>
</file>

<file path=customXml/itemProps1.xml><?xml version="1.0" encoding="utf-8"?>
<ds:datastoreItem xmlns:ds="http://schemas.openxmlformats.org/officeDocument/2006/customXml" ds:itemID="{06C82605-B75B-4693-9329-32AAD527C692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224D003E-15C9-4FFE-AB16-9E66474EAE4E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reading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Jovi Pan Juan Chao</dc:creator>
  <cp:lastModifiedBy>Juanchao Pan</cp:lastModifiedBy>
  <cp:lastPrinted>2023-02-17T10:47:00Z</cp:lastPrinted>
  <dcterms:created xsi:type="dcterms:W3CDTF">2023-01-19T08:44:00Z</dcterms:created>
  <dcterms:modified xsi:type="dcterms:W3CDTF">2025-06-24T01:51:17Z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977D9C1B81AB49598C67DE9520A0AA67</vt:lpwstr>
  </property>
  <property fmtid="{D5CDD505-2E9C-101B-9397-08002B2CF9AE}" pid="3" name="KSOProductBuildVer">
    <vt:lpwstr>2052-0.0.0.0</vt:lpwstr>
  </property>
</Properties>
</file>